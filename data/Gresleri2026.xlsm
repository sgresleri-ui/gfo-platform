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/Users/sgresleri/Documents/@Documenti Personali/@Conto Famiglia/"/>
    </mc:Choice>
  </mc:AlternateContent>
  <xr:revisionPtr revIDLastSave="0" documentId="13_ncr:1_{E3918FE8-FA4B-7E4E-BAFA-4F401DAF3B4C}" xr6:coauthVersionLast="47" xr6:coauthVersionMax="47" xr10:uidLastSave="{00000000-0000-0000-0000-000000000000}"/>
  <bookViews>
    <workbookView xWindow="17760" yWindow="1860" windowWidth="34620" windowHeight="20720" tabRatio="825" activeTab="3" xr2:uid="{00000000-000D-0000-FFFF-FFFF00000000}"/>
  </bookViews>
  <sheets>
    <sheet name="Conto Economico" sheetId="1" r:id="rId1"/>
    <sheet name="Forecast" sheetId="38" r:id="rId2"/>
    <sheet name="Budget 27" sheetId="71" r:id="rId3"/>
    <sheet name="Budget 27-66" sheetId="69" r:id="rId4"/>
    <sheet name="Riepilogo" sheetId="41" r:id="rId5"/>
    <sheet name="Investimenti" sheetId="21" r:id="rId6"/>
    <sheet name="El Toro" sheetId="49" r:id="rId7"/>
    <sheet name="Portafoglio" sheetId="74" r:id="rId8"/>
    <sheet name="Dubai" sheetId="59" r:id="rId9"/>
    <sheet name="Immobili" sheetId="81" r:id="rId10"/>
    <sheet name="Parametri" sheetId="87" r:id="rId11"/>
    <sheet name="Mutuo Riccione" sheetId="61" r:id="rId12"/>
    <sheet name="Contanti" sheetId="25" r:id="rId13"/>
    <sheet name="Amex" sheetId="35" r:id="rId14"/>
    <sheet name="IBKR" sheetId="77" r:id="rId15"/>
    <sheet name="RakBank EUR" sheetId="75" r:id="rId16"/>
    <sheet name="RakBank AED" sheetId="79" r:id="rId17"/>
    <sheet name="Revolut" sheetId="63" r:id="rId18"/>
    <sheet name="BBVA" sheetId="28" r:id="rId19"/>
    <sheet name="Fineco Sa" sheetId="23" r:id="rId20"/>
    <sheet name="Fineco St" sheetId="16" r:id="rId21"/>
    <sheet name="Pivot IBKR" sheetId="78" r:id="rId22"/>
    <sheet name="Pivot RakBank EUR" sheetId="76" r:id="rId23"/>
    <sheet name="Pivot RakBank AED" sheetId="80" r:id="rId24"/>
    <sheet name="Pivot Amex" sheetId="37" r:id="rId25"/>
    <sheet name="Pivot Revolut" sheetId="68" r:id="rId26"/>
    <sheet name="Pivot PP Visa" sheetId="56" r:id="rId27"/>
    <sheet name="Pivot BBVA" sheetId="31" r:id="rId28"/>
    <sheet name="Pivot Fineco Sa" sheetId="24" r:id="rId29"/>
    <sheet name="Pivot Fineco St" sheetId="17" r:id="rId30"/>
    <sheet name="Dati" sheetId="32" r:id="rId31"/>
  </sheets>
  <definedNames>
    <definedName name="_xlnm._FilterDatabase" localSheetId="13" hidden="1">Amex!$A$1:$H$418</definedName>
    <definedName name="_xlnm._FilterDatabase" localSheetId="18" hidden="1">BBVA!$A$1:$I$278</definedName>
    <definedName name="_xlnm._FilterDatabase" localSheetId="3" hidden="1">'Budget 27-66'!$B$144:$AP$154</definedName>
    <definedName name="_xlnm._FilterDatabase" localSheetId="0" hidden="1">'Conto Economico'!$A$11:$O$17</definedName>
    <definedName name="_xlnm._FilterDatabase" localSheetId="30" hidden="1">Dati!$B$2:$E$89</definedName>
    <definedName name="_xlnm._FilterDatabase" localSheetId="19" hidden="1">'Fineco Sa'!$A$1:$H$74</definedName>
    <definedName name="_xlnm._FilterDatabase" localSheetId="20" hidden="1">'Fineco St'!$A$1:$I$58</definedName>
    <definedName name="_xlnm._FilterDatabase" localSheetId="14" hidden="1">IBKR!$A$1:$H$7</definedName>
    <definedName name="_xlnm._FilterDatabase" localSheetId="7" hidden="1">Portafoglio!$A$6:$R$6</definedName>
    <definedName name="_xlnm._FilterDatabase" localSheetId="16" hidden="1">'RakBank AED'!$B$4:$K$21</definedName>
    <definedName name="_xlnm._FilterDatabase" localSheetId="15" hidden="1">'RakBank EUR'!$A$1:$H$12</definedName>
    <definedName name="_xlnm._FilterDatabase" localSheetId="17" hidden="1">Revolut!$A$1:$H$21</definedName>
    <definedName name="_xleta.IF" hidden="1" xlm="1">#NAME?</definedName>
    <definedName name="activity" localSheetId="13">Amex!$B$362:$D$374</definedName>
    <definedName name="activity" localSheetId="24">'Pivot Amex'!#REF!</definedName>
    <definedName name="activity" localSheetId="21">'Pivot IBKR'!#REF!</definedName>
    <definedName name="activity" localSheetId="23">'Pivot RakBank AED'!#REF!</definedName>
    <definedName name="activity" localSheetId="22">'Pivot RakBank EUR'!#REF!</definedName>
    <definedName name="activity_1" localSheetId="24">'Pivot Amex'!#REF!</definedName>
    <definedName name="activity_1" localSheetId="21">'Pivot IBKR'!#REF!</definedName>
    <definedName name="activity_1" localSheetId="23">'Pivot RakBank AED'!#REF!</definedName>
    <definedName name="activity_1" localSheetId="22">'Pivot RakBank EUR'!#REF!</definedName>
    <definedName name="activity_2" localSheetId="13">Amex!$B$375:$D$397</definedName>
    <definedName name="activity_2" localSheetId="24">'Pivot Amex'!#REF!</definedName>
    <definedName name="activity_3" localSheetId="13">Amex!$B$312:$D$320</definedName>
    <definedName name="activity_3" localSheetId="24">'Pivot Amex'!#REF!</definedName>
    <definedName name="activity_4" localSheetId="24">'Pivot Amex'!#REF!</definedName>
    <definedName name="activity_5" localSheetId="13">Amex!$B$149:$D$162</definedName>
    <definedName name="activity_5" localSheetId="24">'Pivot Amex'!#REF!</definedName>
    <definedName name="activity_6" localSheetId="13">Amex!#REF!</definedName>
    <definedName name="Advice">Investimenti!$D$9</definedName>
    <definedName name="Aviva">Investimenti!#REF!</definedName>
    <definedName name="bbva_10" localSheetId="27">'Pivot BBVA'!#REF!</definedName>
    <definedName name="bbva_11" localSheetId="27">'Pivot BBVA'!#REF!</definedName>
    <definedName name="bbva_9" localSheetId="27">'Pivot BBVA'!#REF!</definedName>
    <definedName name="CCActual">'Conto Economico'!$O$13</definedName>
    <definedName name="Chiusura2022">'Conto Economico'!#REF!</definedName>
    <definedName name="Chiusura2023">'Conto Economico'!#REF!</definedName>
    <definedName name="Chiusura2024">'Conto Economico'!$D$4</definedName>
    <definedName name="ETF">Investimenti!#REF!</definedName>
    <definedName name="Fondi">Investimenti!#REF!</definedName>
    <definedName name="FondiPAC">Investimenti!#REF!</definedName>
    <definedName name="fromDate">"${data.fromDate)"</definedName>
    <definedName name="IBKR">Investimenti!$D$11</definedName>
    <definedName name="PAC">Investimenti!#REF!</definedName>
    <definedName name="Plus">Investimenti!$D$10</definedName>
    <definedName name="PoPlus">Investimenti!$D$12</definedName>
    <definedName name="Revolut" localSheetId="17">Revolut!$B$5:$I$18</definedName>
    <definedName name="Revolut_1" localSheetId="17">Revolut!$B$19:$I$21</definedName>
    <definedName name="solver_adj" localSheetId="3" hidden="1">'Budget 27-66'!$C$160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ng" localSheetId="0" hidden="1">1</definedName>
    <definedName name="solver_itr" localSheetId="2" hidden="1">2147483647</definedName>
    <definedName name="solver_itr" localSheetId="3" hidden="1">2147483647</definedName>
    <definedName name="solver_lin" localSheetId="2" hidden="1">2</definedName>
    <definedName name="solver_lin" localSheetId="3" hidden="1">2</definedName>
    <definedName name="solver_lin" localSheetId="0" hidden="1">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eg" localSheetId="0" hidden="1">1</definedName>
    <definedName name="solver_nod" localSheetId="2" hidden="1">2147483647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um" localSheetId="0" hidden="1">0</definedName>
    <definedName name="solver_opt" localSheetId="3" hidden="1">'Budget 27-66'!$C$165</definedName>
    <definedName name="solver_opt" localSheetId="0" hidden="1">'Conto Economico'!$D$61</definedName>
    <definedName name="solver_rbv" localSheetId="2" hidden="1">1</definedName>
    <definedName name="solver_rbv" localSheetId="3" hidden="1">1</definedName>
    <definedName name="solver_rlx" localSheetId="2" hidden="1">1</definedName>
    <definedName name="solver_rlx" localSheetId="3" hidden="1">1</definedName>
    <definedName name="solver_rsd" localSheetId="2" hidden="1">0</definedName>
    <definedName name="solver_rsd" localSheetId="3" hidden="1">0</definedName>
    <definedName name="solver_scl" localSheetId="2" hidden="1">2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yp" localSheetId="2" hidden="1">3</definedName>
    <definedName name="solver_typ" localSheetId="3" hidden="1">3</definedName>
    <definedName name="solver_typ" localSheetId="0" hidden="1">1</definedName>
    <definedName name="solver_val" localSheetId="2" hidden="1">0</definedName>
    <definedName name="solver_val" localSheetId="3" hidden="1">0</definedName>
    <definedName name="solver_val" localSheetId="0" hidden="1">0</definedName>
    <definedName name="solver_ver" localSheetId="2" hidden="1">2</definedName>
    <definedName name="solver_ver" localSheetId="3" hidden="1">2</definedName>
    <definedName name="solver_ver" localSheetId="0" hidden="1">2</definedName>
    <definedName name="TotInv">Investimenti!$D$15</definedName>
    <definedName name="TP">'Conto Economico'!$A$6</definedName>
    <definedName name="TransactionList_CSV04_07_2026" localSheetId="16">'RakBank AED'!#REF!</definedName>
    <definedName name="TransactionList_CSV04_07_2026_2" localSheetId="15">'RakBank EUR'!#REF!</definedName>
  </definedNames>
  <calcPr calcId="191029"/>
  <pivotCaches>
    <pivotCache cacheId="212" r:id="rId32"/>
    <pivotCache cacheId="213" r:id="rId33"/>
    <pivotCache cacheId="214" r:id="rId34"/>
    <pivotCache cacheId="215" r:id="rId35"/>
    <pivotCache cacheId="216" r:id="rId36"/>
    <pivotCache cacheId="217" r:id="rId37"/>
    <pivotCache cacheId="218" r:id="rId38"/>
    <pivotCache cacheId="219" r:id="rId39"/>
  </pivotCache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8" l="1"/>
  <c r="A3" i="28"/>
  <c r="A2" i="28"/>
  <c r="D6" i="35"/>
  <c r="D7" i="35"/>
  <c r="A6" i="35"/>
  <c r="A8" i="35"/>
  <c r="A7" i="35"/>
  <c r="A5" i="35"/>
  <c r="A4" i="35"/>
  <c r="A3" i="35"/>
  <c r="A2" i="35"/>
  <c r="A3" i="23"/>
  <c r="A2" i="23"/>
  <c r="A2" i="16"/>
  <c r="B2" i="81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8" i="74"/>
  <c r="N9" i="74"/>
  <c r="N10" i="74"/>
  <c r="N11" i="74"/>
  <c r="N12" i="74"/>
  <c r="N13" i="74"/>
  <c r="N14" i="74"/>
  <c r="N15" i="74"/>
  <c r="N16" i="74"/>
  <c r="N17" i="74"/>
  <c r="N18" i="74"/>
  <c r="N19" i="74"/>
  <c r="N20" i="74"/>
  <c r="N21" i="74"/>
  <c r="N22" i="74"/>
  <c r="N23" i="74"/>
  <c r="N24" i="74"/>
  <c r="N25" i="74"/>
  <c r="N7" i="74"/>
  <c r="R45" i="74"/>
  <c r="R44" i="74"/>
  <c r="P45" i="74"/>
  <c r="P44" i="74"/>
  <c r="A7" i="16"/>
  <c r="B6" i="87" a="1"/>
  <c r="L48" i="74"/>
  <c r="N48" i="74"/>
  <c r="L45" i="74"/>
  <c r="L44" i="74"/>
  <c r="N45" i="74"/>
  <c r="O45" i="74" s="1"/>
  <c r="N44" i="74"/>
  <c r="O44" i="74" s="1"/>
  <c r="F4" i="61"/>
  <c r="C2" i="81" s="1"/>
  <c r="A12" i="23"/>
  <c r="A3" i="16"/>
  <c r="A4" i="16"/>
  <c r="A5" i="16"/>
  <c r="A6" i="16"/>
  <c r="A8" i="16"/>
  <c r="A9" i="23"/>
  <c r="A8" i="23"/>
  <c r="A7" i="23"/>
  <c r="A6" i="23"/>
  <c r="A5" i="23"/>
  <c r="A4" i="23"/>
  <c r="A12" i="28"/>
  <c r="A11" i="28"/>
  <c r="A10" i="28"/>
  <c r="A9" i="28"/>
  <c r="A8" i="28"/>
  <c r="A7" i="28"/>
  <c r="A6" i="28"/>
  <c r="A5" i="28"/>
  <c r="A11" i="35"/>
  <c r="A10" i="35"/>
  <c r="A9" i="35"/>
  <c r="E61" i="71" a="1"/>
  <c r="C61" i="71" a="1"/>
  <c r="C125" i="71" a="1"/>
  <c r="A2" i="75"/>
  <c r="A3" i="75"/>
  <c r="G5" i="79"/>
  <c r="H5" i="79"/>
  <c r="G6" i="79"/>
  <c r="H6" i="79"/>
  <c r="G7" i="79"/>
  <c r="H7" i="79"/>
  <c r="G8" i="79"/>
  <c r="H8" i="79"/>
  <c r="G9" i="79"/>
  <c r="H9" i="79"/>
  <c r="G10" i="79"/>
  <c r="H10" i="79"/>
  <c r="B10" i="79"/>
  <c r="B9" i="79"/>
  <c r="B8" i="79"/>
  <c r="B7" i="79"/>
  <c r="B6" i="79"/>
  <c r="B5" i="79"/>
  <c r="H11" i="79"/>
  <c r="E21" i="28"/>
  <c r="A20" i="28"/>
  <c r="A32" i="28"/>
  <c r="A31" i="28"/>
  <c r="A30" i="28"/>
  <c r="A29" i="28"/>
  <c r="A13" i="28"/>
  <c r="A28" i="28"/>
  <c r="A27" i="28"/>
  <c r="A26" i="28"/>
  <c r="A25" i="28"/>
  <c r="A24" i="28"/>
  <c r="A23" i="28"/>
  <c r="A22" i="28"/>
  <c r="A21" i="28"/>
  <c r="A19" i="28"/>
  <c r="A18" i="28"/>
  <c r="A17" i="28"/>
  <c r="A16" i="28"/>
  <c r="A15" i="28"/>
  <c r="A14" i="28"/>
  <c r="A17" i="35"/>
  <c r="A16" i="35"/>
  <c r="A15" i="35"/>
  <c r="A14" i="35"/>
  <c r="A13" i="35"/>
  <c r="A12" i="35"/>
  <c r="R43" i="74"/>
  <c r="P43" i="74"/>
  <c r="O43" i="74"/>
  <c r="R42" i="74"/>
  <c r="P42" i="74"/>
  <c r="O42" i="74"/>
  <c r="R41" i="74"/>
  <c r="P41" i="74"/>
  <c r="O41" i="74"/>
  <c r="R40" i="74"/>
  <c r="P40" i="74"/>
  <c r="O40" i="74"/>
  <c r="R39" i="74"/>
  <c r="P39" i="74"/>
  <c r="O39" i="74"/>
  <c r="R38" i="74"/>
  <c r="P38" i="74"/>
  <c r="O38" i="74"/>
  <c r="R37" i="74"/>
  <c r="P37" i="74"/>
  <c r="O37" i="74"/>
  <c r="R36" i="74"/>
  <c r="P36" i="74"/>
  <c r="O36" i="74"/>
  <c r="R35" i="74"/>
  <c r="P35" i="74"/>
  <c r="O35" i="74"/>
  <c r="R34" i="74"/>
  <c r="P34" i="74"/>
  <c r="O34" i="74"/>
  <c r="R33" i="74"/>
  <c r="P33" i="74"/>
  <c r="O33" i="74"/>
  <c r="R32" i="74"/>
  <c r="P32" i="74"/>
  <c r="O32" i="74"/>
  <c r="R31" i="74"/>
  <c r="P31" i="74"/>
  <c r="O31" i="74"/>
  <c r="R30" i="74"/>
  <c r="P30" i="74"/>
  <c r="O30" i="74"/>
  <c r="R29" i="74"/>
  <c r="P29" i="74"/>
  <c r="O29" i="74"/>
  <c r="R28" i="74"/>
  <c r="P28" i="74"/>
  <c r="O28" i="74"/>
  <c r="R27" i="74"/>
  <c r="P27" i="74"/>
  <c r="O27" i="74"/>
  <c r="R26" i="74"/>
  <c r="P26" i="74"/>
  <c r="O26" i="74"/>
  <c r="R25" i="74"/>
  <c r="L25" i="74"/>
  <c r="R24" i="74"/>
  <c r="L24" i="74"/>
  <c r="R23" i="74"/>
  <c r="L23" i="74"/>
  <c r="R22" i="74"/>
  <c r="L22" i="74"/>
  <c r="R21" i="74"/>
  <c r="L21" i="74"/>
  <c r="R20" i="74"/>
  <c r="L20" i="74"/>
  <c r="R19" i="74"/>
  <c r="L19" i="74"/>
  <c r="R18" i="74"/>
  <c r="L18" i="74"/>
  <c r="R17" i="74"/>
  <c r="L17" i="74"/>
  <c r="R16" i="74"/>
  <c r="L16" i="74"/>
  <c r="R15" i="74"/>
  <c r="L15" i="74"/>
  <c r="R14" i="74"/>
  <c r="L14" i="74"/>
  <c r="R13" i="74"/>
  <c r="L13" i="74"/>
  <c r="R12" i="74"/>
  <c r="L12" i="74"/>
  <c r="R11" i="74"/>
  <c r="L11" i="74"/>
  <c r="R10" i="74"/>
  <c r="L10" i="74"/>
  <c r="R9" i="74"/>
  <c r="L9" i="74"/>
  <c r="R8" i="74"/>
  <c r="L8" i="74"/>
  <c r="R7" i="74"/>
  <c r="L7" i="74"/>
  <c r="E75" i="23"/>
  <c r="D75" i="23"/>
  <c r="A24" i="35"/>
  <c r="A23" i="35"/>
  <c r="A22" i="35"/>
  <c r="A21" i="35"/>
  <c r="A20" i="35"/>
  <c r="A19" i="35"/>
  <c r="A18" i="35"/>
  <c r="D12" i="21"/>
  <c r="K11" i="21"/>
  <c r="A10" i="23"/>
  <c r="A11" i="23"/>
  <c r="A28" i="35"/>
  <c r="A30" i="35"/>
  <c r="A29" i="35"/>
  <c r="A27" i="35"/>
  <c r="A26" i="35"/>
  <c r="A25" i="35"/>
  <c r="D40" i="35"/>
  <c r="D41" i="35"/>
  <c r="A40" i="35"/>
  <c r="A43" i="35"/>
  <c r="A42" i="35"/>
  <c r="A41" i="35"/>
  <c r="A39" i="35"/>
  <c r="A38" i="35"/>
  <c r="A37" i="35"/>
  <c r="A36" i="35"/>
  <c r="A35" i="35"/>
  <c r="A34" i="35"/>
  <c r="A33" i="35"/>
  <c r="A32" i="35"/>
  <c r="A31" i="35"/>
  <c r="D28" i="32" a="1"/>
  <c r="A13" i="23"/>
  <c r="A14" i="23"/>
  <c r="A9" i="16"/>
  <c r="A10" i="16"/>
  <c r="F49" i="69" a="1"/>
  <c r="E49" i="69" a="1"/>
  <c r="D49" i="69" a="1"/>
  <c r="E45" i="71" a="1"/>
  <c r="D45" i="71" a="1"/>
  <c r="V78" i="25"/>
  <c r="A39" i="28"/>
  <c r="A38" i="28"/>
  <c r="A37" i="28"/>
  <c r="A36" i="28"/>
  <c r="A35" i="28"/>
  <c r="A34" i="28"/>
  <c r="A33" i="28"/>
  <c r="D14" i="21"/>
  <c r="A50" i="35"/>
  <c r="A49" i="35"/>
  <c r="A48" i="35"/>
  <c r="A47" i="35"/>
  <c r="A46" i="35"/>
  <c r="A45" i="35"/>
  <c r="A44" i="35"/>
  <c r="E40" i="71" a="1"/>
  <c r="D1" i="71" a="1"/>
  <c r="A52" i="35"/>
  <c r="A51" i="35"/>
  <c r="E14" i="21"/>
  <c r="F14" i="21"/>
  <c r="G14" i="21"/>
  <c r="H14" i="21"/>
  <c r="I14" i="21"/>
  <c r="J14" i="21"/>
  <c r="K14" i="21"/>
  <c r="M14" i="21"/>
  <c r="N14" i="21"/>
  <c r="O14" i="21"/>
  <c r="P14" i="21"/>
  <c r="Q14" i="21"/>
  <c r="M15" i="21"/>
  <c r="N15" i="21"/>
  <c r="O15" i="21"/>
  <c r="P15" i="21"/>
  <c r="Q15" i="21"/>
  <c r="L14" i="21"/>
  <c r="E4" i="21"/>
  <c r="F4" i="21"/>
  <c r="G4" i="21"/>
  <c r="H4" i="21"/>
  <c r="I4" i="21"/>
  <c r="J4" i="21"/>
  <c r="K4" i="21"/>
  <c r="E5" i="21"/>
  <c r="F5" i="21"/>
  <c r="G5" i="21"/>
  <c r="H5" i="21"/>
  <c r="I5" i="21"/>
  <c r="J5" i="21"/>
  <c r="K5" i="21"/>
  <c r="E7" i="21"/>
  <c r="F7" i="21"/>
  <c r="G7" i="21"/>
  <c r="H7" i="21"/>
  <c r="I7" i="21"/>
  <c r="J7" i="21"/>
  <c r="K7" i="21"/>
  <c r="M4" i="21"/>
  <c r="N4" i="21"/>
  <c r="O4" i="21"/>
  <c r="P4" i="21"/>
  <c r="Q4" i="21"/>
  <c r="M5" i="21"/>
  <c r="N5" i="21"/>
  <c r="O5" i="21"/>
  <c r="P5" i="21"/>
  <c r="Q5" i="21"/>
  <c r="M7" i="21"/>
  <c r="N7" i="21"/>
  <c r="O7" i="21"/>
  <c r="P7" i="21"/>
  <c r="Q7" i="21"/>
  <c r="L5" i="21"/>
  <c r="L4" i="21"/>
  <c r="A44" i="28"/>
  <c r="A43" i="28"/>
  <c r="A42" i="28"/>
  <c r="A41" i="28"/>
  <c r="A40" i="28"/>
  <c r="A59" i="35"/>
  <c r="A58" i="35"/>
  <c r="A57" i="35"/>
  <c r="A56" i="35"/>
  <c r="A55" i="35"/>
  <c r="A54" i="35"/>
  <c r="A53" i="35"/>
  <c r="A49" i="28"/>
  <c r="A48" i="28"/>
  <c r="A47" i="28"/>
  <c r="A46" i="28"/>
  <c r="A45" i="28"/>
  <c r="D66" i="35"/>
  <c r="D67" i="35"/>
  <c r="A66" i="35"/>
  <c r="A69" i="35"/>
  <c r="A68" i="35"/>
  <c r="A67" i="35"/>
  <c r="A65" i="35"/>
  <c r="A64" i="35"/>
  <c r="A63" i="35"/>
  <c r="A62" i="35"/>
  <c r="A61" i="35"/>
  <c r="A60" i="35"/>
  <c r="G11" i="79"/>
  <c r="B11" i="79"/>
  <c r="B23" i="59"/>
  <c r="D136" i="71"/>
  <c r="N8" i="1" a="1"/>
  <c r="A50" i="28"/>
  <c r="A78" i="35"/>
  <c r="A77" i="35"/>
  <c r="A76" i="35"/>
  <c r="A75" i="35"/>
  <c r="A74" i="35"/>
  <c r="A73" i="35"/>
  <c r="A72" i="35"/>
  <c r="A71" i="35"/>
  <c r="A70" i="35"/>
  <c r="A54" i="28"/>
  <c r="A53" i="28"/>
  <c r="A52" i="28"/>
  <c r="A51" i="28"/>
  <c r="A11" i="16"/>
  <c r="A12" i="16"/>
  <c r="A13" i="16"/>
  <c r="A20" i="23"/>
  <c r="A19" i="23"/>
  <c r="A18" i="23"/>
  <c r="A17" i="23"/>
  <c r="A16" i="23"/>
  <c r="A15" i="23"/>
  <c r="A81" i="35"/>
  <c r="A80" i="35"/>
  <c r="A79" i="35"/>
  <c r="A65" i="28"/>
  <c r="A64" i="28"/>
  <c r="A63" i="28"/>
  <c r="A62" i="28"/>
  <c r="A61" i="28"/>
  <c r="A60" i="28"/>
  <c r="A59" i="28"/>
  <c r="A58" i="28"/>
  <c r="A57" i="28"/>
  <c r="A56" i="28"/>
  <c r="A55" i="28"/>
  <c r="D83" i="35"/>
  <c r="D84" i="35" s="1"/>
  <c r="A83" i="35"/>
  <c r="A90" i="35"/>
  <c r="A89" i="35"/>
  <c r="A88" i="35"/>
  <c r="A87" i="35"/>
  <c r="A86" i="35"/>
  <c r="A85" i="35"/>
  <c r="A84" i="35"/>
  <c r="A82" i="35"/>
  <c r="C138" i="69"/>
  <c r="C137" i="69"/>
  <c r="H12" i="79"/>
  <c r="G12" i="79"/>
  <c r="B12" i="79"/>
  <c r="H13" i="79"/>
  <c r="G13" i="79"/>
  <c r="B13" i="79"/>
  <c r="A92" i="35"/>
  <c r="A93" i="35"/>
  <c r="D93" i="35"/>
  <c r="A96" i="35"/>
  <c r="A95" i="35"/>
  <c r="A94" i="35"/>
  <c r="A91" i="35"/>
  <c r="AL69" i="69"/>
  <c r="C69" i="69"/>
  <c r="B69" i="69"/>
  <c r="AL68" i="69"/>
  <c r="C68" i="69"/>
  <c r="B68" i="69"/>
  <c r="T60" i="38"/>
  <c r="T61" i="38"/>
  <c r="T62" i="38"/>
  <c r="T63" i="38"/>
  <c r="T64" i="38"/>
  <c r="T65" i="38"/>
  <c r="T66" i="38"/>
  <c r="F65" i="71"/>
  <c r="B65" i="71"/>
  <c r="C267" i="1"/>
  <c r="D267" i="1"/>
  <c r="E131" i="38" s="1"/>
  <c r="E267" i="1"/>
  <c r="F131" i="38" s="1"/>
  <c r="F267" i="1"/>
  <c r="G131" i="38" s="1"/>
  <c r="G267" i="1"/>
  <c r="H131" i="38" s="1"/>
  <c r="H267" i="1"/>
  <c r="I131" i="38" s="1"/>
  <c r="I267" i="1"/>
  <c r="J131" i="38" s="1"/>
  <c r="J267" i="1"/>
  <c r="K131" i="38" s="1"/>
  <c r="K267" i="1"/>
  <c r="L131" i="38" s="1"/>
  <c r="L267" i="1"/>
  <c r="M131" i="38" s="1"/>
  <c r="M267" i="1"/>
  <c r="N131" i="38" s="1"/>
  <c r="N267" i="1"/>
  <c r="O131" i="38" s="1"/>
  <c r="C268" i="1"/>
  <c r="D268" i="1"/>
  <c r="E132" i="38" s="1"/>
  <c r="E268" i="1"/>
  <c r="F132" i="38" s="1"/>
  <c r="F268" i="1"/>
  <c r="G132" i="38" s="1"/>
  <c r="G268" i="1"/>
  <c r="H268" i="1"/>
  <c r="I268" i="1"/>
  <c r="J268" i="1"/>
  <c r="K268" i="1"/>
  <c r="L268" i="1"/>
  <c r="M268" i="1"/>
  <c r="N268" i="1"/>
  <c r="C269" i="1"/>
  <c r="D269" i="1"/>
  <c r="E133" i="38" s="1"/>
  <c r="E269" i="1"/>
  <c r="F133" i="38" s="1"/>
  <c r="F269" i="1"/>
  <c r="G133" i="38" s="1"/>
  <c r="G269" i="1"/>
  <c r="H269" i="1"/>
  <c r="I269" i="1"/>
  <c r="J269" i="1"/>
  <c r="K269" i="1"/>
  <c r="L269" i="1"/>
  <c r="M269" i="1"/>
  <c r="N269" i="1"/>
  <c r="C270" i="1"/>
  <c r="D270" i="1"/>
  <c r="E134" i="38" s="1"/>
  <c r="E270" i="1"/>
  <c r="F134" i="38" s="1"/>
  <c r="F270" i="1"/>
  <c r="G134" i="38" s="1"/>
  <c r="G270" i="1"/>
  <c r="H134" i="38" s="1"/>
  <c r="H270" i="1"/>
  <c r="I134" i="38" s="1"/>
  <c r="I270" i="1"/>
  <c r="J134" i="38" s="1"/>
  <c r="J270" i="1"/>
  <c r="K134" i="38" s="1"/>
  <c r="K270" i="1"/>
  <c r="L134" i="38" s="1"/>
  <c r="L270" i="1"/>
  <c r="M134" i="38" s="1"/>
  <c r="M270" i="1"/>
  <c r="N134" i="38" s="1"/>
  <c r="N270" i="1"/>
  <c r="O134" i="38" s="1"/>
  <c r="N266" i="1"/>
  <c r="N265" i="1" s="1"/>
  <c r="N274" i="1" s="1"/>
  <c r="M266" i="1"/>
  <c r="M265" i="1" s="1"/>
  <c r="M274" i="1" s="1"/>
  <c r="L266" i="1"/>
  <c r="L265" i="1" s="1"/>
  <c r="L274" i="1" s="1"/>
  <c r="K266" i="1"/>
  <c r="K265" i="1" s="1"/>
  <c r="K274" i="1" s="1"/>
  <c r="J266" i="1"/>
  <c r="J265" i="1" s="1"/>
  <c r="J274" i="1" s="1"/>
  <c r="I266" i="1"/>
  <c r="I265" i="1" s="1"/>
  <c r="I274" i="1" s="1"/>
  <c r="H266" i="1"/>
  <c r="G266" i="1"/>
  <c r="F266" i="1"/>
  <c r="E266" i="1"/>
  <c r="D266" i="1"/>
  <c r="C266" i="1"/>
  <c r="C257" i="1"/>
  <c r="D257" i="1"/>
  <c r="E121" i="38" s="1"/>
  <c r="E257" i="1"/>
  <c r="F121" i="38" s="1"/>
  <c r="F257" i="1"/>
  <c r="G121" i="38" s="1"/>
  <c r="G257" i="1"/>
  <c r="H121" i="38" s="1"/>
  <c r="H257" i="1"/>
  <c r="I121" i="38" s="1"/>
  <c r="I257" i="1"/>
  <c r="J121" i="38" s="1"/>
  <c r="J257" i="1"/>
  <c r="K121" i="38" s="1"/>
  <c r="K257" i="1"/>
  <c r="L121" i="38" s="1"/>
  <c r="L257" i="1"/>
  <c r="M121" i="38" s="1"/>
  <c r="M257" i="1"/>
  <c r="N121" i="38" s="1"/>
  <c r="N257" i="1"/>
  <c r="O121" i="38" s="1"/>
  <c r="C258" i="1"/>
  <c r="D258" i="1"/>
  <c r="E122" i="38" s="1"/>
  <c r="E258" i="1"/>
  <c r="F122" i="38" s="1"/>
  <c r="F258" i="1"/>
  <c r="G122" i="38" s="1"/>
  <c r="G258" i="1"/>
  <c r="H122" i="38" s="1"/>
  <c r="H258" i="1"/>
  <c r="I122" i="38" s="1"/>
  <c r="I258" i="1"/>
  <c r="J122" i="38" s="1"/>
  <c r="J258" i="1"/>
  <c r="K122" i="38" s="1"/>
  <c r="K258" i="1"/>
  <c r="L122" i="38" s="1"/>
  <c r="L258" i="1"/>
  <c r="M122" i="38" s="1"/>
  <c r="M258" i="1"/>
  <c r="N122" i="38" s="1"/>
  <c r="N258" i="1"/>
  <c r="O122" i="38" s="1"/>
  <c r="C259" i="1"/>
  <c r="D259" i="1"/>
  <c r="E123" i="38" s="1"/>
  <c r="E259" i="1"/>
  <c r="F123" i="38" s="1"/>
  <c r="F259" i="1"/>
  <c r="G123" i="38" s="1"/>
  <c r="G259" i="1"/>
  <c r="H123" i="38" s="1"/>
  <c r="H259" i="1"/>
  <c r="I123" i="38" s="1"/>
  <c r="I259" i="1"/>
  <c r="J123" i="38" s="1"/>
  <c r="J259" i="1"/>
  <c r="K123" i="38" s="1"/>
  <c r="K259" i="1"/>
  <c r="L123" i="38" s="1"/>
  <c r="L259" i="1"/>
  <c r="M123" i="38" s="1"/>
  <c r="M259" i="1"/>
  <c r="N123" i="38" s="1"/>
  <c r="N259" i="1"/>
  <c r="C260" i="1"/>
  <c r="D260" i="1"/>
  <c r="E124" i="38" s="1"/>
  <c r="E260" i="1"/>
  <c r="F124" i="38" s="1"/>
  <c r="F260" i="1"/>
  <c r="G124" i="38" s="1"/>
  <c r="G260" i="1"/>
  <c r="H124" i="38" s="1"/>
  <c r="H260" i="1"/>
  <c r="I124" i="38" s="1"/>
  <c r="I260" i="1"/>
  <c r="J124" i="38" s="1"/>
  <c r="J260" i="1"/>
  <c r="K124" i="38" s="1"/>
  <c r="K260" i="1"/>
  <c r="L124" i="38" s="1"/>
  <c r="L260" i="1"/>
  <c r="M124" i="38" s="1"/>
  <c r="M260" i="1"/>
  <c r="N124" i="38" s="1"/>
  <c r="N260" i="1"/>
  <c r="O124" i="38" s="1"/>
  <c r="C261" i="1"/>
  <c r="D261" i="1"/>
  <c r="E125" i="38" s="1"/>
  <c r="E261" i="1"/>
  <c r="F125" i="38" s="1"/>
  <c r="F261" i="1"/>
  <c r="G125" i="38" s="1"/>
  <c r="G261" i="1"/>
  <c r="H261" i="1"/>
  <c r="I261" i="1"/>
  <c r="J261" i="1"/>
  <c r="K261" i="1"/>
  <c r="L261" i="1"/>
  <c r="M261" i="1"/>
  <c r="N261" i="1"/>
  <c r="C262" i="1"/>
  <c r="D262" i="1"/>
  <c r="E126" i="38" s="1"/>
  <c r="E262" i="1"/>
  <c r="F126" i="38" s="1"/>
  <c r="F262" i="1"/>
  <c r="G126" i="38" s="1"/>
  <c r="G262" i="1"/>
  <c r="H126" i="38" s="1"/>
  <c r="H262" i="1"/>
  <c r="I126" i="38" s="1"/>
  <c r="I262" i="1"/>
  <c r="J126" i="38" s="1"/>
  <c r="J262" i="1"/>
  <c r="K126" i="38" s="1"/>
  <c r="K262" i="1"/>
  <c r="L126" i="38" s="1"/>
  <c r="L262" i="1"/>
  <c r="M126" i="38" s="1"/>
  <c r="M262" i="1"/>
  <c r="N126" i="38" s="1"/>
  <c r="N262" i="1"/>
  <c r="O126" i="38" s="1"/>
  <c r="C263" i="1"/>
  <c r="D263" i="1"/>
  <c r="E127" i="38" s="1"/>
  <c r="E263" i="1"/>
  <c r="F127" i="38" s="1"/>
  <c r="F263" i="1"/>
  <c r="G127" i="38" s="1"/>
  <c r="G263" i="1"/>
  <c r="H127" i="38" s="1"/>
  <c r="H263" i="1"/>
  <c r="I127" i="38" s="1"/>
  <c r="I263" i="1"/>
  <c r="J127" i="38" s="1"/>
  <c r="J263" i="1"/>
  <c r="K127" i="38" s="1"/>
  <c r="K263" i="1"/>
  <c r="L127" i="38" s="1"/>
  <c r="L263" i="1"/>
  <c r="M127" i="38" s="1"/>
  <c r="M263" i="1"/>
  <c r="N127" i="38" s="1"/>
  <c r="N263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A132" i="25"/>
  <c r="A131" i="25"/>
  <c r="A130" i="25"/>
  <c r="A129" i="25"/>
  <c r="A128" i="25"/>
  <c r="A127" i="25"/>
  <c r="A125" i="25"/>
  <c r="A124" i="25"/>
  <c r="A123" i="25"/>
  <c r="A119" i="25"/>
  <c r="A120" i="25"/>
  <c r="A121" i="25"/>
  <c r="A122" i="25"/>
  <c r="A118" i="25"/>
  <c r="N201" i="1"/>
  <c r="M201" i="1"/>
  <c r="L201" i="1"/>
  <c r="K201" i="1"/>
  <c r="J201" i="1"/>
  <c r="I201" i="1"/>
  <c r="H201" i="1"/>
  <c r="G201" i="1"/>
  <c r="H63" i="38" s="1"/>
  <c r="F201" i="1"/>
  <c r="G63" i="38" s="1"/>
  <c r="E201" i="1"/>
  <c r="F63" i="38" s="1"/>
  <c r="D201" i="1"/>
  <c r="E63" i="38" s="1"/>
  <c r="C201" i="1"/>
  <c r="A63" i="25"/>
  <c r="Z63" i="38"/>
  <c r="B63" i="38"/>
  <c r="B51" i="32"/>
  <c r="E62" i="71"/>
  <c r="A14" i="16"/>
  <c r="A66" i="28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A69" i="28"/>
  <c r="A68" i="28"/>
  <c r="A67" i="28"/>
  <c r="C140" i="69"/>
  <c r="C139" i="69"/>
  <c r="B7" i="59" a="1"/>
  <c r="D7" i="59" s="1"/>
  <c r="E132" i="71" s="1"/>
  <c r="C132" i="71"/>
  <c r="X134" i="38"/>
  <c r="Z131" i="38"/>
  <c r="Z132" i="38"/>
  <c r="Z133" i="38"/>
  <c r="Z134" i="38"/>
  <c r="Z130" i="38"/>
  <c r="Z129" i="38"/>
  <c r="C127" i="69"/>
  <c r="C128" i="69"/>
  <c r="C129" i="69"/>
  <c r="C131" i="69"/>
  <c r="C132" i="69"/>
  <c r="C126" i="69"/>
  <c r="F135" i="69"/>
  <c r="G135" i="69"/>
  <c r="H135" i="69"/>
  <c r="I135" i="69"/>
  <c r="J135" i="69"/>
  <c r="K135" i="69"/>
  <c r="L135" i="69"/>
  <c r="M135" i="69"/>
  <c r="N135" i="69"/>
  <c r="O135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AD135" i="69"/>
  <c r="AE135" i="69"/>
  <c r="AF135" i="69"/>
  <c r="AG135" i="69"/>
  <c r="AH135" i="69"/>
  <c r="AI135" i="69"/>
  <c r="AJ135" i="69"/>
  <c r="AK135" i="69"/>
  <c r="AL135" i="69"/>
  <c r="AM135" i="69"/>
  <c r="AN135" i="69"/>
  <c r="AO135" i="69"/>
  <c r="AP135" i="69"/>
  <c r="E125" i="69"/>
  <c r="F125" i="69"/>
  <c r="G125" i="69"/>
  <c r="H125" i="69"/>
  <c r="I125" i="69"/>
  <c r="J125" i="69"/>
  <c r="K125" i="69"/>
  <c r="L125" i="69"/>
  <c r="M125" i="69"/>
  <c r="N125" i="69"/>
  <c r="O125" i="69"/>
  <c r="P125" i="69"/>
  <c r="Q125" i="69"/>
  <c r="R125" i="69"/>
  <c r="S125" i="69"/>
  <c r="T125" i="69"/>
  <c r="U125" i="69"/>
  <c r="V125" i="69"/>
  <c r="W125" i="69"/>
  <c r="X125" i="69"/>
  <c r="X123" i="69" s="1"/>
  <c r="Y125" i="69"/>
  <c r="Z125" i="69"/>
  <c r="AA125" i="69"/>
  <c r="AB125" i="69"/>
  <c r="AC125" i="69"/>
  <c r="AD125" i="69"/>
  <c r="AE125" i="69"/>
  <c r="AF125" i="69"/>
  <c r="AG125" i="69"/>
  <c r="AH125" i="69"/>
  <c r="AI125" i="69"/>
  <c r="AJ125" i="69"/>
  <c r="AK125" i="69"/>
  <c r="AL125" i="69"/>
  <c r="AM125" i="69"/>
  <c r="AN125" i="69"/>
  <c r="AO125" i="69"/>
  <c r="AP125" i="69"/>
  <c r="B140" i="69"/>
  <c r="B139" i="69"/>
  <c r="B138" i="69"/>
  <c r="B137" i="69"/>
  <c r="B136" i="69"/>
  <c r="B135" i="69"/>
  <c r="B127" i="69"/>
  <c r="B128" i="69"/>
  <c r="B129" i="69"/>
  <c r="B130" i="69"/>
  <c r="B131" i="69"/>
  <c r="B132" i="69"/>
  <c r="B133" i="69"/>
  <c r="B134" i="69"/>
  <c r="B126" i="69"/>
  <c r="B125" i="69"/>
  <c r="T132" i="38"/>
  <c r="T133" i="38"/>
  <c r="T121" i="38"/>
  <c r="T122" i="38"/>
  <c r="T124" i="38"/>
  <c r="U124" i="38"/>
  <c r="T125" i="38"/>
  <c r="U125" i="38"/>
  <c r="T126" i="38"/>
  <c r="B136" i="71"/>
  <c r="B135" i="71"/>
  <c r="B134" i="71"/>
  <c r="B133" i="71"/>
  <c r="B132" i="71"/>
  <c r="B131" i="71"/>
  <c r="B123" i="71"/>
  <c r="B124" i="71"/>
  <c r="B125" i="71"/>
  <c r="B126" i="71"/>
  <c r="B127" i="71"/>
  <c r="B128" i="71"/>
  <c r="B129" i="71"/>
  <c r="B122" i="71"/>
  <c r="B121" i="71"/>
  <c r="B134" i="38"/>
  <c r="B133" i="38"/>
  <c r="B132" i="38"/>
  <c r="B131" i="38"/>
  <c r="Z121" i="38"/>
  <c r="Z122" i="38"/>
  <c r="Z123" i="38"/>
  <c r="Z124" i="38"/>
  <c r="Z125" i="38"/>
  <c r="Z126" i="38"/>
  <c r="Z127" i="38"/>
  <c r="Z120" i="38"/>
  <c r="B130" i="38"/>
  <c r="B129" i="38"/>
  <c r="B127" i="38"/>
  <c r="B126" i="38"/>
  <c r="B125" i="38"/>
  <c r="B121" i="38"/>
  <c r="B122" i="38"/>
  <c r="B123" i="38"/>
  <c r="B124" i="38"/>
  <c r="B120" i="38"/>
  <c r="D98" i="35"/>
  <c r="D100" i="35" s="1"/>
  <c r="A98" i="35"/>
  <c r="A99" i="35"/>
  <c r="A101" i="35"/>
  <c r="A100" i="35"/>
  <c r="A97" i="35"/>
  <c r="E75" i="28"/>
  <c r="A74" i="28"/>
  <c r="A76" i="28"/>
  <c r="A75" i="28"/>
  <c r="A73" i="28"/>
  <c r="A72" i="28"/>
  <c r="A71" i="28"/>
  <c r="A70" i="28"/>
  <c r="B99" i="32"/>
  <c r="B100" i="32"/>
  <c r="B101" i="32"/>
  <c r="A15" i="16"/>
  <c r="A16" i="16"/>
  <c r="F118" i="69"/>
  <c r="A106" i="35"/>
  <c r="A105" i="35"/>
  <c r="A104" i="35"/>
  <c r="A103" i="35"/>
  <c r="A102" i="35"/>
  <c r="E29" i="71" a="1"/>
  <c r="E30" i="71" a="1"/>
  <c r="E5" i="38"/>
  <c r="F5" i="38"/>
  <c r="G5" i="38"/>
  <c r="H15" i="79"/>
  <c r="G15" i="79"/>
  <c r="B15" i="79"/>
  <c r="H16" i="79"/>
  <c r="G16" i="79"/>
  <c r="B16" i="79"/>
  <c r="B14" i="79"/>
  <c r="H20" i="79"/>
  <c r="H19" i="79"/>
  <c r="H18" i="79"/>
  <c r="H17" i="79"/>
  <c r="H14" i="79"/>
  <c r="G20" i="79"/>
  <c r="G19" i="79"/>
  <c r="G18" i="79"/>
  <c r="G17" i="79"/>
  <c r="G14" i="79"/>
  <c r="A78" i="28"/>
  <c r="A77" i="28"/>
  <c r="A79" i="28"/>
  <c r="A107" i="35"/>
  <c r="A80" i="28"/>
  <c r="A111" i="35"/>
  <c r="A110" i="35"/>
  <c r="A109" i="35"/>
  <c r="A108" i="35"/>
  <c r="D4" i="21"/>
  <c r="D15" i="21"/>
  <c r="D5" i="77"/>
  <c r="A4" i="77"/>
  <c r="A2" i="77"/>
  <c r="A3" i="77"/>
  <c r="A5" i="75"/>
  <c r="A4" i="75"/>
  <c r="A84" i="28"/>
  <c r="A83" i="28"/>
  <c r="A82" i="28"/>
  <c r="A81" i="28"/>
  <c r="D115" i="35"/>
  <c r="A114" i="35"/>
  <c r="A117" i="35"/>
  <c r="A116" i="35"/>
  <c r="A115" i="35"/>
  <c r="A113" i="35"/>
  <c r="A112" i="35"/>
  <c r="A5" i="77"/>
  <c r="A6" i="75"/>
  <c r="A7" i="75"/>
  <c r="A6" i="77"/>
  <c r="R42" i="25"/>
  <c r="R45" i="25"/>
  <c r="A88" i="28"/>
  <c r="A87" i="28"/>
  <c r="A86" i="28"/>
  <c r="A85" i="28"/>
  <c r="C146" i="1"/>
  <c r="D146" i="1"/>
  <c r="E146" i="1"/>
  <c r="F146" i="1"/>
  <c r="G146" i="1"/>
  <c r="H146" i="1"/>
  <c r="I146" i="1"/>
  <c r="J146" i="1"/>
  <c r="K146" i="1"/>
  <c r="L146" i="1"/>
  <c r="M146" i="1"/>
  <c r="N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A17" i="16"/>
  <c r="A21" i="23"/>
  <c r="D119" i="35"/>
  <c r="A119" i="35"/>
  <c r="D118" i="35"/>
  <c r="D120" i="35" s="1"/>
  <c r="A98" i="28"/>
  <c r="A97" i="28"/>
  <c r="A96" i="28"/>
  <c r="A95" i="28"/>
  <c r="A94" i="28"/>
  <c r="A93" i="28"/>
  <c r="A92" i="28"/>
  <c r="A91" i="28"/>
  <c r="A90" i="28"/>
  <c r="A89" i="28"/>
  <c r="A118" i="35"/>
  <c r="A125" i="35"/>
  <c r="A124" i="35"/>
  <c r="A123" i="35"/>
  <c r="A122" i="35"/>
  <c r="A121" i="35"/>
  <c r="A120" i="35"/>
  <c r="D135" i="35"/>
  <c r="D136" i="35" s="1"/>
  <c r="A135" i="35"/>
  <c r="A138" i="35"/>
  <c r="A137" i="35"/>
  <c r="A136" i="35"/>
  <c r="A134" i="35"/>
  <c r="A133" i="35"/>
  <c r="A132" i="35"/>
  <c r="A131" i="35"/>
  <c r="A130" i="35"/>
  <c r="A129" i="35"/>
  <c r="A128" i="35"/>
  <c r="A127" i="35"/>
  <c r="A126" i="35"/>
  <c r="J122" i="71" a="1"/>
  <c r="C119" i="69"/>
  <c r="A101" i="28"/>
  <c r="A100" i="28"/>
  <c r="A99" i="28"/>
  <c r="D146" i="35"/>
  <c r="D147" i="35" s="1"/>
  <c r="A146" i="35"/>
  <c r="A147" i="35"/>
  <c r="A148" i="35"/>
  <c r="A145" i="35"/>
  <c r="A144" i="35"/>
  <c r="A143" i="35"/>
  <c r="A142" i="35"/>
  <c r="A141" i="35"/>
  <c r="A140" i="35"/>
  <c r="A139" i="35"/>
  <c r="B19" i="79"/>
  <c r="B17" i="79"/>
  <c r="B18" i="79"/>
  <c r="A104" i="28"/>
  <c r="A103" i="28"/>
  <c r="A102" i="28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10" i="28"/>
  <c r="A109" i="28"/>
  <c r="A108" i="28"/>
  <c r="A107" i="28"/>
  <c r="A106" i="28"/>
  <c r="A105" i="28"/>
  <c r="A20" i="16"/>
  <c r="A19" i="16"/>
  <c r="A18" i="16"/>
  <c r="A27" i="23"/>
  <c r="A26" i="23"/>
  <c r="A25" i="23"/>
  <c r="A24" i="23"/>
  <c r="A23" i="23"/>
  <c r="A22" i="23"/>
  <c r="A113" i="28"/>
  <c r="A112" i="28"/>
  <c r="A111" i="28"/>
  <c r="B20" i="79"/>
  <c r="H21" i="79"/>
  <c r="N57" i="1"/>
  <c r="M57" i="1"/>
  <c r="L57" i="1"/>
  <c r="K57" i="1"/>
  <c r="J57" i="1"/>
  <c r="I57" i="1"/>
  <c r="H57" i="1"/>
  <c r="G57" i="1"/>
  <c r="F57" i="1"/>
  <c r="E57" i="1"/>
  <c r="D57" i="1"/>
  <c r="C57" i="1"/>
  <c r="N59" i="1"/>
  <c r="M59" i="1"/>
  <c r="L59" i="1"/>
  <c r="K59" i="1"/>
  <c r="J59" i="1"/>
  <c r="I59" i="1"/>
  <c r="H59" i="1"/>
  <c r="G59" i="1"/>
  <c r="F59" i="1"/>
  <c r="E59" i="1"/>
  <c r="D59" i="1"/>
  <c r="C59" i="1"/>
  <c r="N72" i="1"/>
  <c r="M72" i="1"/>
  <c r="L72" i="1"/>
  <c r="K72" i="1"/>
  <c r="J72" i="1"/>
  <c r="I72" i="1"/>
  <c r="H72" i="1"/>
  <c r="G72" i="1"/>
  <c r="F72" i="1"/>
  <c r="E72" i="1"/>
  <c r="D72" i="1"/>
  <c r="C72" i="1"/>
  <c r="N77" i="1"/>
  <c r="M77" i="1"/>
  <c r="L77" i="1"/>
  <c r="K77" i="1"/>
  <c r="J77" i="1"/>
  <c r="I77" i="1"/>
  <c r="H77" i="1"/>
  <c r="G77" i="1"/>
  <c r="F77" i="1"/>
  <c r="E77" i="1"/>
  <c r="D77" i="1"/>
  <c r="C77" i="1"/>
  <c r="N78" i="1"/>
  <c r="M78" i="1"/>
  <c r="L78" i="1"/>
  <c r="K78" i="1"/>
  <c r="J78" i="1"/>
  <c r="I78" i="1"/>
  <c r="H78" i="1"/>
  <c r="G78" i="1"/>
  <c r="F78" i="1"/>
  <c r="E78" i="1"/>
  <c r="D78" i="1"/>
  <c r="C78" i="1"/>
  <c r="N79" i="1"/>
  <c r="M79" i="1"/>
  <c r="L79" i="1"/>
  <c r="K79" i="1"/>
  <c r="J79" i="1"/>
  <c r="I79" i="1"/>
  <c r="H79" i="1"/>
  <c r="G79" i="1"/>
  <c r="F79" i="1"/>
  <c r="E79" i="1"/>
  <c r="D79" i="1"/>
  <c r="C79" i="1"/>
  <c r="C64" i="1"/>
  <c r="D64" i="1"/>
  <c r="E64" i="1"/>
  <c r="F64" i="1"/>
  <c r="G64" i="1"/>
  <c r="H64" i="1"/>
  <c r="I64" i="1"/>
  <c r="J64" i="1"/>
  <c r="K64" i="1"/>
  <c r="L64" i="1"/>
  <c r="M64" i="1"/>
  <c r="N64" i="1"/>
  <c r="C65" i="1"/>
  <c r="D65" i="1"/>
  <c r="E65" i="1"/>
  <c r="F65" i="1"/>
  <c r="G65" i="1"/>
  <c r="H65" i="1"/>
  <c r="I65" i="1"/>
  <c r="J65" i="1"/>
  <c r="K65" i="1"/>
  <c r="L65" i="1"/>
  <c r="M65" i="1"/>
  <c r="N65" i="1"/>
  <c r="C66" i="1"/>
  <c r="D66" i="1"/>
  <c r="E66" i="1"/>
  <c r="F66" i="1"/>
  <c r="G66" i="1"/>
  <c r="H66" i="1"/>
  <c r="I66" i="1"/>
  <c r="J66" i="1"/>
  <c r="K66" i="1"/>
  <c r="L66" i="1"/>
  <c r="M66" i="1"/>
  <c r="N66" i="1"/>
  <c r="C67" i="1"/>
  <c r="D67" i="1"/>
  <c r="E67" i="1"/>
  <c r="F67" i="1"/>
  <c r="G67" i="1"/>
  <c r="H67" i="1"/>
  <c r="I67" i="1"/>
  <c r="J67" i="1"/>
  <c r="K67" i="1"/>
  <c r="L67" i="1"/>
  <c r="M67" i="1"/>
  <c r="N67" i="1"/>
  <c r="C68" i="1"/>
  <c r="D68" i="1"/>
  <c r="E68" i="1"/>
  <c r="F68" i="1"/>
  <c r="G68" i="1"/>
  <c r="H68" i="1"/>
  <c r="I68" i="1"/>
  <c r="J68" i="1"/>
  <c r="K68" i="1"/>
  <c r="L68" i="1"/>
  <c r="M68" i="1"/>
  <c r="N68" i="1"/>
  <c r="C69" i="1"/>
  <c r="D69" i="1"/>
  <c r="E69" i="1"/>
  <c r="F69" i="1"/>
  <c r="G69" i="1"/>
  <c r="H69" i="1"/>
  <c r="I69" i="1"/>
  <c r="J69" i="1"/>
  <c r="K69" i="1"/>
  <c r="L69" i="1"/>
  <c r="M69" i="1"/>
  <c r="N69" i="1"/>
  <c r="C70" i="1"/>
  <c r="D70" i="1"/>
  <c r="E70" i="1"/>
  <c r="F70" i="1"/>
  <c r="G70" i="1"/>
  <c r="H70" i="1"/>
  <c r="I70" i="1"/>
  <c r="J70" i="1"/>
  <c r="K70" i="1"/>
  <c r="L70" i="1"/>
  <c r="M70" i="1"/>
  <c r="N70" i="1"/>
  <c r="C71" i="1"/>
  <c r="D71" i="1"/>
  <c r="E71" i="1"/>
  <c r="F71" i="1"/>
  <c r="G71" i="1"/>
  <c r="H71" i="1"/>
  <c r="I71" i="1"/>
  <c r="J71" i="1"/>
  <c r="K71" i="1"/>
  <c r="L71" i="1"/>
  <c r="M71" i="1"/>
  <c r="N71" i="1"/>
  <c r="C73" i="1"/>
  <c r="D73" i="1"/>
  <c r="E73" i="1"/>
  <c r="F73" i="1"/>
  <c r="G73" i="1"/>
  <c r="H73" i="1"/>
  <c r="I73" i="1"/>
  <c r="J73" i="1"/>
  <c r="K73" i="1"/>
  <c r="L73" i="1"/>
  <c r="M73" i="1"/>
  <c r="N73" i="1"/>
  <c r="N63" i="1"/>
  <c r="M63" i="1"/>
  <c r="L63" i="1"/>
  <c r="K63" i="1"/>
  <c r="J63" i="1"/>
  <c r="I63" i="1"/>
  <c r="H63" i="1"/>
  <c r="G63" i="1"/>
  <c r="F63" i="1"/>
  <c r="E63" i="1"/>
  <c r="D63" i="1"/>
  <c r="C63" i="1"/>
  <c r="N253" i="1"/>
  <c r="M253" i="1"/>
  <c r="L253" i="1"/>
  <c r="K253" i="1"/>
  <c r="J253" i="1"/>
  <c r="I253" i="1"/>
  <c r="H253" i="1"/>
  <c r="G253" i="1"/>
  <c r="F253" i="1"/>
  <c r="E253" i="1"/>
  <c r="D253" i="1"/>
  <c r="C253" i="1"/>
  <c r="N252" i="1"/>
  <c r="M252" i="1"/>
  <c r="L252" i="1"/>
  <c r="K252" i="1"/>
  <c r="J252" i="1"/>
  <c r="I252" i="1"/>
  <c r="H252" i="1"/>
  <c r="G252" i="1"/>
  <c r="F252" i="1"/>
  <c r="E252" i="1"/>
  <c r="D252" i="1"/>
  <c r="C252" i="1"/>
  <c r="N251" i="1"/>
  <c r="M251" i="1"/>
  <c r="L251" i="1"/>
  <c r="K251" i="1"/>
  <c r="J251" i="1"/>
  <c r="I251" i="1"/>
  <c r="H251" i="1"/>
  <c r="G251" i="1"/>
  <c r="F251" i="1"/>
  <c r="E251" i="1"/>
  <c r="D251" i="1"/>
  <c r="C251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N249" i="1"/>
  <c r="M249" i="1"/>
  <c r="L249" i="1"/>
  <c r="K249" i="1"/>
  <c r="J249" i="1"/>
  <c r="I249" i="1"/>
  <c r="H249" i="1"/>
  <c r="G249" i="1"/>
  <c r="F249" i="1"/>
  <c r="E249" i="1"/>
  <c r="D249" i="1"/>
  <c r="C249" i="1"/>
  <c r="N248" i="1"/>
  <c r="M248" i="1"/>
  <c r="L248" i="1"/>
  <c r="K248" i="1"/>
  <c r="J248" i="1"/>
  <c r="I248" i="1"/>
  <c r="H248" i="1"/>
  <c r="G248" i="1"/>
  <c r="F248" i="1"/>
  <c r="E248" i="1"/>
  <c r="D248" i="1"/>
  <c r="C248" i="1"/>
  <c r="N247" i="1"/>
  <c r="M247" i="1"/>
  <c r="L247" i="1"/>
  <c r="K247" i="1"/>
  <c r="J247" i="1"/>
  <c r="I247" i="1"/>
  <c r="H247" i="1"/>
  <c r="G247" i="1"/>
  <c r="F247" i="1"/>
  <c r="E247" i="1"/>
  <c r="D247" i="1"/>
  <c r="C247" i="1"/>
  <c r="N244" i="1"/>
  <c r="M244" i="1"/>
  <c r="L244" i="1"/>
  <c r="K244" i="1"/>
  <c r="J244" i="1"/>
  <c r="I244" i="1"/>
  <c r="H244" i="1"/>
  <c r="G244" i="1"/>
  <c r="F244" i="1"/>
  <c r="E244" i="1"/>
  <c r="D244" i="1"/>
  <c r="C244" i="1"/>
  <c r="N243" i="1"/>
  <c r="M243" i="1"/>
  <c r="L243" i="1"/>
  <c r="K243" i="1"/>
  <c r="J243" i="1"/>
  <c r="I243" i="1"/>
  <c r="H243" i="1"/>
  <c r="G243" i="1"/>
  <c r="F243" i="1"/>
  <c r="E243" i="1"/>
  <c r="D243" i="1"/>
  <c r="C243" i="1"/>
  <c r="N242" i="1"/>
  <c r="M242" i="1"/>
  <c r="L242" i="1"/>
  <c r="K242" i="1"/>
  <c r="J242" i="1"/>
  <c r="I242" i="1"/>
  <c r="H242" i="1"/>
  <c r="G242" i="1"/>
  <c r="F242" i="1"/>
  <c r="E242" i="1"/>
  <c r="D242" i="1"/>
  <c r="C242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N238" i="1"/>
  <c r="M238" i="1"/>
  <c r="L238" i="1"/>
  <c r="K238" i="1"/>
  <c r="J238" i="1"/>
  <c r="I238" i="1"/>
  <c r="H238" i="1"/>
  <c r="G238" i="1"/>
  <c r="F238" i="1"/>
  <c r="E238" i="1"/>
  <c r="D238" i="1"/>
  <c r="C238" i="1"/>
  <c r="N237" i="1"/>
  <c r="M237" i="1"/>
  <c r="L237" i="1"/>
  <c r="K237" i="1"/>
  <c r="J237" i="1"/>
  <c r="I237" i="1"/>
  <c r="H237" i="1"/>
  <c r="G237" i="1"/>
  <c r="F237" i="1"/>
  <c r="E237" i="1"/>
  <c r="D237" i="1"/>
  <c r="C237" i="1"/>
  <c r="N234" i="1"/>
  <c r="M234" i="1"/>
  <c r="L234" i="1"/>
  <c r="K234" i="1"/>
  <c r="J234" i="1"/>
  <c r="I234" i="1"/>
  <c r="H234" i="1"/>
  <c r="G234" i="1"/>
  <c r="F234" i="1"/>
  <c r="E234" i="1"/>
  <c r="D234" i="1"/>
  <c r="C234" i="1"/>
  <c r="N233" i="1"/>
  <c r="M233" i="1"/>
  <c r="L233" i="1"/>
  <c r="K233" i="1"/>
  <c r="J233" i="1"/>
  <c r="I233" i="1"/>
  <c r="H233" i="1"/>
  <c r="G233" i="1"/>
  <c r="F233" i="1"/>
  <c r="E233" i="1"/>
  <c r="D233" i="1"/>
  <c r="C233" i="1"/>
  <c r="N232" i="1"/>
  <c r="M232" i="1"/>
  <c r="L232" i="1"/>
  <c r="K232" i="1"/>
  <c r="J232" i="1"/>
  <c r="I232" i="1"/>
  <c r="H232" i="1"/>
  <c r="G232" i="1"/>
  <c r="F232" i="1"/>
  <c r="E232" i="1"/>
  <c r="D232" i="1"/>
  <c r="C232" i="1"/>
  <c r="N229" i="1"/>
  <c r="M229" i="1"/>
  <c r="L229" i="1"/>
  <c r="K229" i="1"/>
  <c r="J229" i="1"/>
  <c r="I229" i="1"/>
  <c r="H229" i="1"/>
  <c r="G229" i="1"/>
  <c r="F229" i="1"/>
  <c r="E229" i="1"/>
  <c r="D229" i="1"/>
  <c r="C229" i="1"/>
  <c r="N228" i="1"/>
  <c r="M228" i="1"/>
  <c r="L228" i="1"/>
  <c r="K228" i="1"/>
  <c r="J228" i="1"/>
  <c r="I228" i="1"/>
  <c r="H228" i="1"/>
  <c r="G228" i="1"/>
  <c r="F228" i="1"/>
  <c r="E228" i="1"/>
  <c r="D228" i="1"/>
  <c r="C228" i="1"/>
  <c r="N227" i="1"/>
  <c r="M227" i="1"/>
  <c r="L227" i="1"/>
  <c r="K227" i="1"/>
  <c r="J227" i="1"/>
  <c r="I227" i="1"/>
  <c r="H227" i="1"/>
  <c r="G227" i="1"/>
  <c r="F227" i="1"/>
  <c r="E227" i="1"/>
  <c r="D227" i="1"/>
  <c r="C227" i="1"/>
  <c r="N226" i="1"/>
  <c r="M226" i="1"/>
  <c r="L226" i="1"/>
  <c r="K226" i="1"/>
  <c r="J226" i="1"/>
  <c r="I226" i="1"/>
  <c r="H226" i="1"/>
  <c r="G226" i="1"/>
  <c r="F226" i="1"/>
  <c r="E226" i="1"/>
  <c r="D226" i="1"/>
  <c r="C226" i="1"/>
  <c r="B1" i="79" a="1"/>
  <c r="N223" i="1"/>
  <c r="M223" i="1"/>
  <c r="L223" i="1"/>
  <c r="K223" i="1"/>
  <c r="J223" i="1"/>
  <c r="I223" i="1"/>
  <c r="H223" i="1"/>
  <c r="G223" i="1"/>
  <c r="F223" i="1"/>
  <c r="E223" i="1"/>
  <c r="D223" i="1"/>
  <c r="C223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N221" i="1"/>
  <c r="M221" i="1"/>
  <c r="L221" i="1"/>
  <c r="K221" i="1"/>
  <c r="J221" i="1"/>
  <c r="I221" i="1"/>
  <c r="H221" i="1"/>
  <c r="G221" i="1"/>
  <c r="F221" i="1"/>
  <c r="E221" i="1"/>
  <c r="D221" i="1"/>
  <c r="C221" i="1"/>
  <c r="N220" i="1"/>
  <c r="M220" i="1"/>
  <c r="L220" i="1"/>
  <c r="K220" i="1"/>
  <c r="J220" i="1"/>
  <c r="I220" i="1"/>
  <c r="H220" i="1"/>
  <c r="G220" i="1"/>
  <c r="F220" i="1"/>
  <c r="E220" i="1"/>
  <c r="D220" i="1"/>
  <c r="C220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N216" i="1"/>
  <c r="M216" i="1"/>
  <c r="L216" i="1"/>
  <c r="K216" i="1"/>
  <c r="J216" i="1"/>
  <c r="I216" i="1"/>
  <c r="H216" i="1"/>
  <c r="G216" i="1"/>
  <c r="F216" i="1"/>
  <c r="E216" i="1"/>
  <c r="D216" i="1"/>
  <c r="C216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O118" i="1" s="1"/>
  <c r="N115" i="1"/>
  <c r="O43" i="38" s="1"/>
  <c r="M115" i="1"/>
  <c r="N43" i="38" s="1"/>
  <c r="L115" i="1"/>
  <c r="M43" i="38" s="1"/>
  <c r="K115" i="1"/>
  <c r="J115" i="1"/>
  <c r="I115" i="1"/>
  <c r="H115" i="1"/>
  <c r="G115" i="1"/>
  <c r="F115" i="1"/>
  <c r="E115" i="1"/>
  <c r="D115" i="1"/>
  <c r="C115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N99" i="1"/>
  <c r="M99" i="1"/>
  <c r="L99" i="1"/>
  <c r="K99" i="1"/>
  <c r="J99" i="1"/>
  <c r="I99" i="1"/>
  <c r="H99" i="1"/>
  <c r="G99" i="1"/>
  <c r="F99" i="1"/>
  <c r="E99" i="1"/>
  <c r="D99" i="1"/>
  <c r="C99" i="1"/>
  <c r="N98" i="1"/>
  <c r="M98" i="1"/>
  <c r="L98" i="1"/>
  <c r="K98" i="1"/>
  <c r="J98" i="1"/>
  <c r="I98" i="1"/>
  <c r="H98" i="1"/>
  <c r="G98" i="1"/>
  <c r="F98" i="1"/>
  <c r="E98" i="1"/>
  <c r="D98" i="1"/>
  <c r="C98" i="1"/>
  <c r="N97" i="1"/>
  <c r="M97" i="1"/>
  <c r="L97" i="1"/>
  <c r="K97" i="1"/>
  <c r="J97" i="1"/>
  <c r="I97" i="1"/>
  <c r="H97" i="1"/>
  <c r="G97" i="1"/>
  <c r="F97" i="1"/>
  <c r="E97" i="1"/>
  <c r="D97" i="1"/>
  <c r="C97" i="1"/>
  <c r="N96" i="1"/>
  <c r="M96" i="1"/>
  <c r="L96" i="1"/>
  <c r="K96" i="1"/>
  <c r="J96" i="1"/>
  <c r="I96" i="1"/>
  <c r="H96" i="1"/>
  <c r="G96" i="1"/>
  <c r="F96" i="1"/>
  <c r="E96" i="1"/>
  <c r="D96" i="1"/>
  <c r="C96" i="1"/>
  <c r="N95" i="1"/>
  <c r="M95" i="1"/>
  <c r="L95" i="1"/>
  <c r="K95" i="1"/>
  <c r="J95" i="1"/>
  <c r="I95" i="1"/>
  <c r="H95" i="1"/>
  <c r="G95" i="1"/>
  <c r="F95" i="1"/>
  <c r="E95" i="1"/>
  <c r="D95" i="1"/>
  <c r="C95" i="1"/>
  <c r="N94" i="1"/>
  <c r="M94" i="1"/>
  <c r="L94" i="1"/>
  <c r="K94" i="1"/>
  <c r="J94" i="1"/>
  <c r="I94" i="1"/>
  <c r="H94" i="1"/>
  <c r="G94" i="1"/>
  <c r="F94" i="1"/>
  <c r="E94" i="1"/>
  <c r="D94" i="1"/>
  <c r="C94" i="1"/>
  <c r="N93" i="1"/>
  <c r="M93" i="1"/>
  <c r="L93" i="1"/>
  <c r="K93" i="1"/>
  <c r="J93" i="1"/>
  <c r="I93" i="1"/>
  <c r="H93" i="1"/>
  <c r="G93" i="1"/>
  <c r="F93" i="1"/>
  <c r="E93" i="1"/>
  <c r="D93" i="1"/>
  <c r="C93" i="1"/>
  <c r="N90" i="1"/>
  <c r="M90" i="1"/>
  <c r="L90" i="1"/>
  <c r="K90" i="1"/>
  <c r="J90" i="1"/>
  <c r="I90" i="1"/>
  <c r="H90" i="1"/>
  <c r="G90" i="1"/>
  <c r="F90" i="1"/>
  <c r="E90" i="1"/>
  <c r="D90" i="1"/>
  <c r="C90" i="1"/>
  <c r="N89" i="1"/>
  <c r="M89" i="1"/>
  <c r="L89" i="1"/>
  <c r="K89" i="1"/>
  <c r="J89" i="1"/>
  <c r="I89" i="1"/>
  <c r="H89" i="1"/>
  <c r="G89" i="1"/>
  <c r="F89" i="1"/>
  <c r="E89" i="1"/>
  <c r="D89" i="1"/>
  <c r="C89" i="1"/>
  <c r="N88" i="1"/>
  <c r="M88" i="1"/>
  <c r="L88" i="1"/>
  <c r="K88" i="1"/>
  <c r="J88" i="1"/>
  <c r="I88" i="1"/>
  <c r="H88" i="1"/>
  <c r="G88" i="1"/>
  <c r="F88" i="1"/>
  <c r="E88" i="1"/>
  <c r="D88" i="1"/>
  <c r="C88" i="1"/>
  <c r="N87" i="1"/>
  <c r="M87" i="1"/>
  <c r="L87" i="1"/>
  <c r="K87" i="1"/>
  <c r="J87" i="1"/>
  <c r="I87" i="1"/>
  <c r="H87" i="1"/>
  <c r="G87" i="1"/>
  <c r="F87" i="1"/>
  <c r="E87" i="1"/>
  <c r="D87" i="1"/>
  <c r="C87" i="1"/>
  <c r="N86" i="1"/>
  <c r="M86" i="1"/>
  <c r="L86" i="1"/>
  <c r="K86" i="1"/>
  <c r="J86" i="1"/>
  <c r="I86" i="1"/>
  <c r="H86" i="1"/>
  <c r="G86" i="1"/>
  <c r="F86" i="1"/>
  <c r="E86" i="1"/>
  <c r="D86" i="1"/>
  <c r="C86" i="1"/>
  <c r="N85" i="1"/>
  <c r="M85" i="1"/>
  <c r="L85" i="1"/>
  <c r="K85" i="1"/>
  <c r="J85" i="1"/>
  <c r="I85" i="1"/>
  <c r="H85" i="1"/>
  <c r="G85" i="1"/>
  <c r="F85" i="1"/>
  <c r="E85" i="1"/>
  <c r="D85" i="1"/>
  <c r="C85" i="1"/>
  <c r="N84" i="1"/>
  <c r="M84" i="1"/>
  <c r="L84" i="1"/>
  <c r="K84" i="1"/>
  <c r="J84" i="1"/>
  <c r="I84" i="1"/>
  <c r="H84" i="1"/>
  <c r="G84" i="1"/>
  <c r="F84" i="1"/>
  <c r="E84" i="1"/>
  <c r="D84" i="1"/>
  <c r="C84" i="1"/>
  <c r="N33" i="1"/>
  <c r="M33" i="1"/>
  <c r="L33" i="1"/>
  <c r="K33" i="1"/>
  <c r="J33" i="1"/>
  <c r="I33" i="1"/>
  <c r="H33" i="1"/>
  <c r="G33" i="1"/>
  <c r="F33" i="1"/>
  <c r="E33" i="1"/>
  <c r="D33" i="1"/>
  <c r="C33" i="1"/>
  <c r="O32" i="1" s="1"/>
  <c r="N31" i="1"/>
  <c r="M31" i="1"/>
  <c r="L31" i="1"/>
  <c r="K31" i="1"/>
  <c r="J31" i="1"/>
  <c r="I31" i="1"/>
  <c r="H31" i="1"/>
  <c r="G31" i="1"/>
  <c r="F31" i="1"/>
  <c r="E31" i="1"/>
  <c r="D31" i="1"/>
  <c r="C31" i="1"/>
  <c r="O31" i="1" s="1"/>
  <c r="E21" i="79"/>
  <c r="B21" i="79"/>
  <c r="A9" i="75"/>
  <c r="C172" i="69" a="1"/>
  <c r="N22" i="1"/>
  <c r="M22" i="1"/>
  <c r="L22" i="1"/>
  <c r="K22" i="1"/>
  <c r="J22" i="1"/>
  <c r="I22" i="1"/>
  <c r="H22" i="1"/>
  <c r="G22" i="1"/>
  <c r="F22" i="1"/>
  <c r="E22" i="1"/>
  <c r="D22" i="1"/>
  <c r="C22" i="1"/>
  <c r="O22" i="1" s="1"/>
  <c r="N21" i="1"/>
  <c r="M21" i="1"/>
  <c r="L21" i="1"/>
  <c r="K21" i="1"/>
  <c r="J21" i="1"/>
  <c r="I21" i="1"/>
  <c r="H21" i="1"/>
  <c r="G21" i="1"/>
  <c r="F21" i="1"/>
  <c r="E21" i="1"/>
  <c r="D21" i="1"/>
  <c r="C21" i="1"/>
  <c r="O21" i="1" s="1"/>
  <c r="A7" i="77"/>
  <c r="D168" i="35"/>
  <c r="D167" i="35"/>
  <c r="D166" i="35"/>
  <c r="A166" i="35"/>
  <c r="A167" i="35"/>
  <c r="A168" i="35"/>
  <c r="A171" i="35"/>
  <c r="A170" i="35"/>
  <c r="A169" i="35"/>
  <c r="A165" i="35"/>
  <c r="A164" i="35"/>
  <c r="A163" i="35"/>
  <c r="E121" i="28"/>
  <c r="A120" i="28"/>
  <c r="A126" i="28"/>
  <c r="A125" i="28"/>
  <c r="A124" i="28"/>
  <c r="A123" i="28"/>
  <c r="A122" i="28"/>
  <c r="A121" i="28"/>
  <c r="A119" i="28"/>
  <c r="A118" i="28"/>
  <c r="A117" i="28"/>
  <c r="A116" i="28"/>
  <c r="A115" i="28"/>
  <c r="A114" i="28"/>
  <c r="A21" i="16"/>
  <c r="A28" i="23"/>
  <c r="A29" i="23"/>
  <c r="A8" i="75"/>
  <c r="A174" i="35"/>
  <c r="A173" i="35"/>
  <c r="A172" i="35"/>
  <c r="A127" i="28"/>
  <c r="D180" i="35"/>
  <c r="A180" i="35"/>
  <c r="D181" i="35"/>
  <c r="D182" i="35" s="1"/>
  <c r="A181" i="35"/>
  <c r="A183" i="35"/>
  <c r="A182" i="35"/>
  <c r="A179" i="35"/>
  <c r="A178" i="35"/>
  <c r="A177" i="35"/>
  <c r="A176" i="35"/>
  <c r="A175" i="35"/>
  <c r="A2" i="63"/>
  <c r="A3" i="63"/>
  <c r="A4" i="63"/>
  <c r="A22" i="16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135" i="28"/>
  <c r="A134" i="28"/>
  <c r="A133" i="28"/>
  <c r="A132" i="28"/>
  <c r="A131" i="28"/>
  <c r="A130" i="28"/>
  <c r="A129" i="28"/>
  <c r="A128" i="28"/>
  <c r="A187" i="35"/>
  <c r="A186" i="35"/>
  <c r="A185" i="35"/>
  <c r="A184" i="35"/>
  <c r="A46" i="23"/>
  <c r="A136" i="28"/>
  <c r="A192" i="35"/>
  <c r="A191" i="35"/>
  <c r="A190" i="35"/>
  <c r="A189" i="35"/>
  <c r="A188" i="35"/>
  <c r="A142" i="28"/>
  <c r="A141" i="28"/>
  <c r="A140" i="28"/>
  <c r="A139" i="28"/>
  <c r="A138" i="28"/>
  <c r="A137" i="28"/>
  <c r="E6" i="21"/>
  <c r="F6" i="21"/>
  <c r="G6" i="21"/>
  <c r="H6" i="21"/>
  <c r="I6" i="21"/>
  <c r="J6" i="21"/>
  <c r="K6" i="21"/>
  <c r="M6" i="21"/>
  <c r="N6" i="21"/>
  <c r="O6" i="21"/>
  <c r="P6" i="21"/>
  <c r="Q6" i="21"/>
  <c r="L6" i="21"/>
  <c r="AM69" i="69"/>
  <c r="AN69" i="69" s="1"/>
  <c r="AO69" i="69" s="1"/>
  <c r="AP69" i="69" s="1"/>
  <c r="D69" i="69"/>
  <c r="E69" i="69" s="1"/>
  <c r="F69" i="69" s="1"/>
  <c r="G69" i="69" s="1"/>
  <c r="H69" i="69" s="1"/>
  <c r="I69" i="69" s="1"/>
  <c r="J69" i="69" s="1"/>
  <c r="K69" i="69" s="1"/>
  <c r="L69" i="69" s="1"/>
  <c r="M69" i="69" s="1"/>
  <c r="N69" i="69" s="1"/>
  <c r="O69" i="69" s="1"/>
  <c r="P69" i="69" s="1"/>
  <c r="Q69" i="69" s="1"/>
  <c r="R69" i="69" s="1"/>
  <c r="S69" i="69" s="1"/>
  <c r="T69" i="69" s="1"/>
  <c r="U69" i="69" s="1"/>
  <c r="V69" i="69" s="1"/>
  <c r="W69" i="69" s="1"/>
  <c r="X69" i="69" s="1"/>
  <c r="Y69" i="69" s="1"/>
  <c r="Z69" i="69" s="1"/>
  <c r="AA69" i="69" s="1"/>
  <c r="AB69" i="69" s="1"/>
  <c r="AC69" i="69" s="1"/>
  <c r="AD69" i="69" s="1"/>
  <c r="AE69" i="69" s="1"/>
  <c r="AF69" i="69" s="1"/>
  <c r="AG69" i="69" s="1"/>
  <c r="AH69" i="69" s="1"/>
  <c r="AI69" i="69" s="1"/>
  <c r="AJ69" i="69" s="1"/>
  <c r="AM68" i="69"/>
  <c r="AN68" i="69" s="1"/>
  <c r="AO68" i="69" s="1"/>
  <c r="AP68" i="69" s="1"/>
  <c r="D68" i="69"/>
  <c r="E68" i="69" s="1"/>
  <c r="F68" i="69" s="1"/>
  <c r="G68" i="69" s="1"/>
  <c r="U62" i="38"/>
  <c r="U63" i="38"/>
  <c r="U65" i="38"/>
  <c r="U66" i="38"/>
  <c r="U60" i="38"/>
  <c r="U61" i="38"/>
  <c r="U64" i="38"/>
  <c r="U133" i="38"/>
  <c r="U126" i="38"/>
  <c r="T130" i="38"/>
  <c r="X132" i="38"/>
  <c r="X133" i="38"/>
  <c r="U132" i="38"/>
  <c r="U122" i="38"/>
  <c r="U121" i="38"/>
  <c r="G21" i="79"/>
  <c r="D195" i="35"/>
  <c r="D196" i="35" s="1"/>
  <c r="A195" i="35"/>
  <c r="A205" i="35"/>
  <c r="A204" i="35"/>
  <c r="A203" i="35"/>
  <c r="A202" i="35"/>
  <c r="A201" i="35"/>
  <c r="A200" i="35"/>
  <c r="A199" i="35"/>
  <c r="A198" i="35"/>
  <c r="A197" i="35"/>
  <c r="A196" i="35"/>
  <c r="A194" i="35"/>
  <c r="A193" i="35"/>
  <c r="A47" i="23"/>
  <c r="A48" i="23"/>
  <c r="A49" i="23"/>
  <c r="A50" i="23"/>
  <c r="A10" i="75"/>
  <c r="A11" i="75"/>
  <c r="A23" i="16"/>
  <c r="A24" i="16"/>
  <c r="A25" i="16"/>
  <c r="A26" i="16"/>
  <c r="A27" i="16"/>
  <c r="A150" i="28"/>
  <c r="A149" i="28"/>
  <c r="A148" i="28"/>
  <c r="A147" i="28"/>
  <c r="A146" i="28"/>
  <c r="A145" i="28"/>
  <c r="A144" i="28"/>
  <c r="A143" i="28"/>
  <c r="A213" i="35"/>
  <c r="A212" i="35"/>
  <c r="A211" i="35"/>
  <c r="A210" i="35"/>
  <c r="A209" i="35"/>
  <c r="A208" i="35"/>
  <c r="A207" i="35"/>
  <c r="A206" i="35"/>
  <c r="A217" i="35"/>
  <c r="D216" i="35"/>
  <c r="D218" i="35" s="1"/>
  <c r="A216" i="35"/>
  <c r="D222" i="35"/>
  <c r="A221" i="35"/>
  <c r="A223" i="35"/>
  <c r="A222" i="35"/>
  <c r="A220" i="35"/>
  <c r="A219" i="35"/>
  <c r="A218" i="35"/>
  <c r="A215" i="35"/>
  <c r="A214" i="35"/>
  <c r="A153" i="28"/>
  <c r="A152" i="28"/>
  <c r="A151" i="28"/>
  <c r="A154" i="28"/>
  <c r="A12" i="75"/>
  <c r="A28" i="16"/>
  <c r="A29" i="16"/>
  <c r="A30" i="16"/>
  <c r="A31" i="16"/>
  <c r="A55" i="23"/>
  <c r="A54" i="23"/>
  <c r="A53" i="23"/>
  <c r="A52" i="23"/>
  <c r="A51" i="23"/>
  <c r="E166" i="28"/>
  <c r="A165" i="28"/>
  <c r="A170" i="28"/>
  <c r="A169" i="28"/>
  <c r="A168" i="28"/>
  <c r="A167" i="28"/>
  <c r="A166" i="28"/>
  <c r="A164" i="28"/>
  <c r="A163" i="28"/>
  <c r="A162" i="28"/>
  <c r="A161" i="28"/>
  <c r="A160" i="28"/>
  <c r="A159" i="28"/>
  <c r="A158" i="28"/>
  <c r="A157" i="28"/>
  <c r="A156" i="28"/>
  <c r="A155" i="28"/>
  <c r="D246" i="35"/>
  <c r="D247" i="35" s="1"/>
  <c r="A246" i="35"/>
  <c r="D241" i="35"/>
  <c r="D242" i="35" s="1"/>
  <c r="A241" i="35"/>
  <c r="D230" i="35"/>
  <c r="A229" i="35"/>
  <c r="A254" i="35"/>
  <c r="A253" i="35"/>
  <c r="A252" i="35"/>
  <c r="A251" i="35"/>
  <c r="A250" i="35"/>
  <c r="A249" i="35"/>
  <c r="A248" i="35"/>
  <c r="A247" i="35"/>
  <c r="A245" i="35"/>
  <c r="A244" i="35"/>
  <c r="A243" i="35"/>
  <c r="A242" i="35"/>
  <c r="A240" i="35"/>
  <c r="A239" i="35"/>
  <c r="A238" i="35"/>
  <c r="A237" i="35"/>
  <c r="A236" i="35"/>
  <c r="A235" i="35"/>
  <c r="A234" i="35"/>
  <c r="A233" i="35"/>
  <c r="A232" i="35"/>
  <c r="A231" i="35"/>
  <c r="A230" i="35"/>
  <c r="A228" i="35"/>
  <c r="A227" i="35"/>
  <c r="A226" i="35"/>
  <c r="A225" i="35"/>
  <c r="A224" i="35"/>
  <c r="I26" i="1"/>
  <c r="L26" i="1"/>
  <c r="D27" i="1"/>
  <c r="M26" i="1"/>
  <c r="J26" i="1"/>
  <c r="E26" i="1"/>
  <c r="N27" i="1"/>
  <c r="E27" i="1"/>
  <c r="H26" i="1"/>
  <c r="K26" i="1"/>
  <c r="I27" i="1"/>
  <c r="N26" i="1"/>
  <c r="L27" i="1"/>
  <c r="D26" i="1"/>
  <c r="F26" i="1"/>
  <c r="M27" i="1"/>
  <c r="J27" i="1"/>
  <c r="G27" i="1"/>
  <c r="C26" i="1"/>
  <c r="O26" i="1" s="1"/>
  <c r="C27" i="1"/>
  <c r="H27" i="1"/>
  <c r="G26" i="1"/>
  <c r="F27" i="1"/>
  <c r="K27" i="1"/>
  <c r="P23" i="1" l="1"/>
  <c r="F75" i="23"/>
  <c r="R46" i="74"/>
  <c r="O24" i="74"/>
  <c r="P24" i="74"/>
  <c r="P23" i="74"/>
  <c r="O23" i="74"/>
  <c r="P22" i="74"/>
  <c r="O22" i="74"/>
  <c r="P21" i="74"/>
  <c r="O21" i="74"/>
  <c r="P20" i="74"/>
  <c r="O20" i="74"/>
  <c r="P19" i="74"/>
  <c r="O19" i="74"/>
  <c r="P18" i="74"/>
  <c r="O18" i="74"/>
  <c r="P17" i="74"/>
  <c r="O17" i="74"/>
  <c r="O16" i="74"/>
  <c r="P16" i="74"/>
  <c r="P15" i="74"/>
  <c r="O15" i="74"/>
  <c r="P14" i="74"/>
  <c r="O14" i="74"/>
  <c r="P13" i="74"/>
  <c r="O13" i="74"/>
  <c r="P12" i="74"/>
  <c r="O12" i="74"/>
  <c r="P11" i="74"/>
  <c r="O11" i="74"/>
  <c r="P10" i="74"/>
  <c r="O10" i="74"/>
  <c r="P9" i="74"/>
  <c r="O9" i="74"/>
  <c r="P8" i="74"/>
  <c r="O8" i="74"/>
  <c r="P7" i="74"/>
  <c r="O7" i="74"/>
  <c r="D169" i="35"/>
  <c r="L43" i="38"/>
  <c r="C162" i="69"/>
  <c r="P33" i="1" a="1"/>
  <c r="P32" i="1"/>
  <c r="D131" i="38"/>
  <c r="O267" i="1"/>
  <c r="D132" i="38"/>
  <c r="O268" i="1"/>
  <c r="D133" i="38"/>
  <c r="O269" i="1"/>
  <c r="O270" i="1"/>
  <c r="D134" i="38"/>
  <c r="I130" i="38"/>
  <c r="H265" i="1"/>
  <c r="H274" i="1" s="1"/>
  <c r="G265" i="1"/>
  <c r="G274" i="1" s="1"/>
  <c r="H130" i="38"/>
  <c r="G130" i="38"/>
  <c r="G129" i="38" s="1"/>
  <c r="F265" i="1"/>
  <c r="F274" i="1" s="1"/>
  <c r="E265" i="1"/>
  <c r="E274" i="1" s="1"/>
  <c r="F130" i="38"/>
  <c r="F129" i="38" s="1"/>
  <c r="D265" i="1"/>
  <c r="D274" i="1" s="1"/>
  <c r="E130" i="38"/>
  <c r="E129" i="38" s="1"/>
  <c r="O266" i="1"/>
  <c r="C265" i="1"/>
  <c r="C274" i="1" s="1"/>
  <c r="D130" i="38"/>
  <c r="O257" i="1"/>
  <c r="D121" i="38"/>
  <c r="O258" i="1"/>
  <c r="D122" i="38"/>
  <c r="O259" i="1"/>
  <c r="D123" i="38"/>
  <c r="O260" i="1"/>
  <c r="D124" i="38"/>
  <c r="D125" i="38"/>
  <c r="O261" i="1"/>
  <c r="D126" i="38"/>
  <c r="O262" i="1"/>
  <c r="O263" i="1"/>
  <c r="D127" i="38"/>
  <c r="O120" i="38"/>
  <c r="N255" i="1"/>
  <c r="N273" i="1" s="1"/>
  <c r="N120" i="38"/>
  <c r="M255" i="1"/>
  <c r="M273" i="1" s="1"/>
  <c r="M120" i="38"/>
  <c r="L255" i="1"/>
  <c r="L273" i="1" s="1"/>
  <c r="K255" i="1"/>
  <c r="K273" i="1" s="1"/>
  <c r="L120" i="38"/>
  <c r="K120" i="38"/>
  <c r="J255" i="1"/>
  <c r="J273" i="1" s="1"/>
  <c r="J120" i="38"/>
  <c r="I255" i="1"/>
  <c r="I273" i="1" s="1"/>
  <c r="H255" i="1"/>
  <c r="H273" i="1" s="1"/>
  <c r="I120" i="38"/>
  <c r="G255" i="1"/>
  <c r="G273" i="1" s="1"/>
  <c r="H120" i="38"/>
  <c r="G120" i="38"/>
  <c r="F255" i="1"/>
  <c r="F273" i="1" s="1"/>
  <c r="F120" i="38"/>
  <c r="E255" i="1"/>
  <c r="E273" i="1" s="1"/>
  <c r="E120" i="38"/>
  <c r="D255" i="1"/>
  <c r="D273" i="1" s="1"/>
  <c r="D120" i="38"/>
  <c r="C255" i="1"/>
  <c r="O256" i="1"/>
  <c r="E23" i="59" s="1"/>
  <c r="D63" i="38"/>
  <c r="O201" i="1"/>
  <c r="P201" i="1" s="1"/>
  <c r="U130" i="38"/>
  <c r="H68" i="69"/>
  <c r="I68" i="69" s="1"/>
  <c r="J68" i="69" s="1"/>
  <c r="K68" i="69" s="1"/>
  <c r="L68" i="69" s="1"/>
  <c r="M68" i="69" s="1"/>
  <c r="N68" i="69" s="1"/>
  <c r="O68" i="69" s="1"/>
  <c r="P68" i="69" s="1"/>
  <c r="Q68" i="69" s="1"/>
  <c r="R68" i="69" s="1"/>
  <c r="S68" i="69" s="1"/>
  <c r="T68" i="69" s="1"/>
  <c r="U68" i="69" s="1"/>
  <c r="V68" i="69" s="1"/>
  <c r="W68" i="69" s="1"/>
  <c r="X68" i="69" s="1"/>
  <c r="Y68" i="69" s="1"/>
  <c r="Z68" i="69" s="1"/>
  <c r="AA68" i="69" s="1"/>
  <c r="AB68" i="69" s="1"/>
  <c r="AC68" i="69" s="1"/>
  <c r="AD68" i="69" s="1"/>
  <c r="AE68" i="69" s="1"/>
  <c r="AF68" i="69" s="1"/>
  <c r="AG68" i="69" s="1"/>
  <c r="AH68" i="69" s="1"/>
  <c r="AI68" i="69" s="1"/>
  <c r="AJ68" i="69" s="1"/>
  <c r="J63" i="38"/>
  <c r="I63" i="38"/>
  <c r="K63" i="38"/>
  <c r="M63" i="38"/>
  <c r="O63" i="38"/>
  <c r="L63" i="38"/>
  <c r="N63" i="38"/>
  <c r="K133" i="38"/>
  <c r="M133" i="38"/>
  <c r="J133" i="38"/>
  <c r="O133" i="38"/>
  <c r="N133" i="38"/>
  <c r="L133" i="38"/>
  <c r="I133" i="38"/>
  <c r="H133" i="38"/>
  <c r="Y130" i="38"/>
  <c r="K125" i="71"/>
  <c r="D137" i="69" s="1"/>
  <c r="I125" i="71"/>
  <c r="C133" i="71" s="1"/>
  <c r="J125" i="71"/>
  <c r="O27" i="1"/>
  <c r="A173" i="28"/>
  <c r="A172" i="28"/>
  <c r="A171" i="28"/>
  <c r="A32" i="16"/>
  <c r="A33" i="16"/>
  <c r="A57" i="23"/>
  <c r="A56" i="23"/>
  <c r="A182" i="28"/>
  <c r="A181" i="28"/>
  <c r="A180" i="28"/>
  <c r="A179" i="28"/>
  <c r="A178" i="28"/>
  <c r="A177" i="28"/>
  <c r="A176" i="28"/>
  <c r="A175" i="28"/>
  <c r="A174" i="28"/>
  <c r="A260" i="35"/>
  <c r="A259" i="35"/>
  <c r="A258" i="35"/>
  <c r="A257" i="35"/>
  <c r="A256" i="35"/>
  <c r="A255" i="35"/>
  <c r="A263" i="35"/>
  <c r="A262" i="35"/>
  <c r="A261" i="35"/>
  <c r="A5" i="63"/>
  <c r="A266" i="35"/>
  <c r="A265" i="35"/>
  <c r="A264" i="35"/>
  <c r="A34" i="16"/>
  <c r="F112" i="71"/>
  <c r="F113" i="71"/>
  <c r="F115" i="71"/>
  <c r="F116" i="71"/>
  <c r="F117" i="71"/>
  <c r="D5" i="38"/>
  <c r="A183" i="28"/>
  <c r="D268" i="35"/>
  <c r="A267" i="35"/>
  <c r="A269" i="35"/>
  <c r="A268" i="35"/>
  <c r="A184" i="28"/>
  <c r="A185" i="28"/>
  <c r="O48" i="74" l="1"/>
  <c r="P48" i="74"/>
  <c r="O274" i="1"/>
  <c r="A5" i="1" s="1"/>
  <c r="D129" i="38"/>
  <c r="O255" i="1"/>
  <c r="C273" i="1"/>
  <c r="N130" i="38"/>
  <c r="K130" i="38"/>
  <c r="L130" i="38"/>
  <c r="J130" i="38"/>
  <c r="C6" i="59" s="1"/>
  <c r="C8" i="59" s="1"/>
  <c r="M130" i="38"/>
  <c r="O130" i="38"/>
  <c r="Q63" i="38"/>
  <c r="D125" i="69"/>
  <c r="T131" i="38"/>
  <c r="U131" i="38" s="1"/>
  <c r="C131" i="71"/>
  <c r="Q133" i="38"/>
  <c r="P28" i="1"/>
  <c r="A190" i="28"/>
  <c r="A189" i="28"/>
  <c r="A188" i="28"/>
  <c r="A187" i="28"/>
  <c r="A186" i="28"/>
  <c r="A275" i="35"/>
  <c r="A274" i="35"/>
  <c r="A273" i="35"/>
  <c r="A272" i="35"/>
  <c r="A271" i="35"/>
  <c r="A270" i="35"/>
  <c r="Q130" i="38" l="1"/>
  <c r="B6" i="59"/>
  <c r="B8" i="59" s="1"/>
  <c r="C3" i="81" s="1"/>
  <c r="W133" i="38"/>
  <c r="D135" i="71"/>
  <c r="W63" i="38"/>
  <c r="R63" i="38"/>
  <c r="X63" i="38"/>
  <c r="D65" i="71"/>
  <c r="C121" i="71"/>
  <c r="C119" i="71" s="1"/>
  <c r="T123" i="38"/>
  <c r="R133" i="38"/>
  <c r="T110" i="38"/>
  <c r="U110" i="38" s="1"/>
  <c r="T111" i="38"/>
  <c r="U111" i="38" s="1"/>
  <c r="T112" i="38"/>
  <c r="U112" i="38" s="1"/>
  <c r="T113" i="38"/>
  <c r="U113" i="38" s="1"/>
  <c r="T114" i="38"/>
  <c r="U114" i="38" s="1"/>
  <c r="T115" i="38"/>
  <c r="U115" i="38" s="1"/>
  <c r="A391" i="35"/>
  <c r="X130" i="38" l="1"/>
  <c r="D132" i="71"/>
  <c r="W130" i="38"/>
  <c r="R130" i="38"/>
  <c r="U123" i="38"/>
  <c r="O123" i="38"/>
  <c r="C153" i="69"/>
  <c r="C152" i="69"/>
  <c r="C151" i="69"/>
  <c r="C150" i="69"/>
  <c r="C149" i="69"/>
  <c r="C148" i="69"/>
  <c r="C147" i="69"/>
  <c r="C146" i="69"/>
  <c r="D140" i="69"/>
  <c r="D135" i="69" s="1"/>
  <c r="C136" i="69"/>
  <c r="C135" i="69" s="1"/>
  <c r="C121" i="69"/>
  <c r="D121" i="69" s="1"/>
  <c r="C120" i="69"/>
  <c r="D120" i="69" s="1"/>
  <c r="C117" i="69"/>
  <c r="D117" i="69" s="1"/>
  <c r="C116" i="69"/>
  <c r="D116" i="69" s="1"/>
  <c r="E116" i="69" s="1"/>
  <c r="F116" i="69" s="1"/>
  <c r="G116" i="69" s="1"/>
  <c r="H116" i="69" s="1"/>
  <c r="I116" i="69" s="1"/>
  <c r="J116" i="69" s="1"/>
  <c r="K116" i="69" s="1"/>
  <c r="L116" i="69" s="1"/>
  <c r="M116" i="69" s="1"/>
  <c r="N116" i="69" s="1"/>
  <c r="O116" i="69" s="1"/>
  <c r="P116" i="69" s="1"/>
  <c r="Q116" i="69" s="1"/>
  <c r="R116" i="69" s="1"/>
  <c r="S116" i="69" s="1"/>
  <c r="T116" i="69" s="1"/>
  <c r="U116" i="69" s="1"/>
  <c r="V116" i="69" s="1"/>
  <c r="W116" i="69" s="1"/>
  <c r="X116" i="69" s="1"/>
  <c r="Y116" i="69" s="1"/>
  <c r="Z116" i="69" s="1"/>
  <c r="AA116" i="69" s="1"/>
  <c r="AB116" i="69" s="1"/>
  <c r="AC116" i="69" s="1"/>
  <c r="AD116" i="69" s="1"/>
  <c r="AE116" i="69" s="1"/>
  <c r="AF116" i="69" s="1"/>
  <c r="AG116" i="69" s="1"/>
  <c r="AH116" i="69" s="1"/>
  <c r="AI116" i="69" s="1"/>
  <c r="AJ116" i="69" s="1"/>
  <c r="AK116" i="69" s="1"/>
  <c r="AL116" i="69" s="1"/>
  <c r="AM116" i="69" s="1"/>
  <c r="AN116" i="69" s="1"/>
  <c r="AO116" i="69" s="1"/>
  <c r="AP116" i="69" s="1"/>
  <c r="C115" i="69"/>
  <c r="C112" i="69"/>
  <c r="D112" i="69" s="1"/>
  <c r="C111" i="69"/>
  <c r="D111" i="69" s="1"/>
  <c r="C110" i="69"/>
  <c r="C107" i="69"/>
  <c r="D107" i="69" s="1"/>
  <c r="C106" i="69"/>
  <c r="D106" i="69" s="1"/>
  <c r="E106" i="69" s="1"/>
  <c r="F106" i="69" s="1"/>
  <c r="G106" i="69" s="1"/>
  <c r="H106" i="69" s="1"/>
  <c r="I106" i="69" s="1"/>
  <c r="J106" i="69" s="1"/>
  <c r="C105" i="69"/>
  <c r="C102" i="69"/>
  <c r="D102" i="69" s="1"/>
  <c r="C101" i="69"/>
  <c r="D101" i="69" s="1"/>
  <c r="C100" i="69"/>
  <c r="D100" i="69" s="1"/>
  <c r="C96" i="69"/>
  <c r="D96" i="69" s="1"/>
  <c r="C95" i="69"/>
  <c r="C94" i="69"/>
  <c r="D94" i="69" s="1"/>
  <c r="C91" i="69"/>
  <c r="D91" i="69" s="1"/>
  <c r="C90" i="69"/>
  <c r="D90" i="69" s="1"/>
  <c r="C89" i="69"/>
  <c r="D89" i="69" s="1"/>
  <c r="C88" i="69"/>
  <c r="D88" i="69" s="1"/>
  <c r="C87" i="69"/>
  <c r="C84" i="69"/>
  <c r="D84" i="69" s="1"/>
  <c r="C83" i="69"/>
  <c r="D83" i="69" s="1"/>
  <c r="C82" i="69"/>
  <c r="D82" i="69" s="1"/>
  <c r="C81" i="69"/>
  <c r="D81" i="69" s="1"/>
  <c r="C80" i="69"/>
  <c r="D80" i="69" s="1"/>
  <c r="C77" i="69"/>
  <c r="D77" i="69" s="1"/>
  <c r="C76" i="69"/>
  <c r="D76" i="69" s="1"/>
  <c r="C75" i="69"/>
  <c r="D75" i="69" s="1"/>
  <c r="C72" i="69"/>
  <c r="D72" i="69" s="1"/>
  <c r="C71" i="69"/>
  <c r="D71" i="69" s="1"/>
  <c r="C70" i="69"/>
  <c r="D70" i="69" s="1"/>
  <c r="C67" i="69"/>
  <c r="D67" i="69" s="1"/>
  <c r="C66" i="69"/>
  <c r="D66" i="69" s="1"/>
  <c r="C65" i="69"/>
  <c r="C62" i="69"/>
  <c r="C51" i="69" s="1"/>
  <c r="C46" i="69"/>
  <c r="D46" i="69" s="1"/>
  <c r="C45" i="69"/>
  <c r="D45" i="69" s="1"/>
  <c r="C44" i="69"/>
  <c r="C41" i="69"/>
  <c r="D41" i="69" s="1"/>
  <c r="C40" i="69"/>
  <c r="C39" i="69"/>
  <c r="D39" i="69" s="1"/>
  <c r="C36" i="69"/>
  <c r="D36" i="69" s="1"/>
  <c r="C35" i="69"/>
  <c r="D35" i="69" s="1"/>
  <c r="C34" i="69"/>
  <c r="D34" i="69" s="1"/>
  <c r="C33" i="69"/>
  <c r="D33" i="69" s="1"/>
  <c r="C32" i="69"/>
  <c r="D32" i="69" s="1"/>
  <c r="C31" i="69"/>
  <c r="D31" i="69" s="1"/>
  <c r="C30" i="69"/>
  <c r="D30" i="69" s="1"/>
  <c r="C29" i="69"/>
  <c r="D29" i="69" s="1"/>
  <c r="C28" i="69"/>
  <c r="D28" i="69" s="1"/>
  <c r="C27" i="69"/>
  <c r="D27" i="69" s="1"/>
  <c r="C19" i="69"/>
  <c r="D19" i="69" s="1"/>
  <c r="C20" i="69"/>
  <c r="D20" i="69" s="1"/>
  <c r="C21" i="69"/>
  <c r="D21" i="69" s="1"/>
  <c r="C22" i="69"/>
  <c r="D22" i="69" s="1"/>
  <c r="C23" i="69"/>
  <c r="C24" i="69"/>
  <c r="D24" i="69" s="1"/>
  <c r="C18" i="69"/>
  <c r="D18" i="69" s="1"/>
  <c r="D119" i="69"/>
  <c r="D97" i="69"/>
  <c r="F127" i="71"/>
  <c r="F128" i="71"/>
  <c r="F132" i="71"/>
  <c r="F133" i="71"/>
  <c r="E140" i="69" l="1"/>
  <c r="E135" i="69" s="1"/>
  <c r="C43" i="69"/>
  <c r="C109" i="69"/>
  <c r="C74" i="69"/>
  <c r="L131" i="1"/>
  <c r="H131" i="1"/>
  <c r="N131" i="1"/>
  <c r="J131" i="1"/>
  <c r="D131" i="1"/>
  <c r="E131" i="1"/>
  <c r="F131" i="1"/>
  <c r="I131" i="1"/>
  <c r="M131" i="1"/>
  <c r="G131" i="1"/>
  <c r="K131" i="1"/>
  <c r="C131" i="1"/>
  <c r="O142" i="1"/>
  <c r="O189" i="1"/>
  <c r="O188" i="1"/>
  <c r="O134" i="1"/>
  <c r="O139" i="1"/>
  <c r="O137" i="1"/>
  <c r="O186" i="1"/>
  <c r="O140" i="1"/>
  <c r="O187" i="1"/>
  <c r="O194" i="1"/>
  <c r="O193" i="1"/>
  <c r="O133" i="1"/>
  <c r="O136" i="1"/>
  <c r="O191" i="1"/>
  <c r="O192" i="1"/>
  <c r="O141" i="1"/>
  <c r="O138" i="1"/>
  <c r="O185" i="1"/>
  <c r="O135" i="1"/>
  <c r="O190" i="1"/>
  <c r="O132" i="1"/>
  <c r="C104" i="69"/>
  <c r="D44" i="69"/>
  <c r="D105" i="69"/>
  <c r="C79" i="69"/>
  <c r="C93" i="69"/>
  <c r="C64" i="69"/>
  <c r="C86" i="69"/>
  <c r="D110" i="69"/>
  <c r="C17" i="69"/>
  <c r="C26" i="69"/>
  <c r="C38" i="69"/>
  <c r="D40" i="69"/>
  <c r="D95" i="69"/>
  <c r="D87" i="69"/>
  <c r="C99" i="69"/>
  <c r="D23" i="69"/>
  <c r="D65" i="69"/>
  <c r="D115" i="69"/>
  <c r="A198" i="28"/>
  <c r="A197" i="28"/>
  <c r="A196" i="28"/>
  <c r="A195" i="28"/>
  <c r="A194" i="28"/>
  <c r="A193" i="28"/>
  <c r="A192" i="28"/>
  <c r="A191" i="28"/>
  <c r="T40" i="38"/>
  <c r="T39" i="38"/>
  <c r="T38" i="38"/>
  <c r="T140" i="38"/>
  <c r="T141" i="38"/>
  <c r="T143" i="38"/>
  <c r="T144" i="38"/>
  <c r="T145" i="38"/>
  <c r="T147" i="38"/>
  <c r="T139" i="38"/>
  <c r="T149" i="38"/>
  <c r="T127" i="38"/>
  <c r="O127" i="38" s="1"/>
  <c r="T120" i="38"/>
  <c r="T119" i="38" s="1"/>
  <c r="T109" i="38"/>
  <c r="T106" i="38"/>
  <c r="T105" i="38"/>
  <c r="T104" i="38"/>
  <c r="T101" i="38"/>
  <c r="T100" i="38"/>
  <c r="T99" i="38"/>
  <c r="T96" i="38"/>
  <c r="T95" i="38"/>
  <c r="T94" i="38"/>
  <c r="T91" i="38"/>
  <c r="T90" i="38"/>
  <c r="T89" i="38"/>
  <c r="T88" i="38"/>
  <c r="T85" i="38"/>
  <c r="T84" i="38"/>
  <c r="T83" i="38"/>
  <c r="T82" i="38"/>
  <c r="T81" i="38"/>
  <c r="T78" i="38"/>
  <c r="T77" i="38"/>
  <c r="T76" i="38"/>
  <c r="T75" i="38"/>
  <c r="T74" i="38"/>
  <c r="T71" i="38"/>
  <c r="T70" i="38"/>
  <c r="T69" i="38"/>
  <c r="T59" i="38"/>
  <c r="T56" i="38"/>
  <c r="T45" i="38" s="1"/>
  <c r="T43" i="38"/>
  <c r="T35" i="38"/>
  <c r="T34" i="38"/>
  <c r="T33" i="38"/>
  <c r="T30" i="38"/>
  <c r="T29" i="38"/>
  <c r="T28" i="38"/>
  <c r="T27" i="38"/>
  <c r="T26" i="38"/>
  <c r="T25" i="38"/>
  <c r="T24" i="38"/>
  <c r="T23" i="38"/>
  <c r="T22" i="38"/>
  <c r="T21" i="38"/>
  <c r="T13" i="38"/>
  <c r="T14" i="38"/>
  <c r="T15" i="38"/>
  <c r="T16" i="38"/>
  <c r="T17" i="38"/>
  <c r="T18" i="38"/>
  <c r="C110" i="71"/>
  <c r="C105" i="71"/>
  <c r="C100" i="71"/>
  <c r="C95" i="71"/>
  <c r="C89" i="71"/>
  <c r="C82" i="71"/>
  <c r="C75" i="71"/>
  <c r="C70" i="71"/>
  <c r="C60" i="71"/>
  <c r="C47" i="71"/>
  <c r="C44" i="71"/>
  <c r="C39" i="71"/>
  <c r="C34" i="71"/>
  <c r="C22" i="71"/>
  <c r="A278" i="35"/>
  <c r="A277" i="35"/>
  <c r="A276" i="35"/>
  <c r="A35" i="16"/>
  <c r="D280" i="35"/>
  <c r="A280" i="35"/>
  <c r="D281" i="35"/>
  <c r="A281" i="35"/>
  <c r="A285" i="35"/>
  <c r="A284" i="35"/>
  <c r="A283" i="35"/>
  <c r="A282" i="35"/>
  <c r="A279" i="35"/>
  <c r="O14" i="1"/>
  <c r="D294" i="35"/>
  <c r="D295" i="35" s="1"/>
  <c r="A294" i="35"/>
  <c r="A297" i="35"/>
  <c r="A296" i="35"/>
  <c r="A295" i="35"/>
  <c r="A293" i="35"/>
  <c r="A292" i="35"/>
  <c r="A291" i="35"/>
  <c r="A290" i="35"/>
  <c r="A289" i="35"/>
  <c r="A288" i="35"/>
  <c r="A287" i="35"/>
  <c r="A286" i="35"/>
  <c r="F15" i="21"/>
  <c r="F16" i="21" s="1"/>
  <c r="G15" i="21"/>
  <c r="G16" i="21" s="1"/>
  <c r="H15" i="21"/>
  <c r="H16" i="21" s="1"/>
  <c r="I15" i="21"/>
  <c r="I16" i="21" s="1"/>
  <c r="J15" i="21"/>
  <c r="J16" i="21" s="1"/>
  <c r="K15" i="21"/>
  <c r="K16" i="21" s="1"/>
  <c r="M16" i="21"/>
  <c r="N16" i="21"/>
  <c r="O16" i="21"/>
  <c r="P16" i="21"/>
  <c r="Q16" i="21"/>
  <c r="E15" i="21"/>
  <c r="E16" i="21" s="1"/>
  <c r="T129" i="38" l="1"/>
  <c r="T117" i="38" s="1"/>
  <c r="N113" i="38"/>
  <c r="J113" i="38"/>
  <c r="E110" i="38"/>
  <c r="M110" i="38"/>
  <c r="O115" i="38"/>
  <c r="O238" i="1"/>
  <c r="P238" i="1" s="1"/>
  <c r="G111" i="38"/>
  <c r="O203" i="1"/>
  <c r="P203" i="1" s="1"/>
  <c r="G113" i="38"/>
  <c r="M113" i="38"/>
  <c r="L113" i="38"/>
  <c r="M114" i="38"/>
  <c r="G110" i="38"/>
  <c r="L112" i="38"/>
  <c r="O199" i="1"/>
  <c r="P199" i="1" s="1"/>
  <c r="H110" i="38"/>
  <c r="O234" i="1"/>
  <c r="P234" i="1" s="1"/>
  <c r="M111" i="38"/>
  <c r="O227" i="1"/>
  <c r="P227" i="1" s="1"/>
  <c r="L111" i="38"/>
  <c r="G114" i="38"/>
  <c r="F113" i="38"/>
  <c r="O239" i="1"/>
  <c r="P239" i="1" s="1"/>
  <c r="M112" i="38"/>
  <c r="O229" i="1"/>
  <c r="P229" i="1" s="1"/>
  <c r="E115" i="38"/>
  <c r="E113" i="38"/>
  <c r="H111" i="38"/>
  <c r="J114" i="38"/>
  <c r="I111" i="38"/>
  <c r="M115" i="38"/>
  <c r="N114" i="38"/>
  <c r="O204" i="1"/>
  <c r="P204" i="1" s="1"/>
  <c r="O208" i="1"/>
  <c r="P208" i="1" s="1"/>
  <c r="J110" i="38"/>
  <c r="E111" i="38"/>
  <c r="O213" i="1"/>
  <c r="P213" i="1" s="1"/>
  <c r="O111" i="38"/>
  <c r="O253" i="1"/>
  <c r="P253" i="1" s="1"/>
  <c r="D115" i="38"/>
  <c r="J111" i="38"/>
  <c r="K112" i="38"/>
  <c r="L110" i="38"/>
  <c r="I115" i="38"/>
  <c r="K113" i="38"/>
  <c r="K115" i="38"/>
  <c r="D111" i="38"/>
  <c r="O249" i="1"/>
  <c r="P249" i="1" s="1"/>
  <c r="E112" i="38"/>
  <c r="D113" i="38"/>
  <c r="O251" i="1"/>
  <c r="P251" i="1" s="1"/>
  <c r="F111" i="38"/>
  <c r="F115" i="38"/>
  <c r="O215" i="1"/>
  <c r="P215" i="1" s="1"/>
  <c r="O222" i="1"/>
  <c r="P222" i="1" s="1"/>
  <c r="O233" i="1"/>
  <c r="P233" i="1" s="1"/>
  <c r="I112" i="38"/>
  <c r="O216" i="1"/>
  <c r="P216" i="1" s="1"/>
  <c r="O202" i="1"/>
  <c r="P202" i="1" s="1"/>
  <c r="O209" i="1"/>
  <c r="P209" i="1" s="1"/>
  <c r="O243" i="1"/>
  <c r="P243" i="1" s="1"/>
  <c r="J115" i="38"/>
  <c r="O244" i="1"/>
  <c r="P244" i="1" s="1"/>
  <c r="H114" i="38"/>
  <c r="O112" i="38"/>
  <c r="N112" i="38"/>
  <c r="I114" i="38"/>
  <c r="O220" i="1"/>
  <c r="P220" i="1" s="1"/>
  <c r="I110" i="38"/>
  <c r="N115" i="38"/>
  <c r="O221" i="1"/>
  <c r="P221" i="1" s="1"/>
  <c r="D114" i="38"/>
  <c r="O252" i="1"/>
  <c r="P252" i="1" s="1"/>
  <c r="N111" i="38"/>
  <c r="E114" i="38"/>
  <c r="D112" i="38"/>
  <c r="O250" i="1"/>
  <c r="P250" i="1" s="1"/>
  <c r="D110" i="38"/>
  <c r="O248" i="1"/>
  <c r="P248" i="1" s="1"/>
  <c r="J112" i="38"/>
  <c r="O200" i="1"/>
  <c r="P200" i="1" s="1"/>
  <c r="O114" i="38"/>
  <c r="H112" i="38"/>
  <c r="G112" i="38"/>
  <c r="F114" i="38"/>
  <c r="N110" i="38"/>
  <c r="F110" i="38"/>
  <c r="K111" i="38"/>
  <c r="O214" i="1"/>
  <c r="P214" i="1" s="1"/>
  <c r="O113" i="38"/>
  <c r="G115" i="38"/>
  <c r="O223" i="1"/>
  <c r="P223" i="1" s="1"/>
  <c r="K114" i="38"/>
  <c r="O110" i="38"/>
  <c r="O198" i="1"/>
  <c r="P198" i="1" s="1"/>
  <c r="O212" i="1"/>
  <c r="P212" i="1" s="1"/>
  <c r="K110" i="38"/>
  <c r="H113" i="38"/>
  <c r="L115" i="38"/>
  <c r="F112" i="38"/>
  <c r="I113" i="38"/>
  <c r="L114" i="38"/>
  <c r="H115" i="38"/>
  <c r="O228" i="1"/>
  <c r="P228" i="1" s="1"/>
  <c r="D282" i="35"/>
  <c r="A207" i="28" l="1"/>
  <c r="A206" i="28"/>
  <c r="A205" i="28"/>
  <c r="A204" i="28"/>
  <c r="A203" i="28"/>
  <c r="A202" i="28"/>
  <c r="A201" i="28"/>
  <c r="A200" i="28"/>
  <c r="A199" i="28"/>
  <c r="A39" i="16"/>
  <c r="A38" i="16"/>
  <c r="A37" i="16"/>
  <c r="A36" i="16"/>
  <c r="A63" i="23"/>
  <c r="A62" i="23"/>
  <c r="A61" i="23"/>
  <c r="A60" i="23"/>
  <c r="A59" i="23"/>
  <c r="A58" i="23"/>
  <c r="N56" i="1"/>
  <c r="M56" i="1"/>
  <c r="L56" i="1"/>
  <c r="K56" i="1"/>
  <c r="J56" i="1"/>
  <c r="G42" i="1" l="1"/>
  <c r="I36" i="1"/>
  <c r="I37" i="1"/>
  <c r="H37" i="1"/>
  <c r="L37" i="1"/>
  <c r="K42" i="1"/>
  <c r="L52" i="1"/>
  <c r="G36" i="1"/>
  <c r="H41" i="1"/>
  <c r="N36" i="1"/>
  <c r="M42" i="1"/>
  <c r="C42" i="1"/>
  <c r="L42" i="1"/>
  <c r="F36" i="1"/>
  <c r="G51" i="1"/>
  <c r="E42" i="1"/>
  <c r="G37" i="1"/>
  <c r="I41" i="1"/>
  <c r="F51" i="1"/>
  <c r="F41" i="1"/>
  <c r="I42" i="1"/>
  <c r="N41" i="1"/>
  <c r="L36" i="1"/>
  <c r="C51" i="1"/>
  <c r="H51" i="1"/>
  <c r="J52" i="1"/>
  <c r="H42" i="1"/>
  <c r="M37" i="1"/>
  <c r="E36" i="1"/>
  <c r="G52" i="1"/>
  <c r="M36" i="1"/>
  <c r="E52" i="1"/>
  <c r="C52" i="1"/>
  <c r="E37" i="1"/>
  <c r="F52" i="1"/>
  <c r="E41" i="1"/>
  <c r="L41" i="1"/>
  <c r="D36" i="1"/>
  <c r="M51" i="1"/>
  <c r="K52" i="1"/>
  <c r="J51" i="1"/>
  <c r="G41" i="1"/>
  <c r="N42" i="1"/>
  <c r="H52" i="1"/>
  <c r="K51" i="1"/>
  <c r="J41" i="1"/>
  <c r="D51" i="1"/>
  <c r="D41" i="1"/>
  <c r="C36" i="1"/>
  <c r="K36" i="1"/>
  <c r="D42" i="1"/>
  <c r="N51" i="1"/>
  <c r="C37" i="1"/>
  <c r="F37" i="1"/>
  <c r="M41" i="1"/>
  <c r="H36" i="1"/>
  <c r="L51" i="1"/>
  <c r="N37" i="1"/>
  <c r="D52" i="1"/>
  <c r="J37" i="1"/>
  <c r="D37" i="1"/>
  <c r="J42" i="1"/>
  <c r="I52" i="1"/>
  <c r="J36" i="1"/>
  <c r="N52" i="1"/>
  <c r="M52" i="1"/>
  <c r="E51" i="1"/>
  <c r="I51" i="1"/>
  <c r="K37" i="1"/>
  <c r="K41" i="1"/>
  <c r="C41" i="1"/>
  <c r="F42" i="1"/>
  <c r="E58" i="1"/>
  <c r="C46" i="1"/>
  <c r="M46" i="1"/>
  <c r="N47" i="1"/>
  <c r="E47" i="1"/>
  <c r="F58" i="1"/>
  <c r="H47" i="1"/>
  <c r="M58" i="1"/>
  <c r="I46" i="1"/>
  <c r="J46" i="1"/>
  <c r="N46" i="1"/>
  <c r="F47" i="1"/>
  <c r="G58" i="1"/>
  <c r="G46" i="1"/>
  <c r="L46" i="1"/>
  <c r="J58" i="1"/>
  <c r="K58" i="1"/>
  <c r="N58" i="1"/>
  <c r="F46" i="1"/>
  <c r="E46" i="1"/>
  <c r="G47" i="1"/>
  <c r="C58" i="1"/>
  <c r="D46" i="1"/>
  <c r="D47" i="1"/>
  <c r="I47" i="1"/>
  <c r="D58" i="1"/>
  <c r="L47" i="1"/>
  <c r="K46" i="1"/>
  <c r="H46" i="1"/>
  <c r="J47" i="1"/>
  <c r="C47" i="1"/>
  <c r="I58" i="1"/>
  <c r="M47" i="1"/>
  <c r="H58" i="1"/>
  <c r="K47" i="1"/>
  <c r="L58" i="1"/>
  <c r="G140" i="38" l="1"/>
  <c r="N141" i="38"/>
  <c r="N144" i="38"/>
  <c r="I148" i="38"/>
  <c r="L144" i="38"/>
  <c r="K147" i="38"/>
  <c r="N139" i="38"/>
  <c r="G148" i="38"/>
  <c r="J146" i="38"/>
  <c r="H142" i="38"/>
  <c r="G146" i="38"/>
  <c r="I146" i="38"/>
  <c r="H140" i="38"/>
  <c r="K148" i="38"/>
  <c r="N146" i="38"/>
  <c r="F139" i="38"/>
  <c r="M147" i="38"/>
  <c r="L140" i="38"/>
  <c r="O140" i="38"/>
  <c r="G144" i="38"/>
  <c r="H141" i="38"/>
  <c r="D139" i="38"/>
  <c r="F146" i="38"/>
  <c r="E140" i="38"/>
  <c r="I139" i="38"/>
  <c r="H143" i="38"/>
  <c r="D144" i="38"/>
  <c r="H139" i="38"/>
  <c r="K143" i="38"/>
  <c r="E141" i="38"/>
  <c r="O142" i="38"/>
  <c r="H144" i="38"/>
  <c r="K139" i="38"/>
  <c r="F143" i="38"/>
  <c r="K141" i="38"/>
  <c r="E139" i="38"/>
  <c r="M139" i="38"/>
  <c r="H145" i="38"/>
  <c r="K146" i="38"/>
  <c r="D146" i="38"/>
  <c r="D143" i="38"/>
  <c r="K140" i="38"/>
  <c r="M143" i="38"/>
  <c r="I143" i="38"/>
  <c r="F145" i="38"/>
  <c r="K145" i="38"/>
  <c r="G147" i="38"/>
  <c r="M146" i="38"/>
  <c r="H147" i="38"/>
  <c r="E145" i="38"/>
  <c r="L141" i="38"/>
  <c r="O143" i="38"/>
  <c r="H148" i="38"/>
  <c r="L148" i="38"/>
  <c r="F141" i="38"/>
  <c r="L146" i="38"/>
  <c r="O146" i="38"/>
  <c r="F140" i="38"/>
  <c r="G145" i="38"/>
  <c r="I140" i="38"/>
  <c r="E147" i="38"/>
  <c r="G139" i="38"/>
  <c r="J141" i="38"/>
  <c r="M141" i="38"/>
  <c r="D145" i="38"/>
  <c r="G142" i="38"/>
  <c r="H146" i="38"/>
  <c r="O147" i="38"/>
  <c r="O141" i="38"/>
  <c r="D140" i="38"/>
  <c r="O145" i="38"/>
  <c r="L143" i="38"/>
  <c r="I147" i="38"/>
  <c r="F148" i="38"/>
  <c r="E146" i="38"/>
  <c r="L139" i="38"/>
  <c r="L142" i="38"/>
  <c r="N143" i="38"/>
  <c r="D142" i="38"/>
  <c r="I144" i="38"/>
  <c r="K142" i="38"/>
  <c r="O144" i="38"/>
  <c r="I142" i="38"/>
  <c r="J145" i="38"/>
  <c r="J147" i="38"/>
  <c r="O139" i="38"/>
  <c r="N147" i="38"/>
  <c r="D141" i="38"/>
  <c r="M148" i="38"/>
  <c r="J139" i="38"/>
  <c r="I141" i="38"/>
  <c r="G143" i="38"/>
  <c r="M144" i="38"/>
  <c r="N142" i="38"/>
  <c r="N140" i="38"/>
  <c r="J140" i="38"/>
  <c r="M145" i="38"/>
  <c r="E142" i="38"/>
  <c r="E144" i="38"/>
  <c r="L147" i="38"/>
  <c r="O148" i="38"/>
  <c r="J144" i="38"/>
  <c r="F147" i="38"/>
  <c r="D147" i="38"/>
  <c r="E148" i="38"/>
  <c r="J148" i="38"/>
  <c r="F144" i="38"/>
  <c r="M140" i="38"/>
  <c r="K144" i="38"/>
  <c r="F142" i="38"/>
  <c r="G141" i="38"/>
  <c r="J142" i="38"/>
  <c r="N148" i="38"/>
  <c r="L145" i="38"/>
  <c r="J143" i="38"/>
  <c r="I145" i="38"/>
  <c r="E143" i="38"/>
  <c r="N145" i="38"/>
  <c r="D148" i="38"/>
  <c r="C56" i="1"/>
  <c r="D56" i="1" s="1"/>
  <c r="E56" i="1" s="1"/>
  <c r="F56" i="1" s="1"/>
  <c r="G56" i="1" s="1"/>
  <c r="H56" i="1" s="1"/>
  <c r="I56" i="1" s="1"/>
  <c r="X149" i="38"/>
  <c r="X147" i="38"/>
  <c r="X145" i="38"/>
  <c r="X144" i="38"/>
  <c r="X143" i="38"/>
  <c r="X141" i="38"/>
  <c r="X140" i="38"/>
  <c r="X139" i="38"/>
  <c r="X101" i="38"/>
  <c r="X99" i="38"/>
  <c r="N138" i="38" l="1"/>
  <c r="O138" i="38"/>
  <c r="I138" i="38"/>
  <c r="D138" i="38"/>
  <c r="H138" i="38"/>
  <c r="E138" i="38"/>
  <c r="G138" i="38"/>
  <c r="L138" i="38"/>
  <c r="J138" i="38"/>
  <c r="F138" i="38"/>
  <c r="K138" i="38"/>
  <c r="Q143" i="38"/>
  <c r="D145" i="71" s="1"/>
  <c r="Q148" i="38"/>
  <c r="X148" i="38" s="1"/>
  <c r="Q144" i="38"/>
  <c r="D146" i="71" s="1"/>
  <c r="Q139" i="38"/>
  <c r="R139" i="38" s="1"/>
  <c r="Q146" i="38"/>
  <c r="D148" i="71" s="1"/>
  <c r="Q145" i="38"/>
  <c r="D147" i="71" s="1"/>
  <c r="Q140" i="38"/>
  <c r="D142" i="71" s="1"/>
  <c r="Q141" i="38"/>
  <c r="D143" i="71" s="1"/>
  <c r="Q147" i="38"/>
  <c r="D149" i="71" s="1"/>
  <c r="E43" i="38"/>
  <c r="J43" i="38"/>
  <c r="D43" i="38"/>
  <c r="I43" i="38"/>
  <c r="K43" i="38"/>
  <c r="F43" i="38"/>
  <c r="G43" i="38"/>
  <c r="H43" i="38"/>
  <c r="F53" i="38"/>
  <c r="F64" i="38"/>
  <c r="D28" i="38"/>
  <c r="H56" i="38"/>
  <c r="D46" i="38"/>
  <c r="N53" i="38"/>
  <c r="F25" i="38"/>
  <c r="E48" i="38"/>
  <c r="M52" i="38"/>
  <c r="M56" i="38"/>
  <c r="F83" i="38"/>
  <c r="F94" i="38"/>
  <c r="F89" i="38"/>
  <c r="I55" i="38"/>
  <c r="F104" i="38"/>
  <c r="G89" i="38"/>
  <c r="E62" i="38"/>
  <c r="G34" i="38"/>
  <c r="D61" i="38"/>
  <c r="L55" i="38"/>
  <c r="F40" i="38"/>
  <c r="F13" i="38"/>
  <c r="N51" i="38"/>
  <c r="E15" i="38"/>
  <c r="D106" i="38"/>
  <c r="K47" i="38"/>
  <c r="E88" i="38"/>
  <c r="E100" i="38"/>
  <c r="D65" i="38"/>
  <c r="F34" i="38"/>
  <c r="N55" i="38"/>
  <c r="I49" i="38"/>
  <c r="O50" i="38"/>
  <c r="E82" i="38"/>
  <c r="E50" i="38"/>
  <c r="F66" i="38"/>
  <c r="G66" i="38"/>
  <c r="E35" i="38"/>
  <c r="H50" i="38"/>
  <c r="F105" i="38"/>
  <c r="D53" i="38"/>
  <c r="N49" i="38"/>
  <c r="D88" i="38"/>
  <c r="J54" i="38"/>
  <c r="E54" i="38"/>
  <c r="D24" i="38"/>
  <c r="G53" i="38"/>
  <c r="E70" i="38"/>
  <c r="G81" i="38"/>
  <c r="K51" i="38"/>
  <c r="G46" i="38"/>
  <c r="E78" i="38"/>
  <c r="G51" i="38"/>
  <c r="F23" i="38"/>
  <c r="G56" i="38"/>
  <c r="H48" i="38"/>
  <c r="D100" i="38"/>
  <c r="F14" i="38"/>
  <c r="F48" i="38"/>
  <c r="D70" i="38"/>
  <c r="J47" i="38"/>
  <c r="E119" i="38"/>
  <c r="E117" i="38" s="1"/>
  <c r="F74" i="38"/>
  <c r="J55" i="38"/>
  <c r="D12" i="38"/>
  <c r="D71" i="38"/>
  <c r="F65" i="38"/>
  <c r="F52" i="38"/>
  <c r="L46" i="38"/>
  <c r="O48" i="38"/>
  <c r="L47" i="38"/>
  <c r="E22" i="38"/>
  <c r="E47" i="38"/>
  <c r="L48" i="38"/>
  <c r="E25" i="38"/>
  <c r="N48" i="38"/>
  <c r="E28" i="38"/>
  <c r="F56" i="38"/>
  <c r="I46" i="38"/>
  <c r="D78" i="38"/>
  <c r="D30" i="38"/>
  <c r="J48" i="38"/>
  <c r="F69" i="38"/>
  <c r="L54" i="38"/>
  <c r="H54" i="38"/>
  <c r="D40" i="38"/>
  <c r="F119" i="38"/>
  <c r="F117" i="38" s="1"/>
  <c r="F33" i="38"/>
  <c r="M53" i="38"/>
  <c r="D82" i="38"/>
  <c r="E60" i="38"/>
  <c r="L50" i="38"/>
  <c r="E29" i="38"/>
  <c r="I48" i="38"/>
  <c r="F106" i="38"/>
  <c r="F61" i="38"/>
  <c r="M50" i="38"/>
  <c r="J51" i="38"/>
  <c r="F84" i="38"/>
  <c r="D77" i="38"/>
  <c r="F82" i="38"/>
  <c r="D49" i="38"/>
  <c r="G17" i="38"/>
  <c r="F49" i="38"/>
  <c r="I47" i="38"/>
  <c r="F71" i="38"/>
  <c r="F95" i="38"/>
  <c r="F85" i="38"/>
  <c r="E13" i="38"/>
  <c r="E61" i="38"/>
  <c r="D15" i="38"/>
  <c r="D119" i="38"/>
  <c r="D117" i="38" s="1"/>
  <c r="I50" i="38"/>
  <c r="E85" i="38"/>
  <c r="D48" i="38"/>
  <c r="D104" i="38"/>
  <c r="F16" i="38"/>
  <c r="O54" i="38"/>
  <c r="E64" i="38"/>
  <c r="E55" i="38"/>
  <c r="D13" i="38"/>
  <c r="E53" i="38"/>
  <c r="M51" i="38"/>
  <c r="E23" i="38"/>
  <c r="L53" i="38"/>
  <c r="F27" i="38"/>
  <c r="I56" i="38"/>
  <c r="E71" i="38"/>
  <c r="D54" i="38"/>
  <c r="M49" i="38"/>
  <c r="O51" i="38"/>
  <c r="E81" i="38"/>
  <c r="F29" i="38"/>
  <c r="D14" i="38"/>
  <c r="F75" i="38"/>
  <c r="N47" i="38"/>
  <c r="N52" i="38"/>
  <c r="G49" i="38"/>
  <c r="D59" i="38"/>
  <c r="K49" i="38"/>
  <c r="H47" i="38"/>
  <c r="F22" i="38"/>
  <c r="D66" i="38"/>
  <c r="K46" i="38"/>
  <c r="E89" i="38"/>
  <c r="D90" i="38"/>
  <c r="D34" i="38"/>
  <c r="D26" i="38"/>
  <c r="H53" i="38"/>
  <c r="K53" i="38"/>
  <c r="F28" i="38"/>
  <c r="F46" i="38"/>
  <c r="L52" i="38"/>
  <c r="F50" i="38"/>
  <c r="D52" i="38"/>
  <c r="E105" i="38"/>
  <c r="F18" i="38"/>
  <c r="E84" i="38"/>
  <c r="E18" i="38"/>
  <c r="G48" i="38"/>
  <c r="E21" i="38"/>
  <c r="E27" i="38"/>
  <c r="D62" i="38"/>
  <c r="E49" i="38"/>
  <c r="F70" i="38"/>
  <c r="O49" i="38"/>
  <c r="D99" i="38"/>
  <c r="H52" i="38"/>
  <c r="I53" i="38"/>
  <c r="F101" i="38"/>
  <c r="G52" i="38"/>
  <c r="E96" i="38"/>
  <c r="D25" i="38"/>
  <c r="N50" i="38"/>
  <c r="E66" i="38"/>
  <c r="K48" i="38"/>
  <c r="L56" i="38"/>
  <c r="E99" i="38"/>
  <c r="J52" i="38"/>
  <c r="O55" i="38"/>
  <c r="G83" i="38"/>
  <c r="E33" i="38"/>
  <c r="F90" i="38"/>
  <c r="F76" i="38"/>
  <c r="D35" i="38"/>
  <c r="D55" i="38"/>
  <c r="D95" i="38"/>
  <c r="N54" i="38"/>
  <c r="E104" i="38"/>
  <c r="O47" i="38"/>
  <c r="K52" i="38"/>
  <c r="E16" i="38"/>
  <c r="M54" i="38"/>
  <c r="G54" i="38"/>
  <c r="F77" i="38"/>
  <c r="E106" i="38"/>
  <c r="J46" i="38"/>
  <c r="E59" i="38"/>
  <c r="E77" i="38"/>
  <c r="E83" i="38"/>
  <c r="O52" i="38"/>
  <c r="G50" i="38"/>
  <c r="E69" i="38"/>
  <c r="I51" i="38"/>
  <c r="O53" i="38"/>
  <c r="G47" i="38"/>
  <c r="D16" i="38"/>
  <c r="E38" i="38"/>
  <c r="E51" i="38"/>
  <c r="F109" i="38"/>
  <c r="E101" i="38"/>
  <c r="G25" i="38"/>
  <c r="F12" i="38"/>
  <c r="E91" i="38"/>
  <c r="H49" i="38"/>
  <c r="D105" i="38"/>
  <c r="D74" i="38"/>
  <c r="F54" i="38"/>
  <c r="D21" i="38"/>
  <c r="D81" i="38"/>
  <c r="J49" i="38"/>
  <c r="F51" i="38"/>
  <c r="D18" i="38"/>
  <c r="E95" i="38"/>
  <c r="D94" i="38"/>
  <c r="F99" i="38"/>
  <c r="D83" i="38"/>
  <c r="D51" i="38"/>
  <c r="D38" i="38"/>
  <c r="D50" i="38"/>
  <c r="F30" i="38"/>
  <c r="F55" i="38"/>
  <c r="F39" i="38"/>
  <c r="D84" i="38"/>
  <c r="F91" i="38"/>
  <c r="E74" i="38"/>
  <c r="D60" i="38"/>
  <c r="E24" i="38"/>
  <c r="F60" i="38"/>
  <c r="D91" i="38"/>
  <c r="E52" i="38"/>
  <c r="G75" i="38"/>
  <c r="D39" i="38"/>
  <c r="M47" i="38"/>
  <c r="G60" i="38"/>
  <c r="D96" i="38"/>
  <c r="G35" i="38"/>
  <c r="H51" i="38"/>
  <c r="F24" i="38"/>
  <c r="E90" i="38"/>
  <c r="M48" i="38"/>
  <c r="D109" i="38"/>
  <c r="E109" i="38"/>
  <c r="J50" i="38"/>
  <c r="O46" i="38"/>
  <c r="G106" i="38"/>
  <c r="D64" i="38"/>
  <c r="G33" i="38"/>
  <c r="F59" i="38"/>
  <c r="D101" i="38"/>
  <c r="G21" i="38"/>
  <c r="G29" i="38"/>
  <c r="K54" i="38"/>
  <c r="D56" i="38"/>
  <c r="D76" i="38"/>
  <c r="G14" i="38"/>
  <c r="E76" i="38"/>
  <c r="H55" i="38"/>
  <c r="E75" i="38"/>
  <c r="G84" i="38"/>
  <c r="F38" i="38"/>
  <c r="D22" i="38"/>
  <c r="D23" i="38"/>
  <c r="E39" i="38"/>
  <c r="J56" i="38"/>
  <c r="D89" i="38"/>
  <c r="E26" i="38"/>
  <c r="D47" i="38"/>
  <c r="D29" i="38"/>
  <c r="D33" i="38"/>
  <c r="F15" i="38"/>
  <c r="G109" i="38"/>
  <c r="E12" i="38"/>
  <c r="I54" i="38"/>
  <c r="L49" i="38"/>
  <c r="E46" i="38"/>
  <c r="K55" i="38"/>
  <c r="D85" i="38"/>
  <c r="F88" i="38"/>
  <c r="D27" i="38"/>
  <c r="F81" i="38"/>
  <c r="F26" i="38"/>
  <c r="J53" i="38"/>
  <c r="F21" i="38"/>
  <c r="F62" i="38"/>
  <c r="G70" i="38"/>
  <c r="E34" i="38"/>
  <c r="D17" i="38"/>
  <c r="F17" i="38"/>
  <c r="M46" i="38"/>
  <c r="M55" i="38"/>
  <c r="D69" i="38"/>
  <c r="F78" i="38"/>
  <c r="H46" i="38"/>
  <c r="F47" i="38"/>
  <c r="E14" i="38"/>
  <c r="F96" i="38"/>
  <c r="E40" i="38"/>
  <c r="K56" i="38"/>
  <c r="E30" i="38"/>
  <c r="F100" i="38"/>
  <c r="E65" i="38"/>
  <c r="G55" i="38"/>
  <c r="E56" i="38"/>
  <c r="I52" i="38"/>
  <c r="L51" i="38"/>
  <c r="K50" i="38"/>
  <c r="F35" i="38"/>
  <c r="N56" i="38"/>
  <c r="D75" i="38"/>
  <c r="N46" i="38"/>
  <c r="E94" i="38"/>
  <c r="E17" i="38"/>
  <c r="I211" i="1"/>
  <c r="C218" i="1"/>
  <c r="H225" i="1"/>
  <c r="F241" i="1"/>
  <c r="M225" i="1"/>
  <c r="F236" i="1"/>
  <c r="J196" i="1"/>
  <c r="M236" i="1"/>
  <c r="J218" i="1"/>
  <c r="M196" i="1"/>
  <c r="D241" i="1"/>
  <c r="J236" i="1"/>
  <c r="N211" i="1"/>
  <c r="E218" i="1"/>
  <c r="F218" i="1"/>
  <c r="C231" i="1"/>
  <c r="I241" i="1"/>
  <c r="H218" i="1"/>
  <c r="N231" i="1"/>
  <c r="N196" i="1"/>
  <c r="G241" i="1"/>
  <c r="H196" i="1"/>
  <c r="E241" i="1"/>
  <c r="I246" i="1"/>
  <c r="M211" i="1"/>
  <c r="K225" i="1"/>
  <c r="D206" i="1"/>
  <c r="E236" i="1"/>
  <c r="L241" i="1"/>
  <c r="J246" i="1"/>
  <c r="I206" i="1"/>
  <c r="G246" i="1"/>
  <c r="M246" i="1"/>
  <c r="D225" i="1"/>
  <c r="K231" i="1"/>
  <c r="D218" i="1"/>
  <c r="H246" i="1"/>
  <c r="K246" i="1"/>
  <c r="K196" i="1"/>
  <c r="N241" i="1"/>
  <c r="M231" i="1"/>
  <c r="G196" i="1"/>
  <c r="K206" i="1"/>
  <c r="L225" i="1"/>
  <c r="K211" i="1"/>
  <c r="N206" i="1"/>
  <c r="C206" i="1"/>
  <c r="N225" i="1"/>
  <c r="C211" i="1"/>
  <c r="G211" i="1"/>
  <c r="K241" i="1"/>
  <c r="I225" i="1"/>
  <c r="E246" i="1"/>
  <c r="N246" i="1"/>
  <c r="I236" i="1"/>
  <c r="G206" i="1"/>
  <c r="I218" i="1"/>
  <c r="G218" i="1"/>
  <c r="D246" i="1"/>
  <c r="F225" i="1"/>
  <c r="L196" i="1"/>
  <c r="E225" i="1"/>
  <c r="M218" i="1"/>
  <c r="D196" i="1"/>
  <c r="J241" i="1"/>
  <c r="H241" i="1"/>
  <c r="L236" i="1"/>
  <c r="J225" i="1"/>
  <c r="O242" i="1"/>
  <c r="P242" i="1" s="1"/>
  <c r="C241" i="1"/>
  <c r="N236" i="1"/>
  <c r="H206" i="1"/>
  <c r="E211" i="1"/>
  <c r="D236" i="1"/>
  <c r="L231" i="1"/>
  <c r="H236" i="1"/>
  <c r="M206" i="1"/>
  <c r="G231" i="1"/>
  <c r="C225" i="1"/>
  <c r="E206" i="1"/>
  <c r="G225" i="1"/>
  <c r="J206" i="1"/>
  <c r="I231" i="1"/>
  <c r="I196" i="1"/>
  <c r="C246" i="1"/>
  <c r="F231" i="1"/>
  <c r="J211" i="1"/>
  <c r="E231" i="1"/>
  <c r="H231" i="1"/>
  <c r="C196" i="1"/>
  <c r="K236" i="1"/>
  <c r="L211" i="1"/>
  <c r="D231" i="1"/>
  <c r="M241" i="1"/>
  <c r="L206" i="1"/>
  <c r="D211" i="1"/>
  <c r="H211" i="1"/>
  <c r="C236" i="1"/>
  <c r="F246" i="1"/>
  <c r="N218" i="1"/>
  <c r="K218" i="1"/>
  <c r="F206" i="1"/>
  <c r="L218" i="1"/>
  <c r="E196" i="1"/>
  <c r="J231" i="1"/>
  <c r="F211" i="1"/>
  <c r="L246" i="1"/>
  <c r="G236" i="1"/>
  <c r="F196" i="1"/>
  <c r="H170" i="1"/>
  <c r="K170" i="1"/>
  <c r="J157" i="1"/>
  <c r="K144" i="1"/>
  <c r="C157" i="1"/>
  <c r="G170" i="1"/>
  <c r="K183" i="1"/>
  <c r="E144" i="1"/>
  <c r="K157" i="1"/>
  <c r="N144" i="1"/>
  <c r="M144" i="1"/>
  <c r="N170" i="1"/>
  <c r="I144" i="1"/>
  <c r="D170" i="1"/>
  <c r="D144" i="1"/>
  <c r="F170" i="1"/>
  <c r="H144" i="1"/>
  <c r="N183" i="1"/>
  <c r="F157" i="1"/>
  <c r="F183" i="1"/>
  <c r="E183" i="1"/>
  <c r="J183" i="1"/>
  <c r="M170" i="1"/>
  <c r="L183" i="1"/>
  <c r="G144" i="1"/>
  <c r="F144" i="1"/>
  <c r="M157" i="1"/>
  <c r="J144" i="1"/>
  <c r="L170" i="1"/>
  <c r="J170" i="1"/>
  <c r="D157" i="1"/>
  <c r="I170" i="1"/>
  <c r="H183" i="1"/>
  <c r="E170" i="1"/>
  <c r="C183" i="1"/>
  <c r="E157" i="1"/>
  <c r="G183" i="1"/>
  <c r="I157" i="1"/>
  <c r="N157" i="1"/>
  <c r="I183" i="1"/>
  <c r="G157" i="1"/>
  <c r="L144" i="1"/>
  <c r="L157" i="1"/>
  <c r="C170" i="1"/>
  <c r="D183" i="1"/>
  <c r="C144" i="1"/>
  <c r="H157" i="1"/>
  <c r="M183" i="1"/>
  <c r="O206" i="1" l="1"/>
  <c r="R141" i="38"/>
  <c r="R140" i="38"/>
  <c r="R144" i="38"/>
  <c r="R145" i="38"/>
  <c r="R148" i="38"/>
  <c r="R147" i="38"/>
  <c r="X146" i="38"/>
  <c r="R146" i="38"/>
  <c r="R143" i="38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74" i="23"/>
  <c r="A73" i="23"/>
  <c r="A72" i="23"/>
  <c r="A71" i="23"/>
  <c r="A70" i="23"/>
  <c r="A69" i="23"/>
  <c r="A68" i="23"/>
  <c r="A67" i="23"/>
  <c r="A66" i="23"/>
  <c r="A65" i="23"/>
  <c r="A64" i="23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6" i="63"/>
  <c r="A9" i="63"/>
  <c r="A7" i="63"/>
  <c r="A8" i="63"/>
  <c r="A11" i="63"/>
  <c r="A10" i="63"/>
  <c r="A12" i="63"/>
  <c r="A13" i="63"/>
  <c r="A14" i="63"/>
  <c r="A15" i="63"/>
  <c r="A16" i="63"/>
  <c r="A17" i="63"/>
  <c r="A18" i="63"/>
  <c r="A19" i="63"/>
  <c r="A21" i="63"/>
  <c r="A20" i="63"/>
  <c r="A22" i="63"/>
  <c r="A23" i="63"/>
  <c r="A25" i="63"/>
  <c r="A24" i="63"/>
  <c r="A26" i="63"/>
  <c r="A27" i="63"/>
  <c r="A28" i="63"/>
  <c r="A418" i="35"/>
  <c r="A417" i="35"/>
  <c r="A416" i="35"/>
  <c r="A415" i="35"/>
  <c r="A414" i="35"/>
  <c r="A413" i="35"/>
  <c r="A412" i="35"/>
  <c r="A411" i="35"/>
  <c r="A410" i="35"/>
  <c r="A409" i="35"/>
  <c r="A408" i="35"/>
  <c r="A407" i="35"/>
  <c r="A406" i="35"/>
  <c r="A405" i="35"/>
  <c r="A404" i="35"/>
  <c r="A403" i="35"/>
  <c r="A402" i="35"/>
  <c r="A401" i="35"/>
  <c r="A400" i="35"/>
  <c r="A399" i="35"/>
  <c r="A398" i="35"/>
  <c r="A397" i="35"/>
  <c r="A396" i="35"/>
  <c r="A395" i="35"/>
  <c r="A394" i="35"/>
  <c r="A393" i="35"/>
  <c r="A392" i="35"/>
  <c r="A390" i="35"/>
  <c r="A389" i="35"/>
  <c r="A388" i="35"/>
  <c r="A387" i="35"/>
  <c r="A386" i="35"/>
  <c r="A385" i="35"/>
  <c r="A384" i="35"/>
  <c r="A383" i="35"/>
  <c r="A382" i="35"/>
  <c r="A381" i="35"/>
  <c r="A380" i="35"/>
  <c r="A379" i="35"/>
  <c r="A378" i="35"/>
  <c r="A377" i="35"/>
  <c r="A376" i="35"/>
  <c r="A375" i="35"/>
  <c r="A374" i="35"/>
  <c r="A373" i="35"/>
  <c r="A372" i="35"/>
  <c r="A371" i="35"/>
  <c r="A370" i="35"/>
  <c r="A369" i="35"/>
  <c r="A368" i="35"/>
  <c r="A367" i="35"/>
  <c r="A366" i="35"/>
  <c r="A365" i="35"/>
  <c r="A364" i="35"/>
  <c r="A363" i="35"/>
  <c r="A362" i="35"/>
  <c r="A361" i="35"/>
  <c r="A360" i="35"/>
  <c r="A359" i="35"/>
  <c r="A358" i="35"/>
  <c r="A357" i="35"/>
  <c r="A356" i="35"/>
  <c r="A355" i="35"/>
  <c r="A354" i="35"/>
  <c r="A353" i="35"/>
  <c r="A352" i="35"/>
  <c r="A351" i="35"/>
  <c r="A350" i="35"/>
  <c r="A349" i="35"/>
  <c r="A348" i="35"/>
  <c r="A347" i="35"/>
  <c r="A346" i="35"/>
  <c r="A345" i="35"/>
  <c r="A344" i="35"/>
  <c r="A343" i="35"/>
  <c r="A342" i="35"/>
  <c r="A341" i="35"/>
  <c r="A340" i="35"/>
  <c r="A339" i="35"/>
  <c r="A338" i="35"/>
  <c r="A337" i="35"/>
  <c r="A336" i="35"/>
  <c r="A335" i="35"/>
  <c r="A334" i="35"/>
  <c r="A333" i="35"/>
  <c r="A332" i="35"/>
  <c r="A331" i="35"/>
  <c r="A330" i="35"/>
  <c r="A329" i="35"/>
  <c r="A328" i="35"/>
  <c r="A327" i="35"/>
  <c r="A326" i="35"/>
  <c r="A325" i="35"/>
  <c r="A324" i="35"/>
  <c r="A323" i="35"/>
  <c r="A322" i="35"/>
  <c r="A321" i="35"/>
  <c r="A320" i="35"/>
  <c r="A319" i="35"/>
  <c r="A318" i="35"/>
  <c r="A317" i="35"/>
  <c r="A316" i="35"/>
  <c r="A315" i="35"/>
  <c r="A314" i="35"/>
  <c r="A313" i="35"/>
  <c r="A312" i="35"/>
  <c r="A311" i="35"/>
  <c r="A310" i="35"/>
  <c r="A309" i="35"/>
  <c r="A308" i="35"/>
  <c r="A307" i="35"/>
  <c r="A306" i="35"/>
  <c r="A305" i="35"/>
  <c r="A304" i="35"/>
  <c r="A303" i="35"/>
  <c r="A302" i="35"/>
  <c r="A301" i="35"/>
  <c r="A300" i="35"/>
  <c r="A299" i="35"/>
  <c r="A298" i="35"/>
  <c r="AT136" i="25"/>
  <c r="AP136" i="25"/>
  <c r="AL136" i="25"/>
  <c r="AH136" i="25"/>
  <c r="AD136" i="25"/>
  <c r="Z136" i="25"/>
  <c r="V136" i="25"/>
  <c r="R136" i="25"/>
  <c r="N136" i="25"/>
  <c r="J136" i="25"/>
  <c r="F136" i="25"/>
  <c r="B136" i="25"/>
  <c r="D5" i="59"/>
  <c r="D8" i="49"/>
  <c r="C1" i="21"/>
  <c r="A3" i="1"/>
  <c r="AK51" i="69"/>
  <c r="T51" i="69"/>
  <c r="E105" i="71"/>
  <c r="E100" i="71"/>
  <c r="E95" i="71"/>
  <c r="E89" i="71"/>
  <c r="E82" i="71"/>
  <c r="E75" i="71"/>
  <c r="E70" i="71"/>
  <c r="E60" i="71"/>
  <c r="E47" i="71"/>
  <c r="E39" i="71"/>
  <c r="E34" i="71"/>
  <c r="E22" i="71"/>
  <c r="E13" i="71"/>
  <c r="Q149" i="38"/>
  <c r="D141" i="71"/>
  <c r="T108" i="38"/>
  <c r="E108" i="38"/>
  <c r="D108" i="38"/>
  <c r="T103" i="38"/>
  <c r="E103" i="38"/>
  <c r="D103" i="38"/>
  <c r="T98" i="38"/>
  <c r="E98" i="38"/>
  <c r="D98" i="38"/>
  <c r="T93" i="38"/>
  <c r="S93" i="38"/>
  <c r="E93" i="38"/>
  <c r="D93" i="38"/>
  <c r="T87" i="38"/>
  <c r="S87" i="38"/>
  <c r="E87" i="38"/>
  <c r="D87" i="38"/>
  <c r="T80" i="38"/>
  <c r="E80" i="38"/>
  <c r="D80" i="38"/>
  <c r="T73" i="38"/>
  <c r="E73" i="38"/>
  <c r="D73" i="38"/>
  <c r="T68" i="38"/>
  <c r="T58" i="38"/>
  <c r="E58" i="38"/>
  <c r="D58" i="38"/>
  <c r="Q55" i="38"/>
  <c r="Q54" i="38"/>
  <c r="Q53" i="38"/>
  <c r="Q52" i="38"/>
  <c r="Q51" i="38"/>
  <c r="Q50" i="38"/>
  <c r="Q49" i="38"/>
  <c r="Q48" i="38"/>
  <c r="Q47" i="38"/>
  <c r="Q46" i="38"/>
  <c r="N45" i="38"/>
  <c r="M45" i="38"/>
  <c r="L45" i="38"/>
  <c r="K45" i="38"/>
  <c r="J45" i="38"/>
  <c r="I45" i="38"/>
  <c r="H45" i="38"/>
  <c r="G45" i="38"/>
  <c r="F45" i="38"/>
  <c r="E45" i="38"/>
  <c r="D45" i="38"/>
  <c r="O56" i="38" s="1"/>
  <c r="Q43" i="38"/>
  <c r="T37" i="38"/>
  <c r="E37" i="38"/>
  <c r="D37" i="38"/>
  <c r="T32" i="38"/>
  <c r="F32" i="38"/>
  <c r="E32" i="38"/>
  <c r="D32" i="38"/>
  <c r="T20" i="38"/>
  <c r="E20" i="38"/>
  <c r="D20" i="38"/>
  <c r="E11" i="38"/>
  <c r="D11" i="38"/>
  <c r="P241" i="1"/>
  <c r="F68" i="38"/>
  <c r="E68" i="38"/>
  <c r="D68" i="38"/>
  <c r="N117" i="1"/>
  <c r="M117" i="1"/>
  <c r="L117" i="1"/>
  <c r="K117" i="1"/>
  <c r="J117" i="1"/>
  <c r="I117" i="1"/>
  <c r="H117" i="1"/>
  <c r="G117" i="1"/>
  <c r="F117" i="1"/>
  <c r="E117" i="1"/>
  <c r="D117" i="1"/>
  <c r="C117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N92" i="1"/>
  <c r="M92" i="1"/>
  <c r="L92" i="1"/>
  <c r="K92" i="1"/>
  <c r="J92" i="1"/>
  <c r="I92" i="1"/>
  <c r="H92" i="1"/>
  <c r="G92" i="1"/>
  <c r="F92" i="1"/>
  <c r="E92" i="1"/>
  <c r="D92" i="1"/>
  <c r="C92" i="1"/>
  <c r="N83" i="1"/>
  <c r="M83" i="1"/>
  <c r="L83" i="1"/>
  <c r="K83" i="1"/>
  <c r="J83" i="1"/>
  <c r="I83" i="1"/>
  <c r="H83" i="1"/>
  <c r="G83" i="1"/>
  <c r="F83" i="1"/>
  <c r="E83" i="1"/>
  <c r="D83" i="1"/>
  <c r="C83" i="1"/>
  <c r="O247" i="1"/>
  <c r="P247" i="1" s="1"/>
  <c r="P246" i="1" s="1"/>
  <c r="O237" i="1"/>
  <c r="P237" i="1" s="1"/>
  <c r="P236" i="1" s="1"/>
  <c r="O232" i="1"/>
  <c r="P232" i="1" s="1"/>
  <c r="P231" i="1" s="1"/>
  <c r="O226" i="1"/>
  <c r="P226" i="1" s="1"/>
  <c r="P225" i="1" s="1"/>
  <c r="O219" i="1"/>
  <c r="P219" i="1" s="1"/>
  <c r="P218" i="1" s="1"/>
  <c r="P211" i="1"/>
  <c r="O207" i="1"/>
  <c r="P207" i="1" s="1"/>
  <c r="P206" i="1" s="1"/>
  <c r="O197" i="1"/>
  <c r="P197" i="1" s="1"/>
  <c r="P196" i="1" s="1"/>
  <c r="O184" i="1"/>
  <c r="O181" i="1"/>
  <c r="O180" i="1"/>
  <c r="O179" i="1"/>
  <c r="O178" i="1"/>
  <c r="O177" i="1"/>
  <c r="O176" i="1"/>
  <c r="O175" i="1"/>
  <c r="O174" i="1"/>
  <c r="O173" i="1"/>
  <c r="O172" i="1"/>
  <c r="O171" i="1"/>
  <c r="O168" i="1"/>
  <c r="O167" i="1"/>
  <c r="O166" i="1"/>
  <c r="O165" i="1"/>
  <c r="O164" i="1"/>
  <c r="O163" i="1"/>
  <c r="O162" i="1"/>
  <c r="O161" i="1"/>
  <c r="O160" i="1"/>
  <c r="O159" i="1"/>
  <c r="O158" i="1"/>
  <c r="O155" i="1"/>
  <c r="O154" i="1"/>
  <c r="O153" i="1"/>
  <c r="O152" i="1"/>
  <c r="O151" i="1"/>
  <c r="O150" i="1"/>
  <c r="O149" i="1"/>
  <c r="O148" i="1"/>
  <c r="O147" i="1"/>
  <c r="O146" i="1"/>
  <c r="O145" i="1"/>
  <c r="O128" i="1"/>
  <c r="O127" i="1"/>
  <c r="O126" i="1"/>
  <c r="O125" i="1"/>
  <c r="O124" i="1"/>
  <c r="O123" i="1"/>
  <c r="O122" i="1"/>
  <c r="O121" i="1"/>
  <c r="O120" i="1"/>
  <c r="O119" i="1"/>
  <c r="O115" i="1"/>
  <c r="P115" i="1" s="1"/>
  <c r="P114" i="1" s="1"/>
  <c r="O112" i="1"/>
  <c r="P112" i="1" s="1"/>
  <c r="O111" i="1"/>
  <c r="P111" i="1" s="1"/>
  <c r="O110" i="1"/>
  <c r="P110" i="1" s="1"/>
  <c r="O107" i="1"/>
  <c r="P107" i="1" s="1"/>
  <c r="O106" i="1"/>
  <c r="P106" i="1" s="1"/>
  <c r="O105" i="1"/>
  <c r="P105" i="1" s="1"/>
  <c r="O102" i="1"/>
  <c r="P102" i="1" s="1"/>
  <c r="O101" i="1"/>
  <c r="P101" i="1" s="1"/>
  <c r="O100" i="1"/>
  <c r="P100" i="1" s="1"/>
  <c r="O99" i="1"/>
  <c r="P99" i="1" s="1"/>
  <c r="O98" i="1"/>
  <c r="P98" i="1" s="1"/>
  <c r="O97" i="1"/>
  <c r="P97" i="1" s="1"/>
  <c r="O96" i="1"/>
  <c r="P96" i="1" s="1"/>
  <c r="O95" i="1"/>
  <c r="P95" i="1" s="1"/>
  <c r="O94" i="1"/>
  <c r="P94" i="1" s="1"/>
  <c r="O93" i="1"/>
  <c r="P93" i="1" s="1"/>
  <c r="O90" i="1"/>
  <c r="P90" i="1" s="1"/>
  <c r="O89" i="1"/>
  <c r="P89" i="1" s="1"/>
  <c r="O88" i="1"/>
  <c r="P88" i="1" s="1"/>
  <c r="O87" i="1"/>
  <c r="P87" i="1" s="1"/>
  <c r="O86" i="1"/>
  <c r="P86" i="1" s="1"/>
  <c r="O85" i="1"/>
  <c r="P85" i="1" s="1"/>
  <c r="O84" i="1"/>
  <c r="P84" i="1" s="1"/>
  <c r="O79" i="1"/>
  <c r="O78" i="1"/>
  <c r="O77" i="1"/>
  <c r="O73" i="1"/>
  <c r="O72" i="1"/>
  <c r="O71" i="1"/>
  <c r="O70" i="1"/>
  <c r="O69" i="1"/>
  <c r="O68" i="1"/>
  <c r="O67" i="1"/>
  <c r="O66" i="1"/>
  <c r="O65" i="1"/>
  <c r="O64" i="1"/>
  <c r="O63" i="1"/>
  <c r="O59" i="1"/>
  <c r="O58" i="1"/>
  <c r="O57" i="1"/>
  <c r="O52" i="1"/>
  <c r="O51" i="1"/>
  <c r="O47" i="1"/>
  <c r="O46" i="1"/>
  <c r="O42" i="1"/>
  <c r="O41" i="1"/>
  <c r="O37" i="1"/>
  <c r="O36" i="1"/>
  <c r="N12" i="1"/>
  <c r="M12" i="1"/>
  <c r="L12" i="1"/>
  <c r="K12" i="1"/>
  <c r="J12" i="1"/>
  <c r="I12" i="1"/>
  <c r="H12" i="1"/>
  <c r="G12" i="1"/>
  <c r="F12" i="1"/>
  <c r="E12" i="1"/>
  <c r="D12" i="1"/>
  <c r="C13" i="1"/>
  <c r="B152" i="69"/>
  <c r="F148" i="71"/>
  <c r="B148" i="71"/>
  <c r="Z146" i="38"/>
  <c r="B146" i="38"/>
  <c r="G42" i="25"/>
  <c r="P120" i="38" l="1"/>
  <c r="P109" i="1"/>
  <c r="P104" i="1"/>
  <c r="P92" i="1"/>
  <c r="P83" i="1"/>
  <c r="X43" i="38"/>
  <c r="D44" i="71"/>
  <c r="B137" i="25"/>
  <c r="N272" i="1"/>
  <c r="N275" i="1" s="1"/>
  <c r="F272" i="1"/>
  <c r="F275" i="1" s="1"/>
  <c r="H272" i="1"/>
  <c r="H275" i="1" s="1"/>
  <c r="I272" i="1"/>
  <c r="I275" i="1" s="1"/>
  <c r="E272" i="1"/>
  <c r="E275" i="1" s="1"/>
  <c r="M272" i="1"/>
  <c r="M275" i="1" s="1"/>
  <c r="G272" i="1"/>
  <c r="G275" i="1" s="1"/>
  <c r="J272" i="1"/>
  <c r="J275" i="1" s="1"/>
  <c r="C272" i="1"/>
  <c r="C275" i="1" s="1"/>
  <c r="K272" i="1"/>
  <c r="K275" i="1" s="1"/>
  <c r="D272" i="1"/>
  <c r="D275" i="1" s="1"/>
  <c r="L272" i="1"/>
  <c r="L275" i="1" s="1"/>
  <c r="F146" i="69"/>
  <c r="G146" i="69" s="1"/>
  <c r="B11" i="32"/>
  <c r="B8" i="32"/>
  <c r="B9" i="32"/>
  <c r="B10" i="32"/>
  <c r="B4" i="32"/>
  <c r="B5" i="32"/>
  <c r="B6" i="32"/>
  <c r="B7" i="32"/>
  <c r="B3" i="32"/>
  <c r="O45" i="38" l="1"/>
  <c r="Q45" i="38" s="1"/>
  <c r="D47" i="71" s="1"/>
  <c r="D58" i="71" s="1"/>
  <c r="D163" i="69"/>
  <c r="C49" i="69"/>
  <c r="E44" i="71"/>
  <c r="Q56" i="38"/>
  <c r="D162" i="69"/>
  <c r="U127" i="38"/>
  <c r="B78" i="32"/>
  <c r="B79" i="32"/>
  <c r="B80" i="32"/>
  <c r="B81" i="32"/>
  <c r="B82" i="32"/>
  <c r="B83" i="32"/>
  <c r="B84" i="32"/>
  <c r="B102" i="32"/>
  <c r="B72" i="32"/>
  <c r="B73" i="32"/>
  <c r="B74" i="32"/>
  <c r="B75" i="32"/>
  <c r="B76" i="32"/>
  <c r="B77" i="32"/>
  <c r="B66" i="32"/>
  <c r="B67" i="32"/>
  <c r="B68" i="32"/>
  <c r="B69" i="32"/>
  <c r="B70" i="32"/>
  <c r="B71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M125" i="38" l="1"/>
  <c r="H125" i="38"/>
  <c r="K125" i="38"/>
  <c r="L125" i="38"/>
  <c r="N125" i="38"/>
  <c r="O125" i="38"/>
  <c r="I125" i="38"/>
  <c r="J125" i="38"/>
  <c r="O132" i="38"/>
  <c r="N132" i="38"/>
  <c r="K132" i="38"/>
  <c r="I132" i="38"/>
  <c r="H132" i="38"/>
  <c r="L132" i="38"/>
  <c r="J132" i="38"/>
  <c r="M132" i="38"/>
  <c r="X45" i="38"/>
  <c r="C48" i="69"/>
  <c r="U129" i="38"/>
  <c r="E28" i="59"/>
  <c r="C12" i="1"/>
  <c r="K129" i="38" l="1"/>
  <c r="N129" i="38"/>
  <c r="M129" i="38"/>
  <c r="H129" i="38"/>
  <c r="L129" i="38"/>
  <c r="J129" i="38"/>
  <c r="I129" i="38"/>
  <c r="O129" i="38"/>
  <c r="Q131" i="38"/>
  <c r="Q121" i="38"/>
  <c r="D123" i="71" s="1"/>
  <c r="Q126" i="38"/>
  <c r="Q125" i="38"/>
  <c r="D127" i="71" s="1"/>
  <c r="Q132" i="38"/>
  <c r="W132" i="38" s="1"/>
  <c r="Z140" i="38"/>
  <c r="Z141" i="38"/>
  <c r="Z142" i="38"/>
  <c r="Z143" i="38"/>
  <c r="Z144" i="38"/>
  <c r="Z145" i="38"/>
  <c r="Z147" i="38"/>
  <c r="Z148" i="38"/>
  <c r="B140" i="38"/>
  <c r="B141" i="38"/>
  <c r="B142" i="38"/>
  <c r="B143" i="38"/>
  <c r="B144" i="38"/>
  <c r="B145" i="38"/>
  <c r="B147" i="38"/>
  <c r="B148" i="38"/>
  <c r="X126" i="38" l="1"/>
  <c r="D128" i="71"/>
  <c r="Q129" i="38"/>
  <c r="D133" i="71"/>
  <c r="X131" i="38"/>
  <c r="W125" i="38"/>
  <c r="W131" i="38"/>
  <c r="X121" i="38"/>
  <c r="W126" i="38"/>
  <c r="D134" i="71"/>
  <c r="X125" i="38"/>
  <c r="E146" i="69"/>
  <c r="E147" i="69"/>
  <c r="E148" i="69"/>
  <c r="F148" i="69" s="1"/>
  <c r="G148" i="69" s="1"/>
  <c r="H148" i="69" s="1"/>
  <c r="I148" i="69" s="1"/>
  <c r="J148" i="69" s="1"/>
  <c r="K148" i="69" s="1"/>
  <c r="L148" i="69" s="1"/>
  <c r="M148" i="69" s="1"/>
  <c r="N148" i="69" s="1"/>
  <c r="O148" i="69" s="1"/>
  <c r="P148" i="69" s="1"/>
  <c r="Q148" i="69" s="1"/>
  <c r="R148" i="69" s="1"/>
  <c r="S148" i="69" s="1"/>
  <c r="T148" i="69" s="1"/>
  <c r="U148" i="69" s="1"/>
  <c r="V148" i="69" s="1"/>
  <c r="W148" i="69" s="1"/>
  <c r="X148" i="69" s="1"/>
  <c r="Y148" i="69" s="1"/>
  <c r="Z148" i="69" s="1"/>
  <c r="AA148" i="69" s="1"/>
  <c r="AB148" i="69" s="1"/>
  <c r="AC148" i="69" s="1"/>
  <c r="AD148" i="69" s="1"/>
  <c r="AE148" i="69" s="1"/>
  <c r="AF148" i="69" s="1"/>
  <c r="AG148" i="69" s="1"/>
  <c r="AH148" i="69" s="1"/>
  <c r="AI148" i="69" s="1"/>
  <c r="AJ148" i="69" s="1"/>
  <c r="AK148" i="69" s="1"/>
  <c r="AL148" i="69" s="1"/>
  <c r="AM148" i="69" s="1"/>
  <c r="AN148" i="69" s="1"/>
  <c r="AO148" i="69" s="1"/>
  <c r="AP148" i="69" s="1"/>
  <c r="E149" i="69"/>
  <c r="F149" i="69" s="1"/>
  <c r="G149" i="69" s="1"/>
  <c r="H149" i="69" s="1"/>
  <c r="I149" i="69" s="1"/>
  <c r="J149" i="69" s="1"/>
  <c r="K149" i="69" s="1"/>
  <c r="L149" i="69" s="1"/>
  <c r="M149" i="69" s="1"/>
  <c r="N149" i="69" s="1"/>
  <c r="O149" i="69" s="1"/>
  <c r="P149" i="69" s="1"/>
  <c r="Q149" i="69" s="1"/>
  <c r="R149" i="69" s="1"/>
  <c r="S149" i="69" s="1"/>
  <c r="T149" i="69" s="1"/>
  <c r="U149" i="69" s="1"/>
  <c r="V149" i="69" s="1"/>
  <c r="W149" i="69" s="1"/>
  <c r="X149" i="69" s="1"/>
  <c r="Y149" i="69" s="1"/>
  <c r="Z149" i="69" s="1"/>
  <c r="AA149" i="69" s="1"/>
  <c r="AB149" i="69" s="1"/>
  <c r="AC149" i="69" s="1"/>
  <c r="AD149" i="69" s="1"/>
  <c r="AE149" i="69" s="1"/>
  <c r="AF149" i="69" s="1"/>
  <c r="AG149" i="69" s="1"/>
  <c r="AH149" i="69" s="1"/>
  <c r="AI149" i="69" s="1"/>
  <c r="AJ149" i="69" s="1"/>
  <c r="AK149" i="69" s="1"/>
  <c r="AL149" i="69" s="1"/>
  <c r="AM149" i="69" s="1"/>
  <c r="AN149" i="69" s="1"/>
  <c r="AO149" i="69" s="1"/>
  <c r="AP149" i="69" s="1"/>
  <c r="E150" i="69"/>
  <c r="E151" i="69"/>
  <c r="E153" i="69"/>
  <c r="F153" i="69" s="1"/>
  <c r="G153" i="69" s="1"/>
  <c r="H153" i="69" s="1"/>
  <c r="I153" i="69" s="1"/>
  <c r="J153" i="69" s="1"/>
  <c r="K153" i="69" s="1"/>
  <c r="L153" i="69" s="1"/>
  <c r="M153" i="69" s="1"/>
  <c r="N153" i="69" s="1"/>
  <c r="O153" i="69" s="1"/>
  <c r="P153" i="69" s="1"/>
  <c r="Q153" i="69" s="1"/>
  <c r="R153" i="69" s="1"/>
  <c r="S153" i="69" s="1"/>
  <c r="T153" i="69" s="1"/>
  <c r="U153" i="69" s="1"/>
  <c r="V153" i="69" s="1"/>
  <c r="W153" i="69" s="1"/>
  <c r="X153" i="69" s="1"/>
  <c r="Y153" i="69" s="1"/>
  <c r="Z153" i="69" s="1"/>
  <c r="AA153" i="69" s="1"/>
  <c r="AB153" i="69" s="1"/>
  <c r="AC153" i="69" s="1"/>
  <c r="AD153" i="69" s="1"/>
  <c r="AE153" i="69" s="1"/>
  <c r="AF153" i="69" s="1"/>
  <c r="AG153" i="69" s="1"/>
  <c r="AH153" i="69" s="1"/>
  <c r="AI153" i="69" s="1"/>
  <c r="AJ153" i="69" s="1"/>
  <c r="AK153" i="69" s="1"/>
  <c r="AL153" i="69" s="1"/>
  <c r="AM153" i="69" s="1"/>
  <c r="AN153" i="69" s="1"/>
  <c r="AO153" i="69" s="1"/>
  <c r="AP153" i="69" s="1"/>
  <c r="X129" i="38" l="1"/>
  <c r="W129" i="38"/>
  <c r="D131" i="71"/>
  <c r="G147" i="69"/>
  <c r="H147" i="69" s="1"/>
  <c r="I147" i="69" s="1"/>
  <c r="J147" i="69" s="1"/>
  <c r="K147" i="69" s="1"/>
  <c r="L147" i="69" s="1"/>
  <c r="M147" i="69" s="1"/>
  <c r="N147" i="69" s="1"/>
  <c r="O147" i="69" s="1"/>
  <c r="P147" i="69" s="1"/>
  <c r="Q147" i="69" s="1"/>
  <c r="R147" i="69" s="1"/>
  <c r="S147" i="69" s="1"/>
  <c r="T147" i="69" s="1"/>
  <c r="U147" i="69" s="1"/>
  <c r="V147" i="69" s="1"/>
  <c r="W147" i="69" s="1"/>
  <c r="X147" i="69" s="1"/>
  <c r="Y147" i="69" s="1"/>
  <c r="Z147" i="69" s="1"/>
  <c r="AA147" i="69" s="1"/>
  <c r="AB147" i="69" s="1"/>
  <c r="AC147" i="69" s="1"/>
  <c r="AD147" i="69" s="1"/>
  <c r="AE147" i="69" s="1"/>
  <c r="AF147" i="69" s="1"/>
  <c r="AG147" i="69" s="1"/>
  <c r="AH147" i="69" s="1"/>
  <c r="AI147" i="69" s="1"/>
  <c r="AJ147" i="69" s="1"/>
  <c r="AK147" i="69" s="1"/>
  <c r="AL147" i="69" s="1"/>
  <c r="AM147" i="69" s="1"/>
  <c r="AN147" i="69" s="1"/>
  <c r="AO147" i="69" s="1"/>
  <c r="AP147" i="69" s="1"/>
  <c r="B143" i="71"/>
  <c r="B144" i="71"/>
  <c r="B145" i="71"/>
  <c r="B146" i="71"/>
  <c r="B147" i="71"/>
  <c r="B149" i="71"/>
  <c r="B147" i="69"/>
  <c r="B146" i="69"/>
  <c r="B148" i="69"/>
  <c r="B149" i="69"/>
  <c r="B150" i="69"/>
  <c r="B151" i="69"/>
  <c r="B153" i="69"/>
  <c r="B154" i="69"/>
  <c r="D51" i="69" l="1"/>
  <c r="D38" i="69"/>
  <c r="D17" i="69" l="1"/>
  <c r="D104" i="69"/>
  <c r="D93" i="69"/>
  <c r="D74" i="69"/>
  <c r="D109" i="69"/>
  <c r="D26" i="69"/>
  <c r="D79" i="69"/>
  <c r="D43" i="69"/>
  <c r="D86" i="69"/>
  <c r="D99" i="69"/>
  <c r="F55" i="49"/>
  <c r="F149" i="71"/>
  <c r="F147" i="71"/>
  <c r="F146" i="71"/>
  <c r="B142" i="71"/>
  <c r="B141" i="71"/>
  <c r="F142" i="71"/>
  <c r="F145" i="71"/>
  <c r="F50" i="49"/>
  <c r="F40" i="49"/>
  <c r="F39" i="49"/>
  <c r="F38" i="49"/>
  <c r="F37" i="49"/>
  <c r="F36" i="49"/>
  <c r="F35" i="49"/>
  <c r="F34" i="49"/>
  <c r="F33" i="49"/>
  <c r="F32" i="49"/>
  <c r="F31" i="49"/>
  <c r="F30" i="49"/>
  <c r="F16" i="49"/>
  <c r="F124" i="71" l="1"/>
  <c r="Q127" i="38"/>
  <c r="R129" i="38"/>
  <c r="R125" i="38" s="1"/>
  <c r="R132" i="38"/>
  <c r="E70" i="69"/>
  <c r="F70" i="69" s="1"/>
  <c r="G70" i="69" s="1"/>
  <c r="H70" i="69" s="1"/>
  <c r="I70" i="69" s="1"/>
  <c r="J70" i="69" s="1"/>
  <c r="K70" i="69" s="1"/>
  <c r="L70" i="69" s="1"/>
  <c r="M70" i="69" s="1"/>
  <c r="N70" i="69" s="1"/>
  <c r="O70" i="69" s="1"/>
  <c r="P70" i="69" s="1"/>
  <c r="Q70" i="69" s="1"/>
  <c r="R70" i="69" s="1"/>
  <c r="S70" i="69" s="1"/>
  <c r="T70" i="69" s="1"/>
  <c r="U70" i="69" s="1"/>
  <c r="V70" i="69" s="1"/>
  <c r="W70" i="69" s="1"/>
  <c r="X70" i="69" s="1"/>
  <c r="Y70" i="69" s="1"/>
  <c r="Z70" i="69" s="1"/>
  <c r="AA70" i="69" s="1"/>
  <c r="AB70" i="69" s="1"/>
  <c r="AC70" i="69" s="1"/>
  <c r="AD70" i="69" s="1"/>
  <c r="AE70" i="69" s="1"/>
  <c r="AF70" i="69" s="1"/>
  <c r="AG70" i="69" s="1"/>
  <c r="AH70" i="69" s="1"/>
  <c r="AI70" i="69" s="1"/>
  <c r="AJ70" i="69" s="1"/>
  <c r="D129" i="71" l="1"/>
  <c r="X127" i="38"/>
  <c r="W127" i="38"/>
  <c r="D64" i="69"/>
  <c r="R127" i="38"/>
  <c r="R126" i="38"/>
  <c r="F28" i="59"/>
  <c r="D28" i="59"/>
  <c r="A115" i="25"/>
  <c r="A114" i="25"/>
  <c r="A113" i="25"/>
  <c r="F23" i="59"/>
  <c r="U56" i="38"/>
  <c r="E62" i="69" l="1"/>
  <c r="E51" i="69" s="1"/>
  <c r="E119" i="69" l="1"/>
  <c r="F119" i="69" s="1"/>
  <c r="G119" i="69" s="1"/>
  <c r="H119" i="69" s="1"/>
  <c r="I119" i="69" s="1"/>
  <c r="J119" i="69" s="1"/>
  <c r="K119" i="69" s="1"/>
  <c r="L119" i="69" s="1"/>
  <c r="M119" i="69" s="1"/>
  <c r="N119" i="69" s="1"/>
  <c r="O119" i="69" s="1"/>
  <c r="P119" i="69" s="1"/>
  <c r="Q119" i="69" s="1"/>
  <c r="R119" i="69" s="1"/>
  <c r="S119" i="69" s="1"/>
  <c r="T119" i="69" s="1"/>
  <c r="U119" i="69" s="1"/>
  <c r="V119" i="69" s="1"/>
  <c r="W119" i="69" s="1"/>
  <c r="X119" i="69" s="1"/>
  <c r="Y119" i="69" s="1"/>
  <c r="Z119" i="69" s="1"/>
  <c r="AA119" i="69" s="1"/>
  <c r="AB119" i="69" s="1"/>
  <c r="AC119" i="69" s="1"/>
  <c r="AD119" i="69" s="1"/>
  <c r="AE119" i="69" s="1"/>
  <c r="AF119" i="69" s="1"/>
  <c r="AG119" i="69" s="1"/>
  <c r="AH119" i="69" s="1"/>
  <c r="AI119" i="69" s="1"/>
  <c r="AJ119" i="69" s="1"/>
  <c r="AK119" i="69" s="1"/>
  <c r="AL119" i="69" s="1"/>
  <c r="AM119" i="69" s="1"/>
  <c r="AN119" i="69" s="1"/>
  <c r="AO119" i="69" s="1"/>
  <c r="AP119" i="69" s="1"/>
  <c r="E115" i="69"/>
  <c r="F115" i="69" s="1"/>
  <c r="E112" i="69"/>
  <c r="F112" i="69" s="1"/>
  <c r="G112" i="69" s="1"/>
  <c r="H112" i="69" s="1"/>
  <c r="I112" i="69" s="1"/>
  <c r="J112" i="69" s="1"/>
  <c r="K112" i="69" s="1"/>
  <c r="L112" i="69" s="1"/>
  <c r="M112" i="69" s="1"/>
  <c r="N112" i="69" s="1"/>
  <c r="O112" i="69" s="1"/>
  <c r="P112" i="69" s="1"/>
  <c r="Q112" i="69" s="1"/>
  <c r="R112" i="69" s="1"/>
  <c r="S112" i="69" s="1"/>
  <c r="T112" i="69" s="1"/>
  <c r="U112" i="69" s="1"/>
  <c r="V112" i="69" s="1"/>
  <c r="W112" i="69" s="1"/>
  <c r="X112" i="69" s="1"/>
  <c r="Y112" i="69" s="1"/>
  <c r="Z112" i="69" s="1"/>
  <c r="AA112" i="69" s="1"/>
  <c r="AB112" i="69" s="1"/>
  <c r="AC112" i="69" s="1"/>
  <c r="AD112" i="69" s="1"/>
  <c r="AE112" i="69" s="1"/>
  <c r="AF112" i="69" s="1"/>
  <c r="AG112" i="69" s="1"/>
  <c r="AH112" i="69" s="1"/>
  <c r="AI112" i="69" s="1"/>
  <c r="AJ112" i="69" s="1"/>
  <c r="AK112" i="69" s="1"/>
  <c r="AL112" i="69" s="1"/>
  <c r="AM112" i="69" s="1"/>
  <c r="AN112" i="69" s="1"/>
  <c r="AO112" i="69" s="1"/>
  <c r="AP112" i="69" s="1"/>
  <c r="E88" i="69"/>
  <c r="F88" i="69" s="1"/>
  <c r="G88" i="69" s="1"/>
  <c r="H88" i="69" s="1"/>
  <c r="I88" i="69" s="1"/>
  <c r="J88" i="69" s="1"/>
  <c r="K88" i="69" s="1"/>
  <c r="L88" i="69" s="1"/>
  <c r="M88" i="69" s="1"/>
  <c r="N88" i="69" s="1"/>
  <c r="O88" i="69" s="1"/>
  <c r="P88" i="69" s="1"/>
  <c r="Q88" i="69" s="1"/>
  <c r="R88" i="69" s="1"/>
  <c r="S88" i="69" s="1"/>
  <c r="T88" i="69" s="1"/>
  <c r="U88" i="69" s="1"/>
  <c r="V88" i="69" s="1"/>
  <c r="W88" i="69" s="1"/>
  <c r="X88" i="69" s="1"/>
  <c r="Y88" i="69" s="1"/>
  <c r="Z88" i="69" s="1"/>
  <c r="AA88" i="69" s="1"/>
  <c r="AB88" i="69" s="1"/>
  <c r="AC88" i="69" s="1"/>
  <c r="E89" i="69"/>
  <c r="F89" i="69" s="1"/>
  <c r="G89" i="69" s="1"/>
  <c r="H89" i="69" s="1"/>
  <c r="I89" i="69" s="1"/>
  <c r="J89" i="69" s="1"/>
  <c r="K89" i="69" s="1"/>
  <c r="L89" i="69" s="1"/>
  <c r="M89" i="69" s="1"/>
  <c r="N89" i="69" s="1"/>
  <c r="O89" i="69" s="1"/>
  <c r="P89" i="69" s="1"/>
  <c r="Q89" i="69" s="1"/>
  <c r="R89" i="69" s="1"/>
  <c r="S89" i="69" s="1"/>
  <c r="T89" i="69" s="1"/>
  <c r="U89" i="69" s="1"/>
  <c r="V89" i="69" s="1"/>
  <c r="W89" i="69" s="1"/>
  <c r="X89" i="69" s="1"/>
  <c r="Y89" i="69" s="1"/>
  <c r="Z89" i="69" s="1"/>
  <c r="AA89" i="69" s="1"/>
  <c r="AB89" i="69" s="1"/>
  <c r="AC89" i="69" s="1"/>
  <c r="AD89" i="69" s="1"/>
  <c r="AE89" i="69" s="1"/>
  <c r="AF89" i="69" s="1"/>
  <c r="AG89" i="69" s="1"/>
  <c r="AH89" i="69" s="1"/>
  <c r="AI89" i="69" s="1"/>
  <c r="AJ89" i="69" s="1"/>
  <c r="AK89" i="69" s="1"/>
  <c r="AL89" i="69" s="1"/>
  <c r="AM89" i="69" s="1"/>
  <c r="AN89" i="69" s="1"/>
  <c r="AO89" i="69" s="1"/>
  <c r="AP89" i="69" s="1"/>
  <c r="E90" i="69"/>
  <c r="F90" i="69" s="1"/>
  <c r="G90" i="69" s="1"/>
  <c r="H90" i="69" s="1"/>
  <c r="I90" i="69" s="1"/>
  <c r="J90" i="69" s="1"/>
  <c r="K90" i="69" s="1"/>
  <c r="L90" i="69" s="1"/>
  <c r="M90" i="69" s="1"/>
  <c r="N90" i="69" s="1"/>
  <c r="O90" i="69" s="1"/>
  <c r="P90" i="69" s="1"/>
  <c r="Q90" i="69" s="1"/>
  <c r="R90" i="69" s="1"/>
  <c r="S90" i="69" s="1"/>
  <c r="T90" i="69" s="1"/>
  <c r="U90" i="69" s="1"/>
  <c r="V90" i="69" s="1"/>
  <c r="W90" i="69" s="1"/>
  <c r="X90" i="69" s="1"/>
  <c r="Y90" i="69" s="1"/>
  <c r="Z90" i="69" s="1"/>
  <c r="AA90" i="69" s="1"/>
  <c r="AB90" i="69" s="1"/>
  <c r="AC90" i="69" s="1"/>
  <c r="AD90" i="69" s="1"/>
  <c r="AE90" i="69" s="1"/>
  <c r="AF90" i="69" s="1"/>
  <c r="AG90" i="69" s="1"/>
  <c r="AH90" i="69" s="1"/>
  <c r="AI90" i="69" s="1"/>
  <c r="AJ90" i="69" s="1"/>
  <c r="AK90" i="69" s="1"/>
  <c r="AL90" i="69" s="1"/>
  <c r="AM90" i="69" s="1"/>
  <c r="AN90" i="69" s="1"/>
  <c r="AO90" i="69" s="1"/>
  <c r="AP90" i="69" s="1"/>
  <c r="E91" i="69"/>
  <c r="F91" i="69" s="1"/>
  <c r="G91" i="69" s="1"/>
  <c r="H91" i="69" s="1"/>
  <c r="I91" i="69" s="1"/>
  <c r="J91" i="69" s="1"/>
  <c r="K91" i="69" s="1"/>
  <c r="L91" i="69" s="1"/>
  <c r="M91" i="69" s="1"/>
  <c r="N91" i="69" s="1"/>
  <c r="O91" i="69" s="1"/>
  <c r="P91" i="69" s="1"/>
  <c r="Q91" i="69" s="1"/>
  <c r="R91" i="69" s="1"/>
  <c r="S91" i="69" s="1"/>
  <c r="T91" i="69" s="1"/>
  <c r="U91" i="69" s="1"/>
  <c r="V91" i="69" s="1"/>
  <c r="W91" i="69" s="1"/>
  <c r="X91" i="69" s="1"/>
  <c r="Y91" i="69" s="1"/>
  <c r="Z91" i="69" s="1"/>
  <c r="AA91" i="69" s="1"/>
  <c r="AB91" i="69" s="1"/>
  <c r="AC91" i="69" s="1"/>
  <c r="E83" i="69"/>
  <c r="F83" i="69" s="1"/>
  <c r="G83" i="69" s="1"/>
  <c r="H83" i="69" s="1"/>
  <c r="I83" i="69" s="1"/>
  <c r="J83" i="69" s="1"/>
  <c r="K83" i="69" s="1"/>
  <c r="L83" i="69" s="1"/>
  <c r="M83" i="69" s="1"/>
  <c r="N83" i="69" s="1"/>
  <c r="O83" i="69" s="1"/>
  <c r="P83" i="69" s="1"/>
  <c r="Q83" i="69" s="1"/>
  <c r="R83" i="69" s="1"/>
  <c r="S83" i="69" s="1"/>
  <c r="T83" i="69" s="1"/>
  <c r="E84" i="69"/>
  <c r="F84" i="69" s="1"/>
  <c r="G84" i="69" s="1"/>
  <c r="H84" i="69" s="1"/>
  <c r="I84" i="69" s="1"/>
  <c r="J84" i="69" s="1"/>
  <c r="K84" i="69" s="1"/>
  <c r="L84" i="69" s="1"/>
  <c r="M84" i="69" s="1"/>
  <c r="N84" i="69" s="1"/>
  <c r="O84" i="69" s="1"/>
  <c r="P84" i="69" s="1"/>
  <c r="Q84" i="69" s="1"/>
  <c r="R84" i="69" s="1"/>
  <c r="S84" i="69" s="1"/>
  <c r="T84" i="69" s="1"/>
  <c r="U84" i="69" s="1"/>
  <c r="V84" i="69" s="1"/>
  <c r="W84" i="69" s="1"/>
  <c r="X84" i="69" s="1"/>
  <c r="Y84" i="69" s="1"/>
  <c r="Z84" i="69" s="1"/>
  <c r="AA84" i="69" s="1"/>
  <c r="AB84" i="69" s="1"/>
  <c r="AC84" i="69" s="1"/>
  <c r="E77" i="69"/>
  <c r="F77" i="69" s="1"/>
  <c r="G77" i="69" s="1"/>
  <c r="H77" i="69" s="1"/>
  <c r="I77" i="69" s="1"/>
  <c r="J77" i="69" s="1"/>
  <c r="K77" i="69" s="1"/>
  <c r="L77" i="69" s="1"/>
  <c r="M77" i="69" s="1"/>
  <c r="N77" i="69" s="1"/>
  <c r="O77" i="69" s="1"/>
  <c r="P77" i="69" s="1"/>
  <c r="Q77" i="69" s="1"/>
  <c r="R77" i="69" s="1"/>
  <c r="S77" i="69" s="1"/>
  <c r="T77" i="69" s="1"/>
  <c r="U77" i="69" s="1"/>
  <c r="V77" i="69" s="1"/>
  <c r="W77" i="69" s="1"/>
  <c r="X77" i="69" s="1"/>
  <c r="Y77" i="69" s="1"/>
  <c r="Z77" i="69" s="1"/>
  <c r="AA77" i="69" s="1"/>
  <c r="AB77" i="69" s="1"/>
  <c r="AC77" i="69" s="1"/>
  <c r="AD77" i="69" s="1"/>
  <c r="E41" i="69"/>
  <c r="F41" i="69" s="1"/>
  <c r="G41" i="69" s="1"/>
  <c r="H41" i="69" s="1"/>
  <c r="I41" i="69" s="1"/>
  <c r="J41" i="69" s="1"/>
  <c r="K41" i="69" s="1"/>
  <c r="L41" i="69" s="1"/>
  <c r="M41" i="69" s="1"/>
  <c r="N41" i="69" s="1"/>
  <c r="O41" i="69" s="1"/>
  <c r="P41" i="69" s="1"/>
  <c r="Q41" i="69" s="1"/>
  <c r="R41" i="69" s="1"/>
  <c r="S41" i="69" s="1"/>
  <c r="T41" i="69" s="1"/>
  <c r="U41" i="69" s="1"/>
  <c r="V41" i="69" s="1"/>
  <c r="W41" i="69" s="1"/>
  <c r="X41" i="69" s="1"/>
  <c r="Y41" i="69" s="1"/>
  <c r="Z41" i="69" s="1"/>
  <c r="AA41" i="69" s="1"/>
  <c r="AB41" i="69" s="1"/>
  <c r="AC41" i="69" s="1"/>
  <c r="AD41" i="69" s="1"/>
  <c r="AE41" i="69" s="1"/>
  <c r="AF41" i="69" s="1"/>
  <c r="AG41" i="69" s="1"/>
  <c r="AH41" i="69" s="1"/>
  <c r="AI41" i="69" s="1"/>
  <c r="AJ41" i="69" s="1"/>
  <c r="AK41" i="69" s="1"/>
  <c r="AL41" i="69" s="1"/>
  <c r="AM41" i="69" s="1"/>
  <c r="AN41" i="69" s="1"/>
  <c r="AO41" i="69" s="1"/>
  <c r="AP41" i="69" s="1"/>
  <c r="E30" i="69"/>
  <c r="F30" i="69" s="1"/>
  <c r="G30" i="69" s="1"/>
  <c r="H30" i="69" s="1"/>
  <c r="I30" i="69" s="1"/>
  <c r="J30" i="69" s="1"/>
  <c r="K30" i="69" s="1"/>
  <c r="L30" i="69" s="1"/>
  <c r="M30" i="69" s="1"/>
  <c r="N30" i="69" s="1"/>
  <c r="O30" i="69" s="1"/>
  <c r="P30" i="69" s="1"/>
  <c r="Q30" i="69" s="1"/>
  <c r="R30" i="69" s="1"/>
  <c r="S30" i="69" s="1"/>
  <c r="T30" i="69" s="1"/>
  <c r="U30" i="69" s="1"/>
  <c r="V30" i="69" s="1"/>
  <c r="W30" i="69" s="1"/>
  <c r="X30" i="69" s="1"/>
  <c r="Y30" i="69" s="1"/>
  <c r="Z30" i="69" s="1"/>
  <c r="AA30" i="69" s="1"/>
  <c r="AB30" i="69" s="1"/>
  <c r="AC30" i="69" s="1"/>
  <c r="AD30" i="69" s="1"/>
  <c r="AE30" i="69" s="1"/>
  <c r="AF30" i="69" s="1"/>
  <c r="AG30" i="69" s="1"/>
  <c r="AH30" i="69" s="1"/>
  <c r="AI30" i="69" s="1"/>
  <c r="AJ30" i="69" s="1"/>
  <c r="AK30" i="69" s="1"/>
  <c r="AL30" i="69" s="1"/>
  <c r="AM30" i="69" s="1"/>
  <c r="AN30" i="69" s="1"/>
  <c r="AO30" i="69" s="1"/>
  <c r="AP30" i="69" s="1"/>
  <c r="E32" i="69"/>
  <c r="F32" i="69" s="1"/>
  <c r="G32" i="69" s="1"/>
  <c r="H32" i="69" s="1"/>
  <c r="I32" i="69" s="1"/>
  <c r="J32" i="69" s="1"/>
  <c r="K32" i="69" s="1"/>
  <c r="L32" i="69" s="1"/>
  <c r="M32" i="69" s="1"/>
  <c r="N32" i="69" s="1"/>
  <c r="O32" i="69" s="1"/>
  <c r="P32" i="69" s="1"/>
  <c r="Q32" i="69" s="1"/>
  <c r="R32" i="69" s="1"/>
  <c r="S32" i="69" s="1"/>
  <c r="T32" i="69" s="1"/>
  <c r="U32" i="69" s="1"/>
  <c r="V32" i="69" s="1"/>
  <c r="W32" i="69" s="1"/>
  <c r="X32" i="69" s="1"/>
  <c r="Y32" i="69" s="1"/>
  <c r="Z32" i="69" s="1"/>
  <c r="AA32" i="69" s="1"/>
  <c r="AB32" i="69" s="1"/>
  <c r="AC32" i="69" s="1"/>
  <c r="E35" i="69"/>
  <c r="F35" i="69" s="1"/>
  <c r="G35" i="69" s="1"/>
  <c r="H35" i="69" s="1"/>
  <c r="I35" i="69" s="1"/>
  <c r="J35" i="69" s="1"/>
  <c r="K35" i="69" s="1"/>
  <c r="L35" i="69" s="1"/>
  <c r="M35" i="69" s="1"/>
  <c r="N35" i="69" s="1"/>
  <c r="O35" i="69" s="1"/>
  <c r="P35" i="69" s="1"/>
  <c r="Q35" i="69" s="1"/>
  <c r="R35" i="69" s="1"/>
  <c r="S35" i="69" s="1"/>
  <c r="T35" i="69" s="1"/>
  <c r="U35" i="69" s="1"/>
  <c r="V35" i="69" s="1"/>
  <c r="W35" i="69" s="1"/>
  <c r="X35" i="69" s="1"/>
  <c r="Y35" i="69" s="1"/>
  <c r="Z35" i="69" s="1"/>
  <c r="AA35" i="69" s="1"/>
  <c r="AB35" i="69" s="1"/>
  <c r="AC35" i="69" s="1"/>
  <c r="AD35" i="69" s="1"/>
  <c r="AE35" i="69" s="1"/>
  <c r="AF35" i="69" s="1"/>
  <c r="AG35" i="69" s="1"/>
  <c r="AH35" i="69" s="1"/>
  <c r="AI35" i="69" s="1"/>
  <c r="AJ35" i="69" s="1"/>
  <c r="AK35" i="69" s="1"/>
  <c r="AL35" i="69" s="1"/>
  <c r="AM35" i="69" s="1"/>
  <c r="AN35" i="69" s="1"/>
  <c r="AO35" i="69" s="1"/>
  <c r="AP35" i="69" s="1"/>
  <c r="E36" i="69"/>
  <c r="F36" i="69" s="1"/>
  <c r="G36" i="69" s="1"/>
  <c r="H36" i="69" s="1"/>
  <c r="I36" i="69" s="1"/>
  <c r="J36" i="69" s="1"/>
  <c r="K36" i="69" s="1"/>
  <c r="L36" i="69" s="1"/>
  <c r="M36" i="69" s="1"/>
  <c r="N36" i="69" s="1"/>
  <c r="O36" i="69" s="1"/>
  <c r="P36" i="69" s="1"/>
  <c r="Q36" i="69" s="1"/>
  <c r="R36" i="69" s="1"/>
  <c r="S36" i="69" s="1"/>
  <c r="T36" i="69" s="1"/>
  <c r="U36" i="69" s="1"/>
  <c r="V36" i="69" s="1"/>
  <c r="W36" i="69" s="1"/>
  <c r="X36" i="69" s="1"/>
  <c r="Y36" i="69" s="1"/>
  <c r="Z36" i="69" s="1"/>
  <c r="AA36" i="69" s="1"/>
  <c r="AB36" i="69" s="1"/>
  <c r="AC36" i="69" s="1"/>
  <c r="AD36" i="69" s="1"/>
  <c r="AE36" i="69" s="1"/>
  <c r="AF36" i="69" s="1"/>
  <c r="AG36" i="69" s="1"/>
  <c r="AH36" i="69" s="1"/>
  <c r="AI36" i="69" s="1"/>
  <c r="AJ36" i="69" s="1"/>
  <c r="AK36" i="69" s="1"/>
  <c r="AL36" i="69" s="1"/>
  <c r="AM36" i="69" s="1"/>
  <c r="AN36" i="69" s="1"/>
  <c r="AO36" i="69" s="1"/>
  <c r="AP36" i="69" s="1"/>
  <c r="E27" i="69"/>
  <c r="E21" i="69"/>
  <c r="F21" i="69" s="1"/>
  <c r="G21" i="69" s="1"/>
  <c r="H21" i="69" s="1"/>
  <c r="I21" i="69" s="1"/>
  <c r="J21" i="69" s="1"/>
  <c r="K21" i="69" s="1"/>
  <c r="L21" i="69" s="1"/>
  <c r="M21" i="69" s="1"/>
  <c r="N21" i="69" s="1"/>
  <c r="O21" i="69" s="1"/>
  <c r="P21" i="69" s="1"/>
  <c r="Q21" i="69" s="1"/>
  <c r="R21" i="69" s="1"/>
  <c r="S21" i="69" s="1"/>
  <c r="T21" i="69" s="1"/>
  <c r="U21" i="69" s="1"/>
  <c r="V21" i="69" s="1"/>
  <c r="W21" i="69" s="1"/>
  <c r="X21" i="69" s="1"/>
  <c r="Y21" i="69" s="1"/>
  <c r="Z21" i="69" s="1"/>
  <c r="AA21" i="69" s="1"/>
  <c r="AB21" i="69" s="1"/>
  <c r="AC21" i="69" s="1"/>
  <c r="AD21" i="69" s="1"/>
  <c r="AE21" i="69" s="1"/>
  <c r="AF21" i="69" s="1"/>
  <c r="AG21" i="69" s="1"/>
  <c r="AH21" i="69" s="1"/>
  <c r="AI21" i="69" s="1"/>
  <c r="AJ21" i="69" s="1"/>
  <c r="AK21" i="69" s="1"/>
  <c r="AL21" i="69" s="1"/>
  <c r="AM21" i="69" s="1"/>
  <c r="AN21" i="69" s="1"/>
  <c r="AO21" i="69" s="1"/>
  <c r="AP21" i="69" s="1"/>
  <c r="E22" i="69"/>
  <c r="F22" i="69" s="1"/>
  <c r="G22" i="69" s="1"/>
  <c r="H22" i="69" s="1"/>
  <c r="I22" i="69" s="1"/>
  <c r="J22" i="69" s="1"/>
  <c r="K22" i="69" s="1"/>
  <c r="L22" i="69" s="1"/>
  <c r="M22" i="69" s="1"/>
  <c r="N22" i="69" s="1"/>
  <c r="O22" i="69" s="1"/>
  <c r="P22" i="69" s="1"/>
  <c r="Q22" i="69" s="1"/>
  <c r="R22" i="69" s="1"/>
  <c r="S22" i="69" s="1"/>
  <c r="T22" i="69" s="1"/>
  <c r="U22" i="69" s="1"/>
  <c r="V22" i="69" s="1"/>
  <c r="W22" i="69" s="1"/>
  <c r="X22" i="69" s="1"/>
  <c r="Y22" i="69" s="1"/>
  <c r="Z22" i="69" s="1"/>
  <c r="AA22" i="69" s="1"/>
  <c r="AB22" i="69" s="1"/>
  <c r="AC22" i="69" s="1"/>
  <c r="AD22" i="69" s="1"/>
  <c r="E23" i="69"/>
  <c r="F23" i="69" s="1"/>
  <c r="G23" i="69" s="1"/>
  <c r="H23" i="69" s="1"/>
  <c r="I23" i="69" s="1"/>
  <c r="J23" i="69" s="1"/>
  <c r="K23" i="69" s="1"/>
  <c r="L23" i="69" s="1"/>
  <c r="M23" i="69" s="1"/>
  <c r="N23" i="69" s="1"/>
  <c r="O23" i="69" s="1"/>
  <c r="P23" i="69" s="1"/>
  <c r="Q23" i="69" s="1"/>
  <c r="R23" i="69" s="1"/>
  <c r="S23" i="69" s="1"/>
  <c r="T23" i="69" s="1"/>
  <c r="U23" i="69" s="1"/>
  <c r="V23" i="69" s="1"/>
  <c r="W23" i="69" s="1"/>
  <c r="X23" i="69" s="1"/>
  <c r="Y23" i="69" s="1"/>
  <c r="Z23" i="69" s="1"/>
  <c r="AA23" i="69" s="1"/>
  <c r="AB23" i="69" s="1"/>
  <c r="AC23" i="69" s="1"/>
  <c r="AD23" i="69" s="1"/>
  <c r="AE23" i="69" s="1"/>
  <c r="AF23" i="69" s="1"/>
  <c r="AG23" i="69" s="1"/>
  <c r="AH23" i="69" s="1"/>
  <c r="AI23" i="69" s="1"/>
  <c r="AJ23" i="69" s="1"/>
  <c r="AK23" i="69" s="1"/>
  <c r="AL23" i="69" s="1"/>
  <c r="AM23" i="69" s="1"/>
  <c r="AN23" i="69" s="1"/>
  <c r="AO23" i="69" s="1"/>
  <c r="AP23" i="69" s="1"/>
  <c r="E18" i="69"/>
  <c r="F18" i="69" s="1"/>
  <c r="F120" i="71"/>
  <c r="B117" i="71"/>
  <c r="B116" i="71"/>
  <c r="B115" i="71"/>
  <c r="B114" i="71"/>
  <c r="B113" i="71"/>
  <c r="B112" i="71"/>
  <c r="B111" i="71"/>
  <c r="B110" i="71"/>
  <c r="F109" i="71"/>
  <c r="B108" i="71"/>
  <c r="B107" i="71"/>
  <c r="F106" i="71"/>
  <c r="B106" i="71"/>
  <c r="B105" i="71"/>
  <c r="F104" i="71"/>
  <c r="B103" i="71"/>
  <c r="B102" i="71"/>
  <c r="B101" i="71"/>
  <c r="B100" i="71"/>
  <c r="F99" i="71"/>
  <c r="B98" i="71"/>
  <c r="B97" i="71"/>
  <c r="B96" i="71"/>
  <c r="B95" i="71"/>
  <c r="F94" i="71"/>
  <c r="B93" i="71"/>
  <c r="B92" i="71"/>
  <c r="B91" i="71"/>
  <c r="B90" i="71"/>
  <c r="B89" i="71"/>
  <c r="F88" i="71"/>
  <c r="B87" i="71"/>
  <c r="B86" i="71"/>
  <c r="B85" i="71"/>
  <c r="B84" i="71"/>
  <c r="B83" i="71"/>
  <c r="B82" i="71"/>
  <c r="F81" i="71"/>
  <c r="B80" i="71"/>
  <c r="B79" i="71"/>
  <c r="B78" i="71"/>
  <c r="B77" i="71"/>
  <c r="B76" i="71"/>
  <c r="B75" i="71"/>
  <c r="F74" i="71"/>
  <c r="B73" i="71"/>
  <c r="B72" i="71"/>
  <c r="B71" i="71"/>
  <c r="B70" i="71"/>
  <c r="F69" i="71"/>
  <c r="B68" i="71"/>
  <c r="B67" i="71"/>
  <c r="B66" i="71"/>
  <c r="B64" i="71"/>
  <c r="B63" i="71"/>
  <c r="B62" i="71"/>
  <c r="B61" i="71"/>
  <c r="B60" i="71"/>
  <c r="F59" i="71"/>
  <c r="B58" i="71"/>
  <c r="B57" i="71"/>
  <c r="B56" i="71"/>
  <c r="B55" i="71"/>
  <c r="B54" i="71"/>
  <c r="B53" i="71"/>
  <c r="B52" i="71"/>
  <c r="B51" i="71"/>
  <c r="B50" i="71"/>
  <c r="B49" i="71"/>
  <c r="B48" i="71"/>
  <c r="B47" i="71"/>
  <c r="F46" i="71"/>
  <c r="B45" i="71"/>
  <c r="B44" i="71"/>
  <c r="B42" i="71"/>
  <c r="B41" i="71"/>
  <c r="B40" i="71"/>
  <c r="B39" i="71"/>
  <c r="F38" i="71"/>
  <c r="B37" i="71"/>
  <c r="B36" i="71"/>
  <c r="B35" i="71"/>
  <c r="B34" i="71"/>
  <c r="F33" i="71"/>
  <c r="B32" i="71"/>
  <c r="B31" i="71"/>
  <c r="B30" i="71"/>
  <c r="B29" i="71"/>
  <c r="B28" i="71"/>
  <c r="B27" i="71"/>
  <c r="B26" i="71"/>
  <c r="B25" i="71"/>
  <c r="B24" i="71"/>
  <c r="B23" i="71"/>
  <c r="B22" i="71"/>
  <c r="F21" i="71"/>
  <c r="B20" i="71"/>
  <c r="B19" i="71"/>
  <c r="B18" i="71"/>
  <c r="B17" i="71"/>
  <c r="B16" i="71"/>
  <c r="B15" i="71"/>
  <c r="B14" i="71"/>
  <c r="B13" i="71"/>
  <c r="D96" i="41"/>
  <c r="C165" i="69"/>
  <c r="B118" i="69"/>
  <c r="B119" i="69"/>
  <c r="Z113" i="38"/>
  <c r="B113" i="38"/>
  <c r="B96" i="41" s="1"/>
  <c r="H146" i="69"/>
  <c r="I146" i="69" s="1"/>
  <c r="J146" i="69" s="1"/>
  <c r="K146" i="69" s="1"/>
  <c r="L146" i="69" s="1"/>
  <c r="M146" i="69" s="1"/>
  <c r="N146" i="69" s="1"/>
  <c r="O146" i="69" s="1"/>
  <c r="P146" i="69" s="1"/>
  <c r="Q146" i="69" s="1"/>
  <c r="R146" i="69" s="1"/>
  <c r="S146" i="69" s="1"/>
  <c r="T146" i="69" s="1"/>
  <c r="U146" i="69" s="1"/>
  <c r="V146" i="69" s="1"/>
  <c r="W146" i="69" s="1"/>
  <c r="X146" i="69" s="1"/>
  <c r="Y146" i="69" s="1"/>
  <c r="Z146" i="69" s="1"/>
  <c r="AA146" i="69" s="1"/>
  <c r="AB146" i="69" s="1"/>
  <c r="AC146" i="69" s="1"/>
  <c r="AD146" i="69" s="1"/>
  <c r="AE146" i="69" s="1"/>
  <c r="AF146" i="69" s="1"/>
  <c r="AG146" i="69" s="1"/>
  <c r="AH146" i="69" s="1"/>
  <c r="AI146" i="69" s="1"/>
  <c r="AJ146" i="69" s="1"/>
  <c r="AK146" i="69" s="1"/>
  <c r="AL146" i="69" s="1"/>
  <c r="AM146" i="69" s="1"/>
  <c r="AN146" i="69" s="1"/>
  <c r="AO146" i="69" s="1"/>
  <c r="AP146" i="69" s="1"/>
  <c r="B145" i="69"/>
  <c r="E121" i="69"/>
  <c r="F121" i="69" s="1"/>
  <c r="G121" i="69" s="1"/>
  <c r="H121" i="69" s="1"/>
  <c r="I121" i="69" s="1"/>
  <c r="J121" i="69" s="1"/>
  <c r="K121" i="69" s="1"/>
  <c r="L121" i="69" s="1"/>
  <c r="M121" i="69" s="1"/>
  <c r="N121" i="69" s="1"/>
  <c r="O121" i="69" s="1"/>
  <c r="P121" i="69" s="1"/>
  <c r="Q121" i="69" s="1"/>
  <c r="R121" i="69" s="1"/>
  <c r="S121" i="69" s="1"/>
  <c r="T121" i="69" s="1"/>
  <c r="U121" i="69" s="1"/>
  <c r="V121" i="69" s="1"/>
  <c r="W121" i="69" s="1"/>
  <c r="X121" i="69" s="1"/>
  <c r="Y121" i="69" s="1"/>
  <c r="Z121" i="69" s="1"/>
  <c r="AA121" i="69" s="1"/>
  <c r="AB121" i="69" s="1"/>
  <c r="AC121" i="69" s="1"/>
  <c r="AD121" i="69" s="1"/>
  <c r="AE121" i="69" s="1"/>
  <c r="AF121" i="69" s="1"/>
  <c r="AG121" i="69" s="1"/>
  <c r="AH121" i="69" s="1"/>
  <c r="AI121" i="69" s="1"/>
  <c r="AJ121" i="69" s="1"/>
  <c r="AK121" i="69" s="1"/>
  <c r="AL121" i="69" s="1"/>
  <c r="AM121" i="69" s="1"/>
  <c r="AN121" i="69" s="1"/>
  <c r="AO121" i="69" s="1"/>
  <c r="AP121" i="69" s="1"/>
  <c r="B121" i="69"/>
  <c r="B120" i="69"/>
  <c r="E117" i="69"/>
  <c r="F117" i="69" s="1"/>
  <c r="G117" i="69" s="1"/>
  <c r="H117" i="69" s="1"/>
  <c r="I117" i="69" s="1"/>
  <c r="J117" i="69" s="1"/>
  <c r="K117" i="69" s="1"/>
  <c r="L117" i="69" s="1"/>
  <c r="M117" i="69" s="1"/>
  <c r="N117" i="69" s="1"/>
  <c r="O117" i="69" s="1"/>
  <c r="P117" i="69" s="1"/>
  <c r="Q117" i="69" s="1"/>
  <c r="R117" i="69" s="1"/>
  <c r="S117" i="69" s="1"/>
  <c r="T117" i="69" s="1"/>
  <c r="U117" i="69" s="1"/>
  <c r="V117" i="69" s="1"/>
  <c r="W117" i="69" s="1"/>
  <c r="X117" i="69" s="1"/>
  <c r="Y117" i="69" s="1"/>
  <c r="Z117" i="69" s="1"/>
  <c r="AA117" i="69" s="1"/>
  <c r="AB117" i="69" s="1"/>
  <c r="AC117" i="69" s="1"/>
  <c r="AD117" i="69" s="1"/>
  <c r="AE117" i="69" s="1"/>
  <c r="AF117" i="69" s="1"/>
  <c r="AG117" i="69" s="1"/>
  <c r="AH117" i="69" s="1"/>
  <c r="AI117" i="69" s="1"/>
  <c r="AJ117" i="69" s="1"/>
  <c r="AK117" i="69" s="1"/>
  <c r="AL117" i="69" s="1"/>
  <c r="AM117" i="69" s="1"/>
  <c r="AN117" i="69" s="1"/>
  <c r="AO117" i="69" s="1"/>
  <c r="AP117" i="69" s="1"/>
  <c r="B117" i="69"/>
  <c r="B116" i="69"/>
  <c r="B115" i="69"/>
  <c r="B114" i="69"/>
  <c r="B112" i="69"/>
  <c r="B111" i="69"/>
  <c r="AL110" i="69"/>
  <c r="AM110" i="69" s="1"/>
  <c r="AN110" i="69" s="1"/>
  <c r="AO110" i="69" s="1"/>
  <c r="AP110" i="69" s="1"/>
  <c r="B110" i="69"/>
  <c r="B109" i="69"/>
  <c r="B107" i="69"/>
  <c r="B106" i="69"/>
  <c r="B105" i="69"/>
  <c r="B104" i="69"/>
  <c r="F102" i="69"/>
  <c r="G102" i="69" s="1"/>
  <c r="H102" i="69" s="1"/>
  <c r="I102" i="69" s="1"/>
  <c r="J102" i="69" s="1"/>
  <c r="K102" i="69" s="1"/>
  <c r="L102" i="69" s="1"/>
  <c r="M102" i="69" s="1"/>
  <c r="N102" i="69" s="1"/>
  <c r="O102" i="69" s="1"/>
  <c r="P102" i="69" s="1"/>
  <c r="Q102" i="69" s="1"/>
  <c r="R102" i="69" s="1"/>
  <c r="S102" i="69" s="1"/>
  <c r="T102" i="69" s="1"/>
  <c r="U102" i="69" s="1"/>
  <c r="V102" i="69" s="1"/>
  <c r="W102" i="69" s="1"/>
  <c r="X102" i="69" s="1"/>
  <c r="Y102" i="69" s="1"/>
  <c r="Z102" i="69" s="1"/>
  <c r="AA102" i="69" s="1"/>
  <c r="AB102" i="69" s="1"/>
  <c r="AC102" i="69" s="1"/>
  <c r="AD102" i="69" s="1"/>
  <c r="AE102" i="69" s="1"/>
  <c r="AF102" i="69" s="1"/>
  <c r="AG102" i="69" s="1"/>
  <c r="AH102" i="69" s="1"/>
  <c r="AI102" i="69" s="1"/>
  <c r="AJ102" i="69" s="1"/>
  <c r="AK102" i="69" s="1"/>
  <c r="AL102" i="69" s="1"/>
  <c r="AM102" i="69" s="1"/>
  <c r="AN102" i="69" s="1"/>
  <c r="AO102" i="69" s="1"/>
  <c r="AP102" i="69" s="1"/>
  <c r="B102" i="69"/>
  <c r="E101" i="69"/>
  <c r="F101" i="69" s="1"/>
  <c r="G101" i="69" s="1"/>
  <c r="H101" i="69" s="1"/>
  <c r="I101" i="69" s="1"/>
  <c r="J101" i="69" s="1"/>
  <c r="K101" i="69" s="1"/>
  <c r="L101" i="69" s="1"/>
  <c r="M101" i="69" s="1"/>
  <c r="N101" i="69" s="1"/>
  <c r="O101" i="69" s="1"/>
  <c r="P101" i="69" s="1"/>
  <c r="Q101" i="69" s="1"/>
  <c r="R101" i="69" s="1"/>
  <c r="S101" i="69" s="1"/>
  <c r="T101" i="69" s="1"/>
  <c r="U101" i="69" s="1"/>
  <c r="V101" i="69" s="1"/>
  <c r="W101" i="69" s="1"/>
  <c r="X101" i="69" s="1"/>
  <c r="Y101" i="69" s="1"/>
  <c r="Z101" i="69" s="1"/>
  <c r="AA101" i="69" s="1"/>
  <c r="AB101" i="69" s="1"/>
  <c r="AC101" i="69" s="1"/>
  <c r="AD101" i="69" s="1"/>
  <c r="AE101" i="69" s="1"/>
  <c r="AF101" i="69" s="1"/>
  <c r="AG101" i="69" s="1"/>
  <c r="AH101" i="69" s="1"/>
  <c r="AI101" i="69" s="1"/>
  <c r="AJ101" i="69" s="1"/>
  <c r="AK101" i="69" s="1"/>
  <c r="AL101" i="69" s="1"/>
  <c r="AM101" i="69" s="1"/>
  <c r="AN101" i="69" s="1"/>
  <c r="AO101" i="69" s="1"/>
  <c r="AP101" i="69" s="1"/>
  <c r="B101" i="69"/>
  <c r="B100" i="69"/>
  <c r="B99" i="69"/>
  <c r="B97" i="69"/>
  <c r="E96" i="69"/>
  <c r="F96" i="69" s="1"/>
  <c r="G96" i="69" s="1"/>
  <c r="H96" i="69" s="1"/>
  <c r="I96" i="69" s="1"/>
  <c r="J96" i="69" s="1"/>
  <c r="K96" i="69" s="1"/>
  <c r="L96" i="69" s="1"/>
  <c r="M96" i="69" s="1"/>
  <c r="N96" i="69" s="1"/>
  <c r="O96" i="69" s="1"/>
  <c r="P96" i="69" s="1"/>
  <c r="Q96" i="69" s="1"/>
  <c r="R96" i="69" s="1"/>
  <c r="S96" i="69" s="1"/>
  <c r="T96" i="69" s="1"/>
  <c r="U96" i="69" s="1"/>
  <c r="V96" i="69" s="1"/>
  <c r="W96" i="69" s="1"/>
  <c r="X96" i="69" s="1"/>
  <c r="Y96" i="69" s="1"/>
  <c r="Z96" i="69" s="1"/>
  <c r="AA96" i="69" s="1"/>
  <c r="AB96" i="69" s="1"/>
  <c r="AC96" i="69" s="1"/>
  <c r="AD96" i="69" s="1"/>
  <c r="AE96" i="69" s="1"/>
  <c r="AF96" i="69" s="1"/>
  <c r="AG96" i="69" s="1"/>
  <c r="AH96" i="69" s="1"/>
  <c r="AI96" i="69" s="1"/>
  <c r="AJ96" i="69" s="1"/>
  <c r="AK96" i="69" s="1"/>
  <c r="AL96" i="69" s="1"/>
  <c r="AM96" i="69" s="1"/>
  <c r="AN96" i="69" s="1"/>
  <c r="AO96" i="69" s="1"/>
  <c r="AP96" i="69" s="1"/>
  <c r="B96" i="69"/>
  <c r="B95" i="69"/>
  <c r="E94" i="69"/>
  <c r="F94" i="69" s="1"/>
  <c r="B94" i="69"/>
  <c r="B93" i="69"/>
  <c r="AE91" i="69"/>
  <c r="AF91" i="69" s="1"/>
  <c r="AG91" i="69" s="1"/>
  <c r="AH91" i="69" s="1"/>
  <c r="AI91" i="69" s="1"/>
  <c r="AJ91" i="69" s="1"/>
  <c r="AK91" i="69" s="1"/>
  <c r="AL91" i="69" s="1"/>
  <c r="AM91" i="69" s="1"/>
  <c r="AN91" i="69" s="1"/>
  <c r="AO91" i="69" s="1"/>
  <c r="AP91" i="69" s="1"/>
  <c r="B91" i="69"/>
  <c r="B90" i="69"/>
  <c r="B89" i="69"/>
  <c r="AE88" i="69"/>
  <c r="AF88" i="69" s="1"/>
  <c r="AG88" i="69" s="1"/>
  <c r="AH88" i="69" s="1"/>
  <c r="AI88" i="69" s="1"/>
  <c r="AJ88" i="69" s="1"/>
  <c r="AK88" i="69" s="1"/>
  <c r="AL88" i="69" s="1"/>
  <c r="AM88" i="69" s="1"/>
  <c r="AN88" i="69" s="1"/>
  <c r="AO88" i="69" s="1"/>
  <c r="AP88" i="69" s="1"/>
  <c r="B88" i="69"/>
  <c r="B87" i="69"/>
  <c r="B86" i="69"/>
  <c r="AE84" i="69"/>
  <c r="AF84" i="69" s="1"/>
  <c r="AG84" i="69" s="1"/>
  <c r="AH84" i="69" s="1"/>
  <c r="AI84" i="69" s="1"/>
  <c r="AJ84" i="69" s="1"/>
  <c r="AK84" i="69" s="1"/>
  <c r="AL84" i="69" s="1"/>
  <c r="AM84" i="69" s="1"/>
  <c r="AN84" i="69" s="1"/>
  <c r="AO84" i="69" s="1"/>
  <c r="AP84" i="69" s="1"/>
  <c r="B84" i="69"/>
  <c r="B83" i="69"/>
  <c r="K82" i="69"/>
  <c r="L82" i="69" s="1"/>
  <c r="M82" i="69" s="1"/>
  <c r="N82" i="69" s="1"/>
  <c r="O82" i="69" s="1"/>
  <c r="P82" i="69" s="1"/>
  <c r="Q82" i="69" s="1"/>
  <c r="R82" i="69" s="1"/>
  <c r="S82" i="69" s="1"/>
  <c r="T82" i="69" s="1"/>
  <c r="U82" i="69" s="1"/>
  <c r="V82" i="69" s="1"/>
  <c r="W82" i="69" s="1"/>
  <c r="X82" i="69" s="1"/>
  <c r="Y82" i="69" s="1"/>
  <c r="Z82" i="69" s="1"/>
  <c r="AA82" i="69" s="1"/>
  <c r="AB82" i="69" s="1"/>
  <c r="AC82" i="69" s="1"/>
  <c r="AD82" i="69" s="1"/>
  <c r="AE82" i="69" s="1"/>
  <c r="AF82" i="69" s="1"/>
  <c r="AG82" i="69" s="1"/>
  <c r="AH82" i="69" s="1"/>
  <c r="AI82" i="69" s="1"/>
  <c r="AJ82" i="69" s="1"/>
  <c r="AK82" i="69" s="1"/>
  <c r="AL82" i="69" s="1"/>
  <c r="AM82" i="69" s="1"/>
  <c r="AN82" i="69" s="1"/>
  <c r="AO82" i="69" s="1"/>
  <c r="AP82" i="69" s="1"/>
  <c r="E82" i="69"/>
  <c r="F82" i="69" s="1"/>
  <c r="G82" i="69" s="1"/>
  <c r="H82" i="69" s="1"/>
  <c r="I82" i="69" s="1"/>
  <c r="B82" i="69"/>
  <c r="O81" i="69"/>
  <c r="P81" i="69" s="1"/>
  <c r="Q81" i="69" s="1"/>
  <c r="R81" i="69" s="1"/>
  <c r="S81" i="69" s="1"/>
  <c r="T81" i="69" s="1"/>
  <c r="U81" i="69" s="1"/>
  <c r="V81" i="69" s="1"/>
  <c r="W81" i="69" s="1"/>
  <c r="X81" i="69" s="1"/>
  <c r="Y81" i="69" s="1"/>
  <c r="Z81" i="69" s="1"/>
  <c r="AA81" i="69" s="1"/>
  <c r="AB81" i="69" s="1"/>
  <c r="AC81" i="69" s="1"/>
  <c r="AD81" i="69" s="1"/>
  <c r="AE81" i="69" s="1"/>
  <c r="AF81" i="69" s="1"/>
  <c r="AG81" i="69" s="1"/>
  <c r="AH81" i="69" s="1"/>
  <c r="AI81" i="69" s="1"/>
  <c r="AJ81" i="69" s="1"/>
  <c r="AK81" i="69" s="1"/>
  <c r="AL81" i="69" s="1"/>
  <c r="AM81" i="69" s="1"/>
  <c r="AN81" i="69" s="1"/>
  <c r="AO81" i="69" s="1"/>
  <c r="AP81" i="69" s="1"/>
  <c r="B81" i="69"/>
  <c r="U80" i="69"/>
  <c r="V80" i="69" s="1"/>
  <c r="W80" i="69" s="1"/>
  <c r="X80" i="69" s="1"/>
  <c r="Y80" i="69" s="1"/>
  <c r="Z80" i="69" s="1"/>
  <c r="AA80" i="69" s="1"/>
  <c r="AB80" i="69" s="1"/>
  <c r="AC80" i="69" s="1"/>
  <c r="AD80" i="69" s="1"/>
  <c r="E80" i="69"/>
  <c r="F80" i="69" s="1"/>
  <c r="G80" i="69" s="1"/>
  <c r="H80" i="69" s="1"/>
  <c r="I80" i="69" s="1"/>
  <c r="J80" i="69" s="1"/>
  <c r="K80" i="69" s="1"/>
  <c r="L80" i="69" s="1"/>
  <c r="M80" i="69" s="1"/>
  <c r="N80" i="69" s="1"/>
  <c r="B80" i="69"/>
  <c r="B79" i="69"/>
  <c r="B77" i="69"/>
  <c r="B76" i="69"/>
  <c r="E75" i="69"/>
  <c r="B75" i="69"/>
  <c r="B74" i="69"/>
  <c r="AL72" i="69"/>
  <c r="AM72" i="69" s="1"/>
  <c r="AN72" i="69" s="1"/>
  <c r="AO72" i="69" s="1"/>
  <c r="AP72" i="69" s="1"/>
  <c r="E72" i="69"/>
  <c r="F72" i="69" s="1"/>
  <c r="G72" i="69" s="1"/>
  <c r="H72" i="69" s="1"/>
  <c r="I72" i="69" s="1"/>
  <c r="J72" i="69" s="1"/>
  <c r="K72" i="69" s="1"/>
  <c r="L72" i="69" s="1"/>
  <c r="M72" i="69" s="1"/>
  <c r="N72" i="69" s="1"/>
  <c r="O72" i="69" s="1"/>
  <c r="P72" i="69" s="1"/>
  <c r="Q72" i="69" s="1"/>
  <c r="R72" i="69" s="1"/>
  <c r="S72" i="69" s="1"/>
  <c r="T72" i="69" s="1"/>
  <c r="U72" i="69" s="1"/>
  <c r="V72" i="69" s="1"/>
  <c r="W72" i="69" s="1"/>
  <c r="X72" i="69" s="1"/>
  <c r="Y72" i="69" s="1"/>
  <c r="Z72" i="69" s="1"/>
  <c r="AA72" i="69" s="1"/>
  <c r="AB72" i="69" s="1"/>
  <c r="AC72" i="69" s="1"/>
  <c r="AD72" i="69" s="1"/>
  <c r="AE72" i="69" s="1"/>
  <c r="AF72" i="69" s="1"/>
  <c r="AG72" i="69" s="1"/>
  <c r="AH72" i="69" s="1"/>
  <c r="AI72" i="69" s="1"/>
  <c r="AJ72" i="69" s="1"/>
  <c r="B72" i="69"/>
  <c r="E71" i="69"/>
  <c r="F71" i="69" s="1"/>
  <c r="G71" i="69" s="1"/>
  <c r="H71" i="69" s="1"/>
  <c r="I71" i="69" s="1"/>
  <c r="J71" i="69" s="1"/>
  <c r="K71" i="69" s="1"/>
  <c r="L71" i="69" s="1"/>
  <c r="M71" i="69" s="1"/>
  <c r="N71" i="69" s="1"/>
  <c r="O71" i="69" s="1"/>
  <c r="P71" i="69" s="1"/>
  <c r="Q71" i="69" s="1"/>
  <c r="R71" i="69" s="1"/>
  <c r="S71" i="69" s="1"/>
  <c r="T71" i="69" s="1"/>
  <c r="U71" i="69" s="1"/>
  <c r="V71" i="69" s="1"/>
  <c r="W71" i="69" s="1"/>
  <c r="X71" i="69" s="1"/>
  <c r="Y71" i="69" s="1"/>
  <c r="Z71" i="69" s="1"/>
  <c r="AA71" i="69" s="1"/>
  <c r="AB71" i="69" s="1"/>
  <c r="AC71" i="69" s="1"/>
  <c r="AD71" i="69" s="1"/>
  <c r="AE71" i="69" s="1"/>
  <c r="AF71" i="69" s="1"/>
  <c r="AG71" i="69" s="1"/>
  <c r="AH71" i="69" s="1"/>
  <c r="AI71" i="69" s="1"/>
  <c r="AJ71" i="69" s="1"/>
  <c r="AK71" i="69" s="1"/>
  <c r="B71" i="69"/>
  <c r="B70" i="69"/>
  <c r="AL67" i="69"/>
  <c r="AM67" i="69" s="1"/>
  <c r="AN67" i="69" s="1"/>
  <c r="AO67" i="69" s="1"/>
  <c r="AP67" i="69" s="1"/>
  <c r="E67" i="69"/>
  <c r="F67" i="69" s="1"/>
  <c r="G67" i="69" s="1"/>
  <c r="H67" i="69" s="1"/>
  <c r="I67" i="69" s="1"/>
  <c r="J67" i="69" s="1"/>
  <c r="K67" i="69" s="1"/>
  <c r="L67" i="69" s="1"/>
  <c r="M67" i="69" s="1"/>
  <c r="N67" i="69" s="1"/>
  <c r="O67" i="69" s="1"/>
  <c r="P67" i="69" s="1"/>
  <c r="Q67" i="69" s="1"/>
  <c r="R67" i="69" s="1"/>
  <c r="S67" i="69" s="1"/>
  <c r="T67" i="69" s="1"/>
  <c r="U67" i="69" s="1"/>
  <c r="V67" i="69" s="1"/>
  <c r="W67" i="69" s="1"/>
  <c r="X67" i="69" s="1"/>
  <c r="Y67" i="69" s="1"/>
  <c r="Z67" i="69" s="1"/>
  <c r="AA67" i="69" s="1"/>
  <c r="AB67" i="69" s="1"/>
  <c r="AC67" i="69" s="1"/>
  <c r="AD67" i="69" s="1"/>
  <c r="AE67" i="69" s="1"/>
  <c r="AF67" i="69" s="1"/>
  <c r="AG67" i="69" s="1"/>
  <c r="AH67" i="69" s="1"/>
  <c r="AI67" i="69" s="1"/>
  <c r="AJ67" i="69" s="1"/>
  <c r="B67" i="69"/>
  <c r="AL66" i="69"/>
  <c r="AM66" i="69" s="1"/>
  <c r="AN66" i="69" s="1"/>
  <c r="AO66" i="69" s="1"/>
  <c r="AP66" i="69" s="1"/>
  <c r="E66" i="69"/>
  <c r="F66" i="69" s="1"/>
  <c r="G66" i="69" s="1"/>
  <c r="H66" i="69" s="1"/>
  <c r="I66" i="69" s="1"/>
  <c r="J66" i="69" s="1"/>
  <c r="K66" i="69" s="1"/>
  <c r="L66" i="69" s="1"/>
  <c r="M66" i="69" s="1"/>
  <c r="N66" i="69" s="1"/>
  <c r="O66" i="69" s="1"/>
  <c r="P66" i="69" s="1"/>
  <c r="Q66" i="69" s="1"/>
  <c r="R66" i="69" s="1"/>
  <c r="S66" i="69" s="1"/>
  <c r="T66" i="69" s="1"/>
  <c r="U66" i="69" s="1"/>
  <c r="V66" i="69" s="1"/>
  <c r="W66" i="69" s="1"/>
  <c r="X66" i="69" s="1"/>
  <c r="Y66" i="69" s="1"/>
  <c r="Z66" i="69" s="1"/>
  <c r="AA66" i="69" s="1"/>
  <c r="AB66" i="69" s="1"/>
  <c r="AC66" i="69" s="1"/>
  <c r="AD66" i="69" s="1"/>
  <c r="AE66" i="69" s="1"/>
  <c r="AF66" i="69" s="1"/>
  <c r="AG66" i="69" s="1"/>
  <c r="AH66" i="69" s="1"/>
  <c r="AI66" i="69" s="1"/>
  <c r="AJ66" i="69" s="1"/>
  <c r="B66" i="69"/>
  <c r="AL65" i="69"/>
  <c r="B65" i="69"/>
  <c r="B64" i="69"/>
  <c r="AL62" i="69"/>
  <c r="AL51" i="69" s="1"/>
  <c r="B62" i="69"/>
  <c r="B61" i="69"/>
  <c r="B60" i="69"/>
  <c r="B59" i="69"/>
  <c r="B58" i="69"/>
  <c r="B57" i="69"/>
  <c r="B56" i="69"/>
  <c r="B55" i="69"/>
  <c r="B54" i="69"/>
  <c r="B53" i="69"/>
  <c r="B52" i="69"/>
  <c r="B51" i="69"/>
  <c r="P49" i="69"/>
  <c r="P48" i="69" s="1"/>
  <c r="B49" i="69"/>
  <c r="O48" i="69"/>
  <c r="B48" i="69"/>
  <c r="E46" i="69"/>
  <c r="F46" i="69" s="1"/>
  <c r="G46" i="69" s="1"/>
  <c r="H46" i="69" s="1"/>
  <c r="I46" i="69" s="1"/>
  <c r="J46" i="69" s="1"/>
  <c r="K46" i="69" s="1"/>
  <c r="L46" i="69" s="1"/>
  <c r="M46" i="69" s="1"/>
  <c r="N46" i="69" s="1"/>
  <c r="O46" i="69" s="1"/>
  <c r="P46" i="69" s="1"/>
  <c r="Q46" i="69" s="1"/>
  <c r="R46" i="69" s="1"/>
  <c r="S46" i="69" s="1"/>
  <c r="T46" i="69" s="1"/>
  <c r="U46" i="69" s="1"/>
  <c r="V46" i="69" s="1"/>
  <c r="W46" i="69" s="1"/>
  <c r="X46" i="69" s="1"/>
  <c r="Y46" i="69" s="1"/>
  <c r="Z46" i="69" s="1"/>
  <c r="AA46" i="69" s="1"/>
  <c r="AB46" i="69" s="1"/>
  <c r="AC46" i="69" s="1"/>
  <c r="AD46" i="69" s="1"/>
  <c r="AE46" i="69" s="1"/>
  <c r="AF46" i="69" s="1"/>
  <c r="AG46" i="69" s="1"/>
  <c r="AH46" i="69" s="1"/>
  <c r="AI46" i="69" s="1"/>
  <c r="AJ46" i="69" s="1"/>
  <c r="AK46" i="69" s="1"/>
  <c r="AL46" i="69" s="1"/>
  <c r="AM46" i="69" s="1"/>
  <c r="AN46" i="69" s="1"/>
  <c r="AO46" i="69" s="1"/>
  <c r="AP46" i="69" s="1"/>
  <c r="B46" i="69"/>
  <c r="E45" i="69"/>
  <c r="F45" i="69" s="1"/>
  <c r="G45" i="69" s="1"/>
  <c r="H45" i="69" s="1"/>
  <c r="I45" i="69" s="1"/>
  <c r="J45" i="69" s="1"/>
  <c r="K45" i="69" s="1"/>
  <c r="L45" i="69" s="1"/>
  <c r="M45" i="69" s="1"/>
  <c r="N45" i="69" s="1"/>
  <c r="O45" i="69" s="1"/>
  <c r="P45" i="69" s="1"/>
  <c r="Q45" i="69" s="1"/>
  <c r="R45" i="69" s="1"/>
  <c r="S45" i="69" s="1"/>
  <c r="T45" i="69" s="1"/>
  <c r="U45" i="69" s="1"/>
  <c r="V45" i="69" s="1"/>
  <c r="W45" i="69" s="1"/>
  <c r="X45" i="69" s="1"/>
  <c r="Y45" i="69" s="1"/>
  <c r="Z45" i="69" s="1"/>
  <c r="AA45" i="69" s="1"/>
  <c r="AB45" i="69" s="1"/>
  <c r="AC45" i="69" s="1"/>
  <c r="AD45" i="69" s="1"/>
  <c r="AE45" i="69" s="1"/>
  <c r="AF45" i="69" s="1"/>
  <c r="AG45" i="69" s="1"/>
  <c r="AH45" i="69" s="1"/>
  <c r="AI45" i="69" s="1"/>
  <c r="AJ45" i="69" s="1"/>
  <c r="AK45" i="69" s="1"/>
  <c r="AL45" i="69" s="1"/>
  <c r="AM45" i="69" s="1"/>
  <c r="AN45" i="69" s="1"/>
  <c r="AO45" i="69" s="1"/>
  <c r="AP45" i="69" s="1"/>
  <c r="B45" i="69"/>
  <c r="B44" i="69"/>
  <c r="B43" i="69"/>
  <c r="B41" i="69"/>
  <c r="B40" i="69"/>
  <c r="E39" i="69"/>
  <c r="B39" i="69"/>
  <c r="B38" i="69"/>
  <c r="B36" i="69"/>
  <c r="B35" i="69"/>
  <c r="B34" i="69"/>
  <c r="B33" i="69"/>
  <c r="AE32" i="69"/>
  <c r="AF32" i="69" s="1"/>
  <c r="AG32" i="69" s="1"/>
  <c r="AH32" i="69" s="1"/>
  <c r="AI32" i="69" s="1"/>
  <c r="AJ32" i="69" s="1"/>
  <c r="AK32" i="69" s="1"/>
  <c r="AL32" i="69" s="1"/>
  <c r="AM32" i="69" s="1"/>
  <c r="AN32" i="69" s="1"/>
  <c r="AO32" i="69" s="1"/>
  <c r="AP32" i="69" s="1"/>
  <c r="B32" i="69"/>
  <c r="AE31" i="69"/>
  <c r="AF31" i="69" s="1"/>
  <c r="AG31" i="69" s="1"/>
  <c r="AH31" i="69" s="1"/>
  <c r="AI31" i="69" s="1"/>
  <c r="AJ31" i="69" s="1"/>
  <c r="AK31" i="69" s="1"/>
  <c r="AL31" i="69" s="1"/>
  <c r="AM31" i="69" s="1"/>
  <c r="AN31" i="69" s="1"/>
  <c r="AO31" i="69" s="1"/>
  <c r="AP31" i="69" s="1"/>
  <c r="B31" i="69"/>
  <c r="B30" i="69"/>
  <c r="E29" i="69"/>
  <c r="F29" i="69" s="1"/>
  <c r="G29" i="69" s="1"/>
  <c r="H29" i="69" s="1"/>
  <c r="I29" i="69" s="1"/>
  <c r="J29" i="69" s="1"/>
  <c r="K29" i="69" s="1"/>
  <c r="L29" i="69" s="1"/>
  <c r="M29" i="69" s="1"/>
  <c r="N29" i="69" s="1"/>
  <c r="O29" i="69" s="1"/>
  <c r="P29" i="69" s="1"/>
  <c r="Q29" i="69" s="1"/>
  <c r="R29" i="69" s="1"/>
  <c r="S29" i="69" s="1"/>
  <c r="T29" i="69" s="1"/>
  <c r="U29" i="69" s="1"/>
  <c r="V29" i="69" s="1"/>
  <c r="W29" i="69" s="1"/>
  <c r="X29" i="69" s="1"/>
  <c r="Y29" i="69" s="1"/>
  <c r="Z29" i="69" s="1"/>
  <c r="AA29" i="69" s="1"/>
  <c r="AB29" i="69" s="1"/>
  <c r="AC29" i="69" s="1"/>
  <c r="AD29" i="69" s="1"/>
  <c r="AE29" i="69" s="1"/>
  <c r="AF29" i="69" s="1"/>
  <c r="AG29" i="69" s="1"/>
  <c r="AH29" i="69" s="1"/>
  <c r="AI29" i="69" s="1"/>
  <c r="AJ29" i="69" s="1"/>
  <c r="AK29" i="69" s="1"/>
  <c r="AL29" i="69" s="1"/>
  <c r="AM29" i="69" s="1"/>
  <c r="AN29" i="69" s="1"/>
  <c r="AO29" i="69" s="1"/>
  <c r="AP29" i="69" s="1"/>
  <c r="B29" i="69"/>
  <c r="E28" i="69"/>
  <c r="F28" i="69" s="1"/>
  <c r="G28" i="69" s="1"/>
  <c r="H28" i="69" s="1"/>
  <c r="I28" i="69" s="1"/>
  <c r="J28" i="69" s="1"/>
  <c r="K28" i="69" s="1"/>
  <c r="L28" i="69" s="1"/>
  <c r="M28" i="69" s="1"/>
  <c r="N28" i="69" s="1"/>
  <c r="O28" i="69" s="1"/>
  <c r="P28" i="69" s="1"/>
  <c r="Q28" i="69" s="1"/>
  <c r="R28" i="69" s="1"/>
  <c r="S28" i="69" s="1"/>
  <c r="T28" i="69" s="1"/>
  <c r="U28" i="69" s="1"/>
  <c r="V28" i="69" s="1"/>
  <c r="W28" i="69" s="1"/>
  <c r="X28" i="69" s="1"/>
  <c r="Y28" i="69" s="1"/>
  <c r="Z28" i="69" s="1"/>
  <c r="AA28" i="69" s="1"/>
  <c r="AB28" i="69" s="1"/>
  <c r="AC28" i="69" s="1"/>
  <c r="AD28" i="69" s="1"/>
  <c r="B28" i="69"/>
  <c r="B27" i="69"/>
  <c r="B26" i="69"/>
  <c r="E24" i="69"/>
  <c r="F24" i="69" s="1"/>
  <c r="G24" i="69" s="1"/>
  <c r="H24" i="69" s="1"/>
  <c r="I24" i="69" s="1"/>
  <c r="J24" i="69" s="1"/>
  <c r="K24" i="69" s="1"/>
  <c r="L24" i="69" s="1"/>
  <c r="M24" i="69" s="1"/>
  <c r="N24" i="69" s="1"/>
  <c r="O24" i="69" s="1"/>
  <c r="P24" i="69" s="1"/>
  <c r="Q24" i="69" s="1"/>
  <c r="R24" i="69" s="1"/>
  <c r="S24" i="69" s="1"/>
  <c r="T24" i="69" s="1"/>
  <c r="U24" i="69" s="1"/>
  <c r="V24" i="69" s="1"/>
  <c r="W24" i="69" s="1"/>
  <c r="X24" i="69" s="1"/>
  <c r="Y24" i="69" s="1"/>
  <c r="Z24" i="69" s="1"/>
  <c r="AA24" i="69" s="1"/>
  <c r="AB24" i="69" s="1"/>
  <c r="AC24" i="69" s="1"/>
  <c r="AD24" i="69" s="1"/>
  <c r="AE24" i="69" s="1"/>
  <c r="AF24" i="69" s="1"/>
  <c r="AG24" i="69" s="1"/>
  <c r="AH24" i="69" s="1"/>
  <c r="AI24" i="69" s="1"/>
  <c r="AJ24" i="69" s="1"/>
  <c r="AK24" i="69" s="1"/>
  <c r="AL24" i="69" s="1"/>
  <c r="AM24" i="69" s="1"/>
  <c r="AN24" i="69" s="1"/>
  <c r="AO24" i="69" s="1"/>
  <c r="AP24" i="69" s="1"/>
  <c r="B24" i="69"/>
  <c r="B23" i="69"/>
  <c r="B22" i="69"/>
  <c r="B21" i="69"/>
  <c r="E20" i="69"/>
  <c r="F20" i="69" s="1"/>
  <c r="G20" i="69" s="1"/>
  <c r="H20" i="69" s="1"/>
  <c r="I20" i="69" s="1"/>
  <c r="J20" i="69" s="1"/>
  <c r="K20" i="69" s="1"/>
  <c r="L20" i="69" s="1"/>
  <c r="M20" i="69" s="1"/>
  <c r="N20" i="69" s="1"/>
  <c r="O20" i="69" s="1"/>
  <c r="P20" i="69" s="1"/>
  <c r="Q20" i="69" s="1"/>
  <c r="R20" i="69" s="1"/>
  <c r="S20" i="69" s="1"/>
  <c r="T20" i="69" s="1"/>
  <c r="U20" i="69" s="1"/>
  <c r="V20" i="69" s="1"/>
  <c r="W20" i="69" s="1"/>
  <c r="X20" i="69" s="1"/>
  <c r="Y20" i="69" s="1"/>
  <c r="Z20" i="69" s="1"/>
  <c r="AA20" i="69" s="1"/>
  <c r="AB20" i="69" s="1"/>
  <c r="AC20" i="69" s="1"/>
  <c r="AD20" i="69" s="1"/>
  <c r="AE20" i="69" s="1"/>
  <c r="AF20" i="69" s="1"/>
  <c r="AG20" i="69" s="1"/>
  <c r="AH20" i="69" s="1"/>
  <c r="AI20" i="69" s="1"/>
  <c r="AJ20" i="69" s="1"/>
  <c r="AK20" i="69" s="1"/>
  <c r="AL20" i="69" s="1"/>
  <c r="AM20" i="69" s="1"/>
  <c r="AN20" i="69" s="1"/>
  <c r="AO20" i="69" s="1"/>
  <c r="AP20" i="69" s="1"/>
  <c r="B20" i="69"/>
  <c r="B19" i="69"/>
  <c r="B18" i="69"/>
  <c r="B17" i="69"/>
  <c r="D94" i="41"/>
  <c r="D93" i="41"/>
  <c r="D95" i="41"/>
  <c r="D97" i="41"/>
  <c r="E120" i="69"/>
  <c r="F120" i="69" s="1"/>
  <c r="G120" i="69" s="1"/>
  <c r="E19" i="69"/>
  <c r="F19" i="69" s="1"/>
  <c r="G19" i="69" s="1"/>
  <c r="H19" i="69" s="1"/>
  <c r="I19" i="69" s="1"/>
  <c r="J19" i="69" s="1"/>
  <c r="K19" i="69" s="1"/>
  <c r="L19" i="69" s="1"/>
  <c r="M19" i="69" s="1"/>
  <c r="N19" i="69" s="1"/>
  <c r="O19" i="69" s="1"/>
  <c r="P19" i="69" s="1"/>
  <c r="Q19" i="69" s="1"/>
  <c r="R19" i="69" s="1"/>
  <c r="S19" i="69" s="1"/>
  <c r="T19" i="69" s="1"/>
  <c r="U19" i="69" s="1"/>
  <c r="V19" i="69" s="1"/>
  <c r="W19" i="69" s="1"/>
  <c r="X19" i="69" s="1"/>
  <c r="Y19" i="69" s="1"/>
  <c r="Z19" i="69" s="1"/>
  <c r="AA19" i="69" s="1"/>
  <c r="AB19" i="69" s="1"/>
  <c r="AC19" i="69" s="1"/>
  <c r="D48" i="69"/>
  <c r="E95" i="69"/>
  <c r="F95" i="69" s="1"/>
  <c r="G95" i="69" s="1"/>
  <c r="H95" i="69" s="1"/>
  <c r="I95" i="69" s="1"/>
  <c r="J95" i="69" s="1"/>
  <c r="K95" i="69" s="1"/>
  <c r="L95" i="69" s="1"/>
  <c r="M95" i="69" s="1"/>
  <c r="N95" i="69" s="1"/>
  <c r="O95" i="69" s="1"/>
  <c r="P95" i="69" s="1"/>
  <c r="Q95" i="69" s="1"/>
  <c r="R95" i="69" s="1"/>
  <c r="S95" i="69" s="1"/>
  <c r="T95" i="69" s="1"/>
  <c r="U95" i="69" s="1"/>
  <c r="V95" i="69" s="1"/>
  <c r="W95" i="69" s="1"/>
  <c r="X95" i="69" s="1"/>
  <c r="Y95" i="69" s="1"/>
  <c r="Z95" i="69" s="1"/>
  <c r="AA95" i="69" s="1"/>
  <c r="AB95" i="69" s="1"/>
  <c r="AC95" i="69" s="1"/>
  <c r="AD95" i="69" s="1"/>
  <c r="F62" i="69"/>
  <c r="F51" i="69" s="1"/>
  <c r="E97" i="69"/>
  <c r="F97" i="69" s="1"/>
  <c r="G97" i="69" s="1"/>
  <c r="H97" i="69" s="1"/>
  <c r="I97" i="69" s="1"/>
  <c r="J97" i="69" s="1"/>
  <c r="K97" i="69" s="1"/>
  <c r="L97" i="69" s="1"/>
  <c r="M97" i="69" s="1"/>
  <c r="N97" i="69" s="1"/>
  <c r="O97" i="69" s="1"/>
  <c r="P97" i="69" s="1"/>
  <c r="Q97" i="69" s="1"/>
  <c r="R97" i="69" s="1"/>
  <c r="S97" i="69" s="1"/>
  <c r="T97" i="69" s="1"/>
  <c r="U97" i="69" s="1"/>
  <c r="V97" i="69" s="1"/>
  <c r="W97" i="69" s="1"/>
  <c r="X97" i="69" s="1"/>
  <c r="Y97" i="69" s="1"/>
  <c r="Z97" i="69" s="1"/>
  <c r="AA97" i="69" s="1"/>
  <c r="AB97" i="69" s="1"/>
  <c r="AC97" i="69" s="1"/>
  <c r="AD97" i="69" s="1"/>
  <c r="AE97" i="69" s="1"/>
  <c r="AF97" i="69" s="1"/>
  <c r="AG97" i="69" s="1"/>
  <c r="AH97" i="69" s="1"/>
  <c r="AI97" i="69" s="1"/>
  <c r="AJ97" i="69" s="1"/>
  <c r="AK97" i="69" s="1"/>
  <c r="AL97" i="69" s="1"/>
  <c r="AM97" i="69" s="1"/>
  <c r="AN97" i="69" s="1"/>
  <c r="AO97" i="69" s="1"/>
  <c r="AP97" i="69" s="1"/>
  <c r="E65" i="69"/>
  <c r="E87" i="69"/>
  <c r="E100" i="69"/>
  <c r="H115" i="69"/>
  <c r="I115" i="69" s="1"/>
  <c r="W151" i="69"/>
  <c r="X151" i="69" s="1"/>
  <c r="Y151" i="69" s="1"/>
  <c r="Z151" i="69" s="1"/>
  <c r="AA151" i="69" s="1"/>
  <c r="AB151" i="69" s="1"/>
  <c r="AC151" i="69" s="1"/>
  <c r="AD151" i="69" s="1"/>
  <c r="AE151" i="69" s="1"/>
  <c r="AF151" i="69" s="1"/>
  <c r="AG151" i="69" s="1"/>
  <c r="AH151" i="69" s="1"/>
  <c r="AI151" i="69" s="1"/>
  <c r="AJ151" i="69" s="1"/>
  <c r="AK151" i="69" s="1"/>
  <c r="AL151" i="69" s="1"/>
  <c r="AM151" i="69" s="1"/>
  <c r="AN151" i="69" s="1"/>
  <c r="AO151" i="69" s="1"/>
  <c r="AP151" i="69" s="1"/>
  <c r="K150" i="69"/>
  <c r="L150" i="69" s="1"/>
  <c r="M150" i="69" s="1"/>
  <c r="N150" i="69" s="1"/>
  <c r="O150" i="69" s="1"/>
  <c r="P150" i="69" s="1"/>
  <c r="Q150" i="69" s="1"/>
  <c r="R150" i="69" s="1"/>
  <c r="S150" i="69" s="1"/>
  <c r="T150" i="69" s="1"/>
  <c r="U150" i="69" s="1"/>
  <c r="V150" i="69" s="1"/>
  <c r="E48" i="69"/>
  <c r="J150" i="69"/>
  <c r="E40" i="69"/>
  <c r="E110" i="69"/>
  <c r="E44" i="69"/>
  <c r="Q49" i="69" l="1"/>
  <c r="R49" i="69" s="1"/>
  <c r="AL71" i="69"/>
  <c r="AM71" i="69" s="1"/>
  <c r="AN71" i="69" s="1"/>
  <c r="AO71" i="69" s="1"/>
  <c r="AK64" i="69"/>
  <c r="AM62" i="69"/>
  <c r="AM65" i="69"/>
  <c r="AE80" i="69"/>
  <c r="AF80" i="69" s="1"/>
  <c r="AG80" i="69" s="1"/>
  <c r="AH80" i="69" s="1"/>
  <c r="AI80" i="69" s="1"/>
  <c r="AJ80" i="69" s="1"/>
  <c r="AK80" i="69" s="1"/>
  <c r="E99" i="69"/>
  <c r="F100" i="69"/>
  <c r="F99" i="69" s="1"/>
  <c r="E93" i="69"/>
  <c r="F27" i="69"/>
  <c r="U83" i="69"/>
  <c r="T79" i="69"/>
  <c r="F44" i="69"/>
  <c r="F43" i="69" s="1"/>
  <c r="E43" i="69"/>
  <c r="F114" i="69"/>
  <c r="F75" i="69"/>
  <c r="F39" i="69"/>
  <c r="E38" i="69"/>
  <c r="O80" i="69"/>
  <c r="N79" i="69"/>
  <c r="G94" i="69"/>
  <c r="G93" i="69" s="1"/>
  <c r="F93" i="69"/>
  <c r="E17" i="69"/>
  <c r="F87" i="69"/>
  <c r="F86" i="69" s="1"/>
  <c r="E86" i="69"/>
  <c r="AE28" i="69"/>
  <c r="AE22" i="69"/>
  <c r="AE77" i="69"/>
  <c r="AE95" i="69"/>
  <c r="F65" i="69"/>
  <c r="F64" i="69" s="1"/>
  <c r="E64" i="69"/>
  <c r="G18" i="69"/>
  <c r="G17" i="69" s="1"/>
  <c r="F17" i="69"/>
  <c r="G62" i="69"/>
  <c r="G51" i="69" s="1"/>
  <c r="D98" i="41"/>
  <c r="W150" i="69"/>
  <c r="X150" i="69" s="1"/>
  <c r="Y150" i="69" s="1"/>
  <c r="Z150" i="69" s="1"/>
  <c r="AA150" i="69" s="1"/>
  <c r="AB150" i="69" s="1"/>
  <c r="AC150" i="69" s="1"/>
  <c r="AE150" i="69" s="1"/>
  <c r="AF150" i="69" s="1"/>
  <c r="AG150" i="69" s="1"/>
  <c r="AH150" i="69" s="1"/>
  <c r="AI150" i="69" s="1"/>
  <c r="AJ150" i="69" s="1"/>
  <c r="AK150" i="69" s="1"/>
  <c r="AL150" i="69" s="1"/>
  <c r="AM150" i="69" s="1"/>
  <c r="AN150" i="69" s="1"/>
  <c r="AO150" i="69" s="1"/>
  <c r="AP150" i="69" s="1"/>
  <c r="S49" i="69"/>
  <c r="F48" i="69"/>
  <c r="F110" i="69"/>
  <c r="F40" i="69"/>
  <c r="J115" i="69"/>
  <c r="H120" i="69"/>
  <c r="A52" i="25"/>
  <c r="AL64" i="69" l="1"/>
  <c r="Q48" i="69"/>
  <c r="R48" i="69"/>
  <c r="AN62" i="69"/>
  <c r="AM51" i="69"/>
  <c r="AP71" i="69"/>
  <c r="AL80" i="69"/>
  <c r="AN65" i="69"/>
  <c r="AM64" i="69"/>
  <c r="G100" i="69"/>
  <c r="G99" i="69" s="1"/>
  <c r="H62" i="69"/>
  <c r="H51" i="69" s="1"/>
  <c r="Q115" i="38"/>
  <c r="Q114" i="38"/>
  <c r="Q111" i="38"/>
  <c r="Q110" i="38"/>
  <c r="Q112" i="38"/>
  <c r="H94" i="69"/>
  <c r="H93" i="69" s="1"/>
  <c r="H18" i="69"/>
  <c r="H17" i="69" s="1"/>
  <c r="G65" i="69"/>
  <c r="G64" i="69" s="1"/>
  <c r="G87" i="69"/>
  <c r="G86" i="69" s="1"/>
  <c r="P80" i="69"/>
  <c r="O79" i="69"/>
  <c r="AF28" i="69"/>
  <c r="AF95" i="69"/>
  <c r="F38" i="69"/>
  <c r="G39" i="69"/>
  <c r="AF22" i="69"/>
  <c r="V83" i="69"/>
  <c r="U79" i="69"/>
  <c r="G75" i="69"/>
  <c r="G27" i="69"/>
  <c r="AF77" i="69"/>
  <c r="T49" i="69"/>
  <c r="S48" i="69"/>
  <c r="G44" i="69"/>
  <c r="G43" i="69" s="1"/>
  <c r="G40" i="69"/>
  <c r="G110" i="69"/>
  <c r="K115" i="69"/>
  <c r="I120" i="69"/>
  <c r="G48" i="69"/>
  <c r="H49" i="69"/>
  <c r="AO62" i="69" l="1"/>
  <c r="AN51" i="69"/>
  <c r="I62" i="69"/>
  <c r="I51" i="69" s="1"/>
  <c r="H100" i="69"/>
  <c r="AO65" i="69"/>
  <c r="AN64" i="69"/>
  <c r="AM80" i="69"/>
  <c r="X112" i="38"/>
  <c r="D114" i="71"/>
  <c r="E114" i="71" s="1"/>
  <c r="X110" i="38"/>
  <c r="D112" i="71"/>
  <c r="X111" i="38"/>
  <c r="D113" i="71"/>
  <c r="X114" i="38"/>
  <c r="D116" i="71"/>
  <c r="X115" i="38"/>
  <c r="D117" i="71"/>
  <c r="H87" i="69"/>
  <c r="H86" i="69" s="1"/>
  <c r="I18" i="69"/>
  <c r="I17" i="69" s="1"/>
  <c r="I94" i="69"/>
  <c r="I93" i="69" s="1"/>
  <c r="Q113" i="38"/>
  <c r="D115" i="71" s="1"/>
  <c r="F108" i="38"/>
  <c r="H65" i="69"/>
  <c r="H64" i="69" s="1"/>
  <c r="H75" i="69"/>
  <c r="W83" i="69"/>
  <c r="V79" i="69"/>
  <c r="AG22" i="69"/>
  <c r="AG28" i="69"/>
  <c r="H39" i="69"/>
  <c r="G38" i="69"/>
  <c r="AG95" i="69"/>
  <c r="AG77" i="69"/>
  <c r="H27" i="69"/>
  <c r="Q80" i="69"/>
  <c r="P79" i="69"/>
  <c r="U49" i="69"/>
  <c r="T48" i="69"/>
  <c r="H44" i="69"/>
  <c r="H43" i="69" s="1"/>
  <c r="H40" i="69"/>
  <c r="L115" i="69"/>
  <c r="H48" i="69"/>
  <c r="I49" i="69"/>
  <c r="J120" i="69"/>
  <c r="H110" i="69"/>
  <c r="Z104" i="38"/>
  <c r="J62" i="69" l="1"/>
  <c r="J51" i="69" s="1"/>
  <c r="AP62" i="69"/>
  <c r="AP51" i="69" s="1"/>
  <c r="AO51" i="69"/>
  <c r="E110" i="71"/>
  <c r="E11" i="71" s="1"/>
  <c r="C118" i="69"/>
  <c r="F114" i="71"/>
  <c r="H99" i="69"/>
  <c r="I100" i="69"/>
  <c r="I87" i="69"/>
  <c r="I65" i="69"/>
  <c r="I64" i="69" s="1"/>
  <c r="J18" i="69"/>
  <c r="J17" i="69" s="1"/>
  <c r="AN80" i="69"/>
  <c r="AP65" i="69"/>
  <c r="AP64" i="69" s="1"/>
  <c r="AO64" i="69"/>
  <c r="J94" i="69"/>
  <c r="X113" i="38"/>
  <c r="C96" i="41"/>
  <c r="R113" i="38"/>
  <c r="W113" i="38"/>
  <c r="AH77" i="69"/>
  <c r="AH28" i="69"/>
  <c r="R80" i="69"/>
  <c r="Q79" i="69"/>
  <c r="AH22" i="69"/>
  <c r="I27" i="69"/>
  <c r="AH95" i="69"/>
  <c r="X83" i="69"/>
  <c r="W79" i="69"/>
  <c r="H38" i="69"/>
  <c r="I39" i="69"/>
  <c r="I75" i="69"/>
  <c r="V49" i="69"/>
  <c r="U48" i="69"/>
  <c r="I110" i="69"/>
  <c r="M115" i="69"/>
  <c r="I44" i="69"/>
  <c r="I43" i="69" s="1"/>
  <c r="K120" i="69"/>
  <c r="I48" i="69"/>
  <c r="I40" i="69"/>
  <c r="K62" i="69" l="1"/>
  <c r="K51" i="69" s="1"/>
  <c r="C114" i="69"/>
  <c r="C15" i="69" s="1"/>
  <c r="D118" i="69"/>
  <c r="I99" i="69"/>
  <c r="J100" i="69"/>
  <c r="I86" i="69"/>
  <c r="J87" i="69"/>
  <c r="J93" i="69"/>
  <c r="K94" i="69"/>
  <c r="K18" i="69"/>
  <c r="J65" i="69"/>
  <c r="AO80" i="69"/>
  <c r="F96" i="41"/>
  <c r="E96" i="41"/>
  <c r="AI28" i="69"/>
  <c r="I38" i="69"/>
  <c r="J39" i="69"/>
  <c r="J27" i="69"/>
  <c r="AI22" i="69"/>
  <c r="J75" i="69"/>
  <c r="S80" i="69"/>
  <c r="S79" i="69" s="1"/>
  <c r="R79" i="69"/>
  <c r="AI95" i="69"/>
  <c r="Y83" i="69"/>
  <c r="X79" i="69"/>
  <c r="AI77" i="69"/>
  <c r="V48" i="69"/>
  <c r="W49" i="69"/>
  <c r="J44" i="69"/>
  <c r="J43" i="69" s="1"/>
  <c r="J40" i="69"/>
  <c r="L120" i="69"/>
  <c r="J110" i="69"/>
  <c r="J48" i="69"/>
  <c r="N115" i="69"/>
  <c r="L62" i="69" l="1"/>
  <c r="L51" i="69" s="1"/>
  <c r="D114" i="69"/>
  <c r="J99" i="69"/>
  <c r="K100" i="69"/>
  <c r="J86" i="69"/>
  <c r="K87" i="69"/>
  <c r="K93" i="69"/>
  <c r="L94" i="69"/>
  <c r="K17" i="69"/>
  <c r="L18" i="69"/>
  <c r="J64" i="69"/>
  <c r="K65" i="69"/>
  <c r="AP80" i="69"/>
  <c r="J38" i="69"/>
  <c r="K39" i="69"/>
  <c r="K75" i="69"/>
  <c r="AJ77" i="69"/>
  <c r="Z83" i="69"/>
  <c r="Y79" i="69"/>
  <c r="AJ22" i="69"/>
  <c r="K27" i="69"/>
  <c r="AJ95" i="69"/>
  <c r="AJ28" i="69"/>
  <c r="W48" i="69"/>
  <c r="X49" i="69"/>
  <c r="K48" i="69"/>
  <c r="K40" i="69"/>
  <c r="K44" i="69"/>
  <c r="K43" i="69" s="1"/>
  <c r="O115" i="69"/>
  <c r="K110" i="69"/>
  <c r="M120" i="69"/>
  <c r="M62" i="69" l="1"/>
  <c r="M51" i="69"/>
  <c r="N62" i="69"/>
  <c r="N51" i="69" s="1"/>
  <c r="E114" i="69"/>
  <c r="G118" i="69"/>
  <c r="K99" i="69"/>
  <c r="L100" i="69"/>
  <c r="K86" i="69"/>
  <c r="L87" i="69"/>
  <c r="L93" i="69"/>
  <c r="M94" i="69"/>
  <c r="L17" i="69"/>
  <c r="M18" i="69"/>
  <c r="K64" i="69"/>
  <c r="L65" i="69"/>
  <c r="L27" i="69"/>
  <c r="AK28" i="69"/>
  <c r="AK22" i="69"/>
  <c r="K38" i="69"/>
  <c r="L39" i="69"/>
  <c r="AK77" i="69"/>
  <c r="L75" i="69"/>
  <c r="AK95" i="69"/>
  <c r="AA83" i="69"/>
  <c r="Z79" i="69"/>
  <c r="X48" i="69"/>
  <c r="Y49" i="69"/>
  <c r="L110" i="69"/>
  <c r="L44" i="69"/>
  <c r="L43" i="69" s="1"/>
  <c r="L40" i="69"/>
  <c r="P115" i="69"/>
  <c r="N120" i="69"/>
  <c r="L48" i="69"/>
  <c r="H118" i="69" l="1"/>
  <c r="G114" i="69"/>
  <c r="M93" i="69"/>
  <c r="N94" i="69"/>
  <c r="N93" i="69" s="1"/>
  <c r="L99" i="69"/>
  <c r="M100" i="69"/>
  <c r="M99" i="69" s="1"/>
  <c r="L86" i="69"/>
  <c r="M87" i="69"/>
  <c r="M86" i="69" s="1"/>
  <c r="M17" i="69"/>
  <c r="N18" i="69"/>
  <c r="N17" i="69" s="1"/>
  <c r="L64" i="69"/>
  <c r="M65" i="69"/>
  <c r="M64" i="69" s="1"/>
  <c r="M75" i="69"/>
  <c r="AL22" i="69"/>
  <c r="AB83" i="69"/>
  <c r="AA79" i="69"/>
  <c r="AL77" i="69"/>
  <c r="AL28" i="69"/>
  <c r="M27" i="69"/>
  <c r="L38" i="69"/>
  <c r="M39" i="69"/>
  <c r="N39" i="69" s="1"/>
  <c r="O39" i="69" s="1"/>
  <c r="P39" i="69" s="1"/>
  <c r="AL95" i="69"/>
  <c r="Z49" i="69"/>
  <c r="Y48" i="69"/>
  <c r="M40" i="69"/>
  <c r="M44" i="69"/>
  <c r="M43" i="69" s="1"/>
  <c r="Q115" i="69"/>
  <c r="O62" i="69"/>
  <c r="O51" i="69" s="1"/>
  <c r="N48" i="69"/>
  <c r="M48" i="69"/>
  <c r="O120" i="69"/>
  <c r="M110" i="69"/>
  <c r="B49" i="32"/>
  <c r="B50" i="32"/>
  <c r="B52" i="32"/>
  <c r="B53" i="32"/>
  <c r="B47" i="32"/>
  <c r="B48" i="32"/>
  <c r="B42" i="32"/>
  <c r="B43" i="32"/>
  <c r="B44" i="32"/>
  <c r="B45" i="32"/>
  <c r="B46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12" i="32"/>
  <c r="N65" i="69" l="1"/>
  <c r="N64" i="69" s="1"/>
  <c r="O18" i="69"/>
  <c r="O17" i="69" s="1"/>
  <c r="N100" i="69"/>
  <c r="N99" i="69" s="1"/>
  <c r="H114" i="69"/>
  <c r="I118" i="69"/>
  <c r="N87" i="69"/>
  <c r="N86" i="69" s="1"/>
  <c r="O94" i="69"/>
  <c r="O93" i="69" s="1"/>
  <c r="AC83" i="69"/>
  <c r="AB79" i="69"/>
  <c r="N27" i="69"/>
  <c r="AM95" i="69"/>
  <c r="AM28" i="69"/>
  <c r="AM22" i="69"/>
  <c r="M38" i="69"/>
  <c r="N75" i="69"/>
  <c r="AM77" i="69"/>
  <c r="E31" i="69"/>
  <c r="AA49" i="69"/>
  <c r="AB49" i="69" s="1"/>
  <c r="Z48" i="69"/>
  <c r="N110" i="69"/>
  <c r="O110" i="69" s="1"/>
  <c r="P110" i="69" s="1"/>
  <c r="Q110" i="69" s="1"/>
  <c r="R115" i="69"/>
  <c r="S115" i="69" s="1"/>
  <c r="T115" i="69" s="1"/>
  <c r="U115" i="69" s="1"/>
  <c r="P120" i="69"/>
  <c r="Q120" i="69" s="1"/>
  <c r="R120" i="69" s="1"/>
  <c r="Q39" i="69"/>
  <c r="R39" i="69" s="1"/>
  <c r="S39" i="69" s="1"/>
  <c r="T39" i="69" s="1"/>
  <c r="P62" i="69"/>
  <c r="P51" i="69" s="1"/>
  <c r="N44" i="69"/>
  <c r="N43" i="69" s="1"/>
  <c r="N40" i="69"/>
  <c r="E81" i="69"/>
  <c r="E76" i="69"/>
  <c r="E74" i="69" s="1"/>
  <c r="AA48" i="69" l="1"/>
  <c r="P18" i="69"/>
  <c r="P17" i="69" s="1"/>
  <c r="O65" i="69"/>
  <c r="O64" i="69" s="1"/>
  <c r="O100" i="69"/>
  <c r="AC79" i="69"/>
  <c r="AD83" i="69"/>
  <c r="I114" i="69"/>
  <c r="J118" i="69"/>
  <c r="P94" i="69"/>
  <c r="O87" i="69"/>
  <c r="Q62" i="69"/>
  <c r="F76" i="69"/>
  <c r="F74" i="69" s="1"/>
  <c r="F81" i="69"/>
  <c r="F79" i="69" s="1"/>
  <c r="E79" i="69"/>
  <c r="O75" i="69"/>
  <c r="P75" i="69" s="1"/>
  <c r="Q75" i="69" s="1"/>
  <c r="R75" i="69" s="1"/>
  <c r="S75" i="69" s="1"/>
  <c r="T75" i="69" s="1"/>
  <c r="U75" i="69" s="1"/>
  <c r="V75" i="69" s="1"/>
  <c r="W75" i="69" s="1"/>
  <c r="X75" i="69" s="1"/>
  <c r="Y75" i="69" s="1"/>
  <c r="O27" i="69"/>
  <c r="AN22" i="69"/>
  <c r="O40" i="69"/>
  <c r="N38" i="69"/>
  <c r="AN95" i="69"/>
  <c r="F31" i="69"/>
  <c r="O44" i="69"/>
  <c r="AN77" i="69"/>
  <c r="AN28" i="69"/>
  <c r="P53" i="1"/>
  <c r="AB48" i="69"/>
  <c r="AC49" i="69"/>
  <c r="S120" i="69"/>
  <c r="T120" i="69" s="1"/>
  <c r="U120" i="69" s="1"/>
  <c r="V115" i="69"/>
  <c r="U39" i="69"/>
  <c r="R110" i="69"/>
  <c r="S110" i="69" s="1"/>
  <c r="T110" i="69" s="1"/>
  <c r="U110" i="69" s="1"/>
  <c r="V110" i="69" s="1"/>
  <c r="D87" i="41"/>
  <c r="U100" i="38"/>
  <c r="U99" i="38"/>
  <c r="U91" i="38"/>
  <c r="U90" i="38"/>
  <c r="U89" i="38"/>
  <c r="U104" i="38"/>
  <c r="U62" i="69"/>
  <c r="D78" i="41"/>
  <c r="U120" i="38"/>
  <c r="Z115" i="38"/>
  <c r="B115" i="38"/>
  <c r="B98" i="41" s="1"/>
  <c r="Z114" i="38"/>
  <c r="B114" i="38"/>
  <c r="B97" i="41" s="1"/>
  <c r="B110" i="38"/>
  <c r="B93" i="41" s="1"/>
  <c r="B111" i="38"/>
  <c r="B94" i="41" s="1"/>
  <c r="B112" i="38"/>
  <c r="B95" i="41" s="1"/>
  <c r="Z112" i="38"/>
  <c r="Z111" i="38"/>
  <c r="Z110" i="38"/>
  <c r="Z109" i="38"/>
  <c r="Z106" i="38"/>
  <c r="Z105" i="38"/>
  <c r="Z101" i="38"/>
  <c r="Z100" i="38"/>
  <c r="Z99" i="38"/>
  <c r="Z96" i="38"/>
  <c r="D79" i="41"/>
  <c r="Z95" i="38"/>
  <c r="Z94" i="38"/>
  <c r="U88" i="38"/>
  <c r="Z88" i="38"/>
  <c r="B95" i="38"/>
  <c r="B78" i="41" s="1"/>
  <c r="B96" i="38"/>
  <c r="B79" i="41" s="1"/>
  <c r="A95" i="25"/>
  <c r="A96" i="25"/>
  <c r="U109" i="38"/>
  <c r="U106" i="38"/>
  <c r="U105" i="38"/>
  <c r="U101" i="38"/>
  <c r="U96" i="38"/>
  <c r="U95" i="38"/>
  <c r="U94" i="38"/>
  <c r="P100" i="69" l="1"/>
  <c r="O99" i="69"/>
  <c r="Q18" i="69"/>
  <c r="AD79" i="69"/>
  <c r="AE83" i="69"/>
  <c r="P65" i="69"/>
  <c r="Q65" i="69" s="1"/>
  <c r="W115" i="69"/>
  <c r="X115" i="69" s="1"/>
  <c r="Y115" i="69" s="1"/>
  <c r="Z115" i="69" s="1"/>
  <c r="J114" i="69"/>
  <c r="K118" i="69"/>
  <c r="Q94" i="69"/>
  <c r="P93" i="69"/>
  <c r="P87" i="69"/>
  <c r="O86" i="69"/>
  <c r="O89" i="38"/>
  <c r="N89" i="38"/>
  <c r="L89" i="38"/>
  <c r="I89" i="38"/>
  <c r="H89" i="38"/>
  <c r="J89" i="38"/>
  <c r="K89" i="38"/>
  <c r="M89" i="38"/>
  <c r="G96" i="38"/>
  <c r="N96" i="38"/>
  <c r="J96" i="38"/>
  <c r="L96" i="38"/>
  <c r="I96" i="38"/>
  <c r="H96" i="38"/>
  <c r="O96" i="38"/>
  <c r="K96" i="38"/>
  <c r="M96" i="38"/>
  <c r="K104" i="38"/>
  <c r="M104" i="38"/>
  <c r="N104" i="38"/>
  <c r="L104" i="38"/>
  <c r="I104" i="38"/>
  <c r="J104" i="38"/>
  <c r="H104" i="38"/>
  <c r="G104" i="38"/>
  <c r="O104" i="38"/>
  <c r="K88" i="38"/>
  <c r="J88" i="38"/>
  <c r="O88" i="38"/>
  <c r="I88" i="38"/>
  <c r="G88" i="38"/>
  <c r="N88" i="38"/>
  <c r="M88" i="38"/>
  <c r="H88" i="38"/>
  <c r="L88" i="38"/>
  <c r="U93" i="38"/>
  <c r="M94" i="38"/>
  <c r="G94" i="38"/>
  <c r="L94" i="38"/>
  <c r="I94" i="38"/>
  <c r="J94" i="38"/>
  <c r="O94" i="38"/>
  <c r="H94" i="38"/>
  <c r="K94" i="38"/>
  <c r="N94" i="38"/>
  <c r="N101" i="38"/>
  <c r="G101" i="38"/>
  <c r="J101" i="38"/>
  <c r="K101" i="38"/>
  <c r="I101" i="38"/>
  <c r="H101" i="38"/>
  <c r="L101" i="38"/>
  <c r="O101" i="38"/>
  <c r="M101" i="38"/>
  <c r="N105" i="38"/>
  <c r="K105" i="38"/>
  <c r="M105" i="38"/>
  <c r="H105" i="38"/>
  <c r="I105" i="38"/>
  <c r="O105" i="38"/>
  <c r="G105" i="38"/>
  <c r="L105" i="38"/>
  <c r="J105" i="38"/>
  <c r="J90" i="38"/>
  <c r="H90" i="38"/>
  <c r="O90" i="38"/>
  <c r="L90" i="38"/>
  <c r="I90" i="38"/>
  <c r="K90" i="38"/>
  <c r="G90" i="38"/>
  <c r="M90" i="38"/>
  <c r="N90" i="38"/>
  <c r="L106" i="38"/>
  <c r="I106" i="38"/>
  <c r="O106" i="38"/>
  <c r="H106" i="38"/>
  <c r="K106" i="38"/>
  <c r="N106" i="38"/>
  <c r="J106" i="38"/>
  <c r="M106" i="38"/>
  <c r="N91" i="38"/>
  <c r="J91" i="38"/>
  <c r="K91" i="38"/>
  <c r="I91" i="38"/>
  <c r="G91" i="38"/>
  <c r="O91" i="38"/>
  <c r="H91" i="38"/>
  <c r="L91" i="38"/>
  <c r="M91" i="38"/>
  <c r="K109" i="38"/>
  <c r="K108" i="38" s="1"/>
  <c r="N109" i="38"/>
  <c r="N108" i="38" s="1"/>
  <c r="H109" i="38"/>
  <c r="H108" i="38" s="1"/>
  <c r="O109" i="38"/>
  <c r="O108" i="38" s="1"/>
  <c r="I109" i="38"/>
  <c r="I108" i="38" s="1"/>
  <c r="J109" i="38"/>
  <c r="J108" i="38" s="1"/>
  <c r="L109" i="38"/>
  <c r="L108" i="38" s="1"/>
  <c r="M109" i="38"/>
  <c r="M108" i="38" s="1"/>
  <c r="N99" i="38"/>
  <c r="K99" i="38"/>
  <c r="I99" i="38"/>
  <c r="H99" i="38"/>
  <c r="G99" i="38"/>
  <c r="J99" i="38"/>
  <c r="O99" i="38"/>
  <c r="L99" i="38"/>
  <c r="M99" i="38"/>
  <c r="L100" i="38"/>
  <c r="J100" i="38"/>
  <c r="H100" i="38"/>
  <c r="M100" i="38"/>
  <c r="K100" i="38"/>
  <c r="N100" i="38"/>
  <c r="I100" i="38"/>
  <c r="G100" i="38"/>
  <c r="O100" i="38"/>
  <c r="L95" i="38"/>
  <c r="K95" i="38"/>
  <c r="O95" i="38"/>
  <c r="J95" i="38"/>
  <c r="M95" i="38"/>
  <c r="H95" i="38"/>
  <c r="N95" i="38"/>
  <c r="I95" i="38"/>
  <c r="G95" i="38"/>
  <c r="G76" i="69"/>
  <c r="H76" i="69" s="1"/>
  <c r="V62" i="69"/>
  <c r="U51" i="69"/>
  <c r="V39" i="69"/>
  <c r="R62" i="69"/>
  <c r="Q51" i="69"/>
  <c r="G81" i="69"/>
  <c r="G79" i="69" s="1"/>
  <c r="U103" i="38"/>
  <c r="U108" i="38"/>
  <c r="U87" i="38"/>
  <c r="U98" i="38"/>
  <c r="AO95" i="69"/>
  <c r="AO28" i="69"/>
  <c r="P40" i="69"/>
  <c r="O38" i="69"/>
  <c r="AO77" i="69"/>
  <c r="P44" i="69"/>
  <c r="O43" i="69"/>
  <c r="AO22" i="69"/>
  <c r="P27" i="69"/>
  <c r="G31" i="69"/>
  <c r="V120" i="69"/>
  <c r="AD49" i="69"/>
  <c r="AC48" i="69"/>
  <c r="Z75" i="69"/>
  <c r="W110" i="69"/>
  <c r="Q100" i="69" l="1"/>
  <c r="P99" i="69"/>
  <c r="P64" i="69"/>
  <c r="R18" i="69"/>
  <c r="Q17" i="69"/>
  <c r="R65" i="69"/>
  <c r="Q64" i="69"/>
  <c r="R94" i="69"/>
  <c r="Q93" i="69"/>
  <c r="AE79" i="69"/>
  <c r="AF83" i="69"/>
  <c r="AA115" i="69"/>
  <c r="K114" i="69"/>
  <c r="L118" i="69"/>
  <c r="S18" i="69"/>
  <c r="R17" i="69"/>
  <c r="Q87" i="69"/>
  <c r="P86" i="69"/>
  <c r="H81" i="69"/>
  <c r="G74" i="69"/>
  <c r="O87" i="38"/>
  <c r="I87" i="38"/>
  <c r="M87" i="38"/>
  <c r="L87" i="38"/>
  <c r="H87" i="38"/>
  <c r="N87" i="38"/>
  <c r="Q91" i="38"/>
  <c r="X91" i="38" s="1"/>
  <c r="K87" i="38"/>
  <c r="J87" i="38"/>
  <c r="Q90" i="38"/>
  <c r="Q94" i="38"/>
  <c r="Q89" i="38"/>
  <c r="G87" i="38"/>
  <c r="S62" i="69"/>
  <c r="S51" i="69" s="1"/>
  <c r="R51" i="69"/>
  <c r="W39" i="69"/>
  <c r="W62" i="69"/>
  <c r="V51" i="69"/>
  <c r="H98" i="38"/>
  <c r="O103" i="38"/>
  <c r="M98" i="38"/>
  <c r="K98" i="38"/>
  <c r="H93" i="38"/>
  <c r="Q96" i="38"/>
  <c r="M93" i="38"/>
  <c r="Q100" i="38"/>
  <c r="I98" i="38"/>
  <c r="Q101" i="38"/>
  <c r="D103" i="71" s="1"/>
  <c r="L103" i="38"/>
  <c r="G93" i="38"/>
  <c r="L98" i="38"/>
  <c r="J98" i="38"/>
  <c r="O98" i="38"/>
  <c r="H103" i="38"/>
  <c r="G103" i="38"/>
  <c r="L93" i="38"/>
  <c r="I103" i="38"/>
  <c r="F93" i="38"/>
  <c r="Q95" i="38"/>
  <c r="D97" i="71" s="1"/>
  <c r="J103" i="38"/>
  <c r="K103" i="38"/>
  <c r="N93" i="38"/>
  <c r="F98" i="38"/>
  <c r="Q99" i="38"/>
  <c r="D101" i="71" s="1"/>
  <c r="N98" i="38"/>
  <c r="Q109" i="38"/>
  <c r="D111" i="71" s="1"/>
  <c r="D110" i="71" s="1"/>
  <c r="G108" i="38"/>
  <c r="G98" i="38"/>
  <c r="Q106" i="38"/>
  <c r="Q120" i="38"/>
  <c r="X120" i="38" s="1"/>
  <c r="M103" i="38"/>
  <c r="I93" i="38"/>
  <c r="O93" i="38"/>
  <c r="J93" i="38"/>
  <c r="Q88" i="38"/>
  <c r="D90" i="71" s="1"/>
  <c r="F87" i="38"/>
  <c r="Q105" i="38"/>
  <c r="F103" i="38"/>
  <c r="Q104" i="38"/>
  <c r="D106" i="71" s="1"/>
  <c r="N103" i="38"/>
  <c r="K93" i="38"/>
  <c r="AP28" i="69"/>
  <c r="AP77" i="69"/>
  <c r="R100" i="69"/>
  <c r="Q99" i="69"/>
  <c r="AP22" i="69"/>
  <c r="Q40" i="69"/>
  <c r="P38" i="69"/>
  <c r="H31" i="69"/>
  <c r="Q27" i="69"/>
  <c r="I76" i="69"/>
  <c r="H74" i="69"/>
  <c r="Q44" i="69"/>
  <c r="P43" i="69"/>
  <c r="AP95" i="69"/>
  <c r="AE49" i="69"/>
  <c r="AD48" i="69"/>
  <c r="W120" i="69"/>
  <c r="E34" i="69"/>
  <c r="E33" i="69"/>
  <c r="X110" i="69"/>
  <c r="AA75" i="69"/>
  <c r="D122" i="71" l="1"/>
  <c r="S94" i="69"/>
  <c r="R93" i="69"/>
  <c r="R64" i="69"/>
  <c r="S65" i="69"/>
  <c r="AF79" i="69"/>
  <c r="AG83" i="69"/>
  <c r="AB115" i="69"/>
  <c r="L114" i="69"/>
  <c r="M118" i="69"/>
  <c r="H79" i="69"/>
  <c r="R87" i="69"/>
  <c r="Q86" i="69"/>
  <c r="I81" i="69"/>
  <c r="S17" i="69"/>
  <c r="T18" i="69"/>
  <c r="D93" i="71"/>
  <c r="X94" i="38"/>
  <c r="D96" i="71"/>
  <c r="D91" i="71"/>
  <c r="X89" i="38"/>
  <c r="D92" i="71"/>
  <c r="X90" i="38"/>
  <c r="X62" i="69"/>
  <c r="W51" i="69"/>
  <c r="X39" i="69"/>
  <c r="X106" i="38"/>
  <c r="D108" i="71"/>
  <c r="X105" i="38"/>
  <c r="D107" i="71"/>
  <c r="X100" i="38"/>
  <c r="D102" i="71"/>
  <c r="D100" i="71" s="1"/>
  <c r="X96" i="38"/>
  <c r="D98" i="71"/>
  <c r="Q98" i="38"/>
  <c r="X98" i="38" s="1"/>
  <c r="X95" i="38"/>
  <c r="Q93" i="38"/>
  <c r="X93" i="38" s="1"/>
  <c r="X104" i="38"/>
  <c r="Q103" i="38"/>
  <c r="X103" i="38" s="1"/>
  <c r="W104" i="38"/>
  <c r="R104" i="38"/>
  <c r="C87" i="41"/>
  <c r="F87" i="41" s="1"/>
  <c r="X109" i="38"/>
  <c r="Q108" i="38"/>
  <c r="X108" i="38" s="1"/>
  <c r="X88" i="38"/>
  <c r="Q87" i="38"/>
  <c r="X87" i="38" s="1"/>
  <c r="Q38" i="69"/>
  <c r="R40" i="69"/>
  <c r="J76" i="69"/>
  <c r="I74" i="69"/>
  <c r="R27" i="69"/>
  <c r="Q43" i="69"/>
  <c r="R44" i="69"/>
  <c r="F33" i="69"/>
  <c r="E26" i="69"/>
  <c r="I31" i="69"/>
  <c r="R99" i="69"/>
  <c r="S100" i="69"/>
  <c r="X120" i="69"/>
  <c r="AF49" i="69"/>
  <c r="AE48" i="69"/>
  <c r="F34" i="69"/>
  <c r="AB75" i="69"/>
  <c r="Y110" i="69"/>
  <c r="T94" i="69" l="1"/>
  <c r="T65" i="69"/>
  <c r="S93" i="69"/>
  <c r="S64" i="69"/>
  <c r="N118" i="69"/>
  <c r="M114" i="69"/>
  <c r="AG79" i="69"/>
  <c r="AH83" i="69"/>
  <c r="I79" i="69"/>
  <c r="S87" i="69"/>
  <c r="U18" i="69"/>
  <c r="J81" i="69"/>
  <c r="R86" i="69"/>
  <c r="T17" i="69"/>
  <c r="AC115" i="69"/>
  <c r="D89" i="71"/>
  <c r="D95" i="71"/>
  <c r="D105" i="71"/>
  <c r="Y39" i="69"/>
  <c r="X51" i="69"/>
  <c r="Y62" i="69"/>
  <c r="J31" i="69"/>
  <c r="G33" i="69"/>
  <c r="F26" i="69"/>
  <c r="S27" i="69"/>
  <c r="S40" i="69"/>
  <c r="R38" i="69"/>
  <c r="R43" i="69"/>
  <c r="S44" i="69"/>
  <c r="K76" i="69"/>
  <c r="J74" i="69"/>
  <c r="S99" i="69"/>
  <c r="T100" i="69"/>
  <c r="Y120" i="69"/>
  <c r="AF48" i="69"/>
  <c r="AG49" i="69"/>
  <c r="G34" i="69"/>
  <c r="AC75" i="69"/>
  <c r="AD75" i="69" s="1"/>
  <c r="Z110" i="69"/>
  <c r="S86" i="69" l="1"/>
  <c r="U65" i="69"/>
  <c r="T64" i="69"/>
  <c r="T93" i="69"/>
  <c r="U94" i="69"/>
  <c r="T87" i="69"/>
  <c r="N114" i="69"/>
  <c r="O118" i="69"/>
  <c r="K81" i="69"/>
  <c r="J79" i="69"/>
  <c r="V18" i="69"/>
  <c r="U17" i="69"/>
  <c r="AH79" i="69"/>
  <c r="AI83" i="69"/>
  <c r="S38" i="69"/>
  <c r="T40" i="69"/>
  <c r="AD115" i="69"/>
  <c r="Y51" i="69"/>
  <c r="Z62" i="69"/>
  <c r="Z39" i="69"/>
  <c r="U100" i="69"/>
  <c r="T99" i="69"/>
  <c r="T27" i="69"/>
  <c r="T44" i="69"/>
  <c r="S43" i="69"/>
  <c r="K74" i="69"/>
  <c r="L76" i="69"/>
  <c r="K31" i="69"/>
  <c r="H33" i="69"/>
  <c r="G26" i="69"/>
  <c r="AH49" i="69"/>
  <c r="AG48" i="69"/>
  <c r="Z120" i="69"/>
  <c r="H34" i="69"/>
  <c r="AA110" i="69"/>
  <c r="U93" i="69" l="1"/>
  <c r="V94" i="69"/>
  <c r="V65" i="69"/>
  <c r="U64" i="69"/>
  <c r="U87" i="69"/>
  <c r="T86" i="69"/>
  <c r="O114" i="69"/>
  <c r="P118" i="69"/>
  <c r="W18" i="69"/>
  <c r="K79" i="69"/>
  <c r="L81" i="69"/>
  <c r="V17" i="69"/>
  <c r="AI79" i="69"/>
  <c r="AJ83" i="69"/>
  <c r="U40" i="69"/>
  <c r="T38" i="69"/>
  <c r="AE115" i="69"/>
  <c r="AA39" i="69"/>
  <c r="Z51" i="69"/>
  <c r="AA62" i="69"/>
  <c r="U44" i="69"/>
  <c r="T43" i="69"/>
  <c r="U27" i="69"/>
  <c r="I33" i="69"/>
  <c r="H26" i="69"/>
  <c r="L74" i="69"/>
  <c r="M76" i="69"/>
  <c r="N76" i="69" s="1"/>
  <c r="L31" i="69"/>
  <c r="V100" i="69"/>
  <c r="U99" i="69"/>
  <c r="AA120" i="69"/>
  <c r="AI49" i="69"/>
  <c r="AH48" i="69"/>
  <c r="I34" i="69"/>
  <c r="AE75" i="69"/>
  <c r="AB110" i="69"/>
  <c r="W94" i="69" l="1"/>
  <c r="V93" i="69"/>
  <c r="W65" i="69"/>
  <c r="V64" i="69"/>
  <c r="V87" i="69"/>
  <c r="U86" i="69"/>
  <c r="P114" i="69"/>
  <c r="Q118" i="69"/>
  <c r="X18" i="69"/>
  <c r="W17" i="69"/>
  <c r="L79" i="69"/>
  <c r="M81" i="69"/>
  <c r="M79" i="69" s="1"/>
  <c r="AJ79" i="69"/>
  <c r="AK83" i="69"/>
  <c r="U38" i="69"/>
  <c r="V40" i="69"/>
  <c r="AF115" i="69"/>
  <c r="AA51" i="69"/>
  <c r="AB62" i="69"/>
  <c r="AB39" i="69"/>
  <c r="M74" i="69"/>
  <c r="W100" i="69"/>
  <c r="V99" i="69"/>
  <c r="V44" i="69"/>
  <c r="U43" i="69"/>
  <c r="M31" i="69"/>
  <c r="J33" i="69"/>
  <c r="I26" i="69"/>
  <c r="V27" i="69"/>
  <c r="AI48" i="69"/>
  <c r="AJ49" i="69"/>
  <c r="AB120" i="69"/>
  <c r="J34" i="69"/>
  <c r="AE105" i="69"/>
  <c r="AC110" i="69"/>
  <c r="AF75" i="69"/>
  <c r="X94" i="69" l="1"/>
  <c r="W93" i="69"/>
  <c r="V86" i="69"/>
  <c r="W87" i="69"/>
  <c r="W64" i="69"/>
  <c r="X65" i="69"/>
  <c r="X17" i="69"/>
  <c r="Q114" i="69"/>
  <c r="R118" i="69"/>
  <c r="Y18" i="69"/>
  <c r="AK79" i="69"/>
  <c r="AL83" i="69"/>
  <c r="V38" i="69"/>
  <c r="W40" i="69"/>
  <c r="AG115" i="69"/>
  <c r="AC39" i="69"/>
  <c r="AB51" i="69"/>
  <c r="AC62" i="69"/>
  <c r="K33" i="69"/>
  <c r="J26" i="69"/>
  <c r="W27" i="69"/>
  <c r="V43" i="69"/>
  <c r="W44" i="69"/>
  <c r="N31" i="69"/>
  <c r="W99" i="69"/>
  <c r="X100" i="69"/>
  <c r="N74" i="69"/>
  <c r="O76" i="69"/>
  <c r="AC120" i="69"/>
  <c r="AJ48" i="69"/>
  <c r="AK49" i="69"/>
  <c r="K34" i="69"/>
  <c r="AF105" i="69"/>
  <c r="AD110" i="69"/>
  <c r="AG75" i="69"/>
  <c r="X64" i="69" l="1"/>
  <c r="Y65" i="69"/>
  <c r="X93" i="69"/>
  <c r="W86" i="69"/>
  <c r="X87" i="69"/>
  <c r="Y94" i="69"/>
  <c r="Y17" i="69"/>
  <c r="Z18" i="69"/>
  <c r="S118" i="69"/>
  <c r="R114" i="69"/>
  <c r="AC51" i="69"/>
  <c r="AD62" i="69"/>
  <c r="AL79" i="69"/>
  <c r="AM83" i="69"/>
  <c r="W38" i="69"/>
  <c r="X40" i="69"/>
  <c r="AH115" i="69"/>
  <c r="AD39" i="69"/>
  <c r="W43" i="69"/>
  <c r="X44" i="69"/>
  <c r="O74" i="69"/>
  <c r="P76" i="69"/>
  <c r="X27" i="69"/>
  <c r="X99" i="69"/>
  <c r="Y100" i="69"/>
  <c r="O31" i="69"/>
  <c r="L33" i="69"/>
  <c r="K26" i="69"/>
  <c r="AL49" i="69"/>
  <c r="AK48" i="69"/>
  <c r="AD120" i="69"/>
  <c r="L34" i="69"/>
  <c r="AH75" i="69"/>
  <c r="AE110" i="69"/>
  <c r="AG105" i="69"/>
  <c r="Y93" i="69" l="1"/>
  <c r="Z94" i="69"/>
  <c r="Y64" i="69"/>
  <c r="Z65" i="69"/>
  <c r="X86" i="69"/>
  <c r="Y87" i="69"/>
  <c r="Z17" i="69"/>
  <c r="AA18" i="69"/>
  <c r="S114" i="69"/>
  <c r="T118" i="69"/>
  <c r="AE62" i="69"/>
  <c r="AD51" i="69"/>
  <c r="AM79" i="69"/>
  <c r="AN83" i="69"/>
  <c r="X38" i="69"/>
  <c r="Y40" i="69"/>
  <c r="AI115" i="69"/>
  <c r="AE39" i="69"/>
  <c r="Y27" i="69"/>
  <c r="M33" i="69"/>
  <c r="L26" i="69"/>
  <c r="P31" i="69"/>
  <c r="Y99" i="69"/>
  <c r="Z100" i="69"/>
  <c r="P74" i="69"/>
  <c r="Q76" i="69"/>
  <c r="X43" i="69"/>
  <c r="Y44" i="69"/>
  <c r="AE120" i="69"/>
  <c r="AM49" i="69"/>
  <c r="AL48" i="69"/>
  <c r="M34" i="69"/>
  <c r="N34" i="69" s="1"/>
  <c r="AF110" i="69"/>
  <c r="AH105" i="69"/>
  <c r="AI75" i="69"/>
  <c r="Y86" i="69" l="1"/>
  <c r="Z87" i="69"/>
  <c r="Z93" i="69"/>
  <c r="AA94" i="69"/>
  <c r="Z64" i="69"/>
  <c r="AA65" i="69"/>
  <c r="AA17" i="69"/>
  <c r="AB18" i="69"/>
  <c r="T114" i="69"/>
  <c r="U118" i="69"/>
  <c r="AF62" i="69"/>
  <c r="AE51" i="69"/>
  <c r="AJ115" i="69"/>
  <c r="AN79" i="69"/>
  <c r="AO83" i="69"/>
  <c r="Y38" i="69"/>
  <c r="Z40" i="69"/>
  <c r="AF39" i="69"/>
  <c r="Q74" i="69"/>
  <c r="R76" i="69"/>
  <c r="Z27" i="69"/>
  <c r="Y43" i="69"/>
  <c r="Z44" i="69"/>
  <c r="Z99" i="69"/>
  <c r="AA100" i="69"/>
  <c r="Q31" i="69"/>
  <c r="N33" i="69"/>
  <c r="M26" i="69"/>
  <c r="AN49" i="69"/>
  <c r="AM48" i="69"/>
  <c r="AF120" i="69"/>
  <c r="AI105" i="69"/>
  <c r="AJ75" i="69"/>
  <c r="AG110" i="69"/>
  <c r="Z86" i="69" l="1"/>
  <c r="AA87" i="69"/>
  <c r="AA64" i="69"/>
  <c r="AB65" i="69"/>
  <c r="AA93" i="69"/>
  <c r="AB94" i="69"/>
  <c r="AB17" i="69"/>
  <c r="AC18" i="69"/>
  <c r="U114" i="69"/>
  <c r="V118" i="69"/>
  <c r="AG62" i="69"/>
  <c r="AF51" i="69"/>
  <c r="AK115" i="69"/>
  <c r="AO79" i="69"/>
  <c r="AP83" i="69"/>
  <c r="AP79" i="69" s="1"/>
  <c r="Z38" i="69"/>
  <c r="AA40" i="69"/>
  <c r="AG39" i="69"/>
  <c r="AA99" i="69"/>
  <c r="AB100" i="69"/>
  <c r="O33" i="69"/>
  <c r="N26" i="69"/>
  <c r="Z43" i="69"/>
  <c r="AA44" i="69"/>
  <c r="R74" i="69"/>
  <c r="S76" i="69"/>
  <c r="AA27" i="69"/>
  <c r="R31" i="69"/>
  <c r="AG120" i="69"/>
  <c r="AN48" i="69"/>
  <c r="AO49" i="69"/>
  <c r="O34" i="69"/>
  <c r="AH110" i="69"/>
  <c r="AK75" i="69"/>
  <c r="AJ105" i="69"/>
  <c r="AB64" i="69" l="1"/>
  <c r="AC65" i="69"/>
  <c r="AA86" i="69"/>
  <c r="AB87" i="69"/>
  <c r="AB93" i="69"/>
  <c r="AC94" i="69"/>
  <c r="AD18" i="69"/>
  <c r="AC17" i="69"/>
  <c r="V114" i="69"/>
  <c r="W118" i="69"/>
  <c r="AH62" i="69"/>
  <c r="AG51" i="69"/>
  <c r="AL115" i="69"/>
  <c r="AA38" i="69"/>
  <c r="AB40" i="69"/>
  <c r="AE18" i="69"/>
  <c r="AD17" i="69"/>
  <c r="AC93" i="69"/>
  <c r="AD94" i="69"/>
  <c r="AH39" i="69"/>
  <c r="AA43" i="69"/>
  <c r="AB44" i="69"/>
  <c r="S31" i="69"/>
  <c r="AB27" i="69"/>
  <c r="S74" i="69"/>
  <c r="T76" i="69"/>
  <c r="P33" i="69"/>
  <c r="O26" i="69"/>
  <c r="AB86" i="69"/>
  <c r="AC87" i="69"/>
  <c r="AB99" i="69"/>
  <c r="AC100" i="69"/>
  <c r="AO48" i="69"/>
  <c r="AP49" i="69"/>
  <c r="AP48" i="69" s="1"/>
  <c r="AH120" i="69"/>
  <c r="P34" i="69"/>
  <c r="AL75" i="69"/>
  <c r="AK105" i="69"/>
  <c r="AI110" i="69"/>
  <c r="D21" i="41"/>
  <c r="A20" i="25"/>
  <c r="Z27" i="38"/>
  <c r="B27" i="38"/>
  <c r="B138" i="38"/>
  <c r="Z149" i="38"/>
  <c r="Z139" i="38"/>
  <c r="Z138" i="38"/>
  <c r="Z119" i="38"/>
  <c r="Z59" i="38"/>
  <c r="Z60" i="38"/>
  <c r="Z61" i="38"/>
  <c r="Z62" i="38"/>
  <c r="Z64" i="38"/>
  <c r="Z65" i="38"/>
  <c r="Z66" i="38"/>
  <c r="Z68" i="38"/>
  <c r="Z69" i="38"/>
  <c r="Z70" i="38"/>
  <c r="Z71" i="38"/>
  <c r="Z73" i="38"/>
  <c r="Z74" i="38"/>
  <c r="Z75" i="38"/>
  <c r="Z76" i="38"/>
  <c r="Z77" i="38"/>
  <c r="Z78" i="38"/>
  <c r="Z80" i="38"/>
  <c r="Z81" i="38"/>
  <c r="Z82" i="38"/>
  <c r="Z83" i="38"/>
  <c r="Z84" i="38"/>
  <c r="Z85" i="38"/>
  <c r="Z87" i="38"/>
  <c r="Z89" i="38"/>
  <c r="Z90" i="38"/>
  <c r="Z91" i="38"/>
  <c r="Z93" i="38"/>
  <c r="Z98" i="38"/>
  <c r="Z103" i="38"/>
  <c r="Z108" i="38"/>
  <c r="Z117" i="38"/>
  <c r="Z58" i="38"/>
  <c r="Z12" i="38"/>
  <c r="Z13" i="38"/>
  <c r="Z14" i="38"/>
  <c r="Z15" i="38"/>
  <c r="Z16" i="38"/>
  <c r="Z17" i="38"/>
  <c r="Z18" i="38"/>
  <c r="Z20" i="38"/>
  <c r="Z21" i="38"/>
  <c r="Z22" i="38"/>
  <c r="Z23" i="38"/>
  <c r="Z24" i="38"/>
  <c r="Z25" i="38"/>
  <c r="Z26" i="38"/>
  <c r="Z28" i="38"/>
  <c r="Z29" i="38"/>
  <c r="Z30" i="38"/>
  <c r="Z32" i="38"/>
  <c r="Z33" i="38"/>
  <c r="Z34" i="38"/>
  <c r="Z35" i="38"/>
  <c r="Z37" i="38"/>
  <c r="Z38" i="38"/>
  <c r="Z39" i="38"/>
  <c r="Z40" i="38"/>
  <c r="Z42" i="38"/>
  <c r="Z43" i="38"/>
  <c r="Z45" i="38"/>
  <c r="Z46" i="38"/>
  <c r="Z47" i="38"/>
  <c r="Z48" i="38"/>
  <c r="Z49" i="38"/>
  <c r="Z50" i="38"/>
  <c r="Z51" i="38"/>
  <c r="Z52" i="38"/>
  <c r="Z53" i="38"/>
  <c r="Z54" i="38"/>
  <c r="Z55" i="38"/>
  <c r="Z56" i="38"/>
  <c r="Z11" i="38"/>
  <c r="B11" i="38"/>
  <c r="AC64" i="69" l="1"/>
  <c r="AD65" i="69"/>
  <c r="AM115" i="69"/>
  <c r="X118" i="69"/>
  <c r="W114" i="69"/>
  <c r="AI62" i="69"/>
  <c r="AH51" i="69"/>
  <c r="AB38" i="69"/>
  <c r="AC40" i="69"/>
  <c r="AF18" i="69"/>
  <c r="AE17" i="69"/>
  <c r="AE94" i="69"/>
  <c r="AD93" i="69"/>
  <c r="AC86" i="69"/>
  <c r="AD87" i="69"/>
  <c r="AI39" i="69"/>
  <c r="AC99" i="69"/>
  <c r="AD100" i="69"/>
  <c r="AC27" i="69"/>
  <c r="AD27" i="69" s="1"/>
  <c r="AE27" i="69" s="1"/>
  <c r="AF27" i="69" s="1"/>
  <c r="AG27" i="69" s="1"/>
  <c r="AH27" i="69" s="1"/>
  <c r="AI27" i="69" s="1"/>
  <c r="AJ27" i="69" s="1"/>
  <c r="AK27" i="69" s="1"/>
  <c r="AL27" i="69" s="1"/>
  <c r="AM27" i="69" s="1"/>
  <c r="AN27" i="69" s="1"/>
  <c r="Q33" i="69"/>
  <c r="P26" i="69"/>
  <c r="T74" i="69"/>
  <c r="U76" i="69"/>
  <c r="T31" i="69"/>
  <c r="AB43" i="69"/>
  <c r="AC44" i="69"/>
  <c r="AI120" i="69"/>
  <c r="Q34" i="69"/>
  <c r="AL105" i="69"/>
  <c r="AM75" i="69"/>
  <c r="AJ110" i="69"/>
  <c r="B21" i="41"/>
  <c r="U27" i="38"/>
  <c r="AE65" i="69" l="1"/>
  <c r="AD64" i="69"/>
  <c r="X114" i="69"/>
  <c r="Y118" i="69"/>
  <c r="AN115" i="69"/>
  <c r="AJ62" i="69"/>
  <c r="AJ51" i="69" s="1"/>
  <c r="AI51" i="69"/>
  <c r="AC38" i="69"/>
  <c r="AD40" i="69"/>
  <c r="AG18" i="69"/>
  <c r="AF17" i="69"/>
  <c r="AF94" i="69"/>
  <c r="AE93" i="69"/>
  <c r="AE87" i="69"/>
  <c r="AD86" i="69"/>
  <c r="AJ39" i="69"/>
  <c r="I27" i="38"/>
  <c r="L27" i="38"/>
  <c r="N27" i="38"/>
  <c r="O27" i="38"/>
  <c r="G27" i="38"/>
  <c r="M27" i="38"/>
  <c r="H27" i="38"/>
  <c r="J27" i="38"/>
  <c r="K27" i="38"/>
  <c r="AC43" i="69"/>
  <c r="AD44" i="69"/>
  <c r="U31" i="69"/>
  <c r="R33" i="69"/>
  <c r="Q26" i="69"/>
  <c r="U74" i="69"/>
  <c r="V76" i="69"/>
  <c r="AD99" i="69"/>
  <c r="AE100" i="69"/>
  <c r="AJ120" i="69"/>
  <c r="R34" i="69"/>
  <c r="AO27" i="69"/>
  <c r="AN75" i="69"/>
  <c r="AM105" i="69"/>
  <c r="AE64" i="69" l="1"/>
  <c r="AF65" i="69"/>
  <c r="AO115" i="69"/>
  <c r="Y114" i="69"/>
  <c r="Z118" i="69"/>
  <c r="AD38" i="69"/>
  <c r="AE40" i="69"/>
  <c r="AH18" i="69"/>
  <c r="AG17" i="69"/>
  <c r="AG94" i="69"/>
  <c r="AF93" i="69"/>
  <c r="AF87" i="69"/>
  <c r="AE86" i="69"/>
  <c r="AK39" i="69"/>
  <c r="Q27" i="38"/>
  <c r="V31" i="69"/>
  <c r="S33" i="69"/>
  <c r="R26" i="69"/>
  <c r="AD43" i="69"/>
  <c r="AE44" i="69"/>
  <c r="AE99" i="69"/>
  <c r="AF100" i="69"/>
  <c r="V74" i="69"/>
  <c r="W76" i="69"/>
  <c r="AK120" i="69"/>
  <c r="S34" i="69"/>
  <c r="AP27" i="69"/>
  <c r="AO75" i="69"/>
  <c r="AN105" i="69"/>
  <c r="AF64" i="69" l="1"/>
  <c r="AG65" i="69"/>
  <c r="AP115" i="69"/>
  <c r="Z114" i="69"/>
  <c r="AA118" i="69"/>
  <c r="AE38" i="69"/>
  <c r="AF40" i="69"/>
  <c r="AI18" i="69"/>
  <c r="AH17" i="69"/>
  <c r="AH94" i="69"/>
  <c r="AG93" i="69"/>
  <c r="AG87" i="69"/>
  <c r="AF86" i="69"/>
  <c r="AL39" i="69"/>
  <c r="X27" i="38"/>
  <c r="D29" i="71"/>
  <c r="AF99" i="69"/>
  <c r="AG100" i="69"/>
  <c r="AE43" i="69"/>
  <c r="AF44" i="69"/>
  <c r="W74" i="69"/>
  <c r="X76" i="69"/>
  <c r="T33" i="69"/>
  <c r="S26" i="69"/>
  <c r="W31" i="69"/>
  <c r="AL120" i="69"/>
  <c r="T34" i="69"/>
  <c r="AP75" i="69"/>
  <c r="AO105" i="69"/>
  <c r="AG64" i="69" l="1"/>
  <c r="AH65" i="69"/>
  <c r="AA114" i="69"/>
  <c r="AB118" i="69"/>
  <c r="AF38" i="69"/>
  <c r="AG40" i="69"/>
  <c r="AJ18" i="69"/>
  <c r="AI17" i="69"/>
  <c r="AI94" i="69"/>
  <c r="AH93" i="69"/>
  <c r="AH87" i="69"/>
  <c r="AG86" i="69"/>
  <c r="AM39" i="69"/>
  <c r="AF43" i="69"/>
  <c r="AG44" i="69"/>
  <c r="U33" i="69"/>
  <c r="T26" i="69"/>
  <c r="AG99" i="69"/>
  <c r="AH100" i="69"/>
  <c r="X74" i="69"/>
  <c r="Y76" i="69"/>
  <c r="X31" i="69"/>
  <c r="AM120" i="69"/>
  <c r="U34" i="69"/>
  <c r="AP105" i="69"/>
  <c r="AI65" i="69" l="1"/>
  <c r="AH64" i="69"/>
  <c r="AC118" i="69"/>
  <c r="AB114" i="69"/>
  <c r="AG38" i="69"/>
  <c r="AH40" i="69"/>
  <c r="AK18" i="69"/>
  <c r="AJ17" i="69"/>
  <c r="AJ94" i="69"/>
  <c r="AI93" i="69"/>
  <c r="AI87" i="69"/>
  <c r="AH86" i="69"/>
  <c r="V34" i="69"/>
  <c r="AN39" i="69"/>
  <c r="AH99" i="69"/>
  <c r="AI100" i="69"/>
  <c r="Y31" i="69"/>
  <c r="V33" i="69"/>
  <c r="U26" i="69"/>
  <c r="AG43" i="69"/>
  <c r="AH44" i="69"/>
  <c r="Y74" i="69"/>
  <c r="Z76" i="69"/>
  <c r="AN120" i="69"/>
  <c r="AI64" i="69" l="1"/>
  <c r="AJ65" i="69"/>
  <c r="AJ64" i="69" s="1"/>
  <c r="AC114" i="69"/>
  <c r="AD118" i="69"/>
  <c r="AH38" i="69"/>
  <c r="AI40" i="69"/>
  <c r="AL18" i="69"/>
  <c r="AK17" i="69"/>
  <c r="AK94" i="69"/>
  <c r="AJ93" i="69"/>
  <c r="AJ87" i="69"/>
  <c r="AI86" i="69"/>
  <c r="W34" i="69"/>
  <c r="AO39" i="69"/>
  <c r="Z74" i="69"/>
  <c r="AA76" i="69"/>
  <c r="AH43" i="69"/>
  <c r="AI44" i="69"/>
  <c r="W33" i="69"/>
  <c r="V26" i="69"/>
  <c r="Z31" i="69"/>
  <c r="AI99" i="69"/>
  <c r="AJ100" i="69"/>
  <c r="AO120" i="69"/>
  <c r="AD114" i="69" l="1"/>
  <c r="AE118" i="69"/>
  <c r="AI38" i="69"/>
  <c r="AJ40" i="69"/>
  <c r="AM18" i="69"/>
  <c r="AL17" i="69"/>
  <c r="AL94" i="69"/>
  <c r="AK93" i="69"/>
  <c r="AK87" i="69"/>
  <c r="AJ86" i="69"/>
  <c r="X34" i="69"/>
  <c r="AP39" i="69"/>
  <c r="X33" i="69"/>
  <c r="W26" i="69"/>
  <c r="AI43" i="69"/>
  <c r="AJ44" i="69"/>
  <c r="AJ99" i="69"/>
  <c r="AK100" i="69"/>
  <c r="AA74" i="69"/>
  <c r="AB76" i="69"/>
  <c r="AA31" i="69"/>
  <c r="AP120" i="69"/>
  <c r="A54" i="25"/>
  <c r="AE114" i="69" l="1"/>
  <c r="AF118" i="69"/>
  <c r="AJ38" i="69"/>
  <c r="AK40" i="69"/>
  <c r="AN18" i="69"/>
  <c r="AM17" i="69"/>
  <c r="AM94" i="69"/>
  <c r="AL93" i="69"/>
  <c r="AL87" i="69"/>
  <c r="AK86" i="69"/>
  <c r="Y34" i="69"/>
  <c r="AB74" i="69"/>
  <c r="AC76" i="69"/>
  <c r="AK99" i="69"/>
  <c r="AL100" i="69"/>
  <c r="AJ43" i="69"/>
  <c r="AK44" i="69"/>
  <c r="AB31" i="69"/>
  <c r="Y33" i="69"/>
  <c r="X26" i="69"/>
  <c r="AF114" i="69" l="1"/>
  <c r="AG118" i="69"/>
  <c r="Z34" i="69"/>
  <c r="AK38" i="69"/>
  <c r="AL40" i="69"/>
  <c r="AO18" i="69"/>
  <c r="AN17" i="69"/>
  <c r="AN94" i="69"/>
  <c r="AM93" i="69"/>
  <c r="AM87" i="69"/>
  <c r="AL86" i="69"/>
  <c r="AC74" i="69"/>
  <c r="AD76" i="69"/>
  <c r="AK43" i="69"/>
  <c r="AL44" i="69"/>
  <c r="AL99" i="69"/>
  <c r="AM100" i="69"/>
  <c r="Z33" i="69"/>
  <c r="Y26" i="69"/>
  <c r="AC31" i="69"/>
  <c r="B18" i="38"/>
  <c r="B37" i="38"/>
  <c r="A11" i="25"/>
  <c r="A30" i="25"/>
  <c r="AG114" i="69" l="1"/>
  <c r="AH118" i="69"/>
  <c r="AA34" i="69"/>
  <c r="AL38" i="69"/>
  <c r="AM40" i="69"/>
  <c r="AP18" i="69"/>
  <c r="AP17" i="69" s="1"/>
  <c r="AO17" i="69"/>
  <c r="AO94" i="69"/>
  <c r="AN93" i="69"/>
  <c r="AN87" i="69"/>
  <c r="AM86" i="69"/>
  <c r="AE76" i="69"/>
  <c r="AD74" i="69"/>
  <c r="AA33" i="69"/>
  <c r="Z26" i="69"/>
  <c r="AL43" i="69"/>
  <c r="AM44" i="69"/>
  <c r="AM99" i="69"/>
  <c r="AN100" i="69"/>
  <c r="D5" i="32"/>
  <c r="B12" i="41"/>
  <c r="B31" i="41"/>
  <c r="D12" i="41"/>
  <c r="U18" i="38"/>
  <c r="AI118" i="69" l="1"/>
  <c r="AH114" i="69"/>
  <c r="AB34" i="69"/>
  <c r="AM38" i="69"/>
  <c r="AN40" i="69"/>
  <c r="AP94" i="69"/>
  <c r="AP93" i="69" s="1"/>
  <c r="AO93" i="69"/>
  <c r="AO87" i="69"/>
  <c r="AN86" i="69"/>
  <c r="AF76" i="69"/>
  <c r="AE74" i="69"/>
  <c r="I18" i="38"/>
  <c r="J18" i="38"/>
  <c r="L18" i="38"/>
  <c r="O18" i="38"/>
  <c r="N18" i="38"/>
  <c r="G18" i="38"/>
  <c r="H18" i="38"/>
  <c r="K18" i="38"/>
  <c r="M18" i="38"/>
  <c r="AN99" i="69"/>
  <c r="AO100" i="69"/>
  <c r="AM43" i="69"/>
  <c r="AN44" i="69"/>
  <c r="AB33" i="69"/>
  <c r="AA26" i="69"/>
  <c r="D6" i="1"/>
  <c r="C3" i="71" s="1"/>
  <c r="AI114" i="69" l="1"/>
  <c r="AJ118" i="69"/>
  <c r="AC34" i="69"/>
  <c r="AD34" i="69" s="1"/>
  <c r="AN38" i="69"/>
  <c r="AO40" i="69"/>
  <c r="AO86" i="69"/>
  <c r="AP87" i="69"/>
  <c r="AP86" i="69" s="1"/>
  <c r="AG76" i="69"/>
  <c r="AF74" i="69"/>
  <c r="Q18" i="38"/>
  <c r="AC33" i="69"/>
  <c r="AD33" i="69" s="1"/>
  <c r="AB26" i="69"/>
  <c r="AN43" i="69"/>
  <c r="AO44" i="69"/>
  <c r="AP100" i="69"/>
  <c r="AP99" i="69" s="1"/>
  <c r="AO99" i="69"/>
  <c r="D18" i="21"/>
  <c r="D19" i="21" l="1"/>
  <c r="D20" i="21" s="1"/>
  <c r="D22" i="21"/>
  <c r="AJ114" i="69"/>
  <c r="AK118" i="69"/>
  <c r="AD26" i="69"/>
  <c r="AO38" i="69"/>
  <c r="AP40" i="69"/>
  <c r="AP38" i="69" s="1"/>
  <c r="AH76" i="69"/>
  <c r="AG74" i="69"/>
  <c r="X18" i="38"/>
  <c r="D20" i="71"/>
  <c r="AO43" i="69"/>
  <c r="AP44" i="69"/>
  <c r="AP43" i="69" s="1"/>
  <c r="AE33" i="69"/>
  <c r="AC26" i="69"/>
  <c r="AE34" i="69"/>
  <c r="D22" i="49"/>
  <c r="D7" i="49" s="1"/>
  <c r="D6" i="49"/>
  <c r="D5" i="49" l="1"/>
  <c r="AK114" i="69"/>
  <c r="AL118" i="69"/>
  <c r="AI76" i="69"/>
  <c r="AH74" i="69"/>
  <c r="AF33" i="69"/>
  <c r="AE26" i="69"/>
  <c r="F22" i="49"/>
  <c r="B15" i="59"/>
  <c r="AF34" i="69"/>
  <c r="AL114" i="69" l="1"/>
  <c r="AM118" i="69"/>
  <c r="AJ76" i="69"/>
  <c r="AI74" i="69"/>
  <c r="AG33" i="69"/>
  <c r="AF26" i="69"/>
  <c r="AG34" i="69"/>
  <c r="AM114" i="69" l="1"/>
  <c r="AN118" i="69"/>
  <c r="AK76" i="69"/>
  <c r="AJ74" i="69"/>
  <c r="AH33" i="69"/>
  <c r="AG26" i="69"/>
  <c r="AH34" i="69"/>
  <c r="A76" i="25"/>
  <c r="B76" i="38"/>
  <c r="A56" i="25"/>
  <c r="W137" i="38"/>
  <c r="W118" i="38"/>
  <c r="A106" i="25"/>
  <c r="A105" i="25"/>
  <c r="A103" i="25"/>
  <c r="AO118" i="69" l="1"/>
  <c r="AN114" i="69"/>
  <c r="AL76" i="69"/>
  <c r="AK74" i="69"/>
  <c r="AI33" i="69"/>
  <c r="AH26" i="69"/>
  <c r="AI34" i="69"/>
  <c r="AJ34" i="69" s="1"/>
  <c r="B59" i="41"/>
  <c r="D59" i="41"/>
  <c r="U76" i="38"/>
  <c r="B101" i="38"/>
  <c r="B84" i="41" s="1"/>
  <c r="B103" i="38"/>
  <c r="B86" i="41" s="1"/>
  <c r="D15" i="32" s="1"/>
  <c r="B82" i="38"/>
  <c r="B83" i="38"/>
  <c r="B84" i="38"/>
  <c r="B85" i="38"/>
  <c r="AO114" i="69" l="1"/>
  <c r="AP118" i="69"/>
  <c r="AP114" i="69" s="1"/>
  <c r="AM76" i="69"/>
  <c r="AL74" i="69"/>
  <c r="L76" i="38"/>
  <c r="N76" i="38"/>
  <c r="K76" i="38"/>
  <c r="O76" i="38"/>
  <c r="J76" i="38"/>
  <c r="H76" i="38"/>
  <c r="G76" i="38"/>
  <c r="I76" i="38"/>
  <c r="M76" i="38"/>
  <c r="AJ33" i="69"/>
  <c r="AI26" i="69"/>
  <c r="AK34" i="69"/>
  <c r="AN76" i="69" l="1"/>
  <c r="AM74" i="69"/>
  <c r="AK33" i="69"/>
  <c r="AJ26" i="69"/>
  <c r="Q76" i="38"/>
  <c r="AL34" i="69"/>
  <c r="AO76" i="69" l="1"/>
  <c r="AN74" i="69"/>
  <c r="AL33" i="69"/>
  <c r="AK26" i="69"/>
  <c r="X76" i="38"/>
  <c r="D78" i="71"/>
  <c r="AM34" i="69"/>
  <c r="A16" i="25"/>
  <c r="B23" i="38"/>
  <c r="AP76" i="69" l="1"/>
  <c r="AP74" i="69" s="1"/>
  <c r="AO74" i="69"/>
  <c r="AM33" i="69"/>
  <c r="AL26" i="69"/>
  <c r="AN34" i="69"/>
  <c r="B17" i="41"/>
  <c r="A71" i="25"/>
  <c r="B71" i="38"/>
  <c r="A62" i="25"/>
  <c r="A61" i="25"/>
  <c r="B62" i="38"/>
  <c r="A43" i="25"/>
  <c r="B50" i="38"/>
  <c r="B13" i="38"/>
  <c r="A6" i="25"/>
  <c r="AN33" i="69" l="1"/>
  <c r="AM26" i="69"/>
  <c r="AO34" i="69"/>
  <c r="D17" i="41"/>
  <c r="U23" i="38"/>
  <c r="B54" i="41"/>
  <c r="B46" i="41"/>
  <c r="B7" i="41"/>
  <c r="D54" i="41"/>
  <c r="U71" i="38"/>
  <c r="D46" i="41"/>
  <c r="K23" i="38" l="1"/>
  <c r="I23" i="38"/>
  <c r="L23" i="38"/>
  <c r="N23" i="38"/>
  <c r="H23" i="38"/>
  <c r="M23" i="38"/>
  <c r="J23" i="38"/>
  <c r="O23" i="38"/>
  <c r="G23" i="38"/>
  <c r="H62" i="38"/>
  <c r="N62" i="38"/>
  <c r="M62" i="38"/>
  <c r="J62" i="38"/>
  <c r="G62" i="38"/>
  <c r="I62" i="38"/>
  <c r="O62" i="38"/>
  <c r="K62" i="38"/>
  <c r="L62" i="38"/>
  <c r="M71" i="38"/>
  <c r="I71" i="38"/>
  <c r="J71" i="38"/>
  <c r="G71" i="38"/>
  <c r="H71" i="38"/>
  <c r="O71" i="38"/>
  <c r="L71" i="38"/>
  <c r="N71" i="38"/>
  <c r="K71" i="38"/>
  <c r="AO33" i="69"/>
  <c r="AN26" i="69"/>
  <c r="W115" i="38"/>
  <c r="AP34" i="69"/>
  <c r="Q62" i="38" l="1"/>
  <c r="Q71" i="38"/>
  <c r="AP33" i="69"/>
  <c r="AP26" i="69" s="1"/>
  <c r="AO26" i="69"/>
  <c r="Q23" i="38"/>
  <c r="C97" i="41"/>
  <c r="F97" i="41" s="1"/>
  <c r="R115" i="38"/>
  <c r="W114" i="38"/>
  <c r="R114" i="38"/>
  <c r="B105" i="38"/>
  <c r="R62" i="38" l="1"/>
  <c r="X62" i="38"/>
  <c r="W62" i="38"/>
  <c r="D64" i="71"/>
  <c r="X71" i="38"/>
  <c r="D73" i="71"/>
  <c r="X23" i="38"/>
  <c r="D25" i="71"/>
  <c r="B88" i="41"/>
  <c r="A101" i="25"/>
  <c r="A104" i="25"/>
  <c r="A100" i="25"/>
  <c r="D88" i="41" l="1"/>
  <c r="T42" i="38" l="1"/>
  <c r="D84" i="41"/>
  <c r="D18" i="41" l="1"/>
  <c r="D82" i="41"/>
  <c r="D28" i="41"/>
  <c r="D92" i="41"/>
  <c r="D43" i="41"/>
  <c r="D64" i="41"/>
  <c r="D52" i="41"/>
  <c r="D27" i="41"/>
  <c r="D29" i="41"/>
  <c r="D60" i="41"/>
  <c r="D74" i="41"/>
  <c r="D68" i="41"/>
  <c r="D53" i="41"/>
  <c r="D72" i="41"/>
  <c r="D73" i="41"/>
  <c r="D47" i="41"/>
  <c r="D65" i="41"/>
  <c r="D77" i="41"/>
  <c r="D45" i="41"/>
  <c r="D66" i="41"/>
  <c r="D20" i="41"/>
  <c r="D44" i="41"/>
  <c r="D67" i="41"/>
  <c r="B100" i="38"/>
  <c r="B104" i="38"/>
  <c r="B87" i="41" s="1"/>
  <c r="B106" i="38"/>
  <c r="A110" i="25"/>
  <c r="A111" i="25"/>
  <c r="A112" i="25"/>
  <c r="A99" i="25"/>
  <c r="B99" i="38"/>
  <c r="B109" i="38"/>
  <c r="B108" i="38"/>
  <c r="B98" i="38"/>
  <c r="A98" i="25"/>
  <c r="B91" i="41" l="1"/>
  <c r="D16" i="32" s="1"/>
  <c r="B82" i="41"/>
  <c r="B81" i="41"/>
  <c r="D14" i="32" s="1"/>
  <c r="B89" i="41"/>
  <c r="B83" i="41"/>
  <c r="D76" i="41"/>
  <c r="B92" i="41"/>
  <c r="D37" i="41" l="1"/>
  <c r="D91" i="41" l="1"/>
  <c r="D58" i="41"/>
  <c r="D49" i="41"/>
  <c r="A9" i="25" l="1"/>
  <c r="B16" i="38"/>
  <c r="A55" i="25"/>
  <c r="D15" i="41"/>
  <c r="A19" i="25"/>
  <c r="B26" i="38"/>
  <c r="B20" i="41" s="1"/>
  <c r="D26" i="41"/>
  <c r="D36" i="41"/>
  <c r="U21" i="38"/>
  <c r="U24" i="38"/>
  <c r="U34" i="38"/>
  <c r="U35" i="38"/>
  <c r="U69" i="38"/>
  <c r="U70" i="38"/>
  <c r="U77" i="38"/>
  <c r="U81" i="38"/>
  <c r="U82" i="38"/>
  <c r="U75" i="38"/>
  <c r="D51" i="41"/>
  <c r="U43" i="38"/>
  <c r="U42" i="38" s="1"/>
  <c r="U33" i="38"/>
  <c r="A5" i="25"/>
  <c r="B12" i="38"/>
  <c r="B6" i="41" s="1"/>
  <c r="B65" i="41"/>
  <c r="A82" i="25"/>
  <c r="A108" i="25"/>
  <c r="A93" i="25"/>
  <c r="B94" i="38"/>
  <c r="B77" i="41" s="1"/>
  <c r="O131" i="1"/>
  <c r="D42" i="41"/>
  <c r="D23" i="41"/>
  <c r="D22" i="41"/>
  <c r="D19" i="41"/>
  <c r="D48" i="41"/>
  <c r="D63" i="41"/>
  <c r="U59" i="38"/>
  <c r="U83" i="38"/>
  <c r="U26" i="38"/>
  <c r="U84" i="38"/>
  <c r="U85" i="38"/>
  <c r="A94" i="25"/>
  <c r="A75" i="25"/>
  <c r="B75" i="38"/>
  <c r="B58" i="41" s="1"/>
  <c r="C98" i="41"/>
  <c r="F98" i="41" s="1"/>
  <c r="D83" i="41"/>
  <c r="B10" i="41" l="1"/>
  <c r="M65" i="38"/>
  <c r="G65" i="38"/>
  <c r="J65" i="38"/>
  <c r="N65" i="38"/>
  <c r="K65" i="38"/>
  <c r="L65" i="38"/>
  <c r="O65" i="38"/>
  <c r="H65" i="38"/>
  <c r="I65" i="38"/>
  <c r="K77" i="38"/>
  <c r="N77" i="38"/>
  <c r="G77" i="38"/>
  <c r="O77" i="38"/>
  <c r="L77" i="38"/>
  <c r="J77" i="38"/>
  <c r="M77" i="38"/>
  <c r="I77" i="38"/>
  <c r="H77" i="38"/>
  <c r="L85" i="38"/>
  <c r="I85" i="38"/>
  <c r="J85" i="38"/>
  <c r="G85" i="38"/>
  <c r="H85" i="38"/>
  <c r="N85" i="38"/>
  <c r="K85" i="38"/>
  <c r="M85" i="38"/>
  <c r="O85" i="38"/>
  <c r="O64" i="38"/>
  <c r="J64" i="38"/>
  <c r="M64" i="38"/>
  <c r="L64" i="38"/>
  <c r="I64" i="38"/>
  <c r="H64" i="38"/>
  <c r="N64" i="38"/>
  <c r="G64" i="38"/>
  <c r="K64" i="38"/>
  <c r="O66" i="38"/>
  <c r="J66" i="38"/>
  <c r="L66" i="38"/>
  <c r="M66" i="38"/>
  <c r="N66" i="38"/>
  <c r="I66" i="38"/>
  <c r="K66" i="38"/>
  <c r="H66" i="38"/>
  <c r="O26" i="38"/>
  <c r="H26" i="38"/>
  <c r="G26" i="38"/>
  <c r="J26" i="38"/>
  <c r="M26" i="38"/>
  <c r="L26" i="38"/>
  <c r="I26" i="38"/>
  <c r="N26" i="38"/>
  <c r="K26" i="38"/>
  <c r="O83" i="38"/>
  <c r="K83" i="38"/>
  <c r="L83" i="38"/>
  <c r="H83" i="38"/>
  <c r="N83" i="38"/>
  <c r="J83" i="38"/>
  <c r="I83" i="38"/>
  <c r="M83" i="38"/>
  <c r="H34" i="38"/>
  <c r="I34" i="38"/>
  <c r="O34" i="38"/>
  <c r="N34" i="38"/>
  <c r="L34" i="38"/>
  <c r="J34" i="38"/>
  <c r="M34" i="38"/>
  <c r="K34" i="38"/>
  <c r="H82" i="38"/>
  <c r="O82" i="38"/>
  <c r="L82" i="38"/>
  <c r="I82" i="38"/>
  <c r="G82" i="38"/>
  <c r="N82" i="38"/>
  <c r="M82" i="38"/>
  <c r="K82" i="38"/>
  <c r="J82" i="38"/>
  <c r="K61" i="38"/>
  <c r="G61" i="38"/>
  <c r="H61" i="38"/>
  <c r="I61" i="38"/>
  <c r="L61" i="38"/>
  <c r="M61" i="38"/>
  <c r="O61" i="38"/>
  <c r="N61" i="38"/>
  <c r="J61" i="38"/>
  <c r="K70" i="38"/>
  <c r="L70" i="38"/>
  <c r="O70" i="38"/>
  <c r="H70" i="38"/>
  <c r="J70" i="38"/>
  <c r="M70" i="38"/>
  <c r="I70" i="38"/>
  <c r="N70" i="38"/>
  <c r="L84" i="38"/>
  <c r="N84" i="38"/>
  <c r="M84" i="38"/>
  <c r="J84" i="38"/>
  <c r="K84" i="38"/>
  <c r="H84" i="38"/>
  <c r="O84" i="38"/>
  <c r="I84" i="38"/>
  <c r="H69" i="38"/>
  <c r="O69" i="38"/>
  <c r="M69" i="38"/>
  <c r="I69" i="38"/>
  <c r="L69" i="38"/>
  <c r="G69" i="38"/>
  <c r="N69" i="38"/>
  <c r="J69" i="38"/>
  <c r="K69" i="38"/>
  <c r="M35" i="38"/>
  <c r="L35" i="38"/>
  <c r="N35" i="38"/>
  <c r="J35" i="38"/>
  <c r="O35" i="38"/>
  <c r="I35" i="38"/>
  <c r="H35" i="38"/>
  <c r="K35" i="38"/>
  <c r="M59" i="38"/>
  <c r="K59" i="38"/>
  <c r="L59" i="38"/>
  <c r="G59" i="38"/>
  <c r="O59" i="38"/>
  <c r="N59" i="38"/>
  <c r="H59" i="38"/>
  <c r="J59" i="38"/>
  <c r="I59" i="38"/>
  <c r="J75" i="38"/>
  <c r="H75" i="38"/>
  <c r="O75" i="38"/>
  <c r="K75" i="38"/>
  <c r="M75" i="38"/>
  <c r="I75" i="38"/>
  <c r="N75" i="38"/>
  <c r="L75" i="38"/>
  <c r="L24" i="38"/>
  <c r="H24" i="38"/>
  <c r="K24" i="38"/>
  <c r="G24" i="38"/>
  <c r="J24" i="38"/>
  <c r="N24" i="38"/>
  <c r="O24" i="38"/>
  <c r="M24" i="38"/>
  <c r="I24" i="38"/>
  <c r="J60" i="38"/>
  <c r="M60" i="38"/>
  <c r="L60" i="38"/>
  <c r="I60" i="38"/>
  <c r="O60" i="38"/>
  <c r="K60" i="38"/>
  <c r="H60" i="38"/>
  <c r="N60" i="38"/>
  <c r="K33" i="38"/>
  <c r="H33" i="38"/>
  <c r="J33" i="38"/>
  <c r="O33" i="38"/>
  <c r="N33" i="38"/>
  <c r="I33" i="38"/>
  <c r="M33" i="38"/>
  <c r="L33" i="38"/>
  <c r="M21" i="38"/>
  <c r="N21" i="38"/>
  <c r="H21" i="38"/>
  <c r="J21" i="38"/>
  <c r="L21" i="38"/>
  <c r="O21" i="38"/>
  <c r="K21" i="38"/>
  <c r="I21" i="38"/>
  <c r="L81" i="38"/>
  <c r="K81" i="38"/>
  <c r="H81" i="38"/>
  <c r="O81" i="38"/>
  <c r="I81" i="38"/>
  <c r="N81" i="38"/>
  <c r="M81" i="38"/>
  <c r="J81" i="38"/>
  <c r="U58" i="38"/>
  <c r="U68" i="38"/>
  <c r="U32" i="38"/>
  <c r="U80" i="38"/>
  <c r="B20" i="38"/>
  <c r="Q65" i="38" l="1"/>
  <c r="Q66" i="38"/>
  <c r="Q64" i="38"/>
  <c r="Q61" i="38"/>
  <c r="Q60" i="38"/>
  <c r="I68" i="38"/>
  <c r="H68" i="38"/>
  <c r="N68" i="38"/>
  <c r="L68" i="38"/>
  <c r="O68" i="38"/>
  <c r="J68" i="38"/>
  <c r="Q59" i="38"/>
  <c r="Q69" i="38"/>
  <c r="G68" i="38"/>
  <c r="K68" i="38"/>
  <c r="Q70" i="38"/>
  <c r="M68" i="38"/>
  <c r="I58" i="38"/>
  <c r="L80" i="38"/>
  <c r="J32" i="38"/>
  <c r="K32" i="38"/>
  <c r="M32" i="38"/>
  <c r="N32" i="38"/>
  <c r="O58" i="38"/>
  <c r="F80" i="38"/>
  <c r="Q82" i="38"/>
  <c r="H58" i="38"/>
  <c r="H80" i="38"/>
  <c r="O80" i="38"/>
  <c r="J58" i="38"/>
  <c r="Q34" i="38"/>
  <c r="M80" i="38"/>
  <c r="Q21" i="38"/>
  <c r="D23" i="71" s="1"/>
  <c r="N80" i="38"/>
  <c r="L32" i="38"/>
  <c r="G80" i="38"/>
  <c r="Q81" i="38"/>
  <c r="D83" i="71" s="1"/>
  <c r="Q75" i="38"/>
  <c r="Q83" i="38"/>
  <c r="Q35" i="38"/>
  <c r="I80" i="38"/>
  <c r="Q33" i="38"/>
  <c r="D35" i="71" s="1"/>
  <c r="G32" i="38"/>
  <c r="F58" i="38"/>
  <c r="L58" i="38"/>
  <c r="K58" i="38"/>
  <c r="J80" i="38"/>
  <c r="H32" i="38"/>
  <c r="O32" i="38"/>
  <c r="Q85" i="38"/>
  <c r="M58" i="38"/>
  <c r="K80" i="38"/>
  <c r="I32" i="38"/>
  <c r="N58" i="38"/>
  <c r="Q24" i="38"/>
  <c r="Q77" i="38"/>
  <c r="G58" i="38"/>
  <c r="Q84" i="38"/>
  <c r="Q26" i="38"/>
  <c r="D57" i="41"/>
  <c r="U74" i="38"/>
  <c r="A23" i="25"/>
  <c r="A22" i="25"/>
  <c r="A21" i="25"/>
  <c r="A13" i="25"/>
  <c r="A32" i="25"/>
  <c r="B14" i="41"/>
  <c r="D3" i="32" s="1"/>
  <c r="W65" i="38" l="1"/>
  <c r="X65" i="38"/>
  <c r="R65" i="38"/>
  <c r="R64" i="38"/>
  <c r="W64" i="38"/>
  <c r="D62" i="71"/>
  <c r="X64" i="38"/>
  <c r="R66" i="38"/>
  <c r="W66" i="38"/>
  <c r="X66" i="38"/>
  <c r="R61" i="38"/>
  <c r="W61" i="38"/>
  <c r="X61" i="38"/>
  <c r="R60" i="38"/>
  <c r="W60" i="38"/>
  <c r="X60" i="38"/>
  <c r="D63" i="71"/>
  <c r="X59" i="38"/>
  <c r="D61" i="71"/>
  <c r="D72" i="71"/>
  <c r="X70" i="38"/>
  <c r="D71" i="71"/>
  <c r="X69" i="38"/>
  <c r="Q68" i="38"/>
  <c r="X68" i="38" s="1"/>
  <c r="H74" i="38"/>
  <c r="G74" i="38"/>
  <c r="I74" i="38"/>
  <c r="M74" i="38"/>
  <c r="L74" i="38"/>
  <c r="K74" i="38"/>
  <c r="J74" i="38"/>
  <c r="O74" i="38"/>
  <c r="N74" i="38"/>
  <c r="D66" i="71"/>
  <c r="X83" i="38"/>
  <c r="D85" i="71"/>
  <c r="X85" i="38"/>
  <c r="D87" i="71"/>
  <c r="X84" i="38"/>
  <c r="D86" i="71"/>
  <c r="X82" i="38"/>
  <c r="D84" i="71"/>
  <c r="X75" i="38"/>
  <c r="D77" i="71"/>
  <c r="X77" i="38"/>
  <c r="D79" i="71"/>
  <c r="D68" i="71"/>
  <c r="D67" i="71"/>
  <c r="X35" i="38"/>
  <c r="D37" i="71"/>
  <c r="X34" i="38"/>
  <c r="D36" i="71"/>
  <c r="X26" i="38"/>
  <c r="D28" i="71"/>
  <c r="X24" i="38"/>
  <c r="D26" i="71"/>
  <c r="Q58" i="38"/>
  <c r="X58" i="38" s="1"/>
  <c r="X33" i="38"/>
  <c r="Q32" i="38"/>
  <c r="X32" i="38" s="1"/>
  <c r="X81" i="38"/>
  <c r="Q80" i="38"/>
  <c r="X80" i="38" s="1"/>
  <c r="X21" i="38"/>
  <c r="D24" i="41"/>
  <c r="U30" i="38"/>
  <c r="U29" i="38"/>
  <c r="U28" i="38"/>
  <c r="B30" i="38"/>
  <c r="B24" i="41" s="1"/>
  <c r="B29" i="38"/>
  <c r="B23" i="41" s="1"/>
  <c r="B28" i="38"/>
  <c r="B22" i="41" s="1"/>
  <c r="B39" i="38"/>
  <c r="B33" i="41" s="1"/>
  <c r="A117" i="25"/>
  <c r="A53" i="25"/>
  <c r="A51" i="25"/>
  <c r="A41" i="25"/>
  <c r="A40" i="25"/>
  <c r="E85" i="41"/>
  <c r="J28" i="38" l="1"/>
  <c r="O28" i="38"/>
  <c r="N28" i="38"/>
  <c r="K28" i="38"/>
  <c r="L28" i="38"/>
  <c r="M28" i="38"/>
  <c r="H28" i="38"/>
  <c r="I28" i="38"/>
  <c r="G28" i="38"/>
  <c r="M29" i="38"/>
  <c r="K29" i="38"/>
  <c r="H29" i="38"/>
  <c r="J29" i="38"/>
  <c r="I29" i="38"/>
  <c r="O29" i="38"/>
  <c r="L29" i="38"/>
  <c r="N29" i="38"/>
  <c r="M30" i="38"/>
  <c r="K30" i="38"/>
  <c r="J30" i="38"/>
  <c r="I30" i="38"/>
  <c r="O30" i="38"/>
  <c r="G30" i="38"/>
  <c r="N30" i="38"/>
  <c r="H30" i="38"/>
  <c r="L30" i="38"/>
  <c r="D70" i="71"/>
  <c r="D82" i="71"/>
  <c r="D60" i="71"/>
  <c r="D34" i="71"/>
  <c r="Q74" i="38"/>
  <c r="D76" i="71" s="1"/>
  <c r="D16" i="41"/>
  <c r="U22" i="38"/>
  <c r="B48" i="38"/>
  <c r="B47" i="38"/>
  <c r="A48" i="25"/>
  <c r="B139" i="38"/>
  <c r="M22" i="38" l="1"/>
  <c r="I22" i="38"/>
  <c r="N22" i="38"/>
  <c r="O22" i="38"/>
  <c r="H22" i="38"/>
  <c r="L22" i="38"/>
  <c r="G22" i="38"/>
  <c r="J22" i="38"/>
  <c r="K22" i="38"/>
  <c r="Q29" i="38"/>
  <c r="X74" i="38"/>
  <c r="Q30" i="38"/>
  <c r="Q28" i="38"/>
  <c r="D61" i="41"/>
  <c r="U78" i="38"/>
  <c r="G78" i="38" l="1"/>
  <c r="G73" i="38" s="1"/>
  <c r="K78" i="38"/>
  <c r="K73" i="38" s="1"/>
  <c r="M78" i="38"/>
  <c r="M73" i="38" s="1"/>
  <c r="N78" i="38"/>
  <c r="N73" i="38" s="1"/>
  <c r="L78" i="38"/>
  <c r="L73" i="38" s="1"/>
  <c r="O78" i="38"/>
  <c r="O73" i="38" s="1"/>
  <c r="J78" i="38"/>
  <c r="J73" i="38" s="1"/>
  <c r="H78" i="38"/>
  <c r="H73" i="38" s="1"/>
  <c r="I78" i="38"/>
  <c r="I73" i="38" s="1"/>
  <c r="X28" i="38"/>
  <c r="D30" i="71"/>
  <c r="X30" i="38"/>
  <c r="D32" i="71"/>
  <c r="X29" i="38"/>
  <c r="D31" i="71"/>
  <c r="Q22" i="38"/>
  <c r="D24" i="71" s="1"/>
  <c r="F20" i="38"/>
  <c r="U73" i="38"/>
  <c r="D56" i="41"/>
  <c r="A134" i="25"/>
  <c r="X22" i="38" l="1"/>
  <c r="Q78" i="38"/>
  <c r="D80" i="71" s="1"/>
  <c r="D75" i="71" s="1"/>
  <c r="F73" i="38"/>
  <c r="B149" i="38"/>
  <c r="B55" i="38"/>
  <c r="X78" i="38" l="1"/>
  <c r="Q73" i="38"/>
  <c r="X73" i="38" s="1"/>
  <c r="R149" i="38"/>
  <c r="F25" i="71" l="1"/>
  <c r="F73" i="71"/>
  <c r="F78" i="71"/>
  <c r="F108" i="71"/>
  <c r="F122" i="71"/>
  <c r="F96" i="71"/>
  <c r="F103" i="71"/>
  <c r="E107" i="69" s="1"/>
  <c r="F107" i="69" s="1"/>
  <c r="G107" i="69" s="1"/>
  <c r="H107" i="69" s="1"/>
  <c r="I107" i="69" s="1"/>
  <c r="J107" i="69" s="1"/>
  <c r="K107" i="69" s="1"/>
  <c r="L107" i="69" s="1"/>
  <c r="M107" i="69" s="1"/>
  <c r="N107" i="69" s="1"/>
  <c r="O107" i="69" s="1"/>
  <c r="P107" i="69" s="1"/>
  <c r="Q107" i="69" s="1"/>
  <c r="R107" i="69" s="1"/>
  <c r="S107" i="69" s="1"/>
  <c r="T107" i="69" s="1"/>
  <c r="U107" i="69" s="1"/>
  <c r="V107" i="69" s="1"/>
  <c r="W107" i="69" s="1"/>
  <c r="X107" i="69" s="1"/>
  <c r="Y107" i="69" s="1"/>
  <c r="Z107" i="69" s="1"/>
  <c r="AA107" i="69" s="1"/>
  <c r="AB107" i="69" s="1"/>
  <c r="AC107" i="69" s="1"/>
  <c r="AD107" i="69" s="1"/>
  <c r="F107" i="71"/>
  <c r="F90" i="71"/>
  <c r="D39" i="41"/>
  <c r="U45" i="38"/>
  <c r="AE107" i="69" l="1"/>
  <c r="AD104" i="69"/>
  <c r="F95" i="71"/>
  <c r="F100" i="71"/>
  <c r="F105" i="71"/>
  <c r="U25" i="38"/>
  <c r="D14" i="41"/>
  <c r="B56" i="38"/>
  <c r="B54" i="38"/>
  <c r="B53" i="38"/>
  <c r="B49" i="38"/>
  <c r="B52" i="38"/>
  <c r="B51" i="38"/>
  <c r="A49" i="25"/>
  <c r="A47" i="25"/>
  <c r="A46" i="25"/>
  <c r="A42" i="25"/>
  <c r="A45" i="25"/>
  <c r="A44" i="25"/>
  <c r="M25" i="38" l="1"/>
  <c r="M20" i="38" s="1"/>
  <c r="N25" i="38"/>
  <c r="N20" i="38" s="1"/>
  <c r="I25" i="38"/>
  <c r="I20" i="38" s="1"/>
  <c r="H25" i="38"/>
  <c r="H20" i="38" s="1"/>
  <c r="J25" i="38"/>
  <c r="J20" i="38" s="1"/>
  <c r="K25" i="38"/>
  <c r="K20" i="38" s="1"/>
  <c r="L25" i="38"/>
  <c r="L20" i="38" s="1"/>
  <c r="O25" i="38"/>
  <c r="O20" i="38" s="1"/>
  <c r="U20" i="38"/>
  <c r="AF107" i="69"/>
  <c r="AE104" i="69"/>
  <c r="L136" i="38"/>
  <c r="N136" i="38"/>
  <c r="O136" i="38"/>
  <c r="Q25" i="38" l="1"/>
  <c r="D27" i="71" s="1"/>
  <c r="D22" i="71" s="1"/>
  <c r="G20" i="38"/>
  <c r="AG107" i="69"/>
  <c r="AF104" i="69"/>
  <c r="I136" i="38"/>
  <c r="J136" i="38"/>
  <c r="K136" i="38"/>
  <c r="F136" i="38"/>
  <c r="G136" i="38"/>
  <c r="H136" i="38"/>
  <c r="X25" i="38" l="1"/>
  <c r="Q20" i="38"/>
  <c r="X20" i="38" s="1"/>
  <c r="AH107" i="69"/>
  <c r="AG104" i="69"/>
  <c r="F102" i="71"/>
  <c r="F97" i="71"/>
  <c r="F101" i="71"/>
  <c r="E105" i="69" s="1"/>
  <c r="F20" i="71"/>
  <c r="F98" i="71"/>
  <c r="E136" i="38"/>
  <c r="D136" i="38"/>
  <c r="B119" i="38"/>
  <c r="B93" i="38"/>
  <c r="B91" i="38"/>
  <c r="B90" i="38"/>
  <c r="B89" i="38"/>
  <c r="B88" i="38"/>
  <c r="B87" i="38"/>
  <c r="B81" i="38"/>
  <c r="B80" i="38"/>
  <c r="B78" i="38"/>
  <c r="B77" i="38"/>
  <c r="B74" i="38"/>
  <c r="B73" i="38"/>
  <c r="B70" i="38"/>
  <c r="B69" i="38"/>
  <c r="B68" i="38"/>
  <c r="B66" i="38"/>
  <c r="B65" i="38"/>
  <c r="B64" i="38"/>
  <c r="B61" i="38"/>
  <c r="B60" i="38"/>
  <c r="B59" i="38"/>
  <c r="B58" i="38"/>
  <c r="B46" i="38"/>
  <c r="B45" i="38"/>
  <c r="B43" i="38"/>
  <c r="B42" i="38"/>
  <c r="B35" i="38"/>
  <c r="B34" i="38"/>
  <c r="B33" i="38"/>
  <c r="B32" i="38"/>
  <c r="B40" i="38"/>
  <c r="B25" i="38"/>
  <c r="B24" i="38"/>
  <c r="B22" i="38"/>
  <c r="B21" i="38"/>
  <c r="B15" i="38"/>
  <c r="B14" i="38"/>
  <c r="B17" i="38"/>
  <c r="B38" i="38"/>
  <c r="B5" i="41"/>
  <c r="D21" i="32" s="1"/>
  <c r="A7" i="25"/>
  <c r="A77" i="25"/>
  <c r="A6" i="1" l="1"/>
  <c r="F105" i="69"/>
  <c r="E104" i="69"/>
  <c r="AI107" i="69"/>
  <c r="AH104" i="69"/>
  <c r="F111" i="71"/>
  <c r="W139" i="38"/>
  <c r="B42" i="41"/>
  <c r="D8" i="32" s="1"/>
  <c r="B76" i="41"/>
  <c r="D13" i="32" s="1"/>
  <c r="B51" i="41"/>
  <c r="D9" i="32" s="1"/>
  <c r="B63" i="41"/>
  <c r="D11" i="32" s="1"/>
  <c r="B26" i="41"/>
  <c r="D4" i="32" s="1"/>
  <c r="B56" i="41"/>
  <c r="D10" i="32" s="1"/>
  <c r="B36" i="41"/>
  <c r="D6" i="32" s="1"/>
  <c r="B70" i="41"/>
  <c r="D12" i="32" s="1"/>
  <c r="B43" i="41"/>
  <c r="B15" i="41"/>
  <c r="B32" i="41"/>
  <c r="B34" i="41"/>
  <c r="B60" i="41"/>
  <c r="B73" i="41"/>
  <c r="B52" i="41"/>
  <c r="B27" i="41"/>
  <c r="B71" i="41"/>
  <c r="B67" i="41"/>
  <c r="B74" i="41"/>
  <c r="B28" i="41"/>
  <c r="B64" i="41"/>
  <c r="B29" i="41"/>
  <c r="B45" i="41"/>
  <c r="B16" i="41"/>
  <c r="B47" i="41"/>
  <c r="B18" i="41"/>
  <c r="B37" i="41"/>
  <c r="B48" i="41"/>
  <c r="B68" i="41"/>
  <c r="B11" i="41"/>
  <c r="B61" i="41"/>
  <c r="B8" i="41"/>
  <c r="B53" i="41"/>
  <c r="B9" i="41"/>
  <c r="B44" i="41"/>
  <c r="B72" i="41"/>
  <c r="B66" i="41"/>
  <c r="B19" i="41"/>
  <c r="B39" i="41"/>
  <c r="D7" i="32" s="1"/>
  <c r="B49" i="41"/>
  <c r="B57" i="41"/>
  <c r="A87" i="25"/>
  <c r="A89" i="25"/>
  <c r="AJ107" i="69" l="1"/>
  <c r="AI104" i="69"/>
  <c r="G105" i="69"/>
  <c r="F104" i="69"/>
  <c r="H105" i="69" l="1"/>
  <c r="G104" i="69"/>
  <c r="AK107" i="69"/>
  <c r="AJ104" i="69"/>
  <c r="A91" i="25"/>
  <c r="A90" i="25"/>
  <c r="A65" i="25"/>
  <c r="A85" i="25"/>
  <c r="A84" i="25"/>
  <c r="AL107" i="69" l="1"/>
  <c r="AK104" i="69"/>
  <c r="I105" i="69"/>
  <c r="H104" i="69"/>
  <c r="J105" i="69" l="1"/>
  <c r="I104" i="69"/>
  <c r="AM107" i="69"/>
  <c r="AL104" i="69"/>
  <c r="R131" i="38"/>
  <c r="AN107" i="69" l="1"/>
  <c r="AM104" i="69"/>
  <c r="K105" i="69"/>
  <c r="J104" i="69"/>
  <c r="A69" i="25"/>
  <c r="A78" i="25"/>
  <c r="L105" i="69" l="1"/>
  <c r="K104" i="69"/>
  <c r="AO107" i="69"/>
  <c r="AN104" i="69"/>
  <c r="A66" i="25"/>
  <c r="A74" i="25"/>
  <c r="A73" i="25"/>
  <c r="A8" i="25"/>
  <c r="AP107" i="69" l="1"/>
  <c r="AP104" i="69" s="1"/>
  <c r="AO104" i="69"/>
  <c r="M105" i="69"/>
  <c r="L104" i="69"/>
  <c r="A28" i="25"/>
  <c r="N105" i="69" l="1"/>
  <c r="M104" i="69"/>
  <c r="A10" i="25"/>
  <c r="O105" i="69" l="1"/>
  <c r="N104" i="69"/>
  <c r="A58" i="25"/>
  <c r="A38" i="25"/>
  <c r="A35" i="25"/>
  <c r="A25" i="25"/>
  <c r="A109" i="25"/>
  <c r="A83" i="25"/>
  <c r="A88" i="25"/>
  <c r="A81" i="25"/>
  <c r="A80" i="25"/>
  <c r="A68" i="25"/>
  <c r="A70" i="25"/>
  <c r="A64" i="25"/>
  <c r="A60" i="25"/>
  <c r="A59" i="25"/>
  <c r="A39" i="25"/>
  <c r="A36" i="25"/>
  <c r="A27" i="25"/>
  <c r="A26" i="25"/>
  <c r="A31" i="25"/>
  <c r="A14" i="25"/>
  <c r="A15" i="25"/>
  <c r="A17" i="25"/>
  <c r="A18" i="25"/>
  <c r="A33" i="25"/>
  <c r="A4" i="25"/>
  <c r="P105" i="69" l="1"/>
  <c r="O104" i="69"/>
  <c r="M42" i="38"/>
  <c r="J42" i="38"/>
  <c r="K42" i="38"/>
  <c r="N42" i="38"/>
  <c r="L42" i="38"/>
  <c r="O42" i="38"/>
  <c r="Q105" i="69" l="1"/>
  <c r="P104" i="69"/>
  <c r="P43" i="1"/>
  <c r="P38" i="1"/>
  <c r="E87" i="41"/>
  <c r="R105" i="69" l="1"/>
  <c r="Q104" i="69"/>
  <c r="D81" i="41"/>
  <c r="P48" i="1"/>
  <c r="O13" i="1" s="1"/>
  <c r="H5" i="38" s="1"/>
  <c r="D89" i="41"/>
  <c r="S105" i="69" l="1"/>
  <c r="R104" i="69"/>
  <c r="O183" i="1"/>
  <c r="O170" i="1"/>
  <c r="O246" i="1"/>
  <c r="O157" i="1"/>
  <c r="O144" i="1"/>
  <c r="O241" i="1"/>
  <c r="T105" i="69" l="1"/>
  <c r="S104" i="69"/>
  <c r="O231" i="1"/>
  <c r="R71" i="38"/>
  <c r="W120" i="38"/>
  <c r="C59" i="41"/>
  <c r="F59" i="41" s="1"/>
  <c r="R88" i="38"/>
  <c r="W110" i="38"/>
  <c r="R95" i="38"/>
  <c r="C12" i="41"/>
  <c r="R100" i="38"/>
  <c r="R94" i="38"/>
  <c r="W106" i="38"/>
  <c r="R101" i="38"/>
  <c r="W99" i="38"/>
  <c r="C21" i="41"/>
  <c r="F21" i="41" s="1"/>
  <c r="R23" i="38"/>
  <c r="W96" i="38"/>
  <c r="C94" i="41"/>
  <c r="F94" i="41" s="1"/>
  <c r="U40" i="38"/>
  <c r="U14" i="38"/>
  <c r="D7" i="41"/>
  <c r="D10" i="41"/>
  <c r="U38" i="38"/>
  <c r="U15" i="38"/>
  <c r="U17" i="38"/>
  <c r="D32" i="41"/>
  <c r="D9" i="41"/>
  <c r="U39" i="38"/>
  <c r="D33" i="41"/>
  <c r="D8" i="41"/>
  <c r="D34" i="41"/>
  <c r="U16" i="38"/>
  <c r="U13" i="38"/>
  <c r="D11" i="41"/>
  <c r="M38" i="38" l="1"/>
  <c r="J38" i="38"/>
  <c r="I38" i="38"/>
  <c r="O38" i="38"/>
  <c r="K38" i="38"/>
  <c r="H38" i="38"/>
  <c r="L38" i="38"/>
  <c r="N38" i="38"/>
  <c r="G38" i="38"/>
  <c r="J39" i="38"/>
  <c r="O39" i="38"/>
  <c r="G39" i="38"/>
  <c r="M39" i="38"/>
  <c r="H39" i="38"/>
  <c r="L39" i="38"/>
  <c r="I39" i="38"/>
  <c r="K39" i="38"/>
  <c r="N39" i="38"/>
  <c r="H14" i="38"/>
  <c r="M14" i="38"/>
  <c r="N14" i="38"/>
  <c r="K14" i="38"/>
  <c r="J14" i="38"/>
  <c r="L14" i="38"/>
  <c r="O14" i="38"/>
  <c r="I14" i="38"/>
  <c r="N40" i="38"/>
  <c r="J40" i="38"/>
  <c r="I40" i="38"/>
  <c r="M40" i="38"/>
  <c r="H40" i="38"/>
  <c r="L40" i="38"/>
  <c r="O40" i="38"/>
  <c r="G40" i="38"/>
  <c r="K40" i="38"/>
  <c r="G13" i="38"/>
  <c r="N13" i="38"/>
  <c r="H13" i="38"/>
  <c r="O13" i="38"/>
  <c r="L13" i="38"/>
  <c r="M13" i="38"/>
  <c r="J13" i="38"/>
  <c r="I13" i="38"/>
  <c r="K13" i="38"/>
  <c r="O16" i="38"/>
  <c r="I16" i="38"/>
  <c r="H16" i="38"/>
  <c r="N16" i="38"/>
  <c r="J16" i="38"/>
  <c r="G16" i="38"/>
  <c r="K16" i="38"/>
  <c r="L16" i="38"/>
  <c r="M16" i="38"/>
  <c r="N17" i="38"/>
  <c r="O17" i="38"/>
  <c r="M17" i="38"/>
  <c r="K17" i="38"/>
  <c r="J17" i="38"/>
  <c r="H17" i="38"/>
  <c r="L17" i="38"/>
  <c r="I17" i="38"/>
  <c r="L15" i="38"/>
  <c r="O15" i="38"/>
  <c r="J15" i="38"/>
  <c r="H15" i="38"/>
  <c r="M15" i="38"/>
  <c r="G15" i="38"/>
  <c r="K15" i="38"/>
  <c r="N15" i="38"/>
  <c r="I15" i="38"/>
  <c r="U37" i="38"/>
  <c r="U105" i="69"/>
  <c r="T104" i="69"/>
  <c r="E21" i="41"/>
  <c r="E12" i="41"/>
  <c r="F12" i="41"/>
  <c r="W88" i="38"/>
  <c r="C88" i="41"/>
  <c r="F88" i="41" s="1"/>
  <c r="C95" i="41"/>
  <c r="F95" i="41" s="1"/>
  <c r="C89" i="41"/>
  <c r="F89" i="41" s="1"/>
  <c r="W18" i="38"/>
  <c r="R18" i="38"/>
  <c r="W71" i="38"/>
  <c r="W94" i="38"/>
  <c r="C54" i="41"/>
  <c r="F54" i="41" s="1"/>
  <c r="R120" i="38"/>
  <c r="C83" i="41"/>
  <c r="F83" i="41" s="1"/>
  <c r="W112" i="38"/>
  <c r="W100" i="38"/>
  <c r="W101" i="38"/>
  <c r="W105" i="38"/>
  <c r="C93" i="41"/>
  <c r="F93" i="41" s="1"/>
  <c r="R109" i="38"/>
  <c r="C79" i="41"/>
  <c r="F79" i="41" s="1"/>
  <c r="W109" i="38"/>
  <c r="R76" i="38"/>
  <c r="E59" i="41"/>
  <c r="W76" i="38"/>
  <c r="W95" i="38"/>
  <c r="R110" i="38"/>
  <c r="C78" i="41"/>
  <c r="F78" i="41" s="1"/>
  <c r="R105" i="38"/>
  <c r="R96" i="38"/>
  <c r="R93" i="38" s="1"/>
  <c r="E94" i="41"/>
  <c r="W27" i="38"/>
  <c r="C17" i="41"/>
  <c r="F17" i="41" s="1"/>
  <c r="R111" i="38"/>
  <c r="W23" i="38"/>
  <c r="R106" i="38"/>
  <c r="C82" i="41"/>
  <c r="F82" i="41" s="1"/>
  <c r="R99" i="38"/>
  <c r="R98" i="38" s="1"/>
  <c r="R112" i="38"/>
  <c r="W111" i="38"/>
  <c r="R27" i="38"/>
  <c r="D31" i="41"/>
  <c r="O37" i="38" l="1"/>
  <c r="M37" i="38"/>
  <c r="Q15" i="38"/>
  <c r="Q16" i="38"/>
  <c r="Q14" i="38"/>
  <c r="Q38" i="38"/>
  <c r="D40" i="71" s="1"/>
  <c r="F37" i="38"/>
  <c r="N37" i="38"/>
  <c r="Q39" i="38"/>
  <c r="G37" i="38"/>
  <c r="Q17" i="38"/>
  <c r="H37" i="38"/>
  <c r="Q40" i="38"/>
  <c r="I37" i="38"/>
  <c r="Q13" i="38"/>
  <c r="L37" i="38"/>
  <c r="J37" i="38"/>
  <c r="K37" i="38"/>
  <c r="V105" i="69"/>
  <c r="U104" i="69"/>
  <c r="E95" i="41"/>
  <c r="E93" i="41"/>
  <c r="E89" i="41"/>
  <c r="E88" i="41"/>
  <c r="E82" i="41"/>
  <c r="E83" i="41"/>
  <c r="E79" i="41"/>
  <c r="E78" i="41"/>
  <c r="E54" i="41"/>
  <c r="E17" i="41"/>
  <c r="R103" i="38"/>
  <c r="R108" i="38"/>
  <c r="D86" i="41"/>
  <c r="X40" i="38" l="1"/>
  <c r="D42" i="71"/>
  <c r="X39" i="38"/>
  <c r="D41" i="71"/>
  <c r="X13" i="38"/>
  <c r="D15" i="71"/>
  <c r="X16" i="38"/>
  <c r="D18" i="71"/>
  <c r="X15" i="38"/>
  <c r="D17" i="71"/>
  <c r="X14" i="38"/>
  <c r="D16" i="71"/>
  <c r="X17" i="38"/>
  <c r="D19" i="71"/>
  <c r="X38" i="38"/>
  <c r="Q37" i="38"/>
  <c r="X37" i="38" s="1"/>
  <c r="W105" i="69"/>
  <c r="V104" i="69"/>
  <c r="E42" i="38"/>
  <c r="O225" i="1"/>
  <c r="O104" i="1"/>
  <c r="O83" i="1"/>
  <c r="G42" i="38"/>
  <c r="I42" i="38"/>
  <c r="O92" i="1"/>
  <c r="O196" i="1"/>
  <c r="O117" i="1"/>
  <c r="O218" i="1"/>
  <c r="O211" i="1"/>
  <c r="O236" i="1"/>
  <c r="O109" i="1"/>
  <c r="H42" i="38"/>
  <c r="D39" i="71" l="1"/>
  <c r="X105" i="69"/>
  <c r="W104" i="69"/>
  <c r="O114" i="1"/>
  <c r="F28" i="71"/>
  <c r="F26" i="71"/>
  <c r="F30" i="71"/>
  <c r="F72" i="71"/>
  <c r="W21" i="38"/>
  <c r="R38" i="38"/>
  <c r="R17" i="38"/>
  <c r="F68" i="71"/>
  <c r="F85" i="71"/>
  <c r="R81" i="38"/>
  <c r="F86" i="71"/>
  <c r="F79" i="71"/>
  <c r="C52" i="41"/>
  <c r="F52" i="41" s="1"/>
  <c r="F87" i="71"/>
  <c r="W15" i="38"/>
  <c r="F27" i="71"/>
  <c r="F67" i="71"/>
  <c r="F62" i="71"/>
  <c r="F66" i="71"/>
  <c r="R13" i="38"/>
  <c r="C27" i="41"/>
  <c r="F27" i="41" s="1"/>
  <c r="F32" i="71"/>
  <c r="W14" i="38"/>
  <c r="R35" i="38"/>
  <c r="F84" i="71"/>
  <c r="F77" i="71"/>
  <c r="F42" i="71"/>
  <c r="F41" i="71"/>
  <c r="F76" i="71"/>
  <c r="F24" i="71"/>
  <c r="F93" i="71"/>
  <c r="R59" i="38"/>
  <c r="F64" i="71"/>
  <c r="F42" i="38"/>
  <c r="W43" i="38"/>
  <c r="F31" i="71"/>
  <c r="W34" i="38"/>
  <c r="F80" i="71"/>
  <c r="D42" i="38"/>
  <c r="F92" i="71"/>
  <c r="F63" i="71"/>
  <c r="F35" i="71"/>
  <c r="F16" i="71"/>
  <c r="F83" i="71"/>
  <c r="F82" i="71"/>
  <c r="F19" i="71"/>
  <c r="F75" i="71"/>
  <c r="F36" i="71"/>
  <c r="F37" i="71"/>
  <c r="F45" i="71"/>
  <c r="F44" i="71"/>
  <c r="F18" i="71"/>
  <c r="F91" i="71"/>
  <c r="F89" i="71"/>
  <c r="F40" i="71"/>
  <c r="F39" i="71"/>
  <c r="F22" i="71"/>
  <c r="F23" i="71"/>
  <c r="F71" i="71"/>
  <c r="F70" i="71"/>
  <c r="F15" i="71"/>
  <c r="F17" i="71"/>
  <c r="R46" i="38"/>
  <c r="R49" i="38"/>
  <c r="R91" i="38"/>
  <c r="W16" i="38"/>
  <c r="W85" i="38"/>
  <c r="C68" i="41"/>
  <c r="F68" i="41" s="1"/>
  <c r="R77" i="38"/>
  <c r="R85" i="38"/>
  <c r="C84" i="41"/>
  <c r="F84" i="41" s="1"/>
  <c r="C49" i="41"/>
  <c r="F49" i="41" s="1"/>
  <c r="R90" i="38"/>
  <c r="R16" i="38"/>
  <c r="C92" i="41"/>
  <c r="F92" i="41" s="1"/>
  <c r="W13" i="38"/>
  <c r="R40" i="38"/>
  <c r="W81" i="38"/>
  <c r="R89" i="38"/>
  <c r="W89" i="38"/>
  <c r="C10" i="41"/>
  <c r="F10" i="41" s="1"/>
  <c r="W91" i="38"/>
  <c r="C73" i="41"/>
  <c r="C72" i="41"/>
  <c r="F72" i="41" s="1"/>
  <c r="C77" i="41"/>
  <c r="F77" i="41" s="1"/>
  <c r="W90" i="38"/>
  <c r="C74" i="41"/>
  <c r="F74" i="41" s="1"/>
  <c r="E73" i="41" l="1"/>
  <c r="F73" i="41"/>
  <c r="Y105" i="69"/>
  <c r="X104" i="69"/>
  <c r="E52" i="41"/>
  <c r="E49" i="41"/>
  <c r="R87" i="38"/>
  <c r="C64" i="41"/>
  <c r="F64" i="41" s="1"/>
  <c r="W17" i="38"/>
  <c r="W29" i="38"/>
  <c r="C11" i="41"/>
  <c r="C47" i="41"/>
  <c r="F47" i="41" s="1"/>
  <c r="O272" i="1"/>
  <c r="C23" i="41"/>
  <c r="F23" i="41" s="1"/>
  <c r="R29" i="38"/>
  <c r="C58" i="41"/>
  <c r="F58" i="41" s="1"/>
  <c r="W74" i="38"/>
  <c r="R74" i="38"/>
  <c r="R52" i="38"/>
  <c r="C57" i="41"/>
  <c r="F57" i="41" s="1"/>
  <c r="C32" i="41"/>
  <c r="F32" i="41" s="1"/>
  <c r="R47" i="38"/>
  <c r="C67" i="41"/>
  <c r="F67" i="41" s="1"/>
  <c r="R82" i="38"/>
  <c r="R15" i="38"/>
  <c r="C65" i="41"/>
  <c r="F65" i="41" s="1"/>
  <c r="C9" i="41"/>
  <c r="C48" i="41"/>
  <c r="F48" i="41" s="1"/>
  <c r="C37" i="41"/>
  <c r="F37" i="41" s="1"/>
  <c r="R54" i="38"/>
  <c r="C7" i="41"/>
  <c r="W75" i="38"/>
  <c r="C60" i="41"/>
  <c r="F60" i="41" s="1"/>
  <c r="R43" i="38"/>
  <c r="R42" i="38" s="1"/>
  <c r="R75" i="38"/>
  <c r="W77" i="38"/>
  <c r="W82" i="38"/>
  <c r="W40" i="38"/>
  <c r="R50" i="38"/>
  <c r="R25" i="38"/>
  <c r="W83" i="38"/>
  <c r="R69" i="38"/>
  <c r="W84" i="38"/>
  <c r="R26" i="38"/>
  <c r="C16" i="41"/>
  <c r="F16" i="41" s="1"/>
  <c r="C53" i="41"/>
  <c r="F53" i="41" s="1"/>
  <c r="W28" i="38"/>
  <c r="W69" i="38"/>
  <c r="R78" i="38"/>
  <c r="C43" i="41"/>
  <c r="F43" i="41" s="1"/>
  <c r="W70" i="38"/>
  <c r="C15" i="41"/>
  <c r="F15" i="41" s="1"/>
  <c r="C61" i="41"/>
  <c r="F61" i="41" s="1"/>
  <c r="D9" i="38"/>
  <c r="R14" i="38"/>
  <c r="W35" i="38"/>
  <c r="W59" i="38"/>
  <c r="E9" i="38"/>
  <c r="W38" i="38"/>
  <c r="C34" i="41"/>
  <c r="F34" i="41" s="1"/>
  <c r="R30" i="38"/>
  <c r="R22" i="38"/>
  <c r="Q42" i="38"/>
  <c r="X42" i="38" s="1"/>
  <c r="C22" i="41"/>
  <c r="F22" i="41" s="1"/>
  <c r="R48" i="38"/>
  <c r="C24" i="41"/>
  <c r="F24" i="41" s="1"/>
  <c r="R70" i="38"/>
  <c r="W26" i="38"/>
  <c r="W24" i="38"/>
  <c r="R51" i="38"/>
  <c r="C29" i="41"/>
  <c r="F29" i="41" s="1"/>
  <c r="R39" i="38"/>
  <c r="C19" i="41"/>
  <c r="F19" i="41" s="1"/>
  <c r="C44" i="41"/>
  <c r="F44" i="41" s="1"/>
  <c r="C66" i="41"/>
  <c r="F66" i="41" s="1"/>
  <c r="R21" i="38"/>
  <c r="W39" i="38"/>
  <c r="W78" i="38"/>
  <c r="W30" i="38"/>
  <c r="R84" i="38"/>
  <c r="W33" i="38"/>
  <c r="W25" i="38"/>
  <c r="C46" i="41"/>
  <c r="F46" i="41" s="1"/>
  <c r="C8" i="41"/>
  <c r="C45" i="41"/>
  <c r="F45" i="41" s="1"/>
  <c r="C28" i="41"/>
  <c r="F28" i="41" s="1"/>
  <c r="R33" i="38"/>
  <c r="C20" i="41"/>
  <c r="F20" i="41" s="1"/>
  <c r="R24" i="38"/>
  <c r="R34" i="38"/>
  <c r="R53" i="38"/>
  <c r="W22" i="38"/>
  <c r="C33" i="41"/>
  <c r="F33" i="41" s="1"/>
  <c r="C18" i="41"/>
  <c r="F18" i="41" s="1"/>
  <c r="R28" i="38"/>
  <c r="R83" i="38"/>
  <c r="R55" i="38"/>
  <c r="F60" i="71"/>
  <c r="F61" i="71"/>
  <c r="F110" i="71"/>
  <c r="F34" i="71"/>
  <c r="E98" i="41"/>
  <c r="C91" i="41"/>
  <c r="C76" i="41"/>
  <c r="C31" i="41"/>
  <c r="F31" i="41" s="1"/>
  <c r="C51" i="41"/>
  <c r="F51" i="41" s="1"/>
  <c r="W73" i="38"/>
  <c r="C63" i="41"/>
  <c r="W20" i="38"/>
  <c r="E84" i="41"/>
  <c r="W32" i="38"/>
  <c r="E68" i="41"/>
  <c r="W98" i="38"/>
  <c r="E27" i="41"/>
  <c r="W37" i="38"/>
  <c r="E77" i="41"/>
  <c r="C26" i="41"/>
  <c r="W93" i="38"/>
  <c r="E10" i="41"/>
  <c r="W68" i="38"/>
  <c r="W80" i="38"/>
  <c r="C56" i="41"/>
  <c r="C81" i="41"/>
  <c r="F81" i="41" s="1"/>
  <c r="E92" i="41"/>
  <c r="W108" i="38"/>
  <c r="E72" i="41"/>
  <c r="C14" i="41"/>
  <c r="F14" i="41" s="1"/>
  <c r="E97" i="41"/>
  <c r="C42" i="41"/>
  <c r="F42" i="41" s="1"/>
  <c r="W58" i="38"/>
  <c r="E74" i="41"/>
  <c r="Z105" i="69" l="1"/>
  <c r="Y104" i="69"/>
  <c r="D2" i="41"/>
  <c r="E91" i="41"/>
  <c r="F91" i="41"/>
  <c r="E13" i="32"/>
  <c r="F76" i="41"/>
  <c r="E11" i="32"/>
  <c r="F63" i="41"/>
  <c r="E10" i="32"/>
  <c r="F56" i="41"/>
  <c r="E4" i="32"/>
  <c r="F26" i="41"/>
  <c r="E65" i="41"/>
  <c r="E67" i="41"/>
  <c r="E66" i="41"/>
  <c r="E64" i="41"/>
  <c r="E58" i="41"/>
  <c r="E61" i="41"/>
  <c r="E57" i="41"/>
  <c r="E60" i="41"/>
  <c r="E53" i="41"/>
  <c r="E44" i="41"/>
  <c r="E43" i="41"/>
  <c r="E45" i="41"/>
  <c r="E47" i="41"/>
  <c r="E46" i="41"/>
  <c r="E48" i="41"/>
  <c r="E37" i="41"/>
  <c r="E32" i="41"/>
  <c r="E33" i="41"/>
  <c r="E34" i="41"/>
  <c r="E28" i="41"/>
  <c r="E29" i="41"/>
  <c r="E15" i="41"/>
  <c r="E16" i="41"/>
  <c r="E24" i="41"/>
  <c r="E22" i="41"/>
  <c r="E20" i="41"/>
  <c r="E19" i="41"/>
  <c r="E23" i="41"/>
  <c r="E18" i="41"/>
  <c r="E8" i="41"/>
  <c r="F8" i="41"/>
  <c r="E7" i="41"/>
  <c r="F7" i="41"/>
  <c r="E9" i="41"/>
  <c r="F9" i="41"/>
  <c r="E11" i="41"/>
  <c r="F11" i="41"/>
  <c r="C36" i="41"/>
  <c r="R80" i="38"/>
  <c r="R73" i="38"/>
  <c r="R58" i="38"/>
  <c r="R37" i="38"/>
  <c r="R32" i="38"/>
  <c r="R68" i="38"/>
  <c r="R20" i="38"/>
  <c r="W42" i="38"/>
  <c r="C86" i="41"/>
  <c r="W103" i="38"/>
  <c r="E16" i="32"/>
  <c r="E76" i="41"/>
  <c r="E9" i="32"/>
  <c r="E63" i="41"/>
  <c r="E51" i="41"/>
  <c r="E5" i="32"/>
  <c r="E31" i="41"/>
  <c r="E14" i="32"/>
  <c r="E81" i="41"/>
  <c r="E26" i="41"/>
  <c r="E56" i="41"/>
  <c r="E3" i="32"/>
  <c r="E14" i="41"/>
  <c r="E42" i="41"/>
  <c r="E8" i="32"/>
  <c r="AA105" i="69" l="1"/>
  <c r="Z104" i="69"/>
  <c r="E86" i="41"/>
  <c r="F86" i="41"/>
  <c r="E6" i="32"/>
  <c r="F36" i="41"/>
  <c r="E36" i="41"/>
  <c r="E15" i="32"/>
  <c r="R121" i="38"/>
  <c r="D71" i="41"/>
  <c r="C71" i="41"/>
  <c r="C70" i="41"/>
  <c r="D70" i="41"/>
  <c r="F71" i="41" l="1"/>
  <c r="F70" i="41"/>
  <c r="AB105" i="69"/>
  <c r="AA104" i="69"/>
  <c r="E71" i="41"/>
  <c r="W87" i="38"/>
  <c r="W121" i="38"/>
  <c r="E70" i="41"/>
  <c r="E12" i="32"/>
  <c r="AC105" i="69" l="1"/>
  <c r="AC104" i="69" s="1"/>
  <c r="AB104" i="69"/>
  <c r="O12" i="1" l="1"/>
  <c r="Q122" i="38"/>
  <c r="D124" i="71" s="1"/>
  <c r="A7" i="1"/>
  <c r="W122" i="38" l="1"/>
  <c r="X122" i="38"/>
  <c r="R122" i="38"/>
  <c r="C170" i="69"/>
  <c r="F123" i="71" l="1"/>
  <c r="D7" i="38"/>
  <c r="E7" i="38"/>
  <c r="W45" i="38" l="1"/>
  <c r="R45" i="38"/>
  <c r="R56" i="38"/>
  <c r="C39" i="41"/>
  <c r="F39" i="41" s="1"/>
  <c r="E7" i="32" l="1"/>
  <c r="E18" i="32" s="1"/>
  <c r="E39" i="41"/>
  <c r="F58" i="71"/>
  <c r="F47" i="71" l="1"/>
  <c r="D4" i="49" l="1"/>
  <c r="B16" i="59"/>
  <c r="B17" i="59" s="1"/>
  <c r="G28" i="59" l="1"/>
  <c r="G23" i="59"/>
  <c r="H23" i="59" l="1"/>
  <c r="I23" i="59" s="1"/>
  <c r="J23" i="59" s="1"/>
  <c r="H28" i="59"/>
  <c r="I28" i="59" s="1"/>
  <c r="J28" i="59" s="1"/>
  <c r="C144" i="71" l="1"/>
  <c r="C140" i="71" s="1"/>
  <c r="L23" i="59"/>
  <c r="K23" i="59"/>
  <c r="K28" i="59"/>
  <c r="L28" i="59"/>
  <c r="T142" i="38" l="1"/>
  <c r="M142" i="38" s="1"/>
  <c r="C138" i="71"/>
  <c r="E126" i="71"/>
  <c r="C130" i="69" s="1"/>
  <c r="F143" i="71"/>
  <c r="Q142" i="38" l="1"/>
  <c r="M138" i="38"/>
  <c r="F126" i="71"/>
  <c r="F144" i="71"/>
  <c r="T138" i="38"/>
  <c r="Q138" i="38" l="1"/>
  <c r="Q136" i="38" s="1"/>
  <c r="R142" i="38"/>
  <c r="R138" i="38" s="1"/>
  <c r="R136" i="38" s="1"/>
  <c r="D144" i="71"/>
  <c r="D140" i="71" s="1"/>
  <c r="D138" i="71" s="1"/>
  <c r="X142" i="38"/>
  <c r="M136" i="38"/>
  <c r="U119" i="38"/>
  <c r="D6" i="59"/>
  <c r="D8" i="59" s="1"/>
  <c r="G119" i="38"/>
  <c r="G117" i="38" s="1"/>
  <c r="F125" i="71"/>
  <c r="X138" i="38" l="1"/>
  <c r="C161" i="69"/>
  <c r="U117" i="38"/>
  <c r="J119" i="38"/>
  <c r="J117" i="38" s="1"/>
  <c r="L119" i="38"/>
  <c r="L117" i="38" s="1"/>
  <c r="K119" i="38"/>
  <c r="K117" i="38" s="1"/>
  <c r="H119" i="38"/>
  <c r="H117" i="38" s="1"/>
  <c r="I119" i="38"/>
  <c r="I117" i="38" s="1"/>
  <c r="M119" i="38"/>
  <c r="M117" i="38" s="1"/>
  <c r="N119" i="38"/>
  <c r="N117" i="38" s="1"/>
  <c r="O119" i="38"/>
  <c r="O117" i="38" s="1"/>
  <c r="Q124" i="38"/>
  <c r="D126" i="71" s="1"/>
  <c r="Q123" i="38"/>
  <c r="D125" i="71" s="1"/>
  <c r="D15" i="69"/>
  <c r="D145" i="69" l="1"/>
  <c r="D161" i="69"/>
  <c r="E141" i="71"/>
  <c r="E140" i="71" s="1"/>
  <c r="W124" i="38"/>
  <c r="Q119" i="38"/>
  <c r="W123" i="38"/>
  <c r="R123" i="38"/>
  <c r="X124" i="38"/>
  <c r="R124" i="38"/>
  <c r="X123" i="38"/>
  <c r="W119" i="38" l="1"/>
  <c r="Q117" i="38"/>
  <c r="E145" i="69"/>
  <c r="C145" i="69"/>
  <c r="C144" i="69" s="1"/>
  <c r="C142" i="69" s="1"/>
  <c r="F141" i="71"/>
  <c r="E138" i="71"/>
  <c r="D121" i="71"/>
  <c r="D119" i="71" s="1"/>
  <c r="R119" i="38"/>
  <c r="X119" i="38"/>
  <c r="W117" i="38" l="1"/>
  <c r="F145" i="69"/>
  <c r="C13" i="69"/>
  <c r="R117" i="38"/>
  <c r="G145" i="69" l="1"/>
  <c r="H145" i="69" l="1"/>
  <c r="I145" i="69" l="1"/>
  <c r="J145" i="69" l="1"/>
  <c r="K145" i="69" l="1"/>
  <c r="L145" i="69" l="1"/>
  <c r="M145" i="69" l="1"/>
  <c r="N145" i="69" l="1"/>
  <c r="O145" i="69" l="1"/>
  <c r="P145" i="69" l="1"/>
  <c r="Q145" i="69" l="1"/>
  <c r="R145" i="69" l="1"/>
  <c r="S145" i="69" l="1"/>
  <c r="T145" i="69" l="1"/>
  <c r="U145" i="69" l="1"/>
  <c r="V145" i="69" l="1"/>
  <c r="W145" i="69" l="1"/>
  <c r="X145" i="69" l="1"/>
  <c r="Y145" i="69" l="1"/>
  <c r="Z145" i="69" l="1"/>
  <c r="AA145" i="69" l="1"/>
  <c r="AB145" i="69" l="1"/>
  <c r="AC145" i="69" l="1"/>
  <c r="AD145" i="69" l="1"/>
  <c r="AE145" i="69" l="1"/>
  <c r="AF145" i="69" l="1"/>
  <c r="AG145" i="69" l="1"/>
  <c r="AH145" i="69" l="1"/>
  <c r="AI145" i="69" l="1"/>
  <c r="AJ145" i="69" l="1"/>
  <c r="AK145" i="69" l="1"/>
  <c r="AL145" i="69" l="1"/>
  <c r="AM145" i="69" l="1"/>
  <c r="AN145" i="69" l="1"/>
  <c r="AO145" i="69" l="1"/>
  <c r="T136" i="38"/>
  <c r="AP145" i="69" l="1"/>
  <c r="W136" i="38"/>
  <c r="U138" i="38"/>
  <c r="W138" i="38"/>
  <c r="F140" i="71" l="1"/>
  <c r="F138" i="71" l="1"/>
  <c r="C13" i="71"/>
  <c r="C11" i="71" s="1"/>
  <c r="F14" i="71"/>
  <c r="T12" i="38"/>
  <c r="T11" i="38" s="1"/>
  <c r="D5" i="41" s="1"/>
  <c r="F13" i="71" l="1"/>
  <c r="F11" i="71"/>
  <c r="T9" i="38"/>
  <c r="U12" i="38"/>
  <c r="D6" i="41"/>
  <c r="M12" i="38" l="1"/>
  <c r="M11" i="38" s="1"/>
  <c r="M9" i="38" s="1"/>
  <c r="M7" i="38" s="1"/>
  <c r="J12" i="38"/>
  <c r="J11" i="38" s="1"/>
  <c r="J9" i="38" s="1"/>
  <c r="J7" i="38" s="1"/>
  <c r="N12" i="38"/>
  <c r="N11" i="38" s="1"/>
  <c r="N9" i="38" s="1"/>
  <c r="N7" i="38" s="1"/>
  <c r="I12" i="38"/>
  <c r="I11" i="38" s="1"/>
  <c r="I9" i="38" s="1"/>
  <c r="I7" i="38" s="1"/>
  <c r="I5" i="38" s="1"/>
  <c r="H12" i="38"/>
  <c r="H11" i="38" s="1"/>
  <c r="H9" i="38" s="1"/>
  <c r="H7" i="38" s="1"/>
  <c r="K12" i="38"/>
  <c r="K11" i="38" s="1"/>
  <c r="K9" i="38" s="1"/>
  <c r="K7" i="38" s="1"/>
  <c r="G12" i="38"/>
  <c r="G11" i="38" s="1"/>
  <c r="G9" i="38" s="1"/>
  <c r="G7" i="38" s="1"/>
  <c r="L12" i="38"/>
  <c r="L11" i="38" s="1"/>
  <c r="L9" i="38" s="1"/>
  <c r="L7" i="38" s="1"/>
  <c r="O12" i="38"/>
  <c r="O11" i="38" s="1"/>
  <c r="O9" i="38" s="1"/>
  <c r="O7" i="38" s="1"/>
  <c r="U11" i="38"/>
  <c r="U9" i="38" s="1"/>
  <c r="U7" i="38" s="1"/>
  <c r="T7" i="38"/>
  <c r="J5" i="38" l="1"/>
  <c r="K5" i="38" s="1"/>
  <c r="L5" i="38" s="1"/>
  <c r="M5" i="38" s="1"/>
  <c r="N5" i="38" s="1"/>
  <c r="O5" i="38" s="1"/>
  <c r="F11" i="38"/>
  <c r="F9" i="38" s="1"/>
  <c r="F7" i="38" s="1"/>
  <c r="Q12" i="38"/>
  <c r="D14" i="71" s="1"/>
  <c r="D13" i="71" s="1"/>
  <c r="D11" i="71" s="1"/>
  <c r="C4" i="71" s="1"/>
  <c r="E6" i="1" s="1"/>
  <c r="C9" i="69" l="1"/>
  <c r="C6" i="71"/>
  <c r="Q11" i="38"/>
  <c r="C6" i="41"/>
  <c r="W12" i="38"/>
  <c r="R12" i="38"/>
  <c r="R11" i="38" s="1"/>
  <c r="R9" i="38" s="1"/>
  <c r="R7" i="38" s="1"/>
  <c r="X12" i="38"/>
  <c r="C5" i="41" l="1"/>
  <c r="W11" i="38"/>
  <c r="Q9" i="38"/>
  <c r="D21" i="21" s="1"/>
  <c r="X11" i="38"/>
  <c r="F6" i="41"/>
  <c r="E6" i="41"/>
  <c r="Q7" i="38" l="1"/>
  <c r="X9" i="38"/>
  <c r="W9" i="38"/>
  <c r="E21" i="32"/>
  <c r="F5" i="41"/>
  <c r="E5" i="41"/>
  <c r="W7" i="38" l="1"/>
  <c r="X7" i="38"/>
  <c r="E131" i="71" l="1"/>
  <c r="F134" i="71" l="1"/>
  <c r="F131" i="71"/>
  <c r="O273" i="1" l="1"/>
  <c r="O275" i="1" s="1"/>
  <c r="O265" i="1" l="1"/>
  <c r="D123" i="69" l="1"/>
  <c r="E123" i="69"/>
  <c r="N123" i="69"/>
  <c r="Y123" i="69"/>
  <c r="AF123" i="69"/>
  <c r="AC123" i="69"/>
  <c r="AD123" i="69"/>
  <c r="AE123" i="69"/>
  <c r="AA123" i="69"/>
  <c r="AL123" i="69"/>
  <c r="AK123" i="69"/>
  <c r="V123" i="69"/>
  <c r="F123" i="69"/>
  <c r="AG123" i="69"/>
  <c r="AI123" i="69"/>
  <c r="AJ123" i="69"/>
  <c r="AB123" i="69"/>
  <c r="T123" i="69"/>
  <c r="AM123" i="69"/>
  <c r="Z123" i="69"/>
  <c r="I123" i="69"/>
  <c r="K123" i="69"/>
  <c r="U123" i="69"/>
  <c r="AO123" i="69"/>
  <c r="AN123" i="69"/>
  <c r="P123" i="69"/>
  <c r="G123" i="69"/>
  <c r="W123" i="69"/>
  <c r="J123" i="69"/>
  <c r="L123" i="69"/>
  <c r="Q123" i="69"/>
  <c r="M123" i="69"/>
  <c r="H123" i="69"/>
  <c r="AH123" i="69"/>
  <c r="R123" i="69"/>
  <c r="AP123" i="69"/>
  <c r="S123" i="69"/>
  <c r="O123" i="69"/>
  <c r="D11" i="69" l="1"/>
  <c r="F129" i="71" l="1"/>
  <c r="E121" i="71"/>
  <c r="C125" i="69"/>
  <c r="E119" i="71" l="1"/>
  <c r="F121" i="71"/>
  <c r="C123" i="69"/>
  <c r="C7" i="71" l="1"/>
  <c r="F119" i="71"/>
  <c r="C11" i="69"/>
  <c r="C156" i="69" s="1"/>
  <c r="D9" i="69" l="1"/>
  <c r="D152" i="69" l="1"/>
  <c r="D144" i="69" s="1"/>
  <c r="D142" i="69" s="1"/>
  <c r="D13" i="69" s="1"/>
  <c r="D156" i="69" s="1"/>
  <c r="D10" i="69"/>
  <c r="E9" i="69" l="1"/>
  <c r="E10" i="69" l="1"/>
  <c r="E111" i="69"/>
  <c r="E109" i="69" s="1"/>
  <c r="E15" i="69" s="1"/>
  <c r="E11" i="69" s="1"/>
  <c r="E152" i="69" s="1"/>
  <c r="E144" i="69" l="1"/>
  <c r="E142" i="69" s="1"/>
  <c r="E13" i="69" s="1"/>
  <c r="E156" i="69" s="1"/>
  <c r="F9" i="69" l="1"/>
  <c r="F10" i="69" l="1"/>
  <c r="F111" i="69"/>
  <c r="F109" i="69" s="1"/>
  <c r="F15" i="69" s="1"/>
  <c r="F11" i="69" s="1"/>
  <c r="F152" i="69" l="1"/>
  <c r="F144" i="69" s="1"/>
  <c r="F142" i="69" s="1"/>
  <c r="F13" i="69" s="1"/>
  <c r="F156" i="69" s="1"/>
  <c r="G9" i="69" l="1"/>
  <c r="G111" i="69" l="1"/>
  <c r="G109" i="69" s="1"/>
  <c r="G15" i="69" s="1"/>
  <c r="G11" i="69" s="1"/>
  <c r="G10" i="69"/>
  <c r="G152" i="69" l="1"/>
  <c r="G144" i="69" s="1"/>
  <c r="G142" i="69" s="1"/>
  <c r="G13" i="69" s="1"/>
  <c r="G156" i="69" s="1"/>
  <c r="H9" i="69" l="1"/>
  <c r="H111" i="69" l="1"/>
  <c r="H109" i="69" s="1"/>
  <c r="H15" i="69" s="1"/>
  <c r="H11" i="69" s="1"/>
  <c r="H10" i="69"/>
  <c r="H152" i="69" l="1"/>
  <c r="H144" i="69" s="1"/>
  <c r="H142" i="69" s="1"/>
  <c r="H13" i="69" l="1"/>
  <c r="H156" i="69" s="1"/>
  <c r="I9" i="69" s="1"/>
  <c r="I10" i="69" l="1"/>
  <c r="I111" i="69"/>
  <c r="I109" i="69" s="1"/>
  <c r="I15" i="69" s="1"/>
  <c r="I11" i="69" s="1"/>
  <c r="I152" i="69" l="1"/>
  <c r="I144" i="69" s="1"/>
  <c r="I142" i="69" s="1"/>
  <c r="I13" i="69" s="1"/>
  <c r="I156" i="69" s="1"/>
  <c r="J9" i="69" l="1"/>
  <c r="J111" i="69" l="1"/>
  <c r="J109" i="69" s="1"/>
  <c r="J15" i="69" s="1"/>
  <c r="J11" i="69" s="1"/>
  <c r="J10" i="69"/>
  <c r="J152" i="69" l="1"/>
  <c r="J144" i="69" s="1"/>
  <c r="J142" i="69" s="1"/>
  <c r="J13" i="69" s="1"/>
  <c r="J156" i="69" s="1"/>
  <c r="K9" i="69" l="1"/>
  <c r="K111" i="69" l="1"/>
  <c r="K109" i="69" s="1"/>
  <c r="K15" i="69" s="1"/>
  <c r="K11" i="69" s="1"/>
  <c r="K10" i="69"/>
  <c r="K152" i="69" l="1"/>
  <c r="K144" i="69" s="1"/>
  <c r="K142" i="69" s="1"/>
  <c r="K13" i="69" s="1"/>
  <c r="K156" i="69" s="1"/>
  <c r="L9" i="69" l="1"/>
  <c r="L111" i="69" l="1"/>
  <c r="L109" i="69" s="1"/>
  <c r="L15" i="69" s="1"/>
  <c r="L11" i="69" s="1"/>
  <c r="L10" i="69"/>
  <c r="L152" i="69" l="1"/>
  <c r="L144" i="69" s="1"/>
  <c r="L142" i="69" s="1"/>
  <c r="L13" i="69" s="1"/>
  <c r="L156" i="69" s="1"/>
  <c r="M9" i="69" l="1"/>
  <c r="M111" i="69" l="1"/>
  <c r="M109" i="69" s="1"/>
  <c r="M15" i="69" s="1"/>
  <c r="M11" i="69" s="1"/>
  <c r="M10" i="69"/>
  <c r="M152" i="69" l="1"/>
  <c r="M144" i="69" s="1"/>
  <c r="M142" i="69" s="1"/>
  <c r="M13" i="69" s="1"/>
  <c r="M156" i="69" s="1"/>
  <c r="N9" i="69" l="1"/>
  <c r="N10" i="69" l="1"/>
  <c r="N111" i="69"/>
  <c r="N109" i="69" s="1"/>
  <c r="N15" i="69" s="1"/>
  <c r="N11" i="69" s="1"/>
  <c r="N152" i="69" l="1"/>
  <c r="N144" i="69" s="1"/>
  <c r="N142" i="69" s="1"/>
  <c r="N13" i="69" s="1"/>
  <c r="N156" i="69" s="1"/>
  <c r="O9" i="69" l="1"/>
  <c r="O111" i="69" l="1"/>
  <c r="O109" i="69" s="1"/>
  <c r="O15" i="69" s="1"/>
  <c r="O11" i="69" s="1"/>
  <c r="O10" i="69"/>
  <c r="O152" i="69" l="1"/>
  <c r="O144" i="69" s="1"/>
  <c r="O142" i="69" s="1"/>
  <c r="O13" i="69" s="1"/>
  <c r="O156" i="69" s="1"/>
  <c r="P9" i="69" l="1"/>
  <c r="P10" i="69" l="1"/>
  <c r="P111" i="69"/>
  <c r="P109" i="69" s="1"/>
  <c r="P15" i="69" s="1"/>
  <c r="P11" i="69" s="1"/>
  <c r="P152" i="69" l="1"/>
  <c r="P144" i="69" s="1"/>
  <c r="P142" i="69" s="1"/>
  <c r="P13" i="69" s="1"/>
  <c r="P156" i="69" l="1"/>
  <c r="Q9" i="69" s="1"/>
  <c r="Q111" i="69" l="1"/>
  <c r="Q109" i="69" s="1"/>
  <c r="Q15" i="69" s="1"/>
  <c r="Q11" i="69" s="1"/>
  <c r="Q10" i="69"/>
  <c r="Q152" i="69" l="1"/>
  <c r="Q144" i="69" s="1"/>
  <c r="Q142" i="69" s="1"/>
  <c r="Q13" i="69" l="1"/>
  <c r="Q156" i="69" s="1"/>
  <c r="R9" i="69" s="1"/>
  <c r="R10" i="69" l="1"/>
  <c r="R111" i="69"/>
  <c r="R109" i="69" s="1"/>
  <c r="R15" i="69" s="1"/>
  <c r="R11" i="69" s="1"/>
  <c r="R152" i="69" l="1"/>
  <c r="R144" i="69" s="1"/>
  <c r="R142" i="69" s="1"/>
  <c r="R13" i="69" l="1"/>
  <c r="R156" i="69" s="1"/>
  <c r="S9" i="69" s="1"/>
  <c r="S111" i="69" l="1"/>
  <c r="S109" i="69" s="1"/>
  <c r="S15" i="69" s="1"/>
  <c r="S11" i="69" s="1"/>
  <c r="S10" i="69"/>
  <c r="S152" i="69" l="1"/>
  <c r="S144" i="69" s="1"/>
  <c r="S142" i="69" s="1"/>
  <c r="S13" i="69" s="1"/>
  <c r="S156" i="69" s="1"/>
  <c r="T9" i="69" l="1"/>
  <c r="T10" i="69" l="1"/>
  <c r="T111" i="69"/>
  <c r="T109" i="69" s="1"/>
  <c r="T15" i="69" s="1"/>
  <c r="T11" i="69" s="1"/>
  <c r="T152" i="69" l="1"/>
  <c r="T144" i="69" s="1"/>
  <c r="T142" i="69" s="1"/>
  <c r="T13" i="69" s="1"/>
  <c r="T156" i="69" l="1"/>
  <c r="U9" i="69" s="1"/>
  <c r="U111" i="69" l="1"/>
  <c r="U109" i="69" s="1"/>
  <c r="U15" i="69" s="1"/>
  <c r="U11" i="69" s="1"/>
  <c r="U10" i="69"/>
  <c r="U152" i="69" l="1"/>
  <c r="U144" i="69" s="1"/>
  <c r="U142" i="69" s="1"/>
  <c r="U13" i="69" s="1"/>
  <c r="U156" i="69" l="1"/>
  <c r="V9" i="69" s="1"/>
  <c r="V10" i="69" l="1"/>
  <c r="V111" i="69"/>
  <c r="V109" i="69" s="1"/>
  <c r="V15" i="69" s="1"/>
  <c r="V11" i="69" s="1"/>
  <c r="V152" i="69" l="1"/>
  <c r="V144" i="69" s="1"/>
  <c r="V142" i="69" s="1"/>
  <c r="V13" i="69" s="1"/>
  <c r="V156" i="69" s="1"/>
  <c r="W9" i="69" l="1"/>
  <c r="W10" i="69" l="1"/>
  <c r="W111" i="69"/>
  <c r="W109" i="69" s="1"/>
  <c r="W15" i="69" s="1"/>
  <c r="W11" i="69" s="1"/>
  <c r="W152" i="69" s="1"/>
  <c r="W144" i="69" s="1"/>
  <c r="W142" i="69" s="1"/>
  <c r="W13" i="69" s="1"/>
  <c r="W156" i="69" l="1"/>
  <c r="X9" i="69" s="1"/>
  <c r="X111" i="69" l="1"/>
  <c r="X109" i="69" s="1"/>
  <c r="X15" i="69" s="1"/>
  <c r="X11" i="69" s="1"/>
  <c r="X10" i="69"/>
  <c r="X152" i="69" l="1"/>
  <c r="X144" i="69" s="1"/>
  <c r="X142" i="69" s="1"/>
  <c r="X13" i="69" s="1"/>
  <c r="X156" i="69" s="1"/>
  <c r="Y9" i="69" s="1"/>
  <c r="Y10" i="69" l="1"/>
  <c r="Y111" i="69"/>
  <c r="Y109" i="69" s="1"/>
  <c r="Y15" i="69" s="1"/>
  <c r="Y11" i="69" s="1"/>
  <c r="Y152" i="69" l="1"/>
  <c r="Y144" i="69" s="1"/>
  <c r="Y142" i="69" s="1"/>
  <c r="Y13" i="69" s="1"/>
  <c r="Y156" i="69" s="1"/>
  <c r="Z9" i="69" l="1"/>
  <c r="Z111" i="69" l="1"/>
  <c r="Z109" i="69" s="1"/>
  <c r="Z15" i="69" s="1"/>
  <c r="Z11" i="69" s="1"/>
  <c r="Z10" i="69"/>
  <c r="Z152" i="69" l="1"/>
  <c r="Z144" i="69" s="1"/>
  <c r="Z142" i="69" s="1"/>
  <c r="Z13" i="69" s="1"/>
  <c r="Z156" i="69" s="1"/>
  <c r="AA9" i="69" l="1"/>
  <c r="AA10" i="69" l="1"/>
  <c r="AA111" i="69"/>
  <c r="AA109" i="69" s="1"/>
  <c r="AA15" i="69" s="1"/>
  <c r="AA11" i="69" s="1"/>
  <c r="AA152" i="69" l="1"/>
  <c r="AA144" i="69" s="1"/>
  <c r="AA142" i="69" s="1"/>
  <c r="AA13" i="69" l="1"/>
  <c r="AA156" i="69" s="1"/>
  <c r="AB9" i="69" s="1"/>
  <c r="AB111" i="69" l="1"/>
  <c r="AB109" i="69" s="1"/>
  <c r="AB15" i="69" s="1"/>
  <c r="AB11" i="69" s="1"/>
  <c r="AB10" i="69"/>
  <c r="AB152" i="69" l="1"/>
  <c r="AB144" i="69" s="1"/>
  <c r="AB142" i="69" s="1"/>
  <c r="AB13" i="69" s="1"/>
  <c r="AB156" i="69" s="1"/>
  <c r="AC9" i="69" l="1"/>
  <c r="AC111" i="69" l="1"/>
  <c r="AC109" i="69" s="1"/>
  <c r="AC15" i="69" s="1"/>
  <c r="AC11" i="69" s="1"/>
  <c r="AC10" i="69"/>
  <c r="AC152" i="69" l="1"/>
  <c r="AC144" i="69" s="1"/>
  <c r="AC142" i="69" s="1"/>
  <c r="AC13" i="69" s="1"/>
  <c r="AC156" i="69" l="1"/>
  <c r="AD9" i="69" s="1"/>
  <c r="AD10" i="69" l="1"/>
  <c r="AD111" i="69"/>
  <c r="AD109" i="69" s="1"/>
  <c r="AD15" i="69" s="1"/>
  <c r="AD11" i="69" s="1"/>
  <c r="AD152" i="69" l="1"/>
  <c r="AD144" i="69" s="1"/>
  <c r="AD142" i="69" s="1"/>
  <c r="AD13" i="69" s="1"/>
  <c r="AD156" i="69" l="1"/>
  <c r="AE9" i="69" s="1"/>
  <c r="AE111" i="69" l="1"/>
  <c r="AE109" i="69" s="1"/>
  <c r="AE15" i="69" s="1"/>
  <c r="AE11" i="69" s="1"/>
  <c r="AE10" i="69"/>
  <c r="AE152" i="69" l="1"/>
  <c r="AE144" i="69" s="1"/>
  <c r="AE142" i="69" s="1"/>
  <c r="AE13" i="69" s="1"/>
  <c r="AE156" i="69" l="1"/>
  <c r="AF9" i="69" s="1"/>
  <c r="AF111" i="69" l="1"/>
  <c r="AF109" i="69" s="1"/>
  <c r="AF15" i="69" s="1"/>
  <c r="AF11" i="69" s="1"/>
  <c r="AF10" i="69"/>
  <c r="AF152" i="69" l="1"/>
  <c r="AF144" i="69" s="1"/>
  <c r="AF142" i="69" s="1"/>
  <c r="AF13" i="69" s="1"/>
  <c r="AF156" i="69" l="1"/>
  <c r="AG9" i="69" s="1"/>
  <c r="AG10" i="69" l="1"/>
  <c r="AG111" i="69"/>
  <c r="AG109" i="69" s="1"/>
  <c r="AG15" i="69" s="1"/>
  <c r="AG11" i="69" s="1"/>
  <c r="AG152" i="69" l="1"/>
  <c r="AG144" i="69" s="1"/>
  <c r="AG142" i="69" s="1"/>
  <c r="AG13" i="69" s="1"/>
  <c r="AG156" i="69" s="1"/>
  <c r="AH9" i="69" s="1"/>
  <c r="AH10" i="69" l="1"/>
  <c r="AH111" i="69"/>
  <c r="AH109" i="69" s="1"/>
  <c r="AH15" i="69" s="1"/>
  <c r="AH11" i="69" s="1"/>
  <c r="AH152" i="69" l="1"/>
  <c r="AH144" i="69" s="1"/>
  <c r="AH142" i="69" s="1"/>
  <c r="AH13" i="69" s="1"/>
  <c r="AH156" i="69" s="1"/>
  <c r="AI9" i="69" l="1"/>
  <c r="AI111" i="69" l="1"/>
  <c r="AI109" i="69" s="1"/>
  <c r="AI15" i="69" s="1"/>
  <c r="AI11" i="69" s="1"/>
  <c r="AI10" i="69"/>
  <c r="AI152" i="69" l="1"/>
  <c r="AI144" i="69" s="1"/>
  <c r="AI142" i="69" s="1"/>
  <c r="AI13" i="69" s="1"/>
  <c r="AI156" i="69" s="1"/>
  <c r="AJ9" i="69" l="1"/>
  <c r="AJ111" i="69" l="1"/>
  <c r="AJ109" i="69" s="1"/>
  <c r="AJ15" i="69" s="1"/>
  <c r="AJ11" i="69" s="1"/>
  <c r="AJ10" i="69"/>
  <c r="AJ152" i="69" l="1"/>
  <c r="AJ144" i="69" s="1"/>
  <c r="AJ142" i="69" s="1"/>
  <c r="AJ13" i="69" s="1"/>
  <c r="AJ156" i="69" s="1"/>
  <c r="AK9" i="69" l="1"/>
  <c r="AK10" i="69" l="1"/>
  <c r="AK111" i="69"/>
  <c r="AK109" i="69" s="1"/>
  <c r="AK15" i="69" s="1"/>
  <c r="AK11" i="69" s="1"/>
  <c r="AK152" i="69" l="1"/>
  <c r="AK144" i="69" s="1"/>
  <c r="AK142" i="69" s="1"/>
  <c r="AK13" i="69" s="1"/>
  <c r="AK156" i="69" s="1"/>
  <c r="AL9" i="69" l="1"/>
  <c r="AL10" i="69" l="1"/>
  <c r="AL111" i="69"/>
  <c r="AL109" i="69" s="1"/>
  <c r="AL15" i="69" s="1"/>
  <c r="AL11" i="69" s="1"/>
  <c r="AL152" i="69" l="1"/>
  <c r="AL144" i="69" s="1"/>
  <c r="AL142" i="69" s="1"/>
  <c r="AL13" i="69" l="1"/>
  <c r="AL156" i="69" s="1"/>
  <c r="AM9" i="69" s="1"/>
  <c r="AM111" i="69" l="1"/>
  <c r="AM109" i="69" s="1"/>
  <c r="AM15" i="69" s="1"/>
  <c r="AM11" i="69" s="1"/>
  <c r="AM10" i="69"/>
  <c r="AM152" i="69" l="1"/>
  <c r="AM144" i="69" s="1"/>
  <c r="AM142" i="69" s="1"/>
  <c r="AM13" i="69" s="1"/>
  <c r="AM156" i="69" s="1"/>
  <c r="AN9" i="69" l="1"/>
  <c r="AN111" i="69" l="1"/>
  <c r="AN109" i="69" s="1"/>
  <c r="AN15" i="69" s="1"/>
  <c r="AN11" i="69" s="1"/>
  <c r="AN152" i="69" s="1"/>
  <c r="AN144" i="69" s="1"/>
  <c r="AN142" i="69" s="1"/>
  <c r="AN13" i="69" s="1"/>
  <c r="AN10" i="69"/>
  <c r="AN156" i="69" l="1"/>
  <c r="AO9" i="69" s="1"/>
  <c r="AO10" i="69" l="1"/>
  <c r="AO111" i="69"/>
  <c r="AO109" i="69" s="1"/>
  <c r="AO15" i="69" s="1"/>
  <c r="AO11" i="69" s="1"/>
  <c r="AO152" i="69" l="1"/>
  <c r="AO144" i="69" s="1"/>
  <c r="AO142" i="69" s="1"/>
  <c r="AO13" i="69" s="1"/>
  <c r="AO156" i="69" s="1"/>
  <c r="AP9" i="69" l="1"/>
  <c r="D173" i="69" l="1"/>
  <c r="C173" i="69"/>
  <c r="AP111" i="69"/>
  <c r="AP109" i="69" s="1"/>
  <c r="AP15" i="69" s="1"/>
  <c r="AP11" i="69" s="1"/>
  <c r="AP10" i="69"/>
  <c r="L7" i="21"/>
  <c r="L15" i="21"/>
  <c r="AP152" i="69" l="1"/>
  <c r="AP144" i="69" s="1"/>
  <c r="AP142" i="69" s="1"/>
  <c r="AP13" i="69" s="1"/>
  <c r="AP156" i="69" s="1"/>
  <c r="L1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Gresleri</author>
  </authors>
  <commentList>
    <comment ref="E132" authorId="0" shapeId="0" xr:uid="{6F82CF1A-8437-9044-B52D-A8B1145A9793}">
      <text>
        <r>
          <rPr>
            <sz val="10"/>
            <color rgb="FF000000"/>
            <rFont val="Tahoma"/>
            <family val="2"/>
          </rPr>
          <t>Inclusi 25'000euro per l'arredamento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Stefano Gresleri</author>
  </authors>
  <commentList>
    <comment ref="C4" authorId="0" shapeId="0" xr:uid="{5A51FB7F-589F-CB4C-9FC1-402CCFBFE869}">
      <text>
        <r>
          <rPr>
            <b/>
            <sz val="10"/>
            <color rgb="FF000000"/>
            <rFont val="Tahoma"/>
            <family val="2"/>
          </rPr>
          <t>Ci trasferiamo a Dubai</t>
        </r>
      </text>
    </comment>
    <comment ref="E4" authorId="0" shapeId="0" xr:uid="{1E070801-013A-F948-B630-209112E66867}">
      <text>
        <r>
          <rPr>
            <b/>
            <sz val="10"/>
            <color rgb="FF000000"/>
            <rFont val="Tahoma"/>
            <family val="2"/>
          </rPr>
          <t>Emma finisce gli studi</t>
        </r>
      </text>
    </comment>
    <comment ref="F4" authorId="0" shapeId="0" xr:uid="{0AC3D45E-3B9F-EB4F-81D9-4E63110A028D}">
      <text>
        <r>
          <rPr>
            <b/>
            <sz val="10"/>
            <color rgb="FF000000"/>
            <rFont val="Tahoma"/>
            <family val="2"/>
          </rPr>
          <t>Non abbiamo pù cani</t>
        </r>
      </text>
    </comment>
    <comment ref="J4" authorId="0" shapeId="0" xr:uid="{C79AED18-2612-E344-8F7C-8F7ADCC2CD12}">
      <text>
        <r>
          <rPr>
            <b/>
            <sz val="10"/>
            <color rgb="FF000000"/>
            <rFont val="Tahoma"/>
            <family val="2"/>
          </rPr>
          <t xml:space="preserve">Inizia la Pensione.
</t>
        </r>
      </text>
    </comment>
    <comment ref="N4" authorId="0" shapeId="0" xr:uid="{E5F71952-F24C-5541-92BF-1DA4C7D4B682}">
      <text>
        <r>
          <rPr>
            <b/>
            <sz val="10"/>
            <color rgb="FF000000"/>
            <rFont val="Tahoma"/>
            <family val="2"/>
          </rPr>
          <t xml:space="preserve">Emma inizia a lavorare
</t>
        </r>
      </text>
    </comment>
    <comment ref="O4" authorId="0" shapeId="0" xr:uid="{DE1BBF57-5FA9-7E43-B1FC-CAF426F92985}">
      <text>
        <r>
          <rPr>
            <b/>
            <sz val="10"/>
            <color rgb="FF000000"/>
            <rFont val="Tahoma"/>
            <family val="2"/>
          </rPr>
          <t>Compriamo Casa a Emma</t>
        </r>
      </text>
    </comment>
    <comment ref="T4" authorId="0" shapeId="0" xr:uid="{A0E86D76-9577-DB43-AE76-B0413893A841}">
      <text>
        <r>
          <rPr>
            <b/>
            <sz val="10"/>
            <color rgb="FF000000"/>
            <rFont val="Tahoma"/>
            <family val="2"/>
          </rPr>
          <t>Diminuiscono le attività</t>
        </r>
      </text>
    </comment>
    <comment ref="AD4" authorId="0" shapeId="0" xr:uid="{099263C0-B146-2F44-9831-2E102E61996A}">
      <text>
        <r>
          <rPr>
            <b/>
            <sz val="10"/>
            <color rgb="FF000000"/>
            <rFont val="Tahoma"/>
            <family val="2"/>
          </rPr>
          <t xml:space="preserve">Papà non c'è più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103539-4FD6-9E41-BD96-CD63FE4FB23F}" name="activity" type="6" refreshedVersion="0" deleted="1" background="1" saveData="1">
    <textPr prompt="0" sourceFile="/Users/sgresleri/Downloads/activity.csv" decimal="," thousands=".">
      <textFields>
        <textField/>
      </textFields>
    </textPr>
  </connection>
  <connection id="2" xr16:uid="{91B6795F-D6BB-4B4C-B3FD-2E76D976B7F5}" name="activity-2" type="6" refreshedVersion="8" deleted="1" background="1" saveData="1">
    <textPr sourceFile="/Users/sgresleri/Downloads/activity-2.csv" decimal="," thousands="." comma="1">
      <textFields count="3">
        <textField type="MDY"/>
        <textField/>
        <textField/>
      </textFields>
    </textPr>
  </connection>
  <connection id="3" xr16:uid="{578A1E07-F1C9-C54F-A2C3-F15EFAB4B2E0}" name="Revolut" type="6" refreshedVersion="8" deleted="1" background="1" saveData="1">
    <textPr sourceFile="/Users/sgresleri/Downloads/Revolut.txt" comma="1" semicolon="1">
      <textFields count="10">
        <textField/>
        <textField/>
        <textField type="YMD"/>
        <textField type="YMD"/>
        <textField/>
        <textField/>
        <textField/>
        <textField/>
        <textField/>
        <textField/>
      </textFields>
    </textPr>
  </connection>
  <connection id="4" xr16:uid="{C67A634E-BF82-5B44-8F16-BB1CCCCF31F6}" name="Revolut11" type="6" refreshedVersion="8" deleted="1" background="1" saveData="1">
    <textPr sourceFile="/Users/sgresleri/Downloads/Revolut.txt" decimal="," thousands="." comma="1">
      <textFields count="10">
        <textField/>
        <textField/>
        <textField type="YMD"/>
        <textField type="YMD"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65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</futureMetadata>
  <cellMetadata count="1">
    <bk>
      <rc t="1" v="0"/>
    </bk>
  </cellMetadata>
  <valueMetadata count="6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</valueMetadata>
</metadata>
</file>

<file path=xl/sharedStrings.xml><?xml version="1.0" encoding="utf-8"?>
<sst xmlns="http://schemas.openxmlformats.org/spreadsheetml/2006/main" count="4284" uniqueCount="1079">
  <si>
    <t>Entrate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</si>
  <si>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</si>
  <si>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</si>
  <si>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</si>
  <si>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</si>
  <si>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</si>
  <si>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</si>
  <si>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</si>
  <si>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</si>
  <si>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</si>
  <si>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</si>
  <si>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</si>
  <si>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</si>
  <si>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MEDIA MENSILE</t>
  </si>
  <si>
    <t>Valuta</t>
  </si>
  <si>
    <t>Etichette di riga</t>
  </si>
  <si>
    <t>Totale complessivo</t>
  </si>
  <si>
    <t>Etichette di colonna</t>
  </si>
  <si>
    <t>Mese</t>
  </si>
  <si>
    <t>Uscite</t>
  </si>
  <si>
    <t>TOTALE</t>
  </si>
  <si>
    <t>Data</t>
  </si>
  <si>
    <t>Descrizione</t>
  </si>
  <si>
    <t>Amex</t>
  </si>
  <si>
    <t>Descrizione Completa</t>
  </si>
  <si>
    <t>Avere</t>
  </si>
  <si>
    <t>Dare</t>
  </si>
  <si>
    <t>Somma di Avere</t>
  </si>
  <si>
    <t>Somma di Dare</t>
  </si>
  <si>
    <t>Somma di Dare totale</t>
  </si>
  <si>
    <t>Somma di Avere totale</t>
  </si>
  <si>
    <t>Portafoglio Advice</t>
  </si>
  <si>
    <t>Alimentari</t>
  </si>
  <si>
    <t>Animali domestici</t>
  </si>
  <si>
    <t>Rimborsi</t>
  </si>
  <si>
    <t>Abbigliamento e Accessori</t>
  </si>
  <si>
    <t>Tipologia</t>
  </si>
  <si>
    <t>Totale</t>
  </si>
  <si>
    <t>Luce</t>
  </si>
  <si>
    <t>TOTALE SPESE</t>
  </si>
  <si>
    <t>Mutuo Riccione</t>
  </si>
  <si>
    <t>Rifiuti</t>
  </si>
  <si>
    <t>Altre spese Italia</t>
  </si>
  <si>
    <t>Educazione Emma</t>
  </si>
  <si>
    <t>Dettaglio spese</t>
  </si>
  <si>
    <t>Giroconto</t>
  </si>
  <si>
    <t>Colazioni - Bar - Aperitivi - Gelateria</t>
  </si>
  <si>
    <t>Ristorazione</t>
  </si>
  <si>
    <t>Spese Straordinarie</t>
  </si>
  <si>
    <t>Interessi netti</t>
  </si>
  <si>
    <t>Parametri di calcolo</t>
  </si>
  <si>
    <t>Capitale fine anno</t>
  </si>
  <si>
    <t>Ricavi Totali</t>
  </si>
  <si>
    <t>Costi Totali</t>
  </si>
  <si>
    <t>Capitale inizio anno</t>
  </si>
  <si>
    <t>Età Emma</t>
  </si>
  <si>
    <t>Anno solare</t>
  </si>
  <si>
    <t>RICAVI TOTALI</t>
  </si>
  <si>
    <t>Spese Ordinarie</t>
  </si>
  <si>
    <t>Forecast Vs. Budget</t>
  </si>
  <si>
    <t>Forecast</t>
  </si>
  <si>
    <t>Media Mensile</t>
  </si>
  <si>
    <t>Dic</t>
  </si>
  <si>
    <t>Nov</t>
  </si>
  <si>
    <t>Ott</t>
  </si>
  <si>
    <t>Set</t>
  </si>
  <si>
    <t>Ago</t>
  </si>
  <si>
    <t>Lug</t>
  </si>
  <si>
    <t>Giu</t>
  </si>
  <si>
    <t>Mag</t>
  </si>
  <si>
    <t>Apr</t>
  </si>
  <si>
    <t>Mar</t>
  </si>
  <si>
    <t>Feb</t>
  </si>
  <si>
    <t>Gen</t>
  </si>
  <si>
    <t>Parcheggio</t>
  </si>
  <si>
    <t>Conto
Economico
Familiare</t>
  </si>
  <si>
    <t>VOCI SPESA</t>
  </si>
  <si>
    <t>Valore</t>
  </si>
  <si>
    <t>Link</t>
  </si>
  <si>
    <t>Eventi musicali - Teatro - Musei</t>
  </si>
  <si>
    <t>Metodo di aggiornamento</t>
  </si>
  <si>
    <t>Polizza Vita</t>
  </si>
  <si>
    <t>Polizza Salute</t>
  </si>
  <si>
    <t>Estetista</t>
  </si>
  <si>
    <t>Parrucchiera/e</t>
  </si>
  <si>
    <t>Trasporti pubblici</t>
  </si>
  <si>
    <t>Dentista</t>
  </si>
  <si>
    <t>Cure mediche extra ass.</t>
  </si>
  <si>
    <t>Prodotti per la Cura della Persona</t>
  </si>
  <si>
    <t>Altri Corsi</t>
  </si>
  <si>
    <t>Cure mediche</t>
  </si>
  <si>
    <t>C/C</t>
  </si>
  <si>
    <t>Riepilogo Generale al 1° del mese</t>
  </si>
  <si>
    <t>ACTUAL</t>
  </si>
  <si>
    <t>Elettronica e Tecnologia</t>
  </si>
  <si>
    <t>TOTALE C/C</t>
  </si>
  <si>
    <t>Altre Spese</t>
  </si>
  <si>
    <t>Commissioni Amex</t>
  </si>
  <si>
    <t>Viaggi</t>
  </si>
  <si>
    <t>V - Alloggio</t>
  </si>
  <si>
    <t>V - Trasporto Aereo</t>
  </si>
  <si>
    <t>V - Spese di Alloggio per Animali</t>
  </si>
  <si>
    <t>V - Altre Spese di Viaggio</t>
  </si>
  <si>
    <t>V - Parcheggio Aeroporto</t>
  </si>
  <si>
    <t>Spese da non contabilizzare</t>
  </si>
  <si>
    <t>Entrate da non contabilizzare</t>
  </si>
  <si>
    <t>Quote da investimenti</t>
  </si>
  <si>
    <t>VOCI DI SPESA</t>
  </si>
  <si>
    <t>Consuntivo vs. Budget</t>
  </si>
  <si>
    <t>Nautica</t>
  </si>
  <si>
    <t>Sistema antizanzare per il giardino</t>
  </si>
  <si>
    <t>V - Automobile a noleggio</t>
  </si>
  <si>
    <t>V - Carburante</t>
  </si>
  <si>
    <t>V - Altri Trasporti - Parcheggio</t>
  </si>
  <si>
    <t>Viaggio</t>
  </si>
  <si>
    <t>(vuoto)</t>
  </si>
  <si>
    <t>INVESTIMENTI</t>
  </si>
  <si>
    <t>Inflazione</t>
  </si>
  <si>
    <t>Totale suddiviso per Viaggio</t>
  </si>
  <si>
    <t>Streaming TV</t>
  </si>
  <si>
    <t>Streaming Audio</t>
  </si>
  <si>
    <t>Spese Generali</t>
  </si>
  <si>
    <t>Spese Ricorrenti</t>
  </si>
  <si>
    <t>Fitness</t>
  </si>
  <si>
    <t>IBI</t>
  </si>
  <si>
    <t>Totale Spese Ordinarie</t>
  </si>
  <si>
    <t>Totale Spese Straordinarie</t>
  </si>
  <si>
    <t>Servizi Internet - Amazon Prime - iCloud</t>
  </si>
  <si>
    <t>Arredamento</t>
  </si>
  <si>
    <t>Rientri a Bologna - Trasporti</t>
  </si>
  <si>
    <t>Età Sandra</t>
  </si>
  <si>
    <t>Età Stefano</t>
  </si>
  <si>
    <t>Budget</t>
  </si>
  <si>
    <t>Editoria Digitale</t>
  </si>
  <si>
    <t>Interessi Annui
Obiettivo Netto</t>
  </si>
  <si>
    <t>Elettrodomestici</t>
  </si>
  <si>
    <t>Accessori per Casa e Cucina</t>
  </si>
  <si>
    <t>Spese con Contanti o Carta di Credito</t>
  </si>
  <si>
    <t>Tipologia di entrata</t>
  </si>
  <si>
    <t>Somma</t>
  </si>
  <si>
    <t>Imposte Spagna</t>
  </si>
  <si>
    <t>Imposte Italia</t>
  </si>
  <si>
    <t>Commercialista Spagna</t>
  </si>
  <si>
    <t>Commercialista Italia</t>
  </si>
  <si>
    <t>Imposta di Bollo Titoli e CC</t>
  </si>
  <si>
    <t xml:space="preserve">Carburante </t>
  </si>
  <si>
    <t xml:space="preserve">Assicurazione </t>
  </si>
  <si>
    <t>Tassa di circolazione</t>
  </si>
  <si>
    <t>Consuntivo &amp; Forecast</t>
  </si>
  <si>
    <t>Imprevisti</t>
  </si>
  <si>
    <t>Auto e Trasporti</t>
  </si>
  <si>
    <t>Commissioni Bancarie su Investimenti</t>
  </si>
  <si>
    <t>Altre Commissioni Bancarie</t>
  </si>
  <si>
    <t>Realizzazione El Toro</t>
  </si>
  <si>
    <t>Anno 2021</t>
  </si>
  <si>
    <t>Anno 2022</t>
  </si>
  <si>
    <t>Mallorca Prime Homes</t>
  </si>
  <si>
    <t>Prats Consulting S.L.</t>
  </si>
  <si>
    <t>Notaio Victor Alonso Cuevillas Fortuny</t>
  </si>
  <si>
    <t>A3 Luxury Living Spain S.L.</t>
  </si>
  <si>
    <t>Ayuntamento</t>
  </si>
  <si>
    <t>Spesa</t>
  </si>
  <si>
    <t>Gran Totale</t>
  </si>
  <si>
    <t>Note</t>
  </si>
  <si>
    <t>Terreno</t>
  </si>
  <si>
    <t>Progetto iniziale</t>
  </si>
  <si>
    <t>Prima trance opere edili</t>
  </si>
  <si>
    <t>Spese costi smaltimento rifiuti</t>
  </si>
  <si>
    <t>Seconda trance opere edili</t>
  </si>
  <si>
    <t>Qualitas Control de Obras S.L.</t>
  </si>
  <si>
    <t>V - Musei - Parchi - Siti di Interesse</t>
  </si>
  <si>
    <t>Televisore</t>
  </si>
  <si>
    <t>TV OLED SONY XR65A95KAEP</t>
  </si>
  <si>
    <t>Sony - Barra de sonido HT-A7000</t>
  </si>
  <si>
    <t>Soundbar</t>
  </si>
  <si>
    <t>Terza trance opere edili</t>
  </si>
  <si>
    <t>Telecamere</t>
  </si>
  <si>
    <t>V - Assicurazione di Viaggio</t>
  </si>
  <si>
    <t>SPESE TOTALI</t>
  </si>
  <si>
    <t>Avviamento autorizzazione progetto</t>
  </si>
  <si>
    <t>Licenza per costruire</t>
  </si>
  <si>
    <t>ITV</t>
  </si>
  <si>
    <t>Riepilogo spese ordinarie ad oggi</t>
  </si>
  <si>
    <t>Forecast vs. Budget</t>
  </si>
  <si>
    <t>Attività Spot</t>
  </si>
  <si>
    <t>Attività sportive</t>
  </si>
  <si>
    <t>Quarta trance opere edili</t>
  </si>
  <si>
    <t>Altre spese Spagna</t>
  </si>
  <si>
    <t>Anticipo 10% su contratto opere edili</t>
  </si>
  <si>
    <t>Polizza Casa</t>
  </si>
  <si>
    <t>Titolo</t>
  </si>
  <si>
    <t>ISIN</t>
  </si>
  <si>
    <t>Quantità</t>
  </si>
  <si>
    <t>Var%</t>
  </si>
  <si>
    <t>Var €</t>
  </si>
  <si>
    <t>IE00BFXY6614</t>
  </si>
  <si>
    <t>FINECO AM ADVISORY 7</t>
  </si>
  <si>
    <t>IE00BFM13062</t>
  </si>
  <si>
    <t>CORE FAM SUST E EU A</t>
  </si>
  <si>
    <t>LU1545601657</t>
  </si>
  <si>
    <t>FAM MEGATRENDS L ACC</t>
  </si>
  <si>
    <t>IE00BJCX8943</t>
  </si>
  <si>
    <t>FINECO AM ADVISORY 9</t>
  </si>
  <si>
    <t>IE00BJCX8166</t>
  </si>
  <si>
    <t>ALL GL ARTIF INTELLI</t>
  </si>
  <si>
    <t>LU1548497772</t>
  </si>
  <si>
    <t>GOLDMAN EUROP COR -E</t>
  </si>
  <si>
    <t>LU0133265339</t>
  </si>
  <si>
    <t>INV GL CON TR E EUR</t>
  </si>
  <si>
    <t>LU0115139569</t>
  </si>
  <si>
    <t>SCHRODER AS OPP A AC</t>
  </si>
  <si>
    <t>LU0248184466</t>
  </si>
  <si>
    <t>IT0001248324</t>
  </si>
  <si>
    <t>MORGAN ST GL OPP A</t>
  </si>
  <si>
    <t>LU0552385295</t>
  </si>
  <si>
    <t>SCHRODER EUR CORP BN</t>
  </si>
  <si>
    <t>LU0113257694</t>
  </si>
  <si>
    <t>JH BAL FD A (ACC) EU</t>
  </si>
  <si>
    <t>IE0009514989</t>
  </si>
  <si>
    <t>DE0008477076</t>
  </si>
  <si>
    <t>RAIF BIL SOS V ACC</t>
  </si>
  <si>
    <t>AT0000785381</t>
  </si>
  <si>
    <t>BGF WOR TEC EUR E2</t>
  </si>
  <si>
    <t>LU0171310955</t>
  </si>
  <si>
    <t>MFS EU RESEARCH CLA1</t>
  </si>
  <si>
    <t>LU0094557526</t>
  </si>
  <si>
    <t>MORGAN GL BRANDS A</t>
  </si>
  <si>
    <t>LU0119620416</t>
  </si>
  <si>
    <t>FID CH CONS F. A ACC</t>
  </si>
  <si>
    <t>LU0594300096</t>
  </si>
  <si>
    <t>ADVICE</t>
  </si>
  <si>
    <t>Acqua Potabile</t>
  </si>
  <si>
    <t>Manutenzione Auto</t>
  </si>
  <si>
    <t>Quinta trance opere edili</t>
  </si>
  <si>
    <t>Ayuntamento de Calvià</t>
  </si>
  <si>
    <t>Conexión a pluviales</t>
  </si>
  <si>
    <t>Acquisto Fondi/Titoli</t>
  </si>
  <si>
    <t>Riepilogo (Forecast)</t>
  </si>
  <si>
    <t>Sesta trance opere edili</t>
  </si>
  <si>
    <t>Manutenzione Piscina</t>
  </si>
  <si>
    <t>Spese Alimentari</t>
  </si>
  <si>
    <t>Riepilogo BBVA</t>
  </si>
  <si>
    <t>Riepilogo Fineco Sandra</t>
  </si>
  <si>
    <t>V - Alimentari/Ristorazione</t>
  </si>
  <si>
    <t>Settima trance opere edili</t>
  </si>
  <si>
    <t>Commissioni Bancarie</t>
  </si>
  <si>
    <t>C/C alla data/fine mese</t>
  </si>
  <si>
    <t>Supporto a parete</t>
  </si>
  <si>
    <t>SU-WL450</t>
  </si>
  <si>
    <t>Prelievo Contante</t>
  </si>
  <si>
    <t>Lavatrice</t>
  </si>
  <si>
    <t>Ottava trance opere edili</t>
  </si>
  <si>
    <t>Portafoglio Advice+</t>
  </si>
  <si>
    <t>Nona trance opere edili</t>
  </si>
  <si>
    <t>di cui Terreno</t>
  </si>
  <si>
    <t>Diotti.com srl</t>
  </si>
  <si>
    <t>Camere da letto + mobile salotto</t>
  </si>
  <si>
    <t>Verde</t>
  </si>
  <si>
    <t>Tavolo salotto</t>
  </si>
  <si>
    <t>Dismobel.es</t>
  </si>
  <si>
    <t xml:space="preserve">La Redoute </t>
  </si>
  <si>
    <t>Poltroncine salotto</t>
  </si>
  <si>
    <t>Robot limpiacristales</t>
  </si>
  <si>
    <t xml:space="preserve">Fmart W6 </t>
  </si>
  <si>
    <t>ETF</t>
  </si>
  <si>
    <t>Decima trance opere edili</t>
  </si>
  <si>
    <t>Dreame L10</t>
  </si>
  <si>
    <t>Robot lavapavimenti</t>
  </si>
  <si>
    <t>Eufy</t>
  </si>
  <si>
    <t>Riepilogo Fineco Stefano</t>
  </si>
  <si>
    <t>Medicinali - Test Covid - Integratori</t>
  </si>
  <si>
    <t>Opere civili a contratto</t>
  </si>
  <si>
    <t>Opere civili fuori contratto</t>
  </si>
  <si>
    <t>Spese per arredamento e accessori</t>
  </si>
  <si>
    <t>Tende</t>
  </si>
  <si>
    <t>Ferro da Stiro</t>
  </si>
  <si>
    <t>Idropulitrice</t>
  </si>
  <si>
    <t>Soffione</t>
  </si>
  <si>
    <t>ARXP Hidrolimpiador BOX3 150LHT</t>
  </si>
  <si>
    <t>Posate</t>
  </si>
  <si>
    <t>WMF Boston Cromargan</t>
  </si>
  <si>
    <t>Bosch aspirador</t>
  </si>
  <si>
    <t>Parlux Advance Light</t>
  </si>
  <si>
    <t>Ariete 1593 PastaMatic</t>
  </si>
  <si>
    <t>Pastamatic</t>
  </si>
  <si>
    <t>Polti Vaporella Next VN18.30</t>
  </si>
  <si>
    <t>Hair Dryier</t>
  </si>
  <si>
    <t xml:space="preserve">Lavatrice LG </t>
  </si>
  <si>
    <t>Lingue Straniere</t>
  </si>
  <si>
    <t>Manutenzione del Giardino</t>
  </si>
  <si>
    <t>ALCOLEAS GARDENS, S.L.</t>
  </si>
  <si>
    <t>Tapiceria Angelita</t>
  </si>
  <si>
    <t>Tapiceria Agelita</t>
  </si>
  <si>
    <t>Pensione Lorda di Vecchiaia Stefano Mensile</t>
  </si>
  <si>
    <t>Pensione Lorda di Vecchiaia Sandra Mensile</t>
  </si>
  <si>
    <t>Tassazione Pensione Stefano Annuale</t>
  </si>
  <si>
    <t>Tassazione Pensione Sandra Annuale</t>
  </si>
  <si>
    <t>Impianto Fotovoltaico</t>
  </si>
  <si>
    <t>Manutenzioni</t>
  </si>
  <si>
    <t>Accessori per Piscina e Giardino</t>
  </si>
  <si>
    <t>Pensione di Vecchiaia Stefano</t>
  </si>
  <si>
    <t>Pensione di Vecchiaia Sandra</t>
  </si>
  <si>
    <t>Muro a Secco e Vetrate Giardinetto</t>
  </si>
  <si>
    <t>Oculista - Occhiali</t>
  </si>
  <si>
    <t>Fotovoltaico Licencia Ubanistica</t>
  </si>
  <si>
    <t>Fotovoltaico Autoliquidacion Impuesto Instalaciones</t>
  </si>
  <si>
    <t>Stocker</t>
  </si>
  <si>
    <t>Collegamento Idrico</t>
  </si>
  <si>
    <t>Mobili Bagno</t>
  </si>
  <si>
    <t>Varobath</t>
  </si>
  <si>
    <t>ATERCA</t>
  </si>
  <si>
    <t>BBQ</t>
  </si>
  <si>
    <t>Campingaz</t>
  </si>
  <si>
    <t>Visa Prepagata</t>
  </si>
  <si>
    <t>Voce di Spesa</t>
  </si>
  <si>
    <t>Spese Visa Prepagata</t>
  </si>
  <si>
    <t>Ultima trance opere edili</t>
  </si>
  <si>
    <t>Valute</t>
  </si>
  <si>
    <t>Giugno EURO</t>
  </si>
  <si>
    <t>Giugno VALUTA</t>
  </si>
  <si>
    <t>€</t>
  </si>
  <si>
    <t>Gennaio EURO</t>
  </si>
  <si>
    <t>Gennaio VALUTA</t>
  </si>
  <si>
    <t>Febbraio EURO</t>
  </si>
  <si>
    <t>Febbraio VALUTA</t>
  </si>
  <si>
    <t>Marzo EURO</t>
  </si>
  <si>
    <t>Marzo VALUTA</t>
  </si>
  <si>
    <t>Aprile EURO</t>
  </si>
  <si>
    <t>Aprile VALUTA</t>
  </si>
  <si>
    <t>Maggio EURO</t>
  </si>
  <si>
    <t>Maggio VALUTA</t>
  </si>
  <si>
    <t>Luglio EURO</t>
  </si>
  <si>
    <t>Luglio VALUTA</t>
  </si>
  <si>
    <t>Agosto EURO</t>
  </si>
  <si>
    <t>Agosto VALUTA</t>
  </si>
  <si>
    <t>Settembre EURO</t>
  </si>
  <si>
    <t>Settembre VALUTA</t>
  </si>
  <si>
    <t>Ottobre EURO</t>
  </si>
  <si>
    <t>Ottobre VALUTA</t>
  </si>
  <si>
    <t>Novembre EURO</t>
  </si>
  <si>
    <t>Novembre VALUTA</t>
  </si>
  <si>
    <t>Dicembre EURO</t>
  </si>
  <si>
    <t>Dicembre VALUTA</t>
  </si>
  <si>
    <t>Spese Personali</t>
  </si>
  <si>
    <t>Fibra Telefonica</t>
  </si>
  <si>
    <t>Telefonia Cellulare</t>
  </si>
  <si>
    <t>Abbigliamento Sportivo e Accessori</t>
  </si>
  <si>
    <t>Istruzione e Corsi</t>
  </si>
  <si>
    <t>Anno 2023 - 2024</t>
  </si>
  <si>
    <t>Imposte Bollo Titoli e CC</t>
  </si>
  <si>
    <t>Manutenzione Immobile</t>
  </si>
  <si>
    <t>Disponibilità Visa Prepagata</t>
  </si>
  <si>
    <t>Riepilogo Visa Prepagata (BBVA)</t>
  </si>
  <si>
    <t>Spese</t>
  </si>
  <si>
    <t>Mensilità</t>
  </si>
  <si>
    <t>Budget 2026</t>
  </si>
  <si>
    <t>Budget 2027/2066</t>
  </si>
  <si>
    <r>
      <rPr>
        <sz val="7"/>
        <rFont val="Arial"/>
        <family val="2"/>
      </rPr>
      <t>Pagata</t>
    </r>
  </si>
  <si>
    <r>
      <rPr>
        <b/>
        <sz val="7.5"/>
        <color rgb="FFFFFFFF"/>
        <rFont val="Arial"/>
        <family val="2"/>
      </rPr>
      <t>Capitale residuo</t>
    </r>
  </si>
  <si>
    <r>
      <rPr>
        <b/>
        <sz val="7.5"/>
        <color rgb="FFFFFFFF"/>
        <rFont val="Arial"/>
        <family val="2"/>
      </rPr>
      <t>Importo rata</t>
    </r>
  </si>
  <si>
    <r>
      <rPr>
        <b/>
        <sz val="7.5"/>
        <color rgb="FFFFFFFF"/>
        <rFont val="Arial"/>
        <family val="2"/>
      </rPr>
      <t>Quota interessi</t>
    </r>
  </si>
  <si>
    <r>
      <rPr>
        <b/>
        <sz val="7.5"/>
        <color rgb="FFFFFFFF"/>
        <rFont val="Arial"/>
        <family val="2"/>
      </rPr>
      <t>Quota capitale</t>
    </r>
  </si>
  <si>
    <r>
      <rPr>
        <b/>
        <sz val="7.5"/>
        <color rgb="FFFFFFFF"/>
        <rFont val="Arial"/>
        <family val="2"/>
      </rPr>
      <t>Stato</t>
    </r>
  </si>
  <si>
    <r>
      <rPr>
        <b/>
        <sz val="7.5"/>
        <color rgb="FFFFFFFF"/>
        <rFont val="Arial"/>
        <family val="2"/>
      </rPr>
      <t>Scadenza</t>
    </r>
  </si>
  <si>
    <r>
      <rPr>
        <b/>
        <sz val="7.5"/>
        <color rgb="FFFFFFFF"/>
        <rFont val="Arial"/>
        <family val="2"/>
      </rPr>
      <t>Nr</t>
    </r>
  </si>
  <si>
    <r>
      <rPr>
        <b/>
        <sz val="8.5"/>
        <rFont val="Arial"/>
        <family val="2"/>
      </rPr>
      <t xml:space="preserve">Oggetto: </t>
    </r>
    <r>
      <rPr>
        <sz val="8.5"/>
        <rFont val="Arial"/>
        <family val="2"/>
      </rPr>
      <t xml:space="preserve">piano di ammortamento aggiornato
</t>
    </r>
    <r>
      <rPr>
        <sz val="8.5"/>
        <rFont val="Arial"/>
        <family val="2"/>
      </rPr>
      <t xml:space="preserve">Di seguito sono riportati i dati aggiornati del piano di ammortamento del finanziamento
</t>
    </r>
    <r>
      <rPr>
        <b/>
        <sz val="8.5"/>
        <color rgb="FF007F00"/>
        <rFont val="Arial"/>
        <family val="2"/>
      </rPr>
      <t xml:space="preserve">Riepilogo finanziamento
</t>
    </r>
    <r>
      <rPr>
        <b/>
        <sz val="8.5"/>
        <rFont val="Arial"/>
        <family val="2"/>
      </rPr>
      <t xml:space="preserve">Intestato a:                                                                                                              </t>
    </r>
    <r>
      <rPr>
        <sz val="8.5"/>
        <rFont val="Arial"/>
        <family val="2"/>
      </rPr>
      <t xml:space="preserve">GRESLERI STEFANO
</t>
    </r>
    <r>
      <rPr>
        <b/>
        <sz val="8.5"/>
        <rFont val="Arial"/>
        <family val="2"/>
      </rPr>
      <t xml:space="preserve">Numero finanziamento:                                                                                         </t>
    </r>
    <r>
      <rPr>
        <sz val="8.5"/>
        <rFont val="Arial"/>
        <family val="2"/>
      </rPr>
      <t xml:space="preserve">52824006
</t>
    </r>
    <r>
      <rPr>
        <b/>
        <sz val="8.5"/>
        <rFont val="Arial"/>
        <family val="2"/>
      </rPr>
      <t xml:space="preserve">Modalità di addebito:                                                                                           </t>
    </r>
    <r>
      <rPr>
        <sz val="8.5"/>
        <rFont val="Arial"/>
        <family val="2"/>
      </rPr>
      <t xml:space="preserve">Mandato SDD IT89X0301503200000003846956
</t>
    </r>
    <r>
      <rPr>
        <b/>
        <sz val="8.5"/>
        <rFont val="Arial"/>
        <family val="2"/>
      </rPr>
      <t xml:space="preserve">Importo erogato:                                                                                                    </t>
    </r>
    <r>
      <rPr>
        <sz val="8.5"/>
        <rFont val="Arial"/>
        <family val="2"/>
      </rPr>
      <t xml:space="preserve">€ 75.000,00
</t>
    </r>
    <r>
      <rPr>
        <b/>
        <sz val="8.5"/>
        <rFont val="Arial"/>
        <family val="2"/>
      </rPr>
      <t xml:space="preserve">Importo finanziato:                                                                                                 </t>
    </r>
    <r>
      <rPr>
        <sz val="8.5"/>
        <rFont val="Arial"/>
        <family val="2"/>
      </rPr>
      <t xml:space="preserve">€ 75.000,00
</t>
    </r>
    <r>
      <rPr>
        <b/>
        <sz val="8.5"/>
        <rFont val="Arial"/>
        <family val="2"/>
      </rPr>
      <t xml:space="preserve">Capitale residuo:                                                                                                   </t>
    </r>
    <r>
      <rPr>
        <sz val="8.5"/>
        <rFont val="Arial"/>
        <family val="2"/>
      </rPr>
      <t xml:space="preserve">€ 42.990,76
</t>
    </r>
    <r>
      <rPr>
        <b/>
        <sz val="8.5"/>
        <rFont val="Arial"/>
        <family val="2"/>
      </rPr>
      <t xml:space="preserve">Debito residuo:                                                                                                       </t>
    </r>
    <r>
      <rPr>
        <sz val="8.5"/>
        <rFont val="Arial"/>
        <family val="2"/>
      </rPr>
      <t xml:space="preserve">€ 55.793,48
</t>
    </r>
    <r>
      <rPr>
        <b/>
        <sz val="8.5"/>
        <rFont val="Arial"/>
        <family val="2"/>
      </rPr>
      <t xml:space="preserve">Data erogazione:                                                                                                   </t>
    </r>
    <r>
      <rPr>
        <sz val="8.5"/>
        <rFont val="Arial"/>
        <family val="2"/>
      </rPr>
      <t xml:space="preserve">25.03.2010
</t>
    </r>
    <r>
      <rPr>
        <b/>
        <sz val="8.5"/>
        <rFont val="Arial"/>
        <family val="2"/>
      </rPr>
      <t xml:space="preserve">Durata totale:                                                                                                         </t>
    </r>
    <r>
      <rPr>
        <sz val="8.5"/>
        <rFont val="Arial"/>
        <family val="2"/>
      </rPr>
      <t xml:space="preserve">30 anni
</t>
    </r>
    <r>
      <rPr>
        <b/>
        <sz val="8.5"/>
        <rFont val="Arial"/>
        <family val="2"/>
      </rPr>
      <t xml:space="preserve">Durata residua:                                                                                                       </t>
    </r>
    <r>
      <rPr>
        <sz val="8.5"/>
        <rFont val="Arial"/>
        <family val="2"/>
      </rPr>
      <t xml:space="preserve">15 anni
</t>
    </r>
    <r>
      <rPr>
        <b/>
        <sz val="8.5"/>
        <rFont val="Arial"/>
        <family val="2"/>
      </rPr>
      <t xml:space="preserve">Scadenza prima rata:                                                                                            </t>
    </r>
    <r>
      <rPr>
        <sz val="8.5"/>
        <rFont val="Arial"/>
        <family val="2"/>
      </rPr>
      <t xml:space="preserve">01.06.2010
</t>
    </r>
    <r>
      <rPr>
        <b/>
        <sz val="8.5"/>
        <rFont val="Arial"/>
        <family val="2"/>
      </rPr>
      <t xml:space="preserve">Scadenza ultima rata:                                                                                           </t>
    </r>
    <r>
      <rPr>
        <sz val="8.5"/>
        <rFont val="Arial"/>
        <family val="2"/>
      </rPr>
      <t xml:space="preserve">01.05.2040
</t>
    </r>
    <r>
      <rPr>
        <b/>
        <sz val="8.5"/>
        <rFont val="Arial"/>
        <family val="2"/>
      </rPr>
      <t xml:space="preserve">Numero rate totali:                                                                                                 </t>
    </r>
    <r>
      <rPr>
        <sz val="8.5"/>
        <rFont val="Arial"/>
        <family val="2"/>
      </rPr>
      <t xml:space="preserve">360
</t>
    </r>
    <r>
      <rPr>
        <b/>
        <sz val="8.5"/>
        <rFont val="Arial"/>
        <family val="2"/>
      </rPr>
      <t xml:space="preserve">Periodicità rate:                                                                                                      </t>
    </r>
    <r>
      <rPr>
        <sz val="8.5"/>
        <rFont val="Arial"/>
        <family val="2"/>
      </rPr>
      <t xml:space="preserve">Mensile
</t>
    </r>
    <r>
      <rPr>
        <b/>
        <sz val="8.5"/>
        <rFont val="Arial"/>
        <family val="2"/>
      </rPr>
      <t xml:space="preserve">Scadenza rata:                                                                                                       </t>
    </r>
    <r>
      <rPr>
        <sz val="8.5"/>
        <rFont val="Arial"/>
        <family val="2"/>
      </rPr>
      <t xml:space="preserve">Il giorno 1 del mese
</t>
    </r>
    <r>
      <rPr>
        <b/>
        <sz val="8.5"/>
        <rFont val="Arial"/>
        <family val="2"/>
      </rPr>
      <t xml:space="preserve">Numero rate pagate:                                                                                            </t>
    </r>
    <r>
      <rPr>
        <sz val="8.5"/>
        <rFont val="Arial"/>
        <family val="2"/>
      </rPr>
      <t xml:space="preserve">180
</t>
    </r>
    <r>
      <rPr>
        <b/>
        <sz val="8.5"/>
        <color rgb="FF007F00"/>
        <rFont val="Arial"/>
        <family val="2"/>
      </rPr>
      <t>Dettaglio piano di ammortamento</t>
    </r>
  </si>
  <si>
    <t>Spese di istruttoria</t>
  </si>
  <si>
    <t>Imposta Sostitutiva</t>
  </si>
  <si>
    <t>Rivalutazione Affitto Dubai</t>
  </si>
  <si>
    <t>Cambio USD/EUR</t>
  </si>
  <si>
    <t>Cambio USD/AED</t>
  </si>
  <si>
    <t>Ricarica Visa Prepagata</t>
  </si>
  <si>
    <t>Commissioni Visa Prepagata</t>
  </si>
  <si>
    <t>Riepilogo Revolut</t>
  </si>
  <si>
    <t>Quota Bonny e Cesare</t>
  </si>
  <si>
    <t>Spese da stornare</t>
  </si>
  <si>
    <t>Totale carta BBVA</t>
  </si>
  <si>
    <r>
      <rPr>
        <sz val="7"/>
        <rFont val="Arial"/>
        <family val="2"/>
      </rPr>
      <t>Da pagare</t>
    </r>
  </si>
  <si>
    <t>Anno</t>
  </si>
  <si>
    <t>Tasso di cambio al 27/05</t>
  </si>
  <si>
    <t>Euro/USD</t>
  </si>
  <si>
    <t>USD/AED</t>
  </si>
  <si>
    <t>Affitto iniziale Dubai/anno</t>
  </si>
  <si>
    <t>%</t>
  </si>
  <si>
    <t>EUR</t>
  </si>
  <si>
    <t>Valori al</t>
  </si>
  <si>
    <t>Variazione su mese</t>
  </si>
  <si>
    <t>Interessi Maturati Advice +</t>
  </si>
  <si>
    <t>Interessi Maturati Advice</t>
  </si>
  <si>
    <t>Tassazione Prevista</t>
  </si>
  <si>
    <t>Vendita Immobile El Toro</t>
  </si>
  <si>
    <t>Vendita Immobile Riccione</t>
  </si>
  <si>
    <t>Acquisto Immobile Principale Dubai</t>
  </si>
  <si>
    <t>Project Plan Dubai II</t>
  </si>
  <si>
    <t>Ricavi Affitto Dubai II</t>
  </si>
  <si>
    <t>Affitto iniziale Dubai II/anno</t>
  </si>
  <si>
    <t>Assicurazioni</t>
  </si>
  <si>
    <t>Affitto Dubai</t>
  </si>
  <si>
    <t>Spese Amministrative - Passaporti - SPID</t>
  </si>
  <si>
    <t>Voli Aerei su Amsterdam</t>
  </si>
  <si>
    <t>Voli Aerei su Dubai</t>
  </si>
  <si>
    <t>Prodotti per la Pulizia - Detersivi</t>
  </si>
  <si>
    <t>OK</t>
  </si>
  <si>
    <t>Provvigione %</t>
  </si>
  <si>
    <t>Prezzo (EUR)</t>
  </si>
  <si>
    <t>Stima (Calvià)</t>
  </si>
  <si>
    <t>Aliquota IVA su agenzia</t>
  </si>
  <si>
    <t>Costo totale (EUR)</t>
  </si>
  <si>
    <t>Costo casa (EUR)</t>
  </si>
  <si>
    <t>Costo terreno (EUR)</t>
  </si>
  <si>
    <t>Parametro</t>
  </si>
  <si>
    <t>Investimento Aquarise Dubai</t>
  </si>
  <si>
    <t>Agenzia (IVA incl.)</t>
  </si>
  <si>
    <t>Plusvalía IIVTNU</t>
  </si>
  <si>
    <t>Plusvalenza imponibile IRPF</t>
  </si>
  <si>
    <t>IRPF dovuta</t>
  </si>
  <si>
    <t>Controllo qualità - Prima quota</t>
  </si>
  <si>
    <t>Controllo qualità - Seconda quota</t>
  </si>
  <si>
    <t>Controllo qualità - Terza quota</t>
  </si>
  <si>
    <t>Spese per Trasferimento EAU</t>
  </si>
  <si>
    <t>Gran Totale senza Mobili</t>
  </si>
  <si>
    <t>di cui Mobili</t>
  </si>
  <si>
    <t>di cui Immobile</t>
  </si>
  <si>
    <t>Differenza in %</t>
  </si>
  <si>
    <t>IRPF al 19%</t>
  </si>
  <si>
    <t>Differenza tra tax res e no res</t>
  </si>
  <si>
    <t>Residente in Spagna</t>
  </si>
  <si>
    <t>NON Residente in Spagna</t>
  </si>
  <si>
    <t>Totali costi</t>
  </si>
  <si>
    <t>Costi collaterali (Nota Simple, Notaio, Avvocato…)</t>
  </si>
  <si>
    <t>Netto Finale</t>
  </si>
  <si>
    <t>Dubai</t>
  </si>
  <si>
    <t>Prezzo mobili</t>
  </si>
  <si>
    <t>Plusvalía municipal IIVTNU</t>
  </si>
  <si>
    <t>Forecast (AED)</t>
  </si>
  <si>
    <t>Consuntivi (EUR)</t>
  </si>
  <si>
    <t>Spesa Totale</t>
  </si>
  <si>
    <t>IVA</t>
  </si>
  <si>
    <t>Imponibile</t>
  </si>
  <si>
    <t>Voci di spesa previste/consuntivate</t>
  </si>
  <si>
    <t>Totale (EUR)</t>
  </si>
  <si>
    <t>Tassi di cambio</t>
  </si>
  <si>
    <t>Acquisto Autovettura</t>
  </si>
  <si>
    <t>Ricavi Affitto Dubai I</t>
  </si>
  <si>
    <t>Ricavi Ordinari e Straordinari</t>
  </si>
  <si>
    <t>Budget 2027</t>
  </si>
  <si>
    <t>Extras ejecutado en la vivienda en</t>
  </si>
  <si>
    <t>Luis Pedrero Morales</t>
  </si>
  <si>
    <t>Allaccio elettrico</t>
  </si>
  <si>
    <t>Differenza '26/'27</t>
  </si>
  <si>
    <t>Gas</t>
  </si>
  <si>
    <t>Var</t>
  </si>
  <si>
    <t>Valore di mercato</t>
  </si>
  <si>
    <t>Valore di carico</t>
  </si>
  <si>
    <t>Fondo</t>
  </si>
  <si>
    <t>FONDI</t>
  </si>
  <si>
    <t>-</t>
  </si>
  <si>
    <t>UNIFAVORITE:AKTIEN</t>
  </si>
  <si>
    <t>LU1670707527</t>
  </si>
  <si>
    <t>M&amp;G (LUX) EUR STR VA</t>
  </si>
  <si>
    <t>LU0203975437</t>
  </si>
  <si>
    <t>ROB BP GL PREM EQ D</t>
  </si>
  <si>
    <t>LU0056052961</t>
  </si>
  <si>
    <t>CAN EQ L EM MRK C AC</t>
  </si>
  <si>
    <t>LU1261431768</t>
  </si>
  <si>
    <t>FF GLB DIVID FUND A</t>
  </si>
  <si>
    <t>LU1097688714</t>
  </si>
  <si>
    <t>INV GLOBAL INC FD A</t>
  </si>
  <si>
    <t>ARC OBB EUR ESG LEAD</t>
  </si>
  <si>
    <t>Valore di mercato €</t>
  </si>
  <si>
    <t>P.zo di mercato</t>
  </si>
  <si>
    <t>P.zo medio di carico</t>
  </si>
  <si>
    <t>Strumento</t>
  </si>
  <si>
    <t>Mercato</t>
  </si>
  <si>
    <t>Simbolo</t>
  </si>
  <si>
    <t>iShares Core MSCI Europe UCITS ETF EUR (Acc)</t>
  </si>
  <si>
    <t>IE00B4K48X80</t>
  </si>
  <si>
    <t>SMEA.MI</t>
  </si>
  <si>
    <t>AFF</t>
  </si>
  <si>
    <t>Xtrackers MSCI USA UCITS ETF 1C</t>
  </si>
  <si>
    <t>IE00BJ0KDR00</t>
  </si>
  <si>
    <t>XD9U.MI</t>
  </si>
  <si>
    <t>FID FOCUS EQ FAM L A</t>
  </si>
  <si>
    <t>Fondo PAC</t>
  </si>
  <si>
    <t>FINECO AM PASS UND 8</t>
  </si>
  <si>
    <t>IE000DWG3DP6</t>
  </si>
  <si>
    <t>iShares MSCI China A UCITS ETF USD (Acc)</t>
  </si>
  <si>
    <t>IE00BQT3WG13</t>
  </si>
  <si>
    <t>36BZ.FRA</t>
  </si>
  <si>
    <t>XETRA</t>
  </si>
  <si>
    <t>iShares Nasdaq 100 UCITS ETF USD (Acc)</t>
  </si>
  <si>
    <t>IE00B53SZB19</t>
  </si>
  <si>
    <t>SXRV.FRA</t>
  </si>
  <si>
    <t>Invesco CoinShares Global Blockchain UCITS ETF</t>
  </si>
  <si>
    <t>IE00BGBN6P67</t>
  </si>
  <si>
    <t>BCHN.MI</t>
  </si>
  <si>
    <t>iShares Automation &amp; Robotics UCITS ETF USD (Acc)</t>
  </si>
  <si>
    <t>IE00BYZK4552</t>
  </si>
  <si>
    <t>RBOT.MI</t>
  </si>
  <si>
    <t>iShares MSCI Europe SRI UCITS ETF EUR (Acc)</t>
  </si>
  <si>
    <t>IE00B52VJ196</t>
  </si>
  <si>
    <t>IESE.MI</t>
  </si>
  <si>
    <t>L&amp;G Clean Water UCITS ETF</t>
  </si>
  <si>
    <t>IE00BK5BC891</t>
  </si>
  <si>
    <t>GLUG.MI</t>
  </si>
  <si>
    <t>iShares Core S&amp;P 500 UCITS ETF USD (Acc)</t>
  </si>
  <si>
    <t>IE00B5BMR087</t>
  </si>
  <si>
    <t>CSSPX.MI</t>
  </si>
  <si>
    <t>iShares MSCI World Small Cap UCITS ETF USD (Acc)</t>
  </si>
  <si>
    <t>IE00BF4RFH31</t>
  </si>
  <si>
    <t>IUSN.FRA</t>
  </si>
  <si>
    <t>Chiave</t>
  </si>
  <si>
    <t>Pos.</t>
  </si>
  <si>
    <t xml:space="preserve">Protafoglio aggiornato al </t>
  </si>
  <si>
    <t>Costi di Gestione Annua Valore</t>
  </si>
  <si>
    <t>Costi di Gestione Annua %</t>
  </si>
  <si>
    <t>Forecast chiusura 2026</t>
  </si>
  <si>
    <t>Capitale fine anno 2027 (Budget)</t>
  </si>
  <si>
    <t>Chiusura 31 Dicembre 26</t>
  </si>
  <si>
    <t xml:space="preserve"> Actual vs.
1° Dicembre 26</t>
  </si>
  <si>
    <t xml:space="preserve"> Actual vs.
1° Novembre 26</t>
  </si>
  <si>
    <t xml:space="preserve"> Actual vs.
1° Ottobre 26</t>
  </si>
  <si>
    <t xml:space="preserve"> Actual vs.
1° Settembre 26</t>
  </si>
  <si>
    <t xml:space="preserve"> Actual vs.
1° Agosto 26</t>
  </si>
  <si>
    <t xml:space="preserve"> Actual vs.
1° Giugno 26</t>
  </si>
  <si>
    <t xml:space="preserve"> Actual vs.
1° Maggio 26</t>
  </si>
  <si>
    <t xml:space="preserve"> Actual vs.
1° Aprile 26</t>
  </si>
  <si>
    <t xml:space="preserve"> Actual vs.
1° Marzo 26</t>
  </si>
  <si>
    <t xml:space="preserve"> Actual vs.
1° Febbraio 26</t>
  </si>
  <si>
    <t xml:space="preserve"> Actual vs.
1° Gennaio 26</t>
  </si>
  <si>
    <t>Baseline 2026</t>
  </si>
  <si>
    <t xml:space="preserve"> Rimanente all'Obiettivo 2026</t>
  </si>
  <si>
    <t>Viaggio3</t>
  </si>
  <si>
    <t>Viaggio4</t>
  </si>
  <si>
    <t>Viaggio5</t>
  </si>
  <si>
    <t>Chiusura 2025</t>
  </si>
  <si>
    <t>Capitale inizio anno 2027 (Budget)</t>
  </si>
  <si>
    <t>Project Plan Dubai III</t>
  </si>
  <si>
    <t>Affitto iniziale Dubai III/anno</t>
  </si>
  <si>
    <t>Ricavi Affitto Dubai III</t>
  </si>
  <si>
    <t>Project Plan Dubai I</t>
  </si>
  <si>
    <t>Saldo 2025
Visa Prepagata</t>
  </si>
  <si>
    <t>Saldo 2025
Fineco St</t>
  </si>
  <si>
    <t>Saldo 2025
Fineco Sa</t>
  </si>
  <si>
    <t>Saldo 2025
BBVA</t>
  </si>
  <si>
    <t>Saldo 2025
Revolut</t>
  </si>
  <si>
    <t>SEPA Direct Debit</t>
  </si>
  <si>
    <t>RAPPORTI INTERNI SPORTELLO 00702 Addebit o SDD fattura a Vs carico da IT950990000006210280019 Mand 585Q7452 824006 Per PAGAMENTO RATA FIN. 080000052 824006 SCADENZA 20260101</t>
  </si>
  <si>
    <t>Panaderia Matias</t>
  </si>
  <si>
    <t>UNAVETS CORP. 354757817 SANTA PONSA</t>
  </si>
  <si>
    <t>Bonifico estero</t>
  </si>
  <si>
    <t>BEN: BINGHATTI AQUARISE ESC ACC IMP: 16. 600,000 USD CAM: 1,172000 CRO: WEB471155 41806 CAU: PPL AQUARISE BAQR D1854 9th I nstalment TP.SP: OUR BAN BEN: NBADAEAAXX X O/C: GRESLERI STEFANO</t>
  </si>
  <si>
    <t>Spese Bonifico Estero</t>
  </si>
  <si>
    <t>Adeudo de asisa</t>
  </si>
  <si>
    <t>Carniceria can rivas</t>
  </si>
  <si>
    <t>Smap via roma</t>
  </si>
  <si>
    <t>Viding Illes Calvia</t>
  </si>
  <si>
    <t>LIDL MALL-CALVI -MAGALU CAL CATALA</t>
  </si>
  <si>
    <t>American Express Italia srl Addebito SDD fattura a Vs carico da IT07AEX0000014445281000 Mand E2025308 061090187 Per 94001</t>
  </si>
  <si>
    <t>My true burger and vegan palma de malles</t>
  </si>
  <si>
    <t>Centro hogar santa ponsa</t>
  </si>
  <si>
    <t>Cartoni per imballo</t>
  </si>
  <si>
    <t>AGROMART SANTA PONCA 34 SANTA PONSA</t>
  </si>
  <si>
    <t>DISNEY PLUS DISNEY PLUS NETHERLANDS</t>
  </si>
  <si>
    <t>CECOSA SUPERMERCADOS 01 SANTA PONSA</t>
  </si>
  <si>
    <t>FARMACIA RIERA 34629550 TORO,EL</t>
  </si>
  <si>
    <t>Cash</t>
  </si>
  <si>
    <t>Totale Patrimonio</t>
  </si>
  <si>
    <t>PAYPAL *HBOMAX HELP.HBO 4029357733</t>
  </si>
  <si>
    <t>Transferencia recibida</t>
  </si>
  <si>
    <t>Transferencia realizada</t>
  </si>
  <si>
    <t>Adeudo sociedad general de aguas de barcelona</t>
  </si>
  <si>
    <t>Pluto</t>
  </si>
  <si>
    <t>Pastisseria son ferriol</t>
  </si>
  <si>
    <t>My true burger and vegan</t>
  </si>
  <si>
    <t>Bonifico Istantaneo</t>
  </si>
  <si>
    <t>Beneficiario: Stefano Gresleri IBAN: ES3 601825319700202441919 Data Inserimento: 15/01/2026 11:19:08 Canale: INTERNET Cau sale: Giroconto TRN: 2601153099451665480 320000000IT</t>
  </si>
  <si>
    <t>Spese Per Vendita El Toro</t>
  </si>
  <si>
    <t>Cafeteria Nepenta</t>
  </si>
  <si>
    <t>Adeudo digi spain telecom sa</t>
  </si>
  <si>
    <t>Viding illes calvia</t>
  </si>
  <si>
    <t>Laser debora</t>
  </si>
  <si>
    <t>Parking comte sallent emv</t>
  </si>
  <si>
    <t>Bon cafe</t>
  </si>
  <si>
    <t>Didi</t>
  </si>
  <si>
    <t>Pam local</t>
  </si>
  <si>
    <t>Parking palmacenter</t>
  </si>
  <si>
    <t>Tangopan pasteleria</t>
  </si>
  <si>
    <t>Peluqueria yavara</t>
  </si>
  <si>
    <t>236 minit spain cc porto</t>
  </si>
  <si>
    <t>FRA DIAVOLO - EAT PIZZA BOLOGNA</t>
  </si>
  <si>
    <t>IMPOSTA DI BOLLO</t>
  </si>
  <si>
    <t>OPTICA BALEAR RAMBLAS 3 PALMA DE MALL</t>
  </si>
  <si>
    <t>Sconto Safekey with Points</t>
  </si>
  <si>
    <t>IL TANO SANTA PONSA 363 SANTA PONSA</t>
  </si>
  <si>
    <t>CARREFOUR PORTO MAG-010 PALMA DE MALLOR</t>
  </si>
  <si>
    <t>PAYPAL *DISCOVERY HELP. 207138900</t>
  </si>
  <si>
    <t>CECOSA SUPERMERCADOS 01 PALMA DE MALL</t>
  </si>
  <si>
    <t>Acquisto fondi online in euro</t>
  </si>
  <si>
    <t>Rata Pac: SIC FIDELITY FOCUS EQUITY FAM FUND L ACC IE00BFXY6614 Mandato: 111961951 Numero ordine: 61.927.335 Cliente: BONORA SANDRA</t>
  </si>
  <si>
    <t>RAPPORTI INTERNI SPORTELLO 00702 Addebit o SDD fattura a Vs carico da IT950990000006210280019 Mand 585Q7452 824006 Per PAGAMENTO RATA FIN. 080000052 824006 SCADENZA 20260201</t>
  </si>
  <si>
    <t>Bonifico SEPA Estero</t>
  </si>
  <si>
    <t>Pam Panorama</t>
  </si>
  <si>
    <t>Bar Pasticceria Santo Stefano</t>
  </si>
  <si>
    <t>Antico Caffe' Murri</t>
  </si>
  <si>
    <t>Bar Arcobaleno</t>
  </si>
  <si>
    <t>Vecchia Malga Negozi</t>
  </si>
  <si>
    <t>Pizza in areoporto</t>
  </si>
  <si>
    <t>Canone Mensile Conto</t>
  </si>
  <si>
    <t>Canone Mensile Conto Gennaio 2026</t>
  </si>
  <si>
    <t>BEN: BINGHATTI AQUARISE ESC ACC IMP: 11. 100,000 USD CAM: 1,182050 CRO: WEB471218 74409 CAU: PPL AQUARISE BAQR D1854 10th Instalment Stefano Gresleri TP.SP: OUR B AN BEN: NBADAEAAXXX O/C: GRESLERI STEFAN O</t>
  </si>
  <si>
    <t>Farmacia riera</t>
  </si>
  <si>
    <t>Adeudo de endesa</t>
  </si>
  <si>
    <t>Utile</t>
  </si>
  <si>
    <t>SUMUP*FLEURDAME.IT DI B BOLOGNA</t>
  </si>
  <si>
    <t>Fiori per Bonny</t>
  </si>
  <si>
    <t>Interessi Maturati CNP VITA A</t>
  </si>
  <si>
    <t>Compravendita Titoli</t>
  </si>
  <si>
    <t>Compravendita Titoli L&amp;G CYB SEC ACC Qta/Val.nom. 1311,000000</t>
  </si>
  <si>
    <t>Sconto Canone Mensile</t>
  </si>
  <si>
    <t>Sconto Canone Mensile Gennaio 2026</t>
  </si>
  <si>
    <t>Abbuono Comm.Consulenza Advice</t>
  </si>
  <si>
    <t>Abbuono Comm. Consulenza Advice 1 / 2026</t>
  </si>
  <si>
    <t>Integrazione Abbuono Comm.Consulenza Adv ice 1/2026</t>
  </si>
  <si>
    <t>Commissioni Consulenza Advice</t>
  </si>
  <si>
    <t>Commissioni Consulenza Advice 1 / 2026</t>
  </si>
  <si>
    <t>Com.Cons.AdvicePlus Fee on top</t>
  </si>
  <si>
    <t>Commissioni Consulenza Advice Plus 1/202 6 per il deposito 444805</t>
  </si>
  <si>
    <t>Ben: Stefano Gresleri Ins: 09/02/2026 09 :40:47 Da: INTERNET Iban: ES360182531970 0202441919 TransID: 26020731209608224803 20000067ES Cau: Giroconto</t>
  </si>
  <si>
    <t>Parking comte sallent emv31 (decembre)es</t>
  </si>
  <si>
    <t>Abono por transferencia a su favor recibida en euros</t>
  </si>
  <si>
    <t>INST. DP CIRUGIA PLASTI SANT LLORENZ</t>
  </si>
  <si>
    <t>AMZ*HSN - WE ARE NUT NU PAY.AMAZON.CO</t>
  </si>
  <si>
    <t>BEN: Ellington Properties Development IM P: 27.300,000 USD CAM: 1,186950 CRO: WEB 47123317712 CAU: PPL EOI for The Meriva on Island B TP.SP: OUR BAN BEN: ADCBAEAA O/C: BONORA SANDRA</t>
  </si>
  <si>
    <t>AED</t>
  </si>
  <si>
    <t>Al 16 febbraio</t>
  </si>
  <si>
    <t>EL CORTE INGLES-DEPARTA PALMA DE MALL</t>
  </si>
  <si>
    <t>LM PALMA CIUDAD 0368257 PALMA DE MALL</t>
  </si>
  <si>
    <t>Lidl</t>
  </si>
  <si>
    <t>Contanti presso Dubai Airport</t>
  </si>
  <si>
    <t>AMZN MKTP ES*4L9P39ER5 AMZN.COM/BILL</t>
  </si>
  <si>
    <t>MOLLIE=STICHTING VU 14 AMSTERDAM</t>
  </si>
  <si>
    <t>SPAR EL TORO 019910488 SON FERRER</t>
  </si>
  <si>
    <t>AMZN MKTP ES*UB6UD71X5 AMZN.COM/BILL</t>
  </si>
  <si>
    <t>ALDI CALVIA CC LA VILA CALA VINYES</t>
  </si>
  <si>
    <t>EROSKI CITY SON FERRER CALVIA</t>
  </si>
  <si>
    <t>AMZN MKTP ES*V62QP2JO5 AMZN.COM/BILL</t>
  </si>
  <si>
    <t>AMZN MKTP ES*1B2JA9MG5 AMZN.COM/BILL</t>
  </si>
  <si>
    <t>AMZN MKTP ES*O44U09BP5 AMZN.COM/BILL</t>
  </si>
  <si>
    <t>AMZN MKTP ES*ZG4W577B4 AMZN.COM/BILL</t>
  </si>
  <si>
    <t>Ret. efectivo a debito con tarj. en cajero. aut.</t>
  </si>
  <si>
    <t>RAMEN OTAKU 347897845 PALMA</t>
  </si>
  <si>
    <t>TPER CITT√Ä DI BOLOGNA BOLOGNA</t>
  </si>
  <si>
    <t>KINDLE SVCS*XJ9ZC4D65 349-11230420</t>
  </si>
  <si>
    <t>DEUTSCHE LUFTHANSA AG Koeln</t>
  </si>
  <si>
    <t>KINDLE SVCS*YO5252RB5 349-11230420</t>
  </si>
  <si>
    <t>PAYPAL *HENNESMAURI 800000444</t>
  </si>
  <si>
    <t>AMAZON.ES*BF08X3CR5 AMAZON.ES/AYU</t>
  </si>
  <si>
    <t>MULLER SANTA PONSA SANTA PONSA</t>
  </si>
  <si>
    <t>CAFFE BAZAR MURRI BOLOGNA</t>
  </si>
  <si>
    <t>WWW.JOENGLISH.COM SOUTH MOLTON</t>
  </si>
  <si>
    <t>RYANAIR LTD AIRLINE DUBLIN</t>
  </si>
  <si>
    <t>AMAZON.ES*GE0QX7RK5 AMAZON.ES/AYU</t>
  </si>
  <si>
    <t>PAYPAL *JUSTEATSPAI 673460990</t>
  </si>
  <si>
    <t>PAYPAL *FASHIONRETA 981185400</t>
  </si>
  <si>
    <t>Rest son bugadelles toro,el es</t>
  </si>
  <si>
    <t>Parking palmacenter viver, el es</t>
  </si>
  <si>
    <t>Rte. son bugadellas santa ponsa es</t>
  </si>
  <si>
    <t>Farmacia truyols enriquezmagaluf es</t>
  </si>
  <si>
    <t>Carniceria can rivas el toro es</t>
  </si>
  <si>
    <t>Jardines campaner santa ponsa es</t>
  </si>
  <si>
    <t>NETFLIX.COM MILAN</t>
  </si>
  <si>
    <t>APPLE.COM/BILL HOLLYHILL</t>
  </si>
  <si>
    <t>PIZZA GOURMAND BOLOGNA</t>
  </si>
  <si>
    <t>NETFLIX.COM 18665797172</t>
  </si>
  <si>
    <t>Buga2000sl santa ponza es</t>
  </si>
  <si>
    <t>Autonet baleares alella es</t>
  </si>
  <si>
    <t>Panaderia matias santa ponsa es</t>
  </si>
  <si>
    <t>Smap via roma palma es</t>
  </si>
  <si>
    <t>ESIMO NICOSIA</t>
  </si>
  <si>
    <t>JUST EAT SPAIN, S.L. MADRID</t>
  </si>
  <si>
    <t>American Express Italia srl Addebito SDD fattura a Vs carico da IT07AEX0000014445281000 Mand E2025308 061090141 Per 93007</t>
  </si>
  <si>
    <t>Hala Pharmacy 22 1299</t>
  </si>
  <si>
    <t>HERTZ-RAMOOL-OPERATION, DUBAI</t>
  </si>
  <si>
    <t>AEROPUERTO PALMA MALLOR PALMA DE MALL</t>
  </si>
  <si>
    <t>Quota Membership Rewards</t>
  </si>
  <si>
    <t>BATH &amp; BODY WORKS DUBAI DUBAI</t>
  </si>
  <si>
    <t>ENOC SITE 85 DUBAI DUBA DUBAI</t>
  </si>
  <si>
    <t>SALT - KITE BEACH DUBAI DUBAI</t>
  </si>
  <si>
    <t>THE FIRST COLLECTION HO DUBAI</t>
  </si>
  <si>
    <t>Bonifico SEPA Italia</t>
  </si>
  <si>
    <t>Ord: CNP VITA ASSICURA SPA Ben: GRESLERI STEFANO Dt-ord: 25/02/2026 Banca Ord: U NICREDIT SPA Info-Cli: RISCATTO DELLA PO LIZZA N. 8096073 Rif. CNP VITA ASSICURA S.P.A.</t>
  </si>
  <si>
    <t>Comm./Sp.OUR recl.Banca Estera</t>
  </si>
  <si>
    <t>Spese our bon USD 16.600,0000 07/01/2026</t>
  </si>
  <si>
    <t>Ordinante: ROBERTO GRESLERI Beneficiario : Stefano Gresleri Banca Ordinante: BBVA SA, Sucursal en Ital Data accredito: 21 /02/2026 Causale: Saldo quota parte fatt ura Onoranze Funebri Vaccari Roberto SRL Edda Vanzini</t>
  </si>
  <si>
    <t>Ordinante: ROBERTO GRESLERI Beneficiario : Stefano Gresleri Banca Ordinante: BBVA SA, Sucursal en Ital Data accredito: 21 /02/2026 Causale: Saldo quota parte fatt ura SECIF SRL . Cremazione Edda Vanzini</t>
  </si>
  <si>
    <t>Ben: ONORANZE FUNEBRI VACCARI ROBERTO SR L Ins: 20/02/2026 16:23:40 Da: INTERNET Iban: IT24O0707236920000000037921 TransI D: 2602193132654410480320000067ES Cau: P agamento servizio onoranze funebri per E dda Vanzini - Quote eredi Stefano e Robe rto Gresleri</t>
  </si>
  <si>
    <t>Ben: Secif S.r.l. Ins: 20/02/2026 12:53: 47 Da: INTERNET Iban: IT67Y0859067320046 000067073 TransID: 260220313324638148032 0000067ES Cau: Fattura VI/206/2026 intes tata a GRESLERI ROBERTO - Quota eredi St efano Gresleri e Roberto Gresleri</t>
  </si>
  <si>
    <t>Carrefour</t>
  </si>
  <si>
    <t>Parkonic</t>
  </si>
  <si>
    <t>RTA</t>
  </si>
  <si>
    <t>Mohammad Ishaq Car Park R</t>
  </si>
  <si>
    <t>Agave Restaurant</t>
  </si>
  <si>
    <t>McDonald's</t>
  </si>
  <si>
    <t>Rata Pac: SIC FIDELITY FOCUS EQUITY FAM FUND L ACC IE00BFXY6614 Mandato: 111961951 Numero ordine: 62.389.649 Cliente: BONORA SANDRA</t>
  </si>
  <si>
    <t>Burro blanco restaurant</t>
  </si>
  <si>
    <t>Prostor a e online food s</t>
  </si>
  <si>
    <t>CARREFOUR, MANAR MALL, RAS AL KHAYMAH</t>
  </si>
  <si>
    <t>Farmacia margalida comas son ferrer ces</t>
  </si>
  <si>
    <t>Pastisseria son ferriol palma de malles</t>
  </si>
  <si>
    <t>Peluqueria yavara palma mallorces</t>
  </si>
  <si>
    <t>QLUB DUBAI</t>
  </si>
  <si>
    <t>Pluto el toro es</t>
  </si>
  <si>
    <t>ADNOC - SAMHA REST AREA ABU DHABI</t>
  </si>
  <si>
    <t>GULF COURT HOTEL -BUSIN DUBAI</t>
  </si>
  <si>
    <t>HAIDILAO - DUBAI MALL D DUBAI</t>
  </si>
  <si>
    <t>ETISALAT GROUP - SAS AB ABU DHABI</t>
  </si>
  <si>
    <t>Interessi sugli Investimenti</t>
  </si>
  <si>
    <t>Voce esclusa dai Ricavi</t>
  </si>
  <si>
    <t/>
  </si>
  <si>
    <t>Sconto Canone Mensile Febbraio 2026</t>
  </si>
  <si>
    <t>Canone Mensile Conto Febbraio 2026</t>
  </si>
  <si>
    <t>Abbuono Comm. Consulenza Advice 2 / 2026</t>
  </si>
  <si>
    <t>Integrazione Abbuono Comm.Consulenza Adv ice 2/2026</t>
  </si>
  <si>
    <t>Commissioni Consulenza Advice 2 / 2026</t>
  </si>
  <si>
    <t>Commissioni Consulenza Advice Plus 2/202 6 per il deposito 444805</t>
  </si>
  <si>
    <t>BEN: BINGHATTI AQUARISE ESC ACC IMP: 11. 100,000 USD CAM: 1,161300 CRO: WEB471267 26312 CAU: PPL AQUARISE BAQR D1854 11th Instalment Stefano Gresleri TP.SP: OUR B AN BEN: NBADAEAAXXX O/C: GRESLERI STEFAN O</t>
  </si>
  <si>
    <t>RAPPORTI INTERNI SPORTELLO 00702 Addebit o SDD fattura a Vs carico da IT950990000006210280019 Mand 585Q7452 824006 Per PAGAMENTO RATA FIN. 080000052 824006 SCADENZA 20260301</t>
  </si>
  <si>
    <t>Comisiones por servicios</t>
  </si>
  <si>
    <t>Hidrotub</t>
  </si>
  <si>
    <t>Adeudo de allianz seguros</t>
  </si>
  <si>
    <t>Patente EAU</t>
  </si>
  <si>
    <t>GRAN TOTALE SPESE</t>
  </si>
  <si>
    <t>ADNOC - BUSINESS BAY - DUBAI</t>
  </si>
  <si>
    <t>TEAMLAB PHENOMENA - GS ABU DHABI</t>
  </si>
  <si>
    <t>Viding illes calvia calvia es</t>
  </si>
  <si>
    <t>Capitale inizio anno 2026</t>
  </si>
  <si>
    <t>Capitale fine anno 2026</t>
  </si>
  <si>
    <t>Estacionament placa espanpalma de malles</t>
  </si>
  <si>
    <t>Ben: Despacho Lamas SL Ins: 20/01/2026 1 5:39:35 Da: PHONE/VOICE P. Iban: ES31006 10029118200390112 TransID: 2601193103247 896480320000067ES Cau: Escritura Obra Nu eva El Toro</t>
  </si>
  <si>
    <t>MORA SAN ANTONIO S.L 36 PALMA DE MALL</t>
  </si>
  <si>
    <t>Descarga de tarjetas prepago</t>
  </si>
  <si>
    <t>Accredito carta prepagata</t>
  </si>
  <si>
    <t>PAYPAL *FIONA2027WWC 4029357733</t>
  </si>
  <si>
    <t>WWW.AMAZON*384FQ0SC5 AMZN.COM/BILL</t>
  </si>
  <si>
    <t>TIM RICARICA WEB ROMA</t>
  </si>
  <si>
    <t>Gasolinera buga 2000 santa ponza es</t>
  </si>
  <si>
    <t>Can rivas toro,el es</t>
  </si>
  <si>
    <t>Spese our bon USD 23.130,0000 06/02/2026</t>
  </si>
  <si>
    <t>E.S. SON BUGADELLAS 360 CALVIA</t>
  </si>
  <si>
    <t>Etisalat</t>
  </si>
  <si>
    <t>Panaderia matias</t>
  </si>
  <si>
    <t>Bocabaguette</t>
  </si>
  <si>
    <t>Rosticcieria Eroski</t>
  </si>
  <si>
    <t>Rata Pac: SIC FIDELITY FOCUS EQUITY FAM FUND L ACC IE00BFXY6614 Mandato: 111961951 Numero ordine: 62.815.565 Cliente: BONORA SANDRA</t>
  </si>
  <si>
    <t>Spese our bon USD 27.300,0000 17/02/20</t>
  </si>
  <si>
    <t>Beneficiario: Maria Teresa Spiga IBAN: F R7628233000010464442934757 Data Inserime nto: 23/03/2026 14:12:02 Canale: INTERNE T Causale: Consulenza e ottenimento Gold en Visa EAU TRN: 26032331637828014803200 00000IT</t>
  </si>
  <si>
    <t>FARMACIA MARGALIDA COMA PALMA DE MALL</t>
  </si>
  <si>
    <t>VECCHIA MALGA NEGOZI BA BOLOGNA</t>
  </si>
  <si>
    <t>Siviglia</t>
  </si>
  <si>
    <t>03/04/2026</t>
  </si>
  <si>
    <t>06/04/2026</t>
  </si>
  <si>
    <t>02/04/2026</t>
  </si>
  <si>
    <t>01/04/2026</t>
  </si>
  <si>
    <t>30/03/2026</t>
  </si>
  <si>
    <t>27/03/2026</t>
  </si>
  <si>
    <t>26/03/2026</t>
  </si>
  <si>
    <t>Horno santo cristo</t>
  </si>
  <si>
    <t>Tailor co c c porto pi</t>
  </si>
  <si>
    <t>Rest son bugadelles</t>
  </si>
  <si>
    <t>Commissioni Consulenza Advice Plus 3/202 6 per il deposito 444805</t>
  </si>
  <si>
    <t>Abbuono Comm. Consulenza Advice 3 / 2026</t>
  </si>
  <si>
    <t>Integrazione Abbuono Comm.Consulenza Adv ice 3/2026</t>
  </si>
  <si>
    <t>Commissioni Consulenza Advice 3 / 2026</t>
  </si>
  <si>
    <t>Imposta bollo conto corrente</t>
  </si>
  <si>
    <t>Imposta di bollo di conto corrente del 31.03.2026</t>
  </si>
  <si>
    <t>RAPPORTI INTERNI SPORTELLO 00702 Addebit o SDD fattura a Vs carico da IT950990000006210280019 Mand 585Q7452 824006 Per PAGAMENTO RATA FIN. 080000052 824006 SCADENZA 20260401</t>
  </si>
  <si>
    <t>BEN: Stefano Gresleri IMP: 70.000,000 EU R CAM: 1,000000 CRO: CC47131213407 CAU: giroconto Purpose code OAT TP.SP: OUR BA N BEN: NRAKAEAK O/C: GRESLERI STEFANO</t>
  </si>
  <si>
    <t>WWW.AMAZON*N08FK1WL4 AMZN.COM/BILL</t>
  </si>
  <si>
    <t>WWW.AMAZON*1S2WF9PG5 AMZN.COM/BILL</t>
  </si>
  <si>
    <t>DA ZERO BOLOGNA</t>
  </si>
  <si>
    <t>SCOUT BOLOGNA</t>
  </si>
  <si>
    <t>Rivareno gelato</t>
  </si>
  <si>
    <t>RIALTO LIVING PALMA SLU PALMA DE MALL</t>
  </si>
  <si>
    <t>WWW.AMAZON*NB76N2HB4 AMZN.COM/BILL</t>
  </si>
  <si>
    <t>Farmacia margalida comas son ferrer (ces</t>
  </si>
  <si>
    <t>Tna aparca paseo mallorca</t>
  </si>
  <si>
    <t>BEN: BINGHATTI AQUARISE ESC ACC IMP: 11. 100,000 USD CAM: 1,166300 CRO: WEB471331 71800 CAU: PPL AQUARISE BAQR D1854 12th Instalment, Stefano Gresleri TP.SP: OUR BAN BEN: NBADAEAAXXX O/C: GRESLERI STEFA NO</t>
  </si>
  <si>
    <t>AMERICAN EXPRESS ITALIA SOCIETA' A RESPO Addebito SDD fattura a Vs carico da IT07AEX0000014445281000 Mand E2025308 061090187 Per 01KMYEZZ104TCZZ0VGCN7MW75P</t>
  </si>
  <si>
    <t>Canone Mensile Conto Marzo 2026</t>
  </si>
  <si>
    <t>Bonifico in entrata</t>
  </si>
  <si>
    <t>O/C: ELLINGTON PROPERTIES DEVELOP. L.L.C IMP: 22.498,200 EUR CAM: 1,000000 CAU: Refund THE MERIVA COLLECTION EOI TP.SP: DEB BAN ORD: ADCBAEAA BEN: GRESLERI STE FANO</t>
  </si>
  <si>
    <t>CHARGE COLLECTION-INCL. VAT CARD DELIVERY COURIER COST</t>
  </si>
  <si>
    <t>Imposta bollo dossier titoli</t>
  </si>
  <si>
    <t>Addebito imposta di bollo Dossier: 438838</t>
  </si>
  <si>
    <t>Addebito imposta di bollo Dossier: 444805</t>
  </si>
  <si>
    <t>Sconto Canone Mensile Marzo 2026</t>
  </si>
  <si>
    <t>HERTZ-RADIISSON SAS MED DUBAI</t>
  </si>
  <si>
    <t>MESON CAN PEDRO II 0220 PALMA DE MALL</t>
  </si>
  <si>
    <t>8094 cc la vila</t>
  </si>
  <si>
    <t>Tidi</t>
  </si>
  <si>
    <t>ES MUSSOL RESTURANT 364 PALMA DE MALL</t>
  </si>
  <si>
    <t>PIZZERIA LA OCA 0364862 CALVIA</t>
  </si>
  <si>
    <t xml:space="preserve">30% dividend growth fund for rising income </t>
  </si>
  <si>
    <t>10% international dividend fund for diversification</t>
  </si>
  <si>
    <t>20% short term treasury bond for stability</t>
  </si>
  <si>
    <t>40% SP500 for long term growth</t>
  </si>
  <si>
    <t>Rimborso quote fondo</t>
  </si>
  <si>
    <t>Rimborso: SIC Nr.quote: 806,680000 LU0066341099 INVESCO EURO BOND FUND A Cliente: BONORA SANDRA</t>
  </si>
  <si>
    <t>Rimborso: SIC Nr.quote: 860,613000 LU1670724373 M&amp;G (LUX) OPTIMAL INCOME FU ND EUR A ACC Cliente: BONORA SANDRA</t>
  </si>
  <si>
    <t>Rimborso: SIC Nr.quote: 102,496000 IE00BFXY6S34 SCHRODER EURO BOND FAM FUND L ACC Cliente: BONORA SANDRA</t>
  </si>
  <si>
    <t>Rimborso: SIC Nr.quote: 554,893000 IE00BFXY2415 M&amp;G OPTIMAL INCOME FAM FUND L ACC Cliente: BONORA SANDRA</t>
  </si>
  <si>
    <t>Rimborso: SIC Nr.quote: 190,751000 IE00BMWWJX33 INFUSIVE CONSUMER ALPHA GLO BAL LEADERS FAM FUND L Cliente: BONORA SANDRA</t>
  </si>
  <si>
    <t>Rimborso: SIC Nr.quote: 120,168000 IE00BL0L6560 FINECO AM ADVISORY 6 TARGET III Cliente: BONORA SANDRA</t>
  </si>
  <si>
    <t>Rimborso: SIC Nr.quote: 322,261000 LU0095024591 AB FCP I EUROPEAN INCOME PO RTFOLIO A2 EUR Cliente: BONORA SANDRA</t>
  </si>
  <si>
    <t>Rimborso: SIC Nr.quote: 460,896000 LU0227384020 NORDEA STABLE RETURN FUND B P ACC Cliente: BONORA SANDRA</t>
  </si>
  <si>
    <t>Rimborso: SIC Nr.quote: 549,085000 IE00B036K821 RUSSELL GLOBAL BOND FUND EH -B ACC Cliente: BONORA SANDRA</t>
  </si>
  <si>
    <t>Rimborso: SIC Nr.quote: 136,306000 IE00BFXY5Y29 FIDELITY EURO BOND FAM FUND L ACC Cliente: BONORA SANDRA</t>
  </si>
  <si>
    <t>Rimborso: SIC Nr.quote: 239,694000 LU1378878430 MS INVF ASIA OPPORTUNITY FU ND A Cliente: BONORA SANDRA</t>
  </si>
  <si>
    <t>Rimborso: SIC Nr.quote: 7,919000 LU0594539719 CANDRIAM BONDS EMERGING EUR Cliente: BONORA SANDRA</t>
  </si>
  <si>
    <t>Rimborso: SIC Nr.quote: 113,250000 LU1254136416 ALLIANZ CAPITAL PLUS AT EUR Cliente: BONORA SANDRA</t>
  </si>
  <si>
    <t>Rimborso: SIC Nr.quote: 530,264000 IE00B3QDMK77 PIMCO GIS EURO INCOME BOND FUND E ACC Cliente: BONORA SANDRA</t>
  </si>
  <si>
    <t>Rimborso: SIC Nr.quote: 385,597000 IE00BMD8FF47 JPMORGAN CHINA A-SHARES OPP ORTUNITIES FAAM FUND L Cliente: BONORA SANDRA</t>
  </si>
  <si>
    <t>Rata Pac: SIC FIDELITY FOCUS EQUITY FAM FUND L ACC IE00BFXY6614 Mandato: 111961951 Numero ordine: 63.200.326 Cliente: BONORA SANDRA</t>
  </si>
  <si>
    <t xml:space="preserve"> Spese </t>
  </si>
  <si>
    <t xml:space="preserve"> Rimanente a Copertura Spese 2026</t>
  </si>
  <si>
    <t>Rte. son bugadellas</t>
  </si>
  <si>
    <t>Ord: SANDRA BONORA Ben: SANDRA BONORA Dt -ord: 23/04/2026 Banca Ord: BANCO BILBAO VIZCAYA Info-Cli: Giroconto</t>
  </si>
  <si>
    <t>Beneficiario: Stefano Gresleri IBAN: ES3 601825319700202441919 Data Inserimento: 23/04/2026 12:00:31 Canale: INTERNET Cau sale: Giroconto TRN: 2604233194046859480 320000000IT</t>
  </si>
  <si>
    <t>Vinted</t>
  </si>
  <si>
    <t>Paylogic</t>
  </si>
  <si>
    <t>Evento musicale Emma</t>
  </si>
  <si>
    <t>Stefano Gresleri</t>
  </si>
  <si>
    <t>BEN: BONORA SANDRA IMP: 250.000,000 EUR CAM: 1,000000 CRO: CC47136385400 CAU: OA T GIROCONTO TP.SP: OUR BAN BEN: NRAKAEAK O/C: BONORA SANDRA</t>
  </si>
  <si>
    <t>Spese our bon USD 11.100,0000 06/03/2026</t>
  </si>
  <si>
    <t>8094 CC LA VILA 3524283 SANT FRANCESC</t>
  </si>
  <si>
    <t>Saldo 2025
IBKR</t>
  </si>
  <si>
    <t>Riepilogo IBKR</t>
  </si>
  <si>
    <t>Minimo Valore del Capitale negli Anni</t>
  </si>
  <si>
    <t>Valuta Importi</t>
  </si>
  <si>
    <t>USD</t>
  </si>
  <si>
    <t>Giroconto Interno</t>
  </si>
  <si>
    <t>Riepilogo RakBank EUR</t>
  </si>
  <si>
    <t>Saldo 2025
RKBK AED to EUR</t>
  </si>
  <si>
    <t>Saldo 2025
RKBK EUR</t>
  </si>
  <si>
    <t>Riepilogo RakBank AED</t>
  </si>
  <si>
    <t>Valuta AED/EUR</t>
  </si>
  <si>
    <t>Avere AED</t>
  </si>
  <si>
    <t>Dare AED</t>
  </si>
  <si>
    <t>Avere EUR</t>
  </si>
  <si>
    <t>Dare EUR</t>
  </si>
  <si>
    <t>Somma di Avere AED</t>
  </si>
  <si>
    <t>Somma di Avere EUR totale</t>
  </si>
  <si>
    <t>Somma di Avere AED totale</t>
  </si>
  <si>
    <t>Somma di Avere EUR</t>
  </si>
  <si>
    <t>Somma di Dare EUR totale</t>
  </si>
  <si>
    <t>Somma di Dare EUR</t>
  </si>
  <si>
    <t>Somma di Dare AED totale</t>
  </si>
  <si>
    <t>Somma di Dare AED</t>
  </si>
  <si>
    <t>Valuta oggi</t>
  </si>
  <si>
    <t>OK- verificare Caixabank - vedi stipula su cartaceo faldone giallo</t>
  </si>
  <si>
    <t>Controvalore in EUR</t>
  </si>
  <si>
    <t>Valuta del c/c in AED</t>
  </si>
  <si>
    <t>AQUARISE BAQR D1854 13th Instalment</t>
  </si>
  <si>
    <t>Le dolcezze</t>
  </si>
  <si>
    <t>Dolceamaro cervia</t>
  </si>
  <si>
    <t>Commissioni Consulenza Advice Plus 4/202 6 per il deposito 444805</t>
  </si>
  <si>
    <t>Abbuono Comm. Consulenza Advice 4 / 2026</t>
  </si>
  <si>
    <t>Integrazione Abbuono Comm.Consulenza Adv ice 4/2026</t>
  </si>
  <si>
    <t>Commissioni Consulenza Advice 4 / 2026</t>
  </si>
  <si>
    <t>Sconto Canone Mensile Aprile 2026</t>
  </si>
  <si>
    <t>Canone Mensile Conto Aprile 2026</t>
  </si>
  <si>
    <t>AMERICAN EXPRESS ITALIA SOCIETA' A RESPO Addebito SDD fattura a Vs carico da IT07AEX0000014445281000 Mand E2025308 061090187 Per 01KQC0WAB0HHFSTY7K1KGXP1K4</t>
  </si>
  <si>
    <t>RAPPORTI INTERNI SPORTELLO 00702 Addebit o SDD fattura a Vs carico da IT950990000006210280019 Mand 585Q7452 824006 Per PAGAMENTO RATA FIN. 080000052 824006 SCADENZA 20260501</t>
  </si>
  <si>
    <t>Adeudo a su cargo</t>
  </si>
  <si>
    <t>R viding illes calvia</t>
  </si>
  <si>
    <t>Duca d'amalfi</t>
  </si>
  <si>
    <t>MYCHEF BRICIOLE AEROPOR BOLOGNA</t>
  </si>
  <si>
    <t>CENTRO HOGAR SANTA PONS SANTA PONSA</t>
  </si>
  <si>
    <t>0125 SAN LAZZARO DI SAV SAN LAZZARO</t>
  </si>
  <si>
    <t>Furry Pets Relocation Services LLC</t>
  </si>
  <si>
    <t>Cambio Valuta oggi</t>
  </si>
  <si>
    <t>Obiettivo netto 2026</t>
  </si>
  <si>
    <t>Forecast 2026</t>
  </si>
  <si>
    <t>5% Price</t>
  </si>
  <si>
    <t>PAYPAL *FEDERICA.FELLET 4029357733</t>
  </si>
  <si>
    <t>KINDLE SVCS*NH4LJ62A4 349-11230420</t>
  </si>
  <si>
    <t>SA XIMBOMBA 346211873 SON ESPANYOLE</t>
  </si>
  <si>
    <t>WWW.AMAZON*NH9VQ8TU4 AMZN.COM/BILL</t>
  </si>
  <si>
    <t>WWW.AMAZON*N68YZ81P4 AMZN.COM/BILL</t>
  </si>
  <si>
    <t>KINDLE SVCS*NZ0DS7844 349-11230420</t>
  </si>
  <si>
    <t>WWW.AMAZON*NZ56H7694 AMZN.COM/BILL</t>
  </si>
  <si>
    <t>WWW.AMAZON*NZ36T9NP4 AMZN.COM/BILL</t>
  </si>
  <si>
    <t>WWW.AMAZON*NW0C69TL4 AMZN.COM/BILL</t>
  </si>
  <si>
    <t>WWW.AMAZON*NB6492S84 AMZN.COM/BILL</t>
  </si>
  <si>
    <t>PAYPAL *CRUBINI652 4029357733</t>
  </si>
  <si>
    <t>PAYPAL *CATASTOSEMP 3317565665</t>
  </si>
  <si>
    <t>NETFLIX.COM 519370 RM</t>
  </si>
  <si>
    <t>PAYPAL *FASHIONRETA 676800350</t>
  </si>
  <si>
    <t>PAYPAL *59840AEKU 4029357733</t>
  </si>
  <si>
    <t>RIGIRO 354082273 PALMA DE MALL</t>
  </si>
  <si>
    <t>PAYPAL *PERFUMES 0184809381</t>
  </si>
  <si>
    <t>Namirial SENIGALLIA Senigallia</t>
  </si>
  <si>
    <t>PAYPAL *ZALANDOSE 917696959</t>
  </si>
  <si>
    <t>LONGCHAMP PARIS</t>
  </si>
  <si>
    <t>DIDI 352547210 SANTA PONSA</t>
  </si>
  <si>
    <t>BA SH 034659722 PALMA DE MALL</t>
  </si>
  <si>
    <t>PAGOPA MILANO</t>
  </si>
  <si>
    <t>Spese our bon EUR 250.000,0000 28/04/202 6</t>
  </si>
  <si>
    <t>Spese our bon EUR 70.000,0000 01/04/2026</t>
  </si>
  <si>
    <t>Mni*milk away healthy</t>
  </si>
  <si>
    <t>Ceramica santa ana</t>
  </si>
  <si>
    <t>R viding illes calvia cavia es</t>
  </si>
  <si>
    <t>Smap ora contactless palma mallorces</t>
  </si>
  <si>
    <t>8094 cc la vila sant francesces</t>
  </si>
  <si>
    <t>Metro sevilla sevilla es</t>
  </si>
  <si>
    <t>Bocabaguette palma mallorces</t>
  </si>
  <si>
    <t>Acquisto ETF - IWVL</t>
  </si>
  <si>
    <t>Acquisto ETF - C50</t>
  </si>
  <si>
    <t>Interessi Maturati IBKR</t>
  </si>
  <si>
    <t>ITALIAN GRILL FUSION CO PALMA DE MALL</t>
  </si>
  <si>
    <t>Cena con Franco e Marco</t>
  </si>
  <si>
    <t>236 minit spain cc porto palma de malles</t>
  </si>
  <si>
    <t>Credit for interest, bonus, award</t>
  </si>
  <si>
    <t>Beneficiario: ANTONACCI ELIA IBAN: IT78G 0323901600100000424928 Data Inserimento: 25/05/2026 10:38:20 Canale: PHONE/VOICE P. Causale: Saldo Competenze Prof. N 41 3 TRN: 2605253226356605480320000000IT</t>
  </si>
  <si>
    <t>Spese our bon USD 11.100,0000 13/04/2026</t>
  </si>
  <si>
    <t>Successione Vanzini</t>
  </si>
  <si>
    <t>E148 magaluf</t>
  </si>
  <si>
    <t>Spese Straordinarie/Investimenti</t>
  </si>
  <si>
    <t>Totale Investimenti</t>
  </si>
  <si>
    <t>Totale Uscite</t>
  </si>
  <si>
    <t>Acquisto Immobile per Emma</t>
  </si>
  <si>
    <t>ALL BES ST GL EQ AT</t>
  </si>
  <si>
    <t>LU2696130686</t>
  </si>
  <si>
    <t>IxJ</t>
  </si>
  <si>
    <t>(M-K)/K</t>
  </si>
  <si>
    <t>M-K</t>
  </si>
  <si>
    <t xml:space="preserve"> Actual vs.
1° Luglio 26</t>
  </si>
  <si>
    <t>Beneficiario: Stefano Gresleri IBAN: ES3 601825319700202441919 Data Inserimento: 31/05/2026 09:13:15 Canale: INTERNET Cau sale: Giroconto TRN: 2605313233057007480 320000000IT</t>
  </si>
  <si>
    <t>Silik</t>
  </si>
  <si>
    <t>AQUARISE BAQR D1854 14th Instalment</t>
  </si>
  <si>
    <t>Mgp*vinted</t>
  </si>
  <si>
    <t>Farmacia margalida comas</t>
  </si>
  <si>
    <t>Sconto Canone Mensile Maggio 2026</t>
  </si>
  <si>
    <t>Canone Mensile Conto Maggio 2026</t>
  </si>
  <si>
    <t>Abbuono Comm. Consulenza Advice 5 / 2026</t>
  </si>
  <si>
    <t>Commissioni Consulenza Advice 5 / 2026</t>
  </si>
  <si>
    <t>Commissioni Consulenza Advice Plus 5/202 6 per il deposito 444805</t>
  </si>
  <si>
    <t>Rata Pac: SIC FIDELITY FOCUS EQUITY FAM FUND L ACC IE00BFXY6614 Mandato: 111961951 Numero ordine: 63.609.856 Cliente: BONORA SANDRA</t>
  </si>
  <si>
    <t>AMERICAN EXPRESS ITALIA SOCIETA' A RESPO Addebito SDD fattura a Vs carico da IT07AEX0000014445281000 Mand E2025308 061090187 Per 01KSS612HGPMPY526W3HJJ33SE</t>
  </si>
  <si>
    <t>RAPPORTI INTERNI SPORTELLO 00702 Addebit o SDD fattura a Vs carico da IT950990000006210280019 Mand 585Q7452 824006 Per PAGAMENTO RATA FIN. 080000052 824006 SCADENZA 20260601</t>
  </si>
  <si>
    <t>Tipologia di uscita</t>
  </si>
  <si>
    <t>KINDLE SVCS*N39CX1C24 349-11230420</t>
  </si>
  <si>
    <t>WWW.AMAZON*NQ41Y3XP4 AMZN.COM/BILL</t>
  </si>
  <si>
    <t>Centro hogar santa ponsa santa ponsa es</t>
  </si>
  <si>
    <t>Frenos y embragues masmiqcalvia es</t>
  </si>
  <si>
    <t>Paellas portocolom palma mallorces</t>
  </si>
  <si>
    <t>Viding illes calvia palma mallorces</t>
  </si>
  <si>
    <t>Investimenti Immobili</t>
  </si>
  <si>
    <t>Investimenti in Immobili</t>
  </si>
  <si>
    <t>Capitali Investiti</t>
  </si>
  <si>
    <t>EL CORTE INGLES 0634493 PALMA DE MALL</t>
  </si>
  <si>
    <t>PIZZERIA LA OCA 0364895 CAL CATALA</t>
  </si>
  <si>
    <t>Yooppy</t>
  </si>
  <si>
    <t>BAR CENTRAL 349345686 PALMA DE MALL</t>
  </si>
  <si>
    <t>ETIHAD AIRWAYS MADRID MADRID</t>
  </si>
  <si>
    <t>WWW.AMAZON*NL4D60UE4 AMZN.COM/BILL</t>
  </si>
  <si>
    <t>WWW.AMAZON*NL2H84PK4 AMZN.COM/BILL</t>
  </si>
  <si>
    <t>ETIHAD AIRWAYS CEUTA CEUTA</t>
  </si>
  <si>
    <t>AIRBNB * HMP84JA3WM LONDON</t>
  </si>
  <si>
    <t>DISNEY PLUS HOOFDDORP</t>
  </si>
  <si>
    <t>WWW.AMAZON*2T4HL6U35 AMZN.COM/BILL</t>
  </si>
  <si>
    <t>Ocibar sa baleares es</t>
  </si>
  <si>
    <t>UPS_IT ITALY</t>
  </si>
  <si>
    <t>Total;e Interessi</t>
  </si>
  <si>
    <t>Costi Condominiali Dubai per un appartamento di 120</t>
  </si>
  <si>
    <t>Diventa Rinnovo Annuale Mulkiya</t>
  </si>
  <si>
    <t>Diventa RTA Vehicle Test</t>
  </si>
  <si>
    <t>IL TANO STA PONSA 09410 SANTA PONSA</t>
  </si>
  <si>
    <t>SM.NORD* PRODUCT LONDON</t>
  </si>
  <si>
    <t>ES RAOR 352721591 ANDRATX</t>
  </si>
  <si>
    <t>Rendimento Complessivo degli Investimenti</t>
  </si>
  <si>
    <t>Spar el toro</t>
  </si>
  <si>
    <t>Itv calvia</t>
  </si>
  <si>
    <t>Saldo Luis per allaccio elettrico</t>
  </si>
  <si>
    <t>Pagamento delega F24</t>
  </si>
  <si>
    <t>Protocollo delega n 3945580</t>
  </si>
  <si>
    <t>Ben: Vanzini Edda Ins: 24/06/2026 11:13: 07 Da: PHONE/VOICE P. Iban: IT18S0888302 408034000340599 TransID: 260624325847616 4480320000067ES Cau: Versamento cautelat ivo pro quota mutuo ipotecario - con ris erva di ogni diritto.</t>
  </si>
  <si>
    <t>Beneficiario: Carla Basso IBAN: IT53H020 0802410000020113324 Data Inserimento: 24 /06/2026 17:53:08 Canale: INTERNET Causa le: Fondo spese successione Edda Vanzini TRN: 2606243259041399480320000000IT</t>
  </si>
  <si>
    <t>Rata Pac: SIC FIDELITY FOCUS EQUITY FAM FUND L ACC IE00BFXY6614 Mandato: 111961951 Numero ordine: 64.039.265 Cliente: BONORA SANDRA</t>
  </si>
  <si>
    <t>GRAFICO EXCEL CAMBIO EUR/AED</t>
  </si>
  <si>
    <t>Selezionare giorni per grafico valuta</t>
  </si>
  <si>
    <t>General cleaning after building</t>
  </si>
  <si>
    <t>Pulizia finale</t>
  </si>
  <si>
    <t>SPAR EL TORO 019910488  SON FERRER</t>
  </si>
  <si>
    <t>ALDI CALVIA CC LA VILA  CALA VINYES</t>
  </si>
  <si>
    <t>PAGOPA                  MILANO</t>
  </si>
  <si>
    <t>APPLE.COM/BILL          HOLLYHILL</t>
  </si>
  <si>
    <t>BERSHKA AMEX 357052422  PALMA DE MALL</t>
  </si>
  <si>
    <t>KINDLE SVCS*EO1ZB4XG5   349-11230420</t>
  </si>
  <si>
    <t>MULLER SANTA PONSA      SANTA PONSA</t>
  </si>
  <si>
    <t>BAR PETIT 367296399     SANT ELM</t>
  </si>
  <si>
    <t>MARISQUERIA LA GALLEGA  PORT D'ANDRATX</t>
  </si>
  <si>
    <t>RYANAIR LTD AIRLINE     DUBLIN</t>
  </si>
  <si>
    <t>Rimborso: SIC Nr.quote: 1.171,623000 LU1387591305 MORGAN STANLEY INVESTMENT F UNDS - EUROPE OPPORTUNI Cliente: BONORA SANDRA</t>
  </si>
  <si>
    <t>Sottoscrizione: SIC Transid: Isin: IE000RN6A2P4 EUROPEAN SUSTAINAB ST ARS EQUITY FAM FUND L ACC EUR Numero ordine: 64.113.935 Cliente: BONORA SANDRA</t>
  </si>
  <si>
    <t>EU ST EQ FAM F L ACC</t>
  </si>
  <si>
    <t>IE000RN6A2P4</t>
  </si>
  <si>
    <t>WWW.AMAZON*QD6OY2D55    AMZN.COM/BILL</t>
  </si>
  <si>
    <t>WWW.JOENGLISH.COM       SOUTH MOLTON</t>
  </si>
  <si>
    <t>Namirial SENIGALLIA     Senigallia</t>
  </si>
  <si>
    <t>WWW.AMAZON*RE8B111L5    AMZN.COM/BILL</t>
  </si>
  <si>
    <t>WWW.AMAZON*XE3YD37Q5    AMZN.COM/BILL</t>
  </si>
  <si>
    <t>Cinema - Giochi - Libri - Regali</t>
  </si>
  <si>
    <t>Portafoglio</t>
  </si>
  <si>
    <t>Advice</t>
  </si>
  <si>
    <t>Advice+</t>
  </si>
  <si>
    <t>WWW.AMAZON              AMZN.COM/BILL</t>
  </si>
  <si>
    <t>WWW.AMAZON*I36SF0T45    AMZN.COM/BILL</t>
  </si>
  <si>
    <t>Incacolor                palma        es</t>
  </si>
  <si>
    <t>Smap ora contactless     palma mallorces</t>
  </si>
  <si>
    <t>Destilados y helados sant</t>
  </si>
  <si>
    <t>Pizzeria la oca</t>
  </si>
  <si>
    <t>Com. por emisión y mant.de una tarjeta prepago</t>
  </si>
  <si>
    <t>Autonet baleares         alella       es</t>
  </si>
  <si>
    <t>25/06/2026</t>
  </si>
  <si>
    <t>22/06/2026</t>
  </si>
  <si>
    <t>24/06/2026</t>
  </si>
  <si>
    <t>SENT TO DUBAI ARABIAN SHIPPING AGENCY LLC</t>
  </si>
  <si>
    <t>POA CENTRAL LLC Charge Collection-INCL. VAT</t>
  </si>
  <si>
    <t>POA CENTRAL LLC OUTWARD T/T</t>
  </si>
  <si>
    <t>BINGHATTI AQUARISE CHARGE COLLECTION-INCL. VAT</t>
  </si>
  <si>
    <t>BINGHATTI AQUARISE ESC ACC OUTWARD T/T</t>
  </si>
  <si>
    <t>SHIPPING AGENCY LLC CHARGE COLLECTION - INCL VAT</t>
  </si>
  <si>
    <t>testamento Emiratino</t>
  </si>
  <si>
    <t>WWW.AMAZON*U93J92AO5    AMZN.COM/BILL</t>
  </si>
  <si>
    <t>RESTAURANTE LA PIAZZETT PORT DANDRAT</t>
  </si>
  <si>
    <t>Adeudo de recaudacion municipal</t>
  </si>
  <si>
    <t>Buga2000sl               santa ponza  es</t>
  </si>
  <si>
    <t>Sconto Canone Mensile Giugno 2026</t>
  </si>
  <si>
    <t>Canone Mensile Conto Giugno 2026</t>
  </si>
  <si>
    <t>Abbuono Comm. Consulenza Advice 6 / 2026</t>
  </si>
  <si>
    <t>Commissioni Consulenza Advice 6 / 2026</t>
  </si>
  <si>
    <t>Commissioni Consulenza Advice Plus 6/202 6 per il deposito 444805</t>
  </si>
  <si>
    <t>Imposta di bollo di conto corrente del 30.06.2026</t>
  </si>
  <si>
    <t>AMERICAN EXPRESS ITALIA SOCIETA' A RESPO Addebito SDD fattura a Vs carico da IT07AEX0000014445281000 Mand E2025308 061090187 Per 01KW968EAGDQ80YPTC1NS4MY68</t>
  </si>
  <si>
    <t>O/C: STEFANO GRESLERI +/OR SANDRA BONORA IMP: 30.000,000 EUR CAM: 1,000000 CAU: /Own Account Transfer/ TP.SP: DEB BAN OR D: NRAKAEAK BEN: Stefano Gresleri</t>
  </si>
  <si>
    <t>Beneficiario: Stefano Gresleri IBAN: ES3 601825319700202441919 Data Inserimento: 06/07/2026 11:17:42 Canale: INTERNET Cau sale: Giroconto TRN: 2607063271940547480 320000000IT</t>
  </si>
  <si>
    <t>RAPPORTI INTERNI SPORTELLO 00702 Addebit o SDD fattura a Vs carico da IT950990000006210280019 Mand 585Q7452 824006 Per PAGAMENTO RATA FIN. 080000052 824006 SCADENZA 20260701</t>
  </si>
  <si>
    <t>Accrediti Diversi</t>
  </si>
  <si>
    <t>Sistemazione: SIC IE00BMD8FF47 JPMORGAN CHINA A-SHARES OPPORTUNITIES FAAM FUND L Cliente: BONORA SANDRA</t>
  </si>
  <si>
    <t>Lamas</t>
  </si>
  <si>
    <t>Escritura de obra nueva</t>
  </si>
  <si>
    <t>Anticipo por documentación de venta</t>
  </si>
  <si>
    <t>Residuo da pagare</t>
  </si>
  <si>
    <t>Portafoglio Aviva</t>
  </si>
  <si>
    <t>IBKR</t>
  </si>
  <si>
    <t>ISHARES EDGE MSCI WORLD VALUE</t>
  </si>
  <si>
    <t>IWVL</t>
  </si>
  <si>
    <t>AM CR EUR STX 50 ETF EUR ACC</t>
  </si>
  <si>
    <t>C50</t>
  </si>
  <si>
    <t>Immobile</t>
  </si>
  <si>
    <t>Mutuo residuo</t>
  </si>
  <si>
    <t>Riccione</t>
  </si>
  <si>
    <t>Italia</t>
  </si>
  <si>
    <t>UAE</t>
  </si>
  <si>
    <t>Inflazione attesa</t>
  </si>
  <si>
    <t>Rendimento atteso azioni</t>
  </si>
  <si>
    <t>Rendimento obbligazioni</t>
  </si>
  <si>
    <t>Safe spending rate</t>
  </si>
  <si>
    <t>Cambio EUR/USD</t>
  </si>
  <si>
    <t>IE00BP3QZB59</t>
  </si>
  <si>
    <t>LU1681047236</t>
  </si>
  <si>
    <t>Polizza Ass. Core Mult.Extra70 0%</t>
  </si>
  <si>
    <t>KxM</t>
  </si>
  <si>
    <t>Ben: Condominio El Faro Ins: 08/07/2026 16:55:11 Da: INTERNET Iban: IT40W0623024 122000056896773 TransID: 260707327359436 7480320000067ES Cau: Rata Condominiale</t>
  </si>
  <si>
    <t>PORTO PI                PALMA DE MAL</t>
  </si>
  <si>
    <t>WWW.AMAZON*CH0W967B5    AMZN.COM/BILL</t>
  </si>
  <si>
    <t>8094 cc la vila          sant francesces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</si>
</sst>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4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&quot;$&quot;#,##0.00"/>
    <numFmt numFmtId="167" formatCode="&quot;€&quot;\ #,##0.00"/>
    <numFmt numFmtId="168" formatCode="#,##0.00\ &quot;€&quot;"/>
    <numFmt numFmtId="169" formatCode="_-* #,##0\ &quot;€&quot;_-;\-* #,##0\ &quot;€&quot;_-;_-* &quot;-&quot;??\ &quot;€&quot;_-;_-@_-"/>
    <numFmt numFmtId="170" formatCode="dd/mm/yyyy"/>
    <numFmt numFmtId="171" formatCode="[$-410]mmmm\-yy;@"/>
    <numFmt numFmtId="172" formatCode="mmm"/>
    <numFmt numFmtId="173" formatCode="[$]dddd\ d\ mmmm\ yyyy;@" x16r2:formatCode16="[$-it-ES,1]dddd\ d\ mmmm\ yyyy;@"/>
    <numFmt numFmtId="174" formatCode="_(&quot;€&quot;* #,##0.00_);_(&quot;€&quot;* \(#,##0.00\);_(&quot;&quot;_);_(@_)"/>
    <numFmt numFmtId="175" formatCode="0.00\ \€"/>
    <numFmt numFmtId="176" formatCode="#,##0.00\ \€"/>
    <numFmt numFmtId="177" formatCode="mm/dd/yyyy;@"/>
    <numFmt numFmtId="178" formatCode="_(&quot;€&quot;* #,##0_);_(&quot;€&quot;* \(#,##0\);_(&quot;€&quot;* &quot;-&quot;??_);_(@_)"/>
    <numFmt numFmtId="179" formatCode="0.0000"/>
    <numFmt numFmtId="180" formatCode="0.0%"/>
    <numFmt numFmtId="181" formatCode="_(&quot;€&quot;* #,##0.000_);_(&quot;€&quot;* \(#,##0.000\);_(&quot;&quot;_);_(@_)"/>
    <numFmt numFmtId="182" formatCode="_-* #,##0\ [$AED]_-;\-* #,##0\ [$AED]_-;_-* &quot;-&quot;??\ [$AED]_-;_-@_-"/>
    <numFmt numFmtId="183" formatCode="_-* #,##0.00\ _€_-;\-* #,##0.00\ _€_-;_-* &quot;-&quot;??\ _€_-;_-@_-"/>
    <numFmt numFmtId="184" formatCode="\€\ #,##0"/>
    <numFmt numFmtId="185" formatCode="#,##0.0###"/>
    <numFmt numFmtId="186" formatCode="_([$€-2]\ * #,##0.00_);_([$€-2]\ * \(#,##0.00\);_([$€-2]\ * &quot;-&quot;??_);_(@_)"/>
    <numFmt numFmtId="187" formatCode="_ * #,##0.00_)[$د.إ.-3801]_ ;_ * \(#,##0.00\)[$د.إ.-3801]_ ;_ * &quot;-&quot;??_)[$د.إ.-3801]_ ;_ @_ "/>
    <numFmt numFmtId="188" formatCode="\€\ #,##0.00"/>
    <numFmt numFmtId="189" formatCode="_([$€-2]\ * #,##0.0000_);_([$€-2]\ * \(#,##0.0000\);_([$€-2]\ * &quot;-&quot;??_);_(@_)"/>
    <numFmt numFmtId="190" formatCode="#,##0.00\ _€"/>
    <numFmt numFmtId="191" formatCode="_(\D* #,##0.00_);_(\D* \(#,##0.00\);_(&quot;&quot;_);_(@_)"/>
    <numFmt numFmtId="192" formatCode="_(\D* #,##0.00_);_(\D* \(#,##0.00\);_(\D* &quot;-&quot;??_);_(@_)"/>
    <numFmt numFmtId="193" formatCode="_(&quot;€&quot;* #,##0.0000_);_(&quot;€&quot;* \(#,##0.0000\);_(&quot;€&quot;* &quot;-&quot;??_);_(@_)"/>
    <numFmt numFmtId="194" formatCode="_([$€-2]\ * #,##0.00000_);_([$€-2]\ * \(#,##0.00000\);_([$€-2]\ * &quot;-&quot;??_);_(@_)"/>
    <numFmt numFmtId="195" formatCode="_([$$-409]* #,##0.00_);_([$$-409]* \(#,##0.00\);_([$$-409]* &quot;-&quot;??_);_(@_)"/>
  </numFmts>
  <fonts count="96" x14ac:knownFonts="1">
    <font>
      <sz val="10"/>
      <color theme="3"/>
      <name val="Segoe UI"/>
      <family val="2"/>
      <scheme val="minor"/>
    </font>
    <font>
      <sz val="12"/>
      <color theme="1"/>
      <name val="Segoe UI"/>
      <family val="2"/>
      <scheme val="minor"/>
    </font>
    <font>
      <sz val="12"/>
      <color theme="1"/>
      <name val="Segoe UI"/>
      <family val="2"/>
      <scheme val="minor"/>
    </font>
    <font>
      <sz val="12"/>
      <color theme="1"/>
      <name val="Segoe UI"/>
      <family val="2"/>
      <scheme val="minor"/>
    </font>
    <font>
      <sz val="12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b/>
      <sz val="11"/>
      <color theme="0" tint="-0.34998626667073579"/>
      <name val="Segoe UI"/>
      <family val="2"/>
      <scheme val="minor"/>
    </font>
    <font>
      <sz val="10"/>
      <color theme="0" tint="-0.34998626667073579"/>
      <name val="Segoe UI"/>
      <family val="1"/>
      <scheme val="major"/>
    </font>
    <font>
      <b/>
      <sz val="26"/>
      <color theme="2"/>
      <name val="Segoe UI"/>
      <family val="1"/>
      <scheme val="major"/>
    </font>
    <font>
      <b/>
      <sz val="14"/>
      <color theme="2"/>
      <name val="Segoe UI"/>
      <family val="1"/>
      <scheme val="major"/>
    </font>
    <font>
      <sz val="72"/>
      <color theme="2"/>
      <name val="Segoe UI"/>
      <family val="2"/>
      <scheme val="major"/>
    </font>
    <font>
      <sz val="10"/>
      <color theme="3"/>
      <name val="Segoe UI"/>
      <family val="2"/>
      <scheme val="minor"/>
    </font>
    <font>
      <u/>
      <sz val="10"/>
      <color theme="10"/>
      <name val="Segoe UI"/>
      <family val="2"/>
      <scheme val="minor"/>
    </font>
    <font>
      <u/>
      <sz val="10"/>
      <color theme="11"/>
      <name val="Segoe UI"/>
      <family val="2"/>
      <scheme val="minor"/>
    </font>
    <font>
      <sz val="10"/>
      <name val="Arial"/>
      <family val="2"/>
    </font>
    <font>
      <sz val="8"/>
      <name val="Segoe UI"/>
      <family val="2"/>
      <scheme val="minor"/>
    </font>
    <font>
      <sz val="10"/>
      <color theme="3"/>
      <name val="Calibri"/>
      <family val="2"/>
    </font>
    <font>
      <sz val="12"/>
      <color theme="0"/>
      <name val="Calibri"/>
      <family val="2"/>
    </font>
    <font>
      <sz val="10"/>
      <color theme="0"/>
      <name val="Calibri"/>
      <family val="2"/>
    </font>
    <font>
      <sz val="11"/>
      <color theme="1"/>
      <name val="Calibri"/>
      <family val="2"/>
    </font>
    <font>
      <b/>
      <sz val="26"/>
      <color theme="2"/>
      <name val="Calibri"/>
      <family val="2"/>
    </font>
    <font>
      <b/>
      <sz val="12"/>
      <color theme="2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color theme="1"/>
      <name val="Calibri"/>
      <family val="2"/>
    </font>
    <font>
      <sz val="12"/>
      <color rgb="FF333333"/>
      <name val="Calibri"/>
      <family val="2"/>
    </font>
    <font>
      <sz val="12"/>
      <color theme="1"/>
      <name val="Calibri"/>
      <family val="2"/>
    </font>
    <font>
      <sz val="12"/>
      <color theme="3"/>
      <name val="Calibri"/>
      <family val="2"/>
    </font>
    <font>
      <b/>
      <sz val="12"/>
      <color theme="0"/>
      <name val="Calibri"/>
      <family val="2"/>
    </font>
    <font>
      <b/>
      <sz val="12"/>
      <color theme="3"/>
      <name val="Calibri"/>
      <family val="2"/>
    </font>
    <font>
      <i/>
      <sz val="12"/>
      <name val="Calibri"/>
      <family val="2"/>
    </font>
    <font>
      <b/>
      <i/>
      <sz val="12"/>
      <color theme="3"/>
      <name val="Calibri"/>
      <family val="2"/>
    </font>
    <font>
      <b/>
      <sz val="24"/>
      <color theme="0"/>
      <name val="Calibri"/>
      <family val="2"/>
    </font>
    <font>
      <sz val="2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i/>
      <sz val="12"/>
      <color theme="1"/>
      <name val="Calibri"/>
      <family val="2"/>
    </font>
    <font>
      <b/>
      <sz val="22"/>
      <color theme="0"/>
      <name val="Calibri"/>
      <family val="2"/>
    </font>
    <font>
      <b/>
      <sz val="18"/>
      <color theme="0"/>
      <name val="Calibri"/>
      <family val="2"/>
    </font>
    <font>
      <b/>
      <sz val="14"/>
      <color theme="1"/>
      <name val="Calibri"/>
      <family val="2"/>
    </font>
    <font>
      <i/>
      <sz val="12"/>
      <color theme="3"/>
      <name val="Calibri"/>
      <family val="2"/>
    </font>
    <font>
      <i/>
      <sz val="11"/>
      <color theme="2"/>
      <name val="Calibri"/>
      <family val="2"/>
    </font>
    <font>
      <i/>
      <sz val="12"/>
      <color theme="2"/>
      <name val="Calibri"/>
      <family val="2"/>
    </font>
    <font>
      <sz val="12"/>
      <color rgb="FFFF0000"/>
      <name val="Calibri"/>
      <family val="2"/>
    </font>
    <font>
      <i/>
      <sz val="12"/>
      <color rgb="FFFF0000"/>
      <name val="Calibri"/>
      <family val="2"/>
    </font>
    <font>
      <b/>
      <sz val="10"/>
      <color rgb="FF000000"/>
      <name val="Tahoma"/>
      <family val="2"/>
    </font>
    <font>
      <sz val="10"/>
      <name val="Segoe UI"/>
      <family val="2"/>
      <scheme val="minor"/>
    </font>
    <font>
      <b/>
      <sz val="16"/>
      <color theme="0"/>
      <name val="Calibri"/>
      <family val="2"/>
    </font>
    <font>
      <sz val="10"/>
      <name val="Segoe UI"/>
      <scheme val="minor"/>
    </font>
    <font>
      <b/>
      <sz val="10"/>
      <name val="Segoe UI"/>
      <scheme val="minor"/>
    </font>
    <font>
      <sz val="72"/>
      <color theme="2"/>
      <name val="Calibri"/>
      <family val="2"/>
    </font>
    <font>
      <sz val="12"/>
      <color rgb="FF000000"/>
      <name val="Calibri"/>
      <family val="2"/>
    </font>
    <font>
      <sz val="22"/>
      <color theme="0"/>
      <name val="Calibri"/>
      <family val="2"/>
    </font>
    <font>
      <b/>
      <sz val="14"/>
      <color theme="3"/>
      <name val="Segoe UI"/>
      <scheme val="minor"/>
    </font>
    <font>
      <sz val="10"/>
      <color theme="1"/>
      <name val="Calibri"/>
      <family val="2"/>
    </font>
    <font>
      <b/>
      <sz val="12"/>
      <color rgb="FFFFFFFF"/>
      <name val="Calibri"/>
      <family val="2"/>
    </font>
    <font>
      <b/>
      <sz val="10"/>
      <color theme="0"/>
      <name val="Calibri"/>
      <family val="2"/>
    </font>
    <font>
      <b/>
      <i/>
      <sz val="12"/>
      <color theme="1"/>
      <name val="Calibri"/>
      <family val="2"/>
    </font>
    <font>
      <sz val="8"/>
      <color theme="0"/>
      <name val="Calibri"/>
      <family val="2"/>
    </font>
    <font>
      <b/>
      <i/>
      <sz val="10"/>
      <color theme="1"/>
      <name val="Calibri"/>
      <family val="2"/>
    </font>
    <font>
      <i/>
      <sz val="10"/>
      <color theme="1"/>
      <name val="Calibri"/>
      <family val="2"/>
    </font>
    <font>
      <i/>
      <sz val="11"/>
      <color theme="0"/>
      <name val="Calibri"/>
      <family val="2"/>
    </font>
    <font>
      <sz val="72"/>
      <color theme="0"/>
      <name val="Calibri"/>
      <family val="2"/>
    </font>
    <font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22"/>
      <color theme="1"/>
      <name val="Calibri"/>
      <family val="2"/>
    </font>
    <font>
      <sz val="22"/>
      <name val="Calibri"/>
      <family val="2"/>
    </font>
    <font>
      <sz val="10"/>
      <color rgb="FF000000"/>
      <name val="Calibri"/>
      <family val="2"/>
    </font>
    <font>
      <sz val="10"/>
      <color rgb="FF000000"/>
      <name val="Times New Roman"/>
      <family val="1"/>
    </font>
    <font>
      <sz val="7"/>
      <color rgb="FF000000"/>
      <name val="Arial"/>
      <family val="2"/>
    </font>
    <font>
      <sz val="7"/>
      <name val="Arial"/>
      <family val="2"/>
    </font>
    <font>
      <b/>
      <sz val="7.5"/>
      <name val="Arial"/>
      <family val="2"/>
    </font>
    <font>
      <b/>
      <sz val="7.5"/>
      <color rgb="FFFFFFFF"/>
      <name val="Arial"/>
      <family val="2"/>
    </font>
    <font>
      <b/>
      <sz val="8.5"/>
      <name val="Arial"/>
      <family val="2"/>
    </font>
    <font>
      <sz val="8.5"/>
      <name val="Arial"/>
      <family val="2"/>
    </font>
    <font>
      <b/>
      <sz val="8.5"/>
      <color rgb="FF007F00"/>
      <name val="Arial"/>
      <family val="2"/>
    </font>
    <font>
      <b/>
      <sz val="10"/>
      <color rgb="FF000000"/>
      <name val="Times New Roman"/>
      <family val="1"/>
    </font>
    <font>
      <b/>
      <sz val="10"/>
      <color rgb="FF737480"/>
      <name val="Segoe UI"/>
      <charset val="1"/>
    </font>
    <font>
      <b/>
      <sz val="20"/>
      <color theme="0"/>
      <name val="Calibri"/>
      <family val="2"/>
    </font>
    <font>
      <sz val="12"/>
      <color theme="3"/>
      <name val="Segoe UI"/>
      <family val="2"/>
      <scheme val="minor"/>
    </font>
    <font>
      <i/>
      <sz val="10"/>
      <color rgb="FF333333"/>
      <name val="Calibri"/>
      <family val="2"/>
    </font>
    <font>
      <i/>
      <sz val="1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3"/>
      <name val="Calibri"/>
      <family val="2"/>
    </font>
    <font>
      <b/>
      <sz val="12"/>
      <color rgb="FF000000"/>
      <name val="Calibri"/>
      <family val="2"/>
    </font>
    <font>
      <b/>
      <i/>
      <sz val="10"/>
      <color rgb="FF000000"/>
      <name val="Calibri"/>
      <family val="2"/>
    </font>
    <font>
      <i/>
      <strike/>
      <sz val="12"/>
      <color theme="1"/>
      <name val="Calibri"/>
      <family val="2"/>
    </font>
    <font>
      <b/>
      <sz val="22"/>
      <color rgb="FFFFFFFF"/>
      <name val="Calibri"/>
      <family val="2"/>
    </font>
    <font>
      <b/>
      <sz val="10"/>
      <color rgb="FFFFFFFF"/>
      <name val="Calibri"/>
      <family val="2"/>
    </font>
    <font>
      <b/>
      <sz val="11"/>
      <color theme="1"/>
      <name val="Calibri"/>
      <family val="2"/>
    </font>
    <font>
      <sz val="9"/>
      <color theme="1"/>
      <name val="Calibri"/>
      <family val="2"/>
    </font>
    <font>
      <sz val="10"/>
      <color rgb="FF000000"/>
      <name val="Tahoma"/>
      <family val="2"/>
    </font>
    <font>
      <sz val="12"/>
      <color rgb="FFCCCCCC"/>
      <name val="Courier New"/>
      <family val="1"/>
    </font>
    <font>
      <sz val="11"/>
      <color theme="3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37480"/>
        <bgColor rgb="FF000000"/>
      </patternFill>
    </fill>
    <fill>
      <patternFill patternType="solid">
        <fgColor rgb="FF55566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C3C3C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F00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 style="thin">
        <color indexed="64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20000"/>
      </left>
      <right style="thin">
        <color rgb="FF020000"/>
      </right>
      <top style="thin">
        <color rgb="FF020000"/>
      </top>
      <bottom style="thin">
        <color rgb="FF000000"/>
      </bottom>
      <diagonal/>
    </border>
    <border>
      <left/>
      <right/>
      <top style="thin">
        <color rgb="FFFFFFFF"/>
      </top>
      <bottom/>
      <diagonal/>
    </border>
    <border>
      <left style="thin">
        <color theme="0"/>
      </left>
      <right style="thin">
        <color rgb="FFFFFFFF"/>
      </right>
      <top style="thin">
        <color rgb="FFFFFFFF"/>
      </top>
      <bottom/>
      <diagonal/>
    </border>
    <border>
      <left style="thin">
        <color theme="0"/>
      </left>
      <right style="thin">
        <color rgb="FFFFFFFF"/>
      </right>
      <top/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FFFFFF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theme="0"/>
      </left>
      <right/>
      <top style="thin">
        <color rgb="FFFFFFFF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</borders>
  <cellStyleXfs count="32">
    <xf numFmtId="0" fontId="0" fillId="0" borderId="0">
      <alignment vertical="center"/>
    </xf>
    <xf numFmtId="0" fontId="8" fillId="3" borderId="0" applyNumberFormat="0" applyBorder="0" applyAlignment="0" applyProtection="0"/>
    <xf numFmtId="0" fontId="5" fillId="2" borderId="0" applyNumberFormat="0" applyBorder="0" applyAlignment="0" applyProtection="0"/>
    <xf numFmtId="0" fontId="10" fillId="3" borderId="0" applyNumberFormat="0" applyBorder="0" applyAlignment="0" applyProtection="0"/>
    <xf numFmtId="0" fontId="9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164" fontId="1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0" fontId="14" fillId="0" borderId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69" fillId="0" borderId="0"/>
    <xf numFmtId="44" fontId="69" fillId="0" borderId="0" applyFont="0" applyFill="0" applyBorder="0" applyAlignment="0" applyProtection="0"/>
    <xf numFmtId="0" fontId="5" fillId="0" borderId="0"/>
    <xf numFmtId="184" fontId="83" fillId="0" borderId="0"/>
    <xf numFmtId="10" fontId="83" fillId="0" borderId="0"/>
    <xf numFmtId="164" fontId="1" fillId="0" borderId="0" applyFont="0" applyFill="0" applyBorder="0" applyAlignment="0" applyProtection="0"/>
    <xf numFmtId="0" fontId="11" fillId="0" borderId="0">
      <alignment vertical="center"/>
    </xf>
    <xf numFmtId="9" fontId="11" fillId="0" borderId="0" applyFont="0" applyFill="0" applyBorder="0" applyAlignment="0" applyProtection="0"/>
  </cellStyleXfs>
  <cellXfs count="52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>
      <alignment vertical="center"/>
    </xf>
    <xf numFmtId="164" fontId="16" fillId="0" borderId="0" xfId="8" applyFont="1" applyAlignment="1">
      <alignment vertical="center"/>
    </xf>
    <xf numFmtId="0" fontId="21" fillId="4" borderId="0" xfId="1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top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164" fontId="24" fillId="0" borderId="0" xfId="8" applyFont="1" applyAlignment="1">
      <alignment vertical="center"/>
    </xf>
    <xf numFmtId="14" fontId="24" fillId="0" borderId="0" xfId="0" applyNumberFormat="1" applyFont="1">
      <alignment vertical="center"/>
    </xf>
    <xf numFmtId="0" fontId="28" fillId="6" borderId="0" xfId="0" applyFont="1" applyFill="1" applyAlignment="1">
      <alignment horizontal="left" vertical="center" indent="1"/>
    </xf>
    <xf numFmtId="167" fontId="28" fillId="6" borderId="0" xfId="0" applyNumberFormat="1" applyFont="1" applyFill="1">
      <alignment vertical="center"/>
    </xf>
    <xf numFmtId="0" fontId="28" fillId="0" borderId="0" xfId="0" applyFont="1">
      <alignment vertical="center"/>
    </xf>
    <xf numFmtId="167" fontId="27" fillId="0" borderId="0" xfId="2" applyNumberFormat="1" applyFont="1" applyFill="1" applyAlignment="1">
      <alignment horizontal="center" vertical="center"/>
    </xf>
    <xf numFmtId="167" fontId="27" fillId="0" borderId="0" xfId="2" applyNumberFormat="1" applyFont="1" applyFill="1"/>
    <xf numFmtId="167" fontId="27" fillId="0" borderId="0" xfId="2" applyNumberFormat="1" applyFont="1" applyFill="1" applyAlignment="1">
      <alignment horizontal="right" vertical="center" indent="3"/>
    </xf>
    <xf numFmtId="167" fontId="27" fillId="6" borderId="0" xfId="2" applyNumberFormat="1" applyFont="1" applyFill="1" applyAlignment="1">
      <alignment horizontal="center" vertical="center"/>
    </xf>
    <xf numFmtId="167" fontId="27" fillId="6" borderId="0" xfId="2" applyNumberFormat="1" applyFont="1" applyFill="1" applyAlignment="1">
      <alignment vertical="center"/>
    </xf>
    <xf numFmtId="166" fontId="28" fillId="6" borderId="0" xfId="0" applyNumberFormat="1" applyFont="1" applyFill="1" applyAlignment="1"/>
    <xf numFmtId="0" fontId="30" fillId="6" borderId="0" xfId="0" applyFont="1" applyFill="1" applyAlignment="1">
      <alignment horizontal="right" vertical="center" indent="1"/>
    </xf>
    <xf numFmtId="0" fontId="30" fillId="0" borderId="0" xfId="0" applyFont="1">
      <alignment vertical="center"/>
    </xf>
    <xf numFmtId="166" fontId="28" fillId="6" borderId="0" xfId="0" applyNumberFormat="1" applyFont="1" applyFill="1">
      <alignment vertical="center"/>
    </xf>
    <xf numFmtId="167" fontId="28" fillId="0" borderId="0" xfId="0" applyNumberFormat="1" applyFont="1">
      <alignment vertical="center"/>
    </xf>
    <xf numFmtId="167" fontId="28" fillId="0" borderId="0" xfId="0" applyNumberFormat="1" applyFont="1" applyAlignment="1">
      <alignment horizontal="right" vertical="center" indent="3"/>
    </xf>
    <xf numFmtId="0" fontId="27" fillId="0" borderId="0" xfId="15" applyFont="1" applyAlignment="1">
      <alignment vertical="center"/>
    </xf>
    <xf numFmtId="0" fontId="33" fillId="8" borderId="0" xfId="15" applyFont="1" applyFill="1" applyAlignment="1">
      <alignment vertical="center"/>
    </xf>
    <xf numFmtId="0" fontId="25" fillId="0" borderId="0" xfId="15" applyFont="1" applyAlignment="1">
      <alignment vertical="center"/>
    </xf>
    <xf numFmtId="0" fontId="34" fillId="0" borderId="0" xfId="15" applyFont="1" applyAlignment="1">
      <alignment horizontal="left" vertical="center"/>
    </xf>
    <xf numFmtId="0" fontId="35" fillId="0" borderId="0" xfId="15" applyFont="1" applyAlignment="1">
      <alignment vertical="center"/>
    </xf>
    <xf numFmtId="0" fontId="25" fillId="0" borderId="0" xfId="15" applyFont="1" applyAlignment="1">
      <alignment horizontal="center" vertical="center"/>
    </xf>
    <xf numFmtId="0" fontId="27" fillId="0" borderId="0" xfId="15" applyFont="1" applyAlignment="1">
      <alignment horizontal="center" vertical="center"/>
    </xf>
    <xf numFmtId="0" fontId="29" fillId="8" borderId="8" xfId="15" applyFont="1" applyFill="1" applyBorder="1" applyAlignment="1">
      <alignment horizontal="right" vertical="center"/>
    </xf>
    <xf numFmtId="0" fontId="29" fillId="0" borderId="0" xfId="15" applyFont="1" applyAlignment="1">
      <alignment horizontal="right" vertical="center"/>
    </xf>
    <xf numFmtId="0" fontId="36" fillId="0" borderId="0" xfId="15" quotePrefix="1" applyFont="1" applyAlignment="1">
      <alignment horizontal="right" vertical="center"/>
    </xf>
    <xf numFmtId="0" fontId="37" fillId="0" borderId="0" xfId="15" applyFont="1" applyAlignment="1">
      <alignment horizontal="right" vertical="center"/>
    </xf>
    <xf numFmtId="169" fontId="27" fillId="0" borderId="0" xfId="15" applyNumberFormat="1" applyFont="1" applyAlignment="1">
      <alignment vertical="center"/>
    </xf>
    <xf numFmtId="0" fontId="25" fillId="0" borderId="0" xfId="15" applyFont="1" applyAlignment="1">
      <alignment horizontal="right" vertical="center"/>
    </xf>
    <xf numFmtId="164" fontId="25" fillId="0" borderId="0" xfId="15" applyNumberFormat="1" applyFont="1" applyAlignment="1">
      <alignment vertical="center"/>
    </xf>
    <xf numFmtId="0" fontId="31" fillId="0" borderId="0" xfId="15" quotePrefix="1" applyFont="1" applyAlignment="1">
      <alignment horizontal="right" vertical="center"/>
    </xf>
    <xf numFmtId="164" fontId="27" fillId="0" borderId="0" xfId="15" applyNumberFormat="1" applyFont="1" applyAlignment="1">
      <alignment vertical="center"/>
    </xf>
    <xf numFmtId="164" fontId="29" fillId="0" borderId="0" xfId="16" applyFont="1" applyFill="1" applyBorder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16" fillId="0" borderId="0" xfId="0" pivotButton="1" applyFont="1">
      <alignment vertical="center"/>
    </xf>
    <xf numFmtId="0" fontId="42" fillId="4" borderId="0" xfId="1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 vertical="center" indent="1"/>
    </xf>
    <xf numFmtId="164" fontId="27" fillId="0" borderId="0" xfId="8" applyFont="1" applyAlignment="1">
      <alignment vertical="center"/>
    </xf>
    <xf numFmtId="10" fontId="27" fillId="0" borderId="0" xfId="13" applyNumberFormat="1" applyFont="1" applyAlignment="1">
      <alignment vertical="center"/>
    </xf>
    <xf numFmtId="0" fontId="44" fillId="6" borderId="0" xfId="0" applyFont="1" applyFill="1" applyAlignment="1">
      <alignment horizontal="left" vertical="center" indent="1"/>
    </xf>
    <xf numFmtId="0" fontId="24" fillId="0" borderId="0" xfId="0" applyFont="1" applyAlignment="1">
      <alignment horizontal="center" vertical="center"/>
    </xf>
    <xf numFmtId="170" fontId="24" fillId="0" borderId="0" xfId="0" applyNumberFormat="1" applyFont="1" applyAlignment="1">
      <alignment horizontal="center"/>
    </xf>
    <xf numFmtId="14" fontId="24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47" fillId="0" borderId="0" xfId="0" applyFont="1">
      <alignment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169" fontId="29" fillId="8" borderId="8" xfId="15" applyNumberFormat="1" applyFont="1" applyFill="1" applyBorder="1" applyAlignment="1">
      <alignment horizontal="center" vertical="center" wrapText="1"/>
    </xf>
    <xf numFmtId="0" fontId="29" fillId="8" borderId="8" xfId="15" applyFont="1" applyFill="1" applyBorder="1" applyAlignment="1">
      <alignment horizontal="center" vertical="center"/>
    </xf>
    <xf numFmtId="172" fontId="48" fillId="0" borderId="0" xfId="16" applyNumberFormat="1" applyFont="1" applyFill="1" applyBorder="1" applyAlignment="1">
      <alignment horizontal="center" vertical="center"/>
    </xf>
    <xf numFmtId="164" fontId="0" fillId="0" borderId="0" xfId="8" applyFont="1" applyAlignment="1">
      <alignment vertical="center"/>
    </xf>
    <xf numFmtId="0" fontId="16" fillId="0" borderId="0" xfId="0" applyFont="1" applyAlignment="1">
      <alignment horizontal="left" vertical="center" indent="1"/>
    </xf>
    <xf numFmtId="167" fontId="17" fillId="0" borderId="0" xfId="0" applyNumberFormat="1" applyFont="1">
      <alignment vertical="center"/>
    </xf>
    <xf numFmtId="164" fontId="47" fillId="0" borderId="0" xfId="8" applyFont="1" applyAlignment="1">
      <alignment vertical="center"/>
    </xf>
    <xf numFmtId="0" fontId="50" fillId="0" borderId="0" xfId="0" applyFont="1">
      <alignment vertical="center"/>
    </xf>
    <xf numFmtId="9" fontId="27" fillId="0" borderId="0" xfId="15" applyNumberFormat="1" applyFont="1" applyAlignment="1">
      <alignment vertical="center"/>
    </xf>
    <xf numFmtId="8" fontId="24" fillId="0" borderId="0" xfId="0" applyNumberFormat="1" applyFont="1" applyAlignment="1">
      <alignment horizontal="right"/>
    </xf>
    <xf numFmtId="0" fontId="36" fillId="0" borderId="4" xfId="15" quotePrefix="1" applyFont="1" applyBorder="1" applyAlignment="1">
      <alignment horizontal="right" vertical="center"/>
    </xf>
    <xf numFmtId="164" fontId="25" fillId="0" borderId="4" xfId="15" applyNumberFormat="1" applyFont="1" applyBorder="1" applyAlignment="1">
      <alignment vertical="center"/>
    </xf>
    <xf numFmtId="0" fontId="26" fillId="0" borderId="14" xfId="0" applyFont="1" applyBorder="1">
      <alignment vertical="center"/>
    </xf>
    <xf numFmtId="10" fontId="35" fillId="0" borderId="14" xfId="13" applyNumberFormat="1" applyFont="1" applyBorder="1" applyAlignment="1">
      <alignment vertical="center"/>
    </xf>
    <xf numFmtId="164" fontId="29" fillId="8" borderId="17" xfId="16" applyFont="1" applyFill="1" applyBorder="1" applyAlignment="1">
      <alignment horizontal="center" vertical="center" wrapText="1"/>
    </xf>
    <xf numFmtId="164" fontId="54" fillId="0" borderId="6" xfId="8" applyFont="1" applyBorder="1" applyAlignment="1">
      <alignment vertical="center"/>
    </xf>
    <xf numFmtId="0" fontId="50" fillId="0" borderId="0" xfId="0" applyFont="1" applyAlignment="1">
      <alignment horizontal="right" vertical="center"/>
    </xf>
    <xf numFmtId="164" fontId="50" fillId="0" borderId="0" xfId="0" applyNumberFormat="1" applyFont="1">
      <alignment vertical="center"/>
    </xf>
    <xf numFmtId="10" fontId="49" fillId="0" borderId="0" xfId="13" applyNumberFormat="1" applyFont="1" applyAlignment="1">
      <alignment horizontal="right" vertical="center"/>
    </xf>
    <xf numFmtId="10" fontId="49" fillId="0" borderId="6" xfId="13" applyNumberFormat="1" applyFont="1" applyBorder="1" applyAlignment="1">
      <alignment horizontal="right" vertical="center"/>
    </xf>
    <xf numFmtId="0" fontId="27" fillId="0" borderId="0" xfId="0" applyFont="1" applyAlignment="1">
      <alignment horizontal="left" vertical="center"/>
    </xf>
    <xf numFmtId="8" fontId="27" fillId="0" borderId="0" xfId="0" applyNumberFormat="1" applyFont="1" applyAlignment="1">
      <alignment horizontal="left"/>
    </xf>
    <xf numFmtId="10" fontId="49" fillId="0" borderId="0" xfId="13" applyNumberFormat="1" applyFont="1" applyBorder="1" applyAlignment="1">
      <alignment horizontal="right" vertical="center"/>
    </xf>
    <xf numFmtId="10" fontId="50" fillId="0" borderId="4" xfId="13" applyNumberFormat="1" applyFont="1" applyBorder="1" applyAlignment="1">
      <alignment horizontal="right" vertical="center"/>
    </xf>
    <xf numFmtId="164" fontId="25" fillId="0" borderId="0" xfId="8" applyFont="1" applyAlignment="1">
      <alignment vertical="center"/>
    </xf>
    <xf numFmtId="164" fontId="39" fillId="8" borderId="0" xfId="8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64" fontId="28" fillId="6" borderId="0" xfId="8" applyFont="1" applyFill="1" applyAlignment="1">
      <alignment vertical="center"/>
    </xf>
    <xf numFmtId="164" fontId="28" fillId="0" borderId="0" xfId="8" applyFont="1" applyAlignment="1">
      <alignment vertical="center"/>
    </xf>
    <xf numFmtId="164" fontId="30" fillId="6" borderId="0" xfId="8" applyFont="1" applyFill="1" applyAlignment="1">
      <alignment vertical="center"/>
    </xf>
    <xf numFmtId="164" fontId="29" fillId="8" borderId="20" xfId="8" applyFont="1" applyFill="1" applyBorder="1" applyAlignment="1">
      <alignment horizontal="right" vertical="center"/>
    </xf>
    <xf numFmtId="164" fontId="29" fillId="8" borderId="8" xfId="8" applyFont="1" applyFill="1" applyBorder="1" applyAlignment="1">
      <alignment horizontal="center" vertical="center"/>
    </xf>
    <xf numFmtId="164" fontId="29" fillId="0" borderId="0" xfId="8" applyFont="1" applyAlignment="1">
      <alignment horizontal="center" vertical="center"/>
    </xf>
    <xf numFmtId="164" fontId="29" fillId="0" borderId="0" xfId="8" applyFont="1" applyFill="1" applyBorder="1" applyAlignment="1">
      <alignment horizontal="center" vertical="center"/>
    </xf>
    <xf numFmtId="0" fontId="28" fillId="0" borderId="0" xfId="0" applyFont="1" applyProtection="1">
      <alignment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64" fontId="28" fillId="0" borderId="0" xfId="8" applyFont="1" applyFill="1" applyAlignment="1" applyProtection="1">
      <alignment vertical="center"/>
      <protection locked="0"/>
    </xf>
    <xf numFmtId="164" fontId="28" fillId="0" borderId="0" xfId="8" applyFont="1" applyFill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right" vertical="center"/>
      <protection locked="0"/>
    </xf>
    <xf numFmtId="0" fontId="30" fillId="0" borderId="4" xfId="0" applyFont="1" applyBorder="1" applyAlignment="1" applyProtection="1">
      <alignment horizontal="right" vertical="center"/>
      <protection locked="0"/>
    </xf>
    <xf numFmtId="164" fontId="28" fillId="0" borderId="4" xfId="8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64" fontId="28" fillId="0" borderId="0" xfId="8" applyFont="1" applyFill="1" applyAlignment="1" applyProtection="1">
      <alignment vertical="center"/>
    </xf>
    <xf numFmtId="164" fontId="28" fillId="0" borderId="0" xfId="8" applyFont="1" applyFill="1" applyAlignment="1" applyProtection="1">
      <alignment horizontal="center" vertical="center"/>
    </xf>
    <xf numFmtId="0" fontId="28" fillId="0" borderId="0" xfId="0" applyFont="1" applyAlignment="1">
      <alignment horizontal="right" vertical="center"/>
    </xf>
    <xf numFmtId="0" fontId="44" fillId="0" borderId="0" xfId="0" applyFont="1" applyAlignment="1" applyProtection="1">
      <alignment horizontal="right" vertical="center"/>
      <protection locked="0"/>
    </xf>
    <xf numFmtId="164" fontId="28" fillId="0" borderId="0" xfId="8" applyFont="1" applyAlignment="1" applyProtection="1">
      <alignment vertical="center"/>
      <protection locked="0"/>
    </xf>
    <xf numFmtId="164" fontId="28" fillId="0" borderId="0" xfId="8" applyFont="1" applyAlignment="1" applyProtection="1">
      <alignment horizontal="center" vertical="center"/>
      <protection locked="0"/>
    </xf>
    <xf numFmtId="0" fontId="17" fillId="7" borderId="0" xfId="0" applyFont="1" applyFill="1" applyProtection="1">
      <alignment vertical="center"/>
      <protection locked="0"/>
    </xf>
    <xf numFmtId="164" fontId="17" fillId="7" borderId="0" xfId="8" applyFont="1" applyFill="1" applyAlignment="1" applyProtection="1">
      <alignment horizontal="center" vertical="center"/>
      <protection locked="0"/>
    </xf>
    <xf numFmtId="0" fontId="35" fillId="0" borderId="0" xfId="15" quotePrefix="1" applyFont="1" applyAlignment="1">
      <alignment horizontal="right" vertical="center"/>
    </xf>
    <xf numFmtId="44" fontId="27" fillId="0" borderId="0" xfId="15" applyNumberFormat="1" applyFont="1" applyAlignment="1">
      <alignment vertical="center"/>
    </xf>
    <xf numFmtId="0" fontId="25" fillId="0" borderId="4" xfId="15" applyFont="1" applyBorder="1" applyAlignment="1">
      <alignment horizontal="right" vertical="center"/>
    </xf>
    <xf numFmtId="164" fontId="25" fillId="0" borderId="4" xfId="8" applyFont="1" applyBorder="1" applyAlignment="1">
      <alignment vertical="center"/>
    </xf>
    <xf numFmtId="0" fontId="27" fillId="0" borderId="0" xfId="15" applyFont="1" applyAlignment="1">
      <alignment horizontal="right" vertical="center"/>
    </xf>
    <xf numFmtId="164" fontId="27" fillId="0" borderId="0" xfId="8" applyFont="1" applyBorder="1" applyAlignment="1">
      <alignment vertical="center"/>
    </xf>
    <xf numFmtId="164" fontId="56" fillId="13" borderId="23" xfId="0" applyNumberFormat="1" applyFont="1" applyFill="1" applyBorder="1" applyAlignment="1">
      <alignment horizontal="center" vertical="center" wrapText="1"/>
    </xf>
    <xf numFmtId="164" fontId="56" fillId="13" borderId="24" xfId="0" applyNumberFormat="1" applyFont="1" applyFill="1" applyBorder="1" applyAlignment="1">
      <alignment horizontal="center" vertical="center" wrapText="1"/>
    </xf>
    <xf numFmtId="164" fontId="26" fillId="0" borderId="26" xfId="0" applyNumberFormat="1" applyFont="1" applyBorder="1" applyAlignment="1">
      <alignment horizontal="center" vertical="center"/>
    </xf>
    <xf numFmtId="0" fontId="29" fillId="8" borderId="0" xfId="15" applyFont="1" applyFill="1" applyAlignment="1">
      <alignment horizontal="center" vertical="center"/>
    </xf>
    <xf numFmtId="169" fontId="29" fillId="8" borderId="17" xfId="15" applyNumberFormat="1" applyFont="1" applyFill="1" applyBorder="1" applyAlignment="1">
      <alignment vertical="center"/>
    </xf>
    <xf numFmtId="0" fontId="33" fillId="8" borderId="0" xfId="15" applyFont="1" applyFill="1" applyAlignment="1">
      <alignment horizontal="center" vertical="center"/>
    </xf>
    <xf numFmtId="164" fontId="28" fillId="0" borderId="0" xfId="8" applyFont="1" applyFill="1" applyBorder="1" applyAlignment="1" applyProtection="1">
      <alignment vertical="center"/>
      <protection locked="0"/>
    </xf>
    <xf numFmtId="10" fontId="29" fillId="0" borderId="0" xfId="13" applyNumberFormat="1" applyFont="1" applyFill="1" applyBorder="1" applyAlignment="1">
      <alignment horizontal="right" vertical="center"/>
    </xf>
    <xf numFmtId="8" fontId="24" fillId="0" borderId="0" xfId="0" applyNumberFormat="1" applyFont="1" applyAlignment="1">
      <alignment horizontal="left" vertical="center"/>
    </xf>
    <xf numFmtId="0" fontId="27" fillId="0" borderId="0" xfId="0" applyFont="1">
      <alignment vertical="center"/>
    </xf>
    <xf numFmtId="0" fontId="25" fillId="0" borderId="0" xfId="15" quotePrefix="1" applyFont="1" applyAlignment="1">
      <alignment horizontal="left" vertical="center"/>
    </xf>
    <xf numFmtId="0" fontId="58" fillId="0" borderId="0" xfId="15" quotePrefix="1" applyFont="1" applyAlignment="1">
      <alignment horizontal="right" vertical="center"/>
    </xf>
    <xf numFmtId="164" fontId="25" fillId="0" borderId="0" xfId="8" quotePrefix="1" applyFont="1" applyAlignment="1">
      <alignment vertical="center"/>
    </xf>
    <xf numFmtId="0" fontId="25" fillId="0" borderId="0" xfId="15" quotePrefix="1" applyFont="1" applyAlignment="1">
      <alignment horizontal="center" vertical="center"/>
    </xf>
    <xf numFmtId="0" fontId="37" fillId="0" borderId="0" xfId="15" quotePrefix="1" applyFont="1" applyAlignment="1">
      <alignment horizontal="right" vertical="center"/>
    </xf>
    <xf numFmtId="0" fontId="55" fillId="0" borderId="0" xfId="0" applyFont="1">
      <alignment vertical="center"/>
    </xf>
    <xf numFmtId="0" fontId="55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70" fontId="27" fillId="0" borderId="0" xfId="0" applyNumberFormat="1" applyFont="1" applyAlignment="1">
      <alignment horizontal="center"/>
    </xf>
    <xf numFmtId="0" fontId="27" fillId="0" borderId="0" xfId="0" applyFont="1" applyAlignment="1"/>
    <xf numFmtId="44" fontId="27" fillId="0" borderId="0" xfId="0" applyNumberFormat="1" applyFont="1">
      <alignment vertical="center"/>
    </xf>
    <xf numFmtId="44" fontId="55" fillId="0" borderId="0" xfId="0" applyNumberFormat="1" applyFont="1">
      <alignment vertical="center"/>
    </xf>
    <xf numFmtId="0" fontId="17" fillId="7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 indent="1"/>
    </xf>
    <xf numFmtId="0" fontId="59" fillId="7" borderId="0" xfId="0" applyFont="1" applyFill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vertical="center" wrapText="1"/>
      <protection locked="0"/>
    </xf>
    <xf numFmtId="0" fontId="17" fillId="15" borderId="0" xfId="0" applyFont="1" applyFill="1" applyAlignment="1" applyProtection="1">
      <alignment horizontal="center" vertical="center" wrapText="1"/>
      <protection locked="0"/>
    </xf>
    <xf numFmtId="0" fontId="59" fillId="15" borderId="0" xfId="0" applyFont="1" applyFill="1" applyAlignment="1" applyProtection="1">
      <alignment horizontal="center" vertical="center" wrapText="1"/>
      <protection locked="0"/>
    </xf>
    <xf numFmtId="164" fontId="54" fillId="0" borderId="0" xfId="8" applyFont="1" applyBorder="1" applyAlignment="1">
      <alignment vertical="center"/>
    </xf>
    <xf numFmtId="164" fontId="16" fillId="0" borderId="0" xfId="8" applyFont="1" applyBorder="1" applyAlignment="1">
      <alignment vertical="center"/>
    </xf>
    <xf numFmtId="0" fontId="17" fillId="0" borderId="0" xfId="0" applyFont="1" applyProtection="1">
      <alignment vertical="center"/>
      <protection locked="0"/>
    </xf>
    <xf numFmtId="174" fontId="27" fillId="0" borderId="0" xfId="15" applyNumberFormat="1" applyFont="1" applyAlignment="1">
      <alignment vertical="center"/>
    </xf>
    <xf numFmtId="174" fontId="0" fillId="0" borderId="0" xfId="0" applyNumberFormat="1">
      <alignment vertical="center"/>
    </xf>
    <xf numFmtId="174" fontId="25" fillId="0" borderId="0" xfId="15" applyNumberFormat="1" applyFont="1" applyAlignment="1">
      <alignment vertical="center"/>
    </xf>
    <xf numFmtId="174" fontId="38" fillId="8" borderId="0" xfId="15" applyNumberFormat="1" applyFont="1" applyFill="1" applyAlignment="1">
      <alignment horizontal="center" vertical="center" wrapText="1"/>
    </xf>
    <xf numFmtId="174" fontId="35" fillId="0" borderId="0" xfId="15" applyNumberFormat="1" applyFont="1" applyAlignment="1">
      <alignment vertical="center"/>
    </xf>
    <xf numFmtId="174" fontId="33" fillId="0" borderId="0" xfId="15" applyNumberFormat="1" applyFont="1" applyAlignment="1">
      <alignment vertical="center"/>
    </xf>
    <xf numFmtId="174" fontId="33" fillId="0" borderId="0" xfId="15" applyNumberFormat="1" applyFont="1" applyAlignment="1">
      <alignment horizontal="center" vertical="center"/>
    </xf>
    <xf numFmtId="174" fontId="40" fillId="0" borderId="0" xfId="15" applyNumberFormat="1" applyFont="1" applyAlignment="1">
      <alignment horizontal="center" vertical="center"/>
    </xf>
    <xf numFmtId="174" fontId="40" fillId="0" borderId="0" xfId="15" applyNumberFormat="1" applyFont="1" applyAlignment="1">
      <alignment horizontal="center" vertical="center" wrapText="1"/>
    </xf>
    <xf numFmtId="174" fontId="29" fillId="8" borderId="9" xfId="16" applyNumberFormat="1" applyFont="1" applyFill="1" applyBorder="1" applyAlignment="1">
      <alignment horizontal="right" vertical="center"/>
    </xf>
    <xf numFmtId="174" fontId="27" fillId="0" borderId="0" xfId="15" applyNumberFormat="1" applyFont="1" applyAlignment="1">
      <alignment horizontal="center" vertical="center"/>
    </xf>
    <xf numFmtId="174" fontId="27" fillId="0" borderId="0" xfId="15" applyNumberFormat="1" applyFont="1" applyAlignment="1">
      <alignment horizontal="left" vertical="center"/>
    </xf>
    <xf numFmtId="174" fontId="29" fillId="8" borderId="8" xfId="16" applyNumberFormat="1" applyFont="1" applyFill="1" applyBorder="1" applyAlignment="1">
      <alignment horizontal="left" vertical="center"/>
    </xf>
    <xf numFmtId="174" fontId="29" fillId="8" borderId="8" xfId="16" applyNumberFormat="1" applyFont="1" applyFill="1" applyBorder="1" applyAlignment="1">
      <alignment horizontal="right" vertical="center"/>
    </xf>
    <xf numFmtId="174" fontId="29" fillId="0" borderId="0" xfId="16" applyNumberFormat="1" applyFont="1" applyFill="1" applyBorder="1" applyAlignment="1">
      <alignment horizontal="right" vertical="center"/>
    </xf>
    <xf numFmtId="174" fontId="25" fillId="0" borderId="0" xfId="16" applyNumberFormat="1" applyFont="1" applyAlignment="1">
      <alignment horizontal="center" vertical="center"/>
    </xf>
    <xf numFmtId="174" fontId="25" fillId="0" borderId="0" xfId="16" applyNumberFormat="1" applyFont="1" applyBorder="1" applyAlignment="1">
      <alignment horizontal="center" vertical="center"/>
    </xf>
    <xf numFmtId="174" fontId="27" fillId="0" borderId="6" xfId="15" applyNumberFormat="1" applyFont="1" applyBorder="1" applyAlignment="1">
      <alignment horizontal="center" vertical="center"/>
    </xf>
    <xf numFmtId="174" fontId="25" fillId="0" borderId="6" xfId="15" applyNumberFormat="1" applyFont="1" applyBorder="1" applyAlignment="1">
      <alignment horizontal="right" vertical="center"/>
    </xf>
    <xf numFmtId="174" fontId="16" fillId="0" borderId="6" xfId="16" applyNumberFormat="1" applyFont="1" applyFill="1" applyBorder="1" applyAlignment="1">
      <alignment horizontal="center" vertical="center"/>
    </xf>
    <xf numFmtId="174" fontId="36" fillId="0" borderId="0" xfId="15" quotePrefix="1" applyNumberFormat="1" applyFont="1" applyAlignment="1">
      <alignment horizontal="right" vertical="center"/>
    </xf>
    <xf numFmtId="174" fontId="25" fillId="0" borderId="4" xfId="15" applyNumberFormat="1" applyFont="1" applyBorder="1" applyAlignment="1">
      <alignment vertical="center"/>
    </xf>
    <xf numFmtId="174" fontId="31" fillId="0" borderId="0" xfId="15" quotePrefix="1" applyNumberFormat="1" applyFont="1" applyAlignment="1">
      <alignment horizontal="right" vertical="center"/>
    </xf>
    <xf numFmtId="174" fontId="27" fillId="0" borderId="0" xfId="16" applyNumberFormat="1" applyFont="1" applyAlignment="1">
      <alignment vertical="center"/>
    </xf>
    <xf numFmtId="174" fontId="25" fillId="0" borderId="0" xfId="16" applyNumberFormat="1" applyFont="1" applyAlignment="1">
      <alignment vertical="center"/>
    </xf>
    <xf numFmtId="174" fontId="31" fillId="0" borderId="6" xfId="15" quotePrefix="1" applyNumberFormat="1" applyFont="1" applyBorder="1" applyAlignment="1">
      <alignment horizontal="right" vertical="center"/>
    </xf>
    <xf numFmtId="174" fontId="27" fillId="0" borderId="6" xfId="15" applyNumberFormat="1" applyFont="1" applyBorder="1" applyAlignment="1">
      <alignment vertical="center"/>
    </xf>
    <xf numFmtId="174" fontId="27" fillId="0" borderId="6" xfId="16" applyNumberFormat="1" applyFont="1" applyBorder="1" applyAlignment="1">
      <alignment vertical="center"/>
    </xf>
    <xf numFmtId="174" fontId="27" fillId="0" borderId="0" xfId="16" applyNumberFormat="1" applyFont="1" applyBorder="1" applyAlignment="1">
      <alignment vertical="center"/>
    </xf>
    <xf numFmtId="174" fontId="36" fillId="0" borderId="4" xfId="15" quotePrefix="1" applyNumberFormat="1" applyFont="1" applyBorder="1" applyAlignment="1">
      <alignment horizontal="right" vertical="center"/>
    </xf>
    <xf numFmtId="174" fontId="27" fillId="0" borderId="4" xfId="15" applyNumberFormat="1" applyFont="1" applyBorder="1" applyAlignment="1">
      <alignment vertical="center"/>
    </xf>
    <xf numFmtId="174" fontId="35" fillId="0" borderId="0" xfId="15" applyNumberFormat="1" applyFont="1" applyAlignment="1">
      <alignment horizontal="center" vertical="center"/>
    </xf>
    <xf numFmtId="174" fontId="29" fillId="0" borderId="0" xfId="16" applyNumberFormat="1" applyFont="1" applyFill="1" applyBorder="1" applyAlignment="1">
      <alignment horizontal="center" vertical="center"/>
    </xf>
    <xf numFmtId="174" fontId="25" fillId="0" borderId="0" xfId="16" applyNumberFormat="1" applyFont="1" applyFill="1" applyAlignment="1">
      <alignment horizontal="center" vertical="center"/>
    </xf>
    <xf numFmtId="174" fontId="37" fillId="0" borderId="0" xfId="15" applyNumberFormat="1" applyFont="1" applyAlignment="1">
      <alignment horizontal="right" vertical="center"/>
    </xf>
    <xf numFmtId="174" fontId="25" fillId="0" borderId="0" xfId="15" applyNumberFormat="1" applyFont="1" applyAlignment="1">
      <alignment horizontal="center" vertical="center"/>
    </xf>
    <xf numFmtId="174" fontId="29" fillId="7" borderId="0" xfId="15" applyNumberFormat="1" applyFont="1" applyFill="1" applyAlignment="1">
      <alignment horizontal="left" vertical="center"/>
    </xf>
    <xf numFmtId="174" fontId="29" fillId="7" borderId="0" xfId="15" applyNumberFormat="1" applyFont="1" applyFill="1" applyAlignment="1">
      <alignment horizontal="center" vertical="center"/>
    </xf>
    <xf numFmtId="174" fontId="29" fillId="0" borderId="0" xfId="15" applyNumberFormat="1" applyFont="1" applyAlignment="1">
      <alignment horizontal="center" vertical="center"/>
    </xf>
    <xf numFmtId="174" fontId="36" fillId="0" borderId="4" xfId="15" applyNumberFormat="1" applyFont="1" applyBorder="1" applyAlignment="1">
      <alignment horizontal="center" vertical="center"/>
    </xf>
    <xf numFmtId="174" fontId="25" fillId="0" borderId="4" xfId="16" applyNumberFormat="1" applyFont="1" applyBorder="1" applyAlignment="1">
      <alignment vertical="center"/>
    </xf>
    <xf numFmtId="174" fontId="45" fillId="0" borderId="0" xfId="15" applyNumberFormat="1" applyFont="1" applyAlignment="1">
      <alignment horizontal="right" vertical="center"/>
    </xf>
    <xf numFmtId="174" fontId="0" fillId="0" borderId="6" xfId="0" applyNumberFormat="1" applyBorder="1">
      <alignment vertical="center"/>
    </xf>
    <xf numFmtId="174" fontId="29" fillId="8" borderId="0" xfId="15" applyNumberFormat="1" applyFont="1" applyFill="1" applyAlignment="1">
      <alignment vertical="center"/>
    </xf>
    <xf numFmtId="174" fontId="29" fillId="8" borderId="0" xfId="8" applyNumberFormat="1" applyFont="1" applyFill="1" applyAlignment="1">
      <alignment horizontal="center" vertical="center"/>
    </xf>
    <xf numFmtId="174" fontId="57" fillId="0" borderId="8" xfId="15" applyNumberFormat="1" applyFont="1" applyBorder="1" applyAlignment="1">
      <alignment horizontal="right" vertical="center"/>
    </xf>
    <xf numFmtId="174" fontId="18" fillId="0" borderId="0" xfId="15" applyNumberFormat="1" applyFont="1" applyAlignment="1">
      <alignment vertical="center"/>
    </xf>
    <xf numFmtId="174" fontId="29" fillId="8" borderId="8" xfId="15" applyNumberFormat="1" applyFont="1" applyFill="1" applyBorder="1" applyAlignment="1">
      <alignment vertical="center"/>
    </xf>
    <xf numFmtId="174" fontId="29" fillId="8" borderId="8" xfId="8" applyNumberFormat="1" applyFont="1" applyFill="1" applyBorder="1" applyAlignment="1">
      <alignment horizontal="center" vertical="center"/>
    </xf>
    <xf numFmtId="174" fontId="29" fillId="8" borderId="8" xfId="15" applyNumberFormat="1" applyFont="1" applyFill="1" applyBorder="1" applyAlignment="1">
      <alignment horizontal="right" vertical="center"/>
    </xf>
    <xf numFmtId="174" fontId="29" fillId="0" borderId="0" xfId="15" applyNumberFormat="1" applyFont="1" applyAlignment="1">
      <alignment horizontal="right" vertical="center"/>
    </xf>
    <xf numFmtId="174" fontId="29" fillId="0" borderId="0" xfId="8" applyNumberFormat="1" applyFont="1" applyAlignment="1">
      <alignment horizontal="center" vertical="center"/>
    </xf>
    <xf numFmtId="174" fontId="25" fillId="0" borderId="4" xfId="15" applyNumberFormat="1" applyFont="1" applyBorder="1" applyAlignment="1">
      <alignment horizontal="right" vertical="center"/>
    </xf>
    <xf numFmtId="174" fontId="25" fillId="0" borderId="4" xfId="8" applyNumberFormat="1" applyFont="1" applyBorder="1" applyAlignment="1">
      <alignment vertical="center"/>
    </xf>
    <xf numFmtId="174" fontId="27" fillId="0" borderId="0" xfId="8" applyNumberFormat="1" applyFont="1" applyAlignment="1">
      <alignment vertical="center"/>
    </xf>
    <xf numFmtId="174" fontId="27" fillId="12" borderId="0" xfId="8" applyNumberFormat="1" applyFont="1" applyFill="1" applyAlignment="1">
      <alignment vertical="center"/>
    </xf>
    <xf numFmtId="174" fontId="25" fillId="0" borderId="0" xfId="15" applyNumberFormat="1" applyFont="1" applyAlignment="1">
      <alignment horizontal="right" vertical="center"/>
    </xf>
    <xf numFmtId="174" fontId="25" fillId="0" borderId="0" xfId="8" applyNumberFormat="1" applyFont="1" applyAlignment="1">
      <alignment vertical="center"/>
    </xf>
    <xf numFmtId="174" fontId="29" fillId="8" borderId="0" xfId="15" applyNumberFormat="1" applyFont="1" applyFill="1" applyAlignment="1">
      <alignment horizontal="left" vertical="center"/>
    </xf>
    <xf numFmtId="174" fontId="29" fillId="0" borderId="0" xfId="15" applyNumberFormat="1" applyFont="1" applyAlignment="1">
      <alignment horizontal="left" vertical="center"/>
    </xf>
    <xf numFmtId="174" fontId="35" fillId="0" borderId="0" xfId="8" applyNumberFormat="1" applyFont="1" applyAlignment="1">
      <alignment horizontal="center" vertical="center"/>
    </xf>
    <xf numFmtId="174" fontId="16" fillId="0" borderId="0" xfId="8" applyNumberFormat="1" applyFont="1" applyAlignment="1">
      <alignment vertical="center"/>
    </xf>
    <xf numFmtId="174" fontId="25" fillId="0" borderId="7" xfId="15" applyNumberFormat="1" applyFont="1" applyBorder="1" applyAlignment="1">
      <alignment horizontal="right" vertical="center"/>
    </xf>
    <xf numFmtId="174" fontId="27" fillId="0" borderId="7" xfId="15" applyNumberFormat="1" applyFont="1" applyBorder="1" applyAlignment="1">
      <alignment vertical="center"/>
    </xf>
    <xf numFmtId="174" fontId="27" fillId="0" borderId="0" xfId="13" applyNumberFormat="1" applyFont="1" applyAlignment="1">
      <alignment vertical="center"/>
    </xf>
    <xf numFmtId="9" fontId="27" fillId="0" borderId="0" xfId="13" applyFont="1" applyAlignment="1">
      <alignment vertical="center"/>
    </xf>
    <xf numFmtId="9" fontId="27" fillId="0" borderId="6" xfId="13" applyFont="1" applyBorder="1" applyAlignment="1">
      <alignment horizontal="center" vertical="center"/>
    </xf>
    <xf numFmtId="9" fontId="35" fillId="0" borderId="0" xfId="13" applyFont="1" applyAlignment="1">
      <alignment horizontal="center" vertical="center"/>
    </xf>
    <xf numFmtId="9" fontId="29" fillId="7" borderId="0" xfId="13" applyFont="1" applyFill="1" applyAlignment="1">
      <alignment horizontal="center" vertical="center"/>
    </xf>
    <xf numFmtId="9" fontId="27" fillId="0" borderId="6" xfId="13" applyFont="1" applyBorder="1" applyAlignment="1">
      <alignment vertical="center"/>
    </xf>
    <xf numFmtId="14" fontId="33" fillId="0" borderId="0" xfId="15" applyNumberFormat="1" applyFont="1" applyAlignment="1">
      <alignment horizontal="left" vertical="center"/>
    </xf>
    <xf numFmtId="164" fontId="28" fillId="0" borderId="5" xfId="8" applyFont="1" applyFill="1" applyBorder="1" applyAlignment="1" applyProtection="1">
      <alignment horizontal="center" vertical="center"/>
      <protection locked="0"/>
    </xf>
    <xf numFmtId="164" fontId="28" fillId="0" borderId="2" xfId="8" applyFont="1" applyFill="1" applyBorder="1" applyAlignment="1" applyProtection="1">
      <alignment horizontal="center" vertical="center"/>
      <protection locked="0"/>
    </xf>
    <xf numFmtId="164" fontId="28" fillId="0" borderId="2" xfId="8" applyFont="1" applyBorder="1" applyAlignment="1" applyProtection="1">
      <alignment vertical="center"/>
      <protection locked="0"/>
    </xf>
    <xf numFmtId="164" fontId="28" fillId="0" borderId="2" xfId="8" applyFont="1" applyBorder="1" applyAlignment="1" applyProtection="1">
      <alignment horizontal="center" vertical="center"/>
      <protection locked="0"/>
    </xf>
    <xf numFmtId="164" fontId="28" fillId="0" borderId="21" xfId="8" applyFont="1" applyBorder="1" applyAlignment="1" applyProtection="1">
      <alignment horizontal="center" vertical="center"/>
      <protection locked="0"/>
    </xf>
    <xf numFmtId="1" fontId="25" fillId="0" borderId="0" xfId="15" applyNumberFormat="1" applyFont="1" applyAlignment="1">
      <alignment horizontal="center" vertical="center"/>
    </xf>
    <xf numFmtId="1" fontId="25" fillId="12" borderId="0" xfId="15" applyNumberFormat="1" applyFont="1" applyFill="1" applyAlignment="1">
      <alignment horizontal="center" vertical="center"/>
    </xf>
    <xf numFmtId="1" fontId="36" fillId="0" borderId="0" xfId="15" applyNumberFormat="1" applyFont="1" applyAlignment="1">
      <alignment horizontal="center" vertical="center"/>
    </xf>
    <xf numFmtId="1" fontId="36" fillId="12" borderId="0" xfId="15" applyNumberFormat="1" applyFont="1" applyFill="1" applyAlignment="1">
      <alignment horizontal="center" vertical="center"/>
    </xf>
    <xf numFmtId="1" fontId="27" fillId="0" borderId="0" xfId="15" applyNumberFormat="1" applyFont="1" applyAlignment="1">
      <alignment horizontal="center" vertical="center"/>
    </xf>
    <xf numFmtId="1" fontId="27" fillId="12" borderId="0" xfId="15" applyNumberFormat="1" applyFont="1" applyFill="1" applyAlignment="1">
      <alignment horizontal="center" vertical="center"/>
    </xf>
    <xf numFmtId="1" fontId="35" fillId="0" borderId="0" xfId="15" applyNumberFormat="1" applyFont="1" applyAlignment="1">
      <alignment horizontal="center" vertical="center"/>
    </xf>
    <xf numFmtId="1" fontId="35" fillId="12" borderId="0" xfId="15" applyNumberFormat="1" applyFont="1" applyFill="1" applyAlignment="1">
      <alignment horizontal="center" vertical="center"/>
    </xf>
    <xf numFmtId="174" fontId="25" fillId="0" borderId="0" xfId="15" applyNumberFormat="1" applyFont="1" applyAlignment="1">
      <alignment horizontal="left" vertical="center"/>
    </xf>
    <xf numFmtId="174" fontId="40" fillId="0" borderId="0" xfId="15" applyNumberFormat="1" applyFont="1" applyAlignment="1">
      <alignment horizontal="left" vertical="center"/>
    </xf>
    <xf numFmtId="174" fontId="36" fillId="0" borderId="0" xfId="15" quotePrefix="1" applyNumberFormat="1" applyFont="1" applyAlignment="1">
      <alignment horizontal="left" vertical="center"/>
    </xf>
    <xf numFmtId="174" fontId="31" fillId="0" borderId="0" xfId="15" quotePrefix="1" applyNumberFormat="1" applyFont="1" applyAlignment="1">
      <alignment horizontal="left" vertical="center"/>
    </xf>
    <xf numFmtId="174" fontId="25" fillId="0" borderId="6" xfId="15" applyNumberFormat="1" applyFont="1" applyBorder="1" applyAlignment="1">
      <alignment horizontal="left" vertical="center"/>
    </xf>
    <xf numFmtId="174" fontId="31" fillId="0" borderId="6" xfId="15" quotePrefix="1" applyNumberFormat="1" applyFont="1" applyBorder="1" applyAlignment="1">
      <alignment horizontal="left" vertical="center"/>
    </xf>
    <xf numFmtId="174" fontId="36" fillId="0" borderId="4" xfId="15" quotePrefix="1" applyNumberFormat="1" applyFont="1" applyBorder="1" applyAlignment="1">
      <alignment horizontal="left" vertical="center"/>
    </xf>
    <xf numFmtId="174" fontId="29" fillId="0" borderId="0" xfId="16" applyNumberFormat="1" applyFont="1" applyFill="1" applyBorder="1" applyAlignment="1">
      <alignment horizontal="left" vertical="center"/>
    </xf>
    <xf numFmtId="174" fontId="37" fillId="0" borderId="0" xfId="15" applyNumberFormat="1" applyFont="1" applyAlignment="1">
      <alignment horizontal="left" vertical="center"/>
    </xf>
    <xf numFmtId="174" fontId="45" fillId="0" borderId="0" xfId="15" applyNumberFormat="1" applyFont="1" applyAlignment="1">
      <alignment horizontal="left" vertical="center"/>
    </xf>
    <xf numFmtId="174" fontId="27" fillId="0" borderId="6" xfId="15" applyNumberFormat="1" applyFont="1" applyBorder="1" applyAlignment="1">
      <alignment horizontal="left" vertical="center"/>
    </xf>
    <xf numFmtId="14" fontId="27" fillId="6" borderId="0" xfId="0" quotePrefix="1" applyNumberFormat="1" applyFont="1" applyFill="1" applyAlignment="1">
      <alignment horizontal="left" vertical="center" indent="1"/>
    </xf>
    <xf numFmtId="174" fontId="27" fillId="6" borderId="0" xfId="8" applyNumberFormat="1" applyFont="1" applyFill="1" applyAlignment="1">
      <alignment vertical="center"/>
    </xf>
    <xf numFmtId="164" fontId="27" fillId="6" borderId="2" xfId="8" applyFont="1" applyFill="1" applyBorder="1" applyAlignment="1">
      <alignment vertical="center"/>
    </xf>
    <xf numFmtId="0" fontId="27" fillId="6" borderId="0" xfId="0" applyFont="1" applyFill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25" fillId="6" borderId="0" xfId="0" applyFont="1" applyFill="1" applyAlignment="1">
      <alignment horizontal="right" vertical="center" indent="1"/>
    </xf>
    <xf numFmtId="174" fontId="25" fillId="6" borderId="0" xfId="8" applyNumberFormat="1" applyFont="1" applyFill="1" applyAlignment="1">
      <alignment vertical="center"/>
    </xf>
    <xf numFmtId="174" fontId="25" fillId="6" borderId="2" xfId="8" applyNumberFormat="1" applyFont="1" applyFill="1" applyBorder="1" applyAlignment="1">
      <alignment vertical="center"/>
    </xf>
    <xf numFmtId="0" fontId="25" fillId="0" borderId="0" xfId="0" applyFont="1">
      <alignment vertical="center"/>
    </xf>
    <xf numFmtId="0" fontId="27" fillId="6" borderId="0" xfId="0" applyFont="1" applyFill="1" applyAlignment="1">
      <alignment horizontal="right" vertical="center" indent="1"/>
    </xf>
    <xf numFmtId="174" fontId="27" fillId="6" borderId="2" xfId="8" applyNumberFormat="1" applyFont="1" applyFill="1" applyBorder="1" applyAlignment="1">
      <alignment vertical="center"/>
    </xf>
    <xf numFmtId="174" fontId="27" fillId="0" borderId="0" xfId="0" applyNumberFormat="1" applyFont="1">
      <alignment vertical="center"/>
    </xf>
    <xf numFmtId="174" fontId="27" fillId="0" borderId="0" xfId="0" applyNumberFormat="1" applyFont="1" applyAlignment="1">
      <alignment horizontal="right" vertical="center" indent="3"/>
    </xf>
    <xf numFmtId="0" fontId="25" fillId="6" borderId="4" xfId="0" applyFont="1" applyFill="1" applyBorder="1" applyAlignment="1">
      <alignment horizontal="right" vertical="center" indent="1"/>
    </xf>
    <xf numFmtId="174" fontId="25" fillId="6" borderId="4" xfId="8" applyNumberFormat="1" applyFont="1" applyFill="1" applyBorder="1" applyAlignment="1">
      <alignment vertical="center"/>
    </xf>
    <xf numFmtId="174" fontId="25" fillId="6" borderId="5" xfId="8" applyNumberFormat="1" applyFont="1" applyFill="1" applyBorder="1" applyAlignment="1">
      <alignment vertical="center"/>
    </xf>
    <xf numFmtId="0" fontId="27" fillId="11" borderId="0" xfId="0" applyFont="1" applyFill="1" applyAlignment="1">
      <alignment horizontal="right" vertical="center" indent="1"/>
    </xf>
    <xf numFmtId="0" fontId="27" fillId="6" borderId="6" xfId="0" applyFont="1" applyFill="1" applyBorder="1" applyAlignment="1">
      <alignment horizontal="right" vertical="center" indent="1"/>
    </xf>
    <xf numFmtId="174" fontId="27" fillId="6" borderId="6" xfId="8" applyNumberFormat="1" applyFont="1" applyFill="1" applyBorder="1" applyAlignment="1">
      <alignment vertical="center"/>
    </xf>
    <xf numFmtId="174" fontId="27" fillId="6" borderId="0" xfId="8" applyNumberFormat="1" applyFont="1" applyFill="1" applyBorder="1" applyAlignment="1">
      <alignment vertical="center"/>
    </xf>
    <xf numFmtId="0" fontId="22" fillId="6" borderId="28" xfId="0" applyFont="1" applyFill="1" applyBorder="1" applyAlignment="1">
      <alignment horizontal="left" vertical="center" indent="1"/>
    </xf>
    <xf numFmtId="174" fontId="22" fillId="6" borderId="28" xfId="8" applyNumberFormat="1" applyFont="1" applyFill="1" applyBorder="1" applyAlignment="1">
      <alignment vertical="center"/>
    </xf>
    <xf numFmtId="174" fontId="22" fillId="6" borderId="0" xfId="8" applyNumberFormat="1" applyFont="1" applyFill="1" applyAlignment="1">
      <alignment vertical="center"/>
    </xf>
    <xf numFmtId="0" fontId="60" fillId="6" borderId="0" xfId="0" applyFont="1" applyFill="1" applyAlignment="1">
      <alignment horizontal="left" vertical="center" indent="1"/>
    </xf>
    <xf numFmtId="174" fontId="60" fillId="6" borderId="0" xfId="8" applyNumberFormat="1" applyFont="1" applyFill="1" applyAlignment="1">
      <alignment vertical="center"/>
    </xf>
    <xf numFmtId="174" fontId="60" fillId="6" borderId="2" xfId="8" applyNumberFormat="1" applyFont="1" applyFill="1" applyBorder="1" applyAlignment="1">
      <alignment vertical="center"/>
    </xf>
    <xf numFmtId="0" fontId="22" fillId="0" borderId="0" xfId="0" applyFont="1">
      <alignment vertical="center"/>
    </xf>
    <xf numFmtId="0" fontId="55" fillId="6" borderId="0" xfId="0" applyFont="1" applyFill="1" applyAlignment="1">
      <alignment horizontal="right" vertical="center" indent="1"/>
    </xf>
    <xf numFmtId="174" fontId="61" fillId="6" borderId="0" xfId="8" applyNumberFormat="1" applyFont="1" applyFill="1" applyAlignment="1">
      <alignment vertical="center"/>
    </xf>
    <xf numFmtId="174" fontId="61" fillId="6" borderId="2" xfId="8" applyNumberFormat="1" applyFont="1" applyFill="1" applyBorder="1" applyAlignment="1">
      <alignment vertical="center"/>
    </xf>
    <xf numFmtId="0" fontId="61" fillId="6" borderId="6" xfId="0" applyFont="1" applyFill="1" applyBorder="1" applyAlignment="1">
      <alignment horizontal="right" vertical="center" indent="1"/>
    </xf>
    <xf numFmtId="174" fontId="61" fillId="6" borderId="6" xfId="8" applyNumberFormat="1" applyFont="1" applyFill="1" applyBorder="1" applyAlignment="1">
      <alignment vertical="center"/>
    </xf>
    <xf numFmtId="174" fontId="61" fillId="6" borderId="29" xfId="8" applyNumberFormat="1" applyFont="1" applyFill="1" applyBorder="1" applyAlignment="1">
      <alignment vertical="center"/>
    </xf>
    <xf numFmtId="0" fontId="55" fillId="6" borderId="6" xfId="0" applyFont="1" applyFill="1" applyBorder="1" applyAlignment="1">
      <alignment horizontal="left" vertical="center" indent="1"/>
    </xf>
    <xf numFmtId="174" fontId="55" fillId="6" borderId="6" xfId="8" applyNumberFormat="1" applyFont="1" applyFill="1" applyBorder="1" applyAlignment="1">
      <alignment vertical="center"/>
    </xf>
    <xf numFmtId="174" fontId="55" fillId="6" borderId="29" xfId="8" applyNumberFormat="1" applyFont="1" applyFill="1" applyBorder="1" applyAlignment="1">
      <alignment vertical="center"/>
    </xf>
    <xf numFmtId="0" fontId="27" fillId="0" borderId="6" xfId="0" applyFont="1" applyBorder="1">
      <alignment vertical="center"/>
    </xf>
    <xf numFmtId="174" fontId="27" fillId="0" borderId="6" xfId="8" applyNumberFormat="1" applyFont="1" applyBorder="1" applyAlignment="1">
      <alignment vertical="center"/>
    </xf>
    <xf numFmtId="174" fontId="27" fillId="0" borderId="6" xfId="8" applyNumberFormat="1" applyFont="1" applyBorder="1" applyAlignment="1">
      <alignment horizontal="right" vertical="center" indent="3"/>
    </xf>
    <xf numFmtId="174" fontId="58" fillId="6" borderId="15" xfId="8" applyNumberFormat="1" applyFont="1" applyFill="1" applyBorder="1" applyAlignment="1">
      <alignment vertical="center"/>
    </xf>
    <xf numFmtId="0" fontId="58" fillId="0" borderId="0" xfId="0" applyFont="1">
      <alignment vertical="center"/>
    </xf>
    <xf numFmtId="174" fontId="58" fillId="0" borderId="13" xfId="8" applyNumberFormat="1" applyFont="1" applyBorder="1" applyAlignment="1">
      <alignment vertical="center"/>
    </xf>
    <xf numFmtId="174" fontId="58" fillId="0" borderId="16" xfId="8" applyNumberFormat="1" applyFont="1" applyBorder="1" applyAlignment="1">
      <alignment vertical="center"/>
    </xf>
    <xf numFmtId="0" fontId="29" fillId="4" borderId="0" xfId="1" applyNumberFormat="1" applyFont="1" applyFill="1" applyBorder="1" applyAlignment="1">
      <alignment horizontal="center" wrapText="1"/>
    </xf>
    <xf numFmtId="0" fontId="17" fillId="4" borderId="0" xfId="1" applyNumberFormat="1" applyFont="1" applyFill="1" applyBorder="1" applyAlignment="1">
      <alignment horizontal="center" wrapText="1"/>
    </xf>
    <xf numFmtId="0" fontId="18" fillId="0" borderId="0" xfId="0" applyFont="1" applyAlignment="1"/>
    <xf numFmtId="0" fontId="29" fillId="3" borderId="11" xfId="0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64" fontId="29" fillId="3" borderId="0" xfId="8" applyFont="1" applyFill="1" applyAlignment="1">
      <alignment horizontal="center" vertical="center"/>
    </xf>
    <xf numFmtId="164" fontId="29" fillId="3" borderId="0" xfId="8" applyFont="1" applyFill="1" applyAlignment="1">
      <alignment horizontal="right" vertical="center"/>
    </xf>
    <xf numFmtId="164" fontId="29" fillId="9" borderId="12" xfId="8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167" fontId="29" fillId="3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left" vertical="center" indent="1"/>
    </xf>
    <xf numFmtId="174" fontId="29" fillId="8" borderId="10" xfId="16" applyNumberFormat="1" applyFont="1" applyFill="1" applyBorder="1" applyAlignment="1">
      <alignment horizontal="right" vertical="center"/>
    </xf>
    <xf numFmtId="174" fontId="66" fillId="0" borderId="0" xfId="15" applyNumberFormat="1" applyFont="1" applyAlignment="1">
      <alignment vertical="center"/>
    </xf>
    <xf numFmtId="174" fontId="67" fillId="0" borderId="0" xfId="15" applyNumberFormat="1" applyFont="1" applyAlignment="1">
      <alignment vertical="center"/>
    </xf>
    <xf numFmtId="174" fontId="33" fillId="0" borderId="0" xfId="15" applyNumberFormat="1" applyFont="1" applyAlignment="1">
      <alignment horizontal="left" vertical="center" wrapText="1"/>
    </xf>
    <xf numFmtId="164" fontId="27" fillId="6" borderId="0" xfId="8" applyFont="1" applyFill="1" applyBorder="1" applyAlignment="1">
      <alignment vertical="center"/>
    </xf>
    <xf numFmtId="0" fontId="62" fillId="4" borderId="0" xfId="1" applyNumberFormat="1" applyFont="1" applyFill="1" applyBorder="1" applyAlignment="1">
      <alignment horizontal="center" vertical="center" wrapText="1"/>
    </xf>
    <xf numFmtId="14" fontId="27" fillId="0" borderId="0" xfId="0" applyNumberFormat="1" applyFont="1">
      <alignment vertical="center"/>
    </xf>
    <xf numFmtId="0" fontId="27" fillId="0" borderId="0" xfId="22" applyFont="1" applyAlignment="1">
      <alignment vertical="center"/>
    </xf>
    <xf numFmtId="0" fontId="29" fillId="8" borderId="0" xfId="22" applyFont="1" applyFill="1" applyAlignment="1">
      <alignment horizontal="center" vertical="center"/>
    </xf>
    <xf numFmtId="169" fontId="29" fillId="8" borderId="17" xfId="22" applyNumberFormat="1" applyFont="1" applyFill="1" applyBorder="1" applyAlignment="1">
      <alignment vertical="center"/>
    </xf>
    <xf numFmtId="0" fontId="25" fillId="0" borderId="0" xfId="22" applyFont="1" applyAlignment="1">
      <alignment horizontal="center" vertical="center"/>
    </xf>
    <xf numFmtId="164" fontId="27" fillId="6" borderId="0" xfId="8" applyFont="1" applyFill="1" applyAlignment="1">
      <alignment vertical="center"/>
    </xf>
    <xf numFmtId="174" fontId="29" fillId="8" borderId="8" xfId="16" applyNumberFormat="1" applyFont="1" applyFill="1" applyBorder="1" applyAlignment="1">
      <alignment horizontal="center" vertical="center"/>
    </xf>
    <xf numFmtId="0" fontId="69" fillId="0" borderId="0" xfId="24" applyAlignment="1">
      <alignment horizontal="left" vertical="top"/>
    </xf>
    <xf numFmtId="0" fontId="69" fillId="0" borderId="0" xfId="24" applyAlignment="1">
      <alignment horizontal="left" wrapText="1"/>
    </xf>
    <xf numFmtId="0" fontId="69" fillId="0" borderId="0" xfId="24" applyAlignment="1">
      <alignment horizontal="left" vertical="center" wrapText="1"/>
    </xf>
    <xf numFmtId="0" fontId="69" fillId="0" borderId="0" xfId="24" applyAlignment="1">
      <alignment horizontal="left" vertical="top" wrapText="1"/>
    </xf>
    <xf numFmtId="164" fontId="69" fillId="0" borderId="0" xfId="8" applyFont="1" applyAlignment="1">
      <alignment horizontal="left" vertical="top" wrapText="1"/>
    </xf>
    <xf numFmtId="0" fontId="77" fillId="0" borderId="0" xfId="24" applyFont="1" applyAlignment="1">
      <alignment horizontal="left" vertical="top" wrapText="1"/>
    </xf>
    <xf numFmtId="178" fontId="27" fillId="0" borderId="0" xfId="8" applyNumberFormat="1" applyFont="1" applyAlignment="1">
      <alignment vertical="center"/>
    </xf>
    <xf numFmtId="0" fontId="44" fillId="0" borderId="0" xfId="0" applyFont="1">
      <alignment vertical="center"/>
    </xf>
    <xf numFmtId="179" fontId="24" fillId="0" borderId="0" xfId="0" applyNumberFormat="1" applyFont="1">
      <alignment vertical="center"/>
    </xf>
    <xf numFmtId="180" fontId="29" fillId="8" borderId="8" xfId="13" applyNumberFormat="1" applyFont="1" applyFill="1" applyBorder="1" applyAlignment="1">
      <alignment horizontal="center" vertical="center"/>
    </xf>
    <xf numFmtId="180" fontId="27" fillId="0" borderId="6" xfId="13" applyNumberFormat="1" applyFont="1" applyBorder="1" applyAlignment="1">
      <alignment horizontal="center" vertical="center"/>
    </xf>
    <xf numFmtId="180" fontId="27" fillId="0" borderId="0" xfId="13" applyNumberFormat="1" applyFont="1" applyAlignment="1">
      <alignment horizontal="center" vertical="center"/>
    </xf>
    <xf numFmtId="180" fontId="27" fillId="0" borderId="0" xfId="13" applyNumberFormat="1" applyFont="1" applyBorder="1" applyAlignment="1">
      <alignment horizontal="center" vertical="center"/>
    </xf>
    <xf numFmtId="180" fontId="29" fillId="0" borderId="0" xfId="13" applyNumberFormat="1" applyFont="1" applyFill="1" applyBorder="1" applyAlignment="1">
      <alignment horizontal="center" vertical="center"/>
    </xf>
    <xf numFmtId="8" fontId="24" fillId="0" borderId="0" xfId="0" applyNumberFormat="1" applyFont="1">
      <alignment vertical="center"/>
    </xf>
    <xf numFmtId="0" fontId="25" fillId="0" borderId="9" xfId="0" applyFont="1" applyBorder="1" applyAlignment="1">
      <alignment horizontal="center" vertical="center"/>
    </xf>
    <xf numFmtId="164" fontId="27" fillId="0" borderId="9" xfId="8" applyFont="1" applyBorder="1" applyAlignment="1">
      <alignment horizontal="center" vertical="center"/>
    </xf>
    <xf numFmtId="0" fontId="27" fillId="0" borderId="4" xfId="0" applyFont="1" applyBorder="1">
      <alignment vertical="center"/>
    </xf>
    <xf numFmtId="165" fontId="27" fillId="0" borderId="4" xfId="18" applyFont="1" applyBorder="1" applyAlignment="1">
      <alignment vertical="center"/>
    </xf>
    <xf numFmtId="0" fontId="27" fillId="0" borderId="0" xfId="0" applyFont="1" applyAlignment="1">
      <alignment horizontal="right" vertical="center"/>
    </xf>
    <xf numFmtId="181" fontId="27" fillId="0" borderId="0" xfId="15" applyNumberFormat="1" applyFont="1" applyAlignment="1">
      <alignment vertical="center"/>
    </xf>
    <xf numFmtId="174" fontId="27" fillId="0" borderId="0" xfId="8" applyNumberFormat="1" applyFont="1" applyFill="1" applyAlignment="1">
      <alignment vertical="center"/>
    </xf>
    <xf numFmtId="174" fontId="31" fillId="0" borderId="0" xfId="15" applyNumberFormat="1" applyFont="1" applyAlignment="1">
      <alignment horizontal="right" vertical="center"/>
    </xf>
    <xf numFmtId="14" fontId="17" fillId="6" borderId="0" xfId="0" applyNumberFormat="1" applyFont="1" applyFill="1">
      <alignment vertical="center"/>
    </xf>
    <xf numFmtId="164" fontId="26" fillId="0" borderId="14" xfId="8" applyFont="1" applyFill="1" applyBorder="1" applyAlignment="1">
      <alignment horizontal="center" vertical="center"/>
    </xf>
    <xf numFmtId="174" fontId="29" fillId="8" borderId="6" xfId="16" applyNumberFormat="1" applyFont="1" applyFill="1" applyBorder="1" applyAlignment="1">
      <alignment horizontal="left" vertical="center"/>
    </xf>
    <xf numFmtId="174" fontId="25" fillId="0" borderId="0" xfId="16" applyNumberFormat="1" applyFont="1" applyFill="1" applyBorder="1" applyAlignment="1">
      <alignment horizontal="center" vertical="center"/>
    </xf>
    <xf numFmtId="174" fontId="58" fillId="0" borderId="0" xfId="15" applyNumberFormat="1" applyFont="1" applyAlignment="1">
      <alignment horizontal="right" vertical="center"/>
    </xf>
    <xf numFmtId="174" fontId="38" fillId="0" borderId="0" xfId="15" applyNumberFormat="1" applyFont="1" applyAlignment="1">
      <alignment horizontal="center" vertical="center" wrapText="1"/>
    </xf>
    <xf numFmtId="0" fontId="80" fillId="0" borderId="0" xfId="0" applyFont="1">
      <alignment vertical="center"/>
    </xf>
    <xf numFmtId="182" fontId="27" fillId="0" borderId="0" xfId="15" applyNumberFormat="1" applyFont="1" applyAlignment="1">
      <alignment vertical="center"/>
    </xf>
    <xf numFmtId="183" fontId="27" fillId="0" borderId="0" xfId="0" applyNumberFormat="1" applyFont="1" applyAlignment="1">
      <alignment horizontal="center" vertical="center"/>
    </xf>
    <xf numFmtId="0" fontId="33" fillId="8" borderId="0" xfId="15" applyFont="1" applyFill="1" applyAlignment="1">
      <alignment horizontal="center" vertical="top"/>
    </xf>
    <xf numFmtId="164" fontId="27" fillId="0" borderId="0" xfId="8" applyFont="1" applyFill="1" applyAlignment="1">
      <alignment vertical="center"/>
    </xf>
    <xf numFmtId="10" fontId="82" fillId="0" borderId="14" xfId="13" applyNumberFormat="1" applyFont="1" applyBorder="1" applyAlignment="1">
      <alignment vertical="center"/>
    </xf>
    <xf numFmtId="164" fontId="81" fillId="0" borderId="26" xfId="0" applyNumberFormat="1" applyFont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 wrapText="1"/>
    </xf>
    <xf numFmtId="0" fontId="5" fillId="0" borderId="0" xfId="26"/>
    <xf numFmtId="184" fontId="83" fillId="0" borderId="0" xfId="27"/>
    <xf numFmtId="0" fontId="84" fillId="8" borderId="0" xfId="26" applyFont="1" applyFill="1" applyAlignment="1">
      <alignment vertical="center"/>
    </xf>
    <xf numFmtId="0" fontId="84" fillId="8" borderId="35" xfId="26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0" fillId="0" borderId="0" xfId="0" applyAlignment="1"/>
    <xf numFmtId="184" fontId="0" fillId="0" borderId="0" xfId="0" applyNumberFormat="1" applyAlignment="1"/>
    <xf numFmtId="9" fontId="83" fillId="0" borderId="0" xfId="13" applyFont="1"/>
    <xf numFmtId="184" fontId="83" fillId="0" borderId="35" xfId="27" applyBorder="1" applyAlignment="1">
      <alignment horizontal="center" vertical="center"/>
    </xf>
    <xf numFmtId="184" fontId="83" fillId="8" borderId="35" xfId="27" applyFill="1" applyBorder="1" applyAlignment="1">
      <alignment horizontal="center" vertical="center"/>
    </xf>
    <xf numFmtId="180" fontId="83" fillId="0" borderId="35" xfId="28" applyNumberFormat="1" applyBorder="1" applyAlignment="1">
      <alignment horizontal="center" vertical="center"/>
    </xf>
    <xf numFmtId="180" fontId="83" fillId="8" borderId="35" xfId="28" applyNumberFormat="1" applyFill="1" applyBorder="1" applyAlignment="1">
      <alignment horizontal="center" vertical="center"/>
    </xf>
    <xf numFmtId="184" fontId="27" fillId="0" borderId="0" xfId="0" applyNumberFormat="1" applyFont="1">
      <alignment vertical="center"/>
    </xf>
    <xf numFmtId="184" fontId="19" fillId="0" borderId="0" xfId="0" applyNumberFormat="1" applyFont="1" applyAlignment="1">
      <alignment horizontal="center" vertical="center"/>
    </xf>
    <xf numFmtId="0" fontId="5" fillId="0" borderId="0" xfId="26" applyAlignment="1">
      <alignment horizontal="center" vertical="center"/>
    </xf>
    <xf numFmtId="180" fontId="19" fillId="0" borderId="0" xfId="13" applyNumberFormat="1" applyFont="1" applyAlignment="1">
      <alignment horizontal="center" vertical="center"/>
    </xf>
    <xf numFmtId="0" fontId="19" fillId="0" borderId="0" xfId="0" applyFont="1">
      <alignment vertical="center"/>
    </xf>
    <xf numFmtId="184" fontId="83" fillId="0" borderId="0" xfId="27" applyAlignment="1">
      <alignment horizontal="center" vertical="center"/>
    </xf>
    <xf numFmtId="9" fontId="52" fillId="0" borderId="0" xfId="0" applyNumberFormat="1" applyFont="1">
      <alignment vertical="center"/>
    </xf>
    <xf numFmtId="164" fontId="52" fillId="0" borderId="0" xfId="0" applyNumberFormat="1" applyFont="1">
      <alignment vertical="center"/>
    </xf>
    <xf numFmtId="0" fontId="84" fillId="8" borderId="0" xfId="26" applyFont="1" applyFill="1" applyAlignment="1">
      <alignment horizontal="center" vertical="center"/>
    </xf>
    <xf numFmtId="165" fontId="27" fillId="0" borderId="0" xfId="18" applyFont="1" applyBorder="1" applyAlignment="1">
      <alignment vertical="center"/>
    </xf>
    <xf numFmtId="0" fontId="86" fillId="0" borderId="0" xfId="0" applyFont="1" applyAlignment="1">
      <alignment horizontal="center" vertical="center"/>
    </xf>
    <xf numFmtId="174" fontId="29" fillId="8" borderId="9" xfId="16" applyNumberFormat="1" applyFont="1" applyFill="1" applyBorder="1" applyAlignment="1">
      <alignment horizontal="center" vertical="center"/>
    </xf>
    <xf numFmtId="174" fontId="18" fillId="0" borderId="0" xfId="8" applyNumberFormat="1" applyFont="1" applyFill="1" applyAlignment="1">
      <alignment vertical="center"/>
    </xf>
    <xf numFmtId="10" fontId="50" fillId="0" borderId="0" xfId="13" applyNumberFormat="1" applyFont="1" applyBorder="1" applyAlignment="1">
      <alignment horizontal="right" vertical="center"/>
    </xf>
    <xf numFmtId="164" fontId="29" fillId="0" borderId="4" xfId="16" applyFont="1" applyFill="1" applyBorder="1" applyAlignment="1">
      <alignment horizontal="right" vertical="center"/>
    </xf>
    <xf numFmtId="164" fontId="29" fillId="8" borderId="17" xfId="29" applyFont="1" applyFill="1" applyBorder="1" applyAlignment="1">
      <alignment horizontal="center" vertical="center" wrapText="1"/>
    </xf>
    <xf numFmtId="0" fontId="87" fillId="11" borderId="0" xfId="0" applyFont="1" applyFill="1" applyAlignment="1">
      <alignment horizontal="left" vertical="center" indent="1"/>
    </xf>
    <xf numFmtId="0" fontId="25" fillId="0" borderId="4" xfId="15" quotePrefix="1" applyFont="1" applyBorder="1" applyAlignment="1">
      <alignment horizontal="right" vertical="center"/>
    </xf>
    <xf numFmtId="164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 wrapText="1"/>
    </xf>
    <xf numFmtId="174" fontId="25" fillId="6" borderId="0" xfId="8" applyNumberFormat="1" applyFont="1" applyFill="1" applyBorder="1" applyAlignment="1">
      <alignment vertical="center"/>
    </xf>
    <xf numFmtId="44" fontId="28" fillId="0" borderId="0" xfId="0" applyNumberFormat="1" applyFont="1">
      <alignment vertical="center"/>
    </xf>
    <xf numFmtId="0" fontId="65" fillId="5" borderId="0" xfId="0" applyFont="1" applyFill="1" applyAlignment="1">
      <alignment horizontal="left" vertical="center"/>
    </xf>
    <xf numFmtId="0" fontId="58" fillId="6" borderId="15" xfId="0" applyFont="1" applyFill="1" applyBorder="1" applyAlignment="1">
      <alignment horizontal="right" vertical="center" indent="1"/>
    </xf>
    <xf numFmtId="0" fontId="58" fillId="6" borderId="13" xfId="0" applyFont="1" applyFill="1" applyBorder="1" applyAlignment="1">
      <alignment horizontal="right" vertical="center" indent="1"/>
    </xf>
    <xf numFmtId="0" fontId="58" fillId="6" borderId="16" xfId="0" applyFont="1" applyFill="1" applyBorder="1" applyAlignment="1">
      <alignment horizontal="right" vertical="center" indent="1"/>
    </xf>
    <xf numFmtId="0" fontId="16" fillId="4" borderId="0" xfId="0" applyFont="1" applyFill="1">
      <alignment vertical="center"/>
    </xf>
    <xf numFmtId="0" fontId="19" fillId="4" borderId="0" xfId="2" applyNumberFormat="1" applyFont="1" applyFill="1" applyBorder="1"/>
    <xf numFmtId="0" fontId="18" fillId="4" borderId="0" xfId="0" applyFont="1" applyFill="1" applyAlignment="1">
      <alignment horizontal="center"/>
    </xf>
    <xf numFmtId="168" fontId="65" fillId="3" borderId="0" xfId="3" applyNumberFormat="1" applyFont="1" applyBorder="1" applyAlignment="1">
      <alignment horizontal="right" vertical="center"/>
    </xf>
    <xf numFmtId="164" fontId="43" fillId="10" borderId="0" xfId="8" applyFont="1" applyFill="1" applyBorder="1" applyAlignment="1">
      <alignment horizontal="center" vertical="center"/>
    </xf>
    <xf numFmtId="164" fontId="43" fillId="10" borderId="0" xfId="8" applyFont="1" applyFill="1" applyBorder="1" applyAlignment="1">
      <alignment horizontal="center" vertical="center" wrapText="1"/>
    </xf>
    <xf numFmtId="0" fontId="69" fillId="0" borderId="0" xfId="24" applyAlignment="1">
      <alignment horizontal="right" vertical="top"/>
    </xf>
    <xf numFmtId="0" fontId="72" fillId="16" borderId="31" xfId="24" applyFont="1" applyFill="1" applyBorder="1" applyAlignment="1">
      <alignment horizontal="center" vertical="center" wrapText="1"/>
    </xf>
    <xf numFmtId="1" fontId="70" fillId="0" borderId="30" xfId="24" applyNumberFormat="1" applyFont="1" applyBorder="1" applyAlignment="1">
      <alignment horizontal="center" vertical="center" shrinkToFit="1"/>
    </xf>
    <xf numFmtId="177" fontId="70" fillId="0" borderId="30" xfId="24" applyNumberFormat="1" applyFont="1" applyBorder="1" applyAlignment="1">
      <alignment horizontal="center" vertical="center" shrinkToFit="1"/>
    </xf>
    <xf numFmtId="0" fontId="71" fillId="0" borderId="30" xfId="24" applyFont="1" applyBorder="1" applyAlignment="1">
      <alignment horizontal="center" vertical="center" wrapText="1"/>
    </xf>
    <xf numFmtId="175" fontId="70" fillId="0" borderId="30" xfId="24" applyNumberFormat="1" applyFont="1" applyBorder="1" applyAlignment="1">
      <alignment horizontal="center" vertical="center" shrinkToFit="1"/>
    </xf>
    <xf numFmtId="176" fontId="70" fillId="0" borderId="30" xfId="24" applyNumberFormat="1" applyFont="1" applyBorder="1" applyAlignment="1">
      <alignment horizontal="center" vertical="center" shrinkToFit="1"/>
    </xf>
    <xf numFmtId="186" fontId="27" fillId="0" borderId="0" xfId="15" applyNumberFormat="1" applyFont="1" applyAlignment="1">
      <alignment horizontal="left" vertical="center"/>
    </xf>
    <xf numFmtId="174" fontId="48" fillId="8" borderId="0" xfId="16" applyNumberFormat="1" applyFont="1" applyFill="1" applyBorder="1" applyAlignment="1">
      <alignment vertical="center"/>
    </xf>
    <xf numFmtId="174" fontId="29" fillId="8" borderId="11" xfId="16" applyNumberFormat="1" applyFont="1" applyFill="1" applyBorder="1" applyAlignment="1">
      <alignment vertical="center"/>
    </xf>
    <xf numFmtId="187" fontId="28" fillId="0" borderId="0" xfId="0" applyNumberFormat="1" applyFont="1" applyProtection="1">
      <alignment vertical="center"/>
      <protection locked="0"/>
    </xf>
    <xf numFmtId="188" fontId="83" fillId="0" borderId="35" xfId="27" applyNumberFormat="1" applyBorder="1" applyAlignment="1">
      <alignment horizontal="center" vertical="center"/>
    </xf>
    <xf numFmtId="188" fontId="19" fillId="0" borderId="0" xfId="0" applyNumberFormat="1" applyFont="1">
      <alignment vertical="center"/>
    </xf>
    <xf numFmtId="174" fontId="88" fillId="0" borderId="0" xfId="15" applyNumberFormat="1" applyFont="1" applyAlignment="1">
      <alignment horizontal="right" vertical="center"/>
    </xf>
    <xf numFmtId="180" fontId="17" fillId="8" borderId="8" xfId="13" applyNumberFormat="1" applyFont="1" applyFill="1" applyBorder="1" applyAlignment="1">
      <alignment horizontal="center" vertical="center"/>
    </xf>
    <xf numFmtId="180" fontId="29" fillId="8" borderId="38" xfId="13" applyNumberFormat="1" applyFont="1" applyFill="1" applyBorder="1" applyAlignment="1">
      <alignment horizontal="center" vertical="center"/>
    </xf>
    <xf numFmtId="174" fontId="62" fillId="4" borderId="0" xfId="1" applyNumberFormat="1" applyFont="1" applyFill="1" applyBorder="1" applyAlignment="1">
      <alignment horizontal="center" vertical="center" wrapText="1"/>
    </xf>
    <xf numFmtId="164" fontId="17" fillId="0" borderId="0" xfId="8" applyFont="1" applyFill="1" applyAlignment="1" applyProtection="1">
      <alignment horizontal="center" vertical="center"/>
      <protection locked="0"/>
    </xf>
    <xf numFmtId="174" fontId="57" fillId="0" borderId="0" xfId="15" applyNumberFormat="1" applyFont="1" applyAlignment="1">
      <alignment horizontal="right" vertical="center"/>
    </xf>
    <xf numFmtId="189" fontId="27" fillId="0" borderId="0" xfId="0" applyNumberFormat="1" applyFont="1">
      <alignment vertical="center"/>
    </xf>
    <xf numFmtId="174" fontId="89" fillId="13" borderId="0" xfId="0" applyNumberFormat="1" applyFont="1" applyFill="1" applyAlignment="1">
      <alignment horizontal="center" vertical="center" wrapText="1"/>
    </xf>
    <xf numFmtId="189" fontId="27" fillId="0" borderId="0" xfId="15" applyNumberFormat="1" applyFont="1" applyAlignment="1">
      <alignment vertical="center"/>
    </xf>
    <xf numFmtId="164" fontId="90" fillId="13" borderId="23" xfId="0" applyNumberFormat="1" applyFont="1" applyFill="1" applyBorder="1" applyAlignment="1">
      <alignment horizontal="center" vertical="center" wrapText="1"/>
    </xf>
    <xf numFmtId="191" fontId="27" fillId="6" borderId="0" xfId="8" applyNumberFormat="1" applyFont="1" applyFill="1" applyAlignment="1">
      <alignment vertical="center"/>
    </xf>
    <xf numFmtId="190" fontId="0" fillId="0" borderId="0" xfId="0" applyNumberFormat="1">
      <alignment vertical="center"/>
    </xf>
    <xf numFmtId="192" fontId="27" fillId="6" borderId="2" xfId="8" applyNumberFormat="1" applyFont="1" applyFill="1" applyBorder="1" applyAlignment="1">
      <alignment vertical="center"/>
    </xf>
    <xf numFmtId="193" fontId="90" fillId="13" borderId="23" xfId="0" applyNumberFormat="1" applyFont="1" applyFill="1" applyBorder="1" applyAlignment="1">
      <alignment horizontal="center" vertical="center" wrapText="1"/>
    </xf>
    <xf numFmtId="164" fontId="28" fillId="0" borderId="0" xfId="8" applyFont="1" applyFill="1" applyBorder="1" applyAlignment="1" applyProtection="1">
      <alignment horizontal="center" vertical="center"/>
      <protection locked="0"/>
    </xf>
    <xf numFmtId="164" fontId="23" fillId="0" borderId="0" xfId="0" applyNumberFormat="1" applyFont="1" applyAlignment="1">
      <alignment horizontal="center" vertical="center" wrapText="1"/>
    </xf>
    <xf numFmtId="164" fontId="23" fillId="0" borderId="0" xfId="0" applyNumberFormat="1" applyFont="1" applyAlignment="1">
      <alignment horizontal="center" vertical="center"/>
    </xf>
    <xf numFmtId="192" fontId="24" fillId="0" borderId="0" xfId="8" applyNumberFormat="1" applyFont="1" applyAlignment="1">
      <alignment horizontal="right"/>
    </xf>
    <xf numFmtId="164" fontId="24" fillId="0" borderId="0" xfId="8" applyFont="1" applyAlignment="1">
      <alignment horizontal="right"/>
    </xf>
    <xf numFmtId="0" fontId="62" fillId="4" borderId="0" xfId="1" applyNumberFormat="1" applyFont="1" applyFill="1" applyBorder="1" applyAlignment="1">
      <alignment horizontal="right" vertical="center" wrapText="1"/>
    </xf>
    <xf numFmtId="0" fontId="62" fillId="4" borderId="0" xfId="1" applyNumberFormat="1" applyFont="1" applyFill="1" applyBorder="1" applyAlignment="1">
      <alignment horizontal="left" vertical="center" wrapText="1"/>
    </xf>
    <xf numFmtId="164" fontId="24" fillId="0" borderId="0" xfId="8" applyFont="1" applyBorder="1" applyAlignment="1">
      <alignment horizontal="center" vertical="center"/>
    </xf>
    <xf numFmtId="164" fontId="24" fillId="0" borderId="0" xfId="8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64" fontId="26" fillId="14" borderId="3" xfId="0" applyNumberFormat="1" applyFont="1" applyFill="1" applyBorder="1">
      <alignment vertical="center"/>
    </xf>
    <xf numFmtId="164" fontId="26" fillId="14" borderId="37" xfId="0" applyNumberFormat="1" applyFont="1" applyFill="1" applyBorder="1">
      <alignment vertical="center"/>
    </xf>
    <xf numFmtId="164" fontId="29" fillId="8" borderId="18" xfId="8" applyFont="1" applyFill="1" applyBorder="1" applyAlignment="1">
      <alignment vertical="center"/>
    </xf>
    <xf numFmtId="164" fontId="56" fillId="13" borderId="27" xfId="0" applyNumberFormat="1" applyFont="1" applyFill="1" applyBorder="1" applyAlignment="1">
      <alignment horizontal="center" vertical="center" wrapText="1"/>
    </xf>
    <xf numFmtId="14" fontId="29" fillId="13" borderId="23" xfId="0" applyNumberFormat="1" applyFont="1" applyFill="1" applyBorder="1" applyAlignment="1">
      <alignment horizontal="center" vertical="center" wrapText="1"/>
    </xf>
    <xf numFmtId="164" fontId="29" fillId="8" borderId="40" xfId="8" applyFont="1" applyFill="1" applyBorder="1" applyAlignment="1">
      <alignment vertical="center"/>
    </xf>
    <xf numFmtId="192" fontId="27" fillId="0" borderId="0" xfId="8" applyNumberFormat="1" applyFont="1" applyAlignment="1">
      <alignment vertical="center"/>
    </xf>
    <xf numFmtId="164" fontId="24" fillId="0" borderId="0" xfId="0" applyNumberFormat="1" applyFont="1" applyAlignment="1">
      <alignment horizontal="center" vertical="center" wrapText="1"/>
    </xf>
    <xf numFmtId="0" fontId="58" fillId="6" borderId="41" xfId="0" applyFont="1" applyFill="1" applyBorder="1" applyAlignment="1">
      <alignment horizontal="right" vertical="center" indent="1"/>
    </xf>
    <xf numFmtId="0" fontId="58" fillId="6" borderId="42" xfId="0" applyFont="1" applyFill="1" applyBorder="1" applyAlignment="1">
      <alignment horizontal="right" vertical="center" indent="1"/>
    </xf>
    <xf numFmtId="0" fontId="58" fillId="6" borderId="43" xfId="0" applyFont="1" applyFill="1" applyBorder="1" applyAlignment="1">
      <alignment horizontal="right" vertical="center" indent="1"/>
    </xf>
    <xf numFmtId="180" fontId="29" fillId="8" borderId="4" xfId="13" applyNumberFormat="1" applyFont="1" applyFill="1" applyBorder="1" applyAlignment="1">
      <alignment horizontal="center" vertical="center"/>
    </xf>
    <xf numFmtId="180" fontId="29" fillId="8" borderId="0" xfId="13" applyNumberFormat="1" applyFont="1" applyFill="1" applyBorder="1" applyAlignment="1">
      <alignment horizontal="center" vertical="center"/>
    </xf>
    <xf numFmtId="0" fontId="19" fillId="0" borderId="0" xfId="26" applyFont="1"/>
    <xf numFmtId="0" fontId="19" fillId="0" borderId="0" xfId="26" applyFont="1" applyAlignment="1">
      <alignment horizontal="center"/>
    </xf>
    <xf numFmtId="0" fontId="19" fillId="0" borderId="0" xfId="26" applyFont="1" applyAlignment="1">
      <alignment horizontal="center" vertical="center"/>
    </xf>
    <xf numFmtId="10" fontId="19" fillId="0" borderId="0" xfId="13" applyNumberFormat="1" applyFont="1" applyAlignment="1">
      <alignment horizontal="right" vertical="center"/>
    </xf>
    <xf numFmtId="2" fontId="19" fillId="0" borderId="0" xfId="13" applyNumberFormat="1" applyFont="1" applyAlignment="1">
      <alignment horizontal="right" vertical="center"/>
    </xf>
    <xf numFmtId="2" fontId="91" fillId="0" borderId="0" xfId="26" applyNumberFormat="1" applyFont="1"/>
    <xf numFmtId="0" fontId="91" fillId="0" borderId="0" xfId="26" applyFont="1"/>
    <xf numFmtId="0" fontId="91" fillId="0" borderId="0" xfId="26" applyFont="1" applyAlignment="1">
      <alignment horizontal="center" vertical="center"/>
    </xf>
    <xf numFmtId="0" fontId="19" fillId="0" borderId="0" xfId="26" applyFont="1" applyAlignment="1">
      <alignment horizontal="left" vertical="center"/>
    </xf>
    <xf numFmtId="164" fontId="19" fillId="0" borderId="0" xfId="8" applyFont="1" applyAlignment="1">
      <alignment horizontal="right" vertical="center"/>
    </xf>
    <xf numFmtId="10" fontId="19" fillId="0" borderId="0" xfId="31" applyNumberFormat="1" applyFont="1"/>
    <xf numFmtId="4" fontId="19" fillId="0" borderId="0" xfId="26" applyNumberFormat="1" applyFont="1" applyAlignment="1">
      <alignment horizontal="right" vertical="center"/>
    </xf>
    <xf numFmtId="2" fontId="19" fillId="0" borderId="0" xfId="13" applyNumberFormat="1" applyFont="1" applyFill="1" applyAlignment="1">
      <alignment horizontal="right" vertical="center"/>
    </xf>
    <xf numFmtId="9" fontId="19" fillId="0" borderId="0" xfId="26" applyNumberFormat="1" applyFont="1"/>
    <xf numFmtId="3" fontId="24" fillId="0" borderId="0" xfId="0" applyNumberFormat="1" applyFont="1" applyAlignment="1">
      <alignment horizontal="left" vertical="center"/>
    </xf>
    <xf numFmtId="3" fontId="24" fillId="0" borderId="0" xfId="0" applyNumberFormat="1" applyFont="1" applyAlignment="1">
      <alignment horizontal="center" vertical="center"/>
    </xf>
    <xf numFmtId="185" fontId="24" fillId="0" borderId="0" xfId="0" applyNumberFormat="1" applyFont="1" applyAlignment="1">
      <alignment horizontal="center" vertical="center"/>
    </xf>
    <xf numFmtId="10" fontId="24" fillId="0" borderId="0" xfId="13" applyNumberFormat="1" applyFont="1" applyAlignment="1">
      <alignment horizontal="right" vertical="center"/>
    </xf>
    <xf numFmtId="0" fontId="92" fillId="0" borderId="0" xfId="26" applyFont="1" applyAlignment="1">
      <alignment horizontal="center" vertical="center"/>
    </xf>
    <xf numFmtId="0" fontId="92" fillId="17" borderId="0" xfId="26" applyFont="1" applyFill="1" applyAlignment="1">
      <alignment horizontal="center" vertical="center"/>
    </xf>
    <xf numFmtId="174" fontId="52" fillId="0" borderId="7" xfId="0" applyNumberFormat="1" applyFont="1" applyBorder="1">
      <alignment vertical="center"/>
    </xf>
    <xf numFmtId="164" fontId="27" fillId="0" borderId="0" xfId="8" applyFont="1" applyAlignment="1">
      <alignment horizontal="center" vertical="center"/>
    </xf>
    <xf numFmtId="44" fontId="27" fillId="0" borderId="0" xfId="0" applyNumberFormat="1" applyFont="1" applyAlignment="1">
      <alignment horizontal="center" vertical="center"/>
    </xf>
    <xf numFmtId="194" fontId="62" fillId="4" borderId="0" xfId="1" applyNumberFormat="1" applyFont="1" applyFill="1" applyBorder="1" applyAlignment="1">
      <alignment horizontal="center" vertical="center" wrapText="1"/>
    </xf>
    <xf numFmtId="174" fontId="58" fillId="6" borderId="44" xfId="8" applyNumberFormat="1" applyFont="1" applyFill="1" applyBorder="1" applyAlignment="1">
      <alignment vertical="center"/>
    </xf>
    <xf numFmtId="174" fontId="58" fillId="6" borderId="45" xfId="8" applyNumberFormat="1" applyFont="1" applyFill="1" applyBorder="1" applyAlignment="1">
      <alignment vertical="center"/>
    </xf>
    <xf numFmtId="174" fontId="58" fillId="0" borderId="46" xfId="8" applyNumberFormat="1" applyFont="1" applyBorder="1" applyAlignment="1">
      <alignment vertical="center"/>
    </xf>
    <xf numFmtId="0" fontId="36" fillId="0" borderId="0" xfId="0" applyFont="1">
      <alignment vertical="center"/>
    </xf>
    <xf numFmtId="171" fontId="56" fillId="13" borderId="32" xfId="0" applyNumberFormat="1" applyFont="1" applyFill="1" applyBorder="1" applyAlignment="1">
      <alignment vertical="center" textRotation="90"/>
    </xf>
    <xf numFmtId="171" fontId="56" fillId="13" borderId="0" xfId="0" applyNumberFormat="1" applyFont="1" applyFill="1" applyAlignment="1">
      <alignment vertical="center" textRotation="90"/>
    </xf>
    <xf numFmtId="9" fontId="29" fillId="13" borderId="23" xfId="13" quotePrefix="1" applyFont="1" applyFill="1" applyBorder="1" applyAlignment="1">
      <alignment horizontal="center" vertical="center" wrapText="1"/>
    </xf>
    <xf numFmtId="180" fontId="29" fillId="8" borderId="18" xfId="13" applyNumberFormat="1" applyFont="1" applyFill="1" applyBorder="1" applyAlignment="1">
      <alignment vertical="center"/>
    </xf>
    <xf numFmtId="0" fontId="94" fillId="0" borderId="0" xfId="0" applyFont="1">
      <alignment vertical="center"/>
    </xf>
    <xf numFmtId="14" fontId="29" fillId="8" borderId="17" xfId="16" applyNumberFormat="1" applyFont="1" applyFill="1" applyBorder="1" applyAlignment="1">
      <alignment horizontal="center" vertical="center" wrapText="1"/>
    </xf>
    <xf numFmtId="44" fontId="24" fillId="0" borderId="0" xfId="0" applyNumberFormat="1" applyFont="1" applyAlignment="1">
      <alignment horizontal="left" vertical="center"/>
    </xf>
    <xf numFmtId="164" fontId="27" fillId="0" borderId="0" xfId="0" applyNumberFormat="1" applyFont="1">
      <alignment vertical="center"/>
    </xf>
    <xf numFmtId="10" fontId="0" fillId="0" borderId="0" xfId="0" applyNumberFormat="1">
      <alignment vertical="center"/>
    </xf>
    <xf numFmtId="195" fontId="0" fillId="0" borderId="0" xfId="0" applyNumberFormat="1">
      <alignment vertical="center"/>
    </xf>
    <xf numFmtId="0" fontId="77" fillId="0" borderId="0" xfId="24" applyFont="1" applyAlignment="1">
      <alignment horizontal="left" vertical="top"/>
    </xf>
    <xf numFmtId="176" fontId="77" fillId="0" borderId="0" xfId="24" applyNumberFormat="1" applyFont="1" applyAlignment="1">
      <alignment horizontal="left" vertical="top"/>
    </xf>
    <xf numFmtId="164" fontId="24" fillId="0" borderId="0" xfId="8" applyFont="1" applyAlignment="1">
      <alignment horizontal="right" vertical="center"/>
    </xf>
    <xf numFmtId="164" fontId="0" fillId="0" borderId="0" xfId="8" applyFont="1" applyAlignment="1">
      <alignment horizontal="right" vertical="center"/>
    </xf>
    <xf numFmtId="164" fontId="95" fillId="0" borderId="0" xfId="8" applyFont="1" applyAlignment="1">
      <alignment vertical="center"/>
    </xf>
    <xf numFmtId="174" fontId="27" fillId="0" borderId="0" xfId="8" applyNumberFormat="1" applyFont="1" applyAlignment="1">
      <alignment horizontal="center" vertical="center"/>
    </xf>
    <xf numFmtId="0" fontId="65" fillId="5" borderId="0" xfId="0" applyFont="1" applyFill="1" applyAlignment="1">
      <alignment horizontal="center" vertical="center"/>
    </xf>
    <xf numFmtId="0" fontId="65" fillId="5" borderId="11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right" vertical="center"/>
    </xf>
    <xf numFmtId="0" fontId="65" fillId="5" borderId="0" xfId="0" applyFont="1" applyFill="1" applyAlignment="1">
      <alignment horizontal="left" vertical="center"/>
    </xf>
    <xf numFmtId="0" fontId="65" fillId="5" borderId="11" xfId="0" applyFont="1" applyFill="1" applyBorder="1" applyAlignment="1">
      <alignment horizontal="left" vertical="center"/>
    </xf>
    <xf numFmtId="0" fontId="65" fillId="3" borderId="0" xfId="3" applyNumberFormat="1" applyFont="1" applyBorder="1" applyAlignment="1">
      <alignment horizontal="left" vertical="center" wrapText="1"/>
    </xf>
    <xf numFmtId="0" fontId="20" fillId="4" borderId="0" xfId="1" applyNumberFormat="1" applyFont="1" applyFill="1" applyBorder="1" applyAlignment="1">
      <alignment horizontal="left" vertical="center" wrapText="1"/>
    </xf>
    <xf numFmtId="0" fontId="51" fillId="3" borderId="0" xfId="3" applyNumberFormat="1" applyFont="1" applyBorder="1" applyAlignment="1">
      <alignment horizontal="center" vertical="center" wrapText="1"/>
    </xf>
    <xf numFmtId="0" fontId="63" fillId="3" borderId="0" xfId="3" applyNumberFormat="1" applyFont="1" applyBorder="1" applyAlignment="1">
      <alignment horizontal="center" vertical="center" wrapText="1"/>
    </xf>
    <xf numFmtId="173" fontId="64" fillId="3" borderId="0" xfId="3" applyNumberFormat="1" applyFont="1" applyBorder="1" applyAlignment="1">
      <alignment horizontal="center" vertical="top" wrapText="1"/>
    </xf>
    <xf numFmtId="0" fontId="79" fillId="3" borderId="0" xfId="3" applyNumberFormat="1" applyFont="1" applyBorder="1" applyAlignment="1">
      <alignment horizontal="center" vertical="center" wrapText="1"/>
    </xf>
    <xf numFmtId="0" fontId="62" fillId="4" borderId="0" xfId="1" applyNumberFormat="1" applyFont="1" applyFill="1" applyBorder="1" applyAlignment="1">
      <alignment horizontal="right" vertical="center" wrapText="1"/>
    </xf>
    <xf numFmtId="174" fontId="38" fillId="8" borderId="0" xfId="15" applyNumberFormat="1" applyFont="1" applyFill="1" applyAlignment="1">
      <alignment horizontal="center" vertical="center" wrapText="1"/>
    </xf>
    <xf numFmtId="174" fontId="38" fillId="8" borderId="0" xfId="15" applyNumberFormat="1" applyFont="1" applyFill="1" applyAlignment="1">
      <alignment horizontal="center" vertical="center"/>
    </xf>
    <xf numFmtId="174" fontId="40" fillId="0" borderId="0" xfId="15" applyNumberFormat="1" applyFont="1" applyAlignment="1">
      <alignment horizontal="center" vertical="center" wrapText="1"/>
    </xf>
    <xf numFmtId="0" fontId="29" fillId="8" borderId="0" xfId="15" applyFont="1" applyFill="1" applyAlignment="1">
      <alignment horizontal="center" vertical="center"/>
    </xf>
    <xf numFmtId="164" fontId="53" fillId="8" borderId="0" xfId="16" applyFont="1" applyFill="1" applyBorder="1" applyAlignment="1">
      <alignment horizontal="center" vertical="center"/>
    </xf>
    <xf numFmtId="164" fontId="29" fillId="8" borderId="17" xfId="16" applyFont="1" applyFill="1" applyBorder="1" applyAlignment="1">
      <alignment horizontal="right" vertical="center"/>
    </xf>
    <xf numFmtId="10" fontId="35" fillId="0" borderId="25" xfId="13" applyNumberFormat="1" applyFont="1" applyBorder="1" applyAlignment="1">
      <alignment horizontal="center" vertical="center"/>
    </xf>
    <xf numFmtId="164" fontId="56" fillId="13" borderId="33" xfId="0" applyNumberFormat="1" applyFont="1" applyFill="1" applyBorder="1" applyAlignment="1">
      <alignment horizontal="center" vertical="center" wrapText="1"/>
    </xf>
    <xf numFmtId="164" fontId="56" fillId="13" borderId="34" xfId="0" applyNumberFormat="1" applyFont="1" applyFill="1" applyBorder="1" applyAlignment="1">
      <alignment horizontal="center" vertical="center" wrapText="1"/>
    </xf>
    <xf numFmtId="164" fontId="29" fillId="8" borderId="22" xfId="16" applyFont="1" applyFill="1" applyBorder="1" applyAlignment="1">
      <alignment horizontal="right" vertical="center"/>
    </xf>
    <xf numFmtId="164" fontId="29" fillId="8" borderId="19" xfId="16" applyFont="1" applyFill="1" applyBorder="1" applyAlignment="1">
      <alignment horizontal="right" vertical="center"/>
    </xf>
    <xf numFmtId="164" fontId="29" fillId="8" borderId="18" xfId="16" applyFont="1" applyFill="1" applyBorder="1" applyAlignment="1">
      <alignment horizontal="right" vertical="center"/>
    </xf>
    <xf numFmtId="0" fontId="38" fillId="8" borderId="0" xfId="15" applyFont="1" applyFill="1" applyAlignment="1">
      <alignment horizontal="left" vertical="center" wrapText="1"/>
    </xf>
    <xf numFmtId="164" fontId="39" fillId="8" borderId="0" xfId="29" applyFont="1" applyFill="1" applyBorder="1" applyAlignment="1">
      <alignment horizontal="center" vertical="center" wrapText="1"/>
    </xf>
    <xf numFmtId="14" fontId="39" fillId="8" borderId="0" xfId="29" applyNumberFormat="1" applyFont="1" applyFill="1" applyBorder="1" applyAlignment="1">
      <alignment horizontal="left" vertical="center" wrapText="1"/>
    </xf>
    <xf numFmtId="14" fontId="39" fillId="8" borderId="47" xfId="29" applyNumberFormat="1" applyFont="1" applyFill="1" applyBorder="1" applyAlignment="1">
      <alignment horizontal="left" vertical="center" wrapText="1"/>
    </xf>
    <xf numFmtId="164" fontId="39" fillId="8" borderId="36" xfId="29" applyFont="1" applyFill="1" applyBorder="1" applyAlignment="1">
      <alignment horizontal="right" vertical="center" wrapText="1"/>
    </xf>
    <xf numFmtId="164" fontId="39" fillId="8" borderId="0" xfId="29" applyFont="1" applyFill="1" applyBorder="1" applyAlignment="1">
      <alignment horizontal="right" vertical="center" wrapText="1"/>
    </xf>
    <xf numFmtId="0" fontId="85" fillId="0" borderId="0" xfId="26" applyFont="1" applyAlignment="1">
      <alignment vertical="center"/>
    </xf>
    <xf numFmtId="0" fontId="5" fillId="0" borderId="0" xfId="26"/>
    <xf numFmtId="174" fontId="29" fillId="8" borderId="2" xfId="16" applyNumberFormat="1" applyFont="1" applyFill="1" applyBorder="1" applyAlignment="1">
      <alignment horizontal="center" vertical="center"/>
    </xf>
    <xf numFmtId="174" fontId="29" fillId="8" borderId="0" xfId="16" applyNumberFormat="1" applyFont="1" applyFill="1" applyBorder="1" applyAlignment="1">
      <alignment horizontal="center" vertical="center"/>
    </xf>
    <xf numFmtId="174" fontId="48" fillId="8" borderId="22" xfId="16" applyNumberFormat="1" applyFont="1" applyFill="1" applyBorder="1" applyAlignment="1">
      <alignment horizontal="center" vertical="center"/>
    </xf>
    <xf numFmtId="174" fontId="48" fillId="8" borderId="11" xfId="16" applyNumberFormat="1" applyFont="1" applyFill="1" applyBorder="1" applyAlignment="1">
      <alignment horizontal="center" vertical="center"/>
    </xf>
    <xf numFmtId="0" fontId="69" fillId="0" borderId="0" xfId="24" applyAlignment="1">
      <alignment horizontal="left" vertical="top" wrapText="1"/>
    </xf>
    <xf numFmtId="164" fontId="90" fillId="13" borderId="39" xfId="0" applyNumberFormat="1" applyFont="1" applyFill="1" applyBorder="1" applyAlignment="1">
      <alignment horizontal="center" vertical="center" wrapText="1"/>
    </xf>
    <xf numFmtId="164" fontId="90" fillId="13" borderId="23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</cellXfs>
  <cellStyles count="32">
    <cellStyle name="20% - Colore 1" xfId="2" builtinId="30"/>
    <cellStyle name="Collegamento ipertestuale" xfId="9" builtinId="8" hidden="1"/>
    <cellStyle name="Collegamento ipertestuale" xfId="11" builtinId="8" hidden="1"/>
    <cellStyle name="Collegamento ipertestuale visitato" xfId="10" builtinId="9" hidden="1"/>
    <cellStyle name="Collegamento ipertestuale visitato" xfId="12" builtinId="9" hidden="1"/>
    <cellStyle name="euro" xfId="27" xr:uid="{7009CA54-D5EC-1A4D-BC41-9AF50B387BE4}"/>
    <cellStyle name="Migliaia" xfId="18" builtinId="3"/>
    <cellStyle name="Normale" xfId="0" builtinId="0" customBuiltin="1"/>
    <cellStyle name="Normale 2" xfId="14" xr:uid="{ED80605F-CE6B-491A-AEE6-E2E1DD709FBD}"/>
    <cellStyle name="Normale 2 2" xfId="30" xr:uid="{D55D2834-B095-E543-B85F-03D7C00228C1}"/>
    <cellStyle name="Normale 3" xfId="15" xr:uid="{644F8D27-D1D7-094A-8EAD-8D8E7BEE255A}"/>
    <cellStyle name="Normale 3 2" xfId="22" xr:uid="{2B6F3E88-0841-4B4F-9FE1-06C8089047AD}"/>
    <cellStyle name="Normale 4" xfId="19" xr:uid="{7BDFA50C-5931-9242-AA8A-CF27073F606F}"/>
    <cellStyle name="Normale 5" xfId="24" xr:uid="{C98F765E-3132-AA4C-82C7-D666436D1848}"/>
    <cellStyle name="Normale 6" xfId="26" xr:uid="{4A7E18F2-38E4-D94C-AA31-04A414B19B99}"/>
    <cellStyle name="percent" xfId="28" xr:uid="{27D49686-F87F-654B-B8FA-1BAA6065DCE8}"/>
    <cellStyle name="Percentuale" xfId="13" builtinId="5"/>
    <cellStyle name="Percentuale 2" xfId="17" xr:uid="{892E1491-82AF-7D49-A7D4-75B5A7973628}"/>
    <cellStyle name="Percentuale 2 2" xfId="31" xr:uid="{B56A7148-0C5F-4F46-960C-DE9505B26901}"/>
    <cellStyle name="Percentuale 3" xfId="21" xr:uid="{CF740FA9-C6AE-C24B-B9B3-4AF2B58DDE7C}"/>
    <cellStyle name="Titolo" xfId="3" builtinId="15" customBuiltin="1"/>
    <cellStyle name="Titolo 1" xfId="1" builtinId="16" customBuiltin="1"/>
    <cellStyle name="Titolo 2" xfId="4" builtinId="17" customBuiltin="1"/>
    <cellStyle name="Titolo 3" xfId="5" builtinId="18" customBuiltin="1"/>
    <cellStyle name="Titolo 4" xfId="6" builtinId="19" customBuiltin="1"/>
    <cellStyle name="Totale" xfId="7" builtinId="25" customBuiltin="1"/>
    <cellStyle name="Valuta" xfId="8" builtinId="4"/>
    <cellStyle name="Valuta 2" xfId="16" xr:uid="{40A58B4E-715E-874D-8FC7-0473D3821C5B}"/>
    <cellStyle name="Valuta 2 2" xfId="23" xr:uid="{2F965F03-7E68-6841-A9D5-785DEA7B6A7F}"/>
    <cellStyle name="Valuta 2 3" xfId="29" xr:uid="{BFF1CDF3-9F63-2F47-A024-8AC8B380D8D5}"/>
    <cellStyle name="Valuta 3" xfId="20" xr:uid="{5195C33B-74EE-F049-8117-ADC094DBD9E5}"/>
    <cellStyle name="Valuta 4" xfId="25" xr:uid="{E8E5B789-951E-6E42-A35E-805E0B6A0876}"/>
  </cellStyles>
  <dxfs count="81"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border>
        <top/>
      </border>
    </dxf>
    <dxf>
      <border>
        <top/>
      </border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ont>
        <b/>
        <i val="0"/>
        <color theme="2"/>
      </font>
      <fill>
        <patternFill patternType="solid">
          <fgColor indexed="64"/>
          <bgColor theme="3"/>
        </patternFill>
      </fill>
    </dxf>
    <dxf>
      <fill>
        <patternFill>
          <bgColor theme="0"/>
        </patternFill>
      </fill>
    </dxf>
  </dxfs>
  <tableStyles count="1" defaultTableStyle="TableStyleMedium2" defaultPivotStyle="PivotStyleLight16">
    <tableStyle name="Budget familiare" pivot="0" count="3" xr9:uid="{00000000-0011-0000-FFFF-FFFF00000000}">
      <tableStyleElement type="wholeTable" dxfId="80"/>
      <tableStyleElement type="headerRow" dxfId="79"/>
      <tableStyleElement type="firstHeaderCell" dxfId="78"/>
    </tableStyle>
  </tableStyles>
  <colors>
    <mruColors>
      <color rgb="FFFFFD78"/>
      <color rgb="FFEDECAB"/>
      <color rgb="FFFFD579"/>
      <color rgb="FF737480"/>
      <color rgb="FF5556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8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styles" Target="styles.xml"/><Relationship Id="rId47" Type="http://schemas.microsoft.com/office/2017/06/relationships/rdArray" Target="richData/rdarray.xml"/><Relationship Id="rId50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pivotCacheDefinition" Target="pivotCache/pivotCacheDefinition6.xml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openxmlformats.org/officeDocument/2006/relationships/sharedStrings" Target="sharedStrings.xml"/><Relationship Id="rId48" Type="http://schemas.microsoft.com/office/2017/06/relationships/richStyles" Target="richData/richStyles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pivotCacheDefinition" Target="pivotCache/pivotCacheDefinition7.xml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5.xml"/><Relationship Id="rId49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>
                    <a:lumMod val="85000"/>
                  </a:schemeClr>
                </a:solidFill>
              </a:rPr>
              <a:t>Chiusura AED/EUR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Dati!$E$28</c:f>
              <c:strCache>
                <c:ptCount val="1"/>
                <c:pt idx="0">
                  <c:v>Chiusura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elete val="1"/>
          </c:dLbls>
          <c:cat>
            <c:numRef>
              <c:f>Dati!$D$29:$D$100</c:f>
              <c:numCache>
                <c:formatCode>m/d/yy</c:formatCode>
                <c:ptCount val="72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46174</c:v>
                </c:pt>
                <c:pt idx="6">
                  <c:v>46175</c:v>
                </c:pt>
                <c:pt idx="7">
                  <c:v>46176</c:v>
                </c:pt>
                <c:pt idx="8">
                  <c:v>46177</c:v>
                </c:pt>
                <c:pt idx="9">
                  <c:v>46178</c:v>
                </c:pt>
                <c:pt idx="10">
                  <c:v>46181</c:v>
                </c:pt>
                <c:pt idx="11">
                  <c:v>46182</c:v>
                </c:pt>
                <c:pt idx="12">
                  <c:v>46183</c:v>
                </c:pt>
                <c:pt idx="13">
                  <c:v>46184</c:v>
                </c:pt>
                <c:pt idx="14">
                  <c:v>46185</c:v>
                </c:pt>
                <c:pt idx="15">
                  <c:v>46188</c:v>
                </c:pt>
                <c:pt idx="16">
                  <c:v>46189</c:v>
                </c:pt>
                <c:pt idx="17">
                  <c:v>46190</c:v>
                </c:pt>
                <c:pt idx="18">
                  <c:v>46191</c:v>
                </c:pt>
                <c:pt idx="19">
                  <c:v>46192</c:v>
                </c:pt>
                <c:pt idx="20">
                  <c:v>46195</c:v>
                </c:pt>
                <c:pt idx="21">
                  <c:v>46196</c:v>
                </c:pt>
                <c:pt idx="22">
                  <c:v>46197</c:v>
                </c:pt>
                <c:pt idx="23">
                  <c:v>46198</c:v>
                </c:pt>
                <c:pt idx="24">
                  <c:v>46199</c:v>
                </c:pt>
                <c:pt idx="25">
                  <c:v>46202</c:v>
                </c:pt>
                <c:pt idx="26">
                  <c:v>46203</c:v>
                </c:pt>
                <c:pt idx="27">
                  <c:v>46204</c:v>
                </c:pt>
                <c:pt idx="28">
                  <c:v>46205</c:v>
                </c:pt>
                <c:pt idx="29">
                  <c:v>46206</c:v>
                </c:pt>
                <c:pt idx="30">
                  <c:v>46209</c:v>
                </c:pt>
                <c:pt idx="31">
                  <c:v>46210</c:v>
                </c:pt>
                <c:pt idx="32">
                  <c:v>46211</c:v>
                </c:pt>
                <c:pt idx="33">
                  <c:v>46212</c:v>
                </c:pt>
                <c:pt idx="34">
                  <c:v>46213</c:v>
                </c:pt>
              </c:numCache>
            </c:numRef>
          </c:cat>
          <c:val>
            <c:numRef>
              <c:f>Dati!$E$29:$E$100</c:f>
              <c:numCache>
                <c:formatCode>_([$€-2]\ * #,##0.00_);_([$€-2]\ * \(#,##0.00\);_([$€-2]\ * "-"??_);_(@_)</c:formatCode>
                <c:ptCount val="72"/>
                <c:pt idx="0">
                  <c:v>0.23380000000000001</c:v>
                </c:pt>
                <c:pt idx="1">
                  <c:v>0.23400000000000001</c:v>
                </c:pt>
                <c:pt idx="2">
                  <c:v>0.2341</c:v>
                </c:pt>
                <c:pt idx="3">
                  <c:v>0.2336</c:v>
                </c:pt>
                <c:pt idx="4">
                  <c:v>0.23350000000000001</c:v>
                </c:pt>
                <c:pt idx="5">
                  <c:v>0.23400000000000001</c:v>
                </c:pt>
                <c:pt idx="6">
                  <c:v>0.2341</c:v>
                </c:pt>
                <c:pt idx="7">
                  <c:v>0.23469999999999999</c:v>
                </c:pt>
                <c:pt idx="8">
                  <c:v>0.23449999999999999</c:v>
                </c:pt>
                <c:pt idx="9">
                  <c:v>0.23630000000000001</c:v>
                </c:pt>
                <c:pt idx="10">
                  <c:v>0.23599999999999999</c:v>
                </c:pt>
                <c:pt idx="11">
                  <c:v>0.23580000000000001</c:v>
                </c:pt>
                <c:pt idx="12">
                  <c:v>0.23599999999999999</c:v>
                </c:pt>
                <c:pt idx="13">
                  <c:v>0.2351</c:v>
                </c:pt>
                <c:pt idx="14">
                  <c:v>0.23530000000000001</c:v>
                </c:pt>
                <c:pt idx="15">
                  <c:v>0.2349</c:v>
                </c:pt>
                <c:pt idx="16">
                  <c:v>0.23449999999999999</c:v>
                </c:pt>
                <c:pt idx="17">
                  <c:v>0.23669999999999999</c:v>
                </c:pt>
                <c:pt idx="18">
                  <c:v>0.23760000000000001</c:v>
                </c:pt>
                <c:pt idx="19">
                  <c:v>0.2374</c:v>
                </c:pt>
                <c:pt idx="20">
                  <c:v>0.2382</c:v>
                </c:pt>
                <c:pt idx="21">
                  <c:v>0.2392</c:v>
                </c:pt>
                <c:pt idx="22">
                  <c:v>0.2397</c:v>
                </c:pt>
                <c:pt idx="23">
                  <c:v>0.2394</c:v>
                </c:pt>
                <c:pt idx="24">
                  <c:v>0.23910000000000001</c:v>
                </c:pt>
                <c:pt idx="25">
                  <c:v>0.23830000000000001</c:v>
                </c:pt>
                <c:pt idx="26">
                  <c:v>0.2384</c:v>
                </c:pt>
                <c:pt idx="27">
                  <c:v>0.23930000000000001</c:v>
                </c:pt>
                <c:pt idx="28">
                  <c:v>0.23810000000000001</c:v>
                </c:pt>
                <c:pt idx="29">
                  <c:v>0.23799999999999999</c:v>
                </c:pt>
                <c:pt idx="30">
                  <c:v>0.2379</c:v>
                </c:pt>
                <c:pt idx="31">
                  <c:v>0.23849999999999999</c:v>
                </c:pt>
                <c:pt idx="32">
                  <c:v>0.23849999999999999</c:v>
                </c:pt>
                <c:pt idx="33">
                  <c:v>0.2382</c:v>
                </c:pt>
                <c:pt idx="34">
                  <c:v>0.23849999999999999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5-494D-B635-0906E6BD4B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40503423"/>
        <c:axId val="240509695"/>
      </c:lineChart>
      <c:dateAx>
        <c:axId val="240503423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509695"/>
        <c:crosses val="autoZero"/>
        <c:auto val="1"/>
        <c:lblOffset val="100"/>
        <c:baseTimeUnit val="days"/>
      </c:dateAx>
      <c:valAx>
        <c:axId val="2405096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€-2]\ * #,##0.000_-;\-[$€-2]\ * #,##0.000_-;_-[$€-2]\ * &quot;-&quot;?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503423"/>
        <c:crosses val="autoZero"/>
        <c:crossBetween val="between"/>
      </c:valAx>
      <c:spPr>
        <a:solidFill>
          <a:schemeClr val="tx2">
            <a:lumMod val="75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7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2000"/>
              <a:t>Riepilogo spese</a:t>
            </a:r>
          </a:p>
        </c:rich>
      </c:tx>
      <c:layout>
        <c:manualLayout>
          <c:xMode val="edge"/>
          <c:yMode val="edge"/>
          <c:x val="0.76281657075187503"/>
          <c:y val="1.436363423322085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975588473604393"/>
          <c:y val="0.18810089844538663"/>
          <c:w val="0.58951197722975923"/>
          <c:h val="0.716105895416919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A13-A643-98DA-1273C5BF5D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A13-A643-98DA-1273C5BF5D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A13-A643-98DA-1273C5BF5D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A13-A643-98DA-1273C5BF5D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A13-A643-98DA-1273C5BF5D0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A13-A643-98DA-1273C5BF5D0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A13-A643-98DA-1273C5BF5D0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13-A643-98DA-1273C5BF5D0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A13-A643-98DA-1273C5BF5D0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A13-A643-98DA-1273C5BF5D0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A13-A643-98DA-1273C5BF5D0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A13-A643-98DA-1273C5BF5D06}"/>
              </c:ext>
            </c:extLst>
          </c:dPt>
          <c:dLbls>
            <c:dLbl>
              <c:idx val="0"/>
              <c:layout>
                <c:manualLayout>
                  <c:x val="0.11345646437994723"/>
                  <c:y val="-8.167055374871619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13-A643-98DA-1273C5BF5D06}"/>
                </c:ext>
              </c:extLst>
            </c:dLbl>
            <c:dLbl>
              <c:idx val="1"/>
              <c:layout>
                <c:manualLayout>
                  <c:x val="-1.9663224814576276E-3"/>
                  <c:y val="-2.665183156453269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13-A643-98DA-1273C5BF5D06}"/>
                </c:ext>
              </c:extLst>
            </c:dLbl>
            <c:dLbl>
              <c:idx val="2"/>
              <c:layout>
                <c:manualLayout>
                  <c:x val="2.7875366172895839E-2"/>
                  <c:y val="2.7148236905168966E-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13-A643-98DA-1273C5BF5D06}"/>
                </c:ext>
              </c:extLst>
            </c:dLbl>
            <c:dLbl>
              <c:idx val="3"/>
              <c:layout>
                <c:manualLayout>
                  <c:x val="1.2059917312446858E-2"/>
                  <c:y val="6.309900290996224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13-A643-98DA-1273C5BF5D06}"/>
                </c:ext>
              </c:extLst>
            </c:dLbl>
            <c:dLbl>
              <c:idx val="4"/>
              <c:layout>
                <c:manualLayout>
                  <c:x val="0.11081794195250659"/>
                  <c:y val="4.734872475179723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13-A643-98DA-1273C5BF5D06}"/>
                </c:ext>
              </c:extLst>
            </c:dLbl>
            <c:dLbl>
              <c:idx val="5"/>
              <c:layout>
                <c:manualLayout>
                  <c:x val="5.1451187335092345E-2"/>
                  <c:y val="8.4968653714481243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13-A643-98DA-1273C5BF5D06}"/>
                </c:ext>
              </c:extLst>
            </c:dLbl>
            <c:dLbl>
              <c:idx val="6"/>
              <c:layout>
                <c:manualLayout>
                  <c:x val="-7.6517150395778361E-2"/>
                  <c:y val="8.0055336832895785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13-A643-98DA-1273C5BF5D06}"/>
                </c:ext>
              </c:extLst>
            </c:dLbl>
            <c:dLbl>
              <c:idx val="7"/>
              <c:layout>
                <c:manualLayout>
                  <c:x val="-3.9577836411609502E-2"/>
                  <c:y val="1.5193747860321708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13-A643-98DA-1273C5BF5D06}"/>
                </c:ext>
              </c:extLst>
            </c:dLbl>
            <c:dLbl>
              <c:idx val="8"/>
              <c:layout>
                <c:manualLayout>
                  <c:x val="-2.1108179419525065E-2"/>
                  <c:y val="1.869313210848633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A13-A643-98DA-1273C5BF5D06}"/>
                </c:ext>
              </c:extLst>
            </c:dLbl>
            <c:dLbl>
              <c:idx val="9"/>
              <c:layout>
                <c:manualLayout>
                  <c:x val="-6.0790829576382106E-2"/>
                  <c:y val="2.101795190003418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A13-A643-98DA-1273C5BF5D06}"/>
                </c:ext>
              </c:extLst>
            </c:dLbl>
            <c:dLbl>
              <c:idx val="10"/>
              <c:layout>
                <c:manualLayout>
                  <c:x val="-5.6918122701680757E-2"/>
                  <c:y val="-3.320374015748031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A13-A643-98DA-1273C5BF5D06}"/>
                </c:ext>
              </c:extLst>
            </c:dLbl>
            <c:dLbl>
              <c:idx val="11"/>
              <c:layout>
                <c:manualLayout>
                  <c:x val="-8.2392225707934266E-2"/>
                  <c:y val="-9.9974323861691208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A13-A643-98DA-1273C5BF5D06}"/>
                </c:ext>
              </c:extLst>
            </c:dLbl>
            <c:dLbl>
              <c:idx val="12"/>
              <c:layout>
                <c:manualLayout>
                  <c:x val="-3.825857519788918E-2"/>
                  <c:y val="-0.1429285775419376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423-6A42-86B1-96C96E423714}"/>
                </c:ext>
              </c:extLst>
            </c:dLbl>
            <c:dLbl>
              <c:idx val="13"/>
              <c:layout>
                <c:manualLayout>
                  <c:x val="7.7176781002638528E-2"/>
                  <c:y val="-9.6124882317699417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49604221635884"/>
                      <c:h val="8.644444444444443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B507-784F-85F8-3A981505622A}"/>
                </c:ext>
              </c:extLst>
            </c:dLbl>
            <c:dLbl>
              <c:idx val="14"/>
              <c:layout>
                <c:manualLayout>
                  <c:x val="0.10949868073878623"/>
                  <c:y val="-0.1359870953630796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1DE-D648-AD1C-D87FF9721B8B}"/>
                </c:ext>
              </c:extLst>
            </c:dLbl>
            <c:dLbl>
              <c:idx val="15"/>
              <c:layout>
                <c:manualLayout>
                  <c:x val="0.11873350923482849"/>
                  <c:y val="-8.88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4EC-E647-B057-21E660E50520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Dati!$D$3:$D$17</c:f>
              <c:strCache>
                <c:ptCount val="14"/>
                <c:pt idx="0">
                  <c:v>Spese Ricorrenti</c:v>
                </c:pt>
                <c:pt idx="1">
                  <c:v>Spese Alimentari</c:v>
                </c:pt>
                <c:pt idx="2">
                  <c:v>Manutenzioni</c:v>
                </c:pt>
                <c:pt idx="3">
                  <c:v>Educazione Emma</c:v>
                </c:pt>
                <c:pt idx="4">
                  <c:v>Viaggi</c:v>
                </c:pt>
                <c:pt idx="5">
                  <c:v>Auto e Trasporti</c:v>
                </c:pt>
                <c:pt idx="6">
                  <c:v>Assicurazioni</c:v>
                </c:pt>
                <c:pt idx="7">
                  <c:v>Attività sportive</c:v>
                </c:pt>
                <c:pt idx="8">
                  <c:v>Spese Personali</c:v>
                </c:pt>
                <c:pt idx="9">
                  <c:v>Cure mediche</c:v>
                </c:pt>
                <c:pt idx="10">
                  <c:v>Imposte Spagna</c:v>
                </c:pt>
                <c:pt idx="11">
                  <c:v>Imposte Italia</c:v>
                </c:pt>
                <c:pt idx="12">
                  <c:v>Commissioni Bancarie</c:v>
                </c:pt>
                <c:pt idx="13">
                  <c:v>Altre Spese</c:v>
                </c:pt>
              </c:strCache>
            </c:strRef>
          </c:cat>
          <c:val>
            <c:numRef>
              <c:f>Dati!$E$3:$E$17</c:f>
              <c:numCache>
                <c:formatCode>_("€"* #,##0.00_);_("€"* \(#,##0.00\);_("€"* "-"??_);_(@_)</c:formatCode>
                <c:ptCount val="15"/>
                <c:pt idx="0">
                  <c:v>3442.4271999999996</c:v>
                </c:pt>
                <c:pt idx="1">
                  <c:v>12657.619523809522</c:v>
                </c:pt>
                <c:pt idx="2">
                  <c:v>2329.27</c:v>
                </c:pt>
                <c:pt idx="3">
                  <c:v>21650.026400000002</c:v>
                </c:pt>
                <c:pt idx="4">
                  <c:v>1486.9555351681954</c:v>
                </c:pt>
                <c:pt idx="5">
                  <c:v>6659.03</c:v>
                </c:pt>
                <c:pt idx="6">
                  <c:v>8217.9066666666658</c:v>
                </c:pt>
                <c:pt idx="7">
                  <c:v>2493.9</c:v>
                </c:pt>
                <c:pt idx="8">
                  <c:v>8460.7666666666664</c:v>
                </c:pt>
                <c:pt idx="9">
                  <c:v>1585.6799999999998</c:v>
                </c:pt>
                <c:pt idx="10">
                  <c:v>3287.0599999999995</c:v>
                </c:pt>
                <c:pt idx="11">
                  <c:v>3180.7800000000007</c:v>
                </c:pt>
                <c:pt idx="12">
                  <c:v>6097.9899999999989</c:v>
                </c:pt>
                <c:pt idx="13">
                  <c:v>10181.606666666665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A13-A643-98DA-1273C5BF5D0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88900</xdr:rowOff>
        </xdr:from>
        <xdr:to>
          <xdr:col>14</xdr:col>
          <xdr:colOff>228600</xdr:colOff>
          <xdr:row>1</xdr:row>
          <xdr:rowOff>635000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Amex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749300</xdr:rowOff>
        </xdr:from>
        <xdr:to>
          <xdr:col>14</xdr:col>
          <xdr:colOff>228600</xdr:colOff>
          <xdr:row>1</xdr:row>
          <xdr:rowOff>1295400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BBVA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452348</xdr:colOff>
      <xdr:row>1</xdr:row>
      <xdr:rowOff>94953</xdr:rowOff>
    </xdr:from>
    <xdr:to>
      <xdr:col>15</xdr:col>
      <xdr:colOff>1566333</xdr:colOff>
      <xdr:row>1</xdr:row>
      <xdr:rowOff>569720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7272792" y="264286"/>
          <a:ext cx="2285208" cy="474767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Assicurarsi che il file "activity.csv" sia nella cartella</a:t>
          </a:r>
          <a:r>
            <a:rPr lang="it-IT" sz="1100" baseline="0">
              <a:solidFill>
                <a:schemeClr val="bg1"/>
              </a:solidFill>
            </a:rPr>
            <a:t>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452347</xdr:colOff>
      <xdr:row>1</xdr:row>
      <xdr:rowOff>724020</xdr:rowOff>
    </xdr:from>
    <xdr:to>
      <xdr:col>15</xdr:col>
      <xdr:colOff>1580444</xdr:colOff>
      <xdr:row>1</xdr:row>
      <xdr:rowOff>1198786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7272791" y="893353"/>
          <a:ext cx="2299320" cy="474766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Rinominare il file con "BBVA.csv"</a:t>
          </a:r>
          <a:r>
            <a:rPr lang="it-IT" sz="1100" baseline="0">
              <a:solidFill>
                <a:schemeClr val="bg1"/>
              </a:solidFill>
            </a:rPr>
            <a:t> nella cartella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</xdr:row>
          <xdr:rowOff>228600</xdr:rowOff>
        </xdr:from>
        <xdr:to>
          <xdr:col>14</xdr:col>
          <xdr:colOff>228600</xdr:colOff>
          <xdr:row>5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FinecoSa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1397000</xdr:rowOff>
        </xdr:from>
        <xdr:to>
          <xdr:col>14</xdr:col>
          <xdr:colOff>228600</xdr:colOff>
          <xdr:row>3</xdr:row>
          <xdr:rowOff>114300</xdr:rowOff>
        </xdr:to>
        <xdr:sp macro="" textlink="">
          <xdr:nvSpPr>
            <xdr:cNvPr id="1029" name="Button 5" descr="Aggiorna Dati Fineco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737480"/>
                  </a:solidFill>
                  <a:latin typeface="Segoe UI"/>
                  <a:cs typeface="Segoe UI"/>
                </a:rPr>
                <a:t>Aggiorna Dati FinecoSt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452690</xdr:colOff>
      <xdr:row>1</xdr:row>
      <xdr:rowOff>1363056</xdr:rowOff>
    </xdr:from>
    <xdr:to>
      <xdr:col>15</xdr:col>
      <xdr:colOff>1556524</xdr:colOff>
      <xdr:row>3</xdr:row>
      <xdr:rowOff>45579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7273134" y="1532389"/>
          <a:ext cx="2275057" cy="474634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Rinominare il file con "FST.csv"</a:t>
          </a:r>
          <a:r>
            <a:rPr lang="it-IT" sz="1100" baseline="0">
              <a:solidFill>
                <a:schemeClr val="bg1"/>
              </a:solidFill>
            </a:rPr>
            <a:t> nella cartella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460418</xdr:colOff>
      <xdr:row>3</xdr:row>
      <xdr:rowOff>221717</xdr:rowOff>
    </xdr:from>
    <xdr:to>
      <xdr:col>15</xdr:col>
      <xdr:colOff>1564252</xdr:colOff>
      <xdr:row>5</xdr:row>
      <xdr:rowOff>165100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6995818" y="2215617"/>
          <a:ext cx="2259534" cy="552983"/>
        </a:xfrm>
        <a:prstGeom prst="rect">
          <a:avLst/>
        </a:prstGeom>
        <a:solidFill>
          <a:srgbClr val="5556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>
              <a:solidFill>
                <a:schemeClr val="bg1"/>
              </a:solidFill>
            </a:rPr>
            <a:t>Rinominare il file con "FSA.csv"</a:t>
          </a:r>
          <a:r>
            <a:rPr lang="it-IT" sz="1100" baseline="0">
              <a:solidFill>
                <a:schemeClr val="bg1"/>
              </a:solidFill>
            </a:rPr>
            <a:t> nella cartella "Download"</a:t>
          </a:r>
          <a:endParaRPr lang="it-IT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756227</xdr:colOff>
      <xdr:row>0</xdr:row>
      <xdr:rowOff>129309</xdr:rowOff>
    </xdr:from>
    <xdr:to>
      <xdr:col>12</xdr:col>
      <xdr:colOff>969818</xdr:colOff>
      <xdr:row>2</xdr:row>
      <xdr:rowOff>357909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3F281571-64E4-2330-BDDC-2B0F39078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1422400</xdr:colOff>
          <xdr:row>170</xdr:row>
          <xdr:rowOff>25400</xdr:rowOff>
        </xdr:from>
        <xdr:to>
          <xdr:col>1</xdr:col>
          <xdr:colOff>2184400</xdr:colOff>
          <xdr:row>171</xdr:row>
          <xdr:rowOff>0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  <a:ext uri="{FF2B5EF4-FFF2-40B4-BE49-F238E27FC236}">
                  <a16:creationId xmlns:a16="http://schemas.microsoft.com/office/drawing/2014/main" id="{00000000-0008-0000-0300-00000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14111</xdr:colOff>
      <xdr:row>160</xdr:row>
      <xdr:rowOff>98778</xdr:rowOff>
    </xdr:from>
    <xdr:to>
      <xdr:col>3</xdr:col>
      <xdr:colOff>239888</xdr:colOff>
      <xdr:row>160</xdr:row>
      <xdr:rowOff>98778</xdr:rowOff>
    </xdr:to>
    <xdr:cxnSp macro="">
      <xdr:nvCxnSpPr>
        <xdr:cNvPr id="11" name="Connettore diritto a freccia 10">
          <a:extLst>
            <a:ext uri="{FF2B5EF4-FFF2-40B4-BE49-F238E27FC236}">
              <a16:creationId xmlns:a16="http://schemas.microsoft.com/office/drawing/2014/main" id="{4F3FE1D1-B7D5-0221-8AB5-2884D1809810}"/>
            </a:ext>
          </a:extLst>
        </xdr:cNvPr>
        <xdr:cNvCxnSpPr/>
      </xdr:nvCxnSpPr>
      <xdr:spPr>
        <a:xfrm>
          <a:off x="4275667" y="32018111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11290</xdr:colOff>
      <xdr:row>161</xdr:row>
      <xdr:rowOff>110066</xdr:rowOff>
    </xdr:from>
    <xdr:to>
      <xdr:col>3</xdr:col>
      <xdr:colOff>237067</xdr:colOff>
      <xdr:row>161</xdr:row>
      <xdr:rowOff>110066</xdr:rowOff>
    </xdr:to>
    <xdr:cxnSp macro="">
      <xdr:nvCxnSpPr>
        <xdr:cNvPr id="12" name="Connettore diritto a freccia 11">
          <a:extLst>
            <a:ext uri="{FF2B5EF4-FFF2-40B4-BE49-F238E27FC236}">
              <a16:creationId xmlns:a16="http://schemas.microsoft.com/office/drawing/2014/main" id="{F135A4EC-9552-414C-AC6C-593232469586}"/>
            </a:ext>
          </a:extLst>
        </xdr:cNvPr>
        <xdr:cNvCxnSpPr/>
      </xdr:nvCxnSpPr>
      <xdr:spPr>
        <a:xfrm>
          <a:off x="4272846" y="32226955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11290</xdr:colOff>
      <xdr:row>162</xdr:row>
      <xdr:rowOff>110066</xdr:rowOff>
    </xdr:from>
    <xdr:to>
      <xdr:col>3</xdr:col>
      <xdr:colOff>237067</xdr:colOff>
      <xdr:row>162</xdr:row>
      <xdr:rowOff>110066</xdr:rowOff>
    </xdr:to>
    <xdr:cxnSp macro="">
      <xdr:nvCxnSpPr>
        <xdr:cNvPr id="13" name="Connettore diritto a freccia 12">
          <a:extLst>
            <a:ext uri="{FF2B5EF4-FFF2-40B4-BE49-F238E27FC236}">
              <a16:creationId xmlns:a16="http://schemas.microsoft.com/office/drawing/2014/main" id="{03F40578-5F12-3A42-9966-B40DAD25CD77}"/>
            </a:ext>
          </a:extLst>
        </xdr:cNvPr>
        <xdr:cNvCxnSpPr/>
      </xdr:nvCxnSpPr>
      <xdr:spPr>
        <a:xfrm>
          <a:off x="4272846" y="32085844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14111</xdr:colOff>
      <xdr:row>161</xdr:row>
      <xdr:rowOff>98778</xdr:rowOff>
    </xdr:from>
    <xdr:to>
      <xdr:col>3</xdr:col>
      <xdr:colOff>239888</xdr:colOff>
      <xdr:row>161</xdr:row>
      <xdr:rowOff>98778</xdr:rowOff>
    </xdr:to>
    <xdr:cxnSp macro="">
      <xdr:nvCxnSpPr>
        <xdr:cNvPr id="9" name="Connettore diritto a freccia 8">
          <a:extLst>
            <a:ext uri="{FF2B5EF4-FFF2-40B4-BE49-F238E27FC236}">
              <a16:creationId xmlns:a16="http://schemas.microsoft.com/office/drawing/2014/main" id="{D47CB0FE-DDB6-084F-B8BD-AA0382CCC2EE}"/>
            </a:ext>
          </a:extLst>
        </xdr:cNvPr>
        <xdr:cNvCxnSpPr/>
      </xdr:nvCxnSpPr>
      <xdr:spPr>
        <a:xfrm>
          <a:off x="4275667" y="31679445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14111</xdr:colOff>
      <xdr:row>162</xdr:row>
      <xdr:rowOff>98778</xdr:rowOff>
    </xdr:from>
    <xdr:to>
      <xdr:col>3</xdr:col>
      <xdr:colOff>239888</xdr:colOff>
      <xdr:row>162</xdr:row>
      <xdr:rowOff>98778</xdr:rowOff>
    </xdr:to>
    <xdr:cxnSp macro="">
      <xdr:nvCxnSpPr>
        <xdr:cNvPr id="10" name="Connettore diritto a freccia 9">
          <a:extLst>
            <a:ext uri="{FF2B5EF4-FFF2-40B4-BE49-F238E27FC236}">
              <a16:creationId xmlns:a16="http://schemas.microsoft.com/office/drawing/2014/main" id="{915436C4-C920-3E48-8C33-4DCD3C93DEF4}"/>
            </a:ext>
          </a:extLst>
        </xdr:cNvPr>
        <xdr:cNvCxnSpPr/>
      </xdr:nvCxnSpPr>
      <xdr:spPr>
        <a:xfrm>
          <a:off x="4275667" y="31679445"/>
          <a:ext cx="22577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4</xdr:row>
      <xdr:rowOff>127000</xdr:rowOff>
    </xdr:from>
    <xdr:to>
      <xdr:col>15</xdr:col>
      <xdr:colOff>381000</xdr:colOff>
      <xdr:row>50</xdr:row>
      <xdr:rowOff>127000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1</xdr:row>
          <xdr:rowOff>139700</xdr:rowOff>
        </xdr:from>
        <xdr:to>
          <xdr:col>1</xdr:col>
          <xdr:colOff>1295400</xdr:colOff>
          <xdr:row>2</xdr:row>
          <xdr:rowOff>76200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 Data Odierna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837778</xdr:colOff>
      <xdr:row>0</xdr:row>
      <xdr:rowOff>58621</xdr:rowOff>
    </xdr:from>
    <xdr:ext cx="2286000" cy="255270"/>
    <xdr:pic>
      <xdr:nvPicPr>
        <xdr:cNvPr id="2" name="image1.jpeg">
          <a:extLst>
            <a:ext uri="{FF2B5EF4-FFF2-40B4-BE49-F238E27FC236}">
              <a16:creationId xmlns:a16="http://schemas.microsoft.com/office/drawing/2014/main" id="{F38AAD66-93BB-1542-81B4-73B94DECB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2580" y="58621"/>
          <a:ext cx="2286000" cy="25527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0254633" createdVersion="8" refreshedVersion="8" minRefreshableVersion="3" recordCount="17" xr:uid="{19D3FD7C-3F45-1A4F-A0FA-439F4BB4E8DF}">
  <cacheSource type="worksheet">
    <worksheetSource ref="B4:K21" sheet="RakBank AED"/>
  </cacheSource>
  <cacheFields count="10">
    <cacheField name="Mese" numFmtId="0">
      <sharedItems containsSemiMixedTypes="0" containsString="0" containsNumber="1" containsInteger="1" minValue="4" maxValue="7" count="4">
        <n v="7"/>
        <n v="6"/>
        <n v="5"/>
        <n v="4"/>
      </sharedItems>
    </cacheField>
    <cacheField name="Data" numFmtId="170">
      <sharedItems containsSemiMixedTypes="0" containsNonDate="0" containsDate="1" containsString="0" minDate="2026-04-15T00:00:00" maxDate="2026-07-04T00:00:00"/>
    </cacheField>
    <cacheField name="Valuta" numFmtId="170">
      <sharedItems containsSemiMixedTypes="0" containsNonDate="0" containsDate="1" containsString="0" minDate="2026-04-15T00:00:00" maxDate="2026-07-04T00:00:00"/>
    </cacheField>
    <cacheField name="Avere AED" numFmtId="192">
      <sharedItems containsString="0" containsBlank="1" containsNumber="1" minValue="833.97" maxValue="292692.27"/>
    </cacheField>
    <cacheField name="Dare AED" numFmtId="0">
      <sharedItems containsString="0" containsBlank="1" containsNumber="1" minValue="0.19" maxValue="40480"/>
    </cacheField>
    <cacheField name="Avere EUR" numFmtId="164">
      <sharedItems containsSemiMixedTypes="0" containsString="0" containsNumber="1" minValue="0" maxValue="67582.645143000002"/>
    </cacheField>
    <cacheField name="Dare EUR" numFmtId="164">
      <sharedItems containsSemiMixedTypes="0" containsString="0" containsNumber="1" minValue="0" maxValue="9435.0784000000003"/>
    </cacheField>
    <cacheField name="Descrizione Completa" numFmtId="0">
      <sharedItems/>
    </cacheField>
    <cacheField name="Tipologia" numFmtId="0">
      <sharedItems containsBlank="1" count="7">
        <s v="Spese per Trasferimento EAU"/>
        <s v="Project Plan Dubai I"/>
        <s v="Rimborsi"/>
        <s v="Telefonia Cellulare"/>
        <s v="Giroconto"/>
        <m u="1"/>
        <s v="Altre Commissioni Bancarie" u="1"/>
      </sharedItems>
    </cacheField>
    <cacheField name="Viaggi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0254633" createdVersion="8" refreshedVersion="8" minRefreshableVersion="3" recordCount="6" xr:uid="{BC7466CC-CC92-534F-9E1F-E57D0EC4AB97}">
  <cacheSource type="worksheet">
    <worksheetSource ref="A1:H7" sheet="IBKR"/>
  </cacheSource>
  <cacheFields count="8">
    <cacheField name="Mese" numFmtId="0">
      <sharedItems containsSemiMixedTypes="0" containsString="0" containsNumber="1" containsInteger="1" minValue="4" maxValue="5" count="2">
        <n v="5"/>
        <n v="4"/>
      </sharedItems>
    </cacheField>
    <cacheField name="Data" numFmtId="170">
      <sharedItems containsSemiMixedTypes="0" containsNonDate="0" containsDate="1" containsString="0" minDate="2026-04-30T00:00:00" maxDate="2026-05-23T00:00:00"/>
    </cacheField>
    <cacheField name="Valuta" numFmtId="170">
      <sharedItems containsSemiMixedTypes="0" containsNonDate="0" containsDate="1" containsString="0" minDate="2026-04-30T00:00:00" maxDate="2026-05-23T00:00:00"/>
    </cacheField>
    <cacheField name="Avere" numFmtId="8">
      <sharedItems containsString="0" containsBlank="1" containsNumber="1" minValue="96.67" maxValue="30000"/>
    </cacheField>
    <cacheField name="Dare" numFmtId="8">
      <sharedItems containsString="0" containsBlank="1" containsNumber="1" minValue="28328.84" maxValue="29912.59"/>
    </cacheField>
    <cacheField name="Descrizione Completa" numFmtId="0">
      <sharedItems/>
    </cacheField>
    <cacheField name="Tipologia" numFmtId="0">
      <sharedItems count="3">
        <s v="Acquisto Fondi/Titoli"/>
        <s v="Giroconto"/>
        <s v="Altre Commissioni Bancarie" u="1"/>
      </sharedItems>
    </cacheField>
    <cacheField name="Viaggi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0370372" createdVersion="8" refreshedVersion="8" minRefreshableVersion="3" recordCount="73" xr:uid="{44583851-9BD8-BE49-BCCF-B4FD1ABEF35A}">
  <cacheSource type="worksheet">
    <worksheetSource ref="A1:H74" sheet="Fineco Sa"/>
  </cacheSource>
  <cacheFields count="8">
    <cacheField name="Mese" numFmtId="0">
      <sharedItems containsSemiMixedTypes="0" containsString="0" containsNumber="1" containsInteger="1" minValue="1" maxValue="6" count="6">
        <n v="6"/>
        <n v="5"/>
        <n v="4"/>
        <n v="3"/>
        <n v="2"/>
        <n v="1"/>
      </sharedItems>
    </cacheField>
    <cacheField name="Data" numFmtId="170">
      <sharedItems containsSemiMixedTypes="0" containsNonDate="0" containsDate="1" containsString="0" minDate="2026-01-20T00:00:00" maxDate="2026-07-09T00:00:00"/>
    </cacheField>
    <cacheField name="Valuta" numFmtId="170">
      <sharedItems containsSemiMixedTypes="0" containsNonDate="0" containsDate="1" containsString="0" minDate="2026-01-20T00:00:00" maxDate="2026-07-01T00:00:00"/>
    </cacheField>
    <cacheField name="Avere" numFmtId="8">
      <sharedItems containsString="0" containsBlank="1" containsNumber="1" minValue="3.36" maxValue="60424.07"/>
    </cacheField>
    <cacheField name="Dare" numFmtId="8">
      <sharedItems containsString="0" containsBlank="1" containsNumber="1" minValue="3.95" maxValue="250000"/>
    </cacheField>
    <cacheField name="Descrizione" numFmtId="0">
      <sharedItems/>
    </cacheField>
    <cacheField name="Descrizione Completa" numFmtId="0">
      <sharedItems/>
    </cacheField>
    <cacheField name="Tipologia" numFmtId="0">
      <sharedItems containsBlank="1" count="9">
        <s v="Imposta di Bollo Titoli e CC"/>
        <s v="Altre Commissioni Bancarie"/>
        <s v="Commissioni Bancarie su Investimenti"/>
        <s v="Acquisto Fondi/Titoli"/>
        <s v="Quote da investimenti"/>
        <s v="Successione Vanzini"/>
        <s v="Giroconto"/>
        <s v="Project Plan Dubai II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0370372" createdVersion="8" refreshedVersion="8" minRefreshableVersion="3" recordCount="11" xr:uid="{61D8433B-BDFD-AA4D-B6A6-0A36CA6DE8E7}">
  <cacheSource type="worksheet">
    <worksheetSource ref="A1:H12" sheet="RakBank EUR"/>
  </cacheSource>
  <cacheFields count="8">
    <cacheField name="Mese" numFmtId="0">
      <sharedItems containsSemiMixedTypes="0" containsString="0" containsNumber="1" containsInteger="1" minValue="4" maxValue="7" count="3">
        <n v="7"/>
        <n v="5"/>
        <n v="4"/>
      </sharedItems>
    </cacheField>
    <cacheField name="Data" numFmtId="170">
      <sharedItems containsSemiMixedTypes="0" containsNonDate="0" containsDate="1" containsString="0" minDate="2026-04-01T00:00:00" maxDate="2026-07-05T00:00:00"/>
    </cacheField>
    <cacheField name="Valuta" numFmtId="170">
      <sharedItems containsSemiMixedTypes="0" containsNonDate="0" containsDate="1" containsString="0" minDate="2026-04-01T00:00:00" maxDate="2026-07-05T00:00:00"/>
    </cacheField>
    <cacheField name="Avere" numFmtId="0">
      <sharedItems containsString="0" containsBlank="1" containsNumber="1" containsInteger="1" minValue="70000" maxValue="250000"/>
    </cacheField>
    <cacheField name="Dare" numFmtId="8">
      <sharedItems containsString="0" containsBlank="1" containsNumber="1" minValue="21" maxValue="69900"/>
    </cacheField>
    <cacheField name="Descrizione Completa" numFmtId="0">
      <sharedItems/>
    </cacheField>
    <cacheField name="Tipologia" numFmtId="0">
      <sharedItems count="2">
        <s v="Giroconto"/>
        <s v="Altre Commissioni Bancarie"/>
      </sharedItems>
    </cacheField>
    <cacheField name="Viaggi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048611" createdVersion="8" refreshedVersion="8" minRefreshableVersion="3" recordCount="57" xr:uid="{2C4C1798-229D-3F44-BC90-C6EAC7430403}">
  <cacheSource type="worksheet">
    <worksheetSource ref="A1:H58" sheet="Fineco St"/>
  </cacheSource>
  <cacheFields count="8">
    <cacheField name="Mese" numFmtId="0">
      <sharedItems containsSemiMixedTypes="0" containsString="0" containsNumber="1" containsInteger="1" minValue="1" maxValue="12" count="12">
        <n v="7"/>
        <n v="6"/>
        <n v="5"/>
        <n v="4"/>
        <n v="3"/>
        <n v="2"/>
        <n v="1"/>
        <n v="12" u="1"/>
        <n v="11" u="1"/>
        <n v="10" u="1"/>
        <n v="9" u="1"/>
        <n v="8" u="1"/>
      </sharedItems>
    </cacheField>
    <cacheField name="Data" numFmtId="170">
      <sharedItems containsSemiMixedTypes="0" containsNonDate="0" containsDate="1" containsString="0" minDate="2026-01-02T00:00:00" maxDate="2026-07-09T00:00:00"/>
    </cacheField>
    <cacheField name="Valuta" numFmtId="170">
      <sharedItems containsSemiMixedTypes="0" containsNonDate="0" containsDate="1" containsString="0" minDate="2026-01-02T00:00:00" maxDate="2026-07-09T00:00:00"/>
    </cacheField>
    <cacheField name="Avere" numFmtId="8">
      <sharedItems containsString="0" containsBlank="1" containsNumber="1" minValue="124.99" maxValue="95681.81"/>
    </cacheField>
    <cacheField name="Dare" numFmtId="8">
      <sharedItems containsString="0" containsBlank="1" containsNumber="1" minValue="3.95" maxValue="70000"/>
    </cacheField>
    <cacheField name="Descrizione" numFmtId="8">
      <sharedItems/>
    </cacheField>
    <cacheField name="Descrizione Completa" numFmtId="8">
      <sharedItems longText="1"/>
    </cacheField>
    <cacheField name="Tipologia" numFmtId="0">
      <sharedItems containsBlank="1" count="20">
        <s v="Successione Vanzini"/>
        <s v="Amex"/>
        <s v="Giroconto"/>
        <s v="Altre Commissioni Bancarie"/>
        <s v="Mutuo Riccione"/>
        <s v="Imposta di Bollo Titoli e CC"/>
        <s v="Project Plan Dubai I"/>
        <s v="Project Plan Dubai II"/>
        <s v="Spese per Trasferimento EAU"/>
        <s v="Quote da investimenti"/>
        <s v="Altre spese Italia"/>
        <s v="Spese Per Vendita El Toro"/>
        <m u="1"/>
        <s v="Contabilizzato" u="1"/>
        <s v="Altre Spese" u="1"/>
        <s v="Commissioni Bancarie" u="1"/>
        <s v="Project Plan Dubai" u="1"/>
        <s v="Rimborsi" u="1"/>
        <s v="Istruzione e Corsi" u="1"/>
        <s v="Entrate da non contabilizzar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048611" createdVersion="8" refreshedVersion="8" minRefreshableVersion="3" recordCount="277" xr:uid="{513FF2FC-4DFC-5545-A847-2FDB443F8A8A}">
  <cacheSource type="worksheet">
    <worksheetSource ref="A1:I278" sheet="BBVA"/>
  </cacheSource>
  <cacheFields count="9">
    <cacheField name="Mese" numFmtId="0">
      <sharedItems containsSemiMixedTypes="0" containsString="0" containsNumber="1" containsInteger="1" minValue="1" maxValue="12" count="12">
        <n v="7"/>
        <n v="6"/>
        <n v="5"/>
        <n v="4"/>
        <n v="3"/>
        <n v="2"/>
        <n v="1"/>
        <n v="12" u="1"/>
        <n v="11" u="1"/>
        <n v="10" u="1"/>
        <n v="9" u="1"/>
        <n v="8" u="1"/>
      </sharedItems>
    </cacheField>
    <cacheField name="Data" numFmtId="170">
      <sharedItems containsDate="1" containsMixedTypes="1" minDate="2026-01-02T00:00:00" maxDate="2026-07-13T00:00:00"/>
    </cacheField>
    <cacheField name="Valuta" numFmtId="170">
      <sharedItems containsDate="1" containsMixedTypes="1" minDate="2026-01-02T00:00:00" maxDate="2026-07-14T00:00:00"/>
    </cacheField>
    <cacheField name="Avere" numFmtId="8">
      <sharedItems containsString="0" containsBlank="1" containsNumber="1" minValue="1.05" maxValue="15000"/>
    </cacheField>
    <cacheField name="Dare" numFmtId="8">
      <sharedItems containsString="0" containsBlank="1" containsNumber="1" minValue="0.35" maxValue="15000"/>
    </cacheField>
    <cacheField name="Descrizione Completa" numFmtId="0">
      <sharedItems/>
    </cacheField>
    <cacheField name="Tipologia" numFmtId="0">
      <sharedItems containsBlank="1" count="116">
        <s v="Spese per Trasferimento EAU"/>
        <s v="Carburante "/>
        <s v="Parrucchiera/e"/>
        <s v="Rifiuti"/>
        <s v="Tassa di circolazione"/>
        <s v="IBI"/>
        <s v="Imposte Spagna"/>
        <s v="Acqua Potabile"/>
        <s v="Alimentari"/>
        <s v="Giroconto"/>
        <s v="Manutenzione Immobile"/>
        <s v="Parcheggio"/>
        <s v="Fitness"/>
        <s v="Polizza Salute"/>
        <s v="Luce"/>
        <s v="Telefonia Cellulare"/>
        <s v="Fibra Telefonica"/>
        <s v="Colazioni - Bar - Aperitivi - Gelateria"/>
        <s v="Ristorazione"/>
        <s v="Medicinali - Test Covid - Integratori"/>
        <s v="Altre Commissioni Bancarie"/>
        <s v="Abbigliamento e Accessori"/>
        <s v="Manutenzione Auto"/>
        <s v="Animali domestici"/>
        <s v="Altre spese Spagna"/>
        <s v="Prelievo Contante"/>
        <s v="Accessori per Casa e Cucina"/>
        <s v="V - Alimentari/Ristorazione"/>
        <s v="V - Altri Trasporti - Parcheggio"/>
        <s v="Polizza Casa"/>
        <s v="Estetista"/>
        <s v="Elettronica e Tecnologia"/>
        <s v="Entrate da non contabilizzare"/>
        <s v="Spese da non contabilizzare"/>
        <s v="Manutenzione Piscina"/>
        <s v="Assicurazione "/>
        <s v="Spese Per Vendita El Toro"/>
        <s v="Istruzione e Corsi"/>
        <s v="Commissioni Bancarie" u="1"/>
        <s v="Cinema - Giochi - Libri" u="1"/>
        <s v="Mutuo Riccione" u="1"/>
        <s v="Prodotti per la Cura della Persona" u="1"/>
        <s v="Vendita El Toro" u="1"/>
        <s v="Manutenzione del Giardino" u="1"/>
        <s v="Altre spese Italia" u="1"/>
        <s v="Dentista" u="1"/>
        <s v="Spese Amministrative - Passaporti - SPID" u="1"/>
        <s v="Trasporti pubblici" u="1"/>
        <s v="Polizza Vita" u="1"/>
        <s v="V - Assicurazione di Viaggio" u="1"/>
        <s v="V - Musei - Parchi - Siti di Interesse" u="1"/>
        <s v="V - Alloggio" u="1"/>
        <s v="V - Altre Spese di Viaggio" u="1"/>
        <s v="Commissioni Visa Prepagata" u="1"/>
        <s v="Ricarica Visa Prepagata" u="1"/>
        <s v="Realizzazione Villa El Toro " u="1"/>
        <s v="ITV" u="1"/>
        <s v="V - Parcheggio Aeroporto" u="1"/>
        <s v="Manutenzione Impianti Tecnologici" u="1"/>
        <s v="Prodotti per la Pulizia - Detersivi" u="1"/>
        <s v="Nautica" u="1"/>
        <s v="Abbigliamento Sportivo e Accessori" u="1"/>
        <s v="Sanzioni Amministrative" u="1"/>
        <m u="1"/>
        <s v="Spese Visa Prepagata" u="1"/>
        <s v="Amministrazione Comunale e Sanzioni" u="1"/>
        <s v="Affitto - Manutenzione Immobile" u="1"/>
        <s v="Spese Istruzione e Corsi" u="1"/>
        <s v="Imposte Comunali - Municipali - Statali" u="1"/>
        <s v="Eventi musicali - Teatro - Musei" u="1"/>
        <s v="Rientri a Bologna - Trasporti" u="1"/>
        <s v="Accessori per Piscina e Giardino" u="1"/>
        <s v="Equitazione" u="1"/>
        <s v="Imprevisti" u="1"/>
        <s v="Acque Reflue" u="1"/>
        <s v="Trasloco" u="1"/>
        <s v="Paddle" u="1"/>
        <s v="V - Trasporto Aereo" u="1"/>
        <s v="Fibra e Telefonia Cellulare" u="1"/>
        <s v="Spese scolastiche" u="1"/>
        <s v="Prepago Visa" u="1"/>
        <s v="Cure mediche extra ass." u="1"/>
        <s v="Prova inizio simulato 2024" u="1"/>
        <s v="Arredamento" u="1"/>
        <s v="Acqua" u="1"/>
        <s v="Commercialista Spagna" u="1"/>
        <s v="V - Carburante" u="1"/>
        <s v="V - Automobile a noleggio" u="1"/>
        <s v="Servizi Internet - Amazon Prime - iCloud" u="1"/>
        <s v="Medicinali - Test Covid" u="1"/>
        <s v="Prelievo Contante Spese Generiche" u="1"/>
        <s v="V - Musei - Siti di Interesse Generale" u="1"/>
        <s v="Accessori per la casa" u="1"/>
        <s v="Carburante vettura" u="1"/>
        <s v="Imposte" u="1"/>
        <s v="Manutenzione" u="1"/>
        <s v="EUR" u="1"/>
        <s v="Manutenzione vettura" u="1"/>
        <s v="Attività spot" u="1"/>
        <s v="Affitto - Manutenzione - Impianti" u="1"/>
        <s v="Altre spese Spagna - Imprevisti" u="1"/>
        <s v="V - Spese di Ristorazione" u="1"/>
        <s v="Prodotti per la Pulizia e Accessori" u="1"/>
        <s v="Amministrazione Comunale" u="1"/>
        <s v="Gas" u="1"/>
        <s v="Rientri a Bologna" u="1"/>
        <s v="Vendita - Secondo prezzo" u="1"/>
        <s v="Altri Corsi" u="1"/>
        <s v="Abbigliamento Sportivo" u="1"/>
        <s v="Prodotti/Accessori per la casa" u="1"/>
        <s v="Prodotti Pulizia e Accessori per Casa" u="1"/>
        <s v="Prodotti Pulizia e Accessori per Casa e Cucina" u="1"/>
        <s v="Internet - Telefonia - Streaming TV" u="1"/>
        <s v="Assicurazione vettura" u="1"/>
        <s v="Nuoto" u="1"/>
        <s v="Rimborsi" u="1"/>
      </sharedItems>
    </cacheField>
    <cacheField name="Visa Prepagata" numFmtId="0">
      <sharedItems containsBlank="1" count="5">
        <m/>
        <s v="Voce di Spesa"/>
        <s v="Dubai"/>
        <s v="Ricarica Visa Prepagata" u="1"/>
        <s v="Ricarica - Accredito" u="1"/>
      </sharedItems>
    </cacheField>
    <cacheField name="Viaggio" numFmtId="0">
      <sharedItems containsBlank="1" containsMixedTypes="1" containsNumber="1" minValue="9324.15" maxValue="9324.15" count="3">
        <m/>
        <s v="Siviglia"/>
        <n v="9324.1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0949072" createdVersion="8" refreshedVersion="8" minRefreshableVersion="3" recordCount="27" xr:uid="{FB28E453-6A10-1949-8AFA-349A6CEDC490}">
  <cacheSource type="worksheet">
    <worksheetSource ref="A1:H28" sheet="Revolut"/>
  </cacheSource>
  <cacheFields count="8">
    <cacheField name="Mese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Data" numFmtId="170">
      <sharedItems containsSemiMixedTypes="0" containsNonDate="0" containsDate="1" containsString="0" minDate="2026-01-04T08:11:22" maxDate="2026-04-25T13:13:07"/>
    </cacheField>
    <cacheField name="Valuta" numFmtId="170">
      <sharedItems containsSemiMixedTypes="0" containsNonDate="0" containsDate="1" containsString="0" minDate="2026-01-05T12:10:44" maxDate="2026-04-25T13:13:07"/>
    </cacheField>
    <cacheField name="Avere" numFmtId="8">
      <sharedItems containsString="0" containsBlank="1" containsNumber="1" containsInteger="1" minValue="100" maxValue="100"/>
    </cacheField>
    <cacheField name="Dare" numFmtId="8">
      <sharedItems containsString="0" containsBlank="1" containsNumber="1" minValue="0.23" maxValue="256.8"/>
    </cacheField>
    <cacheField name="Descrizione Completa" numFmtId="0">
      <sharedItems/>
    </cacheField>
    <cacheField name="Tipologia" numFmtId="0">
      <sharedItems count="13">
        <s v="Giroconto"/>
        <s v="Abbigliamento e Accessori"/>
        <s v="Eventi musicali - Teatro - Musei"/>
        <s v="Telefonia Cellulare"/>
        <s v="Ristorazione"/>
        <s v="V - Altri Trasporti - Parcheggio"/>
        <s v="Spese Amministrative - Passaporti - SPID"/>
        <s v="V - Alimentari/Ristorazione"/>
        <s v="Prodotti per la Cura della Persona"/>
        <s v="Prelievo Contante"/>
        <s v="Fitness"/>
        <s v="Colazioni - Bar - Aperitivi - Gelateria"/>
        <s v="Alimentari"/>
      </sharedItems>
    </cacheField>
    <cacheField name="Viaggio" numFmtId="0">
      <sharedItems containsBlank="1" count="2">
        <m/>
        <s v="Duba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o Gresleri" refreshedDate="46215.728971064818" createdVersion="8" refreshedVersion="8" minRefreshableVersion="3" recordCount="417" xr:uid="{16FB7706-60D6-044E-9B20-B38BFC1CB2BC}">
  <cacheSource type="worksheet">
    <worksheetSource ref="A1:G418" sheet="Amex"/>
  </cacheSource>
  <cacheFields count="7">
    <cacheField name="Mese" numFmtId="0">
      <sharedItems containsSemiMixedTypes="0" containsString="0" containsNumber="1" containsInteger="1" minValue="1" maxValue="12" count="12">
        <n v="7"/>
        <n v="6"/>
        <n v="5"/>
        <n v="4"/>
        <n v="3"/>
        <n v="2"/>
        <n v="1"/>
        <n v="12" u="1"/>
        <n v="11" u="1"/>
        <n v="10" u="1"/>
        <n v="9" u="1"/>
        <n v="8" u="1"/>
      </sharedItems>
    </cacheField>
    <cacheField name="Data" numFmtId="170">
      <sharedItems containsSemiMixedTypes="0" containsNonDate="0" containsDate="1" containsString="0" minDate="2026-01-02T00:00:00" maxDate="2026-07-10T00:00:00"/>
    </cacheField>
    <cacheField name="Avere" numFmtId="0">
      <sharedItems containsString="0" containsBlank="1" containsNumber="1" minValue="1.1100000000000001" maxValue="35.43"/>
    </cacheField>
    <cacheField name="Dare" numFmtId="0">
      <sharedItems containsString="0" containsBlank="1" containsNumber="1" minValue="0.95" maxValue="3447.45"/>
    </cacheField>
    <cacheField name="Descrizione" numFmtId="0">
      <sharedItems/>
    </cacheField>
    <cacheField name="Tipologia" numFmtId="0">
      <sharedItems containsBlank="1" count="56">
        <s v="Alimentari"/>
        <s v="Spese per Trasferimento EAU"/>
        <s v="Abbigliamento e Accessori"/>
        <s v="Prodotti per la Pulizia - Detersivi"/>
        <s v="Ristorazione"/>
        <s v="Colazioni - Bar - Aperitivi - Gelateria"/>
        <s v="Animali domestici"/>
        <s v="Lingue Straniere"/>
        <s v="Cinema - Giochi - Libri - Regali"/>
        <s v="Servizi Internet - Amazon Prime - iCloud"/>
        <s v="Elettronica e Tecnologia"/>
        <s v="Imposta di Bollo Titoli e CC"/>
        <s v="Rientri a Bologna - Trasporti"/>
        <s v="Successione Vanzini"/>
        <s v="Prodotti per la Cura della Persona"/>
        <s v="Streaming TV"/>
        <s v="Altre spese Italia"/>
        <s v="Abbigliamento Sportivo e Accessori"/>
        <s v="Manutenzione del Giardino"/>
        <s v="Affitto Dubai"/>
        <s v="Manutenzione Immobile"/>
        <s v="V - Alloggio"/>
        <s v="Imposte Italia"/>
        <s v="Spese da non contabilizzare"/>
        <s v="Medicinali - Test Covid - Integratori"/>
        <s v="Trasporti pubblici"/>
        <s v="Istruzione e Corsi"/>
        <s v="Accessori per Casa e Cucina"/>
        <s v="Spese Amministrative - Passaporti - SPID"/>
        <s v="V - Automobile a noleggio"/>
        <s v="Fitness"/>
        <s v="V - Trasporto Aereo"/>
        <s v="Carburante "/>
        <s v="Estetista"/>
        <s v="Telefonia Cellulare"/>
        <s v="V - Carburante"/>
        <s v="V - Alimentari/Ristorazione"/>
        <s v="V - Musei - Parchi - Siti di Interesse"/>
        <s v="Amex"/>
        <s v="V - Altre Spese di Viaggio"/>
        <s v="Altre spese Spagna"/>
        <s v="Oculista - Occhiali"/>
        <s v="Cinema - Giochi - Libri" u="1"/>
        <m u="1"/>
        <s v="V - Altri Trasporti - Parcheggio" u="1"/>
        <s v="Elettrodomestici" u="1"/>
        <s v="Realizzazione Villa El Toro " u="1"/>
        <s v="Manutenzione Auto" u="1"/>
        <s v="Manutenzione Impianti Tecnologici" u="1"/>
        <s v="Accessori per Piscina e Giardino" u="1"/>
        <s v="Eventi musicali - Teatro - Musei" u="1"/>
        <s v="Arredamento" u="1"/>
        <s v="Manutenzione Piscina" u="1"/>
        <s v="Commissioni Amex" u="1"/>
        <s v="Nautica" u="1"/>
        <s v="V - Assicurazione di Viaggio" u="1"/>
      </sharedItems>
    </cacheField>
    <cacheField name="Viaggio" numFmtId="0">
      <sharedItems containsBlank="1" count="7">
        <m/>
        <s v="Siviglia"/>
        <s v="Dubai"/>
        <s v="Madrid" u="1"/>
        <s v="Barcellona (Passaporto)" u="1"/>
        <s v="Barca a Vela" u="1"/>
        <s v="Martinica - Guadalup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d v="2026-07-03T00:00:00"/>
    <d v="2026-07-03T00:00:00"/>
    <m/>
    <n v="0.19"/>
    <n v="0"/>
    <n v="4.4285200000000004E-2"/>
    <s v="SHIPPING AGENCY LLC CHARGE COLLECTION - INCL VAT"/>
    <x v="0"/>
    <x v="0"/>
  </r>
  <r>
    <x v="0"/>
    <d v="2026-07-03T00:00:00"/>
    <d v="2026-07-03T00:00:00"/>
    <m/>
    <n v="23985"/>
    <n v="0"/>
    <n v="5590.4238000000005"/>
    <s v="SENT TO DUBAI ARABIAN SHIPPING AGENCY LLC"/>
    <x v="0"/>
    <x v="0"/>
  </r>
  <r>
    <x v="0"/>
    <d v="2026-07-03T00:00:00"/>
    <d v="2026-07-03T00:00:00"/>
    <m/>
    <n v="40479.980000000003"/>
    <n v="0"/>
    <n v="9435.0737384000004"/>
    <s v="BINGHATTI AQUARISE ESC ACC OUTWARD T/T"/>
    <x v="1"/>
    <x v="0"/>
  </r>
  <r>
    <x v="0"/>
    <d v="2026-07-03T00:00:00"/>
    <d v="2026-07-03T00:00:00"/>
    <m/>
    <n v="1.05"/>
    <n v="0"/>
    <n v="0.24473400000000001"/>
    <s v="BINGHATTI AQUARISE CHARGE COLLECTION-INCL. VAT"/>
    <x v="1"/>
    <x v="0"/>
  </r>
  <r>
    <x v="1"/>
    <d v="2026-06-25T00:00:00"/>
    <d v="2026-06-25T00:00:00"/>
    <m/>
    <n v="2999"/>
    <n v="0"/>
    <n v="699.00692000000004"/>
    <s v="POA CENTRAL LLC OUTWARD T/T"/>
    <x v="0"/>
    <x v="0"/>
  </r>
  <r>
    <x v="1"/>
    <d v="2026-06-25T00:00:00"/>
    <d v="2026-06-25T00:00:00"/>
    <m/>
    <n v="1.05"/>
    <n v="0"/>
    <n v="0.24473400000000001"/>
    <s v="POA CENTRAL LLC Charge Collection-INCL. VAT"/>
    <x v="0"/>
    <x v="0"/>
  </r>
  <r>
    <x v="2"/>
    <d v="2026-06-13T00:00:00"/>
    <d v="2026-05-22T00:00:00"/>
    <n v="1354.92"/>
    <m/>
    <n v="318.40620000000001"/>
    <n v="0"/>
    <s v="Credit for interest, bonus, award"/>
    <x v="2"/>
    <x v="0"/>
  </r>
  <r>
    <x v="1"/>
    <d v="2026-06-03T00:00:00"/>
    <d v="2026-06-03T00:00:00"/>
    <m/>
    <n v="40479.980000000003"/>
    <n v="0"/>
    <n v="9435.0737384000004"/>
    <s v="AQUARISE BAQR D1854 14th Instalment"/>
    <x v="1"/>
    <x v="0"/>
  </r>
  <r>
    <x v="1"/>
    <d v="2026-06-03T00:00:00"/>
    <d v="2026-06-03T00:00:00"/>
    <m/>
    <n v="1.05"/>
    <n v="0"/>
    <n v="0.24473400000000001"/>
    <s v="AQUARISE BAQR D1854 14th Instalment"/>
    <x v="1"/>
    <x v="0"/>
  </r>
  <r>
    <x v="2"/>
    <d v="2026-05-22T00:00:00"/>
    <d v="2026-05-22T00:00:00"/>
    <n v="833.97"/>
    <m/>
    <n v="195.56596500000001"/>
    <n v="0"/>
    <s v="Credit for interest, bonus, award"/>
    <x v="2"/>
    <x v="0"/>
  </r>
  <r>
    <x v="2"/>
    <d v="2026-05-18T00:00:00"/>
    <d v="2026-05-18T00:00:00"/>
    <m/>
    <n v="30"/>
    <n v="0"/>
    <n v="7.0068000000000001"/>
    <s v="Furry Pets Relocation Services LLC"/>
    <x v="3"/>
    <x v="0"/>
  </r>
  <r>
    <x v="2"/>
    <d v="2026-05-18T00:00:00"/>
    <d v="2026-05-18T00:00:00"/>
    <m/>
    <n v="30"/>
    <n v="0"/>
    <n v="7.0068000000000001"/>
    <s v="Furry Pets Relocation Services LLC"/>
    <x v="3"/>
    <x v="0"/>
  </r>
  <r>
    <x v="2"/>
    <d v="2026-05-12T00:00:00"/>
    <d v="2026-05-12T00:00:00"/>
    <m/>
    <n v="0.19"/>
    <n v="0"/>
    <n v="4.4080000000000001E-2"/>
    <s v="Furry Pets Relocation Services LLC"/>
    <x v="0"/>
    <x v="0"/>
  </r>
  <r>
    <x v="2"/>
    <d v="2026-05-12T00:00:00"/>
    <d v="2026-05-12T00:00:00"/>
    <m/>
    <n v="16954.5"/>
    <n v="0"/>
    <n v="3933.4440000000004"/>
    <s v="Furry Pets Relocation Services LLC"/>
    <x v="0"/>
    <x v="0"/>
  </r>
  <r>
    <x v="2"/>
    <d v="2026-05-04T00:00:00"/>
    <d v="2026-05-04T00:00:00"/>
    <m/>
    <n v="1.05"/>
    <n v="0"/>
    <n v="0.24473400000000001"/>
    <s v="AQUARISE BAQR D1854 13th Instalment"/>
    <x v="1"/>
    <x v="0"/>
  </r>
  <r>
    <x v="2"/>
    <d v="2026-05-04T00:00:00"/>
    <d v="2026-05-04T00:00:00"/>
    <m/>
    <n v="40480"/>
    <n v="0"/>
    <n v="9435.0784000000003"/>
    <s v="AQUARISE BAQR D1854 13th Instalment"/>
    <x v="1"/>
    <x v="0"/>
  </r>
  <r>
    <x v="3"/>
    <d v="2026-04-15T00:00:00"/>
    <d v="2026-04-15T00:00:00"/>
    <n v="292692.27"/>
    <m/>
    <n v="67582.645143000002"/>
    <n v="0"/>
    <s v="Giroconto Interno"/>
    <x v="4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d v="2026-05-22T00:00:00"/>
    <d v="2026-05-22T00:00:00"/>
    <m/>
    <n v="29912.59"/>
    <s v="Acquisto ETF - C50"/>
    <x v="0"/>
    <x v="0"/>
  </r>
  <r>
    <x v="0"/>
    <d v="2026-05-22T00:00:00"/>
    <d v="2026-05-22T00:00:00"/>
    <m/>
    <n v="28328.84"/>
    <s v="Acquisto ETF - IWVL"/>
    <x v="0"/>
    <x v="0"/>
  </r>
  <r>
    <x v="0"/>
    <d v="2026-05-20T00:00:00"/>
    <d v="2026-05-20T00:00:00"/>
    <n v="30000"/>
    <m/>
    <s v="Giroconto"/>
    <x v="1"/>
    <x v="0"/>
  </r>
  <r>
    <x v="0"/>
    <d v="2026-05-20T00:00:00"/>
    <d v="2026-05-20T00:00:00"/>
    <n v="96.67"/>
    <m/>
    <s v="Giroconto"/>
    <x v="1"/>
    <x v="0"/>
  </r>
  <r>
    <x v="0"/>
    <d v="2026-05-18T00:00:00"/>
    <d v="2026-05-18T00:00:00"/>
    <n v="30000"/>
    <m/>
    <s v="Giroconto"/>
    <x v="1"/>
    <x v="0"/>
  </r>
  <r>
    <x v="1"/>
    <d v="2026-04-30T00:00:00"/>
    <d v="2026-04-30T00:00:00"/>
    <n v="100"/>
    <m/>
    <s v="Giroconto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d v="2026-07-08T00:00:00"/>
    <d v="2026-06-30T00:00:00"/>
    <m/>
    <n v="125.2"/>
    <s v="Imposta bollo dossier titoli"/>
    <s v="Addebito imposta di bollo Dossier: 438838"/>
    <x v="0"/>
  </r>
  <r>
    <x v="0"/>
    <d v="2026-07-08T00:00:00"/>
    <d v="2026-06-30T00:00:00"/>
    <m/>
    <n v="407.5"/>
    <s v="Imposta bollo dossier titoli"/>
    <s v="Addebito imposta di bollo Dossier: 444805"/>
    <x v="0"/>
  </r>
  <r>
    <x v="0"/>
    <d v="2026-07-06T00:00:00"/>
    <d v="2026-06-30T00:00:00"/>
    <n v="3.95"/>
    <m/>
    <s v="Sconto Canone Mensile"/>
    <s v="Sconto Canone Mensile Giugno 2026"/>
    <x v="1"/>
  </r>
  <r>
    <x v="0"/>
    <d v="2026-07-06T00:00:00"/>
    <d v="2026-06-30T00:00:00"/>
    <m/>
    <n v="3.95"/>
    <s v="Canone Mensile Conto"/>
    <s v="Canone Mensile Conto Giugno 2026"/>
    <x v="1"/>
  </r>
  <r>
    <x v="0"/>
    <d v="2026-07-03T00:00:00"/>
    <d v="2026-06-30T00:00:00"/>
    <n v="197.83"/>
    <m/>
    <s v="Abbuono Comm.Consulenza Advice"/>
    <s v="Abbuono Comm. Consulenza Advice 6 / 2026"/>
    <x v="2"/>
  </r>
  <r>
    <x v="0"/>
    <d v="2026-07-03T00:00:00"/>
    <d v="2026-06-30T00:00:00"/>
    <m/>
    <n v="309.08999999999997"/>
    <s v="Commissioni Consulenza Advice"/>
    <s v="Commissioni Consulenza Advice 6 / 2026"/>
    <x v="2"/>
  </r>
  <r>
    <x v="0"/>
    <d v="2026-07-01T23:59:16"/>
    <d v="2026-06-30T00:00:00"/>
    <m/>
    <n v="364.22"/>
    <s v="Com.Cons.AdvicePlus Fee on top"/>
    <s v="Commissioni Consulenza Advice Plus 6/202 6 per il deposito 444805"/>
    <x v="2"/>
  </r>
  <r>
    <x v="0"/>
    <d v="2026-06-30T00:00:00"/>
    <d v="2026-06-30T00:00:00"/>
    <m/>
    <n v="8.5299999999999994"/>
    <s v="Imposta bollo conto corrente"/>
    <s v="Imposta di bollo di conto corrente del 30.06.2026"/>
    <x v="0"/>
  </r>
  <r>
    <x v="0"/>
    <d v="2026-06-30T00:00:00"/>
    <d v="2026-06-30T00:00:00"/>
    <m/>
    <n v="53897.38"/>
    <s v="Acquisto fondi online in euro"/>
    <s v="Sottoscrizione: SIC Transid: Isin: IE000RN6A2P4 EUROPEAN SUSTAINAB ST ARS EQUITY FAM FUND L ACC EUR Numero ordine: 64.113.935 Cliente: BONORA SANDRA"/>
    <x v="3"/>
  </r>
  <r>
    <x v="0"/>
    <d v="2026-06-30T00:00:00"/>
    <d v="2026-06-30T00:00:00"/>
    <n v="53897.38"/>
    <m/>
    <s v="Rimborso quote fondo"/>
    <s v="Rimborso: SIC Nr.quote: 1.171,623000 LU1387591305 MORGAN STANLEY INVESTMENT F UNDS - EUROPE OPPORTUNI Cliente: BONORA SANDRA"/>
    <x v="4"/>
  </r>
  <r>
    <x v="0"/>
    <d v="2026-06-30T00:00:00"/>
    <d v="2026-06-29T00:00:00"/>
    <n v="222.1"/>
    <m/>
    <s v="Accrediti Diversi"/>
    <s v="Sistemazione: SIC IE00BMD8FF47 JPMORGAN CHINA A-SHARES OPPORTUNITIES FAAM FUND L Cliente: BONORA SANDRA"/>
    <x v="4"/>
  </r>
  <r>
    <x v="0"/>
    <d v="2026-06-24T00:00:00"/>
    <d v="2026-06-24T00:00:00"/>
    <m/>
    <n v="2188.6799999999998"/>
    <s v="Bonifico Istantaneo"/>
    <s v="Beneficiario: Carla Basso IBAN: IT53H020 0802410000020113324 Data Inserimento: 24 /06/2026 17:53:08 Canale: INTERNET Causa le: Fondo spese successione Edda Vanzini TRN: 2606243259041399480320000000IT"/>
    <x v="5"/>
  </r>
  <r>
    <x v="0"/>
    <d v="2026-06-22T00:00:00"/>
    <d v="2026-06-22T00:00:00"/>
    <m/>
    <n v="100.6"/>
    <s v="Acquisto fondi online in euro"/>
    <s v="Rata Pac: SIC FIDELITY FOCUS EQUITY FAM FUND L ACC IE00BFXY6614 Mandato: 111961951 Numero ordine: 64.039.265 Cliente: BONORA SANDRA"/>
    <x v="3"/>
  </r>
  <r>
    <x v="1"/>
    <d v="2026-06-05T00:00:00"/>
    <d v="2026-05-31T00:00:00"/>
    <n v="3.95"/>
    <m/>
    <s v="Sconto Canone Mensile"/>
    <s v="Sconto Canone Mensile Maggio 2026"/>
    <x v="1"/>
  </r>
  <r>
    <x v="1"/>
    <d v="2026-06-05T00:00:00"/>
    <d v="2026-05-31T00:00:00"/>
    <m/>
    <n v="3.95"/>
    <s v="Canone Mensile Conto"/>
    <s v="Canone Mensile Conto Maggio 2026"/>
    <x v="1"/>
  </r>
  <r>
    <x v="1"/>
    <d v="2026-06-04T00:00:00"/>
    <d v="2026-05-31T00:00:00"/>
    <n v="194.95"/>
    <m/>
    <s v="Abbuono Comm.Consulenza Advice"/>
    <s v="Abbuono Comm. Consulenza Advice 5 / 2026"/>
    <x v="2"/>
  </r>
  <r>
    <x v="1"/>
    <d v="2026-06-04T00:00:00"/>
    <d v="2026-05-31T00:00:00"/>
    <m/>
    <n v="299.67"/>
    <s v="Commissioni Consulenza Advice"/>
    <s v="Commissioni Consulenza Advice 5 / 2026"/>
    <x v="2"/>
  </r>
  <r>
    <x v="1"/>
    <d v="2026-06-03T00:00:00"/>
    <d v="2026-05-31T00:00:00"/>
    <m/>
    <n v="354.02"/>
    <s v="Com.Cons.AdvicePlus Fee on top"/>
    <s v="Commissioni Consulenza Advice Plus 5/202 6 per il deposito 444805"/>
    <x v="2"/>
  </r>
  <r>
    <x v="1"/>
    <d v="2026-05-20T00:00:00"/>
    <d v="2026-05-20T00:00:00"/>
    <m/>
    <n v="100.6"/>
    <s v="Acquisto fondi online in euro"/>
    <s v="Rata Pac: SIC FIDELITY FOCUS EQUITY FAM FUND L ACC IE00BFXY6614 Mandato: 111961951 Numero ordine: 63.609.856 Cliente: BONORA SANDRA"/>
    <x v="3"/>
  </r>
  <r>
    <x v="2"/>
    <d v="2026-05-13T00:00:00"/>
    <d v="2026-04-30T00:00:00"/>
    <m/>
    <n v="150"/>
    <s v="Comm./Sp.OUR recl.Banca Estera"/>
    <s v="Spese our bon EUR 250.000,0000 28/04/202 6"/>
    <x v="1"/>
  </r>
  <r>
    <x v="2"/>
    <d v="2026-05-06T00:00:00"/>
    <d v="2026-04-30T00:00:00"/>
    <m/>
    <n v="328.77"/>
    <s v="Com.Cons.AdvicePlus Fee on top"/>
    <s v="Commissioni Consulenza Advice Plus 4/202 6 per il deposito 444805"/>
    <x v="2"/>
  </r>
  <r>
    <x v="2"/>
    <d v="2026-05-06T00:00:00"/>
    <d v="2026-04-30T00:00:00"/>
    <n v="233.34"/>
    <m/>
    <s v="Abbuono Comm.Consulenza Advice"/>
    <s v="Abbuono Comm. Consulenza Advice 4 / 2026"/>
    <x v="2"/>
  </r>
  <r>
    <x v="2"/>
    <d v="2026-05-06T00:00:00"/>
    <d v="2026-04-30T00:00:00"/>
    <n v="3.36"/>
    <m/>
    <s v="Abbuono Comm.Consulenza Advice"/>
    <s v="Integrazione Abbuono Comm.Consulenza Adv ice 4/2026"/>
    <x v="2"/>
  </r>
  <r>
    <x v="2"/>
    <d v="2026-05-06T00:00:00"/>
    <d v="2026-04-30T00:00:00"/>
    <m/>
    <n v="366.68"/>
    <s v="Commissioni Consulenza Advice"/>
    <s v="Commissioni Consulenza Advice 4 / 2026"/>
    <x v="2"/>
  </r>
  <r>
    <x v="2"/>
    <d v="2026-05-05T00:00:00"/>
    <d v="2026-04-30T00:00:00"/>
    <n v="3.95"/>
    <m/>
    <s v="Sconto Canone Mensile"/>
    <s v="Sconto Canone Mensile Aprile 2026"/>
    <x v="1"/>
  </r>
  <r>
    <x v="2"/>
    <d v="2026-05-05T00:00:00"/>
    <d v="2026-04-30T00:00:00"/>
    <m/>
    <n v="3.95"/>
    <s v="Canone Mensile Conto"/>
    <s v="Canone Mensile Conto Aprile 2026"/>
    <x v="1"/>
  </r>
  <r>
    <x v="2"/>
    <d v="2026-04-27T00:00:00"/>
    <d v="2026-04-28T00:00:00"/>
    <m/>
    <n v="250000"/>
    <s v="Bonifico estero"/>
    <s v="BEN: BONORA SANDRA IMP: 250.000,000 EUR CAM: 1,000000 CRO: CC47136385400 CAU: OA T GIROCONTO TP.SP: OUR BAN BEN: NRAKAEAK O/C: BONORA SANDRA"/>
    <x v="6"/>
  </r>
  <r>
    <x v="2"/>
    <d v="2026-04-27T00:00:00"/>
    <d v="2026-04-27T00:00:00"/>
    <m/>
    <n v="9.9499999999999993"/>
    <s v="Spese Bonifico Estero"/>
    <s v="Spese Bonifico Estero"/>
    <x v="6"/>
  </r>
  <r>
    <x v="2"/>
    <d v="2026-04-23T00:00:00"/>
    <d v="2026-04-23T00:00:00"/>
    <n v="6000.36"/>
    <m/>
    <s v="Rimborso quote fondo"/>
    <s v="Rimborso: SIC Nr.quote: 806,680000 LU0066341099 INVESCO EURO BOND FUND A Cliente: BONORA SANDRA"/>
    <x v="4"/>
  </r>
  <r>
    <x v="2"/>
    <d v="2026-04-23T00:00:00"/>
    <d v="2026-04-23T00:00:00"/>
    <n v="9316.9500000000007"/>
    <m/>
    <s v="Rimborso quote fondo"/>
    <s v="Rimborso: SIC Nr.quote: 860,613000 LU1670724373 M&amp;G (LUX) OPTIMAL INCOME FU ND EUR A ACC Cliente: BONORA SANDRA"/>
    <x v="4"/>
  </r>
  <r>
    <x v="2"/>
    <d v="2026-04-23T00:00:00"/>
    <d v="2026-04-23T00:00:00"/>
    <n v="9821.52"/>
    <m/>
    <s v="Rimborso quote fondo"/>
    <s v="Rimborso: SIC Nr.quote: 102,496000 IE00BFXY6S34 SCHRODER EURO BOND FAM FUND L ACC Cliente: BONORA SANDRA"/>
    <x v="4"/>
  </r>
  <r>
    <x v="2"/>
    <d v="2026-04-23T00:00:00"/>
    <d v="2026-04-23T00:00:00"/>
    <n v="60424.07"/>
    <m/>
    <s v="Rimborso quote fondo"/>
    <s v="Rimborso: SIC Nr.quote: 554,893000 IE00BFXY2415 M&amp;G OPTIMAL INCOME FAM FUND L ACC Cliente: BONORA SANDRA"/>
    <x v="4"/>
  </r>
  <r>
    <x v="2"/>
    <d v="2026-04-23T00:00:00"/>
    <d v="2026-04-23T00:00:00"/>
    <n v="19937.400000000001"/>
    <m/>
    <s v="Rimborso quote fondo"/>
    <s v="Rimborso: SIC Nr.quote: 190,751000 IE00BMWWJX33 INFUSIVE CONSUMER ALPHA GLO BAL LEADERS FAM FUND L Cliente: BONORA SANDRA"/>
    <x v="4"/>
  </r>
  <r>
    <x v="2"/>
    <d v="2026-04-23T00:00:00"/>
    <d v="2026-04-23T00:00:00"/>
    <n v="12885.74"/>
    <m/>
    <s v="Rimborso quote fondo"/>
    <s v="Rimborso: SIC Nr.quote: 120,168000 IE00BL0L6560 FINECO AM ADVISORY 6 TARGET III Cliente: BONORA SANDRA"/>
    <x v="4"/>
  </r>
  <r>
    <x v="2"/>
    <d v="2026-04-23T00:00:00"/>
    <d v="2026-04-23T00:00:00"/>
    <n v="15000"/>
    <m/>
    <s v="Bonifico SEPA Estero"/>
    <s v="Ord: SANDRA BONORA Ben: SANDRA BONORA Dt -ord: 23/04/2026 Banca Ord: BANCO BILBAO VIZCAYA Info-Cli: Giroconto"/>
    <x v="6"/>
  </r>
  <r>
    <x v="2"/>
    <d v="2026-04-22T00:00:00"/>
    <d v="2026-04-22T00:00:00"/>
    <n v="7154.86"/>
    <m/>
    <s v="Rimborso quote fondo"/>
    <s v="Rimborso: SIC Nr.quote: 322,261000 LU0095024591 AB FCP I EUROPEAN INCOME PO RTFOLIO A2 EUR Cliente: BONORA SANDRA"/>
    <x v="4"/>
  </r>
  <r>
    <x v="2"/>
    <d v="2026-04-22T00:00:00"/>
    <d v="2026-04-22T00:00:00"/>
    <n v="8057.37"/>
    <m/>
    <s v="Rimborso quote fondo"/>
    <s v="Rimborso: SIC Nr.quote: 460,896000 LU0227384020 NORDEA STABLE RETURN FUND B P ACC Cliente: BONORA SANDRA"/>
    <x v="4"/>
  </r>
  <r>
    <x v="2"/>
    <d v="2026-04-22T00:00:00"/>
    <d v="2026-04-22T00:00:00"/>
    <n v="8243.75"/>
    <m/>
    <s v="Rimborso quote fondo"/>
    <s v="Rimborso: SIC Nr.quote: 549,085000 IE00B036K821 RUSSELL GLOBAL BOND FUND EH -B ACC Cliente: BONORA SANDRA"/>
    <x v="4"/>
  </r>
  <r>
    <x v="2"/>
    <d v="2026-04-22T00:00:00"/>
    <d v="2026-04-22T00:00:00"/>
    <n v="13394.92"/>
    <m/>
    <s v="Rimborso quote fondo"/>
    <s v="Rimborso: SIC Nr.quote: 136,306000 IE00BFXY5Y29 FIDELITY EURO BOND FAM FUND L ACC Cliente: BONORA SANDRA"/>
    <x v="4"/>
  </r>
  <r>
    <x v="2"/>
    <d v="2026-04-22T00:00:00"/>
    <d v="2026-04-22T00:00:00"/>
    <n v="11565.82"/>
    <m/>
    <s v="Rimborso quote fondo"/>
    <s v="Rimborso: SIC Nr.quote: 239,694000 LU1378878430 MS INVF ASIA OPPORTUNITY FU ND A Cliente: BONORA SANDRA"/>
    <x v="4"/>
  </r>
  <r>
    <x v="2"/>
    <d v="2026-04-22T00:00:00"/>
    <d v="2026-04-22T00:00:00"/>
    <n v="10714.83"/>
    <m/>
    <s v="Rimborso quote fondo"/>
    <s v="Rimborso: SIC Nr.quote: 7,919000 LU0594539719 CANDRIAM BONDS EMERGING EUR Cliente: BONORA SANDRA"/>
    <x v="4"/>
  </r>
  <r>
    <x v="2"/>
    <d v="2026-04-22T00:00:00"/>
    <d v="2026-04-22T00:00:00"/>
    <n v="13232.19"/>
    <m/>
    <s v="Rimborso quote fondo"/>
    <s v="Rimborso: SIC Nr.quote: 113,250000 LU1254136416 ALLIANZ CAPITAL PLUS AT EUR Cliente: BONORA SANDRA"/>
    <x v="4"/>
  </r>
  <r>
    <x v="2"/>
    <d v="2026-04-21T00:00:00"/>
    <d v="2026-04-21T00:00:00"/>
    <n v="7812.39"/>
    <m/>
    <s v="Rimborso quote fondo"/>
    <s v="Rimborso: SIC Nr.quote: 530,264000 IE00B3QDMK77 PIMCO GIS EURO INCOME BOND FUND E ACC Cliente: BONORA SANDRA"/>
    <x v="4"/>
  </r>
  <r>
    <x v="2"/>
    <d v="2026-04-21T00:00:00"/>
    <d v="2026-04-21T00:00:00"/>
    <n v="32713.45"/>
    <m/>
    <s v="Rimborso quote fondo"/>
    <s v="Rimborso: SIC Nr.quote: 385,597000 IE00BMD8FF47 JPMORGAN CHINA A-SHARES OPP ORTUNITIES FAAM FUND L Cliente: BONORA SANDRA"/>
    <x v="4"/>
  </r>
  <r>
    <x v="2"/>
    <d v="2026-04-20T00:00:00"/>
    <d v="2026-04-20T00:00:00"/>
    <m/>
    <n v="100.6"/>
    <s v="Acquisto fondi online in euro"/>
    <s v="Rata Pac: SIC FIDELITY FOCUS EQUITY FAM FUND L ACC IE00BFXY6614 Mandato: 111961951 Numero ordine: 63.200.326 Cliente: BONORA SANDRA"/>
    <x v="3"/>
  </r>
  <r>
    <x v="3"/>
    <d v="2026-04-09T00:00:00"/>
    <d v="2026-03-31T00:00:00"/>
    <m/>
    <n v="161.69999999999999"/>
    <s v="Imposta bollo dossier titoli"/>
    <s v="Addebito imposta di bollo Dossier: 438838"/>
    <x v="0"/>
  </r>
  <r>
    <x v="3"/>
    <d v="2026-04-09T00:00:00"/>
    <d v="2026-03-31T00:00:00"/>
    <m/>
    <n v="409.7"/>
    <s v="Imposta bollo dossier titoli"/>
    <s v="Addebito imposta di bollo Dossier: 444805"/>
    <x v="0"/>
  </r>
  <r>
    <x v="3"/>
    <d v="2026-04-07T00:00:00"/>
    <d v="2026-03-31T00:00:00"/>
    <n v="3.95"/>
    <m/>
    <s v="Sconto Canone Mensile"/>
    <s v="Sconto Canone Mensile Marzo 2026"/>
    <x v="1"/>
  </r>
  <r>
    <x v="3"/>
    <d v="2026-04-07T00:00:00"/>
    <d v="2026-03-31T00:00:00"/>
    <m/>
    <n v="3.95"/>
    <s v="Canone Mensile Conto"/>
    <s v="Canone Mensile Conto Marzo 2026"/>
    <x v="1"/>
  </r>
  <r>
    <x v="3"/>
    <d v="2026-04-03T00:00:00"/>
    <d v="2026-03-31T00:00:00"/>
    <m/>
    <n v="317.91000000000003"/>
    <s v="Com.Cons.AdvicePlus Fee on top"/>
    <s v="Commissioni Consulenza Advice Plus 3/202 6 per il deposito 444805"/>
    <x v="2"/>
  </r>
  <r>
    <x v="3"/>
    <d v="2026-04-03T00:00:00"/>
    <d v="2026-03-31T00:00:00"/>
    <n v="260.10000000000002"/>
    <m/>
    <s v="Abbuono Comm.Consulenza Advice"/>
    <s v="Abbuono Comm. Consulenza Advice 3 / 2026"/>
    <x v="2"/>
  </r>
  <r>
    <x v="3"/>
    <d v="2026-04-03T00:00:00"/>
    <d v="2026-03-31T00:00:00"/>
    <n v="6.34"/>
    <m/>
    <s v="Abbuono Comm.Consulenza Advice"/>
    <s v="Integrazione Abbuono Comm.Consulenza Adv ice 3/2026"/>
    <x v="2"/>
  </r>
  <r>
    <x v="3"/>
    <d v="2026-04-03T00:00:00"/>
    <d v="2026-03-31T00:00:00"/>
    <m/>
    <n v="420.22"/>
    <s v="Commissioni Consulenza Advice"/>
    <s v="Commissioni Consulenza Advice 3 / 2026"/>
    <x v="2"/>
  </r>
  <r>
    <x v="3"/>
    <d v="2026-04-01T00:00:00"/>
    <d v="2026-03-31T00:00:00"/>
    <m/>
    <n v="8.43"/>
    <s v="Imposta bollo conto corrente"/>
    <s v="Imposta di bollo di conto corrente del 31.03.2026"/>
    <x v="0"/>
  </r>
  <r>
    <x v="3"/>
    <d v="2026-03-20T00:00:00"/>
    <d v="2026-03-20T00:00:00"/>
    <m/>
    <n v="100.6"/>
    <s v="Acquisto fondi online in euro"/>
    <s v="Rata Pac: SIC FIDELITY FOCUS EQUITY FAM FUND L ACC IE00BFXY6614 Mandato: 111961951 Numero ordine: 62.815.565 Cliente: BONORA SANDRA"/>
    <x v="3"/>
  </r>
  <r>
    <x v="4"/>
    <d v="2026-03-17T00:00:00"/>
    <d v="2026-02-27T00:00:00"/>
    <m/>
    <n v="21.16"/>
    <s v="Comm./Sp.OUR recl.Banca Estera"/>
    <s v="Spese our bon USD 27.300,0000 17/02/20"/>
    <x v="7"/>
  </r>
  <r>
    <x v="4"/>
    <d v="2026-03-05T00:00:00"/>
    <d v="2026-02-28T00:00:00"/>
    <n v="3.95"/>
    <m/>
    <s v="Sconto Canone Mensile"/>
    <s v="Sconto Canone Mensile Febbraio 2026"/>
    <x v="1"/>
  </r>
  <r>
    <x v="4"/>
    <d v="2026-03-05T00:00:00"/>
    <d v="2026-02-28T00:00:00"/>
    <m/>
    <n v="3.95"/>
    <s v="Canone Mensile Conto"/>
    <s v="Canone Mensile Conto Febbraio 2026"/>
    <x v="1"/>
  </r>
  <r>
    <x v="4"/>
    <d v="2026-03-04T00:00:00"/>
    <d v="2026-02-28T00:00:00"/>
    <n v="267"/>
    <m/>
    <s v="Abbuono Comm.Consulenza Advice"/>
    <s v="Abbuono Comm. Consulenza Advice 2 / 2026"/>
    <x v="2"/>
  </r>
  <r>
    <x v="4"/>
    <d v="2026-03-04T00:00:00"/>
    <d v="2026-02-28T00:00:00"/>
    <n v="6.35"/>
    <m/>
    <s v="Abbuono Comm.Consulenza Advice"/>
    <s v="Integrazione Abbuono Comm.Consulenza Adv ice 2/2026"/>
    <x v="2"/>
  </r>
  <r>
    <x v="4"/>
    <d v="2026-03-04T00:00:00"/>
    <d v="2026-02-28T00:00:00"/>
    <m/>
    <n v="431"/>
    <s v="Commissioni Consulenza Advice"/>
    <s v="Commissioni Consulenza Advice 2 / 2026"/>
    <x v="2"/>
  </r>
  <r>
    <x v="4"/>
    <d v="2026-03-03T00:00:00"/>
    <d v="2026-02-28T00:00:00"/>
    <m/>
    <n v="328.76"/>
    <s v="Com.Cons.AdvicePlus Fee on top"/>
    <s v="Commissioni Consulenza Advice Plus 2/202 6 per il deposito 444805"/>
    <x v="2"/>
  </r>
  <r>
    <x v="4"/>
    <d v="2026-02-20T00:00:00"/>
    <d v="2026-02-20T00:00:00"/>
    <m/>
    <n v="100.6"/>
    <s v="Acquisto fondi online in euro"/>
    <s v="Rata Pac: SIC FIDELITY FOCUS EQUITY FAM FUND L ACC IE00BFXY6614 Mandato: 111961951 Numero ordine: 62.389.649 Cliente: BONORA SANDRA"/>
    <x v="3"/>
  </r>
  <r>
    <x v="4"/>
    <d v="2026-02-13T00:00:00"/>
    <d v="2026-02-17T00:00:00"/>
    <m/>
    <n v="23000.13"/>
    <s v="Bonifico estero"/>
    <s v="BEN: Ellington Properties Development IM P: 27.300,000 USD CAM: 1,186950 CRO: WEB 47123317712 CAU: PPL EOI for The Meriva on Island B TP.SP: OUR BAN BEN: ADCBAEAA O/C: BONORA SANDRA"/>
    <x v="7"/>
  </r>
  <r>
    <x v="4"/>
    <d v="2026-02-13T00:00:00"/>
    <d v="2026-02-13T00:00:00"/>
    <m/>
    <n v="9.9499999999999993"/>
    <s v="Spese Bonifico Estero"/>
    <s v="Spese Bonifico Estero"/>
    <x v="7"/>
  </r>
  <r>
    <x v="4"/>
    <d v="2026-02-10T00:00:00"/>
    <d v="2026-02-09T23:59:16"/>
    <n v="31048.09"/>
    <m/>
    <s v="Compravendita Titoli"/>
    <s v="Compravendita Titoli L&amp;G CYB SEC ACC Qta/Val.nom. 1311,000000"/>
    <x v="4"/>
  </r>
  <r>
    <x v="5"/>
    <d v="2026-02-05T00:00:00"/>
    <d v="2026-01-31T00:00:00"/>
    <n v="3.95"/>
    <m/>
    <s v="Sconto Canone Mensile"/>
    <s v="Sconto Canone Mensile Gennaio 2026"/>
    <x v="1"/>
  </r>
  <r>
    <x v="5"/>
    <d v="2026-02-05T00:00:00"/>
    <d v="2026-01-31T00:00:00"/>
    <m/>
    <n v="3.95"/>
    <s v="Canone Mensile Conto"/>
    <s v="Canone Mensile Conto Gennaio 2026"/>
    <x v="1"/>
  </r>
  <r>
    <x v="5"/>
    <d v="2026-02-04T00:00:00"/>
    <d v="2026-01-31T00:00:00"/>
    <n v="267.43"/>
    <m/>
    <s v="Abbuono Comm.Consulenza Advice"/>
    <s v="Abbuono Comm. Consulenza Advice 1 / 2026"/>
    <x v="2"/>
  </r>
  <r>
    <x v="5"/>
    <d v="2026-02-04T00:00:00"/>
    <d v="2026-01-31T00:00:00"/>
    <n v="6.28"/>
    <m/>
    <s v="Abbuono Comm.Consulenza Advice"/>
    <s v="Integrazione Abbuono Comm.Consulenza Adv ice 1/2026"/>
    <x v="2"/>
  </r>
  <r>
    <x v="5"/>
    <d v="2026-02-04T00:00:00"/>
    <d v="2026-01-31T00:00:00"/>
    <m/>
    <n v="430.95"/>
    <s v="Commissioni Consulenza Advice"/>
    <s v="Commissioni Consulenza Advice 1 / 2026"/>
    <x v="2"/>
  </r>
  <r>
    <x v="5"/>
    <d v="2026-02-04T00:00:00"/>
    <d v="2026-01-31T00:00:00"/>
    <m/>
    <n v="349.42"/>
    <s v="Com.Cons.AdvicePlus Fee on top"/>
    <s v="Commissioni Consulenza Advice Plus 1/202 6 per il deposito 444805"/>
    <x v="2"/>
  </r>
  <r>
    <x v="5"/>
    <d v="2026-01-20T00:00:00"/>
    <d v="2026-01-20T00:00:00"/>
    <m/>
    <n v="100.6"/>
    <s v="Acquisto fondi online in euro"/>
    <s v="Rata Pac: SIC FIDELITY FOCUS EQUITY FAM FUND L ACC IE00BFXY6614 Mandato: 111961951 Numero ordine: 61.927.335 Cliente: BONORA SANDRA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d v="2026-07-04T00:00:00"/>
    <d v="2026-07-04T00:00:00"/>
    <m/>
    <n v="21"/>
    <s v="Giroconto"/>
    <x v="0"/>
    <x v="0"/>
  </r>
  <r>
    <x v="0"/>
    <d v="2026-07-04T00:00:00"/>
    <d v="2026-07-04T00:00:00"/>
    <m/>
    <n v="30000"/>
    <s v="Giroconto"/>
    <x v="0"/>
    <x v="0"/>
  </r>
  <r>
    <x v="1"/>
    <d v="2026-05-22T00:00:00"/>
    <d v="2026-05-22T00:00:00"/>
    <m/>
    <n v="21"/>
    <s v="Giroconto"/>
    <x v="0"/>
    <x v="0"/>
  </r>
  <r>
    <x v="1"/>
    <d v="2026-05-22T00:00:00"/>
    <d v="2026-05-22T00:00:00"/>
    <m/>
    <n v="30000"/>
    <s v="Giroconto"/>
    <x v="0"/>
    <x v="0"/>
  </r>
  <r>
    <x v="1"/>
    <d v="2026-05-18T00:00:00"/>
    <d v="2026-05-18T00:00:00"/>
    <m/>
    <n v="21"/>
    <s v="Giroconto"/>
    <x v="0"/>
    <x v="0"/>
  </r>
  <r>
    <x v="1"/>
    <d v="2026-05-18T00:00:00"/>
    <d v="2026-05-18T00:00:00"/>
    <m/>
    <n v="30000"/>
    <s v="Giroconto"/>
    <x v="0"/>
    <x v="0"/>
  </r>
  <r>
    <x v="2"/>
    <d v="2026-04-28T00:00:00"/>
    <d v="2026-04-28T00:00:00"/>
    <n v="250000"/>
    <m/>
    <s v="Giroconto"/>
    <x v="0"/>
    <x v="0"/>
  </r>
  <r>
    <x v="2"/>
    <d v="2026-04-15T00:00:00"/>
    <d v="2026-04-15T00:00:00"/>
    <m/>
    <n v="69900"/>
    <s v="Giroconto"/>
    <x v="0"/>
    <x v="0"/>
  </r>
  <r>
    <x v="2"/>
    <d v="2026-04-07T00:00:00"/>
    <d v="2026-04-07T00:00:00"/>
    <m/>
    <n v="37.19"/>
    <s v="CHARGE COLLECTION-INCL. VAT CARD DELIVERY COURIER COST"/>
    <x v="1"/>
    <x v="0"/>
  </r>
  <r>
    <x v="2"/>
    <d v="2026-04-07T00:00:00"/>
    <d v="2026-04-07T00:00:00"/>
    <m/>
    <n v="37.19"/>
    <s v="CHARGE COLLECTION-INCL. VAT CARD DELIVERY COURIER COST"/>
    <x v="1"/>
    <x v="0"/>
  </r>
  <r>
    <x v="2"/>
    <d v="2026-04-01T00:00:00"/>
    <d v="2026-04-01T00:00:00"/>
    <n v="70000"/>
    <m/>
    <s v="Giroconto"/>
    <x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d v="2026-07-08T00:00:00"/>
    <d v="2026-07-08T00:00:00"/>
    <m/>
    <n v="3715.31"/>
    <s v="Bonifico SEPA Estero"/>
    <s v="Ben: Condominio El Faro Ins: 08/07/2026 16:55:11 Da: INTERNET Iban: IT40W0623024 122000056896773 TransID: 260707327359436 7480320000067ES Cau: Rata Condominiale"/>
    <x v="0"/>
  </r>
  <r>
    <x v="0"/>
    <d v="2026-07-07T00:00:00"/>
    <d v="2026-07-07T00:00:00"/>
    <m/>
    <n v="6717.93"/>
    <s v="SEPA Direct Debit"/>
    <s v="AMERICAN EXPRESS ITALIA SOCIETA' A RESPO Addebito SDD fattura a Vs carico da IT07AEX0000014445281000 Mand E2025308 061090187 Per 01KW968EAGDQ80YPTC1NS4MY68"/>
    <x v="1"/>
  </r>
  <r>
    <x v="0"/>
    <d v="2026-07-06T00:00:00"/>
    <d v="2026-07-06T00:00:00"/>
    <n v="30000"/>
    <m/>
    <s v="Bonifico in entrata"/>
    <s v="O/C: STEFANO GRESLERI +/OR SANDRA BONORA IMP: 30.000,000 EUR CAM: 1,000000 CAU: /Own Account Transfer/ TP.SP: DEB BAN OR D: NRAKAEAK BEN: Stefano Gresleri"/>
    <x v="2"/>
  </r>
  <r>
    <x v="0"/>
    <d v="2026-07-06T00:00:00"/>
    <d v="2026-07-06T00:00:00"/>
    <m/>
    <n v="3000"/>
    <s v="Bonifico Istantaneo"/>
    <s v="Beneficiario: Stefano Gresleri IBAN: ES3 601825319700202441919 Data Inserimento: 06/07/2026 11:17:42 Canale: INTERNET Cau sale: Giroconto TRN: 2607063271940547480 320000000IT"/>
    <x v="2"/>
  </r>
  <r>
    <x v="1"/>
    <d v="2026-07-06T00:00:00"/>
    <d v="2026-06-30T00:00:00"/>
    <m/>
    <n v="3.95"/>
    <s v="Canone Mensile Conto"/>
    <s v="Canone Mensile Conto Giugno 2026"/>
    <x v="3"/>
  </r>
  <r>
    <x v="0"/>
    <d v="2026-07-01T00:00:00"/>
    <d v="2026-07-01T00:00:00"/>
    <m/>
    <n v="328.19"/>
    <s v="SEPA Direct Debit"/>
    <s v="RAPPORTI INTERNI SPORTELLO 00702 Addebit o SDD fattura a Vs carico da IT950990000006210280019 Mand 585Q7452 824006 Per PAGAMENTO RATA FIN. 080000052 824006 SCADENZA 20260701"/>
    <x v="4"/>
  </r>
  <r>
    <x v="1"/>
    <d v="2026-06-30T00:00:00"/>
    <d v="2026-06-30T00:00:00"/>
    <m/>
    <n v="8.5299999999999994"/>
    <s v="Imposta bollo conto corrente"/>
    <s v="Imposta di bollo di conto corrente del 30.06.2026"/>
    <x v="5"/>
  </r>
  <r>
    <x v="1"/>
    <d v="2026-06-25T00:00:00"/>
    <d v="2026-06-24T00:00:00"/>
    <m/>
    <n v="580.07000000000005"/>
    <s v="Pagamento delega F24"/>
    <s v="Protocollo delega n 3945580"/>
    <x v="0"/>
  </r>
  <r>
    <x v="1"/>
    <d v="2026-06-24T00:00:00"/>
    <d v="2026-06-24T00:00:00"/>
    <m/>
    <n v="222.5"/>
    <s v="Bonifico SEPA Estero"/>
    <s v="Ben: Vanzini Edda Ins: 24/06/2026 11:13: 07 Da: PHONE/VOICE P. Iban: IT18S0888302 408034000340599 TransID: 260624325847616 4480320000067ES Cau: Versamento cautelat ivo pro quota mutuo ipotecario - con ris erva di ogni diritto."/>
    <x v="0"/>
  </r>
  <r>
    <x v="1"/>
    <d v="2026-06-07T23:59:16"/>
    <d v="2026-06-07T23:59:16"/>
    <m/>
    <n v="2879.62"/>
    <s v="SEPA Direct Debit"/>
    <s v="AMERICAN EXPRESS ITALIA SOCIETA' A RESPO Addebito SDD fattura a Vs carico da IT07AEX0000014445281000 Mand E2025308 061090187 Per 01KSS612HGPMPY526W3HJJ33SE"/>
    <x v="1"/>
  </r>
  <r>
    <x v="2"/>
    <d v="2026-06-04T23:59:16"/>
    <d v="2026-05-30T23:59:16"/>
    <m/>
    <n v="3.95"/>
    <s v="Canone Mensile Conto"/>
    <s v="Canone Mensile Conto Maggio 2026"/>
    <x v="3"/>
  </r>
  <r>
    <x v="1"/>
    <d v="2026-06-01T00:00:00"/>
    <d v="2026-06-01T00:00:00"/>
    <m/>
    <n v="333.29"/>
    <s v="SEPA Direct Debit"/>
    <s v="RAPPORTI INTERNI SPORTELLO 00702 Addebit o SDD fattura a Vs carico da IT950990000006210280019 Mand 585Q7452 824006 Per PAGAMENTO RATA FIN. 080000052 824006 SCADENZA 20260601"/>
    <x v="4"/>
  </r>
  <r>
    <x v="2"/>
    <d v="2026-05-30T00:00:00"/>
    <d v="2026-05-30T00:00:00"/>
    <m/>
    <n v="3000"/>
    <s v="Bonifico Istantaneo"/>
    <s v="Beneficiario: Stefano Gresleri IBAN: ES3 601825319700202441919 Data Inserimento: 31/05/2026 09:13:15 Canale: INTERNET Cau sale: Giroconto TRN: 2605313233057007480 320000000IT"/>
    <x v="2"/>
  </r>
  <r>
    <x v="2"/>
    <d v="2026-05-25T00:00:00"/>
    <d v="2026-05-25T00:00:00"/>
    <m/>
    <n v="36.6"/>
    <s v="Bonifico Istantaneo"/>
    <s v="Beneficiario: ANTONACCI ELIA IBAN: IT78G 0323901600100000424928 Data Inserimento: 25/05/2026 10:38:20 Canale: PHONE/VOICE P. Causale: Saldo Competenze Prof. N 41 3 TRN: 2605253226356605480320000000IT"/>
    <x v="0"/>
  </r>
  <r>
    <x v="3"/>
    <d v="2026-05-20T00:00:00"/>
    <d v="2026-04-30T00:00:00"/>
    <m/>
    <n v="21.36"/>
    <s v="Comm./Sp.OUR recl.Banca Estera"/>
    <s v="Spese our bon USD 11.100,0000 13/04/2026"/>
    <x v="6"/>
  </r>
  <r>
    <x v="3"/>
    <d v="2026-05-18T00:00:00"/>
    <d v="2026-04-30T00:00:00"/>
    <m/>
    <n v="105"/>
    <s v="Comm./Sp.OUR recl.Banca Estera"/>
    <s v="Spese our bon EUR 70.000,0000 01/04/2026"/>
    <x v="3"/>
  </r>
  <r>
    <x v="2"/>
    <d v="2026-05-07T00:00:00"/>
    <d v="2026-05-07T00:00:00"/>
    <m/>
    <n v="2660.75"/>
    <s v="SEPA Direct Debit"/>
    <s v="AMERICAN EXPRESS ITALIA SOCIETA' A RESPO Addebito SDD fattura a Vs carico da IT07AEX0000014445281000 Mand E2025308 061090187 Per 01KQC0WAB0HHFSTY7K1KGXP1K4"/>
    <x v="1"/>
  </r>
  <r>
    <x v="3"/>
    <d v="2026-05-05T00:00:00"/>
    <d v="2026-04-30T00:00:00"/>
    <m/>
    <n v="3.95"/>
    <s v="Canone Mensile Conto"/>
    <s v="Canone Mensile Conto Aprile 2026"/>
    <x v="3"/>
  </r>
  <r>
    <x v="2"/>
    <d v="2026-05-04T00:00:00"/>
    <d v="2026-05-04T00:00:00"/>
    <m/>
    <n v="326.55"/>
    <s v="SEPA Direct Debit"/>
    <s v="RAPPORTI INTERNI SPORTELLO 00702 Addebit o SDD fattura a Vs carico da IT950990000006210280019 Mand 585Q7452 824006 Per PAGAMENTO RATA FIN. 080000052 824006 SCADENZA 20260501"/>
    <x v="4"/>
  </r>
  <r>
    <x v="4"/>
    <d v="2026-04-28T00:00:00"/>
    <d v="2026-03-31T00:00:00"/>
    <m/>
    <n v="21.63"/>
    <s v="Comm./Sp.OUR recl.Banca Estera"/>
    <s v="Spese our bon USD 11.100,0000 06/03/2026"/>
    <x v="6"/>
  </r>
  <r>
    <x v="3"/>
    <d v="2026-04-23T00:00:00"/>
    <d v="2026-04-23T00:00:00"/>
    <m/>
    <n v="15000"/>
    <s v="Bonifico Istantaneo"/>
    <s v="Beneficiario: Stefano Gresleri IBAN: ES3 601825319700202441919 Data Inserimento: 23/04/2026 12:00:31 Canale: INTERNET Cau sale: Giroconto TRN: 2604233194046859480 320000000IT"/>
    <x v="2"/>
  </r>
  <r>
    <x v="3"/>
    <d v="2026-04-12T23:59:16"/>
    <d v="2026-04-12T23:59:16"/>
    <n v="22498.2"/>
    <m/>
    <s v="Bonifico in entrata"/>
    <s v="O/C: ELLINGTON PROPERTIES DEVELOP. L.L.C IMP: 22.498,200 EUR CAM: 1,000000 CAU: Refund THE MERIVA COLLECTION EOI TP.SP: DEB BAN ORD: ADCBAEAA BEN: GRESLERI STE FANO"/>
    <x v="7"/>
  </r>
  <r>
    <x v="3"/>
    <d v="2026-04-09T00:00:00"/>
    <d v="2026-04-13T00:00:00"/>
    <m/>
    <n v="9517.2800000000007"/>
    <s v="Bonifico estero"/>
    <s v="BEN: BINGHATTI AQUARISE ESC ACC IMP: 11. 100,000 USD CAM: 1,166300 CRO: WEB471331 71800 CAU: PPL AQUARISE BAQR D1854 12th Instalment, Stefano Gresleri TP.SP: OUR BAN BEN: NBADAEAAXXX O/C: GRESLERI STEFA NO"/>
    <x v="6"/>
  </r>
  <r>
    <x v="3"/>
    <d v="2026-04-09T00:00:00"/>
    <d v="2026-04-09T00:00:00"/>
    <m/>
    <n v="9.9499999999999993"/>
    <s v="Spese Bonifico Estero"/>
    <s v="Spese Bonifico Estero"/>
    <x v="6"/>
  </r>
  <r>
    <x v="3"/>
    <d v="2026-04-08T00:00:00"/>
    <d v="2026-04-08T00:00:00"/>
    <m/>
    <n v="2029.59"/>
    <s v="SEPA Direct Debit"/>
    <s v="AMERICAN EXPRESS ITALIA SOCIETA' A RESPO Addebito SDD fattura a Vs carico da IT07AEX0000014445281000 Mand E2025308 061090187 Per 01KMYEZZ104TCZZ0VGCN7MW75P"/>
    <x v="1"/>
  </r>
  <r>
    <x v="4"/>
    <d v="2026-04-07T00:00:00"/>
    <d v="2026-03-31T00:00:00"/>
    <m/>
    <n v="3.95"/>
    <s v="Canone Mensile Conto"/>
    <s v="Canone Mensile Conto Marzo 2026"/>
    <x v="3"/>
  </r>
  <r>
    <x v="3"/>
    <d v="2026-04-01T00:00:00"/>
    <d v="2026-04-01T00:00:00"/>
    <m/>
    <n v="333.38"/>
    <s v="SEPA Direct Debit"/>
    <s v="RAPPORTI INTERNI SPORTELLO 00702 Addebit o SDD fattura a Vs carico da IT950990000006210280019 Mand 585Q7452 824006 Per PAGAMENTO RATA FIN. 080000052 824006 SCADENZA 20260401"/>
    <x v="4"/>
  </r>
  <r>
    <x v="4"/>
    <d v="2026-03-31T00:00:00"/>
    <d v="2026-03-30T00:00:00"/>
    <m/>
    <n v="8.43"/>
    <s v="Imposta bollo conto corrente"/>
    <s v="Imposta di bollo di conto corrente del 31.03.2026"/>
    <x v="5"/>
  </r>
  <r>
    <x v="4"/>
    <d v="2026-03-30T00:00:00"/>
    <d v="2026-03-31T00:00:00"/>
    <m/>
    <n v="70000"/>
    <s v="Bonifico estero"/>
    <s v="BEN: Stefano Gresleri IMP: 70.000,000 EU R CAM: 1,000000 CRO: CC47131213407 CAU: giroconto Purpose code OAT TP.SP: OUR BA N BEN: NRAKAEAK O/C: GRESLERI STEFANO"/>
    <x v="2"/>
  </r>
  <r>
    <x v="4"/>
    <d v="2026-03-30T00:00:00"/>
    <d v="2026-03-30T00:00:00"/>
    <m/>
    <n v="9.9499999999999993"/>
    <s v="Spese Bonifico Estero"/>
    <s v="Spese Bonifico Estero"/>
    <x v="3"/>
  </r>
  <r>
    <x v="4"/>
    <d v="2026-03-23T00:00:00"/>
    <d v="2026-03-23T00:00:00"/>
    <m/>
    <n v="65"/>
    <s v="Bonifico Istantaneo"/>
    <s v="Beneficiario: Maria Teresa Spiga IBAN: F R7628233000010464442934757 Data Inserime nto: 23/03/2026 14:12:02 Canale: INTERNE T Causale: Consulenza e ottenimento Gold en Visa EAU TRN: 26032331637828014803200 00000IT"/>
    <x v="8"/>
  </r>
  <r>
    <x v="4"/>
    <d v="2026-03-19T00:00:00"/>
    <d v="2026-03-19T00:00:00"/>
    <m/>
    <n v="22.55"/>
    <s v="SEPA Direct Debit"/>
    <s v="American Express Italia srl Addebito SDD fattura a Vs carico da IT07AEX0000014445281000 Mand E2025308 061090141 Per 93007"/>
    <x v="1"/>
  </r>
  <r>
    <x v="5"/>
    <d v="2026-03-17T00:00:00"/>
    <d v="2026-02-27T00:00:00"/>
    <m/>
    <n v="21.16"/>
    <s v="Comm./Sp.OUR recl.Banca Estera"/>
    <s v="Spese our bon USD 23.130,0000 06/02/2026"/>
    <x v="6"/>
  </r>
  <r>
    <x v="4"/>
    <d v="2026-03-10T00:00:00"/>
    <d v="2026-03-10T00:00:00"/>
    <m/>
    <n v="3880.1"/>
    <s v="SEPA Direct Debit"/>
    <s v="American Express Italia srl Addebito SDD fattura a Vs carico da IT07AEX0000014445281000 Mand E2025308 061090187 Per 94001"/>
    <x v="1"/>
  </r>
  <r>
    <x v="5"/>
    <d v="2026-03-05T00:00:00"/>
    <d v="2026-02-28T00:00:00"/>
    <m/>
    <n v="3.95"/>
    <s v="Canone Mensile Conto"/>
    <s v="Canone Mensile Conto Febbraio 2026"/>
    <x v="3"/>
  </r>
  <r>
    <x v="4"/>
    <d v="2026-03-04T00:00:00"/>
    <d v="2026-03-04T00:00:00"/>
    <m/>
    <n v="9558.25"/>
    <s v="Bonifico estero"/>
    <s v="BEN: BINGHATTI AQUARISE ESC ACC IMP: 11. 100,000 USD CAM: 1,161300 CRO: WEB471267 26312 CAU: PPL AQUARISE BAQR D1854 11th Instalment Stefano Gresleri TP.SP: OUR B AN BEN: NBADAEAAXXX O/C: GRESLERI STEFAN O"/>
    <x v="6"/>
  </r>
  <r>
    <x v="4"/>
    <d v="2026-03-04T00:00:00"/>
    <d v="2026-03-04T00:00:00"/>
    <m/>
    <n v="9.9499999999999993"/>
    <s v="Spese Bonifico Estero"/>
    <s v="Spese Bonifico Estero"/>
    <x v="6"/>
  </r>
  <r>
    <x v="4"/>
    <d v="2026-03-02T00:00:00"/>
    <d v="2026-03-02T00:00:00"/>
    <m/>
    <n v="322.61"/>
    <s v="SEPA Direct Debit"/>
    <s v="RAPPORTI INTERNI SPORTELLO 00702 Addebit o SDD fattura a Vs carico da IT950990000006210280019 Mand 585Q7452 824006 Per PAGAMENTO RATA FIN. 080000052 824006 SCADENZA 20260301"/>
    <x v="4"/>
  </r>
  <r>
    <x v="5"/>
    <d v="2026-02-25T00:00:12"/>
    <d v="2026-02-25T00:00:12"/>
    <n v="95681.81"/>
    <m/>
    <s v="Bonifico SEPA Italia"/>
    <s v="Ord: CNP VITA ASSICURA SPA Ben: GRESLERI STEFANO Dt-ord: 25/02/2026 Banca Ord: U NICREDIT SPA Info-Cli: RISCATTO DELLA PO LIZZA N. 8096073 Rif. CNP VITA ASSICURA S.P.A."/>
    <x v="9"/>
  </r>
  <r>
    <x v="6"/>
    <d v="2026-02-25T00:00:12"/>
    <d v="2026-01-30T00:00:12"/>
    <m/>
    <n v="21.09"/>
    <s v="Comm./Sp.OUR recl.Banca Estera"/>
    <s v="Spese our bon USD 16.600,0000 07/01/2026"/>
    <x v="6"/>
  </r>
  <r>
    <x v="5"/>
    <d v="2026-02-21T00:00:12"/>
    <d v="2026-02-21T00:00:12"/>
    <n v="685.34"/>
    <m/>
    <s v="Bonifico Istantaneo"/>
    <s v="Ordinante: ROBERTO GRESLERI Beneficiario : Stefano Gresleri Banca Ordinante: BBVA SA, Sucursal en Ital Data accredito: 21 /02/2026 Causale: Saldo quota parte fatt ura Onoranze Funebri Vaccari Roberto SRL Edda Vanzini"/>
    <x v="10"/>
  </r>
  <r>
    <x v="5"/>
    <d v="2026-02-21T00:00:12"/>
    <d v="2026-02-21T00:00:12"/>
    <n v="124.99"/>
    <m/>
    <s v="Bonifico Istantaneo"/>
    <s v="Ordinante: ROBERTO GRESLERI Beneficiario : Stefano Gresleri Banca Ordinante: BBVA SA, Sucursal en Ital Data accredito: 21 /02/2026 Causale: Saldo quota parte fatt ura SECIF SRL . Cremazione Edda Vanzini"/>
    <x v="10"/>
  </r>
  <r>
    <x v="5"/>
    <d v="2026-02-20T00:00:12"/>
    <d v="2026-02-20T00:00:12"/>
    <m/>
    <n v="1370.67"/>
    <s v="Bonifico SEPA Estero"/>
    <s v="Ben: ONORANZE FUNEBRI VACCARI ROBERTO SR L Ins: 20/02/2026 16:23:40 Da: INTERNET Iban: IT24O0707236920000000037921 TransI D: 2602193132654410480320000067ES Cau: P agamento servizio onoranze funebri per E dda Vanzini - Quote eredi Stefano e Robe rto Gresleri"/>
    <x v="10"/>
  </r>
  <r>
    <x v="5"/>
    <d v="2026-02-20T00:00:12"/>
    <d v="2026-02-20T00:00:12"/>
    <m/>
    <n v="249.96"/>
    <s v="Bonifico SEPA Estero"/>
    <s v="Ben: Secif S.r.l. Ins: 20/02/2026 12:53: 47 Da: INTERNET Iban: IT67Y0859067320046 000067073 TransID: 260220313324638148032 0000067ES Cau: Fattura VI/206/2026 intes tata a GRESLERI ROBERTO - Quota eredi St efano Gresleri e Roberto Gresleri"/>
    <x v="10"/>
  </r>
  <r>
    <x v="5"/>
    <d v="2026-02-19T00:00:12"/>
    <d v="2026-02-19T00:00:12"/>
    <m/>
    <n v="44.43"/>
    <s v="SEPA Direct Debit"/>
    <s v="American Express Italia srl Addebito SDD fattura a Vs carico da IT07AEX0000014445281000 Mand E2025308 061090141 Per 93007"/>
    <x v="1"/>
  </r>
  <r>
    <x v="5"/>
    <d v="2026-02-08T23:59:16"/>
    <d v="2026-02-08T23:59:16"/>
    <m/>
    <n v="4000"/>
    <s v="Bonifico SEPA Estero"/>
    <s v="Ben: Stefano Gresleri Ins: 09/02/2026 09 :40:47 Da: INTERNET Iban: ES360182531970 0202441919 TransID: 26020731209608224803 20000067ES Cau: Giroconto"/>
    <x v="2"/>
  </r>
  <r>
    <x v="5"/>
    <d v="2026-02-05T00:00:00"/>
    <d v="2026-02-05T00:00:00"/>
    <m/>
    <n v="1561.69"/>
    <s v="SEPA Direct Debit"/>
    <s v="American Express Italia srl Addebito SDD fattura a Vs carico da IT07AEX0000014445281000 Mand E2025308 061090187 Per 94001"/>
    <x v="1"/>
  </r>
  <r>
    <x v="6"/>
    <d v="2026-02-05T00:00:00"/>
    <d v="2026-01-31T00:00:00"/>
    <m/>
    <n v="3.95"/>
    <s v="Canone Mensile Conto"/>
    <s v="Canone Mensile Conto Gennaio 2026"/>
    <x v="3"/>
  </r>
  <r>
    <x v="5"/>
    <d v="2026-02-04T00:00:00"/>
    <d v="2026-02-06T00:00:00"/>
    <m/>
    <n v="9390.4699999999993"/>
    <s v="Bonifico estero"/>
    <s v="BEN: BINGHATTI AQUARISE ESC ACC IMP: 11. 100,000 USD CAM: 1,182050 CRO: WEB471218 74409 CAU: PPL AQUARISE BAQR D1854 10th Instalment Stefano Gresleri TP.SP: OUR B AN BEN: NBADAEAAXXX O/C: GRESLERI STEFAN O"/>
    <x v="6"/>
  </r>
  <r>
    <x v="5"/>
    <d v="2026-02-04T00:00:00"/>
    <d v="2026-02-04T00:00:00"/>
    <m/>
    <n v="9.9499999999999993"/>
    <s v="Spese Bonifico Estero"/>
    <s v="Spese Bonifico Estero"/>
    <x v="6"/>
  </r>
  <r>
    <x v="5"/>
    <d v="2026-02-02T00:00:00"/>
    <d v="2026-02-02T00:00:00"/>
    <m/>
    <n v="332.45"/>
    <s v="SEPA Direct Debit"/>
    <s v="RAPPORTI INTERNI SPORTELLO 00702 Addebit o SDD fattura a Vs carico da IT950990000006210280019 Mand 585Q7452 824006 Per PAGAMENTO RATA FIN. 080000052 824006 SCADENZA 20260201"/>
    <x v="4"/>
  </r>
  <r>
    <x v="6"/>
    <d v="2026-01-20T00:00:00"/>
    <d v="2026-01-20T00:00:00"/>
    <m/>
    <n v="19857.150000000001"/>
    <s v="Bonifico SEPA Estero"/>
    <s v="Ben: Despacho Lamas SL Ins: 20/01/2026 1 5:39:35 Da: PHONE/VOICE P. Iban: ES31006 10029118200390112 TransID: 2601193103247 896480320000067ES Cau: Escritura Obra Nu eva El Toro"/>
    <x v="11"/>
  </r>
  <r>
    <x v="6"/>
    <d v="2026-01-16T00:00:00"/>
    <d v="2026-01-16T00:00:00"/>
    <m/>
    <n v="4000"/>
    <s v="Bonifico Istantaneo"/>
    <s v="Beneficiario: Stefano Gresleri IBAN: ES3 601825319700202441919 Data Inserimento: 15/01/2026 11:19:08 Canale: INTERNET Cau sale: Giroconto TRN: 2601153099451665480 320000000IT"/>
    <x v="2"/>
  </r>
  <r>
    <x v="6"/>
    <d v="2026-01-08T00:00:00"/>
    <d v="2026-01-08T00:00:00"/>
    <m/>
    <n v="1935.5"/>
    <s v="SEPA Direct Debit"/>
    <s v="American Express Italia srl Addebito SDD fattura a Vs carico da IT07AEX0000014445281000 Mand E2025308 061090187 Per 94001"/>
    <x v="1"/>
  </r>
  <r>
    <x v="6"/>
    <d v="2026-01-05T00:00:00"/>
    <d v="2026-01-07T00:00:00"/>
    <m/>
    <n v="14163.82"/>
    <s v="Bonifico estero"/>
    <s v="BEN: BINGHATTI AQUARISE ESC ACC IMP: 16. 600,000 USD CAM: 1,172000 CRO: WEB471155 41806 CAU: PPL AQUARISE BAQR D1854 9th I nstalment TP.SP: OUR BAN BEN: NBADAEAAXX X O/C: GRESLERI STEFANO"/>
    <x v="6"/>
  </r>
  <r>
    <x v="6"/>
    <d v="2026-01-05T00:00:00"/>
    <d v="2026-01-05T00:00:00"/>
    <m/>
    <n v="9.9499999999999993"/>
    <s v="Spese Bonifico Estero"/>
    <s v="Spese Bonifico Estero"/>
    <x v="6"/>
  </r>
  <r>
    <x v="6"/>
    <d v="2026-01-02T00:00:00"/>
    <d v="2026-01-02T00:00:00"/>
    <m/>
    <n v="334.13"/>
    <s v="SEPA Direct Debit"/>
    <s v="RAPPORTI INTERNI SPORTELLO 00702 Addebit o SDD fattura a Vs carico da IT950990000006210280019 Mand 585Q7452 824006 Per PAGAMENTO RATA FIN. 080000052 824006 SCADENZA 20260101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7">
  <r>
    <x v="0"/>
    <d v="2026-07-12T00:00:00"/>
    <d v="2026-07-13T00:00:00"/>
    <m/>
    <n v="35"/>
    <s v="8094 cc la vila          sant francesces"/>
    <x v="0"/>
    <x v="0"/>
    <x v="0"/>
  </r>
  <r>
    <x v="0"/>
    <d v="2026-07-09T00:00:00"/>
    <d v="2026-07-09T00:00:00"/>
    <m/>
    <n v="50"/>
    <s v="Buga2000sl               santa ponza  es"/>
    <x v="1"/>
    <x v="0"/>
    <x v="0"/>
  </r>
  <r>
    <x v="0"/>
    <d v="2026-07-08T00:00:00"/>
    <d v="2026-07-08T00:00:00"/>
    <m/>
    <n v="105"/>
    <s v="Peluqueria yavara"/>
    <x v="2"/>
    <x v="0"/>
    <x v="0"/>
  </r>
  <r>
    <x v="0"/>
    <d v="2026-07-08T00:00:00"/>
    <d v="2026-07-08T00:00:00"/>
    <m/>
    <n v="316.64999999999998"/>
    <s v="Adeudo a su cargo"/>
    <x v="3"/>
    <x v="0"/>
    <x v="0"/>
  </r>
  <r>
    <x v="0"/>
    <d v="2026-07-08T00:00:00"/>
    <d v="2026-07-08T00:00:00"/>
    <m/>
    <n v="165.1"/>
    <s v="Adeudo de recaudacion municipal"/>
    <x v="4"/>
    <x v="0"/>
    <x v="0"/>
  </r>
  <r>
    <x v="0"/>
    <d v="2026-07-08T00:00:00"/>
    <d v="2026-07-08T00:00:00"/>
    <m/>
    <n v="535.41"/>
    <s v="Adeudo de recaudacion municipal"/>
    <x v="5"/>
    <x v="0"/>
    <x v="0"/>
  </r>
  <r>
    <x v="0"/>
    <d v="2026-07-08T00:00:00"/>
    <d v="2026-07-08T00:00:00"/>
    <m/>
    <n v="12.6"/>
    <s v="Adeudo de recaudacion municipal"/>
    <x v="6"/>
    <x v="0"/>
    <x v="0"/>
  </r>
  <r>
    <x v="0"/>
    <d v="2026-07-07T00:00:00"/>
    <d v="2026-07-07T00:00:00"/>
    <m/>
    <n v="96.99"/>
    <s v="Adeudo sociedad general de aguas de barcelona"/>
    <x v="7"/>
    <x v="0"/>
    <x v="0"/>
  </r>
  <r>
    <x v="0"/>
    <d v="2026-07-06T00:00:00"/>
    <d v="2026-07-06T00:00:00"/>
    <m/>
    <n v="4.9800000000000004"/>
    <s v="Spar el toro"/>
    <x v="8"/>
    <x v="0"/>
    <x v="0"/>
  </r>
  <r>
    <x v="0"/>
    <d v="2026-07-06T00:00:00"/>
    <d v="2026-07-06T00:00:00"/>
    <n v="3000"/>
    <m/>
    <s v="Transferencia recibida"/>
    <x v="9"/>
    <x v="0"/>
    <x v="0"/>
  </r>
  <r>
    <x v="0"/>
    <d v="2026-07-04T00:00:00"/>
    <d v="2026-07-06T00:00:00"/>
    <m/>
    <n v="50"/>
    <s v="Buga2000sl               santa ponza  es"/>
    <x v="1"/>
    <x v="0"/>
    <x v="0"/>
  </r>
  <r>
    <x v="0"/>
    <d v="2026-07-03T00:00:00"/>
    <d v="2026-07-03T00:00:00"/>
    <m/>
    <n v="14.12"/>
    <s v="Incacolor                palma        es"/>
    <x v="10"/>
    <x v="0"/>
    <x v="0"/>
  </r>
  <r>
    <x v="0"/>
    <d v="2026-07-03T00:00:00"/>
    <d v="2026-07-03T00:00:00"/>
    <m/>
    <n v="0.35"/>
    <s v="Smap ora contactless     palma mallorces"/>
    <x v="11"/>
    <x v="0"/>
    <x v="0"/>
  </r>
  <r>
    <x v="0"/>
    <d v="2026-07-01T00:00:00"/>
    <d v="2026-07-01T00:00:00"/>
    <m/>
    <n v="27.86"/>
    <s v="Carniceria can rivas"/>
    <x v="8"/>
    <x v="0"/>
    <x v="0"/>
  </r>
  <r>
    <x v="0"/>
    <d v="2026-07-01T00:00:00"/>
    <d v="2026-07-01T00:00:00"/>
    <m/>
    <n v="108"/>
    <s v="Viding illes calvia"/>
    <x v="12"/>
    <x v="0"/>
    <x v="0"/>
  </r>
  <r>
    <x v="0"/>
    <d v="2026-07-01T00:00:00"/>
    <d v="2026-07-01T00:00:00"/>
    <m/>
    <n v="663.75"/>
    <s v="Adeudo de asisa"/>
    <x v="13"/>
    <x v="0"/>
    <x v="0"/>
  </r>
  <r>
    <x v="1"/>
    <d v="2026-06-30T00:00:00"/>
    <d v="2026-06-30T00:00:00"/>
    <m/>
    <n v="6.76"/>
    <s v="Adeudo de endesa"/>
    <x v="14"/>
    <x v="0"/>
    <x v="0"/>
  </r>
  <r>
    <x v="1"/>
    <d v="2026-06-29T00:00:00"/>
    <d v="2026-06-29T00:00:00"/>
    <m/>
    <n v="56.82"/>
    <s v="Adeudo de endesa"/>
    <x v="14"/>
    <x v="0"/>
    <x v="0"/>
  </r>
  <r>
    <x v="1"/>
    <d v="2026-06-29T00:00:00"/>
    <d v="2026-06-29T00:00:00"/>
    <m/>
    <n v="15"/>
    <s v="Adeudo digi spain telecom sa"/>
    <x v="15"/>
    <x v="0"/>
    <x v="0"/>
  </r>
  <r>
    <x v="1"/>
    <d v="2026-06-29T00:00:00"/>
    <d v="2026-06-29T00:00:00"/>
    <m/>
    <n v="30.96"/>
    <s v="Adeudo digi spain telecom sa"/>
    <x v="16"/>
    <x v="0"/>
    <x v="0"/>
  </r>
  <r>
    <x v="1"/>
    <d v="2026-06-27T00:00:00"/>
    <d v="2026-06-29T00:00:00"/>
    <m/>
    <n v="7.7"/>
    <s v="Destilados y helados sant"/>
    <x v="17"/>
    <x v="0"/>
    <x v="0"/>
  </r>
  <r>
    <x v="1"/>
    <d v="2026-06-27T00:00:00"/>
    <d v="2026-06-29T00:00:00"/>
    <m/>
    <n v="14.5"/>
    <s v="Pizzeria la oca"/>
    <x v="18"/>
    <x v="0"/>
    <x v="0"/>
  </r>
  <r>
    <x v="1"/>
    <d v="2026-06-26T00:00:00"/>
    <d v="2026-06-26T00:00:00"/>
    <m/>
    <n v="5.62"/>
    <s v="Farmacia margalida comas"/>
    <x v="19"/>
    <x v="0"/>
    <x v="0"/>
  </r>
  <r>
    <x v="1"/>
    <d v="2026-06-26T00:00:00"/>
    <d v="2026-06-26T00:00:00"/>
    <m/>
    <n v="5.45"/>
    <s v="R viding illes calvia"/>
    <x v="17"/>
    <x v="0"/>
    <x v="0"/>
  </r>
  <r>
    <x v="1"/>
    <d v="2026-06-26T00:00:00"/>
    <d v="2026-06-26T00:00:00"/>
    <m/>
    <n v="5"/>
    <s v="Com. por emisión y mant.de una tarjeta prepago"/>
    <x v="20"/>
    <x v="0"/>
    <x v="0"/>
  </r>
  <r>
    <x v="1"/>
    <d v="2026-06-25T00:00:00"/>
    <d v="2026-06-25T00:00:00"/>
    <m/>
    <n v="12.89"/>
    <s v="Carniceria can rivas"/>
    <x v="8"/>
    <x v="0"/>
    <x v="0"/>
  </r>
  <r>
    <x v="1"/>
    <d v="2026-06-25T00:00:00"/>
    <d v="2026-06-25T00:00:00"/>
    <m/>
    <n v="53.75"/>
    <s v="Autonet baleares         alella       es"/>
    <x v="1"/>
    <x v="0"/>
    <x v="0"/>
  </r>
  <r>
    <x v="1"/>
    <s v="25/06/2026"/>
    <s v="25/06/2026"/>
    <m/>
    <n v="10.8"/>
    <s v="Panaderia matias"/>
    <x v="17"/>
    <x v="0"/>
    <x v="0"/>
  </r>
  <r>
    <x v="1"/>
    <s v="22/06/2026"/>
    <s v="24/06/2026"/>
    <n v="1.05"/>
    <m/>
    <s v="Mgp*vinted"/>
    <x v="21"/>
    <x v="0"/>
    <x v="0"/>
  </r>
  <r>
    <x v="1"/>
    <s v="24/06/2026"/>
    <s v="24/06/2026"/>
    <m/>
    <n v="33.64"/>
    <s v="Carniceria can rivas"/>
    <x v="8"/>
    <x v="0"/>
    <x v="0"/>
  </r>
  <r>
    <x v="1"/>
    <s v="24/06/2026"/>
    <s v="24/06/2026"/>
    <m/>
    <n v="7.05"/>
    <s v="Panaderia matias"/>
    <x v="17"/>
    <x v="0"/>
    <x v="0"/>
  </r>
  <r>
    <x v="1"/>
    <d v="2026-06-23T00:00:00"/>
    <d v="2026-06-23T00:00:00"/>
    <m/>
    <n v="795.8"/>
    <s v="Transferencia realizada"/>
    <x v="10"/>
    <x v="0"/>
    <x v="0"/>
  </r>
  <r>
    <x v="1"/>
    <d v="2026-06-23T00:00:00"/>
    <d v="2026-06-23T00:00:00"/>
    <m/>
    <n v="5.45"/>
    <s v="R viding illes calvia cavia es"/>
    <x v="17"/>
    <x v="0"/>
    <x v="0"/>
  </r>
  <r>
    <x v="1"/>
    <d v="2026-06-22T00:00:00"/>
    <d v="2026-06-22T00:00:00"/>
    <m/>
    <n v="4"/>
    <s v="Yooppy"/>
    <x v="18"/>
    <x v="0"/>
    <x v="0"/>
  </r>
  <r>
    <x v="1"/>
    <d v="2026-06-22T00:00:00"/>
    <d v="2026-06-22T00:00:00"/>
    <m/>
    <n v="0.6"/>
    <s v="Spar el toro"/>
    <x v="8"/>
    <x v="0"/>
    <x v="0"/>
  </r>
  <r>
    <x v="1"/>
    <d v="2026-06-22T00:00:00"/>
    <d v="2026-06-22T00:00:00"/>
    <m/>
    <n v="4.17"/>
    <s v="Itv calvia"/>
    <x v="22"/>
    <x v="0"/>
    <x v="0"/>
  </r>
  <r>
    <x v="1"/>
    <d v="2026-06-22T00:00:00"/>
    <d v="2026-06-22T00:00:00"/>
    <m/>
    <n v="35.1"/>
    <s v="Itv calvia"/>
    <x v="22"/>
    <x v="0"/>
    <x v="0"/>
  </r>
  <r>
    <x v="1"/>
    <d v="2026-06-20T00:00:00"/>
    <d v="2026-06-22T00:00:00"/>
    <m/>
    <n v="50"/>
    <s v="Buga2000sl santa ponza es"/>
    <x v="1"/>
    <x v="0"/>
    <x v="0"/>
  </r>
  <r>
    <x v="1"/>
    <d v="2026-06-19T00:00:00"/>
    <d v="2026-06-19T00:00:00"/>
    <m/>
    <n v="46.42"/>
    <s v="Carniceria can rivas el toro es"/>
    <x v="8"/>
    <x v="0"/>
    <x v="0"/>
  </r>
  <r>
    <x v="1"/>
    <d v="2026-06-19T00:00:00"/>
    <d v="2026-06-19T00:00:00"/>
    <m/>
    <n v="0.7"/>
    <s v="Ocibar sa baleares es"/>
    <x v="11"/>
    <x v="0"/>
    <x v="0"/>
  </r>
  <r>
    <x v="1"/>
    <d v="2026-06-18T00:00:00"/>
    <d v="2026-06-18T00:00:00"/>
    <m/>
    <n v="45.35"/>
    <s v="Pluto"/>
    <x v="23"/>
    <x v="0"/>
    <x v="0"/>
  </r>
  <r>
    <x v="1"/>
    <d v="2026-06-17T00:00:00"/>
    <d v="2026-06-17T00:00:00"/>
    <m/>
    <n v="7.9"/>
    <s v="Farmacia riera"/>
    <x v="19"/>
    <x v="0"/>
    <x v="0"/>
  </r>
  <r>
    <x v="1"/>
    <d v="2026-06-17T00:00:00"/>
    <d v="2026-06-17T00:00:00"/>
    <m/>
    <n v="45"/>
    <s v="Pluto"/>
    <x v="23"/>
    <x v="0"/>
    <x v="0"/>
  </r>
  <r>
    <x v="1"/>
    <d v="2026-06-13T00:00:00"/>
    <d v="2026-06-15T00:00:00"/>
    <m/>
    <n v="9"/>
    <s v="Rivareno gelato"/>
    <x v="17"/>
    <x v="0"/>
    <x v="0"/>
  </r>
  <r>
    <x v="1"/>
    <d v="2026-06-13T00:00:00"/>
    <d v="2026-06-15T00:00:00"/>
    <m/>
    <n v="4"/>
    <s v="Yooppy"/>
    <x v="17"/>
    <x v="0"/>
    <x v="0"/>
  </r>
  <r>
    <x v="1"/>
    <d v="2026-06-13T00:00:00"/>
    <d v="2026-06-15T00:00:00"/>
    <m/>
    <n v="76.53"/>
    <s v="Buga2000sl santa ponza es"/>
    <x v="1"/>
    <x v="0"/>
    <x v="0"/>
  </r>
  <r>
    <x v="1"/>
    <d v="2026-06-13T00:00:00"/>
    <d v="2026-06-15T00:00:00"/>
    <m/>
    <n v="3.8"/>
    <s v="Panaderia matias"/>
    <x v="17"/>
    <x v="0"/>
    <x v="0"/>
  </r>
  <r>
    <x v="1"/>
    <d v="2026-06-12T00:00:00"/>
    <d v="2026-06-12T00:00:00"/>
    <m/>
    <n v="100"/>
    <s v="Peluqueria yavara"/>
    <x v="2"/>
    <x v="0"/>
    <x v="0"/>
  </r>
  <r>
    <x v="1"/>
    <d v="2026-06-10T00:00:00"/>
    <d v="2026-06-10T00:00:00"/>
    <m/>
    <n v="5.9"/>
    <s v="R viding illes calvia"/>
    <x v="17"/>
    <x v="0"/>
    <x v="0"/>
  </r>
  <r>
    <x v="1"/>
    <d v="2026-06-09T00:00:00"/>
    <d v="2026-06-09T00:00:00"/>
    <m/>
    <n v="12.29"/>
    <s v="Frenos y embragues masmiqcalvia es"/>
    <x v="22"/>
    <x v="0"/>
    <x v="0"/>
  </r>
  <r>
    <x v="1"/>
    <d v="2026-06-09T00:00:00"/>
    <d v="2026-06-09T00:00:00"/>
    <m/>
    <n v="7.5"/>
    <s v="Pastisseria son ferriol palma de malles"/>
    <x v="17"/>
    <x v="0"/>
    <x v="0"/>
  </r>
  <r>
    <x v="1"/>
    <d v="2026-06-06T00:00:00"/>
    <d v="2026-06-08T00:00:00"/>
    <m/>
    <n v="3.7"/>
    <s v="Mgp*vinted"/>
    <x v="21"/>
    <x v="0"/>
    <x v="0"/>
  </r>
  <r>
    <x v="1"/>
    <d v="2026-06-08T00:00:00"/>
    <d v="2026-06-08T00:00:00"/>
    <m/>
    <n v="3.1"/>
    <s v="Parking palmacenter"/>
    <x v="11"/>
    <x v="0"/>
    <x v="0"/>
  </r>
  <r>
    <x v="1"/>
    <d v="2026-06-07T00:00:00"/>
    <d v="2026-06-08T00:00:00"/>
    <m/>
    <n v="17.89"/>
    <s v="Carniceria can rivas el toro es"/>
    <x v="8"/>
    <x v="0"/>
    <x v="0"/>
  </r>
  <r>
    <x v="1"/>
    <d v="2026-06-07T00:00:00"/>
    <d v="2026-06-08T00:00:00"/>
    <m/>
    <n v="4.8"/>
    <s v="Panaderia matias santa ponsa es"/>
    <x v="17"/>
    <x v="0"/>
    <x v="0"/>
  </r>
  <r>
    <x v="1"/>
    <d v="2026-06-07T00:00:00"/>
    <d v="2026-06-08T00:00:00"/>
    <m/>
    <n v="8.8000000000000007"/>
    <s v="Panaderia matias santa ponsa es"/>
    <x v="17"/>
    <x v="0"/>
    <x v="0"/>
  </r>
  <r>
    <x v="1"/>
    <d v="2026-06-06T00:00:00"/>
    <d v="2026-06-08T00:00:00"/>
    <m/>
    <n v="39"/>
    <s v="Paellas portocolom palma mallorces"/>
    <x v="18"/>
    <x v="0"/>
    <x v="0"/>
  </r>
  <r>
    <x v="1"/>
    <d v="2026-06-03T00:00:00"/>
    <d v="2026-06-05T00:00:00"/>
    <m/>
    <n v="64.64"/>
    <s v="Mgp*vinted"/>
    <x v="21"/>
    <x v="0"/>
    <x v="0"/>
  </r>
  <r>
    <x v="1"/>
    <d v="2026-06-05T00:00:00"/>
    <d v="2026-06-05T00:00:00"/>
    <m/>
    <n v="7.99"/>
    <s v="Bocabaguette palma mallorces"/>
    <x v="8"/>
    <x v="0"/>
    <x v="0"/>
  </r>
  <r>
    <x v="1"/>
    <d v="2026-06-05T00:00:00"/>
    <d v="2026-06-05T00:00:00"/>
    <m/>
    <n v="2.99"/>
    <s v="Centro hogar santa ponsa santa ponsa es"/>
    <x v="24"/>
    <x v="0"/>
    <x v="0"/>
  </r>
  <r>
    <x v="1"/>
    <d v="2026-06-04T00:00:00"/>
    <d v="2026-06-04T00:00:00"/>
    <m/>
    <n v="50"/>
    <s v="Buga2000sl santa ponza es"/>
    <x v="1"/>
    <x v="0"/>
    <x v="0"/>
  </r>
  <r>
    <x v="1"/>
    <d v="2026-06-03T00:00:00"/>
    <d v="2026-06-03T00:00:00"/>
    <m/>
    <n v="55.99"/>
    <s v="Farmacia margalida comas"/>
    <x v="23"/>
    <x v="0"/>
    <x v="0"/>
  </r>
  <r>
    <x v="1"/>
    <d v="2026-06-03T00:00:00"/>
    <d v="2026-06-03T00:00:00"/>
    <m/>
    <n v="5.9"/>
    <s v="R viding illes calvia"/>
    <x v="17"/>
    <x v="0"/>
    <x v="0"/>
  </r>
  <r>
    <x v="1"/>
    <d v="2026-06-01T00:00:00"/>
    <d v="2026-06-01T00:00:00"/>
    <m/>
    <n v="24.27"/>
    <s v="Adeudo de endesa"/>
    <x v="14"/>
    <x v="0"/>
    <x v="0"/>
  </r>
  <r>
    <x v="1"/>
    <d v="2026-05-31T00:00:00"/>
    <d v="2026-06-01T00:00:00"/>
    <n v="3000"/>
    <m/>
    <s v="Transferencia recibida"/>
    <x v="9"/>
    <x v="0"/>
    <x v="0"/>
  </r>
  <r>
    <x v="1"/>
    <d v="2026-05-30T00:00:00"/>
    <d v="2026-06-01T00:00:00"/>
    <m/>
    <n v="600"/>
    <s v="Ret. efectivo a debito con tarj. en cajero. aut."/>
    <x v="25"/>
    <x v="0"/>
    <x v="0"/>
  </r>
  <r>
    <x v="1"/>
    <d v="2026-05-30T00:00:00"/>
    <d v="2026-06-01T00:00:00"/>
    <m/>
    <n v="149.30000000000001"/>
    <s v="Viding illes calvia palma mallorces"/>
    <x v="12"/>
    <x v="0"/>
    <x v="0"/>
  </r>
  <r>
    <x v="1"/>
    <d v="2026-05-30T00:00:00"/>
    <d v="2026-06-01T00:00:00"/>
    <m/>
    <n v="6.4"/>
    <s v="Panaderia matias santa ponsa es"/>
    <x v="17"/>
    <x v="0"/>
    <x v="0"/>
  </r>
  <r>
    <x v="2"/>
    <d v="2026-05-29T00:00:00"/>
    <d v="2026-05-29T00:00:00"/>
    <m/>
    <n v="5.9"/>
    <s v="R viding illes calvia cavia es"/>
    <x v="17"/>
    <x v="0"/>
    <x v="0"/>
  </r>
  <r>
    <x v="2"/>
    <d v="2026-05-28T00:00:00"/>
    <d v="2026-05-28T00:00:00"/>
    <m/>
    <n v="48.46"/>
    <s v="Carniceria can rivas"/>
    <x v="8"/>
    <x v="0"/>
    <x v="0"/>
  </r>
  <r>
    <x v="2"/>
    <d v="2026-05-26T00:00:00"/>
    <d v="2026-05-28T00:00:00"/>
    <m/>
    <n v="1"/>
    <s v="E148 magaluf"/>
    <x v="26"/>
    <x v="0"/>
    <x v="0"/>
  </r>
  <r>
    <x v="2"/>
    <d v="2026-05-28T00:00:00"/>
    <d v="2026-05-28T00:00:00"/>
    <m/>
    <n v="5.9"/>
    <s v="R viding illes calvia"/>
    <x v="17"/>
    <x v="0"/>
    <x v="0"/>
  </r>
  <r>
    <x v="2"/>
    <d v="2026-05-28T00:00:00"/>
    <d v="2026-05-28T00:00:00"/>
    <m/>
    <n v="15"/>
    <s v="Adeudo digi spain telecom sa"/>
    <x v="15"/>
    <x v="0"/>
    <x v="0"/>
  </r>
  <r>
    <x v="2"/>
    <d v="2026-05-28T00:00:00"/>
    <d v="2026-05-28T00:00:00"/>
    <m/>
    <n v="30"/>
    <s v="Adeudo digi spain telecom sa"/>
    <x v="16"/>
    <x v="0"/>
    <x v="0"/>
  </r>
  <r>
    <x v="2"/>
    <d v="2026-05-27T00:00:00"/>
    <d v="2026-05-27T00:00:00"/>
    <m/>
    <n v="5.9"/>
    <s v="R viding illes calvia"/>
    <x v="17"/>
    <x v="0"/>
    <x v="0"/>
  </r>
  <r>
    <x v="2"/>
    <d v="2026-05-26T00:00:00"/>
    <d v="2026-05-26T00:00:00"/>
    <m/>
    <n v="40"/>
    <s v="Buga2000sl santa ponza es"/>
    <x v="1"/>
    <x v="0"/>
    <x v="0"/>
  </r>
  <r>
    <x v="2"/>
    <d v="2026-05-26T00:00:00"/>
    <d v="2026-05-26T00:00:00"/>
    <m/>
    <n v="5.6"/>
    <s v="R viding illes calvia cavia es"/>
    <x v="17"/>
    <x v="0"/>
    <x v="0"/>
  </r>
  <r>
    <x v="2"/>
    <d v="2026-05-25T00:00:00"/>
    <d v="2026-05-25T00:00:00"/>
    <m/>
    <n v="10"/>
    <s v="236 minit spain cc porto palma de malles"/>
    <x v="21"/>
    <x v="0"/>
    <x v="0"/>
  </r>
  <r>
    <x v="2"/>
    <d v="2026-05-24T00:00:00"/>
    <d v="2026-05-25T00:00:00"/>
    <m/>
    <n v="15.28"/>
    <s v="Carniceria can rivas el toro es"/>
    <x v="8"/>
    <x v="0"/>
    <x v="0"/>
  </r>
  <r>
    <x v="2"/>
    <d v="2026-05-22T00:00:00"/>
    <d v="2026-05-22T00:00:00"/>
    <m/>
    <n v="40.700000000000003"/>
    <s v="Autonet baleares alella es"/>
    <x v="1"/>
    <x v="0"/>
    <x v="0"/>
  </r>
  <r>
    <x v="2"/>
    <d v="2026-05-22T00:00:00"/>
    <d v="2026-05-22T00:00:00"/>
    <m/>
    <n v="1"/>
    <s v="8094 cc la vila sant francesces"/>
    <x v="26"/>
    <x v="0"/>
    <x v="0"/>
  </r>
  <r>
    <x v="2"/>
    <d v="2026-05-22T00:00:00"/>
    <d v="2026-05-22T00:00:00"/>
    <m/>
    <n v="5.45"/>
    <s v="R viding illes calvia cavia es"/>
    <x v="17"/>
    <x v="0"/>
    <x v="0"/>
  </r>
  <r>
    <x v="2"/>
    <d v="2026-05-21T00:00:00"/>
    <d v="2026-05-21T00:00:00"/>
    <m/>
    <n v="5.45"/>
    <s v="R viding illes calvia"/>
    <x v="17"/>
    <x v="0"/>
    <x v="0"/>
  </r>
  <r>
    <x v="2"/>
    <d v="2026-05-20T00:00:00"/>
    <d v="2026-05-20T00:00:00"/>
    <m/>
    <n v="100"/>
    <s v="Transferencia realizada"/>
    <x v="9"/>
    <x v="0"/>
    <x v="0"/>
  </r>
  <r>
    <x v="2"/>
    <d v="2026-05-17T00:00:00"/>
    <d v="2026-05-19T00:00:00"/>
    <m/>
    <n v="9"/>
    <s v="Mni*milk away healthy"/>
    <x v="27"/>
    <x v="0"/>
    <x v="1"/>
  </r>
  <r>
    <x v="2"/>
    <d v="2026-05-19T00:00:00"/>
    <d v="2026-05-19T00:00:00"/>
    <m/>
    <n v="0.49"/>
    <s v="Metro sevilla sevilla es"/>
    <x v="28"/>
    <x v="0"/>
    <x v="1"/>
  </r>
  <r>
    <x v="2"/>
    <d v="2026-05-18T00:00:00"/>
    <d v="2026-05-18T00:00:00"/>
    <m/>
    <n v="10.8"/>
    <s v="Ceramica santa ana"/>
    <x v="26"/>
    <x v="0"/>
    <x v="0"/>
  </r>
  <r>
    <x v="2"/>
    <d v="2026-05-18T00:00:00"/>
    <d v="2026-05-18T00:00:00"/>
    <m/>
    <n v="834.99"/>
    <s v="Adeudo a su cargo"/>
    <x v="29"/>
    <x v="0"/>
    <x v="0"/>
  </r>
  <r>
    <x v="2"/>
    <d v="2026-05-17T00:00:00"/>
    <d v="2026-05-18T00:00:00"/>
    <m/>
    <n v="20.8"/>
    <s v="My true burger and vegan palma de malles"/>
    <x v="18"/>
    <x v="0"/>
    <x v="0"/>
  </r>
  <r>
    <x v="2"/>
    <d v="2026-05-16T00:00:00"/>
    <d v="2026-05-18T00:00:00"/>
    <m/>
    <n v="40"/>
    <s v="Autonet baleares alella es"/>
    <x v="1"/>
    <x v="0"/>
    <x v="0"/>
  </r>
  <r>
    <x v="2"/>
    <d v="2026-05-16T00:00:00"/>
    <d v="2026-05-18T00:00:00"/>
    <m/>
    <n v="430"/>
    <s v="Ret. efectivo a debito con tarj. en cajero. aut."/>
    <x v="25"/>
    <x v="0"/>
    <x v="0"/>
  </r>
  <r>
    <x v="2"/>
    <d v="2026-05-16T00:00:00"/>
    <d v="2026-05-18T00:00:00"/>
    <m/>
    <n v="6.4"/>
    <s v="Panaderia matias santa ponsa es"/>
    <x v="17"/>
    <x v="0"/>
    <x v="0"/>
  </r>
  <r>
    <x v="2"/>
    <d v="2026-05-15T00:00:00"/>
    <d v="2026-05-15T00:00:00"/>
    <m/>
    <n v="100"/>
    <s v="Peluqueria yavara palma mallorces"/>
    <x v="2"/>
    <x v="0"/>
    <x v="0"/>
  </r>
  <r>
    <x v="2"/>
    <d v="2026-05-15T00:00:00"/>
    <d v="2026-05-15T00:00:00"/>
    <m/>
    <n v="1.8"/>
    <s v="Pastisseria son ferriol palma de malles"/>
    <x v="17"/>
    <x v="0"/>
    <x v="0"/>
  </r>
  <r>
    <x v="2"/>
    <d v="2026-05-14T00:00:00"/>
    <d v="2026-05-14T00:00:00"/>
    <m/>
    <n v="45.35"/>
    <s v="Pluto"/>
    <x v="23"/>
    <x v="0"/>
    <x v="0"/>
  </r>
  <r>
    <x v="2"/>
    <d v="2026-05-14T00:00:00"/>
    <d v="2026-05-14T00:00:00"/>
    <m/>
    <n v="5.45"/>
    <s v="R viding illes calvia"/>
    <x v="17"/>
    <x v="0"/>
    <x v="0"/>
  </r>
  <r>
    <x v="2"/>
    <d v="2026-05-13T00:00:00"/>
    <d v="2026-05-13T00:00:00"/>
    <m/>
    <n v="5.45"/>
    <s v="R viding illes calvia"/>
    <x v="17"/>
    <x v="0"/>
    <x v="0"/>
  </r>
  <r>
    <x v="2"/>
    <d v="2026-05-13T00:00:00"/>
    <d v="2026-05-13T00:00:00"/>
    <m/>
    <n v="15.71"/>
    <s v="Adeudo de endesa"/>
    <x v="14"/>
    <x v="0"/>
    <x v="0"/>
  </r>
  <r>
    <x v="2"/>
    <d v="2026-05-12T00:00:00"/>
    <d v="2026-05-12T00:00:00"/>
    <m/>
    <n v="7.99"/>
    <s v="Bocabaguette palma mallorces"/>
    <x v="8"/>
    <x v="0"/>
    <x v="0"/>
  </r>
  <r>
    <x v="2"/>
    <d v="2026-05-12T00:00:00"/>
    <d v="2026-05-12T00:00:00"/>
    <m/>
    <n v="30"/>
    <s v="Buga2000sl santa ponza es"/>
    <x v="1"/>
    <x v="0"/>
    <x v="0"/>
  </r>
  <r>
    <x v="2"/>
    <d v="2026-05-11T00:00:00"/>
    <d v="2026-05-11T00:00:00"/>
    <m/>
    <n v="5.45"/>
    <s v="R viding illes calvia cavia es"/>
    <x v="17"/>
    <x v="0"/>
    <x v="0"/>
  </r>
  <r>
    <x v="2"/>
    <d v="2026-05-10T00:00:00"/>
    <d v="2026-05-11T00:00:00"/>
    <m/>
    <n v="40.1"/>
    <s v="Carniceria can rivas"/>
    <x v="8"/>
    <x v="0"/>
    <x v="0"/>
  </r>
  <r>
    <x v="2"/>
    <d v="2026-05-08T00:00:00"/>
    <d v="2026-05-08T00:00:00"/>
    <m/>
    <n v="5.45"/>
    <s v="R viding illes calvia"/>
    <x v="17"/>
    <x v="0"/>
    <x v="0"/>
  </r>
  <r>
    <x v="2"/>
    <d v="2026-05-08T00:00:00"/>
    <d v="2026-05-08T00:00:00"/>
    <m/>
    <n v="66.87"/>
    <s v="Adeudo a su cargo"/>
    <x v="7"/>
    <x v="0"/>
    <x v="0"/>
  </r>
  <r>
    <x v="2"/>
    <d v="2026-05-07T00:00:00"/>
    <d v="2026-05-07T00:00:00"/>
    <m/>
    <n v="3.99"/>
    <s v="Bocabaguette palma mallorces"/>
    <x v="8"/>
    <x v="0"/>
    <x v="0"/>
  </r>
  <r>
    <x v="2"/>
    <d v="2026-05-07T00:00:00"/>
    <d v="2026-05-07T00:00:00"/>
    <m/>
    <n v="5.45"/>
    <s v="R viding illes calvia cavia es"/>
    <x v="17"/>
    <x v="0"/>
    <x v="0"/>
  </r>
  <r>
    <x v="2"/>
    <d v="2026-05-06T00:00:00"/>
    <d v="2026-05-06T00:00:00"/>
    <m/>
    <n v="5.45"/>
    <s v="R viding illes calvia"/>
    <x v="17"/>
    <x v="0"/>
    <x v="0"/>
  </r>
  <r>
    <x v="2"/>
    <d v="2026-05-06T00:00:00"/>
    <d v="2026-05-06T00:00:00"/>
    <m/>
    <n v="40"/>
    <s v="Buga2000sl santa ponza es"/>
    <x v="1"/>
    <x v="0"/>
    <x v="0"/>
  </r>
  <r>
    <x v="2"/>
    <d v="2026-05-02T00:00:00"/>
    <d v="2026-05-05T00:00:00"/>
    <m/>
    <n v="20"/>
    <s v="Duca d'amalfi"/>
    <x v="17"/>
    <x v="0"/>
    <x v="0"/>
  </r>
  <r>
    <x v="2"/>
    <d v="2026-05-01T00:00:00"/>
    <d v="2026-05-04T00:00:00"/>
    <m/>
    <n v="9.3000000000000007"/>
    <s v="Le dolcezze"/>
    <x v="17"/>
    <x v="0"/>
    <x v="0"/>
  </r>
  <r>
    <x v="2"/>
    <d v="2026-04-30T00:00:00"/>
    <d v="2026-05-04T00:00:00"/>
    <m/>
    <n v="5.0999999999999996"/>
    <s v="Dolceamaro cervia"/>
    <x v="17"/>
    <x v="0"/>
    <x v="0"/>
  </r>
  <r>
    <x v="2"/>
    <d v="2026-05-04T00:00:00"/>
    <d v="2026-05-04T00:00:00"/>
    <m/>
    <n v="79.62"/>
    <s v="Adeudo de endesa"/>
    <x v="14"/>
    <x v="0"/>
    <x v="0"/>
  </r>
  <r>
    <x v="2"/>
    <d v="2026-05-01T00:00:00"/>
    <d v="2026-05-04T00:00:00"/>
    <m/>
    <n v="7.99"/>
    <s v="Bocabaguette palma mallorces"/>
    <x v="8"/>
    <x v="0"/>
    <x v="0"/>
  </r>
  <r>
    <x v="2"/>
    <d v="2026-05-01T00:00:00"/>
    <d v="2026-05-04T00:00:00"/>
    <m/>
    <n v="3.5"/>
    <s v="R viding illes calvia cavia es"/>
    <x v="17"/>
    <x v="0"/>
    <x v="0"/>
  </r>
  <r>
    <x v="3"/>
    <d v="2026-04-30T00:00:00"/>
    <d v="2026-04-30T00:00:00"/>
    <m/>
    <n v="30"/>
    <s v="Buga2000sl santa ponza es"/>
    <x v="1"/>
    <x v="0"/>
    <x v="0"/>
  </r>
  <r>
    <x v="3"/>
    <d v="2026-04-30T00:00:00"/>
    <d v="2026-04-30T00:00:00"/>
    <m/>
    <n v="3.5"/>
    <s v="R viding illes calvia cavia es"/>
    <x v="17"/>
    <x v="0"/>
    <x v="0"/>
  </r>
  <r>
    <x v="3"/>
    <d v="2026-04-29T00:00:00"/>
    <d v="2026-04-29T00:00:00"/>
    <m/>
    <n v="45"/>
    <s v="Pluto"/>
    <x v="23"/>
    <x v="0"/>
    <x v="0"/>
  </r>
  <r>
    <x v="3"/>
    <d v="2026-04-29T00:00:00"/>
    <d v="2026-04-29T00:00:00"/>
    <m/>
    <n v="149.30000000000001"/>
    <s v="Viding illes calvia"/>
    <x v="12"/>
    <x v="0"/>
    <x v="0"/>
  </r>
  <r>
    <x v="3"/>
    <d v="2026-04-29T00:00:00"/>
    <d v="2026-04-29T00:00:00"/>
    <m/>
    <n v="15"/>
    <s v="Adeudo digi spain telecom sa"/>
    <x v="15"/>
    <x v="0"/>
    <x v="0"/>
  </r>
  <r>
    <x v="3"/>
    <d v="2026-04-29T00:00:00"/>
    <d v="2026-04-29T00:00:00"/>
    <m/>
    <n v="30"/>
    <s v="Adeudo digi spain telecom sa"/>
    <x v="16"/>
    <x v="0"/>
    <x v="0"/>
  </r>
  <r>
    <x v="3"/>
    <d v="2026-04-28T00:00:00"/>
    <d v="2026-04-28T00:00:00"/>
    <m/>
    <n v="99"/>
    <s v="Laser debora"/>
    <x v="30"/>
    <x v="0"/>
    <x v="0"/>
  </r>
  <r>
    <x v="3"/>
    <d v="2026-04-28T00:00:00"/>
    <d v="2026-04-28T00:00:00"/>
    <m/>
    <n v="100"/>
    <s v="Transferencia realizada"/>
    <x v="9"/>
    <x v="0"/>
    <x v="0"/>
  </r>
  <r>
    <x v="3"/>
    <d v="2026-04-28T00:00:00"/>
    <d v="2026-04-28T00:00:00"/>
    <m/>
    <n v="3.6"/>
    <s v="Rest son bugadelles"/>
    <x v="17"/>
    <x v="0"/>
    <x v="0"/>
  </r>
  <r>
    <x v="3"/>
    <d v="2026-04-24T00:00:00"/>
    <d v="2026-04-27T00:00:00"/>
    <m/>
    <n v="9"/>
    <s v="Rivareno gelato"/>
    <x v="17"/>
    <x v="0"/>
    <x v="0"/>
  </r>
  <r>
    <x v="3"/>
    <d v="2026-04-27T00:00:00"/>
    <d v="2026-04-27T00:00:00"/>
    <m/>
    <n v="3.6"/>
    <s v="Rte. son bugadellas"/>
    <x v="17"/>
    <x v="0"/>
    <x v="0"/>
  </r>
  <r>
    <x v="3"/>
    <d v="2026-04-25T00:00:00"/>
    <d v="2026-04-27T00:00:00"/>
    <m/>
    <n v="100"/>
    <s v="Transferencia realizada"/>
    <x v="9"/>
    <x v="0"/>
    <x v="0"/>
  </r>
  <r>
    <x v="3"/>
    <d v="2026-04-25T00:00:00"/>
    <d v="2026-04-27T00:00:00"/>
    <m/>
    <n v="30"/>
    <s v="Buga2000sl santa ponza es"/>
    <x v="1"/>
    <x v="0"/>
    <x v="0"/>
  </r>
  <r>
    <x v="3"/>
    <d v="2026-04-24T00:00:00"/>
    <d v="2026-04-24T00:00:00"/>
    <m/>
    <n v="1.3"/>
    <s v="Smap ora contactless palma mallorces"/>
    <x v="11"/>
    <x v="0"/>
    <x v="0"/>
  </r>
  <r>
    <x v="3"/>
    <d v="2026-04-23T00:00:00"/>
    <d v="2026-04-23T00:00:00"/>
    <m/>
    <n v="15000"/>
    <s v="Transferencia realizada"/>
    <x v="9"/>
    <x v="0"/>
    <x v="0"/>
  </r>
  <r>
    <x v="3"/>
    <d v="2026-04-23T00:00:00"/>
    <d v="2026-04-23T00:00:00"/>
    <n v="15000"/>
    <m/>
    <s v="Transferencia recibida"/>
    <x v="9"/>
    <x v="0"/>
    <x v="0"/>
  </r>
  <r>
    <x v="3"/>
    <d v="2026-04-23T00:00:00"/>
    <d v="2026-04-23T00:00:00"/>
    <m/>
    <n v="20"/>
    <s v="Buga2000sl santa ponza es"/>
    <x v="1"/>
    <x v="0"/>
    <x v="0"/>
  </r>
  <r>
    <x v="3"/>
    <d v="2026-04-23T00:00:00"/>
    <d v="2026-04-23T00:00:00"/>
    <m/>
    <n v="5"/>
    <s v="Rte. son bugadellas"/>
    <x v="17"/>
    <x v="0"/>
    <x v="0"/>
  </r>
  <r>
    <x v="3"/>
    <d v="2026-04-22T00:00:00"/>
    <d v="2026-04-22T00:00:00"/>
    <m/>
    <n v="5"/>
    <s v="Rte. son bugadellas"/>
    <x v="17"/>
    <x v="0"/>
    <x v="0"/>
  </r>
  <r>
    <x v="3"/>
    <d v="2026-04-21T00:00:00"/>
    <d v="2026-04-21T00:00:00"/>
    <m/>
    <n v="5.3"/>
    <s v="Rte. son bugadellas"/>
    <x v="17"/>
    <x v="0"/>
    <x v="0"/>
  </r>
  <r>
    <x v="3"/>
    <d v="2026-04-19T00:00:00"/>
    <d v="2026-04-20T00:00:00"/>
    <m/>
    <n v="8.1999999999999993"/>
    <s v="My true burger and vegan"/>
    <x v="17"/>
    <x v="0"/>
    <x v="0"/>
  </r>
  <r>
    <x v="3"/>
    <d v="2026-04-19T00:00:00"/>
    <d v="2026-04-20T00:00:00"/>
    <m/>
    <n v="4.4000000000000004"/>
    <s v="Panaderia matias santa ponsa es"/>
    <x v="17"/>
    <x v="0"/>
    <x v="0"/>
  </r>
  <r>
    <x v="3"/>
    <d v="2026-04-18T00:00:00"/>
    <d v="2026-04-20T00:00:00"/>
    <m/>
    <n v="20"/>
    <s v="Buga2000sl santa ponza es"/>
    <x v="1"/>
    <x v="0"/>
    <x v="0"/>
  </r>
  <r>
    <x v="3"/>
    <d v="2026-04-17T00:00:00"/>
    <d v="2026-04-17T00:00:00"/>
    <m/>
    <n v="4.4000000000000004"/>
    <s v="Panaderia matias santa ponsa es"/>
    <x v="17"/>
    <x v="0"/>
    <x v="0"/>
  </r>
  <r>
    <x v="3"/>
    <d v="2026-04-16T00:00:00"/>
    <d v="2026-04-16T00:00:00"/>
    <m/>
    <n v="45.35"/>
    <s v="Pluto"/>
    <x v="23"/>
    <x v="0"/>
    <x v="0"/>
  </r>
  <r>
    <x v="3"/>
    <d v="2026-04-16T00:00:00"/>
    <d v="2026-04-16T00:00:00"/>
    <m/>
    <n v="1"/>
    <s v="8094 cc la vila"/>
    <x v="26"/>
    <x v="0"/>
    <x v="0"/>
  </r>
  <r>
    <x v="3"/>
    <d v="2026-04-16T00:00:00"/>
    <d v="2026-04-16T00:00:00"/>
    <m/>
    <n v="95"/>
    <s v="Peluqueria yavara"/>
    <x v="2"/>
    <x v="0"/>
    <x v="0"/>
  </r>
  <r>
    <x v="3"/>
    <d v="2026-04-12T00:00:00"/>
    <d v="2026-04-13T00:00:00"/>
    <m/>
    <n v="4.4000000000000004"/>
    <s v="Panaderia matias santa ponsa es"/>
    <x v="17"/>
    <x v="0"/>
    <x v="0"/>
  </r>
  <r>
    <x v="3"/>
    <d v="2026-04-11T00:00:00"/>
    <d v="2026-04-13T00:00:00"/>
    <m/>
    <n v="12.99"/>
    <s v="Farmacia margalida comas son ferrer (ces"/>
    <x v="19"/>
    <x v="0"/>
    <x v="0"/>
  </r>
  <r>
    <x v="3"/>
    <d v="2026-04-11T00:00:00"/>
    <d v="2026-04-13T00:00:00"/>
    <m/>
    <n v="30"/>
    <s v="Buga2000sl santa ponza es"/>
    <x v="1"/>
    <x v="0"/>
    <x v="0"/>
  </r>
  <r>
    <x v="3"/>
    <d v="2026-04-09T00:00:00"/>
    <d v="2026-04-09T00:00:00"/>
    <m/>
    <n v="0.9"/>
    <s v="Tna aparca paseo mallorca"/>
    <x v="11"/>
    <x v="0"/>
    <x v="0"/>
  </r>
  <r>
    <x v="3"/>
    <d v="2026-04-07T00:00:00"/>
    <d v="2026-04-09T00:00:00"/>
    <m/>
    <n v="13.5"/>
    <s v="Rivareno gelato"/>
    <x v="17"/>
    <x v="0"/>
    <x v="0"/>
  </r>
  <r>
    <x v="3"/>
    <d v="2026-04-08T00:00:00"/>
    <d v="2026-04-08T00:00:00"/>
    <m/>
    <n v="40"/>
    <s v="Peluqueria yavara"/>
    <x v="2"/>
    <x v="0"/>
    <x v="0"/>
  </r>
  <r>
    <x v="3"/>
    <d v="2026-04-07T00:00:00"/>
    <d v="2026-04-07T00:00:00"/>
    <m/>
    <n v="3.55"/>
    <s v="Tna aparca paseo mallorca"/>
    <x v="11"/>
    <x v="0"/>
    <x v="0"/>
  </r>
  <r>
    <x v="3"/>
    <d v="2026-04-07T00:00:00"/>
    <d v="2026-04-07T00:00:00"/>
    <m/>
    <n v="73.5"/>
    <s v="Adeudo de endesa"/>
    <x v="14"/>
    <x v="0"/>
    <x v="0"/>
  </r>
  <r>
    <x v="3"/>
    <d v="2026-04-07T00:00:00"/>
    <d v="2026-04-07T00:00:00"/>
    <m/>
    <n v="30"/>
    <s v="Buga2000sl santa ponza es"/>
    <x v="1"/>
    <x v="0"/>
    <x v="0"/>
  </r>
  <r>
    <x v="3"/>
    <d v="2026-04-07T00:00:00"/>
    <d v="2026-04-07T00:00:00"/>
    <m/>
    <n v="3.5"/>
    <s v="Panaderia matias santa ponsa es"/>
    <x v="17"/>
    <x v="0"/>
    <x v="0"/>
  </r>
  <r>
    <x v="3"/>
    <d v="2026-04-04T00:00:00"/>
    <d v="2026-04-06T00:00:00"/>
    <m/>
    <n v="9"/>
    <s v="Rivareno gelato"/>
    <x v="17"/>
    <x v="0"/>
    <x v="0"/>
  </r>
  <r>
    <x v="3"/>
    <d v="2026-04-05T00:00:00"/>
    <d v="2026-04-06T00:00:00"/>
    <m/>
    <n v="7"/>
    <s v="Panaderia matias santa ponsa es"/>
    <x v="17"/>
    <x v="0"/>
    <x v="0"/>
  </r>
  <r>
    <x v="3"/>
    <s v="03/04/2026"/>
    <s v="06/04/2026"/>
    <m/>
    <n v="41.7"/>
    <s v="My true burger and vegan palma de malles"/>
    <x v="18"/>
    <x v="0"/>
    <x v="0"/>
  </r>
  <r>
    <x v="3"/>
    <s v="03/04/2026"/>
    <s v="06/04/2026"/>
    <m/>
    <n v="20.8"/>
    <s v="My true burger and vegan palma de malles"/>
    <x v="18"/>
    <x v="0"/>
    <x v="0"/>
  </r>
  <r>
    <x v="3"/>
    <s v="03/04/2026"/>
    <s v="06/04/2026"/>
    <m/>
    <n v="7.8"/>
    <s v="Panaderia matias santa ponsa es"/>
    <x v="17"/>
    <x v="0"/>
    <x v="0"/>
  </r>
  <r>
    <x v="3"/>
    <s v="02/04/2026"/>
    <s v="02/04/2026"/>
    <m/>
    <n v="48.95"/>
    <s v="Carniceria can rivas el toro es"/>
    <x v="8"/>
    <x v="0"/>
    <x v="0"/>
  </r>
  <r>
    <x v="3"/>
    <s v="01/04/2026"/>
    <s v="01/04/2026"/>
    <m/>
    <n v="149.30000000000001"/>
    <s v="Viding illes calvia"/>
    <x v="12"/>
    <x v="0"/>
    <x v="0"/>
  </r>
  <r>
    <x v="3"/>
    <s v="01/04/2026"/>
    <s v="01/04/2026"/>
    <m/>
    <n v="9"/>
    <s v="236 minit spain cc porto"/>
    <x v="21"/>
    <x v="0"/>
    <x v="0"/>
  </r>
  <r>
    <x v="3"/>
    <s v="01/04/2026"/>
    <s v="01/04/2026"/>
    <m/>
    <n v="7.1"/>
    <s v="Horno santo cristo"/>
    <x v="17"/>
    <x v="0"/>
    <x v="0"/>
  </r>
  <r>
    <x v="3"/>
    <s v="01/04/2026"/>
    <s v="01/04/2026"/>
    <m/>
    <n v="38.85"/>
    <s v="Tailor co c c porto pi"/>
    <x v="21"/>
    <x v="0"/>
    <x v="0"/>
  </r>
  <r>
    <x v="3"/>
    <s v="01/04/2026"/>
    <s v="01/04/2026"/>
    <m/>
    <n v="663.75"/>
    <s v="Adeudo de asisa"/>
    <x v="13"/>
    <x v="0"/>
    <x v="0"/>
  </r>
  <r>
    <x v="4"/>
    <s v="30/03/2026"/>
    <s v="30/03/2026"/>
    <m/>
    <n v="30"/>
    <s v="Buga2000sl santa ponza es"/>
    <x v="1"/>
    <x v="0"/>
    <x v="0"/>
  </r>
  <r>
    <x v="4"/>
    <s v="30/03/2026"/>
    <s v="30/03/2026"/>
    <m/>
    <n v="15"/>
    <s v="Adeudo digi spain telecom sa"/>
    <x v="15"/>
    <x v="0"/>
    <x v="0"/>
  </r>
  <r>
    <x v="4"/>
    <s v="30/03/2026"/>
    <s v="30/03/2026"/>
    <m/>
    <n v="30.299999999999997"/>
    <s v="Adeudo digi spain telecom sa"/>
    <x v="16"/>
    <x v="0"/>
    <x v="0"/>
  </r>
  <r>
    <x v="4"/>
    <s v="27/03/2026"/>
    <s v="27/03/2026"/>
    <m/>
    <n v="4.99"/>
    <s v="Centro hogar santa ponsa"/>
    <x v="31"/>
    <x v="0"/>
    <x v="0"/>
  </r>
  <r>
    <x v="4"/>
    <s v="27/03/2026"/>
    <s v="27/03/2026"/>
    <m/>
    <n v="5"/>
    <s v="Rest son bugadelles"/>
    <x v="17"/>
    <x v="0"/>
    <x v="0"/>
  </r>
  <r>
    <x v="4"/>
    <s v="26/03/2026"/>
    <s v="26/03/2026"/>
    <m/>
    <n v="30"/>
    <s v="Buga2000sl santa ponza es"/>
    <x v="1"/>
    <x v="0"/>
    <x v="0"/>
  </r>
  <r>
    <x v="4"/>
    <s v="26/03/2026"/>
    <s v="26/03/2026"/>
    <m/>
    <n v="5"/>
    <s v="Rte. son bugadellas santa ponsa es"/>
    <x v="17"/>
    <x v="0"/>
    <x v="0"/>
  </r>
  <r>
    <x v="4"/>
    <d v="2026-03-25T00:00:00"/>
    <d v="2026-03-25T00:00:00"/>
    <m/>
    <n v="8.39"/>
    <s v="Bocabaguette"/>
    <x v="8"/>
    <x v="0"/>
    <x v="0"/>
  </r>
  <r>
    <x v="4"/>
    <d v="2026-03-25T00:00:00"/>
    <d v="2026-03-25T00:00:00"/>
    <m/>
    <n v="5"/>
    <s v="Rte. son bugadellas santa ponsa es"/>
    <x v="17"/>
    <x v="0"/>
    <x v="0"/>
  </r>
  <r>
    <x v="4"/>
    <d v="2026-03-24T00:00:00"/>
    <d v="2026-03-24T00:00:00"/>
    <m/>
    <n v="5"/>
    <s v="Rte. son bugadellas santa ponsa es"/>
    <x v="17"/>
    <x v="0"/>
    <x v="0"/>
  </r>
  <r>
    <x v="4"/>
    <d v="2026-03-23T00:00:00"/>
    <d v="2026-03-23T00:00:00"/>
    <m/>
    <n v="5"/>
    <s v="Rte. son bugadellas santa ponsa es"/>
    <x v="17"/>
    <x v="0"/>
    <x v="0"/>
  </r>
  <r>
    <x v="4"/>
    <d v="2026-03-22T00:00:00"/>
    <d v="2026-03-23T00:00:00"/>
    <m/>
    <n v="25.67"/>
    <s v="Carniceria can rivas"/>
    <x v="8"/>
    <x v="0"/>
    <x v="0"/>
  </r>
  <r>
    <x v="4"/>
    <d v="2026-03-21T00:00:00"/>
    <d v="2026-03-23T00:00:00"/>
    <m/>
    <n v="4.4000000000000004"/>
    <s v="Panaderia matias"/>
    <x v="17"/>
    <x v="0"/>
    <x v="0"/>
  </r>
  <r>
    <x v="4"/>
    <d v="2026-03-20T00:00:00"/>
    <d v="2026-03-20T00:00:00"/>
    <m/>
    <n v="115"/>
    <s v="Peluqueria yavara"/>
    <x v="2"/>
    <x v="0"/>
    <x v="0"/>
  </r>
  <r>
    <x v="4"/>
    <d v="2026-03-19T00:00:00"/>
    <d v="2026-03-19T00:00:00"/>
    <m/>
    <n v="8.39"/>
    <s v="Bocabaguette"/>
    <x v="8"/>
    <x v="0"/>
    <x v="0"/>
  </r>
  <r>
    <x v="4"/>
    <d v="2026-03-19T00:00:00"/>
    <d v="2026-03-19T00:00:00"/>
    <m/>
    <n v="5"/>
    <s v="Rte. son bugadellas santa ponsa es"/>
    <x v="17"/>
    <x v="0"/>
    <x v="0"/>
  </r>
  <r>
    <x v="4"/>
    <d v="2026-03-18T00:00:00"/>
    <d v="2026-03-18T00:00:00"/>
    <m/>
    <n v="4.78"/>
    <s v="Farmacia riera"/>
    <x v="19"/>
    <x v="0"/>
    <x v="0"/>
  </r>
  <r>
    <x v="4"/>
    <d v="2026-03-18T00:00:00"/>
    <d v="2026-03-18T00:00:00"/>
    <m/>
    <n v="5"/>
    <s v="Rte. son bugadellas santa ponsa es"/>
    <x v="17"/>
    <x v="0"/>
    <x v="0"/>
  </r>
  <r>
    <x v="4"/>
    <d v="2026-03-17T00:00:00"/>
    <d v="2026-03-17T00:00:00"/>
    <m/>
    <n v="5"/>
    <s v="Rte. son bugadellas santa ponsa es"/>
    <x v="17"/>
    <x v="0"/>
    <x v="0"/>
  </r>
  <r>
    <x v="4"/>
    <d v="2026-03-16T00:00:00"/>
    <d v="2026-03-16T00:00:00"/>
    <m/>
    <n v="3.7"/>
    <s v="Parking comte sallent emv31 (decembre)es"/>
    <x v="11"/>
    <x v="0"/>
    <x v="0"/>
  </r>
  <r>
    <x v="4"/>
    <d v="2026-03-16T00:00:00"/>
    <d v="2026-03-16T00:00:00"/>
    <n v="3.54"/>
    <m/>
    <s v="Descarga de tarjetas prepago"/>
    <x v="32"/>
    <x v="0"/>
    <x v="0"/>
  </r>
  <r>
    <x v="4"/>
    <d v="2026-03-16T00:00:00"/>
    <d v="2026-03-16T00:00:00"/>
    <m/>
    <n v="3.54"/>
    <s v="Descarga de tarjetas prepago"/>
    <x v="33"/>
    <x v="1"/>
    <x v="0"/>
  </r>
  <r>
    <x v="4"/>
    <d v="2026-03-16T00:00:00"/>
    <d v="2026-03-16T00:00:00"/>
    <m/>
    <n v="5"/>
    <s v="Rte. son bugadellas santa ponsa es"/>
    <x v="17"/>
    <x v="0"/>
    <x v="0"/>
  </r>
  <r>
    <x v="4"/>
    <d v="2026-03-15T00:00:00"/>
    <d v="2026-03-16T00:00:00"/>
    <m/>
    <n v="8.1999999999999993"/>
    <s v="My true burger and vegan palma de malles"/>
    <x v="17"/>
    <x v="0"/>
    <x v="0"/>
  </r>
  <r>
    <x v="4"/>
    <d v="2026-03-15T00:00:00"/>
    <d v="2026-03-16T00:00:00"/>
    <m/>
    <n v="2.2000000000000002"/>
    <s v="Panaderia matias santa ponsa es"/>
    <x v="17"/>
    <x v="0"/>
    <x v="0"/>
  </r>
  <r>
    <x v="4"/>
    <d v="2026-03-14T00:00:00"/>
    <d v="2026-03-16T00:00:00"/>
    <m/>
    <n v="2.2000000000000002"/>
    <s v="Panaderia matias santa ponsa es"/>
    <x v="17"/>
    <x v="0"/>
    <x v="0"/>
  </r>
  <r>
    <x v="4"/>
    <d v="2026-03-13T00:00:00"/>
    <d v="2026-03-13T00:00:00"/>
    <n v="53"/>
    <m/>
    <s v="Abono por transferencia a su favor recibida en euros"/>
    <x v="21"/>
    <x v="0"/>
    <x v="0"/>
  </r>
  <r>
    <x v="4"/>
    <d v="2026-03-13T00:00:00"/>
    <d v="2026-03-13T00:00:00"/>
    <m/>
    <n v="70.849999999999994"/>
    <s v="Can rivas toro,el es"/>
    <x v="8"/>
    <x v="0"/>
    <x v="0"/>
  </r>
  <r>
    <x v="4"/>
    <d v="2026-03-12T00:00:00"/>
    <d v="2026-03-12T00:00:00"/>
    <m/>
    <n v="2.5"/>
    <s v="Estacionament placa espanpalma de malles"/>
    <x v="11"/>
    <x v="0"/>
    <x v="0"/>
  </r>
  <r>
    <x v="4"/>
    <d v="2026-03-12T00:00:00"/>
    <d v="2026-03-12T00:00:00"/>
    <m/>
    <n v="20"/>
    <s v="Gasolinera buga 2000 santa ponza es"/>
    <x v="1"/>
    <x v="0"/>
    <x v="0"/>
  </r>
  <r>
    <x v="4"/>
    <d v="2026-03-12T00:00:00"/>
    <d v="2026-03-12T00:00:00"/>
    <m/>
    <n v="5"/>
    <s v="Rte. son bugadellas santa ponsa es"/>
    <x v="17"/>
    <x v="0"/>
    <x v="0"/>
  </r>
  <r>
    <x v="4"/>
    <d v="2026-03-11T00:00:00"/>
    <d v="2026-03-11T00:00:00"/>
    <m/>
    <n v="5"/>
    <s v="Rte. son bugadellas santa ponsa es"/>
    <x v="17"/>
    <x v="0"/>
    <x v="0"/>
  </r>
  <r>
    <x v="4"/>
    <d v="2026-03-11T00:00:00"/>
    <d v="2026-03-11T00:00:00"/>
    <m/>
    <n v="40.31"/>
    <s v="Adeudo sociedad general de aguas de barcelona"/>
    <x v="7"/>
    <x v="0"/>
    <x v="0"/>
  </r>
  <r>
    <x v="4"/>
    <d v="2026-03-10T00:00:00"/>
    <d v="2026-03-10T00:00:00"/>
    <m/>
    <n v="5"/>
    <s v="Rte. son bugadellas santa ponsa es"/>
    <x v="17"/>
    <x v="0"/>
    <x v="0"/>
  </r>
  <r>
    <x v="4"/>
    <d v="2026-03-09T00:00:00"/>
    <d v="2026-03-09T00:00:00"/>
    <m/>
    <n v="5"/>
    <s v="Rte. son bugadellas santa ponsa es"/>
    <x v="17"/>
    <x v="0"/>
    <x v="0"/>
  </r>
  <r>
    <x v="4"/>
    <d v="2026-03-06T00:00:00"/>
    <d v="2026-03-06T00:00:00"/>
    <m/>
    <n v="7.4"/>
    <s v="Pastisseria son ferriol palma de malles"/>
    <x v="17"/>
    <x v="0"/>
    <x v="0"/>
  </r>
  <r>
    <x v="4"/>
    <d v="2026-03-05T00:00:00"/>
    <d v="2026-03-05T00:00:00"/>
    <m/>
    <n v="2"/>
    <s v="Comisiones por servicios"/>
    <x v="20"/>
    <x v="0"/>
    <x v="0"/>
  </r>
  <r>
    <x v="4"/>
    <d v="2026-03-05T00:00:00"/>
    <d v="2026-03-05T00:00:00"/>
    <m/>
    <n v="45.35"/>
    <s v="Pluto el toro es"/>
    <x v="23"/>
    <x v="0"/>
    <x v="0"/>
  </r>
  <r>
    <x v="4"/>
    <d v="2026-03-05T00:00:00"/>
    <d v="2026-03-05T00:00:00"/>
    <m/>
    <n v="5"/>
    <s v="Rte. son bugadellas santa ponsa es"/>
    <x v="17"/>
    <x v="0"/>
    <x v="0"/>
  </r>
  <r>
    <x v="4"/>
    <d v="2026-03-04T00:00:00"/>
    <d v="2026-03-04T00:00:00"/>
    <m/>
    <n v="20"/>
    <s v="Buga2000sl santa ponza es"/>
    <x v="1"/>
    <x v="0"/>
    <x v="0"/>
  </r>
  <r>
    <x v="4"/>
    <d v="2026-03-04T00:00:00"/>
    <d v="2026-03-04T00:00:00"/>
    <m/>
    <n v="103.66"/>
    <s v="Adeudo de endesa"/>
    <x v="14"/>
    <x v="0"/>
    <x v="0"/>
  </r>
  <r>
    <x v="4"/>
    <d v="2026-03-03T00:00:00"/>
    <d v="2026-03-03T00:00:00"/>
    <m/>
    <n v="16.920000000000002"/>
    <s v="Hidrotub"/>
    <x v="34"/>
    <x v="0"/>
    <x v="0"/>
  </r>
  <r>
    <x v="4"/>
    <d v="2026-03-03T00:00:00"/>
    <d v="2026-03-03T00:00:00"/>
    <m/>
    <n v="5"/>
    <s v="Rte. son bugadellas santa ponsa es"/>
    <x v="17"/>
    <x v="0"/>
    <x v="0"/>
  </r>
  <r>
    <x v="4"/>
    <d v="2026-03-03T00:00:00"/>
    <d v="2026-03-03T00:00:00"/>
    <m/>
    <n v="517.78"/>
    <s v="Adeudo de allianz seguros"/>
    <x v="35"/>
    <x v="0"/>
    <x v="0"/>
  </r>
  <r>
    <x v="4"/>
    <d v="2026-03-02T00:00:00"/>
    <d v="2026-03-02T00:00:00"/>
    <m/>
    <n v="64.489999999999995"/>
    <s v="Carniceria can rivas el toro es"/>
    <x v="8"/>
    <x v="0"/>
    <x v="0"/>
  </r>
  <r>
    <x v="4"/>
    <d v="2026-03-02T00:00:00"/>
    <d v="2026-03-02T00:00:00"/>
    <m/>
    <n v="149.30000000000001"/>
    <s v="Viding illes calvia calvia es"/>
    <x v="12"/>
    <x v="0"/>
    <x v="0"/>
  </r>
  <r>
    <x v="4"/>
    <d v="2026-03-02T00:00:00"/>
    <d v="2026-03-02T00:00:00"/>
    <m/>
    <n v="1.65"/>
    <s v="Panaderia matias santa ponsa es"/>
    <x v="17"/>
    <x v="0"/>
    <x v="0"/>
  </r>
  <r>
    <x v="4"/>
    <d v="2026-03-01T00:00:00"/>
    <d v="2026-03-02T00:00:00"/>
    <m/>
    <n v="1.65"/>
    <s v="Panaderia matias santa ponsa es"/>
    <x v="17"/>
    <x v="0"/>
    <x v="0"/>
  </r>
  <r>
    <x v="4"/>
    <d v="2026-02-28T00:00:00"/>
    <d v="2026-03-02T00:00:00"/>
    <m/>
    <n v="360"/>
    <s v="Ret. efectivo a debito con tarj. en cajero. aut."/>
    <x v="25"/>
    <x v="0"/>
    <x v="0"/>
  </r>
  <r>
    <x v="5"/>
    <d v="2026-02-26T00:00:00"/>
    <d v="2026-02-26T00:00:00"/>
    <m/>
    <n v="15.01"/>
    <s v="Adeudo digi spain telecom sa"/>
    <x v="15"/>
    <x v="0"/>
    <x v="0"/>
  </r>
  <r>
    <x v="5"/>
    <d v="2026-02-26T00:00:00"/>
    <d v="2026-02-26T00:00:00"/>
    <m/>
    <n v="30"/>
    <s v="Adeudo digi spain telecom sa"/>
    <x v="16"/>
    <x v="0"/>
    <x v="0"/>
  </r>
  <r>
    <x v="5"/>
    <d v="2026-02-25T00:00:00"/>
    <d v="2026-02-25T00:00:00"/>
    <m/>
    <n v="350.54"/>
    <s v="Transferencia realizada"/>
    <x v="10"/>
    <x v="0"/>
    <x v="0"/>
  </r>
  <r>
    <x v="5"/>
    <d v="2026-02-21T00:00:00"/>
    <d v="2026-02-23T00:00:00"/>
    <m/>
    <n v="45.63"/>
    <s v="Burro blanco restaurant"/>
    <x v="27"/>
    <x v="2"/>
    <x v="0"/>
  </r>
  <r>
    <x v="5"/>
    <d v="2026-02-21T00:00:00"/>
    <d v="2026-02-23T00:00:00"/>
    <m/>
    <n v="1.02"/>
    <s v="Prostor a e online food s"/>
    <x v="27"/>
    <x v="2"/>
    <x v="0"/>
  </r>
  <r>
    <x v="5"/>
    <d v="2026-02-20T00:00:00"/>
    <d v="2026-02-20T00:00:00"/>
    <m/>
    <n v="1.8"/>
    <s v="Rte. son bugadellas santa ponsa es"/>
    <x v="17"/>
    <x v="0"/>
    <x v="0"/>
  </r>
  <r>
    <x v="5"/>
    <d v="2026-02-19T00:00:00"/>
    <d v="2026-02-19T00:00:00"/>
    <m/>
    <n v="21.4"/>
    <s v="Pluto el toro es"/>
    <x v="23"/>
    <x v="0"/>
    <x v="0"/>
  </r>
  <r>
    <x v="5"/>
    <d v="2026-02-19T00:00:00"/>
    <d v="2026-02-19T00:00:00"/>
    <m/>
    <n v="1.8"/>
    <s v="Rest son bugadelles toro,el es"/>
    <x v="17"/>
    <x v="0"/>
    <x v="0"/>
  </r>
  <r>
    <x v="5"/>
    <d v="2026-02-19T00:00:00"/>
    <d v="2026-02-19T00:00:00"/>
    <m/>
    <n v="27.9"/>
    <s v="Buga2000sl santa ponza es"/>
    <x v="1"/>
    <x v="0"/>
    <x v="0"/>
  </r>
  <r>
    <x v="5"/>
    <d v="2026-02-18T00:00:00"/>
    <d v="2026-02-18T00:00:00"/>
    <m/>
    <n v="65.569999999999993"/>
    <s v="Farmacia margalida comas son ferrer ces"/>
    <x v="23"/>
    <x v="0"/>
    <x v="0"/>
  </r>
  <r>
    <x v="5"/>
    <d v="2026-02-18T00:00:00"/>
    <d v="2026-02-18T00:00:00"/>
    <m/>
    <n v="95"/>
    <s v="Peluqueria yavara palma mallorces"/>
    <x v="2"/>
    <x v="0"/>
    <x v="0"/>
  </r>
  <r>
    <x v="5"/>
    <d v="2026-02-18T00:00:00"/>
    <d v="2026-02-18T00:00:00"/>
    <m/>
    <n v="2.5"/>
    <s v="Pastisseria son ferriol palma de malles"/>
    <x v="17"/>
    <x v="0"/>
    <x v="0"/>
  </r>
  <r>
    <x v="5"/>
    <d v="2026-02-17T00:00:00"/>
    <d v="2026-02-17T00:00:00"/>
    <n v="2709.99"/>
    <m/>
    <s v="Transferencia recibida"/>
    <x v="36"/>
    <x v="0"/>
    <x v="0"/>
  </r>
  <r>
    <x v="5"/>
    <d v="2026-02-16T00:00:00"/>
    <d v="2026-02-16T00:00:00"/>
    <m/>
    <n v="1.8"/>
    <s v="Rest son bugadelles toro,el es"/>
    <x v="17"/>
    <x v="0"/>
    <x v="0"/>
  </r>
  <r>
    <x v="5"/>
    <d v="2026-02-14T00:00:00"/>
    <d v="2026-02-16T00:00:00"/>
    <m/>
    <n v="300"/>
    <s v="Ret. efectivo a debito con tarj. en cajero. aut."/>
    <x v="25"/>
    <x v="0"/>
    <x v="0"/>
  </r>
  <r>
    <x v="5"/>
    <d v="2026-02-14T00:00:00"/>
    <d v="2026-02-16T00:00:00"/>
    <m/>
    <n v="300"/>
    <s v="Ret. efectivo a debito con tarj. en cajero. aut."/>
    <x v="25"/>
    <x v="0"/>
    <x v="0"/>
  </r>
  <r>
    <x v="5"/>
    <d v="2026-02-13T00:00:00"/>
    <d v="2026-02-13T00:00:00"/>
    <m/>
    <n v="4.8"/>
    <s v="Parking palmacenter viver, el es"/>
    <x v="11"/>
    <x v="0"/>
    <x v="0"/>
  </r>
  <r>
    <x v="5"/>
    <d v="2026-02-13T00:00:00"/>
    <d v="2026-02-13T00:00:00"/>
    <m/>
    <n v="57.83"/>
    <s v="Buga2000sl santa ponza es"/>
    <x v="1"/>
    <x v="0"/>
    <x v="0"/>
  </r>
  <r>
    <x v="5"/>
    <d v="2026-02-12T00:00:00"/>
    <d v="2026-02-12T00:00:00"/>
    <m/>
    <n v="3.6"/>
    <s v="Rte. son bugadellas santa ponsa es"/>
    <x v="17"/>
    <x v="0"/>
    <x v="0"/>
  </r>
  <r>
    <x v="5"/>
    <d v="2026-02-11T00:00:00"/>
    <d v="2026-02-11T00:00:00"/>
    <m/>
    <n v="59.55"/>
    <s v="Pluto"/>
    <x v="23"/>
    <x v="0"/>
    <x v="0"/>
  </r>
  <r>
    <x v="5"/>
    <d v="2026-02-10T00:00:00"/>
    <d v="2026-02-10T00:00:00"/>
    <m/>
    <n v="5.95"/>
    <s v="Parking comte sallent emv31 (decembre)es"/>
    <x v="11"/>
    <x v="0"/>
    <x v="0"/>
  </r>
  <r>
    <x v="5"/>
    <d v="2026-02-10T00:00:00"/>
    <d v="2026-02-10T00:00:00"/>
    <n v="4000"/>
    <m/>
    <s v="Abono por transferencia a su favor recibida en euros"/>
    <x v="9"/>
    <x v="0"/>
    <x v="0"/>
  </r>
  <r>
    <x v="5"/>
    <d v="2026-02-06T00:00:00"/>
    <d v="2026-02-06T00:00:00"/>
    <m/>
    <n v="9.57"/>
    <s v="Farmacia truyols enriquezmagaluf es"/>
    <x v="19"/>
    <x v="0"/>
    <x v="0"/>
  </r>
  <r>
    <x v="5"/>
    <d v="2026-02-05T00:00:00"/>
    <d v="2026-02-05T00:00:00"/>
    <m/>
    <n v="66.05"/>
    <s v="Farmacia riera"/>
    <x v="23"/>
    <x v="0"/>
    <x v="0"/>
  </r>
  <r>
    <x v="5"/>
    <d v="2026-02-04T00:00:00"/>
    <d v="2026-02-04T00:00:00"/>
    <m/>
    <n v="2.1"/>
    <s v="Parking comte sallent emv"/>
    <x v="11"/>
    <x v="0"/>
    <x v="0"/>
  </r>
  <r>
    <x v="5"/>
    <d v="2026-02-04T00:00:00"/>
    <d v="2026-02-04T00:00:00"/>
    <m/>
    <n v="162.01"/>
    <s v="Adeudo de endesa"/>
    <x v="14"/>
    <x v="0"/>
    <x v="0"/>
  </r>
  <r>
    <x v="5"/>
    <d v="2026-02-03T00:00:00"/>
    <d v="2026-02-03T00:00:00"/>
    <m/>
    <n v="644.41"/>
    <s v="Transferencia realizada"/>
    <x v="10"/>
    <x v="0"/>
    <x v="0"/>
  </r>
  <r>
    <x v="5"/>
    <d v="2026-02-02T00:00:00"/>
    <d v="2026-02-02T00:00:00"/>
    <m/>
    <n v="24.6"/>
    <s v="Carniceria can rivas el toro es"/>
    <x v="8"/>
    <x v="0"/>
    <x v="0"/>
  </r>
  <r>
    <x v="5"/>
    <d v="2026-02-02T00:00:00"/>
    <d v="2026-02-02T00:00:00"/>
    <m/>
    <n v="3.95"/>
    <s v="Jardines campaner santa ponsa es"/>
    <x v="10"/>
    <x v="0"/>
    <x v="0"/>
  </r>
  <r>
    <x v="5"/>
    <d v="2026-02-02T00:00:00"/>
    <d v="2026-02-02T00:00:00"/>
    <m/>
    <n v="55.31"/>
    <s v="Buga2000sl santa ponza es"/>
    <x v="1"/>
    <x v="0"/>
    <x v="0"/>
  </r>
  <r>
    <x v="5"/>
    <d v="2026-02-02T00:00:00"/>
    <d v="2026-02-02T00:00:00"/>
    <m/>
    <n v="501.78"/>
    <s v="Transferencia realizada"/>
    <x v="37"/>
    <x v="0"/>
    <x v="0"/>
  </r>
  <r>
    <x v="5"/>
    <d v="2026-02-02T00:00:00"/>
    <d v="2026-02-02T00:00:00"/>
    <m/>
    <n v="500"/>
    <s v="Transferencia realizada"/>
    <x v="37"/>
    <x v="0"/>
    <x v="0"/>
  </r>
  <r>
    <x v="6"/>
    <d v="2026-01-29T00:00:00"/>
    <d v="2026-01-29T00:00:00"/>
    <m/>
    <n v="15"/>
    <s v="Adeudo digi spain telecom sa"/>
    <x v="15"/>
    <x v="0"/>
    <x v="0"/>
  </r>
  <r>
    <x v="6"/>
    <d v="2026-01-29T00:00:00"/>
    <d v="2026-01-29T00:00:00"/>
    <m/>
    <n v="30.189999999999998"/>
    <s v="Adeudo digi spain telecom sa"/>
    <x v="16"/>
    <x v="0"/>
    <x v="0"/>
  </r>
  <r>
    <x v="6"/>
    <d v="2026-01-28T00:00:00"/>
    <d v="2026-01-28T00:00:00"/>
    <m/>
    <n v="54"/>
    <s v="Viding illes calvia"/>
    <x v="12"/>
    <x v="0"/>
    <x v="0"/>
  </r>
  <r>
    <x v="6"/>
    <d v="2026-01-27T00:00:00"/>
    <d v="2026-01-27T00:00:00"/>
    <m/>
    <n v="99"/>
    <s v="Laser debora"/>
    <x v="30"/>
    <x v="0"/>
    <x v="0"/>
  </r>
  <r>
    <x v="6"/>
    <d v="2026-01-27T00:00:00"/>
    <d v="2026-01-27T00:00:00"/>
    <m/>
    <n v="4.1500000000000004"/>
    <s v="Parking comte sallent emv"/>
    <x v="11"/>
    <x v="0"/>
    <x v="0"/>
  </r>
  <r>
    <x v="6"/>
    <d v="2026-01-27T00:00:00"/>
    <d v="2026-01-27T00:00:00"/>
    <m/>
    <n v="1.8"/>
    <s v="Bon cafe"/>
    <x v="17"/>
    <x v="0"/>
    <x v="0"/>
  </r>
  <r>
    <x v="6"/>
    <d v="2026-01-27T00:00:00"/>
    <d v="2026-01-27T00:00:00"/>
    <m/>
    <n v="40.01"/>
    <s v="Buga2000sl santa ponza es"/>
    <x v="1"/>
    <x v="0"/>
    <x v="0"/>
  </r>
  <r>
    <x v="6"/>
    <d v="2026-01-24T00:00:00"/>
    <d v="2026-01-26T00:00:00"/>
    <m/>
    <n v="2.2000000000000002"/>
    <s v="Didi"/>
    <x v="8"/>
    <x v="0"/>
    <x v="0"/>
  </r>
  <r>
    <x v="6"/>
    <d v="2026-01-26T00:00:00"/>
    <d v="2026-01-26T00:00:00"/>
    <m/>
    <n v="1.2"/>
    <s v="Smap via roma"/>
    <x v="11"/>
    <x v="0"/>
    <x v="0"/>
  </r>
  <r>
    <x v="6"/>
    <d v="2026-01-23T00:00:00"/>
    <d v="2026-01-23T00:00:00"/>
    <m/>
    <n v="29"/>
    <s v="Carniceria can rivas"/>
    <x v="8"/>
    <x v="0"/>
    <x v="0"/>
  </r>
  <r>
    <x v="6"/>
    <d v="2026-01-20T00:00:00"/>
    <d v="2026-01-22T00:00:00"/>
    <m/>
    <n v="3.5"/>
    <s v="Pam local"/>
    <x v="8"/>
    <x v="0"/>
    <x v="0"/>
  </r>
  <r>
    <x v="6"/>
    <d v="2026-01-22T00:00:00"/>
    <d v="2026-01-22T00:00:00"/>
    <m/>
    <n v="3.3"/>
    <s v="Parking palmacenter"/>
    <x v="11"/>
    <x v="0"/>
    <x v="0"/>
  </r>
  <r>
    <x v="6"/>
    <d v="2026-01-22T00:00:00"/>
    <d v="2026-01-22T00:00:00"/>
    <m/>
    <n v="3.9"/>
    <s v="Tangopan pasteleria"/>
    <x v="17"/>
    <x v="0"/>
    <x v="0"/>
  </r>
  <r>
    <x v="6"/>
    <d v="2026-01-21T00:00:00"/>
    <d v="2026-01-21T00:00:00"/>
    <m/>
    <n v="210"/>
    <s v="Peluqueria yavara"/>
    <x v="2"/>
    <x v="0"/>
    <x v="0"/>
  </r>
  <r>
    <x v="6"/>
    <d v="2026-01-19T00:00:00"/>
    <d v="2026-01-19T00:00:00"/>
    <m/>
    <n v="10.3"/>
    <s v="236 minit spain cc porto"/>
    <x v="21"/>
    <x v="0"/>
    <x v="0"/>
  </r>
  <r>
    <x v="6"/>
    <d v="2026-01-17T00:00:00"/>
    <d v="2026-01-19T00:00:00"/>
    <m/>
    <n v="50.89"/>
    <s v="Autonet baleares alella es"/>
    <x v="1"/>
    <x v="0"/>
    <x v="0"/>
  </r>
  <r>
    <x v="6"/>
    <d v="2026-01-16T00:00:00"/>
    <d v="2026-01-16T00:00:00"/>
    <n v="4000"/>
    <m/>
    <s v="Transferencia recibida"/>
    <x v="9"/>
    <x v="0"/>
    <x v="0"/>
  </r>
  <r>
    <x v="6"/>
    <d v="2026-01-13T00:00:00"/>
    <d v="2026-01-15T00:00:00"/>
    <m/>
    <n v="5"/>
    <s v="Rte. son bugadellas santa ponsa es"/>
    <x v="17"/>
    <x v="0"/>
    <x v="0"/>
  </r>
  <r>
    <x v="6"/>
    <d v="2026-01-15T00:00:00"/>
    <d v="2026-01-15T00:00:00"/>
    <m/>
    <n v="2395.8000000000002"/>
    <s v="Transferencia realizada"/>
    <x v="36"/>
    <x v="0"/>
    <x v="0"/>
  </r>
  <r>
    <x v="6"/>
    <d v="2026-01-15T00:00:00"/>
    <d v="2026-01-15T00:00:00"/>
    <m/>
    <n v="52.15"/>
    <s v="Adeudo sociedad general de aguas de barcelona"/>
    <x v="7"/>
    <x v="0"/>
    <x v="0"/>
  </r>
  <r>
    <x v="6"/>
    <d v="2026-01-14T00:00:00"/>
    <d v="2026-01-14T00:00:00"/>
    <m/>
    <n v="14.55"/>
    <s v="Pluto"/>
    <x v="17"/>
    <x v="0"/>
    <x v="0"/>
  </r>
  <r>
    <x v="6"/>
    <d v="2026-01-12T00:00:00"/>
    <d v="2026-01-12T00:00:00"/>
    <m/>
    <n v="6.1"/>
    <s v="Pastisseria son ferriol"/>
    <x v="17"/>
    <x v="0"/>
    <x v="0"/>
  </r>
  <r>
    <x v="6"/>
    <d v="2026-01-11T00:00:00"/>
    <d v="2026-01-12T00:00:00"/>
    <m/>
    <n v="8.1999999999999993"/>
    <s v="My true burger and vegan"/>
    <x v="17"/>
    <x v="0"/>
    <x v="0"/>
  </r>
  <r>
    <x v="6"/>
    <d v="2026-01-10T00:00:00"/>
    <d v="2026-01-12T00:00:00"/>
    <m/>
    <n v="4.4000000000000004"/>
    <s v="Panaderia matias santa ponsa es"/>
    <x v="17"/>
    <x v="0"/>
    <x v="0"/>
  </r>
  <r>
    <x v="6"/>
    <d v="2026-01-09T00:00:00"/>
    <d v="2026-01-09T00:00:00"/>
    <m/>
    <n v="0.7"/>
    <s v="Smap via roma palma es"/>
    <x v="11"/>
    <x v="0"/>
    <x v="0"/>
  </r>
  <r>
    <x v="6"/>
    <d v="2026-01-09T00:00:00"/>
    <d v="2026-01-09T00:00:00"/>
    <m/>
    <n v="60.2"/>
    <s v="Buga2000sl santa ponza es"/>
    <x v="1"/>
    <x v="0"/>
    <x v="0"/>
  </r>
  <r>
    <x v="6"/>
    <d v="2026-01-09T00:00:00"/>
    <d v="2026-01-09T00:00:00"/>
    <m/>
    <n v="8.1999999999999993"/>
    <s v="My true burger and vegan palma de malles"/>
    <x v="17"/>
    <x v="0"/>
    <x v="0"/>
  </r>
  <r>
    <x v="6"/>
    <d v="2026-01-06T00:00:00"/>
    <d v="2026-01-07T00:00:00"/>
    <m/>
    <n v="7.98"/>
    <s v="Centro hogar santa ponsa"/>
    <x v="24"/>
    <x v="0"/>
    <x v="0"/>
  </r>
  <r>
    <x v="6"/>
    <d v="2026-01-06T00:00:00"/>
    <d v="2026-01-07T00:00:00"/>
    <m/>
    <n v="2.2000000000000002"/>
    <s v="Panaderia matias santa ponsa es"/>
    <x v="17"/>
    <x v="0"/>
    <x v="0"/>
  </r>
  <r>
    <x v="6"/>
    <d v="2026-01-05T00:00:00"/>
    <d v="2026-01-05T00:00:00"/>
    <m/>
    <n v="663.75"/>
    <s v="Adeudo de asisa"/>
    <x v="13"/>
    <x v="0"/>
    <x v="0"/>
  </r>
  <r>
    <x v="6"/>
    <d v="2026-01-04T00:00:00"/>
    <d v="2026-01-05T00:00:00"/>
    <m/>
    <n v="5.41"/>
    <s v="Carniceria can rivas"/>
    <x v="8"/>
    <x v="0"/>
    <x v="0"/>
  </r>
  <r>
    <x v="6"/>
    <d v="2026-01-03T00:00:00"/>
    <d v="2026-01-05T00:00:00"/>
    <m/>
    <n v="6.05"/>
    <s v="Smap via roma"/>
    <x v="11"/>
    <x v="0"/>
    <x v="0"/>
  </r>
  <r>
    <x v="6"/>
    <d v="2026-01-02T00:00:00"/>
    <d v="2026-01-02T00:00:00"/>
    <m/>
    <n v="25.84"/>
    <s v="Carniceria can rivas el toro es"/>
    <x v="8"/>
    <x v="0"/>
    <x v="0"/>
  </r>
  <r>
    <x v="6"/>
    <d v="2026-01-02T00:00:00"/>
    <d v="2026-01-02T00:00:00"/>
    <m/>
    <n v="4.4000000000000004"/>
    <s v="Panaderia matias santa ponsa es"/>
    <x v="17"/>
    <x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d v="2026-04-25T13:13:07"/>
    <d v="2026-04-25T13:13:07"/>
    <n v="100"/>
    <m/>
    <s v="Stefano Gresleri"/>
    <x v="0"/>
    <x v="0"/>
  </r>
  <r>
    <x v="0"/>
    <d v="2026-04-25T13:13:07"/>
    <d v="2026-04-25T13:13:07"/>
    <m/>
    <n v="66.95"/>
    <s v="Vinted"/>
    <x v="1"/>
    <x v="0"/>
  </r>
  <r>
    <x v="1"/>
    <d v="2026-03-20T13:13:07"/>
    <d v="2026-03-20T13:13:07"/>
    <m/>
    <n v="89.1"/>
    <s v="Paylogic"/>
    <x v="2"/>
    <x v="0"/>
  </r>
  <r>
    <x v="1"/>
    <d v="2026-03-15T13:13:07"/>
    <d v="2026-03-15T13:13:07"/>
    <m/>
    <n v="2.42"/>
    <s v="Etisalat"/>
    <x v="3"/>
    <x v="0"/>
  </r>
  <r>
    <x v="2"/>
    <d v="2026-02-28T13:13:07"/>
    <d v="2026-02-28T13:13:07"/>
    <m/>
    <n v="14.9"/>
    <s v="McDonald's"/>
    <x v="4"/>
    <x v="0"/>
  </r>
  <r>
    <x v="2"/>
    <d v="2026-02-26T08:08:40"/>
    <d v="2026-02-26T08:08:40"/>
    <m/>
    <n v="2.4300000000000002"/>
    <s v="Mohammad Ishaq Car Park R"/>
    <x v="5"/>
    <x v="1"/>
  </r>
  <r>
    <x v="2"/>
    <d v="2026-02-26T07:53:53"/>
    <d v="2026-02-26T07:53:53"/>
    <m/>
    <n v="201.01"/>
    <s v="RTA"/>
    <x v="6"/>
    <x v="0"/>
  </r>
  <r>
    <x v="2"/>
    <d v="2026-02-25T12:02:55"/>
    <d v="2026-02-25T12:02:55"/>
    <m/>
    <n v="25.51"/>
    <s v="Agave Restaurant"/>
    <x v="7"/>
    <x v="1"/>
  </r>
  <r>
    <x v="2"/>
    <d v="2026-02-24T08:06:13"/>
    <d v="2026-02-24T08:06:13"/>
    <m/>
    <n v="0.23"/>
    <s v="Carrefour"/>
    <x v="7"/>
    <x v="1"/>
  </r>
  <r>
    <x v="2"/>
    <d v="2026-02-24T07:24:26"/>
    <d v="2026-02-24T07:24:26"/>
    <m/>
    <n v="6.96"/>
    <s v="Parkonic"/>
    <x v="5"/>
    <x v="1"/>
  </r>
  <r>
    <x v="2"/>
    <d v="2026-02-22T12:18:42"/>
    <d v="2026-02-22T12:18:42"/>
    <m/>
    <n v="18.5"/>
    <s v="Hala Pharmacy 22 1299"/>
    <x v="8"/>
    <x v="0"/>
  </r>
  <r>
    <x v="2"/>
    <d v="2026-02-17T09:05:31"/>
    <d v="2026-02-17T09:05:31"/>
    <m/>
    <n v="120.83"/>
    <s v="Contanti presso Dubai Airport"/>
    <x v="9"/>
    <x v="0"/>
  </r>
  <r>
    <x v="2"/>
    <d v="2026-02-12T09:05:31"/>
    <d v="2026-02-12T09:05:31"/>
    <m/>
    <n v="0.89"/>
    <s v="Lidl"/>
    <x v="4"/>
    <x v="0"/>
  </r>
  <r>
    <x v="2"/>
    <d v="2026-02-02T09:05:31"/>
    <d v="2026-02-03T10:12:39"/>
    <m/>
    <n v="119"/>
    <s v="Viding Illes Calvia"/>
    <x v="10"/>
    <x v="0"/>
  </r>
  <r>
    <x v="2"/>
    <d v="2026-02-01T20:34:12"/>
    <d v="2026-02-02T11:45:06"/>
    <m/>
    <n v="15.5"/>
    <s v="Vecchia Malga Negozi"/>
    <x v="4"/>
    <x v="0"/>
  </r>
  <r>
    <x v="2"/>
    <d v="2026-02-01T18:25:27"/>
    <d v="2026-02-02T10:43:41"/>
    <m/>
    <n v="10.5"/>
    <s v="Bar Arcobaleno"/>
    <x v="11"/>
    <x v="0"/>
  </r>
  <r>
    <x v="3"/>
    <d v="2026-01-31T10:10:56"/>
    <d v="2026-02-01T13:39:31"/>
    <m/>
    <n v="6.2"/>
    <s v="Antico Caffe' Murri"/>
    <x v="11"/>
    <x v="0"/>
  </r>
  <r>
    <x v="3"/>
    <d v="2026-01-30T10:38:19"/>
    <d v="2026-01-31T11:09:57"/>
    <m/>
    <n v="4.8"/>
    <s v="Antico Caffe' Murri"/>
    <x v="11"/>
    <x v="0"/>
  </r>
  <r>
    <x v="3"/>
    <d v="2026-01-27T11:22:06"/>
    <d v="2026-01-28T10:24:55"/>
    <m/>
    <n v="1.66"/>
    <s v="Pam Panorama"/>
    <x v="12"/>
    <x v="0"/>
  </r>
  <r>
    <x v="3"/>
    <d v="2026-01-27T09:10:41"/>
    <d v="2026-01-28T10:45:35"/>
    <m/>
    <n v="8.5"/>
    <s v="Bar Pasticceria Santo Stefano"/>
    <x v="11"/>
    <x v="0"/>
  </r>
  <r>
    <x v="3"/>
    <d v="2026-01-26T16:52:48"/>
    <d v="2026-01-27T12:25:49"/>
    <m/>
    <n v="17.32"/>
    <s v="Pam Panorama"/>
    <x v="12"/>
    <x v="0"/>
  </r>
  <r>
    <x v="3"/>
    <d v="2026-01-22T11:16:30"/>
    <d v="2026-01-23T13:44:21"/>
    <m/>
    <n v="6.5"/>
    <s v="Pam Panorama"/>
    <x v="12"/>
    <x v="0"/>
  </r>
  <r>
    <x v="3"/>
    <d v="2026-01-18T20:02:59"/>
    <d v="2026-01-19T11:56:42"/>
    <m/>
    <n v="3"/>
    <s v="Pam Panorama"/>
    <x v="12"/>
    <x v="0"/>
  </r>
  <r>
    <x v="3"/>
    <d v="2026-01-18T09:43:56"/>
    <d v="2026-01-19T12:12:08"/>
    <m/>
    <n v="16.850000000000001"/>
    <s v="Pam Panorama"/>
    <x v="12"/>
    <x v="0"/>
  </r>
  <r>
    <x v="3"/>
    <d v="2026-01-14T18:53:51"/>
    <d v="2026-01-15T12:01:52"/>
    <m/>
    <n v="4.5999999999999996"/>
    <s v="Cafeteria Nepenta"/>
    <x v="11"/>
    <x v="0"/>
  </r>
  <r>
    <x v="3"/>
    <d v="2026-01-05T10:08:46"/>
    <d v="2026-01-06T10:52:36"/>
    <m/>
    <n v="256.8"/>
    <s v="Viding Illes Calvia"/>
    <x v="10"/>
    <x v="0"/>
  </r>
  <r>
    <x v="3"/>
    <d v="2026-01-04T08:11:22"/>
    <d v="2026-01-05T12:10:44"/>
    <m/>
    <n v="4.4000000000000004"/>
    <s v="Panaderia Matias"/>
    <x v="11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">
  <r>
    <x v="0"/>
    <d v="2026-07-09T00:00:00"/>
    <m/>
    <n v="1.79"/>
    <s v="SPAR EL TORO 019910488  SON FERRER"/>
    <x v="0"/>
    <x v="0"/>
  </r>
  <r>
    <x v="0"/>
    <d v="2026-07-08T00:00:00"/>
    <m/>
    <n v="4"/>
    <s v="8094 CC LA VILA 3524283 SANT FRANCESC"/>
    <x v="1"/>
    <x v="0"/>
  </r>
  <r>
    <x v="0"/>
    <d v="2026-07-07T00:00:00"/>
    <m/>
    <n v="32.83"/>
    <s v="LIDL MALL-CALVI -MAGALU CAL CATALA"/>
    <x v="0"/>
    <x v="0"/>
  </r>
  <r>
    <x v="0"/>
    <d v="2026-07-07T00:00:00"/>
    <m/>
    <n v="72.97"/>
    <s v="PORTO PI                PALMA DE MAL"/>
    <x v="2"/>
    <x v="0"/>
  </r>
  <r>
    <x v="0"/>
    <d v="2026-07-06T00:00:00"/>
    <m/>
    <n v="10.559999999999999"/>
    <s v="MULLER SANTA PONSA      SANTA PONSA"/>
    <x v="0"/>
    <x v="0"/>
  </r>
  <r>
    <x v="0"/>
    <d v="2026-07-06T00:00:00"/>
    <m/>
    <n v="16.720000000000002"/>
    <s v="MULLER SANTA PONSA      SANTA PONSA"/>
    <x v="3"/>
    <x v="0"/>
  </r>
  <r>
    <x v="0"/>
    <d v="2026-07-06T00:00:00"/>
    <m/>
    <n v="9.98"/>
    <s v="WWW.AMAZON*CH0W967B5    AMZN.COM/BILL"/>
    <x v="1"/>
    <x v="0"/>
  </r>
  <r>
    <x v="0"/>
    <d v="2026-07-05T00:00:00"/>
    <m/>
    <n v="115.98"/>
    <s v="WWW.AMAZON*U93J92AO5    AMZN.COM/BILL"/>
    <x v="1"/>
    <x v="0"/>
  </r>
  <r>
    <x v="0"/>
    <d v="2026-07-04T00:00:00"/>
    <m/>
    <n v="88.4"/>
    <s v="RESTAURANTE LA PIAZZETT PORT DANDRAT"/>
    <x v="4"/>
    <x v="0"/>
  </r>
  <r>
    <x v="0"/>
    <d v="2026-07-03T00:00:00"/>
    <m/>
    <n v="7.4"/>
    <s v="PIZZERIA LA OCA 0364895 CAL CATALA"/>
    <x v="5"/>
    <x v="0"/>
  </r>
  <r>
    <x v="0"/>
    <d v="2026-07-02T00:00:00"/>
    <m/>
    <n v="1.69"/>
    <s v="ALDI CALVIA CC LA VILA  CALA VINYES"/>
    <x v="0"/>
    <x v="0"/>
  </r>
  <r>
    <x v="0"/>
    <d v="2026-07-02T00:00:00"/>
    <m/>
    <n v="42.97"/>
    <s v="ALDI CALVIA CC LA VILA  CALA VINYES"/>
    <x v="0"/>
    <x v="0"/>
  </r>
  <r>
    <x v="0"/>
    <d v="2026-07-02T00:00:00"/>
    <m/>
    <n v="19.079999999999998"/>
    <s v="SPAR EL TORO 019910488  SON FERRER"/>
    <x v="0"/>
    <x v="0"/>
  </r>
  <r>
    <x v="0"/>
    <d v="2026-07-02T00:00:00"/>
    <n v="25.99"/>
    <m/>
    <s v="WWW.AMAZON              AMZN.COM/BILL"/>
    <x v="6"/>
    <x v="0"/>
  </r>
  <r>
    <x v="0"/>
    <d v="2026-07-02T00:00:00"/>
    <m/>
    <n v="25.57"/>
    <s v="WWW.AMAZON*I36SF0T45    AMZN.COM/BILL"/>
    <x v="6"/>
    <x v="0"/>
  </r>
  <r>
    <x v="0"/>
    <d v="2026-07-01T00:00:00"/>
    <m/>
    <n v="96"/>
    <s v="UNAVETS CORP. 354757817 SANTA PONSA"/>
    <x v="6"/>
    <x v="0"/>
  </r>
  <r>
    <x v="1"/>
    <d v="2026-06-30T00:00:00"/>
    <m/>
    <n v="27.99"/>
    <s v="WWW.AMAZON*QD6OY2D55    AMZN.COM/BILL"/>
    <x v="6"/>
    <x v="0"/>
  </r>
  <r>
    <x v="1"/>
    <d v="2026-06-30T00:00:00"/>
    <m/>
    <n v="7.9"/>
    <s v="WWW.JOENGLISH.COM       SOUTH MOLTON"/>
    <x v="7"/>
    <x v="0"/>
  </r>
  <r>
    <x v="1"/>
    <d v="2026-06-29T00:00:00"/>
    <m/>
    <n v="31.27"/>
    <s v="ALDI CALVIA CC LA VILA  CALA VINYES"/>
    <x v="4"/>
    <x v="0"/>
  </r>
  <r>
    <x v="1"/>
    <d v="2026-06-29T00:00:00"/>
    <m/>
    <n v="15.99"/>
    <s v="MULLER SANTA PONSA      SANTA PONSA"/>
    <x v="8"/>
    <x v="0"/>
  </r>
  <r>
    <x v="1"/>
    <d v="2026-06-29T00:00:00"/>
    <m/>
    <n v="12.19"/>
    <s v="Namirial SENIGALLIA     Senigallia"/>
    <x v="9"/>
    <x v="0"/>
  </r>
  <r>
    <x v="1"/>
    <d v="2026-06-29T00:00:00"/>
    <m/>
    <n v="8.0399999999999991"/>
    <s v="WWW.AMAZON*RE8B111L5    AMZN.COM/BILL"/>
    <x v="10"/>
    <x v="0"/>
  </r>
  <r>
    <x v="1"/>
    <d v="2026-06-29T00:00:00"/>
    <m/>
    <n v="25.99"/>
    <s v="WWW.AMAZON*XE3YD37Q5    AMZN.COM/BILL"/>
    <x v="6"/>
    <x v="0"/>
  </r>
  <r>
    <x v="1"/>
    <d v="2026-06-28T00:00:00"/>
    <m/>
    <n v="15.6"/>
    <s v="BAR PETIT 367296399     SANT ELM"/>
    <x v="5"/>
    <x v="0"/>
  </r>
  <r>
    <x v="1"/>
    <d v="2026-06-28T00:00:00"/>
    <m/>
    <n v="10.6"/>
    <s v="SPAR EL TORO 019910488  SON FERRER"/>
    <x v="0"/>
    <x v="0"/>
  </r>
  <r>
    <x v="1"/>
    <d v="2026-06-28T00:00:00"/>
    <m/>
    <n v="11.75"/>
    <s v="SPAR EL TORO 019910488  SON FERRER"/>
    <x v="0"/>
    <x v="0"/>
  </r>
  <r>
    <x v="1"/>
    <d v="2026-06-27T00:00:00"/>
    <m/>
    <n v="2"/>
    <s v="IMPOSTA DI BOLLO"/>
    <x v="11"/>
    <x v="0"/>
  </r>
  <r>
    <x v="1"/>
    <d v="2026-06-27T00:00:00"/>
    <m/>
    <n v="55.55"/>
    <s v="MARISQUERIA LA GALLEGA  PORT D'ANDRATX"/>
    <x v="4"/>
    <x v="0"/>
  </r>
  <r>
    <x v="1"/>
    <d v="2026-06-27T00:00:00"/>
    <m/>
    <n v="142.24"/>
    <s v="RYANAIR LTD AIRLINE     DUBLIN"/>
    <x v="12"/>
    <x v="0"/>
  </r>
  <r>
    <x v="1"/>
    <d v="2026-06-25T00:00:00"/>
    <m/>
    <n v="3.89"/>
    <s v="SPAR EL TORO 019910488  SON FERRER"/>
    <x v="0"/>
    <x v="0"/>
  </r>
  <r>
    <x v="1"/>
    <d v="2026-06-24T00:00:00"/>
    <m/>
    <n v="40.31"/>
    <s v="ALDI CALVIA CC LA VILA  CALA VINYES"/>
    <x v="0"/>
    <x v="0"/>
  </r>
  <r>
    <x v="1"/>
    <d v="2026-06-24T00:00:00"/>
    <m/>
    <n v="10.35"/>
    <s v="LIDL MALL-CALVI -MAGALU CAL CATALA"/>
    <x v="0"/>
    <x v="0"/>
  </r>
  <r>
    <x v="1"/>
    <d v="2026-06-24T00:00:00"/>
    <m/>
    <n v="84.5"/>
    <s v="PAGOPA                  MILANO"/>
    <x v="13"/>
    <x v="0"/>
  </r>
  <r>
    <x v="1"/>
    <d v="2026-06-24T00:00:00"/>
    <m/>
    <n v="8.93"/>
    <s v="SPAR EL TORO 019910488  SON FERRER"/>
    <x v="0"/>
    <x v="0"/>
  </r>
  <r>
    <x v="1"/>
    <d v="2026-06-23T00:00:00"/>
    <m/>
    <n v="15.07"/>
    <s v="AGROMART SANTA PONCA 34 SANTA PONSA"/>
    <x v="0"/>
    <x v="0"/>
  </r>
  <r>
    <x v="1"/>
    <d v="2026-06-23T00:00:00"/>
    <m/>
    <n v="2.99"/>
    <s v="APPLE.COM/BILL          HOLLYHILL"/>
    <x v="9"/>
    <x v="0"/>
  </r>
  <r>
    <x v="1"/>
    <d v="2026-06-23T00:00:00"/>
    <m/>
    <n v="19.989999999999998"/>
    <s v="BERSHKA AMEX 357052422  PALMA DE MALL"/>
    <x v="2"/>
    <x v="0"/>
  </r>
  <r>
    <x v="1"/>
    <d v="2026-06-23T00:00:00"/>
    <m/>
    <n v="9.99"/>
    <s v="KINDLE SVCS*EO1ZB4XG5   349-11230420"/>
    <x v="8"/>
    <x v="0"/>
  </r>
  <r>
    <x v="1"/>
    <d v="2026-06-23T00:00:00"/>
    <m/>
    <n v="5.98"/>
    <s v="MULLER SANTA PONSA      SANTA PONSA"/>
    <x v="14"/>
    <x v="0"/>
  </r>
  <r>
    <x v="1"/>
    <d v="2026-06-23T00:00:00"/>
    <m/>
    <n v="4.18"/>
    <s v="MULLER SANTA PONSA      SANTA PONSA"/>
    <x v="0"/>
    <x v="0"/>
  </r>
  <r>
    <x v="1"/>
    <d v="2026-06-23T00:00:00"/>
    <m/>
    <n v="83.56"/>
    <s v="UNAVETS CORP. 354757817 SANTA PONSA"/>
    <x v="6"/>
    <x v="0"/>
  </r>
  <r>
    <x v="1"/>
    <d v="2026-06-21T00:00:00"/>
    <m/>
    <n v="6.66"/>
    <s v="SPAR EL TORO 019910488  SON FERRER"/>
    <x v="0"/>
    <x v="0"/>
  </r>
  <r>
    <x v="1"/>
    <d v="2026-06-21T00:00:00"/>
    <m/>
    <n v="70.31"/>
    <s v="SM.NORD* PRODUCT LONDON"/>
    <x v="9"/>
    <x v="0"/>
  </r>
  <r>
    <x v="1"/>
    <d v="2026-06-20T00:00:00"/>
    <m/>
    <n v="78.12"/>
    <s v="ALDI CALVIA CC LA VILA CALA VINYES"/>
    <x v="0"/>
    <x v="0"/>
  </r>
  <r>
    <x v="1"/>
    <d v="2026-06-20T00:00:00"/>
    <m/>
    <n v="4.6900000000000004"/>
    <s v="EROSKI CITY SON FERRER CALVIA"/>
    <x v="0"/>
    <x v="0"/>
  </r>
  <r>
    <x v="1"/>
    <d v="2026-06-20T00:00:00"/>
    <m/>
    <n v="65.900000000000006"/>
    <s v="IL TANO STA PONSA 09410 SANTA PONSA"/>
    <x v="4"/>
    <x v="0"/>
  </r>
  <r>
    <x v="1"/>
    <d v="2026-06-20T00:00:00"/>
    <m/>
    <n v="10.87"/>
    <s v="LIDL MALL-CALVI -MAGALU CAL CATALA"/>
    <x v="0"/>
    <x v="0"/>
  </r>
  <r>
    <x v="1"/>
    <d v="2026-06-19T00:00:00"/>
    <m/>
    <n v="17.7"/>
    <s v="PIZZERIA LA OCA 0364895 CAL CATALA"/>
    <x v="0"/>
    <x v="0"/>
  </r>
  <r>
    <x v="1"/>
    <d v="2026-06-19T00:00:00"/>
    <m/>
    <n v="24.42"/>
    <s v="SPAR EL TORO 019910488 SON FERRER"/>
    <x v="0"/>
    <x v="0"/>
  </r>
  <r>
    <x v="1"/>
    <d v="2026-06-19T00:00:00"/>
    <m/>
    <n v="2.89"/>
    <s v="PAYPAL *DISCOVERY HELP. 207138900"/>
    <x v="15"/>
    <x v="0"/>
  </r>
  <r>
    <x v="1"/>
    <d v="2026-06-18T00:00:00"/>
    <m/>
    <n v="231"/>
    <s v="ES RAOR 352721591 ANDRATX"/>
    <x v="4"/>
    <x v="0"/>
  </r>
  <r>
    <x v="1"/>
    <d v="2026-06-17T00:00:00"/>
    <m/>
    <n v="7.95"/>
    <s v="DIDI 352547210 SANTA PONSA"/>
    <x v="6"/>
    <x v="0"/>
  </r>
  <r>
    <x v="1"/>
    <d v="2026-06-17T00:00:00"/>
    <m/>
    <n v="14.98"/>
    <s v="MULLER SANTA PONSA SANTA PONSA"/>
    <x v="14"/>
    <x v="0"/>
  </r>
  <r>
    <x v="1"/>
    <d v="2026-06-17T00:00:00"/>
    <m/>
    <n v="19.989999999999998"/>
    <s v="WWW.AMAZON*2T4HL6U35 AMZN.COM/BILL"/>
    <x v="6"/>
    <x v="0"/>
  </r>
  <r>
    <x v="1"/>
    <d v="2026-06-15T00:00:00"/>
    <m/>
    <n v="53.39"/>
    <s v="ALDI CALVIA CC LA VILA CALA VINYES"/>
    <x v="0"/>
    <x v="0"/>
  </r>
  <r>
    <x v="1"/>
    <d v="2026-06-15T00:00:00"/>
    <m/>
    <n v="28.88"/>
    <s v="LIDL MALL-CALVI -MAGALU CAL CATALA"/>
    <x v="0"/>
    <x v="0"/>
  </r>
  <r>
    <x v="1"/>
    <d v="2026-06-15T00:00:00"/>
    <m/>
    <n v="3.95"/>
    <s v="SPAR EL TORO 019910488 SON FERRER"/>
    <x v="0"/>
    <x v="0"/>
  </r>
  <r>
    <x v="1"/>
    <d v="2026-06-15T00:00:00"/>
    <m/>
    <n v="2.44"/>
    <s v="UPS_IT ITALY"/>
    <x v="16"/>
    <x v="0"/>
  </r>
  <r>
    <x v="1"/>
    <d v="2026-06-13T00:00:00"/>
    <m/>
    <n v="6.4"/>
    <s v="BAR CENTRAL 349345686 PALMA DE MALL"/>
    <x v="5"/>
    <x v="0"/>
  </r>
  <r>
    <x v="1"/>
    <d v="2026-06-13T00:00:00"/>
    <m/>
    <n v="65"/>
    <s v="EL CORTE INGLES 0634493 PALMA DE MALL"/>
    <x v="17"/>
    <x v="0"/>
  </r>
  <r>
    <x v="1"/>
    <d v="2026-06-12T00:00:00"/>
    <m/>
    <n v="22.22"/>
    <s v="CECOSA SUPERMERCADOS 01 PALMA DE MALL"/>
    <x v="0"/>
    <x v="0"/>
  </r>
  <r>
    <x v="1"/>
    <d v="2026-06-12T00:00:00"/>
    <m/>
    <n v="431.55"/>
    <s v="ETIHAD AIRWAYS MADRID MADRID"/>
    <x v="1"/>
    <x v="0"/>
  </r>
  <r>
    <x v="1"/>
    <d v="2026-06-12T00:00:00"/>
    <m/>
    <n v="6.99"/>
    <s v="NETFLIX.COM 519370 RM"/>
    <x v="15"/>
    <x v="0"/>
  </r>
  <r>
    <x v="1"/>
    <d v="2026-06-12T00:00:00"/>
    <m/>
    <n v="58.4"/>
    <s v="PIZZERIA LA OCA 0364895 CAL CATALA"/>
    <x v="4"/>
    <x v="0"/>
  </r>
  <r>
    <x v="1"/>
    <d v="2026-06-11T00:00:00"/>
    <m/>
    <n v="7.08"/>
    <s v="MULLER SANTA PONSA SANTA PONSA"/>
    <x v="0"/>
    <x v="0"/>
  </r>
  <r>
    <x v="1"/>
    <d v="2026-06-11T00:00:00"/>
    <m/>
    <n v="30.17"/>
    <s v="MULLER SANTA PONSA SANTA PONSA"/>
    <x v="14"/>
    <x v="0"/>
  </r>
  <r>
    <x v="1"/>
    <d v="2026-06-11T00:00:00"/>
    <m/>
    <n v="18.84"/>
    <s v="SPAR EL TORO 019910488 SON FERRER"/>
    <x v="0"/>
    <x v="0"/>
  </r>
  <r>
    <x v="1"/>
    <d v="2026-06-11T00:00:00"/>
    <m/>
    <n v="33.28"/>
    <s v="WWW.AMAZON*NL4D60UE4 AMZN.COM/BILL"/>
    <x v="18"/>
    <x v="0"/>
  </r>
  <r>
    <x v="1"/>
    <d v="2026-06-10T00:00:00"/>
    <m/>
    <n v="3447.45"/>
    <s v="AIRBNB * HMP84JA3WM LONDON"/>
    <x v="19"/>
    <x v="0"/>
  </r>
  <r>
    <x v="1"/>
    <d v="2026-06-09T00:00:00"/>
    <m/>
    <n v="65.19"/>
    <s v="ALDI CALVIA CC LA VILA CALA VINYES"/>
    <x v="0"/>
    <x v="0"/>
  </r>
  <r>
    <x v="1"/>
    <d v="2026-06-08T00:00:00"/>
    <m/>
    <n v="39.869999999999997"/>
    <s v="WWW.AMAZON*NL2H84PK4 AMZN.COM/BILL"/>
    <x v="20"/>
    <x v="0"/>
  </r>
  <r>
    <x v="1"/>
    <d v="2026-06-07T00:00:00"/>
    <m/>
    <n v="535.86"/>
    <s v="ETIHAD AIRWAYS CEUTA CEUTA"/>
    <x v="1"/>
    <x v="0"/>
  </r>
  <r>
    <x v="1"/>
    <d v="2026-06-07T00:00:00"/>
    <m/>
    <n v="535.86"/>
    <s v="ETIHAD AIRWAYS CEUTA CEUTA"/>
    <x v="1"/>
    <x v="0"/>
  </r>
  <r>
    <x v="1"/>
    <d v="2026-06-07T00:00:00"/>
    <m/>
    <n v="535.86"/>
    <s v="ETIHAD AIRWAYS CEUTA CEUTA"/>
    <x v="1"/>
    <x v="0"/>
  </r>
  <r>
    <x v="1"/>
    <d v="2026-06-05T00:00:00"/>
    <m/>
    <n v="10.65"/>
    <s v="ALDI CALVIA CC LA VILA CALA VINYES"/>
    <x v="0"/>
    <x v="0"/>
  </r>
  <r>
    <x v="1"/>
    <d v="2026-06-05T00:00:00"/>
    <m/>
    <n v="8.4700000000000006"/>
    <s v="CECOSA SUPERMERCADOS 01 SANTA PONSA"/>
    <x v="0"/>
    <x v="0"/>
  </r>
  <r>
    <x v="1"/>
    <d v="2026-06-05T00:00:00"/>
    <m/>
    <n v="6.99"/>
    <s v="DISNEY PLUS HOOFDDORP"/>
    <x v="15"/>
    <x v="0"/>
  </r>
  <r>
    <x v="1"/>
    <d v="2026-06-04T00:00:00"/>
    <m/>
    <n v="15.8"/>
    <s v="SPAR EL TORO 019910488 SON FERRER"/>
    <x v="0"/>
    <x v="0"/>
  </r>
  <r>
    <x v="1"/>
    <d v="2026-06-03T00:00:00"/>
    <m/>
    <n v="29.03"/>
    <s v="AGROMART SANTA PONCA 34 SANTA PONSA"/>
    <x v="0"/>
    <x v="0"/>
  </r>
  <r>
    <x v="1"/>
    <d v="2026-06-03T00:00:00"/>
    <m/>
    <n v="9.99"/>
    <s v="APPLE.COM/BILL HOLLYHILL"/>
    <x v="9"/>
    <x v="0"/>
  </r>
  <r>
    <x v="1"/>
    <d v="2026-06-02T00:00:00"/>
    <m/>
    <n v="35.090000000000003"/>
    <s v="FARMACIA MARGALIDA COMA PALMA DE MALL"/>
    <x v="6"/>
    <x v="0"/>
  </r>
  <r>
    <x v="1"/>
    <d v="2026-06-02T00:00:00"/>
    <m/>
    <n v="8.9700000000000006"/>
    <s v="MULLER SANTA PONSA SANTA PONSA"/>
    <x v="0"/>
    <x v="0"/>
  </r>
  <r>
    <x v="1"/>
    <d v="2026-06-02T00:00:00"/>
    <m/>
    <n v="11.97"/>
    <s v="MULLER SANTA PONSA SANTA PONSA"/>
    <x v="14"/>
    <x v="0"/>
  </r>
  <r>
    <x v="1"/>
    <d v="2026-06-02T00:00:00"/>
    <m/>
    <n v="31.6"/>
    <s v="UNAVETS CORP. 354757817 SANTA PONSA"/>
    <x v="6"/>
    <x v="0"/>
  </r>
  <r>
    <x v="1"/>
    <d v="2026-06-01T00:00:00"/>
    <m/>
    <n v="56.77"/>
    <s v="ALDI CALVIA CC LA VILA CALA VINYES"/>
    <x v="0"/>
    <x v="0"/>
  </r>
  <r>
    <x v="1"/>
    <d v="2026-06-01T00:00:00"/>
    <m/>
    <n v="9.99"/>
    <s v="KINDLE SVCS*N39CX1C24 349-11230420"/>
    <x v="8"/>
    <x v="0"/>
  </r>
  <r>
    <x v="1"/>
    <d v="2026-06-01T00:00:00"/>
    <m/>
    <n v="4.3499999999999996"/>
    <s v="LIDL MALL-CALVI -MAGALU CAL CATALA"/>
    <x v="0"/>
    <x v="0"/>
  </r>
  <r>
    <x v="1"/>
    <d v="2026-06-01T00:00:00"/>
    <m/>
    <n v="25.41"/>
    <s v="LIDL MALL-CALVI -MAGALU CAL CATALA"/>
    <x v="0"/>
    <x v="0"/>
  </r>
  <r>
    <x v="2"/>
    <d v="2026-05-31T00:00:00"/>
    <m/>
    <n v="16.690000000000001"/>
    <s v="SPAR EL TORO 019910488 SON FERRER"/>
    <x v="0"/>
    <x v="0"/>
  </r>
  <r>
    <x v="2"/>
    <d v="2026-05-30T00:00:00"/>
    <m/>
    <n v="15.82"/>
    <s v="CECOSA SUPERMERCADOS 01 SANTA PONSA"/>
    <x v="0"/>
    <x v="0"/>
  </r>
  <r>
    <x v="2"/>
    <d v="2026-05-30T00:00:00"/>
    <m/>
    <n v="13.99"/>
    <s v="MULLER SANTA PONSA SANTA PONSA"/>
    <x v="14"/>
    <x v="0"/>
  </r>
  <r>
    <x v="2"/>
    <d v="2026-05-30T00:00:00"/>
    <m/>
    <n v="4.6900000000000004"/>
    <s v="MULLER SANTA PONSA SANTA PONSA"/>
    <x v="3"/>
    <x v="0"/>
  </r>
  <r>
    <x v="2"/>
    <d v="2026-05-30T00:00:00"/>
    <m/>
    <n v="33.42"/>
    <s v="MULLER SANTA PONSA SANTA PONSA"/>
    <x v="0"/>
    <x v="0"/>
  </r>
  <r>
    <x v="2"/>
    <d v="2026-05-30T00:00:00"/>
    <m/>
    <n v="42"/>
    <s v="RIGIRO 354082273 PALMA DE MALL"/>
    <x v="4"/>
    <x v="0"/>
  </r>
  <r>
    <x v="2"/>
    <d v="2026-05-30T00:00:00"/>
    <m/>
    <n v="7.9"/>
    <s v="WWW.JOENGLISH.COM SOUTH MOLTON"/>
    <x v="7"/>
    <x v="0"/>
  </r>
  <r>
    <x v="2"/>
    <d v="2026-05-28T00:00:00"/>
    <m/>
    <n v="14.9"/>
    <s v="WWW.AMAZON*NQ41Y3XP4 AMZN.COM/BILL"/>
    <x v="18"/>
    <x v="0"/>
  </r>
  <r>
    <x v="2"/>
    <d v="2026-05-27T00:00:00"/>
    <m/>
    <n v="12.780000000000001"/>
    <s v="MULLER SANTA PONSA SANTA PONSA"/>
    <x v="14"/>
    <x v="0"/>
  </r>
  <r>
    <x v="2"/>
    <d v="2026-05-27T00:00:00"/>
    <m/>
    <n v="4.59"/>
    <s v="MULLER SANTA PONSA SANTA PONSA"/>
    <x v="0"/>
    <x v="0"/>
  </r>
  <r>
    <x v="2"/>
    <d v="2026-05-27T00:00:00"/>
    <m/>
    <n v="2.4899999999999984"/>
    <s v="MULLER SANTA PONSA SANTA PONSA"/>
    <x v="3"/>
    <x v="0"/>
  </r>
  <r>
    <x v="2"/>
    <d v="2026-05-27T00:00:00"/>
    <m/>
    <n v="8.94"/>
    <s v="SPAR EL TORO 019910488 SON FERRER"/>
    <x v="0"/>
    <x v="0"/>
  </r>
  <r>
    <x v="2"/>
    <d v="2026-05-27T00:00:00"/>
    <m/>
    <n v="2"/>
    <s v="IMPOSTA DI BOLLO"/>
    <x v="11"/>
    <x v="0"/>
  </r>
  <r>
    <x v="2"/>
    <d v="2026-05-26T00:00:00"/>
    <m/>
    <n v="26.24"/>
    <s v="ALDI CALVIA CC LA VILA CALA VINYES"/>
    <x v="0"/>
    <x v="0"/>
  </r>
  <r>
    <x v="2"/>
    <d v="2026-05-26T00:00:00"/>
    <m/>
    <n v="45.29"/>
    <s v="ALDI CALVIA CC LA VILA CALA VINYES"/>
    <x v="0"/>
    <x v="0"/>
  </r>
  <r>
    <x v="2"/>
    <d v="2026-05-25T00:00:00"/>
    <m/>
    <n v="27"/>
    <s v="CARREFOUR PORTO MAG-010 PALMA DE MALLOR"/>
    <x v="0"/>
    <x v="0"/>
  </r>
  <r>
    <x v="2"/>
    <d v="2026-05-25T00:00:00"/>
    <m/>
    <n v="5.24"/>
    <s v="CECOSA SUPERMERCADOS 01 SANTA PONSA"/>
    <x v="0"/>
    <x v="0"/>
  </r>
  <r>
    <x v="2"/>
    <d v="2026-05-23T00:00:00"/>
    <m/>
    <n v="2.99"/>
    <s v="APPLE.COM/BILL HOLLYHILL"/>
    <x v="9"/>
    <x v="0"/>
  </r>
  <r>
    <x v="2"/>
    <d v="2026-05-22T00:00:00"/>
    <m/>
    <n v="13.55"/>
    <s v="ALDI CALVIA CC LA VILA CALA VINYES"/>
    <x v="0"/>
    <x v="0"/>
  </r>
  <r>
    <x v="2"/>
    <d v="2026-05-22T00:00:00"/>
    <m/>
    <n v="53.36"/>
    <s v="CECOSA SUPERMERCADOS 01 PALMA DE MALL"/>
    <x v="0"/>
    <x v="0"/>
  </r>
  <r>
    <x v="2"/>
    <d v="2026-05-22T00:00:00"/>
    <m/>
    <n v="6.29"/>
    <s v="EROSKI CITY SON FERRER CALVIA"/>
    <x v="0"/>
    <x v="0"/>
  </r>
  <r>
    <x v="2"/>
    <d v="2026-05-22T00:00:00"/>
    <m/>
    <n v="111.6"/>
    <s v="ITALIAN GRILL FUSION CO PALMA DE MALL"/>
    <x v="4"/>
    <x v="0"/>
  </r>
  <r>
    <x v="2"/>
    <d v="2026-05-21T00:00:00"/>
    <m/>
    <n v="65.28"/>
    <s v="ALDI CALVIA CC LA VILA CALA VINYES"/>
    <x v="0"/>
    <x v="0"/>
  </r>
  <r>
    <x v="2"/>
    <d v="2026-05-21T00:00:00"/>
    <m/>
    <n v="21.7"/>
    <s v="LIDL MALL-CALVI -MAGALU CAL CATALA"/>
    <x v="0"/>
    <x v="0"/>
  </r>
  <r>
    <x v="2"/>
    <d v="2026-05-21T00:00:00"/>
    <m/>
    <n v="3.99"/>
    <s v="MULLER SANTA PONSA SANTA PONSA"/>
    <x v="14"/>
    <x v="0"/>
  </r>
  <r>
    <x v="2"/>
    <d v="2026-05-21T00:00:00"/>
    <m/>
    <n v="11.709999999999999"/>
    <s v="MULLER SANTA PONSA SANTA PONSA"/>
    <x v="0"/>
    <x v="0"/>
  </r>
  <r>
    <x v="2"/>
    <d v="2026-05-19T00:00:00"/>
    <m/>
    <n v="20.23"/>
    <s v="LIDL MALL-CALVI -MAGALU CAL CATALA"/>
    <x v="0"/>
    <x v="0"/>
  </r>
  <r>
    <x v="2"/>
    <d v="2026-05-19T00:00:00"/>
    <m/>
    <n v="2.89"/>
    <s v="PAYPAL *DISCOVERY HELP. 207138900"/>
    <x v="15"/>
    <x v="0"/>
  </r>
  <r>
    <x v="2"/>
    <d v="2026-05-15T00:00:00"/>
    <m/>
    <n v="5.57"/>
    <s v="MULLER SANTA PONSA SANTA PONSA"/>
    <x v="14"/>
    <x v="0"/>
  </r>
  <r>
    <x v="2"/>
    <d v="2026-05-15T00:00:00"/>
    <m/>
    <n v="2.39"/>
    <s v="MULLER SANTA PONSA SANTA PONSA"/>
    <x v="6"/>
    <x v="0"/>
  </r>
  <r>
    <x v="2"/>
    <d v="2026-05-15T00:00:00"/>
    <m/>
    <n v="2.9899999999999989"/>
    <s v="MULLER SANTA PONSA SANTA PONSA"/>
    <x v="3"/>
    <x v="0"/>
  </r>
  <r>
    <x v="2"/>
    <d v="2026-05-14T00:00:00"/>
    <m/>
    <n v="30.54"/>
    <s v="ALDI CALVIA CC LA VILA CALA VINYES"/>
    <x v="0"/>
    <x v="0"/>
  </r>
  <r>
    <x v="2"/>
    <d v="2026-05-14T00:00:00"/>
    <m/>
    <n v="187"/>
    <s v="PAYPAL *CRUBINI652 4029357733"/>
    <x v="21"/>
    <x v="1"/>
  </r>
  <r>
    <x v="2"/>
    <d v="2026-05-14T00:00:00"/>
    <m/>
    <n v="89.9"/>
    <s v="PAYPAL *FEDERICA.FELLET 4029357733"/>
    <x v="21"/>
    <x v="1"/>
  </r>
  <r>
    <x v="2"/>
    <d v="2026-05-14T00:00:00"/>
    <m/>
    <n v="18.809999999999999"/>
    <s v="SPAR EL TORO 019910488 SON FERRER"/>
    <x v="0"/>
    <x v="0"/>
  </r>
  <r>
    <x v="2"/>
    <d v="2026-05-13T00:00:00"/>
    <m/>
    <n v="8.68"/>
    <s v="CECOSA SUPERMERCADOS 01 SANTA PONSA"/>
    <x v="0"/>
    <x v="0"/>
  </r>
  <r>
    <x v="2"/>
    <d v="2026-05-13T00:00:00"/>
    <m/>
    <n v="8.68"/>
    <s v="CECOSA SUPERMERCADOS 01 SANTA PONSA"/>
    <x v="0"/>
    <x v="0"/>
  </r>
  <r>
    <x v="2"/>
    <d v="2026-05-13T00:00:00"/>
    <m/>
    <n v="880.74"/>
    <s v="PAGOPA MILANO"/>
    <x v="22"/>
    <x v="0"/>
  </r>
  <r>
    <x v="2"/>
    <d v="2026-05-13T00:00:00"/>
    <m/>
    <n v="7.6"/>
    <s v="PAYPAL *CATASTOSEMP 3317565665"/>
    <x v="23"/>
    <x v="0"/>
  </r>
  <r>
    <x v="2"/>
    <d v="2026-05-12T00:00:00"/>
    <m/>
    <n v="31.25"/>
    <s v="CECOSA SUPERMERCADOS 01 SANTA PONSA"/>
    <x v="0"/>
    <x v="0"/>
  </r>
  <r>
    <x v="2"/>
    <d v="2026-05-12T00:00:00"/>
    <m/>
    <n v="4.99"/>
    <s v="KINDLE SVCS*NH4LJ62A4 349-11230420"/>
    <x v="8"/>
    <x v="0"/>
  </r>
  <r>
    <x v="2"/>
    <d v="2026-05-12T00:00:00"/>
    <m/>
    <n v="6.99"/>
    <s v="NETFLIX.COM 519370 RM"/>
    <x v="15"/>
    <x v="0"/>
  </r>
  <r>
    <x v="2"/>
    <d v="2026-05-12T00:00:00"/>
    <m/>
    <n v="79.95"/>
    <s v="PAYPAL *FASHIONRETA 676800350"/>
    <x v="2"/>
    <x v="0"/>
  </r>
  <r>
    <x v="2"/>
    <d v="2026-05-12T00:00:00"/>
    <m/>
    <n v="7.47"/>
    <s v="SPAR EL TORO 019910488 SON FERRER"/>
    <x v="0"/>
    <x v="0"/>
  </r>
  <r>
    <x v="2"/>
    <d v="2026-05-11T00:00:00"/>
    <m/>
    <n v="17.27"/>
    <s v="CECOSA SUPERMERCADOS 01 SANTA PONSA"/>
    <x v="0"/>
    <x v="0"/>
  </r>
  <r>
    <x v="2"/>
    <d v="2026-05-11T00:00:00"/>
    <m/>
    <n v="5.48"/>
    <s v="MULLER SANTA PONSA SANTA PONSA"/>
    <x v="0"/>
    <x v="0"/>
  </r>
  <r>
    <x v="2"/>
    <d v="2026-05-11T00:00:00"/>
    <m/>
    <n v="9.8899999999999988"/>
    <s v="MULLER SANTA PONSA SANTA PONSA"/>
    <x v="14"/>
    <x v="0"/>
  </r>
  <r>
    <x v="2"/>
    <d v="2026-05-11T00:00:00"/>
    <m/>
    <n v="13.99"/>
    <s v="PAYPAL *59840AEKU 4029357733"/>
    <x v="2"/>
    <x v="0"/>
  </r>
  <r>
    <x v="2"/>
    <d v="2026-05-11T00:00:00"/>
    <m/>
    <n v="253.99"/>
    <s v="PAYPAL *59840AEKU 4029357733"/>
    <x v="2"/>
    <x v="0"/>
  </r>
  <r>
    <x v="2"/>
    <d v="2026-05-10T00:00:00"/>
    <m/>
    <n v="72.12"/>
    <s v="AMZ*HSN - WE ARE NUT NU PAY.AMAZON.CO"/>
    <x v="24"/>
    <x v="0"/>
  </r>
  <r>
    <x v="2"/>
    <d v="2026-05-10T00:00:00"/>
    <m/>
    <n v="7.4"/>
    <s v="PIZZERIA LA OCA 0364862 CALVIA"/>
    <x v="5"/>
    <x v="0"/>
  </r>
  <r>
    <x v="2"/>
    <d v="2026-05-09T00:00:00"/>
    <m/>
    <n v="57.13"/>
    <s v="ALDI CALVIA CC LA VILA CALA VINYES"/>
    <x v="0"/>
    <x v="0"/>
  </r>
  <r>
    <x v="2"/>
    <d v="2026-05-09T00:00:00"/>
    <m/>
    <n v="48.8"/>
    <s v="SA XIMBOMBA 346211873 SON ESPANYOLE"/>
    <x v="4"/>
    <x v="0"/>
  </r>
  <r>
    <x v="2"/>
    <d v="2026-05-09T00:00:00"/>
    <m/>
    <n v="43.94"/>
    <s v="WWW.AMAZON*NH9VQ8TU4 AMZN.COM/BILL"/>
    <x v="24"/>
    <x v="0"/>
  </r>
  <r>
    <x v="2"/>
    <d v="2026-05-08T00:00:00"/>
    <m/>
    <n v="135"/>
    <s v="LONGCHAMP PARIS"/>
    <x v="23"/>
    <x v="0"/>
  </r>
  <r>
    <x v="2"/>
    <d v="2026-05-07T00:00:00"/>
    <m/>
    <n v="17.03"/>
    <s v="CECOSA SUPERMERCADOS 01 SANTA PONSA"/>
    <x v="0"/>
    <x v="0"/>
  </r>
  <r>
    <x v="2"/>
    <d v="2026-05-06T00:00:00"/>
    <m/>
    <n v="11.729999999999999"/>
    <s v="MULLER SANTA PONSA SANTA PONSA"/>
    <x v="0"/>
    <x v="0"/>
  </r>
  <r>
    <x v="2"/>
    <d v="2026-05-06T00:00:00"/>
    <m/>
    <n v="7.1600000000000019"/>
    <s v="MULLER SANTA PONSA SANTA PONSA"/>
    <x v="3"/>
    <x v="0"/>
  </r>
  <r>
    <x v="2"/>
    <d v="2026-05-06T00:00:00"/>
    <m/>
    <n v="20.77"/>
    <s v="SPAR EL TORO 019910488 SON FERRER"/>
    <x v="0"/>
    <x v="0"/>
  </r>
  <r>
    <x v="2"/>
    <d v="2026-05-05T00:00:00"/>
    <m/>
    <n v="66.209999999999994"/>
    <s v="ALDI CALVIA CC LA VILA CALA VINYES"/>
    <x v="0"/>
    <x v="0"/>
  </r>
  <r>
    <x v="2"/>
    <d v="2026-05-05T00:00:00"/>
    <m/>
    <n v="6.99"/>
    <s v="DISNEY PLUS DISNEY PLUS NETHERLANDS"/>
    <x v="15"/>
    <x v="0"/>
  </r>
  <r>
    <x v="2"/>
    <d v="2026-05-04T00:00:00"/>
    <m/>
    <n v="2.5"/>
    <s v="MYCHEF BRICIOLE AEROPOR BOLOGNA"/>
    <x v="5"/>
    <x v="0"/>
  </r>
  <r>
    <x v="2"/>
    <d v="2026-05-04T00:00:00"/>
    <m/>
    <n v="16.190000000000001"/>
    <s v="WWW.AMAZON*N68YZ81P4 AMZN.COM/BILL"/>
    <x v="24"/>
    <x v="0"/>
  </r>
  <r>
    <x v="2"/>
    <d v="2026-05-03T00:00:00"/>
    <m/>
    <n v="9.99"/>
    <s v="APPLE.COM/BILL HOLLYHILL"/>
    <x v="15"/>
    <x v="0"/>
  </r>
  <r>
    <x v="2"/>
    <d v="2026-05-02T00:00:00"/>
    <m/>
    <n v="8.42"/>
    <s v="EROSKI CITY SON FERRER CALVIA"/>
    <x v="0"/>
    <x v="0"/>
  </r>
  <r>
    <x v="2"/>
    <d v="2026-05-02T00:00:00"/>
    <m/>
    <n v="16.64"/>
    <s v="SPAR EL TORO 019910488 SON FERRER"/>
    <x v="0"/>
    <x v="0"/>
  </r>
  <r>
    <x v="2"/>
    <d v="2026-05-02T00:00:00"/>
    <m/>
    <n v="2.2999999999999998"/>
    <s v="TPER CITT√Ä DI BOLOGNA BOLOGNA"/>
    <x v="25"/>
    <x v="0"/>
  </r>
  <r>
    <x v="2"/>
    <d v="2026-05-01T00:00:00"/>
    <m/>
    <n v="29.81"/>
    <s v="ALDI CALVIA CC LA VILA CALA VINYES"/>
    <x v="0"/>
    <x v="0"/>
  </r>
  <r>
    <x v="2"/>
    <d v="2026-05-01T00:00:00"/>
    <m/>
    <n v="13.11"/>
    <s v="CECOSA SUPERMERCADOS 01 SANTA PONSA"/>
    <x v="0"/>
    <x v="0"/>
  </r>
  <r>
    <x v="2"/>
    <d v="2026-05-01T00:00:00"/>
    <m/>
    <n v="2.19"/>
    <s v="CENTRO HOGAR SANTA PONS SANTA PONSA"/>
    <x v="26"/>
    <x v="0"/>
  </r>
  <r>
    <x v="2"/>
    <d v="2026-05-01T00:00:00"/>
    <m/>
    <n v="20.75"/>
    <s v="PAYPAL *JUSTEATSPAI 673460990"/>
    <x v="4"/>
    <x v="0"/>
  </r>
  <r>
    <x v="3"/>
    <d v="2026-04-30T00:00:00"/>
    <m/>
    <n v="3.16"/>
    <s v="0125 SAN LAZZARO DI SAV SAN LAZZARO"/>
    <x v="5"/>
    <x v="0"/>
  </r>
  <r>
    <x v="3"/>
    <d v="2026-04-30T00:00:00"/>
    <m/>
    <n v="7.9"/>
    <s v="WWW.JOENGLISH.COM SOUTH MOLTON"/>
    <x v="7"/>
    <x v="0"/>
  </r>
  <r>
    <x v="3"/>
    <d v="2026-04-29T00:00:00"/>
    <m/>
    <n v="1"/>
    <s v="8094 CC LA VILA 3524283 SANT FRANCESC"/>
    <x v="27"/>
    <x v="0"/>
  </r>
  <r>
    <x v="3"/>
    <d v="2026-04-29T00:00:00"/>
    <m/>
    <n v="37.36"/>
    <s v="CECOSA SUPERMERCADOS 01 SANTA PONSA"/>
    <x v="0"/>
    <x v="0"/>
  </r>
  <r>
    <x v="3"/>
    <d v="2026-04-29T00:00:00"/>
    <m/>
    <n v="3.12"/>
    <s v="EROSKI CITY SON FERRER CALVIA"/>
    <x v="0"/>
    <x v="0"/>
  </r>
  <r>
    <x v="3"/>
    <d v="2026-04-29T00:00:00"/>
    <m/>
    <n v="1.99"/>
    <s v="MULLER SANTA PONSA SANTA PONSA"/>
    <x v="3"/>
    <x v="0"/>
  </r>
  <r>
    <x v="3"/>
    <d v="2026-04-29T00:00:00"/>
    <m/>
    <n v="3.99"/>
    <s v="MULLER SANTA PONSA SANTA PONSA"/>
    <x v="18"/>
    <x v="0"/>
  </r>
  <r>
    <x v="3"/>
    <d v="2026-04-29T00:00:00"/>
    <m/>
    <n v="22.76"/>
    <s v="MULLER SANTA PONSA SANTA PONSA"/>
    <x v="14"/>
    <x v="0"/>
  </r>
  <r>
    <x v="3"/>
    <d v="2026-04-29T00:00:00"/>
    <m/>
    <n v="8.9199999999999946"/>
    <s v="MULLER SANTA PONSA SANTA PONSA"/>
    <x v="0"/>
    <x v="0"/>
  </r>
  <r>
    <x v="3"/>
    <d v="2026-04-27T00:00:00"/>
    <m/>
    <n v="13.44"/>
    <s v="AGROMART SANTA PONCA 34 SANTA PONSA"/>
    <x v="0"/>
    <x v="0"/>
  </r>
  <r>
    <x v="3"/>
    <d v="2026-04-27T00:00:00"/>
    <m/>
    <n v="10.3"/>
    <s v="ALDI CALVIA CC LA VILA CALA VINYES"/>
    <x v="0"/>
    <x v="0"/>
  </r>
  <r>
    <x v="3"/>
    <d v="2026-04-27T00:00:00"/>
    <m/>
    <n v="2"/>
    <s v="IMPOSTA DI BOLLO"/>
    <x v="11"/>
    <x v="0"/>
  </r>
  <r>
    <x v="3"/>
    <d v="2026-04-25T00:00:00"/>
    <m/>
    <n v="46.25"/>
    <s v="LIDL MALL-CALVI -MAGALU CAL CATALA"/>
    <x v="0"/>
    <x v="0"/>
  </r>
  <r>
    <x v="3"/>
    <d v="2026-04-25T00:00:00"/>
    <m/>
    <n v="144.69999999999999"/>
    <s v="RIGIRO 354082273 PALMA DE MALL"/>
    <x v="4"/>
    <x v="0"/>
  </r>
  <r>
    <x v="3"/>
    <d v="2026-04-24T00:00:00"/>
    <m/>
    <n v="6.68"/>
    <s v="SPAR EL TORO 019910488 SON FERRER"/>
    <x v="0"/>
    <x v="0"/>
  </r>
  <r>
    <x v="3"/>
    <d v="2026-04-23T00:00:00"/>
    <m/>
    <n v="2.99"/>
    <s v="APPLE.COM/BILL HOLLYHILL"/>
    <x v="9"/>
    <x v="0"/>
  </r>
  <r>
    <x v="3"/>
    <d v="2026-04-23T00:00:00"/>
    <m/>
    <n v="7.99"/>
    <s v="DIDI 352547210 SANTA PONSA"/>
    <x v="26"/>
    <x v="0"/>
  </r>
  <r>
    <x v="3"/>
    <d v="2026-04-23T00:00:00"/>
    <m/>
    <n v="9.74"/>
    <s v="EROSKI CITY SON FERRER CALVIA"/>
    <x v="0"/>
    <x v="0"/>
  </r>
  <r>
    <x v="3"/>
    <d v="2026-04-23T00:00:00"/>
    <m/>
    <n v="9.99"/>
    <s v="KINDLE SVCS*NZ0DS7844 349-11230420"/>
    <x v="8"/>
    <x v="0"/>
  </r>
  <r>
    <x v="3"/>
    <d v="2026-04-22T00:00:00"/>
    <m/>
    <n v="8.77"/>
    <s v="MULLER SANTA PONSA SANTA PONSA"/>
    <x v="0"/>
    <x v="0"/>
  </r>
  <r>
    <x v="3"/>
    <d v="2026-04-22T00:00:00"/>
    <m/>
    <n v="9.18"/>
    <s v="MULLER SANTA PONSA SANTA PONSA"/>
    <x v="3"/>
    <x v="0"/>
  </r>
  <r>
    <x v="3"/>
    <d v="2026-04-22T00:00:00"/>
    <m/>
    <n v="20.240000000000002"/>
    <s v="MULLER SANTA PONSA SANTA PONSA"/>
    <x v="14"/>
    <x v="0"/>
  </r>
  <r>
    <x v="3"/>
    <d v="2026-04-22T00:00:00"/>
    <m/>
    <n v="19.899999999999999"/>
    <s v="WWW.AMAZON*NZ56H7694 AMZN.COM/BILL"/>
    <x v="24"/>
    <x v="0"/>
  </r>
  <r>
    <x v="3"/>
    <d v="2026-04-21T00:00:00"/>
    <m/>
    <n v="48.65"/>
    <s v="CECOSA SUPERMERCADOS 01 PALMA DE MALL"/>
    <x v="0"/>
    <x v="0"/>
  </r>
  <r>
    <x v="3"/>
    <d v="2026-04-20T00:00:00"/>
    <m/>
    <n v="39.22"/>
    <s v="LIDL MALL-CALVI -MAGALU CAL CATALA"/>
    <x v="0"/>
    <x v="0"/>
  </r>
  <r>
    <x v="3"/>
    <d v="2026-04-20T00:00:00"/>
    <m/>
    <n v="7.09"/>
    <s v="SPAR EL TORO 019910488 SON FERRER"/>
    <x v="0"/>
    <x v="0"/>
  </r>
  <r>
    <x v="3"/>
    <d v="2026-04-20T00:00:00"/>
    <m/>
    <n v="19.97"/>
    <s v="WWW.AMAZON*NZ36T9NP4 AMZN.COM/BILL"/>
    <x v="24"/>
    <x v="0"/>
  </r>
  <r>
    <x v="3"/>
    <d v="2026-04-19T00:00:00"/>
    <m/>
    <n v="2.89"/>
    <s v="PAYPAL *DISCOVERY HELP. 207138900"/>
    <x v="15"/>
    <x v="0"/>
  </r>
  <r>
    <x v="3"/>
    <d v="2026-04-18T00:00:00"/>
    <m/>
    <n v="106.8"/>
    <s v="ES MUSSOL RESTURANT 364 PALMA DE MALL"/>
    <x v="4"/>
    <x v="0"/>
  </r>
  <r>
    <x v="3"/>
    <d v="2026-04-17T00:00:00"/>
    <m/>
    <n v="5"/>
    <s v="PIZZERIA LA OCA 0364862 CALVIA"/>
    <x v="5"/>
    <x v="0"/>
  </r>
  <r>
    <x v="3"/>
    <d v="2026-04-17T00:00:00"/>
    <m/>
    <n v="0.95"/>
    <s v="SPAR EL TORO 019910488 SON FERRER"/>
    <x v="0"/>
    <x v="0"/>
  </r>
  <r>
    <x v="3"/>
    <d v="2026-04-17T00:00:00"/>
    <m/>
    <n v="15.95"/>
    <s v="SPAR EL TORO 019910488 SON FERRER"/>
    <x v="0"/>
    <x v="0"/>
  </r>
  <r>
    <x v="3"/>
    <d v="2026-04-16T00:00:00"/>
    <m/>
    <n v="30.73"/>
    <s v="ALDI CALVIA CC LA VILA CALA VINYES"/>
    <x v="0"/>
    <x v="0"/>
  </r>
  <r>
    <x v="3"/>
    <d v="2026-04-16T00:00:00"/>
    <m/>
    <n v="30.1"/>
    <s v="LIDL MALL-CALVI -MAGALU CAL CATALA"/>
    <x v="0"/>
    <x v="0"/>
  </r>
  <r>
    <x v="3"/>
    <d v="2026-04-16T00:00:00"/>
    <m/>
    <n v="4.68"/>
    <s v="MULLER SANTA PONSA SANTA PONSA"/>
    <x v="14"/>
    <x v="0"/>
  </r>
  <r>
    <x v="3"/>
    <d v="2026-04-16T00:00:00"/>
    <m/>
    <n v="4.2800000000000011"/>
    <s v="MULLER SANTA PONSA SANTA PONSA"/>
    <x v="0"/>
    <x v="0"/>
  </r>
  <r>
    <x v="3"/>
    <d v="2026-04-14T00:00:00"/>
    <m/>
    <n v="33.08"/>
    <s v="AGROMART SANTA PONCA 34 SANTA PONSA"/>
    <x v="0"/>
    <x v="0"/>
  </r>
  <r>
    <x v="3"/>
    <d v="2026-04-14T00:00:00"/>
    <m/>
    <n v="68.61"/>
    <s v="PAYPAL *PERFUMES 0184809381"/>
    <x v="14"/>
    <x v="0"/>
  </r>
  <r>
    <x v="3"/>
    <d v="2026-04-13T00:00:00"/>
    <m/>
    <n v="14.33"/>
    <s v="EROSKI CITY SON FERRER CALVIA"/>
    <x v="0"/>
    <x v="0"/>
  </r>
  <r>
    <x v="3"/>
    <d v="2026-04-13T00:00:00"/>
    <m/>
    <n v="12.19"/>
    <s v="Namirial SENIGALLIA Senigallia"/>
    <x v="28"/>
    <x v="0"/>
  </r>
  <r>
    <x v="3"/>
    <d v="2026-04-12T00:00:00"/>
    <m/>
    <n v="6.99"/>
    <s v="NETFLIX.COM MILAN"/>
    <x v="15"/>
    <x v="0"/>
  </r>
  <r>
    <x v="3"/>
    <d v="2026-04-12T00:00:00"/>
    <m/>
    <n v="59.9"/>
    <s v="PAYPAL *ZALANDOSE 917696959"/>
    <x v="2"/>
    <x v="0"/>
  </r>
  <r>
    <x v="3"/>
    <d v="2026-04-12T00:00:00"/>
    <m/>
    <n v="18.95"/>
    <s v="WWW.AMAZON*NW0C69TL4 AMZN.COM/BILL"/>
    <x v="10"/>
    <x v="0"/>
  </r>
  <r>
    <x v="3"/>
    <d v="2026-04-11T00:00:00"/>
    <m/>
    <n v="9.77"/>
    <s v="HERTZ-RADIISSON SAS MED DUBAI"/>
    <x v="29"/>
    <x v="2"/>
  </r>
  <r>
    <x v="3"/>
    <d v="2026-04-11T00:00:00"/>
    <m/>
    <n v="102.25"/>
    <s v="MESON CAN PEDRO II 0220 PALMA DE MALL"/>
    <x v="4"/>
    <x v="0"/>
  </r>
  <r>
    <x v="3"/>
    <d v="2026-04-10T00:00:00"/>
    <m/>
    <n v="93.35"/>
    <s v="ALDI CALVIA CC LA VILA CALA VINYES"/>
    <x v="0"/>
    <x v="0"/>
  </r>
  <r>
    <x v="3"/>
    <d v="2026-04-10T00:00:00"/>
    <m/>
    <n v="4.2300000000000004"/>
    <s v="EROSKI CITY SON FERRER CALVIA"/>
    <x v="0"/>
    <x v="0"/>
  </r>
  <r>
    <x v="3"/>
    <d v="2026-04-10T00:00:00"/>
    <m/>
    <n v="29.57"/>
    <s v="LIDL MALL-CALVI -MAGALU CAL CATALA"/>
    <x v="0"/>
    <x v="0"/>
  </r>
  <r>
    <x v="3"/>
    <d v="2026-04-09T00:00:00"/>
    <m/>
    <n v="20.85"/>
    <s v="PAYPAL *JUSTEATSPAI 673460990"/>
    <x v="4"/>
    <x v="0"/>
  </r>
  <r>
    <x v="3"/>
    <d v="2026-04-08T00:00:00"/>
    <m/>
    <n v="7.56"/>
    <s v="CECOSA SUPERMERCADOS 01 SANTA PONSA"/>
    <x v="0"/>
    <x v="0"/>
  </r>
  <r>
    <x v="3"/>
    <d v="2026-04-08T00:00:00"/>
    <m/>
    <n v="3.9"/>
    <s v="SPAR EL TORO 019910488 SON FERRER"/>
    <x v="0"/>
    <x v="0"/>
  </r>
  <r>
    <x v="3"/>
    <d v="2026-04-07T00:00:00"/>
    <m/>
    <n v="325"/>
    <s v="BA SH 034659722 PALMA DE MALL"/>
    <x v="2"/>
    <x v="0"/>
  </r>
  <r>
    <x v="3"/>
    <d v="2026-04-07T00:00:00"/>
    <m/>
    <n v="213"/>
    <s v="UNAVETS CORP. 354757817 SANTA PONSA"/>
    <x v="6"/>
    <x v="0"/>
  </r>
  <r>
    <x v="3"/>
    <d v="2026-04-05T00:00:00"/>
    <m/>
    <n v="6.99"/>
    <s v="DISNEY PLUS DISNEY PLUS NETHERLANDS"/>
    <x v="15"/>
    <x v="0"/>
  </r>
  <r>
    <x v="3"/>
    <d v="2026-04-05T00:00:00"/>
    <m/>
    <n v="7.52"/>
    <s v="SPAR EL TORO 019910488 SON FERRER"/>
    <x v="0"/>
    <x v="0"/>
  </r>
  <r>
    <x v="3"/>
    <d v="2026-04-04T00:00:00"/>
    <m/>
    <n v="4.38"/>
    <s v="MULLER SANTA PONSA SANTA PONSA"/>
    <x v="0"/>
    <x v="0"/>
  </r>
  <r>
    <x v="3"/>
    <d v="2026-04-04T00:00:00"/>
    <m/>
    <n v="6.79"/>
    <s v="MULLER SANTA PONSA SANTA PONSA"/>
    <x v="14"/>
    <x v="0"/>
  </r>
  <r>
    <x v="3"/>
    <d v="2026-04-04T00:00:00"/>
    <m/>
    <n v="2.3900000000000006"/>
    <s v="MULLER SANTA PONSA SANTA PONSA"/>
    <x v="6"/>
    <x v="0"/>
  </r>
  <r>
    <x v="3"/>
    <d v="2026-04-04T00:00:00"/>
    <m/>
    <n v="110"/>
    <s v="RIALTO LIVING PALMA SLU PALMA DE MALL"/>
    <x v="30"/>
    <x v="0"/>
  </r>
  <r>
    <x v="3"/>
    <d v="2026-04-03T00:00:00"/>
    <m/>
    <n v="9.99"/>
    <s v="APPLE.COM/BILL HOLLYHILL"/>
    <x v="9"/>
    <x v="0"/>
  </r>
  <r>
    <x v="3"/>
    <d v="2026-04-03T00:00:00"/>
    <m/>
    <n v="7.5"/>
    <s v="WWW.AMAZON*NB6492S84 AMZN.COM/BILL"/>
    <x v="14"/>
    <x v="0"/>
  </r>
  <r>
    <x v="3"/>
    <d v="2026-04-03T00:00:00"/>
    <m/>
    <n v="13.989999999999998"/>
    <s v="WWW.AMAZON*NB6492S84 AMZN.COM/BILL"/>
    <x v="6"/>
    <x v="0"/>
  </r>
  <r>
    <x v="3"/>
    <d v="2026-04-02T00:00:00"/>
    <m/>
    <n v="55.89"/>
    <s v="AMZ*HSN - WE ARE NUT NU PAY.AMAZON.CO"/>
    <x v="24"/>
    <x v="0"/>
  </r>
  <r>
    <x v="3"/>
    <d v="2026-04-02T00:00:00"/>
    <m/>
    <n v="37.99"/>
    <s v="WWW.AMAZON*NB76N2HB4 AMZN.COM/BILL"/>
    <x v="27"/>
    <x v="0"/>
  </r>
  <r>
    <x v="3"/>
    <d v="2026-04-01T00:00:00"/>
    <m/>
    <n v="37.799999999999997"/>
    <s v="CARREFOUR PORTO MAG-010 PALMA DE MALLOR"/>
    <x v="0"/>
    <x v="0"/>
  </r>
  <r>
    <x v="3"/>
    <d v="2026-04-01T00:00:00"/>
    <m/>
    <n v="25.36"/>
    <s v="RYANAIR LTD AIRLINE DUBLIN"/>
    <x v="31"/>
    <x v="1"/>
  </r>
  <r>
    <x v="3"/>
    <d v="2026-04-01T00:00:00"/>
    <n v="1.52"/>
    <m/>
    <s v="Sconto Safekey with Points"/>
    <x v="31"/>
    <x v="1"/>
  </r>
  <r>
    <x v="4"/>
    <d v="2026-03-31T00:00:00"/>
    <m/>
    <n v="76.5"/>
    <s v="ALDI CALVIA CC LA VILA CALA VINYES"/>
    <x v="0"/>
    <x v="0"/>
  </r>
  <r>
    <x v="4"/>
    <d v="2026-03-31T00:00:00"/>
    <m/>
    <n v="54"/>
    <s v="FARMACIA MARGALIDA COMA PALMA DE MALL"/>
    <x v="6"/>
    <x v="0"/>
  </r>
  <r>
    <x v="4"/>
    <d v="2026-03-31T00:00:00"/>
    <m/>
    <n v="51.94"/>
    <s v="FARMACIA MARGALIDA COMA PALMA DE MALL"/>
    <x v="24"/>
    <x v="0"/>
  </r>
  <r>
    <x v="4"/>
    <d v="2026-03-30T00:00:00"/>
    <m/>
    <n v="18.649999999999999"/>
    <s v="SPAR EL TORO 019910488 SON FERRER"/>
    <x v="0"/>
    <x v="0"/>
  </r>
  <r>
    <x v="4"/>
    <d v="2026-03-30T00:00:00"/>
    <m/>
    <n v="2.2000000000000002"/>
    <s v="VECCHIA MALGA NEGOZI BA BOLOGNA"/>
    <x v="5"/>
    <x v="0"/>
  </r>
  <r>
    <x v="4"/>
    <d v="2026-03-30T00:00:00"/>
    <m/>
    <n v="7.9"/>
    <s v="WWW.JOENGLISH.COM SOUTH MOLTON"/>
    <x v="7"/>
    <x v="0"/>
  </r>
  <r>
    <x v="4"/>
    <d v="2026-03-29T00:00:00"/>
    <m/>
    <n v="82.5"/>
    <s v="DA ZERO BOLOGNA"/>
    <x v="2"/>
    <x v="0"/>
  </r>
  <r>
    <x v="4"/>
    <d v="2026-03-29T00:00:00"/>
    <m/>
    <n v="29"/>
    <s v="RYANAIR LTD AIRLINE DUBLIN"/>
    <x v="12"/>
    <x v="0"/>
  </r>
  <r>
    <x v="4"/>
    <d v="2026-03-29T00:00:00"/>
    <n v="1.1100000000000001"/>
    <m/>
    <s v="Sconto Safekey with Points"/>
    <x v="12"/>
    <x v="0"/>
  </r>
  <r>
    <x v="4"/>
    <d v="2026-03-28T00:00:00"/>
    <m/>
    <n v="21.2"/>
    <s v="IL TANO SANTA PONSA 363 SANTA PONSA"/>
    <x v="4"/>
    <x v="0"/>
  </r>
  <r>
    <x v="4"/>
    <d v="2026-03-28T00:00:00"/>
    <m/>
    <n v="108.5"/>
    <s v="SCOUT BOLOGNA"/>
    <x v="2"/>
    <x v="0"/>
  </r>
  <r>
    <x v="4"/>
    <d v="2026-03-27T00:00:00"/>
    <m/>
    <n v="2"/>
    <s v="IMPOSTA DI BOLLO"/>
    <x v="11"/>
    <x v="0"/>
  </r>
  <r>
    <x v="4"/>
    <d v="2026-03-26T00:00:00"/>
    <m/>
    <n v="18.16"/>
    <s v="ALDI CALVIA CC LA VILA CALA VINYES"/>
    <x v="0"/>
    <x v="0"/>
  </r>
  <r>
    <x v="4"/>
    <d v="2026-03-26T00:00:00"/>
    <m/>
    <n v="13.170000000000002"/>
    <s v="MULLER SANTA PONSA SANTA PONSA"/>
    <x v="14"/>
    <x v="0"/>
  </r>
  <r>
    <x v="4"/>
    <d v="2026-03-26T00:00:00"/>
    <m/>
    <n v="4.2899999999999991"/>
    <s v="MULLER SANTA PONSA SANTA PONSA"/>
    <x v="0"/>
    <x v="0"/>
  </r>
  <r>
    <x v="4"/>
    <d v="2026-03-25T00:00:00"/>
    <m/>
    <n v="42.81"/>
    <s v="AGROMART SANTA PONCA 34 SANTA PONSA"/>
    <x v="0"/>
    <x v="0"/>
  </r>
  <r>
    <x v="4"/>
    <d v="2026-03-25T00:00:00"/>
    <m/>
    <n v="17.510000000000002"/>
    <s v="CECOSA SUPERMERCADOS 01 SANTA PONSA"/>
    <x v="0"/>
    <x v="0"/>
  </r>
  <r>
    <x v="4"/>
    <d v="2026-03-25T00:00:00"/>
    <m/>
    <n v="4.3"/>
    <s v="EROSKI CITY SON FERRER CALVIA"/>
    <x v="0"/>
    <x v="0"/>
  </r>
  <r>
    <x v="4"/>
    <d v="2026-03-25T00:00:00"/>
    <m/>
    <n v="8.68"/>
    <s v="MULLER SANTA PONSA SANTA PONSA"/>
    <x v="3"/>
    <x v="0"/>
  </r>
  <r>
    <x v="4"/>
    <d v="2026-03-25T00:00:00"/>
    <m/>
    <n v="14.719999999999999"/>
    <s v="MULLER SANTA PONSA SANTA PONSA"/>
    <x v="0"/>
    <x v="0"/>
  </r>
  <r>
    <x v="4"/>
    <d v="2026-03-25T00:00:00"/>
    <m/>
    <n v="3.7"/>
    <s v="SPAR EL TORO 019910488 SON FERRER"/>
    <x v="0"/>
    <x v="0"/>
  </r>
  <r>
    <x v="4"/>
    <d v="2026-03-25T00:00:00"/>
    <m/>
    <n v="4.3499999999999996"/>
    <s v="SPAR EL TORO 019910488 SON FERRER"/>
    <x v="0"/>
    <x v="0"/>
  </r>
  <r>
    <x v="4"/>
    <d v="2026-03-24T00:00:00"/>
    <m/>
    <n v="8.52"/>
    <s v="SPAR EL TORO 019910488 SON FERRER"/>
    <x v="0"/>
    <x v="0"/>
  </r>
  <r>
    <x v="4"/>
    <d v="2026-03-23T00:00:00"/>
    <m/>
    <n v="2.99"/>
    <s v="APPLE.COM/BILL HOLLYHILL"/>
    <x v="9"/>
    <x v="0"/>
  </r>
  <r>
    <x v="4"/>
    <d v="2026-03-23T00:00:00"/>
    <m/>
    <n v="41.98"/>
    <s v="RYANAIR LTD AIRLINE DUBLIN"/>
    <x v="12"/>
    <x v="0"/>
  </r>
  <r>
    <x v="4"/>
    <d v="2026-03-23T00:00:00"/>
    <n v="13.01"/>
    <m/>
    <s v="Sconto Safekey with Points"/>
    <x v="12"/>
    <x v="0"/>
  </r>
  <r>
    <x v="4"/>
    <d v="2026-03-23T00:00:00"/>
    <m/>
    <n v="16.98"/>
    <s v="WWW.AMAZON*N08FK1WL4 AMZN.COM/BILL"/>
    <x v="32"/>
    <x v="0"/>
  </r>
  <r>
    <x v="4"/>
    <d v="2026-03-21T00:00:00"/>
    <m/>
    <n v="30"/>
    <s v="E.S. SON BUGADELLAS 360 CALVIA"/>
    <x v="32"/>
    <x v="0"/>
  </r>
  <r>
    <x v="4"/>
    <d v="2026-03-21T00:00:00"/>
    <m/>
    <n v="53.4"/>
    <s v="IL TANO SANTA PONSA 363 SANTA PONSA"/>
    <x v="4"/>
    <x v="0"/>
  </r>
  <r>
    <x v="4"/>
    <d v="2026-03-21T00:00:00"/>
    <m/>
    <n v="11.37"/>
    <s v="SPAR EL TORO 019910488 SON FERRER"/>
    <x v="0"/>
    <x v="0"/>
  </r>
  <r>
    <x v="4"/>
    <d v="2026-03-20T00:00:00"/>
    <m/>
    <n v="37.729999999999997"/>
    <s v="CECOSA SUPERMERCADOS 01 PALMA DE MALL"/>
    <x v="0"/>
    <x v="0"/>
  </r>
  <r>
    <x v="4"/>
    <d v="2026-03-19T00:00:00"/>
    <m/>
    <n v="31.79"/>
    <s v="CECOSA SUPERMERCADOS 01 SANTA PONSA"/>
    <x v="0"/>
    <x v="0"/>
  </r>
  <r>
    <x v="4"/>
    <d v="2026-03-19T00:00:00"/>
    <m/>
    <n v="2.89"/>
    <s v="PAYPAL *DISCOVERY HELP. 207138900"/>
    <x v="15"/>
    <x v="0"/>
  </r>
  <r>
    <x v="4"/>
    <d v="2026-03-18T00:00:00"/>
    <m/>
    <n v="28.73"/>
    <s v="ALDI CALVIA CC LA VILA CALA VINYES"/>
    <x v="0"/>
    <x v="0"/>
  </r>
  <r>
    <x v="4"/>
    <d v="2026-03-18T00:00:00"/>
    <m/>
    <n v="49.75"/>
    <s v="LIDL MALL-CALVI -MAGALU CAL CATALA"/>
    <x v="0"/>
    <x v="0"/>
  </r>
  <r>
    <x v="4"/>
    <d v="2026-03-17T00:00:00"/>
    <m/>
    <n v="42.74"/>
    <s v="WWW.AMAZON*1S2WF9PG5 AMZN.COM/BILL"/>
    <x v="14"/>
    <x v="0"/>
  </r>
  <r>
    <x v="4"/>
    <d v="2026-03-16T00:00:00"/>
    <m/>
    <n v="30"/>
    <s v="E.S. SON BUGADELLAS 360 CALVIA"/>
    <x v="32"/>
    <x v="0"/>
  </r>
  <r>
    <x v="4"/>
    <d v="2026-03-16T00:00:00"/>
    <m/>
    <n v="240"/>
    <s v="INST. DP CIRUGIA PLASTI SANT LLORENZ"/>
    <x v="33"/>
    <x v="0"/>
  </r>
  <r>
    <x v="4"/>
    <d v="2026-03-16T00:00:00"/>
    <n v="15.99"/>
    <m/>
    <s v="PAYPAL *FASHIONRETA 981185400"/>
    <x v="2"/>
    <x v="0"/>
  </r>
  <r>
    <x v="4"/>
    <d v="2026-03-14T00:00:00"/>
    <m/>
    <n v="5.99"/>
    <s v="MULLER SANTA PONSA SANTA PONSA"/>
    <x v="14"/>
    <x v="0"/>
  </r>
  <r>
    <x v="4"/>
    <d v="2026-03-14T00:00:00"/>
    <m/>
    <n v="8.86"/>
    <s v="MULLER SANTA PONSA SANTA PONSA"/>
    <x v="0"/>
    <x v="0"/>
  </r>
  <r>
    <x v="4"/>
    <d v="2026-03-14T00:00:00"/>
    <m/>
    <n v="8.6199999999999992"/>
    <s v="SPAR EL TORO 019910488 SON FERRER"/>
    <x v="0"/>
    <x v="0"/>
  </r>
  <r>
    <x v="4"/>
    <d v="2026-03-13T00:00:00"/>
    <m/>
    <n v="2.98"/>
    <s v="ALDI CALVIA CC LA VILA CALA VINYES"/>
    <x v="0"/>
    <x v="0"/>
  </r>
  <r>
    <x v="4"/>
    <d v="2026-03-13T00:00:00"/>
    <m/>
    <n v="5.99"/>
    <s v="PAYPAL *HBOMAX HELP.HBO 4029357733"/>
    <x v="15"/>
    <x v="0"/>
  </r>
  <r>
    <x v="4"/>
    <d v="2026-03-13T00:00:00"/>
    <m/>
    <n v="9.3699999999999992"/>
    <s v="SPAR EL TORO 019910488 SON FERRER"/>
    <x v="0"/>
    <x v="0"/>
  </r>
  <r>
    <x v="4"/>
    <d v="2026-03-12T00:00:00"/>
    <m/>
    <n v="104.1"/>
    <s v="CARREFOUR PORTO MAG-010 PALMA DE MALLOR"/>
    <x v="0"/>
    <x v="0"/>
  </r>
  <r>
    <x v="4"/>
    <d v="2026-03-12T00:00:00"/>
    <m/>
    <n v="18.850000000000001"/>
    <s v="MORA SAN ANTONIO S.L 36 PALMA DE MALL"/>
    <x v="4"/>
    <x v="0"/>
  </r>
  <r>
    <x v="4"/>
    <d v="2026-03-12T00:00:00"/>
    <m/>
    <n v="6.99"/>
    <s v="NETFLIX.COM MILAN"/>
    <x v="15"/>
    <x v="0"/>
  </r>
  <r>
    <x v="4"/>
    <d v="2026-03-11T00:00:00"/>
    <m/>
    <n v="4.79"/>
    <s v="EROSKI CITY SON FERRER CALVIA"/>
    <x v="0"/>
    <x v="0"/>
  </r>
  <r>
    <x v="4"/>
    <d v="2026-03-11T00:00:00"/>
    <m/>
    <n v="241.53"/>
    <s v="PAYPAL *FIONA2027WWC 4029357733"/>
    <x v="2"/>
    <x v="0"/>
  </r>
  <r>
    <x v="4"/>
    <d v="2026-03-10T00:00:00"/>
    <m/>
    <n v="19.579999999999998"/>
    <s v="LIDL MALL-CALVI -MAGALU CAL CATALA"/>
    <x v="0"/>
    <x v="0"/>
  </r>
  <r>
    <x v="4"/>
    <d v="2026-03-09T00:00:00"/>
    <m/>
    <n v="17.66"/>
    <s v="AGROMART SANTA PONCA 34 SANTA PONSA"/>
    <x v="0"/>
    <x v="0"/>
  </r>
  <r>
    <x v="4"/>
    <d v="2026-03-09T00:00:00"/>
    <m/>
    <n v="1.29"/>
    <s v="MULLER SANTA PONSA SANTA PONSA"/>
    <x v="14"/>
    <x v="0"/>
  </r>
  <r>
    <x v="4"/>
    <d v="2026-03-09T00:00:00"/>
    <m/>
    <n v="6.1300000000000008"/>
    <s v="MULLER SANTA PONSA SANTA PONSA"/>
    <x v="0"/>
    <x v="0"/>
  </r>
  <r>
    <x v="4"/>
    <d v="2026-03-09T00:00:00"/>
    <m/>
    <n v="7.8699999999999983"/>
    <s v="MULLER SANTA PONSA SANTA PONSA"/>
    <x v="3"/>
    <x v="0"/>
  </r>
  <r>
    <x v="4"/>
    <d v="2026-03-09T00:00:00"/>
    <m/>
    <n v="2.56"/>
    <s v="SPAR EL TORO 019910488 SON FERRER"/>
    <x v="0"/>
    <x v="0"/>
  </r>
  <r>
    <x v="4"/>
    <d v="2026-03-08T00:00:00"/>
    <m/>
    <n v="12.77"/>
    <s v="EROSKI CITY SON FERRER CALVIA"/>
    <x v="0"/>
    <x v="0"/>
  </r>
  <r>
    <x v="4"/>
    <d v="2026-03-08T00:00:00"/>
    <m/>
    <n v="15.99"/>
    <s v="WWW.AMAZON*384FQ0SC5 AMZN.COM/BILL"/>
    <x v="24"/>
    <x v="0"/>
  </r>
  <r>
    <x v="4"/>
    <d v="2026-03-07T00:00:00"/>
    <m/>
    <n v="43.84"/>
    <s v="HERTZ-RAMOOL-OPERATION, DUBAI"/>
    <x v="29"/>
    <x v="2"/>
  </r>
  <r>
    <x v="4"/>
    <d v="2026-03-06T00:00:00"/>
    <m/>
    <n v="38.93"/>
    <s v="ALDI CALVIA CC LA VILA CALA VINYES"/>
    <x v="0"/>
    <x v="0"/>
  </r>
  <r>
    <x v="4"/>
    <d v="2026-03-06T00:00:00"/>
    <m/>
    <n v="9.9600000000000009"/>
    <s v="SPAR EL TORO 019910488 SON FERRER"/>
    <x v="0"/>
    <x v="0"/>
  </r>
  <r>
    <x v="4"/>
    <d v="2026-03-05T00:00:00"/>
    <m/>
    <n v="15.99"/>
    <s v="PAYPAL *FASHIONRETA 981185400"/>
    <x v="24"/>
    <x v="0"/>
  </r>
  <r>
    <x v="4"/>
    <d v="2026-03-05T00:00:00"/>
    <m/>
    <n v="26.61"/>
    <s v="SPAR EL TORO 019910488 SON FERRER"/>
    <x v="0"/>
    <x v="0"/>
  </r>
  <r>
    <x v="4"/>
    <d v="2026-03-04T00:00:00"/>
    <m/>
    <n v="27.33"/>
    <s v="AGROMART SANTA PONCA 34 SANTA PONSA"/>
    <x v="0"/>
    <x v="0"/>
  </r>
  <r>
    <x v="4"/>
    <d v="2026-03-04T00:00:00"/>
    <m/>
    <n v="276"/>
    <s v="UNAVETS CORP. 354757817 SANTA PONSA"/>
    <x v="6"/>
    <x v="0"/>
  </r>
  <r>
    <x v="4"/>
    <d v="2026-03-03T00:00:00"/>
    <m/>
    <n v="9.99"/>
    <s v="APPLE.COM/BILL HOLLYHILL"/>
    <x v="9"/>
    <x v="0"/>
  </r>
  <r>
    <x v="4"/>
    <d v="2026-03-02T00:00:00"/>
    <m/>
    <n v="7.67"/>
    <s v="MULLER SANTA PONSA SANTA PONSA"/>
    <x v="0"/>
    <x v="0"/>
  </r>
  <r>
    <x v="4"/>
    <d v="2026-03-02T00:00:00"/>
    <m/>
    <n v="17.939999999999998"/>
    <s v="MULLER SANTA PONSA SANTA PONSA"/>
    <x v="3"/>
    <x v="0"/>
  </r>
  <r>
    <x v="4"/>
    <d v="2026-03-02T00:00:00"/>
    <m/>
    <n v="4"/>
    <s v="TIM RICARICA WEB ROMA"/>
    <x v="34"/>
    <x v="0"/>
  </r>
  <r>
    <x v="4"/>
    <d v="2026-03-01T00:00:00"/>
    <m/>
    <n v="53.4"/>
    <s v="IL TANO SANTA PONSA 363 SANTA PONSA"/>
    <x v="4"/>
    <x v="0"/>
  </r>
  <r>
    <x v="5"/>
    <d v="2026-02-28T00:00:00"/>
    <m/>
    <n v="114.57"/>
    <s v="ALDI CALVIA CC LA VILA CALA VINYES"/>
    <x v="0"/>
    <x v="0"/>
  </r>
  <r>
    <x v="5"/>
    <d v="2026-02-28T00:00:00"/>
    <m/>
    <n v="7.47"/>
    <s v="MULLER SANTA PONSA SANTA PONSA"/>
    <x v="0"/>
    <x v="0"/>
  </r>
  <r>
    <x v="5"/>
    <d v="2026-02-28T00:00:00"/>
    <m/>
    <n v="7.9"/>
    <s v="WWW.JOENGLISH.COM SOUTH MOLTON"/>
    <x v="7"/>
    <x v="0"/>
  </r>
  <r>
    <x v="5"/>
    <d v="2026-02-27T00:00:00"/>
    <m/>
    <n v="8.75"/>
    <s v="ADNOC - BUSINESS BAY - DUBAI"/>
    <x v="35"/>
    <x v="2"/>
  </r>
  <r>
    <x v="5"/>
    <d v="2026-02-27T00:00:00"/>
    <m/>
    <n v="18.2"/>
    <s v="GULF COURT HOTEL -BUSIN DUBAI"/>
    <x v="36"/>
    <x v="2"/>
  </r>
  <r>
    <x v="5"/>
    <d v="2026-02-27T00:00:00"/>
    <m/>
    <n v="43.49"/>
    <s v="HAIDILAO - DUBAI MALL D DUBAI"/>
    <x v="36"/>
    <x v="2"/>
  </r>
  <r>
    <x v="5"/>
    <d v="2026-02-27T00:00:00"/>
    <m/>
    <n v="13"/>
    <s v="THE FIRST COLLECTION HO DUBAI"/>
    <x v="36"/>
    <x v="2"/>
  </r>
  <r>
    <x v="5"/>
    <d v="2026-02-26T00:00:00"/>
    <m/>
    <n v="19.559999999999999"/>
    <s v="ETISALAT GROUP - SAS AB ABU DHABI"/>
    <x v="34"/>
    <x v="0"/>
  </r>
  <r>
    <x v="5"/>
    <d v="2026-02-26T00:00:00"/>
    <m/>
    <n v="19.559999999999999"/>
    <s v="ETISALAT GROUP - SAS AB ABU DHABI"/>
    <x v="34"/>
    <x v="0"/>
  </r>
  <r>
    <x v="5"/>
    <d v="2026-02-26T00:00:00"/>
    <m/>
    <n v="13.95"/>
    <s v="THE FIRST COLLECTION HO DUBAI"/>
    <x v="36"/>
    <x v="2"/>
  </r>
  <r>
    <x v="5"/>
    <d v="2026-02-27T00:00:00"/>
    <m/>
    <n v="2"/>
    <s v="IMPOSTA DI BOLLO"/>
    <x v="11"/>
    <x v="0"/>
  </r>
  <r>
    <x v="5"/>
    <d v="2026-02-25T00:00:00"/>
    <m/>
    <n v="11.37"/>
    <s v="ADNOC - SAMHA REST AREA ABU DHABI"/>
    <x v="36"/>
    <x v="2"/>
  </r>
  <r>
    <x v="5"/>
    <d v="2026-02-25T00:00:00"/>
    <m/>
    <n v="182.2"/>
    <s v="TEAMLAB PHENOMENA - GS ABU DHABI"/>
    <x v="37"/>
    <x v="2"/>
  </r>
  <r>
    <x v="5"/>
    <d v="2026-02-24T00:00:00"/>
    <m/>
    <n v="13.97"/>
    <s v="THE FIRST COLLECTION HO DUBAI"/>
    <x v="36"/>
    <x v="2"/>
  </r>
  <r>
    <x v="5"/>
    <d v="2026-02-24T00:00:00"/>
    <m/>
    <n v="18.72"/>
    <s v="BATH &amp; BODY WORKS DUBAI DUBAI"/>
    <x v="23"/>
    <x v="0"/>
  </r>
  <r>
    <x v="5"/>
    <d v="2026-02-24T00:00:00"/>
    <m/>
    <n v="21.34"/>
    <s v="ENOC SITE 85 DUBAI DUBA DUBAI"/>
    <x v="35"/>
    <x v="2"/>
  </r>
  <r>
    <x v="5"/>
    <d v="2026-02-23T00:00:00"/>
    <m/>
    <n v="2.99"/>
    <s v="APPLE.COM/BILL HOLLYHILL"/>
    <x v="9"/>
    <x v="0"/>
  </r>
  <r>
    <x v="5"/>
    <d v="2026-02-23T00:00:00"/>
    <m/>
    <n v="19.39"/>
    <s v="SALT - KITE BEACH DUBAI DUBAI"/>
    <x v="36"/>
    <x v="2"/>
  </r>
  <r>
    <x v="5"/>
    <d v="2026-02-23T00:00:00"/>
    <m/>
    <n v="7.58"/>
    <s v="THE FIRST COLLECTION HO DUBAI"/>
    <x v="36"/>
    <x v="2"/>
  </r>
  <r>
    <x v="5"/>
    <d v="2026-02-22T00:00:00"/>
    <m/>
    <n v="6.77"/>
    <s v="CARREFOUR, MANAR MALL, RAS AL KHAYMAH"/>
    <x v="36"/>
    <x v="2"/>
  </r>
  <r>
    <x v="5"/>
    <d v="2026-02-22T00:00:00"/>
    <m/>
    <n v="32.15"/>
    <s v="THE FIRST COLLECTION HO DUBAI"/>
    <x v="36"/>
    <x v="2"/>
  </r>
  <r>
    <x v="5"/>
    <d v="2026-02-21T00:00:00"/>
    <m/>
    <n v="11.54"/>
    <s v="QLUB DUBAI"/>
    <x v="36"/>
    <x v="2"/>
  </r>
  <r>
    <x v="5"/>
    <d v="2026-02-21T00:00:00"/>
    <m/>
    <n v="47.4"/>
    <s v="THE FIRST COLLECTION HO DUBAI"/>
    <x v="36"/>
    <x v="2"/>
  </r>
  <r>
    <x v="5"/>
    <d v="2026-02-21T00:00:00"/>
    <m/>
    <n v="48.34"/>
    <s v="HERTZ-RAMOOL-OPERATION, DUBAI"/>
    <x v="29"/>
    <x v="2"/>
  </r>
  <r>
    <x v="5"/>
    <d v="2026-02-21T00:00:00"/>
    <m/>
    <n v="11.54"/>
    <s v="QLUB DUBAI"/>
    <x v="36"/>
    <x v="2"/>
  </r>
  <r>
    <x v="5"/>
    <d v="2026-02-20T00:00:00"/>
    <m/>
    <n v="1.99"/>
    <s v="AEROPUERTO PALMA MALLOR PALMA DE MALL"/>
    <x v="36"/>
    <x v="2"/>
  </r>
  <r>
    <x v="5"/>
    <d v="2026-02-20T00:00:00"/>
    <m/>
    <n v="25"/>
    <s v="Quota Membership Rewards"/>
    <x v="38"/>
    <x v="0"/>
  </r>
  <r>
    <x v="5"/>
    <d v="2026-02-19T00:00:00"/>
    <m/>
    <n v="5.6"/>
    <s v="ESIMO NICOSIA"/>
    <x v="39"/>
    <x v="2"/>
  </r>
  <r>
    <x v="5"/>
    <d v="2026-02-19T00:00:00"/>
    <m/>
    <n v="2.89"/>
    <s v="PAYPAL *DISCOVERY HELP. 207138900"/>
    <x v="15"/>
    <x v="0"/>
  </r>
  <r>
    <x v="5"/>
    <d v="2026-02-19T00:00:00"/>
    <m/>
    <n v="9.56"/>
    <s v="SPAR EL TORO 019910488 SON FERRER"/>
    <x v="0"/>
    <x v="0"/>
  </r>
  <r>
    <x v="5"/>
    <d v="2026-02-17T00:00:00"/>
    <m/>
    <n v="8.2799999999999994"/>
    <s v="MULLER SANTA PONSA SANTA PONSA"/>
    <x v="3"/>
    <x v="0"/>
  </r>
  <r>
    <x v="5"/>
    <d v="2026-02-17T00:00:00"/>
    <m/>
    <n v="11.9"/>
    <s v="UNAVETS CORP. 354757817 SANTA PONSA"/>
    <x v="6"/>
    <x v="0"/>
  </r>
  <r>
    <x v="5"/>
    <d v="2026-02-15T00:00:00"/>
    <m/>
    <n v="22.55"/>
    <s v="JUST EAT SPAIN, S.L. MADRID"/>
    <x v="4"/>
    <x v="0"/>
  </r>
  <r>
    <x v="5"/>
    <d v="2026-02-14T00:00:00"/>
    <m/>
    <n v="19.97"/>
    <s v="AMZN MKTP ES*4L9P39ER5 AMZN.COM/BILL"/>
    <x v="24"/>
    <x v="0"/>
  </r>
  <r>
    <x v="5"/>
    <d v="2026-02-14T00:00:00"/>
    <m/>
    <n v="4.25"/>
    <s v="CECOSA SUPERMERCADOS 01 SANTA PONSA"/>
    <x v="0"/>
    <x v="0"/>
  </r>
  <r>
    <x v="5"/>
    <d v="2026-02-14T00:00:00"/>
    <m/>
    <n v="17.7"/>
    <s v="ESIMO NICOSIA"/>
    <x v="39"/>
    <x v="2"/>
  </r>
  <r>
    <x v="5"/>
    <d v="2026-02-13T00:00:00"/>
    <m/>
    <n v="26"/>
    <s v="EL CORTE INGLES-DEPARTA PALMA DE MALL"/>
    <x v="40"/>
    <x v="0"/>
  </r>
  <r>
    <x v="5"/>
    <d v="2026-02-13T00:00:00"/>
    <m/>
    <n v="11.49"/>
    <s v="LM PALMA CIUDAD 0368257 PALMA DE MALL"/>
    <x v="20"/>
    <x v="0"/>
  </r>
  <r>
    <x v="5"/>
    <d v="2026-02-13T00:00:00"/>
    <m/>
    <n v="5.99"/>
    <s v="PAYPAL *HBOMAX HELP.HBO 4029357733"/>
    <x v="15"/>
    <x v="0"/>
  </r>
  <r>
    <x v="5"/>
    <d v="2026-02-13T00:00:00"/>
    <m/>
    <n v="48.3"/>
    <s v="RAMEN OTAKU 347897845 PALMA"/>
    <x v="4"/>
    <x v="0"/>
  </r>
  <r>
    <x v="5"/>
    <d v="2026-02-12T00:00:00"/>
    <m/>
    <n v="500"/>
    <s v="MOLLIE=STICHTING VU 14 AMSTERDAM"/>
    <x v="26"/>
    <x v="0"/>
  </r>
  <r>
    <x v="5"/>
    <d v="2026-02-12T00:00:00"/>
    <m/>
    <n v="6.99"/>
    <s v="NETFLIX.COM MILAN"/>
    <x v="15"/>
    <x v="0"/>
  </r>
  <r>
    <x v="5"/>
    <d v="2026-02-11T00:00:00"/>
    <m/>
    <n v="7.46"/>
    <s v="SPAR EL TORO 019910488 SON FERRER"/>
    <x v="0"/>
    <x v="0"/>
  </r>
  <r>
    <x v="5"/>
    <d v="2026-02-10T00:00:00"/>
    <m/>
    <n v="28.63"/>
    <s v="CECOSA SUPERMERCADOS 01 SANTA PONSA"/>
    <x v="0"/>
    <x v="0"/>
  </r>
  <r>
    <x v="5"/>
    <d v="2026-02-10T00:00:00"/>
    <m/>
    <n v="1875.99"/>
    <s v="INST. DP CIRUGIA PLASTI SANT LLORENZ"/>
    <x v="33"/>
    <x v="0"/>
  </r>
  <r>
    <x v="5"/>
    <d v="2026-02-10T00:00:00"/>
    <n v="34.99"/>
    <m/>
    <s v="PAYPAL *HENNESMAURI 800000444"/>
    <x v="2"/>
    <x v="0"/>
  </r>
  <r>
    <x v="5"/>
    <d v="2026-02-09T00:00:00"/>
    <m/>
    <n v="65.62"/>
    <s v="AGROMART SANTA PONCA 34 SANTA PONSA"/>
    <x v="0"/>
    <x v="0"/>
  </r>
  <r>
    <x v="5"/>
    <d v="2026-02-08T00:00:00"/>
    <m/>
    <n v="14.71"/>
    <s v="AMAZON.ES*BF08X3CR5 AMAZON.ES/AYU"/>
    <x v="6"/>
    <x v="0"/>
  </r>
  <r>
    <x v="5"/>
    <d v="2026-02-08T00:00:00"/>
    <m/>
    <n v="33.79"/>
    <s v="AMZ*HSN - WE ARE NUT NU PAY.AMAZON.CO"/>
    <x v="24"/>
    <x v="0"/>
  </r>
  <r>
    <x v="5"/>
    <d v="2026-02-08T00:00:00"/>
    <m/>
    <n v="18.940000000000001"/>
    <s v="AMZN MKTP ES*UB6UD71X5 AMZN.COM/BILL"/>
    <x v="24"/>
    <x v="0"/>
  </r>
  <r>
    <x v="5"/>
    <d v="2026-02-07T00:00:00"/>
    <m/>
    <n v="2.79"/>
    <s v="CECOSA SUPERMERCADOS 01 SANTA PONSA"/>
    <x v="0"/>
    <x v="0"/>
  </r>
  <r>
    <x v="5"/>
    <d v="2026-02-07T00:00:00"/>
    <m/>
    <n v="3.86"/>
    <s v="MULLER SANTA PONSA SANTA PONSA"/>
    <x v="40"/>
    <x v="0"/>
  </r>
  <r>
    <x v="5"/>
    <d v="2026-02-07T00:00:00"/>
    <m/>
    <n v="8.3800000000000008"/>
    <s v="MULLER SANTA PONSA SANTA PONSA"/>
    <x v="14"/>
    <x v="0"/>
  </r>
  <r>
    <x v="5"/>
    <d v="2026-02-06T00:00:00"/>
    <m/>
    <n v="15.15"/>
    <s v="ALDI CALVIA CC LA VILA CALA VINYES"/>
    <x v="0"/>
    <x v="0"/>
  </r>
  <r>
    <x v="5"/>
    <d v="2026-02-05T00:00:00"/>
    <m/>
    <n v="77.53"/>
    <s v="ALDI CALVIA CC LA VILA CALA VINYES"/>
    <x v="0"/>
    <x v="0"/>
  </r>
  <r>
    <x v="5"/>
    <d v="2026-02-05T00:00:00"/>
    <m/>
    <n v="8.14"/>
    <s v="EROSKI CITY SON FERRER CALVIA"/>
    <x v="0"/>
    <x v="0"/>
  </r>
  <r>
    <x v="5"/>
    <d v="2026-02-04T00:00:00"/>
    <m/>
    <n v="8.49"/>
    <s v="AMZN MKTP ES*V62QP2JO5 AMZN.COM/BILL"/>
    <x v="40"/>
    <x v="0"/>
  </r>
  <r>
    <x v="5"/>
    <d v="2026-02-04T00:00:00"/>
    <m/>
    <n v="6.49"/>
    <s v="MULLER SANTA PONSA SANTA PONSA"/>
    <x v="26"/>
    <x v="0"/>
  </r>
  <r>
    <x v="5"/>
    <d v="2026-02-04T00:00:00"/>
    <m/>
    <n v="6.26"/>
    <s v="MULLER SANTA PONSA SANTA PONSA"/>
    <x v="0"/>
    <x v="0"/>
  </r>
  <r>
    <x v="5"/>
    <d v="2026-02-04T00:00:00"/>
    <m/>
    <n v="8.98"/>
    <s v="MULLER SANTA PONSA SANTA PONSA"/>
    <x v="14"/>
    <x v="0"/>
  </r>
  <r>
    <x v="5"/>
    <d v="2026-02-04T00:00:00"/>
    <m/>
    <n v="6.23"/>
    <s v="SPAR EL TORO 019910488 SON FERRER"/>
    <x v="0"/>
    <x v="0"/>
  </r>
  <r>
    <x v="5"/>
    <d v="2026-02-03T00:00:00"/>
    <m/>
    <n v="9.99"/>
    <s v="APPLE.COM/BILL HOLLYHILL"/>
    <x v="15"/>
    <x v="0"/>
  </r>
  <r>
    <x v="5"/>
    <d v="2026-02-02T00:00:00"/>
    <m/>
    <n v="17.989999999999998"/>
    <s v="AMZN MKTP ES*1B2JA9MG5 AMZN.COM/BILL"/>
    <x v="24"/>
    <x v="0"/>
  </r>
  <r>
    <x v="5"/>
    <d v="2026-02-03T00:00:00"/>
    <m/>
    <n v="44.43"/>
    <s v="SUMUP*FLEURDAME.IT DI B BOLOGNA"/>
    <x v="16"/>
    <x v="0"/>
  </r>
  <r>
    <x v="6"/>
    <d v="2026-01-31T00:00:00"/>
    <m/>
    <n v="70.67"/>
    <s v="ALDI CALVIA CC LA VILA CALA VINYES"/>
    <x v="0"/>
    <x v="0"/>
  </r>
  <r>
    <x v="6"/>
    <d v="2026-01-31T00:00:00"/>
    <m/>
    <n v="15.4"/>
    <s v="CAFFE BAZAR MURRI BOLOGNA"/>
    <x v="5"/>
    <x v="0"/>
  </r>
  <r>
    <x v="6"/>
    <d v="2026-01-31T00:00:00"/>
    <m/>
    <n v="12.04"/>
    <s v="SPAR EL TORO 019910488 SON FERRER"/>
    <x v="0"/>
    <x v="0"/>
  </r>
  <r>
    <x v="6"/>
    <d v="2026-01-30T00:00:00"/>
    <m/>
    <n v="7.9"/>
    <s v="WWW.JOENGLISH.COM SOUTH MOLTON"/>
    <x v="7"/>
    <x v="0"/>
  </r>
  <r>
    <x v="6"/>
    <d v="2026-01-29T00:00:00"/>
    <m/>
    <n v="88"/>
    <s v="FRA DIAVOLO - EAT PIZZA BOLOGNA"/>
    <x v="4"/>
    <x v="0"/>
  </r>
  <r>
    <x v="6"/>
    <d v="2026-01-28T00:00:00"/>
    <m/>
    <n v="39.03"/>
    <s v="AGROMART SANTA PONCA 34 SANTA PONSA"/>
    <x v="0"/>
    <x v="0"/>
  </r>
  <r>
    <x v="6"/>
    <d v="2026-01-28T00:00:00"/>
    <m/>
    <n v="14.95"/>
    <s v="MULLER SANTA PONSA SANTA PONSA"/>
    <x v="14"/>
    <x v="0"/>
  </r>
  <r>
    <x v="6"/>
    <d v="2026-01-28T00:00:00"/>
    <m/>
    <n v="7.4600000000000009"/>
    <s v="MULLER SANTA PONSA SANTA PONSA"/>
    <x v="0"/>
    <x v="0"/>
  </r>
  <r>
    <x v="6"/>
    <d v="2026-01-28T00:00:00"/>
    <m/>
    <n v="33"/>
    <s v="PIZZA GOURMAND BOLOGNA"/>
    <x v="4"/>
    <x v="0"/>
  </r>
  <r>
    <x v="6"/>
    <d v="2026-01-28T00:00:00"/>
    <m/>
    <n v="180"/>
    <s v="UNAVETS CORP. 354757817 SANTA PONSA"/>
    <x v="6"/>
    <x v="0"/>
  </r>
  <r>
    <x v="6"/>
    <d v="2026-01-27T00:00:00"/>
    <m/>
    <n v="80.239999999999995"/>
    <s v="RYANAIR LTD AIRLINE DUBLIN"/>
    <x v="12"/>
    <x v="0"/>
  </r>
  <r>
    <x v="6"/>
    <d v="2026-01-27T00:00:00"/>
    <m/>
    <n v="11.4"/>
    <s v="SPAR EL TORO 019910488 SON FERRER"/>
    <x v="0"/>
    <x v="0"/>
  </r>
  <r>
    <x v="6"/>
    <d v="2026-01-27T00:00:00"/>
    <m/>
    <n v="2.2999999999999998"/>
    <s v="TPER CITT√Ä DI BOLOGNA BOLOGNA"/>
    <x v="25"/>
    <x v="0"/>
  </r>
  <r>
    <x v="6"/>
    <d v="2026-01-27T00:00:00"/>
    <m/>
    <n v="2"/>
    <s v="IMPOSTA DI BOLLO"/>
    <x v="11"/>
    <x v="0"/>
  </r>
  <r>
    <x v="6"/>
    <d v="2026-01-26T00:00:00"/>
    <m/>
    <n v="97"/>
    <s v="OPTICA BALEAR RAMBLAS 3 PALMA DE MALL"/>
    <x v="41"/>
    <x v="0"/>
  </r>
  <r>
    <x v="6"/>
    <d v="2026-01-26T00:00:00"/>
    <m/>
    <n v="33"/>
    <s v="RYANAIR LTD AIRLINE DUBLIN"/>
    <x v="12"/>
    <x v="0"/>
  </r>
  <r>
    <x v="6"/>
    <d v="2026-01-26T00:00:00"/>
    <n v="1.99"/>
    <m/>
    <s v="Sconto Safekey with Points"/>
    <x v="38"/>
    <x v="0"/>
  </r>
  <r>
    <x v="6"/>
    <d v="2026-01-25T00:00:00"/>
    <m/>
    <n v="9.7899999999999991"/>
    <s v="AMAZON.ES*GE0QX7RK5 AMAZON.ES/AYU"/>
    <x v="6"/>
    <x v="0"/>
  </r>
  <r>
    <x v="6"/>
    <d v="2026-01-25T00:00:00"/>
    <m/>
    <n v="56.98"/>
    <s v="AMZN MKTP ES*O44U09BP5 AMZN.COM/BILL"/>
    <x v="6"/>
    <x v="0"/>
  </r>
  <r>
    <x v="6"/>
    <d v="2026-01-24T00:00:00"/>
    <m/>
    <n v="29.2"/>
    <s v="IL TANO SANTA PONSA 363 SANTA PONSA"/>
    <x v="4"/>
    <x v="0"/>
  </r>
  <r>
    <x v="6"/>
    <d v="2026-01-24T00:00:00"/>
    <m/>
    <n v="15.99"/>
    <s v="KINDLE SVCS*XJ9ZC4D65 349-11230420"/>
    <x v="8"/>
    <x v="0"/>
  </r>
  <r>
    <x v="6"/>
    <d v="2026-01-24T00:00:00"/>
    <m/>
    <n v="9.14"/>
    <s v="MULLER SANTA PONSA SANTA PONSA"/>
    <x v="14"/>
    <x v="0"/>
  </r>
  <r>
    <x v="6"/>
    <d v="2026-01-23T00:00:00"/>
    <m/>
    <n v="2.99"/>
    <s v="APPLE.COM/BILL HOLLYHILL"/>
    <x v="9"/>
    <x v="0"/>
  </r>
  <r>
    <x v="6"/>
    <d v="2026-01-23T00:00:00"/>
    <m/>
    <n v="35.049999999999997"/>
    <s v="PAYPAL *JUSTEATSPAI 673460990"/>
    <x v="4"/>
    <x v="0"/>
  </r>
  <r>
    <x v="6"/>
    <d v="2026-01-22T00:00:00"/>
    <m/>
    <n v="34.99"/>
    <s v="PAYPAL *HENNESMAURI 800000444"/>
    <x v="2"/>
    <x v="0"/>
  </r>
  <r>
    <x v="6"/>
    <d v="2026-01-21T00:00:00"/>
    <m/>
    <n v="19.96"/>
    <s v="ALDI CALVIA CC LA VILA CALA VINYES"/>
    <x v="0"/>
    <x v="0"/>
  </r>
  <r>
    <x v="6"/>
    <d v="2026-01-20T00:00:00"/>
    <m/>
    <n v="25.74"/>
    <s v="EROSKI CITY SON FERRER CALVIA"/>
    <x v="0"/>
    <x v="0"/>
  </r>
  <r>
    <x v="6"/>
    <d v="2026-01-19T00:00:00"/>
    <m/>
    <n v="53.2"/>
    <s v="CARREFOUR PORTO MAG-010 PALMA DE MALLOR"/>
    <x v="0"/>
    <x v="0"/>
  </r>
  <r>
    <x v="6"/>
    <d v="2026-01-19T00:00:00"/>
    <m/>
    <n v="23.15"/>
    <s v="MULLER SANTA PONSA SANTA PONSA"/>
    <x v="14"/>
    <x v="0"/>
  </r>
  <r>
    <x v="6"/>
    <d v="2026-01-19T00:00:00"/>
    <m/>
    <n v="2.89"/>
    <s v="PAYPAL *DISCOVERY HELP. 207138900"/>
    <x v="15"/>
    <x v="0"/>
  </r>
  <r>
    <x v="6"/>
    <d v="2026-01-19T00:00:00"/>
    <m/>
    <n v="30.94"/>
    <s v="PAYPAL *FASHIONRETA 981185400"/>
    <x v="2"/>
    <x v="0"/>
  </r>
  <r>
    <x v="6"/>
    <d v="2026-01-16T00:00:00"/>
    <m/>
    <n v="23.42"/>
    <s v="ALDI CALVIA CC LA VILA CALA VINYES"/>
    <x v="0"/>
    <x v="0"/>
  </r>
  <r>
    <x v="6"/>
    <d v="2026-01-16T00:00:00"/>
    <m/>
    <n v="55.98"/>
    <s v="CECOSA SUPERMERCADOS 01 PALMA DE MALL"/>
    <x v="0"/>
    <x v="0"/>
  </r>
  <r>
    <x v="6"/>
    <d v="2026-01-16T00:00:00"/>
    <m/>
    <n v="236.61"/>
    <s v="DEUTSCHE LUFTHANSA AG Koeln"/>
    <x v="12"/>
    <x v="0"/>
  </r>
  <r>
    <x v="6"/>
    <d v="2026-01-16T00:00:00"/>
    <n v="35.43"/>
    <m/>
    <s v="Sconto Safekey with Points"/>
    <x v="38"/>
    <x v="0"/>
  </r>
  <r>
    <x v="6"/>
    <d v="2026-01-15T00:00:00"/>
    <m/>
    <n v="7.99"/>
    <s v="KINDLE SVCS*YO5252RB5 349-11230420"/>
    <x v="8"/>
    <x v="0"/>
  </r>
  <r>
    <x v="6"/>
    <d v="2026-01-14T00:00:00"/>
    <m/>
    <n v="8.7800000000000011"/>
    <s v="MULLER SANTA PONSA SANTA PONSA"/>
    <x v="14"/>
    <x v="0"/>
  </r>
  <r>
    <x v="6"/>
    <d v="2026-01-14T00:00:00"/>
    <m/>
    <n v="18.739999999999998"/>
    <s v="MULLER SANTA PONSA SANTA PONSA"/>
    <x v="0"/>
    <x v="0"/>
  </r>
  <r>
    <x v="6"/>
    <d v="2026-01-13T00:00:00"/>
    <m/>
    <n v="5.99"/>
    <s v="PAYPAL *HBOMAX HELP.HBO 4029357733"/>
    <x v="15"/>
    <x v="0"/>
  </r>
  <r>
    <x v="6"/>
    <d v="2026-01-13T00:00:00"/>
    <m/>
    <n v="18.11"/>
    <s v="SPAR EL TORO 019910488 SON FERRER"/>
    <x v="0"/>
    <x v="0"/>
  </r>
  <r>
    <x v="6"/>
    <d v="2026-01-12T00:00:00"/>
    <m/>
    <n v="46.31"/>
    <s v="ALDI CALVIA CC LA VILA CALA VINYES"/>
    <x v="0"/>
    <x v="0"/>
  </r>
  <r>
    <x v="6"/>
    <d v="2026-01-11T00:00:00"/>
    <m/>
    <n v="6.99"/>
    <s v="NETFLIX.COM 18665797172"/>
    <x v="15"/>
    <x v="0"/>
  </r>
  <r>
    <x v="6"/>
    <d v="2026-01-10T00:00:00"/>
    <m/>
    <n v="9.98"/>
    <s v="MULLER SANTA PONSA SANTA PONSA"/>
    <x v="14"/>
    <x v="0"/>
  </r>
  <r>
    <x v="6"/>
    <d v="2026-01-10T00:00:00"/>
    <m/>
    <n v="14.440000000000001"/>
    <s v="MULLER SANTA PONSA SANTA PONSA"/>
    <x v="0"/>
    <x v="0"/>
  </r>
  <r>
    <x v="6"/>
    <d v="2026-01-10T00:00:00"/>
    <m/>
    <n v="47.85"/>
    <s v="PAYPAL *JUSTEATSPAI 673460990"/>
    <x v="4"/>
    <x v="0"/>
  </r>
  <r>
    <x v="6"/>
    <d v="2026-01-08T00:00:00"/>
    <m/>
    <n v="68"/>
    <s v="AGROMART SANTA PONCA 34 SANTA PONSA"/>
    <x v="0"/>
    <x v="0"/>
  </r>
  <r>
    <x v="6"/>
    <d v="2026-01-08T00:00:00"/>
    <m/>
    <n v="6.99"/>
    <s v="DISNEY PLUS DISNEY PLUS NETHERLANDS"/>
    <x v="15"/>
    <x v="0"/>
  </r>
  <r>
    <x v="6"/>
    <d v="2026-01-07T00:00:00"/>
    <m/>
    <n v="5.55"/>
    <s v="CECOSA SUPERMERCADOS 01 SANTA PONSA"/>
    <x v="0"/>
    <x v="0"/>
  </r>
  <r>
    <x v="6"/>
    <d v="2026-01-07T00:00:00"/>
    <m/>
    <n v="21.89"/>
    <s v="FARMACIA RIERA 34629550 TORO,EL"/>
    <x v="24"/>
    <x v="0"/>
  </r>
  <r>
    <x v="6"/>
    <d v="2026-01-05T00:00:00"/>
    <m/>
    <n v="94.99"/>
    <s v="ALDI CALVIA CC LA VILA CALA VINYES"/>
    <x v="0"/>
    <x v="0"/>
  </r>
  <r>
    <x v="6"/>
    <d v="2026-01-05T00:00:00"/>
    <m/>
    <n v="17.600000000000001"/>
    <s v="LIDL MALL-CALVI -MAGALU CAL CATALA"/>
    <x v="0"/>
    <x v="0"/>
  </r>
  <r>
    <x v="6"/>
    <d v="2026-01-04T00:00:00"/>
    <m/>
    <n v="11.08"/>
    <s v="SPAR EL TORO 019910488 SON FERRER"/>
    <x v="0"/>
    <x v="0"/>
  </r>
  <r>
    <x v="6"/>
    <d v="2026-01-03T00:00:00"/>
    <m/>
    <n v="10.29"/>
    <s v="AMZN MKTP ES*ZG4W577B4 AMZN.COM/BILL"/>
    <x v="6"/>
    <x v="0"/>
  </r>
  <r>
    <x v="6"/>
    <d v="2026-01-03T00:00:00"/>
    <m/>
    <n v="19.970000000000002"/>
    <s v="AMZN MKTP ES*ZG4W577B4 AMZN.COM/BILL"/>
    <x v="24"/>
    <x v="0"/>
  </r>
  <r>
    <x v="6"/>
    <d v="2026-01-03T00:00:00"/>
    <m/>
    <n v="9.99"/>
    <s v="APPLE.COM/BILL HOLLYHILL"/>
    <x v="15"/>
    <x v="0"/>
  </r>
  <r>
    <x v="6"/>
    <d v="2026-01-02T00:00:00"/>
    <m/>
    <n v="11.49"/>
    <s v="APPLE.COM/BILL HOLLYHILL"/>
    <x v="34"/>
    <x v="0"/>
  </r>
  <r>
    <x v="6"/>
    <d v="2026-01-02T00:00:00"/>
    <m/>
    <n v="64.5"/>
    <s v="UNAVETS CORP. 354757817 SANTA PONSA"/>
    <x v="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A993F-3903-8144-944C-3CB3C2BFDA8D}" name="Tabella pivot1" cacheId="213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G10" firstHeaderRow="1" firstDataRow="3" firstDataCol="1"/>
  <pivotFields count="8">
    <pivotField axis="axisRow" showAll="0">
      <items count="3">
        <item x="1"/>
        <item x="0"/>
        <item t="default"/>
      </items>
    </pivotField>
    <pivotField numFmtId="14" showAll="0"/>
    <pivotField numFmtId="170" showAll="0"/>
    <pivotField dataField="1" showAll="0"/>
    <pivotField dataField="1" showAll="0"/>
    <pivotField showAll="0"/>
    <pivotField axis="axisCol" showAll="0">
      <items count="4">
        <item x="1"/>
        <item m="1" x="2"/>
        <item x="0"/>
        <item t="default"/>
      </items>
    </pivotField>
    <pivotField axis="axisRow" showAll="0">
      <items count="2">
        <item x="0"/>
        <item t="default"/>
      </items>
    </pivotField>
  </pivotFields>
  <rowFields count="2">
    <field x="0"/>
    <field x="7"/>
  </rowFields>
  <rowItems count="5">
    <i>
      <x/>
    </i>
    <i r="1">
      <x/>
    </i>
    <i>
      <x v="1"/>
    </i>
    <i r="1">
      <x/>
    </i>
    <i t="grand">
      <x/>
    </i>
  </rowItems>
  <colFields count="2">
    <field x="-2"/>
    <field x="6"/>
  </colFields>
  <colItems count="6">
    <i>
      <x/>
      <x/>
    </i>
    <i r="1">
      <x v="2"/>
    </i>
    <i i="1">
      <x v="1"/>
      <x/>
    </i>
    <i r="1" i="1">
      <x v="2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41DD0A-F7EB-DF46-88EF-0ABFB6DFCC50}" name="Tabella pivot1" cacheId="215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G12" firstHeaderRow="1" firstDataRow="3" firstDataCol="1"/>
  <pivotFields count="8">
    <pivotField axis="axisRow" showAll="0">
      <items count="4">
        <item x="2"/>
        <item x="1"/>
        <item x="0"/>
        <item t="default"/>
      </items>
    </pivotField>
    <pivotField numFmtId="14" showAll="0"/>
    <pivotField numFmtId="170" showAll="0"/>
    <pivotField dataField="1" showAll="0"/>
    <pivotField dataField="1"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</pivotFields>
  <rowFields count="2">
    <field x="0"/>
    <field x="7"/>
  </rowFields>
  <rowItems count="7">
    <i>
      <x/>
    </i>
    <i r="1">
      <x/>
    </i>
    <i>
      <x v="1"/>
    </i>
    <i r="1">
      <x/>
    </i>
    <i>
      <x v="2"/>
    </i>
    <i r="1">
      <x/>
    </i>
    <i t="grand">
      <x/>
    </i>
  </rowItems>
  <colFields count="2">
    <field x="-2"/>
    <field x="6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A742DA-6F04-8E4F-8321-249B288BEA11}" name="Tabella pivot1" cacheId="212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Y14" firstHeaderRow="1" firstDataRow="3" firstDataCol="1"/>
  <pivotFields count="10">
    <pivotField axis="axisRow" showAll="0">
      <items count="5">
        <item x="3"/>
        <item x="2"/>
        <item x="1"/>
        <item x="0"/>
        <item t="default"/>
      </items>
    </pivotField>
    <pivotField numFmtId="14" showAll="0"/>
    <pivotField numFmtId="170" showAll="0"/>
    <pivotField dataField="1" numFmtId="190" showAll="0"/>
    <pivotField dataField="1" showAll="0"/>
    <pivotField dataField="1" numFmtId="190" showAll="0"/>
    <pivotField dataField="1" showAll="0"/>
    <pivotField showAll="0"/>
    <pivotField axis="axisCol" showAll="0">
      <items count="8">
        <item x="4"/>
        <item m="1" x="6"/>
        <item m="1" x="5"/>
        <item x="1"/>
        <item x="0"/>
        <item x="2"/>
        <item x="3"/>
        <item t="default"/>
      </items>
    </pivotField>
    <pivotField axis="axisRow" showAll="0">
      <items count="2">
        <item x="0"/>
        <item t="default"/>
      </items>
    </pivotField>
  </pivotFields>
  <rowFields count="2">
    <field x="0"/>
    <field x="9"/>
  </rowFields>
  <rowItems count="9">
    <i>
      <x/>
    </i>
    <i r="1">
      <x/>
    </i>
    <i>
      <x v="1"/>
    </i>
    <i r="1">
      <x/>
    </i>
    <i>
      <x v="2"/>
    </i>
    <i r="1">
      <x/>
    </i>
    <i>
      <x v="3"/>
    </i>
    <i r="1">
      <x/>
    </i>
    <i t="grand">
      <x/>
    </i>
  </rowItems>
  <colFields count="2">
    <field x="8"/>
    <field x="-2"/>
  </colFields>
  <colItems count="24">
    <i>
      <x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>
      <x v="5"/>
      <x/>
    </i>
    <i r="1" i="1">
      <x v="1"/>
    </i>
    <i r="1" i="2">
      <x v="2"/>
    </i>
    <i r="1" i="3">
      <x v="3"/>
    </i>
    <i>
      <x v="6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omma di Avere EUR" fld="5" baseField="0" baseItem="0" numFmtId="190"/>
    <dataField name="Somma di Avere AED" fld="3" baseField="0" baseItem="0" numFmtId="190"/>
    <dataField name="Somma di Dare AED" fld="4" baseField="0" baseItem="0"/>
    <dataField name="Somma di Dare EUR" fld="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06AA15-E598-204E-BFC0-F6C1069B884F}" name="Tabella pivot1" cacheId="219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CI25" firstHeaderRow="1" firstDataRow="3" firstDataCol="1"/>
  <pivotFields count="7">
    <pivotField axis="axisRow" showAll="0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4" showAll="0"/>
    <pivotField dataField="1" showAll="0"/>
    <pivotField dataField="1" showAll="0"/>
    <pivotField showAll="0"/>
    <pivotField axis="axisCol" showAll="0">
      <items count="57">
        <item x="0"/>
        <item x="2"/>
        <item x="27"/>
        <item m="1" x="46"/>
        <item x="14"/>
        <item x="9"/>
        <item x="6"/>
        <item x="4"/>
        <item x="11"/>
        <item x="5"/>
        <item m="1" x="55"/>
        <item x="31"/>
        <item x="7"/>
        <item x="15"/>
        <item m="1" x="49"/>
        <item x="21"/>
        <item x="36"/>
        <item x="24"/>
        <item x="3"/>
        <item x="18"/>
        <item x="23"/>
        <item m="1" x="51"/>
        <item x="12"/>
        <item m="1" x="48"/>
        <item x="10"/>
        <item x="25"/>
        <item x="16"/>
        <item x="40"/>
        <item m="1" x="52"/>
        <item m="1" x="44"/>
        <item x="39"/>
        <item m="1" x="53"/>
        <item m="1" x="42"/>
        <item m="1" x="50"/>
        <item m="1" x="47"/>
        <item x="37"/>
        <item x="26"/>
        <item x="29"/>
        <item m="1" x="54"/>
        <item x="34"/>
        <item x="20"/>
        <item x="35"/>
        <item m="1" x="45"/>
        <item x="17"/>
        <item m="1" x="43"/>
        <item x="41"/>
        <item x="38"/>
        <item x="33"/>
        <item x="32"/>
        <item x="30"/>
        <item x="28"/>
        <item x="22"/>
        <item x="1"/>
        <item x="19"/>
        <item x="13"/>
        <item x="8"/>
        <item t="default"/>
      </items>
    </pivotField>
    <pivotField axis="axisRow" showAll="0">
      <items count="8">
        <item x="0"/>
        <item m="1" x="6"/>
        <item m="1" x="5"/>
        <item x="2"/>
        <item m="1" x="4"/>
        <item m="1" x="3"/>
        <item x="1"/>
        <item t="default"/>
      </items>
    </pivotField>
  </pivotFields>
  <rowFields count="2">
    <field x="0"/>
    <field x="6"/>
  </rowFields>
  <rowItems count="20">
    <i>
      <x/>
    </i>
    <i r="1">
      <x/>
    </i>
    <i>
      <x v="1"/>
    </i>
    <i r="1">
      <x/>
    </i>
    <i r="1">
      <x v="3"/>
    </i>
    <i>
      <x v="2"/>
    </i>
    <i r="1">
      <x/>
    </i>
    <i r="1">
      <x v="3"/>
    </i>
    <i>
      <x v="3"/>
    </i>
    <i r="1">
      <x/>
    </i>
    <i r="1">
      <x v="3"/>
    </i>
    <i r="1">
      <x v="6"/>
    </i>
    <i>
      <x v="4"/>
    </i>
    <i r="1">
      <x/>
    </i>
    <i r="1">
      <x v="6"/>
    </i>
    <i>
      <x v="5"/>
    </i>
    <i r="1">
      <x/>
    </i>
    <i>
      <x v="6"/>
    </i>
    <i r="1">
      <x/>
    </i>
    <i t="grand">
      <x/>
    </i>
  </rowItems>
  <colFields count="2">
    <field x="-2"/>
    <field x="5"/>
  </colFields>
  <colItems count="86">
    <i>
      <x/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30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43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i="1">
      <x v="1"/>
      <x/>
    </i>
    <i r="1" i="1">
      <x v="1"/>
    </i>
    <i r="1" i="1">
      <x v="2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1"/>
    </i>
    <i r="1" i="1">
      <x v="12"/>
    </i>
    <i r="1" i="1">
      <x v="13"/>
    </i>
    <i r="1" i="1">
      <x v="15"/>
    </i>
    <i r="1" i="1">
      <x v="16"/>
    </i>
    <i r="1" i="1">
      <x v="17"/>
    </i>
    <i r="1" i="1">
      <x v="18"/>
    </i>
    <i r="1" i="1">
      <x v="19"/>
    </i>
    <i r="1" i="1">
      <x v="20"/>
    </i>
    <i r="1" i="1">
      <x v="22"/>
    </i>
    <i r="1" i="1">
      <x v="24"/>
    </i>
    <i r="1" i="1">
      <x v="25"/>
    </i>
    <i r="1" i="1">
      <x v="26"/>
    </i>
    <i r="1" i="1">
      <x v="27"/>
    </i>
    <i r="1" i="1">
      <x v="30"/>
    </i>
    <i r="1" i="1">
      <x v="35"/>
    </i>
    <i r="1" i="1">
      <x v="36"/>
    </i>
    <i r="1" i="1">
      <x v="37"/>
    </i>
    <i r="1" i="1">
      <x v="39"/>
    </i>
    <i r="1" i="1">
      <x v="40"/>
    </i>
    <i r="1" i="1">
      <x v="41"/>
    </i>
    <i r="1" i="1">
      <x v="43"/>
    </i>
    <i r="1" i="1">
      <x v="45"/>
    </i>
    <i r="1" i="1">
      <x v="46"/>
    </i>
    <i r="1" i="1">
      <x v="47"/>
    </i>
    <i r="1" i="1">
      <x v="48"/>
    </i>
    <i r="1" i="1">
      <x v="49"/>
    </i>
    <i r="1" i="1">
      <x v="50"/>
    </i>
    <i r="1" i="1">
      <x v="51"/>
    </i>
    <i r="1" i="1">
      <x v="52"/>
    </i>
    <i r="1" i="1">
      <x v="53"/>
    </i>
    <i r="1" i="1">
      <x v="54"/>
    </i>
    <i r="1" i="1">
      <x v="55"/>
    </i>
    <i t="grand">
      <x/>
    </i>
    <i t="grand" i="1">
      <x/>
    </i>
  </colItems>
  <dataFields count="2">
    <dataField name="Somma di Dare" fld="3" baseField="0" baseItem="0"/>
    <dataField name="Somma di Avere" fld="2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195EAD-2612-8345-90A8-44F223C76364}" name="Tabella pivot1" cacheId="218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3:AC15" firstHeaderRow="1" firstDataRow="3" firstDataCol="1"/>
  <pivotFields count="8">
    <pivotField axis="axisRow" showAll="0">
      <items count="5">
        <item x="3"/>
        <item x="2"/>
        <item x="1"/>
        <item x="0"/>
        <item t="default"/>
      </items>
    </pivotField>
    <pivotField numFmtId="14" showAll="0"/>
    <pivotField numFmtId="170" showAll="0"/>
    <pivotField dataField="1" showAll="0"/>
    <pivotField dataField="1" showAll="0"/>
    <pivotField showAll="0"/>
    <pivotField axis="axisCol" showAll="0">
      <items count="14">
        <item x="12"/>
        <item x="11"/>
        <item x="4"/>
        <item x="10"/>
        <item x="9"/>
        <item x="8"/>
        <item x="7"/>
        <item x="5"/>
        <item x="6"/>
        <item x="3"/>
        <item x="1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</pivotFields>
  <rowFields count="2">
    <field x="0"/>
    <field x="7"/>
  </rowFields>
  <rowItems count="10">
    <i>
      <x/>
    </i>
    <i r="1">
      <x/>
    </i>
    <i>
      <x v="1"/>
    </i>
    <i r="1">
      <x/>
    </i>
    <i r="1">
      <x v="1"/>
    </i>
    <i>
      <x v="2"/>
    </i>
    <i r="1">
      <x/>
    </i>
    <i>
      <x v="3"/>
    </i>
    <i r="1">
      <x/>
    </i>
    <i t="grand">
      <x/>
    </i>
  </rowItems>
  <colFields count="2">
    <field x="-2"/>
    <field x="6"/>
  </colFields>
  <colItems count="2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B3F41F-B0D3-D54D-89BE-E5F6C217239C}" name="Tabella pivot2" cacheId="217" dataPosition="0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>
  <location ref="A3:I21" firstHeaderRow="1" firstDataRow="3" firstDataCol="1"/>
  <pivotFields count="9">
    <pivotField axis="axisRow" showAll="0" sortType="ascending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4" showAll="0"/>
    <pivotField numFmtId="170" showAll="0"/>
    <pivotField dataField="1" showAll="0"/>
    <pivotField dataField="1" numFmtId="164" showAll="0"/>
    <pivotField showAll="0"/>
    <pivotField showAll="0">
      <items count="117">
        <item m="1" x="59"/>
        <item x="31"/>
        <item x="9"/>
        <item m="1" x="78"/>
        <item x="1"/>
        <item x="8"/>
        <item x="26"/>
        <item x="17"/>
        <item x="11"/>
        <item x="2"/>
        <item m="1" x="55"/>
        <item x="12"/>
        <item m="1" x="43"/>
        <item x="18"/>
        <item x="28"/>
        <item m="1" x="66"/>
        <item m="1" x="56"/>
        <item x="22"/>
        <item x="29"/>
        <item x="7"/>
        <item m="1" x="69"/>
        <item m="1" x="51"/>
        <item m="1" x="70"/>
        <item x="25"/>
        <item x="19"/>
        <item x="24"/>
        <item x="21"/>
        <item x="23"/>
        <item x="13"/>
        <item m="1" x="71"/>
        <item m="1" x="58"/>
        <item m="1" x="72"/>
        <item x="35"/>
        <item m="1" x="73"/>
        <item m="1" x="41"/>
        <item m="1" x="79"/>
        <item m="1" x="74"/>
        <item m="1" x="75"/>
        <item m="1" x="76"/>
        <item x="27"/>
        <item m="1" x="57"/>
        <item m="1" x="77"/>
        <item x="14"/>
        <item m="1" x="54"/>
        <item m="1" x="39"/>
        <item x="30"/>
        <item x="20"/>
        <item m="1" x="65"/>
        <item x="4"/>
        <item x="5"/>
        <item m="1" x="80"/>
        <item m="1" x="63"/>
        <item m="1" x="81"/>
        <item m="1" x="82"/>
        <item m="1" x="83"/>
        <item m="1" x="68"/>
        <item m="1" x="60"/>
        <item m="1" x="48"/>
        <item m="1" x="84"/>
        <item m="1" x="45"/>
        <item m="1" x="85"/>
        <item m="1" x="86"/>
        <item m="1" x="87"/>
        <item m="1" x="47"/>
        <item m="1" x="52"/>
        <item x="33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44"/>
        <item m="1" x="100"/>
        <item x="15"/>
        <item m="1" x="101"/>
        <item m="1" x="102"/>
        <item m="1" x="103"/>
        <item m="1" x="38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x="34"/>
        <item m="1" x="67"/>
        <item x="16"/>
        <item m="1" x="62"/>
        <item x="10"/>
        <item x="37"/>
        <item m="1" x="61"/>
        <item m="1" x="50"/>
        <item m="1" x="64"/>
        <item m="1" x="53"/>
        <item m="1" x="49"/>
        <item m="1" x="46"/>
        <item m="1" x="42"/>
        <item x="3"/>
        <item m="1" x="40"/>
        <item x="36"/>
        <item x="32"/>
        <item x="6"/>
        <item x="0"/>
        <item t="default"/>
      </items>
    </pivotField>
    <pivotField axis="axisCol" showAll="0">
      <items count="6">
        <item m="1" x="4"/>
        <item x="0"/>
        <item x="1"/>
        <item x="2"/>
        <item m="1" x="3"/>
        <item t="default"/>
      </items>
    </pivotField>
    <pivotField axis="axisRow" showAll="0">
      <items count="4">
        <item m="1" x="2"/>
        <item x="0"/>
        <item x="1"/>
        <item t="default"/>
      </items>
    </pivotField>
  </pivotFields>
  <rowFields count="2">
    <field x="0"/>
    <field x="8"/>
  </rowFields>
  <rowItems count="16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 r="1">
      <x v="2"/>
    </i>
    <i>
      <x v="5"/>
    </i>
    <i r="1">
      <x v="1"/>
    </i>
    <i>
      <x v="6"/>
    </i>
    <i r="1">
      <x v="1"/>
    </i>
    <i t="grand">
      <x/>
    </i>
  </rowItems>
  <colFields count="2">
    <field x="-2"/>
    <field x="7"/>
  </colFields>
  <colItems count="8">
    <i>
      <x/>
      <x v="1"/>
    </i>
    <i r="1">
      <x v="2"/>
    </i>
    <i r="1">
      <x v="3"/>
    </i>
    <i i="1">
      <x v="1"/>
      <x v="1"/>
    </i>
    <i r="1" i="1">
      <x v="2"/>
    </i>
    <i r="1" i="1">
      <x v="3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11"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-2" type="button" dataOnly="0" labelOnly="1" outline="0" axis="axisCol" fieldPosition="0"/>
    </format>
    <format dxfId="35">
      <pivotArea field="6" type="button" dataOnly="0" labelOnly="1" outline="0"/>
    </format>
    <format dxfId="34">
      <pivotArea type="topRight" dataOnly="0" labelOnly="1" outline="0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collapsedLevelsAreSubtotals="1" fieldPosition="0">
        <references count="2">
          <reference field="0" count="1" selected="0">
            <x v="6"/>
          </reference>
          <reference field="8" count="1">
            <x v="1"/>
          </reference>
        </references>
      </pivotArea>
    </format>
    <format dxfId="29">
      <pivotArea dataOnly="0" labelOnly="1" fieldPosition="0">
        <references count="2">
          <reference field="0" count="1" selected="0">
            <x v="6"/>
          </reference>
          <reference field="8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EBD666-B7E6-A148-8740-C3BE8A644812}" name="Tabella pivot2" cacheId="217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showHeaders="0" outline="1" outlineData="1" multipleFieldFilters="0">
  <location ref="A3:CA20" firstHeaderRow="0" firstDataRow="2" firstDataCol="1"/>
  <pivotFields count="9">
    <pivotField axis="axisRow" showAll="0" sortType="ascending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4" showAll="0"/>
    <pivotField numFmtId="14" showAll="0"/>
    <pivotField dataField="1" showAll="0"/>
    <pivotField dataField="1" numFmtId="164" showAll="0"/>
    <pivotField showAll="0"/>
    <pivotField axis="axisCol" showAll="0">
      <items count="117">
        <item m="1" x="84"/>
        <item x="9"/>
        <item x="23"/>
        <item x="18"/>
        <item x="8"/>
        <item x="17"/>
        <item m="1" x="72"/>
        <item x="24"/>
        <item x="11"/>
        <item x="21"/>
        <item m="1" x="69"/>
        <item m="1" x="98"/>
        <item x="14"/>
        <item m="1" x="48"/>
        <item n="Spese Istruzione e Corsi" m="1" x="79"/>
        <item x="13"/>
        <item x="25"/>
        <item m="1" x="90"/>
        <item m="1" x="93"/>
        <item x="2"/>
        <item m="1" x="63"/>
        <item m="1" x="104"/>
        <item m="1" x="114"/>
        <item m="1" x="115"/>
        <item m="1" x="107"/>
        <item x="30"/>
        <item m="1" x="112"/>
        <item x="31"/>
        <item m="1" x="41"/>
        <item m="1" x="45"/>
        <item m="1" x="103"/>
        <item m="1" x="101"/>
        <item m="1" x="52"/>
        <item m="1" x="91"/>
        <item m="1" x="57"/>
        <item m="1" x="113"/>
        <item m="1" x="38"/>
        <item m="1" x="89"/>
        <item m="1" x="105"/>
        <item m="1" x="97"/>
        <item m="1" x="99"/>
        <item m="1" x="44"/>
        <item m="1" x="75"/>
        <item m="1" x="92"/>
        <item m="1" x="51"/>
        <item m="1" x="86"/>
        <item x="28"/>
        <item m="1" x="96"/>
        <item x="15"/>
        <item m="1" x="66"/>
        <item x="12"/>
        <item m="1" x="106"/>
        <item m="1" x="109"/>
        <item x="5"/>
        <item m="1" x="78"/>
        <item m="1" x="108"/>
        <item m="1" x="102"/>
        <item m="1" x="110"/>
        <item m="1" x="111"/>
        <item m="1" x="65"/>
        <item m="1" x="47"/>
        <item m="1" x="70"/>
        <item x="26"/>
        <item m="1" x="55"/>
        <item m="1" x="94"/>
        <item m="1" x="68"/>
        <item x="33"/>
        <item m="1" x="88"/>
        <item m="1" x="100"/>
        <item x="20"/>
        <item x="35"/>
        <item m="1" x="76"/>
        <item m="1" x="56"/>
        <item m="1" x="95"/>
        <item m="1" x="87"/>
        <item m="1" x="85"/>
        <item x="29"/>
        <item m="1" x="74"/>
        <item x="7"/>
        <item x="22"/>
        <item x="27"/>
        <item x="1"/>
        <item m="1" x="60"/>
        <item m="1" x="39"/>
        <item x="4"/>
        <item m="1" x="83"/>
        <item x="19"/>
        <item m="1" x="82"/>
        <item m="1" x="81"/>
        <item m="1" x="77"/>
        <item m="1" x="43"/>
        <item m="1" x="59"/>
        <item m="1" x="58"/>
        <item m="1" x="73"/>
        <item m="1" x="71"/>
        <item n="Visa Prepagata" m="1" x="80"/>
        <item m="1" x="54"/>
        <item x="34"/>
        <item n="Spese Istruzione e Corsi2" m="1" x="67"/>
        <item x="16"/>
        <item m="1" x="62"/>
        <item x="10"/>
        <item x="37"/>
        <item m="1" x="61"/>
        <item m="1" x="50"/>
        <item m="1" x="64"/>
        <item m="1" x="53"/>
        <item m="1" x="49"/>
        <item m="1" x="46"/>
        <item m="1" x="42"/>
        <item x="3"/>
        <item m="1" x="40"/>
        <item x="36"/>
        <item x="32"/>
        <item x="6"/>
        <item x="0"/>
        <item t="default"/>
      </items>
    </pivotField>
    <pivotField showAll="0"/>
    <pivotField axis="axisRow" showAll="0">
      <items count="4">
        <item m="1" x="2"/>
        <item x="0"/>
        <item x="1"/>
        <item t="default"/>
      </items>
    </pivotField>
  </pivotFields>
  <rowFields count="2">
    <field x="0"/>
    <field x="8"/>
  </rowFields>
  <rowItems count="16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 r="1">
      <x v="2"/>
    </i>
    <i>
      <x v="5"/>
    </i>
    <i r="1">
      <x v="1"/>
    </i>
    <i>
      <x v="6"/>
    </i>
    <i r="1">
      <x v="1"/>
    </i>
    <i t="grand">
      <x/>
    </i>
  </rowItems>
  <colFields count="2">
    <field x="-2"/>
    <field x="6"/>
  </colFields>
  <colItems count="78">
    <i>
      <x/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2"/>
    </i>
    <i r="1">
      <x v="15"/>
    </i>
    <i r="1">
      <x v="16"/>
    </i>
    <i r="1">
      <x v="19"/>
    </i>
    <i r="1">
      <x v="25"/>
    </i>
    <i r="1">
      <x v="27"/>
    </i>
    <i r="1">
      <x v="46"/>
    </i>
    <i r="1">
      <x v="48"/>
    </i>
    <i r="1">
      <x v="50"/>
    </i>
    <i r="1">
      <x v="53"/>
    </i>
    <i r="1">
      <x v="62"/>
    </i>
    <i r="1">
      <x v="66"/>
    </i>
    <i r="1">
      <x v="69"/>
    </i>
    <i r="1">
      <x v="70"/>
    </i>
    <i r="1">
      <x v="76"/>
    </i>
    <i r="1">
      <x v="78"/>
    </i>
    <i r="1">
      <x v="79"/>
    </i>
    <i r="1">
      <x v="80"/>
    </i>
    <i r="1">
      <x v="81"/>
    </i>
    <i r="1">
      <x v="84"/>
    </i>
    <i r="1">
      <x v="86"/>
    </i>
    <i r="1">
      <x v="97"/>
    </i>
    <i r="1">
      <x v="99"/>
    </i>
    <i r="1">
      <x v="101"/>
    </i>
    <i r="1">
      <x v="102"/>
    </i>
    <i r="1">
      <x v="110"/>
    </i>
    <i r="1">
      <x v="112"/>
    </i>
    <i r="1">
      <x v="113"/>
    </i>
    <i r="1">
      <x v="114"/>
    </i>
    <i r="1">
      <x v="115"/>
    </i>
    <i i="1">
      <x v="1"/>
      <x v="1"/>
    </i>
    <i r="1" i="1">
      <x v="2"/>
    </i>
    <i r="1" i="1">
      <x v="3"/>
    </i>
    <i r="1" i="1">
      <x v="4"/>
    </i>
    <i r="1" i="1">
      <x v="5"/>
    </i>
    <i r="1" i="1">
      <x v="7"/>
    </i>
    <i r="1" i="1">
      <x v="8"/>
    </i>
    <i r="1" i="1">
      <x v="9"/>
    </i>
    <i r="1" i="1">
      <x v="12"/>
    </i>
    <i r="1" i="1">
      <x v="15"/>
    </i>
    <i r="1" i="1">
      <x v="16"/>
    </i>
    <i r="1" i="1">
      <x v="19"/>
    </i>
    <i r="1" i="1">
      <x v="25"/>
    </i>
    <i r="1" i="1">
      <x v="27"/>
    </i>
    <i r="1" i="1">
      <x v="46"/>
    </i>
    <i r="1" i="1">
      <x v="48"/>
    </i>
    <i r="1" i="1">
      <x v="50"/>
    </i>
    <i r="1" i="1">
      <x v="53"/>
    </i>
    <i r="1" i="1">
      <x v="62"/>
    </i>
    <i r="1" i="1">
      <x v="66"/>
    </i>
    <i r="1" i="1">
      <x v="69"/>
    </i>
    <i r="1" i="1">
      <x v="70"/>
    </i>
    <i r="1" i="1">
      <x v="76"/>
    </i>
    <i r="1" i="1">
      <x v="78"/>
    </i>
    <i r="1" i="1">
      <x v="79"/>
    </i>
    <i r="1" i="1">
      <x v="80"/>
    </i>
    <i r="1" i="1">
      <x v="81"/>
    </i>
    <i r="1" i="1">
      <x v="84"/>
    </i>
    <i r="1" i="1">
      <x v="86"/>
    </i>
    <i r="1" i="1">
      <x v="97"/>
    </i>
    <i r="1" i="1">
      <x v="99"/>
    </i>
    <i r="1" i="1">
      <x v="101"/>
    </i>
    <i r="1" i="1">
      <x v="102"/>
    </i>
    <i r="1" i="1">
      <x v="110"/>
    </i>
    <i r="1" i="1">
      <x v="112"/>
    </i>
    <i r="1" i="1">
      <x v="113"/>
    </i>
    <i r="1" i="1">
      <x v="114"/>
    </i>
    <i r="1" i="1">
      <x v="115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14"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-2" type="button" dataOnly="0" labelOnly="1" outline="0" axis="axisCol" fieldPosition="0"/>
    </format>
    <format dxfId="24">
      <pivotArea field="6" type="button" dataOnly="0" labelOnly="1" outline="0" axis="axisCol" fieldPosition="1"/>
    </format>
    <format dxfId="23">
      <pivotArea type="topRight" dataOnly="0" labelOnly="1" outline="0" fieldPosition="0"/>
    </format>
    <format dxfId="22">
      <pivotArea field="0" type="button" dataOnly="0" labelOnly="1" outline="0" axis="axisRow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Row="1" outline="0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field="6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17">
      <pivotArea field="6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  <format dxfId="16">
      <pivotArea dataOnly="0" labelOnly="1" fieldPosition="0">
        <references count="2">
          <reference field="4294967294" count="1" selected="0">
            <x v="0"/>
          </reference>
          <reference field="6" count="0"/>
        </references>
      </pivotArea>
    </format>
    <format dxfId="15">
      <pivotArea dataOnly="0" labelOnly="1" fieldPosition="0">
        <references count="2">
          <reference field="4294967294" count="1" selected="0">
            <x v="1"/>
          </reference>
          <reference field="6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96C07C-8F85-B34C-A217-E7E051AA6201}" name="Tabella pivot1" cacheId="214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>
  <location ref="A3:S12" firstHeaderRow="1" firstDataRow="3" firstDataCol="1"/>
  <pivotFields count="8">
    <pivotField axis="axisRow" showAll="0" sortType="ascending">
      <items count="7">
        <item x="5"/>
        <item x="4"/>
        <item x="3"/>
        <item x="2"/>
        <item x="1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axis="axisCol" showAll="0">
      <items count="10">
        <item x="3"/>
        <item x="1"/>
        <item x="2"/>
        <item x="0"/>
        <item x="4"/>
        <item x="7"/>
        <item m="1" x="8"/>
        <item x="6"/>
        <item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-2"/>
    <field x="7"/>
  </colFields>
  <col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7"/>
    </i>
    <i r="1" i="1">
      <x v="8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9"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field="-2" type="button" dataOnly="0" labelOnly="1" outline="0" axis="axisCol" fieldPosition="0"/>
    </format>
    <format dxfId="10">
      <pivotArea type="topRight" dataOnly="0" labelOnly="1" outline="0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5EE71-75D8-E94C-BFA0-CC5B57DD15DE}" name="Tabella pivot1" cacheId="216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 chartFormat="1">
  <location ref="A3:AA13" firstHeaderRow="1" firstDataRow="3" firstDataCol="1"/>
  <pivotFields count="8">
    <pivotField axis="axisRow" showAll="0">
      <items count="13">
        <item x="6"/>
        <item x="5"/>
        <item x="4"/>
        <item x="3"/>
        <item x="2"/>
        <item x="1"/>
        <item x="0"/>
        <item m="1" x="11"/>
        <item m="1" x="10"/>
        <item m="1" x="9"/>
        <item m="1" x="8"/>
        <item m="1" x="7"/>
        <item t="default"/>
      </items>
    </pivotField>
    <pivotField numFmtId="170" showAll="0"/>
    <pivotField showAll="0"/>
    <pivotField dataField="1" showAll="0"/>
    <pivotField dataField="1" showAll="0"/>
    <pivotField showAll="0"/>
    <pivotField showAll="0"/>
    <pivotField axis="axisCol" showAll="0">
      <items count="21">
        <item x="4"/>
        <item x="1"/>
        <item x="2"/>
        <item x="3"/>
        <item x="5"/>
        <item m="1" x="19"/>
        <item m="1" x="12"/>
        <item m="1" x="18"/>
        <item x="9"/>
        <item m="1" x="17"/>
        <item m="1" x="16"/>
        <item x="8"/>
        <item x="6"/>
        <item x="11"/>
        <item m="1" x="15"/>
        <item m="1" x="14"/>
        <item x="10"/>
        <item m="1" x="13"/>
        <item x="7"/>
        <item x="0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-2"/>
    <field x="7"/>
  </colFields>
  <colItems count="26">
    <i>
      <x/>
      <x/>
    </i>
    <i r="1">
      <x v="1"/>
    </i>
    <i r="1">
      <x v="2"/>
    </i>
    <i r="1">
      <x v="3"/>
    </i>
    <i r="1">
      <x v="4"/>
    </i>
    <i r="1">
      <x v="8"/>
    </i>
    <i r="1">
      <x v="11"/>
    </i>
    <i r="1">
      <x v="12"/>
    </i>
    <i r="1">
      <x v="13"/>
    </i>
    <i r="1">
      <x v="16"/>
    </i>
    <i r="1">
      <x v="18"/>
    </i>
    <i r="1">
      <x v="19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8"/>
    </i>
    <i r="1" i="1">
      <x v="11"/>
    </i>
    <i r="1" i="1">
      <x v="12"/>
    </i>
    <i r="1" i="1">
      <x v="13"/>
    </i>
    <i r="1" i="1">
      <x v="16"/>
    </i>
    <i r="1" i="1">
      <x v="18"/>
    </i>
    <i r="1" i="1">
      <x v="19"/>
    </i>
    <i t="grand">
      <x/>
    </i>
    <i t="grand" i="1">
      <x/>
    </i>
  </colItems>
  <dataFields count="2">
    <dataField name="Somma di Dare" fld="4" baseField="0" baseItem="0"/>
    <dataField name="Somma di Avere" fld="3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field="7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0">
      <pivotArea field="7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_5" connectionId="1" xr16:uid="{13127C04-6DB4-2749-BAE4-18742CD4EE0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_3" connectionId="1" xr16:uid="{A025C00D-DD54-4640-94E5-EF37794F13F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-2" connectionId="2" xr16:uid="{8A05DC0C-C77B-F141-A957-BB1270C00F0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tivity" connectionId="1" xr16:uid="{4E0A90C5-8068-DB4E-89A9-D768D47AF81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volut_1" connectionId="4" xr16:uid="{10884C28-0403-A541-93C8-4AC5AA67701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volut" connectionId="3" xr16:uid="{D76B5A53-C722-EF48-8E46-58108ACF50CE}" autoFormatId="16" applyNumberFormats="0" applyBorderFormats="0" applyFontFormats="1" applyPatternFormats="1" applyAlignmentFormats="0" applyWidthHeightFormats="0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  <extLst>
        <x:ext xmlns:xlrvr="http://schemas.microsoft.com/office/spreadsheetml/2020/richvaluerefresh" uri="{6D21E516-79A1-49C6-A8DF-7D825B72F6C7}">
          <xlrvr:refreshIntervals>
            <xlrvr:refreshInterval resourceIdInt="268435456" interval="-1"/>
          </xlrvr:refreshIntervals>
        </x:ext>
      </extLst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DotNotation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array.xml><?xml version="1.0" encoding="utf-8"?>
<arrayData xmlns="http://schemas.microsoft.com/office/spreadsheetml/2017/richdata2" count="2">
  <a r="1" c="35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29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</a>
  <a r="1" c="35">
    <v>0.23380000000000001</v>
    <v>0.23400000000000001</v>
    <v>0.2341</v>
    <v>0.2336</v>
    <v>0.23350000000000001</v>
    <v>0.23400000000000001</v>
    <v>0.2341</v>
    <v>0.23469999999999999</v>
    <v>0.23449999999999999</v>
    <v>0.23630000000000001</v>
    <v>0.23599999999999999</v>
    <v>0.23580000000000001</v>
    <v>0.23599999999999999</v>
    <v>0.2351</v>
    <v>0.23530000000000001</v>
    <v>0.2349</v>
    <v>0.23449999999999999</v>
    <v>0.23669999999999999</v>
    <v>0.23760000000000001</v>
    <v>0.2374</v>
    <v>0.2382</v>
    <v>0.2392</v>
    <v>0.2397</v>
    <v>0.2394</v>
    <v>0.23910000000000001</v>
    <v>0.23830000000000001</v>
    <v>0.2384</v>
    <v>0.23930000000000001</v>
    <v>0.23810000000000001</v>
    <v>0.23799999999999999</v>
    <v>0.2379</v>
    <v>0.23849999999999999</v>
    <v>0.23849999999999999</v>
    <v>0.2382</v>
    <v>0.23849999999999999</v>
  </a>
</arrayData>
</file>

<file path=xl/richData/rdrichvalue.xml><?xml version="1.0" encoding="utf-8"?>
<rvData xmlns="http://schemas.microsoft.com/office/spreadsheetml/2017/richdata" count="68">
  <rv s="0">
    <v>0</v>
    <v>1</v>
    <v>AED/EUR</v>
    <v>3</v>
    <v>4</v>
    <v>Finance</v>
    <v>5</v>
    <v>it-IT</v>
    <v>avy21h</v>
    <v>268435456</v>
    <v>1</v>
    <v>Con tecnologia Refinitiv</v>
    <v>0.23849999999999999</v>
    <v>0.23849999999999999</v>
    <v>0.2392</v>
    <v>0.2404</v>
    <v>0.2379</v>
    <v>0.22539999999999999</v>
    <v>UAE Dirham/Euro FX Cross Rate</v>
    <v>46216.678784722222</v>
    <v>0.23880000000000001</v>
    <v>AEDEUR</v>
    <v>Coppia di valute</v>
    <v>AED/EUR</v>
    <v>EUR</v>
    <v>AED</v>
    <v>3.5E-4</v>
    <v>1.4680000000000001E-3</v>
  </rv>
  <rv s="1">
    <v>0</v>
  </rv>
  <rv s="0">
    <v>0</v>
    <v>1</v>
    <v>EUR/USD</v>
    <v>3</v>
    <v>6</v>
    <v>Finance</v>
    <v>5</v>
    <v>it-IT</v>
    <v>av932w</v>
    <v>268435456</v>
    <v>1</v>
    <v>Con tecnologia Refinitiv</v>
    <v>1.141</v>
    <v>1.1413</v>
    <v>1.1445000000000001</v>
    <v>1.2078</v>
    <v>1.1385000000000001</v>
    <v>1.1324000000000001</v>
    <v>Euro/US Dollar FX Spot Rate</v>
    <v>46216.678749999999</v>
    <v>1.1397999999999999</v>
    <v>EURUSD</v>
    <v>Coppia di valute</v>
    <v>EUR/USD</v>
    <v>USD</v>
    <v>EUR</v>
    <v>-1.5E-3</v>
    <v>-1.3139999999999998E-3</v>
  </rv>
  <rv s="1">
    <v>2</v>
  </rv>
  <rv s="2">
    <fb>46167</fb>
    <v>7</v>
  </rv>
  <rv s="2">
    <fb>0.23380000000000001</fb>
    <v>8</v>
  </rv>
  <rv s="2">
    <fb>46168</fb>
    <v>7</v>
  </rv>
  <rv s="2">
    <fb>0.23400000000000001</fb>
    <v>8</v>
  </rv>
  <rv s="2">
    <fb>46169</fb>
    <v>7</v>
  </rv>
  <rv s="2">
    <fb>0.2341</fb>
    <v>8</v>
  </rv>
  <rv s="2">
    <fb>46170</fb>
    <v>7</v>
  </rv>
  <rv s="2">
    <fb>0.2336</fb>
    <v>8</v>
  </rv>
  <rv s="2">
    <fb>46171</fb>
    <v>7</v>
  </rv>
  <rv s="2">
    <fb>0.23350000000000001</fb>
    <v>8</v>
  </rv>
  <rv s="2">
    <fb>46174</fb>
    <v>7</v>
  </rv>
  <rv s="2">
    <fb>46175</fb>
    <v>7</v>
  </rv>
  <rv s="2">
    <fb>46176</fb>
    <v>7</v>
  </rv>
  <rv s="2">
    <fb>0.23469999999999999</fb>
    <v>8</v>
  </rv>
  <rv s="2">
    <fb>46177</fb>
    <v>7</v>
  </rv>
  <rv s="2">
    <fb>0.23449999999999999</fb>
    <v>8</v>
  </rv>
  <rv s="2">
    <fb>46178</fb>
    <v>7</v>
  </rv>
  <rv s="2">
    <fb>0.23630000000000001</fb>
    <v>8</v>
  </rv>
  <rv s="2">
    <fb>46181</fb>
    <v>7</v>
  </rv>
  <rv s="2">
    <fb>0.23599999999999999</fb>
    <v>8</v>
  </rv>
  <rv s="2">
    <fb>46182</fb>
    <v>7</v>
  </rv>
  <rv s="2">
    <fb>0.23580000000000001</fb>
    <v>8</v>
  </rv>
  <rv s="2">
    <fb>46183</fb>
    <v>7</v>
  </rv>
  <rv s="2">
    <fb>46184</fb>
    <v>7</v>
  </rv>
  <rv s="2">
    <fb>0.2351</fb>
    <v>8</v>
  </rv>
  <rv s="2">
    <fb>46185</fb>
    <v>7</v>
  </rv>
  <rv s="2">
    <fb>0.23530000000000001</fb>
    <v>8</v>
  </rv>
  <rv s="2">
    <fb>46188</fb>
    <v>7</v>
  </rv>
  <rv s="2">
    <fb>0.2349</fb>
    <v>8</v>
  </rv>
  <rv s="2">
    <fb>46189</fb>
    <v>7</v>
  </rv>
  <rv s="2">
    <fb>46190</fb>
    <v>7</v>
  </rv>
  <rv s="2">
    <fb>0.23669999999999999</fb>
    <v>8</v>
  </rv>
  <rv s="2">
    <fb>46191</fb>
    <v>7</v>
  </rv>
  <rv s="2">
    <fb>0.23760000000000001</fb>
    <v>8</v>
  </rv>
  <rv s="2">
    <fb>46192</fb>
    <v>7</v>
  </rv>
  <rv s="2">
    <fb>0.2374</fb>
    <v>8</v>
  </rv>
  <rv s="2">
    <fb>46195</fb>
    <v>7</v>
  </rv>
  <rv s="2">
    <fb>0.2382</fb>
    <v>8</v>
  </rv>
  <rv s="2">
    <fb>46196</fb>
    <v>7</v>
  </rv>
  <rv s="2">
    <fb>0.2392</fb>
    <v>8</v>
  </rv>
  <rv s="2">
    <fb>46197</fb>
    <v>7</v>
  </rv>
  <rv s="2">
    <fb>0.2397</fb>
    <v>8</v>
  </rv>
  <rv s="2">
    <fb>46198</fb>
    <v>7</v>
  </rv>
  <rv s="2">
    <fb>0.2394</fb>
    <v>8</v>
  </rv>
  <rv s="2">
    <fb>46199</fb>
    <v>7</v>
  </rv>
  <rv s="2">
    <fb>0.23910000000000001</fb>
    <v>8</v>
  </rv>
  <rv s="2">
    <fb>46202</fb>
    <v>7</v>
  </rv>
  <rv s="2">
    <fb>0.23830000000000001</fb>
    <v>8</v>
  </rv>
  <rv s="2">
    <fb>46203</fb>
    <v>7</v>
  </rv>
  <rv s="2">
    <fb>0.2384</fb>
    <v>8</v>
  </rv>
  <rv s="2">
    <fb>46204</fb>
    <v>7</v>
  </rv>
  <rv s="2">
    <fb>0.23930000000000001</fb>
    <v>8</v>
  </rv>
  <rv s="2">
    <fb>46205</fb>
    <v>7</v>
  </rv>
  <rv s="2">
    <fb>0.23810000000000001</fb>
    <v>8</v>
  </rv>
  <rv s="2">
    <fb>46206</fb>
    <v>7</v>
  </rv>
  <rv s="2">
    <fb>0.23799999999999999</fb>
    <v>8</v>
  </rv>
  <rv s="2">
    <fb>46209</fb>
    <v>7</v>
  </rv>
  <rv s="2">
    <fb>0.2379</fb>
    <v>8</v>
  </rv>
  <rv s="2">
    <fb>46210</fb>
    <v>7</v>
  </rv>
  <rv s="2">
    <fb>0.23849999999999999</fb>
    <v>8</v>
  </rv>
  <rv s="2">
    <fb>46211</fb>
    <v>7</v>
  </rv>
  <rv s="2">
    <fb>46212</fb>
    <v>7</v>
  </rv>
  <rv s="2">
    <fb>46213</fb>
    <v>7</v>
  </rv>
  <rv s="3">
    <v>9</v>
    <v>AED/EUR</v>
    <v>Daily</v>
    <v>46166</v>
    <v>46216</v>
    <v>0</v>
    <v>1</v>
    <v>639192384000000000,639195480250523651,0</v>
    <v>0</v>
    <v>avy21h</v>
    <v/>
    <v>1</v>
  </rv>
</rvData>
</file>

<file path=xl/richData/rdrichvaluestructure.xml><?xml version="1.0" encoding="utf-8"?>
<rvStructures xmlns="http://schemas.microsoft.com/office/spreadsheetml/2017/richdata" count="4">
  <s t="_linkedentitycore">
    <k n="_CanonicalPropertyNames" t="spb"/>
    <k n="_Display" t="spb"/>
    <k n="_DisplayString" t="s"/>
    <k n="_Flags" t="spb"/>
    <k n="_Format" t="spb"/>
    <k n="_Icon" t="s"/>
    <k n="_SubLabel" t="spb"/>
    <k n="%EntityCulture" t="s"/>
    <k n="%EntityId" t="s"/>
    <k n="%EntityServiceId"/>
    <k n="%IsRefreshable" t="b"/>
    <k n="%ProviderInfo" t="s"/>
    <k n="Apri"/>
    <k n="Chiusura precedente"/>
    <k n="Massimo"/>
    <k n="Massimo in 52 settimane"/>
    <k n="Minimo"/>
    <k n="Minimo di 52 settimane"/>
    <k n="Nome" t="s"/>
    <k n="Orario ultima transazione"/>
    <k n="Prezzo"/>
    <k n="Simbolo dell'azione" t="s"/>
    <k n="Tipo strumento" t="s"/>
    <k n="UniqueName" t="s"/>
    <k n="Valuta" t="s"/>
    <k n="Valuta origine" t="s"/>
    <k n="Variazione"/>
    <k n="Variazione (%)"/>
  </s>
  <s t="_linkedentity">
    <k n="%cvi" t="r"/>
  </s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Arrays count="1">
    <a count="28">
      <v t="s">%EntityServiceId</v>
      <v t="s">_Format</v>
      <v t="s">%IsRefreshable</v>
      <v t="s">_CanonicalPropertyNames</v>
      <v t="s">%EntityCulture</v>
      <v t="s">%EntityId</v>
      <v t="s">_Icon</v>
      <v t="s">_Display</v>
      <v t="s">Nome</v>
      <v t="s">Prezzo</v>
      <v t="s">_SubLabel</v>
      <v t="s">Orario ultima transazione</v>
      <v t="s">Simbolo dell'azione</v>
      <v t="s">Variazione</v>
      <v t="s">Variazione (%)</v>
      <v t="s">Valuta</v>
      <v t="s">Valuta origine</v>
      <v t="s">Chiusura precedente</v>
      <v t="s">Apri</v>
      <v t="s">Massimo</v>
      <v t="s">Minimo</v>
      <v t="s">Massimo in 52 settimane</v>
      <v t="s">Minimo di 52 settimane</v>
      <v t="s">Tipo strumento</v>
      <v t="s">_Flags</v>
      <v t="s">UniqueName</v>
      <v t="s">_DisplayString</v>
      <v t="s">%ProviderInfo</v>
    </a>
  </spbArrays>
  <spbData count="10">
    <spb s="0">
      <v>Open</v>
      <v>Name</v>
      <v>Low</v>
      <v>Price</v>
      <v>Currency</v>
      <v>High</v>
      <v>UniqueName</v>
      <v>Change</v>
      <v>%ProviderInfo</v>
      <v>Instrument type</v>
      <v>From currency</v>
      <v>Change (%)</v>
      <v>Previous close</v>
      <v>Ticker symbol</v>
      <v>52 week low</v>
      <v>52 week high</v>
      <v>Last trade time</v>
    </spb>
    <spb s="1">
      <v>0</v>
      <v>Name</v>
    </spb>
    <spb s="2">
      <v>0</v>
      <v>0</v>
      <v>0</v>
    </spb>
    <spb s="3">
      <v>2</v>
      <v>2</v>
    </spb>
    <spb s="4">
      <v>1</v>
      <v>2</v>
      <v>1</v>
      <v>1</v>
      <v>1</v>
      <v>1</v>
      <v>3</v>
      <v>4</v>
      <v>1</v>
      <v>1</v>
      <v>1</v>
      <v>5</v>
    </spb>
    <spb s="5">
      <v>GMT</v>
    </spb>
    <spb s="4">
      <v>6</v>
      <v>2</v>
      <v>6</v>
      <v>6</v>
      <v>6</v>
      <v>6</v>
      <v>3</v>
      <v>4</v>
      <v>6</v>
      <v>6</v>
      <v>6</v>
      <v>5</v>
    </spb>
    <spb s="6">
      <v>7</v>
    </spb>
    <spb s="6">
      <v>1</v>
    </spb>
    <spb s="7">
      <v>7</v>
      <v>1</v>
    </spb>
  </spbData>
</supportingPropertyBags>
</file>

<file path=xl/richData/rdsupportingpropertybagstructure.xml><?xml version="1.0" encoding="utf-8"?>
<spbStructures xmlns="http://schemas.microsoft.com/office/spreadsheetml/2017/richdata2" count="8">
  <s>
    <k n="Apri" t="s"/>
    <k n="Nome" t="s"/>
    <k n="Minimo" t="s"/>
    <k n="Prezzo" t="s"/>
    <k n="Valuta" t="s"/>
    <k n="Massimo" t="s"/>
    <k n="UniqueName" t="s"/>
    <k n="Variazione" t="s"/>
    <k n="%ProviderInfo" t="s"/>
    <k n="Tipo strumento" t="s"/>
    <k n="Valuta origine" t="s"/>
    <k n="Variazione (%)" t="s"/>
    <k n="Chiusura precedente" t="s"/>
    <k n="Simbolo dell'azione" t="s"/>
    <k n="Minimo di 52 settimane" t="s"/>
    <k n="Massimo in 52 settimane" t="s"/>
    <k n="Orario ultima transazione" t="s"/>
  </s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Apri" t="i"/>
    <k n="Nome" t="i"/>
    <k n="Minimo" t="i"/>
    <k n="Prezzo" t="i"/>
    <k n="Massimo" t="i"/>
    <k n="Variazione" t="i"/>
    <k n="Variazione (%)" t="i"/>
    <k n="`%EntityServiceId" t="i"/>
    <k n="Chiusura precedente" t="i"/>
    <k n="Minimo di 52 settimane" t="i"/>
    <k n="Massimo in 52 settimane" t="i"/>
    <k n="Orario ultima transazione" t="i"/>
  </s>
  <s>
    <k n="Orario ultima transazione" t="s"/>
  </s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5">
    <x:dxf>
      <x:numFmt numFmtId="2" formatCode="0.00"/>
    </x:dxf>
    <x:dxf>
      <x:numFmt numFmtId="0" formatCode="General"/>
    </x:dxf>
    <x:dxf>
      <x:numFmt numFmtId="27" formatCode="dd/mm/yy\ hh:mm"/>
    </x:dxf>
    <x:dxf>
      <x:numFmt numFmtId="14" formatCode="0.00%"/>
    </x:dxf>
    <x:dxf>
      <x:numFmt numFmtId="19" formatCode="dd/mm/yy"/>
    </x:dxf>
  </dxfs>
  <richProperties>
    <rPr n="NumberFormat" t="s"/>
    <rPr n="IsTitleField" t="b"/>
  </richProperties>
  <richStyles>
    <rSty dxfid="1">
      <rpv i="0">_([$€-x-euro2] * #,##0.00_);_([$€-x-euro2] * (#,##0.00);_([$€-x-euro2] * "-"??_);_(@_)</rpv>
    </rSty>
    <rSty>
      <rpv i="1">1</rpv>
    </rSty>
    <rSty dxfid="3"/>
    <rSty dxfid="0">
      <rpv i="0">0.00</rpv>
    </rSty>
    <rSty dxfid="2"/>
    <rSty dxfid="1">
      <rpv i="0">_([$$-en-US]* #,##0.00_);_([$$-en-US]* (#,##0.00);_([$$-en-US]* "-"??_);_(@_)</rpv>
    </rSty>
    <rSty dxfid="4"/>
  </richStyles>
</richStyleSheet>
</file>

<file path=xl/theme/theme1.xml><?xml version="1.0" encoding="utf-8"?>
<a:theme xmlns:a="http://schemas.openxmlformats.org/drawingml/2006/main" name="Office Theme">
  <a:themeElements>
    <a:clrScheme name="Family Budget">
      <a:dk1>
        <a:sysClr val="windowText" lastClr="000000"/>
      </a:dk1>
      <a:lt1>
        <a:sysClr val="window" lastClr="FFFFFF"/>
      </a:lt1>
      <a:dk2>
        <a:srgbClr val="737480"/>
      </a:dk2>
      <a:lt2>
        <a:srgbClr val="F0F0F0"/>
      </a:lt2>
      <a:accent1>
        <a:srgbClr val="5B98D7"/>
      </a:accent1>
      <a:accent2>
        <a:srgbClr val="7DAE4B"/>
      </a:accent2>
      <a:accent3>
        <a:srgbClr val="F05B35"/>
      </a:accent3>
      <a:accent4>
        <a:srgbClr val="5F6371"/>
      </a:accent4>
      <a:accent5>
        <a:srgbClr val="7B62FA"/>
      </a:accent5>
      <a:accent6>
        <a:srgbClr val="5B7799"/>
      </a:accent6>
      <a:hlink>
        <a:srgbClr val="7DAE4B"/>
      </a:hlink>
      <a:folHlink>
        <a:srgbClr val="7B62FA"/>
      </a:folHlink>
    </a:clrScheme>
    <a:fontScheme name="Family Budget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A47E8F3-E974-2E4C-AA4A-81414AA398CD}">
  <we:reference id="wa200005271" version="2.5.4.0" store="it-IT" storeType="OMEX"/>
  <we:alternateReferences>
    <we:reference id="wa200005271" version="2.5.4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rgb="FF0070C0"/>
    <pageSetUpPr autoPageBreaks="0" fitToPage="1"/>
  </sheetPr>
  <dimension ref="A1:R290"/>
  <sheetViews>
    <sheetView showGridLines="0" zoomScale="110" zoomScaleNormal="110" workbookViewId="0">
      <selection activeCell="K12" sqref="K12"/>
    </sheetView>
  </sheetViews>
  <sheetFormatPr baseColWidth="10" defaultColWidth="9" defaultRowHeight="21" customHeight="1" outlineLevelRow="1" x14ac:dyDescent="0.2"/>
  <cols>
    <col min="1" max="1" width="44.59765625" style="13" bestFit="1" customWidth="1"/>
    <col min="2" max="2" width="11.19921875" style="13" customWidth="1"/>
    <col min="3" max="3" width="19.3984375" style="23" customWidth="1"/>
    <col min="4" max="15" width="18.19921875" style="23" customWidth="1"/>
    <col min="16" max="16" width="26.796875" style="24" customWidth="1"/>
    <col min="17" max="17" width="9" style="13"/>
    <col min="18" max="18" width="11.3984375" style="13" bestFit="1" customWidth="1"/>
    <col min="19" max="16384" width="9" style="13"/>
  </cols>
  <sheetData>
    <row r="1" spans="1:16" ht="13" customHeight="1" x14ac:dyDescent="0.2">
      <c r="A1" s="492"/>
      <c r="B1" s="492"/>
      <c r="C1" s="492"/>
      <c r="D1" s="302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</row>
    <row r="2" spans="1:16" s="3" customFormat="1" ht="112" customHeight="1" x14ac:dyDescent="0.2">
      <c r="A2" s="493">
        <v>2026</v>
      </c>
      <c r="B2" s="493"/>
      <c r="C2" s="493"/>
      <c r="D2" s="491" t="s">
        <v>75</v>
      </c>
      <c r="E2" s="491"/>
      <c r="F2" s="491"/>
      <c r="G2" s="385"/>
      <c r="H2" s="386"/>
      <c r="I2" s="386"/>
      <c r="J2" s="386"/>
      <c r="K2" s="385"/>
      <c r="L2" s="385"/>
      <c r="M2" s="386"/>
      <c r="N2" s="387"/>
      <c r="O2" s="387"/>
      <c r="P2" s="385"/>
    </row>
    <row r="3" spans="1:16" s="3" customFormat="1" ht="32" customHeight="1" x14ac:dyDescent="0.2">
      <c r="A3" s="494">
        <f ca="1">TODAY()</f>
        <v>46216</v>
      </c>
      <c r="B3" s="494"/>
      <c r="C3" s="494"/>
      <c r="D3" s="302"/>
      <c r="E3" s="45"/>
      <c r="F3" s="45"/>
      <c r="G3" s="45"/>
      <c r="H3" s="45"/>
      <c r="I3" s="45"/>
      <c r="J3" s="45"/>
      <c r="K3" s="45"/>
      <c r="L3" s="45"/>
      <c r="M3" s="45"/>
      <c r="N3" s="5"/>
      <c r="O3" s="5"/>
      <c r="P3" s="5"/>
    </row>
    <row r="4" spans="1:16" s="287" customFormat="1" ht="32" x14ac:dyDescent="0.2">
      <c r="A4" s="495" t="s">
        <v>567</v>
      </c>
      <c r="B4" s="495"/>
      <c r="C4" s="495"/>
      <c r="D4" s="302" t="s">
        <v>535</v>
      </c>
      <c r="E4" s="302" t="s">
        <v>516</v>
      </c>
      <c r="F4" s="302" t="s">
        <v>541</v>
      </c>
      <c r="G4" s="302" t="s">
        <v>836</v>
      </c>
      <c r="H4" s="302" t="s">
        <v>844</v>
      </c>
      <c r="I4" s="302" t="s">
        <v>843</v>
      </c>
      <c r="J4" s="302" t="s">
        <v>542</v>
      </c>
      <c r="K4" s="302" t="s">
        <v>543</v>
      </c>
      <c r="L4" s="302" t="s">
        <v>544</v>
      </c>
      <c r="M4" s="302" t="s">
        <v>545</v>
      </c>
      <c r="N4" s="285"/>
      <c r="O4" s="286"/>
      <c r="P4" s="285"/>
    </row>
    <row r="5" spans="1:16" s="287" customFormat="1" ht="16" customHeight="1" x14ac:dyDescent="0.2">
      <c r="A5" s="388">
        <f>O274+Dubai!D5</f>
        <v>289743.16007880005</v>
      </c>
      <c r="B5" s="490" t="s">
        <v>959</v>
      </c>
      <c r="C5" s="490"/>
      <c r="D5" s="389"/>
      <c r="E5" s="389"/>
      <c r="F5" s="389"/>
      <c r="G5" s="389"/>
      <c r="H5" s="389"/>
      <c r="I5" s="389"/>
      <c r="J5" s="389"/>
      <c r="K5" s="389"/>
      <c r="L5" s="390"/>
      <c r="M5" s="390"/>
      <c r="N5" s="285"/>
      <c r="O5" s="286"/>
      <c r="P5" s="285"/>
    </row>
    <row r="6" spans="1:16" s="287" customFormat="1" ht="16" customHeight="1" x14ac:dyDescent="0.2">
      <c r="A6" s="388">
        <f>SUM(O14:O17)</f>
        <v>1175699.18</v>
      </c>
      <c r="B6" s="490" t="s">
        <v>960</v>
      </c>
      <c r="C6" s="490"/>
      <c r="D6" s="389">
        <f>C12</f>
        <v>1498703.49</v>
      </c>
      <c r="E6" s="389">
        <f ca="1">'Budget 27'!C4</f>
        <v>2999656.7204715218</v>
      </c>
      <c r="F6" s="389">
        <v>3.54</v>
      </c>
      <c r="G6" s="389">
        <v>0</v>
      </c>
      <c r="H6" s="389">
        <v>0</v>
      </c>
      <c r="I6" s="389">
        <v>0</v>
      </c>
      <c r="J6" s="389">
        <v>70615.820000000007</v>
      </c>
      <c r="K6" s="389">
        <v>5461.24</v>
      </c>
      <c r="L6" s="390">
        <v>4117.18</v>
      </c>
      <c r="M6" s="390">
        <v>1061.75</v>
      </c>
      <c r="N6" s="285"/>
      <c r="O6" s="286"/>
      <c r="P6" s="285"/>
    </row>
    <row r="7" spans="1:16" s="287" customFormat="1" ht="16" customHeight="1" x14ac:dyDescent="0.2">
      <c r="A7" s="388">
        <f ca="1">CCActual</f>
        <v>226467.19305600011</v>
      </c>
      <c r="B7" s="490" t="s">
        <v>566</v>
      </c>
      <c r="C7" s="490"/>
      <c r="D7" s="302"/>
      <c r="E7" s="302"/>
      <c r="F7" s="302"/>
      <c r="G7" s="302"/>
      <c r="H7" s="407"/>
      <c r="I7" s="302"/>
      <c r="J7" s="302"/>
      <c r="K7" s="302"/>
      <c r="L7" s="302"/>
      <c r="M7" s="302"/>
      <c r="N7" s="285"/>
      <c r="O7" s="286"/>
      <c r="P7" s="285"/>
    </row>
    <row r="8" spans="1:16" s="6" customFormat="1" ht="16" customHeight="1" x14ac:dyDescent="0.2">
      <c r="A8" s="388"/>
      <c r="B8" s="490"/>
      <c r="C8" s="490"/>
      <c r="D8" s="302"/>
      <c r="E8" s="302"/>
      <c r="F8" s="302"/>
      <c r="G8" s="302"/>
      <c r="H8" s="302"/>
      <c r="I8" s="302"/>
      <c r="J8" s="496" t="s">
        <v>991</v>
      </c>
      <c r="K8" s="496"/>
      <c r="L8" s="496"/>
      <c r="M8" s="424">
        <v>50</v>
      </c>
      <c r="N8" s="464" cm="1">
        <f t="array" aca="1" ref="N8" ca="1">_FV(O8,"Prezzo")</f>
        <v>0.23880000000000001</v>
      </c>
      <c r="O8" s="423" t="e" vm="1">
        <v>#VALUE!</v>
      </c>
      <c r="P8" s="424" t="s">
        <v>881</v>
      </c>
    </row>
    <row r="9" spans="1:16" ht="21" customHeight="1" x14ac:dyDescent="0.2">
      <c r="A9" s="11"/>
      <c r="B9" s="11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ht="9" customHeight="1" x14ac:dyDescent="0.2">
      <c r="A10" s="485" t="s">
        <v>92</v>
      </c>
      <c r="B10" s="485"/>
      <c r="C10" s="14"/>
      <c r="H10" s="14"/>
      <c r="I10" s="14"/>
      <c r="J10" s="14"/>
      <c r="K10" s="14"/>
      <c r="L10" s="14"/>
      <c r="M10" s="14"/>
      <c r="N10" s="14"/>
      <c r="O10" s="15"/>
      <c r="P10" s="16"/>
    </row>
    <row r="11" spans="1:16" s="290" customFormat="1" ht="21" customHeight="1" x14ac:dyDescent="0.2">
      <c r="A11" s="486"/>
      <c r="B11" s="486"/>
      <c r="C11" s="288" t="s">
        <v>1</v>
      </c>
      <c r="D11" s="288" t="s">
        <v>2</v>
      </c>
      <c r="E11" s="288" t="s">
        <v>3</v>
      </c>
      <c r="F11" s="288" t="s">
        <v>4</v>
      </c>
      <c r="G11" s="288" t="s">
        <v>5</v>
      </c>
      <c r="H11" s="288" t="s">
        <v>6</v>
      </c>
      <c r="I11" s="288" t="s">
        <v>7</v>
      </c>
      <c r="J11" s="288" t="s">
        <v>8</v>
      </c>
      <c r="K11" s="288" t="s">
        <v>9</v>
      </c>
      <c r="L11" s="288" t="s">
        <v>10</v>
      </c>
      <c r="M11" s="288" t="s">
        <v>11</v>
      </c>
      <c r="N11" s="288" t="s">
        <v>12</v>
      </c>
      <c r="O11" s="288" t="s">
        <v>93</v>
      </c>
      <c r="P11" s="289"/>
    </row>
    <row r="12" spans="1:16" s="290" customFormat="1" ht="21" customHeight="1" x14ac:dyDescent="0.2">
      <c r="A12" s="487" t="s">
        <v>37</v>
      </c>
      <c r="B12" s="487"/>
      <c r="C12" s="291">
        <f t="shared" ref="C12:O12" si="0">SUM(C13:C17)</f>
        <v>1498703.49</v>
      </c>
      <c r="D12" s="291">
        <f t="shared" si="0"/>
        <v>1465198.0699999996</v>
      </c>
      <c r="E12" s="291">
        <f t="shared" si="0"/>
        <v>1441757.8499999999</v>
      </c>
      <c r="F12" s="291">
        <f t="shared" si="0"/>
        <v>1363243.77</v>
      </c>
      <c r="G12" s="291">
        <f t="shared" si="0"/>
        <v>1442228.01</v>
      </c>
      <c r="H12" s="291">
        <f t="shared" si="0"/>
        <v>1448417.2817500001</v>
      </c>
      <c r="I12" s="291">
        <f t="shared" si="0"/>
        <v>1454571.8496490002</v>
      </c>
      <c r="J12" s="291">
        <f t="shared" si="0"/>
        <v>0</v>
      </c>
      <c r="K12" s="291">
        <f t="shared" si="0"/>
        <v>0</v>
      </c>
      <c r="L12" s="291">
        <f t="shared" si="0"/>
        <v>0</v>
      </c>
      <c r="M12" s="291">
        <f t="shared" si="0"/>
        <v>0</v>
      </c>
      <c r="N12" s="291">
        <f t="shared" si="0"/>
        <v>0</v>
      </c>
      <c r="O12" s="292">
        <f t="shared" ca="1" si="0"/>
        <v>1402166.3730560001</v>
      </c>
      <c r="P12" s="293"/>
    </row>
    <row r="13" spans="1:16" s="125" customFormat="1" ht="21" customHeight="1" x14ac:dyDescent="0.2">
      <c r="A13" s="242" t="s">
        <v>91</v>
      </c>
      <c r="B13" s="242"/>
      <c r="C13" s="243">
        <f>SUM(F6:M6)</f>
        <v>81259.53</v>
      </c>
      <c r="D13" s="243">
        <v>40497.309999999772</v>
      </c>
      <c r="E13" s="243">
        <v>131315.74999999977</v>
      </c>
      <c r="F13" s="243">
        <v>114219.16</v>
      </c>
      <c r="G13" s="243">
        <v>341300.3</v>
      </c>
      <c r="H13" s="243">
        <v>273127.34175000002</v>
      </c>
      <c r="I13" s="243">
        <v>256677.42964900009</v>
      </c>
      <c r="J13" s="243" t="s">
        <v>719</v>
      </c>
      <c r="K13" s="243">
        <v>0</v>
      </c>
      <c r="L13" s="243">
        <v>0</v>
      </c>
      <c r="M13" s="243">
        <v>0</v>
      </c>
      <c r="N13" s="243">
        <v>0</v>
      </c>
      <c r="O13" s="244">
        <f ca="1">P23+P28+P33+P38+P43+P48+O56+P53</f>
        <v>226467.19305600011</v>
      </c>
      <c r="P13" s="47"/>
    </row>
    <row r="14" spans="1:16" s="125" customFormat="1" ht="21" customHeight="1" x14ac:dyDescent="0.2">
      <c r="A14" s="245" t="s">
        <v>1055</v>
      </c>
      <c r="B14" s="245"/>
      <c r="C14" s="377">
        <v>100526.8</v>
      </c>
      <c r="D14" s="243">
        <v>100674.15</v>
      </c>
      <c r="E14" s="308"/>
      <c r="F14" s="308"/>
      <c r="G14" s="308"/>
      <c r="H14" s="308"/>
      <c r="I14" s="243"/>
      <c r="J14" s="243"/>
      <c r="K14" s="243"/>
      <c r="L14" s="243"/>
      <c r="M14" s="243"/>
      <c r="N14" s="243"/>
      <c r="O14" s="244">
        <f>0</f>
        <v>0</v>
      </c>
      <c r="P14" s="47"/>
    </row>
    <row r="15" spans="1:16" s="125" customFormat="1" ht="21" customHeight="1" x14ac:dyDescent="0.2">
      <c r="A15" s="245" t="s">
        <v>31</v>
      </c>
      <c r="B15" s="245"/>
      <c r="C15" s="378">
        <v>340717.49</v>
      </c>
      <c r="D15" s="243">
        <v>343683.8</v>
      </c>
      <c r="E15" s="243">
        <v>348811.59</v>
      </c>
      <c r="F15" s="243">
        <v>331040.23</v>
      </c>
      <c r="G15" s="243">
        <v>232672.13</v>
      </c>
      <c r="H15" s="243">
        <v>246573.4</v>
      </c>
      <c r="I15" s="243">
        <v>250689.53</v>
      </c>
      <c r="J15" s="243"/>
      <c r="K15" s="243"/>
      <c r="L15" s="243"/>
      <c r="M15" s="243"/>
      <c r="N15" s="243"/>
      <c r="O15" s="252">
        <v>246573.4</v>
      </c>
      <c r="P15" s="47"/>
    </row>
    <row r="16" spans="1:16" s="125" customFormat="1" ht="21" customHeight="1" x14ac:dyDescent="0.2">
      <c r="A16" s="245" t="s">
        <v>252</v>
      </c>
      <c r="B16" s="245"/>
      <c r="C16" s="378">
        <v>905178.15</v>
      </c>
      <c r="D16" s="243">
        <v>908936.36</v>
      </c>
      <c r="E16" s="243">
        <v>890078.78</v>
      </c>
      <c r="F16" s="243">
        <v>847630.87</v>
      </c>
      <c r="G16" s="243">
        <v>796611.49</v>
      </c>
      <c r="H16" s="243">
        <v>856342.56</v>
      </c>
      <c r="I16" s="243">
        <v>874627.04</v>
      </c>
      <c r="J16" s="243"/>
      <c r="K16" s="243"/>
      <c r="L16" s="243"/>
      <c r="M16" s="243"/>
      <c r="N16" s="243"/>
      <c r="O16" s="252">
        <v>856342.56</v>
      </c>
      <c r="P16" s="47"/>
    </row>
    <row r="17" spans="1:16" s="125" customFormat="1" ht="21" customHeight="1" x14ac:dyDescent="0.2">
      <c r="A17" s="245" t="s">
        <v>1073</v>
      </c>
      <c r="B17" s="245"/>
      <c r="C17" s="378">
        <v>71021.52</v>
      </c>
      <c r="D17" s="243">
        <v>71406.45</v>
      </c>
      <c r="E17" s="243">
        <v>71551.73</v>
      </c>
      <c r="F17" s="243">
        <v>70353.509999999995</v>
      </c>
      <c r="G17" s="243">
        <v>71644.09</v>
      </c>
      <c r="H17" s="243">
        <v>72373.98</v>
      </c>
      <c r="I17" s="243">
        <v>72577.850000000006</v>
      </c>
      <c r="J17" s="243"/>
      <c r="K17" s="243"/>
      <c r="L17" s="243"/>
      <c r="M17" s="243"/>
      <c r="N17" s="243"/>
      <c r="O17" s="252">
        <v>72783.22</v>
      </c>
      <c r="P17" s="47"/>
    </row>
    <row r="18" spans="1:16" s="125" customFormat="1" ht="21" customHeight="1" x14ac:dyDescent="0.2">
      <c r="A18" s="245"/>
      <c r="B18" s="245"/>
      <c r="C18" s="378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301"/>
      <c r="P18" s="47"/>
    </row>
    <row r="19" spans="1:16" ht="9" customHeight="1" x14ac:dyDescent="0.2">
      <c r="A19" s="488" t="s">
        <v>837</v>
      </c>
      <c r="B19" s="381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  <c r="P19" s="13"/>
    </row>
    <row r="20" spans="1:16" s="290" customFormat="1" ht="21" customHeight="1" x14ac:dyDescent="0.2">
      <c r="A20" s="489"/>
      <c r="B20" s="381"/>
      <c r="C20" s="294" t="s">
        <v>1</v>
      </c>
      <c r="D20" s="294" t="s">
        <v>2</v>
      </c>
      <c r="E20" s="294" t="s">
        <v>3</v>
      </c>
      <c r="F20" s="294" t="s">
        <v>4</v>
      </c>
      <c r="G20" s="294" t="s">
        <v>5</v>
      </c>
      <c r="H20" s="294" t="s">
        <v>6</v>
      </c>
      <c r="I20" s="294" t="s">
        <v>7</v>
      </c>
      <c r="J20" s="294" t="s">
        <v>8</v>
      </c>
      <c r="K20" s="294" t="s">
        <v>9</v>
      </c>
      <c r="L20" s="294" t="s">
        <v>10</v>
      </c>
      <c r="M20" s="294" t="s">
        <v>11</v>
      </c>
      <c r="N20" s="294" t="s">
        <v>12</v>
      </c>
      <c r="O20" s="295" t="s">
        <v>20</v>
      </c>
      <c r="P20" s="288" t="s">
        <v>95</v>
      </c>
    </row>
    <row r="21" spans="1:16" s="125" customFormat="1" ht="21" customHeight="1" x14ac:dyDescent="0.2">
      <c r="A21" s="245" t="s">
        <v>0</v>
      </c>
      <c r="B21" s="245"/>
      <c r="C21" s="243">
        <f>IF(ISERROR(GETPIVOTDATA("Somma di AVERE",'Pivot IBKR'!$A$3,"Mese",1)),0,GETPIVOTDATA("Somma di AVERE",'Pivot IBKR'!$A$3,"Mese",1))</f>
        <v>0</v>
      </c>
      <c r="D21" s="243">
        <f>IF(ISERROR(GETPIVOTDATA("Somma di AVERE",'Pivot IBKR'!$A$3,"Mese",2)),0,GETPIVOTDATA("Somma di AVERE",'Pivot IBKR'!$A$3,"Mese",2))</f>
        <v>0</v>
      </c>
      <c r="E21" s="243">
        <f>IF(ISERROR(GETPIVOTDATA("Somma di AVERE",'Pivot IBKR'!$A$3,"Mese",3)),0,GETPIVOTDATA("Somma di AVERE",'Pivot IBKR'!$A$3,"Mese",3))</f>
        <v>0</v>
      </c>
      <c r="F21" s="243">
        <f>IF(ISERROR(GETPIVOTDATA("Somma di AVERE",'Pivot IBKR'!$A$3,"Mese",4)),0,GETPIVOTDATA("Somma di AVERE",'Pivot IBKR'!$A$3,"Mese",4))</f>
        <v>100</v>
      </c>
      <c r="G21" s="243">
        <f>IF(ISERROR(GETPIVOTDATA("Somma di AVERE",'Pivot IBKR'!$A$3,"Mese",5)),0,GETPIVOTDATA("Somma di AVERE",'Pivot IBKR'!$A$3,"Mese",5))</f>
        <v>60096.67</v>
      </c>
      <c r="H21" s="243">
        <f>IF(ISERROR(GETPIVOTDATA("Somma di AVERE",'Pivot IBKR'!$A$3,"Mese",6)),0,GETPIVOTDATA("Somma di AVERE",'Pivot IBKR'!$A$3,"Mese",6))</f>
        <v>0</v>
      </c>
      <c r="I21" s="243">
        <f>IF(ISERROR(GETPIVOTDATA("Somma di AVERE",'Pivot IBKR'!$A$3,"Mese",7)),0,GETPIVOTDATA("Somma di AVERE",'Pivot IBKR'!$A$3,"Mese",7))</f>
        <v>0</v>
      </c>
      <c r="J21" s="243">
        <f>IF(ISERROR(GETPIVOTDATA("Somma di AVERE",'Pivot IBKR'!$A$3,"Mese",8)),0,GETPIVOTDATA("Somma di AVERE",'Pivot IBKR'!$A$3,"Mese",8))</f>
        <v>0</v>
      </c>
      <c r="K21" s="243">
        <f>IF(ISERROR(GETPIVOTDATA("Somma di AVERE",'Pivot IBKR'!$A$3,"Mese",9)),0,GETPIVOTDATA("Somma di AVERE",'Pivot IBKR'!$A$3,"Mese",9))</f>
        <v>0</v>
      </c>
      <c r="L21" s="243">
        <f>IF(ISERROR(GETPIVOTDATA("Somma di AVERE",'Pivot IBKR'!$A$3,"Mese",10)),0,GETPIVOTDATA("Somma di AVERE",'Pivot IBKR'!$A$3,"Mese",10))</f>
        <v>0</v>
      </c>
      <c r="M21" s="243">
        <f>IF(ISERROR(GETPIVOTDATA("Somma di AVERE",'Pivot IBKR'!$A$3,"Mese",11)),0,GETPIVOTDATA("Somma di AVERE",'Pivot IBKR'!$A$3,"Mese",11))</f>
        <v>0</v>
      </c>
      <c r="N21" s="243">
        <f>IF(ISERROR(GETPIVOTDATA("Somma di AVERE",'Pivot IBKR'!$A$3,"Mese",12)),0,GETPIVOTDATA("Somma di AVERE",'Pivot IBKR'!$A$3,"Mese",12))</f>
        <v>0</v>
      </c>
      <c r="O21" s="244">
        <f>SUM(C21:N21)</f>
        <v>60196.67</v>
      </c>
      <c r="P21" s="47"/>
    </row>
    <row r="22" spans="1:16" s="125" customFormat="1" ht="21" customHeight="1" x14ac:dyDescent="0.2">
      <c r="A22" s="245" t="s">
        <v>19</v>
      </c>
      <c r="B22" s="245"/>
      <c r="C22" s="243">
        <f>IF(ISERROR(GETPIVOTDATA("Somma di DARE",'Pivot IBKR'!$A$3,"Mese",1)),0,GETPIVOTDATA("Somma di DARE",'Pivot IBKR'!$A$3,"Mese",1))</f>
        <v>0</v>
      </c>
      <c r="D22" s="243">
        <f>IF(ISERROR(GETPIVOTDATA("Somma di DARE",'Pivot IBKR'!$A$3,"Mese",2)),0,GETPIVOTDATA("Somma di DARE",'Pivot IBKR'!$A$3,"Mese",2))</f>
        <v>0</v>
      </c>
      <c r="E22" s="243">
        <f>IF(ISERROR(GETPIVOTDATA("Somma di DARE",'Pivot IBKR'!$A$3,"Mese",3)),0,GETPIVOTDATA("Somma di DARE",'Pivot IBKR'!$A$3,"Mese",3))</f>
        <v>0</v>
      </c>
      <c r="F22" s="243">
        <f>IF(ISERROR(GETPIVOTDATA("Somma di DARE",'Pivot IBKR'!$A$3,"Mese",4)),0,GETPIVOTDATA("Somma di DARE",'Pivot IBKR'!$A$3,"Mese",4))</f>
        <v>0</v>
      </c>
      <c r="G22" s="243">
        <f>IF(ISERROR(GETPIVOTDATA("Somma di DARE",'Pivot IBKR'!$A$3,"Mese",5)),0,GETPIVOTDATA("Somma di DARE",'Pivot IBKR'!$A$3,"Mese",5))</f>
        <v>58241.43</v>
      </c>
      <c r="H22" s="243">
        <f>IF(ISERROR(GETPIVOTDATA("Somma di DARE",'Pivot IBKR'!$A$3,"Mese",6)),0,GETPIVOTDATA("Somma di DARE",'Pivot IBKR'!$A$3,"Mese",6))</f>
        <v>0</v>
      </c>
      <c r="I22" s="243">
        <f>IF(ISERROR(GETPIVOTDATA("Somma di DARE",'Pivot IBKR'!$A$3,"Mese",7)),0,GETPIVOTDATA("Somma di DARE",'Pivot IBKR'!$A$3,"Mese",7))</f>
        <v>0</v>
      </c>
      <c r="J22" s="243">
        <f>IF(ISERROR(GETPIVOTDATA("Somma di DARE",'Pivot IBKR'!$A$3,"Mese",8)),0,GETPIVOTDATA("Somma di DARE",'Pivot IBKR'!$A$3,"Mese",8))</f>
        <v>0</v>
      </c>
      <c r="K22" s="243">
        <f>IF(ISERROR(GETPIVOTDATA("Somma di DARE",'Pivot IBKR'!$A$3,"Mese",9)),0,GETPIVOTDATA("Somma di DARE",'Pivot IBKR'!$A$3,"Mese",9))</f>
        <v>0</v>
      </c>
      <c r="L22" s="243">
        <f>IF(ISERROR(GETPIVOTDATA("Somma di DARE",'Pivot IBKR'!$A$3,"Mese",10)),0,GETPIVOTDATA("Somma di DARE",'Pivot IBKR'!$A$3,"Mese",10))</f>
        <v>0</v>
      </c>
      <c r="M22" s="243">
        <f>IF(ISERROR(GETPIVOTDATA("Somma di DARE",'Pivot IBKR'!$A$3,"Mese",11)),0,GETPIVOTDATA("Somma di DARE",'Pivot IBKR'!$A$3,"Mese",11))</f>
        <v>0</v>
      </c>
      <c r="N22" s="243">
        <f>IF(ISERROR(GETPIVOTDATA("Somma di DARE",'Pivot IBKR'!$A$3,"Mese",12)),0,GETPIVOTDATA("Somma di DARE",'Pivot IBKR'!$A$3,"Mese",12))</f>
        <v>0</v>
      </c>
      <c r="O22" s="244">
        <f>SUM(C22:N22)</f>
        <v>58241.43</v>
      </c>
      <c r="P22" s="47"/>
    </row>
    <row r="23" spans="1:16" ht="21" customHeight="1" x14ac:dyDescent="0.2">
      <c r="A23" s="11"/>
      <c r="B23" s="11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6"/>
      <c r="P23" s="244">
        <f>G6+O21-O22</f>
        <v>1955.239999999998</v>
      </c>
    </row>
    <row r="24" spans="1:16" ht="9" customHeight="1" x14ac:dyDescent="0.2">
      <c r="A24" s="488" t="s">
        <v>842</v>
      </c>
      <c r="B24" s="381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8"/>
      <c r="P24" s="13"/>
    </row>
    <row r="25" spans="1:16" s="290" customFormat="1" ht="21" customHeight="1" x14ac:dyDescent="0.2">
      <c r="A25" s="489"/>
      <c r="B25" s="381"/>
      <c r="C25" s="294" t="s">
        <v>1</v>
      </c>
      <c r="D25" s="294" t="s">
        <v>2</v>
      </c>
      <c r="E25" s="294" t="s">
        <v>3</v>
      </c>
      <c r="F25" s="294" t="s">
        <v>4</v>
      </c>
      <c r="G25" s="294" t="s">
        <v>5</v>
      </c>
      <c r="H25" s="294" t="s">
        <v>6</v>
      </c>
      <c r="I25" s="294" t="s">
        <v>7</v>
      </c>
      <c r="J25" s="294" t="s">
        <v>8</v>
      </c>
      <c r="K25" s="294" t="s">
        <v>9</v>
      </c>
      <c r="L25" s="294" t="s">
        <v>10</v>
      </c>
      <c r="M25" s="294" t="s">
        <v>11</v>
      </c>
      <c r="N25" s="294" t="s">
        <v>12</v>
      </c>
      <c r="O25" s="295" t="s">
        <v>20</v>
      </c>
      <c r="P25" s="288" t="s">
        <v>95</v>
      </c>
    </row>
    <row r="26" spans="1:16" s="125" customFormat="1" ht="21" customHeight="1" x14ac:dyDescent="0.2">
      <c r="A26" s="245" t="s">
        <v>0</v>
      </c>
      <c r="B26" s="245"/>
      <c r="C26" s="243">
        <f>IF(ISERROR(GETPIVOTDATA("Somma di AVERE",'Pivot RakBank EUR'!$A$3,"Mese",1)),0,GETPIVOTDATA("Somma di AVERE",'Pivot RakBank EUR'!$A$3,"Mese",1))</f>
        <v>0</v>
      </c>
      <c r="D26" s="243">
        <f>IF(ISERROR(GETPIVOTDATA("Somma di AVERE",'Pivot RakBank EUR'!$A$3,"Mese",2)),0,GETPIVOTDATA("Somma di AVERE",'Pivot RakBank EUR'!$A$3,"Mese",2))</f>
        <v>0</v>
      </c>
      <c r="E26" s="243">
        <f>IF(ISERROR(GETPIVOTDATA("Somma di AVERE",'Pivot RakBank EUR'!$A$3,"Mese",3)),0,GETPIVOTDATA("Somma di AVERE",'Pivot RakBank EUR'!$A$3,"Mese",3))</f>
        <v>0</v>
      </c>
      <c r="F26" s="243">
        <f>IF(ISERROR(GETPIVOTDATA("Somma di AVERE",'Pivot RakBank EUR'!$A$3,"Mese",4)),0,GETPIVOTDATA("Somma di AVERE",'Pivot RakBank EUR'!$A$3,"Mese",4))</f>
        <v>320000</v>
      </c>
      <c r="G26" s="243">
        <f>IF(ISERROR(GETPIVOTDATA("Somma di AVERE",'Pivot RakBank EUR'!$A$3,"Mese",5)),0,GETPIVOTDATA("Somma di AVERE",'Pivot RakBank EUR'!$A$3,"Mese",5))</f>
        <v>0</v>
      </c>
      <c r="H26" s="243">
        <f>IF(ISERROR(GETPIVOTDATA("Somma di AVERE",'Pivot RakBank EUR'!$A$3,"Mese",6)),0,GETPIVOTDATA("Somma di AVERE",'Pivot RakBank EUR'!$A$3,"Mese",6))</f>
        <v>0</v>
      </c>
      <c r="I26" s="243">
        <f>IF(ISERROR(GETPIVOTDATA("Somma di AVERE",'Pivot RakBank EUR'!$A$3,"Mese",7)),0,GETPIVOTDATA("Somma di AVERE",'Pivot RakBank EUR'!$A$3,"Mese",7))</f>
        <v>0</v>
      </c>
      <c r="J26" s="243">
        <f>IF(ISERROR(GETPIVOTDATA("Somma di AVERE",'Pivot RakBank EUR'!$A$3,"Mese",8)),0,GETPIVOTDATA("Somma di AVERE",'Pivot RakBank EUR'!$A$3,"Mese",8))</f>
        <v>0</v>
      </c>
      <c r="K26" s="243">
        <f>IF(ISERROR(GETPIVOTDATA("Somma di AVERE",'Pivot RakBank EUR'!$A$3,"Mese",9)),0,GETPIVOTDATA("Somma di AVERE",'Pivot RakBank EUR'!$A$3,"Mese",9))</f>
        <v>0</v>
      </c>
      <c r="L26" s="243">
        <f>IF(ISERROR(GETPIVOTDATA("Somma di AVERE",'Pivot RakBank EUR'!$A$3,"Mese",10)),0,GETPIVOTDATA("Somma di AVERE",'Pivot RakBank EUR'!$A$3,"Mese",10))</f>
        <v>0</v>
      </c>
      <c r="M26" s="243">
        <f>IF(ISERROR(GETPIVOTDATA("Somma di AVERE",'Pivot RakBank EUR'!$A$3,"Mese",11)),0,GETPIVOTDATA("Somma di AVERE",'Pivot RakBank EUR'!$A$3,"Mese",11))</f>
        <v>0</v>
      </c>
      <c r="N26" s="243">
        <f>IF(ISERROR(GETPIVOTDATA("Somma di AVERE",'Pivot RakBank EUR'!$A$3,"Mese",12)),0,GETPIVOTDATA("Somma di AVERE",'Pivot RakBank EUR'!$A$3,"Mese",12))</f>
        <v>0</v>
      </c>
      <c r="O26" s="244">
        <f>SUM(C26:N26)</f>
        <v>320000</v>
      </c>
      <c r="P26" s="47"/>
    </row>
    <row r="27" spans="1:16" s="125" customFormat="1" ht="21" customHeight="1" x14ac:dyDescent="0.2">
      <c r="A27" s="245" t="s">
        <v>19</v>
      </c>
      <c r="B27" s="245"/>
      <c r="C27" s="243">
        <f>IF(ISERROR(GETPIVOTDATA("Somma di DARE",'Pivot RakBank EUR'!$A$3,"Mese",1)),0,GETPIVOTDATA("Somma di DARE",'Pivot RakBank EUR'!$A$3,"Mese",1))</f>
        <v>0</v>
      </c>
      <c r="D27" s="243">
        <f>IF(ISERROR(GETPIVOTDATA("Somma di DARE",'Pivot RakBank EUR'!$A$3,"Mese",2)),0,GETPIVOTDATA("Somma di DARE",'Pivot RakBank EUR'!$A$3,"Mese",2))</f>
        <v>0</v>
      </c>
      <c r="E27" s="243">
        <f>IF(ISERROR(GETPIVOTDATA("Somma di DARE",'Pivot RakBank EUR'!$A$3,"Mese",3)),0,GETPIVOTDATA("Somma di DARE",'Pivot RakBank EUR'!$A$3,"Mese",3))</f>
        <v>0</v>
      </c>
      <c r="F27" s="243">
        <f>IF(ISERROR(GETPIVOTDATA("Somma di DARE",'Pivot RakBank EUR'!$A$3,"Mese",4)),0,GETPIVOTDATA("Somma di DARE",'Pivot RakBank EUR'!$A$3,"Mese",4))</f>
        <v>69974.38</v>
      </c>
      <c r="G27" s="243">
        <f>IF(ISERROR(GETPIVOTDATA("Somma di DARE",'Pivot RakBank EUR'!$A$3,"Mese",5)),0,GETPIVOTDATA("Somma di DARE",'Pivot RakBank EUR'!$A$3,"Mese",5))</f>
        <v>60042</v>
      </c>
      <c r="H27" s="243">
        <f>IF(ISERROR(GETPIVOTDATA("Somma di DARE",'Pivot RakBank EUR'!$A$3,"Mese",6)),0,GETPIVOTDATA("Somma di DARE",'Pivot RakBank EUR'!$A$3,"Mese",6))</f>
        <v>0</v>
      </c>
      <c r="I27" s="243">
        <f>IF(ISERROR(GETPIVOTDATA("Somma di DARE",'Pivot RakBank EUR'!$A$3,"Mese",7)),0,GETPIVOTDATA("Somma di DARE",'Pivot RakBank EUR'!$A$3,"Mese",7))</f>
        <v>30021</v>
      </c>
      <c r="J27" s="243">
        <f>IF(ISERROR(GETPIVOTDATA("Somma di DARE",'Pivot RakBank EUR'!$A$3,"Mese",8)),0,GETPIVOTDATA("Somma di DARE",'Pivot RakBank EUR'!$A$3,"Mese",8))</f>
        <v>0</v>
      </c>
      <c r="K27" s="243">
        <f>IF(ISERROR(GETPIVOTDATA("Somma di DARE",'Pivot RakBank EUR'!$A$3,"Mese",9)),0,GETPIVOTDATA("Somma di DARE",'Pivot RakBank EUR'!$A$3,"Mese",9))</f>
        <v>0</v>
      </c>
      <c r="L27" s="243">
        <f>IF(ISERROR(GETPIVOTDATA("Somma di DARE",'Pivot RakBank EUR'!$A$3,"Mese",10)),0,GETPIVOTDATA("Somma di DARE",'Pivot RakBank EUR'!$A$3,"Mese",10))</f>
        <v>0</v>
      </c>
      <c r="M27" s="243">
        <f>IF(ISERROR(GETPIVOTDATA("Somma di DARE",'Pivot RakBank EUR'!$A$3,"Mese",11)),0,GETPIVOTDATA("Somma di DARE",'Pivot RakBank EUR'!$A$3,"Mese",11))</f>
        <v>0</v>
      </c>
      <c r="N27" s="243">
        <f>IF(ISERROR(GETPIVOTDATA("Somma di DARE",'Pivot RakBank EUR'!$A$3,"Mese",12)),0,GETPIVOTDATA("Somma di DARE",'Pivot RakBank EUR'!$A$3,"Mese",12))</f>
        <v>0</v>
      </c>
      <c r="O27" s="244">
        <f>SUM(C27:N27)</f>
        <v>160037.38</v>
      </c>
      <c r="P27" s="47"/>
    </row>
    <row r="28" spans="1:16" ht="21" customHeight="1" x14ac:dyDescent="0.2">
      <c r="A28" s="11"/>
      <c r="B28" s="11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6"/>
      <c r="P28" s="244">
        <f>H6+O26-O27</f>
        <v>159962.62</v>
      </c>
    </row>
    <row r="29" spans="1:16" ht="9" customHeight="1" x14ac:dyDescent="0.2">
      <c r="A29" s="488" t="s">
        <v>845</v>
      </c>
      <c r="B29" s="381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8"/>
      <c r="P29" s="13"/>
    </row>
    <row r="30" spans="1:16" s="290" customFormat="1" ht="21" customHeight="1" x14ac:dyDescent="0.2">
      <c r="A30" s="489"/>
      <c r="B30" s="381"/>
      <c r="C30" s="294" t="s">
        <v>1</v>
      </c>
      <c r="D30" s="294" t="s">
        <v>2</v>
      </c>
      <c r="E30" s="294" t="s">
        <v>3</v>
      </c>
      <c r="F30" s="294" t="s">
        <v>4</v>
      </c>
      <c r="G30" s="294" t="s">
        <v>5</v>
      </c>
      <c r="H30" s="294" t="s">
        <v>6</v>
      </c>
      <c r="I30" s="294" t="s">
        <v>7</v>
      </c>
      <c r="J30" s="294" t="s">
        <v>8</v>
      </c>
      <c r="K30" s="294" t="s">
        <v>9</v>
      </c>
      <c r="L30" s="294" t="s">
        <v>10</v>
      </c>
      <c r="M30" s="294" t="s">
        <v>11</v>
      </c>
      <c r="N30" s="294" t="s">
        <v>12</v>
      </c>
      <c r="O30" s="295" t="s">
        <v>20</v>
      </c>
      <c r="P30" s="288" t="s">
        <v>95</v>
      </c>
    </row>
    <row r="31" spans="1:16" s="125" customFormat="1" ht="21" customHeight="1" x14ac:dyDescent="0.2">
      <c r="A31" s="245" t="s">
        <v>0</v>
      </c>
      <c r="B31" s="245"/>
      <c r="C31" s="414">
        <f>IF(ISERROR(GETPIVOTDATA("Somma di AVERE AED AED",'Pivot RakBank AED'!$A$3,"Mese",1)),0,GETPIVOTDATA("Somma di AVERE AED AED",'Pivot RakBank AED'!$A$3,"Mese",1))</f>
        <v>0</v>
      </c>
      <c r="D31" s="414">
        <f>IF(ISERROR(GETPIVOTDATA("Somma di AVERE AED AED",'Pivot RakBank AED'!$A$3,"Mese",2)),0,GETPIVOTDATA("Somma di AVERE AED AED",'Pivot RakBank AED'!$A$3,"Mese",2))</f>
        <v>0</v>
      </c>
      <c r="E31" s="414">
        <f>IF(ISERROR(GETPIVOTDATA("Somma di AVERE AED",'Pivot RakBank AED'!$A$3,"Mese",3)),0,GETPIVOTDATA("Somma di AVERE AED",'Pivot RakBank AED'!$A$3,"Mese",3))</f>
        <v>0</v>
      </c>
      <c r="F31" s="414">
        <f>IF(ISERROR(GETPIVOTDATA("Somma di AVERE AED",'Pivot RakBank AED'!$A$3,"Mese",4)),0,GETPIVOTDATA("Somma di AVERE AED",'Pivot RakBank AED'!$A$3,"Mese",4))</f>
        <v>292692.27</v>
      </c>
      <c r="G31" s="414">
        <f>IF(ISERROR(GETPIVOTDATA("Somma di AVERE AED",'Pivot RakBank AED'!$A$3,"Mese",5)),0,GETPIVOTDATA("Somma di AVERE AED",'Pivot RakBank AED'!$A$3,"Mese",5))</f>
        <v>2188.8900000000003</v>
      </c>
      <c r="H31" s="414">
        <f>IF(ISERROR(GETPIVOTDATA("Somma di AVERE AED",'Pivot RakBank AED'!$A$3,"Mese",6)),0,GETPIVOTDATA("Somma di AVERE AED",'Pivot RakBank AED'!$A$3,"Mese",6))</f>
        <v>0</v>
      </c>
      <c r="I31" s="414">
        <f>IF(ISERROR(GETPIVOTDATA("Somma di AVERE AED",'Pivot RakBank AED'!$A$3,"Mese",7)),0,GETPIVOTDATA("Somma di AVERE AED",'Pivot RakBank AED'!$A$3,"Mese",7))</f>
        <v>0</v>
      </c>
      <c r="J31" s="414">
        <f>IF(ISERROR(GETPIVOTDATA("Somma di AVERE AED",'Pivot RakBank AED'!$A$3,"Mese",8)),0,GETPIVOTDATA("Somma di AVERE AED",'Pivot RakBank AED'!$A$3,"Mese",8))</f>
        <v>0</v>
      </c>
      <c r="K31" s="414">
        <f>IF(ISERROR(GETPIVOTDATA("Somma di AVERE AED",'Pivot RakBank AED'!$A$3,"Mese",9)),0,GETPIVOTDATA("Somma di AVERE AED",'Pivot RakBank AED'!$A$3,"Mese",9))</f>
        <v>0</v>
      </c>
      <c r="L31" s="414">
        <f>IF(ISERROR(GETPIVOTDATA("Somma di AVERE AED",'Pivot RakBank AED'!$A$3,"Mese",10)),0,GETPIVOTDATA("Somma di AVERE AED",'Pivot RakBank AED'!$A$3,"Mese",10))</f>
        <v>0</v>
      </c>
      <c r="M31" s="414">
        <f>IF(ISERROR(GETPIVOTDATA("Somma di AVERE AED",'Pivot RakBank AED'!$A$3,"Mese",11)),0,GETPIVOTDATA("Somma di AVERE AED",'Pivot RakBank AED'!$A$3,"Mese",11))</f>
        <v>0</v>
      </c>
      <c r="N31" s="414">
        <f>IF(ISERROR(GETPIVOTDATA("Somma di AVERE AED",'Pivot RakBank AED'!$A$3,"Mese",12)),0,GETPIVOTDATA("Somma di AVERE AED",'Pivot RakBank AED'!$A$3,"Mese",12))</f>
        <v>0</v>
      </c>
      <c r="O31" s="416">
        <f>SUM(C31:N31)</f>
        <v>294881.16000000003</v>
      </c>
      <c r="P31" s="47"/>
    </row>
    <row r="32" spans="1:16" s="125" customFormat="1" ht="21" customHeight="1" x14ac:dyDescent="0.2">
      <c r="A32" s="245" t="s">
        <v>19</v>
      </c>
      <c r="B32" s="245"/>
      <c r="O32" s="416">
        <f>SUM(C33:N33)</f>
        <v>165443.04</v>
      </c>
      <c r="P32" s="416">
        <f>+O31-O32</f>
        <v>129438.12000000002</v>
      </c>
    </row>
    <row r="33" spans="1:18" ht="21" customHeight="1" x14ac:dyDescent="0.2">
      <c r="A33" s="11"/>
      <c r="B33" s="11"/>
      <c r="C33" s="414">
        <f>IF(ISERROR(GETPIVOTDATA("Somma di DARE AED",'Pivot RakBank AED'!$A$3,"Mese",1)),0,GETPIVOTDATA("Somma di DARE AED",'Pivot RakBank AED'!$A$3,"Mese",1))</f>
        <v>0</v>
      </c>
      <c r="D33" s="414">
        <f>IF(ISERROR(GETPIVOTDATA("Somma di DARE AED",'Pivot RakBank AED'!$A$3,"Mese",2)),0,GETPIVOTDATA("Somma di DARE AED",'Pivot RakBank AED'!$A$3,"Mese",2))</f>
        <v>0</v>
      </c>
      <c r="E33" s="414">
        <f>IF(ISERROR(GETPIVOTDATA("Somma di DARE AED",'Pivot RakBank AED'!$A$3,"Mese",3)),0,GETPIVOTDATA("Somma di DARE AED",'Pivot RakBank AED'!$A$3,"Mese",3))</f>
        <v>0</v>
      </c>
      <c r="F33" s="414">
        <f>IF(ISERROR(GETPIVOTDATA("Somma di DARE AED",'Pivot RakBank AED'!$A$3,"Mese",4)),0,GETPIVOTDATA("Somma di DARE AED",'Pivot RakBank AED'!$A$3,"Mese",4))</f>
        <v>0</v>
      </c>
      <c r="G33" s="414">
        <f>IF(ISERROR(GETPIVOTDATA("Somma di DARE AED",'Pivot RakBank AED'!$A$3,"Mese",5)),0,GETPIVOTDATA("Somma di DARE AED",'Pivot RakBank AED'!$A$3,"Mese",5))</f>
        <v>57495.740000000005</v>
      </c>
      <c r="H33" s="414">
        <f>IF(ISERROR(GETPIVOTDATA("Somma di DARE AED",'Pivot RakBank AED'!$A$3,"Mese",6)),0,GETPIVOTDATA("Somma di DARE AED",'Pivot RakBank AED'!$A$3,"Mese",6))</f>
        <v>43481.080000000009</v>
      </c>
      <c r="I33" s="414">
        <f>IF(ISERROR(GETPIVOTDATA("Somma di DARE AED",'Pivot RakBank AED'!$A$3,"Mese",7)),0,GETPIVOTDATA("Somma di DARE AED",'Pivot RakBank AED'!$A$3,"Mese",7))</f>
        <v>64466.22</v>
      </c>
      <c r="J33" s="414">
        <f>IF(ISERROR(GETPIVOTDATA("Somma di DARE AED",'Pivot RakBank AED'!$A$3,"Mese",8)),0,GETPIVOTDATA("Somma di DARE AED",'Pivot RakBank AED'!$A$3,"Mese",8))</f>
        <v>0</v>
      </c>
      <c r="K33" s="414">
        <f>IF(ISERROR(GETPIVOTDATA("Somma di DARE AED",'Pivot RakBank AED'!$A$3,"Mese",9)),0,GETPIVOTDATA("Somma di DARE AED",'Pivot RakBank AED'!$A$3,"Mese",9))</f>
        <v>0</v>
      </c>
      <c r="L33" s="414">
        <f>IF(ISERROR(GETPIVOTDATA("Somma di DARE AED",'Pivot RakBank AED'!$A$3,"Mese",10)),0,GETPIVOTDATA("Somma di DARE AED",'Pivot RakBank AED'!$A$3,"Mese",10))</f>
        <v>0</v>
      </c>
      <c r="M33" s="414">
        <f>IF(ISERROR(GETPIVOTDATA("Somma di DARE AED",'Pivot RakBank AED'!$A$3,"Mese",11)),0,GETPIVOTDATA("Somma di DARE AED",'Pivot RakBank AED'!$A$3,"Mese",11))</f>
        <v>0</v>
      </c>
      <c r="N33" s="414">
        <f>IF(ISERROR(GETPIVOTDATA("Somma di DARE AED",'Pivot RakBank AED'!$A$3,"Mese",12)),0,GETPIVOTDATA("Somma di DARE AED",'Pivot RakBank AED'!$A$3,"Mese",12))</f>
        <v>0</v>
      </c>
      <c r="O33" s="86"/>
      <c r="P33" s="244" cm="1">
        <f t="array" aca="1" ref="P33" ca="1">(I6+O31-O32)*_FV(O8,"Prezzo")</f>
        <v>30909.823056000008</v>
      </c>
    </row>
    <row r="34" spans="1:18" ht="9" customHeight="1" x14ac:dyDescent="0.2">
      <c r="A34" s="488" t="s">
        <v>269</v>
      </c>
      <c r="B34" s="381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8"/>
      <c r="P34" s="13"/>
    </row>
    <row r="35" spans="1:18" s="290" customFormat="1" ht="21" customHeight="1" x14ac:dyDescent="0.2">
      <c r="A35" s="489"/>
      <c r="B35" s="381"/>
      <c r="C35" s="294" t="s">
        <v>1</v>
      </c>
      <c r="D35" s="294" t="s">
        <v>2</v>
      </c>
      <c r="E35" s="294" t="s">
        <v>3</v>
      </c>
      <c r="F35" s="294" t="s">
        <v>4</v>
      </c>
      <c r="G35" s="294" t="s">
        <v>5</v>
      </c>
      <c r="H35" s="294" t="s">
        <v>6</v>
      </c>
      <c r="I35" s="294" t="s">
        <v>7</v>
      </c>
      <c r="J35" s="294" t="s">
        <v>8</v>
      </c>
      <c r="K35" s="294" t="s">
        <v>9</v>
      </c>
      <c r="L35" s="294" t="s">
        <v>10</v>
      </c>
      <c r="M35" s="294" t="s">
        <v>11</v>
      </c>
      <c r="N35" s="294" t="s">
        <v>12</v>
      </c>
      <c r="O35" s="295" t="s">
        <v>20</v>
      </c>
      <c r="P35" s="288" t="s">
        <v>95</v>
      </c>
    </row>
    <row r="36" spans="1:18" s="125" customFormat="1" ht="21" customHeight="1" x14ac:dyDescent="0.2">
      <c r="A36" s="245" t="s">
        <v>0</v>
      </c>
      <c r="B36" s="245"/>
      <c r="C36" s="243">
        <f>IF(ISERROR(GETPIVOTDATA("Somma di AVERE",'Pivot Fineco St'!$A$3,"Mese",1)),0,GETPIVOTDATA("Somma di AVERE",'Pivot Fineco St'!$A$3,"Mese",1))</f>
        <v>0</v>
      </c>
      <c r="D36" s="243">
        <f>IF(ISERROR(GETPIVOTDATA("Somma di AVERE",'Pivot Fineco St'!$A$3,"Mese",2)),0,GETPIVOTDATA("Somma di AVERE",'Pivot Fineco St'!$A$3,"Mese",2))</f>
        <v>96492.14</v>
      </c>
      <c r="E36" s="243">
        <f>IF(ISERROR(GETPIVOTDATA("Somma di AVERE",'Pivot Fineco St'!$A$3,"Mese",3)),0,GETPIVOTDATA("Somma di AVERE",'Pivot Fineco St'!$A$3,"Mese",3))</f>
        <v>0</v>
      </c>
      <c r="F36" s="243">
        <f>IF(ISERROR(GETPIVOTDATA("Somma di AVERE",'Pivot Fineco St'!$A$3,"Mese",4)),0,GETPIVOTDATA("Somma di AVERE",'Pivot Fineco St'!$A$3,"Mese",4))</f>
        <v>22498.2</v>
      </c>
      <c r="G36" s="243">
        <f>IF(ISERROR(GETPIVOTDATA("Somma di AVERE",'Pivot Fineco St'!$A$3,"Mese",5)),0,GETPIVOTDATA("Somma di AVERE",'Pivot Fineco St'!$A$3,"Mese",5))</f>
        <v>0</v>
      </c>
      <c r="H36" s="243">
        <f>IF(ISERROR(GETPIVOTDATA("Somma di AVERE",'Pivot Fineco St'!$A$3,"Mese",6)),0,GETPIVOTDATA("Somma di AVERE",'Pivot Fineco St'!$A$3,"Mese",6))</f>
        <v>0</v>
      </c>
      <c r="I36" s="243">
        <f>IF(ISERROR(GETPIVOTDATA("Somma di AVERE",'Pivot Fineco St'!$A$3,"Mese",7)),0,GETPIVOTDATA("Somma di AVERE",'Pivot Fineco St'!$A$3,"Mese",7))</f>
        <v>30000</v>
      </c>
      <c r="J36" s="243">
        <f>IF(ISERROR(GETPIVOTDATA("Somma di AVERE",'Pivot Fineco St'!$A$3,"Mese",8)),0,GETPIVOTDATA("Somma di AVERE",'Pivot Fineco St'!$A$3,"Mese",8))</f>
        <v>0</v>
      </c>
      <c r="K36" s="243">
        <f>IF(ISERROR(GETPIVOTDATA("Somma di AVERE",'Pivot Fineco St'!$A$3,"Mese",9)),0,GETPIVOTDATA("Somma di AVERE",'Pivot Fineco St'!$A$3,"Mese",9))</f>
        <v>0</v>
      </c>
      <c r="L36" s="243">
        <f>IF(ISERROR(GETPIVOTDATA("Somma di AVERE",'Pivot Fineco St'!$A$3,"Mese",10)),0,GETPIVOTDATA("Somma di AVERE",'Pivot Fineco St'!$A$3,"Mese",10))</f>
        <v>0</v>
      </c>
      <c r="M36" s="243">
        <f>IF(ISERROR(GETPIVOTDATA("Somma di AVERE",'Pivot Fineco St'!$A$3,"Mese",11)),0,GETPIVOTDATA("Somma di AVERE",'Pivot Fineco St'!$A$3,"Mese",11))</f>
        <v>0</v>
      </c>
      <c r="N36" s="243">
        <f>IF(ISERROR(GETPIVOTDATA("Somma di AVERE",'Pivot Fineco St'!$A$3,"Mese",12)),0,GETPIVOTDATA("Somma di AVERE",'Pivot Fineco St'!$A$3,"Mese",12))</f>
        <v>0</v>
      </c>
      <c r="O36" s="244">
        <f>SUM(C36:N36)</f>
        <v>148990.34</v>
      </c>
      <c r="P36" s="47"/>
    </row>
    <row r="37" spans="1:18" s="125" customFormat="1" ht="21" customHeight="1" x14ac:dyDescent="0.2">
      <c r="A37" s="245" t="s">
        <v>19</v>
      </c>
      <c r="B37" s="245"/>
      <c r="C37" s="243">
        <f>IF(ISERROR(GETPIVOTDATA("Somma di DARE",'Pivot Fineco St'!$A$3,"Mese",1)),0,GETPIVOTDATA("Somma di DARE",'Pivot Fineco St'!$A$3,"Mese",1))</f>
        <v>40325.590000000004</v>
      </c>
      <c r="D37" s="243">
        <f>IF(ISERROR(GETPIVOTDATA("Somma di DARE",'Pivot Fineco St'!$A$3,"Mese",2)),0,GETPIVOTDATA("Somma di DARE",'Pivot Fineco St'!$A$3,"Mese",2))</f>
        <v>16984.73</v>
      </c>
      <c r="E37" s="243">
        <f>IF(ISERROR(GETPIVOTDATA("Somma di DARE",'Pivot Fineco St'!$A$3,"Mese",3)),0,GETPIVOTDATA("Somma di DARE",'Pivot Fineco St'!$A$3,"Mese",3))</f>
        <v>83902.419999999984</v>
      </c>
      <c r="F37" s="243">
        <f>IF(ISERROR(GETPIVOTDATA("Somma di DARE",'Pivot Fineco St'!$A$3,"Mese",4)),0,GETPIVOTDATA("Somma di DARE",'Pivot Fineco St'!$A$3,"Mese",4))</f>
        <v>27020.510000000002</v>
      </c>
      <c r="G37" s="243">
        <f>IF(ISERROR(GETPIVOTDATA("Somma di DARE",'Pivot Fineco St'!$A$3,"Mese",5)),0,GETPIVOTDATA("Somma di DARE",'Pivot Fineco St'!$A$3,"Mese",5))</f>
        <v>6027.85</v>
      </c>
      <c r="H37" s="243">
        <f>IF(ISERROR(GETPIVOTDATA("Somma di DARE",'Pivot Fineco St'!$A$3,"Mese",6)),0,GETPIVOTDATA("Somma di DARE",'Pivot Fineco St'!$A$3,"Mese",6))</f>
        <v>4027.96</v>
      </c>
      <c r="I37" s="243">
        <f>IF(ISERROR(GETPIVOTDATA("Somma di DARE",'Pivot Fineco St'!$A$3,"Mese",7)),0,GETPIVOTDATA("Somma di DARE",'Pivot Fineco St'!$A$3,"Mese",7))</f>
        <v>13761.429999999998</v>
      </c>
      <c r="J37" s="243">
        <f>IF(ISERROR(GETPIVOTDATA("Somma di DARE",'Pivot Fineco St'!$A$3,"Mese",8)),0,GETPIVOTDATA("Somma di DARE",'Pivot Fineco St'!$A$3,"Mese",8))</f>
        <v>0</v>
      </c>
      <c r="K37" s="243">
        <f>IF(ISERROR(GETPIVOTDATA("Somma di DARE",'Pivot Fineco St'!$A$3,"Mese",9)),0,GETPIVOTDATA("Somma di DARE",'Pivot Fineco St'!$A$3,"Mese",9))</f>
        <v>0</v>
      </c>
      <c r="L37" s="243">
        <f>IF(ISERROR(GETPIVOTDATA("Somma di DARE",'Pivot Fineco St'!$A$3,"Mese",10)),0,GETPIVOTDATA("Somma di DARE",'Pivot Fineco St'!$A$3,"Mese",10))</f>
        <v>0</v>
      </c>
      <c r="M37" s="243">
        <f>IF(ISERROR(GETPIVOTDATA("Somma di DARE",'Pivot Fineco St'!$A$3,"Mese",11)),0,GETPIVOTDATA("Somma di DARE",'Pivot Fineco St'!$A$3,"Mese",11))</f>
        <v>0</v>
      </c>
      <c r="N37" s="243">
        <f>IF(ISERROR(GETPIVOTDATA("Somma di DARE",'Pivot Fineco St'!$A$3,"Mese",12)),0,GETPIVOTDATA("Somma di DARE",'Pivot Fineco St'!$A$3,"Mese",12))</f>
        <v>0</v>
      </c>
      <c r="O37" s="244">
        <f>SUM(C37:N37)</f>
        <v>192050.49</v>
      </c>
      <c r="P37" s="47"/>
    </row>
    <row r="38" spans="1:18" ht="21" customHeight="1" x14ac:dyDescent="0.2">
      <c r="A38" s="11"/>
      <c r="B38" s="11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244">
        <f>J6+O36-O37</f>
        <v>27555.670000000013</v>
      </c>
    </row>
    <row r="39" spans="1:18" ht="9" customHeight="1" x14ac:dyDescent="0.2">
      <c r="A39" s="488" t="s">
        <v>242</v>
      </c>
      <c r="B39" s="381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8"/>
      <c r="P39" s="13"/>
    </row>
    <row r="40" spans="1:18" s="290" customFormat="1" ht="21" customHeight="1" x14ac:dyDescent="0.2">
      <c r="A40" s="489"/>
      <c r="B40" s="381"/>
      <c r="C40" s="294" t="s">
        <v>1</v>
      </c>
      <c r="D40" s="294" t="s">
        <v>2</v>
      </c>
      <c r="E40" s="294" t="s">
        <v>3</v>
      </c>
      <c r="F40" s="294" t="s">
        <v>4</v>
      </c>
      <c r="G40" s="294" t="s">
        <v>5</v>
      </c>
      <c r="H40" s="294" t="s">
        <v>6</v>
      </c>
      <c r="I40" s="294" t="s">
        <v>7</v>
      </c>
      <c r="J40" s="294" t="s">
        <v>8</v>
      </c>
      <c r="K40" s="294" t="s">
        <v>9</v>
      </c>
      <c r="L40" s="294" t="s">
        <v>10</v>
      </c>
      <c r="M40" s="294" t="s">
        <v>11</v>
      </c>
      <c r="N40" s="294" t="s">
        <v>12</v>
      </c>
      <c r="O40" s="295" t="s">
        <v>20</v>
      </c>
      <c r="P40" s="288" t="s">
        <v>95</v>
      </c>
    </row>
    <row r="41" spans="1:18" s="125" customFormat="1" ht="21" customHeight="1" x14ac:dyDescent="0.2">
      <c r="A41" s="245" t="s">
        <v>0</v>
      </c>
      <c r="B41" s="245"/>
      <c r="C41" s="243">
        <f>IF(ISERROR(GETPIVOTDATA("Somma di AVERE",'Pivot Fineco Sa'!$A$3,"Mese",1)),0,GETPIVOTDATA("Somma di AVERE",'Pivot Fineco Sa'!$A$3,"Mese",1))</f>
        <v>277.65999999999997</v>
      </c>
      <c r="D41" s="243">
        <f>IF(ISERROR(GETPIVOTDATA("Somma di AVERE",'Pivot Fineco Sa'!$A$3,"Mese",2)),0,GETPIVOTDATA("Somma di AVERE",'Pivot Fineco Sa'!$A$3,"Mese",2))</f>
        <v>31325.39</v>
      </c>
      <c r="E41" s="243">
        <f>IF(ISERROR(GETPIVOTDATA("Somma di AVERE",'Pivot Fineco Sa'!$A$3,"Mese",3)),0,GETPIVOTDATA("Somma di AVERE",'Pivot Fineco Sa'!$A$3,"Mese",3))</f>
        <v>270.39</v>
      </c>
      <c r="F41" s="243">
        <f>IF(ISERROR(GETPIVOTDATA("Somma di AVERE",'Pivot Fineco Sa'!$A$3,"Mese",4)),0,GETPIVOTDATA("Somma di AVERE",'Pivot Fineco Sa'!$A$3,"Mese",4))</f>
        <v>246516.27000000002</v>
      </c>
      <c r="G41" s="243">
        <f>IF(ISERROR(GETPIVOTDATA("Somma di AVERE",'Pivot Fineco Sa'!$A$3,"Mese",5)),0,GETPIVOTDATA("Somma di AVERE",'Pivot Fineco Sa'!$A$3,"Mese",5))</f>
        <v>198.89999999999998</v>
      </c>
      <c r="H41" s="243">
        <f>IF(ISERROR(GETPIVOTDATA("Somma di AVERE",'Pivot Fineco Sa'!$A$3,"Mese",6)),0,GETPIVOTDATA("Somma di AVERE",'Pivot Fineco Sa'!$A$3,"Mese",6))</f>
        <v>54321.259999999995</v>
      </c>
      <c r="I41" s="243">
        <f>IF(ISERROR(GETPIVOTDATA("Somma di AVERE",'Pivot Fineco Sa'!$A$3,"Mese",7)),0,GETPIVOTDATA("Somma di AVERE",'Pivot Fineco Sa'!$A$3,"Mese",7))</f>
        <v>0</v>
      </c>
      <c r="J41" s="243">
        <f>IF(ISERROR(GETPIVOTDATA("Somma di AVERE",'Pivot Fineco Sa'!$A$3,"Mese",8)),0,GETPIVOTDATA("Somma di AVERE",'Pivot Fineco Sa'!$A$3,"Mese",8))</f>
        <v>0</v>
      </c>
      <c r="K41" s="243">
        <f>IF(ISERROR(GETPIVOTDATA("Somma di AVERE",'Pivot Fineco Sa'!$A$3,"Mese",9)),0,GETPIVOTDATA("Somma di AVERE",'Pivot Fineco Sa'!$A$3,"Mese",9))</f>
        <v>0</v>
      </c>
      <c r="L41" s="243">
        <f>IF(ISERROR(GETPIVOTDATA("Somma di AVERE",'Pivot Fineco Sa'!$A$3,"Mese",10)),0,GETPIVOTDATA("Somma di AVERE",'Pivot Fineco Sa'!$A$3,"Mese",10))</f>
        <v>0</v>
      </c>
      <c r="M41" s="243">
        <f>IF(ISERROR(GETPIVOTDATA("Somma di AVERE",'Pivot Fineco Sa'!$A$3,"Mese",11)),0,GETPIVOTDATA("Somma di AVERE",'Pivot Fineco Sa'!$A$3,"Mese",11))</f>
        <v>0</v>
      </c>
      <c r="N41" s="243">
        <f>IF(ISERROR(GETPIVOTDATA("Somma di AVERE",'Pivot Fineco Sa'!$A$3,"Mese",12)),0,GETPIVOTDATA("Somma di AVERE",'Pivot Fineco Sa'!$A$3,"Mese",12))</f>
        <v>0</v>
      </c>
      <c r="O41" s="244">
        <f>SUM(C41:N41)</f>
        <v>332909.87000000005</v>
      </c>
      <c r="P41" s="47"/>
    </row>
    <row r="42" spans="1:18" s="125" customFormat="1" ht="21" customHeight="1" x14ac:dyDescent="0.2">
      <c r="A42" s="245" t="s">
        <v>19</v>
      </c>
      <c r="B42" s="245"/>
      <c r="C42" s="243">
        <f>IF(ISERROR(GETPIVOTDATA("Somma di DARE",'Pivot Fineco Sa'!$A$3,"Mese",1)),0,GETPIVOTDATA("Somma di DARE",'Pivot Fineco Sa'!$A$3,"Mese",1))</f>
        <v>884.92</v>
      </c>
      <c r="D42" s="243">
        <f>IF(ISERROR(GETPIVOTDATA("Somma di DARE",'Pivot Fineco Sa'!$A$3,"Mese",2)),0,GETPIVOTDATA("Somma di DARE",'Pivot Fineco Sa'!$A$3,"Mese",2))</f>
        <v>23895.550000000003</v>
      </c>
      <c r="E42" s="243">
        <f>IF(ISERROR(GETPIVOTDATA("Somma di DARE",'Pivot Fineco Sa'!$A$3,"Mese",3)),0,GETPIVOTDATA("Somma di DARE",'Pivot Fineco Sa'!$A$3,"Mese",3))</f>
        <v>1422.51</v>
      </c>
      <c r="F42" s="243">
        <f>IF(ISERROR(GETPIVOTDATA("Somma di DARE",'Pivot Fineco Sa'!$A$3,"Mese",4)),0,GETPIVOTDATA("Somma di DARE",'Pivot Fineco Sa'!$A$3,"Mese",4))</f>
        <v>250959.95</v>
      </c>
      <c r="G42" s="243">
        <f>IF(ISERROR(GETPIVOTDATA("Somma di DARE",'Pivot Fineco Sa'!$A$3,"Mese",5)),0,GETPIVOTDATA("Somma di DARE",'Pivot Fineco Sa'!$A$3,"Mese",5))</f>
        <v>758.24</v>
      </c>
      <c r="H42" s="243">
        <f>IF(ISERROR(GETPIVOTDATA("Somma di DARE",'Pivot Fineco Sa'!$A$3,"Mese",6)),0,GETPIVOTDATA("Somma di DARE",'Pivot Fineco Sa'!$A$3,"Mese",6))</f>
        <v>57405.149999999994</v>
      </c>
      <c r="I42" s="243">
        <f>IF(ISERROR(GETPIVOTDATA("Somma di DARE",'Pivot Fineco Sa'!$A$3,"Mese",7)),0,GETPIVOTDATA("Somma di DARE",'Pivot Fineco Sa'!$A$3,"Mese",7))</f>
        <v>0</v>
      </c>
      <c r="J42" s="243">
        <f>IF(ISERROR(GETPIVOTDATA("Somma di DARE",'Pivot Fineco Sa'!$A$3,"Mese",8)),0,GETPIVOTDATA("Somma di DARE",'Pivot Fineco Sa'!$A$3,"Mese",8))</f>
        <v>0</v>
      </c>
      <c r="K42" s="243">
        <f>IF(ISERROR(GETPIVOTDATA("Somma di DARE",'Pivot Fineco Sa'!$A$3,"Mese",9)),0,GETPIVOTDATA("Somma di DARE",'Pivot Fineco Sa'!$A$3,"Mese",9))</f>
        <v>0</v>
      </c>
      <c r="L42" s="243">
        <f>IF(ISERROR(GETPIVOTDATA("Somma di DARE",'Pivot Fineco Sa'!$A$3,"Mese",10)),0,GETPIVOTDATA("Somma di DARE",'Pivot Fineco Sa'!$A$3,"Mese",10))</f>
        <v>0</v>
      </c>
      <c r="M42" s="243">
        <f>IF(ISERROR(GETPIVOTDATA("Somma di DARE",'Pivot Fineco Sa'!$A$3,"Mese",11)),0,GETPIVOTDATA("Somma di DARE",'Pivot Fineco Sa'!$A$3,"Mese",11))</f>
        <v>0</v>
      </c>
      <c r="N42" s="243">
        <f>IF(ISERROR(GETPIVOTDATA("Somma di DARE",'Pivot Fineco Sa'!$A$3,"Mese",12)),0,GETPIVOTDATA("Somma di DARE",'Pivot Fineco Sa'!$A$3,"Mese",12))</f>
        <v>0</v>
      </c>
      <c r="O42" s="244">
        <f>SUM(C42:N42)</f>
        <v>335326.31999999995</v>
      </c>
      <c r="P42" s="47"/>
    </row>
    <row r="43" spans="1:18" ht="21" customHeight="1" x14ac:dyDescent="0.2">
      <c r="A43" s="11"/>
      <c r="B43" s="11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244">
        <f>K6+O41-O42</f>
        <v>3044.7900000000955</v>
      </c>
      <c r="R43" s="380"/>
    </row>
    <row r="44" spans="1:18" ht="9" customHeight="1" x14ac:dyDescent="0.2">
      <c r="A44" s="488" t="s">
        <v>241</v>
      </c>
      <c r="B44" s="381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8"/>
      <c r="P44" s="13"/>
    </row>
    <row r="45" spans="1:18" s="290" customFormat="1" ht="21" customHeight="1" x14ac:dyDescent="0.2">
      <c r="A45" s="489"/>
      <c r="B45" s="381"/>
      <c r="C45" s="294" t="s">
        <v>1</v>
      </c>
      <c r="D45" s="294" t="s">
        <v>2</v>
      </c>
      <c r="E45" s="294" t="s">
        <v>3</v>
      </c>
      <c r="F45" s="294" t="s">
        <v>4</v>
      </c>
      <c r="G45" s="294" t="s">
        <v>5</v>
      </c>
      <c r="H45" s="294" t="s">
        <v>6</v>
      </c>
      <c r="I45" s="294" t="s">
        <v>7</v>
      </c>
      <c r="J45" s="294" t="s">
        <v>8</v>
      </c>
      <c r="K45" s="294" t="s">
        <v>9</v>
      </c>
      <c r="L45" s="294" t="s">
        <v>10</v>
      </c>
      <c r="M45" s="294" t="s">
        <v>11</v>
      </c>
      <c r="N45" s="294" t="s">
        <v>12</v>
      </c>
      <c r="O45" s="295" t="s">
        <v>20</v>
      </c>
      <c r="P45" s="288" t="s">
        <v>95</v>
      </c>
    </row>
    <row r="46" spans="1:18" s="125" customFormat="1" ht="21" customHeight="1" x14ac:dyDescent="0.2">
      <c r="A46" s="245" t="s">
        <v>0</v>
      </c>
      <c r="B46" s="245"/>
      <c r="C46" s="243">
        <f>IF(ISERROR(GETPIVOTDATA("Somma di AVERE",'Pivot BBVA'!$A$3,"Mese",1)),0,GETPIVOTDATA("Somma di AVERE",'Pivot BBVA'!$A$3,"Mese",1))</f>
        <v>4000</v>
      </c>
      <c r="D46" s="243">
        <f>IF(ISERROR(GETPIVOTDATA("Somma di AVERE",'Pivot BBVA'!$A$3,"Mese",2)),0,GETPIVOTDATA("Somma di AVERE",'Pivot BBVA'!$A$3,"Mese",2))</f>
        <v>6709.99</v>
      </c>
      <c r="E46" s="243">
        <f>IF(ISERROR(GETPIVOTDATA("Somma di AVERE",'Pivot BBVA'!$A$3,"Mese",3)),0,GETPIVOTDATA("Somma di AVERE",'Pivot BBVA'!$A$3,"Mese",3))</f>
        <v>56.54</v>
      </c>
      <c r="F46" s="243">
        <f>IF(ISERROR(GETPIVOTDATA("Somma di AVERE",'Pivot BBVA'!$A$3,"Mese",4)),0,GETPIVOTDATA("Somma di AVERE",'Pivot BBVA'!$A$3,"Mese",4))</f>
        <v>15000</v>
      </c>
      <c r="G46" s="243">
        <f>IF(ISERROR(GETPIVOTDATA("Somma di AVERE",'Pivot BBVA'!$A$3,"Mese",5)),0,GETPIVOTDATA("Somma di AVERE",'Pivot BBVA'!$A$3,"Mese",5))</f>
        <v>0</v>
      </c>
      <c r="H46" s="243">
        <f>IF(ISERROR(GETPIVOTDATA("Somma di AVERE",'Pivot BBVA'!$A$3,"Mese",6)),0,GETPIVOTDATA("Somma di AVERE",'Pivot BBVA'!$A$3,"Mese",6))</f>
        <v>3001.05</v>
      </c>
      <c r="I46" s="243">
        <f>IF(ISERROR(GETPIVOTDATA("Somma di AVERE",'Pivot BBVA'!$A$3,"Mese",7)),0,GETPIVOTDATA("Somma di AVERE",'Pivot BBVA'!$A$3,"Mese",7))</f>
        <v>3000</v>
      </c>
      <c r="J46" s="243">
        <f>IF(ISERROR(GETPIVOTDATA("Somma di AVERE",'Pivot BBVA'!$A$3,"Mese",8)),0,GETPIVOTDATA("Somma di AVERE",'Pivot BBVA'!$A$3,"Mese",8))</f>
        <v>0</v>
      </c>
      <c r="K46" s="243">
        <f>IF(ISERROR(GETPIVOTDATA("Somma di AVERE",'Pivot BBVA'!$A$3,"Mese",9)),0,GETPIVOTDATA("Somma di AVERE",'Pivot BBVA'!$A$3,"Mese",9))</f>
        <v>0</v>
      </c>
      <c r="L46" s="243">
        <f>IF(ISERROR(GETPIVOTDATA("Somma di AVERE",'Pivot BBVA'!$A$3,"Mese",10)),0,GETPIVOTDATA("Somma di AVERE",'Pivot BBVA'!$A$3,"Mese",10))</f>
        <v>0</v>
      </c>
      <c r="M46" s="243">
        <f>IF(ISERROR(GETPIVOTDATA("Somma di AVERE",'Pivot BBVA'!$A$3,"Mese",11)),0,GETPIVOTDATA("Somma di AVERE",'Pivot BBVA'!$A$3,"Mese",11))</f>
        <v>0</v>
      </c>
      <c r="N46" s="243">
        <f>IF(ISERROR(GETPIVOTDATA("Somma di AVERE",'Pivot BBVA'!$A$3,"Mese",12)),0,GETPIVOTDATA("Somma di AVERE",'Pivot BBVA'!$A$3,"Mese",12))</f>
        <v>0</v>
      </c>
      <c r="O46" s="244">
        <f>SUM(C46:N46)</f>
        <v>31767.579999999998</v>
      </c>
      <c r="P46" s="47"/>
    </row>
    <row r="47" spans="1:18" s="125" customFormat="1" ht="21" customHeight="1" x14ac:dyDescent="0.2">
      <c r="A47" s="245" t="s">
        <v>19</v>
      </c>
      <c r="B47" s="245"/>
      <c r="C47" s="243">
        <f>IF(ISERROR(GETPIVOTDATA("Somma di DARE",'Pivot BBVA'!$A$3,"Mese",1)),0,GETPIVOTDATA("Somma di DARE",'Pivot BBVA'!$A$3,"Mese",1))</f>
        <v>3829.3700000000003</v>
      </c>
      <c r="D47" s="243">
        <f>IF(ISERROR(GETPIVOTDATA("Somma di DARE",'Pivot BBVA'!$A$3,"Mese",2)),0,GETPIVOTDATA("Somma di DARE",'Pivot BBVA'!$A$3,"Mese",2))</f>
        <v>3361.4799999999996</v>
      </c>
      <c r="E47" s="243">
        <f>IF(ISERROR(GETPIVOTDATA("Somma di DARE",'Pivot BBVA'!$A$3,"Mese",3)),0,GETPIVOTDATA("Somma di DARE",'Pivot BBVA'!$A$3,"Mese",3))</f>
        <v>1795.62</v>
      </c>
      <c r="F47" s="243">
        <f>IF(ISERROR(GETPIVOTDATA("Somma di DARE",'Pivot BBVA'!$A$3,"Mese",4)),0,GETPIVOTDATA("Somma di DARE",'Pivot BBVA'!$A$3,"Mese",4))</f>
        <v>17048.54</v>
      </c>
      <c r="G47" s="243">
        <f>IF(ISERROR(GETPIVOTDATA("Somma di DARE",'Pivot BBVA'!$A$3,"Mese",5)),0,GETPIVOTDATA("Somma di DARE",'Pivot BBVA'!$A$3,"Mese",5))</f>
        <v>2198.1399999999994</v>
      </c>
      <c r="H47" s="243">
        <f>IF(ISERROR(GETPIVOTDATA("Somma di DARE",'Pivot BBVA'!$A$3,"Mese",6)),0,GETPIVOTDATA("Somma di DARE",'Pivot BBVA'!$A$3,"Mese",6))</f>
        <v>2570.2200000000003</v>
      </c>
      <c r="I47" s="243">
        <f>IF(ISERROR(GETPIVOTDATA("Somma di DARE",'Pivot BBVA'!$A$3,"Mese",7)),0,GETPIVOTDATA("Somma di DARE",'Pivot BBVA'!$A$3,"Mese",7))</f>
        <v>2185.8099999999995</v>
      </c>
      <c r="J47" s="243">
        <f>IF(ISERROR(GETPIVOTDATA("Somma di DARE",'Pivot BBVA'!$A$3,"Mese",8)),0,GETPIVOTDATA("Somma di DARE",'Pivot BBVA'!$A$3,"Mese",8))</f>
        <v>0</v>
      </c>
      <c r="K47" s="243">
        <f>IF(ISERROR(GETPIVOTDATA("Somma di DARE",'Pivot BBVA'!$A$3,"Mese",9)),0,GETPIVOTDATA("Somma di DARE",'Pivot BBVA'!$A$3,"Mese",9))</f>
        <v>0</v>
      </c>
      <c r="L47" s="243">
        <f>IF(ISERROR(GETPIVOTDATA("Somma di DARE",'Pivot BBVA'!$A$3,"Mese",10)),0,GETPIVOTDATA("Somma di DARE",'Pivot BBVA'!$A$3,"Mese",10))</f>
        <v>0</v>
      </c>
      <c r="M47" s="243">
        <f>IF(ISERROR(GETPIVOTDATA("Somma di DARE",'Pivot BBVA'!$A$3,"Mese",11)),0,GETPIVOTDATA("Somma di DARE",'Pivot BBVA'!$A$3,"Mese",11))</f>
        <v>0</v>
      </c>
      <c r="N47" s="243">
        <f>IF(ISERROR(GETPIVOTDATA("Somma di DARE",'Pivot BBVA'!$A$3,"Mese",12)),0,GETPIVOTDATA("Somma di DARE",'Pivot BBVA'!$A$3,"Mese",12))</f>
        <v>0</v>
      </c>
      <c r="O47" s="244">
        <f>SUM(C47:N47)</f>
        <v>32989.18</v>
      </c>
    </row>
    <row r="48" spans="1:18" s="125" customFormat="1" ht="21" customHeight="1" x14ac:dyDescent="0.2">
      <c r="A48" s="245"/>
      <c r="B48" s="245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301"/>
      <c r="P48" s="244">
        <f>L6+O46-O47+O58+O59</f>
        <v>2899.1199999999944</v>
      </c>
    </row>
    <row r="49" spans="1:16" ht="9" customHeight="1" x14ac:dyDescent="0.2">
      <c r="A49" s="488" t="s">
        <v>373</v>
      </c>
      <c r="B49" s="381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8"/>
      <c r="P49" s="13"/>
    </row>
    <row r="50" spans="1:16" s="290" customFormat="1" ht="21" customHeight="1" x14ac:dyDescent="0.2">
      <c r="A50" s="489"/>
      <c r="B50" s="381"/>
      <c r="C50" s="294" t="s">
        <v>1</v>
      </c>
      <c r="D50" s="294" t="s">
        <v>2</v>
      </c>
      <c r="E50" s="294" t="s">
        <v>3</v>
      </c>
      <c r="F50" s="294" t="s">
        <v>4</v>
      </c>
      <c r="G50" s="294" t="s">
        <v>5</v>
      </c>
      <c r="H50" s="294" t="s">
        <v>6</v>
      </c>
      <c r="I50" s="294" t="s">
        <v>7</v>
      </c>
      <c r="J50" s="294" t="s">
        <v>8</v>
      </c>
      <c r="K50" s="294" t="s">
        <v>9</v>
      </c>
      <c r="L50" s="294" t="s">
        <v>10</v>
      </c>
      <c r="M50" s="294" t="s">
        <v>11</v>
      </c>
      <c r="N50" s="294" t="s">
        <v>12</v>
      </c>
      <c r="O50" s="295" t="s">
        <v>20</v>
      </c>
      <c r="P50" s="288" t="s">
        <v>95</v>
      </c>
    </row>
    <row r="51" spans="1:16" s="125" customFormat="1" ht="21" customHeight="1" x14ac:dyDescent="0.2">
      <c r="A51" s="245" t="s">
        <v>0</v>
      </c>
      <c r="B51" s="245"/>
      <c r="C51" s="243">
        <f>IF(ISERROR(GETPIVOTDATA("Somma di AVERE",'Pivot Revolut'!$A$3,"Mese",1)),0,GETPIVOTDATA("Somma di AVERE",'Pivot Revolut'!$A$3,"Mese",1))</f>
        <v>0</v>
      </c>
      <c r="D51" s="243">
        <f>IF(ISERROR(GETPIVOTDATA("Somma di AVERE",'Pivot Revolut'!$A$3,"Mese",2)),0,GETPIVOTDATA("Somma di AVERE",'Pivot Revolut'!$A$3,"Mese",2))</f>
        <v>0</v>
      </c>
      <c r="E51" s="243">
        <f>IF(ISERROR(GETPIVOTDATA("Somma di AVERE",'Pivot Revolut'!$A$3,"Mese",3)),0,GETPIVOTDATA("Somma di AVERE",'Pivot Revolut'!$A$3,"Mese",3))</f>
        <v>0</v>
      </c>
      <c r="F51" s="243">
        <f>IF(ISERROR(GETPIVOTDATA("Somma di AVERE",'Pivot Revolut'!$A$3,"Mese",4)),0,GETPIVOTDATA("Somma di AVERE",'Pivot Revolut'!$A$3,"Mese",4))</f>
        <v>100</v>
      </c>
      <c r="G51" s="243">
        <f>IF(ISERROR(GETPIVOTDATA("Somma di AVERE",'Pivot Revolut'!$A$3,"Mese",5)),0,GETPIVOTDATA("Somma di AVERE",'Pivot Revolut'!$A$3,"Mese",5))</f>
        <v>0</v>
      </c>
      <c r="H51" s="243">
        <f>IF(ISERROR(GETPIVOTDATA("Somma di AVERE",'Pivot Revolut'!$A$3,"Mese",6)),0,GETPIVOTDATA("Somma di AVERE",'Pivot Revolut'!$A$3,"Mese",6))</f>
        <v>0</v>
      </c>
      <c r="I51" s="243">
        <f>IF(ISERROR(GETPIVOTDATA("Somma di AVERE",'Pivot Revolut'!$A$3,"Mese",7)),0,GETPIVOTDATA("Somma di AVERE",'Pivot Revolut'!$A$3,"Mese",7))</f>
        <v>0</v>
      </c>
      <c r="J51" s="243">
        <f>IF(ISERROR(GETPIVOTDATA("Somma di AVERE",'Pivot Revolut'!$A$3,"Mese",8)),0,GETPIVOTDATA("Somma di AVERE",'Pivot Revolut'!$A$3,"Mese",8))</f>
        <v>0</v>
      </c>
      <c r="K51" s="243">
        <f>IF(ISERROR(GETPIVOTDATA("Somma di AVERE",'Pivot Revolut'!$A$3,"Mese",9)),0,GETPIVOTDATA("Somma di AVERE",'Pivot Revolut'!$A$3,"Mese",9))</f>
        <v>0</v>
      </c>
      <c r="L51" s="243">
        <f>IF(ISERROR(GETPIVOTDATA("Somma di AVERE",'Pivot Revolut'!$A$3,"Mese",10)),0,GETPIVOTDATA("Somma di AVERE",'Pivot Revolut'!$A$3,"Mese",10))</f>
        <v>0</v>
      </c>
      <c r="M51" s="243">
        <f>IF(ISERROR(GETPIVOTDATA("Somma di AVERE",'Pivot Revolut'!$A$3,"Mese",11)),0,GETPIVOTDATA("Somma di AVERE",'Pivot Revolut'!$A$3,"Mese",11))</f>
        <v>0</v>
      </c>
      <c r="N51" s="243">
        <f>IF(ISERROR(GETPIVOTDATA("Somma di AVERE",'Pivot Revolut'!$A$3,"Mese",12)),0,GETPIVOTDATA("Somma di AVERE",'Pivot Revolut'!$A$3,"Mese",12))</f>
        <v>0</v>
      </c>
      <c r="O51" s="244">
        <f>SUM(C51:N51)</f>
        <v>100</v>
      </c>
      <c r="P51" s="47"/>
    </row>
    <row r="52" spans="1:16" s="125" customFormat="1" ht="21" customHeight="1" x14ac:dyDescent="0.2">
      <c r="A52" s="245" t="s">
        <v>19</v>
      </c>
      <c r="B52" s="245"/>
      <c r="C52" s="243">
        <f>IF(ISERROR(GETPIVOTDATA("Somma di DARE",'Pivot Revolut'!$A$3,"Mese",1)),0,GETPIVOTDATA("Somma di DARE",'Pivot Revolut'!$A$3,"Mese",1))</f>
        <v>330.63</v>
      </c>
      <c r="D52" s="243">
        <f>IF(ISERROR(GETPIVOTDATA("Somma di DARE",'Pivot Revolut'!$A$3,"Mese",2)),0,GETPIVOTDATA("Somma di DARE",'Pivot Revolut'!$A$3,"Mese",2))</f>
        <v>536.26</v>
      </c>
      <c r="E52" s="243">
        <f>IF(ISERROR(GETPIVOTDATA("Somma di DARE",'Pivot Revolut'!$A$3,"Mese",3)),0,GETPIVOTDATA("Somma di DARE",'Pivot Revolut'!$A$3,"Mese",3))</f>
        <v>91.52</v>
      </c>
      <c r="F52" s="243">
        <f>IF(ISERROR(GETPIVOTDATA("Somma di DARE",'Pivot Revolut'!$A$3,"Mese",4)),0,GETPIVOTDATA("Somma di DARE",'Pivot Revolut'!$A$3,"Mese",4))</f>
        <v>66.95</v>
      </c>
      <c r="G52" s="243">
        <f>IF(ISERROR(GETPIVOTDATA("Somma di DARE",'Pivot Revolut'!$A$3,"Mese",5)),0,GETPIVOTDATA("Somma di DARE",'Pivot Revolut'!$A$3,"Mese",5))</f>
        <v>0</v>
      </c>
      <c r="H52" s="243">
        <f>IF(ISERROR(GETPIVOTDATA("Somma di DARE",'Pivot Revolut'!$A$3,"Mese",6)),0,GETPIVOTDATA("Somma di DARE",'Pivot Revolut'!$A$3,"Mese",6))</f>
        <v>0</v>
      </c>
      <c r="I52" s="243">
        <f>IF(ISERROR(GETPIVOTDATA("Somma di DARE",'Pivot Revolut'!$A$3,"Mese",7)),0,GETPIVOTDATA("Somma di DARE",'Pivot Revolut'!$A$3,"Mese",7))</f>
        <v>0</v>
      </c>
      <c r="J52" s="243">
        <f>IF(ISERROR(GETPIVOTDATA("Somma di DARE",'Pivot Revolut'!$A$3,"Mese",8)),0,GETPIVOTDATA("Somma di DARE",'Pivot Revolut'!$A$3,"Mese",8))</f>
        <v>0</v>
      </c>
      <c r="K52" s="243">
        <f>IF(ISERROR(GETPIVOTDATA("Somma di DARE",'Pivot Revolut'!$A$3,"Mese",9)),0,GETPIVOTDATA("Somma di DARE",'Pivot Revolut'!$A$3,"Mese",9))</f>
        <v>0</v>
      </c>
      <c r="L52" s="243">
        <f>IF(ISERROR(GETPIVOTDATA("Somma di DARE",'Pivot Revolut'!$A$3,"Mese",10)),0,GETPIVOTDATA("Somma di DARE",'Pivot Revolut'!$A$3,"Mese",10))</f>
        <v>0</v>
      </c>
      <c r="M52" s="243">
        <f>IF(ISERROR(GETPIVOTDATA("Somma di DARE",'Pivot Revolut'!$A$3,"Mese",11)),0,GETPIVOTDATA("Somma di DARE",'Pivot Revolut'!$A$3,"Mese",11))</f>
        <v>0</v>
      </c>
      <c r="N52" s="243">
        <f>IF(ISERROR(GETPIVOTDATA("Somma di DARE",'Pivot Revolut'!$A$3,"Mese",12)),0,GETPIVOTDATA("Somma di DARE",'Pivot Revolut'!$A$3,"Mese",12))</f>
        <v>0</v>
      </c>
      <c r="O52" s="244">
        <f>SUM(C52:N52)</f>
        <v>1025.3599999999999</v>
      </c>
    </row>
    <row r="53" spans="1:16" s="125" customFormat="1" ht="21" customHeight="1" x14ac:dyDescent="0.2">
      <c r="A53" s="245"/>
      <c r="B53" s="245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301"/>
      <c r="P53" s="244">
        <f>M6+O51-O52</f>
        <v>136.3900000000001</v>
      </c>
    </row>
    <row r="54" spans="1:16" ht="9" customHeight="1" x14ac:dyDescent="0.2">
      <c r="A54" s="488" t="s">
        <v>352</v>
      </c>
      <c r="B54" s="381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8"/>
      <c r="P54" s="13"/>
    </row>
    <row r="55" spans="1:16" s="290" customFormat="1" ht="21" customHeight="1" x14ac:dyDescent="0.2">
      <c r="A55" s="489"/>
      <c r="B55" s="381"/>
      <c r="C55" s="294" t="s">
        <v>1</v>
      </c>
      <c r="D55" s="294" t="s">
        <v>2</v>
      </c>
      <c r="E55" s="294" t="s">
        <v>3</v>
      </c>
      <c r="F55" s="294" t="s">
        <v>4</v>
      </c>
      <c r="G55" s="294" t="s">
        <v>5</v>
      </c>
      <c r="H55" s="294" t="s">
        <v>6</v>
      </c>
      <c r="I55" s="294" t="s">
        <v>7</v>
      </c>
      <c r="J55" s="294" t="s">
        <v>8</v>
      </c>
      <c r="K55" s="294" t="s">
        <v>9</v>
      </c>
      <c r="L55" s="294" t="s">
        <v>10</v>
      </c>
      <c r="M55" s="294" t="s">
        <v>11</v>
      </c>
      <c r="N55" s="294" t="s">
        <v>12</v>
      </c>
      <c r="O55" s="295" t="s">
        <v>20</v>
      </c>
      <c r="P55" s="288" t="s">
        <v>95</v>
      </c>
    </row>
    <row r="56" spans="1:16" s="125" customFormat="1" ht="21" customHeight="1" x14ac:dyDescent="0.2">
      <c r="A56" s="245" t="s">
        <v>351</v>
      </c>
      <c r="B56" s="245"/>
      <c r="C56" s="243">
        <f ca="1">IF(OR(MONTH(TODAY())&gt;=1,YEAR(TODAY())&gt;2026),F6+C57-C58-C59,0)</f>
        <v>3.54</v>
      </c>
      <c r="D56" s="243">
        <f ca="1">IF(OR(MONTH(TODAY())&gt;=2,YEAR(TODAY())&gt;2026),C56+D57-D58-D59,0)</f>
        <v>3.54</v>
      </c>
      <c r="E56" s="243">
        <f ca="1">IF(OR(MONTH(TODAY())&gt;=3,YEAR(TODAY())&gt;2026),D56+E57-E58-E59,0)</f>
        <v>0</v>
      </c>
      <c r="F56" s="243">
        <f ca="1">IF(OR(MONTH(TODAY())&gt;=4,YEAR(TODAY())&gt;2026),E56+F57-F58-F59,0)</f>
        <v>0</v>
      </c>
      <c r="G56" s="243">
        <f ca="1">IF(OR(MONTH(TODAY())&gt;=5,YEAR(TODAY())&gt;2026),F56+G57-G58-G59,0)</f>
        <v>0</v>
      </c>
      <c r="H56" s="243">
        <f ca="1">IF(OR(MONTH(TODAY())&gt;=6,YEAR(TODAY())&gt;2026),G56+H57-H58-H59,0)</f>
        <v>0</v>
      </c>
      <c r="I56" s="243">
        <f ca="1">IF(OR(MONTH(TODAY())&gt;=7,YEAR(TODAY())&gt;2026),H56+I57-I58-I59,0)</f>
        <v>0</v>
      </c>
      <c r="J56" s="243">
        <f ca="1">IF(OR(MONTH(TODAY())&gt;=8,YEAR(TODAY())&gt;2026),I56+J57-J58-J59,0)</f>
        <v>0</v>
      </c>
      <c r="K56" s="243">
        <f ca="1">IF(OR(MONTH(TODAY())&gt;=9,YEAR(TODAY())&gt;2026),J56+K57-K58-K59,0)</f>
        <v>0</v>
      </c>
      <c r="L56" s="243">
        <f ca="1">IF(OR(MONTH(TODAY())&gt;=10,YEAR(TODAY())&gt;2026),K56+L57-L58-L59,0)</f>
        <v>0</v>
      </c>
      <c r="M56" s="243">
        <f ca="1">IF(OR(MONTH(TODAY())&gt;=11,YEAR(TODAY())&gt;2026),L56+M57-M58-M59,0)</f>
        <v>0</v>
      </c>
      <c r="N56" s="243">
        <f ca="1">IF(OR(MONTH(TODAY())&gt;=12,YEAR(TODAY())&gt;2026),M56+N57-N58-N59,0)</f>
        <v>0</v>
      </c>
      <c r="O56" s="252" cm="1">
        <v>3.54</v>
      </c>
    </row>
    <row r="57" spans="1:16" s="125" customFormat="1" ht="21" customHeight="1" x14ac:dyDescent="0.2">
      <c r="A57" s="245" t="s">
        <v>371</v>
      </c>
      <c r="B57" s="245"/>
      <c r="C57" s="243">
        <f>IF(ISERROR(GETPIVOTDATA("Somma di DARE",'Pivot BBVA'!$A$3,"Mese",1,"Tipologia",$A57)),0,GETPIVOTDATA("Somma di DARE",'Pivot BBVA'!$A$3,"Mese",1,"Tipologia",$A57))</f>
        <v>0</v>
      </c>
      <c r="D57" s="243">
        <f>IF(ISERROR(GETPIVOTDATA("Somma di DARE",'Pivot BBVA'!$A$3,"Mese",2,"Tipologia",$A57)),0,GETPIVOTDATA("Somma di DARE",'Pivot BBVA'!$A$3,"Mese",2,"Tipologia",$A57))</f>
        <v>0</v>
      </c>
      <c r="E57" s="243">
        <f>IF(ISERROR(GETPIVOTDATA("Somma di DARE",'Pivot BBVA'!$A$3,"Mese",3,"Tipologia",$A57)),0,GETPIVOTDATA("Somma di DARE",'Pivot BBVA'!$A$3,"Mese",3,"Tipologia",$A57))</f>
        <v>0</v>
      </c>
      <c r="F57" s="243">
        <f>IF(ISERROR(GETPIVOTDATA("Somma di DARE",'Pivot BBVA'!$A$3,"Mese",4,"Tipologia",$A57)),0,GETPIVOTDATA("Somma di DARE",'Pivot BBVA'!$A$3,"Mese",4,"Tipologia",$A57))</f>
        <v>0</v>
      </c>
      <c r="G57" s="243">
        <f>IF(ISERROR(GETPIVOTDATA("Somma di DARE",'Pivot BBVA'!$A$3,"Mese",5,"Tipologia",$A57)),0,GETPIVOTDATA("Somma di DARE",'Pivot BBVA'!$A$3,"Mese",5,"Tipologia",$A57))</f>
        <v>0</v>
      </c>
      <c r="H57" s="243">
        <f>IF(ISERROR(GETPIVOTDATA("Somma di DARE",'Pivot BBVA'!$A$3,"Mese",6,"Tipologia",$A57)),0,GETPIVOTDATA("Somma di DARE",'Pivot BBVA'!$A$3,"Mese",6,"Tipologia",$A57))</f>
        <v>0</v>
      </c>
      <c r="I57" s="243">
        <f>IF(ISERROR(GETPIVOTDATA("Somma di DARE",'Pivot BBVA'!$A$3,"Mese",7,"Tipologia",$A57)),0,GETPIVOTDATA("Somma di DARE",'Pivot BBVA'!$A$3,"Mese",7,"Tipologia",$A57))</f>
        <v>0</v>
      </c>
      <c r="J57" s="243">
        <f>IF(ISERROR(GETPIVOTDATA("Somma di DARE",'Pivot BBVA'!$A$3,"Mese",8,"Tipologia",$A57)),0,GETPIVOTDATA("Somma di DARE",'Pivot BBVA'!$A$3,"Mese",8,"Tipologia",$A57))</f>
        <v>0</v>
      </c>
      <c r="K57" s="243">
        <f>IF(ISERROR(GETPIVOTDATA("Somma di DARE",'Pivot BBVA'!$A$3,"Mese",9,"Tipologia",$A57)),0,GETPIVOTDATA("Somma di DARE",'Pivot BBVA'!$A$3,"Mese",9,"Tipologia",$A57))</f>
        <v>0</v>
      </c>
      <c r="L57" s="243">
        <f>IF(ISERROR(GETPIVOTDATA("Somma di DARE",'Pivot BBVA'!$A$3,"Mese",10,"Tipologia",$A57)),0,GETPIVOTDATA("Somma di DARE",'Pivot BBVA'!$A$3,"Mese",10,"Tipologia",$A57))</f>
        <v>0</v>
      </c>
      <c r="M57" s="243">
        <f>IF(ISERROR(GETPIVOTDATA("Somma di DARE",'Pivot BBVA'!$A$3,"Mese",11,"Tipologia",$A57)),0,GETPIVOTDATA("Somma di DARE",'Pivot BBVA'!$A$3,"Mese",11,"Tipologia",$A57))</f>
        <v>0</v>
      </c>
      <c r="N57" s="243">
        <f>IF(ISERROR(GETPIVOTDATA("Somma di DARE",'Pivot BBVA'!$A$3,"Mese",12,"Tipologia",$A57)),0,GETPIVOTDATA("Somma di DARE",'Pivot BBVA'!$A$3,"Mese",12,"Tipologia",$A57))</f>
        <v>0</v>
      </c>
      <c r="O57" s="244">
        <f>SUM(C57:N57)</f>
        <v>0</v>
      </c>
    </row>
    <row r="58" spans="1:16" s="125" customFormat="1" ht="21" customHeight="1" x14ac:dyDescent="0.2">
      <c r="A58" s="245" t="s">
        <v>315</v>
      </c>
      <c r="B58" s="245"/>
      <c r="C58" s="243">
        <f>IF(ISERROR(GETPIVOTDATA("Somma di DARE",'Pivot PP Visa'!$A$3,"Visa Prepagata","Voce di Spesa","Mese",1)),0,GETPIVOTDATA("Somma di DARE",'Pivot PP Visa'!$A$3,"Visa Prepagata","Voce di Spesa","Mese",1))</f>
        <v>0</v>
      </c>
      <c r="D58" s="243">
        <f>IF(ISERROR(GETPIVOTDATA("Somma di DARE",'Pivot PP Visa'!$A$3,"Visa Prepagata","Voce di Spesa","Mese",2)),0,GETPIVOTDATA("Somma di DARE",'Pivot PP Visa'!$A$3,"Visa Prepagata","Voce di Spesa","Mese",2))</f>
        <v>0</v>
      </c>
      <c r="E58" s="243">
        <f>IF(ISERROR(GETPIVOTDATA("Somma di DARE",'Pivot PP Visa'!$A$3,"Visa Prepagata","Voce di Spesa","Mese",3)),0,GETPIVOTDATA("Somma di DARE",'Pivot PP Visa'!$A$3,"Visa Prepagata","Voce di Spesa","Mese",3))</f>
        <v>3.54</v>
      </c>
      <c r="F58" s="243">
        <f>IF(ISERROR(GETPIVOTDATA("Somma di DARE",'Pivot PP Visa'!$A$3,"Visa Prepagata","Voce di Spesa","Mese",4)),0,GETPIVOTDATA("Somma di DARE",'Pivot PP Visa'!$A$3,"Visa Prepagata","Voce di Spesa","Mese",4))</f>
        <v>0</v>
      </c>
      <c r="G58" s="243">
        <f>IF(ISERROR(GETPIVOTDATA("Somma di DARE",'Pivot PP Visa'!$A$3,"Visa Prepagata","Voce di Spesa","Mese",5)),0,GETPIVOTDATA("Somma di DARE",'Pivot PP Visa'!$A$3,"Visa Prepagata","Voce di Spesa","Mese",5))</f>
        <v>0</v>
      </c>
      <c r="H58" s="243">
        <f>IF(ISERROR(GETPIVOTDATA("Somma di DARE",'Pivot PP Visa'!$A$3,"Visa Prepagata","Voce di Spesa","Mese",6)),0,GETPIVOTDATA("Somma di DARE",'Pivot PP Visa'!$A$3,"Visa Prepagata","Voce di Spesa","Mese",6))</f>
        <v>0</v>
      </c>
      <c r="I58" s="243">
        <f>IF(ISERROR(GETPIVOTDATA("Somma di DARE",'Pivot PP Visa'!$A$3,"Visa Prepagata","Voce di Spesa","Mese",7)),0,GETPIVOTDATA("Somma di DARE",'Pivot PP Visa'!$A$3,"Visa Prepagata","Voce di Spesa","Mese",7))</f>
        <v>0</v>
      </c>
      <c r="J58" s="243">
        <f>IF(ISERROR(GETPIVOTDATA("Somma di DARE",'Pivot PP Visa'!$A$3,"Visa Prepagata","Voce di Spesa","Mese",8)),0,GETPIVOTDATA("Somma di DARE",'Pivot PP Visa'!$A$3,"Visa Prepagata","Voce di Spesa","Mese",8))</f>
        <v>0</v>
      </c>
      <c r="K58" s="243">
        <f>IF(ISERROR(GETPIVOTDATA("Somma di DARE",'Pivot PP Visa'!$A$3,"Visa Prepagata","Voce di Spesa","Mese",9)),0,GETPIVOTDATA("Somma di DARE",'Pivot PP Visa'!$A$3,"Visa Prepagata","Voce di Spesa","Mese",9))</f>
        <v>0</v>
      </c>
      <c r="L58" s="243">
        <f>IF(ISERROR(GETPIVOTDATA("Somma di DARE",'Pivot PP Visa'!$A$3,"Visa Prepagata","Voce di Spesa","Mese",10)),0,GETPIVOTDATA("Somma di DARE",'Pivot PP Visa'!$A$3,"Visa Prepagata","Voce di Spesa","Mese",10))</f>
        <v>0</v>
      </c>
      <c r="M58" s="243">
        <f>IF(ISERROR(GETPIVOTDATA("Somma di DARE",'Pivot PP Visa'!$A$3,"Visa Prepagata","Voce di Spesa","Mese",11)),0,GETPIVOTDATA("Somma di DARE",'Pivot PP Visa'!$A$3,"Visa Prepagata","Voce di Spesa","Mese",11))</f>
        <v>0</v>
      </c>
      <c r="N58" s="243">
        <f>IF(ISERROR(GETPIVOTDATA("Somma di DARE",'Pivot PP Visa'!$A$3,"Visa Prepagata","Voce di Spesa","Mese",12)),0,GETPIVOTDATA("Somma di DARE",'Pivot PP Visa'!$A$3,"Visa Prepagata","Voce di Spesa","Mese",12))</f>
        <v>0</v>
      </c>
      <c r="O58" s="244">
        <f>SUM(C58:N58)</f>
        <v>3.54</v>
      </c>
      <c r="P58" s="47"/>
    </row>
    <row r="59" spans="1:16" s="125" customFormat="1" ht="21" customHeight="1" x14ac:dyDescent="0.2">
      <c r="A59" s="245" t="s">
        <v>372</v>
      </c>
      <c r="B59" s="245"/>
      <c r="C59" s="243">
        <f>IF(ISERROR(GETPIVOTDATA("Somma di DARE",'Pivot BBVA'!$A$3,"Mese",1,"Tipologia",$A59)),0,GETPIVOTDATA("Somma di DARE",'Pivot BBVA'!$A$3,"Mese",1,"Tipologia",$A59))</f>
        <v>0</v>
      </c>
      <c r="D59" s="243">
        <f>IF(ISERROR(GETPIVOTDATA("Somma di DARE",'Pivot BBVA'!$A$3,"Mese",2,"Tipologia",$A59)),0,GETPIVOTDATA("Somma di DARE",'Pivot BBVA'!$A$3,"Mese",2,"Tipologia",$A59))</f>
        <v>0</v>
      </c>
      <c r="E59" s="243">
        <f>IF(ISERROR(GETPIVOTDATA("Somma di DARE",'Pivot BBVA'!$A$3,"Mese",3,"Tipologia",$A59)),0,GETPIVOTDATA("Somma di DARE",'Pivot BBVA'!$A$3,"Mese",3,"Tipologia",$A59))</f>
        <v>0</v>
      </c>
      <c r="F59" s="243">
        <f>IF(ISERROR(GETPIVOTDATA("Somma di DARE",'Pivot BBVA'!$A$3,"Mese",4,"Tipologia",$A59)),0,GETPIVOTDATA("Somma di DARE",'Pivot BBVA'!$A$3,"Mese",4,"Tipologia",$A59))</f>
        <v>0</v>
      </c>
      <c r="G59" s="243">
        <f>IF(ISERROR(GETPIVOTDATA("Somma di DARE",'Pivot BBVA'!$A$3,"Mese",5,"Tipologia",$A59)),0,GETPIVOTDATA("Somma di DARE",'Pivot BBVA'!$A$3,"Mese",5,"Tipologia",$A59))</f>
        <v>0</v>
      </c>
      <c r="H59" s="243">
        <f>IF(ISERROR(GETPIVOTDATA("Somma di DARE",'Pivot BBVA'!$A$3,"Mese",6,"Tipologia",$A59)),0,GETPIVOTDATA("Somma di DARE",'Pivot BBVA'!$A$3,"Mese",6,"Tipologia",$A59))</f>
        <v>0</v>
      </c>
      <c r="I59" s="243">
        <f>IF(ISERROR(GETPIVOTDATA("Somma di DARE",'Pivot BBVA'!$A$3,"Mese",7,"Tipologia",$A59)),0,GETPIVOTDATA("Somma di DARE",'Pivot BBVA'!$A$3,"Mese",7,"Tipologia",$A59))</f>
        <v>0</v>
      </c>
      <c r="J59" s="243">
        <f>IF(ISERROR(GETPIVOTDATA("Somma di DARE",'Pivot BBVA'!$A$3,"Mese",8,"Tipologia",$A59)),0,GETPIVOTDATA("Somma di DARE",'Pivot BBVA'!$A$3,"Mese",8,"Tipologia",$A59))</f>
        <v>0</v>
      </c>
      <c r="K59" s="243">
        <f>IF(ISERROR(GETPIVOTDATA("Somma di DARE",'Pivot BBVA'!$A$3,"Mese",9,"Tipologia",$A59)),0,GETPIVOTDATA("Somma di DARE",'Pivot BBVA'!$A$3,"Mese",9,"Tipologia",$A59))</f>
        <v>0</v>
      </c>
      <c r="L59" s="243">
        <f>IF(ISERROR(GETPIVOTDATA("Somma di DARE",'Pivot BBVA'!$A$3,"Mese",10,"Tipologia",$A59)),0,GETPIVOTDATA("Somma di DARE",'Pivot BBVA'!$A$3,"Mese",10,"Tipologia",$A59))</f>
        <v>0</v>
      </c>
      <c r="M59" s="243">
        <f>IF(ISERROR(GETPIVOTDATA("Somma di DARE",'Pivot BBVA'!$A$3,"Mese",11,"Tipologia",$A59)),0,GETPIVOTDATA("Somma di DARE",'Pivot BBVA'!$A$3,"Mese",11,"Tipologia",$A59))</f>
        <v>0</v>
      </c>
      <c r="N59" s="243">
        <f>IF(ISERROR(GETPIVOTDATA("Somma di DARE",'Pivot BBVA'!$A$3,"Mese",12,"Tipologia",$A59)),0,GETPIVOTDATA("Somma di DARE",'Pivot BBVA'!$A$3,"Mese",12,"Tipologia",$A59))</f>
        <v>0</v>
      </c>
      <c r="O59" s="244">
        <f>SUM(C59:N59)</f>
        <v>0</v>
      </c>
      <c r="P59" s="47"/>
    </row>
    <row r="60" spans="1:16" ht="21" customHeight="1" x14ac:dyDescent="0.2">
      <c r="A60" s="11"/>
      <c r="B60" s="11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8"/>
      <c r="P60" s="301"/>
    </row>
    <row r="61" spans="1:16" ht="9" customHeight="1" x14ac:dyDescent="0.2">
      <c r="A61" s="488" t="s">
        <v>138</v>
      </c>
      <c r="B61" s="381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5"/>
      <c r="P61" s="13"/>
    </row>
    <row r="62" spans="1:16" s="296" customFormat="1" ht="21" customHeight="1" x14ac:dyDescent="0.2">
      <c r="A62" s="489"/>
      <c r="B62" s="381"/>
      <c r="C62" s="294" t="s">
        <v>1</v>
      </c>
      <c r="D62" s="294" t="s">
        <v>2</v>
      </c>
      <c r="E62" s="294" t="s">
        <v>3</v>
      </c>
      <c r="F62" s="294" t="s">
        <v>4</v>
      </c>
      <c r="G62" s="294" t="s">
        <v>5</v>
      </c>
      <c r="H62" s="294" t="s">
        <v>6</v>
      </c>
      <c r="I62" s="294" t="s">
        <v>7</v>
      </c>
      <c r="J62" s="294" t="s">
        <v>8</v>
      </c>
      <c r="K62" s="294" t="s">
        <v>9</v>
      </c>
      <c r="L62" s="294" t="s">
        <v>10</v>
      </c>
      <c r="M62" s="294" t="s">
        <v>11</v>
      </c>
      <c r="N62" s="294" t="s">
        <v>12</v>
      </c>
      <c r="O62" s="294" t="s">
        <v>20</v>
      </c>
      <c r="P62" s="288"/>
    </row>
    <row r="63" spans="1:16" s="246" customFormat="1" ht="21" customHeight="1" x14ac:dyDescent="0.2">
      <c r="A63" s="245" t="s">
        <v>443</v>
      </c>
      <c r="B63" s="245"/>
      <c r="C63" s="243">
        <f>IF(ISERROR(GETPIVOTDATA("Somma di AVERE",'Pivot Fineco St'!$A$3,"Mese",1,"Tipologia",$A63)),0,GETPIVOTDATA("Somma di AVERE",'Pivot Fineco St'!$A$3,"Mese",1,"Tipologia",$A63))
+IF(ISERROR(GETPIVOTDATA("Somma di AVERE",'Pivot Fineco Sa'!$A$3,"Mese",1,"Tipologia",$A63)),0,GETPIVOTDATA("Somma di AVERE",'Pivot Fineco Sa'!$A$3,"Mese",1,"Tipologia",$A63))
+IF(ISERROR(GETPIVOTDATA("Somma di AVERE",'Pivot BBVA'!$A$3,"Mese",1,"Tipologia",$A63)),0,GETPIVOTDATA("Somma di AVERE",'Pivot BBVA'!$A$3,"Mese",1,"Tipologia",$A63))</f>
        <v>0</v>
      </c>
      <c r="D63" s="243">
        <f>IF(ISERROR(GETPIVOTDATA("Somma di AVERE",'Pivot Fineco St'!$A$3,"Mese",2,"Tipologia",$A63)),0,GETPIVOTDATA("Somma di AVERE",'Pivot Fineco St'!$A$3,"Mese",2,"Tipologia",$A63))
+IF(ISERROR(GETPIVOTDATA("Somma di AVERE",'Pivot Fineco Sa'!$A$3,"Mese",2,"Tipologia",$A63)),0,GETPIVOTDATA("Somma di AVERE",'Pivot Fineco Sa'!$A$3,"Mese",2,"Tipologia",$A63))
+IF(ISERROR(GETPIVOTDATA("Somma di AVERE",'Pivot BBVA'!$A$3,"Mese",2,"Tipologia",$A63)),0,GETPIVOTDATA("Somma di AVERE",'Pivot BBVA'!$A$3,"Mese",2,"Tipologia",$A63))</f>
        <v>0</v>
      </c>
      <c r="E63" s="243">
        <f>IF(ISERROR(GETPIVOTDATA("Somma di AVERE",'Pivot Fineco St'!$A$3,"Mese",3,"Tipologia",$A63)),0,GETPIVOTDATA("Somma di AVERE",'Pivot Fineco St'!$A$3,"Mese",3,"Tipologia",$A63))
+IF(ISERROR(GETPIVOTDATA("Somma di AVERE",'Pivot Fineco Sa'!$A$3,"Mese",3,"Tipologia",$A63)),0,GETPIVOTDATA("Somma di AVERE",'Pivot Fineco Sa'!$A$3,"Mese",3,"Tipologia",$A63))
+IF(ISERROR(GETPIVOTDATA("Somma di AVERE",'Pivot BBVA'!$A$3,"Mese",3,"Tipologia",$A63)),0,GETPIVOTDATA("Somma di AVERE",'Pivot BBVA'!$A$3,"Mese",3,"Tipologia",$A63))</f>
        <v>0</v>
      </c>
      <c r="F63" s="243">
        <f>IF(ISERROR(GETPIVOTDATA("Somma di AVERE",'Pivot Fineco St'!$A$3,"Mese",4,"Tipologia",$A63)),0,GETPIVOTDATA("Somma di AVERE",'Pivot Fineco St'!$A$3,"Mese",4,"Tipologia",$A63))
+IF(ISERROR(GETPIVOTDATA("Somma di AVERE",'Pivot Fineco Sa'!$A$3,"Mese",4,"Tipologia",$A63)),0,GETPIVOTDATA("Somma di AVERE",'Pivot Fineco Sa'!$A$3,"Mese",4,"Tipologia",$A63))
+IF(ISERROR(GETPIVOTDATA("Somma di AVERE",'Pivot BBVA'!$A$3,"Mese",4,"Tipologia",$A63)),0,GETPIVOTDATA("Somma di AVERE",'Pivot BBVA'!$A$3,"Mese",4,"Tipologia",$A63))</f>
        <v>0</v>
      </c>
      <c r="G63" s="243">
        <f>IF(ISERROR(GETPIVOTDATA("Somma di AVERE",'Pivot Fineco St'!$A$3,"Mese",5,"Tipologia",$A63)),0,GETPIVOTDATA("Somma di AVERE",'Pivot Fineco St'!$A$3,"Mese",5,"Tipologia",$A63))
+IF(ISERROR(GETPIVOTDATA("Somma di AVERE",'Pivot Fineco Sa'!$A$3,"Mese",5,"Tipologia",$A63)),0,GETPIVOTDATA("Somma di AVERE",'Pivot Fineco Sa'!$A$3,"Mese",5,"Tipologia",$A63))
+IF(ISERROR(GETPIVOTDATA("Somma di AVERE",'Pivot BBVA'!$A$3,"Mese",5,"Tipologia",$A63)),0,GETPIVOTDATA("Somma di AVERE",'Pivot BBVA'!$A$3,"Mese",5,"Tipologia",$A63))</f>
        <v>0</v>
      </c>
      <c r="H63" s="243">
        <f>IF(ISERROR(GETPIVOTDATA("Somma di AVERE",'Pivot Fineco St'!$A$3,"Mese",6,"Tipologia",$A63)),0,GETPIVOTDATA("Somma di AVERE",'Pivot Fineco St'!$A$3,"Mese",6,"Tipologia",$A63))
+IF(ISERROR(GETPIVOTDATA("Somma di AVERE",'Pivot Fineco Sa'!$A$3,"Mese",6,"Tipologia",$A63)),0,GETPIVOTDATA("Somma di AVERE",'Pivot Fineco Sa'!$A$3,"Mese",6,"Tipologia",$A63))
+IF(ISERROR(GETPIVOTDATA("Somma di AVERE",'Pivot BBVA'!$A$3,"Mese",6,"Tipologia",$A63)),0,GETPIVOTDATA("Somma di AVERE",'Pivot BBVA'!$A$3,"Mese",6,"Tipologia",$A63))</f>
        <v>0</v>
      </c>
      <c r="I63" s="243">
        <f>IF(ISERROR(GETPIVOTDATA("Somma di AVERE",'Pivot Fineco St'!$A$3,"Mese",7,"Tipologia",$A63)),0,GETPIVOTDATA("Somma di AVERE",'Pivot Fineco St'!$A$3,"Mese",7,"Tipologia",$A63))
+IF(ISERROR(GETPIVOTDATA("Somma di AVERE",'Pivot Fineco Sa'!$A$3,"Mese",7,"Tipologia",$A63)),0,GETPIVOTDATA("Somma di AVERE",'Pivot Fineco Sa'!$A$3,"Mese",7,"Tipologia",$A63))
+IF(ISERROR(GETPIVOTDATA("Somma di AVERE",'Pivot BBVA'!$A$3,"Mese",7,"Tipologia",$A63)),0,GETPIVOTDATA("Somma di AVERE",'Pivot BBVA'!$A$3,"Mese",7,"Tipologia",$A63))</f>
        <v>0</v>
      </c>
      <c r="J63" s="243">
        <f>IF(ISERROR(GETPIVOTDATA("Somma di AVERE",'Pivot Fineco St'!$A$3,"Mese",8,"Tipologia",$A63)),0,GETPIVOTDATA("Somma di AVERE",'Pivot Fineco St'!$A$3,"Mese",8,"Tipologia",$A63))
+IF(ISERROR(GETPIVOTDATA("Somma di AVERE",'Pivot Fineco Sa'!$A$3,"Mese",8,"Tipologia",$A63)),0,GETPIVOTDATA("Somma di AVERE",'Pivot Fineco Sa'!$A$3,"Mese",8,"Tipologia",$A63))
+IF(ISERROR(GETPIVOTDATA("Somma di AVERE",'Pivot BBVA'!$A$3,"Mese",8,"Tipologia",$A63)),0,GETPIVOTDATA("Somma di AVERE",'Pivot BBVA'!$A$3,"Mese",8,"Tipologia",$A63))</f>
        <v>0</v>
      </c>
      <c r="K63" s="243">
        <f>IF(ISERROR(GETPIVOTDATA("Somma di AVERE",'Pivot Fineco St'!$A$3,"Mese",9,"Tipologia",$A63)),0,GETPIVOTDATA("Somma di AVERE",'Pivot Fineco St'!$A$3,"Mese",9,"Tipologia",$A63))
+IF(ISERROR(GETPIVOTDATA("Somma di AVERE",'Pivot Fineco Sa'!$A$3,"Mese",9,"Tipologia",$A63)),0,GETPIVOTDATA("Somma di AVERE",'Pivot Fineco Sa'!$A$3,"Mese",9,"Tipologia",$A63))
+IF(ISERROR(GETPIVOTDATA("Somma di AVERE",'Pivot BBVA'!$A$3,"Mese",9,"Tipologia",$A63)),0,GETPIVOTDATA("Somma di AVERE",'Pivot BBVA'!$A$3,"Mese",9,"Tipologia",$A63))</f>
        <v>0</v>
      </c>
      <c r="L63" s="243">
        <f>IF(ISERROR(GETPIVOTDATA("Somma di AVERE",'Pivot Fineco St'!$A$3,"Mese",10,"Tipologia",$A63)),0,GETPIVOTDATA("Somma di AVERE",'Pivot Fineco St'!$A$3,"Mese",10,"Tipologia",$A63))
+IF(ISERROR(GETPIVOTDATA("Somma di AVERE",'Pivot Fineco Sa'!$A$3,"Mese",10,"Tipologia",$A63)),0,GETPIVOTDATA("Somma di AVERE",'Pivot Fineco Sa'!$A$3,"Mese",10,"Tipologia",$A63))
+IF(ISERROR(GETPIVOTDATA("Somma di AVERE",'Pivot BBVA'!$A$3,"Mese",10,"Tipologia",$A63)),0,GETPIVOTDATA("Somma di AVERE",'Pivot BBVA'!$A$3,"Mese",10,"Tipologia",$A63))</f>
        <v>0</v>
      </c>
      <c r="M63" s="243">
        <f>IF(ISERROR(GETPIVOTDATA("Somma di AVERE",'Pivot Fineco St'!$A$3,"Mese",11,"Tipologia",$A63)),0,GETPIVOTDATA("Somma di AVERE",'Pivot Fineco St'!$A$3,"Mese",11,"Tipologia",$A63))
+IF(ISERROR(GETPIVOTDATA("Somma di AVERE",'Pivot Fineco Sa'!$A$3,"Mese",11,"Tipologia",$A63)),0,GETPIVOTDATA("Somma di AVERE",'Pivot Fineco Sa'!$A$3,"Mese",11,"Tipologia",$A63))
+IF(ISERROR(GETPIVOTDATA("Somma di AVERE",'Pivot BBVA'!$A$3,"Mese",11,"Tipologia",$A63)),0,GETPIVOTDATA("Somma di AVERE",'Pivot BBVA'!$A$3,"Mese",11,"Tipologia",$A63))</f>
        <v>0</v>
      </c>
      <c r="N63" s="243">
        <f>IF(ISERROR(GETPIVOTDATA("Somma di AVERE",'Pivot Fineco St'!$A$3,"Mese",12,"Tipologia",$A63)),0,GETPIVOTDATA("Somma di AVERE",'Pivot Fineco St'!$A$3,"Mese",12,"Tipologia",$A63))
+IF(ISERROR(GETPIVOTDATA("Somma di AVERE",'Pivot Fineco Sa'!$A$3,"Mese",12,"Tipologia",$A63)),0,GETPIVOTDATA("Somma di AVERE",'Pivot Fineco Sa'!$A$3,"Mese",12,"Tipologia",$A63))
+IF(ISERROR(GETPIVOTDATA("Somma di AVERE",'Pivot BBVA'!$A$3,"Mese",12,"Tipologia",$A63)),0,GETPIVOTDATA("Somma di AVERE",'Pivot BBVA'!$A$3,"Mese",12,"Tipologia",$A63))</f>
        <v>0</v>
      </c>
      <c r="O63" s="244">
        <f t="shared" ref="O63:O73" si="1">SUM(C63:N63)</f>
        <v>0</v>
      </c>
      <c r="P63" s="47"/>
    </row>
    <row r="64" spans="1:16" s="246" customFormat="1" ht="21" customHeight="1" x14ac:dyDescent="0.2">
      <c r="A64" s="245" t="s">
        <v>394</v>
      </c>
      <c r="B64" s="245"/>
      <c r="C64" s="243">
        <f>IF(ISERROR(GETPIVOTDATA("Somma di AVERE",'Pivot Fineco St'!$A$3,"Mese",1,"Tipologia",$A64)),0,GETPIVOTDATA("Somma di AVERE",'Pivot Fineco St'!$A$3,"Mese",1,"Tipologia",$A64))
+IF(ISERROR(GETPIVOTDATA("Somma di AVERE",'Pivot Fineco Sa'!$A$3,"Mese",1,"Tipologia",$A64)),0,GETPIVOTDATA("Somma di AVERE",'Pivot Fineco Sa'!$A$3,"Mese",1,"Tipologia",$A64))
+IF(ISERROR(GETPIVOTDATA("Somma di AVERE",'Pivot BBVA'!$A$3,"Mese",1,"Tipologia",$A64)),0,GETPIVOTDATA("Somma di AVERE",'Pivot BBVA'!$A$3,"Mese",1,"Tipologia",$A64))</f>
        <v>0</v>
      </c>
      <c r="D64" s="243">
        <f>IF(ISERROR(GETPIVOTDATA("Somma di AVERE",'Pivot Fineco St'!$A$3,"Mese",2,"Tipologia",$A64)),0,GETPIVOTDATA("Somma di AVERE",'Pivot Fineco St'!$A$3,"Mese",2,"Tipologia",$A64))
+IF(ISERROR(GETPIVOTDATA("Somma di AVERE",'Pivot Fineco Sa'!$A$3,"Mese",2,"Tipologia",$A64)),0,GETPIVOTDATA("Somma di AVERE",'Pivot Fineco Sa'!$A$3,"Mese",2,"Tipologia",$A64))
+IF(ISERROR(GETPIVOTDATA("Somma di AVERE",'Pivot BBVA'!$A$3,"Mese",2,"Tipologia",$A64)),0,GETPIVOTDATA("Somma di AVERE",'Pivot BBVA'!$A$3,"Mese",2,"Tipologia",$A64))</f>
        <v>0</v>
      </c>
      <c r="E64" s="243">
        <f>IF(ISERROR(GETPIVOTDATA("Somma di AVERE",'Pivot Fineco St'!$A$3,"Mese",3,"Tipologia",$A64)),0,GETPIVOTDATA("Somma di AVERE",'Pivot Fineco St'!$A$3,"Mese",3,"Tipologia",$A64))
+IF(ISERROR(GETPIVOTDATA("Somma di AVERE",'Pivot Fineco Sa'!$A$3,"Mese",3,"Tipologia",$A64)),0,GETPIVOTDATA("Somma di AVERE",'Pivot Fineco Sa'!$A$3,"Mese",3,"Tipologia",$A64))
+IF(ISERROR(GETPIVOTDATA("Somma di AVERE",'Pivot BBVA'!$A$3,"Mese",3,"Tipologia",$A64)),0,GETPIVOTDATA("Somma di AVERE",'Pivot BBVA'!$A$3,"Mese",3,"Tipologia",$A64))</f>
        <v>0</v>
      </c>
      <c r="F64" s="243">
        <f>IF(ISERROR(GETPIVOTDATA("Somma di AVERE",'Pivot Fineco St'!$A$3,"Mese",4,"Tipologia",$A64)),0,GETPIVOTDATA("Somma di AVERE",'Pivot Fineco St'!$A$3,"Mese",4,"Tipologia",$A64))
+IF(ISERROR(GETPIVOTDATA("Somma di AVERE",'Pivot Fineco Sa'!$A$3,"Mese",4,"Tipologia",$A64)),0,GETPIVOTDATA("Somma di AVERE",'Pivot Fineco Sa'!$A$3,"Mese",4,"Tipologia",$A64))
+IF(ISERROR(GETPIVOTDATA("Somma di AVERE",'Pivot BBVA'!$A$3,"Mese",4,"Tipologia",$A64)),0,GETPIVOTDATA("Somma di AVERE",'Pivot BBVA'!$A$3,"Mese",4,"Tipologia",$A64))</f>
        <v>0</v>
      </c>
      <c r="G64" s="243">
        <f>IF(ISERROR(GETPIVOTDATA("Somma di AVERE",'Pivot Fineco St'!$A$3,"Mese",5,"Tipologia",$A64)),0,GETPIVOTDATA("Somma di AVERE",'Pivot Fineco St'!$A$3,"Mese",5,"Tipologia",$A64))
+IF(ISERROR(GETPIVOTDATA("Somma di AVERE",'Pivot Fineco Sa'!$A$3,"Mese",5,"Tipologia",$A64)),0,GETPIVOTDATA("Somma di AVERE",'Pivot Fineco Sa'!$A$3,"Mese",5,"Tipologia",$A64))
+IF(ISERROR(GETPIVOTDATA("Somma di AVERE",'Pivot BBVA'!$A$3,"Mese",5,"Tipologia",$A64)),0,GETPIVOTDATA("Somma di AVERE",'Pivot BBVA'!$A$3,"Mese",5,"Tipologia",$A64))</f>
        <v>0</v>
      </c>
      <c r="H64" s="243">
        <f>IF(ISERROR(GETPIVOTDATA("Somma di AVERE",'Pivot Fineco St'!$A$3,"Mese",6,"Tipologia",$A64)),0,GETPIVOTDATA("Somma di AVERE",'Pivot Fineco St'!$A$3,"Mese",6,"Tipologia",$A64))
+IF(ISERROR(GETPIVOTDATA("Somma di AVERE",'Pivot Fineco Sa'!$A$3,"Mese",6,"Tipologia",$A64)),0,GETPIVOTDATA("Somma di AVERE",'Pivot Fineco Sa'!$A$3,"Mese",6,"Tipologia",$A64))
+IF(ISERROR(GETPIVOTDATA("Somma di AVERE",'Pivot BBVA'!$A$3,"Mese",6,"Tipologia",$A64)),0,GETPIVOTDATA("Somma di AVERE",'Pivot BBVA'!$A$3,"Mese",6,"Tipologia",$A64))</f>
        <v>0</v>
      </c>
      <c r="I64" s="243">
        <f>IF(ISERROR(GETPIVOTDATA("Somma di AVERE",'Pivot Fineco St'!$A$3,"Mese",7,"Tipologia",$A64)),0,GETPIVOTDATA("Somma di AVERE",'Pivot Fineco St'!$A$3,"Mese",7,"Tipologia",$A64))
+IF(ISERROR(GETPIVOTDATA("Somma di AVERE",'Pivot Fineco Sa'!$A$3,"Mese",7,"Tipologia",$A64)),0,GETPIVOTDATA("Somma di AVERE",'Pivot Fineco Sa'!$A$3,"Mese",7,"Tipologia",$A64))
+IF(ISERROR(GETPIVOTDATA("Somma di AVERE",'Pivot BBVA'!$A$3,"Mese",7,"Tipologia",$A64)),0,GETPIVOTDATA("Somma di AVERE",'Pivot BBVA'!$A$3,"Mese",7,"Tipologia",$A64))</f>
        <v>0</v>
      </c>
      <c r="J64" s="243">
        <f>IF(ISERROR(GETPIVOTDATA("Somma di AVERE",'Pivot Fineco St'!$A$3,"Mese",8,"Tipologia",$A64)),0,GETPIVOTDATA("Somma di AVERE",'Pivot Fineco St'!$A$3,"Mese",8,"Tipologia",$A64))
+IF(ISERROR(GETPIVOTDATA("Somma di AVERE",'Pivot Fineco Sa'!$A$3,"Mese",8,"Tipologia",$A64)),0,GETPIVOTDATA("Somma di AVERE",'Pivot Fineco Sa'!$A$3,"Mese",8,"Tipologia",$A64))
+IF(ISERROR(GETPIVOTDATA("Somma di AVERE",'Pivot BBVA'!$A$3,"Mese",8,"Tipologia",$A64)),0,GETPIVOTDATA("Somma di AVERE",'Pivot BBVA'!$A$3,"Mese",8,"Tipologia",$A64))</f>
        <v>0</v>
      </c>
      <c r="K64" s="243">
        <f>IF(ISERROR(GETPIVOTDATA("Somma di AVERE",'Pivot Fineco St'!$A$3,"Mese",9,"Tipologia",$A64)),0,GETPIVOTDATA("Somma di AVERE",'Pivot Fineco St'!$A$3,"Mese",9,"Tipologia",$A64))
+IF(ISERROR(GETPIVOTDATA("Somma di AVERE",'Pivot Fineco Sa'!$A$3,"Mese",9,"Tipologia",$A64)),0,GETPIVOTDATA("Somma di AVERE",'Pivot Fineco Sa'!$A$3,"Mese",9,"Tipologia",$A64))
+IF(ISERROR(GETPIVOTDATA("Somma di AVERE",'Pivot BBVA'!$A$3,"Mese",9,"Tipologia",$A64)),0,GETPIVOTDATA("Somma di AVERE",'Pivot BBVA'!$A$3,"Mese",9,"Tipologia",$A64))</f>
        <v>0</v>
      </c>
      <c r="L64" s="243">
        <f>IF(ISERROR(GETPIVOTDATA("Somma di AVERE",'Pivot Fineco St'!$A$3,"Mese",10,"Tipologia",$A64)),0,GETPIVOTDATA("Somma di AVERE",'Pivot Fineco St'!$A$3,"Mese",10,"Tipologia",$A64))
+IF(ISERROR(GETPIVOTDATA("Somma di AVERE",'Pivot Fineco Sa'!$A$3,"Mese",10,"Tipologia",$A64)),0,GETPIVOTDATA("Somma di AVERE",'Pivot Fineco Sa'!$A$3,"Mese",10,"Tipologia",$A64))
+IF(ISERROR(GETPIVOTDATA("Somma di AVERE",'Pivot BBVA'!$A$3,"Mese",10,"Tipologia",$A64)),0,GETPIVOTDATA("Somma di AVERE",'Pivot BBVA'!$A$3,"Mese",10,"Tipologia",$A64))</f>
        <v>0</v>
      </c>
      <c r="M64" s="243">
        <f>IF(ISERROR(GETPIVOTDATA("Somma di AVERE",'Pivot Fineco St'!$A$3,"Mese",11,"Tipologia",$A64)),0,GETPIVOTDATA("Somma di AVERE",'Pivot Fineco St'!$A$3,"Mese",11,"Tipologia",$A64))
+IF(ISERROR(GETPIVOTDATA("Somma di AVERE",'Pivot Fineco Sa'!$A$3,"Mese",11,"Tipologia",$A64)),0,GETPIVOTDATA("Somma di AVERE",'Pivot Fineco Sa'!$A$3,"Mese",11,"Tipologia",$A64))
+IF(ISERROR(GETPIVOTDATA("Somma di AVERE",'Pivot BBVA'!$A$3,"Mese",11,"Tipologia",$A64)),0,GETPIVOTDATA("Somma di AVERE",'Pivot BBVA'!$A$3,"Mese",11,"Tipologia",$A64))</f>
        <v>0</v>
      </c>
      <c r="N64" s="243">
        <f>IF(ISERROR(GETPIVOTDATA("Somma di AVERE",'Pivot Fineco St'!$A$3,"Mese",12,"Tipologia",$A64)),0,GETPIVOTDATA("Somma di AVERE",'Pivot Fineco St'!$A$3,"Mese",12,"Tipologia",$A64))
+IF(ISERROR(GETPIVOTDATA("Somma di AVERE",'Pivot Fineco Sa'!$A$3,"Mese",12,"Tipologia",$A64)),0,GETPIVOTDATA("Somma di AVERE",'Pivot Fineco Sa'!$A$3,"Mese",12,"Tipologia",$A64))
+IF(ISERROR(GETPIVOTDATA("Somma di AVERE",'Pivot BBVA'!$A$3,"Mese",12,"Tipologia",$A64)),0,GETPIVOTDATA("Somma di AVERE",'Pivot BBVA'!$A$3,"Mese",12,"Tipologia",$A64))</f>
        <v>0</v>
      </c>
      <c r="O64" s="244">
        <f t="shared" si="1"/>
        <v>0</v>
      </c>
      <c r="P64" s="47"/>
    </row>
    <row r="65" spans="1:16" s="246" customFormat="1" ht="21" customHeight="1" x14ac:dyDescent="0.2">
      <c r="A65" s="245" t="s">
        <v>539</v>
      </c>
      <c r="B65" s="245"/>
      <c r="C65" s="243">
        <f>IF(ISERROR(GETPIVOTDATA("Somma di AVERE",'Pivot Fineco St'!$A$3,"Mese",1,"Tipologia",$A65)),0,GETPIVOTDATA("Somma di AVERE",'Pivot Fineco St'!$A$3,"Mese",1,"Tipologia",$A65))
+IF(ISERROR(GETPIVOTDATA("Somma di AVERE",'Pivot Fineco Sa'!$A$3,"Mese",1,"Tipologia",$A65)),0,GETPIVOTDATA("Somma di AVERE",'Pivot Fineco Sa'!$A$3,"Mese",1,"Tipologia",$A65))
+IF(ISERROR(GETPIVOTDATA("Somma di AVERE",'Pivot BBVA'!$A$3,"Mese",1,"Tipologia",$A65)),0,GETPIVOTDATA("Somma di AVERE",'Pivot BBVA'!$A$3,"Mese",1,"Tipologia",$A65))</f>
        <v>0</v>
      </c>
      <c r="D65" s="243">
        <f>IF(ISERROR(GETPIVOTDATA("Somma di AVERE",'Pivot Fineco St'!$A$3,"Mese",2,"Tipologia",$A65)),0,GETPIVOTDATA("Somma di AVERE",'Pivot Fineco St'!$A$3,"Mese",2,"Tipologia",$A65))
+IF(ISERROR(GETPIVOTDATA("Somma di AVERE",'Pivot Fineco Sa'!$A$3,"Mese",2,"Tipologia",$A65)),0,GETPIVOTDATA("Somma di AVERE",'Pivot Fineco Sa'!$A$3,"Mese",2,"Tipologia",$A65))
+IF(ISERROR(GETPIVOTDATA("Somma di AVERE",'Pivot BBVA'!$A$3,"Mese",2,"Tipologia",$A65)),0,GETPIVOTDATA("Somma di AVERE",'Pivot BBVA'!$A$3,"Mese",2,"Tipologia",$A65))</f>
        <v>0</v>
      </c>
      <c r="E65" s="243">
        <f>IF(ISERROR(GETPIVOTDATA("Somma di AVERE",'Pivot Fineco St'!$A$3,"Mese",3,"Tipologia",$A65)),0,GETPIVOTDATA("Somma di AVERE",'Pivot Fineco St'!$A$3,"Mese",3,"Tipologia",$A65))
+IF(ISERROR(GETPIVOTDATA("Somma di AVERE",'Pivot Fineco Sa'!$A$3,"Mese",3,"Tipologia",$A65)),0,GETPIVOTDATA("Somma di AVERE",'Pivot Fineco Sa'!$A$3,"Mese",3,"Tipologia",$A65))
+IF(ISERROR(GETPIVOTDATA("Somma di AVERE",'Pivot BBVA'!$A$3,"Mese",3,"Tipologia",$A65)),0,GETPIVOTDATA("Somma di AVERE",'Pivot BBVA'!$A$3,"Mese",3,"Tipologia",$A65))</f>
        <v>0</v>
      </c>
      <c r="F65" s="243">
        <f>IF(ISERROR(GETPIVOTDATA("Somma di AVERE",'Pivot Fineco St'!$A$3,"Mese",4,"Tipologia",$A65)),0,GETPIVOTDATA("Somma di AVERE",'Pivot Fineco St'!$A$3,"Mese",4,"Tipologia",$A65))
+IF(ISERROR(GETPIVOTDATA("Somma di AVERE",'Pivot Fineco Sa'!$A$3,"Mese",4,"Tipologia",$A65)),0,GETPIVOTDATA("Somma di AVERE",'Pivot Fineco Sa'!$A$3,"Mese",4,"Tipologia",$A65))
+IF(ISERROR(GETPIVOTDATA("Somma di AVERE",'Pivot BBVA'!$A$3,"Mese",4,"Tipologia",$A65)),0,GETPIVOTDATA("Somma di AVERE",'Pivot BBVA'!$A$3,"Mese",4,"Tipologia",$A65))</f>
        <v>0</v>
      </c>
      <c r="G65" s="243">
        <f>IF(ISERROR(GETPIVOTDATA("Somma di AVERE",'Pivot Fineco St'!$A$3,"Mese",5,"Tipologia",$A65)),0,GETPIVOTDATA("Somma di AVERE",'Pivot Fineco St'!$A$3,"Mese",5,"Tipologia",$A65))
+IF(ISERROR(GETPIVOTDATA("Somma di AVERE",'Pivot Fineco Sa'!$A$3,"Mese",5,"Tipologia",$A65)),0,GETPIVOTDATA("Somma di AVERE",'Pivot Fineco Sa'!$A$3,"Mese",5,"Tipologia",$A65))
+IF(ISERROR(GETPIVOTDATA("Somma di AVERE",'Pivot BBVA'!$A$3,"Mese",5,"Tipologia",$A65)),0,GETPIVOTDATA("Somma di AVERE",'Pivot BBVA'!$A$3,"Mese",5,"Tipologia",$A65))</f>
        <v>0</v>
      </c>
      <c r="H65" s="243">
        <f>IF(ISERROR(GETPIVOTDATA("Somma di AVERE",'Pivot Fineco St'!$A$3,"Mese",6,"Tipologia",$A65)),0,GETPIVOTDATA("Somma di AVERE",'Pivot Fineco St'!$A$3,"Mese",6,"Tipologia",$A65))
+IF(ISERROR(GETPIVOTDATA("Somma di AVERE",'Pivot Fineco Sa'!$A$3,"Mese",6,"Tipologia",$A65)),0,GETPIVOTDATA("Somma di AVERE",'Pivot Fineco Sa'!$A$3,"Mese",6,"Tipologia",$A65))
+IF(ISERROR(GETPIVOTDATA("Somma di AVERE",'Pivot BBVA'!$A$3,"Mese",6,"Tipologia",$A65)),0,GETPIVOTDATA("Somma di AVERE",'Pivot BBVA'!$A$3,"Mese",6,"Tipologia",$A65))</f>
        <v>0</v>
      </c>
      <c r="I65" s="243">
        <f>IF(ISERROR(GETPIVOTDATA("Somma di AVERE",'Pivot Fineco St'!$A$3,"Mese",7,"Tipologia",$A65)),0,GETPIVOTDATA("Somma di AVERE",'Pivot Fineco St'!$A$3,"Mese",7,"Tipologia",$A65))
+IF(ISERROR(GETPIVOTDATA("Somma di AVERE",'Pivot Fineco Sa'!$A$3,"Mese",7,"Tipologia",$A65)),0,GETPIVOTDATA("Somma di AVERE",'Pivot Fineco Sa'!$A$3,"Mese",7,"Tipologia",$A65))
+IF(ISERROR(GETPIVOTDATA("Somma di AVERE",'Pivot BBVA'!$A$3,"Mese",7,"Tipologia",$A65)),0,GETPIVOTDATA("Somma di AVERE",'Pivot BBVA'!$A$3,"Mese",7,"Tipologia",$A65))</f>
        <v>0</v>
      </c>
      <c r="J65" s="243">
        <f>IF(ISERROR(GETPIVOTDATA("Somma di AVERE",'Pivot Fineco St'!$A$3,"Mese",8,"Tipologia",$A65)),0,GETPIVOTDATA("Somma di AVERE",'Pivot Fineco St'!$A$3,"Mese",8,"Tipologia",$A65))
+IF(ISERROR(GETPIVOTDATA("Somma di AVERE",'Pivot Fineco Sa'!$A$3,"Mese",8,"Tipologia",$A65)),0,GETPIVOTDATA("Somma di AVERE",'Pivot Fineco Sa'!$A$3,"Mese",8,"Tipologia",$A65))
+IF(ISERROR(GETPIVOTDATA("Somma di AVERE",'Pivot BBVA'!$A$3,"Mese",8,"Tipologia",$A65)),0,GETPIVOTDATA("Somma di AVERE",'Pivot BBVA'!$A$3,"Mese",8,"Tipologia",$A65))</f>
        <v>0</v>
      </c>
      <c r="K65" s="243">
        <f>IF(ISERROR(GETPIVOTDATA("Somma di AVERE",'Pivot Fineco St'!$A$3,"Mese",9,"Tipologia",$A65)),0,GETPIVOTDATA("Somma di AVERE",'Pivot Fineco St'!$A$3,"Mese",9,"Tipologia",$A65))
+IF(ISERROR(GETPIVOTDATA("Somma di AVERE",'Pivot Fineco Sa'!$A$3,"Mese",9,"Tipologia",$A65)),0,GETPIVOTDATA("Somma di AVERE",'Pivot Fineco Sa'!$A$3,"Mese",9,"Tipologia",$A65))
+IF(ISERROR(GETPIVOTDATA("Somma di AVERE",'Pivot BBVA'!$A$3,"Mese",9,"Tipologia",$A65)),0,GETPIVOTDATA("Somma di AVERE",'Pivot BBVA'!$A$3,"Mese",9,"Tipologia",$A65))</f>
        <v>0</v>
      </c>
      <c r="L65" s="243">
        <f>IF(ISERROR(GETPIVOTDATA("Somma di AVERE",'Pivot Fineco St'!$A$3,"Mese",10,"Tipologia",$A65)),0,GETPIVOTDATA("Somma di AVERE",'Pivot Fineco St'!$A$3,"Mese",10,"Tipologia",$A65))
+IF(ISERROR(GETPIVOTDATA("Somma di AVERE",'Pivot Fineco Sa'!$A$3,"Mese",10,"Tipologia",$A65)),0,GETPIVOTDATA("Somma di AVERE",'Pivot Fineco Sa'!$A$3,"Mese",10,"Tipologia",$A65))
+IF(ISERROR(GETPIVOTDATA("Somma di AVERE",'Pivot BBVA'!$A$3,"Mese",10,"Tipologia",$A65)),0,GETPIVOTDATA("Somma di AVERE",'Pivot BBVA'!$A$3,"Mese",10,"Tipologia",$A65))</f>
        <v>0</v>
      </c>
      <c r="M65" s="243">
        <f>IF(ISERROR(GETPIVOTDATA("Somma di AVERE",'Pivot Fineco St'!$A$3,"Mese",11,"Tipologia",$A65)),0,GETPIVOTDATA("Somma di AVERE",'Pivot Fineco St'!$A$3,"Mese",11,"Tipologia",$A65))
+IF(ISERROR(GETPIVOTDATA("Somma di AVERE",'Pivot Fineco Sa'!$A$3,"Mese",11,"Tipologia",$A65)),0,GETPIVOTDATA("Somma di AVERE",'Pivot Fineco Sa'!$A$3,"Mese",11,"Tipologia",$A65))
+IF(ISERROR(GETPIVOTDATA("Somma di AVERE",'Pivot BBVA'!$A$3,"Mese",11,"Tipologia",$A65)),0,GETPIVOTDATA("Somma di AVERE",'Pivot BBVA'!$A$3,"Mese",11,"Tipologia",$A65))</f>
        <v>0</v>
      </c>
      <c r="N65" s="243">
        <f>IF(ISERROR(GETPIVOTDATA("Somma di AVERE",'Pivot Fineco St'!$A$3,"Mese",12,"Tipologia",$A65)),0,GETPIVOTDATA("Somma di AVERE",'Pivot Fineco St'!$A$3,"Mese",12,"Tipologia",$A65))
+IF(ISERROR(GETPIVOTDATA("Somma di AVERE",'Pivot Fineco Sa'!$A$3,"Mese",12,"Tipologia",$A65)),0,GETPIVOTDATA("Somma di AVERE",'Pivot Fineco Sa'!$A$3,"Mese",12,"Tipologia",$A65))
+IF(ISERROR(GETPIVOTDATA("Somma di AVERE",'Pivot BBVA'!$A$3,"Mese",12,"Tipologia",$A65)),0,GETPIVOTDATA("Somma di AVERE",'Pivot BBVA'!$A$3,"Mese",12,"Tipologia",$A65))</f>
        <v>0</v>
      </c>
      <c r="O65" s="244">
        <f t="shared" si="1"/>
        <v>0</v>
      </c>
      <c r="P65" s="47"/>
    </row>
    <row r="66" spans="1:16" s="246" customFormat="1" ht="21" customHeight="1" x14ac:dyDescent="0.2">
      <c r="A66" s="245" t="s">
        <v>390</v>
      </c>
      <c r="B66" s="245"/>
      <c r="C66" s="243">
        <f>IF(ISERROR(GETPIVOTDATA("Somma di AVERE",'Pivot Fineco St'!$A$3,"Mese",1,"Tipologia",$A66)),0,GETPIVOTDATA("Somma di AVERE",'Pivot Fineco St'!$A$3,"Mese",1,"Tipologia",$A66))
+IF(ISERROR(GETPIVOTDATA("Somma di AVERE",'Pivot Fineco Sa'!$A$3,"Mese",1,"Tipologia",$A66)),0,GETPIVOTDATA("Somma di AVERE",'Pivot Fineco Sa'!$A$3,"Mese",1,"Tipologia",$A66))
+IF(ISERROR(GETPIVOTDATA("Somma di AVERE",'Pivot BBVA'!$A$3,"Mese",1,"Tipologia",$A66)),0,GETPIVOTDATA("Somma di AVERE",'Pivot BBVA'!$A$3,"Mese",1,"Tipologia",$A66))</f>
        <v>0</v>
      </c>
      <c r="D66" s="243">
        <f>IF(ISERROR(GETPIVOTDATA("Somma di AVERE",'Pivot Fineco St'!$A$3,"Mese",2,"Tipologia",$A66)),0,GETPIVOTDATA("Somma di AVERE",'Pivot Fineco St'!$A$3,"Mese",2,"Tipologia",$A66))
+IF(ISERROR(GETPIVOTDATA("Somma di AVERE",'Pivot Fineco Sa'!$A$3,"Mese",2,"Tipologia",$A66)),0,GETPIVOTDATA("Somma di AVERE",'Pivot Fineco Sa'!$A$3,"Mese",2,"Tipologia",$A66))
+IF(ISERROR(GETPIVOTDATA("Somma di AVERE",'Pivot BBVA'!$A$3,"Mese",2,"Tipologia",$A66)),0,GETPIVOTDATA("Somma di AVERE",'Pivot BBVA'!$A$3,"Mese",2,"Tipologia",$A66))</f>
        <v>0</v>
      </c>
      <c r="E66" s="243">
        <f>IF(ISERROR(GETPIVOTDATA("Somma di AVERE",'Pivot Fineco St'!$A$3,"Mese",3,"Tipologia",$A66)),0,GETPIVOTDATA("Somma di AVERE",'Pivot Fineco St'!$A$3,"Mese",3,"Tipologia",$A66))
+IF(ISERROR(GETPIVOTDATA("Somma di AVERE",'Pivot Fineco Sa'!$A$3,"Mese",3,"Tipologia",$A66)),0,GETPIVOTDATA("Somma di AVERE",'Pivot Fineco Sa'!$A$3,"Mese",3,"Tipologia",$A66))
+IF(ISERROR(GETPIVOTDATA("Somma di AVERE",'Pivot BBVA'!$A$3,"Mese",3,"Tipologia",$A66)),0,GETPIVOTDATA("Somma di AVERE",'Pivot BBVA'!$A$3,"Mese",3,"Tipologia",$A66))</f>
        <v>0</v>
      </c>
      <c r="F66" s="243">
        <f>IF(ISERROR(GETPIVOTDATA("Somma di AVERE",'Pivot Fineco St'!$A$3,"Mese",4,"Tipologia",$A66)),0,GETPIVOTDATA("Somma di AVERE",'Pivot Fineco St'!$A$3,"Mese",4,"Tipologia",$A66))
+IF(ISERROR(GETPIVOTDATA("Somma di AVERE",'Pivot Fineco Sa'!$A$3,"Mese",4,"Tipologia",$A66)),0,GETPIVOTDATA("Somma di AVERE",'Pivot Fineco Sa'!$A$3,"Mese",4,"Tipologia",$A66))
+IF(ISERROR(GETPIVOTDATA("Somma di AVERE",'Pivot BBVA'!$A$3,"Mese",4,"Tipologia",$A66)),0,GETPIVOTDATA("Somma di AVERE",'Pivot BBVA'!$A$3,"Mese",4,"Tipologia",$A66))</f>
        <v>0</v>
      </c>
      <c r="G66" s="243">
        <f>IF(ISERROR(GETPIVOTDATA("Somma di AVERE",'Pivot Fineco St'!$A$3,"Mese",5,"Tipologia",$A66)),0,GETPIVOTDATA("Somma di AVERE",'Pivot Fineco St'!$A$3,"Mese",5,"Tipologia",$A66))
+IF(ISERROR(GETPIVOTDATA("Somma di AVERE",'Pivot Fineco Sa'!$A$3,"Mese",5,"Tipologia",$A66)),0,GETPIVOTDATA("Somma di AVERE",'Pivot Fineco Sa'!$A$3,"Mese",5,"Tipologia",$A66))
+IF(ISERROR(GETPIVOTDATA("Somma di AVERE",'Pivot BBVA'!$A$3,"Mese",5,"Tipologia",$A66)),0,GETPIVOTDATA("Somma di AVERE",'Pivot BBVA'!$A$3,"Mese",5,"Tipologia",$A66))</f>
        <v>0</v>
      </c>
      <c r="H66" s="243">
        <f>IF(ISERROR(GETPIVOTDATA("Somma di AVERE",'Pivot Fineco St'!$A$3,"Mese",6,"Tipologia",$A66)),0,GETPIVOTDATA("Somma di AVERE",'Pivot Fineco St'!$A$3,"Mese",6,"Tipologia",$A66))
+IF(ISERROR(GETPIVOTDATA("Somma di AVERE",'Pivot Fineco Sa'!$A$3,"Mese",6,"Tipologia",$A66)),0,GETPIVOTDATA("Somma di AVERE",'Pivot Fineco Sa'!$A$3,"Mese",6,"Tipologia",$A66))
+IF(ISERROR(GETPIVOTDATA("Somma di AVERE",'Pivot BBVA'!$A$3,"Mese",6,"Tipologia",$A66)),0,GETPIVOTDATA("Somma di AVERE",'Pivot BBVA'!$A$3,"Mese",6,"Tipologia",$A66))</f>
        <v>0</v>
      </c>
      <c r="I66" s="243">
        <f>IF(ISERROR(GETPIVOTDATA("Somma di AVERE",'Pivot Fineco St'!$A$3,"Mese",7,"Tipologia",$A66)),0,GETPIVOTDATA("Somma di AVERE",'Pivot Fineco St'!$A$3,"Mese",7,"Tipologia",$A66))
+IF(ISERROR(GETPIVOTDATA("Somma di AVERE",'Pivot Fineco Sa'!$A$3,"Mese",7,"Tipologia",$A66)),0,GETPIVOTDATA("Somma di AVERE",'Pivot Fineco Sa'!$A$3,"Mese",7,"Tipologia",$A66))
+IF(ISERROR(GETPIVOTDATA("Somma di AVERE",'Pivot BBVA'!$A$3,"Mese",7,"Tipologia",$A66)),0,GETPIVOTDATA("Somma di AVERE",'Pivot BBVA'!$A$3,"Mese",7,"Tipologia",$A66))</f>
        <v>0</v>
      </c>
      <c r="J66" s="243">
        <f>IF(ISERROR(GETPIVOTDATA("Somma di AVERE",'Pivot Fineco St'!$A$3,"Mese",8,"Tipologia",$A66)),0,GETPIVOTDATA("Somma di AVERE",'Pivot Fineco St'!$A$3,"Mese",8,"Tipologia",$A66))
+IF(ISERROR(GETPIVOTDATA("Somma di AVERE",'Pivot Fineco Sa'!$A$3,"Mese",8,"Tipologia",$A66)),0,GETPIVOTDATA("Somma di AVERE",'Pivot Fineco Sa'!$A$3,"Mese",8,"Tipologia",$A66))
+IF(ISERROR(GETPIVOTDATA("Somma di AVERE",'Pivot BBVA'!$A$3,"Mese",8,"Tipologia",$A66)),0,GETPIVOTDATA("Somma di AVERE",'Pivot BBVA'!$A$3,"Mese",8,"Tipologia",$A66))</f>
        <v>0</v>
      </c>
      <c r="K66" s="243">
        <f>IF(ISERROR(GETPIVOTDATA("Somma di AVERE",'Pivot Fineco St'!$A$3,"Mese",9,"Tipologia",$A66)),0,GETPIVOTDATA("Somma di AVERE",'Pivot Fineco St'!$A$3,"Mese",9,"Tipologia",$A66))
+IF(ISERROR(GETPIVOTDATA("Somma di AVERE",'Pivot Fineco Sa'!$A$3,"Mese",9,"Tipologia",$A66)),0,GETPIVOTDATA("Somma di AVERE",'Pivot Fineco Sa'!$A$3,"Mese",9,"Tipologia",$A66))
+IF(ISERROR(GETPIVOTDATA("Somma di AVERE",'Pivot BBVA'!$A$3,"Mese",9,"Tipologia",$A66)),0,GETPIVOTDATA("Somma di AVERE",'Pivot BBVA'!$A$3,"Mese",9,"Tipologia",$A66))</f>
        <v>0</v>
      </c>
      <c r="L66" s="243">
        <f>IF(ISERROR(GETPIVOTDATA("Somma di AVERE",'Pivot Fineco St'!$A$3,"Mese",10,"Tipologia",$A66)),0,GETPIVOTDATA("Somma di AVERE",'Pivot Fineco St'!$A$3,"Mese",10,"Tipologia",$A66))
+IF(ISERROR(GETPIVOTDATA("Somma di AVERE",'Pivot Fineco Sa'!$A$3,"Mese",10,"Tipologia",$A66)),0,GETPIVOTDATA("Somma di AVERE",'Pivot Fineco Sa'!$A$3,"Mese",10,"Tipologia",$A66))
+IF(ISERROR(GETPIVOTDATA("Somma di AVERE",'Pivot BBVA'!$A$3,"Mese",10,"Tipologia",$A66)),0,GETPIVOTDATA("Somma di AVERE",'Pivot BBVA'!$A$3,"Mese",10,"Tipologia",$A66))</f>
        <v>0</v>
      </c>
      <c r="M66" s="243">
        <f>IF(ISERROR(GETPIVOTDATA("Somma di AVERE",'Pivot Fineco St'!$A$3,"Mese",11,"Tipologia",$A66)),0,GETPIVOTDATA("Somma di AVERE",'Pivot Fineco St'!$A$3,"Mese",11,"Tipologia",$A66))
+IF(ISERROR(GETPIVOTDATA("Somma di AVERE",'Pivot Fineco Sa'!$A$3,"Mese",11,"Tipologia",$A66)),0,GETPIVOTDATA("Somma di AVERE",'Pivot Fineco Sa'!$A$3,"Mese",11,"Tipologia",$A66))
+IF(ISERROR(GETPIVOTDATA("Somma di AVERE",'Pivot BBVA'!$A$3,"Mese",11,"Tipologia",$A66)),0,GETPIVOTDATA("Somma di AVERE",'Pivot BBVA'!$A$3,"Mese",11,"Tipologia",$A66))</f>
        <v>0</v>
      </c>
      <c r="N66" s="243">
        <f>IF(ISERROR(GETPIVOTDATA("Somma di AVERE",'Pivot Fineco St'!$A$3,"Mese",12,"Tipologia",$A66)),0,GETPIVOTDATA("Somma di AVERE",'Pivot Fineco St'!$A$3,"Mese",12,"Tipologia",$A66))
+IF(ISERROR(GETPIVOTDATA("Somma di AVERE",'Pivot Fineco Sa'!$A$3,"Mese",12,"Tipologia",$A66)),0,GETPIVOTDATA("Somma di AVERE",'Pivot Fineco Sa'!$A$3,"Mese",12,"Tipologia",$A66))
+IF(ISERROR(GETPIVOTDATA("Somma di AVERE",'Pivot BBVA'!$A$3,"Mese",12,"Tipologia",$A66)),0,GETPIVOTDATA("Somma di AVERE",'Pivot BBVA'!$A$3,"Mese",12,"Tipologia",$A66))</f>
        <v>0</v>
      </c>
      <c r="O66" s="244">
        <f t="shared" si="1"/>
        <v>0</v>
      </c>
      <c r="P66" s="47"/>
    </row>
    <row r="67" spans="1:16" s="246" customFormat="1" ht="21" customHeight="1" x14ac:dyDescent="0.2">
      <c r="A67" s="245" t="s">
        <v>391</v>
      </c>
      <c r="B67" s="245"/>
      <c r="C67" s="243">
        <f>IF(ISERROR(GETPIVOTDATA("Somma di AVERE",'Pivot Fineco St'!$A$3,"Mese",1,"Tipologia",$A67)),0,GETPIVOTDATA("Somma di AVERE",'Pivot Fineco St'!$A$3,"Mese",1,"Tipologia",$A67))
+IF(ISERROR(GETPIVOTDATA("Somma di AVERE",'Pivot Fineco Sa'!$A$3,"Mese",1,"Tipologia",$A67)),0,GETPIVOTDATA("Somma di AVERE",'Pivot Fineco Sa'!$A$3,"Mese",1,"Tipologia",$A67))
+IF(ISERROR(GETPIVOTDATA("Somma di AVERE",'Pivot BBVA'!$A$3,"Mese",1,"Tipologia",$A67)),0,GETPIVOTDATA("Somma di AVERE",'Pivot BBVA'!$A$3,"Mese",1,"Tipologia",$A67))</f>
        <v>0</v>
      </c>
      <c r="D67" s="243">
        <f>IF(ISERROR(GETPIVOTDATA("Somma di AVERE",'Pivot Fineco St'!$A$3,"Mese",2,"Tipologia",$A67)),0,GETPIVOTDATA("Somma di AVERE",'Pivot Fineco St'!$A$3,"Mese",2,"Tipologia",$A67))
+IF(ISERROR(GETPIVOTDATA("Somma di AVERE",'Pivot Fineco Sa'!$A$3,"Mese",2,"Tipologia",$A67)),0,GETPIVOTDATA("Somma di AVERE",'Pivot Fineco Sa'!$A$3,"Mese",2,"Tipologia",$A67))
+IF(ISERROR(GETPIVOTDATA("Somma di AVERE",'Pivot BBVA'!$A$3,"Mese",2,"Tipologia",$A67)),0,GETPIVOTDATA("Somma di AVERE",'Pivot BBVA'!$A$3,"Mese",2,"Tipologia",$A67))</f>
        <v>0</v>
      </c>
      <c r="E67" s="243">
        <f>IF(ISERROR(GETPIVOTDATA("Somma di AVERE",'Pivot Fineco St'!$A$3,"Mese",3,"Tipologia",$A67)),0,GETPIVOTDATA("Somma di AVERE",'Pivot Fineco St'!$A$3,"Mese",3,"Tipologia",$A67))
+IF(ISERROR(GETPIVOTDATA("Somma di AVERE",'Pivot Fineco Sa'!$A$3,"Mese",3,"Tipologia",$A67)),0,GETPIVOTDATA("Somma di AVERE",'Pivot Fineco Sa'!$A$3,"Mese",3,"Tipologia",$A67))
+IF(ISERROR(GETPIVOTDATA("Somma di AVERE",'Pivot BBVA'!$A$3,"Mese",3,"Tipologia",$A67)),0,GETPIVOTDATA("Somma di AVERE",'Pivot BBVA'!$A$3,"Mese",3,"Tipologia",$A67))</f>
        <v>0</v>
      </c>
      <c r="F67" s="243">
        <f>IF(ISERROR(GETPIVOTDATA("Somma di AVERE",'Pivot Fineco St'!$A$3,"Mese",4,"Tipologia",$A67)),0,GETPIVOTDATA("Somma di AVERE",'Pivot Fineco St'!$A$3,"Mese",4,"Tipologia",$A67))
+IF(ISERROR(GETPIVOTDATA("Somma di AVERE",'Pivot Fineco Sa'!$A$3,"Mese",4,"Tipologia",$A67)),0,GETPIVOTDATA("Somma di AVERE",'Pivot Fineco Sa'!$A$3,"Mese",4,"Tipologia",$A67))
+IF(ISERROR(GETPIVOTDATA("Somma di AVERE",'Pivot BBVA'!$A$3,"Mese",4,"Tipologia",$A67)),0,GETPIVOTDATA("Somma di AVERE",'Pivot BBVA'!$A$3,"Mese",4,"Tipologia",$A67))</f>
        <v>0</v>
      </c>
      <c r="G67" s="243">
        <f>IF(ISERROR(GETPIVOTDATA("Somma di AVERE",'Pivot Fineco St'!$A$3,"Mese",5,"Tipologia",$A67)),0,GETPIVOTDATA("Somma di AVERE",'Pivot Fineco St'!$A$3,"Mese",5,"Tipologia",$A67))
+IF(ISERROR(GETPIVOTDATA("Somma di AVERE",'Pivot Fineco Sa'!$A$3,"Mese",5,"Tipologia",$A67)),0,GETPIVOTDATA("Somma di AVERE",'Pivot Fineco Sa'!$A$3,"Mese",5,"Tipologia",$A67))
+IF(ISERROR(GETPIVOTDATA("Somma di AVERE",'Pivot BBVA'!$A$3,"Mese",5,"Tipologia",$A67)),0,GETPIVOTDATA("Somma di AVERE",'Pivot BBVA'!$A$3,"Mese",5,"Tipologia",$A67))</f>
        <v>0</v>
      </c>
      <c r="H67" s="243">
        <f>IF(ISERROR(GETPIVOTDATA("Somma di AVERE",'Pivot Fineco St'!$A$3,"Mese",6,"Tipologia",$A67)),0,GETPIVOTDATA("Somma di AVERE",'Pivot Fineco St'!$A$3,"Mese",6,"Tipologia",$A67))
+IF(ISERROR(GETPIVOTDATA("Somma di AVERE",'Pivot Fineco Sa'!$A$3,"Mese",6,"Tipologia",$A67)),0,GETPIVOTDATA("Somma di AVERE",'Pivot Fineco Sa'!$A$3,"Mese",6,"Tipologia",$A67))
+IF(ISERROR(GETPIVOTDATA("Somma di AVERE",'Pivot BBVA'!$A$3,"Mese",6,"Tipologia",$A67)),0,GETPIVOTDATA("Somma di AVERE",'Pivot BBVA'!$A$3,"Mese",6,"Tipologia",$A67))</f>
        <v>0</v>
      </c>
      <c r="I67" s="243">
        <f>IF(ISERROR(GETPIVOTDATA("Somma di AVERE",'Pivot Fineco St'!$A$3,"Mese",7,"Tipologia",$A67)),0,GETPIVOTDATA("Somma di AVERE",'Pivot Fineco St'!$A$3,"Mese",7,"Tipologia",$A67))
+IF(ISERROR(GETPIVOTDATA("Somma di AVERE",'Pivot Fineco Sa'!$A$3,"Mese",7,"Tipologia",$A67)),0,GETPIVOTDATA("Somma di AVERE",'Pivot Fineco Sa'!$A$3,"Mese",7,"Tipologia",$A67))
+IF(ISERROR(GETPIVOTDATA("Somma di AVERE",'Pivot BBVA'!$A$3,"Mese",7,"Tipologia",$A67)),0,GETPIVOTDATA("Somma di AVERE",'Pivot BBVA'!$A$3,"Mese",7,"Tipologia",$A67))</f>
        <v>0</v>
      </c>
      <c r="J67" s="243">
        <f>IF(ISERROR(GETPIVOTDATA("Somma di AVERE",'Pivot Fineco St'!$A$3,"Mese",8,"Tipologia",$A67)),0,GETPIVOTDATA("Somma di AVERE",'Pivot Fineco St'!$A$3,"Mese",8,"Tipologia",$A67))
+IF(ISERROR(GETPIVOTDATA("Somma di AVERE",'Pivot Fineco Sa'!$A$3,"Mese",8,"Tipologia",$A67)),0,GETPIVOTDATA("Somma di AVERE",'Pivot Fineco Sa'!$A$3,"Mese",8,"Tipologia",$A67))
+IF(ISERROR(GETPIVOTDATA("Somma di AVERE",'Pivot BBVA'!$A$3,"Mese",8,"Tipologia",$A67)),0,GETPIVOTDATA("Somma di AVERE",'Pivot BBVA'!$A$3,"Mese",8,"Tipologia",$A67))</f>
        <v>0</v>
      </c>
      <c r="K67" s="243">
        <f>IF(ISERROR(GETPIVOTDATA("Somma di AVERE",'Pivot Fineco St'!$A$3,"Mese",9,"Tipologia",$A67)),0,GETPIVOTDATA("Somma di AVERE",'Pivot Fineco St'!$A$3,"Mese",9,"Tipologia",$A67))
+IF(ISERROR(GETPIVOTDATA("Somma di AVERE",'Pivot Fineco Sa'!$A$3,"Mese",9,"Tipologia",$A67)),0,GETPIVOTDATA("Somma di AVERE",'Pivot Fineco Sa'!$A$3,"Mese",9,"Tipologia",$A67))
+IF(ISERROR(GETPIVOTDATA("Somma di AVERE",'Pivot BBVA'!$A$3,"Mese",9,"Tipologia",$A67)),0,GETPIVOTDATA("Somma di AVERE",'Pivot BBVA'!$A$3,"Mese",9,"Tipologia",$A67))</f>
        <v>0</v>
      </c>
      <c r="L67" s="243">
        <f>IF(ISERROR(GETPIVOTDATA("Somma di AVERE",'Pivot Fineco St'!$A$3,"Mese",10,"Tipologia",$A67)),0,GETPIVOTDATA("Somma di AVERE",'Pivot Fineco St'!$A$3,"Mese",10,"Tipologia",$A67))
+IF(ISERROR(GETPIVOTDATA("Somma di AVERE",'Pivot Fineco Sa'!$A$3,"Mese",10,"Tipologia",$A67)),0,GETPIVOTDATA("Somma di AVERE",'Pivot Fineco Sa'!$A$3,"Mese",10,"Tipologia",$A67))
+IF(ISERROR(GETPIVOTDATA("Somma di AVERE",'Pivot BBVA'!$A$3,"Mese",10,"Tipologia",$A67)),0,GETPIVOTDATA("Somma di AVERE",'Pivot BBVA'!$A$3,"Mese",10,"Tipologia",$A67))</f>
        <v>0</v>
      </c>
      <c r="M67" s="243">
        <f>IF(ISERROR(GETPIVOTDATA("Somma di AVERE",'Pivot Fineco St'!$A$3,"Mese",11,"Tipologia",$A67)),0,GETPIVOTDATA("Somma di AVERE",'Pivot Fineco St'!$A$3,"Mese",11,"Tipologia",$A67))
+IF(ISERROR(GETPIVOTDATA("Somma di AVERE",'Pivot Fineco Sa'!$A$3,"Mese",11,"Tipologia",$A67)),0,GETPIVOTDATA("Somma di AVERE",'Pivot Fineco Sa'!$A$3,"Mese",11,"Tipologia",$A67))
+IF(ISERROR(GETPIVOTDATA("Somma di AVERE",'Pivot BBVA'!$A$3,"Mese",11,"Tipologia",$A67)),0,GETPIVOTDATA("Somma di AVERE",'Pivot BBVA'!$A$3,"Mese",11,"Tipologia",$A67))</f>
        <v>0</v>
      </c>
      <c r="N67" s="243">
        <f>IF(ISERROR(GETPIVOTDATA("Somma di AVERE",'Pivot Fineco St'!$A$3,"Mese",12,"Tipologia",$A67)),0,GETPIVOTDATA("Somma di AVERE",'Pivot Fineco St'!$A$3,"Mese",12,"Tipologia",$A67))
+IF(ISERROR(GETPIVOTDATA("Somma di AVERE",'Pivot Fineco Sa'!$A$3,"Mese",12,"Tipologia",$A67)),0,GETPIVOTDATA("Somma di AVERE",'Pivot Fineco Sa'!$A$3,"Mese",12,"Tipologia",$A67))
+IF(ISERROR(GETPIVOTDATA("Somma di AVERE",'Pivot BBVA'!$A$3,"Mese",12,"Tipologia",$A67)),0,GETPIVOTDATA("Somma di AVERE",'Pivot BBVA'!$A$3,"Mese",12,"Tipologia",$A67))</f>
        <v>0</v>
      </c>
      <c r="O67" s="244">
        <f t="shared" si="1"/>
        <v>0</v>
      </c>
      <c r="P67" s="47"/>
    </row>
    <row r="68" spans="1:16" s="246" customFormat="1" ht="21" customHeight="1" x14ac:dyDescent="0.2">
      <c r="A68" s="245" t="s">
        <v>300</v>
      </c>
      <c r="B68" s="245"/>
      <c r="C68" s="243">
        <f>IF(ISERROR(GETPIVOTDATA("Somma di AVERE",'Pivot Fineco St'!$A$3,"Mese",1,"Tipologia",$A68)),0,GETPIVOTDATA("Somma di AVERE",'Pivot Fineco St'!$A$3,"Mese",1,"Tipologia",$A68))
+IF(ISERROR(GETPIVOTDATA("Somma di AVERE",'Pivot Fineco Sa'!$A$3,"Mese",1,"Tipologia",$A68)),0,GETPIVOTDATA("Somma di AVERE",'Pivot Fineco Sa'!$A$3,"Mese",1,"Tipologia",$A68))
+IF(ISERROR(GETPIVOTDATA("Somma di AVERE",'Pivot BBVA'!$A$3,"Mese",1,"Tipologia",$A68)),0,GETPIVOTDATA("Somma di AVERE",'Pivot BBVA'!$A$3,"Mese",1,"Tipologia",$A68))</f>
        <v>0</v>
      </c>
      <c r="D68" s="243">
        <f>IF(ISERROR(GETPIVOTDATA("Somma di AVERE",'Pivot Fineco St'!$A$3,"Mese",2,"Tipologia",$A68)),0,GETPIVOTDATA("Somma di AVERE",'Pivot Fineco St'!$A$3,"Mese",2,"Tipologia",$A68))
+IF(ISERROR(GETPIVOTDATA("Somma di AVERE",'Pivot Fineco Sa'!$A$3,"Mese",2,"Tipologia",$A68)),0,GETPIVOTDATA("Somma di AVERE",'Pivot Fineco Sa'!$A$3,"Mese",2,"Tipologia",$A68))
+IF(ISERROR(GETPIVOTDATA("Somma di AVERE",'Pivot BBVA'!$A$3,"Mese",2,"Tipologia",$A68)),0,GETPIVOTDATA("Somma di AVERE",'Pivot BBVA'!$A$3,"Mese",2,"Tipologia",$A68))</f>
        <v>0</v>
      </c>
      <c r="E68" s="243">
        <f>IF(ISERROR(GETPIVOTDATA("Somma di AVERE",'Pivot Fineco St'!$A$3,"Mese",3,"Tipologia",$A68)),0,GETPIVOTDATA("Somma di AVERE",'Pivot Fineco St'!$A$3,"Mese",3,"Tipologia",$A68))
+IF(ISERROR(GETPIVOTDATA("Somma di AVERE",'Pivot Fineco Sa'!$A$3,"Mese",3,"Tipologia",$A68)),0,GETPIVOTDATA("Somma di AVERE",'Pivot Fineco Sa'!$A$3,"Mese",3,"Tipologia",$A68))
+IF(ISERROR(GETPIVOTDATA("Somma di AVERE",'Pivot BBVA'!$A$3,"Mese",3,"Tipologia",$A68)),0,GETPIVOTDATA("Somma di AVERE",'Pivot BBVA'!$A$3,"Mese",3,"Tipologia",$A68))</f>
        <v>0</v>
      </c>
      <c r="F68" s="243">
        <f>IF(ISERROR(GETPIVOTDATA("Somma di AVERE",'Pivot Fineco St'!$A$3,"Mese",4,"Tipologia",$A68)),0,GETPIVOTDATA("Somma di AVERE",'Pivot Fineco St'!$A$3,"Mese",4,"Tipologia",$A68))
+IF(ISERROR(GETPIVOTDATA("Somma di AVERE",'Pivot Fineco Sa'!$A$3,"Mese",4,"Tipologia",$A68)),0,GETPIVOTDATA("Somma di AVERE",'Pivot Fineco Sa'!$A$3,"Mese",4,"Tipologia",$A68))
+IF(ISERROR(GETPIVOTDATA("Somma di AVERE",'Pivot BBVA'!$A$3,"Mese",4,"Tipologia",$A68)),0,GETPIVOTDATA("Somma di AVERE",'Pivot BBVA'!$A$3,"Mese",4,"Tipologia",$A68))</f>
        <v>0</v>
      </c>
      <c r="G68" s="243">
        <f>IF(ISERROR(GETPIVOTDATA("Somma di AVERE",'Pivot Fineco St'!$A$3,"Mese",5,"Tipologia",$A68)),0,GETPIVOTDATA("Somma di AVERE",'Pivot Fineco St'!$A$3,"Mese",5,"Tipologia",$A68))
+IF(ISERROR(GETPIVOTDATA("Somma di AVERE",'Pivot Fineco Sa'!$A$3,"Mese",5,"Tipologia",$A68)),0,GETPIVOTDATA("Somma di AVERE",'Pivot Fineco Sa'!$A$3,"Mese",5,"Tipologia",$A68))
+IF(ISERROR(GETPIVOTDATA("Somma di AVERE",'Pivot BBVA'!$A$3,"Mese",5,"Tipologia",$A68)),0,GETPIVOTDATA("Somma di AVERE",'Pivot BBVA'!$A$3,"Mese",5,"Tipologia",$A68))</f>
        <v>0</v>
      </c>
      <c r="H68" s="243">
        <f>IF(ISERROR(GETPIVOTDATA("Somma di AVERE",'Pivot Fineco St'!$A$3,"Mese",6,"Tipologia",$A68)),0,GETPIVOTDATA("Somma di AVERE",'Pivot Fineco St'!$A$3,"Mese",6,"Tipologia",$A68))
+IF(ISERROR(GETPIVOTDATA("Somma di AVERE",'Pivot Fineco Sa'!$A$3,"Mese",6,"Tipologia",$A68)),0,GETPIVOTDATA("Somma di AVERE",'Pivot Fineco Sa'!$A$3,"Mese",6,"Tipologia",$A68))
+IF(ISERROR(GETPIVOTDATA("Somma di AVERE",'Pivot BBVA'!$A$3,"Mese",6,"Tipologia",$A68)),0,GETPIVOTDATA("Somma di AVERE",'Pivot BBVA'!$A$3,"Mese",6,"Tipologia",$A68))</f>
        <v>0</v>
      </c>
      <c r="I68" s="243">
        <f>IF(ISERROR(GETPIVOTDATA("Somma di AVERE",'Pivot Fineco St'!$A$3,"Mese",7,"Tipologia",$A68)),0,GETPIVOTDATA("Somma di AVERE",'Pivot Fineco St'!$A$3,"Mese",7,"Tipologia",$A68))
+IF(ISERROR(GETPIVOTDATA("Somma di AVERE",'Pivot Fineco Sa'!$A$3,"Mese",7,"Tipologia",$A68)),0,GETPIVOTDATA("Somma di AVERE",'Pivot Fineco Sa'!$A$3,"Mese",7,"Tipologia",$A68))
+IF(ISERROR(GETPIVOTDATA("Somma di AVERE",'Pivot BBVA'!$A$3,"Mese",7,"Tipologia",$A68)),0,GETPIVOTDATA("Somma di AVERE",'Pivot BBVA'!$A$3,"Mese",7,"Tipologia",$A68))</f>
        <v>0</v>
      </c>
      <c r="J68" s="243">
        <f>IF(ISERROR(GETPIVOTDATA("Somma di AVERE",'Pivot Fineco St'!$A$3,"Mese",8,"Tipologia",$A68)),0,GETPIVOTDATA("Somma di AVERE",'Pivot Fineco St'!$A$3,"Mese",8,"Tipologia",$A68))
+IF(ISERROR(GETPIVOTDATA("Somma di AVERE",'Pivot Fineco Sa'!$A$3,"Mese",8,"Tipologia",$A68)),0,GETPIVOTDATA("Somma di AVERE",'Pivot Fineco Sa'!$A$3,"Mese",8,"Tipologia",$A68))
+IF(ISERROR(GETPIVOTDATA("Somma di AVERE",'Pivot BBVA'!$A$3,"Mese",8,"Tipologia",$A68)),0,GETPIVOTDATA("Somma di AVERE",'Pivot BBVA'!$A$3,"Mese",8,"Tipologia",$A68))</f>
        <v>0</v>
      </c>
      <c r="K68" s="243">
        <f>IF(ISERROR(GETPIVOTDATA("Somma di AVERE",'Pivot Fineco St'!$A$3,"Mese",9,"Tipologia",$A68)),0,GETPIVOTDATA("Somma di AVERE",'Pivot Fineco St'!$A$3,"Mese",9,"Tipologia",$A68))
+IF(ISERROR(GETPIVOTDATA("Somma di AVERE",'Pivot Fineco Sa'!$A$3,"Mese",9,"Tipologia",$A68)),0,GETPIVOTDATA("Somma di AVERE",'Pivot Fineco Sa'!$A$3,"Mese",9,"Tipologia",$A68))
+IF(ISERROR(GETPIVOTDATA("Somma di AVERE",'Pivot BBVA'!$A$3,"Mese",9,"Tipologia",$A68)),0,GETPIVOTDATA("Somma di AVERE",'Pivot BBVA'!$A$3,"Mese",9,"Tipologia",$A68))</f>
        <v>0</v>
      </c>
      <c r="L68" s="243">
        <f>IF(ISERROR(GETPIVOTDATA("Somma di AVERE",'Pivot Fineco St'!$A$3,"Mese",10,"Tipologia",$A68)),0,GETPIVOTDATA("Somma di AVERE",'Pivot Fineco St'!$A$3,"Mese",10,"Tipologia",$A68))
+IF(ISERROR(GETPIVOTDATA("Somma di AVERE",'Pivot Fineco Sa'!$A$3,"Mese",10,"Tipologia",$A68)),0,GETPIVOTDATA("Somma di AVERE",'Pivot Fineco Sa'!$A$3,"Mese",10,"Tipologia",$A68))
+IF(ISERROR(GETPIVOTDATA("Somma di AVERE",'Pivot BBVA'!$A$3,"Mese",10,"Tipologia",$A68)),0,GETPIVOTDATA("Somma di AVERE",'Pivot BBVA'!$A$3,"Mese",10,"Tipologia",$A68))</f>
        <v>0</v>
      </c>
      <c r="M68" s="243">
        <f>IF(ISERROR(GETPIVOTDATA("Somma di AVERE",'Pivot Fineco St'!$A$3,"Mese",11,"Tipologia",$A68)),0,GETPIVOTDATA("Somma di AVERE",'Pivot Fineco St'!$A$3,"Mese",11,"Tipologia",$A68))
+IF(ISERROR(GETPIVOTDATA("Somma di AVERE",'Pivot Fineco Sa'!$A$3,"Mese",11,"Tipologia",$A68)),0,GETPIVOTDATA("Somma di AVERE",'Pivot Fineco Sa'!$A$3,"Mese",11,"Tipologia",$A68))
+IF(ISERROR(GETPIVOTDATA("Somma di AVERE",'Pivot BBVA'!$A$3,"Mese",11,"Tipologia",$A68)),0,GETPIVOTDATA("Somma di AVERE",'Pivot BBVA'!$A$3,"Mese",11,"Tipologia",$A68))</f>
        <v>0</v>
      </c>
      <c r="N68" s="243">
        <f>IF(ISERROR(GETPIVOTDATA("Somma di AVERE",'Pivot Fineco St'!$A$3,"Mese",12,"Tipologia",$A68)),0,GETPIVOTDATA("Somma di AVERE",'Pivot Fineco St'!$A$3,"Mese",12,"Tipologia",$A68))
+IF(ISERROR(GETPIVOTDATA("Somma di AVERE",'Pivot Fineco Sa'!$A$3,"Mese",12,"Tipologia",$A68)),0,GETPIVOTDATA("Somma di AVERE",'Pivot Fineco Sa'!$A$3,"Mese",12,"Tipologia",$A68))
+IF(ISERROR(GETPIVOTDATA("Somma di AVERE",'Pivot BBVA'!$A$3,"Mese",12,"Tipologia",$A68)),0,GETPIVOTDATA("Somma di AVERE",'Pivot BBVA'!$A$3,"Mese",12,"Tipologia",$A68))</f>
        <v>0</v>
      </c>
      <c r="O68" s="244">
        <f t="shared" si="1"/>
        <v>0</v>
      </c>
      <c r="P68" s="47"/>
    </row>
    <row r="69" spans="1:16" s="246" customFormat="1" ht="21" customHeight="1" x14ac:dyDescent="0.2">
      <c r="A69" s="245" t="s">
        <v>301</v>
      </c>
      <c r="B69" s="245"/>
      <c r="C69" s="243">
        <f>IF(ISERROR(GETPIVOTDATA("Somma di AVERE",'Pivot Fineco St'!$A$3,"Mese",1,"Tipologia",$A69)),0,GETPIVOTDATA("Somma di AVERE",'Pivot Fineco St'!$A$3,"Mese",1,"Tipologia",$A69))
+IF(ISERROR(GETPIVOTDATA("Somma di AVERE",'Pivot Fineco Sa'!$A$3,"Mese",1,"Tipologia",$A69)),0,GETPIVOTDATA("Somma di AVERE",'Pivot Fineco Sa'!$A$3,"Mese",1,"Tipologia",$A69))
+IF(ISERROR(GETPIVOTDATA("Somma di AVERE",'Pivot BBVA'!$A$3,"Mese",1,"Tipologia",$A69)),0,GETPIVOTDATA("Somma di AVERE",'Pivot BBVA'!$A$3,"Mese",1,"Tipologia",$A69))</f>
        <v>0</v>
      </c>
      <c r="D69" s="243">
        <f>IF(ISERROR(GETPIVOTDATA("Somma di AVERE",'Pivot Fineco St'!$A$3,"Mese",2,"Tipologia",$A69)),0,GETPIVOTDATA("Somma di AVERE",'Pivot Fineco St'!$A$3,"Mese",2,"Tipologia",$A69))
+IF(ISERROR(GETPIVOTDATA("Somma di AVERE",'Pivot Fineco Sa'!$A$3,"Mese",2,"Tipologia",$A69)),0,GETPIVOTDATA("Somma di AVERE",'Pivot Fineco Sa'!$A$3,"Mese",2,"Tipologia",$A69))
+IF(ISERROR(GETPIVOTDATA("Somma di AVERE",'Pivot BBVA'!$A$3,"Mese",2,"Tipologia",$A69)),0,GETPIVOTDATA("Somma di AVERE",'Pivot BBVA'!$A$3,"Mese",2,"Tipologia",$A69))</f>
        <v>0</v>
      </c>
      <c r="E69" s="243">
        <f>IF(ISERROR(GETPIVOTDATA("Somma di AVERE",'Pivot Fineco St'!$A$3,"Mese",3,"Tipologia",$A69)),0,GETPIVOTDATA("Somma di AVERE",'Pivot Fineco St'!$A$3,"Mese",3,"Tipologia",$A69))
+IF(ISERROR(GETPIVOTDATA("Somma di AVERE",'Pivot Fineco Sa'!$A$3,"Mese",3,"Tipologia",$A69)),0,GETPIVOTDATA("Somma di AVERE",'Pivot Fineco Sa'!$A$3,"Mese",3,"Tipologia",$A69))
+IF(ISERROR(GETPIVOTDATA("Somma di AVERE",'Pivot BBVA'!$A$3,"Mese",3,"Tipologia",$A69)),0,GETPIVOTDATA("Somma di AVERE",'Pivot BBVA'!$A$3,"Mese",3,"Tipologia",$A69))</f>
        <v>0</v>
      </c>
      <c r="F69" s="243">
        <f>IF(ISERROR(GETPIVOTDATA("Somma di AVERE",'Pivot Fineco St'!$A$3,"Mese",4,"Tipologia",$A69)),0,GETPIVOTDATA("Somma di AVERE",'Pivot Fineco St'!$A$3,"Mese",4,"Tipologia",$A69))
+IF(ISERROR(GETPIVOTDATA("Somma di AVERE",'Pivot Fineco Sa'!$A$3,"Mese",4,"Tipologia",$A69)),0,GETPIVOTDATA("Somma di AVERE",'Pivot Fineco Sa'!$A$3,"Mese",4,"Tipologia",$A69))
+IF(ISERROR(GETPIVOTDATA("Somma di AVERE",'Pivot BBVA'!$A$3,"Mese",4,"Tipologia",$A69)),0,GETPIVOTDATA("Somma di AVERE",'Pivot BBVA'!$A$3,"Mese",4,"Tipologia",$A69))</f>
        <v>0</v>
      </c>
      <c r="G69" s="243">
        <f>IF(ISERROR(GETPIVOTDATA("Somma di AVERE",'Pivot Fineco St'!$A$3,"Mese",5,"Tipologia",$A69)),0,GETPIVOTDATA("Somma di AVERE",'Pivot Fineco St'!$A$3,"Mese",5,"Tipologia",$A69))
+IF(ISERROR(GETPIVOTDATA("Somma di AVERE",'Pivot Fineco Sa'!$A$3,"Mese",5,"Tipologia",$A69)),0,GETPIVOTDATA("Somma di AVERE",'Pivot Fineco Sa'!$A$3,"Mese",5,"Tipologia",$A69))
+IF(ISERROR(GETPIVOTDATA("Somma di AVERE",'Pivot BBVA'!$A$3,"Mese",5,"Tipologia",$A69)),0,GETPIVOTDATA("Somma di AVERE",'Pivot BBVA'!$A$3,"Mese",5,"Tipologia",$A69))</f>
        <v>0</v>
      </c>
      <c r="H69" s="243">
        <f>IF(ISERROR(GETPIVOTDATA("Somma di AVERE",'Pivot Fineco St'!$A$3,"Mese",6,"Tipologia",$A69)),0,GETPIVOTDATA("Somma di AVERE",'Pivot Fineco St'!$A$3,"Mese",6,"Tipologia",$A69))
+IF(ISERROR(GETPIVOTDATA("Somma di AVERE",'Pivot Fineco Sa'!$A$3,"Mese",6,"Tipologia",$A69)),0,GETPIVOTDATA("Somma di AVERE",'Pivot Fineco Sa'!$A$3,"Mese",6,"Tipologia",$A69))
+IF(ISERROR(GETPIVOTDATA("Somma di AVERE",'Pivot BBVA'!$A$3,"Mese",6,"Tipologia",$A69)),0,GETPIVOTDATA("Somma di AVERE",'Pivot BBVA'!$A$3,"Mese",6,"Tipologia",$A69))</f>
        <v>0</v>
      </c>
      <c r="I69" s="243">
        <f>IF(ISERROR(GETPIVOTDATA("Somma di AVERE",'Pivot Fineco St'!$A$3,"Mese",7,"Tipologia",$A69)),0,GETPIVOTDATA("Somma di AVERE",'Pivot Fineco St'!$A$3,"Mese",7,"Tipologia",$A69))
+IF(ISERROR(GETPIVOTDATA("Somma di AVERE",'Pivot Fineco Sa'!$A$3,"Mese",7,"Tipologia",$A69)),0,GETPIVOTDATA("Somma di AVERE",'Pivot Fineco Sa'!$A$3,"Mese",7,"Tipologia",$A69))
+IF(ISERROR(GETPIVOTDATA("Somma di AVERE",'Pivot BBVA'!$A$3,"Mese",7,"Tipologia",$A69)),0,GETPIVOTDATA("Somma di AVERE",'Pivot BBVA'!$A$3,"Mese",7,"Tipologia",$A69))</f>
        <v>0</v>
      </c>
      <c r="J69" s="243">
        <f>IF(ISERROR(GETPIVOTDATA("Somma di AVERE",'Pivot Fineco St'!$A$3,"Mese",8,"Tipologia",$A69)),0,GETPIVOTDATA("Somma di AVERE",'Pivot Fineco St'!$A$3,"Mese",8,"Tipologia",$A69))
+IF(ISERROR(GETPIVOTDATA("Somma di AVERE",'Pivot Fineco Sa'!$A$3,"Mese",8,"Tipologia",$A69)),0,GETPIVOTDATA("Somma di AVERE",'Pivot Fineco Sa'!$A$3,"Mese",8,"Tipologia",$A69))
+IF(ISERROR(GETPIVOTDATA("Somma di AVERE",'Pivot BBVA'!$A$3,"Mese",8,"Tipologia",$A69)),0,GETPIVOTDATA("Somma di AVERE",'Pivot BBVA'!$A$3,"Mese",8,"Tipologia",$A69))</f>
        <v>0</v>
      </c>
      <c r="K69" s="243">
        <f>IF(ISERROR(GETPIVOTDATA("Somma di AVERE",'Pivot Fineco St'!$A$3,"Mese",9,"Tipologia",$A69)),0,GETPIVOTDATA("Somma di AVERE",'Pivot Fineco St'!$A$3,"Mese",9,"Tipologia",$A69))
+IF(ISERROR(GETPIVOTDATA("Somma di AVERE",'Pivot Fineco Sa'!$A$3,"Mese",9,"Tipologia",$A69)),0,GETPIVOTDATA("Somma di AVERE",'Pivot Fineco Sa'!$A$3,"Mese",9,"Tipologia",$A69))
+IF(ISERROR(GETPIVOTDATA("Somma di AVERE",'Pivot BBVA'!$A$3,"Mese",9,"Tipologia",$A69)),0,GETPIVOTDATA("Somma di AVERE",'Pivot BBVA'!$A$3,"Mese",9,"Tipologia",$A69))</f>
        <v>0</v>
      </c>
      <c r="L69" s="243">
        <f>IF(ISERROR(GETPIVOTDATA("Somma di AVERE",'Pivot Fineco St'!$A$3,"Mese",10,"Tipologia",$A69)),0,GETPIVOTDATA("Somma di AVERE",'Pivot Fineco St'!$A$3,"Mese",10,"Tipologia",$A69))
+IF(ISERROR(GETPIVOTDATA("Somma di AVERE",'Pivot Fineco Sa'!$A$3,"Mese",10,"Tipologia",$A69)),0,GETPIVOTDATA("Somma di AVERE",'Pivot Fineco Sa'!$A$3,"Mese",10,"Tipologia",$A69))
+IF(ISERROR(GETPIVOTDATA("Somma di AVERE",'Pivot BBVA'!$A$3,"Mese",10,"Tipologia",$A69)),0,GETPIVOTDATA("Somma di AVERE",'Pivot BBVA'!$A$3,"Mese",10,"Tipologia",$A69))</f>
        <v>0</v>
      </c>
      <c r="M69" s="243">
        <f>IF(ISERROR(GETPIVOTDATA("Somma di AVERE",'Pivot Fineco St'!$A$3,"Mese",11,"Tipologia",$A69)),0,GETPIVOTDATA("Somma di AVERE",'Pivot Fineco St'!$A$3,"Mese",11,"Tipologia",$A69))
+IF(ISERROR(GETPIVOTDATA("Somma di AVERE",'Pivot Fineco Sa'!$A$3,"Mese",11,"Tipologia",$A69)),0,GETPIVOTDATA("Somma di AVERE",'Pivot Fineco Sa'!$A$3,"Mese",11,"Tipologia",$A69))
+IF(ISERROR(GETPIVOTDATA("Somma di AVERE",'Pivot BBVA'!$A$3,"Mese",11,"Tipologia",$A69)),0,GETPIVOTDATA("Somma di AVERE",'Pivot BBVA'!$A$3,"Mese",11,"Tipologia",$A69))</f>
        <v>0</v>
      </c>
      <c r="N69" s="243">
        <f>IF(ISERROR(GETPIVOTDATA("Somma di AVERE",'Pivot Fineco St'!$A$3,"Mese",12,"Tipologia",$A69)),0,GETPIVOTDATA("Somma di AVERE",'Pivot Fineco St'!$A$3,"Mese",12,"Tipologia",$A69))
+IF(ISERROR(GETPIVOTDATA("Somma di AVERE",'Pivot Fineco Sa'!$A$3,"Mese",12,"Tipologia",$A69)),0,GETPIVOTDATA("Somma di AVERE",'Pivot Fineco Sa'!$A$3,"Mese",12,"Tipologia",$A69))
+IF(ISERROR(GETPIVOTDATA("Somma di AVERE",'Pivot BBVA'!$A$3,"Mese",12,"Tipologia",$A69)),0,GETPIVOTDATA("Somma di AVERE",'Pivot BBVA'!$A$3,"Mese",12,"Tipologia",$A69))</f>
        <v>0</v>
      </c>
      <c r="O69" s="244">
        <f t="shared" si="1"/>
        <v>0</v>
      </c>
      <c r="P69" s="47"/>
    </row>
    <row r="70" spans="1:16" s="246" customFormat="1" ht="21" customHeight="1" x14ac:dyDescent="0.2">
      <c r="A70" s="245" t="s">
        <v>717</v>
      </c>
      <c r="B70" s="245"/>
      <c r="C70" s="243">
        <f>IF(ISERROR(GETPIVOTDATA("Somma di AVERE",'Pivot Fineco St'!$A$3,"Mese",1,"Tipologia",$A70)),0,GETPIVOTDATA("Somma di AVERE",'Pivot Fineco St'!$A$3,"Mese",1,"Tipologia",$A70))
+IF(ISERROR(GETPIVOTDATA("Somma di AVERE",'Pivot Fineco Sa'!$A$3,"Mese",1,"Tipologia",$A70)),0,GETPIVOTDATA("Somma di AVERE",'Pivot Fineco Sa'!$A$3,"Mese",1,"Tipologia",$A70))
+IF(ISERROR(GETPIVOTDATA("Somma di AVERE",'Pivot BBVA'!$A$3,"Mese",1,"Tipologia",$A70)),0,GETPIVOTDATA("Somma di AVERE",'Pivot BBVA'!$A$3,"Mese",1,"Tipologia",$A70))</f>
        <v>0</v>
      </c>
      <c r="D70" s="243">
        <f>IF(ISERROR(GETPIVOTDATA("Somma di AVERE",'Pivot Fineco St'!$A$3,"Mese",2,"Tipologia",$A70)),0,GETPIVOTDATA("Somma di AVERE",'Pivot Fineco St'!$A$3,"Mese",2,"Tipologia",$A70))
+IF(ISERROR(GETPIVOTDATA("Somma di AVERE",'Pivot Fineco Sa'!$A$3,"Mese",2,"Tipologia",$A70)),0,GETPIVOTDATA("Somma di AVERE",'Pivot Fineco Sa'!$A$3,"Mese",2,"Tipologia",$A70))
+IF(ISERROR(GETPIVOTDATA("Somma di AVERE",'Pivot BBVA'!$A$3,"Mese",2,"Tipologia",$A70)),0,GETPIVOTDATA("Somma di AVERE",'Pivot BBVA'!$A$3,"Mese",2,"Tipologia",$A70))</f>
        <v>0</v>
      </c>
      <c r="E70" s="243">
        <f>IF(ISERROR(GETPIVOTDATA("Somma di AVERE",'Pivot Fineco St'!$A$3,"Mese",3,"Tipologia",$A70)),0,GETPIVOTDATA("Somma di AVERE",'Pivot Fineco St'!$A$3,"Mese",3,"Tipologia",$A70))
+IF(ISERROR(GETPIVOTDATA("Somma di AVERE",'Pivot Fineco Sa'!$A$3,"Mese",3,"Tipologia",$A70)),0,GETPIVOTDATA("Somma di AVERE",'Pivot Fineco Sa'!$A$3,"Mese",3,"Tipologia",$A70))
+IF(ISERROR(GETPIVOTDATA("Somma di AVERE",'Pivot BBVA'!$A$3,"Mese",3,"Tipologia",$A70)),0,GETPIVOTDATA("Somma di AVERE",'Pivot BBVA'!$A$3,"Mese",3,"Tipologia",$A70))</f>
        <v>0</v>
      </c>
      <c r="F70" s="243">
        <f>IF(ISERROR(GETPIVOTDATA("Somma di AVERE",'Pivot Fineco St'!$A$3,"Mese",4,"Tipologia",$A70)),0,GETPIVOTDATA("Somma di AVERE",'Pivot Fineco St'!$A$3,"Mese",4,"Tipologia",$A70))
+IF(ISERROR(GETPIVOTDATA("Somma di AVERE",'Pivot Fineco Sa'!$A$3,"Mese",4,"Tipologia",$A70)),0,GETPIVOTDATA("Somma di AVERE",'Pivot Fineco Sa'!$A$3,"Mese",4,"Tipologia",$A70))
+IF(ISERROR(GETPIVOTDATA("Somma di AVERE",'Pivot BBVA'!$A$3,"Mese",4,"Tipologia",$A70)),0,GETPIVOTDATA("Somma di AVERE",'Pivot BBVA'!$A$3,"Mese",4,"Tipologia",$A70))</f>
        <v>0</v>
      </c>
      <c r="G70" s="243">
        <f>IF(ISERROR(GETPIVOTDATA("Somma di AVERE",'Pivot Fineco St'!$A$3,"Mese",5,"Tipologia",$A70)),0,GETPIVOTDATA("Somma di AVERE",'Pivot Fineco St'!$A$3,"Mese",5,"Tipologia",$A70))
+IF(ISERROR(GETPIVOTDATA("Somma di AVERE",'Pivot Fineco Sa'!$A$3,"Mese",5,"Tipologia",$A70)),0,GETPIVOTDATA("Somma di AVERE",'Pivot Fineco Sa'!$A$3,"Mese",5,"Tipologia",$A70))
+IF(ISERROR(GETPIVOTDATA("Somma di AVERE",'Pivot BBVA'!$A$3,"Mese",5,"Tipologia",$A70)),0,GETPIVOTDATA("Somma di AVERE",'Pivot BBVA'!$A$3,"Mese",5,"Tipologia",$A70))</f>
        <v>0</v>
      </c>
      <c r="H70" s="243">
        <f>IF(ISERROR(GETPIVOTDATA("Somma di AVERE",'Pivot Fineco St'!$A$3,"Mese",6,"Tipologia",$A70)),0,GETPIVOTDATA("Somma di AVERE",'Pivot Fineco St'!$A$3,"Mese",6,"Tipologia",$A70))
+IF(ISERROR(GETPIVOTDATA("Somma di AVERE",'Pivot Fineco Sa'!$A$3,"Mese",6,"Tipologia",$A70)),0,GETPIVOTDATA("Somma di AVERE",'Pivot Fineco Sa'!$A$3,"Mese",6,"Tipologia",$A70))
+IF(ISERROR(GETPIVOTDATA("Somma di AVERE",'Pivot BBVA'!$A$3,"Mese",6,"Tipologia",$A70)),0,GETPIVOTDATA("Somma di AVERE",'Pivot BBVA'!$A$3,"Mese",6,"Tipologia",$A70))</f>
        <v>0</v>
      </c>
      <c r="I70" s="243">
        <f>IF(ISERROR(GETPIVOTDATA("Somma di AVERE",'Pivot Fineco St'!$A$3,"Mese",7,"Tipologia",$A70)),0,GETPIVOTDATA("Somma di AVERE",'Pivot Fineco St'!$A$3,"Mese",7,"Tipologia",$A70))
+IF(ISERROR(GETPIVOTDATA("Somma di AVERE",'Pivot Fineco Sa'!$A$3,"Mese",7,"Tipologia",$A70)),0,GETPIVOTDATA("Somma di AVERE",'Pivot Fineco Sa'!$A$3,"Mese",7,"Tipologia",$A70))
+IF(ISERROR(GETPIVOTDATA("Somma di AVERE",'Pivot BBVA'!$A$3,"Mese",7,"Tipologia",$A70)),0,GETPIVOTDATA("Somma di AVERE",'Pivot BBVA'!$A$3,"Mese",7,"Tipologia",$A70))</f>
        <v>0</v>
      </c>
      <c r="J70" s="243">
        <f>IF(ISERROR(GETPIVOTDATA("Somma di AVERE",'Pivot Fineco St'!$A$3,"Mese",8,"Tipologia",$A70)),0,GETPIVOTDATA("Somma di AVERE",'Pivot Fineco St'!$A$3,"Mese",8,"Tipologia",$A70))
+IF(ISERROR(GETPIVOTDATA("Somma di AVERE",'Pivot Fineco Sa'!$A$3,"Mese",8,"Tipologia",$A70)),0,GETPIVOTDATA("Somma di AVERE",'Pivot Fineco Sa'!$A$3,"Mese",8,"Tipologia",$A70))
+IF(ISERROR(GETPIVOTDATA("Somma di AVERE",'Pivot BBVA'!$A$3,"Mese",8,"Tipologia",$A70)),0,GETPIVOTDATA("Somma di AVERE",'Pivot BBVA'!$A$3,"Mese",8,"Tipologia",$A70))</f>
        <v>0</v>
      </c>
      <c r="K70" s="243">
        <f>IF(ISERROR(GETPIVOTDATA("Somma di AVERE",'Pivot Fineco St'!$A$3,"Mese",9,"Tipologia",$A70)),0,GETPIVOTDATA("Somma di AVERE",'Pivot Fineco St'!$A$3,"Mese",9,"Tipologia",$A70))
+IF(ISERROR(GETPIVOTDATA("Somma di AVERE",'Pivot Fineco Sa'!$A$3,"Mese",9,"Tipologia",$A70)),0,GETPIVOTDATA("Somma di AVERE",'Pivot Fineco Sa'!$A$3,"Mese",9,"Tipologia",$A70))
+IF(ISERROR(GETPIVOTDATA("Somma di AVERE",'Pivot BBVA'!$A$3,"Mese",9,"Tipologia",$A70)),0,GETPIVOTDATA("Somma di AVERE",'Pivot BBVA'!$A$3,"Mese",9,"Tipologia",$A70))</f>
        <v>0</v>
      </c>
      <c r="L70" s="243">
        <f>IF(ISERROR(GETPIVOTDATA("Somma di AVERE",'Pivot Fineco St'!$A$3,"Mese",10,"Tipologia",$A70)),0,GETPIVOTDATA("Somma di AVERE",'Pivot Fineco St'!$A$3,"Mese",10,"Tipologia",$A70))
+IF(ISERROR(GETPIVOTDATA("Somma di AVERE",'Pivot Fineco Sa'!$A$3,"Mese",10,"Tipologia",$A70)),0,GETPIVOTDATA("Somma di AVERE",'Pivot Fineco Sa'!$A$3,"Mese",10,"Tipologia",$A70))
+IF(ISERROR(GETPIVOTDATA("Somma di AVERE",'Pivot BBVA'!$A$3,"Mese",10,"Tipologia",$A70)),0,GETPIVOTDATA("Somma di AVERE",'Pivot BBVA'!$A$3,"Mese",10,"Tipologia",$A70))</f>
        <v>0</v>
      </c>
      <c r="M70" s="243">
        <f>IF(ISERROR(GETPIVOTDATA("Somma di AVERE",'Pivot Fineco St'!$A$3,"Mese",11,"Tipologia",$A70)),0,GETPIVOTDATA("Somma di AVERE",'Pivot Fineco St'!$A$3,"Mese",11,"Tipologia",$A70))
+IF(ISERROR(GETPIVOTDATA("Somma di AVERE",'Pivot Fineco Sa'!$A$3,"Mese",11,"Tipologia",$A70)),0,GETPIVOTDATA("Somma di AVERE",'Pivot Fineco Sa'!$A$3,"Mese",11,"Tipologia",$A70))
+IF(ISERROR(GETPIVOTDATA("Somma di AVERE",'Pivot BBVA'!$A$3,"Mese",11,"Tipologia",$A70)),0,GETPIVOTDATA("Somma di AVERE",'Pivot BBVA'!$A$3,"Mese",11,"Tipologia",$A70))</f>
        <v>0</v>
      </c>
      <c r="N70" s="243">
        <f>IF(ISERROR(GETPIVOTDATA("Somma di AVERE",'Pivot Fineco St'!$A$3,"Mese",12,"Tipologia",$A70)),0,GETPIVOTDATA("Somma di AVERE",'Pivot Fineco St'!$A$3,"Mese",12,"Tipologia",$A70))
+IF(ISERROR(GETPIVOTDATA("Somma di AVERE",'Pivot Fineco Sa'!$A$3,"Mese",12,"Tipologia",$A70)),0,GETPIVOTDATA("Somma di AVERE",'Pivot Fineco Sa'!$A$3,"Mese",12,"Tipologia",$A70))
+IF(ISERROR(GETPIVOTDATA("Somma di AVERE",'Pivot BBVA'!$A$3,"Mese",12,"Tipologia",$A70)),0,GETPIVOTDATA("Somma di AVERE",'Pivot BBVA'!$A$3,"Mese",12,"Tipologia",$A70))</f>
        <v>0</v>
      </c>
      <c r="O70" s="244">
        <f t="shared" si="1"/>
        <v>0</v>
      </c>
      <c r="P70" s="47"/>
    </row>
    <row r="71" spans="1:16" s="246" customFormat="1" ht="21" customHeight="1" x14ac:dyDescent="0.2">
      <c r="A71" s="245" t="s">
        <v>34</v>
      </c>
      <c r="B71" s="245"/>
      <c r="C71" s="243">
        <f>IF(ISERROR(GETPIVOTDATA("Somma di AVERE",'Pivot Fineco St'!$A$3,"Mese",1,"Tipologia",$A71)),0,GETPIVOTDATA("Somma di AVERE",'Pivot Fineco St'!$A$3,"Mese",1,"Tipologia",$A71))
+IF(ISERROR(GETPIVOTDATA("Somma di AVERE",'Pivot Fineco Sa'!$A$3,"Mese",1,"Tipologia",$A71)),0,GETPIVOTDATA("Somma di AVERE",'Pivot Fineco Sa'!$A$3,"Mese",1,"Tipologia",$A71))
+IF(ISERROR(GETPIVOTDATA("Somma di AVERE",'Pivot BBVA'!$A$3,"Mese",1,"Tipologia",$A71)),0,GETPIVOTDATA("Somma di AVERE",'Pivot BBVA'!$A$3,"Mese",1,"Tipologia",$A71))</f>
        <v>0</v>
      </c>
      <c r="D71" s="243">
        <f>IF(ISERROR(GETPIVOTDATA("Somma di AVERE",'Pivot Fineco St'!$A$3,"Mese",2,"Tipologia",$A71)),0,GETPIVOTDATA("Somma di AVERE",'Pivot Fineco St'!$A$3,"Mese",2,"Tipologia",$A71))
+IF(ISERROR(GETPIVOTDATA("Somma di AVERE",'Pivot Fineco Sa'!$A$3,"Mese",2,"Tipologia",$A71)),0,GETPIVOTDATA("Somma di AVERE",'Pivot Fineco Sa'!$A$3,"Mese",2,"Tipologia",$A71))
+IF(ISERROR(GETPIVOTDATA("Somma di AVERE",'Pivot BBVA'!$A$3,"Mese",2,"Tipologia",$A71)),0,GETPIVOTDATA("Somma di AVERE",'Pivot BBVA'!$A$3,"Mese",2,"Tipologia",$A71))</f>
        <v>0</v>
      </c>
      <c r="E71" s="243">
        <f>IF(ISERROR(GETPIVOTDATA("Somma di AVERE",'Pivot Fineco St'!$A$3,"Mese",3,"Tipologia",$A71)),0,GETPIVOTDATA("Somma di AVERE",'Pivot Fineco St'!$A$3,"Mese",3,"Tipologia",$A71))
+IF(ISERROR(GETPIVOTDATA("Somma di AVERE",'Pivot Fineco Sa'!$A$3,"Mese",3,"Tipologia",$A71)),0,GETPIVOTDATA("Somma di AVERE",'Pivot Fineco Sa'!$A$3,"Mese",3,"Tipologia",$A71))
+IF(ISERROR(GETPIVOTDATA("Somma di AVERE",'Pivot BBVA'!$A$3,"Mese",3,"Tipologia",$A71)),0,GETPIVOTDATA("Somma di AVERE",'Pivot BBVA'!$A$3,"Mese",3,"Tipologia",$A71))</f>
        <v>0</v>
      </c>
      <c r="F71" s="243">
        <f>IF(ISERROR(GETPIVOTDATA("Somma di AVERE",'Pivot Fineco St'!$A$3,"Mese",4,"Tipologia",$A71)),0,GETPIVOTDATA("Somma di AVERE",'Pivot Fineco St'!$A$3,"Mese",4,"Tipologia",$A71))
+IF(ISERROR(GETPIVOTDATA("Somma di AVERE",'Pivot Fineco Sa'!$A$3,"Mese",4,"Tipologia",$A71)),0,GETPIVOTDATA("Somma di AVERE",'Pivot Fineco Sa'!$A$3,"Mese",4,"Tipologia",$A71))
+IF(ISERROR(GETPIVOTDATA("Somma di AVERE",'Pivot BBVA'!$A$3,"Mese",4,"Tipologia",$A71)),0,GETPIVOTDATA("Somma di AVERE",'Pivot BBVA'!$A$3,"Mese",4,"Tipologia",$A71))</f>
        <v>0</v>
      </c>
      <c r="G71" s="243">
        <f>IF(ISERROR(GETPIVOTDATA("Somma di AVERE",'Pivot Fineco St'!$A$3,"Mese",5,"Tipologia",$A71)),0,GETPIVOTDATA("Somma di AVERE",'Pivot Fineco St'!$A$3,"Mese",5,"Tipologia",$A71))
+IF(ISERROR(GETPIVOTDATA("Somma di AVERE",'Pivot Fineco Sa'!$A$3,"Mese",5,"Tipologia",$A71)),0,GETPIVOTDATA("Somma di AVERE",'Pivot Fineco Sa'!$A$3,"Mese",5,"Tipologia",$A71))
+IF(ISERROR(GETPIVOTDATA("Somma di AVERE",'Pivot BBVA'!$A$3,"Mese",5,"Tipologia",$A71)),0,GETPIVOTDATA("Somma di AVERE",'Pivot BBVA'!$A$3,"Mese",5,"Tipologia",$A71))</f>
        <v>0</v>
      </c>
      <c r="H71" s="243">
        <f>IF(ISERROR(GETPIVOTDATA("Somma di AVERE",'Pivot Fineco St'!$A$3,"Mese",6,"Tipologia",$A71)),0,GETPIVOTDATA("Somma di AVERE",'Pivot Fineco St'!$A$3,"Mese",6,"Tipologia",$A71))
+IF(ISERROR(GETPIVOTDATA("Somma di AVERE",'Pivot Fineco Sa'!$A$3,"Mese",6,"Tipologia",$A71)),0,GETPIVOTDATA("Somma di AVERE",'Pivot Fineco Sa'!$A$3,"Mese",6,"Tipologia",$A71))
+IF(ISERROR(GETPIVOTDATA("Somma di AVERE",'Pivot BBVA'!$A$3,"Mese",6,"Tipologia",$A71)),0,GETPIVOTDATA("Somma di AVERE",'Pivot BBVA'!$A$3,"Mese",6,"Tipologia",$A71))</f>
        <v>0</v>
      </c>
      <c r="I71" s="243">
        <f>IF(ISERROR(GETPIVOTDATA("Somma di AVERE",'Pivot Fineco St'!$A$3,"Mese",7,"Tipologia",$A71)),0,GETPIVOTDATA("Somma di AVERE",'Pivot Fineco St'!$A$3,"Mese",7,"Tipologia",$A71))
+IF(ISERROR(GETPIVOTDATA("Somma di AVERE",'Pivot Fineco Sa'!$A$3,"Mese",7,"Tipologia",$A71)),0,GETPIVOTDATA("Somma di AVERE",'Pivot Fineco Sa'!$A$3,"Mese",7,"Tipologia",$A71))
+IF(ISERROR(GETPIVOTDATA("Somma di AVERE",'Pivot BBVA'!$A$3,"Mese",7,"Tipologia",$A71)),0,GETPIVOTDATA("Somma di AVERE",'Pivot BBVA'!$A$3,"Mese",7,"Tipologia",$A71))</f>
        <v>0</v>
      </c>
      <c r="J71" s="243">
        <f>IF(ISERROR(GETPIVOTDATA("Somma di AVERE",'Pivot Fineco St'!$A$3,"Mese",8,"Tipologia",$A71)),0,GETPIVOTDATA("Somma di AVERE",'Pivot Fineco St'!$A$3,"Mese",8,"Tipologia",$A71))
+IF(ISERROR(GETPIVOTDATA("Somma di AVERE",'Pivot Fineco Sa'!$A$3,"Mese",8,"Tipologia",$A71)),0,GETPIVOTDATA("Somma di AVERE",'Pivot Fineco Sa'!$A$3,"Mese",8,"Tipologia",$A71))
+IF(ISERROR(GETPIVOTDATA("Somma di AVERE",'Pivot BBVA'!$A$3,"Mese",8,"Tipologia",$A71)),0,GETPIVOTDATA("Somma di AVERE",'Pivot BBVA'!$A$3,"Mese",8,"Tipologia",$A71))</f>
        <v>0</v>
      </c>
      <c r="K71" s="243">
        <f>IF(ISERROR(GETPIVOTDATA("Somma di AVERE",'Pivot Fineco St'!$A$3,"Mese",9,"Tipologia",$A71)),0,GETPIVOTDATA("Somma di AVERE",'Pivot Fineco St'!$A$3,"Mese",9,"Tipologia",$A71))
+IF(ISERROR(GETPIVOTDATA("Somma di AVERE",'Pivot Fineco Sa'!$A$3,"Mese",9,"Tipologia",$A71)),0,GETPIVOTDATA("Somma di AVERE",'Pivot Fineco Sa'!$A$3,"Mese",9,"Tipologia",$A71))
+IF(ISERROR(GETPIVOTDATA("Somma di AVERE",'Pivot BBVA'!$A$3,"Mese",9,"Tipologia",$A71)),0,GETPIVOTDATA("Somma di AVERE",'Pivot BBVA'!$A$3,"Mese",9,"Tipologia",$A71))</f>
        <v>0</v>
      </c>
      <c r="L71" s="243">
        <f>IF(ISERROR(GETPIVOTDATA("Somma di AVERE",'Pivot Fineco St'!$A$3,"Mese",10,"Tipologia",$A71)),0,GETPIVOTDATA("Somma di AVERE",'Pivot Fineco St'!$A$3,"Mese",10,"Tipologia",$A71))
+IF(ISERROR(GETPIVOTDATA("Somma di AVERE",'Pivot Fineco Sa'!$A$3,"Mese",10,"Tipologia",$A71)),0,GETPIVOTDATA("Somma di AVERE",'Pivot Fineco Sa'!$A$3,"Mese",10,"Tipologia",$A71))
+IF(ISERROR(GETPIVOTDATA("Somma di AVERE",'Pivot BBVA'!$A$3,"Mese",10,"Tipologia",$A71)),0,GETPIVOTDATA("Somma di AVERE",'Pivot BBVA'!$A$3,"Mese",10,"Tipologia",$A71))</f>
        <v>0</v>
      </c>
      <c r="M71" s="243">
        <f>IF(ISERROR(GETPIVOTDATA("Somma di AVERE",'Pivot Fineco St'!$A$3,"Mese",11,"Tipologia",$A71)),0,GETPIVOTDATA("Somma di AVERE",'Pivot Fineco St'!$A$3,"Mese",11,"Tipologia",$A71))
+IF(ISERROR(GETPIVOTDATA("Somma di AVERE",'Pivot Fineco Sa'!$A$3,"Mese",11,"Tipologia",$A71)),0,GETPIVOTDATA("Somma di AVERE",'Pivot Fineco Sa'!$A$3,"Mese",11,"Tipologia",$A71))
+IF(ISERROR(GETPIVOTDATA("Somma di AVERE",'Pivot BBVA'!$A$3,"Mese",11,"Tipologia",$A71)),0,GETPIVOTDATA("Somma di AVERE",'Pivot BBVA'!$A$3,"Mese",11,"Tipologia",$A71))</f>
        <v>0</v>
      </c>
      <c r="N71" s="243">
        <f>IF(ISERROR(GETPIVOTDATA("Somma di AVERE",'Pivot Fineco St'!$A$3,"Mese",12,"Tipologia",$A71)),0,GETPIVOTDATA("Somma di AVERE",'Pivot Fineco St'!$A$3,"Mese",12,"Tipologia",$A71))
+IF(ISERROR(GETPIVOTDATA("Somma di AVERE",'Pivot Fineco Sa'!$A$3,"Mese",12,"Tipologia",$A71)),0,GETPIVOTDATA("Somma di AVERE",'Pivot Fineco Sa'!$A$3,"Mese",12,"Tipologia",$A71))
+IF(ISERROR(GETPIVOTDATA("Somma di AVERE",'Pivot BBVA'!$A$3,"Mese",12,"Tipologia",$A71)),0,GETPIVOTDATA("Somma di AVERE",'Pivot BBVA'!$A$3,"Mese",12,"Tipologia",$A71))</f>
        <v>0</v>
      </c>
      <c r="O71" s="244">
        <f t="shared" si="1"/>
        <v>0</v>
      </c>
      <c r="P71" s="47"/>
    </row>
    <row r="72" spans="1:16" s="246" customFormat="1" ht="21" customHeight="1" x14ac:dyDescent="0.2">
      <c r="A72" s="245" t="s">
        <v>106</v>
      </c>
      <c r="B72" s="245"/>
      <c r="C72" s="243">
        <f>IF(ISERROR(GETPIVOTDATA("Somma di AVERE",'Pivot Fineco Sa'!$A$3,"Mese",1,"Tipologia",$A72)),0,GETPIVOTDATA("Somma di AVERE",'Pivot Fineco Sa'!$A$3,"Mese",1,"Tipologia",$A72))</f>
        <v>0</v>
      </c>
      <c r="D72" s="243">
        <f>IF(ISERROR(GETPIVOTDATA("Somma di AVERE",'Pivot Fineco Sa'!$A$3,"Mese",2,"Tipologia",$A72)),0,GETPIVOTDATA("Somma di AVERE",'Pivot Fineco Sa'!$A$3,"Mese",2,"Tipologia",$A72))</f>
        <v>31048.09</v>
      </c>
      <c r="E72" s="243">
        <f>IF(ISERROR(GETPIVOTDATA("Somma di AVERE",'Pivot Fineco Sa'!$A$3,"Mese",3,"Tipologia",$A72)),0,GETPIVOTDATA("Somma di AVERE",'Pivot Fineco Sa'!$A$3,"Mese",3,"Tipologia",$A72))</f>
        <v>0</v>
      </c>
      <c r="F72" s="243">
        <f>IF(ISERROR(GETPIVOTDATA("Somma di AVERE",'Pivot Fineco Sa'!$A$3,"Mese",4,"Tipologia",$A72)),0,GETPIVOTDATA("Somma di AVERE",'Pivot Fineco Sa'!$A$3,"Mese",4,"Tipologia",$A72))</f>
        <v>231275.62000000002</v>
      </c>
      <c r="G72" s="243">
        <f>IF(ISERROR(GETPIVOTDATA("Somma di AVERE",'Pivot Fineco Sa'!$A$3,"Mese",5,"Tipologia",$A72)),0,GETPIVOTDATA("Somma di AVERE",'Pivot Fineco Sa'!$A$3,"Mese",5,"Tipologia",$A72))</f>
        <v>0</v>
      </c>
      <c r="H72" s="243">
        <f>IF(ISERROR(GETPIVOTDATA("Somma di AVERE",'Pivot Fineco Sa'!$A$3,"Mese",6,"Tipologia",$A72)),0,GETPIVOTDATA("Somma di AVERE",'Pivot Fineco Sa'!$A$3,"Mese",6,"Tipologia",$A72))</f>
        <v>54119.479999999996</v>
      </c>
      <c r="I72" s="243">
        <f>IF(ISERROR(GETPIVOTDATA("Somma di AVERE",'Pivot Fineco Sa'!$A$3,"Mese",7,"Tipologia",$A72)),0,GETPIVOTDATA("Somma di AVERE",'Pivot Fineco Sa'!$A$3,"Mese",7,"Tipologia",$A72))</f>
        <v>0</v>
      </c>
      <c r="J72" s="243">
        <f>IF(ISERROR(GETPIVOTDATA("Somma di AVERE",'Pivot Fineco Sa'!$A$3,"Mese",8,"Tipologia",$A72)),0,GETPIVOTDATA("Somma di AVERE",'Pivot Fineco Sa'!$A$3,"Mese",8,"Tipologia",$A72))</f>
        <v>0</v>
      </c>
      <c r="K72" s="243">
        <f>IF(ISERROR(GETPIVOTDATA("Somma di AVERE",'Pivot Fineco Sa'!$A$3,"Mese",9,"Tipologia",$A72)),0,GETPIVOTDATA("Somma di AVERE",'Pivot Fineco Sa'!$A$3,"Mese",9,"Tipologia",$A72))</f>
        <v>0</v>
      </c>
      <c r="L72" s="243">
        <f>IF(ISERROR(GETPIVOTDATA("Somma di AVERE",'Pivot Fineco Sa'!$A$3,"Mese",10,"Tipologia",$A72)),0,GETPIVOTDATA("Somma di AVERE",'Pivot Fineco Sa'!$A$3,"Mese",10,"Tipologia",$A72))</f>
        <v>0</v>
      </c>
      <c r="M72" s="243">
        <f>IF(ISERROR(GETPIVOTDATA("Somma di AVERE",'Pivot Fineco Sa'!$A$3,"Mese",11,"Tipologia",$A72)),0,GETPIVOTDATA("Somma di AVERE",'Pivot Fineco Sa'!$A$3,"Mese",11,"Tipologia",$A72))</f>
        <v>0</v>
      </c>
      <c r="N72" s="243">
        <f>IF(ISERROR(GETPIVOTDATA("Somma di AVERE",'Pivot Fineco Sa'!$A$3,"Mese",12,"Tipologia",$A72)),0,GETPIVOTDATA("Somma di AVERE",'Pivot Fineco Sa'!$A$3,"Mese",12,"Tipologia",$A72))</f>
        <v>0</v>
      </c>
      <c r="O72" s="244">
        <f t="shared" si="1"/>
        <v>316443.19</v>
      </c>
      <c r="P72" s="47"/>
    </row>
    <row r="73" spans="1:16" s="46" customFormat="1" ht="21" customHeight="1" x14ac:dyDescent="0.2">
      <c r="A73" s="49" t="s">
        <v>105</v>
      </c>
      <c r="B73" s="49"/>
      <c r="C73" s="243">
        <f>IF(ISERROR(GETPIVOTDATA("Somma di AVERE",'Pivot Fineco St'!$A$3,"Mese",1,"Tipologia",$A73)),0,GETPIVOTDATA("Somma di AVERE",'Pivot Fineco St'!$A$3,"Mese",1,"Tipologia",$A73))
+IF(ISERROR(GETPIVOTDATA("Somma di AVERE",'Pivot Fineco Sa'!$A$3,"Mese",1,"Tipologia",$A73)),0,GETPIVOTDATA("Somma di AVERE",'Pivot Fineco Sa'!$A$3,"Mese",1,"Tipologia",$A73))
+IF(ISERROR(GETPIVOTDATA("Somma di AVERE",'Pivot BBVA'!$A$3,"Mese",1,"Tipologia",$A73)),0,GETPIVOTDATA("Somma di AVERE",'Pivot BBVA'!$A$3,"Mese",1,"Tipologia",$A73))</f>
        <v>0</v>
      </c>
      <c r="D73" s="243">
        <f>IF(ISERROR(GETPIVOTDATA("Somma di AVERE",'Pivot Fineco St'!$A$3,"Mese",2,"Tipologia",$A73)),0,GETPIVOTDATA("Somma di AVERE",'Pivot Fineco St'!$A$3,"Mese",2,"Tipologia",$A73))
+IF(ISERROR(GETPIVOTDATA("Somma di AVERE",'Pivot Fineco Sa'!$A$3,"Mese",2,"Tipologia",$A73)),0,GETPIVOTDATA("Somma di AVERE",'Pivot Fineco Sa'!$A$3,"Mese",2,"Tipologia",$A73))
+IF(ISERROR(GETPIVOTDATA("Somma di AVERE",'Pivot BBVA'!$A$3,"Mese",2,"Tipologia",$A73)),0,GETPIVOTDATA("Somma di AVERE",'Pivot BBVA'!$A$3,"Mese",2,"Tipologia",$A73))</f>
        <v>0</v>
      </c>
      <c r="E73" s="243">
        <f>IF(ISERROR(GETPIVOTDATA("Somma di AVERE",'Pivot Fineco St'!$A$3,"Mese",3,"Tipologia",$A73)),0,GETPIVOTDATA("Somma di AVERE",'Pivot Fineco St'!$A$3,"Mese",3,"Tipologia",$A73))
+IF(ISERROR(GETPIVOTDATA("Somma di AVERE",'Pivot Fineco Sa'!$A$3,"Mese",3,"Tipologia",$A73)),0,GETPIVOTDATA("Somma di AVERE",'Pivot Fineco Sa'!$A$3,"Mese",3,"Tipologia",$A73))
+IF(ISERROR(GETPIVOTDATA("Somma di AVERE",'Pivot BBVA'!$A$3,"Mese",3,"Tipologia",$A73)),0,GETPIVOTDATA("Somma di AVERE",'Pivot BBVA'!$A$3,"Mese",3,"Tipologia",$A73))</f>
        <v>3.54</v>
      </c>
      <c r="F73" s="243">
        <f>IF(ISERROR(GETPIVOTDATA("Somma di AVERE",'Pivot Fineco St'!$A$3,"Mese",4,"Tipologia",$A73)),0,GETPIVOTDATA("Somma di AVERE",'Pivot Fineco St'!$A$3,"Mese",4,"Tipologia",$A73))
+IF(ISERROR(GETPIVOTDATA("Somma di AVERE",'Pivot Fineco Sa'!$A$3,"Mese",4,"Tipologia",$A73)),0,GETPIVOTDATA("Somma di AVERE",'Pivot Fineco Sa'!$A$3,"Mese",4,"Tipologia",$A73))
+IF(ISERROR(GETPIVOTDATA("Somma di AVERE",'Pivot BBVA'!$A$3,"Mese",4,"Tipologia",$A73)),0,GETPIVOTDATA("Somma di AVERE",'Pivot BBVA'!$A$3,"Mese",4,"Tipologia",$A73))</f>
        <v>0</v>
      </c>
      <c r="G73" s="243">
        <f>IF(ISERROR(GETPIVOTDATA("Somma di AVERE",'Pivot Fineco St'!$A$3,"Mese",5,"Tipologia",$A73)),0,GETPIVOTDATA("Somma di AVERE",'Pivot Fineco St'!$A$3,"Mese",5,"Tipologia",$A73))
+IF(ISERROR(GETPIVOTDATA("Somma di AVERE",'Pivot Fineco Sa'!$A$3,"Mese",5,"Tipologia",$A73)),0,GETPIVOTDATA("Somma di AVERE",'Pivot Fineco Sa'!$A$3,"Mese",5,"Tipologia",$A73))
+IF(ISERROR(GETPIVOTDATA("Somma di AVERE",'Pivot BBVA'!$A$3,"Mese",5,"Tipologia",$A73)),0,GETPIVOTDATA("Somma di AVERE",'Pivot BBVA'!$A$3,"Mese",5,"Tipologia",$A73))</f>
        <v>0</v>
      </c>
      <c r="H73" s="243">
        <f>IF(ISERROR(GETPIVOTDATA("Somma di AVERE",'Pivot Fineco St'!$A$3,"Mese",6,"Tipologia",$A73)),0,GETPIVOTDATA("Somma di AVERE",'Pivot Fineco St'!$A$3,"Mese",6,"Tipologia",$A73))
+IF(ISERROR(GETPIVOTDATA("Somma di AVERE",'Pivot Fineco Sa'!$A$3,"Mese",6,"Tipologia",$A73)),0,GETPIVOTDATA("Somma di AVERE",'Pivot Fineco Sa'!$A$3,"Mese",6,"Tipologia",$A73))
+IF(ISERROR(GETPIVOTDATA("Somma di AVERE",'Pivot BBVA'!$A$3,"Mese",6,"Tipologia",$A73)),0,GETPIVOTDATA("Somma di AVERE",'Pivot BBVA'!$A$3,"Mese",6,"Tipologia",$A73))</f>
        <v>0</v>
      </c>
      <c r="I73" s="243">
        <f>IF(ISERROR(GETPIVOTDATA("Somma di AVERE",'Pivot Fineco St'!$A$3,"Mese",7,"Tipologia",$A73)),0,GETPIVOTDATA("Somma di AVERE",'Pivot Fineco St'!$A$3,"Mese",7,"Tipologia",$A73))
+IF(ISERROR(GETPIVOTDATA("Somma di AVERE",'Pivot Fineco Sa'!$A$3,"Mese",7,"Tipologia",$A73)),0,GETPIVOTDATA("Somma di AVERE",'Pivot Fineco Sa'!$A$3,"Mese",7,"Tipologia",$A73))
+IF(ISERROR(GETPIVOTDATA("Somma di AVERE",'Pivot BBVA'!$A$3,"Mese",7,"Tipologia",$A73)),0,GETPIVOTDATA("Somma di AVERE",'Pivot BBVA'!$A$3,"Mese",7,"Tipologia",$A73))</f>
        <v>0</v>
      </c>
      <c r="J73" s="243">
        <f>IF(ISERROR(GETPIVOTDATA("Somma di AVERE",'Pivot Fineco St'!$A$3,"Mese",8,"Tipologia",$A73)),0,GETPIVOTDATA("Somma di AVERE",'Pivot Fineco St'!$A$3,"Mese",8,"Tipologia",$A73))
+IF(ISERROR(GETPIVOTDATA("Somma di AVERE",'Pivot Fineco Sa'!$A$3,"Mese",8,"Tipologia",$A73)),0,GETPIVOTDATA("Somma di AVERE",'Pivot Fineco Sa'!$A$3,"Mese",8,"Tipologia",$A73))
+IF(ISERROR(GETPIVOTDATA("Somma di AVERE",'Pivot BBVA'!$A$3,"Mese",8,"Tipologia",$A73)),0,GETPIVOTDATA("Somma di AVERE",'Pivot BBVA'!$A$3,"Mese",8,"Tipologia",$A73))</f>
        <v>0</v>
      </c>
      <c r="K73" s="243">
        <f>IF(ISERROR(GETPIVOTDATA("Somma di AVERE",'Pivot Fineco St'!$A$3,"Mese",9,"Tipologia",$A73)),0,GETPIVOTDATA("Somma di AVERE",'Pivot Fineco St'!$A$3,"Mese",9,"Tipologia",$A73))
+IF(ISERROR(GETPIVOTDATA("Somma di AVERE",'Pivot Fineco Sa'!$A$3,"Mese",9,"Tipologia",$A73)),0,GETPIVOTDATA("Somma di AVERE",'Pivot Fineco Sa'!$A$3,"Mese",9,"Tipologia",$A73))
+IF(ISERROR(GETPIVOTDATA("Somma di AVERE",'Pivot BBVA'!$A$3,"Mese",9,"Tipologia",$A73)),0,GETPIVOTDATA("Somma di AVERE",'Pivot BBVA'!$A$3,"Mese",9,"Tipologia",$A73))</f>
        <v>0</v>
      </c>
      <c r="L73" s="243">
        <f>IF(ISERROR(GETPIVOTDATA("Somma di AVERE",'Pivot Fineco St'!$A$3,"Mese",10,"Tipologia",$A73)),0,GETPIVOTDATA("Somma di AVERE",'Pivot Fineco St'!$A$3,"Mese",10,"Tipologia",$A73))
+IF(ISERROR(GETPIVOTDATA("Somma di AVERE",'Pivot Fineco Sa'!$A$3,"Mese",10,"Tipologia",$A73)),0,GETPIVOTDATA("Somma di AVERE",'Pivot Fineco Sa'!$A$3,"Mese",10,"Tipologia",$A73))
+IF(ISERROR(GETPIVOTDATA("Somma di AVERE",'Pivot BBVA'!$A$3,"Mese",10,"Tipologia",$A73)),0,GETPIVOTDATA("Somma di AVERE",'Pivot BBVA'!$A$3,"Mese",10,"Tipologia",$A73))</f>
        <v>0</v>
      </c>
      <c r="M73" s="243">
        <f>IF(ISERROR(GETPIVOTDATA("Somma di AVERE",'Pivot Fineco St'!$A$3,"Mese",11,"Tipologia",$A73)),0,GETPIVOTDATA("Somma di AVERE",'Pivot Fineco St'!$A$3,"Mese",11,"Tipologia",$A73))
+IF(ISERROR(GETPIVOTDATA("Somma di AVERE",'Pivot Fineco Sa'!$A$3,"Mese",11,"Tipologia",$A73)),0,GETPIVOTDATA("Somma di AVERE",'Pivot Fineco Sa'!$A$3,"Mese",11,"Tipologia",$A73))
+IF(ISERROR(GETPIVOTDATA("Somma di AVERE",'Pivot BBVA'!$A$3,"Mese",11,"Tipologia",$A73)),0,GETPIVOTDATA("Somma di AVERE",'Pivot BBVA'!$A$3,"Mese",11,"Tipologia",$A73))</f>
        <v>0</v>
      </c>
      <c r="N73" s="243">
        <f>IF(ISERROR(GETPIVOTDATA("Somma di AVERE",'Pivot Fineco St'!$A$3,"Mese",12,"Tipologia",$A73)),0,GETPIVOTDATA("Somma di AVERE",'Pivot Fineco St'!$A$3,"Mese",12,"Tipologia",$A73))
+IF(ISERROR(GETPIVOTDATA("Somma di AVERE",'Pivot Fineco Sa'!$A$3,"Mese",12,"Tipologia",$A73)),0,GETPIVOTDATA("Somma di AVERE",'Pivot Fineco Sa'!$A$3,"Mese",12,"Tipologia",$A73))
+IF(ISERROR(GETPIVOTDATA("Somma di AVERE",'Pivot BBVA'!$A$3,"Mese",12,"Tipologia",$A73)),0,GETPIVOTDATA("Somma di AVERE",'Pivot BBVA'!$A$3,"Mese",12,"Tipologia",$A73))</f>
        <v>0</v>
      </c>
      <c r="O73" s="244">
        <f t="shared" si="1"/>
        <v>3.54</v>
      </c>
      <c r="P73" s="47"/>
    </row>
    <row r="74" spans="1:16" s="46" customFormat="1" ht="21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3"/>
    </row>
    <row r="75" spans="1:16" ht="9" customHeight="1" x14ac:dyDescent="0.2">
      <c r="A75" s="488" t="s">
        <v>951</v>
      </c>
      <c r="B75" s="381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3"/>
    </row>
    <row r="76" spans="1:16" s="290" customFormat="1" ht="21" customHeight="1" x14ac:dyDescent="0.2">
      <c r="A76" s="489"/>
      <c r="B76" s="381"/>
      <c r="C76" s="294" t="s">
        <v>1</v>
      </c>
      <c r="D76" s="294" t="s">
        <v>2</v>
      </c>
      <c r="E76" s="294" t="s">
        <v>3</v>
      </c>
      <c r="F76" s="294" t="s">
        <v>4</v>
      </c>
      <c r="G76" s="294" t="s">
        <v>5</v>
      </c>
      <c r="H76" s="294" t="s">
        <v>6</v>
      </c>
      <c r="I76" s="294" t="s">
        <v>7</v>
      </c>
      <c r="J76" s="294" t="s">
        <v>8</v>
      </c>
      <c r="K76" s="294" t="s">
        <v>9</v>
      </c>
      <c r="L76" s="294" t="s">
        <v>10</v>
      </c>
      <c r="M76" s="294" t="s">
        <v>11</v>
      </c>
      <c r="N76" s="294" t="s">
        <v>12</v>
      </c>
      <c r="O76" s="294" t="s">
        <v>20</v>
      </c>
      <c r="P76" s="288"/>
    </row>
    <row r="77" spans="1:16" s="125" customFormat="1" ht="21" customHeight="1" x14ac:dyDescent="0.2">
      <c r="A77" s="245" t="s">
        <v>249</v>
      </c>
      <c r="B77" s="245"/>
      <c r="C77" s="243">
        <f>IF(ISERROR(GETPIVOTDATA("Somma di DARE",'Pivot BBVA'!$A$3,"Mese",1,"Tipologia",$A77)),0,GETPIVOTDATA("Somma di DARE",'Pivot BBVA'!$A$3,"Mese",1,"Tipologia",$A77))</f>
        <v>0</v>
      </c>
      <c r="D77" s="243">
        <f>IF(ISERROR(GETPIVOTDATA("Somma di DARE",'Pivot BBVA'!$A$3,"Mese",2,"Tipologia",$A77)),0,GETPIVOTDATA("Somma di DARE",'Pivot BBVA'!$A$3,"Mese",2,"Tipologia",$A77))</f>
        <v>600</v>
      </c>
      <c r="E77" s="243">
        <f>IF(ISERROR(GETPIVOTDATA("Somma di DARE",'Pivot BBVA'!$A$3,"Mese",3,"Tipologia",$A77)),0,GETPIVOTDATA("Somma di DARE",'Pivot BBVA'!$A$3,"Mese",3,"Tipologia",$A77))</f>
        <v>360</v>
      </c>
      <c r="F77" s="243">
        <f>IF(ISERROR(GETPIVOTDATA("Somma di DARE",'Pivot BBVA'!$A$3,"Mese",4,"Tipologia",$A77)),0,GETPIVOTDATA("Somma di DARE",'Pivot BBVA'!$A$3,"Mese",4,"Tipologia",$A77))</f>
        <v>0</v>
      </c>
      <c r="G77" s="243">
        <f>IF(ISERROR(GETPIVOTDATA("Somma di DARE",'Pivot BBVA'!$A$3,"Mese",5,"Tipologia",$A77)),0,GETPIVOTDATA("Somma di DARE",'Pivot BBVA'!$A$3,"Mese",5,"Tipologia",$A77))</f>
        <v>430</v>
      </c>
      <c r="H77" s="243">
        <f>IF(ISERROR(GETPIVOTDATA("Somma di DARE",'Pivot BBVA'!$A$3,"Mese",6,"Tipologia",$A77)),0,GETPIVOTDATA("Somma di DARE",'Pivot BBVA'!$A$3,"Mese",6,"Tipologia",$A77))</f>
        <v>600</v>
      </c>
      <c r="I77" s="243">
        <f>IF(ISERROR(GETPIVOTDATA("Somma di DARE",'Pivot BBVA'!$A$3,"Mese",7,"Tipologia",$A77)),0,GETPIVOTDATA("Somma di DARE",'Pivot BBVA'!$A$3,"Mese",7,"Tipologia",$A77))</f>
        <v>0</v>
      </c>
      <c r="J77" s="243">
        <f>IF(ISERROR(GETPIVOTDATA("Somma di DARE",'Pivot BBVA'!$A$3,"Mese",8,"Tipologia",$A77)),0,GETPIVOTDATA("Somma di DARE",'Pivot BBVA'!$A$3,"Mese",8,"Tipologia",$A77))</f>
        <v>0</v>
      </c>
      <c r="K77" s="243">
        <f>IF(ISERROR(GETPIVOTDATA("Somma di DARE",'Pivot BBVA'!$A$3,"Mese",9,"Tipologia",$A77)),0,GETPIVOTDATA("Somma di DARE",'Pivot BBVA'!$A$3,"Mese",9,"Tipologia",$A77))</f>
        <v>0</v>
      </c>
      <c r="L77" s="243">
        <f>IF(ISERROR(GETPIVOTDATA("Somma di DARE",'Pivot BBVA'!$A$3,"Mese",10,"Tipologia",$A77)),0,GETPIVOTDATA("Somma di DARE",'Pivot BBVA'!$A$3,"Mese",10,"Tipologia",$A77))</f>
        <v>0</v>
      </c>
      <c r="M77" s="243">
        <f>IF(ISERROR(GETPIVOTDATA("Somma di DARE",'Pivot BBVA'!$A$3,"Mese",11,"Tipologia",$A77)),0,GETPIVOTDATA("Somma di DARE",'Pivot BBVA'!$A$3,"Mese",11,"Tipologia",$A77))</f>
        <v>0</v>
      </c>
      <c r="N77" s="243">
        <f>IF(ISERROR(GETPIVOTDATA("Somma di DARE",'Pivot BBVA'!$A$3,"Mese",12,"Tipologia",$A77)),0,GETPIVOTDATA("Somma di DARE",'Pivot BBVA'!$A$3,"Mese",12,"Tipologia",$A77))</f>
        <v>0</v>
      </c>
      <c r="O77" s="244">
        <f>SUM(C77:N77)</f>
        <v>1990</v>
      </c>
      <c r="P77" s="47"/>
    </row>
    <row r="78" spans="1:16" s="125" customFormat="1" ht="21" customHeight="1" x14ac:dyDescent="0.2">
      <c r="A78" s="245" t="s">
        <v>236</v>
      </c>
      <c r="B78" s="245"/>
      <c r="C78" s="243">
        <f>IF(ISERROR(GETPIVOTDATA("Somma di DARE",'Pivot Fineco Sa'!$A$3,"Mese",1,"Tipologia",$A78)),0,GETPIVOTDATA("Somma di DARE",'Pivot Fineco Sa'!$A$3,"Mese",1,"Tipologia",$A78))</f>
        <v>100.6</v>
      </c>
      <c r="D78" s="243">
        <f>IF(ISERROR(GETPIVOTDATA("Somma di DARE",'Pivot Fineco Sa'!$A$3,"Mese",2,"Tipologia",$A78)),0,GETPIVOTDATA("Somma di DARE",'Pivot Fineco Sa'!$A$3,"Mese",2,"Tipologia",$A78))</f>
        <v>100.6</v>
      </c>
      <c r="E78" s="243">
        <f>IF(ISERROR(GETPIVOTDATA("Somma di DARE",'Pivot Fineco Sa'!$A$3,"Mese",3,"Tipologia",$A78)),0,GETPIVOTDATA("Somma di DARE",'Pivot Fineco Sa'!$A$3,"Mese",3,"Tipologia",$A78))</f>
        <v>100.6</v>
      </c>
      <c r="F78" s="243">
        <f>IF(ISERROR(GETPIVOTDATA("Somma di DARE",'Pivot Fineco Sa'!$A$3,"Mese",4,"Tipologia",$A78)),0,GETPIVOTDATA("Somma di DARE",'Pivot Fineco Sa'!$A$3,"Mese",4,"Tipologia",$A78))</f>
        <v>100.6</v>
      </c>
      <c r="G78" s="243">
        <f>IF(ISERROR(GETPIVOTDATA("Somma di DARE",'Pivot Fineco Sa'!$A$3,"Mese",5,"Tipologia",$A78)),0,GETPIVOTDATA("Somma di DARE",'Pivot Fineco Sa'!$A$3,"Mese",5,"Tipologia",$A78))</f>
        <v>100.6</v>
      </c>
      <c r="H78" s="243">
        <f>IF(ISERROR(GETPIVOTDATA("Somma di DARE",'Pivot Fineco Sa'!$A$3,"Mese",6,"Tipologia",$A78)),0,GETPIVOTDATA("Somma di DARE",'Pivot Fineco Sa'!$A$3,"Mese",6,"Tipologia",$A78))</f>
        <v>53997.979999999996</v>
      </c>
      <c r="I78" s="243">
        <f>IF(ISERROR(GETPIVOTDATA("Somma di DARE",'Pivot Fineco Sa'!$A$3,"Mese",7,"Tipologia",$A78)),0,GETPIVOTDATA("Somma di DARE",'Pivot Fineco Sa'!$A$3,"Mese",7,"Tipologia",$A78))</f>
        <v>0</v>
      </c>
      <c r="J78" s="243">
        <f>IF(ISERROR(GETPIVOTDATA("Somma di DARE",'Pivot Fineco Sa'!$A$3,"Mese",8,"Tipologia",$A78)),0,GETPIVOTDATA("Somma di DARE",'Pivot Fineco Sa'!$A$3,"Mese",8,"Tipologia",$A78))</f>
        <v>0</v>
      </c>
      <c r="K78" s="243">
        <f>IF(ISERROR(GETPIVOTDATA("Somma di DARE",'Pivot Fineco Sa'!$A$3,"Mese",9,"Tipologia",$A78)),0,GETPIVOTDATA("Somma di DARE",'Pivot Fineco Sa'!$A$3,"Mese",9,"Tipologia",$A78))</f>
        <v>0</v>
      </c>
      <c r="L78" s="243">
        <f>IF(ISERROR(GETPIVOTDATA("Somma di DARE",'Pivot Fineco Sa'!$A$3,"Mese",10,"Tipologia",$A78)),0,GETPIVOTDATA("Somma di DARE",'Pivot Fineco Sa'!$A$3,"Mese",10,"Tipologia",$A78))</f>
        <v>0</v>
      </c>
      <c r="M78" s="243">
        <f>IF(ISERROR(GETPIVOTDATA("Somma di DARE",'Pivot Fineco Sa'!$A$3,"Mese",11,"Tipologia",$A78)),0,GETPIVOTDATA("Somma di DARE",'Pivot Fineco Sa'!$A$3,"Mese",11,"Tipologia",$A78))</f>
        <v>0</v>
      </c>
      <c r="N78" s="243">
        <f>IF(ISERROR(GETPIVOTDATA("Somma di DARE",'Pivot Fineco Sa'!$A$3,"Mese",12,"Tipologia",$A78)),0,GETPIVOTDATA("Somma di DARE",'Pivot Fineco Sa'!$A$3,"Mese",12,"Tipologia",$A78))</f>
        <v>0</v>
      </c>
      <c r="O78" s="244">
        <f>SUM(C78:N78)</f>
        <v>54500.979999999996</v>
      </c>
      <c r="P78" s="47"/>
    </row>
    <row r="79" spans="1:16" s="125" customFormat="1" ht="21" customHeight="1" x14ac:dyDescent="0.2">
      <c r="A79" s="245" t="s">
        <v>23</v>
      </c>
      <c r="B79" s="245"/>
      <c r="C79" s="243">
        <f>IF(ISERROR(GETPIVOTDATA("Somma di DARE",'Pivot Fineco St'!$A$3,"Mese",1,"Tipologia",$A79)),0,GETPIVOTDATA("Somma di DARE",'Pivot Fineco St'!$A$3,"Mese",1,"Tipologia",$A79))</f>
        <v>1935.5</v>
      </c>
      <c r="D79" s="243">
        <f>IF(ISERROR(GETPIVOTDATA("Somma di DARE",'Pivot Fineco St'!$A$3,"Mese",2,"Tipologia",$A79)),0,GETPIVOTDATA("Somma di DARE",'Pivot Fineco St'!$A$3,"Mese",2,"Tipologia",$A79))</f>
        <v>1606.1200000000001</v>
      </c>
      <c r="E79" s="243">
        <f>IF(ISERROR(GETPIVOTDATA("Somma di DARE",'Pivot Fineco St'!$A$3,"Mese",3,"Tipologia",$A79)),0,GETPIVOTDATA("Somma di DARE",'Pivot Fineco St'!$A$3,"Mese",3,"Tipologia",$A79))</f>
        <v>3902.65</v>
      </c>
      <c r="F79" s="243">
        <f>IF(ISERROR(GETPIVOTDATA("Somma di DARE",'Pivot Fineco St'!$A$3,"Mese",4,"Tipologia",$A79)),0,GETPIVOTDATA("Somma di DARE",'Pivot Fineco St'!$A$3,"Mese",4,"Tipologia",$A79))</f>
        <v>2029.59</v>
      </c>
      <c r="G79" s="243">
        <f>IF(ISERROR(GETPIVOTDATA("Somma di DARE",'Pivot Fineco St'!$A$3,"Mese",5,"Tipologia",$A79)),0,GETPIVOTDATA("Somma di DARE",'Pivot Fineco St'!$A$3,"Mese",5,"Tipologia",$A79))</f>
        <v>2660.75</v>
      </c>
      <c r="H79" s="243">
        <f>IF(ISERROR(GETPIVOTDATA("Somma di DARE",'Pivot Fineco St'!$A$3,"Mese",6,"Tipologia",$A79)),0,GETPIVOTDATA("Somma di DARE",'Pivot Fineco St'!$A$3,"Mese",6,"Tipologia",$A79))</f>
        <v>2879.62</v>
      </c>
      <c r="I79" s="243">
        <f>IF(ISERROR(GETPIVOTDATA("Somma di DARE",'Pivot Fineco St'!$A$3,"Mese",7,"Tipologia",$A79)),0,GETPIVOTDATA("Somma di DARE",'Pivot Fineco St'!$A$3,"Mese",7,"Tipologia",$A79))</f>
        <v>6717.93</v>
      </c>
      <c r="J79" s="243">
        <f>IF(ISERROR(GETPIVOTDATA("Somma di DARE",'Pivot Fineco St'!$A$3,"Mese",8,"Tipologia",$A79)),0,GETPIVOTDATA("Somma di DARE",'Pivot Fineco St'!$A$3,"Mese",8,"Tipologia",$A79))</f>
        <v>0</v>
      </c>
      <c r="K79" s="243">
        <f>IF(ISERROR(GETPIVOTDATA("Somma di DARE",'Pivot Fineco St'!$A$3,"Mese",9,"Tipologia",$A79)),0,GETPIVOTDATA("Somma di DARE",'Pivot Fineco St'!$A$3,"Mese",9,"Tipologia",$A79))</f>
        <v>0</v>
      </c>
      <c r="L79" s="243">
        <f>IF(ISERROR(GETPIVOTDATA("Somma di DARE",'Pivot Fineco St'!$A$3,"Mese",10,"Tipologia",$A79)),0,GETPIVOTDATA("Somma di DARE",'Pivot Fineco St'!$A$3,"Mese",10,"Tipologia",$A79))</f>
        <v>0</v>
      </c>
      <c r="M79" s="243">
        <f>IF(ISERROR(GETPIVOTDATA("Somma di DARE",'Pivot Fineco St'!$A$3,"Mese",11,"Tipologia",$A79)),0,GETPIVOTDATA("Somma di DARE",'Pivot Fineco St'!$A$3,"Mese",11,"Tipologia",$A79))</f>
        <v>0</v>
      </c>
      <c r="N79" s="243">
        <f>IF(ISERROR(GETPIVOTDATA("Somma di DARE",'Pivot Fineco St'!$A$3,"Mese",12,"Tipologia",$A79)),0,GETPIVOTDATA("Somma di DARE",'Pivot Fineco St'!$A$3,"Mese",12,"Tipologia",$A79))</f>
        <v>0</v>
      </c>
      <c r="O79" s="244">
        <f>SUM(C79:N79)</f>
        <v>21732.16</v>
      </c>
      <c r="P79" s="47"/>
    </row>
    <row r="80" spans="1:16" s="21" customFormat="1" ht="21" customHeight="1" x14ac:dyDescent="0.2">
      <c r="A80" s="20"/>
      <c r="B80" s="20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</row>
    <row r="81" spans="1:16" ht="9" customHeight="1" x14ac:dyDescent="0.2">
      <c r="A81" s="488" t="s">
        <v>44</v>
      </c>
      <c r="B81" s="381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2"/>
    </row>
    <row r="82" spans="1:16" s="290" customFormat="1" ht="21" customHeight="1" x14ac:dyDescent="0.2">
      <c r="A82" s="489"/>
      <c r="B82" s="381"/>
      <c r="C82" s="294" t="s">
        <v>1</v>
      </c>
      <c r="D82" s="294" t="s">
        <v>2</v>
      </c>
      <c r="E82" s="294" t="s">
        <v>3</v>
      </c>
      <c r="F82" s="294" t="s">
        <v>4</v>
      </c>
      <c r="G82" s="294" t="s">
        <v>5</v>
      </c>
      <c r="H82" s="294" t="s">
        <v>6</v>
      </c>
      <c r="I82" s="294" t="s">
        <v>7</v>
      </c>
      <c r="J82" s="294" t="s">
        <v>8</v>
      </c>
      <c r="K82" s="294" t="s">
        <v>9</v>
      </c>
      <c r="L82" s="294" t="s">
        <v>10</v>
      </c>
      <c r="M82" s="294" t="s">
        <v>11</v>
      </c>
      <c r="N82" s="294" t="s">
        <v>12</v>
      </c>
      <c r="O82" s="294" t="s">
        <v>20</v>
      </c>
      <c r="P82" s="294" t="s">
        <v>13</v>
      </c>
    </row>
    <row r="83" spans="1:16" s="250" customFormat="1" ht="21" customHeight="1" x14ac:dyDescent="0.2">
      <c r="A83" s="247" t="s">
        <v>121</v>
      </c>
      <c r="B83" s="247"/>
      <c r="C83" s="248">
        <f t="shared" ref="C83:N83" si="2">SUM(C84:C90)</f>
        <v>23.98</v>
      </c>
      <c r="D83" s="248">
        <f t="shared" si="2"/>
        <v>8.2799999999999994</v>
      </c>
      <c r="E83" s="248">
        <f t="shared" si="2"/>
        <v>39.479999999999997</v>
      </c>
      <c r="F83" s="248">
        <f t="shared" si="2"/>
        <v>80.099999999999994</v>
      </c>
      <c r="G83" s="248">
        <f t="shared" si="2"/>
        <v>35.120000000000005</v>
      </c>
      <c r="H83" s="248">
        <f t="shared" si="2"/>
        <v>44.01</v>
      </c>
      <c r="I83" s="248">
        <f t="shared" si="2"/>
        <v>16.720000000000002</v>
      </c>
      <c r="J83" s="248">
        <f t="shared" si="2"/>
        <v>0</v>
      </c>
      <c r="K83" s="248">
        <f t="shared" si="2"/>
        <v>0</v>
      </c>
      <c r="L83" s="248">
        <f t="shared" si="2"/>
        <v>0</v>
      </c>
      <c r="M83" s="248">
        <f t="shared" si="2"/>
        <v>0</v>
      </c>
      <c r="N83" s="248">
        <f t="shared" si="2"/>
        <v>0</v>
      </c>
      <c r="O83" s="249">
        <f t="shared" ref="O83:O90" si="3">SUM(C83:N83)</f>
        <v>247.68999999999997</v>
      </c>
      <c r="P83" s="248">
        <f ca="1">SUM(P84:P90)</f>
        <v>35.384285714285717</v>
      </c>
    </row>
    <row r="84" spans="1:16" s="125" customFormat="1" ht="21" customHeight="1" x14ac:dyDescent="0.2">
      <c r="A84" s="251" t="s">
        <v>128</v>
      </c>
      <c r="B84" s="251"/>
      <c r="C84" s="243">
        <f>IFERROR(GETPIVOTDATA("Somma di DARE EUR",'Pivot RakBank AED'!$A$3,"Mese",1,"Tipologia",$A84),0)
- IFERROR(GETPIVOTDATA("Somma di AVERE EUR",'Pivot RakBank AED'!$A$3,"Mese",1,"Tipologia",$A84),0)
+IFERROR(GETPIVOTDATA("Somma di DARE",'Pivot RakBank EUR'!$A$3,"Mese",1,"Tipologia",$A84),0)
- IFERROR(GETPIVOTDATA("Somma di AVERE",'Pivot RakBank EUR'!$A$3,"Mese",1,"Tipologia",$A84),0)
+IFERROR(GETPIVOTDATA("Somma di DARE",'Pivot Fineco Sa'!$A$3,"Mese",1,"Tipologia",$A84),0)
+ IFERROR(GETPIVOTDATA("Somma di DARE",'Pivot Fineco St'!$A$3,"Mese",1,"Tipologia",$A84),0)
+ Contanti!B5
+ IFERROR(GETPIVOTDATA("Somma di DARE",'Pivot BBVA'!$A$3,"Mese",1,"Tipologia",$A84),0)
+ IFERROR(GETPIVOTDATA("Somma di DARE",'Pivot Amex'!$A$3,"Mese",1,"Tipologia",$A84),0)
- IFERROR(GETPIVOTDATA("Somma di AVERE",'Pivot Amex'!$A$3,"Mese",1,"Tipologia",$A84),0)
- IFERROR(GETPIVOTDATA("Somma di AVERE",'Pivot BBVA'!$A$3,"Mese",1,"Tipologia",$A84),0)
- IFERROR(GETPIVOTDATA("Somma di AVERE",'Pivot Fineco St'!$A$3,"Mese",1,"Tipologia",$A84),0)
- IFERROR(GETPIVOTDATA("Somma di AVERE",'Pivot Fineco Sa'!$A$3,"Mese",1,"Tipologia",$A84),0)
+ IFERROR(GETPIVOTDATA("Somma di DARE",'Pivot PP Visa'!$A$3,"Mese",1,"Tipologia",$A84),0)
- IFERROR(GETPIVOTDATA("Somma di AVERE",'Pivot PP Visa'!$A$3,"Mese",1,"Tipologia",$A84),0)
+ IFERROR(GETPIVOTDATA("Somma di DARE",'Pivot Revolut'!$A$3,"Mese",1,"Tipologia",$A84),0)
- IFERROR(GETPIVOTDATA("Somma di AVERE",'Pivot Revolut'!$A$3,"Mese",1,"Tipologia",$A84),0)</f>
        <v>0</v>
      </c>
      <c r="D84" s="243">
        <f>IFERROR(GETPIVOTDATA("Somma di DARE EUR",'Pivot RakBank AED'!$A$3,"Mese",2,"Tipologia",$A84),0)
- IFERROR(GETPIVOTDATA("Somma di AVERE EUR",'Pivot RakBank AED'!$A$3,"Mese",2,"Tipologia",$A84),0)
+IFERROR(GETPIVOTDATA("Somma di DARE",'Pivot RakBank EUR'!$A$3,"Mese",2,"Tipologia",$A84),0)
- IFERROR(GETPIVOTDATA("Somma di AVERE",'Pivot RakBank EUR'!$A$3,"Mese",2,"Tipologia",$A84),0)
+IFERROR(GETPIVOTDATA("Somma di DARE",'Pivot Fineco Sa'!$A$3,"Mese",2,"Tipologia",$A84),0)
+ IFERROR(GETPIVOTDATA("Somma di DARE",'Pivot Fineco St'!$A$3,"Mese",2,"Tipologia",$A84),0)
+ Contanti!F5
+ IFERROR(GETPIVOTDATA("Somma di DARE",'Pivot BBVA'!$A$3,"Mese",2,"Tipologia",$A84),0)
+ IFERROR(GETPIVOTDATA("Somma di DARE",'Pivot Amex'!$A$3,"Mese",2,"Tipologia",$A84),0)
- IFERROR(GETPIVOTDATA("Somma di AVERE",'Pivot Amex'!$A$3,"Mese",2,"Tipologia",$A84),0)
- IFERROR(GETPIVOTDATA("Somma di AVERE",'Pivot BBVA'!$A$3,"Mese",2,"Tipologia",$A84),0)
- IFERROR(GETPIVOTDATA("Somma di AVERE",'Pivot Fineco St'!$A$3,"Mese",2,"Tipologia",$A84),0)
- IFERROR(GETPIVOTDATA("Somma di AVERE",'Pivot Fineco Sa'!$A$3,"Mese",2,"Tipologia",$A84),0)
+ IFERROR(GETPIVOTDATA("Somma di DARE",'Pivot PP Visa'!$A$3,"Mese",2,"Tipologia",$A84),0)
- IFERROR(GETPIVOTDATA("Somma di AVERE",'Pivot PP Visa'!$A$3,"Mese",2,"Tipologia",$A84),0)
+ IFERROR(GETPIVOTDATA("Somma di DARE",'Pivot Revolut'!$A$3,"Mese",2,"Tipologia",$A84),0)
- IFERROR(GETPIVOTDATA("Somma di AVERE",'Pivot Revolut'!$A$3,"Mese",2,"Tipologia",$A84),0)</f>
        <v>0</v>
      </c>
      <c r="E84" s="243">
        <f>IFERROR(GETPIVOTDATA("Somma di DARE EUR",'Pivot RakBank AED'!$A$3,"Mese",3,"Tipologia",$A84),0)
- IFERROR(GETPIVOTDATA("Somma di AVERE EUR",'Pivot RakBank AED'!$A$3,"Mese",3,"Tipologia",$A84),0)
+IFERROR(GETPIVOTDATA("Somma di DARE",'Pivot RakBank EUR'!$A$3,"Mese",3,"Tipologia",$A84),0)
- IFERROR(GETPIVOTDATA("Somma di AVERE",'Pivot RakBank EUR'!$A$3,"Mese",3,"Tipologia",$A84),0)
+IFERROR(GETPIVOTDATA("Somma di DARE",'Pivot Fineco Sa'!$A$3,"Mese",3,"Tipologia",$A84),0)
+ IFERROR(GETPIVOTDATA("Somma di DARE",'Pivot Fineco St'!$A$3,"Mese",3,"Tipologia",$A84),0)
+ Contanti!J5
+ IFERROR(GETPIVOTDATA("Somma di DARE",'Pivot BBVA'!$A$3,"Mese",3,"Tipologia",$A84),0)
+ IFERROR(GETPIVOTDATA("Somma di DARE",'Pivot Amex'!$A$3,"Mese",3,"Tipologia",$A84),0)
- IFERROR(GETPIVOTDATA("Somma di AVERE",'Pivot Amex'!$A$3,"Mese",3,"Tipologia",$A84),0)
- IFERROR(GETPIVOTDATA("Somma di AVERE",'Pivot BBVA'!$A$3,"Mese",3,"Tipologia",$A84),0)
- IFERROR(GETPIVOTDATA("Somma di AVERE",'Pivot Fineco St'!$A$3,"Mese",3,"Tipologia",$A84),0)
- IFERROR(GETPIVOTDATA("Somma di AVERE",'Pivot Fineco Sa'!$A$3,"Mese",3,"Tipologia",$A84),0)
+ IFERROR(GETPIVOTDATA("Somma di DARE",'Pivot PP Visa'!$A$3,"Mese",3,"Tipologia",$A84),0)
- IFERROR(GETPIVOTDATA("Somma di AVERE",'Pivot PP Visa'!$A$3,"Mese",3,"Tipologia",$A84),0)
+ IFERROR(GETPIVOTDATA("Somma di DARE",'Pivot Revolut'!$A$3,"Mese",3,"Tipologia",$A84),0)
- IFERROR(GETPIVOTDATA("Somma di AVERE",'Pivot Revolut'!$A$3,"Mese",3,"Tipologia",$A84),0)</f>
        <v>0</v>
      </c>
      <c r="F84" s="243">
        <f>IFERROR(GETPIVOTDATA("Somma di DARE EUR",'Pivot RakBank AED'!$A$3,"Mese",4,"Tipologia",$A84),0)
- IFERROR(GETPIVOTDATA("Somma di AVERE EUR",'Pivot RakBank AED'!$A$3,"Mese",4,"Tipologia",$A84),0)
+IFERROR(GETPIVOTDATA("Somma di DARE",'Pivot RakBank EUR'!$A$3,"Mese",4,"Tipologia",$A84),0)
- IFERROR(GETPIVOTDATA("Somma di AVERE",'Pivot RakBank EUR'!$A$3,"Mese",4,"Tipologia",$A84),0)
+IFERROR(GETPIVOTDATA("Somma di DARE",'Pivot Fineco Sa'!$A$3,"Mese",4,"Tipologia",$A84),0)
+ IFERROR(GETPIVOTDATA("Somma di DARE",'Pivot Fineco St'!$A$3,"Mese",4,"Tipologia",$A84),0)
+ Contanti!N5
+ IFERROR(GETPIVOTDATA("Somma di DARE",'Pivot BBVA'!$A$3,"Mese",4,"Tipologia",$A84),0)
+ IFERROR(GETPIVOTDATA("Somma di DARE",'Pivot Amex'!$A$3,"Mese",4,"Tipologia",$A84),0)
- IFERROR(GETPIVOTDATA("Somma di AVERE",'Pivot Amex'!$A$3,"Mese",4,"Tipologia",$A84),0)
- IFERROR(GETPIVOTDATA("Somma di AVERE",'Pivot BBVA'!$A$3,"Mese",4,"Tipologia",$A84),0)
- IFERROR(GETPIVOTDATA("Somma di AVERE",'Pivot Fineco St'!$A$3,"Mese",4,"Tipologia",$A84),0)
- IFERROR(GETPIVOTDATA("Somma di AVERE",'Pivot Fineco Sa'!$A$3,"Mese",4,"Tipologia",$A84),0)
+ IFERROR(GETPIVOTDATA("Somma di DARE",'Pivot PP Visa'!$A$3,"Mese",4,"Tipologia",$A84),0)
- IFERROR(GETPIVOTDATA("Somma di AVERE",'Pivot PP Visa'!$A$3,"Mese",4,"Tipologia",$A84),0)
+ IFERROR(GETPIVOTDATA("Somma di DARE",'Pivot Revolut'!$A$3,"Mese",4,"Tipologia",$A84),0)
- IFERROR(GETPIVOTDATA("Somma di AVERE",'Pivot Revolut'!$A$3,"Mese",4,"Tipologia",$A84),0)</f>
        <v>0</v>
      </c>
      <c r="G84" s="243">
        <f>IFERROR(GETPIVOTDATA("Somma di DARE EUR",'Pivot RakBank AED'!$A$3,"Mese",5,"Tipologia",$A84),0)
- IFERROR(GETPIVOTDATA("Somma di AVERE EUR",'Pivot RakBank AED'!$A$3,"Mese",5,"Tipologia",$A84),0)
+IFERROR(GETPIVOTDATA("Somma di DARE",'Pivot RakBank EUR'!$A$3,"Mese",5,"Tipologia",$A84),0)
- IFERROR(GETPIVOTDATA("Somma di AVERE",'Pivot RakBank EUR'!$A$3,"Mese",5,"Tipologia",$A84),0)
+IFERROR(GETPIVOTDATA("Somma di DARE",'Pivot Fineco Sa'!$A$3,"Mese",5,"Tipologia",$A84),0)
+ IFERROR(GETPIVOTDATA("Somma di DARE",'Pivot Fineco St'!$A$3,"Mese",5,"Tipologia",$A84),0)
+ Contanti!R5
+ IFERROR(GETPIVOTDATA("Somma di DARE",'Pivot BBVA'!$A$3,"Mese",5,"Tipologia",$A84),0)
+ IFERROR(GETPIVOTDATA("Somma di DARE",'Pivot Amex'!$A$3,"Mese",5,"Tipologia",$A84),0)
- IFERROR(GETPIVOTDATA("Somma di AVERE",'Pivot Amex'!$A$3,"Mese",5,"Tipologia",$A84),0)
- IFERROR(GETPIVOTDATA("Somma di AVERE",'Pivot BBVA'!$A$3,"Mese",5,"Tipologia",$A84),0)
- IFERROR(GETPIVOTDATA("Somma di AVERE",'Pivot Fineco St'!$A$3,"Mese",5,"Tipologia",$A84),0)
- IFERROR(GETPIVOTDATA("Somma di AVERE",'Pivot Fineco Sa'!$A$3,"Mese",5,"Tipologia",$A84),0)
+ IFERROR(GETPIVOTDATA("Somma di DARE",'Pivot PP Visa'!$A$3,"Mese",5,"Tipologia",$A84),0)
- IFERROR(GETPIVOTDATA("Somma di AVERE",'Pivot PP Visa'!$A$3,"Mese",5,"Tipologia",$A84),0)
+ IFERROR(GETPIVOTDATA("Somma di DARE",'Pivot Revolut'!$A$3,"Mese",5,"Tipologia",$A84),0)
- IFERROR(GETPIVOTDATA("Somma di AVERE",'Pivot Revolut'!$A$3,"Mese",5,"Tipologia",$A84),0)</f>
        <v>0</v>
      </c>
      <c r="H84" s="243">
        <f>IFERROR(GETPIVOTDATA("Somma di DARE EUR",'Pivot RakBank AED'!$A$3,"Mese",6,"Tipologia",$A84),0)
- IFERROR(GETPIVOTDATA("Somma di AVERE EUR",'Pivot RakBank AED'!$A$3,"Mese",6,"Tipologia",$A84),0)
+IFERROR(GETPIVOTDATA("Somma di DARE",'Pivot RakBank EUR'!$A$3,"Mese",6,"Tipologia",$A84),0)
- IFERROR(GETPIVOTDATA("Somma di AVERE",'Pivot RakBank EUR'!$A$3,"Mese",6,"Tipologia",$A84),0)
+IFERROR(GETPIVOTDATA("Somma di DARE",'Pivot Fineco Sa'!$A$3,"Mese",6,"Tipologia",$A84),0)
+ IFERROR(GETPIVOTDATA("Somma di DARE",'Pivot Fineco St'!$A$3,"Mese",6,"Tipologia",$A84),0)
+ Contanti!V5
+ IFERROR(GETPIVOTDATA("Somma di DARE",'Pivot BBVA'!$A$3,"Mese",6,"Tipologia",$A84),0)
+ IFERROR(GETPIVOTDATA("Somma di DARE",'Pivot Amex'!$A$3,"Mese",6,"Tipologia",$A84),0)
- IFERROR(GETPIVOTDATA("Somma di AVERE",'Pivot Amex'!$A$3,"Mese",6,"Tipologia",$A84),0)
- IFERROR(GETPIVOTDATA("Somma di AVERE",'Pivot BBVA'!$A$3,"Mese",6,"Tipologia",$A84),0)
- IFERROR(GETPIVOTDATA("Somma di AVERE",'Pivot Fineco St'!$A$3,"Mese",6,"Tipologia",$A84),0)
- IFERROR(GETPIVOTDATA("Somma di AVERE",'Pivot Fineco Sa'!$A$3,"Mese",6,"Tipologia",$A84),0)
+ IFERROR(GETPIVOTDATA("Somma di DARE",'Pivot PP Visa'!$A$3,"Mese",6,"Tipologia",$A84),0)
- IFERROR(GETPIVOTDATA("Somma di AVERE",'Pivot PP Visa'!$A$3,"Mese",6,"Tipologia",$A84),0)
+ IFERROR(GETPIVOTDATA("Somma di DARE",'Pivot Revolut'!$A$3,"Mese",6,"Tipologia",$A84),0)
- IFERROR(GETPIVOTDATA("Somma di AVERE",'Pivot Revolut'!$A$3,"Mese",6,"Tipologia",$A84),0)</f>
        <v>0</v>
      </c>
      <c r="I84" s="243">
        <f>IFERROR(GETPIVOTDATA("Somma di DARE EUR",'Pivot RakBank AED'!$A$3,"Mese",7,"Tipologia",$A84),0)
- IFERROR(GETPIVOTDATA("Somma di AVERE EUR",'Pivot RakBank AED'!$A$3,"Mese",7,"Tipologia",$A84),0)
+IFERROR(GETPIVOTDATA("Somma di DARE",'Pivot RakBank EUR'!$A$3,"Mese",7,"Tipologia",$A84),0)
- IFERROR(GETPIVOTDATA("Somma di AVERE",'Pivot RakBank EUR'!$A$3,"Mese",7,"Tipologia",$A84),0)
+IFERROR(GETPIVOTDATA("Somma di DARE",'Pivot Fineco Sa'!$A$3,"Mese",7,"Tipologia",$A84),0)
+ IFERROR(GETPIVOTDATA("Somma di DARE",'Pivot Fineco St'!$A$3,"Mese",7,"Tipologia",$A84),0)
+ Contanti!Z5
+ IFERROR(GETPIVOTDATA("Somma di DARE",'Pivot BBVA'!$A$3,"Mese",7,"Tipologia",$A84),0)
+ IFERROR(GETPIVOTDATA("Somma di DARE",'Pivot Amex'!$A$3,"Mese",7,"Tipologia",$A84),0)
- IFERROR(GETPIVOTDATA("Somma di AVERE",'Pivot Amex'!$A$3,"Mese",7,"Tipologia",$A84),0)
- IFERROR(GETPIVOTDATA("Somma di AVERE",'Pivot BBVA'!$A$3,"Mese",7,"Tipologia",$A84),0)
- IFERROR(GETPIVOTDATA("Somma di AVERE",'Pivot Fineco St'!$A$3,"Mese",7,"Tipologia",$A84),0)
- IFERROR(GETPIVOTDATA("Somma di AVERE",'Pivot Fineco Sa'!$A$3,"Mese",7,"Tipologia",$A84),0)
+ IFERROR(GETPIVOTDATA("Somma di DARE",'Pivot PP Visa'!$A$3,"Mese",7,"Tipologia",$A84),0)
- IFERROR(GETPIVOTDATA("Somma di AVERE",'Pivot PP Visa'!$A$3,"Mese",7,"Tipologia",$A84),0)
+ IFERROR(GETPIVOTDATA("Somma di DARE",'Pivot Revolut'!$A$3,"Mese",7,"Tipologia",$A84),0)
- IFERROR(GETPIVOTDATA("Somma di AVERE",'Pivot Revolut'!$A$3,"Mese",7,"Tipologia",$A84),0)</f>
        <v>0</v>
      </c>
      <c r="J84" s="243">
        <f>IFERROR(GETPIVOTDATA("Somma di DARE EUR",'Pivot RakBank AED'!$A$3,"Mese",8,"Tipologia",$A84),0)
- IFERROR(GETPIVOTDATA("Somma di AVERE EUR",'Pivot RakBank AED'!$A$3,"Mese",8,"Tipologia",$A84),0)
+IFERROR(GETPIVOTDATA("Somma di DARE",'Pivot RakBank EUR'!$A$3,"Mese",8,"Tipologia",$A84),0)
- IFERROR(GETPIVOTDATA("Somma di AVERE",'Pivot RakBank EUR'!$A$3,"Mese",8,"Tipologia",$A84),0)
+IFERROR(GETPIVOTDATA("Somma di DARE",'Pivot Fineco Sa'!$A$3,"Mese",8,"Tipologia",$A84),0)
+ IFERROR(GETPIVOTDATA("Somma di DARE",'Pivot Fineco St'!$A$3,"Mese",8,"Tipologia",$A84),0)
+ Contanti!AD5
+ IFERROR(GETPIVOTDATA("Somma di DARE",'Pivot BBVA'!$A$3,"Mese",8,"Tipologia",$A84),0)
+ IFERROR(GETPIVOTDATA("Somma di DARE",'Pivot Amex'!$A$3,"Mese",8,"Tipologia",$A84),0)
- IFERROR(GETPIVOTDATA("Somma di AVERE",'Pivot Amex'!$A$3,"Mese",8,"Tipologia",$A84),0)
- IFERROR(GETPIVOTDATA("Somma di AVERE",'Pivot BBVA'!$A$3,"Mese",8,"Tipologia",$A84),0)
- IFERROR(GETPIVOTDATA("Somma di AVERE",'Pivot Fineco St'!$A$3,"Mese",8,"Tipologia",$A84),0)
- IFERROR(GETPIVOTDATA("Somma di AVERE",'Pivot Fineco Sa'!$A$3,"Mese",8,"Tipologia",$A84),0)
+ IFERROR(GETPIVOTDATA("Somma di DARE",'Pivot PP Visa'!$A$3,"Mese",8,"Tipologia",$A84),0)
- IFERROR(GETPIVOTDATA("Somma di AVERE",'Pivot PP Visa'!$A$3,"Mese",8,"Tipologia",$A84),0)
+ IFERROR(GETPIVOTDATA("Somma di DARE",'Pivot Revolut'!$A$3,"Mese",8,"Tipologia",$A84),0)
- IFERROR(GETPIVOTDATA("Somma di AVERE",'Pivot Revolut'!$A$3,"Mese",8,"Tipologia",$A84),0)</f>
        <v>0</v>
      </c>
      <c r="K84" s="243">
        <f>IFERROR(GETPIVOTDATA("Somma di DARE EUR",'Pivot RakBank AED'!$A$3,"Mese",9,"Tipologia",$A84),0)
- IFERROR(GETPIVOTDATA("Somma di AVERE EUR",'Pivot RakBank AED'!$A$3,"Mese",9,"Tipologia",$A84),0)
+IFERROR(GETPIVOTDATA("Somma di DARE",'Pivot RakBank EUR'!$A$3,"Mese",9,"Tipologia",$A84),0)
- IFERROR(GETPIVOTDATA("Somma di AVERE",'Pivot RakBank EUR'!$A$3,"Mese",9,"Tipologia",$A84),0)
+IFERROR(GETPIVOTDATA("Somma di DARE",'Pivot Fineco Sa'!$A$3,"Mese",9,"Tipologia",$A84),0)
+ IFERROR(GETPIVOTDATA("Somma di DARE",'Pivot Fineco St'!$A$3,"Mese",9,"Tipologia",$A84),0)
+ Contanti!AH5
+ IFERROR(GETPIVOTDATA("Somma di DARE",'Pivot BBVA'!$A$3,"Mese",9,"Tipologia",$A84),0)
+ IFERROR(GETPIVOTDATA("Somma di DARE",'Pivot Amex'!$A$3,"Mese",9,"Tipologia",$A84),0)
- IFERROR(GETPIVOTDATA("Somma di AVERE",'Pivot Amex'!$A$3,"Mese",9,"Tipologia",$A84),0)
- IFERROR(GETPIVOTDATA("Somma di AVERE",'Pivot BBVA'!$A$3,"Mese",9,"Tipologia",$A84),0)
- IFERROR(GETPIVOTDATA("Somma di AVERE",'Pivot Fineco St'!$A$3,"Mese",9,"Tipologia",$A84),0)
- IFERROR(GETPIVOTDATA("Somma di AVERE",'Pivot Fineco Sa'!$A$3,"Mese",9,"Tipologia",$A84),0)
+ IFERROR(GETPIVOTDATA("Somma di DARE",'Pivot PP Visa'!$A$3,"Mese",9,"Tipologia",$A84),0)
- IFERROR(GETPIVOTDATA("Somma di AVERE",'Pivot PP Visa'!$A$3,"Mese",9,"Tipologia",$A84),0)
+ IFERROR(GETPIVOTDATA("Somma di DARE",'Pivot Revolut'!$A$3,"Mese",9,"Tipologia",$A84),0)
- IFERROR(GETPIVOTDATA("Somma di AVERE",'Pivot Revolut'!$A$3,"Mese",9,"Tipologia",$A84),0)</f>
        <v>0</v>
      </c>
      <c r="L84" s="243">
        <f>IFERROR(GETPIVOTDATA("Somma di DARE EUR",'Pivot RakBank AED'!$A$3,"Mese",10,"Tipologia",$A84),0)
- IFERROR(GETPIVOTDATA("Somma di AVERE EUR",'Pivot RakBank AED'!$A$3,"Mese",10,"Tipologia",$A84),0)
+IFERROR(GETPIVOTDATA("Somma di DARE",'Pivot RakBank EUR'!$A$3,"Mese",10,"Tipologia",$A84),0)
- IFERROR(GETPIVOTDATA("Somma di AVERE",'Pivot RakBank EUR'!$A$3,"Mese",10,"Tipologia",$A84),0)
+IFERROR(GETPIVOTDATA("Somma di DARE",'Pivot Fineco Sa'!$A$3,"Mese",10,"Tipologia",$A84),0)
+ IFERROR(GETPIVOTDATA("Somma di DARE",'Pivot Fineco St'!$A$3,"Mese",10,"Tipologia",$A84),0)
+ Contanti!AL5
+ IFERROR(GETPIVOTDATA("Somma di DARE",'Pivot BBVA'!$A$3,"Mese",10,"Tipologia",$A84),0)
+ IFERROR(GETPIVOTDATA("Somma di DARE",'Pivot Amex'!$A$3,"Mese",10,"Tipologia",$A84),0)
- IFERROR(GETPIVOTDATA("Somma di AVERE",'Pivot Amex'!$A$3,"Mese",10,"Tipologia",$A84),0)
- IFERROR(GETPIVOTDATA("Somma di AVERE",'Pivot BBVA'!$A$3,"Mese",10,"Tipologia",$A84),0)
- IFERROR(GETPIVOTDATA("Somma di AVERE",'Pivot Fineco St'!$A$3,"Mese",10,"Tipologia",$A84),0)
- IFERROR(GETPIVOTDATA("Somma di AVERE",'Pivot Fineco Sa'!$A$3,"Mese",10,"Tipologia",$A84),0)
+ IFERROR(GETPIVOTDATA("Somma di DARE",'Pivot PP Visa'!$A$3,"Mese",10,"Tipologia",$A84),0)
- IFERROR(GETPIVOTDATA("Somma di AVERE",'Pivot PP Visa'!$A$3,"Mese",10,"Tipologia",$A84),0)
+ IFERROR(GETPIVOTDATA("Somma di DARE",'Pivot Revolut'!$A$3,"Mese",10,"Tipologia",$A84),0)
- IFERROR(GETPIVOTDATA("Somma di AVERE",'Pivot Revolut'!$A$3,"Mese",10,"Tipologia",$A84),0)</f>
        <v>0</v>
      </c>
      <c r="M84" s="243">
        <f>IFERROR(GETPIVOTDATA("Somma di DARE EUR",'Pivot RakBank AED'!$A$3,"Mese",11,"Tipologia",$A84),0)
- IFERROR(GETPIVOTDATA("Somma di AVERE EUR",'Pivot RakBank AED'!$A$3,"Mese",11,"Tipologia",$A84),0)
+IFERROR(GETPIVOTDATA("Somma di DARE",'Pivot RakBank EUR'!$A$3,"Mese",11,"Tipologia",$A84),0)
- IFERROR(GETPIVOTDATA("Somma di AVERE",'Pivot RakBank EUR'!$A$3,"Mese",11,"Tipologia",$A84),0)
+IFERROR(GETPIVOTDATA("Somma di DARE",'Pivot Fineco Sa'!$A$3,"Mese",11,"Tipologia",$A84),0)
+ IFERROR(GETPIVOTDATA("Somma di DARE",'Pivot Fineco St'!$A$3,"Mese",11,"Tipologia",$A84),0)
+ Contanti!AP5
+ IFERROR(GETPIVOTDATA("Somma di DARE",'Pivot BBVA'!$A$3,"Mese",11,"Tipologia",$A84),0)
+ IFERROR(GETPIVOTDATA("Somma di DARE",'Pivot Amex'!$A$3,"Mese",11,"Tipologia",$A84),0)
- IFERROR(GETPIVOTDATA("Somma di AVERE",'Pivot Amex'!$A$3,"Mese",11,"Tipologia",$A84),0)
- IFERROR(GETPIVOTDATA("Somma di AVERE",'Pivot BBVA'!$A$3,"Mese",11,"Tipologia",$A84),0)
- IFERROR(GETPIVOTDATA("Somma di AVERE",'Pivot Fineco St'!$A$3,"Mese",11,"Tipologia",$A84),0)
- IFERROR(GETPIVOTDATA("Somma di AVERE",'Pivot Fineco Sa'!$A$3,"Mese",11,"Tipologia",$A84),0)
+ IFERROR(GETPIVOTDATA("Somma di DARE",'Pivot PP Visa'!$A$3,"Mese",11,"Tipologia",$A84),0)
- IFERROR(GETPIVOTDATA("Somma di AVERE",'Pivot PP Visa'!$A$3,"Mese",11,"Tipologia",$A84),0)
+ IFERROR(GETPIVOTDATA("Somma di DARE",'Pivot Revolut'!$A$3,"Mese",11,"Tipologia",$A84),0)
- IFERROR(GETPIVOTDATA("Somma di AVERE",'Pivot Revolut'!$A$3,"Mese",11,"Tipologia",$A84),0)</f>
        <v>0</v>
      </c>
      <c r="N84" s="243">
        <f>IFERROR(GETPIVOTDATA("Somma di DARE EUR",'Pivot RakBank AED'!$A$3,"Mese",12,"Tipologia",$A84),0)
- IFERROR(GETPIVOTDATA("Somma di AVERE EUR",'Pivot RakBank AED'!$A$3,"Mese",12,"Tipologia",$A84),0)
+IFERROR(GETPIVOTDATA("Somma di DARE",'Pivot RakBank EUR'!$A$3,"Mese",12,"Tipologia",$A84),0)
- IFERROR(GETPIVOTDATA("Somma di AVERE",'Pivot RakBank EUR'!$A$3,"Mese",12,"Tipologia",$A84),0)
+IFERROR(GETPIVOTDATA("Somma di DARE",'Pivot Fineco Sa'!$A$3,"Mese",12,"Tipologia",$A84),0)
+ IFERROR(GETPIVOTDATA("Somma di DARE",'Pivot Fineco St'!$A$3,"Mese",12,"Tipologia",$A84),0)
+ Contanti!AT5
+ IFERROR(GETPIVOTDATA("Somma di DARE",'Pivot BBVA'!$A$3,"Mese",12,"Tipologia",$A84),0)
+ IFERROR(GETPIVOTDATA("Somma di DARE",'Pivot Amex'!$A$3,"Mese",12,"Tipologia",$A84),0)
- IFERROR(GETPIVOTDATA("Somma di AVERE",'Pivot Amex'!$A$3,"Mese",12,"Tipologia",$A84),0)
- IFERROR(GETPIVOTDATA("Somma di AVERE",'Pivot BBVA'!$A$3,"Mese",12,"Tipologia",$A84),0)
- IFERROR(GETPIVOTDATA("Somma di AVERE",'Pivot Fineco St'!$A$3,"Mese",12,"Tipologia",$A84),0)
- IFERROR(GETPIVOTDATA("Somma di AVERE",'Pivot Fineco Sa'!$A$3,"Mese",12,"Tipologia",$A84),0)
+ IFERROR(GETPIVOTDATA("Somma di DARE",'Pivot PP Visa'!$A$3,"Mese",12,"Tipologia",$A84),0)
- IFERROR(GETPIVOTDATA("Somma di AVERE",'Pivot PP Visa'!$A$3,"Mese",12,"Tipologia",$A84),0)
+ IFERROR(GETPIVOTDATA("Somma di DARE",'Pivot Revolut'!$A$3,"Mese",12,"Tipologia",$A84),0)
- IFERROR(GETPIVOTDATA("Somma di AVERE",'Pivot Revolut'!$A$3,"Mese",12,"Tipologia",$A84),0)</f>
        <v>0</v>
      </c>
      <c r="O84" s="252">
        <f t="shared" si="3"/>
        <v>0</v>
      </c>
      <c r="P84" s="243">
        <f ca="1">O84/(MONTH(TODAY()))</f>
        <v>0</v>
      </c>
    </row>
    <row r="85" spans="1:16" s="125" customFormat="1" ht="21" customHeight="1" x14ac:dyDescent="0.2">
      <c r="A85" s="251" t="s">
        <v>1013</v>
      </c>
      <c r="B85" s="251"/>
      <c r="C85" s="243">
        <f>IFERROR(GETPIVOTDATA("Somma di DARE EUR",'Pivot RakBank AED'!$A$3,"Mese",1,"Tipologia",$A85),0)
- IFERROR(GETPIVOTDATA("Somma di AVERE EUR",'Pivot RakBank AED'!$A$3,"Mese",1,"Tipologia",$A85),0)
+IFERROR(GETPIVOTDATA("Somma di DARE",'Pivot RakBank EUR'!$A$3,"Mese",1,"Tipologia",$A85),0)
- IFERROR(GETPIVOTDATA("Somma di AVERE",'Pivot RakBank EUR'!$A$3,"Mese",1,"Tipologia",$A85),0)
+IFERROR(GETPIVOTDATA("Somma di DARE",'Pivot Fineco Sa'!$A$3,"Mese",1,"Tipologia",$A85),0)
+ IFERROR(GETPIVOTDATA("Somma di DARE",'Pivot Fineco St'!$A$3,"Mese",1,"Tipologia",$A85),0)
+ Contanti!B6
+ IFERROR(GETPIVOTDATA("Somma di DARE",'Pivot BBVA'!$A$3,"Mese",1,"Tipologia",$A85),0)
+ IFERROR(GETPIVOTDATA("Somma di DARE",'Pivot Amex'!$A$3,"Mese",1,"Tipologia",$A85),0)
- IFERROR(GETPIVOTDATA("Somma di AVERE",'Pivot Amex'!$A$3,"Mese",1,"Tipologia",$A85),0)
- IFERROR(GETPIVOTDATA("Somma di AVERE",'Pivot BBVA'!$A$3,"Mese",1,"Tipologia",$A85),0)
- IFERROR(GETPIVOTDATA("Somma di AVERE",'Pivot Fineco St'!$A$3,"Mese",1,"Tipologia",$A85),0)
- IFERROR(GETPIVOTDATA("Somma di AVERE",'Pivot Fineco Sa'!$A$3,"Mese",1,"Tipologia",$A85),0)
+ IFERROR(GETPIVOTDATA("Somma di DARE",'Pivot PP Visa'!$A$3,"Mese",1,"Tipologia",$A85),0)
- IFERROR(GETPIVOTDATA("Somma di AVERE",'Pivot PP Visa'!$A$3,"Mese",1,"Tipologia",$A85),0)
+ IFERROR(GETPIVOTDATA("Somma di DARE",'Pivot Revolut'!$A$3,"Mese",1,"Tipologia",$A85),0)
- IFERROR(GETPIVOTDATA("Somma di AVERE",'Pivot Revolut'!$A$3,"Mese",1,"Tipologia",$A85),0)</f>
        <v>23.98</v>
      </c>
      <c r="D85" s="243">
        <f>IFERROR(GETPIVOTDATA("Somma di DARE EUR",'Pivot RakBank AED'!$A$3,"Mese",2,"Tipologia",$A85),0)
- IFERROR(GETPIVOTDATA("Somma di AVERE EUR",'Pivot RakBank AED'!$A$3,"Mese",2,"Tipologia",$A85),0)
+IFERROR(GETPIVOTDATA("Somma di DARE",'Pivot RakBank EUR'!$A$3,"Mese",2,"Tipologia",$A85),0)
- IFERROR(GETPIVOTDATA("Somma di AVERE",'Pivot RakBank EUR'!$A$3,"Mese",2,"Tipologia",$A85),0)
+IFERROR(GETPIVOTDATA("Somma di DARE",'Pivot Fineco Sa'!$A$3,"Mese",2,"Tipologia",$A85),0)
+ IFERROR(GETPIVOTDATA("Somma di DARE",'Pivot Fineco St'!$A$3,"Mese",2,"Tipologia",$A85),0)
+ Contanti!F6
+ IFERROR(GETPIVOTDATA("Somma di DARE",'Pivot BBVA'!$A$3,"Mese",2,"Tipologia",$A85),0)
+ IFERROR(GETPIVOTDATA("Somma di DARE",'Pivot Amex'!$A$3,"Mese",2,"Tipologia",$A85),0)
- IFERROR(GETPIVOTDATA("Somma di AVERE",'Pivot Amex'!$A$3,"Mese",2,"Tipologia",$A85),0)
- IFERROR(GETPIVOTDATA("Somma di AVERE",'Pivot BBVA'!$A$3,"Mese",2,"Tipologia",$A85),0)
- IFERROR(GETPIVOTDATA("Somma di AVERE",'Pivot Fineco St'!$A$3,"Mese",2,"Tipologia",$A85),0)
- IFERROR(GETPIVOTDATA("Somma di AVERE",'Pivot Fineco Sa'!$A$3,"Mese",2,"Tipologia",$A85),0)
+ IFERROR(GETPIVOTDATA("Somma di DARE",'Pivot PP Visa'!$A$3,"Mese",2,"Tipologia",$A85),0)
- IFERROR(GETPIVOTDATA("Somma di AVERE",'Pivot PP Visa'!$A$3,"Mese",2,"Tipologia",$A85),0)
+ IFERROR(GETPIVOTDATA("Somma di DARE",'Pivot Revolut'!$A$3,"Mese",2,"Tipologia",$A85),0)
- IFERROR(GETPIVOTDATA("Somma di AVERE",'Pivot Revolut'!$A$3,"Mese",2,"Tipologia",$A85),0)</f>
        <v>0</v>
      </c>
      <c r="E85" s="243">
        <f>IFERROR(GETPIVOTDATA("Somma di DARE EUR",'Pivot RakBank AED'!$A$3,"Mese",3,"Tipologia",$A85),0)
- IFERROR(GETPIVOTDATA("Somma di AVERE EUR",'Pivot RakBank AED'!$A$3,"Mese",3,"Tipologia",$A85),0)
+IFERROR(GETPIVOTDATA("Somma di DARE",'Pivot RakBank EUR'!$A$3,"Mese",3,"Tipologia",$A85),0)
- IFERROR(GETPIVOTDATA("Somma di AVERE",'Pivot RakBank EUR'!$A$3,"Mese",3,"Tipologia",$A85),0)
+IFERROR(GETPIVOTDATA("Somma di DARE",'Pivot Fineco Sa'!$A$3,"Mese",3,"Tipologia",$A85),0)
+ IFERROR(GETPIVOTDATA("Somma di DARE",'Pivot Fineco St'!$A$3,"Mese",3,"Tipologia",$A85),0)
+ Contanti!J6
+ IFERROR(GETPIVOTDATA("Somma di DARE",'Pivot BBVA'!$A$3,"Mese",3,"Tipologia",$A85),0)
+ IFERROR(GETPIVOTDATA("Somma di DARE",'Pivot Amex'!$A$3,"Mese",3,"Tipologia",$A85),0)
- IFERROR(GETPIVOTDATA("Somma di AVERE",'Pivot Amex'!$A$3,"Mese",3,"Tipologia",$A85),0)
- IFERROR(GETPIVOTDATA("Somma di AVERE",'Pivot BBVA'!$A$3,"Mese",3,"Tipologia",$A85),0)
- IFERROR(GETPIVOTDATA("Somma di AVERE",'Pivot Fineco St'!$A$3,"Mese",3,"Tipologia",$A85),0)
- IFERROR(GETPIVOTDATA("Somma di AVERE",'Pivot Fineco Sa'!$A$3,"Mese",3,"Tipologia",$A85),0)
+ IFERROR(GETPIVOTDATA("Somma di DARE",'Pivot PP Visa'!$A$3,"Mese",3,"Tipologia",$A85),0)
- IFERROR(GETPIVOTDATA("Somma di AVERE",'Pivot PP Visa'!$A$3,"Mese",3,"Tipologia",$A85),0)
+ IFERROR(GETPIVOTDATA("Somma di DARE",'Pivot Revolut'!$A$3,"Mese",3,"Tipologia",$A85),0)
- IFERROR(GETPIVOTDATA("Somma di AVERE",'Pivot Revolut'!$A$3,"Mese",3,"Tipologia",$A85),0)</f>
        <v>0</v>
      </c>
      <c r="F85" s="243">
        <f>IFERROR(GETPIVOTDATA("Somma di DARE EUR",'Pivot RakBank AED'!$A$3,"Mese",4,"Tipologia",$A85),0)
- IFERROR(GETPIVOTDATA("Somma di AVERE EUR",'Pivot RakBank AED'!$A$3,"Mese",4,"Tipologia",$A85),0)
+IFERROR(GETPIVOTDATA("Somma di DARE",'Pivot RakBank EUR'!$A$3,"Mese",4,"Tipologia",$A85),0)
- IFERROR(GETPIVOTDATA("Somma di AVERE",'Pivot RakBank EUR'!$A$3,"Mese",4,"Tipologia",$A85),0)
+IFERROR(GETPIVOTDATA("Somma di DARE",'Pivot Fineco Sa'!$A$3,"Mese",4,"Tipologia",$A85),0)
+ IFERROR(GETPIVOTDATA("Somma di DARE",'Pivot Fineco St'!$A$3,"Mese",4,"Tipologia",$A85),0)
+ Contanti!N6
+ IFERROR(GETPIVOTDATA("Somma di DARE",'Pivot BBVA'!$A$3,"Mese",4,"Tipologia",$A85),0)
+ IFERROR(GETPIVOTDATA("Somma di DARE",'Pivot Amex'!$A$3,"Mese",4,"Tipologia",$A85),0)
- IFERROR(GETPIVOTDATA("Somma di AVERE",'Pivot Amex'!$A$3,"Mese",4,"Tipologia",$A85),0)
- IFERROR(GETPIVOTDATA("Somma di AVERE",'Pivot BBVA'!$A$3,"Mese",4,"Tipologia",$A85),0)
- IFERROR(GETPIVOTDATA("Somma di AVERE",'Pivot Fineco St'!$A$3,"Mese",4,"Tipologia",$A85),0)
- IFERROR(GETPIVOTDATA("Somma di AVERE",'Pivot Fineco Sa'!$A$3,"Mese",4,"Tipologia",$A85),0)
+ IFERROR(GETPIVOTDATA("Somma di DARE",'Pivot PP Visa'!$A$3,"Mese",4,"Tipologia",$A85),0)
- IFERROR(GETPIVOTDATA("Somma di AVERE",'Pivot PP Visa'!$A$3,"Mese",4,"Tipologia",$A85),0)
+ IFERROR(GETPIVOTDATA("Somma di DARE",'Pivot Revolut'!$A$3,"Mese",4,"Tipologia",$A85),0)
- IFERROR(GETPIVOTDATA("Somma di AVERE",'Pivot Revolut'!$A$3,"Mese",4,"Tipologia",$A85),0)</f>
        <v>9.99</v>
      </c>
      <c r="G85" s="243">
        <f>IFERROR(GETPIVOTDATA("Somma di DARE EUR",'Pivot RakBank AED'!$A$3,"Mese",5,"Tipologia",$A85),0)
- IFERROR(GETPIVOTDATA("Somma di AVERE EUR",'Pivot RakBank AED'!$A$3,"Mese",5,"Tipologia",$A85),0)
+IFERROR(GETPIVOTDATA("Somma di DARE",'Pivot RakBank EUR'!$A$3,"Mese",5,"Tipologia",$A85),0)
- IFERROR(GETPIVOTDATA("Somma di AVERE",'Pivot RakBank EUR'!$A$3,"Mese",5,"Tipologia",$A85),0)
+IFERROR(GETPIVOTDATA("Somma di DARE",'Pivot Fineco Sa'!$A$3,"Mese",5,"Tipologia",$A85),0)
+ IFERROR(GETPIVOTDATA("Somma di DARE",'Pivot Fineco St'!$A$3,"Mese",5,"Tipologia",$A85),0)
+ Contanti!R6
+ IFERROR(GETPIVOTDATA("Somma di DARE",'Pivot BBVA'!$A$3,"Mese",5,"Tipologia",$A85),0)
+ IFERROR(GETPIVOTDATA("Somma di DARE",'Pivot Amex'!$A$3,"Mese",5,"Tipologia",$A85),0)
- IFERROR(GETPIVOTDATA("Somma di AVERE",'Pivot Amex'!$A$3,"Mese",5,"Tipologia",$A85),0)
- IFERROR(GETPIVOTDATA("Somma di AVERE",'Pivot BBVA'!$A$3,"Mese",5,"Tipologia",$A85),0)
- IFERROR(GETPIVOTDATA("Somma di AVERE",'Pivot Fineco St'!$A$3,"Mese",5,"Tipologia",$A85),0)
- IFERROR(GETPIVOTDATA("Somma di AVERE",'Pivot Fineco Sa'!$A$3,"Mese",5,"Tipologia",$A85),0)
+ IFERROR(GETPIVOTDATA("Somma di DARE",'Pivot PP Visa'!$A$3,"Mese",5,"Tipologia",$A85),0)
- IFERROR(GETPIVOTDATA("Somma di AVERE",'Pivot PP Visa'!$A$3,"Mese",5,"Tipologia",$A85),0)
+ IFERROR(GETPIVOTDATA("Somma di DARE",'Pivot Revolut'!$A$3,"Mese",5,"Tipologia",$A85),0)
- IFERROR(GETPIVOTDATA("Somma di AVERE",'Pivot Revolut'!$A$3,"Mese",5,"Tipologia",$A85),0)</f>
        <v>4.99</v>
      </c>
      <c r="H85" s="243">
        <f>IFERROR(GETPIVOTDATA("Somma di DARE EUR",'Pivot RakBank AED'!$A$3,"Mese",6,"Tipologia",$A85),0)
- IFERROR(GETPIVOTDATA("Somma di AVERE EUR",'Pivot RakBank AED'!$A$3,"Mese",6,"Tipologia",$A85),0)
+IFERROR(GETPIVOTDATA("Somma di DARE",'Pivot RakBank EUR'!$A$3,"Mese",6,"Tipologia",$A85),0)
- IFERROR(GETPIVOTDATA("Somma di AVERE",'Pivot RakBank EUR'!$A$3,"Mese",6,"Tipologia",$A85),0)
+IFERROR(GETPIVOTDATA("Somma di DARE",'Pivot Fineco Sa'!$A$3,"Mese",6,"Tipologia",$A85),0)
+ IFERROR(GETPIVOTDATA("Somma di DARE",'Pivot Fineco St'!$A$3,"Mese",6,"Tipologia",$A85),0)
+ Contanti!V6
+ IFERROR(GETPIVOTDATA("Somma di DARE",'Pivot BBVA'!$A$3,"Mese",6,"Tipologia",$A85),0)
+ IFERROR(GETPIVOTDATA("Somma di DARE",'Pivot Amex'!$A$3,"Mese",6,"Tipologia",$A85),0)
- IFERROR(GETPIVOTDATA("Somma di AVERE",'Pivot Amex'!$A$3,"Mese",6,"Tipologia",$A85),0)
- IFERROR(GETPIVOTDATA("Somma di AVERE",'Pivot BBVA'!$A$3,"Mese",6,"Tipologia",$A85),0)
- IFERROR(GETPIVOTDATA("Somma di AVERE",'Pivot Fineco St'!$A$3,"Mese",6,"Tipologia",$A85),0)
- IFERROR(GETPIVOTDATA("Somma di AVERE",'Pivot Fineco Sa'!$A$3,"Mese",6,"Tipologia",$A85),0)
+ IFERROR(GETPIVOTDATA("Somma di DARE",'Pivot PP Visa'!$A$3,"Mese",6,"Tipologia",$A85),0)
- IFERROR(GETPIVOTDATA("Somma di AVERE",'Pivot PP Visa'!$A$3,"Mese",6,"Tipologia",$A85),0)
+ IFERROR(GETPIVOTDATA("Somma di DARE",'Pivot Revolut'!$A$3,"Mese",6,"Tipologia",$A85),0)
- IFERROR(GETPIVOTDATA("Somma di AVERE",'Pivot Revolut'!$A$3,"Mese",6,"Tipologia",$A85),0)</f>
        <v>35.97</v>
      </c>
      <c r="I85" s="243">
        <f>IFERROR(GETPIVOTDATA("Somma di DARE EUR",'Pivot RakBank AED'!$A$3,"Mese",7,"Tipologia",$A85),0)
- IFERROR(GETPIVOTDATA("Somma di AVERE EUR",'Pivot RakBank AED'!$A$3,"Mese",7,"Tipologia",$A85),0)
+IFERROR(GETPIVOTDATA("Somma di DARE",'Pivot RakBank EUR'!$A$3,"Mese",7,"Tipologia",$A85),0)
- IFERROR(GETPIVOTDATA("Somma di AVERE",'Pivot RakBank EUR'!$A$3,"Mese",7,"Tipologia",$A85),0)
+IFERROR(GETPIVOTDATA("Somma di DARE",'Pivot Fineco Sa'!$A$3,"Mese",7,"Tipologia",$A85),0)
+ IFERROR(GETPIVOTDATA("Somma di DARE",'Pivot Fineco St'!$A$3,"Mese",7,"Tipologia",$A85),0)
+ Contanti!Z6
+ IFERROR(GETPIVOTDATA("Somma di DARE",'Pivot BBVA'!$A$3,"Mese",7,"Tipologia",$A85),0)
+ IFERROR(GETPIVOTDATA("Somma di DARE",'Pivot Amex'!$A$3,"Mese",7,"Tipologia",$A85),0)
- IFERROR(GETPIVOTDATA("Somma di AVERE",'Pivot Amex'!$A$3,"Mese",7,"Tipologia",$A85),0)
- IFERROR(GETPIVOTDATA("Somma di AVERE",'Pivot BBVA'!$A$3,"Mese",7,"Tipologia",$A85),0)
- IFERROR(GETPIVOTDATA("Somma di AVERE",'Pivot Fineco St'!$A$3,"Mese",7,"Tipologia",$A85),0)
- IFERROR(GETPIVOTDATA("Somma di AVERE",'Pivot Fineco Sa'!$A$3,"Mese",7,"Tipologia",$A85),0)
+ IFERROR(GETPIVOTDATA("Somma di DARE",'Pivot PP Visa'!$A$3,"Mese",7,"Tipologia",$A85),0)
- IFERROR(GETPIVOTDATA("Somma di AVERE",'Pivot PP Visa'!$A$3,"Mese",7,"Tipologia",$A85),0)
+ IFERROR(GETPIVOTDATA("Somma di DARE",'Pivot Revolut'!$A$3,"Mese",7,"Tipologia",$A85),0)
- IFERROR(GETPIVOTDATA("Somma di AVERE",'Pivot Revolut'!$A$3,"Mese",7,"Tipologia",$A85),0)</f>
        <v>0</v>
      </c>
      <c r="J85" s="243">
        <f>IFERROR(GETPIVOTDATA("Somma di DARE EUR",'Pivot RakBank AED'!$A$3,"Mese",8,"Tipologia",$A85),0)
- IFERROR(GETPIVOTDATA("Somma di AVERE EUR",'Pivot RakBank AED'!$A$3,"Mese",8,"Tipologia",$A85),0)
+IFERROR(GETPIVOTDATA("Somma di DARE",'Pivot RakBank EUR'!$A$3,"Mese",8,"Tipologia",$A85),0)
- IFERROR(GETPIVOTDATA("Somma di AVERE",'Pivot RakBank EUR'!$A$3,"Mese",8,"Tipologia",$A85),0)
+IFERROR(GETPIVOTDATA("Somma di DARE",'Pivot Fineco Sa'!$A$3,"Mese",8,"Tipologia",$A85),0)
+ IFERROR(GETPIVOTDATA("Somma di DARE",'Pivot Fineco St'!$A$3,"Mese",8,"Tipologia",$A85),0)
+ Contanti!AD6
+ IFERROR(GETPIVOTDATA("Somma di DARE",'Pivot BBVA'!$A$3,"Mese",8,"Tipologia",$A85),0)
+ IFERROR(GETPIVOTDATA("Somma di DARE",'Pivot Amex'!$A$3,"Mese",8,"Tipologia",$A85),0)
- IFERROR(GETPIVOTDATA("Somma di AVERE",'Pivot Amex'!$A$3,"Mese",8,"Tipologia",$A85),0)
- IFERROR(GETPIVOTDATA("Somma di AVERE",'Pivot BBVA'!$A$3,"Mese",8,"Tipologia",$A85),0)
- IFERROR(GETPIVOTDATA("Somma di AVERE",'Pivot Fineco St'!$A$3,"Mese",8,"Tipologia",$A85),0)
- IFERROR(GETPIVOTDATA("Somma di AVERE",'Pivot Fineco Sa'!$A$3,"Mese",8,"Tipologia",$A85),0)
+ IFERROR(GETPIVOTDATA("Somma di DARE",'Pivot PP Visa'!$A$3,"Mese",8,"Tipologia",$A85),0)
- IFERROR(GETPIVOTDATA("Somma di AVERE",'Pivot PP Visa'!$A$3,"Mese",8,"Tipologia",$A85),0)
+ IFERROR(GETPIVOTDATA("Somma di DARE",'Pivot Revolut'!$A$3,"Mese",8,"Tipologia",$A85),0)
- IFERROR(GETPIVOTDATA("Somma di AVERE",'Pivot Revolut'!$A$3,"Mese",8,"Tipologia",$A85),0)</f>
        <v>0</v>
      </c>
      <c r="K85" s="243">
        <f>IFERROR(GETPIVOTDATA("Somma di DARE EUR",'Pivot RakBank AED'!$A$3,"Mese",9,"Tipologia",$A85),0)
- IFERROR(GETPIVOTDATA("Somma di AVERE EUR",'Pivot RakBank AED'!$A$3,"Mese",9,"Tipologia",$A85),0)
+IFERROR(GETPIVOTDATA("Somma di DARE",'Pivot RakBank EUR'!$A$3,"Mese",9,"Tipologia",$A85),0)
- IFERROR(GETPIVOTDATA("Somma di AVERE",'Pivot RakBank EUR'!$A$3,"Mese",9,"Tipologia",$A85),0)
+IFERROR(GETPIVOTDATA("Somma di DARE",'Pivot Fineco Sa'!$A$3,"Mese",9,"Tipologia",$A85),0)
+ IFERROR(GETPIVOTDATA("Somma di DARE",'Pivot Fineco St'!$A$3,"Mese",9,"Tipologia",$A85),0)
+ Contanti!AH6
+ IFERROR(GETPIVOTDATA("Somma di DARE",'Pivot BBVA'!$A$3,"Mese",9,"Tipologia",$A85),0)
+ IFERROR(GETPIVOTDATA("Somma di DARE",'Pivot Amex'!$A$3,"Mese",9,"Tipologia",$A85),0)
- IFERROR(GETPIVOTDATA("Somma di AVERE",'Pivot Amex'!$A$3,"Mese",9,"Tipologia",$A85),0)
- IFERROR(GETPIVOTDATA("Somma di AVERE",'Pivot BBVA'!$A$3,"Mese",9,"Tipologia",$A85),0)
- IFERROR(GETPIVOTDATA("Somma di AVERE",'Pivot Fineco St'!$A$3,"Mese",9,"Tipologia",$A85),0)
- IFERROR(GETPIVOTDATA("Somma di AVERE",'Pivot Fineco Sa'!$A$3,"Mese",9,"Tipologia",$A85),0)
+ IFERROR(GETPIVOTDATA("Somma di DARE",'Pivot PP Visa'!$A$3,"Mese",9,"Tipologia",$A85),0)
- IFERROR(GETPIVOTDATA("Somma di AVERE",'Pivot PP Visa'!$A$3,"Mese",9,"Tipologia",$A85),0)
+ IFERROR(GETPIVOTDATA("Somma di DARE",'Pivot Revolut'!$A$3,"Mese",9,"Tipologia",$A85),0)
- IFERROR(GETPIVOTDATA("Somma di AVERE",'Pivot Revolut'!$A$3,"Mese",9,"Tipologia",$A85),0)</f>
        <v>0</v>
      </c>
      <c r="L85" s="243">
        <f>IFERROR(GETPIVOTDATA("Somma di DARE EUR",'Pivot RakBank AED'!$A$3,"Mese",10,"Tipologia",$A85),0)
- IFERROR(GETPIVOTDATA("Somma di AVERE EUR",'Pivot RakBank AED'!$A$3,"Mese",10,"Tipologia",$A85),0)
+IFERROR(GETPIVOTDATA("Somma di DARE",'Pivot RakBank EUR'!$A$3,"Mese",10,"Tipologia",$A85),0)
- IFERROR(GETPIVOTDATA("Somma di AVERE",'Pivot RakBank EUR'!$A$3,"Mese",10,"Tipologia",$A85),0)
+IFERROR(GETPIVOTDATA("Somma di DARE",'Pivot Fineco Sa'!$A$3,"Mese",10,"Tipologia",$A85),0)
+ IFERROR(GETPIVOTDATA("Somma di DARE",'Pivot Fineco St'!$A$3,"Mese",10,"Tipologia",$A85),0)
+ Contanti!AL6
+ IFERROR(GETPIVOTDATA("Somma di DARE",'Pivot BBVA'!$A$3,"Mese",10,"Tipologia",$A85),0)
+ IFERROR(GETPIVOTDATA("Somma di DARE",'Pivot Amex'!$A$3,"Mese",10,"Tipologia",$A85),0)
- IFERROR(GETPIVOTDATA("Somma di AVERE",'Pivot Amex'!$A$3,"Mese",10,"Tipologia",$A85),0)
- IFERROR(GETPIVOTDATA("Somma di AVERE",'Pivot BBVA'!$A$3,"Mese",10,"Tipologia",$A85),0)
- IFERROR(GETPIVOTDATA("Somma di AVERE",'Pivot Fineco St'!$A$3,"Mese",10,"Tipologia",$A85),0)
- IFERROR(GETPIVOTDATA("Somma di AVERE",'Pivot Fineco Sa'!$A$3,"Mese",10,"Tipologia",$A85),0)
+ IFERROR(GETPIVOTDATA("Somma di DARE",'Pivot PP Visa'!$A$3,"Mese",10,"Tipologia",$A85),0)
- IFERROR(GETPIVOTDATA("Somma di AVERE",'Pivot PP Visa'!$A$3,"Mese",10,"Tipologia",$A85),0)
+ IFERROR(GETPIVOTDATA("Somma di DARE",'Pivot Revolut'!$A$3,"Mese",10,"Tipologia",$A85),0)
- IFERROR(GETPIVOTDATA("Somma di AVERE",'Pivot Revolut'!$A$3,"Mese",10,"Tipologia",$A85),0)</f>
        <v>0</v>
      </c>
      <c r="M85" s="243">
        <f>IFERROR(GETPIVOTDATA("Somma di DARE EUR",'Pivot RakBank AED'!$A$3,"Mese",11,"Tipologia",$A85),0)
- IFERROR(GETPIVOTDATA("Somma di AVERE EUR",'Pivot RakBank AED'!$A$3,"Mese",11,"Tipologia",$A85),0)
+IFERROR(GETPIVOTDATA("Somma di DARE",'Pivot RakBank EUR'!$A$3,"Mese",11,"Tipologia",$A85),0)
- IFERROR(GETPIVOTDATA("Somma di AVERE",'Pivot RakBank EUR'!$A$3,"Mese",11,"Tipologia",$A85),0)
+IFERROR(GETPIVOTDATA("Somma di DARE",'Pivot Fineco Sa'!$A$3,"Mese",11,"Tipologia",$A85),0)
+ IFERROR(GETPIVOTDATA("Somma di DARE",'Pivot Fineco St'!$A$3,"Mese",11,"Tipologia",$A85),0)
+ Contanti!AP6
+ IFERROR(GETPIVOTDATA("Somma di DARE",'Pivot BBVA'!$A$3,"Mese",11,"Tipologia",$A85),0)
+ IFERROR(GETPIVOTDATA("Somma di DARE",'Pivot Amex'!$A$3,"Mese",11,"Tipologia",$A85),0)
- IFERROR(GETPIVOTDATA("Somma di AVERE",'Pivot Amex'!$A$3,"Mese",11,"Tipologia",$A85),0)
- IFERROR(GETPIVOTDATA("Somma di AVERE",'Pivot BBVA'!$A$3,"Mese",11,"Tipologia",$A85),0)
- IFERROR(GETPIVOTDATA("Somma di AVERE",'Pivot Fineco St'!$A$3,"Mese",11,"Tipologia",$A85),0)
- IFERROR(GETPIVOTDATA("Somma di AVERE",'Pivot Fineco Sa'!$A$3,"Mese",11,"Tipologia",$A85),0)
+ IFERROR(GETPIVOTDATA("Somma di DARE",'Pivot PP Visa'!$A$3,"Mese",11,"Tipologia",$A85),0)
- IFERROR(GETPIVOTDATA("Somma di AVERE",'Pivot PP Visa'!$A$3,"Mese",11,"Tipologia",$A85),0)
+ IFERROR(GETPIVOTDATA("Somma di DARE",'Pivot Revolut'!$A$3,"Mese",11,"Tipologia",$A85),0)
- IFERROR(GETPIVOTDATA("Somma di AVERE",'Pivot Revolut'!$A$3,"Mese",11,"Tipologia",$A85),0)</f>
        <v>0</v>
      </c>
      <c r="N85" s="243">
        <f>IFERROR(GETPIVOTDATA("Somma di DARE EUR",'Pivot RakBank AED'!$A$3,"Mese",12,"Tipologia",$A85),0)
- IFERROR(GETPIVOTDATA("Somma di AVERE EUR",'Pivot RakBank AED'!$A$3,"Mese",12,"Tipologia",$A85),0)
+IFERROR(GETPIVOTDATA("Somma di DARE",'Pivot RakBank EUR'!$A$3,"Mese",12,"Tipologia",$A85),0)
- IFERROR(GETPIVOTDATA("Somma di AVERE",'Pivot RakBank EUR'!$A$3,"Mese",12,"Tipologia",$A85),0)
+IFERROR(GETPIVOTDATA("Somma di DARE",'Pivot Fineco Sa'!$A$3,"Mese",12,"Tipologia",$A85),0)
+ IFERROR(GETPIVOTDATA("Somma di DARE",'Pivot Fineco St'!$A$3,"Mese",12,"Tipologia",$A85),0)
+ Contanti!AT6
+ IFERROR(GETPIVOTDATA("Somma di DARE",'Pivot BBVA'!$A$3,"Mese",12,"Tipologia",$A85),0)
+ IFERROR(GETPIVOTDATA("Somma di DARE",'Pivot Amex'!$A$3,"Mese",12,"Tipologia",$A85),0)
- IFERROR(GETPIVOTDATA("Somma di AVERE",'Pivot Amex'!$A$3,"Mese",12,"Tipologia",$A85),0)
- IFERROR(GETPIVOTDATA("Somma di AVERE",'Pivot BBVA'!$A$3,"Mese",12,"Tipologia",$A85),0)
- IFERROR(GETPIVOTDATA("Somma di AVERE",'Pivot Fineco St'!$A$3,"Mese",12,"Tipologia",$A85),0)
- IFERROR(GETPIVOTDATA("Somma di AVERE",'Pivot Fineco Sa'!$A$3,"Mese",12,"Tipologia",$A85),0)
+ IFERROR(GETPIVOTDATA("Somma di DARE",'Pivot PP Visa'!$A$3,"Mese",12,"Tipologia",$A85),0)
- IFERROR(GETPIVOTDATA("Somma di AVERE",'Pivot PP Visa'!$A$3,"Mese",12,"Tipologia",$A85),0)
+ IFERROR(GETPIVOTDATA("Somma di DARE",'Pivot Revolut'!$A$3,"Mese",12,"Tipologia",$A85),0)
- IFERROR(GETPIVOTDATA("Somma di AVERE",'Pivot Revolut'!$A$3,"Mese",12,"Tipologia",$A85),0)</f>
        <v>0</v>
      </c>
      <c r="O85" s="252">
        <f t="shared" si="3"/>
        <v>74.930000000000007</v>
      </c>
      <c r="P85" s="243">
        <f t="shared" ref="P85:P90" ca="1" si="4">O85/(MONTH(TODAY()))</f>
        <v>10.704285714285716</v>
      </c>
    </row>
    <row r="86" spans="1:16" s="125" customFormat="1" ht="21" customHeight="1" x14ac:dyDescent="0.2">
      <c r="A86" s="251" t="s">
        <v>94</v>
      </c>
      <c r="B86" s="251"/>
      <c r="C86" s="243">
        <f>IFERROR(GETPIVOTDATA("Somma di DARE EUR",'Pivot RakBank AED'!$A$3,"Mese",1,"Tipologia",$A86),0)
- IFERROR(GETPIVOTDATA("Somma di AVERE EUR",'Pivot RakBank AED'!$A$3,"Mese",1,"Tipologia",$A86),0)
+IFERROR(GETPIVOTDATA("Somma di DARE",'Pivot RakBank EUR'!$A$3,"Mese",1,"Tipologia",$A86),0)
- IFERROR(GETPIVOTDATA("Somma di AVERE",'Pivot RakBank EUR'!$A$3,"Mese",1,"Tipologia",$A86),0)
+IFERROR(GETPIVOTDATA("Somma di DARE",'Pivot Fineco Sa'!$A$3,"Mese",1,"Tipologia",$A86),0)
+ IFERROR(GETPIVOTDATA("Somma di DARE",'Pivot Fineco St'!$A$3,"Mese",1,"Tipologia",$A86),0)
+ Contanti!B7
+ IFERROR(GETPIVOTDATA("Somma di DARE",'Pivot BBVA'!$A$3,"Mese",1,"Tipologia",$A86),0)
+ IFERROR(GETPIVOTDATA("Somma di DARE",'Pivot Amex'!$A$3,"Mese",1,"Tipologia",$A86),0)
- IFERROR(GETPIVOTDATA("Somma di AVERE",'Pivot Amex'!$A$3,"Mese",1,"Tipologia",$A86),0)
- IFERROR(GETPIVOTDATA("Somma di AVERE",'Pivot BBVA'!$A$3,"Mese",1,"Tipologia",$A86),0)
- IFERROR(GETPIVOTDATA("Somma di AVERE",'Pivot Fineco St'!$A$3,"Mese",1,"Tipologia",$A86),0)
- IFERROR(GETPIVOTDATA("Somma di AVERE",'Pivot Fineco Sa'!$A$3,"Mese",1,"Tipologia",$A86),0)
+ IFERROR(GETPIVOTDATA("Somma di DARE",'Pivot PP Visa'!$A$3,"Mese",1,"Tipologia",$A86),0)
- IFERROR(GETPIVOTDATA("Somma di AVERE",'Pivot PP Visa'!$A$3,"Mese",1,"Tipologia",$A86),0)
+ IFERROR(GETPIVOTDATA("Somma di DARE",'Pivot Revolut'!$A$3,"Mese",1,"Tipologia",$A86),0)
- IFERROR(GETPIVOTDATA("Somma di AVERE",'Pivot Revolut'!$A$3,"Mese",1,"Tipologia",$A86),0)</f>
        <v>0</v>
      </c>
      <c r="D86" s="243">
        <f>IFERROR(GETPIVOTDATA("Somma di DARE EUR",'Pivot RakBank AED'!$A$3,"Mese",2,"Tipologia",$A86),0)
- IFERROR(GETPIVOTDATA("Somma di AVERE EUR",'Pivot RakBank AED'!$A$3,"Mese",2,"Tipologia",$A86),0)
+IFERROR(GETPIVOTDATA("Somma di DARE",'Pivot RakBank EUR'!$A$3,"Mese",2,"Tipologia",$A86),0)
- IFERROR(GETPIVOTDATA("Somma di AVERE",'Pivot RakBank EUR'!$A$3,"Mese",2,"Tipologia",$A86),0)
+IFERROR(GETPIVOTDATA("Somma di DARE",'Pivot Fineco Sa'!$A$3,"Mese",2,"Tipologia",$A86),0)
+ IFERROR(GETPIVOTDATA("Somma di DARE",'Pivot Fineco St'!$A$3,"Mese",2,"Tipologia",$A86),0)
+ Contanti!F7
+ IFERROR(GETPIVOTDATA("Somma di DARE",'Pivot BBVA'!$A$3,"Mese",2,"Tipologia",$A86),0)
+ IFERROR(GETPIVOTDATA("Somma di DARE",'Pivot Amex'!$A$3,"Mese",2,"Tipologia",$A86),0)
- IFERROR(GETPIVOTDATA("Somma di AVERE",'Pivot Amex'!$A$3,"Mese",2,"Tipologia",$A86),0)
- IFERROR(GETPIVOTDATA("Somma di AVERE",'Pivot BBVA'!$A$3,"Mese",2,"Tipologia",$A86),0)
- IFERROR(GETPIVOTDATA("Somma di AVERE",'Pivot Fineco St'!$A$3,"Mese",2,"Tipologia",$A86),0)
- IFERROR(GETPIVOTDATA("Somma di AVERE",'Pivot Fineco Sa'!$A$3,"Mese",2,"Tipologia",$A86),0)
+ IFERROR(GETPIVOTDATA("Somma di DARE",'Pivot PP Visa'!$A$3,"Mese",2,"Tipologia",$A86),0)
- IFERROR(GETPIVOTDATA("Somma di AVERE",'Pivot PP Visa'!$A$3,"Mese",2,"Tipologia",$A86),0)
+ IFERROR(GETPIVOTDATA("Somma di DARE",'Pivot Revolut'!$A$3,"Mese",2,"Tipologia",$A86),0)
- IFERROR(GETPIVOTDATA("Somma di AVERE",'Pivot Revolut'!$A$3,"Mese",2,"Tipologia",$A86),0)</f>
        <v>0</v>
      </c>
      <c r="E86" s="243">
        <f>IFERROR(GETPIVOTDATA("Somma di DARE EUR",'Pivot RakBank AED'!$A$3,"Mese",3,"Tipologia",$A86),0)
- IFERROR(GETPIVOTDATA("Somma di AVERE EUR",'Pivot RakBank AED'!$A$3,"Mese",3,"Tipologia",$A86),0)
+IFERROR(GETPIVOTDATA("Somma di DARE",'Pivot RakBank EUR'!$A$3,"Mese",3,"Tipologia",$A86),0)
- IFERROR(GETPIVOTDATA("Somma di AVERE",'Pivot RakBank EUR'!$A$3,"Mese",3,"Tipologia",$A86),0)
+IFERROR(GETPIVOTDATA("Somma di DARE",'Pivot Fineco Sa'!$A$3,"Mese",3,"Tipologia",$A86),0)
+ IFERROR(GETPIVOTDATA("Somma di DARE",'Pivot Fineco St'!$A$3,"Mese",3,"Tipologia",$A86),0)
+ Contanti!J7
+ IFERROR(GETPIVOTDATA("Somma di DARE",'Pivot BBVA'!$A$3,"Mese",3,"Tipologia",$A86),0)
+ IFERROR(GETPIVOTDATA("Somma di DARE",'Pivot Amex'!$A$3,"Mese",3,"Tipologia",$A86),0)
- IFERROR(GETPIVOTDATA("Somma di AVERE",'Pivot Amex'!$A$3,"Mese",3,"Tipologia",$A86),0)
- IFERROR(GETPIVOTDATA("Somma di AVERE",'Pivot BBVA'!$A$3,"Mese",3,"Tipologia",$A86),0)
- IFERROR(GETPIVOTDATA("Somma di AVERE",'Pivot Fineco St'!$A$3,"Mese",3,"Tipologia",$A86),0)
- IFERROR(GETPIVOTDATA("Somma di AVERE",'Pivot Fineco Sa'!$A$3,"Mese",3,"Tipologia",$A86),0)
+ IFERROR(GETPIVOTDATA("Somma di DARE",'Pivot PP Visa'!$A$3,"Mese",3,"Tipologia",$A86),0)
- IFERROR(GETPIVOTDATA("Somma di AVERE",'Pivot PP Visa'!$A$3,"Mese",3,"Tipologia",$A86),0)
+ IFERROR(GETPIVOTDATA("Somma di DARE",'Pivot Revolut'!$A$3,"Mese",3,"Tipologia",$A86),0)
- IFERROR(GETPIVOTDATA("Somma di AVERE",'Pivot Revolut'!$A$3,"Mese",3,"Tipologia",$A86),0)</f>
        <v>4.99</v>
      </c>
      <c r="F86" s="243">
        <f>IFERROR(GETPIVOTDATA("Somma di DARE EUR",'Pivot RakBank AED'!$A$3,"Mese",4,"Tipologia",$A86),0)
- IFERROR(GETPIVOTDATA("Somma di AVERE EUR",'Pivot RakBank AED'!$A$3,"Mese",4,"Tipologia",$A86),0)
+IFERROR(GETPIVOTDATA("Somma di DARE",'Pivot RakBank EUR'!$A$3,"Mese",4,"Tipologia",$A86),0)
- IFERROR(GETPIVOTDATA("Somma di AVERE",'Pivot RakBank EUR'!$A$3,"Mese",4,"Tipologia",$A86),0)
+IFERROR(GETPIVOTDATA("Somma di DARE",'Pivot Fineco Sa'!$A$3,"Mese",4,"Tipologia",$A86),0)
+ IFERROR(GETPIVOTDATA("Somma di DARE",'Pivot Fineco St'!$A$3,"Mese",4,"Tipologia",$A86),0)
+ Contanti!N7
+ IFERROR(GETPIVOTDATA("Somma di DARE",'Pivot BBVA'!$A$3,"Mese",4,"Tipologia",$A86),0)
+ IFERROR(GETPIVOTDATA("Somma di DARE",'Pivot Amex'!$A$3,"Mese",4,"Tipologia",$A86),0)
- IFERROR(GETPIVOTDATA("Somma di AVERE",'Pivot Amex'!$A$3,"Mese",4,"Tipologia",$A86),0)
- IFERROR(GETPIVOTDATA("Somma di AVERE",'Pivot BBVA'!$A$3,"Mese",4,"Tipologia",$A86),0)
- IFERROR(GETPIVOTDATA("Somma di AVERE",'Pivot Fineco St'!$A$3,"Mese",4,"Tipologia",$A86),0)
- IFERROR(GETPIVOTDATA("Somma di AVERE",'Pivot Fineco Sa'!$A$3,"Mese",4,"Tipologia",$A86),0)
+ IFERROR(GETPIVOTDATA("Somma di DARE",'Pivot PP Visa'!$A$3,"Mese",4,"Tipologia",$A86),0)
- IFERROR(GETPIVOTDATA("Somma di AVERE",'Pivot PP Visa'!$A$3,"Mese",4,"Tipologia",$A86),0)
+ IFERROR(GETPIVOTDATA("Somma di DARE",'Pivot Revolut'!$A$3,"Mese",4,"Tipologia",$A86),0)
- IFERROR(GETPIVOTDATA("Somma di AVERE",'Pivot Revolut'!$A$3,"Mese",4,"Tipologia",$A86),0)</f>
        <v>18.95</v>
      </c>
      <c r="G86" s="243">
        <f>IFERROR(GETPIVOTDATA("Somma di DARE EUR",'Pivot RakBank AED'!$A$3,"Mese",5,"Tipologia",$A86),0)
- IFERROR(GETPIVOTDATA("Somma di AVERE EUR",'Pivot RakBank AED'!$A$3,"Mese",5,"Tipologia",$A86),0)
+IFERROR(GETPIVOTDATA("Somma di DARE",'Pivot RakBank EUR'!$A$3,"Mese",5,"Tipologia",$A86),0)
- IFERROR(GETPIVOTDATA("Somma di AVERE",'Pivot RakBank EUR'!$A$3,"Mese",5,"Tipologia",$A86),0)
+IFERROR(GETPIVOTDATA("Somma di DARE",'Pivot Fineco Sa'!$A$3,"Mese",5,"Tipologia",$A86),0)
+ IFERROR(GETPIVOTDATA("Somma di DARE",'Pivot Fineco St'!$A$3,"Mese",5,"Tipologia",$A86),0)
+ Contanti!R7
+ IFERROR(GETPIVOTDATA("Somma di DARE",'Pivot BBVA'!$A$3,"Mese",5,"Tipologia",$A86),0)
+ IFERROR(GETPIVOTDATA("Somma di DARE",'Pivot Amex'!$A$3,"Mese",5,"Tipologia",$A86),0)
- IFERROR(GETPIVOTDATA("Somma di AVERE",'Pivot Amex'!$A$3,"Mese",5,"Tipologia",$A86),0)
- IFERROR(GETPIVOTDATA("Somma di AVERE",'Pivot BBVA'!$A$3,"Mese",5,"Tipologia",$A86),0)
- IFERROR(GETPIVOTDATA("Somma di AVERE",'Pivot Fineco St'!$A$3,"Mese",5,"Tipologia",$A86),0)
- IFERROR(GETPIVOTDATA("Somma di AVERE",'Pivot Fineco Sa'!$A$3,"Mese",5,"Tipologia",$A86),0)
+ IFERROR(GETPIVOTDATA("Somma di DARE",'Pivot PP Visa'!$A$3,"Mese",5,"Tipologia",$A86),0)
- IFERROR(GETPIVOTDATA("Somma di AVERE",'Pivot PP Visa'!$A$3,"Mese",5,"Tipologia",$A86),0)
+ IFERROR(GETPIVOTDATA("Somma di DARE",'Pivot Revolut'!$A$3,"Mese",5,"Tipologia",$A86),0)
- IFERROR(GETPIVOTDATA("Somma di AVERE",'Pivot Revolut'!$A$3,"Mese",5,"Tipologia",$A86),0)</f>
        <v>0</v>
      </c>
      <c r="H86" s="243">
        <f>IFERROR(GETPIVOTDATA("Somma di DARE EUR",'Pivot RakBank AED'!$A$3,"Mese",6,"Tipologia",$A86),0)
- IFERROR(GETPIVOTDATA("Somma di AVERE EUR",'Pivot RakBank AED'!$A$3,"Mese",6,"Tipologia",$A86),0)
+IFERROR(GETPIVOTDATA("Somma di DARE",'Pivot RakBank EUR'!$A$3,"Mese",6,"Tipologia",$A86),0)
- IFERROR(GETPIVOTDATA("Somma di AVERE",'Pivot RakBank EUR'!$A$3,"Mese",6,"Tipologia",$A86),0)
+IFERROR(GETPIVOTDATA("Somma di DARE",'Pivot Fineco Sa'!$A$3,"Mese",6,"Tipologia",$A86),0)
+ IFERROR(GETPIVOTDATA("Somma di DARE",'Pivot Fineco St'!$A$3,"Mese",6,"Tipologia",$A86),0)
+ Contanti!V7
+ IFERROR(GETPIVOTDATA("Somma di DARE",'Pivot BBVA'!$A$3,"Mese",6,"Tipologia",$A86),0)
+ IFERROR(GETPIVOTDATA("Somma di DARE",'Pivot Amex'!$A$3,"Mese",6,"Tipologia",$A86),0)
- IFERROR(GETPIVOTDATA("Somma di AVERE",'Pivot Amex'!$A$3,"Mese",6,"Tipologia",$A86),0)
- IFERROR(GETPIVOTDATA("Somma di AVERE",'Pivot BBVA'!$A$3,"Mese",6,"Tipologia",$A86),0)
- IFERROR(GETPIVOTDATA("Somma di AVERE",'Pivot Fineco St'!$A$3,"Mese",6,"Tipologia",$A86),0)
- IFERROR(GETPIVOTDATA("Somma di AVERE",'Pivot Fineco Sa'!$A$3,"Mese",6,"Tipologia",$A86),0)
+ IFERROR(GETPIVOTDATA("Somma di DARE",'Pivot PP Visa'!$A$3,"Mese",6,"Tipologia",$A86),0)
- IFERROR(GETPIVOTDATA("Somma di AVERE",'Pivot PP Visa'!$A$3,"Mese",6,"Tipologia",$A86),0)
+ IFERROR(GETPIVOTDATA("Somma di DARE",'Pivot Revolut'!$A$3,"Mese",6,"Tipologia",$A86),0)
- IFERROR(GETPIVOTDATA("Somma di AVERE",'Pivot Revolut'!$A$3,"Mese",6,"Tipologia",$A86),0)</f>
        <v>8.0399999999999991</v>
      </c>
      <c r="I86" s="243">
        <f>IFERROR(GETPIVOTDATA("Somma di DARE EUR",'Pivot RakBank AED'!$A$3,"Mese",7,"Tipologia",$A86),0)
- IFERROR(GETPIVOTDATA("Somma di AVERE EUR",'Pivot RakBank AED'!$A$3,"Mese",7,"Tipologia",$A86),0)
+IFERROR(GETPIVOTDATA("Somma di DARE",'Pivot RakBank EUR'!$A$3,"Mese",7,"Tipologia",$A86),0)
- IFERROR(GETPIVOTDATA("Somma di AVERE",'Pivot RakBank EUR'!$A$3,"Mese",7,"Tipologia",$A86),0)
+IFERROR(GETPIVOTDATA("Somma di DARE",'Pivot Fineco Sa'!$A$3,"Mese",7,"Tipologia",$A86),0)
+ IFERROR(GETPIVOTDATA("Somma di DARE",'Pivot Fineco St'!$A$3,"Mese",7,"Tipologia",$A86),0)
+ Contanti!Z7
+ IFERROR(GETPIVOTDATA("Somma di DARE",'Pivot BBVA'!$A$3,"Mese",7,"Tipologia",$A86),0)
+ IFERROR(GETPIVOTDATA("Somma di DARE",'Pivot Amex'!$A$3,"Mese",7,"Tipologia",$A86),0)
- IFERROR(GETPIVOTDATA("Somma di AVERE",'Pivot Amex'!$A$3,"Mese",7,"Tipologia",$A86),0)
- IFERROR(GETPIVOTDATA("Somma di AVERE",'Pivot BBVA'!$A$3,"Mese",7,"Tipologia",$A86),0)
- IFERROR(GETPIVOTDATA("Somma di AVERE",'Pivot Fineco St'!$A$3,"Mese",7,"Tipologia",$A86),0)
- IFERROR(GETPIVOTDATA("Somma di AVERE",'Pivot Fineco Sa'!$A$3,"Mese",7,"Tipologia",$A86),0)
+ IFERROR(GETPIVOTDATA("Somma di DARE",'Pivot PP Visa'!$A$3,"Mese",7,"Tipologia",$A86),0)
- IFERROR(GETPIVOTDATA("Somma di AVERE",'Pivot PP Visa'!$A$3,"Mese",7,"Tipologia",$A86),0)
+ IFERROR(GETPIVOTDATA("Somma di DARE",'Pivot Revolut'!$A$3,"Mese",7,"Tipologia",$A86),0)
- IFERROR(GETPIVOTDATA("Somma di AVERE",'Pivot Revolut'!$A$3,"Mese",7,"Tipologia",$A86),0)</f>
        <v>0</v>
      </c>
      <c r="J86" s="243">
        <f>IFERROR(GETPIVOTDATA("Somma di DARE EUR",'Pivot RakBank AED'!$A$3,"Mese",8,"Tipologia",$A86),0)
- IFERROR(GETPIVOTDATA("Somma di AVERE EUR",'Pivot RakBank AED'!$A$3,"Mese",8,"Tipologia",$A86),0)
+IFERROR(GETPIVOTDATA("Somma di DARE",'Pivot RakBank EUR'!$A$3,"Mese",8,"Tipologia",$A86),0)
- IFERROR(GETPIVOTDATA("Somma di AVERE",'Pivot RakBank EUR'!$A$3,"Mese",8,"Tipologia",$A86),0)
+IFERROR(GETPIVOTDATA("Somma di DARE",'Pivot Fineco Sa'!$A$3,"Mese",8,"Tipologia",$A86),0)
+ IFERROR(GETPIVOTDATA("Somma di DARE",'Pivot Fineco St'!$A$3,"Mese",8,"Tipologia",$A86),0)
+ Contanti!AD7
+ IFERROR(GETPIVOTDATA("Somma di DARE",'Pivot BBVA'!$A$3,"Mese",8,"Tipologia",$A86),0)
+ IFERROR(GETPIVOTDATA("Somma di DARE",'Pivot Amex'!$A$3,"Mese",8,"Tipologia",$A86),0)
- IFERROR(GETPIVOTDATA("Somma di AVERE",'Pivot Amex'!$A$3,"Mese",8,"Tipologia",$A86),0)
- IFERROR(GETPIVOTDATA("Somma di AVERE",'Pivot BBVA'!$A$3,"Mese",8,"Tipologia",$A86),0)
- IFERROR(GETPIVOTDATA("Somma di AVERE",'Pivot Fineco St'!$A$3,"Mese",8,"Tipologia",$A86),0)
- IFERROR(GETPIVOTDATA("Somma di AVERE",'Pivot Fineco Sa'!$A$3,"Mese",8,"Tipologia",$A86),0)
+ IFERROR(GETPIVOTDATA("Somma di DARE",'Pivot PP Visa'!$A$3,"Mese",8,"Tipologia",$A86),0)
- IFERROR(GETPIVOTDATA("Somma di AVERE",'Pivot PP Visa'!$A$3,"Mese",8,"Tipologia",$A86),0)
+ IFERROR(GETPIVOTDATA("Somma di DARE",'Pivot Revolut'!$A$3,"Mese",8,"Tipologia",$A86),0)
- IFERROR(GETPIVOTDATA("Somma di AVERE",'Pivot Revolut'!$A$3,"Mese",8,"Tipologia",$A86),0)</f>
        <v>0</v>
      </c>
      <c r="K86" s="243">
        <f>IFERROR(GETPIVOTDATA("Somma di DARE EUR",'Pivot RakBank AED'!$A$3,"Mese",9,"Tipologia",$A86),0)
- IFERROR(GETPIVOTDATA("Somma di AVERE EUR",'Pivot RakBank AED'!$A$3,"Mese",9,"Tipologia",$A86),0)
+IFERROR(GETPIVOTDATA("Somma di DARE",'Pivot RakBank EUR'!$A$3,"Mese",9,"Tipologia",$A86),0)
- IFERROR(GETPIVOTDATA("Somma di AVERE",'Pivot RakBank EUR'!$A$3,"Mese",9,"Tipologia",$A86),0)
+IFERROR(GETPIVOTDATA("Somma di DARE",'Pivot Fineco Sa'!$A$3,"Mese",9,"Tipologia",$A86),0)
+ IFERROR(GETPIVOTDATA("Somma di DARE",'Pivot Fineco St'!$A$3,"Mese",9,"Tipologia",$A86),0)
+ Contanti!AH7
+ IFERROR(GETPIVOTDATA("Somma di DARE",'Pivot BBVA'!$A$3,"Mese",9,"Tipologia",$A86),0)
+ IFERROR(GETPIVOTDATA("Somma di DARE",'Pivot Amex'!$A$3,"Mese",9,"Tipologia",$A86),0)
- IFERROR(GETPIVOTDATA("Somma di AVERE",'Pivot Amex'!$A$3,"Mese",9,"Tipologia",$A86),0)
- IFERROR(GETPIVOTDATA("Somma di AVERE",'Pivot BBVA'!$A$3,"Mese",9,"Tipologia",$A86),0)
- IFERROR(GETPIVOTDATA("Somma di AVERE",'Pivot Fineco St'!$A$3,"Mese",9,"Tipologia",$A86),0)
- IFERROR(GETPIVOTDATA("Somma di AVERE",'Pivot Fineco Sa'!$A$3,"Mese",9,"Tipologia",$A86),0)
+ IFERROR(GETPIVOTDATA("Somma di DARE",'Pivot PP Visa'!$A$3,"Mese",9,"Tipologia",$A86),0)
- IFERROR(GETPIVOTDATA("Somma di AVERE",'Pivot PP Visa'!$A$3,"Mese",9,"Tipologia",$A86),0)
+ IFERROR(GETPIVOTDATA("Somma di DARE",'Pivot Revolut'!$A$3,"Mese",9,"Tipologia",$A86),0)
- IFERROR(GETPIVOTDATA("Somma di AVERE",'Pivot Revolut'!$A$3,"Mese",9,"Tipologia",$A86),0)</f>
        <v>0</v>
      </c>
      <c r="L86" s="243">
        <f>IFERROR(GETPIVOTDATA("Somma di DARE EUR",'Pivot RakBank AED'!$A$3,"Mese",10,"Tipologia",$A86),0)
- IFERROR(GETPIVOTDATA("Somma di AVERE EUR",'Pivot RakBank AED'!$A$3,"Mese",10,"Tipologia",$A86),0)
+IFERROR(GETPIVOTDATA("Somma di DARE",'Pivot RakBank EUR'!$A$3,"Mese",10,"Tipologia",$A86),0)
- IFERROR(GETPIVOTDATA("Somma di AVERE",'Pivot RakBank EUR'!$A$3,"Mese",10,"Tipologia",$A86),0)
+IFERROR(GETPIVOTDATA("Somma di DARE",'Pivot Fineco Sa'!$A$3,"Mese",10,"Tipologia",$A86),0)
+ IFERROR(GETPIVOTDATA("Somma di DARE",'Pivot Fineco St'!$A$3,"Mese",10,"Tipologia",$A86),0)
+ Contanti!AL7
+ IFERROR(GETPIVOTDATA("Somma di DARE",'Pivot BBVA'!$A$3,"Mese",10,"Tipologia",$A86),0)
+ IFERROR(GETPIVOTDATA("Somma di DARE",'Pivot Amex'!$A$3,"Mese",10,"Tipologia",$A86),0)
- IFERROR(GETPIVOTDATA("Somma di AVERE",'Pivot Amex'!$A$3,"Mese",10,"Tipologia",$A86),0)
- IFERROR(GETPIVOTDATA("Somma di AVERE",'Pivot BBVA'!$A$3,"Mese",10,"Tipologia",$A86),0)
- IFERROR(GETPIVOTDATA("Somma di AVERE",'Pivot Fineco St'!$A$3,"Mese",10,"Tipologia",$A86),0)
- IFERROR(GETPIVOTDATA("Somma di AVERE",'Pivot Fineco Sa'!$A$3,"Mese",10,"Tipologia",$A86),0)
+ IFERROR(GETPIVOTDATA("Somma di DARE",'Pivot PP Visa'!$A$3,"Mese",10,"Tipologia",$A86),0)
- IFERROR(GETPIVOTDATA("Somma di AVERE",'Pivot PP Visa'!$A$3,"Mese",10,"Tipologia",$A86),0)
+ IFERROR(GETPIVOTDATA("Somma di DARE",'Pivot Revolut'!$A$3,"Mese",10,"Tipologia",$A86),0)
- IFERROR(GETPIVOTDATA("Somma di AVERE",'Pivot Revolut'!$A$3,"Mese",10,"Tipologia",$A86),0)</f>
        <v>0</v>
      </c>
      <c r="M86" s="243">
        <f>IFERROR(GETPIVOTDATA("Somma di DARE EUR",'Pivot RakBank AED'!$A$3,"Mese",11,"Tipologia",$A86),0)
- IFERROR(GETPIVOTDATA("Somma di AVERE EUR",'Pivot RakBank AED'!$A$3,"Mese",11,"Tipologia",$A86),0)
+IFERROR(GETPIVOTDATA("Somma di DARE",'Pivot RakBank EUR'!$A$3,"Mese",11,"Tipologia",$A86),0)
- IFERROR(GETPIVOTDATA("Somma di AVERE",'Pivot RakBank EUR'!$A$3,"Mese",11,"Tipologia",$A86),0)
+IFERROR(GETPIVOTDATA("Somma di DARE",'Pivot Fineco Sa'!$A$3,"Mese",11,"Tipologia",$A86),0)
+ IFERROR(GETPIVOTDATA("Somma di DARE",'Pivot Fineco St'!$A$3,"Mese",11,"Tipologia",$A86),0)
+ Contanti!AP7
+ IFERROR(GETPIVOTDATA("Somma di DARE",'Pivot BBVA'!$A$3,"Mese",11,"Tipologia",$A86),0)
+ IFERROR(GETPIVOTDATA("Somma di DARE",'Pivot Amex'!$A$3,"Mese",11,"Tipologia",$A86),0)
- IFERROR(GETPIVOTDATA("Somma di AVERE",'Pivot Amex'!$A$3,"Mese",11,"Tipologia",$A86),0)
- IFERROR(GETPIVOTDATA("Somma di AVERE",'Pivot BBVA'!$A$3,"Mese",11,"Tipologia",$A86),0)
- IFERROR(GETPIVOTDATA("Somma di AVERE",'Pivot Fineco St'!$A$3,"Mese",11,"Tipologia",$A86),0)
- IFERROR(GETPIVOTDATA("Somma di AVERE",'Pivot Fineco Sa'!$A$3,"Mese",11,"Tipologia",$A86),0)
+ IFERROR(GETPIVOTDATA("Somma di DARE",'Pivot PP Visa'!$A$3,"Mese",11,"Tipologia",$A86),0)
- IFERROR(GETPIVOTDATA("Somma di AVERE",'Pivot PP Visa'!$A$3,"Mese",11,"Tipologia",$A86),0)
+ IFERROR(GETPIVOTDATA("Somma di DARE",'Pivot Revolut'!$A$3,"Mese",11,"Tipologia",$A86),0)
- IFERROR(GETPIVOTDATA("Somma di AVERE",'Pivot Revolut'!$A$3,"Mese",11,"Tipologia",$A86),0)</f>
        <v>0</v>
      </c>
      <c r="N86" s="243">
        <f>IFERROR(GETPIVOTDATA("Somma di DARE EUR",'Pivot RakBank AED'!$A$3,"Mese",12,"Tipologia",$A86),0)
- IFERROR(GETPIVOTDATA("Somma di AVERE EUR",'Pivot RakBank AED'!$A$3,"Mese",12,"Tipologia",$A86),0)
+IFERROR(GETPIVOTDATA("Somma di DARE",'Pivot RakBank EUR'!$A$3,"Mese",12,"Tipologia",$A86),0)
- IFERROR(GETPIVOTDATA("Somma di AVERE",'Pivot RakBank EUR'!$A$3,"Mese",12,"Tipologia",$A86),0)
+IFERROR(GETPIVOTDATA("Somma di DARE",'Pivot Fineco Sa'!$A$3,"Mese",12,"Tipologia",$A86),0)
+ IFERROR(GETPIVOTDATA("Somma di DARE",'Pivot Fineco St'!$A$3,"Mese",12,"Tipologia",$A86),0)
+ Contanti!AT7
+ IFERROR(GETPIVOTDATA("Somma di DARE",'Pivot BBVA'!$A$3,"Mese",12,"Tipologia",$A86),0)
+ IFERROR(GETPIVOTDATA("Somma di DARE",'Pivot Amex'!$A$3,"Mese",12,"Tipologia",$A86),0)
- IFERROR(GETPIVOTDATA("Somma di AVERE",'Pivot Amex'!$A$3,"Mese",12,"Tipologia",$A86),0)
- IFERROR(GETPIVOTDATA("Somma di AVERE",'Pivot BBVA'!$A$3,"Mese",12,"Tipologia",$A86),0)
- IFERROR(GETPIVOTDATA("Somma di AVERE",'Pivot Fineco St'!$A$3,"Mese",12,"Tipologia",$A86),0)
- IFERROR(GETPIVOTDATA("Somma di AVERE",'Pivot Fineco Sa'!$A$3,"Mese",12,"Tipologia",$A86),0)
+ IFERROR(GETPIVOTDATA("Somma di DARE",'Pivot PP Visa'!$A$3,"Mese",12,"Tipologia",$A86),0)
- IFERROR(GETPIVOTDATA("Somma di AVERE",'Pivot PP Visa'!$A$3,"Mese",12,"Tipologia",$A86),0)
+ IFERROR(GETPIVOTDATA("Somma di DARE",'Pivot Revolut'!$A$3,"Mese",12,"Tipologia",$A86),0)
- IFERROR(GETPIVOTDATA("Somma di AVERE",'Pivot Revolut'!$A$3,"Mese",12,"Tipologia",$A86),0)</f>
        <v>0</v>
      </c>
      <c r="O86" s="252">
        <f t="shared" si="3"/>
        <v>31.979999999999997</v>
      </c>
      <c r="P86" s="243">
        <f t="shared" ca="1" si="4"/>
        <v>4.5685714285714285</v>
      </c>
    </row>
    <row r="87" spans="1:16" s="125" customFormat="1" ht="21" customHeight="1" x14ac:dyDescent="0.2">
      <c r="A87" s="251" t="s">
        <v>135</v>
      </c>
      <c r="B87" s="251"/>
      <c r="C87" s="243">
        <f>IFERROR(GETPIVOTDATA("Somma di DARE EUR",'Pivot RakBank AED'!$A$3,"Mese",1,"Tipologia",$A87),0)
- IFERROR(GETPIVOTDATA("Somma di AVERE EUR",'Pivot RakBank AED'!$A$3,"Mese",1,"Tipologia",$A87),0)
+IFERROR(GETPIVOTDATA("Somma di DARE",'Pivot RakBank EUR'!$A$3,"Mese",1,"Tipologia",$A87),0)
- IFERROR(GETPIVOTDATA("Somma di AVERE",'Pivot RakBank EUR'!$A$3,"Mese",1,"Tipologia",$A87),0)
+IFERROR(GETPIVOTDATA("Somma di DARE",'Pivot Fineco Sa'!$A$3,"Mese",1,"Tipologia",$A87),0)
+ IFERROR(GETPIVOTDATA("Somma di DARE",'Pivot Fineco St'!$A$3,"Mese",1,"Tipologia",$A87),0)
+ Contanti!B8
+ IFERROR(GETPIVOTDATA("Somma di DARE",'Pivot BBVA'!$A$3,"Mese",1,"Tipologia",$A87),0)
+ IFERROR(GETPIVOTDATA("Somma di DARE",'Pivot Amex'!$A$3,"Mese",1,"Tipologia",$A87),0)
- IFERROR(GETPIVOTDATA("Somma di AVERE",'Pivot Amex'!$A$3,"Mese",1,"Tipologia",$A87),0)
- IFERROR(GETPIVOTDATA("Somma di AVERE",'Pivot BBVA'!$A$3,"Mese",1,"Tipologia",$A87),0)
- IFERROR(GETPIVOTDATA("Somma di AVERE",'Pivot Fineco St'!$A$3,"Mese",1,"Tipologia",$A87),0)
- IFERROR(GETPIVOTDATA("Somma di AVERE",'Pivot Fineco Sa'!$A$3,"Mese",1,"Tipologia",$A87),0)
+ IFERROR(GETPIVOTDATA("Somma di DARE",'Pivot PP Visa'!$A$3,"Mese",1,"Tipologia",$A87),0)
- IFERROR(GETPIVOTDATA("Somma di AVERE",'Pivot PP Visa'!$A$3,"Mese",1,"Tipologia",$A87),0)
+ IFERROR(GETPIVOTDATA("Somma di DARE",'Pivot Revolut'!$A$3,"Mese",1,"Tipologia",$A87),0)
- IFERROR(GETPIVOTDATA("Somma di AVERE",'Pivot Revolut'!$A$3,"Mese",1,"Tipologia",$A87),0)</f>
        <v>0</v>
      </c>
      <c r="D87" s="243">
        <f>IFERROR(GETPIVOTDATA("Somma di DARE EUR",'Pivot RakBank AED'!$A$3,"Mese",2,"Tipologia",$A87),0)
- IFERROR(GETPIVOTDATA("Somma di AVERE EUR",'Pivot RakBank AED'!$A$3,"Mese",2,"Tipologia",$A87),0)
+IFERROR(GETPIVOTDATA("Somma di DARE",'Pivot RakBank EUR'!$A$3,"Mese",2,"Tipologia",$A87),0)
- IFERROR(GETPIVOTDATA("Somma di AVERE",'Pivot RakBank EUR'!$A$3,"Mese",2,"Tipologia",$A87),0)
+IFERROR(GETPIVOTDATA("Somma di DARE",'Pivot Fineco Sa'!$A$3,"Mese",2,"Tipologia",$A87),0)
+ IFERROR(GETPIVOTDATA("Somma di DARE",'Pivot Fineco St'!$A$3,"Mese",2,"Tipologia",$A87),0)
+ Contanti!F8
+ IFERROR(GETPIVOTDATA("Somma di DARE",'Pivot BBVA'!$A$3,"Mese",2,"Tipologia",$A87),0)
+ IFERROR(GETPIVOTDATA("Somma di DARE",'Pivot Amex'!$A$3,"Mese",2,"Tipologia",$A87),0)
- IFERROR(GETPIVOTDATA("Somma di AVERE",'Pivot Amex'!$A$3,"Mese",2,"Tipologia",$A87),0)
- IFERROR(GETPIVOTDATA("Somma di AVERE",'Pivot BBVA'!$A$3,"Mese",2,"Tipologia",$A87),0)
- IFERROR(GETPIVOTDATA("Somma di AVERE",'Pivot Fineco St'!$A$3,"Mese",2,"Tipologia",$A87),0)
- IFERROR(GETPIVOTDATA("Somma di AVERE",'Pivot Fineco Sa'!$A$3,"Mese",2,"Tipologia",$A87),0)
+ IFERROR(GETPIVOTDATA("Somma di DARE",'Pivot PP Visa'!$A$3,"Mese",2,"Tipologia",$A87),0)
- IFERROR(GETPIVOTDATA("Somma di AVERE",'Pivot PP Visa'!$A$3,"Mese",2,"Tipologia",$A87),0)
+ IFERROR(GETPIVOTDATA("Somma di DARE",'Pivot Revolut'!$A$3,"Mese",2,"Tipologia",$A87),0)
- IFERROR(GETPIVOTDATA("Somma di AVERE",'Pivot Revolut'!$A$3,"Mese",2,"Tipologia",$A87),0)</f>
        <v>0</v>
      </c>
      <c r="E87" s="243">
        <f>IFERROR(GETPIVOTDATA("Somma di DARE EUR",'Pivot RakBank AED'!$A$3,"Mese",3,"Tipologia",$A87),0)
- IFERROR(GETPIVOTDATA("Somma di AVERE EUR",'Pivot RakBank AED'!$A$3,"Mese",3,"Tipologia",$A87),0)
+IFERROR(GETPIVOTDATA("Somma di DARE",'Pivot RakBank EUR'!$A$3,"Mese",3,"Tipologia",$A87),0)
- IFERROR(GETPIVOTDATA("Somma di AVERE",'Pivot RakBank EUR'!$A$3,"Mese",3,"Tipologia",$A87),0)
+IFERROR(GETPIVOTDATA("Somma di DARE",'Pivot Fineco Sa'!$A$3,"Mese",3,"Tipologia",$A87),0)
+ IFERROR(GETPIVOTDATA("Somma di DARE",'Pivot Fineco St'!$A$3,"Mese",3,"Tipologia",$A87),0)
+ Contanti!J8
+ IFERROR(GETPIVOTDATA("Somma di DARE",'Pivot BBVA'!$A$3,"Mese",3,"Tipologia",$A87),0)
+ IFERROR(GETPIVOTDATA("Somma di DARE",'Pivot Amex'!$A$3,"Mese",3,"Tipologia",$A87),0)
- IFERROR(GETPIVOTDATA("Somma di AVERE",'Pivot Amex'!$A$3,"Mese",3,"Tipologia",$A87),0)
- IFERROR(GETPIVOTDATA("Somma di AVERE",'Pivot BBVA'!$A$3,"Mese",3,"Tipologia",$A87),0)
- IFERROR(GETPIVOTDATA("Somma di AVERE",'Pivot Fineco St'!$A$3,"Mese",3,"Tipologia",$A87),0)
- IFERROR(GETPIVOTDATA("Somma di AVERE",'Pivot Fineco Sa'!$A$3,"Mese",3,"Tipologia",$A87),0)
+ IFERROR(GETPIVOTDATA("Somma di DARE",'Pivot PP Visa'!$A$3,"Mese",3,"Tipologia",$A87),0)
- IFERROR(GETPIVOTDATA("Somma di AVERE",'Pivot PP Visa'!$A$3,"Mese",3,"Tipologia",$A87),0)
+ IFERROR(GETPIVOTDATA("Somma di DARE",'Pivot Revolut'!$A$3,"Mese",3,"Tipologia",$A87),0)
- IFERROR(GETPIVOTDATA("Somma di AVERE",'Pivot Revolut'!$A$3,"Mese",3,"Tipologia",$A87),0)</f>
        <v>0</v>
      </c>
      <c r="F87" s="243">
        <f>IFERROR(GETPIVOTDATA("Somma di DARE EUR",'Pivot RakBank AED'!$A$3,"Mese",4,"Tipologia",$A87),0)
- IFERROR(GETPIVOTDATA("Somma di AVERE EUR",'Pivot RakBank AED'!$A$3,"Mese",4,"Tipologia",$A87),0)
+IFERROR(GETPIVOTDATA("Somma di DARE",'Pivot RakBank EUR'!$A$3,"Mese",4,"Tipologia",$A87),0)
- IFERROR(GETPIVOTDATA("Somma di AVERE",'Pivot RakBank EUR'!$A$3,"Mese",4,"Tipologia",$A87),0)
+IFERROR(GETPIVOTDATA("Somma di DARE",'Pivot Fineco Sa'!$A$3,"Mese",4,"Tipologia",$A87),0)
+ IFERROR(GETPIVOTDATA("Somma di DARE",'Pivot Fineco St'!$A$3,"Mese",4,"Tipologia",$A87),0)
+ Contanti!N8
+ IFERROR(GETPIVOTDATA("Somma di DARE",'Pivot BBVA'!$A$3,"Mese",4,"Tipologia",$A87),0)
+ IFERROR(GETPIVOTDATA("Somma di DARE",'Pivot Amex'!$A$3,"Mese",4,"Tipologia",$A87),0)
- IFERROR(GETPIVOTDATA("Somma di AVERE",'Pivot Amex'!$A$3,"Mese",4,"Tipologia",$A87),0)
- IFERROR(GETPIVOTDATA("Somma di AVERE",'Pivot BBVA'!$A$3,"Mese",4,"Tipologia",$A87),0)
- IFERROR(GETPIVOTDATA("Somma di AVERE",'Pivot Fineco St'!$A$3,"Mese",4,"Tipologia",$A87),0)
- IFERROR(GETPIVOTDATA("Somma di AVERE",'Pivot Fineco Sa'!$A$3,"Mese",4,"Tipologia",$A87),0)
+ IFERROR(GETPIVOTDATA("Somma di DARE",'Pivot PP Visa'!$A$3,"Mese",4,"Tipologia",$A87),0)
- IFERROR(GETPIVOTDATA("Somma di AVERE",'Pivot PP Visa'!$A$3,"Mese",4,"Tipologia",$A87),0)
+ IFERROR(GETPIVOTDATA("Somma di DARE",'Pivot Revolut'!$A$3,"Mese",4,"Tipologia",$A87),0)
- IFERROR(GETPIVOTDATA("Somma di AVERE",'Pivot Revolut'!$A$3,"Mese",4,"Tipologia",$A87),0)</f>
        <v>0</v>
      </c>
      <c r="G87" s="243">
        <f>IFERROR(GETPIVOTDATA("Somma di DARE EUR",'Pivot RakBank AED'!$A$3,"Mese",5,"Tipologia",$A87),0)
- IFERROR(GETPIVOTDATA("Somma di AVERE EUR",'Pivot RakBank AED'!$A$3,"Mese",5,"Tipologia",$A87),0)
+IFERROR(GETPIVOTDATA("Somma di DARE",'Pivot RakBank EUR'!$A$3,"Mese",5,"Tipologia",$A87),0)
- IFERROR(GETPIVOTDATA("Somma di AVERE",'Pivot RakBank EUR'!$A$3,"Mese",5,"Tipologia",$A87),0)
+IFERROR(GETPIVOTDATA("Somma di DARE",'Pivot Fineco Sa'!$A$3,"Mese",5,"Tipologia",$A87),0)
+ IFERROR(GETPIVOTDATA("Somma di DARE",'Pivot Fineco St'!$A$3,"Mese",5,"Tipologia",$A87),0)
+ Contanti!R8
+ IFERROR(GETPIVOTDATA("Somma di DARE",'Pivot BBVA'!$A$3,"Mese",5,"Tipologia",$A87),0)
+ IFERROR(GETPIVOTDATA("Somma di DARE",'Pivot Amex'!$A$3,"Mese",5,"Tipologia",$A87),0)
- IFERROR(GETPIVOTDATA("Somma di AVERE",'Pivot Amex'!$A$3,"Mese",5,"Tipologia",$A87),0)
- IFERROR(GETPIVOTDATA("Somma di AVERE",'Pivot BBVA'!$A$3,"Mese",5,"Tipologia",$A87),0)
- IFERROR(GETPIVOTDATA("Somma di AVERE",'Pivot Fineco St'!$A$3,"Mese",5,"Tipologia",$A87),0)
- IFERROR(GETPIVOTDATA("Somma di AVERE",'Pivot Fineco Sa'!$A$3,"Mese",5,"Tipologia",$A87),0)
+ IFERROR(GETPIVOTDATA("Somma di DARE",'Pivot PP Visa'!$A$3,"Mese",5,"Tipologia",$A87),0)
- IFERROR(GETPIVOTDATA("Somma di AVERE",'Pivot PP Visa'!$A$3,"Mese",5,"Tipologia",$A87),0)
+ IFERROR(GETPIVOTDATA("Somma di DARE",'Pivot Revolut'!$A$3,"Mese",5,"Tipologia",$A87),0)
- IFERROR(GETPIVOTDATA("Somma di AVERE",'Pivot Revolut'!$A$3,"Mese",5,"Tipologia",$A87),0)</f>
        <v>0</v>
      </c>
      <c r="H87" s="243">
        <f>IFERROR(GETPIVOTDATA("Somma di DARE EUR",'Pivot RakBank AED'!$A$3,"Mese",6,"Tipologia",$A87),0)
- IFERROR(GETPIVOTDATA("Somma di AVERE EUR",'Pivot RakBank AED'!$A$3,"Mese",6,"Tipologia",$A87),0)
+IFERROR(GETPIVOTDATA("Somma di DARE",'Pivot RakBank EUR'!$A$3,"Mese",6,"Tipologia",$A87),0)
- IFERROR(GETPIVOTDATA("Somma di AVERE",'Pivot RakBank EUR'!$A$3,"Mese",6,"Tipologia",$A87),0)
+IFERROR(GETPIVOTDATA("Somma di DARE",'Pivot Fineco Sa'!$A$3,"Mese",6,"Tipologia",$A87),0)
+ IFERROR(GETPIVOTDATA("Somma di DARE",'Pivot Fineco St'!$A$3,"Mese",6,"Tipologia",$A87),0)
+ Contanti!V8
+ IFERROR(GETPIVOTDATA("Somma di DARE",'Pivot BBVA'!$A$3,"Mese",6,"Tipologia",$A87),0)
+ IFERROR(GETPIVOTDATA("Somma di DARE",'Pivot Amex'!$A$3,"Mese",6,"Tipologia",$A87),0)
- IFERROR(GETPIVOTDATA("Somma di AVERE",'Pivot Amex'!$A$3,"Mese",6,"Tipologia",$A87),0)
- IFERROR(GETPIVOTDATA("Somma di AVERE",'Pivot BBVA'!$A$3,"Mese",6,"Tipologia",$A87),0)
- IFERROR(GETPIVOTDATA("Somma di AVERE",'Pivot Fineco St'!$A$3,"Mese",6,"Tipologia",$A87),0)
- IFERROR(GETPIVOTDATA("Somma di AVERE",'Pivot Fineco Sa'!$A$3,"Mese",6,"Tipologia",$A87),0)
+ IFERROR(GETPIVOTDATA("Somma di DARE",'Pivot PP Visa'!$A$3,"Mese",6,"Tipologia",$A87),0)
- IFERROR(GETPIVOTDATA("Somma di AVERE",'Pivot PP Visa'!$A$3,"Mese",6,"Tipologia",$A87),0)
+ IFERROR(GETPIVOTDATA("Somma di DARE",'Pivot Revolut'!$A$3,"Mese",6,"Tipologia",$A87),0)
- IFERROR(GETPIVOTDATA("Somma di AVERE",'Pivot Revolut'!$A$3,"Mese",6,"Tipologia",$A87),0)</f>
        <v>0</v>
      </c>
      <c r="I87" s="243">
        <f>IFERROR(GETPIVOTDATA("Somma di DARE EUR",'Pivot RakBank AED'!$A$3,"Mese",7,"Tipologia",$A87),0)
- IFERROR(GETPIVOTDATA("Somma di AVERE EUR",'Pivot RakBank AED'!$A$3,"Mese",7,"Tipologia",$A87),0)
+IFERROR(GETPIVOTDATA("Somma di DARE",'Pivot RakBank EUR'!$A$3,"Mese",7,"Tipologia",$A87),0)
- IFERROR(GETPIVOTDATA("Somma di AVERE",'Pivot RakBank EUR'!$A$3,"Mese",7,"Tipologia",$A87),0)
+IFERROR(GETPIVOTDATA("Somma di DARE",'Pivot Fineco Sa'!$A$3,"Mese",7,"Tipologia",$A87),0)
+ IFERROR(GETPIVOTDATA("Somma di DARE",'Pivot Fineco St'!$A$3,"Mese",7,"Tipologia",$A87),0)
+ Contanti!Z8
+ IFERROR(GETPIVOTDATA("Somma di DARE",'Pivot BBVA'!$A$3,"Mese",7,"Tipologia",$A87),0)
+ IFERROR(GETPIVOTDATA("Somma di DARE",'Pivot Amex'!$A$3,"Mese",7,"Tipologia",$A87),0)
- IFERROR(GETPIVOTDATA("Somma di AVERE",'Pivot Amex'!$A$3,"Mese",7,"Tipologia",$A87),0)
- IFERROR(GETPIVOTDATA("Somma di AVERE",'Pivot BBVA'!$A$3,"Mese",7,"Tipologia",$A87),0)
- IFERROR(GETPIVOTDATA("Somma di AVERE",'Pivot Fineco St'!$A$3,"Mese",7,"Tipologia",$A87),0)
- IFERROR(GETPIVOTDATA("Somma di AVERE",'Pivot Fineco Sa'!$A$3,"Mese",7,"Tipologia",$A87),0)
+ IFERROR(GETPIVOTDATA("Somma di DARE",'Pivot PP Visa'!$A$3,"Mese",7,"Tipologia",$A87),0)
- IFERROR(GETPIVOTDATA("Somma di AVERE",'Pivot PP Visa'!$A$3,"Mese",7,"Tipologia",$A87),0)
+ IFERROR(GETPIVOTDATA("Somma di DARE",'Pivot Revolut'!$A$3,"Mese",7,"Tipologia",$A87),0)
- IFERROR(GETPIVOTDATA("Somma di AVERE",'Pivot Revolut'!$A$3,"Mese",7,"Tipologia",$A87),0)</f>
        <v>0</v>
      </c>
      <c r="J87" s="243">
        <f>IFERROR(GETPIVOTDATA("Somma di DARE EUR",'Pivot RakBank AED'!$A$3,"Mese",8,"Tipologia",$A87),0)
- IFERROR(GETPIVOTDATA("Somma di AVERE EUR",'Pivot RakBank AED'!$A$3,"Mese",8,"Tipologia",$A87),0)
+IFERROR(GETPIVOTDATA("Somma di DARE",'Pivot RakBank EUR'!$A$3,"Mese",8,"Tipologia",$A87),0)
- IFERROR(GETPIVOTDATA("Somma di AVERE",'Pivot RakBank EUR'!$A$3,"Mese",8,"Tipologia",$A87),0)
+IFERROR(GETPIVOTDATA("Somma di DARE",'Pivot Fineco Sa'!$A$3,"Mese",8,"Tipologia",$A87),0)
+ IFERROR(GETPIVOTDATA("Somma di DARE",'Pivot Fineco St'!$A$3,"Mese",8,"Tipologia",$A87),0)
+ Contanti!AD8
+ IFERROR(GETPIVOTDATA("Somma di DARE",'Pivot BBVA'!$A$3,"Mese",8,"Tipologia",$A87),0)
+ IFERROR(GETPIVOTDATA("Somma di DARE",'Pivot Amex'!$A$3,"Mese",8,"Tipologia",$A87),0)
- IFERROR(GETPIVOTDATA("Somma di AVERE",'Pivot Amex'!$A$3,"Mese",8,"Tipologia",$A87),0)
- IFERROR(GETPIVOTDATA("Somma di AVERE",'Pivot BBVA'!$A$3,"Mese",8,"Tipologia",$A87),0)
- IFERROR(GETPIVOTDATA("Somma di AVERE",'Pivot Fineco St'!$A$3,"Mese",8,"Tipologia",$A87),0)
- IFERROR(GETPIVOTDATA("Somma di AVERE",'Pivot Fineco Sa'!$A$3,"Mese",8,"Tipologia",$A87),0)
+ IFERROR(GETPIVOTDATA("Somma di DARE",'Pivot PP Visa'!$A$3,"Mese",8,"Tipologia",$A87),0)
- IFERROR(GETPIVOTDATA("Somma di AVERE",'Pivot PP Visa'!$A$3,"Mese",8,"Tipologia",$A87),0)
+ IFERROR(GETPIVOTDATA("Somma di DARE",'Pivot Revolut'!$A$3,"Mese",8,"Tipologia",$A87),0)
- IFERROR(GETPIVOTDATA("Somma di AVERE",'Pivot Revolut'!$A$3,"Mese",8,"Tipologia",$A87),0)</f>
        <v>0</v>
      </c>
      <c r="K87" s="243">
        <f>IFERROR(GETPIVOTDATA("Somma di DARE EUR",'Pivot RakBank AED'!$A$3,"Mese",9,"Tipologia",$A87),0)
- IFERROR(GETPIVOTDATA("Somma di AVERE EUR",'Pivot RakBank AED'!$A$3,"Mese",9,"Tipologia",$A87),0)
+IFERROR(GETPIVOTDATA("Somma di DARE",'Pivot RakBank EUR'!$A$3,"Mese",9,"Tipologia",$A87),0)
- IFERROR(GETPIVOTDATA("Somma di AVERE",'Pivot RakBank EUR'!$A$3,"Mese",9,"Tipologia",$A87),0)
+IFERROR(GETPIVOTDATA("Somma di DARE",'Pivot Fineco Sa'!$A$3,"Mese",9,"Tipologia",$A87),0)
+ IFERROR(GETPIVOTDATA("Somma di DARE",'Pivot Fineco St'!$A$3,"Mese",9,"Tipologia",$A87),0)
+ Contanti!AH8
+ IFERROR(GETPIVOTDATA("Somma di DARE",'Pivot BBVA'!$A$3,"Mese",9,"Tipologia",$A87),0)
+ IFERROR(GETPIVOTDATA("Somma di DARE",'Pivot Amex'!$A$3,"Mese",9,"Tipologia",$A87),0)
- IFERROR(GETPIVOTDATA("Somma di AVERE",'Pivot Amex'!$A$3,"Mese",9,"Tipologia",$A87),0)
- IFERROR(GETPIVOTDATA("Somma di AVERE",'Pivot BBVA'!$A$3,"Mese",9,"Tipologia",$A87),0)
- IFERROR(GETPIVOTDATA("Somma di AVERE",'Pivot Fineco St'!$A$3,"Mese",9,"Tipologia",$A87),0)
- IFERROR(GETPIVOTDATA("Somma di AVERE",'Pivot Fineco Sa'!$A$3,"Mese",9,"Tipologia",$A87),0)
+ IFERROR(GETPIVOTDATA("Somma di DARE",'Pivot PP Visa'!$A$3,"Mese",9,"Tipologia",$A87),0)
- IFERROR(GETPIVOTDATA("Somma di AVERE",'Pivot PP Visa'!$A$3,"Mese",9,"Tipologia",$A87),0)
+ IFERROR(GETPIVOTDATA("Somma di DARE",'Pivot Revolut'!$A$3,"Mese",9,"Tipologia",$A87),0)
- IFERROR(GETPIVOTDATA("Somma di AVERE",'Pivot Revolut'!$A$3,"Mese",9,"Tipologia",$A87),0)</f>
        <v>0</v>
      </c>
      <c r="L87" s="243">
        <f>IFERROR(GETPIVOTDATA("Somma di DARE EUR",'Pivot RakBank AED'!$A$3,"Mese",10,"Tipologia",$A87),0)
- IFERROR(GETPIVOTDATA("Somma di AVERE EUR",'Pivot RakBank AED'!$A$3,"Mese",10,"Tipologia",$A87),0)
+IFERROR(GETPIVOTDATA("Somma di DARE",'Pivot RakBank EUR'!$A$3,"Mese",10,"Tipologia",$A87),0)
- IFERROR(GETPIVOTDATA("Somma di AVERE",'Pivot RakBank EUR'!$A$3,"Mese",10,"Tipologia",$A87),0)
+IFERROR(GETPIVOTDATA("Somma di DARE",'Pivot Fineco Sa'!$A$3,"Mese",10,"Tipologia",$A87),0)
+ IFERROR(GETPIVOTDATA("Somma di DARE",'Pivot Fineco St'!$A$3,"Mese",10,"Tipologia",$A87),0)
+ Contanti!AL8
+ IFERROR(GETPIVOTDATA("Somma di DARE",'Pivot BBVA'!$A$3,"Mese",10,"Tipologia",$A87),0)
+ IFERROR(GETPIVOTDATA("Somma di DARE",'Pivot Amex'!$A$3,"Mese",10,"Tipologia",$A87),0)
- IFERROR(GETPIVOTDATA("Somma di AVERE",'Pivot Amex'!$A$3,"Mese",10,"Tipologia",$A87),0)
- IFERROR(GETPIVOTDATA("Somma di AVERE",'Pivot BBVA'!$A$3,"Mese",10,"Tipologia",$A87),0)
- IFERROR(GETPIVOTDATA("Somma di AVERE",'Pivot Fineco St'!$A$3,"Mese",10,"Tipologia",$A87),0)
- IFERROR(GETPIVOTDATA("Somma di AVERE",'Pivot Fineco Sa'!$A$3,"Mese",10,"Tipologia",$A87),0)
+ IFERROR(GETPIVOTDATA("Somma di DARE",'Pivot PP Visa'!$A$3,"Mese",10,"Tipologia",$A87),0)
- IFERROR(GETPIVOTDATA("Somma di AVERE",'Pivot PP Visa'!$A$3,"Mese",10,"Tipologia",$A87),0)
+ IFERROR(GETPIVOTDATA("Somma di DARE",'Pivot Revolut'!$A$3,"Mese",10,"Tipologia",$A87),0)
- IFERROR(GETPIVOTDATA("Somma di AVERE",'Pivot Revolut'!$A$3,"Mese",10,"Tipologia",$A87),0)</f>
        <v>0</v>
      </c>
      <c r="M87" s="243">
        <f>IFERROR(GETPIVOTDATA("Somma di DARE EUR",'Pivot RakBank AED'!$A$3,"Mese",11,"Tipologia",$A87),0)
- IFERROR(GETPIVOTDATA("Somma di AVERE EUR",'Pivot RakBank AED'!$A$3,"Mese",11,"Tipologia",$A87),0)
+IFERROR(GETPIVOTDATA("Somma di DARE",'Pivot RakBank EUR'!$A$3,"Mese",11,"Tipologia",$A87),0)
- IFERROR(GETPIVOTDATA("Somma di AVERE",'Pivot RakBank EUR'!$A$3,"Mese",11,"Tipologia",$A87),0)
+IFERROR(GETPIVOTDATA("Somma di DARE",'Pivot Fineco Sa'!$A$3,"Mese",11,"Tipologia",$A87),0)
+ IFERROR(GETPIVOTDATA("Somma di DARE",'Pivot Fineco St'!$A$3,"Mese",11,"Tipologia",$A87),0)
+ Contanti!AP8
+ IFERROR(GETPIVOTDATA("Somma di DARE",'Pivot BBVA'!$A$3,"Mese",11,"Tipologia",$A87),0)
+ IFERROR(GETPIVOTDATA("Somma di DARE",'Pivot Amex'!$A$3,"Mese",11,"Tipologia",$A87),0)
- IFERROR(GETPIVOTDATA("Somma di AVERE",'Pivot Amex'!$A$3,"Mese",11,"Tipologia",$A87),0)
- IFERROR(GETPIVOTDATA("Somma di AVERE",'Pivot BBVA'!$A$3,"Mese",11,"Tipologia",$A87),0)
- IFERROR(GETPIVOTDATA("Somma di AVERE",'Pivot Fineco St'!$A$3,"Mese",11,"Tipologia",$A87),0)
- IFERROR(GETPIVOTDATA("Somma di AVERE",'Pivot Fineco Sa'!$A$3,"Mese",11,"Tipologia",$A87),0)
+ IFERROR(GETPIVOTDATA("Somma di DARE",'Pivot PP Visa'!$A$3,"Mese",11,"Tipologia",$A87),0)
- IFERROR(GETPIVOTDATA("Somma di AVERE",'Pivot PP Visa'!$A$3,"Mese",11,"Tipologia",$A87),0)
+ IFERROR(GETPIVOTDATA("Somma di DARE",'Pivot Revolut'!$A$3,"Mese",11,"Tipologia",$A87),0)
- IFERROR(GETPIVOTDATA("Somma di AVERE",'Pivot Revolut'!$A$3,"Mese",11,"Tipologia",$A87),0)</f>
        <v>0</v>
      </c>
      <c r="N87" s="243">
        <f>IFERROR(GETPIVOTDATA("Somma di DARE EUR",'Pivot RakBank AED'!$A$3,"Mese",12,"Tipologia",$A87),0)
- IFERROR(GETPIVOTDATA("Somma di AVERE EUR",'Pivot RakBank AED'!$A$3,"Mese",12,"Tipologia",$A87),0)
+IFERROR(GETPIVOTDATA("Somma di DARE",'Pivot RakBank EUR'!$A$3,"Mese",12,"Tipologia",$A87),0)
- IFERROR(GETPIVOTDATA("Somma di AVERE",'Pivot RakBank EUR'!$A$3,"Mese",12,"Tipologia",$A87),0)
+IFERROR(GETPIVOTDATA("Somma di DARE",'Pivot Fineco Sa'!$A$3,"Mese",12,"Tipologia",$A87),0)
+ IFERROR(GETPIVOTDATA("Somma di DARE",'Pivot Fineco St'!$A$3,"Mese",12,"Tipologia",$A87),0)
+ Contanti!AT8
+ IFERROR(GETPIVOTDATA("Somma di DARE",'Pivot BBVA'!$A$3,"Mese",12,"Tipologia",$A87),0)
+ IFERROR(GETPIVOTDATA("Somma di DARE",'Pivot Amex'!$A$3,"Mese",12,"Tipologia",$A87),0)
- IFERROR(GETPIVOTDATA("Somma di AVERE",'Pivot Amex'!$A$3,"Mese",12,"Tipologia",$A87),0)
- IFERROR(GETPIVOTDATA("Somma di AVERE",'Pivot BBVA'!$A$3,"Mese",12,"Tipologia",$A87),0)
- IFERROR(GETPIVOTDATA("Somma di AVERE",'Pivot Fineco St'!$A$3,"Mese",12,"Tipologia",$A87),0)
- IFERROR(GETPIVOTDATA("Somma di AVERE",'Pivot Fineco Sa'!$A$3,"Mese",12,"Tipologia",$A87),0)
+ IFERROR(GETPIVOTDATA("Somma di DARE",'Pivot PP Visa'!$A$3,"Mese",12,"Tipologia",$A87),0)
- IFERROR(GETPIVOTDATA("Somma di AVERE",'Pivot PP Visa'!$A$3,"Mese",12,"Tipologia",$A87),0)
+ IFERROR(GETPIVOTDATA("Somma di DARE",'Pivot Revolut'!$A$3,"Mese",12,"Tipologia",$A87),0)
- IFERROR(GETPIVOTDATA("Somma di AVERE",'Pivot Revolut'!$A$3,"Mese",12,"Tipologia",$A87),0)</f>
        <v>0</v>
      </c>
      <c r="O87" s="252">
        <f t="shared" si="3"/>
        <v>0</v>
      </c>
      <c r="P87" s="243">
        <f t="shared" ca="1" si="4"/>
        <v>0</v>
      </c>
    </row>
    <row r="88" spans="1:16" s="125" customFormat="1" ht="21" customHeight="1" x14ac:dyDescent="0.2">
      <c r="A88" s="251" t="s">
        <v>401</v>
      </c>
      <c r="B88" s="251"/>
      <c r="C88" s="243">
        <f>IFERROR(GETPIVOTDATA("Somma di DARE EUR",'Pivot RakBank AED'!$A$3,"Mese",1,"Tipologia",$A88),0)
- IFERROR(GETPIVOTDATA("Somma di AVERE EUR",'Pivot RakBank AED'!$A$3,"Mese",1,"Tipologia",$A88),0)
+IFERROR(GETPIVOTDATA("Somma di DARE",'Pivot RakBank EUR'!$A$3,"Mese",1,"Tipologia",$A88),0)
- IFERROR(GETPIVOTDATA("Somma di AVERE",'Pivot RakBank EUR'!$A$3,"Mese",1,"Tipologia",$A88),0)
+IFERROR(GETPIVOTDATA("Somma di DARE",'Pivot Fineco Sa'!$A$3,"Mese",1,"Tipologia",$A88),0)
+ IFERROR(GETPIVOTDATA("Somma di DARE",'Pivot Fineco St'!$A$3,"Mese",1,"Tipologia",$A88),0)
+ Contanti!B9
+ IFERROR(GETPIVOTDATA("Somma di DARE",'Pivot BBVA'!$A$3,"Mese",1,"Tipologia",$A88),0)
+ IFERROR(GETPIVOTDATA("Somma di DARE",'Pivot Amex'!$A$3,"Mese",1,"Tipologia",$A88),0)
- IFERROR(GETPIVOTDATA("Somma di AVERE",'Pivot Amex'!$A$3,"Mese",1,"Tipologia",$A88),0)
- IFERROR(GETPIVOTDATA("Somma di AVERE",'Pivot BBVA'!$A$3,"Mese",1,"Tipologia",$A88),0)
- IFERROR(GETPIVOTDATA("Somma di AVERE",'Pivot Fineco St'!$A$3,"Mese",1,"Tipologia",$A88),0)
- IFERROR(GETPIVOTDATA("Somma di AVERE",'Pivot Fineco Sa'!$A$3,"Mese",1,"Tipologia",$A88),0)
+ IFERROR(GETPIVOTDATA("Somma di DARE",'Pivot PP Visa'!$A$3,"Mese",1,"Tipologia",$A88),0)
- IFERROR(GETPIVOTDATA("Somma di AVERE",'Pivot PP Visa'!$A$3,"Mese",1,"Tipologia",$A88),0)
+ IFERROR(GETPIVOTDATA("Somma di DARE",'Pivot Revolut'!$A$3,"Mese",1,"Tipologia",$A88),0)
- IFERROR(GETPIVOTDATA("Somma di AVERE",'Pivot Revolut'!$A$3,"Mese",1,"Tipologia",$A88),0)</f>
        <v>0</v>
      </c>
      <c r="D88" s="243">
        <f>IFERROR(GETPIVOTDATA("Somma di DARE EUR",'Pivot RakBank AED'!$A$3,"Mese",2,"Tipologia",$A88),0)
- IFERROR(GETPIVOTDATA("Somma di AVERE EUR",'Pivot RakBank AED'!$A$3,"Mese",2,"Tipologia",$A88),0)
+IFERROR(GETPIVOTDATA("Somma di DARE",'Pivot RakBank EUR'!$A$3,"Mese",2,"Tipologia",$A88),0)
- IFERROR(GETPIVOTDATA("Somma di AVERE",'Pivot RakBank EUR'!$A$3,"Mese",2,"Tipologia",$A88),0)
+IFERROR(GETPIVOTDATA("Somma di DARE",'Pivot Fineco Sa'!$A$3,"Mese",2,"Tipologia",$A88),0)
+ IFERROR(GETPIVOTDATA("Somma di DARE",'Pivot Fineco St'!$A$3,"Mese",2,"Tipologia",$A88),0)
+ Contanti!F9
+ IFERROR(GETPIVOTDATA("Somma di DARE",'Pivot BBVA'!$A$3,"Mese",2,"Tipologia",$A88),0)
+ IFERROR(GETPIVOTDATA("Somma di DARE",'Pivot Amex'!$A$3,"Mese",2,"Tipologia",$A88),0)
- IFERROR(GETPIVOTDATA("Somma di AVERE",'Pivot Amex'!$A$3,"Mese",2,"Tipologia",$A88),0)
- IFERROR(GETPIVOTDATA("Somma di AVERE",'Pivot BBVA'!$A$3,"Mese",2,"Tipologia",$A88),0)
- IFERROR(GETPIVOTDATA("Somma di AVERE",'Pivot Fineco St'!$A$3,"Mese",2,"Tipologia",$A88),0)
- IFERROR(GETPIVOTDATA("Somma di AVERE",'Pivot Fineco Sa'!$A$3,"Mese",2,"Tipologia",$A88),0)
+ IFERROR(GETPIVOTDATA("Somma di DARE",'Pivot PP Visa'!$A$3,"Mese",2,"Tipologia",$A88),0)
- IFERROR(GETPIVOTDATA("Somma di AVERE",'Pivot PP Visa'!$A$3,"Mese",2,"Tipologia",$A88),0)
+ IFERROR(GETPIVOTDATA("Somma di DARE",'Pivot Revolut'!$A$3,"Mese",2,"Tipologia",$A88),0)
- IFERROR(GETPIVOTDATA("Somma di AVERE",'Pivot Revolut'!$A$3,"Mese",2,"Tipologia",$A88),0)</f>
        <v>8.2799999999999994</v>
      </c>
      <c r="E88" s="243">
        <f>IFERROR(GETPIVOTDATA("Somma di DARE EUR",'Pivot RakBank AED'!$A$3,"Mese",3,"Tipologia",$A88),0)
- IFERROR(GETPIVOTDATA("Somma di AVERE EUR",'Pivot RakBank AED'!$A$3,"Mese",3,"Tipologia",$A88),0)
+IFERROR(GETPIVOTDATA("Somma di DARE",'Pivot RakBank EUR'!$A$3,"Mese",3,"Tipologia",$A88),0)
- IFERROR(GETPIVOTDATA("Somma di AVERE",'Pivot RakBank EUR'!$A$3,"Mese",3,"Tipologia",$A88),0)
+IFERROR(GETPIVOTDATA("Somma di DARE",'Pivot Fineco Sa'!$A$3,"Mese",3,"Tipologia",$A88),0)
+ IFERROR(GETPIVOTDATA("Somma di DARE",'Pivot Fineco St'!$A$3,"Mese",3,"Tipologia",$A88),0)
+ Contanti!J9
+ IFERROR(GETPIVOTDATA("Somma di DARE",'Pivot BBVA'!$A$3,"Mese",3,"Tipologia",$A88),0)
+ IFERROR(GETPIVOTDATA("Somma di DARE",'Pivot Amex'!$A$3,"Mese",3,"Tipologia",$A88),0)
- IFERROR(GETPIVOTDATA("Somma di AVERE",'Pivot Amex'!$A$3,"Mese",3,"Tipologia",$A88),0)
- IFERROR(GETPIVOTDATA("Somma di AVERE",'Pivot BBVA'!$A$3,"Mese",3,"Tipologia",$A88),0)
- IFERROR(GETPIVOTDATA("Somma di AVERE",'Pivot Fineco St'!$A$3,"Mese",3,"Tipologia",$A88),0)
- IFERROR(GETPIVOTDATA("Somma di AVERE",'Pivot Fineco Sa'!$A$3,"Mese",3,"Tipologia",$A88),0)
+ IFERROR(GETPIVOTDATA("Somma di DARE",'Pivot PP Visa'!$A$3,"Mese",3,"Tipologia",$A88),0)
- IFERROR(GETPIVOTDATA("Somma di AVERE",'Pivot PP Visa'!$A$3,"Mese",3,"Tipologia",$A88),0)
+ IFERROR(GETPIVOTDATA("Somma di DARE",'Pivot Revolut'!$A$3,"Mese",3,"Tipologia",$A88),0)
- IFERROR(GETPIVOTDATA("Somma di AVERE",'Pivot Revolut'!$A$3,"Mese",3,"Tipologia",$A88),0)</f>
        <v>34.489999999999995</v>
      </c>
      <c r="F88" s="243">
        <f>IFERROR(GETPIVOTDATA("Somma di DARE EUR",'Pivot RakBank AED'!$A$3,"Mese",4,"Tipologia",$A88),0)
- IFERROR(GETPIVOTDATA("Somma di AVERE EUR",'Pivot RakBank AED'!$A$3,"Mese",4,"Tipologia",$A88),0)
+IFERROR(GETPIVOTDATA("Somma di DARE",'Pivot RakBank EUR'!$A$3,"Mese",4,"Tipologia",$A88),0)
- IFERROR(GETPIVOTDATA("Somma di AVERE",'Pivot RakBank EUR'!$A$3,"Mese",4,"Tipologia",$A88),0)
+IFERROR(GETPIVOTDATA("Somma di DARE",'Pivot Fineco Sa'!$A$3,"Mese",4,"Tipologia",$A88),0)
+ IFERROR(GETPIVOTDATA("Somma di DARE",'Pivot Fineco St'!$A$3,"Mese",4,"Tipologia",$A88),0)
+ Contanti!N9
+ IFERROR(GETPIVOTDATA("Somma di DARE",'Pivot BBVA'!$A$3,"Mese",4,"Tipologia",$A88),0)
+ IFERROR(GETPIVOTDATA("Somma di DARE",'Pivot Amex'!$A$3,"Mese",4,"Tipologia",$A88),0)
- IFERROR(GETPIVOTDATA("Somma di AVERE",'Pivot Amex'!$A$3,"Mese",4,"Tipologia",$A88),0)
- IFERROR(GETPIVOTDATA("Somma di AVERE",'Pivot BBVA'!$A$3,"Mese",4,"Tipologia",$A88),0)
- IFERROR(GETPIVOTDATA("Somma di AVERE",'Pivot Fineco St'!$A$3,"Mese",4,"Tipologia",$A88),0)
- IFERROR(GETPIVOTDATA("Somma di AVERE",'Pivot Fineco Sa'!$A$3,"Mese",4,"Tipologia",$A88),0)
+ IFERROR(GETPIVOTDATA("Somma di DARE",'Pivot PP Visa'!$A$3,"Mese",4,"Tipologia",$A88),0)
- IFERROR(GETPIVOTDATA("Somma di AVERE",'Pivot PP Visa'!$A$3,"Mese",4,"Tipologia",$A88),0)
+ IFERROR(GETPIVOTDATA("Somma di DARE",'Pivot Revolut'!$A$3,"Mese",4,"Tipologia",$A88),0)
- IFERROR(GETPIVOTDATA("Somma di AVERE",'Pivot Revolut'!$A$3,"Mese",4,"Tipologia",$A88),0)</f>
        <v>11.17</v>
      </c>
      <c r="G88" s="243">
        <f>IFERROR(GETPIVOTDATA("Somma di DARE EUR",'Pivot RakBank AED'!$A$3,"Mese",5,"Tipologia",$A88),0)
- IFERROR(GETPIVOTDATA("Somma di AVERE EUR",'Pivot RakBank AED'!$A$3,"Mese",5,"Tipologia",$A88),0)
+IFERROR(GETPIVOTDATA("Somma di DARE",'Pivot RakBank EUR'!$A$3,"Mese",5,"Tipologia",$A88),0)
- IFERROR(GETPIVOTDATA("Somma di AVERE",'Pivot RakBank EUR'!$A$3,"Mese",5,"Tipologia",$A88),0)
+IFERROR(GETPIVOTDATA("Somma di DARE",'Pivot Fineco Sa'!$A$3,"Mese",5,"Tipologia",$A88),0)
+ IFERROR(GETPIVOTDATA("Somma di DARE",'Pivot Fineco St'!$A$3,"Mese",5,"Tipologia",$A88),0)
+ Contanti!R9
+ IFERROR(GETPIVOTDATA("Somma di DARE",'Pivot BBVA'!$A$3,"Mese",5,"Tipologia",$A88),0)
+ IFERROR(GETPIVOTDATA("Somma di DARE",'Pivot Amex'!$A$3,"Mese",5,"Tipologia",$A88),0)
- IFERROR(GETPIVOTDATA("Somma di AVERE",'Pivot Amex'!$A$3,"Mese",5,"Tipologia",$A88),0)
- IFERROR(GETPIVOTDATA("Somma di AVERE",'Pivot BBVA'!$A$3,"Mese",5,"Tipologia",$A88),0)
- IFERROR(GETPIVOTDATA("Somma di AVERE",'Pivot Fineco St'!$A$3,"Mese",5,"Tipologia",$A88),0)
- IFERROR(GETPIVOTDATA("Somma di AVERE",'Pivot Fineco Sa'!$A$3,"Mese",5,"Tipologia",$A88),0)
+ IFERROR(GETPIVOTDATA("Somma di DARE",'Pivot PP Visa'!$A$3,"Mese",5,"Tipologia",$A88),0)
- IFERROR(GETPIVOTDATA("Somma di AVERE",'Pivot PP Visa'!$A$3,"Mese",5,"Tipologia",$A88),0)
+ IFERROR(GETPIVOTDATA("Somma di DARE",'Pivot Revolut'!$A$3,"Mese",5,"Tipologia",$A88),0)
- IFERROR(GETPIVOTDATA("Somma di AVERE",'Pivot Revolut'!$A$3,"Mese",5,"Tipologia",$A88),0)</f>
        <v>17.329999999999998</v>
      </c>
      <c r="H88" s="243">
        <f>IFERROR(GETPIVOTDATA("Somma di DARE EUR",'Pivot RakBank AED'!$A$3,"Mese",6,"Tipologia",$A88),0)
- IFERROR(GETPIVOTDATA("Somma di AVERE EUR",'Pivot RakBank AED'!$A$3,"Mese",6,"Tipologia",$A88),0)
+IFERROR(GETPIVOTDATA("Somma di DARE",'Pivot RakBank EUR'!$A$3,"Mese",6,"Tipologia",$A88),0)
- IFERROR(GETPIVOTDATA("Somma di AVERE",'Pivot RakBank EUR'!$A$3,"Mese",6,"Tipologia",$A88),0)
+IFERROR(GETPIVOTDATA("Somma di DARE",'Pivot Fineco Sa'!$A$3,"Mese",6,"Tipologia",$A88),0)
+ IFERROR(GETPIVOTDATA("Somma di DARE",'Pivot Fineco St'!$A$3,"Mese",6,"Tipologia",$A88),0)
+ Contanti!V9
+ IFERROR(GETPIVOTDATA("Somma di DARE",'Pivot BBVA'!$A$3,"Mese",6,"Tipologia",$A88),0)
+ IFERROR(GETPIVOTDATA("Somma di DARE",'Pivot Amex'!$A$3,"Mese",6,"Tipologia",$A88),0)
- IFERROR(GETPIVOTDATA("Somma di AVERE",'Pivot Amex'!$A$3,"Mese",6,"Tipologia",$A88),0)
- IFERROR(GETPIVOTDATA("Somma di AVERE",'Pivot BBVA'!$A$3,"Mese",6,"Tipologia",$A88),0)
- IFERROR(GETPIVOTDATA("Somma di AVERE",'Pivot Fineco St'!$A$3,"Mese",6,"Tipologia",$A88),0)
- IFERROR(GETPIVOTDATA("Somma di AVERE",'Pivot Fineco Sa'!$A$3,"Mese",6,"Tipologia",$A88),0)
+ IFERROR(GETPIVOTDATA("Somma di DARE",'Pivot PP Visa'!$A$3,"Mese",6,"Tipologia",$A88),0)
- IFERROR(GETPIVOTDATA("Somma di AVERE",'Pivot PP Visa'!$A$3,"Mese",6,"Tipologia",$A88),0)
+ IFERROR(GETPIVOTDATA("Somma di DARE",'Pivot Revolut'!$A$3,"Mese",6,"Tipologia",$A88),0)
- IFERROR(GETPIVOTDATA("Somma di AVERE",'Pivot Revolut'!$A$3,"Mese",6,"Tipologia",$A88),0)</f>
        <v>0</v>
      </c>
      <c r="I88" s="243">
        <f>IFERROR(GETPIVOTDATA("Somma di DARE EUR",'Pivot RakBank AED'!$A$3,"Mese",7,"Tipologia",$A88),0)
- IFERROR(GETPIVOTDATA("Somma di AVERE EUR",'Pivot RakBank AED'!$A$3,"Mese",7,"Tipologia",$A88),0)
+IFERROR(GETPIVOTDATA("Somma di DARE",'Pivot RakBank EUR'!$A$3,"Mese",7,"Tipologia",$A88),0)
- IFERROR(GETPIVOTDATA("Somma di AVERE",'Pivot RakBank EUR'!$A$3,"Mese",7,"Tipologia",$A88),0)
+IFERROR(GETPIVOTDATA("Somma di DARE",'Pivot Fineco Sa'!$A$3,"Mese",7,"Tipologia",$A88),0)
+ IFERROR(GETPIVOTDATA("Somma di DARE",'Pivot Fineco St'!$A$3,"Mese",7,"Tipologia",$A88),0)
+ Contanti!Z9
+ IFERROR(GETPIVOTDATA("Somma di DARE",'Pivot BBVA'!$A$3,"Mese",7,"Tipologia",$A88),0)
+ IFERROR(GETPIVOTDATA("Somma di DARE",'Pivot Amex'!$A$3,"Mese",7,"Tipologia",$A88),0)
- IFERROR(GETPIVOTDATA("Somma di AVERE",'Pivot Amex'!$A$3,"Mese",7,"Tipologia",$A88),0)
- IFERROR(GETPIVOTDATA("Somma di AVERE",'Pivot BBVA'!$A$3,"Mese",7,"Tipologia",$A88),0)
- IFERROR(GETPIVOTDATA("Somma di AVERE",'Pivot Fineco St'!$A$3,"Mese",7,"Tipologia",$A88),0)
- IFERROR(GETPIVOTDATA("Somma di AVERE",'Pivot Fineco Sa'!$A$3,"Mese",7,"Tipologia",$A88),0)
+ IFERROR(GETPIVOTDATA("Somma di DARE",'Pivot PP Visa'!$A$3,"Mese",7,"Tipologia",$A88),0)
- IFERROR(GETPIVOTDATA("Somma di AVERE",'Pivot PP Visa'!$A$3,"Mese",7,"Tipologia",$A88),0)
+ IFERROR(GETPIVOTDATA("Somma di DARE",'Pivot Revolut'!$A$3,"Mese",7,"Tipologia",$A88),0)
- IFERROR(GETPIVOTDATA("Somma di AVERE",'Pivot Revolut'!$A$3,"Mese",7,"Tipologia",$A88),0)</f>
        <v>16.720000000000002</v>
      </c>
      <c r="J88" s="243">
        <f>IFERROR(GETPIVOTDATA("Somma di DARE EUR",'Pivot RakBank AED'!$A$3,"Mese",8,"Tipologia",$A88),0)
- IFERROR(GETPIVOTDATA("Somma di AVERE EUR",'Pivot RakBank AED'!$A$3,"Mese",8,"Tipologia",$A88),0)
+IFERROR(GETPIVOTDATA("Somma di DARE",'Pivot RakBank EUR'!$A$3,"Mese",8,"Tipologia",$A88),0)
- IFERROR(GETPIVOTDATA("Somma di AVERE",'Pivot RakBank EUR'!$A$3,"Mese",8,"Tipologia",$A88),0)
+IFERROR(GETPIVOTDATA("Somma di DARE",'Pivot Fineco Sa'!$A$3,"Mese",8,"Tipologia",$A88),0)
+ IFERROR(GETPIVOTDATA("Somma di DARE",'Pivot Fineco St'!$A$3,"Mese",8,"Tipologia",$A88),0)
+ Contanti!AD9
+ IFERROR(GETPIVOTDATA("Somma di DARE",'Pivot BBVA'!$A$3,"Mese",8,"Tipologia",$A88),0)
+ IFERROR(GETPIVOTDATA("Somma di DARE",'Pivot Amex'!$A$3,"Mese",8,"Tipologia",$A88),0)
- IFERROR(GETPIVOTDATA("Somma di AVERE",'Pivot Amex'!$A$3,"Mese",8,"Tipologia",$A88),0)
- IFERROR(GETPIVOTDATA("Somma di AVERE",'Pivot BBVA'!$A$3,"Mese",8,"Tipologia",$A88),0)
- IFERROR(GETPIVOTDATA("Somma di AVERE",'Pivot Fineco St'!$A$3,"Mese",8,"Tipologia",$A88),0)
- IFERROR(GETPIVOTDATA("Somma di AVERE",'Pivot Fineco Sa'!$A$3,"Mese",8,"Tipologia",$A88),0)
+ IFERROR(GETPIVOTDATA("Somma di DARE",'Pivot PP Visa'!$A$3,"Mese",8,"Tipologia",$A88),0)
- IFERROR(GETPIVOTDATA("Somma di AVERE",'Pivot PP Visa'!$A$3,"Mese",8,"Tipologia",$A88),0)
+ IFERROR(GETPIVOTDATA("Somma di DARE",'Pivot Revolut'!$A$3,"Mese",8,"Tipologia",$A88),0)
- IFERROR(GETPIVOTDATA("Somma di AVERE",'Pivot Revolut'!$A$3,"Mese",8,"Tipologia",$A88),0)</f>
        <v>0</v>
      </c>
      <c r="K88" s="243">
        <f>IFERROR(GETPIVOTDATA("Somma di DARE EUR",'Pivot RakBank AED'!$A$3,"Mese",9,"Tipologia",$A88),0)
- IFERROR(GETPIVOTDATA("Somma di AVERE EUR",'Pivot RakBank AED'!$A$3,"Mese",9,"Tipologia",$A88),0)
+IFERROR(GETPIVOTDATA("Somma di DARE",'Pivot RakBank EUR'!$A$3,"Mese",9,"Tipologia",$A88),0)
- IFERROR(GETPIVOTDATA("Somma di AVERE",'Pivot RakBank EUR'!$A$3,"Mese",9,"Tipologia",$A88),0)
+IFERROR(GETPIVOTDATA("Somma di DARE",'Pivot Fineco Sa'!$A$3,"Mese",9,"Tipologia",$A88),0)
+ IFERROR(GETPIVOTDATA("Somma di DARE",'Pivot Fineco St'!$A$3,"Mese",9,"Tipologia",$A88),0)
+ Contanti!AH9
+ IFERROR(GETPIVOTDATA("Somma di DARE",'Pivot BBVA'!$A$3,"Mese",9,"Tipologia",$A88),0)
+ IFERROR(GETPIVOTDATA("Somma di DARE",'Pivot Amex'!$A$3,"Mese",9,"Tipologia",$A88),0)
- IFERROR(GETPIVOTDATA("Somma di AVERE",'Pivot Amex'!$A$3,"Mese",9,"Tipologia",$A88),0)
- IFERROR(GETPIVOTDATA("Somma di AVERE",'Pivot BBVA'!$A$3,"Mese",9,"Tipologia",$A88),0)
- IFERROR(GETPIVOTDATA("Somma di AVERE",'Pivot Fineco St'!$A$3,"Mese",9,"Tipologia",$A88),0)
- IFERROR(GETPIVOTDATA("Somma di AVERE",'Pivot Fineco Sa'!$A$3,"Mese",9,"Tipologia",$A88),0)
+ IFERROR(GETPIVOTDATA("Somma di DARE",'Pivot PP Visa'!$A$3,"Mese",9,"Tipologia",$A88),0)
- IFERROR(GETPIVOTDATA("Somma di AVERE",'Pivot PP Visa'!$A$3,"Mese",9,"Tipologia",$A88),0)
+ IFERROR(GETPIVOTDATA("Somma di DARE",'Pivot Revolut'!$A$3,"Mese",9,"Tipologia",$A88),0)
- IFERROR(GETPIVOTDATA("Somma di AVERE",'Pivot Revolut'!$A$3,"Mese",9,"Tipologia",$A88),0)</f>
        <v>0</v>
      </c>
      <c r="L88" s="243">
        <f>IFERROR(GETPIVOTDATA("Somma di DARE EUR",'Pivot RakBank AED'!$A$3,"Mese",10,"Tipologia",$A88),0)
- IFERROR(GETPIVOTDATA("Somma di AVERE EUR",'Pivot RakBank AED'!$A$3,"Mese",10,"Tipologia",$A88),0)
+IFERROR(GETPIVOTDATA("Somma di DARE",'Pivot RakBank EUR'!$A$3,"Mese",10,"Tipologia",$A88),0)
- IFERROR(GETPIVOTDATA("Somma di AVERE",'Pivot RakBank EUR'!$A$3,"Mese",10,"Tipologia",$A88),0)
+IFERROR(GETPIVOTDATA("Somma di DARE",'Pivot Fineco Sa'!$A$3,"Mese",10,"Tipologia",$A88),0)
+ IFERROR(GETPIVOTDATA("Somma di DARE",'Pivot Fineco St'!$A$3,"Mese",10,"Tipologia",$A88),0)
+ Contanti!AL9
+ IFERROR(GETPIVOTDATA("Somma di DARE",'Pivot BBVA'!$A$3,"Mese",10,"Tipologia",$A88),0)
+ IFERROR(GETPIVOTDATA("Somma di DARE",'Pivot Amex'!$A$3,"Mese",10,"Tipologia",$A88),0)
- IFERROR(GETPIVOTDATA("Somma di AVERE",'Pivot Amex'!$A$3,"Mese",10,"Tipologia",$A88),0)
- IFERROR(GETPIVOTDATA("Somma di AVERE",'Pivot BBVA'!$A$3,"Mese",10,"Tipologia",$A88),0)
- IFERROR(GETPIVOTDATA("Somma di AVERE",'Pivot Fineco St'!$A$3,"Mese",10,"Tipologia",$A88),0)
- IFERROR(GETPIVOTDATA("Somma di AVERE",'Pivot Fineco Sa'!$A$3,"Mese",10,"Tipologia",$A88),0)
+ IFERROR(GETPIVOTDATA("Somma di DARE",'Pivot PP Visa'!$A$3,"Mese",10,"Tipologia",$A88),0)
- IFERROR(GETPIVOTDATA("Somma di AVERE",'Pivot PP Visa'!$A$3,"Mese",10,"Tipologia",$A88),0)
+ IFERROR(GETPIVOTDATA("Somma di DARE",'Pivot Revolut'!$A$3,"Mese",10,"Tipologia",$A88),0)
- IFERROR(GETPIVOTDATA("Somma di AVERE",'Pivot Revolut'!$A$3,"Mese",10,"Tipologia",$A88),0)</f>
        <v>0</v>
      </c>
      <c r="M88" s="243">
        <f>IFERROR(GETPIVOTDATA("Somma di DARE EUR",'Pivot RakBank AED'!$A$3,"Mese",11,"Tipologia",$A88),0)
- IFERROR(GETPIVOTDATA("Somma di AVERE EUR",'Pivot RakBank AED'!$A$3,"Mese",11,"Tipologia",$A88),0)
+IFERROR(GETPIVOTDATA("Somma di DARE",'Pivot RakBank EUR'!$A$3,"Mese",11,"Tipologia",$A88),0)
- IFERROR(GETPIVOTDATA("Somma di AVERE",'Pivot RakBank EUR'!$A$3,"Mese",11,"Tipologia",$A88),0)
+IFERROR(GETPIVOTDATA("Somma di DARE",'Pivot Fineco Sa'!$A$3,"Mese",11,"Tipologia",$A88),0)
+ IFERROR(GETPIVOTDATA("Somma di DARE",'Pivot Fineco St'!$A$3,"Mese",11,"Tipologia",$A88),0)
+ Contanti!AP9
+ IFERROR(GETPIVOTDATA("Somma di DARE",'Pivot BBVA'!$A$3,"Mese",11,"Tipologia",$A88),0)
+ IFERROR(GETPIVOTDATA("Somma di DARE",'Pivot Amex'!$A$3,"Mese",11,"Tipologia",$A88),0)
- IFERROR(GETPIVOTDATA("Somma di AVERE",'Pivot Amex'!$A$3,"Mese",11,"Tipologia",$A88),0)
- IFERROR(GETPIVOTDATA("Somma di AVERE",'Pivot BBVA'!$A$3,"Mese",11,"Tipologia",$A88),0)
- IFERROR(GETPIVOTDATA("Somma di AVERE",'Pivot Fineco St'!$A$3,"Mese",11,"Tipologia",$A88),0)
- IFERROR(GETPIVOTDATA("Somma di AVERE",'Pivot Fineco Sa'!$A$3,"Mese",11,"Tipologia",$A88),0)
+ IFERROR(GETPIVOTDATA("Somma di DARE",'Pivot PP Visa'!$A$3,"Mese",11,"Tipologia",$A88),0)
- IFERROR(GETPIVOTDATA("Somma di AVERE",'Pivot PP Visa'!$A$3,"Mese",11,"Tipologia",$A88),0)
+ IFERROR(GETPIVOTDATA("Somma di DARE",'Pivot Revolut'!$A$3,"Mese",11,"Tipologia",$A88),0)
- IFERROR(GETPIVOTDATA("Somma di AVERE",'Pivot Revolut'!$A$3,"Mese",11,"Tipologia",$A88),0)</f>
        <v>0</v>
      </c>
      <c r="N88" s="243">
        <f>IFERROR(GETPIVOTDATA("Somma di DARE EUR",'Pivot RakBank AED'!$A$3,"Mese",12,"Tipologia",$A88),0)
- IFERROR(GETPIVOTDATA("Somma di AVERE EUR",'Pivot RakBank AED'!$A$3,"Mese",12,"Tipologia",$A88),0)
+IFERROR(GETPIVOTDATA("Somma di DARE",'Pivot RakBank EUR'!$A$3,"Mese",12,"Tipologia",$A88),0)
- IFERROR(GETPIVOTDATA("Somma di AVERE",'Pivot RakBank EUR'!$A$3,"Mese",12,"Tipologia",$A88),0)
+IFERROR(GETPIVOTDATA("Somma di DARE",'Pivot Fineco Sa'!$A$3,"Mese",12,"Tipologia",$A88),0)
+ IFERROR(GETPIVOTDATA("Somma di DARE",'Pivot Fineco St'!$A$3,"Mese",12,"Tipologia",$A88),0)
+ Contanti!AT9
+ IFERROR(GETPIVOTDATA("Somma di DARE",'Pivot BBVA'!$A$3,"Mese",12,"Tipologia",$A88),0)
+ IFERROR(GETPIVOTDATA("Somma di DARE",'Pivot Amex'!$A$3,"Mese",12,"Tipologia",$A88),0)
- IFERROR(GETPIVOTDATA("Somma di AVERE",'Pivot Amex'!$A$3,"Mese",12,"Tipologia",$A88),0)
- IFERROR(GETPIVOTDATA("Somma di AVERE",'Pivot BBVA'!$A$3,"Mese",12,"Tipologia",$A88),0)
- IFERROR(GETPIVOTDATA("Somma di AVERE",'Pivot Fineco St'!$A$3,"Mese",12,"Tipologia",$A88),0)
- IFERROR(GETPIVOTDATA("Somma di AVERE",'Pivot Fineco Sa'!$A$3,"Mese",12,"Tipologia",$A88),0)
+ IFERROR(GETPIVOTDATA("Somma di DARE",'Pivot PP Visa'!$A$3,"Mese",12,"Tipologia",$A88),0)
- IFERROR(GETPIVOTDATA("Somma di AVERE",'Pivot PP Visa'!$A$3,"Mese",12,"Tipologia",$A88),0)
+ IFERROR(GETPIVOTDATA("Somma di DARE",'Pivot Revolut'!$A$3,"Mese",12,"Tipologia",$A88),0)
- IFERROR(GETPIVOTDATA("Somma di AVERE",'Pivot Revolut'!$A$3,"Mese",12,"Tipologia",$A88),0)</f>
        <v>0</v>
      </c>
      <c r="O88" s="252">
        <f t="shared" si="3"/>
        <v>87.99</v>
      </c>
      <c r="P88" s="243">
        <f t="shared" ca="1" si="4"/>
        <v>12.569999999999999</v>
      </c>
    </row>
    <row r="89" spans="1:16" s="125" customFormat="1" ht="21" customHeight="1" x14ac:dyDescent="0.2">
      <c r="A89" s="251" t="s">
        <v>136</v>
      </c>
      <c r="B89" s="251"/>
      <c r="C89" s="243">
        <f>IFERROR(GETPIVOTDATA("Somma di DARE EUR",'Pivot RakBank AED'!$A$3,"Mese",1,"Tipologia",$A89),0)
- IFERROR(GETPIVOTDATA("Somma di AVERE EUR",'Pivot RakBank AED'!$A$3,"Mese",1,"Tipologia",$A89),0)
+IFERROR(GETPIVOTDATA("Somma di DARE",'Pivot RakBank EUR'!$A$3,"Mese",1,"Tipologia",$A89),0)
- IFERROR(GETPIVOTDATA("Somma di AVERE",'Pivot RakBank EUR'!$A$3,"Mese",1,"Tipologia",$A89),0)
+IFERROR(GETPIVOTDATA("Somma di DARE",'Pivot Fineco Sa'!$A$3,"Mese",1,"Tipologia",$A89),0)
+ IFERROR(GETPIVOTDATA("Somma di DARE",'Pivot Fineco St'!$A$3,"Mese",1,"Tipologia",$A89),0)
+ Contanti!B10
+ IFERROR(GETPIVOTDATA("Somma di DARE",'Pivot BBVA'!$A$3,"Mese",1,"Tipologia",$A89),0)
+ IFERROR(GETPIVOTDATA("Somma di DARE",'Pivot Amex'!$A$3,"Mese",1,"Tipologia",$A89),0)
- IFERROR(GETPIVOTDATA("Somma di AVERE",'Pivot Amex'!$A$3,"Mese",1,"Tipologia",$A89),0)
- IFERROR(GETPIVOTDATA("Somma di AVERE",'Pivot BBVA'!$A$3,"Mese",1,"Tipologia",$A89),0)
- IFERROR(GETPIVOTDATA("Somma di AVERE",'Pivot Fineco St'!$A$3,"Mese",1,"Tipologia",$A89),0)
- IFERROR(GETPIVOTDATA("Somma di AVERE",'Pivot Fineco Sa'!$A$3,"Mese",1,"Tipologia",$A89),0)
+ IFERROR(GETPIVOTDATA("Somma di DARE",'Pivot PP Visa'!$A$3,"Mese",1,"Tipologia",$A89),0)
- IFERROR(GETPIVOTDATA("Somma di AVERE",'Pivot PP Visa'!$A$3,"Mese",1,"Tipologia",$A89),0)
+ IFERROR(GETPIVOTDATA("Somma di DARE",'Pivot Revolut'!$A$3,"Mese",1,"Tipologia",$A89),0)
- IFERROR(GETPIVOTDATA("Somma di AVERE",'Pivot Revolut'!$A$3,"Mese",1,"Tipologia",$A89),0)</f>
        <v>0</v>
      </c>
      <c r="D89" s="243">
        <f>IFERROR(GETPIVOTDATA("Somma di DARE EUR",'Pivot RakBank AED'!$A$3,"Mese",2,"Tipologia",$A89),0)
- IFERROR(GETPIVOTDATA("Somma di AVERE EUR",'Pivot RakBank AED'!$A$3,"Mese",2,"Tipologia",$A89),0)
+IFERROR(GETPIVOTDATA("Somma di DARE",'Pivot RakBank EUR'!$A$3,"Mese",2,"Tipologia",$A89),0)
- IFERROR(GETPIVOTDATA("Somma di AVERE",'Pivot RakBank EUR'!$A$3,"Mese",2,"Tipologia",$A89),0)
+IFERROR(GETPIVOTDATA("Somma di DARE",'Pivot Fineco Sa'!$A$3,"Mese",2,"Tipologia",$A89),0)
+ IFERROR(GETPIVOTDATA("Somma di DARE",'Pivot Fineco St'!$A$3,"Mese",2,"Tipologia",$A89),0)
+ Contanti!F10
+ IFERROR(GETPIVOTDATA("Somma di DARE",'Pivot BBVA'!$A$3,"Mese",2,"Tipologia",$A89),0)
+ IFERROR(GETPIVOTDATA("Somma di DARE",'Pivot Amex'!$A$3,"Mese",2,"Tipologia",$A89),0)
- IFERROR(GETPIVOTDATA("Somma di AVERE",'Pivot Amex'!$A$3,"Mese",2,"Tipologia",$A89),0)
- IFERROR(GETPIVOTDATA("Somma di AVERE",'Pivot BBVA'!$A$3,"Mese",2,"Tipologia",$A89),0)
- IFERROR(GETPIVOTDATA("Somma di AVERE",'Pivot Fineco St'!$A$3,"Mese",2,"Tipologia",$A89),0)
- IFERROR(GETPIVOTDATA("Somma di AVERE",'Pivot Fineco Sa'!$A$3,"Mese",2,"Tipologia",$A89),0)
+ IFERROR(GETPIVOTDATA("Somma di DARE",'Pivot PP Visa'!$A$3,"Mese",2,"Tipologia",$A89),0)
- IFERROR(GETPIVOTDATA("Somma di AVERE",'Pivot PP Visa'!$A$3,"Mese",2,"Tipologia",$A89),0)
+ IFERROR(GETPIVOTDATA("Somma di DARE",'Pivot Revolut'!$A$3,"Mese",2,"Tipologia",$A89),0)
- IFERROR(GETPIVOTDATA("Somma di AVERE",'Pivot Revolut'!$A$3,"Mese",2,"Tipologia",$A89),0)</f>
        <v>0</v>
      </c>
      <c r="E89" s="243">
        <f>IFERROR(GETPIVOTDATA("Somma di DARE EUR",'Pivot RakBank AED'!$A$3,"Mese",3,"Tipologia",$A89),0)
- IFERROR(GETPIVOTDATA("Somma di AVERE EUR",'Pivot RakBank AED'!$A$3,"Mese",3,"Tipologia",$A89),0)
+IFERROR(GETPIVOTDATA("Somma di DARE",'Pivot RakBank EUR'!$A$3,"Mese",3,"Tipologia",$A89),0)
- IFERROR(GETPIVOTDATA("Somma di AVERE",'Pivot RakBank EUR'!$A$3,"Mese",3,"Tipologia",$A89),0)
+IFERROR(GETPIVOTDATA("Somma di DARE",'Pivot Fineco Sa'!$A$3,"Mese",3,"Tipologia",$A89),0)
+ IFERROR(GETPIVOTDATA("Somma di DARE",'Pivot Fineco St'!$A$3,"Mese",3,"Tipologia",$A89),0)
+ Contanti!J10
+ IFERROR(GETPIVOTDATA("Somma di DARE",'Pivot BBVA'!$A$3,"Mese",3,"Tipologia",$A89),0)
+ IFERROR(GETPIVOTDATA("Somma di DARE",'Pivot Amex'!$A$3,"Mese",3,"Tipologia",$A89),0)
- IFERROR(GETPIVOTDATA("Somma di AVERE",'Pivot Amex'!$A$3,"Mese",3,"Tipologia",$A89),0)
- IFERROR(GETPIVOTDATA("Somma di AVERE",'Pivot BBVA'!$A$3,"Mese",3,"Tipologia",$A89),0)
- IFERROR(GETPIVOTDATA("Somma di AVERE",'Pivot Fineco St'!$A$3,"Mese",3,"Tipologia",$A89),0)
- IFERROR(GETPIVOTDATA("Somma di AVERE",'Pivot Fineco Sa'!$A$3,"Mese",3,"Tipologia",$A89),0)
+ IFERROR(GETPIVOTDATA("Somma di DARE",'Pivot PP Visa'!$A$3,"Mese",3,"Tipologia",$A89),0)
- IFERROR(GETPIVOTDATA("Somma di AVERE",'Pivot PP Visa'!$A$3,"Mese",3,"Tipologia",$A89),0)
+ IFERROR(GETPIVOTDATA("Somma di DARE",'Pivot Revolut'!$A$3,"Mese",3,"Tipologia",$A89),0)
- IFERROR(GETPIVOTDATA("Somma di AVERE",'Pivot Revolut'!$A$3,"Mese",3,"Tipologia",$A89),0)</f>
        <v>0</v>
      </c>
      <c r="F89" s="243">
        <f>IFERROR(GETPIVOTDATA("Somma di DARE EUR",'Pivot RakBank AED'!$A$3,"Mese",4,"Tipologia",$A89),0)
- IFERROR(GETPIVOTDATA("Somma di AVERE EUR",'Pivot RakBank AED'!$A$3,"Mese",4,"Tipologia",$A89),0)
+IFERROR(GETPIVOTDATA("Somma di DARE",'Pivot RakBank EUR'!$A$3,"Mese",4,"Tipologia",$A89),0)
- IFERROR(GETPIVOTDATA("Somma di AVERE",'Pivot RakBank EUR'!$A$3,"Mese",4,"Tipologia",$A89),0)
+IFERROR(GETPIVOTDATA("Somma di DARE",'Pivot Fineco Sa'!$A$3,"Mese",4,"Tipologia",$A89),0)
+ IFERROR(GETPIVOTDATA("Somma di DARE",'Pivot Fineco St'!$A$3,"Mese",4,"Tipologia",$A89),0)
+ Contanti!N10
+ IFERROR(GETPIVOTDATA("Somma di DARE",'Pivot BBVA'!$A$3,"Mese",4,"Tipologia",$A89),0)
+ IFERROR(GETPIVOTDATA("Somma di DARE",'Pivot Amex'!$A$3,"Mese",4,"Tipologia",$A89),0)
- IFERROR(GETPIVOTDATA("Somma di AVERE",'Pivot Amex'!$A$3,"Mese",4,"Tipologia",$A89),0)
- IFERROR(GETPIVOTDATA("Somma di AVERE",'Pivot BBVA'!$A$3,"Mese",4,"Tipologia",$A89),0)
- IFERROR(GETPIVOTDATA("Somma di AVERE",'Pivot Fineco St'!$A$3,"Mese",4,"Tipologia",$A89),0)
- IFERROR(GETPIVOTDATA("Somma di AVERE",'Pivot Fineco Sa'!$A$3,"Mese",4,"Tipologia",$A89),0)
+ IFERROR(GETPIVOTDATA("Somma di DARE",'Pivot PP Visa'!$A$3,"Mese",4,"Tipologia",$A89),0)
- IFERROR(GETPIVOTDATA("Somma di AVERE",'Pivot PP Visa'!$A$3,"Mese",4,"Tipologia",$A89),0)
+ IFERROR(GETPIVOTDATA("Somma di DARE",'Pivot Revolut'!$A$3,"Mese",4,"Tipologia",$A89),0)
- IFERROR(GETPIVOTDATA("Somma di AVERE",'Pivot Revolut'!$A$3,"Mese",4,"Tipologia",$A89),0)</f>
        <v>39.99</v>
      </c>
      <c r="G89" s="243">
        <f>IFERROR(GETPIVOTDATA("Somma di DARE EUR",'Pivot RakBank AED'!$A$3,"Mese",5,"Tipologia",$A89),0)
- IFERROR(GETPIVOTDATA("Somma di AVERE EUR",'Pivot RakBank AED'!$A$3,"Mese",5,"Tipologia",$A89),0)
+IFERROR(GETPIVOTDATA("Somma di DARE",'Pivot RakBank EUR'!$A$3,"Mese",5,"Tipologia",$A89),0)
- IFERROR(GETPIVOTDATA("Somma di AVERE",'Pivot RakBank EUR'!$A$3,"Mese",5,"Tipologia",$A89),0)
+IFERROR(GETPIVOTDATA("Somma di DARE",'Pivot Fineco Sa'!$A$3,"Mese",5,"Tipologia",$A89),0)
+ IFERROR(GETPIVOTDATA("Somma di DARE",'Pivot Fineco St'!$A$3,"Mese",5,"Tipologia",$A89),0)
+ Contanti!R10
+ IFERROR(GETPIVOTDATA("Somma di DARE",'Pivot BBVA'!$A$3,"Mese",5,"Tipologia",$A89),0)
+ IFERROR(GETPIVOTDATA("Somma di DARE",'Pivot Amex'!$A$3,"Mese",5,"Tipologia",$A89),0)
- IFERROR(GETPIVOTDATA("Somma di AVERE",'Pivot Amex'!$A$3,"Mese",5,"Tipologia",$A89),0)
- IFERROR(GETPIVOTDATA("Somma di AVERE",'Pivot BBVA'!$A$3,"Mese",5,"Tipologia",$A89),0)
- IFERROR(GETPIVOTDATA("Somma di AVERE",'Pivot Fineco St'!$A$3,"Mese",5,"Tipologia",$A89),0)
- IFERROR(GETPIVOTDATA("Somma di AVERE",'Pivot Fineco Sa'!$A$3,"Mese",5,"Tipologia",$A89),0)
+ IFERROR(GETPIVOTDATA("Somma di DARE",'Pivot PP Visa'!$A$3,"Mese",5,"Tipologia",$A89),0)
- IFERROR(GETPIVOTDATA("Somma di AVERE",'Pivot PP Visa'!$A$3,"Mese",5,"Tipologia",$A89),0)
+ IFERROR(GETPIVOTDATA("Somma di DARE",'Pivot Revolut'!$A$3,"Mese",5,"Tipologia",$A89),0)
- IFERROR(GETPIVOTDATA("Somma di AVERE",'Pivot Revolut'!$A$3,"Mese",5,"Tipologia",$A89),0)</f>
        <v>12.8</v>
      </c>
      <c r="H89" s="243">
        <f>IFERROR(GETPIVOTDATA("Somma di DARE EUR",'Pivot RakBank AED'!$A$3,"Mese",6,"Tipologia",$A89),0)
- IFERROR(GETPIVOTDATA("Somma di AVERE EUR",'Pivot RakBank AED'!$A$3,"Mese",6,"Tipologia",$A89),0)
+IFERROR(GETPIVOTDATA("Somma di DARE",'Pivot RakBank EUR'!$A$3,"Mese",6,"Tipologia",$A89),0)
- IFERROR(GETPIVOTDATA("Somma di AVERE",'Pivot RakBank EUR'!$A$3,"Mese",6,"Tipologia",$A89),0)
+IFERROR(GETPIVOTDATA("Somma di DARE",'Pivot Fineco Sa'!$A$3,"Mese",6,"Tipologia",$A89),0)
+ IFERROR(GETPIVOTDATA("Somma di DARE",'Pivot Fineco St'!$A$3,"Mese",6,"Tipologia",$A89),0)
+ Contanti!V10
+ IFERROR(GETPIVOTDATA("Somma di DARE",'Pivot BBVA'!$A$3,"Mese",6,"Tipologia",$A89),0)
+ IFERROR(GETPIVOTDATA("Somma di DARE",'Pivot Amex'!$A$3,"Mese",6,"Tipologia",$A89),0)
- IFERROR(GETPIVOTDATA("Somma di AVERE",'Pivot Amex'!$A$3,"Mese",6,"Tipologia",$A89),0)
- IFERROR(GETPIVOTDATA("Somma di AVERE",'Pivot BBVA'!$A$3,"Mese",6,"Tipologia",$A89),0)
- IFERROR(GETPIVOTDATA("Somma di AVERE",'Pivot Fineco St'!$A$3,"Mese",6,"Tipologia",$A89),0)
- IFERROR(GETPIVOTDATA("Somma di AVERE",'Pivot Fineco Sa'!$A$3,"Mese",6,"Tipologia",$A89),0)
+ IFERROR(GETPIVOTDATA("Somma di DARE",'Pivot PP Visa'!$A$3,"Mese",6,"Tipologia",$A89),0)
- IFERROR(GETPIVOTDATA("Somma di AVERE",'Pivot PP Visa'!$A$3,"Mese",6,"Tipologia",$A89),0)
+ IFERROR(GETPIVOTDATA("Somma di DARE",'Pivot Revolut'!$A$3,"Mese",6,"Tipologia",$A89),0)
- IFERROR(GETPIVOTDATA("Somma di AVERE",'Pivot Revolut'!$A$3,"Mese",6,"Tipologia",$A89),0)</f>
        <v>0</v>
      </c>
      <c r="I89" s="243">
        <f>IFERROR(GETPIVOTDATA("Somma di DARE EUR",'Pivot RakBank AED'!$A$3,"Mese",7,"Tipologia",$A89),0)
- IFERROR(GETPIVOTDATA("Somma di AVERE EUR",'Pivot RakBank AED'!$A$3,"Mese",7,"Tipologia",$A89),0)
+IFERROR(GETPIVOTDATA("Somma di DARE",'Pivot RakBank EUR'!$A$3,"Mese",7,"Tipologia",$A89),0)
- IFERROR(GETPIVOTDATA("Somma di AVERE",'Pivot RakBank EUR'!$A$3,"Mese",7,"Tipologia",$A89),0)
+IFERROR(GETPIVOTDATA("Somma di DARE",'Pivot Fineco Sa'!$A$3,"Mese",7,"Tipologia",$A89),0)
+ IFERROR(GETPIVOTDATA("Somma di DARE",'Pivot Fineco St'!$A$3,"Mese",7,"Tipologia",$A89),0)
+ Contanti!Z10
+ IFERROR(GETPIVOTDATA("Somma di DARE",'Pivot BBVA'!$A$3,"Mese",7,"Tipologia",$A89),0)
+ IFERROR(GETPIVOTDATA("Somma di DARE",'Pivot Amex'!$A$3,"Mese",7,"Tipologia",$A89),0)
- IFERROR(GETPIVOTDATA("Somma di AVERE",'Pivot Amex'!$A$3,"Mese",7,"Tipologia",$A89),0)
- IFERROR(GETPIVOTDATA("Somma di AVERE",'Pivot BBVA'!$A$3,"Mese",7,"Tipologia",$A89),0)
- IFERROR(GETPIVOTDATA("Somma di AVERE",'Pivot Fineco St'!$A$3,"Mese",7,"Tipologia",$A89),0)
- IFERROR(GETPIVOTDATA("Somma di AVERE",'Pivot Fineco Sa'!$A$3,"Mese",7,"Tipologia",$A89),0)
+ IFERROR(GETPIVOTDATA("Somma di DARE",'Pivot PP Visa'!$A$3,"Mese",7,"Tipologia",$A89),0)
- IFERROR(GETPIVOTDATA("Somma di AVERE",'Pivot PP Visa'!$A$3,"Mese",7,"Tipologia",$A89),0)
+ IFERROR(GETPIVOTDATA("Somma di DARE",'Pivot Revolut'!$A$3,"Mese",7,"Tipologia",$A89),0)
- IFERROR(GETPIVOTDATA("Somma di AVERE",'Pivot Revolut'!$A$3,"Mese",7,"Tipologia",$A89),0)</f>
        <v>0</v>
      </c>
      <c r="J89" s="243">
        <f>IFERROR(GETPIVOTDATA("Somma di DARE EUR",'Pivot RakBank AED'!$A$3,"Mese",8,"Tipologia",$A89),0)
- IFERROR(GETPIVOTDATA("Somma di AVERE EUR",'Pivot RakBank AED'!$A$3,"Mese",8,"Tipologia",$A89),0)
+IFERROR(GETPIVOTDATA("Somma di DARE",'Pivot RakBank EUR'!$A$3,"Mese",8,"Tipologia",$A89),0)
- IFERROR(GETPIVOTDATA("Somma di AVERE",'Pivot RakBank EUR'!$A$3,"Mese",8,"Tipologia",$A89),0)
+IFERROR(GETPIVOTDATA("Somma di DARE",'Pivot Fineco Sa'!$A$3,"Mese",8,"Tipologia",$A89),0)
+ IFERROR(GETPIVOTDATA("Somma di DARE",'Pivot Fineco St'!$A$3,"Mese",8,"Tipologia",$A89),0)
+ Contanti!AD10
+ IFERROR(GETPIVOTDATA("Somma di DARE",'Pivot BBVA'!$A$3,"Mese",8,"Tipologia",$A89),0)
+ IFERROR(GETPIVOTDATA("Somma di DARE",'Pivot Amex'!$A$3,"Mese",8,"Tipologia",$A89),0)
- IFERROR(GETPIVOTDATA("Somma di AVERE",'Pivot Amex'!$A$3,"Mese",8,"Tipologia",$A89),0)
- IFERROR(GETPIVOTDATA("Somma di AVERE",'Pivot BBVA'!$A$3,"Mese",8,"Tipologia",$A89),0)
- IFERROR(GETPIVOTDATA("Somma di AVERE",'Pivot Fineco St'!$A$3,"Mese",8,"Tipologia",$A89),0)
- IFERROR(GETPIVOTDATA("Somma di AVERE",'Pivot Fineco Sa'!$A$3,"Mese",8,"Tipologia",$A89),0)
+ IFERROR(GETPIVOTDATA("Somma di DARE",'Pivot PP Visa'!$A$3,"Mese",8,"Tipologia",$A89),0)
- IFERROR(GETPIVOTDATA("Somma di AVERE",'Pivot PP Visa'!$A$3,"Mese",8,"Tipologia",$A89),0)
+ IFERROR(GETPIVOTDATA("Somma di DARE",'Pivot Revolut'!$A$3,"Mese",8,"Tipologia",$A89),0)
- IFERROR(GETPIVOTDATA("Somma di AVERE",'Pivot Revolut'!$A$3,"Mese",8,"Tipologia",$A89),0)</f>
        <v>0</v>
      </c>
      <c r="K89" s="243">
        <f>IFERROR(GETPIVOTDATA("Somma di DARE EUR",'Pivot RakBank AED'!$A$3,"Mese",9,"Tipologia",$A89),0)
- IFERROR(GETPIVOTDATA("Somma di AVERE EUR",'Pivot RakBank AED'!$A$3,"Mese",9,"Tipologia",$A89),0)
+IFERROR(GETPIVOTDATA("Somma di DARE",'Pivot RakBank EUR'!$A$3,"Mese",9,"Tipologia",$A89),0)
- IFERROR(GETPIVOTDATA("Somma di AVERE",'Pivot RakBank EUR'!$A$3,"Mese",9,"Tipologia",$A89),0)
+IFERROR(GETPIVOTDATA("Somma di DARE",'Pivot Fineco Sa'!$A$3,"Mese",9,"Tipologia",$A89),0)
+ IFERROR(GETPIVOTDATA("Somma di DARE",'Pivot Fineco St'!$A$3,"Mese",9,"Tipologia",$A89),0)
+ Contanti!AH10
+ IFERROR(GETPIVOTDATA("Somma di DARE",'Pivot BBVA'!$A$3,"Mese",9,"Tipologia",$A89),0)
+ IFERROR(GETPIVOTDATA("Somma di DARE",'Pivot Amex'!$A$3,"Mese",9,"Tipologia",$A89),0)
- IFERROR(GETPIVOTDATA("Somma di AVERE",'Pivot Amex'!$A$3,"Mese",9,"Tipologia",$A89),0)
- IFERROR(GETPIVOTDATA("Somma di AVERE",'Pivot BBVA'!$A$3,"Mese",9,"Tipologia",$A89),0)
- IFERROR(GETPIVOTDATA("Somma di AVERE",'Pivot Fineco St'!$A$3,"Mese",9,"Tipologia",$A89),0)
- IFERROR(GETPIVOTDATA("Somma di AVERE",'Pivot Fineco Sa'!$A$3,"Mese",9,"Tipologia",$A89),0)
+ IFERROR(GETPIVOTDATA("Somma di DARE",'Pivot PP Visa'!$A$3,"Mese",9,"Tipologia",$A89),0)
- IFERROR(GETPIVOTDATA("Somma di AVERE",'Pivot PP Visa'!$A$3,"Mese",9,"Tipologia",$A89),0)
+ IFERROR(GETPIVOTDATA("Somma di DARE",'Pivot Revolut'!$A$3,"Mese",9,"Tipologia",$A89),0)
- IFERROR(GETPIVOTDATA("Somma di AVERE",'Pivot Revolut'!$A$3,"Mese",9,"Tipologia",$A89),0)</f>
        <v>0</v>
      </c>
      <c r="L89" s="243">
        <f>IFERROR(GETPIVOTDATA("Somma di DARE EUR",'Pivot RakBank AED'!$A$3,"Mese",10,"Tipologia",$A89),0)
- IFERROR(GETPIVOTDATA("Somma di AVERE EUR",'Pivot RakBank AED'!$A$3,"Mese",10,"Tipologia",$A89),0)
+IFERROR(GETPIVOTDATA("Somma di DARE",'Pivot RakBank EUR'!$A$3,"Mese",10,"Tipologia",$A89),0)
- IFERROR(GETPIVOTDATA("Somma di AVERE",'Pivot RakBank EUR'!$A$3,"Mese",10,"Tipologia",$A89),0)
+IFERROR(GETPIVOTDATA("Somma di DARE",'Pivot Fineco Sa'!$A$3,"Mese",10,"Tipologia",$A89),0)
+ IFERROR(GETPIVOTDATA("Somma di DARE",'Pivot Fineco St'!$A$3,"Mese",10,"Tipologia",$A89),0)
+ Contanti!AL10
+ IFERROR(GETPIVOTDATA("Somma di DARE",'Pivot BBVA'!$A$3,"Mese",10,"Tipologia",$A89),0)
+ IFERROR(GETPIVOTDATA("Somma di DARE",'Pivot Amex'!$A$3,"Mese",10,"Tipologia",$A89),0)
- IFERROR(GETPIVOTDATA("Somma di AVERE",'Pivot Amex'!$A$3,"Mese",10,"Tipologia",$A89),0)
- IFERROR(GETPIVOTDATA("Somma di AVERE",'Pivot BBVA'!$A$3,"Mese",10,"Tipologia",$A89),0)
- IFERROR(GETPIVOTDATA("Somma di AVERE",'Pivot Fineco St'!$A$3,"Mese",10,"Tipologia",$A89),0)
- IFERROR(GETPIVOTDATA("Somma di AVERE",'Pivot Fineco Sa'!$A$3,"Mese",10,"Tipologia",$A89),0)
+ IFERROR(GETPIVOTDATA("Somma di DARE",'Pivot PP Visa'!$A$3,"Mese",10,"Tipologia",$A89),0)
- IFERROR(GETPIVOTDATA("Somma di AVERE",'Pivot PP Visa'!$A$3,"Mese",10,"Tipologia",$A89),0)
+ IFERROR(GETPIVOTDATA("Somma di DARE",'Pivot Revolut'!$A$3,"Mese",10,"Tipologia",$A89),0)
- IFERROR(GETPIVOTDATA("Somma di AVERE",'Pivot Revolut'!$A$3,"Mese",10,"Tipologia",$A89),0)</f>
        <v>0</v>
      </c>
      <c r="M89" s="243">
        <f>IFERROR(GETPIVOTDATA("Somma di DARE EUR",'Pivot RakBank AED'!$A$3,"Mese",11,"Tipologia",$A89),0)
- IFERROR(GETPIVOTDATA("Somma di AVERE EUR",'Pivot RakBank AED'!$A$3,"Mese",11,"Tipologia",$A89),0)
+IFERROR(GETPIVOTDATA("Somma di DARE",'Pivot RakBank EUR'!$A$3,"Mese",11,"Tipologia",$A89),0)
- IFERROR(GETPIVOTDATA("Somma di AVERE",'Pivot RakBank EUR'!$A$3,"Mese",11,"Tipologia",$A89),0)
+IFERROR(GETPIVOTDATA("Somma di DARE",'Pivot Fineco Sa'!$A$3,"Mese",11,"Tipologia",$A89),0)
+ IFERROR(GETPIVOTDATA("Somma di DARE",'Pivot Fineco St'!$A$3,"Mese",11,"Tipologia",$A89),0)
+ Contanti!AP10
+ IFERROR(GETPIVOTDATA("Somma di DARE",'Pivot BBVA'!$A$3,"Mese",11,"Tipologia",$A89),0)
+ IFERROR(GETPIVOTDATA("Somma di DARE",'Pivot Amex'!$A$3,"Mese",11,"Tipologia",$A89),0)
- IFERROR(GETPIVOTDATA("Somma di AVERE",'Pivot Amex'!$A$3,"Mese",11,"Tipologia",$A89),0)
- IFERROR(GETPIVOTDATA("Somma di AVERE",'Pivot BBVA'!$A$3,"Mese",11,"Tipologia",$A89),0)
- IFERROR(GETPIVOTDATA("Somma di AVERE",'Pivot Fineco St'!$A$3,"Mese",11,"Tipologia",$A89),0)
- IFERROR(GETPIVOTDATA("Somma di AVERE",'Pivot Fineco Sa'!$A$3,"Mese",11,"Tipologia",$A89),0)
+ IFERROR(GETPIVOTDATA("Somma di DARE",'Pivot PP Visa'!$A$3,"Mese",11,"Tipologia",$A89),0)
- IFERROR(GETPIVOTDATA("Somma di AVERE",'Pivot PP Visa'!$A$3,"Mese",11,"Tipologia",$A89),0)
+ IFERROR(GETPIVOTDATA("Somma di DARE",'Pivot Revolut'!$A$3,"Mese",11,"Tipologia",$A89),0)
- IFERROR(GETPIVOTDATA("Somma di AVERE",'Pivot Revolut'!$A$3,"Mese",11,"Tipologia",$A89),0)</f>
        <v>0</v>
      </c>
      <c r="N89" s="243">
        <f>IFERROR(GETPIVOTDATA("Somma di DARE EUR",'Pivot RakBank AED'!$A$3,"Mese",12,"Tipologia",$A89),0)
- IFERROR(GETPIVOTDATA("Somma di AVERE EUR",'Pivot RakBank AED'!$A$3,"Mese",12,"Tipologia",$A89),0)
+IFERROR(GETPIVOTDATA("Somma di DARE",'Pivot RakBank EUR'!$A$3,"Mese",12,"Tipologia",$A89),0)
- IFERROR(GETPIVOTDATA("Somma di AVERE",'Pivot RakBank EUR'!$A$3,"Mese",12,"Tipologia",$A89),0)
+IFERROR(GETPIVOTDATA("Somma di DARE",'Pivot Fineco Sa'!$A$3,"Mese",12,"Tipologia",$A89),0)
+ IFERROR(GETPIVOTDATA("Somma di DARE",'Pivot Fineco St'!$A$3,"Mese",12,"Tipologia",$A89),0)
+ Contanti!AT10
+ IFERROR(GETPIVOTDATA("Somma di DARE",'Pivot BBVA'!$A$3,"Mese",12,"Tipologia",$A89),0)
+ IFERROR(GETPIVOTDATA("Somma di DARE",'Pivot Amex'!$A$3,"Mese",12,"Tipologia",$A89),0)
- IFERROR(GETPIVOTDATA("Somma di AVERE",'Pivot Amex'!$A$3,"Mese",12,"Tipologia",$A89),0)
- IFERROR(GETPIVOTDATA("Somma di AVERE",'Pivot BBVA'!$A$3,"Mese",12,"Tipologia",$A89),0)
- IFERROR(GETPIVOTDATA("Somma di AVERE",'Pivot Fineco St'!$A$3,"Mese",12,"Tipologia",$A89),0)
- IFERROR(GETPIVOTDATA("Somma di AVERE",'Pivot Fineco Sa'!$A$3,"Mese",12,"Tipologia",$A89),0)
+ IFERROR(GETPIVOTDATA("Somma di DARE",'Pivot PP Visa'!$A$3,"Mese",12,"Tipologia",$A89),0)
- IFERROR(GETPIVOTDATA("Somma di AVERE",'Pivot PP Visa'!$A$3,"Mese",12,"Tipologia",$A89),0)
+ IFERROR(GETPIVOTDATA("Somma di DARE",'Pivot Revolut'!$A$3,"Mese",12,"Tipologia",$A89),0)
- IFERROR(GETPIVOTDATA("Somma di AVERE",'Pivot Revolut'!$A$3,"Mese",12,"Tipologia",$A89),0)</f>
        <v>0</v>
      </c>
      <c r="O89" s="252">
        <f t="shared" si="3"/>
        <v>52.790000000000006</v>
      </c>
      <c r="P89" s="243">
        <f t="shared" ca="1" si="4"/>
        <v>7.5414285714285727</v>
      </c>
    </row>
    <row r="90" spans="1:16" s="125" customFormat="1" ht="21" customHeight="1" x14ac:dyDescent="0.2">
      <c r="A90" s="251" t="s">
        <v>299</v>
      </c>
      <c r="B90" s="251"/>
      <c r="C90" s="243">
        <f>IFERROR(GETPIVOTDATA("Somma di DARE EUR",'Pivot RakBank AED'!$A$3,"Mese",1,"Tipologia",$A90),0)
- IFERROR(GETPIVOTDATA("Somma di AVERE EUR",'Pivot RakBank AED'!$A$3,"Mese",1,"Tipologia",$A90),0)
+IFERROR(GETPIVOTDATA("Somma di DARE",'Pivot RakBank EUR'!$A$3,"Mese",1,"Tipologia",$A90),0)
- IFERROR(GETPIVOTDATA("Somma di AVERE",'Pivot RakBank EUR'!$A$3,"Mese",1,"Tipologia",$A90),0)
+IFERROR(GETPIVOTDATA("Somma di DARE",'Pivot Fineco Sa'!$A$3,"Mese",1,"Tipologia",$A90),0)
+ IFERROR(GETPIVOTDATA("Somma di DARE",'Pivot Fineco St'!$A$3,"Mese",1,"Tipologia",$A90),0)
+ Contanti!B11
+ IFERROR(GETPIVOTDATA("Somma di DARE",'Pivot BBVA'!$A$3,"Mese",1,"Tipologia",$A90),0)
+ IFERROR(GETPIVOTDATA("Somma di DARE",'Pivot Amex'!$A$3,"Mese",1,"Tipologia",$A90),0)
- IFERROR(GETPIVOTDATA("Somma di AVERE",'Pivot Amex'!$A$3,"Mese",1,"Tipologia",$A90),0)
- IFERROR(GETPIVOTDATA("Somma di AVERE",'Pivot BBVA'!$A$3,"Mese",1,"Tipologia",$A90),0)
- IFERROR(GETPIVOTDATA("Somma di AVERE",'Pivot Fineco St'!$A$3,"Mese",1,"Tipologia",$A90),0)
- IFERROR(GETPIVOTDATA("Somma di AVERE",'Pivot Fineco Sa'!$A$3,"Mese",1,"Tipologia",$A90),0)
+ IFERROR(GETPIVOTDATA("Somma di DARE",'Pivot PP Visa'!$A$3,"Mese",1,"Tipologia",$A90),0)
- IFERROR(GETPIVOTDATA("Somma di AVERE",'Pivot PP Visa'!$A$3,"Mese",1,"Tipologia",$A90),0)
+ IFERROR(GETPIVOTDATA("Somma di DARE",'Pivot Revolut'!$A$3,"Mese",1,"Tipologia",$A90),0)
- IFERROR(GETPIVOTDATA("Somma di AVERE",'Pivot Revolut'!$A$3,"Mese",1,"Tipologia",$A90),0)</f>
        <v>0</v>
      </c>
      <c r="D90" s="243">
        <f>IFERROR(GETPIVOTDATA("Somma di DARE EUR",'Pivot RakBank AED'!$A$3,"Mese",2,"Tipologia",$A90),0)
- IFERROR(GETPIVOTDATA("Somma di AVERE EUR",'Pivot RakBank AED'!$A$3,"Mese",2,"Tipologia",$A90),0)
+IFERROR(GETPIVOTDATA("Somma di DARE",'Pivot RakBank EUR'!$A$3,"Mese",2,"Tipologia",$A90),0)
- IFERROR(GETPIVOTDATA("Somma di AVERE",'Pivot RakBank EUR'!$A$3,"Mese",2,"Tipologia",$A90),0)
+IFERROR(GETPIVOTDATA("Somma di DARE",'Pivot Fineco Sa'!$A$3,"Mese",2,"Tipologia",$A90),0)
+ IFERROR(GETPIVOTDATA("Somma di DARE",'Pivot Fineco St'!$A$3,"Mese",2,"Tipologia",$A90),0)
+ Contanti!F11
+ IFERROR(GETPIVOTDATA("Somma di DARE",'Pivot BBVA'!$A$3,"Mese",2,"Tipologia",$A90),0)
+ IFERROR(GETPIVOTDATA("Somma di DARE",'Pivot Amex'!$A$3,"Mese",2,"Tipologia",$A90),0)
- IFERROR(GETPIVOTDATA("Somma di AVERE",'Pivot Amex'!$A$3,"Mese",2,"Tipologia",$A90),0)
- IFERROR(GETPIVOTDATA("Somma di AVERE",'Pivot BBVA'!$A$3,"Mese",2,"Tipologia",$A90),0)
- IFERROR(GETPIVOTDATA("Somma di AVERE",'Pivot Fineco St'!$A$3,"Mese",2,"Tipologia",$A90),0)
- IFERROR(GETPIVOTDATA("Somma di AVERE",'Pivot Fineco Sa'!$A$3,"Mese",2,"Tipologia",$A90),0)
+ IFERROR(GETPIVOTDATA("Somma di DARE",'Pivot PP Visa'!$A$3,"Mese",2,"Tipologia",$A90),0)
- IFERROR(GETPIVOTDATA("Somma di AVERE",'Pivot PP Visa'!$A$3,"Mese",2,"Tipologia",$A90),0)
+ IFERROR(GETPIVOTDATA("Somma di DARE",'Pivot Revolut'!$A$3,"Mese",2,"Tipologia",$A90),0)
- IFERROR(GETPIVOTDATA("Somma di AVERE",'Pivot Revolut'!$A$3,"Mese",2,"Tipologia",$A90),0)</f>
        <v>0</v>
      </c>
      <c r="E90" s="243">
        <f>IFERROR(GETPIVOTDATA("Somma di DARE EUR",'Pivot RakBank AED'!$A$3,"Mese",3,"Tipologia",$A90),0)
- IFERROR(GETPIVOTDATA("Somma di AVERE EUR",'Pivot RakBank AED'!$A$3,"Mese",3,"Tipologia",$A90),0)
+IFERROR(GETPIVOTDATA("Somma di DARE",'Pivot RakBank EUR'!$A$3,"Mese",3,"Tipologia",$A90),0)
- IFERROR(GETPIVOTDATA("Somma di AVERE",'Pivot RakBank EUR'!$A$3,"Mese",3,"Tipologia",$A90),0)
+IFERROR(GETPIVOTDATA("Somma di DARE",'Pivot Fineco Sa'!$A$3,"Mese",3,"Tipologia",$A90),0)
+ IFERROR(GETPIVOTDATA("Somma di DARE",'Pivot Fineco St'!$A$3,"Mese",3,"Tipologia",$A90),0)
+ Contanti!J11
+ IFERROR(GETPIVOTDATA("Somma di DARE",'Pivot BBVA'!$A$3,"Mese",3,"Tipologia",$A90),0)
+ IFERROR(GETPIVOTDATA("Somma di DARE",'Pivot Amex'!$A$3,"Mese",3,"Tipologia",$A90),0)
- IFERROR(GETPIVOTDATA("Somma di AVERE",'Pivot Amex'!$A$3,"Mese",3,"Tipologia",$A90),0)
- IFERROR(GETPIVOTDATA("Somma di AVERE",'Pivot BBVA'!$A$3,"Mese",3,"Tipologia",$A90),0)
- IFERROR(GETPIVOTDATA("Somma di AVERE",'Pivot Fineco St'!$A$3,"Mese",3,"Tipologia",$A90),0)
- IFERROR(GETPIVOTDATA("Somma di AVERE",'Pivot Fineco Sa'!$A$3,"Mese",3,"Tipologia",$A90),0)
+ IFERROR(GETPIVOTDATA("Somma di DARE",'Pivot PP Visa'!$A$3,"Mese",3,"Tipologia",$A90),0)
- IFERROR(GETPIVOTDATA("Somma di AVERE",'Pivot PP Visa'!$A$3,"Mese",3,"Tipologia",$A90),0)
+ IFERROR(GETPIVOTDATA("Somma di DARE",'Pivot Revolut'!$A$3,"Mese",3,"Tipologia",$A90),0)
- IFERROR(GETPIVOTDATA("Somma di AVERE",'Pivot Revolut'!$A$3,"Mese",3,"Tipologia",$A90),0)</f>
        <v>0</v>
      </c>
      <c r="F90" s="243">
        <f>IFERROR(GETPIVOTDATA("Somma di DARE EUR",'Pivot RakBank AED'!$A$3,"Mese",4,"Tipologia",$A90),0)
- IFERROR(GETPIVOTDATA("Somma di AVERE EUR",'Pivot RakBank AED'!$A$3,"Mese",4,"Tipologia",$A90),0)
+IFERROR(GETPIVOTDATA("Somma di DARE",'Pivot RakBank EUR'!$A$3,"Mese",4,"Tipologia",$A90),0)
- IFERROR(GETPIVOTDATA("Somma di AVERE",'Pivot RakBank EUR'!$A$3,"Mese",4,"Tipologia",$A90),0)
+IFERROR(GETPIVOTDATA("Somma di DARE",'Pivot Fineco Sa'!$A$3,"Mese",4,"Tipologia",$A90),0)
+ IFERROR(GETPIVOTDATA("Somma di DARE",'Pivot Fineco St'!$A$3,"Mese",4,"Tipologia",$A90),0)
+ Contanti!N11
+ IFERROR(GETPIVOTDATA("Somma di DARE",'Pivot BBVA'!$A$3,"Mese",4,"Tipologia",$A90),0)
+ IFERROR(GETPIVOTDATA("Somma di DARE",'Pivot Amex'!$A$3,"Mese",4,"Tipologia",$A90),0)
- IFERROR(GETPIVOTDATA("Somma di AVERE",'Pivot Amex'!$A$3,"Mese",4,"Tipologia",$A90),0)
- IFERROR(GETPIVOTDATA("Somma di AVERE",'Pivot BBVA'!$A$3,"Mese",4,"Tipologia",$A90),0)
- IFERROR(GETPIVOTDATA("Somma di AVERE",'Pivot Fineco St'!$A$3,"Mese",4,"Tipologia",$A90),0)
- IFERROR(GETPIVOTDATA("Somma di AVERE",'Pivot Fineco Sa'!$A$3,"Mese",4,"Tipologia",$A90),0)
+ IFERROR(GETPIVOTDATA("Somma di DARE",'Pivot PP Visa'!$A$3,"Mese",4,"Tipologia",$A90),0)
- IFERROR(GETPIVOTDATA("Somma di AVERE",'Pivot PP Visa'!$A$3,"Mese",4,"Tipologia",$A90),0)
+ IFERROR(GETPIVOTDATA("Somma di DARE",'Pivot Revolut'!$A$3,"Mese",4,"Tipologia",$A90),0)
- IFERROR(GETPIVOTDATA("Somma di AVERE",'Pivot Revolut'!$A$3,"Mese",4,"Tipologia",$A90),0)</f>
        <v>0</v>
      </c>
      <c r="G90" s="243">
        <f>IFERROR(GETPIVOTDATA("Somma di DARE EUR",'Pivot RakBank AED'!$A$3,"Mese",5,"Tipologia",$A90),0)
- IFERROR(GETPIVOTDATA("Somma di AVERE EUR",'Pivot RakBank AED'!$A$3,"Mese",5,"Tipologia",$A90),0)
+IFERROR(GETPIVOTDATA("Somma di DARE",'Pivot RakBank EUR'!$A$3,"Mese",5,"Tipologia",$A90),0)
- IFERROR(GETPIVOTDATA("Somma di AVERE",'Pivot RakBank EUR'!$A$3,"Mese",5,"Tipologia",$A90),0)
+IFERROR(GETPIVOTDATA("Somma di DARE",'Pivot Fineco Sa'!$A$3,"Mese",5,"Tipologia",$A90),0)
+ IFERROR(GETPIVOTDATA("Somma di DARE",'Pivot Fineco St'!$A$3,"Mese",5,"Tipologia",$A90),0)
+ Contanti!R11
+ IFERROR(GETPIVOTDATA("Somma di DARE",'Pivot BBVA'!$A$3,"Mese",5,"Tipologia",$A90),0)
+ IFERROR(GETPIVOTDATA("Somma di DARE",'Pivot Amex'!$A$3,"Mese",5,"Tipologia",$A90),0)
- IFERROR(GETPIVOTDATA("Somma di AVERE",'Pivot Amex'!$A$3,"Mese",5,"Tipologia",$A90),0)
- IFERROR(GETPIVOTDATA("Somma di AVERE",'Pivot BBVA'!$A$3,"Mese",5,"Tipologia",$A90),0)
- IFERROR(GETPIVOTDATA("Somma di AVERE",'Pivot Fineco St'!$A$3,"Mese",5,"Tipologia",$A90),0)
- IFERROR(GETPIVOTDATA("Somma di AVERE",'Pivot Fineco Sa'!$A$3,"Mese",5,"Tipologia",$A90),0)
+ IFERROR(GETPIVOTDATA("Somma di DARE",'Pivot PP Visa'!$A$3,"Mese",5,"Tipologia",$A90),0)
- IFERROR(GETPIVOTDATA("Somma di AVERE",'Pivot PP Visa'!$A$3,"Mese",5,"Tipologia",$A90),0)
+ IFERROR(GETPIVOTDATA("Somma di DARE",'Pivot Revolut'!$A$3,"Mese",5,"Tipologia",$A90),0)
- IFERROR(GETPIVOTDATA("Somma di AVERE",'Pivot Revolut'!$A$3,"Mese",5,"Tipologia",$A90),0)</f>
        <v>0</v>
      </c>
      <c r="H90" s="243">
        <f>IFERROR(GETPIVOTDATA("Somma di DARE EUR",'Pivot RakBank AED'!$A$3,"Mese",6,"Tipologia",$A90),0)
- IFERROR(GETPIVOTDATA("Somma di AVERE EUR",'Pivot RakBank AED'!$A$3,"Mese",6,"Tipologia",$A90),0)
+IFERROR(GETPIVOTDATA("Somma di DARE",'Pivot RakBank EUR'!$A$3,"Mese",6,"Tipologia",$A90),0)
- IFERROR(GETPIVOTDATA("Somma di AVERE",'Pivot RakBank EUR'!$A$3,"Mese",6,"Tipologia",$A90),0)
+IFERROR(GETPIVOTDATA("Somma di DARE",'Pivot Fineco Sa'!$A$3,"Mese",6,"Tipologia",$A90),0)
+ IFERROR(GETPIVOTDATA("Somma di DARE",'Pivot Fineco St'!$A$3,"Mese",6,"Tipologia",$A90),0)
+ Contanti!V11
+ IFERROR(GETPIVOTDATA("Somma di DARE",'Pivot BBVA'!$A$3,"Mese",6,"Tipologia",$A90),0)
+ IFERROR(GETPIVOTDATA("Somma di DARE",'Pivot Amex'!$A$3,"Mese",6,"Tipologia",$A90),0)
- IFERROR(GETPIVOTDATA("Somma di AVERE",'Pivot Amex'!$A$3,"Mese",6,"Tipologia",$A90),0)
- IFERROR(GETPIVOTDATA("Somma di AVERE",'Pivot BBVA'!$A$3,"Mese",6,"Tipologia",$A90),0)
- IFERROR(GETPIVOTDATA("Somma di AVERE",'Pivot Fineco St'!$A$3,"Mese",6,"Tipologia",$A90),0)
- IFERROR(GETPIVOTDATA("Somma di AVERE",'Pivot Fineco Sa'!$A$3,"Mese",6,"Tipologia",$A90),0)
+ IFERROR(GETPIVOTDATA("Somma di DARE",'Pivot PP Visa'!$A$3,"Mese",6,"Tipologia",$A90),0)
- IFERROR(GETPIVOTDATA("Somma di AVERE",'Pivot PP Visa'!$A$3,"Mese",6,"Tipologia",$A90),0)
+ IFERROR(GETPIVOTDATA("Somma di DARE",'Pivot Revolut'!$A$3,"Mese",6,"Tipologia",$A90),0)
- IFERROR(GETPIVOTDATA("Somma di AVERE",'Pivot Revolut'!$A$3,"Mese",6,"Tipologia",$A90),0)</f>
        <v>0</v>
      </c>
      <c r="I90" s="243">
        <f>IFERROR(GETPIVOTDATA("Somma di DARE EUR",'Pivot RakBank AED'!$A$3,"Mese",7,"Tipologia",$A90),0)
- IFERROR(GETPIVOTDATA("Somma di AVERE EUR",'Pivot RakBank AED'!$A$3,"Mese",7,"Tipologia",$A90),0)
+IFERROR(GETPIVOTDATA("Somma di DARE",'Pivot RakBank EUR'!$A$3,"Mese",7,"Tipologia",$A90),0)
- IFERROR(GETPIVOTDATA("Somma di AVERE",'Pivot RakBank EUR'!$A$3,"Mese",7,"Tipologia",$A90),0)
+IFERROR(GETPIVOTDATA("Somma di DARE",'Pivot Fineco Sa'!$A$3,"Mese",7,"Tipologia",$A90),0)
+ IFERROR(GETPIVOTDATA("Somma di DARE",'Pivot Fineco St'!$A$3,"Mese",7,"Tipologia",$A90),0)
+ Contanti!Z11
+ IFERROR(GETPIVOTDATA("Somma di DARE",'Pivot BBVA'!$A$3,"Mese",7,"Tipologia",$A90),0)
+ IFERROR(GETPIVOTDATA("Somma di DARE",'Pivot Amex'!$A$3,"Mese",7,"Tipologia",$A90),0)
- IFERROR(GETPIVOTDATA("Somma di AVERE",'Pivot Amex'!$A$3,"Mese",7,"Tipologia",$A90),0)
- IFERROR(GETPIVOTDATA("Somma di AVERE",'Pivot BBVA'!$A$3,"Mese",7,"Tipologia",$A90),0)
- IFERROR(GETPIVOTDATA("Somma di AVERE",'Pivot Fineco St'!$A$3,"Mese",7,"Tipologia",$A90),0)
- IFERROR(GETPIVOTDATA("Somma di AVERE",'Pivot Fineco Sa'!$A$3,"Mese",7,"Tipologia",$A90),0)
+ IFERROR(GETPIVOTDATA("Somma di DARE",'Pivot PP Visa'!$A$3,"Mese",7,"Tipologia",$A90),0)
- IFERROR(GETPIVOTDATA("Somma di AVERE",'Pivot PP Visa'!$A$3,"Mese",7,"Tipologia",$A90),0)
+ IFERROR(GETPIVOTDATA("Somma di DARE",'Pivot Revolut'!$A$3,"Mese",7,"Tipologia",$A90),0)
- IFERROR(GETPIVOTDATA("Somma di AVERE",'Pivot Revolut'!$A$3,"Mese",7,"Tipologia",$A90),0)</f>
        <v>0</v>
      </c>
      <c r="J90" s="243">
        <f>IFERROR(GETPIVOTDATA("Somma di DARE EUR",'Pivot RakBank AED'!$A$3,"Mese",8,"Tipologia",$A90),0)
- IFERROR(GETPIVOTDATA("Somma di AVERE EUR",'Pivot RakBank AED'!$A$3,"Mese",8,"Tipologia",$A90),0)
+IFERROR(GETPIVOTDATA("Somma di DARE",'Pivot RakBank EUR'!$A$3,"Mese",8,"Tipologia",$A90),0)
- IFERROR(GETPIVOTDATA("Somma di AVERE",'Pivot RakBank EUR'!$A$3,"Mese",8,"Tipologia",$A90),0)
+IFERROR(GETPIVOTDATA("Somma di DARE",'Pivot Fineco Sa'!$A$3,"Mese",8,"Tipologia",$A90),0)
+ IFERROR(GETPIVOTDATA("Somma di DARE",'Pivot Fineco St'!$A$3,"Mese",8,"Tipologia",$A90),0)
+ Contanti!AD11
+ IFERROR(GETPIVOTDATA("Somma di DARE",'Pivot BBVA'!$A$3,"Mese",8,"Tipologia",$A90),0)
+ IFERROR(GETPIVOTDATA("Somma di DARE",'Pivot Amex'!$A$3,"Mese",8,"Tipologia",$A90),0)
- IFERROR(GETPIVOTDATA("Somma di AVERE",'Pivot Amex'!$A$3,"Mese",8,"Tipologia",$A90),0)
- IFERROR(GETPIVOTDATA("Somma di AVERE",'Pivot BBVA'!$A$3,"Mese",8,"Tipologia",$A90),0)
- IFERROR(GETPIVOTDATA("Somma di AVERE",'Pivot Fineco St'!$A$3,"Mese",8,"Tipologia",$A90),0)
- IFERROR(GETPIVOTDATA("Somma di AVERE",'Pivot Fineco Sa'!$A$3,"Mese",8,"Tipologia",$A90),0)
+ IFERROR(GETPIVOTDATA("Somma di DARE",'Pivot PP Visa'!$A$3,"Mese",8,"Tipologia",$A90),0)
- IFERROR(GETPIVOTDATA("Somma di AVERE",'Pivot PP Visa'!$A$3,"Mese",8,"Tipologia",$A90),0)
+ IFERROR(GETPIVOTDATA("Somma di DARE",'Pivot Revolut'!$A$3,"Mese",8,"Tipologia",$A90),0)
- IFERROR(GETPIVOTDATA("Somma di AVERE",'Pivot Revolut'!$A$3,"Mese",8,"Tipologia",$A90),0)</f>
        <v>0</v>
      </c>
      <c r="K90" s="243">
        <f>IFERROR(GETPIVOTDATA("Somma di DARE EUR",'Pivot RakBank AED'!$A$3,"Mese",9,"Tipologia",$A90),0)
- IFERROR(GETPIVOTDATA("Somma di AVERE EUR",'Pivot RakBank AED'!$A$3,"Mese",9,"Tipologia",$A90),0)
+IFERROR(GETPIVOTDATA("Somma di DARE",'Pivot RakBank EUR'!$A$3,"Mese",9,"Tipologia",$A90),0)
- IFERROR(GETPIVOTDATA("Somma di AVERE",'Pivot RakBank EUR'!$A$3,"Mese",9,"Tipologia",$A90),0)
+IFERROR(GETPIVOTDATA("Somma di DARE",'Pivot Fineco Sa'!$A$3,"Mese",9,"Tipologia",$A90),0)
+ IFERROR(GETPIVOTDATA("Somma di DARE",'Pivot Fineco St'!$A$3,"Mese",9,"Tipologia",$A90),0)
+ Contanti!AH11
+ IFERROR(GETPIVOTDATA("Somma di DARE",'Pivot BBVA'!$A$3,"Mese",9,"Tipologia",$A90),0)
+ IFERROR(GETPIVOTDATA("Somma di DARE",'Pivot Amex'!$A$3,"Mese",9,"Tipologia",$A90),0)
- IFERROR(GETPIVOTDATA("Somma di AVERE",'Pivot Amex'!$A$3,"Mese",9,"Tipologia",$A90),0)
- IFERROR(GETPIVOTDATA("Somma di AVERE",'Pivot BBVA'!$A$3,"Mese",9,"Tipologia",$A90),0)
- IFERROR(GETPIVOTDATA("Somma di AVERE",'Pivot Fineco St'!$A$3,"Mese",9,"Tipologia",$A90),0)
- IFERROR(GETPIVOTDATA("Somma di AVERE",'Pivot Fineco Sa'!$A$3,"Mese",9,"Tipologia",$A90),0)
+ IFERROR(GETPIVOTDATA("Somma di DARE",'Pivot PP Visa'!$A$3,"Mese",9,"Tipologia",$A90),0)
- IFERROR(GETPIVOTDATA("Somma di AVERE",'Pivot PP Visa'!$A$3,"Mese",9,"Tipologia",$A90),0)
+ IFERROR(GETPIVOTDATA("Somma di DARE",'Pivot Revolut'!$A$3,"Mese",9,"Tipologia",$A90),0)
- IFERROR(GETPIVOTDATA("Somma di AVERE",'Pivot Revolut'!$A$3,"Mese",9,"Tipologia",$A90),0)</f>
        <v>0</v>
      </c>
      <c r="L90" s="243">
        <f>IFERROR(GETPIVOTDATA("Somma di DARE EUR",'Pivot RakBank AED'!$A$3,"Mese",10,"Tipologia",$A90),0)
- IFERROR(GETPIVOTDATA("Somma di AVERE EUR",'Pivot RakBank AED'!$A$3,"Mese",10,"Tipologia",$A90),0)
+IFERROR(GETPIVOTDATA("Somma di DARE",'Pivot RakBank EUR'!$A$3,"Mese",10,"Tipologia",$A90),0)
- IFERROR(GETPIVOTDATA("Somma di AVERE",'Pivot RakBank EUR'!$A$3,"Mese",10,"Tipologia",$A90),0)
+IFERROR(GETPIVOTDATA("Somma di DARE",'Pivot Fineco Sa'!$A$3,"Mese",10,"Tipologia",$A90),0)
+ IFERROR(GETPIVOTDATA("Somma di DARE",'Pivot Fineco St'!$A$3,"Mese",10,"Tipologia",$A90),0)
+ Contanti!AL11
+ IFERROR(GETPIVOTDATA("Somma di DARE",'Pivot BBVA'!$A$3,"Mese",10,"Tipologia",$A90),0)
+ IFERROR(GETPIVOTDATA("Somma di DARE",'Pivot Amex'!$A$3,"Mese",10,"Tipologia",$A90),0)
- IFERROR(GETPIVOTDATA("Somma di AVERE",'Pivot Amex'!$A$3,"Mese",10,"Tipologia",$A90),0)
- IFERROR(GETPIVOTDATA("Somma di AVERE",'Pivot BBVA'!$A$3,"Mese",10,"Tipologia",$A90),0)
- IFERROR(GETPIVOTDATA("Somma di AVERE",'Pivot Fineco St'!$A$3,"Mese",10,"Tipologia",$A90),0)
- IFERROR(GETPIVOTDATA("Somma di AVERE",'Pivot Fineco Sa'!$A$3,"Mese",10,"Tipologia",$A90),0)
+ IFERROR(GETPIVOTDATA("Somma di DARE",'Pivot PP Visa'!$A$3,"Mese",10,"Tipologia",$A90),0)
- IFERROR(GETPIVOTDATA("Somma di AVERE",'Pivot PP Visa'!$A$3,"Mese",10,"Tipologia",$A90),0)
+ IFERROR(GETPIVOTDATA("Somma di DARE",'Pivot Revolut'!$A$3,"Mese",10,"Tipologia",$A90),0)
- IFERROR(GETPIVOTDATA("Somma di AVERE",'Pivot Revolut'!$A$3,"Mese",10,"Tipologia",$A90),0)</f>
        <v>0</v>
      </c>
      <c r="M90" s="243">
        <f>IFERROR(GETPIVOTDATA("Somma di DARE EUR",'Pivot RakBank AED'!$A$3,"Mese",11,"Tipologia",$A90),0)
- IFERROR(GETPIVOTDATA("Somma di AVERE EUR",'Pivot RakBank AED'!$A$3,"Mese",11,"Tipologia",$A90),0)
+IFERROR(GETPIVOTDATA("Somma di DARE",'Pivot RakBank EUR'!$A$3,"Mese",11,"Tipologia",$A90),0)
- IFERROR(GETPIVOTDATA("Somma di AVERE",'Pivot RakBank EUR'!$A$3,"Mese",11,"Tipologia",$A90),0)
+IFERROR(GETPIVOTDATA("Somma di DARE",'Pivot Fineco Sa'!$A$3,"Mese",11,"Tipologia",$A90),0)
+ IFERROR(GETPIVOTDATA("Somma di DARE",'Pivot Fineco St'!$A$3,"Mese",11,"Tipologia",$A90),0)
+ Contanti!AP11
+ IFERROR(GETPIVOTDATA("Somma di DARE",'Pivot BBVA'!$A$3,"Mese",11,"Tipologia",$A90),0)
+ IFERROR(GETPIVOTDATA("Somma di DARE",'Pivot Amex'!$A$3,"Mese",11,"Tipologia",$A90),0)
- IFERROR(GETPIVOTDATA("Somma di AVERE",'Pivot Amex'!$A$3,"Mese",11,"Tipologia",$A90),0)
- IFERROR(GETPIVOTDATA("Somma di AVERE",'Pivot BBVA'!$A$3,"Mese",11,"Tipologia",$A90),0)
- IFERROR(GETPIVOTDATA("Somma di AVERE",'Pivot Fineco St'!$A$3,"Mese",11,"Tipologia",$A90),0)
- IFERROR(GETPIVOTDATA("Somma di AVERE",'Pivot Fineco Sa'!$A$3,"Mese",11,"Tipologia",$A90),0)
+ IFERROR(GETPIVOTDATA("Somma di DARE",'Pivot PP Visa'!$A$3,"Mese",11,"Tipologia",$A90),0)
- IFERROR(GETPIVOTDATA("Somma di AVERE",'Pivot PP Visa'!$A$3,"Mese",11,"Tipologia",$A90),0)
+ IFERROR(GETPIVOTDATA("Somma di DARE",'Pivot Revolut'!$A$3,"Mese",11,"Tipologia",$A90),0)
- IFERROR(GETPIVOTDATA("Somma di AVERE",'Pivot Revolut'!$A$3,"Mese",11,"Tipologia",$A90),0)</f>
        <v>0</v>
      </c>
      <c r="N90" s="243">
        <f>IFERROR(GETPIVOTDATA("Somma di DARE EUR",'Pivot RakBank AED'!$A$3,"Mese",12,"Tipologia",$A90),0)
- IFERROR(GETPIVOTDATA("Somma di AVERE EUR",'Pivot RakBank AED'!$A$3,"Mese",12,"Tipologia",$A90),0)
+IFERROR(GETPIVOTDATA("Somma di DARE",'Pivot RakBank EUR'!$A$3,"Mese",12,"Tipologia",$A90),0)
- IFERROR(GETPIVOTDATA("Somma di AVERE",'Pivot RakBank EUR'!$A$3,"Mese",12,"Tipologia",$A90),0)
+IFERROR(GETPIVOTDATA("Somma di DARE",'Pivot Fineco Sa'!$A$3,"Mese",12,"Tipologia",$A90),0)
+ IFERROR(GETPIVOTDATA("Somma di DARE",'Pivot Fineco St'!$A$3,"Mese",12,"Tipologia",$A90),0)
+ Contanti!AT11
+ IFERROR(GETPIVOTDATA("Somma di DARE",'Pivot BBVA'!$A$3,"Mese",12,"Tipologia",$A90),0)
+ IFERROR(GETPIVOTDATA("Somma di DARE",'Pivot Amex'!$A$3,"Mese",12,"Tipologia",$A90),0)
- IFERROR(GETPIVOTDATA("Somma di AVERE",'Pivot Amex'!$A$3,"Mese",12,"Tipologia",$A90),0)
- IFERROR(GETPIVOTDATA("Somma di AVERE",'Pivot BBVA'!$A$3,"Mese",12,"Tipologia",$A90),0)
- IFERROR(GETPIVOTDATA("Somma di AVERE",'Pivot Fineco St'!$A$3,"Mese",12,"Tipologia",$A90),0)
- IFERROR(GETPIVOTDATA("Somma di AVERE",'Pivot Fineco Sa'!$A$3,"Mese",12,"Tipologia",$A90),0)
+ IFERROR(GETPIVOTDATA("Somma di DARE",'Pivot PP Visa'!$A$3,"Mese",12,"Tipologia",$A90),0)
- IFERROR(GETPIVOTDATA("Somma di AVERE",'Pivot PP Visa'!$A$3,"Mese",12,"Tipologia",$A90),0)
+ IFERROR(GETPIVOTDATA("Somma di DARE",'Pivot Revolut'!$A$3,"Mese",12,"Tipologia",$A90),0)
- IFERROR(GETPIVOTDATA("Somma di AVERE",'Pivot Revolut'!$A$3,"Mese",12,"Tipologia",$A90),0)</f>
        <v>0</v>
      </c>
      <c r="O90" s="252">
        <f t="shared" si="3"/>
        <v>0</v>
      </c>
      <c r="P90" s="243">
        <f t="shared" ca="1" si="4"/>
        <v>0</v>
      </c>
    </row>
    <row r="91" spans="1:16" s="125" customFormat="1" ht="21" customHeight="1" x14ac:dyDescent="0.2">
      <c r="C91" s="253"/>
      <c r="D91" s="253"/>
      <c r="E91" s="253"/>
      <c r="F91" s="253"/>
      <c r="G91" s="253"/>
      <c r="H91" s="253"/>
      <c r="I91" s="253"/>
      <c r="J91" s="253"/>
      <c r="K91" s="253"/>
      <c r="L91" s="253"/>
      <c r="M91" s="253"/>
      <c r="N91" s="253"/>
      <c r="O91" s="253"/>
      <c r="P91" s="254"/>
    </row>
    <row r="92" spans="1:16" s="125" customFormat="1" ht="21" customHeight="1" x14ac:dyDescent="0.2">
      <c r="A92" s="255" t="s">
        <v>122</v>
      </c>
      <c r="B92" s="255"/>
      <c r="C92" s="256">
        <f t="shared" ref="C92:N92" si="5">SUM(C93:C102)</f>
        <v>144.66999999999999</v>
      </c>
      <c r="D92" s="256">
        <f t="shared" si="5"/>
        <v>274.99</v>
      </c>
      <c r="E92" s="256">
        <f t="shared" si="5"/>
        <v>224.54000000000002</v>
      </c>
      <c r="F92" s="256">
        <f t="shared" si="5"/>
        <v>148.35000000000002</v>
      </c>
      <c r="G92" s="256">
        <f t="shared" si="5"/>
        <v>251.06360000000001</v>
      </c>
      <c r="H92" s="256">
        <f t="shared" si="5"/>
        <v>246.16</v>
      </c>
      <c r="I92" s="256">
        <f t="shared" si="5"/>
        <v>413.64</v>
      </c>
      <c r="J92" s="256">
        <f t="shared" si="5"/>
        <v>0</v>
      </c>
      <c r="K92" s="256">
        <f t="shared" si="5"/>
        <v>0</v>
      </c>
      <c r="L92" s="256">
        <f t="shared" si="5"/>
        <v>0</v>
      </c>
      <c r="M92" s="256">
        <f t="shared" si="5"/>
        <v>0</v>
      </c>
      <c r="N92" s="256">
        <f t="shared" si="5"/>
        <v>0</v>
      </c>
      <c r="O92" s="257">
        <f t="shared" ref="O92:O102" si="6">SUM(C92:N92)</f>
        <v>1703.4136000000003</v>
      </c>
      <c r="P92" s="256">
        <f ca="1">SUM(P93:P102)</f>
        <v>243.34479999999999</v>
      </c>
    </row>
    <row r="93" spans="1:16" s="125" customFormat="1" ht="21" customHeight="1" x14ac:dyDescent="0.2">
      <c r="A93" s="251" t="s">
        <v>38</v>
      </c>
      <c r="B93" s="251"/>
      <c r="C93" s="243">
        <f>IFERROR(GETPIVOTDATA("Somma di DARE EUR",'Pivot RakBank AED'!$A$3,"Mese",1,"Tipologia",$A93),0)
- IFERROR(GETPIVOTDATA("Somma di AVERE EUR",'Pivot RakBank AED'!$A$3,"Mese",1,"Tipologia",$A93),0)
+IFERROR(GETPIVOTDATA("Somma di DARE",'Pivot RakBank EUR'!$A$3,"Mese",1,"Tipologia",$A93),0)
- IFERROR(GETPIVOTDATA("Somma di AVERE",'Pivot RakBank EUR'!$A$3,"Mese",1,"Tipologia",$A93),0)
+IFERROR(GETPIVOTDATA("Somma di DARE",'Pivot Fineco Sa'!$A$3,"Mese",1,"Tipologia",$A93),0)
+ IFERROR(GETPIVOTDATA("Somma di DARE",'Pivot Fineco St'!$A$3,"Mese",1,"Tipologia",$A93),0)
+ Contanti!B14
+ IFERROR(GETPIVOTDATA("Somma di DARE",'Pivot BBVA'!$A$3,"Mese",1,"Tipologia",$A93),0)
+ IFERROR(GETPIVOTDATA("Somma di DARE",'Pivot Amex'!$A$3,"Mese",1,"Tipologia",$A93),0)
- IFERROR(GETPIVOTDATA("Somma di AVERE",'Pivot Amex'!$A$3,"Mese",1,"Tipologia",$A93),0)
- IFERROR(GETPIVOTDATA("Somma di AVERE",'Pivot BBVA'!$A$3,"Mese",1,"Tipologia",$A93),0)
- IFERROR(GETPIVOTDATA("Somma di AVERE",'Pivot Fineco St'!$A$3,"Mese",1,"Tipologia",$A93),0)
- IFERROR(GETPIVOTDATA("Somma di AVERE",'Pivot Fineco Sa'!$A$3,"Mese",1,"Tipologia",$A93),0)
+ IFERROR(GETPIVOTDATA("Somma di DARE",'Pivot PP Visa'!$A$3,"Mese",1,"Tipologia",$A93),0)
- IFERROR(GETPIVOTDATA("Somma di AVERE",'Pivot PP Visa'!$A$3,"Mese",1,"Tipologia",$A93),0)
+ IFERROR(GETPIVOTDATA("Somma di DARE",'Pivot Revolut'!$A$3,"Mese",1,"Tipologia",$A93),0)
- IFERROR(GETPIVOTDATA("Somma di AVERE",'Pivot Revolut'!$A$3,"Mese",1,"Tipologia",$A93),0)</f>
        <v>0</v>
      </c>
      <c r="D93" s="243">
        <f>IFERROR(GETPIVOTDATA("Somma di DARE EUR",'Pivot RakBank AED'!$A$3,"Mese",2,"Tipologia",$A93),0)
- IFERROR(GETPIVOTDATA("Somma di AVERE EUR",'Pivot RakBank AED'!$A$3,"Mese",2,"Tipologia",$A93),0)
+IFERROR(GETPIVOTDATA("Somma di DARE",'Pivot RakBank EUR'!$A$3,"Mese",2,"Tipologia",$A93),0)
- IFERROR(GETPIVOTDATA("Somma di AVERE",'Pivot RakBank EUR'!$A$3,"Mese",2,"Tipologia",$A93),0)
+IFERROR(GETPIVOTDATA("Somma di DARE",'Pivot Fineco Sa'!$A$3,"Mese",2,"Tipologia",$A93),0)
+ IFERROR(GETPIVOTDATA("Somma di DARE",'Pivot Fineco St'!$A$3,"Mese",2,"Tipologia",$A93),0)
+ Contanti!F14
+ IFERROR(GETPIVOTDATA("Somma di DARE",'Pivot BBVA'!$A$3,"Mese",2,"Tipologia",$A93),0)
+ IFERROR(GETPIVOTDATA("Somma di DARE",'Pivot Amex'!$A$3,"Mese",2,"Tipologia",$A93),0)
- IFERROR(GETPIVOTDATA("Somma di AVERE",'Pivot Amex'!$A$3,"Mese",2,"Tipologia",$A93),0)
- IFERROR(GETPIVOTDATA("Somma di AVERE",'Pivot BBVA'!$A$3,"Mese",2,"Tipologia",$A93),0)
- IFERROR(GETPIVOTDATA("Somma di AVERE",'Pivot Fineco St'!$A$3,"Mese",2,"Tipologia",$A93),0)
- IFERROR(GETPIVOTDATA("Somma di AVERE",'Pivot Fineco Sa'!$A$3,"Mese",2,"Tipologia",$A93),0)
+ IFERROR(GETPIVOTDATA("Somma di DARE",'Pivot PP Visa'!$A$3,"Mese",2,"Tipologia",$A93),0)
- IFERROR(GETPIVOTDATA("Somma di AVERE",'Pivot PP Visa'!$A$3,"Mese",2,"Tipologia",$A93),0)
+ IFERROR(GETPIVOTDATA("Somma di DARE",'Pivot Revolut'!$A$3,"Mese",2,"Tipologia",$A93),0)
- IFERROR(GETPIVOTDATA("Somma di AVERE",'Pivot Revolut'!$A$3,"Mese",2,"Tipologia",$A93),0)</f>
        <v>162.01</v>
      </c>
      <c r="E93" s="243">
        <f>IFERROR(GETPIVOTDATA("Somma di DARE EUR",'Pivot RakBank AED'!$A$3,"Mese",3,"Tipologia",$A93),0)
- IFERROR(GETPIVOTDATA("Somma di AVERE EUR",'Pivot RakBank AED'!$A$3,"Mese",3,"Tipologia",$A93),0)
+IFERROR(GETPIVOTDATA("Somma di DARE",'Pivot RakBank EUR'!$A$3,"Mese",3,"Tipologia",$A93),0)
- IFERROR(GETPIVOTDATA("Somma di AVERE",'Pivot RakBank EUR'!$A$3,"Mese",3,"Tipologia",$A93),0)
+IFERROR(GETPIVOTDATA("Somma di DARE",'Pivot Fineco Sa'!$A$3,"Mese",3,"Tipologia",$A93),0)
+ IFERROR(GETPIVOTDATA("Somma di DARE",'Pivot Fineco St'!$A$3,"Mese",3,"Tipologia",$A93),0)
+ Contanti!J14
+ IFERROR(GETPIVOTDATA("Somma di DARE",'Pivot BBVA'!$A$3,"Mese",3,"Tipologia",$A93),0)
+ IFERROR(GETPIVOTDATA("Somma di DARE",'Pivot Amex'!$A$3,"Mese",3,"Tipologia",$A93),0)
- IFERROR(GETPIVOTDATA("Somma di AVERE",'Pivot Amex'!$A$3,"Mese",3,"Tipologia",$A93),0)
- IFERROR(GETPIVOTDATA("Somma di AVERE",'Pivot BBVA'!$A$3,"Mese",3,"Tipologia",$A93),0)
- IFERROR(GETPIVOTDATA("Somma di AVERE",'Pivot Fineco St'!$A$3,"Mese",3,"Tipologia",$A93),0)
- IFERROR(GETPIVOTDATA("Somma di AVERE",'Pivot Fineco Sa'!$A$3,"Mese",3,"Tipologia",$A93),0)
+ IFERROR(GETPIVOTDATA("Somma di DARE",'Pivot PP Visa'!$A$3,"Mese",3,"Tipologia",$A93),0)
- IFERROR(GETPIVOTDATA("Somma di AVERE",'Pivot PP Visa'!$A$3,"Mese",3,"Tipologia",$A93),0)
+ IFERROR(GETPIVOTDATA("Somma di DARE",'Pivot Revolut'!$A$3,"Mese",3,"Tipologia",$A93),0)
- IFERROR(GETPIVOTDATA("Somma di AVERE",'Pivot Revolut'!$A$3,"Mese",3,"Tipologia",$A93),0)</f>
        <v>103.66</v>
      </c>
      <c r="F93" s="243">
        <f>IFERROR(GETPIVOTDATA("Somma di DARE EUR",'Pivot RakBank AED'!$A$3,"Mese",4,"Tipologia",$A93),0)
- IFERROR(GETPIVOTDATA("Somma di AVERE EUR",'Pivot RakBank AED'!$A$3,"Mese",4,"Tipologia",$A93),0)
+IFERROR(GETPIVOTDATA("Somma di DARE",'Pivot RakBank EUR'!$A$3,"Mese",4,"Tipologia",$A93),0)
- IFERROR(GETPIVOTDATA("Somma di AVERE",'Pivot RakBank EUR'!$A$3,"Mese",4,"Tipologia",$A93),0)
+IFERROR(GETPIVOTDATA("Somma di DARE",'Pivot Fineco Sa'!$A$3,"Mese",4,"Tipologia",$A93),0)
+ IFERROR(GETPIVOTDATA("Somma di DARE",'Pivot Fineco St'!$A$3,"Mese",4,"Tipologia",$A93),0)
+ Contanti!N14
+ IFERROR(GETPIVOTDATA("Somma di DARE",'Pivot BBVA'!$A$3,"Mese",4,"Tipologia",$A93),0)
+ IFERROR(GETPIVOTDATA("Somma di DARE",'Pivot Amex'!$A$3,"Mese",4,"Tipologia",$A93),0)
- IFERROR(GETPIVOTDATA("Somma di AVERE",'Pivot Amex'!$A$3,"Mese",4,"Tipologia",$A93),0)
- IFERROR(GETPIVOTDATA("Somma di AVERE",'Pivot BBVA'!$A$3,"Mese",4,"Tipologia",$A93),0)
- IFERROR(GETPIVOTDATA("Somma di AVERE",'Pivot Fineco St'!$A$3,"Mese",4,"Tipologia",$A93),0)
- IFERROR(GETPIVOTDATA("Somma di AVERE",'Pivot Fineco Sa'!$A$3,"Mese",4,"Tipologia",$A93),0)
+ IFERROR(GETPIVOTDATA("Somma di DARE",'Pivot PP Visa'!$A$3,"Mese",4,"Tipologia",$A93),0)
- IFERROR(GETPIVOTDATA("Somma di AVERE",'Pivot PP Visa'!$A$3,"Mese",4,"Tipologia",$A93),0)
+ IFERROR(GETPIVOTDATA("Somma di DARE",'Pivot Revolut'!$A$3,"Mese",4,"Tipologia",$A93),0)
- IFERROR(GETPIVOTDATA("Somma di AVERE",'Pivot Revolut'!$A$3,"Mese",4,"Tipologia",$A93),0)</f>
        <v>73.5</v>
      </c>
      <c r="G93" s="243">
        <f>IFERROR(GETPIVOTDATA("Somma di DARE EUR",'Pivot RakBank AED'!$A$3,"Mese",5,"Tipologia",$A93),0)
- IFERROR(GETPIVOTDATA("Somma di AVERE EUR",'Pivot RakBank AED'!$A$3,"Mese",5,"Tipologia",$A93),0)
+IFERROR(GETPIVOTDATA("Somma di DARE",'Pivot RakBank EUR'!$A$3,"Mese",5,"Tipologia",$A93),0)
- IFERROR(GETPIVOTDATA("Somma di AVERE",'Pivot RakBank EUR'!$A$3,"Mese",5,"Tipologia",$A93),0)
+IFERROR(GETPIVOTDATA("Somma di DARE",'Pivot Fineco Sa'!$A$3,"Mese",5,"Tipologia",$A93),0)
+ IFERROR(GETPIVOTDATA("Somma di DARE",'Pivot Fineco St'!$A$3,"Mese",5,"Tipologia",$A93),0)
+ Contanti!R14
+ IFERROR(GETPIVOTDATA("Somma di DARE",'Pivot BBVA'!$A$3,"Mese",5,"Tipologia",$A93),0)
+ IFERROR(GETPIVOTDATA("Somma di DARE",'Pivot Amex'!$A$3,"Mese",5,"Tipologia",$A93),0)
- IFERROR(GETPIVOTDATA("Somma di AVERE",'Pivot Amex'!$A$3,"Mese",5,"Tipologia",$A93),0)
- IFERROR(GETPIVOTDATA("Somma di AVERE",'Pivot BBVA'!$A$3,"Mese",5,"Tipologia",$A93),0)
- IFERROR(GETPIVOTDATA("Somma di AVERE",'Pivot Fineco St'!$A$3,"Mese",5,"Tipologia",$A93),0)
- IFERROR(GETPIVOTDATA("Somma di AVERE",'Pivot Fineco Sa'!$A$3,"Mese",5,"Tipologia",$A93),0)
+ IFERROR(GETPIVOTDATA("Somma di DARE",'Pivot PP Visa'!$A$3,"Mese",5,"Tipologia",$A93),0)
- IFERROR(GETPIVOTDATA("Somma di AVERE",'Pivot PP Visa'!$A$3,"Mese",5,"Tipologia",$A93),0)
+ IFERROR(GETPIVOTDATA("Somma di DARE",'Pivot Revolut'!$A$3,"Mese",5,"Tipologia",$A93),0)
- IFERROR(GETPIVOTDATA("Somma di AVERE",'Pivot Revolut'!$A$3,"Mese",5,"Tipologia",$A93),0)</f>
        <v>95.330000000000013</v>
      </c>
      <c r="H93" s="243">
        <f>IFERROR(GETPIVOTDATA("Somma di DARE EUR",'Pivot RakBank AED'!$A$3,"Mese",6,"Tipologia",$A93),0)
- IFERROR(GETPIVOTDATA("Somma di AVERE EUR",'Pivot RakBank AED'!$A$3,"Mese",6,"Tipologia",$A93),0)
+IFERROR(GETPIVOTDATA("Somma di DARE",'Pivot RakBank EUR'!$A$3,"Mese",6,"Tipologia",$A93),0)
- IFERROR(GETPIVOTDATA("Somma di AVERE",'Pivot RakBank EUR'!$A$3,"Mese",6,"Tipologia",$A93),0)
+IFERROR(GETPIVOTDATA("Somma di DARE",'Pivot Fineco Sa'!$A$3,"Mese",6,"Tipologia",$A93),0)
+ IFERROR(GETPIVOTDATA("Somma di DARE",'Pivot Fineco St'!$A$3,"Mese",6,"Tipologia",$A93),0)
+ Contanti!V14
+ IFERROR(GETPIVOTDATA("Somma di DARE",'Pivot BBVA'!$A$3,"Mese",6,"Tipologia",$A93),0)
+ IFERROR(GETPIVOTDATA("Somma di DARE",'Pivot Amex'!$A$3,"Mese",6,"Tipologia",$A93),0)
- IFERROR(GETPIVOTDATA("Somma di AVERE",'Pivot Amex'!$A$3,"Mese",6,"Tipologia",$A93),0)
- IFERROR(GETPIVOTDATA("Somma di AVERE",'Pivot BBVA'!$A$3,"Mese",6,"Tipologia",$A93),0)
- IFERROR(GETPIVOTDATA("Somma di AVERE",'Pivot Fineco St'!$A$3,"Mese",6,"Tipologia",$A93),0)
- IFERROR(GETPIVOTDATA("Somma di AVERE",'Pivot Fineco Sa'!$A$3,"Mese",6,"Tipologia",$A93),0)
+ IFERROR(GETPIVOTDATA("Somma di DARE",'Pivot PP Visa'!$A$3,"Mese",6,"Tipologia",$A93),0)
- IFERROR(GETPIVOTDATA("Somma di AVERE",'Pivot PP Visa'!$A$3,"Mese",6,"Tipologia",$A93),0)
+ IFERROR(GETPIVOTDATA("Somma di DARE",'Pivot Revolut'!$A$3,"Mese",6,"Tipologia",$A93),0)
- IFERROR(GETPIVOTDATA("Somma di AVERE",'Pivot Revolut'!$A$3,"Mese",6,"Tipologia",$A93),0)</f>
        <v>87.85</v>
      </c>
      <c r="I93" s="243">
        <f>IFERROR(GETPIVOTDATA("Somma di DARE EUR",'Pivot RakBank AED'!$A$3,"Mese",7,"Tipologia",$A93),0)
- IFERROR(GETPIVOTDATA("Somma di AVERE EUR",'Pivot RakBank AED'!$A$3,"Mese",7,"Tipologia",$A93),0)
+IFERROR(GETPIVOTDATA("Somma di DARE",'Pivot RakBank EUR'!$A$3,"Mese",7,"Tipologia",$A93),0)
- IFERROR(GETPIVOTDATA("Somma di AVERE",'Pivot RakBank EUR'!$A$3,"Mese",7,"Tipologia",$A93),0)
+IFERROR(GETPIVOTDATA("Somma di DARE",'Pivot Fineco Sa'!$A$3,"Mese",7,"Tipologia",$A93),0)
+ IFERROR(GETPIVOTDATA("Somma di DARE",'Pivot Fineco St'!$A$3,"Mese",7,"Tipologia",$A93),0)
+ Contanti!Z14
+ IFERROR(GETPIVOTDATA("Somma di DARE",'Pivot BBVA'!$A$3,"Mese",7,"Tipologia",$A93),0)
+ IFERROR(GETPIVOTDATA("Somma di DARE",'Pivot Amex'!$A$3,"Mese",7,"Tipologia",$A93),0)
- IFERROR(GETPIVOTDATA("Somma di AVERE",'Pivot Amex'!$A$3,"Mese",7,"Tipologia",$A93),0)
- IFERROR(GETPIVOTDATA("Somma di AVERE",'Pivot BBVA'!$A$3,"Mese",7,"Tipologia",$A93),0)
- IFERROR(GETPIVOTDATA("Somma di AVERE",'Pivot Fineco St'!$A$3,"Mese",7,"Tipologia",$A93),0)
- IFERROR(GETPIVOTDATA("Somma di AVERE",'Pivot Fineco Sa'!$A$3,"Mese",7,"Tipologia",$A93),0)
+ IFERROR(GETPIVOTDATA("Somma di DARE",'Pivot PP Visa'!$A$3,"Mese",7,"Tipologia",$A93),0)
- IFERROR(GETPIVOTDATA("Somma di AVERE",'Pivot PP Visa'!$A$3,"Mese",7,"Tipologia",$A93),0)
+ IFERROR(GETPIVOTDATA("Somma di DARE",'Pivot Revolut'!$A$3,"Mese",7,"Tipologia",$A93),0)
- IFERROR(GETPIVOTDATA("Somma di AVERE",'Pivot Revolut'!$A$3,"Mese",7,"Tipologia",$A93),0)</f>
        <v>0</v>
      </c>
      <c r="J93" s="243">
        <f>IFERROR(GETPIVOTDATA("Somma di DARE EUR",'Pivot RakBank AED'!$A$3,"Mese",8,"Tipologia",$A93),0)
- IFERROR(GETPIVOTDATA("Somma di AVERE EUR",'Pivot RakBank AED'!$A$3,"Mese",8,"Tipologia",$A93),0)
+IFERROR(GETPIVOTDATA("Somma di DARE",'Pivot RakBank EUR'!$A$3,"Mese",8,"Tipologia",$A93),0)
- IFERROR(GETPIVOTDATA("Somma di AVERE",'Pivot RakBank EUR'!$A$3,"Mese",8,"Tipologia",$A93),0)
+IFERROR(GETPIVOTDATA("Somma di DARE",'Pivot Fineco Sa'!$A$3,"Mese",8,"Tipologia",$A93),0)
+ IFERROR(GETPIVOTDATA("Somma di DARE",'Pivot Fineco St'!$A$3,"Mese",8,"Tipologia",$A93),0)
+ Contanti!AD14
+ IFERROR(GETPIVOTDATA("Somma di DARE",'Pivot BBVA'!$A$3,"Mese",8,"Tipologia",$A93),0)
+ IFERROR(GETPIVOTDATA("Somma di DARE",'Pivot Amex'!$A$3,"Mese",8,"Tipologia",$A93),0)
- IFERROR(GETPIVOTDATA("Somma di AVERE",'Pivot Amex'!$A$3,"Mese",8,"Tipologia",$A93),0)
- IFERROR(GETPIVOTDATA("Somma di AVERE",'Pivot BBVA'!$A$3,"Mese",8,"Tipologia",$A93),0)
- IFERROR(GETPIVOTDATA("Somma di AVERE",'Pivot Fineco St'!$A$3,"Mese",8,"Tipologia",$A93),0)
- IFERROR(GETPIVOTDATA("Somma di AVERE",'Pivot Fineco Sa'!$A$3,"Mese",8,"Tipologia",$A93),0)
+ IFERROR(GETPIVOTDATA("Somma di DARE",'Pivot PP Visa'!$A$3,"Mese",8,"Tipologia",$A93),0)
- IFERROR(GETPIVOTDATA("Somma di AVERE",'Pivot PP Visa'!$A$3,"Mese",8,"Tipologia",$A93),0)
+ IFERROR(GETPIVOTDATA("Somma di DARE",'Pivot Revolut'!$A$3,"Mese",8,"Tipologia",$A93),0)
- IFERROR(GETPIVOTDATA("Somma di AVERE",'Pivot Revolut'!$A$3,"Mese",8,"Tipologia",$A93),0)</f>
        <v>0</v>
      </c>
      <c r="K93" s="243">
        <f>IFERROR(GETPIVOTDATA("Somma di DARE EUR",'Pivot RakBank AED'!$A$3,"Mese",9,"Tipologia",$A93),0)
- IFERROR(GETPIVOTDATA("Somma di AVERE EUR",'Pivot RakBank AED'!$A$3,"Mese",9,"Tipologia",$A93),0)
+IFERROR(GETPIVOTDATA("Somma di DARE",'Pivot RakBank EUR'!$A$3,"Mese",9,"Tipologia",$A93),0)
- IFERROR(GETPIVOTDATA("Somma di AVERE",'Pivot RakBank EUR'!$A$3,"Mese",9,"Tipologia",$A93),0)
+IFERROR(GETPIVOTDATA("Somma di DARE",'Pivot Fineco Sa'!$A$3,"Mese",9,"Tipologia",$A93),0)
+ IFERROR(GETPIVOTDATA("Somma di DARE",'Pivot Fineco St'!$A$3,"Mese",9,"Tipologia",$A93),0)
+ Contanti!AH14
+ IFERROR(GETPIVOTDATA("Somma di DARE",'Pivot BBVA'!$A$3,"Mese",9,"Tipologia",$A93),0)
+ IFERROR(GETPIVOTDATA("Somma di DARE",'Pivot Amex'!$A$3,"Mese",9,"Tipologia",$A93),0)
- IFERROR(GETPIVOTDATA("Somma di AVERE",'Pivot Amex'!$A$3,"Mese",9,"Tipologia",$A93),0)
- IFERROR(GETPIVOTDATA("Somma di AVERE",'Pivot BBVA'!$A$3,"Mese",9,"Tipologia",$A93),0)
- IFERROR(GETPIVOTDATA("Somma di AVERE",'Pivot Fineco St'!$A$3,"Mese",9,"Tipologia",$A93),0)
- IFERROR(GETPIVOTDATA("Somma di AVERE",'Pivot Fineco Sa'!$A$3,"Mese",9,"Tipologia",$A93),0)
+ IFERROR(GETPIVOTDATA("Somma di DARE",'Pivot PP Visa'!$A$3,"Mese",9,"Tipologia",$A93),0)
- IFERROR(GETPIVOTDATA("Somma di AVERE",'Pivot PP Visa'!$A$3,"Mese",9,"Tipologia",$A93),0)
+ IFERROR(GETPIVOTDATA("Somma di DARE",'Pivot Revolut'!$A$3,"Mese",9,"Tipologia",$A93),0)
- IFERROR(GETPIVOTDATA("Somma di AVERE",'Pivot Revolut'!$A$3,"Mese",9,"Tipologia",$A93),0)</f>
        <v>0</v>
      </c>
      <c r="L93" s="243">
        <f>IFERROR(GETPIVOTDATA("Somma di DARE EUR",'Pivot RakBank AED'!$A$3,"Mese",10,"Tipologia",$A93),0)
- IFERROR(GETPIVOTDATA("Somma di AVERE EUR",'Pivot RakBank AED'!$A$3,"Mese",10,"Tipologia",$A93),0)
+IFERROR(GETPIVOTDATA("Somma di DARE",'Pivot RakBank EUR'!$A$3,"Mese",10,"Tipologia",$A93),0)
- IFERROR(GETPIVOTDATA("Somma di AVERE",'Pivot RakBank EUR'!$A$3,"Mese",10,"Tipologia",$A93),0)
+IFERROR(GETPIVOTDATA("Somma di DARE",'Pivot Fineco Sa'!$A$3,"Mese",10,"Tipologia",$A93),0)
+ IFERROR(GETPIVOTDATA("Somma di DARE",'Pivot Fineco St'!$A$3,"Mese",10,"Tipologia",$A93),0)
+ Contanti!AL14
+ IFERROR(GETPIVOTDATA("Somma di DARE",'Pivot BBVA'!$A$3,"Mese",10,"Tipologia",$A93),0)
+ IFERROR(GETPIVOTDATA("Somma di DARE",'Pivot Amex'!$A$3,"Mese",10,"Tipologia",$A93),0)
- IFERROR(GETPIVOTDATA("Somma di AVERE",'Pivot Amex'!$A$3,"Mese",10,"Tipologia",$A93),0)
- IFERROR(GETPIVOTDATA("Somma di AVERE",'Pivot BBVA'!$A$3,"Mese",10,"Tipologia",$A93),0)
- IFERROR(GETPIVOTDATA("Somma di AVERE",'Pivot Fineco St'!$A$3,"Mese",10,"Tipologia",$A93),0)
- IFERROR(GETPIVOTDATA("Somma di AVERE",'Pivot Fineco Sa'!$A$3,"Mese",10,"Tipologia",$A93),0)
+ IFERROR(GETPIVOTDATA("Somma di DARE",'Pivot PP Visa'!$A$3,"Mese",10,"Tipologia",$A93),0)
- IFERROR(GETPIVOTDATA("Somma di AVERE",'Pivot PP Visa'!$A$3,"Mese",10,"Tipologia",$A93),0)
+ IFERROR(GETPIVOTDATA("Somma di DARE",'Pivot Revolut'!$A$3,"Mese",10,"Tipologia",$A93),0)
- IFERROR(GETPIVOTDATA("Somma di AVERE",'Pivot Revolut'!$A$3,"Mese",10,"Tipologia",$A93),0)</f>
        <v>0</v>
      </c>
      <c r="M93" s="243">
        <f>IFERROR(GETPIVOTDATA("Somma di DARE EUR",'Pivot RakBank AED'!$A$3,"Mese",11,"Tipologia",$A93),0)
- IFERROR(GETPIVOTDATA("Somma di AVERE EUR",'Pivot RakBank AED'!$A$3,"Mese",11,"Tipologia",$A93),0)
+IFERROR(GETPIVOTDATA("Somma di DARE",'Pivot RakBank EUR'!$A$3,"Mese",11,"Tipologia",$A93),0)
- IFERROR(GETPIVOTDATA("Somma di AVERE",'Pivot RakBank EUR'!$A$3,"Mese",11,"Tipologia",$A93),0)
+IFERROR(GETPIVOTDATA("Somma di DARE",'Pivot Fineco Sa'!$A$3,"Mese",11,"Tipologia",$A93),0)
+ IFERROR(GETPIVOTDATA("Somma di DARE",'Pivot Fineco St'!$A$3,"Mese",11,"Tipologia",$A93),0)
+ Contanti!AP14
+ IFERROR(GETPIVOTDATA("Somma di DARE",'Pivot BBVA'!$A$3,"Mese",11,"Tipologia",$A93),0)
+ IFERROR(GETPIVOTDATA("Somma di DARE",'Pivot Amex'!$A$3,"Mese",11,"Tipologia",$A93),0)
- IFERROR(GETPIVOTDATA("Somma di AVERE",'Pivot Amex'!$A$3,"Mese",11,"Tipologia",$A93),0)
- IFERROR(GETPIVOTDATA("Somma di AVERE",'Pivot BBVA'!$A$3,"Mese",11,"Tipologia",$A93),0)
- IFERROR(GETPIVOTDATA("Somma di AVERE",'Pivot Fineco St'!$A$3,"Mese",11,"Tipologia",$A93),0)
- IFERROR(GETPIVOTDATA("Somma di AVERE",'Pivot Fineco Sa'!$A$3,"Mese",11,"Tipologia",$A93),0)
+ IFERROR(GETPIVOTDATA("Somma di DARE",'Pivot PP Visa'!$A$3,"Mese",11,"Tipologia",$A93),0)
- IFERROR(GETPIVOTDATA("Somma di AVERE",'Pivot PP Visa'!$A$3,"Mese",11,"Tipologia",$A93),0)
+ IFERROR(GETPIVOTDATA("Somma di DARE",'Pivot Revolut'!$A$3,"Mese",11,"Tipologia",$A93),0)
- IFERROR(GETPIVOTDATA("Somma di AVERE",'Pivot Revolut'!$A$3,"Mese",11,"Tipologia",$A93),0)</f>
        <v>0</v>
      </c>
      <c r="N93" s="243">
        <f>IFERROR(GETPIVOTDATA("Somma di DARE EUR",'Pivot RakBank AED'!$A$3,"Mese",12,"Tipologia",$A93),0)
- IFERROR(GETPIVOTDATA("Somma di AVERE EUR",'Pivot RakBank AED'!$A$3,"Mese",12,"Tipologia",$A93),0)
+IFERROR(GETPIVOTDATA("Somma di DARE",'Pivot RakBank EUR'!$A$3,"Mese",12,"Tipologia",$A93),0)
- IFERROR(GETPIVOTDATA("Somma di AVERE",'Pivot RakBank EUR'!$A$3,"Mese",12,"Tipologia",$A93),0)
+IFERROR(GETPIVOTDATA("Somma di DARE",'Pivot Fineco Sa'!$A$3,"Mese",12,"Tipologia",$A93),0)
+ IFERROR(GETPIVOTDATA("Somma di DARE",'Pivot Fineco St'!$A$3,"Mese",12,"Tipologia",$A93),0)
+ Contanti!AT14
+ IFERROR(GETPIVOTDATA("Somma di DARE",'Pivot BBVA'!$A$3,"Mese",12,"Tipologia",$A93),0)
+ IFERROR(GETPIVOTDATA("Somma di DARE",'Pivot Amex'!$A$3,"Mese",12,"Tipologia",$A93),0)
- IFERROR(GETPIVOTDATA("Somma di AVERE",'Pivot Amex'!$A$3,"Mese",12,"Tipologia",$A93),0)
- IFERROR(GETPIVOTDATA("Somma di AVERE",'Pivot BBVA'!$A$3,"Mese",12,"Tipologia",$A93),0)
- IFERROR(GETPIVOTDATA("Somma di AVERE",'Pivot Fineco St'!$A$3,"Mese",12,"Tipologia",$A93),0)
- IFERROR(GETPIVOTDATA("Somma di AVERE",'Pivot Fineco Sa'!$A$3,"Mese",12,"Tipologia",$A93),0)
+ IFERROR(GETPIVOTDATA("Somma di DARE",'Pivot PP Visa'!$A$3,"Mese",12,"Tipologia",$A93),0)
- IFERROR(GETPIVOTDATA("Somma di AVERE",'Pivot PP Visa'!$A$3,"Mese",12,"Tipologia",$A93),0)
+ IFERROR(GETPIVOTDATA("Somma di DARE",'Pivot Revolut'!$A$3,"Mese",12,"Tipologia",$A93),0)
- IFERROR(GETPIVOTDATA("Somma di AVERE",'Pivot Revolut'!$A$3,"Mese",12,"Tipologia",$A93),0)</f>
        <v>0</v>
      </c>
      <c r="O93" s="252">
        <f t="shared" si="6"/>
        <v>522.35</v>
      </c>
      <c r="P93" s="243">
        <f t="shared" ref="P93:P102" ca="1" si="7">O93/(MONTH(TODAY()))</f>
        <v>74.621428571428581</v>
      </c>
    </row>
    <row r="94" spans="1:16" s="125" customFormat="1" ht="21" customHeight="1" x14ac:dyDescent="0.2">
      <c r="A94" s="251" t="s">
        <v>231</v>
      </c>
      <c r="B94" s="251"/>
      <c r="C94" s="243">
        <f>IFERROR(GETPIVOTDATA("Somma di DARE EUR",'Pivot RakBank AED'!$A$3,"Mese",1,"Tipologia",$A94),0)
- IFERROR(GETPIVOTDATA("Somma di AVERE EUR",'Pivot RakBank AED'!$A$3,"Mese",1,"Tipologia",$A94),0)
+IFERROR(GETPIVOTDATA("Somma di DARE",'Pivot RakBank EUR'!$A$3,"Mese",1,"Tipologia",$A94),0)
- IFERROR(GETPIVOTDATA("Somma di AVERE",'Pivot RakBank EUR'!$A$3,"Mese",1,"Tipologia",$A94),0)
+IFERROR(GETPIVOTDATA("Somma di DARE",'Pivot Fineco Sa'!$A$3,"Mese",1,"Tipologia",$A94),0)
+ IFERROR(GETPIVOTDATA("Somma di DARE",'Pivot Fineco St'!$A$3,"Mese",1,"Tipologia",$A94),0)
+ Contanti!B15
+ IFERROR(GETPIVOTDATA("Somma di DARE",'Pivot BBVA'!$A$3,"Mese",1,"Tipologia",$A94),0)
+ IFERROR(GETPIVOTDATA("Somma di DARE",'Pivot Amex'!$A$3,"Mese",1,"Tipologia",$A94),0)
- IFERROR(GETPIVOTDATA("Somma di AVERE",'Pivot Amex'!$A$3,"Mese",1,"Tipologia",$A94),0)
- IFERROR(GETPIVOTDATA("Somma di AVERE",'Pivot BBVA'!$A$3,"Mese",1,"Tipologia",$A94),0)
- IFERROR(GETPIVOTDATA("Somma di AVERE",'Pivot Fineco St'!$A$3,"Mese",1,"Tipologia",$A94),0)
- IFERROR(GETPIVOTDATA("Somma di AVERE",'Pivot Fineco Sa'!$A$3,"Mese",1,"Tipologia",$A94),0)
+ IFERROR(GETPIVOTDATA("Somma di DARE",'Pivot PP Visa'!$A$3,"Mese",1,"Tipologia",$A94),0)
- IFERROR(GETPIVOTDATA("Somma di AVERE",'Pivot PP Visa'!$A$3,"Mese",1,"Tipologia",$A94),0)
+ IFERROR(GETPIVOTDATA("Somma di DARE",'Pivot Revolut'!$A$3,"Mese",1,"Tipologia",$A94),0)
- IFERROR(GETPIVOTDATA("Somma di AVERE",'Pivot Revolut'!$A$3,"Mese",1,"Tipologia",$A94),0)</f>
        <v>52.15</v>
      </c>
      <c r="D94" s="243">
        <f>IFERROR(GETPIVOTDATA("Somma di DARE EUR",'Pivot RakBank AED'!$A$3,"Mese",2,"Tipologia",$A94),0)
- IFERROR(GETPIVOTDATA("Somma di AVERE EUR",'Pivot RakBank AED'!$A$3,"Mese",2,"Tipologia",$A94),0)
+IFERROR(GETPIVOTDATA("Somma di DARE",'Pivot RakBank EUR'!$A$3,"Mese",2,"Tipologia",$A94),0)
- IFERROR(GETPIVOTDATA("Somma di AVERE",'Pivot RakBank EUR'!$A$3,"Mese",2,"Tipologia",$A94),0)
+IFERROR(GETPIVOTDATA("Somma di DARE",'Pivot Fineco Sa'!$A$3,"Mese",2,"Tipologia",$A94),0)
+ IFERROR(GETPIVOTDATA("Somma di DARE",'Pivot Fineco St'!$A$3,"Mese",2,"Tipologia",$A94),0)
+ Contanti!F15
+ IFERROR(GETPIVOTDATA("Somma di DARE",'Pivot BBVA'!$A$3,"Mese",2,"Tipologia",$A94),0)
+ IFERROR(GETPIVOTDATA("Somma di DARE",'Pivot Amex'!$A$3,"Mese",2,"Tipologia",$A94),0)
- IFERROR(GETPIVOTDATA("Somma di AVERE",'Pivot Amex'!$A$3,"Mese",2,"Tipologia",$A94),0)
- IFERROR(GETPIVOTDATA("Somma di AVERE",'Pivot BBVA'!$A$3,"Mese",2,"Tipologia",$A94),0)
- IFERROR(GETPIVOTDATA("Somma di AVERE",'Pivot Fineco St'!$A$3,"Mese",2,"Tipologia",$A94),0)
- IFERROR(GETPIVOTDATA("Somma di AVERE",'Pivot Fineco Sa'!$A$3,"Mese",2,"Tipologia",$A94),0)
+ IFERROR(GETPIVOTDATA("Somma di DARE",'Pivot PP Visa'!$A$3,"Mese",2,"Tipologia",$A94),0)
- IFERROR(GETPIVOTDATA("Somma di AVERE",'Pivot PP Visa'!$A$3,"Mese",2,"Tipologia",$A94),0)
+ IFERROR(GETPIVOTDATA("Somma di DARE",'Pivot Revolut'!$A$3,"Mese",2,"Tipologia",$A94),0)
- IFERROR(GETPIVOTDATA("Somma di AVERE",'Pivot Revolut'!$A$3,"Mese",2,"Tipologia",$A94),0)</f>
        <v>0</v>
      </c>
      <c r="E94" s="243">
        <f>IFERROR(GETPIVOTDATA("Somma di DARE EUR",'Pivot RakBank AED'!$A$3,"Mese",3,"Tipologia",$A94),0)
- IFERROR(GETPIVOTDATA("Somma di AVERE EUR",'Pivot RakBank AED'!$A$3,"Mese",3,"Tipologia",$A94),0)
+IFERROR(GETPIVOTDATA("Somma di DARE",'Pivot RakBank EUR'!$A$3,"Mese",3,"Tipologia",$A94),0)
- IFERROR(GETPIVOTDATA("Somma di AVERE",'Pivot RakBank EUR'!$A$3,"Mese",3,"Tipologia",$A94),0)
+IFERROR(GETPIVOTDATA("Somma di DARE",'Pivot Fineco Sa'!$A$3,"Mese",3,"Tipologia",$A94),0)
+ IFERROR(GETPIVOTDATA("Somma di DARE",'Pivot Fineco St'!$A$3,"Mese",3,"Tipologia",$A94),0)
+ Contanti!J15
+ IFERROR(GETPIVOTDATA("Somma di DARE",'Pivot BBVA'!$A$3,"Mese",3,"Tipologia",$A94),0)
+ IFERROR(GETPIVOTDATA("Somma di DARE",'Pivot Amex'!$A$3,"Mese",3,"Tipologia",$A94),0)
- IFERROR(GETPIVOTDATA("Somma di AVERE",'Pivot Amex'!$A$3,"Mese",3,"Tipologia",$A94),0)
- IFERROR(GETPIVOTDATA("Somma di AVERE",'Pivot BBVA'!$A$3,"Mese",3,"Tipologia",$A94),0)
- IFERROR(GETPIVOTDATA("Somma di AVERE",'Pivot Fineco St'!$A$3,"Mese",3,"Tipologia",$A94),0)
- IFERROR(GETPIVOTDATA("Somma di AVERE",'Pivot Fineco Sa'!$A$3,"Mese",3,"Tipologia",$A94),0)
+ IFERROR(GETPIVOTDATA("Somma di DARE",'Pivot PP Visa'!$A$3,"Mese",3,"Tipologia",$A94),0)
- IFERROR(GETPIVOTDATA("Somma di AVERE",'Pivot PP Visa'!$A$3,"Mese",3,"Tipologia",$A94),0)
+ IFERROR(GETPIVOTDATA("Somma di DARE",'Pivot Revolut'!$A$3,"Mese",3,"Tipologia",$A94),0)
- IFERROR(GETPIVOTDATA("Somma di AVERE",'Pivot Revolut'!$A$3,"Mese",3,"Tipologia",$A94),0)</f>
        <v>40.31</v>
      </c>
      <c r="F94" s="243">
        <f>IFERROR(GETPIVOTDATA("Somma di DARE EUR",'Pivot RakBank AED'!$A$3,"Mese",4,"Tipologia",$A94),0)
- IFERROR(GETPIVOTDATA("Somma di AVERE EUR",'Pivot RakBank AED'!$A$3,"Mese",4,"Tipologia",$A94),0)
+IFERROR(GETPIVOTDATA("Somma di DARE",'Pivot RakBank EUR'!$A$3,"Mese",4,"Tipologia",$A94),0)
- IFERROR(GETPIVOTDATA("Somma di AVERE",'Pivot RakBank EUR'!$A$3,"Mese",4,"Tipologia",$A94),0)
+IFERROR(GETPIVOTDATA("Somma di DARE",'Pivot Fineco Sa'!$A$3,"Mese",4,"Tipologia",$A94),0)
+ IFERROR(GETPIVOTDATA("Somma di DARE",'Pivot Fineco St'!$A$3,"Mese",4,"Tipologia",$A94),0)
+ Contanti!N15
+ IFERROR(GETPIVOTDATA("Somma di DARE",'Pivot BBVA'!$A$3,"Mese",4,"Tipologia",$A94),0)
+ IFERROR(GETPIVOTDATA("Somma di DARE",'Pivot Amex'!$A$3,"Mese",4,"Tipologia",$A94),0)
- IFERROR(GETPIVOTDATA("Somma di AVERE",'Pivot Amex'!$A$3,"Mese",4,"Tipologia",$A94),0)
- IFERROR(GETPIVOTDATA("Somma di AVERE",'Pivot BBVA'!$A$3,"Mese",4,"Tipologia",$A94),0)
- IFERROR(GETPIVOTDATA("Somma di AVERE",'Pivot Fineco St'!$A$3,"Mese",4,"Tipologia",$A94),0)
- IFERROR(GETPIVOTDATA("Somma di AVERE",'Pivot Fineco Sa'!$A$3,"Mese",4,"Tipologia",$A94),0)
+ IFERROR(GETPIVOTDATA("Somma di DARE",'Pivot PP Visa'!$A$3,"Mese",4,"Tipologia",$A94),0)
- IFERROR(GETPIVOTDATA("Somma di AVERE",'Pivot PP Visa'!$A$3,"Mese",4,"Tipologia",$A94),0)
+ IFERROR(GETPIVOTDATA("Somma di DARE",'Pivot Revolut'!$A$3,"Mese",4,"Tipologia",$A94),0)
- IFERROR(GETPIVOTDATA("Somma di AVERE",'Pivot Revolut'!$A$3,"Mese",4,"Tipologia",$A94),0)</f>
        <v>0</v>
      </c>
      <c r="G94" s="243">
        <f>IFERROR(GETPIVOTDATA("Somma di DARE EUR",'Pivot RakBank AED'!$A$3,"Mese",5,"Tipologia",$A94),0)
- IFERROR(GETPIVOTDATA("Somma di AVERE EUR",'Pivot RakBank AED'!$A$3,"Mese",5,"Tipologia",$A94),0)
+IFERROR(GETPIVOTDATA("Somma di DARE",'Pivot RakBank EUR'!$A$3,"Mese",5,"Tipologia",$A94),0)
- IFERROR(GETPIVOTDATA("Somma di AVERE",'Pivot RakBank EUR'!$A$3,"Mese",5,"Tipologia",$A94),0)
+IFERROR(GETPIVOTDATA("Somma di DARE",'Pivot Fineco Sa'!$A$3,"Mese",5,"Tipologia",$A94),0)
+ IFERROR(GETPIVOTDATA("Somma di DARE",'Pivot Fineco St'!$A$3,"Mese",5,"Tipologia",$A94),0)
+ Contanti!R15
+ IFERROR(GETPIVOTDATA("Somma di DARE",'Pivot BBVA'!$A$3,"Mese",5,"Tipologia",$A94),0)
+ IFERROR(GETPIVOTDATA("Somma di DARE",'Pivot Amex'!$A$3,"Mese",5,"Tipologia",$A94),0)
- IFERROR(GETPIVOTDATA("Somma di AVERE",'Pivot Amex'!$A$3,"Mese",5,"Tipologia",$A94),0)
- IFERROR(GETPIVOTDATA("Somma di AVERE",'Pivot BBVA'!$A$3,"Mese",5,"Tipologia",$A94),0)
- IFERROR(GETPIVOTDATA("Somma di AVERE",'Pivot Fineco St'!$A$3,"Mese",5,"Tipologia",$A94),0)
- IFERROR(GETPIVOTDATA("Somma di AVERE",'Pivot Fineco Sa'!$A$3,"Mese",5,"Tipologia",$A94),0)
+ IFERROR(GETPIVOTDATA("Somma di DARE",'Pivot PP Visa'!$A$3,"Mese",5,"Tipologia",$A94),0)
- IFERROR(GETPIVOTDATA("Somma di AVERE",'Pivot PP Visa'!$A$3,"Mese",5,"Tipologia",$A94),0)
+ IFERROR(GETPIVOTDATA("Somma di DARE",'Pivot Revolut'!$A$3,"Mese",5,"Tipologia",$A94),0)
- IFERROR(GETPIVOTDATA("Somma di AVERE",'Pivot Revolut'!$A$3,"Mese",5,"Tipologia",$A94),0)</f>
        <v>66.87</v>
      </c>
      <c r="H94" s="243">
        <f>IFERROR(GETPIVOTDATA("Somma di DARE EUR",'Pivot RakBank AED'!$A$3,"Mese",6,"Tipologia",$A94),0)
- IFERROR(GETPIVOTDATA("Somma di AVERE EUR",'Pivot RakBank AED'!$A$3,"Mese",6,"Tipologia",$A94),0)
+IFERROR(GETPIVOTDATA("Somma di DARE",'Pivot RakBank EUR'!$A$3,"Mese",6,"Tipologia",$A94),0)
- IFERROR(GETPIVOTDATA("Somma di AVERE",'Pivot RakBank EUR'!$A$3,"Mese",6,"Tipologia",$A94),0)
+IFERROR(GETPIVOTDATA("Somma di DARE",'Pivot Fineco Sa'!$A$3,"Mese",6,"Tipologia",$A94),0)
+ IFERROR(GETPIVOTDATA("Somma di DARE",'Pivot Fineco St'!$A$3,"Mese",6,"Tipologia",$A94),0)
+ Contanti!V15
+ IFERROR(GETPIVOTDATA("Somma di DARE",'Pivot BBVA'!$A$3,"Mese",6,"Tipologia",$A94),0)
+ IFERROR(GETPIVOTDATA("Somma di DARE",'Pivot Amex'!$A$3,"Mese",6,"Tipologia",$A94),0)
- IFERROR(GETPIVOTDATA("Somma di AVERE",'Pivot Amex'!$A$3,"Mese",6,"Tipologia",$A94),0)
- IFERROR(GETPIVOTDATA("Somma di AVERE",'Pivot BBVA'!$A$3,"Mese",6,"Tipologia",$A94),0)
- IFERROR(GETPIVOTDATA("Somma di AVERE",'Pivot Fineco St'!$A$3,"Mese",6,"Tipologia",$A94),0)
- IFERROR(GETPIVOTDATA("Somma di AVERE",'Pivot Fineco Sa'!$A$3,"Mese",6,"Tipologia",$A94),0)
+ IFERROR(GETPIVOTDATA("Somma di DARE",'Pivot PP Visa'!$A$3,"Mese",6,"Tipologia",$A94),0)
- IFERROR(GETPIVOTDATA("Somma di AVERE",'Pivot PP Visa'!$A$3,"Mese",6,"Tipologia",$A94),0)
+ IFERROR(GETPIVOTDATA("Somma di DARE",'Pivot Revolut'!$A$3,"Mese",6,"Tipologia",$A94),0)
- IFERROR(GETPIVOTDATA("Somma di AVERE",'Pivot Revolut'!$A$3,"Mese",6,"Tipologia",$A94),0)</f>
        <v>0</v>
      </c>
      <c r="I94" s="243">
        <f>IFERROR(GETPIVOTDATA("Somma di DARE EUR",'Pivot RakBank AED'!$A$3,"Mese",7,"Tipologia",$A94),0)
- IFERROR(GETPIVOTDATA("Somma di AVERE EUR",'Pivot RakBank AED'!$A$3,"Mese",7,"Tipologia",$A94),0)
+IFERROR(GETPIVOTDATA("Somma di DARE",'Pivot RakBank EUR'!$A$3,"Mese",7,"Tipologia",$A94),0)
- IFERROR(GETPIVOTDATA("Somma di AVERE",'Pivot RakBank EUR'!$A$3,"Mese",7,"Tipologia",$A94),0)
+IFERROR(GETPIVOTDATA("Somma di DARE",'Pivot Fineco Sa'!$A$3,"Mese",7,"Tipologia",$A94),0)
+ IFERROR(GETPIVOTDATA("Somma di DARE",'Pivot Fineco St'!$A$3,"Mese",7,"Tipologia",$A94),0)
+ Contanti!Z15
+ IFERROR(GETPIVOTDATA("Somma di DARE",'Pivot BBVA'!$A$3,"Mese",7,"Tipologia",$A94),0)
+ IFERROR(GETPIVOTDATA("Somma di DARE",'Pivot Amex'!$A$3,"Mese",7,"Tipologia",$A94),0)
- IFERROR(GETPIVOTDATA("Somma di AVERE",'Pivot Amex'!$A$3,"Mese",7,"Tipologia",$A94),0)
- IFERROR(GETPIVOTDATA("Somma di AVERE",'Pivot BBVA'!$A$3,"Mese",7,"Tipologia",$A94),0)
- IFERROR(GETPIVOTDATA("Somma di AVERE",'Pivot Fineco St'!$A$3,"Mese",7,"Tipologia",$A94),0)
- IFERROR(GETPIVOTDATA("Somma di AVERE",'Pivot Fineco Sa'!$A$3,"Mese",7,"Tipologia",$A94),0)
+ IFERROR(GETPIVOTDATA("Somma di DARE",'Pivot PP Visa'!$A$3,"Mese",7,"Tipologia",$A94),0)
- IFERROR(GETPIVOTDATA("Somma di AVERE",'Pivot PP Visa'!$A$3,"Mese",7,"Tipologia",$A94),0)
+ IFERROR(GETPIVOTDATA("Somma di DARE",'Pivot Revolut'!$A$3,"Mese",7,"Tipologia",$A94),0)
- IFERROR(GETPIVOTDATA("Somma di AVERE",'Pivot Revolut'!$A$3,"Mese",7,"Tipologia",$A94),0)</f>
        <v>96.99</v>
      </c>
      <c r="J94" s="243">
        <f>IFERROR(GETPIVOTDATA("Somma di DARE EUR",'Pivot RakBank AED'!$A$3,"Mese",8,"Tipologia",$A94),0)
- IFERROR(GETPIVOTDATA("Somma di AVERE EUR",'Pivot RakBank AED'!$A$3,"Mese",8,"Tipologia",$A94),0)
+IFERROR(GETPIVOTDATA("Somma di DARE",'Pivot RakBank EUR'!$A$3,"Mese",8,"Tipologia",$A94),0)
- IFERROR(GETPIVOTDATA("Somma di AVERE",'Pivot RakBank EUR'!$A$3,"Mese",8,"Tipologia",$A94),0)
+IFERROR(GETPIVOTDATA("Somma di DARE",'Pivot Fineco Sa'!$A$3,"Mese",8,"Tipologia",$A94),0)
+ IFERROR(GETPIVOTDATA("Somma di DARE",'Pivot Fineco St'!$A$3,"Mese",8,"Tipologia",$A94),0)
+ Contanti!AD15
+ IFERROR(GETPIVOTDATA("Somma di DARE",'Pivot BBVA'!$A$3,"Mese",8,"Tipologia",$A94),0)
+ IFERROR(GETPIVOTDATA("Somma di DARE",'Pivot Amex'!$A$3,"Mese",8,"Tipologia",$A94),0)
- IFERROR(GETPIVOTDATA("Somma di AVERE",'Pivot Amex'!$A$3,"Mese",8,"Tipologia",$A94),0)
- IFERROR(GETPIVOTDATA("Somma di AVERE",'Pivot BBVA'!$A$3,"Mese",8,"Tipologia",$A94),0)
- IFERROR(GETPIVOTDATA("Somma di AVERE",'Pivot Fineco St'!$A$3,"Mese",8,"Tipologia",$A94),0)
- IFERROR(GETPIVOTDATA("Somma di AVERE",'Pivot Fineco Sa'!$A$3,"Mese",8,"Tipologia",$A94),0)
+ IFERROR(GETPIVOTDATA("Somma di DARE",'Pivot PP Visa'!$A$3,"Mese",8,"Tipologia",$A94),0)
- IFERROR(GETPIVOTDATA("Somma di AVERE",'Pivot PP Visa'!$A$3,"Mese",8,"Tipologia",$A94),0)
+ IFERROR(GETPIVOTDATA("Somma di DARE",'Pivot Revolut'!$A$3,"Mese",8,"Tipologia",$A94),0)
- IFERROR(GETPIVOTDATA("Somma di AVERE",'Pivot Revolut'!$A$3,"Mese",8,"Tipologia",$A94),0)</f>
        <v>0</v>
      </c>
      <c r="K94" s="243">
        <f>IFERROR(GETPIVOTDATA("Somma di DARE EUR",'Pivot RakBank AED'!$A$3,"Mese",9,"Tipologia",$A94),0)
- IFERROR(GETPIVOTDATA("Somma di AVERE EUR",'Pivot RakBank AED'!$A$3,"Mese",9,"Tipologia",$A94),0)
+IFERROR(GETPIVOTDATA("Somma di DARE",'Pivot RakBank EUR'!$A$3,"Mese",9,"Tipologia",$A94),0)
- IFERROR(GETPIVOTDATA("Somma di AVERE",'Pivot RakBank EUR'!$A$3,"Mese",9,"Tipologia",$A94),0)
+IFERROR(GETPIVOTDATA("Somma di DARE",'Pivot Fineco Sa'!$A$3,"Mese",9,"Tipologia",$A94),0)
+ IFERROR(GETPIVOTDATA("Somma di DARE",'Pivot Fineco St'!$A$3,"Mese",9,"Tipologia",$A94),0)
+ Contanti!AH15
+ IFERROR(GETPIVOTDATA("Somma di DARE",'Pivot BBVA'!$A$3,"Mese",9,"Tipologia",$A94),0)
+ IFERROR(GETPIVOTDATA("Somma di DARE",'Pivot Amex'!$A$3,"Mese",9,"Tipologia",$A94),0)
- IFERROR(GETPIVOTDATA("Somma di AVERE",'Pivot Amex'!$A$3,"Mese",9,"Tipologia",$A94),0)
- IFERROR(GETPIVOTDATA("Somma di AVERE",'Pivot BBVA'!$A$3,"Mese",9,"Tipologia",$A94),0)
- IFERROR(GETPIVOTDATA("Somma di AVERE",'Pivot Fineco St'!$A$3,"Mese",9,"Tipologia",$A94),0)
- IFERROR(GETPIVOTDATA("Somma di AVERE",'Pivot Fineco Sa'!$A$3,"Mese",9,"Tipologia",$A94),0)
+ IFERROR(GETPIVOTDATA("Somma di DARE",'Pivot PP Visa'!$A$3,"Mese",9,"Tipologia",$A94),0)
- IFERROR(GETPIVOTDATA("Somma di AVERE",'Pivot PP Visa'!$A$3,"Mese",9,"Tipologia",$A94),0)
+ IFERROR(GETPIVOTDATA("Somma di DARE",'Pivot Revolut'!$A$3,"Mese",9,"Tipologia",$A94),0)
- IFERROR(GETPIVOTDATA("Somma di AVERE",'Pivot Revolut'!$A$3,"Mese",9,"Tipologia",$A94),0)</f>
        <v>0</v>
      </c>
      <c r="L94" s="243">
        <f>IFERROR(GETPIVOTDATA("Somma di DARE EUR",'Pivot RakBank AED'!$A$3,"Mese",10,"Tipologia",$A94),0)
- IFERROR(GETPIVOTDATA("Somma di AVERE EUR",'Pivot RakBank AED'!$A$3,"Mese",10,"Tipologia",$A94),0)
+IFERROR(GETPIVOTDATA("Somma di DARE",'Pivot RakBank EUR'!$A$3,"Mese",10,"Tipologia",$A94),0)
- IFERROR(GETPIVOTDATA("Somma di AVERE",'Pivot RakBank EUR'!$A$3,"Mese",10,"Tipologia",$A94),0)
+IFERROR(GETPIVOTDATA("Somma di DARE",'Pivot Fineco Sa'!$A$3,"Mese",10,"Tipologia",$A94),0)
+ IFERROR(GETPIVOTDATA("Somma di DARE",'Pivot Fineco St'!$A$3,"Mese",10,"Tipologia",$A94),0)
+ Contanti!AL15
+ IFERROR(GETPIVOTDATA("Somma di DARE",'Pivot BBVA'!$A$3,"Mese",10,"Tipologia",$A94),0)
+ IFERROR(GETPIVOTDATA("Somma di DARE",'Pivot Amex'!$A$3,"Mese",10,"Tipologia",$A94),0)
- IFERROR(GETPIVOTDATA("Somma di AVERE",'Pivot Amex'!$A$3,"Mese",10,"Tipologia",$A94),0)
- IFERROR(GETPIVOTDATA("Somma di AVERE",'Pivot BBVA'!$A$3,"Mese",10,"Tipologia",$A94),0)
- IFERROR(GETPIVOTDATA("Somma di AVERE",'Pivot Fineco St'!$A$3,"Mese",10,"Tipologia",$A94),0)
- IFERROR(GETPIVOTDATA("Somma di AVERE",'Pivot Fineco Sa'!$A$3,"Mese",10,"Tipologia",$A94),0)
+ IFERROR(GETPIVOTDATA("Somma di DARE",'Pivot PP Visa'!$A$3,"Mese",10,"Tipologia",$A94),0)
- IFERROR(GETPIVOTDATA("Somma di AVERE",'Pivot PP Visa'!$A$3,"Mese",10,"Tipologia",$A94),0)
+ IFERROR(GETPIVOTDATA("Somma di DARE",'Pivot Revolut'!$A$3,"Mese",10,"Tipologia",$A94),0)
- IFERROR(GETPIVOTDATA("Somma di AVERE",'Pivot Revolut'!$A$3,"Mese",10,"Tipologia",$A94),0)</f>
        <v>0</v>
      </c>
      <c r="M94" s="243">
        <f>IFERROR(GETPIVOTDATA("Somma di DARE EUR",'Pivot RakBank AED'!$A$3,"Mese",11,"Tipologia",$A94),0)
- IFERROR(GETPIVOTDATA("Somma di AVERE EUR",'Pivot RakBank AED'!$A$3,"Mese",11,"Tipologia",$A94),0)
+IFERROR(GETPIVOTDATA("Somma di DARE",'Pivot RakBank EUR'!$A$3,"Mese",11,"Tipologia",$A94),0)
- IFERROR(GETPIVOTDATA("Somma di AVERE",'Pivot RakBank EUR'!$A$3,"Mese",11,"Tipologia",$A94),0)
+IFERROR(GETPIVOTDATA("Somma di DARE",'Pivot Fineco Sa'!$A$3,"Mese",11,"Tipologia",$A94),0)
+ IFERROR(GETPIVOTDATA("Somma di DARE",'Pivot Fineco St'!$A$3,"Mese",11,"Tipologia",$A94),0)
+ Contanti!AP15
+ IFERROR(GETPIVOTDATA("Somma di DARE",'Pivot BBVA'!$A$3,"Mese",11,"Tipologia",$A94),0)
+ IFERROR(GETPIVOTDATA("Somma di DARE",'Pivot Amex'!$A$3,"Mese",11,"Tipologia",$A94),0)
- IFERROR(GETPIVOTDATA("Somma di AVERE",'Pivot Amex'!$A$3,"Mese",11,"Tipologia",$A94),0)
- IFERROR(GETPIVOTDATA("Somma di AVERE",'Pivot BBVA'!$A$3,"Mese",11,"Tipologia",$A94),0)
- IFERROR(GETPIVOTDATA("Somma di AVERE",'Pivot Fineco St'!$A$3,"Mese",11,"Tipologia",$A94),0)
- IFERROR(GETPIVOTDATA("Somma di AVERE",'Pivot Fineco Sa'!$A$3,"Mese",11,"Tipologia",$A94),0)
+ IFERROR(GETPIVOTDATA("Somma di DARE",'Pivot PP Visa'!$A$3,"Mese",11,"Tipologia",$A94),0)
- IFERROR(GETPIVOTDATA("Somma di AVERE",'Pivot PP Visa'!$A$3,"Mese",11,"Tipologia",$A94),0)
+ IFERROR(GETPIVOTDATA("Somma di DARE",'Pivot Revolut'!$A$3,"Mese",11,"Tipologia",$A94),0)
- IFERROR(GETPIVOTDATA("Somma di AVERE",'Pivot Revolut'!$A$3,"Mese",11,"Tipologia",$A94),0)</f>
        <v>0</v>
      </c>
      <c r="N94" s="243">
        <f>IFERROR(GETPIVOTDATA("Somma di DARE EUR",'Pivot RakBank AED'!$A$3,"Mese",12,"Tipologia",$A94),0)
- IFERROR(GETPIVOTDATA("Somma di AVERE EUR",'Pivot RakBank AED'!$A$3,"Mese",12,"Tipologia",$A94),0)
+IFERROR(GETPIVOTDATA("Somma di DARE",'Pivot RakBank EUR'!$A$3,"Mese",12,"Tipologia",$A94),0)
- IFERROR(GETPIVOTDATA("Somma di AVERE",'Pivot RakBank EUR'!$A$3,"Mese",12,"Tipologia",$A94),0)
+IFERROR(GETPIVOTDATA("Somma di DARE",'Pivot Fineco Sa'!$A$3,"Mese",12,"Tipologia",$A94),0)
+ IFERROR(GETPIVOTDATA("Somma di DARE",'Pivot Fineco St'!$A$3,"Mese",12,"Tipologia",$A94),0)
+ Contanti!AT15
+ IFERROR(GETPIVOTDATA("Somma di DARE",'Pivot BBVA'!$A$3,"Mese",12,"Tipologia",$A94),0)
+ IFERROR(GETPIVOTDATA("Somma di DARE",'Pivot Amex'!$A$3,"Mese",12,"Tipologia",$A94),0)
- IFERROR(GETPIVOTDATA("Somma di AVERE",'Pivot Amex'!$A$3,"Mese",12,"Tipologia",$A94),0)
- IFERROR(GETPIVOTDATA("Somma di AVERE",'Pivot BBVA'!$A$3,"Mese",12,"Tipologia",$A94),0)
- IFERROR(GETPIVOTDATA("Somma di AVERE",'Pivot Fineco St'!$A$3,"Mese",12,"Tipologia",$A94),0)
- IFERROR(GETPIVOTDATA("Somma di AVERE",'Pivot Fineco Sa'!$A$3,"Mese",12,"Tipologia",$A94),0)
+ IFERROR(GETPIVOTDATA("Somma di DARE",'Pivot PP Visa'!$A$3,"Mese",12,"Tipologia",$A94),0)
- IFERROR(GETPIVOTDATA("Somma di AVERE",'Pivot PP Visa'!$A$3,"Mese",12,"Tipologia",$A94),0)
+ IFERROR(GETPIVOTDATA("Somma di DARE",'Pivot Revolut'!$A$3,"Mese",12,"Tipologia",$A94),0)
- IFERROR(GETPIVOTDATA("Somma di AVERE",'Pivot Revolut'!$A$3,"Mese",12,"Tipologia",$A94),0)</f>
        <v>0</v>
      </c>
      <c r="O94" s="252">
        <f t="shared" si="6"/>
        <v>256.32</v>
      </c>
      <c r="P94" s="243">
        <f t="shared" ca="1" si="7"/>
        <v>36.617142857142859</v>
      </c>
    </row>
    <row r="95" spans="1:16" s="125" customFormat="1" ht="21" customHeight="1" x14ac:dyDescent="0.2">
      <c r="A95" s="251" t="s">
        <v>450</v>
      </c>
      <c r="B95" s="251"/>
      <c r="C95" s="243">
        <f>IFERROR(GETPIVOTDATA("Somma di DARE EUR",'Pivot RakBank AED'!$A$3,"Mese",1,"Tipologia",$A95),0)
- IFERROR(GETPIVOTDATA("Somma di AVERE EUR",'Pivot RakBank AED'!$A$3,"Mese",1,"Tipologia",$A95),0)
+IFERROR(GETPIVOTDATA("Somma di DARE",'Pivot RakBank EUR'!$A$3,"Mese",1,"Tipologia",$A95),0)
- IFERROR(GETPIVOTDATA("Somma di AVERE",'Pivot RakBank EUR'!$A$3,"Mese",1,"Tipologia",$A95),0)
+IFERROR(GETPIVOTDATA("Somma di DARE",'Pivot Fineco Sa'!$A$3,"Mese",1,"Tipologia",$A95),0)
+ IFERROR(GETPIVOTDATA("Somma di DARE",'Pivot Fineco St'!$A$3,"Mese",1,"Tipologia",$A95),0)
+ Contanti!B16
+ IFERROR(GETPIVOTDATA("Somma di DARE",'Pivot BBVA'!$A$3,"Mese",1,"Tipologia",$A95),0)
+ IFERROR(GETPIVOTDATA("Somma di DARE",'Pivot Amex'!$A$3,"Mese",1,"Tipologia",$A95),0)
- IFERROR(GETPIVOTDATA("Somma di AVERE",'Pivot Amex'!$A$3,"Mese",1,"Tipologia",$A95),0)
- IFERROR(GETPIVOTDATA("Somma di AVERE",'Pivot BBVA'!$A$3,"Mese",1,"Tipologia",$A95),0)
- IFERROR(GETPIVOTDATA("Somma di AVERE",'Pivot Fineco St'!$A$3,"Mese",1,"Tipologia",$A95),0)
- IFERROR(GETPIVOTDATA("Somma di AVERE",'Pivot Fineco Sa'!$A$3,"Mese",1,"Tipologia",$A95),0)
+ IFERROR(GETPIVOTDATA("Somma di DARE",'Pivot PP Visa'!$A$3,"Mese",1,"Tipologia",$A95),0)
- IFERROR(GETPIVOTDATA("Somma di AVERE",'Pivot PP Visa'!$A$3,"Mese",1,"Tipologia",$A95),0)
+ IFERROR(GETPIVOTDATA("Somma di DARE",'Pivot Revolut'!$A$3,"Mese",1,"Tipologia",$A95),0)
- IFERROR(GETPIVOTDATA("Somma di AVERE",'Pivot Revolut'!$A$3,"Mese",1,"Tipologia",$A95),0)</f>
        <v>0</v>
      </c>
      <c r="D95" s="243">
        <f>IFERROR(GETPIVOTDATA("Somma di DARE EUR",'Pivot RakBank AED'!$A$3,"Mese",2,"Tipologia",$A95),0)
- IFERROR(GETPIVOTDATA("Somma di AVERE EUR",'Pivot RakBank AED'!$A$3,"Mese",2,"Tipologia",$A95),0)
+IFERROR(GETPIVOTDATA("Somma di DARE",'Pivot RakBank EUR'!$A$3,"Mese",2,"Tipologia",$A95),0)
- IFERROR(GETPIVOTDATA("Somma di AVERE",'Pivot RakBank EUR'!$A$3,"Mese",2,"Tipologia",$A95),0)
+IFERROR(GETPIVOTDATA("Somma di DARE",'Pivot Fineco Sa'!$A$3,"Mese",2,"Tipologia",$A95),0)
+ IFERROR(GETPIVOTDATA("Somma di DARE",'Pivot Fineco St'!$A$3,"Mese",2,"Tipologia",$A95),0)
+ Contanti!F16
+ IFERROR(GETPIVOTDATA("Somma di DARE",'Pivot BBVA'!$A$3,"Mese",2,"Tipologia",$A95),0)
+ IFERROR(GETPIVOTDATA("Somma di DARE",'Pivot Amex'!$A$3,"Mese",2,"Tipologia",$A95),0)
- IFERROR(GETPIVOTDATA("Somma di AVERE",'Pivot Amex'!$A$3,"Mese",2,"Tipologia",$A95),0)
- IFERROR(GETPIVOTDATA("Somma di AVERE",'Pivot BBVA'!$A$3,"Mese",2,"Tipologia",$A95),0)
- IFERROR(GETPIVOTDATA("Somma di AVERE",'Pivot Fineco St'!$A$3,"Mese",2,"Tipologia",$A95),0)
- IFERROR(GETPIVOTDATA("Somma di AVERE",'Pivot Fineco Sa'!$A$3,"Mese",2,"Tipologia",$A95),0)
+ IFERROR(GETPIVOTDATA("Somma di DARE",'Pivot PP Visa'!$A$3,"Mese",2,"Tipologia",$A95),0)
- IFERROR(GETPIVOTDATA("Somma di AVERE",'Pivot PP Visa'!$A$3,"Mese",2,"Tipologia",$A95),0)
+ IFERROR(GETPIVOTDATA("Somma di DARE",'Pivot Revolut'!$A$3,"Mese",2,"Tipologia",$A95),0)
- IFERROR(GETPIVOTDATA("Somma di AVERE",'Pivot Revolut'!$A$3,"Mese",2,"Tipologia",$A95),0)</f>
        <v>0</v>
      </c>
      <c r="E95" s="243">
        <f>IFERROR(GETPIVOTDATA("Somma di DARE EUR",'Pivot RakBank AED'!$A$3,"Mese",3,"Tipologia",$A95),0)
- IFERROR(GETPIVOTDATA("Somma di AVERE EUR",'Pivot RakBank AED'!$A$3,"Mese",3,"Tipologia",$A95),0)
+IFERROR(GETPIVOTDATA("Somma di DARE",'Pivot RakBank EUR'!$A$3,"Mese",3,"Tipologia",$A95),0)
- IFERROR(GETPIVOTDATA("Somma di AVERE",'Pivot RakBank EUR'!$A$3,"Mese",3,"Tipologia",$A95),0)
+IFERROR(GETPIVOTDATA("Somma di DARE",'Pivot Fineco Sa'!$A$3,"Mese",3,"Tipologia",$A95),0)
+ IFERROR(GETPIVOTDATA("Somma di DARE",'Pivot Fineco St'!$A$3,"Mese",3,"Tipologia",$A95),0)
+ Contanti!J16
+ IFERROR(GETPIVOTDATA("Somma di DARE",'Pivot BBVA'!$A$3,"Mese",3,"Tipologia",$A95),0)
+ IFERROR(GETPIVOTDATA("Somma di DARE",'Pivot Amex'!$A$3,"Mese",3,"Tipologia",$A95),0)
- IFERROR(GETPIVOTDATA("Somma di AVERE",'Pivot Amex'!$A$3,"Mese",3,"Tipologia",$A95),0)
- IFERROR(GETPIVOTDATA("Somma di AVERE",'Pivot BBVA'!$A$3,"Mese",3,"Tipologia",$A95),0)
- IFERROR(GETPIVOTDATA("Somma di AVERE",'Pivot Fineco St'!$A$3,"Mese",3,"Tipologia",$A95),0)
- IFERROR(GETPIVOTDATA("Somma di AVERE",'Pivot Fineco Sa'!$A$3,"Mese",3,"Tipologia",$A95),0)
+ IFERROR(GETPIVOTDATA("Somma di DARE",'Pivot PP Visa'!$A$3,"Mese",3,"Tipologia",$A95),0)
- IFERROR(GETPIVOTDATA("Somma di AVERE",'Pivot PP Visa'!$A$3,"Mese",3,"Tipologia",$A95),0)
+ IFERROR(GETPIVOTDATA("Somma di DARE",'Pivot Revolut'!$A$3,"Mese",3,"Tipologia",$A95),0)
- IFERROR(GETPIVOTDATA("Somma di AVERE",'Pivot Revolut'!$A$3,"Mese",3,"Tipologia",$A95),0)</f>
        <v>0</v>
      </c>
      <c r="F95" s="243">
        <f>IFERROR(GETPIVOTDATA("Somma di DARE EUR",'Pivot RakBank AED'!$A$3,"Mese",4,"Tipologia",$A95),0)
- IFERROR(GETPIVOTDATA("Somma di AVERE EUR",'Pivot RakBank AED'!$A$3,"Mese",4,"Tipologia",$A95),0)
+IFERROR(GETPIVOTDATA("Somma di DARE",'Pivot RakBank EUR'!$A$3,"Mese",4,"Tipologia",$A95),0)
- IFERROR(GETPIVOTDATA("Somma di AVERE",'Pivot RakBank EUR'!$A$3,"Mese",4,"Tipologia",$A95),0)
+IFERROR(GETPIVOTDATA("Somma di DARE",'Pivot Fineco Sa'!$A$3,"Mese",4,"Tipologia",$A95),0)
+ IFERROR(GETPIVOTDATA("Somma di DARE",'Pivot Fineco St'!$A$3,"Mese",4,"Tipologia",$A95),0)
+ Contanti!N16
+ IFERROR(GETPIVOTDATA("Somma di DARE",'Pivot BBVA'!$A$3,"Mese",4,"Tipologia",$A95),0)
+ IFERROR(GETPIVOTDATA("Somma di DARE",'Pivot Amex'!$A$3,"Mese",4,"Tipologia",$A95),0)
- IFERROR(GETPIVOTDATA("Somma di AVERE",'Pivot Amex'!$A$3,"Mese",4,"Tipologia",$A95),0)
- IFERROR(GETPIVOTDATA("Somma di AVERE",'Pivot BBVA'!$A$3,"Mese",4,"Tipologia",$A95),0)
- IFERROR(GETPIVOTDATA("Somma di AVERE",'Pivot Fineco St'!$A$3,"Mese",4,"Tipologia",$A95),0)
- IFERROR(GETPIVOTDATA("Somma di AVERE",'Pivot Fineco Sa'!$A$3,"Mese",4,"Tipologia",$A95),0)
+ IFERROR(GETPIVOTDATA("Somma di DARE",'Pivot PP Visa'!$A$3,"Mese",4,"Tipologia",$A95),0)
- IFERROR(GETPIVOTDATA("Somma di AVERE",'Pivot PP Visa'!$A$3,"Mese",4,"Tipologia",$A95),0)
+ IFERROR(GETPIVOTDATA("Somma di DARE",'Pivot Revolut'!$A$3,"Mese",4,"Tipologia",$A95),0)
- IFERROR(GETPIVOTDATA("Somma di AVERE",'Pivot Revolut'!$A$3,"Mese",4,"Tipologia",$A95),0)</f>
        <v>0</v>
      </c>
      <c r="G95" s="243">
        <f>IFERROR(GETPIVOTDATA("Somma di DARE EUR",'Pivot RakBank AED'!$A$3,"Mese",5,"Tipologia",$A95),0)
- IFERROR(GETPIVOTDATA("Somma di AVERE EUR",'Pivot RakBank AED'!$A$3,"Mese",5,"Tipologia",$A95),0)
+IFERROR(GETPIVOTDATA("Somma di DARE",'Pivot RakBank EUR'!$A$3,"Mese",5,"Tipologia",$A95),0)
- IFERROR(GETPIVOTDATA("Somma di AVERE",'Pivot RakBank EUR'!$A$3,"Mese",5,"Tipologia",$A95),0)
+IFERROR(GETPIVOTDATA("Somma di DARE",'Pivot Fineco Sa'!$A$3,"Mese",5,"Tipologia",$A95),0)
+ IFERROR(GETPIVOTDATA("Somma di DARE",'Pivot Fineco St'!$A$3,"Mese",5,"Tipologia",$A95),0)
+ Contanti!R16
+ IFERROR(GETPIVOTDATA("Somma di DARE",'Pivot BBVA'!$A$3,"Mese",5,"Tipologia",$A95),0)
+ IFERROR(GETPIVOTDATA("Somma di DARE",'Pivot Amex'!$A$3,"Mese",5,"Tipologia",$A95),0)
- IFERROR(GETPIVOTDATA("Somma di AVERE",'Pivot Amex'!$A$3,"Mese",5,"Tipologia",$A95),0)
- IFERROR(GETPIVOTDATA("Somma di AVERE",'Pivot BBVA'!$A$3,"Mese",5,"Tipologia",$A95),0)
- IFERROR(GETPIVOTDATA("Somma di AVERE",'Pivot Fineco St'!$A$3,"Mese",5,"Tipologia",$A95),0)
- IFERROR(GETPIVOTDATA("Somma di AVERE",'Pivot Fineco Sa'!$A$3,"Mese",5,"Tipologia",$A95),0)
+ IFERROR(GETPIVOTDATA("Somma di DARE",'Pivot PP Visa'!$A$3,"Mese",5,"Tipologia",$A95),0)
- IFERROR(GETPIVOTDATA("Somma di AVERE",'Pivot PP Visa'!$A$3,"Mese",5,"Tipologia",$A95),0)
+ IFERROR(GETPIVOTDATA("Somma di DARE",'Pivot Revolut'!$A$3,"Mese",5,"Tipologia",$A95),0)
- IFERROR(GETPIVOTDATA("Somma di AVERE",'Pivot Revolut'!$A$3,"Mese",5,"Tipologia",$A95),0)</f>
        <v>0</v>
      </c>
      <c r="H95" s="243">
        <f>IFERROR(GETPIVOTDATA("Somma di DARE EUR",'Pivot RakBank AED'!$A$3,"Mese",6,"Tipologia",$A95),0)
- IFERROR(GETPIVOTDATA("Somma di AVERE EUR",'Pivot RakBank AED'!$A$3,"Mese",6,"Tipologia",$A95),0)
+IFERROR(GETPIVOTDATA("Somma di DARE",'Pivot RakBank EUR'!$A$3,"Mese",6,"Tipologia",$A95),0)
- IFERROR(GETPIVOTDATA("Somma di AVERE",'Pivot RakBank EUR'!$A$3,"Mese",6,"Tipologia",$A95),0)
+IFERROR(GETPIVOTDATA("Somma di DARE",'Pivot Fineco Sa'!$A$3,"Mese",6,"Tipologia",$A95),0)
+ IFERROR(GETPIVOTDATA("Somma di DARE",'Pivot Fineco St'!$A$3,"Mese",6,"Tipologia",$A95),0)
+ Contanti!V16
+ IFERROR(GETPIVOTDATA("Somma di DARE",'Pivot BBVA'!$A$3,"Mese",6,"Tipologia",$A95),0)
+ IFERROR(GETPIVOTDATA("Somma di DARE",'Pivot Amex'!$A$3,"Mese",6,"Tipologia",$A95),0)
- IFERROR(GETPIVOTDATA("Somma di AVERE",'Pivot Amex'!$A$3,"Mese",6,"Tipologia",$A95),0)
- IFERROR(GETPIVOTDATA("Somma di AVERE",'Pivot BBVA'!$A$3,"Mese",6,"Tipologia",$A95),0)
- IFERROR(GETPIVOTDATA("Somma di AVERE",'Pivot Fineco St'!$A$3,"Mese",6,"Tipologia",$A95),0)
- IFERROR(GETPIVOTDATA("Somma di AVERE",'Pivot Fineco Sa'!$A$3,"Mese",6,"Tipologia",$A95),0)
+ IFERROR(GETPIVOTDATA("Somma di DARE",'Pivot PP Visa'!$A$3,"Mese",6,"Tipologia",$A95),0)
- IFERROR(GETPIVOTDATA("Somma di AVERE",'Pivot PP Visa'!$A$3,"Mese",6,"Tipologia",$A95),0)
+ IFERROR(GETPIVOTDATA("Somma di DARE",'Pivot Revolut'!$A$3,"Mese",6,"Tipologia",$A95),0)
- IFERROR(GETPIVOTDATA("Somma di AVERE",'Pivot Revolut'!$A$3,"Mese",6,"Tipologia",$A95),0)</f>
        <v>0</v>
      </c>
      <c r="I95" s="243">
        <f>IFERROR(GETPIVOTDATA("Somma di DARE EUR",'Pivot RakBank AED'!$A$3,"Mese",7,"Tipologia",$A95),0)
- IFERROR(GETPIVOTDATA("Somma di AVERE EUR",'Pivot RakBank AED'!$A$3,"Mese",7,"Tipologia",$A95),0)
+IFERROR(GETPIVOTDATA("Somma di DARE",'Pivot RakBank EUR'!$A$3,"Mese",7,"Tipologia",$A95),0)
- IFERROR(GETPIVOTDATA("Somma di AVERE",'Pivot RakBank EUR'!$A$3,"Mese",7,"Tipologia",$A95),0)
+IFERROR(GETPIVOTDATA("Somma di DARE",'Pivot Fineco Sa'!$A$3,"Mese",7,"Tipologia",$A95),0)
+ IFERROR(GETPIVOTDATA("Somma di DARE",'Pivot Fineco St'!$A$3,"Mese",7,"Tipologia",$A95),0)
+ Contanti!Z16
+ IFERROR(GETPIVOTDATA("Somma di DARE",'Pivot BBVA'!$A$3,"Mese",7,"Tipologia",$A95),0)
+ IFERROR(GETPIVOTDATA("Somma di DARE",'Pivot Amex'!$A$3,"Mese",7,"Tipologia",$A95),0)
- IFERROR(GETPIVOTDATA("Somma di AVERE",'Pivot Amex'!$A$3,"Mese",7,"Tipologia",$A95),0)
- IFERROR(GETPIVOTDATA("Somma di AVERE",'Pivot BBVA'!$A$3,"Mese",7,"Tipologia",$A95),0)
- IFERROR(GETPIVOTDATA("Somma di AVERE",'Pivot Fineco St'!$A$3,"Mese",7,"Tipologia",$A95),0)
- IFERROR(GETPIVOTDATA("Somma di AVERE",'Pivot Fineco Sa'!$A$3,"Mese",7,"Tipologia",$A95),0)
+ IFERROR(GETPIVOTDATA("Somma di DARE",'Pivot PP Visa'!$A$3,"Mese",7,"Tipologia",$A95),0)
- IFERROR(GETPIVOTDATA("Somma di AVERE",'Pivot PP Visa'!$A$3,"Mese",7,"Tipologia",$A95),0)
+ IFERROR(GETPIVOTDATA("Somma di DARE",'Pivot Revolut'!$A$3,"Mese",7,"Tipologia",$A95),0)
- IFERROR(GETPIVOTDATA("Somma di AVERE",'Pivot Revolut'!$A$3,"Mese",7,"Tipologia",$A95),0)</f>
        <v>0</v>
      </c>
      <c r="J95" s="243">
        <f>IFERROR(GETPIVOTDATA("Somma di DARE EUR",'Pivot RakBank AED'!$A$3,"Mese",8,"Tipologia",$A95),0)
- IFERROR(GETPIVOTDATA("Somma di AVERE EUR",'Pivot RakBank AED'!$A$3,"Mese",8,"Tipologia",$A95),0)
+IFERROR(GETPIVOTDATA("Somma di DARE",'Pivot RakBank EUR'!$A$3,"Mese",8,"Tipologia",$A95),0)
- IFERROR(GETPIVOTDATA("Somma di AVERE",'Pivot RakBank EUR'!$A$3,"Mese",8,"Tipologia",$A95),0)
+IFERROR(GETPIVOTDATA("Somma di DARE",'Pivot Fineco Sa'!$A$3,"Mese",8,"Tipologia",$A95),0)
+ IFERROR(GETPIVOTDATA("Somma di DARE",'Pivot Fineco St'!$A$3,"Mese",8,"Tipologia",$A95),0)
+ Contanti!AD16
+ IFERROR(GETPIVOTDATA("Somma di DARE",'Pivot BBVA'!$A$3,"Mese",8,"Tipologia",$A95),0)
+ IFERROR(GETPIVOTDATA("Somma di DARE",'Pivot Amex'!$A$3,"Mese",8,"Tipologia",$A95),0)
- IFERROR(GETPIVOTDATA("Somma di AVERE",'Pivot Amex'!$A$3,"Mese",8,"Tipologia",$A95),0)
- IFERROR(GETPIVOTDATA("Somma di AVERE",'Pivot BBVA'!$A$3,"Mese",8,"Tipologia",$A95),0)
- IFERROR(GETPIVOTDATA("Somma di AVERE",'Pivot Fineco St'!$A$3,"Mese",8,"Tipologia",$A95),0)
- IFERROR(GETPIVOTDATA("Somma di AVERE",'Pivot Fineco Sa'!$A$3,"Mese",8,"Tipologia",$A95),0)
+ IFERROR(GETPIVOTDATA("Somma di DARE",'Pivot PP Visa'!$A$3,"Mese",8,"Tipologia",$A95),0)
- IFERROR(GETPIVOTDATA("Somma di AVERE",'Pivot PP Visa'!$A$3,"Mese",8,"Tipologia",$A95),0)
+ IFERROR(GETPIVOTDATA("Somma di DARE",'Pivot Revolut'!$A$3,"Mese",8,"Tipologia",$A95),0)
- IFERROR(GETPIVOTDATA("Somma di AVERE",'Pivot Revolut'!$A$3,"Mese",8,"Tipologia",$A95),0)</f>
        <v>0</v>
      </c>
      <c r="K95" s="243">
        <f>IFERROR(GETPIVOTDATA("Somma di DARE EUR",'Pivot RakBank AED'!$A$3,"Mese",9,"Tipologia",$A95),0)
- IFERROR(GETPIVOTDATA("Somma di AVERE EUR",'Pivot RakBank AED'!$A$3,"Mese",9,"Tipologia",$A95),0)
+IFERROR(GETPIVOTDATA("Somma di DARE",'Pivot RakBank EUR'!$A$3,"Mese",9,"Tipologia",$A95),0)
- IFERROR(GETPIVOTDATA("Somma di AVERE",'Pivot RakBank EUR'!$A$3,"Mese",9,"Tipologia",$A95),0)
+IFERROR(GETPIVOTDATA("Somma di DARE",'Pivot Fineco Sa'!$A$3,"Mese",9,"Tipologia",$A95),0)
+ IFERROR(GETPIVOTDATA("Somma di DARE",'Pivot Fineco St'!$A$3,"Mese",9,"Tipologia",$A95),0)
+ Contanti!AH16
+ IFERROR(GETPIVOTDATA("Somma di DARE",'Pivot BBVA'!$A$3,"Mese",9,"Tipologia",$A95),0)
+ IFERROR(GETPIVOTDATA("Somma di DARE",'Pivot Amex'!$A$3,"Mese",9,"Tipologia",$A95),0)
- IFERROR(GETPIVOTDATA("Somma di AVERE",'Pivot Amex'!$A$3,"Mese",9,"Tipologia",$A95),0)
- IFERROR(GETPIVOTDATA("Somma di AVERE",'Pivot BBVA'!$A$3,"Mese",9,"Tipologia",$A95),0)
- IFERROR(GETPIVOTDATA("Somma di AVERE",'Pivot Fineco St'!$A$3,"Mese",9,"Tipologia",$A95),0)
- IFERROR(GETPIVOTDATA("Somma di AVERE",'Pivot Fineco Sa'!$A$3,"Mese",9,"Tipologia",$A95),0)
+ IFERROR(GETPIVOTDATA("Somma di DARE",'Pivot PP Visa'!$A$3,"Mese",9,"Tipologia",$A95),0)
- IFERROR(GETPIVOTDATA("Somma di AVERE",'Pivot PP Visa'!$A$3,"Mese",9,"Tipologia",$A95),0)
+ IFERROR(GETPIVOTDATA("Somma di DARE",'Pivot Revolut'!$A$3,"Mese",9,"Tipologia",$A95),0)
- IFERROR(GETPIVOTDATA("Somma di AVERE",'Pivot Revolut'!$A$3,"Mese",9,"Tipologia",$A95),0)</f>
        <v>0</v>
      </c>
      <c r="L95" s="243">
        <f>IFERROR(GETPIVOTDATA("Somma di DARE EUR",'Pivot RakBank AED'!$A$3,"Mese",10,"Tipologia",$A95),0)
- IFERROR(GETPIVOTDATA("Somma di AVERE EUR",'Pivot RakBank AED'!$A$3,"Mese",10,"Tipologia",$A95),0)
+IFERROR(GETPIVOTDATA("Somma di DARE",'Pivot RakBank EUR'!$A$3,"Mese",10,"Tipologia",$A95),0)
- IFERROR(GETPIVOTDATA("Somma di AVERE",'Pivot RakBank EUR'!$A$3,"Mese",10,"Tipologia",$A95),0)
+IFERROR(GETPIVOTDATA("Somma di DARE",'Pivot Fineco Sa'!$A$3,"Mese",10,"Tipologia",$A95),0)
+ IFERROR(GETPIVOTDATA("Somma di DARE",'Pivot Fineco St'!$A$3,"Mese",10,"Tipologia",$A95),0)
+ Contanti!AL16
+ IFERROR(GETPIVOTDATA("Somma di DARE",'Pivot BBVA'!$A$3,"Mese",10,"Tipologia",$A95),0)
+ IFERROR(GETPIVOTDATA("Somma di DARE",'Pivot Amex'!$A$3,"Mese",10,"Tipologia",$A95),0)
- IFERROR(GETPIVOTDATA("Somma di AVERE",'Pivot Amex'!$A$3,"Mese",10,"Tipologia",$A95),0)
- IFERROR(GETPIVOTDATA("Somma di AVERE",'Pivot BBVA'!$A$3,"Mese",10,"Tipologia",$A95),0)
- IFERROR(GETPIVOTDATA("Somma di AVERE",'Pivot Fineco St'!$A$3,"Mese",10,"Tipologia",$A95),0)
- IFERROR(GETPIVOTDATA("Somma di AVERE",'Pivot Fineco Sa'!$A$3,"Mese",10,"Tipologia",$A95),0)
+ IFERROR(GETPIVOTDATA("Somma di DARE",'Pivot PP Visa'!$A$3,"Mese",10,"Tipologia",$A95),0)
- IFERROR(GETPIVOTDATA("Somma di AVERE",'Pivot PP Visa'!$A$3,"Mese",10,"Tipologia",$A95),0)
+ IFERROR(GETPIVOTDATA("Somma di DARE",'Pivot Revolut'!$A$3,"Mese",10,"Tipologia",$A95),0)
- IFERROR(GETPIVOTDATA("Somma di AVERE",'Pivot Revolut'!$A$3,"Mese",10,"Tipologia",$A95),0)</f>
        <v>0</v>
      </c>
      <c r="M95" s="243">
        <f>IFERROR(GETPIVOTDATA("Somma di DARE EUR",'Pivot RakBank AED'!$A$3,"Mese",11,"Tipologia",$A95),0)
- IFERROR(GETPIVOTDATA("Somma di AVERE EUR",'Pivot RakBank AED'!$A$3,"Mese",11,"Tipologia",$A95),0)
+IFERROR(GETPIVOTDATA("Somma di DARE",'Pivot RakBank EUR'!$A$3,"Mese",11,"Tipologia",$A95),0)
- IFERROR(GETPIVOTDATA("Somma di AVERE",'Pivot RakBank EUR'!$A$3,"Mese",11,"Tipologia",$A95),0)
+IFERROR(GETPIVOTDATA("Somma di DARE",'Pivot Fineco Sa'!$A$3,"Mese",11,"Tipologia",$A95),0)
+ IFERROR(GETPIVOTDATA("Somma di DARE",'Pivot Fineco St'!$A$3,"Mese",11,"Tipologia",$A95),0)
+ Contanti!AP16
+ IFERROR(GETPIVOTDATA("Somma di DARE",'Pivot BBVA'!$A$3,"Mese",11,"Tipologia",$A95),0)
+ IFERROR(GETPIVOTDATA("Somma di DARE",'Pivot Amex'!$A$3,"Mese",11,"Tipologia",$A95),0)
- IFERROR(GETPIVOTDATA("Somma di AVERE",'Pivot Amex'!$A$3,"Mese",11,"Tipologia",$A95),0)
- IFERROR(GETPIVOTDATA("Somma di AVERE",'Pivot BBVA'!$A$3,"Mese",11,"Tipologia",$A95),0)
- IFERROR(GETPIVOTDATA("Somma di AVERE",'Pivot Fineco St'!$A$3,"Mese",11,"Tipologia",$A95),0)
- IFERROR(GETPIVOTDATA("Somma di AVERE",'Pivot Fineco Sa'!$A$3,"Mese",11,"Tipologia",$A95),0)
+ IFERROR(GETPIVOTDATA("Somma di DARE",'Pivot PP Visa'!$A$3,"Mese",11,"Tipologia",$A95),0)
- IFERROR(GETPIVOTDATA("Somma di AVERE",'Pivot PP Visa'!$A$3,"Mese",11,"Tipologia",$A95),0)
+ IFERROR(GETPIVOTDATA("Somma di DARE",'Pivot Revolut'!$A$3,"Mese",11,"Tipologia",$A95),0)
- IFERROR(GETPIVOTDATA("Somma di AVERE",'Pivot Revolut'!$A$3,"Mese",11,"Tipologia",$A95),0)</f>
        <v>0</v>
      </c>
      <c r="N95" s="243">
        <f>IFERROR(GETPIVOTDATA("Somma di DARE EUR",'Pivot RakBank AED'!$A$3,"Mese",12,"Tipologia",$A95),0)
- IFERROR(GETPIVOTDATA("Somma di AVERE EUR",'Pivot RakBank AED'!$A$3,"Mese",12,"Tipologia",$A95),0)
+IFERROR(GETPIVOTDATA("Somma di DARE",'Pivot RakBank EUR'!$A$3,"Mese",12,"Tipologia",$A95),0)
- IFERROR(GETPIVOTDATA("Somma di AVERE",'Pivot RakBank EUR'!$A$3,"Mese",12,"Tipologia",$A95),0)
+IFERROR(GETPIVOTDATA("Somma di DARE",'Pivot Fineco Sa'!$A$3,"Mese",12,"Tipologia",$A95),0)
+ IFERROR(GETPIVOTDATA("Somma di DARE",'Pivot Fineco St'!$A$3,"Mese",12,"Tipologia",$A95),0)
+ Contanti!AT16
+ IFERROR(GETPIVOTDATA("Somma di DARE",'Pivot BBVA'!$A$3,"Mese",12,"Tipologia",$A95),0)
+ IFERROR(GETPIVOTDATA("Somma di DARE",'Pivot Amex'!$A$3,"Mese",12,"Tipologia",$A95),0)
- IFERROR(GETPIVOTDATA("Somma di AVERE",'Pivot Amex'!$A$3,"Mese",12,"Tipologia",$A95),0)
- IFERROR(GETPIVOTDATA("Somma di AVERE",'Pivot BBVA'!$A$3,"Mese",12,"Tipologia",$A95),0)
- IFERROR(GETPIVOTDATA("Somma di AVERE",'Pivot Fineco St'!$A$3,"Mese",12,"Tipologia",$A95),0)
- IFERROR(GETPIVOTDATA("Somma di AVERE",'Pivot Fineco Sa'!$A$3,"Mese",12,"Tipologia",$A95),0)
+ IFERROR(GETPIVOTDATA("Somma di DARE",'Pivot PP Visa'!$A$3,"Mese",12,"Tipologia",$A95),0)
- IFERROR(GETPIVOTDATA("Somma di AVERE",'Pivot PP Visa'!$A$3,"Mese",12,"Tipologia",$A95),0)
+ IFERROR(GETPIVOTDATA("Somma di DARE",'Pivot Revolut'!$A$3,"Mese",12,"Tipologia",$A95),0)
- IFERROR(GETPIVOTDATA("Somma di AVERE",'Pivot Revolut'!$A$3,"Mese",12,"Tipologia",$A95),0)</f>
        <v>0</v>
      </c>
      <c r="O95" s="252">
        <f t="shared" si="6"/>
        <v>0</v>
      </c>
      <c r="P95" s="243">
        <f t="shared" ca="1" si="7"/>
        <v>0</v>
      </c>
    </row>
    <row r="96" spans="1:16" s="125" customFormat="1" ht="21" customHeight="1" x14ac:dyDescent="0.2">
      <c r="A96" s="251" t="s">
        <v>41</v>
      </c>
      <c r="B96" s="251"/>
      <c r="C96" s="243">
        <f>IFERROR(GETPIVOTDATA("Somma di DARE EUR",'Pivot RakBank AED'!$A$3,"Mese",1,"Tipologia",$A96),0)
- IFERROR(GETPIVOTDATA("Somma di AVERE EUR",'Pivot RakBank AED'!$A$3,"Mese",1,"Tipologia",$A96),0)
+IFERROR(GETPIVOTDATA("Somma di DARE",'Pivot RakBank EUR'!$A$3,"Mese",1,"Tipologia",$A96),0)
- IFERROR(GETPIVOTDATA("Somma di AVERE",'Pivot RakBank EUR'!$A$3,"Mese",1,"Tipologia",$A96),0)
+IFERROR(GETPIVOTDATA("Somma di DARE",'Pivot Fineco Sa'!$A$3,"Mese",1,"Tipologia",$A96),0)
+ IFERROR(GETPIVOTDATA("Somma di DARE",'Pivot Fineco St'!$A$3,"Mese",1,"Tipologia",$A96),0)
+ Contanti!B17
+ IFERROR(GETPIVOTDATA("Somma di DARE",'Pivot BBVA'!$A$3,"Mese",1,"Tipologia",$A96),0)
+ IFERROR(GETPIVOTDATA("Somma di DARE",'Pivot Amex'!$A$3,"Mese",1,"Tipologia",$A96),0)
- IFERROR(GETPIVOTDATA("Somma di AVERE",'Pivot Amex'!$A$3,"Mese",1,"Tipologia",$A96),0)
- IFERROR(GETPIVOTDATA("Somma di AVERE",'Pivot BBVA'!$A$3,"Mese",1,"Tipologia",$A96),0)
- IFERROR(GETPIVOTDATA("Somma di AVERE",'Pivot Fineco St'!$A$3,"Mese",1,"Tipologia",$A96),0)
- IFERROR(GETPIVOTDATA("Somma di AVERE",'Pivot Fineco Sa'!$A$3,"Mese",1,"Tipologia",$A96),0)
+ IFERROR(GETPIVOTDATA("Somma di DARE",'Pivot PP Visa'!$A$3,"Mese",1,"Tipologia",$A96),0)
- IFERROR(GETPIVOTDATA("Somma di AVERE",'Pivot PP Visa'!$A$3,"Mese",1,"Tipologia",$A96),0)
+ IFERROR(GETPIVOTDATA("Somma di DARE",'Pivot Revolut'!$A$3,"Mese",1,"Tipologia",$A96),0)
- IFERROR(GETPIVOTDATA("Somma di AVERE",'Pivot Revolut'!$A$3,"Mese",1,"Tipologia",$A96),0)</f>
        <v>0</v>
      </c>
      <c r="D96" s="243">
        <f>IFERROR(GETPIVOTDATA("Somma di DARE EUR",'Pivot RakBank AED'!$A$3,"Mese",2,"Tipologia",$A96),0)
- IFERROR(GETPIVOTDATA("Somma di AVERE EUR",'Pivot RakBank AED'!$A$3,"Mese",2,"Tipologia",$A96),0)
+IFERROR(GETPIVOTDATA("Somma di DARE",'Pivot RakBank EUR'!$A$3,"Mese",2,"Tipologia",$A96),0)
- IFERROR(GETPIVOTDATA("Somma di AVERE",'Pivot RakBank EUR'!$A$3,"Mese",2,"Tipologia",$A96),0)
+IFERROR(GETPIVOTDATA("Somma di DARE",'Pivot Fineco Sa'!$A$3,"Mese",2,"Tipologia",$A96),0)
+ IFERROR(GETPIVOTDATA("Somma di DARE",'Pivot Fineco St'!$A$3,"Mese",2,"Tipologia",$A96),0)
+ Contanti!F17
+ IFERROR(GETPIVOTDATA("Somma di DARE",'Pivot BBVA'!$A$3,"Mese",2,"Tipologia",$A96),0)
+ IFERROR(GETPIVOTDATA("Somma di DARE",'Pivot Amex'!$A$3,"Mese",2,"Tipologia",$A96),0)
- IFERROR(GETPIVOTDATA("Somma di AVERE",'Pivot Amex'!$A$3,"Mese",2,"Tipologia",$A96),0)
- IFERROR(GETPIVOTDATA("Somma di AVERE",'Pivot BBVA'!$A$3,"Mese",2,"Tipologia",$A96),0)
- IFERROR(GETPIVOTDATA("Somma di AVERE",'Pivot Fineco St'!$A$3,"Mese",2,"Tipologia",$A96),0)
- IFERROR(GETPIVOTDATA("Somma di AVERE",'Pivot Fineco Sa'!$A$3,"Mese",2,"Tipologia",$A96),0)
+ IFERROR(GETPIVOTDATA("Somma di DARE",'Pivot PP Visa'!$A$3,"Mese",2,"Tipologia",$A96),0)
- IFERROR(GETPIVOTDATA("Somma di AVERE",'Pivot PP Visa'!$A$3,"Mese",2,"Tipologia",$A96),0)
+ IFERROR(GETPIVOTDATA("Somma di DARE",'Pivot Revolut'!$A$3,"Mese",2,"Tipologia",$A96),0)
- IFERROR(GETPIVOTDATA("Somma di AVERE",'Pivot Revolut'!$A$3,"Mese",2,"Tipologia",$A96),0)</f>
        <v>0</v>
      </c>
      <c r="E96" s="243">
        <f>IFERROR(GETPIVOTDATA("Somma di DARE EUR",'Pivot RakBank AED'!$A$3,"Mese",3,"Tipologia",$A96),0)
- IFERROR(GETPIVOTDATA("Somma di AVERE EUR",'Pivot RakBank AED'!$A$3,"Mese",3,"Tipologia",$A96),0)
+IFERROR(GETPIVOTDATA("Somma di DARE",'Pivot RakBank EUR'!$A$3,"Mese",3,"Tipologia",$A96),0)
- IFERROR(GETPIVOTDATA("Somma di AVERE",'Pivot RakBank EUR'!$A$3,"Mese",3,"Tipologia",$A96),0)
+IFERROR(GETPIVOTDATA("Somma di DARE",'Pivot Fineco Sa'!$A$3,"Mese",3,"Tipologia",$A96),0)
+ IFERROR(GETPIVOTDATA("Somma di DARE",'Pivot Fineco St'!$A$3,"Mese",3,"Tipologia",$A96),0)
+ Contanti!J17
+ IFERROR(GETPIVOTDATA("Somma di DARE",'Pivot BBVA'!$A$3,"Mese",3,"Tipologia",$A96),0)
+ IFERROR(GETPIVOTDATA("Somma di DARE",'Pivot Amex'!$A$3,"Mese",3,"Tipologia",$A96),0)
- IFERROR(GETPIVOTDATA("Somma di AVERE",'Pivot Amex'!$A$3,"Mese",3,"Tipologia",$A96),0)
- IFERROR(GETPIVOTDATA("Somma di AVERE",'Pivot BBVA'!$A$3,"Mese",3,"Tipologia",$A96),0)
- IFERROR(GETPIVOTDATA("Somma di AVERE",'Pivot Fineco St'!$A$3,"Mese",3,"Tipologia",$A96),0)
- IFERROR(GETPIVOTDATA("Somma di AVERE",'Pivot Fineco Sa'!$A$3,"Mese",3,"Tipologia",$A96),0)
+ IFERROR(GETPIVOTDATA("Somma di DARE",'Pivot PP Visa'!$A$3,"Mese",3,"Tipologia",$A96),0)
- IFERROR(GETPIVOTDATA("Somma di AVERE",'Pivot PP Visa'!$A$3,"Mese",3,"Tipologia",$A96),0)
+ IFERROR(GETPIVOTDATA("Somma di DARE",'Pivot Revolut'!$A$3,"Mese",3,"Tipologia",$A96),0)
- IFERROR(GETPIVOTDATA("Somma di AVERE",'Pivot Revolut'!$A$3,"Mese",3,"Tipologia",$A96),0)</f>
        <v>0</v>
      </c>
      <c r="F96" s="243">
        <f>IFERROR(GETPIVOTDATA("Somma di DARE EUR",'Pivot RakBank AED'!$A$3,"Mese",4,"Tipologia",$A96),0)
- IFERROR(GETPIVOTDATA("Somma di AVERE EUR",'Pivot RakBank AED'!$A$3,"Mese",4,"Tipologia",$A96),0)
+IFERROR(GETPIVOTDATA("Somma di DARE",'Pivot RakBank EUR'!$A$3,"Mese",4,"Tipologia",$A96),0)
- IFERROR(GETPIVOTDATA("Somma di AVERE",'Pivot RakBank EUR'!$A$3,"Mese",4,"Tipologia",$A96),0)
+IFERROR(GETPIVOTDATA("Somma di DARE",'Pivot Fineco Sa'!$A$3,"Mese",4,"Tipologia",$A96),0)
+ IFERROR(GETPIVOTDATA("Somma di DARE",'Pivot Fineco St'!$A$3,"Mese",4,"Tipologia",$A96),0)
+ Contanti!N17
+ IFERROR(GETPIVOTDATA("Somma di DARE",'Pivot BBVA'!$A$3,"Mese",4,"Tipologia",$A96),0)
+ IFERROR(GETPIVOTDATA("Somma di DARE",'Pivot Amex'!$A$3,"Mese",4,"Tipologia",$A96),0)
- IFERROR(GETPIVOTDATA("Somma di AVERE",'Pivot Amex'!$A$3,"Mese",4,"Tipologia",$A96),0)
- IFERROR(GETPIVOTDATA("Somma di AVERE",'Pivot BBVA'!$A$3,"Mese",4,"Tipologia",$A96),0)
- IFERROR(GETPIVOTDATA("Somma di AVERE",'Pivot Fineco St'!$A$3,"Mese",4,"Tipologia",$A96),0)
- IFERROR(GETPIVOTDATA("Somma di AVERE",'Pivot Fineco Sa'!$A$3,"Mese",4,"Tipologia",$A96),0)
+ IFERROR(GETPIVOTDATA("Somma di DARE",'Pivot PP Visa'!$A$3,"Mese",4,"Tipologia",$A96),0)
- IFERROR(GETPIVOTDATA("Somma di AVERE",'Pivot PP Visa'!$A$3,"Mese",4,"Tipologia",$A96),0)
+ IFERROR(GETPIVOTDATA("Somma di DARE",'Pivot Revolut'!$A$3,"Mese",4,"Tipologia",$A96),0)
- IFERROR(GETPIVOTDATA("Somma di AVERE",'Pivot Revolut'!$A$3,"Mese",4,"Tipologia",$A96),0)</f>
        <v>0</v>
      </c>
      <c r="G96" s="243">
        <f>IFERROR(GETPIVOTDATA("Somma di DARE EUR",'Pivot RakBank AED'!$A$3,"Mese",5,"Tipologia",$A96),0)
- IFERROR(GETPIVOTDATA("Somma di AVERE EUR",'Pivot RakBank AED'!$A$3,"Mese",5,"Tipologia",$A96),0)
+IFERROR(GETPIVOTDATA("Somma di DARE",'Pivot RakBank EUR'!$A$3,"Mese",5,"Tipologia",$A96),0)
- IFERROR(GETPIVOTDATA("Somma di AVERE",'Pivot RakBank EUR'!$A$3,"Mese",5,"Tipologia",$A96),0)
+IFERROR(GETPIVOTDATA("Somma di DARE",'Pivot Fineco Sa'!$A$3,"Mese",5,"Tipologia",$A96),0)
+ IFERROR(GETPIVOTDATA("Somma di DARE",'Pivot Fineco St'!$A$3,"Mese",5,"Tipologia",$A96),0)
+ Contanti!R17
+ IFERROR(GETPIVOTDATA("Somma di DARE",'Pivot BBVA'!$A$3,"Mese",5,"Tipologia",$A96),0)
+ IFERROR(GETPIVOTDATA("Somma di DARE",'Pivot Amex'!$A$3,"Mese",5,"Tipologia",$A96),0)
- IFERROR(GETPIVOTDATA("Somma di AVERE",'Pivot Amex'!$A$3,"Mese",5,"Tipologia",$A96),0)
- IFERROR(GETPIVOTDATA("Somma di AVERE",'Pivot BBVA'!$A$3,"Mese",5,"Tipologia",$A96),0)
- IFERROR(GETPIVOTDATA("Somma di AVERE",'Pivot Fineco St'!$A$3,"Mese",5,"Tipologia",$A96),0)
- IFERROR(GETPIVOTDATA("Somma di AVERE",'Pivot Fineco Sa'!$A$3,"Mese",5,"Tipologia",$A96),0)
+ IFERROR(GETPIVOTDATA("Somma di DARE",'Pivot PP Visa'!$A$3,"Mese",5,"Tipologia",$A96),0)
- IFERROR(GETPIVOTDATA("Somma di AVERE",'Pivot PP Visa'!$A$3,"Mese",5,"Tipologia",$A96),0)
+ IFERROR(GETPIVOTDATA("Somma di DARE",'Pivot Revolut'!$A$3,"Mese",5,"Tipologia",$A96),0)
- IFERROR(GETPIVOTDATA("Somma di AVERE",'Pivot Revolut'!$A$3,"Mese",5,"Tipologia",$A96),0)</f>
        <v>0</v>
      </c>
      <c r="H96" s="243">
        <f>IFERROR(GETPIVOTDATA("Somma di DARE EUR",'Pivot RakBank AED'!$A$3,"Mese",6,"Tipologia",$A96),0)
- IFERROR(GETPIVOTDATA("Somma di AVERE EUR",'Pivot RakBank AED'!$A$3,"Mese",6,"Tipologia",$A96),0)
+IFERROR(GETPIVOTDATA("Somma di DARE",'Pivot RakBank EUR'!$A$3,"Mese",6,"Tipologia",$A96),0)
- IFERROR(GETPIVOTDATA("Somma di AVERE",'Pivot RakBank EUR'!$A$3,"Mese",6,"Tipologia",$A96),0)
+IFERROR(GETPIVOTDATA("Somma di DARE",'Pivot Fineco Sa'!$A$3,"Mese",6,"Tipologia",$A96),0)
+ IFERROR(GETPIVOTDATA("Somma di DARE",'Pivot Fineco St'!$A$3,"Mese",6,"Tipologia",$A96),0)
+ Contanti!V17
+ IFERROR(GETPIVOTDATA("Somma di DARE",'Pivot BBVA'!$A$3,"Mese",6,"Tipologia",$A96),0)
+ IFERROR(GETPIVOTDATA("Somma di DARE",'Pivot Amex'!$A$3,"Mese",6,"Tipologia",$A96),0)
- IFERROR(GETPIVOTDATA("Somma di AVERE",'Pivot Amex'!$A$3,"Mese",6,"Tipologia",$A96),0)
- IFERROR(GETPIVOTDATA("Somma di AVERE",'Pivot BBVA'!$A$3,"Mese",6,"Tipologia",$A96),0)
- IFERROR(GETPIVOTDATA("Somma di AVERE",'Pivot Fineco St'!$A$3,"Mese",6,"Tipologia",$A96),0)
- IFERROR(GETPIVOTDATA("Somma di AVERE",'Pivot Fineco Sa'!$A$3,"Mese",6,"Tipologia",$A96),0)
+ IFERROR(GETPIVOTDATA("Somma di DARE",'Pivot PP Visa'!$A$3,"Mese",6,"Tipologia",$A96),0)
- IFERROR(GETPIVOTDATA("Somma di AVERE",'Pivot PP Visa'!$A$3,"Mese",6,"Tipologia",$A96),0)
+ IFERROR(GETPIVOTDATA("Somma di DARE",'Pivot Revolut'!$A$3,"Mese",6,"Tipologia",$A96),0)
- IFERROR(GETPIVOTDATA("Somma di AVERE",'Pivot Revolut'!$A$3,"Mese",6,"Tipologia",$A96),0)</f>
        <v>0</v>
      </c>
      <c r="I96" s="243">
        <f>IFERROR(GETPIVOTDATA("Somma di DARE EUR",'Pivot RakBank AED'!$A$3,"Mese",7,"Tipologia",$A96),0)
- IFERROR(GETPIVOTDATA("Somma di AVERE EUR",'Pivot RakBank AED'!$A$3,"Mese",7,"Tipologia",$A96),0)
+IFERROR(GETPIVOTDATA("Somma di DARE",'Pivot RakBank EUR'!$A$3,"Mese",7,"Tipologia",$A96),0)
- IFERROR(GETPIVOTDATA("Somma di AVERE",'Pivot RakBank EUR'!$A$3,"Mese",7,"Tipologia",$A96),0)
+IFERROR(GETPIVOTDATA("Somma di DARE",'Pivot Fineco Sa'!$A$3,"Mese",7,"Tipologia",$A96),0)
+ IFERROR(GETPIVOTDATA("Somma di DARE",'Pivot Fineco St'!$A$3,"Mese",7,"Tipologia",$A96),0)
+ Contanti!Z17
+ IFERROR(GETPIVOTDATA("Somma di DARE",'Pivot BBVA'!$A$3,"Mese",7,"Tipologia",$A96),0)
+ IFERROR(GETPIVOTDATA("Somma di DARE",'Pivot Amex'!$A$3,"Mese",7,"Tipologia",$A96),0)
- IFERROR(GETPIVOTDATA("Somma di AVERE",'Pivot Amex'!$A$3,"Mese",7,"Tipologia",$A96),0)
- IFERROR(GETPIVOTDATA("Somma di AVERE",'Pivot BBVA'!$A$3,"Mese",7,"Tipologia",$A96),0)
- IFERROR(GETPIVOTDATA("Somma di AVERE",'Pivot Fineco St'!$A$3,"Mese",7,"Tipologia",$A96),0)
- IFERROR(GETPIVOTDATA("Somma di AVERE",'Pivot Fineco Sa'!$A$3,"Mese",7,"Tipologia",$A96),0)
+ IFERROR(GETPIVOTDATA("Somma di DARE",'Pivot PP Visa'!$A$3,"Mese",7,"Tipologia",$A96),0)
- IFERROR(GETPIVOTDATA("Somma di AVERE",'Pivot PP Visa'!$A$3,"Mese",7,"Tipologia",$A96),0)
+ IFERROR(GETPIVOTDATA("Somma di DARE",'Pivot Revolut'!$A$3,"Mese",7,"Tipologia",$A96),0)
- IFERROR(GETPIVOTDATA("Somma di AVERE",'Pivot Revolut'!$A$3,"Mese",7,"Tipologia",$A96),0)</f>
        <v>316.64999999999998</v>
      </c>
      <c r="J96" s="243">
        <f>IFERROR(GETPIVOTDATA("Somma di DARE EUR",'Pivot RakBank AED'!$A$3,"Mese",8,"Tipologia",$A96),0)
- IFERROR(GETPIVOTDATA("Somma di AVERE EUR",'Pivot RakBank AED'!$A$3,"Mese",8,"Tipologia",$A96),0)
+IFERROR(GETPIVOTDATA("Somma di DARE",'Pivot RakBank EUR'!$A$3,"Mese",8,"Tipologia",$A96),0)
- IFERROR(GETPIVOTDATA("Somma di AVERE",'Pivot RakBank EUR'!$A$3,"Mese",8,"Tipologia",$A96),0)
+IFERROR(GETPIVOTDATA("Somma di DARE",'Pivot Fineco Sa'!$A$3,"Mese",8,"Tipologia",$A96),0)
+ IFERROR(GETPIVOTDATA("Somma di DARE",'Pivot Fineco St'!$A$3,"Mese",8,"Tipologia",$A96),0)
+ Contanti!AD17
+ IFERROR(GETPIVOTDATA("Somma di DARE",'Pivot BBVA'!$A$3,"Mese",8,"Tipologia",$A96),0)
+ IFERROR(GETPIVOTDATA("Somma di DARE",'Pivot Amex'!$A$3,"Mese",8,"Tipologia",$A96),0)
- IFERROR(GETPIVOTDATA("Somma di AVERE",'Pivot Amex'!$A$3,"Mese",8,"Tipologia",$A96),0)
- IFERROR(GETPIVOTDATA("Somma di AVERE",'Pivot BBVA'!$A$3,"Mese",8,"Tipologia",$A96),0)
- IFERROR(GETPIVOTDATA("Somma di AVERE",'Pivot Fineco St'!$A$3,"Mese",8,"Tipologia",$A96),0)
- IFERROR(GETPIVOTDATA("Somma di AVERE",'Pivot Fineco Sa'!$A$3,"Mese",8,"Tipologia",$A96),0)
+ IFERROR(GETPIVOTDATA("Somma di DARE",'Pivot PP Visa'!$A$3,"Mese",8,"Tipologia",$A96),0)
- IFERROR(GETPIVOTDATA("Somma di AVERE",'Pivot PP Visa'!$A$3,"Mese",8,"Tipologia",$A96),0)
+ IFERROR(GETPIVOTDATA("Somma di DARE",'Pivot Revolut'!$A$3,"Mese",8,"Tipologia",$A96),0)
- IFERROR(GETPIVOTDATA("Somma di AVERE",'Pivot Revolut'!$A$3,"Mese",8,"Tipologia",$A96),0)</f>
        <v>0</v>
      </c>
      <c r="K96" s="243">
        <f>IFERROR(GETPIVOTDATA("Somma di DARE EUR",'Pivot RakBank AED'!$A$3,"Mese",9,"Tipologia",$A96),0)
- IFERROR(GETPIVOTDATA("Somma di AVERE EUR",'Pivot RakBank AED'!$A$3,"Mese",9,"Tipologia",$A96),0)
+IFERROR(GETPIVOTDATA("Somma di DARE",'Pivot RakBank EUR'!$A$3,"Mese",9,"Tipologia",$A96),0)
- IFERROR(GETPIVOTDATA("Somma di AVERE",'Pivot RakBank EUR'!$A$3,"Mese",9,"Tipologia",$A96),0)
+IFERROR(GETPIVOTDATA("Somma di DARE",'Pivot Fineco Sa'!$A$3,"Mese",9,"Tipologia",$A96),0)
+ IFERROR(GETPIVOTDATA("Somma di DARE",'Pivot Fineco St'!$A$3,"Mese",9,"Tipologia",$A96),0)
+ Contanti!AH17
+ IFERROR(GETPIVOTDATA("Somma di DARE",'Pivot BBVA'!$A$3,"Mese",9,"Tipologia",$A96),0)
+ IFERROR(GETPIVOTDATA("Somma di DARE",'Pivot Amex'!$A$3,"Mese",9,"Tipologia",$A96),0)
- IFERROR(GETPIVOTDATA("Somma di AVERE",'Pivot Amex'!$A$3,"Mese",9,"Tipologia",$A96),0)
- IFERROR(GETPIVOTDATA("Somma di AVERE",'Pivot BBVA'!$A$3,"Mese",9,"Tipologia",$A96),0)
- IFERROR(GETPIVOTDATA("Somma di AVERE",'Pivot Fineco St'!$A$3,"Mese",9,"Tipologia",$A96),0)
- IFERROR(GETPIVOTDATA("Somma di AVERE",'Pivot Fineco Sa'!$A$3,"Mese",9,"Tipologia",$A96),0)
+ IFERROR(GETPIVOTDATA("Somma di DARE",'Pivot PP Visa'!$A$3,"Mese",9,"Tipologia",$A96),0)
- IFERROR(GETPIVOTDATA("Somma di AVERE",'Pivot PP Visa'!$A$3,"Mese",9,"Tipologia",$A96),0)
+ IFERROR(GETPIVOTDATA("Somma di DARE",'Pivot Revolut'!$A$3,"Mese",9,"Tipologia",$A96),0)
- IFERROR(GETPIVOTDATA("Somma di AVERE",'Pivot Revolut'!$A$3,"Mese",9,"Tipologia",$A96),0)</f>
        <v>0</v>
      </c>
      <c r="L96" s="243">
        <f>IFERROR(GETPIVOTDATA("Somma di DARE EUR",'Pivot RakBank AED'!$A$3,"Mese",10,"Tipologia",$A96),0)
- IFERROR(GETPIVOTDATA("Somma di AVERE EUR",'Pivot RakBank AED'!$A$3,"Mese",10,"Tipologia",$A96),0)
+IFERROR(GETPIVOTDATA("Somma di DARE",'Pivot RakBank EUR'!$A$3,"Mese",10,"Tipologia",$A96),0)
- IFERROR(GETPIVOTDATA("Somma di AVERE",'Pivot RakBank EUR'!$A$3,"Mese",10,"Tipologia",$A96),0)
+IFERROR(GETPIVOTDATA("Somma di DARE",'Pivot Fineco Sa'!$A$3,"Mese",10,"Tipologia",$A96),0)
+ IFERROR(GETPIVOTDATA("Somma di DARE",'Pivot Fineco St'!$A$3,"Mese",10,"Tipologia",$A96),0)
+ Contanti!AL17
+ IFERROR(GETPIVOTDATA("Somma di DARE",'Pivot BBVA'!$A$3,"Mese",10,"Tipologia",$A96),0)
+ IFERROR(GETPIVOTDATA("Somma di DARE",'Pivot Amex'!$A$3,"Mese",10,"Tipologia",$A96),0)
- IFERROR(GETPIVOTDATA("Somma di AVERE",'Pivot Amex'!$A$3,"Mese",10,"Tipologia",$A96),0)
- IFERROR(GETPIVOTDATA("Somma di AVERE",'Pivot BBVA'!$A$3,"Mese",10,"Tipologia",$A96),0)
- IFERROR(GETPIVOTDATA("Somma di AVERE",'Pivot Fineco St'!$A$3,"Mese",10,"Tipologia",$A96),0)
- IFERROR(GETPIVOTDATA("Somma di AVERE",'Pivot Fineco Sa'!$A$3,"Mese",10,"Tipologia",$A96),0)
+ IFERROR(GETPIVOTDATA("Somma di DARE",'Pivot PP Visa'!$A$3,"Mese",10,"Tipologia",$A96),0)
- IFERROR(GETPIVOTDATA("Somma di AVERE",'Pivot PP Visa'!$A$3,"Mese",10,"Tipologia",$A96),0)
+ IFERROR(GETPIVOTDATA("Somma di DARE",'Pivot Revolut'!$A$3,"Mese",10,"Tipologia",$A96),0)
- IFERROR(GETPIVOTDATA("Somma di AVERE",'Pivot Revolut'!$A$3,"Mese",10,"Tipologia",$A96),0)</f>
        <v>0</v>
      </c>
      <c r="M96" s="243">
        <f>IFERROR(GETPIVOTDATA("Somma di DARE EUR",'Pivot RakBank AED'!$A$3,"Mese",11,"Tipologia",$A96),0)
- IFERROR(GETPIVOTDATA("Somma di AVERE EUR",'Pivot RakBank AED'!$A$3,"Mese",11,"Tipologia",$A96),0)
+IFERROR(GETPIVOTDATA("Somma di DARE",'Pivot RakBank EUR'!$A$3,"Mese",11,"Tipologia",$A96),0)
- IFERROR(GETPIVOTDATA("Somma di AVERE",'Pivot RakBank EUR'!$A$3,"Mese",11,"Tipologia",$A96),0)
+IFERROR(GETPIVOTDATA("Somma di DARE",'Pivot Fineco Sa'!$A$3,"Mese",11,"Tipologia",$A96),0)
+ IFERROR(GETPIVOTDATA("Somma di DARE",'Pivot Fineco St'!$A$3,"Mese",11,"Tipologia",$A96),0)
+ Contanti!AP17
+ IFERROR(GETPIVOTDATA("Somma di DARE",'Pivot BBVA'!$A$3,"Mese",11,"Tipologia",$A96),0)
+ IFERROR(GETPIVOTDATA("Somma di DARE",'Pivot Amex'!$A$3,"Mese",11,"Tipologia",$A96),0)
- IFERROR(GETPIVOTDATA("Somma di AVERE",'Pivot Amex'!$A$3,"Mese",11,"Tipologia",$A96),0)
- IFERROR(GETPIVOTDATA("Somma di AVERE",'Pivot BBVA'!$A$3,"Mese",11,"Tipologia",$A96),0)
- IFERROR(GETPIVOTDATA("Somma di AVERE",'Pivot Fineco St'!$A$3,"Mese",11,"Tipologia",$A96),0)
- IFERROR(GETPIVOTDATA("Somma di AVERE",'Pivot Fineco Sa'!$A$3,"Mese",11,"Tipologia",$A96),0)
+ IFERROR(GETPIVOTDATA("Somma di DARE",'Pivot PP Visa'!$A$3,"Mese",11,"Tipologia",$A96),0)
- IFERROR(GETPIVOTDATA("Somma di AVERE",'Pivot PP Visa'!$A$3,"Mese",11,"Tipologia",$A96),0)
+ IFERROR(GETPIVOTDATA("Somma di DARE",'Pivot Revolut'!$A$3,"Mese",11,"Tipologia",$A96),0)
- IFERROR(GETPIVOTDATA("Somma di AVERE",'Pivot Revolut'!$A$3,"Mese",11,"Tipologia",$A96),0)</f>
        <v>0</v>
      </c>
      <c r="N96" s="243">
        <f>IFERROR(GETPIVOTDATA("Somma di DARE EUR",'Pivot RakBank AED'!$A$3,"Mese",12,"Tipologia",$A96),0)
- IFERROR(GETPIVOTDATA("Somma di AVERE EUR",'Pivot RakBank AED'!$A$3,"Mese",12,"Tipologia",$A96),0)
+IFERROR(GETPIVOTDATA("Somma di DARE",'Pivot RakBank EUR'!$A$3,"Mese",12,"Tipologia",$A96),0)
- IFERROR(GETPIVOTDATA("Somma di AVERE",'Pivot RakBank EUR'!$A$3,"Mese",12,"Tipologia",$A96),0)
+IFERROR(GETPIVOTDATA("Somma di DARE",'Pivot Fineco Sa'!$A$3,"Mese",12,"Tipologia",$A96),0)
+ IFERROR(GETPIVOTDATA("Somma di DARE",'Pivot Fineco St'!$A$3,"Mese",12,"Tipologia",$A96),0)
+ Contanti!AT17
+ IFERROR(GETPIVOTDATA("Somma di DARE",'Pivot BBVA'!$A$3,"Mese",12,"Tipologia",$A96),0)
+ IFERROR(GETPIVOTDATA("Somma di DARE",'Pivot Amex'!$A$3,"Mese",12,"Tipologia",$A96),0)
- IFERROR(GETPIVOTDATA("Somma di AVERE",'Pivot Amex'!$A$3,"Mese",12,"Tipologia",$A96),0)
- IFERROR(GETPIVOTDATA("Somma di AVERE",'Pivot BBVA'!$A$3,"Mese",12,"Tipologia",$A96),0)
- IFERROR(GETPIVOTDATA("Somma di AVERE",'Pivot Fineco St'!$A$3,"Mese",12,"Tipologia",$A96),0)
- IFERROR(GETPIVOTDATA("Somma di AVERE",'Pivot Fineco Sa'!$A$3,"Mese",12,"Tipologia",$A96),0)
+ IFERROR(GETPIVOTDATA("Somma di DARE",'Pivot PP Visa'!$A$3,"Mese",12,"Tipologia",$A96),0)
- IFERROR(GETPIVOTDATA("Somma di AVERE",'Pivot PP Visa'!$A$3,"Mese",12,"Tipologia",$A96),0)
+ IFERROR(GETPIVOTDATA("Somma di DARE",'Pivot Revolut'!$A$3,"Mese",12,"Tipologia",$A96),0)
- IFERROR(GETPIVOTDATA("Somma di AVERE",'Pivot Revolut'!$A$3,"Mese",12,"Tipologia",$A96),0)</f>
        <v>0</v>
      </c>
      <c r="O96" s="252">
        <f t="shared" si="6"/>
        <v>316.64999999999998</v>
      </c>
      <c r="P96" s="243">
        <f t="shared" ca="1" si="7"/>
        <v>45.23571428571428</v>
      </c>
    </row>
    <row r="97" spans="1:16" s="125" customFormat="1" ht="21" customHeight="1" x14ac:dyDescent="0.2">
      <c r="A97" s="251" t="s">
        <v>127</v>
      </c>
      <c r="B97" s="251"/>
      <c r="C97" s="243">
        <f>IFERROR(GETPIVOTDATA("Somma di DARE EUR",'Pivot RakBank AED'!$A$3,"Mese",1,"Tipologia",$A97),0)
- IFERROR(GETPIVOTDATA("Somma di AVERE EUR",'Pivot RakBank AED'!$A$3,"Mese",1,"Tipologia",$A97),0)
+IFERROR(GETPIVOTDATA("Somma di DARE",'Pivot RakBank EUR'!$A$3,"Mese",1,"Tipologia",$A97),0)
- IFERROR(GETPIVOTDATA("Somma di AVERE",'Pivot RakBank EUR'!$A$3,"Mese",1,"Tipologia",$A97),0)
+IFERROR(GETPIVOTDATA("Somma di DARE",'Pivot Fineco Sa'!$A$3,"Mese",1,"Tipologia",$A97),0)
+ IFERROR(GETPIVOTDATA("Somma di DARE",'Pivot Fineco St'!$A$3,"Mese",1,"Tipologia",$A97),0)
+ Contanti!B18
+ IFERROR(GETPIVOTDATA("Somma di DARE",'Pivot BBVA'!$A$3,"Mese",1,"Tipologia",$A97),0)
+ IFERROR(GETPIVOTDATA("Somma di DARE",'Pivot Amex'!$A$3,"Mese",1,"Tipologia",$A97),0)
- IFERROR(GETPIVOTDATA("Somma di AVERE",'Pivot Amex'!$A$3,"Mese",1,"Tipologia",$A97),0)
- IFERROR(GETPIVOTDATA("Somma di AVERE",'Pivot BBVA'!$A$3,"Mese",1,"Tipologia",$A97),0)
- IFERROR(GETPIVOTDATA("Somma di AVERE",'Pivot Fineco St'!$A$3,"Mese",1,"Tipologia",$A97),0)
- IFERROR(GETPIVOTDATA("Somma di AVERE",'Pivot Fineco Sa'!$A$3,"Mese",1,"Tipologia",$A97),0)
+ IFERROR(GETPIVOTDATA("Somma di DARE",'Pivot PP Visa'!$A$3,"Mese",1,"Tipologia",$A97),0)
- IFERROR(GETPIVOTDATA("Somma di AVERE",'Pivot PP Visa'!$A$3,"Mese",1,"Tipologia",$A97),0)
+ IFERROR(GETPIVOTDATA("Somma di DARE",'Pivot Revolut'!$A$3,"Mese",1,"Tipologia",$A97),0)
- IFERROR(GETPIVOTDATA("Somma di AVERE",'Pivot Revolut'!$A$3,"Mese",1,"Tipologia",$A97),0)</f>
        <v>2.99</v>
      </c>
      <c r="D97" s="243">
        <f>IFERROR(GETPIVOTDATA("Somma di DARE EUR",'Pivot RakBank AED'!$A$3,"Mese",2,"Tipologia",$A97),0)
- IFERROR(GETPIVOTDATA("Somma di AVERE EUR",'Pivot RakBank AED'!$A$3,"Mese",2,"Tipologia",$A97),0)
+IFERROR(GETPIVOTDATA("Somma di DARE",'Pivot RakBank EUR'!$A$3,"Mese",2,"Tipologia",$A97),0)
- IFERROR(GETPIVOTDATA("Somma di AVERE",'Pivot RakBank EUR'!$A$3,"Mese",2,"Tipologia",$A97),0)
+IFERROR(GETPIVOTDATA("Somma di DARE",'Pivot Fineco Sa'!$A$3,"Mese",2,"Tipologia",$A97),0)
+ IFERROR(GETPIVOTDATA("Somma di DARE",'Pivot Fineco St'!$A$3,"Mese",2,"Tipologia",$A97),0)
+ Contanti!F18
+ IFERROR(GETPIVOTDATA("Somma di DARE",'Pivot BBVA'!$A$3,"Mese",2,"Tipologia",$A97),0)
+ IFERROR(GETPIVOTDATA("Somma di DARE",'Pivot Amex'!$A$3,"Mese",2,"Tipologia",$A97),0)
- IFERROR(GETPIVOTDATA("Somma di AVERE",'Pivot Amex'!$A$3,"Mese",2,"Tipologia",$A97),0)
- IFERROR(GETPIVOTDATA("Somma di AVERE",'Pivot BBVA'!$A$3,"Mese",2,"Tipologia",$A97),0)
- IFERROR(GETPIVOTDATA("Somma di AVERE",'Pivot Fineco St'!$A$3,"Mese",2,"Tipologia",$A97),0)
- IFERROR(GETPIVOTDATA("Somma di AVERE",'Pivot Fineco Sa'!$A$3,"Mese",2,"Tipologia",$A97),0)
+ IFERROR(GETPIVOTDATA("Somma di DARE",'Pivot PP Visa'!$A$3,"Mese",2,"Tipologia",$A97),0)
- IFERROR(GETPIVOTDATA("Somma di AVERE",'Pivot PP Visa'!$A$3,"Mese",2,"Tipologia",$A97),0)
+ IFERROR(GETPIVOTDATA("Somma di DARE",'Pivot Revolut'!$A$3,"Mese",2,"Tipologia",$A97),0)
- IFERROR(GETPIVOTDATA("Somma di AVERE",'Pivot Revolut'!$A$3,"Mese",2,"Tipologia",$A97),0)</f>
        <v>2.99</v>
      </c>
      <c r="E97" s="243">
        <f>IFERROR(GETPIVOTDATA("Somma di DARE EUR",'Pivot RakBank AED'!$A$3,"Mese",3,"Tipologia",$A97),0)
- IFERROR(GETPIVOTDATA("Somma di AVERE EUR",'Pivot RakBank AED'!$A$3,"Mese",3,"Tipologia",$A97),0)
+IFERROR(GETPIVOTDATA("Somma di DARE",'Pivot RakBank EUR'!$A$3,"Mese",3,"Tipologia",$A97),0)
- IFERROR(GETPIVOTDATA("Somma di AVERE",'Pivot RakBank EUR'!$A$3,"Mese",3,"Tipologia",$A97),0)
+IFERROR(GETPIVOTDATA("Somma di DARE",'Pivot Fineco Sa'!$A$3,"Mese",3,"Tipologia",$A97),0)
+ IFERROR(GETPIVOTDATA("Somma di DARE",'Pivot Fineco St'!$A$3,"Mese",3,"Tipologia",$A97),0)
+ Contanti!J18
+ IFERROR(GETPIVOTDATA("Somma di DARE",'Pivot BBVA'!$A$3,"Mese",3,"Tipologia",$A97),0)
+ IFERROR(GETPIVOTDATA("Somma di DARE",'Pivot Amex'!$A$3,"Mese",3,"Tipologia",$A97),0)
- IFERROR(GETPIVOTDATA("Somma di AVERE",'Pivot Amex'!$A$3,"Mese",3,"Tipologia",$A97),0)
- IFERROR(GETPIVOTDATA("Somma di AVERE",'Pivot BBVA'!$A$3,"Mese",3,"Tipologia",$A97),0)
- IFERROR(GETPIVOTDATA("Somma di AVERE",'Pivot Fineco St'!$A$3,"Mese",3,"Tipologia",$A97),0)
- IFERROR(GETPIVOTDATA("Somma di AVERE",'Pivot Fineco Sa'!$A$3,"Mese",3,"Tipologia",$A97),0)
+ IFERROR(GETPIVOTDATA("Somma di DARE",'Pivot PP Visa'!$A$3,"Mese",3,"Tipologia",$A97),0)
- IFERROR(GETPIVOTDATA("Somma di AVERE",'Pivot PP Visa'!$A$3,"Mese",3,"Tipologia",$A97),0)
+ IFERROR(GETPIVOTDATA("Somma di DARE",'Pivot Revolut'!$A$3,"Mese",3,"Tipologia",$A97),0)
- IFERROR(GETPIVOTDATA("Somma di AVERE",'Pivot Revolut'!$A$3,"Mese",3,"Tipologia",$A97),0)</f>
        <v>12.98</v>
      </c>
      <c r="F97" s="243">
        <f>IFERROR(GETPIVOTDATA("Somma di DARE EUR",'Pivot RakBank AED'!$A$3,"Mese",4,"Tipologia",$A97),0)
- IFERROR(GETPIVOTDATA("Somma di AVERE EUR",'Pivot RakBank AED'!$A$3,"Mese",4,"Tipologia",$A97),0)
+IFERROR(GETPIVOTDATA("Somma di DARE",'Pivot RakBank EUR'!$A$3,"Mese",4,"Tipologia",$A97),0)
- IFERROR(GETPIVOTDATA("Somma di AVERE",'Pivot RakBank EUR'!$A$3,"Mese",4,"Tipologia",$A97),0)
+IFERROR(GETPIVOTDATA("Somma di DARE",'Pivot Fineco Sa'!$A$3,"Mese",4,"Tipologia",$A97),0)
+ IFERROR(GETPIVOTDATA("Somma di DARE",'Pivot Fineco St'!$A$3,"Mese",4,"Tipologia",$A97),0)
+ Contanti!N18
+ IFERROR(GETPIVOTDATA("Somma di DARE",'Pivot BBVA'!$A$3,"Mese",4,"Tipologia",$A97),0)
+ IFERROR(GETPIVOTDATA("Somma di DARE",'Pivot Amex'!$A$3,"Mese",4,"Tipologia",$A97),0)
- IFERROR(GETPIVOTDATA("Somma di AVERE",'Pivot Amex'!$A$3,"Mese",4,"Tipologia",$A97),0)
- IFERROR(GETPIVOTDATA("Somma di AVERE",'Pivot BBVA'!$A$3,"Mese",4,"Tipologia",$A97),0)
- IFERROR(GETPIVOTDATA("Somma di AVERE",'Pivot Fineco St'!$A$3,"Mese",4,"Tipologia",$A97),0)
- IFERROR(GETPIVOTDATA("Somma di AVERE",'Pivot Fineco Sa'!$A$3,"Mese",4,"Tipologia",$A97),0)
+ IFERROR(GETPIVOTDATA("Somma di DARE",'Pivot PP Visa'!$A$3,"Mese",4,"Tipologia",$A97),0)
- IFERROR(GETPIVOTDATA("Somma di AVERE",'Pivot PP Visa'!$A$3,"Mese",4,"Tipologia",$A97),0)
+ IFERROR(GETPIVOTDATA("Somma di DARE",'Pivot Revolut'!$A$3,"Mese",4,"Tipologia",$A97),0)
- IFERROR(GETPIVOTDATA("Somma di AVERE",'Pivot Revolut'!$A$3,"Mese",4,"Tipologia",$A97),0)</f>
        <v>12.98</v>
      </c>
      <c r="G97" s="243">
        <f>IFERROR(GETPIVOTDATA("Somma di DARE EUR",'Pivot RakBank AED'!$A$3,"Mese",5,"Tipologia",$A97),0)
- IFERROR(GETPIVOTDATA("Somma di AVERE EUR",'Pivot RakBank AED'!$A$3,"Mese",5,"Tipologia",$A97),0)
+IFERROR(GETPIVOTDATA("Somma di DARE",'Pivot RakBank EUR'!$A$3,"Mese",5,"Tipologia",$A97),0)
- IFERROR(GETPIVOTDATA("Somma di AVERE",'Pivot RakBank EUR'!$A$3,"Mese",5,"Tipologia",$A97),0)
+IFERROR(GETPIVOTDATA("Somma di DARE",'Pivot Fineco Sa'!$A$3,"Mese",5,"Tipologia",$A97),0)
+ IFERROR(GETPIVOTDATA("Somma di DARE",'Pivot Fineco St'!$A$3,"Mese",5,"Tipologia",$A97),0)
+ Contanti!R18
+ IFERROR(GETPIVOTDATA("Somma di DARE",'Pivot BBVA'!$A$3,"Mese",5,"Tipologia",$A97),0)
+ IFERROR(GETPIVOTDATA("Somma di DARE",'Pivot Amex'!$A$3,"Mese",5,"Tipologia",$A97),0)
- IFERROR(GETPIVOTDATA("Somma di AVERE",'Pivot Amex'!$A$3,"Mese",5,"Tipologia",$A97),0)
- IFERROR(GETPIVOTDATA("Somma di AVERE",'Pivot BBVA'!$A$3,"Mese",5,"Tipologia",$A97),0)
- IFERROR(GETPIVOTDATA("Somma di AVERE",'Pivot Fineco St'!$A$3,"Mese",5,"Tipologia",$A97),0)
- IFERROR(GETPIVOTDATA("Somma di AVERE",'Pivot Fineco Sa'!$A$3,"Mese",5,"Tipologia",$A97),0)
+ IFERROR(GETPIVOTDATA("Somma di DARE",'Pivot PP Visa'!$A$3,"Mese",5,"Tipologia",$A97),0)
- IFERROR(GETPIVOTDATA("Somma di AVERE",'Pivot PP Visa'!$A$3,"Mese",5,"Tipologia",$A97),0)
+ IFERROR(GETPIVOTDATA("Somma di DARE",'Pivot Revolut'!$A$3,"Mese",5,"Tipologia",$A97),0)
- IFERROR(GETPIVOTDATA("Somma di AVERE",'Pivot Revolut'!$A$3,"Mese",5,"Tipologia",$A97),0)</f>
        <v>2.99</v>
      </c>
      <c r="H97" s="243">
        <f>IFERROR(GETPIVOTDATA("Somma di DARE EUR",'Pivot RakBank AED'!$A$3,"Mese",6,"Tipologia",$A97),0)
- IFERROR(GETPIVOTDATA("Somma di AVERE EUR",'Pivot RakBank AED'!$A$3,"Mese",6,"Tipologia",$A97),0)
+IFERROR(GETPIVOTDATA("Somma di DARE",'Pivot RakBank EUR'!$A$3,"Mese",6,"Tipologia",$A97),0)
- IFERROR(GETPIVOTDATA("Somma di AVERE",'Pivot RakBank EUR'!$A$3,"Mese",6,"Tipologia",$A97),0)
+IFERROR(GETPIVOTDATA("Somma di DARE",'Pivot Fineco Sa'!$A$3,"Mese",6,"Tipologia",$A97),0)
+ IFERROR(GETPIVOTDATA("Somma di DARE",'Pivot Fineco St'!$A$3,"Mese",6,"Tipologia",$A97),0)
+ Contanti!V18
+ IFERROR(GETPIVOTDATA("Somma di DARE",'Pivot BBVA'!$A$3,"Mese",6,"Tipologia",$A97),0)
+ IFERROR(GETPIVOTDATA("Somma di DARE",'Pivot Amex'!$A$3,"Mese",6,"Tipologia",$A97),0)
- IFERROR(GETPIVOTDATA("Somma di AVERE",'Pivot Amex'!$A$3,"Mese",6,"Tipologia",$A97),0)
- IFERROR(GETPIVOTDATA("Somma di AVERE",'Pivot BBVA'!$A$3,"Mese",6,"Tipologia",$A97),0)
- IFERROR(GETPIVOTDATA("Somma di AVERE",'Pivot Fineco St'!$A$3,"Mese",6,"Tipologia",$A97),0)
- IFERROR(GETPIVOTDATA("Somma di AVERE",'Pivot Fineco Sa'!$A$3,"Mese",6,"Tipologia",$A97),0)
+ IFERROR(GETPIVOTDATA("Somma di DARE",'Pivot PP Visa'!$A$3,"Mese",6,"Tipologia",$A97),0)
- IFERROR(GETPIVOTDATA("Somma di AVERE",'Pivot PP Visa'!$A$3,"Mese",6,"Tipologia",$A97),0)
+ IFERROR(GETPIVOTDATA("Somma di DARE",'Pivot Revolut'!$A$3,"Mese",6,"Tipologia",$A97),0)
- IFERROR(GETPIVOTDATA("Somma di AVERE",'Pivot Revolut'!$A$3,"Mese",6,"Tipologia",$A97),0)</f>
        <v>95.48</v>
      </c>
      <c r="I97" s="243">
        <f>IFERROR(GETPIVOTDATA("Somma di DARE EUR",'Pivot RakBank AED'!$A$3,"Mese",7,"Tipologia",$A97),0)
- IFERROR(GETPIVOTDATA("Somma di AVERE EUR",'Pivot RakBank AED'!$A$3,"Mese",7,"Tipologia",$A97),0)
+IFERROR(GETPIVOTDATA("Somma di DARE",'Pivot RakBank EUR'!$A$3,"Mese",7,"Tipologia",$A97),0)
- IFERROR(GETPIVOTDATA("Somma di AVERE",'Pivot RakBank EUR'!$A$3,"Mese",7,"Tipologia",$A97),0)
+IFERROR(GETPIVOTDATA("Somma di DARE",'Pivot Fineco Sa'!$A$3,"Mese",7,"Tipologia",$A97),0)
+ IFERROR(GETPIVOTDATA("Somma di DARE",'Pivot Fineco St'!$A$3,"Mese",7,"Tipologia",$A97),0)
+ Contanti!Z18
+ IFERROR(GETPIVOTDATA("Somma di DARE",'Pivot BBVA'!$A$3,"Mese",7,"Tipologia",$A97),0)
+ IFERROR(GETPIVOTDATA("Somma di DARE",'Pivot Amex'!$A$3,"Mese",7,"Tipologia",$A97),0)
- IFERROR(GETPIVOTDATA("Somma di AVERE",'Pivot Amex'!$A$3,"Mese",7,"Tipologia",$A97),0)
- IFERROR(GETPIVOTDATA("Somma di AVERE",'Pivot BBVA'!$A$3,"Mese",7,"Tipologia",$A97),0)
- IFERROR(GETPIVOTDATA("Somma di AVERE",'Pivot Fineco St'!$A$3,"Mese",7,"Tipologia",$A97),0)
- IFERROR(GETPIVOTDATA("Somma di AVERE",'Pivot Fineco Sa'!$A$3,"Mese",7,"Tipologia",$A97),0)
+ IFERROR(GETPIVOTDATA("Somma di DARE",'Pivot PP Visa'!$A$3,"Mese",7,"Tipologia",$A97),0)
- IFERROR(GETPIVOTDATA("Somma di AVERE",'Pivot PP Visa'!$A$3,"Mese",7,"Tipologia",$A97),0)
+ IFERROR(GETPIVOTDATA("Somma di DARE",'Pivot Revolut'!$A$3,"Mese",7,"Tipologia",$A97),0)
- IFERROR(GETPIVOTDATA("Somma di AVERE",'Pivot Revolut'!$A$3,"Mese",7,"Tipologia",$A97),0)</f>
        <v>0</v>
      </c>
      <c r="J97" s="243">
        <f>IFERROR(GETPIVOTDATA("Somma di DARE EUR",'Pivot RakBank AED'!$A$3,"Mese",8,"Tipologia",$A97),0)
- IFERROR(GETPIVOTDATA("Somma di AVERE EUR",'Pivot RakBank AED'!$A$3,"Mese",8,"Tipologia",$A97),0)
+IFERROR(GETPIVOTDATA("Somma di DARE",'Pivot RakBank EUR'!$A$3,"Mese",8,"Tipologia",$A97),0)
- IFERROR(GETPIVOTDATA("Somma di AVERE",'Pivot RakBank EUR'!$A$3,"Mese",8,"Tipologia",$A97),0)
+IFERROR(GETPIVOTDATA("Somma di DARE",'Pivot Fineco Sa'!$A$3,"Mese",8,"Tipologia",$A97),0)
+ IFERROR(GETPIVOTDATA("Somma di DARE",'Pivot Fineco St'!$A$3,"Mese",8,"Tipologia",$A97),0)
+ Contanti!AD18
+ IFERROR(GETPIVOTDATA("Somma di DARE",'Pivot BBVA'!$A$3,"Mese",8,"Tipologia",$A97),0)
+ IFERROR(GETPIVOTDATA("Somma di DARE",'Pivot Amex'!$A$3,"Mese",8,"Tipologia",$A97),0)
- IFERROR(GETPIVOTDATA("Somma di AVERE",'Pivot Amex'!$A$3,"Mese",8,"Tipologia",$A97),0)
- IFERROR(GETPIVOTDATA("Somma di AVERE",'Pivot BBVA'!$A$3,"Mese",8,"Tipologia",$A97),0)
- IFERROR(GETPIVOTDATA("Somma di AVERE",'Pivot Fineco St'!$A$3,"Mese",8,"Tipologia",$A97),0)
- IFERROR(GETPIVOTDATA("Somma di AVERE",'Pivot Fineco Sa'!$A$3,"Mese",8,"Tipologia",$A97),0)
+ IFERROR(GETPIVOTDATA("Somma di DARE",'Pivot PP Visa'!$A$3,"Mese",8,"Tipologia",$A97),0)
- IFERROR(GETPIVOTDATA("Somma di AVERE",'Pivot PP Visa'!$A$3,"Mese",8,"Tipologia",$A97),0)
+ IFERROR(GETPIVOTDATA("Somma di DARE",'Pivot Revolut'!$A$3,"Mese",8,"Tipologia",$A97),0)
- IFERROR(GETPIVOTDATA("Somma di AVERE",'Pivot Revolut'!$A$3,"Mese",8,"Tipologia",$A97),0)</f>
        <v>0</v>
      </c>
      <c r="K97" s="243">
        <f>IFERROR(GETPIVOTDATA("Somma di DARE EUR",'Pivot RakBank AED'!$A$3,"Mese",9,"Tipologia",$A97),0)
- IFERROR(GETPIVOTDATA("Somma di AVERE EUR",'Pivot RakBank AED'!$A$3,"Mese",9,"Tipologia",$A97),0)
+IFERROR(GETPIVOTDATA("Somma di DARE",'Pivot RakBank EUR'!$A$3,"Mese",9,"Tipologia",$A97),0)
- IFERROR(GETPIVOTDATA("Somma di AVERE",'Pivot RakBank EUR'!$A$3,"Mese",9,"Tipologia",$A97),0)
+IFERROR(GETPIVOTDATA("Somma di DARE",'Pivot Fineco Sa'!$A$3,"Mese",9,"Tipologia",$A97),0)
+ IFERROR(GETPIVOTDATA("Somma di DARE",'Pivot Fineco St'!$A$3,"Mese",9,"Tipologia",$A97),0)
+ Contanti!AH18
+ IFERROR(GETPIVOTDATA("Somma di DARE",'Pivot BBVA'!$A$3,"Mese",9,"Tipologia",$A97),0)
+ IFERROR(GETPIVOTDATA("Somma di DARE",'Pivot Amex'!$A$3,"Mese",9,"Tipologia",$A97),0)
- IFERROR(GETPIVOTDATA("Somma di AVERE",'Pivot Amex'!$A$3,"Mese",9,"Tipologia",$A97),0)
- IFERROR(GETPIVOTDATA("Somma di AVERE",'Pivot BBVA'!$A$3,"Mese",9,"Tipologia",$A97),0)
- IFERROR(GETPIVOTDATA("Somma di AVERE",'Pivot Fineco St'!$A$3,"Mese",9,"Tipologia",$A97),0)
- IFERROR(GETPIVOTDATA("Somma di AVERE",'Pivot Fineco Sa'!$A$3,"Mese",9,"Tipologia",$A97),0)
+ IFERROR(GETPIVOTDATA("Somma di DARE",'Pivot PP Visa'!$A$3,"Mese",9,"Tipologia",$A97),0)
- IFERROR(GETPIVOTDATA("Somma di AVERE",'Pivot PP Visa'!$A$3,"Mese",9,"Tipologia",$A97),0)
+ IFERROR(GETPIVOTDATA("Somma di DARE",'Pivot Revolut'!$A$3,"Mese",9,"Tipologia",$A97),0)
- IFERROR(GETPIVOTDATA("Somma di AVERE",'Pivot Revolut'!$A$3,"Mese",9,"Tipologia",$A97),0)</f>
        <v>0</v>
      </c>
      <c r="L97" s="243">
        <f>IFERROR(GETPIVOTDATA("Somma di DARE EUR",'Pivot RakBank AED'!$A$3,"Mese",10,"Tipologia",$A97),0)
- IFERROR(GETPIVOTDATA("Somma di AVERE EUR",'Pivot RakBank AED'!$A$3,"Mese",10,"Tipologia",$A97),0)
+IFERROR(GETPIVOTDATA("Somma di DARE",'Pivot RakBank EUR'!$A$3,"Mese",10,"Tipologia",$A97),0)
- IFERROR(GETPIVOTDATA("Somma di AVERE",'Pivot RakBank EUR'!$A$3,"Mese",10,"Tipologia",$A97),0)
+IFERROR(GETPIVOTDATA("Somma di DARE",'Pivot Fineco Sa'!$A$3,"Mese",10,"Tipologia",$A97),0)
+ IFERROR(GETPIVOTDATA("Somma di DARE",'Pivot Fineco St'!$A$3,"Mese",10,"Tipologia",$A97),0)
+ Contanti!AL18
+ IFERROR(GETPIVOTDATA("Somma di DARE",'Pivot BBVA'!$A$3,"Mese",10,"Tipologia",$A97),0)
+ IFERROR(GETPIVOTDATA("Somma di DARE",'Pivot Amex'!$A$3,"Mese",10,"Tipologia",$A97),0)
- IFERROR(GETPIVOTDATA("Somma di AVERE",'Pivot Amex'!$A$3,"Mese",10,"Tipologia",$A97),0)
- IFERROR(GETPIVOTDATA("Somma di AVERE",'Pivot BBVA'!$A$3,"Mese",10,"Tipologia",$A97),0)
- IFERROR(GETPIVOTDATA("Somma di AVERE",'Pivot Fineco St'!$A$3,"Mese",10,"Tipologia",$A97),0)
- IFERROR(GETPIVOTDATA("Somma di AVERE",'Pivot Fineco Sa'!$A$3,"Mese",10,"Tipologia",$A97),0)
+ IFERROR(GETPIVOTDATA("Somma di DARE",'Pivot PP Visa'!$A$3,"Mese",10,"Tipologia",$A97),0)
- IFERROR(GETPIVOTDATA("Somma di AVERE",'Pivot PP Visa'!$A$3,"Mese",10,"Tipologia",$A97),0)
+ IFERROR(GETPIVOTDATA("Somma di DARE",'Pivot Revolut'!$A$3,"Mese",10,"Tipologia",$A97),0)
- IFERROR(GETPIVOTDATA("Somma di AVERE",'Pivot Revolut'!$A$3,"Mese",10,"Tipologia",$A97),0)</f>
        <v>0</v>
      </c>
      <c r="M97" s="243">
        <f>IFERROR(GETPIVOTDATA("Somma di DARE EUR",'Pivot RakBank AED'!$A$3,"Mese",11,"Tipologia",$A97),0)
- IFERROR(GETPIVOTDATA("Somma di AVERE EUR",'Pivot RakBank AED'!$A$3,"Mese",11,"Tipologia",$A97),0)
+IFERROR(GETPIVOTDATA("Somma di DARE",'Pivot RakBank EUR'!$A$3,"Mese",11,"Tipologia",$A97),0)
- IFERROR(GETPIVOTDATA("Somma di AVERE",'Pivot RakBank EUR'!$A$3,"Mese",11,"Tipologia",$A97),0)
+IFERROR(GETPIVOTDATA("Somma di DARE",'Pivot Fineco Sa'!$A$3,"Mese",11,"Tipologia",$A97),0)
+ IFERROR(GETPIVOTDATA("Somma di DARE",'Pivot Fineco St'!$A$3,"Mese",11,"Tipologia",$A97),0)
+ Contanti!AP18
+ IFERROR(GETPIVOTDATA("Somma di DARE",'Pivot BBVA'!$A$3,"Mese",11,"Tipologia",$A97),0)
+ IFERROR(GETPIVOTDATA("Somma di DARE",'Pivot Amex'!$A$3,"Mese",11,"Tipologia",$A97),0)
- IFERROR(GETPIVOTDATA("Somma di AVERE",'Pivot Amex'!$A$3,"Mese",11,"Tipologia",$A97),0)
- IFERROR(GETPIVOTDATA("Somma di AVERE",'Pivot BBVA'!$A$3,"Mese",11,"Tipologia",$A97),0)
- IFERROR(GETPIVOTDATA("Somma di AVERE",'Pivot Fineco St'!$A$3,"Mese",11,"Tipologia",$A97),0)
- IFERROR(GETPIVOTDATA("Somma di AVERE",'Pivot Fineco Sa'!$A$3,"Mese",11,"Tipologia",$A97),0)
+ IFERROR(GETPIVOTDATA("Somma di DARE",'Pivot PP Visa'!$A$3,"Mese",11,"Tipologia",$A97),0)
- IFERROR(GETPIVOTDATA("Somma di AVERE",'Pivot PP Visa'!$A$3,"Mese",11,"Tipologia",$A97),0)
+ IFERROR(GETPIVOTDATA("Somma di DARE",'Pivot Revolut'!$A$3,"Mese",11,"Tipologia",$A97),0)
- IFERROR(GETPIVOTDATA("Somma di AVERE",'Pivot Revolut'!$A$3,"Mese",11,"Tipologia",$A97),0)</f>
        <v>0</v>
      </c>
      <c r="N97" s="243">
        <f>IFERROR(GETPIVOTDATA("Somma di DARE EUR",'Pivot RakBank AED'!$A$3,"Mese",12,"Tipologia",$A97),0)
- IFERROR(GETPIVOTDATA("Somma di AVERE EUR",'Pivot RakBank AED'!$A$3,"Mese",12,"Tipologia",$A97),0)
+IFERROR(GETPIVOTDATA("Somma di DARE",'Pivot RakBank EUR'!$A$3,"Mese",12,"Tipologia",$A97),0)
- IFERROR(GETPIVOTDATA("Somma di AVERE",'Pivot RakBank EUR'!$A$3,"Mese",12,"Tipologia",$A97),0)
+IFERROR(GETPIVOTDATA("Somma di DARE",'Pivot Fineco Sa'!$A$3,"Mese",12,"Tipologia",$A97),0)
+ IFERROR(GETPIVOTDATA("Somma di DARE",'Pivot Fineco St'!$A$3,"Mese",12,"Tipologia",$A97),0)
+ Contanti!AT18
+ IFERROR(GETPIVOTDATA("Somma di DARE",'Pivot BBVA'!$A$3,"Mese",12,"Tipologia",$A97),0)
+ IFERROR(GETPIVOTDATA("Somma di DARE",'Pivot Amex'!$A$3,"Mese",12,"Tipologia",$A97),0)
- IFERROR(GETPIVOTDATA("Somma di AVERE",'Pivot Amex'!$A$3,"Mese",12,"Tipologia",$A97),0)
- IFERROR(GETPIVOTDATA("Somma di AVERE",'Pivot BBVA'!$A$3,"Mese",12,"Tipologia",$A97),0)
- IFERROR(GETPIVOTDATA("Somma di AVERE",'Pivot Fineco St'!$A$3,"Mese",12,"Tipologia",$A97),0)
- IFERROR(GETPIVOTDATA("Somma di AVERE",'Pivot Fineco Sa'!$A$3,"Mese",12,"Tipologia",$A97),0)
+ IFERROR(GETPIVOTDATA("Somma di DARE",'Pivot PP Visa'!$A$3,"Mese",12,"Tipologia",$A97),0)
- IFERROR(GETPIVOTDATA("Somma di AVERE",'Pivot PP Visa'!$A$3,"Mese",12,"Tipologia",$A97),0)
+ IFERROR(GETPIVOTDATA("Somma di DARE",'Pivot Revolut'!$A$3,"Mese",12,"Tipologia",$A97),0)
- IFERROR(GETPIVOTDATA("Somma di AVERE",'Pivot Revolut'!$A$3,"Mese",12,"Tipologia",$A97),0)</f>
        <v>0</v>
      </c>
      <c r="O97" s="252">
        <f t="shared" si="6"/>
        <v>130.41</v>
      </c>
      <c r="P97" s="243">
        <f t="shared" ca="1" si="7"/>
        <v>18.63</v>
      </c>
    </row>
    <row r="98" spans="1:16" s="125" customFormat="1" ht="21" customHeight="1" x14ac:dyDescent="0.2">
      <c r="A98" s="251" t="s">
        <v>133</v>
      </c>
      <c r="B98" s="251"/>
      <c r="C98" s="243">
        <f>IFERROR(GETPIVOTDATA("Somma di DARE EUR",'Pivot RakBank AED'!$A$3,"Mese",1,"Tipologia",$A98),0)
- IFERROR(GETPIVOTDATA("Somma di AVERE EUR",'Pivot RakBank AED'!$A$3,"Mese",1,"Tipologia",$A98),0)
+IFERROR(GETPIVOTDATA("Somma di DARE",'Pivot RakBank EUR'!$A$3,"Mese",1,"Tipologia",$A98),0)
- IFERROR(GETPIVOTDATA("Somma di AVERE",'Pivot RakBank EUR'!$A$3,"Mese",1,"Tipologia",$A98),0)
+IFERROR(GETPIVOTDATA("Somma di DARE",'Pivot Fineco Sa'!$A$3,"Mese",1,"Tipologia",$A98),0)
+ IFERROR(GETPIVOTDATA("Somma di DARE",'Pivot Fineco St'!$A$3,"Mese",1,"Tipologia",$A98),0)
+ Contanti!B19
+ IFERROR(GETPIVOTDATA("Somma di DARE",'Pivot BBVA'!$A$3,"Mese",1,"Tipologia",$A98),0)
+ IFERROR(GETPIVOTDATA("Somma di DARE",'Pivot Amex'!$A$3,"Mese",1,"Tipologia",$A98),0)
- IFERROR(GETPIVOTDATA("Somma di AVERE",'Pivot Amex'!$A$3,"Mese",1,"Tipologia",$A98),0)
- IFERROR(GETPIVOTDATA("Somma di AVERE",'Pivot BBVA'!$A$3,"Mese",1,"Tipologia",$A98),0)
- IFERROR(GETPIVOTDATA("Somma di AVERE",'Pivot Fineco St'!$A$3,"Mese",1,"Tipologia",$A98),0)
- IFERROR(GETPIVOTDATA("Somma di AVERE",'Pivot Fineco Sa'!$A$3,"Mese",1,"Tipologia",$A98),0)
+ IFERROR(GETPIVOTDATA("Somma di DARE",'Pivot PP Visa'!$A$3,"Mese",1,"Tipologia",$A98),0)
- IFERROR(GETPIVOTDATA("Somma di AVERE",'Pivot PP Visa'!$A$3,"Mese",1,"Tipologia",$A98),0)
+ IFERROR(GETPIVOTDATA("Somma di DARE",'Pivot Revolut'!$A$3,"Mese",1,"Tipologia",$A98),0)
- IFERROR(GETPIVOTDATA("Somma di AVERE",'Pivot Revolut'!$A$3,"Mese",1,"Tipologia",$A98),0)</f>
        <v>0</v>
      </c>
      <c r="D98" s="243">
        <f>IFERROR(GETPIVOTDATA("Somma di DARE EUR",'Pivot RakBank AED'!$A$3,"Mese",2,"Tipologia",$A98),0)
- IFERROR(GETPIVOTDATA("Somma di AVERE EUR",'Pivot RakBank AED'!$A$3,"Mese",2,"Tipologia",$A98),0)
+IFERROR(GETPIVOTDATA("Somma di DARE",'Pivot RakBank EUR'!$A$3,"Mese",2,"Tipologia",$A98),0)
- IFERROR(GETPIVOTDATA("Somma di AVERE",'Pivot RakBank EUR'!$A$3,"Mese",2,"Tipologia",$A98),0)
+IFERROR(GETPIVOTDATA("Somma di DARE",'Pivot Fineco Sa'!$A$3,"Mese",2,"Tipologia",$A98),0)
+ IFERROR(GETPIVOTDATA("Somma di DARE",'Pivot Fineco St'!$A$3,"Mese",2,"Tipologia",$A98),0)
+ Contanti!F19
+ IFERROR(GETPIVOTDATA("Somma di DARE",'Pivot BBVA'!$A$3,"Mese",2,"Tipologia",$A98),0)
+ IFERROR(GETPIVOTDATA("Somma di DARE",'Pivot Amex'!$A$3,"Mese",2,"Tipologia",$A98),0)
- IFERROR(GETPIVOTDATA("Somma di AVERE",'Pivot Amex'!$A$3,"Mese",2,"Tipologia",$A98),0)
- IFERROR(GETPIVOTDATA("Somma di AVERE",'Pivot BBVA'!$A$3,"Mese",2,"Tipologia",$A98),0)
- IFERROR(GETPIVOTDATA("Somma di AVERE",'Pivot Fineco St'!$A$3,"Mese",2,"Tipologia",$A98),0)
- IFERROR(GETPIVOTDATA("Somma di AVERE",'Pivot Fineco Sa'!$A$3,"Mese",2,"Tipologia",$A98),0)
+ IFERROR(GETPIVOTDATA("Somma di DARE",'Pivot PP Visa'!$A$3,"Mese",2,"Tipologia",$A98),0)
- IFERROR(GETPIVOTDATA("Somma di AVERE",'Pivot PP Visa'!$A$3,"Mese",2,"Tipologia",$A98),0)
+ IFERROR(GETPIVOTDATA("Somma di DARE",'Pivot Revolut'!$A$3,"Mese",2,"Tipologia",$A98),0)
- IFERROR(GETPIVOTDATA("Somma di AVERE",'Pivot Revolut'!$A$3,"Mese",2,"Tipologia",$A98),0)</f>
        <v>0</v>
      </c>
      <c r="E98" s="243">
        <f>IFERROR(GETPIVOTDATA("Somma di DARE EUR",'Pivot RakBank AED'!$A$3,"Mese",3,"Tipologia",$A98),0)
- IFERROR(GETPIVOTDATA("Somma di AVERE EUR",'Pivot RakBank AED'!$A$3,"Mese",3,"Tipologia",$A98),0)
+IFERROR(GETPIVOTDATA("Somma di DARE",'Pivot RakBank EUR'!$A$3,"Mese",3,"Tipologia",$A98),0)
- IFERROR(GETPIVOTDATA("Somma di AVERE",'Pivot RakBank EUR'!$A$3,"Mese",3,"Tipologia",$A98),0)
+IFERROR(GETPIVOTDATA("Somma di DARE",'Pivot Fineco Sa'!$A$3,"Mese",3,"Tipologia",$A98),0)
+ IFERROR(GETPIVOTDATA("Somma di DARE",'Pivot Fineco St'!$A$3,"Mese",3,"Tipologia",$A98),0)
+ Contanti!J19
+ IFERROR(GETPIVOTDATA("Somma di DARE",'Pivot BBVA'!$A$3,"Mese",3,"Tipologia",$A98),0)
+ IFERROR(GETPIVOTDATA("Somma di DARE",'Pivot Amex'!$A$3,"Mese",3,"Tipologia",$A98),0)
- IFERROR(GETPIVOTDATA("Somma di AVERE",'Pivot Amex'!$A$3,"Mese",3,"Tipologia",$A98),0)
- IFERROR(GETPIVOTDATA("Somma di AVERE",'Pivot BBVA'!$A$3,"Mese",3,"Tipologia",$A98),0)
- IFERROR(GETPIVOTDATA("Somma di AVERE",'Pivot Fineco St'!$A$3,"Mese",3,"Tipologia",$A98),0)
- IFERROR(GETPIVOTDATA("Somma di AVERE",'Pivot Fineco Sa'!$A$3,"Mese",3,"Tipologia",$A98),0)
+ IFERROR(GETPIVOTDATA("Somma di DARE",'Pivot PP Visa'!$A$3,"Mese",3,"Tipologia",$A98),0)
- IFERROR(GETPIVOTDATA("Somma di AVERE",'Pivot PP Visa'!$A$3,"Mese",3,"Tipologia",$A98),0)
+ IFERROR(GETPIVOTDATA("Somma di DARE",'Pivot Revolut'!$A$3,"Mese",3,"Tipologia",$A98),0)
- IFERROR(GETPIVOTDATA("Somma di AVERE",'Pivot Revolut'!$A$3,"Mese",3,"Tipologia",$A98),0)</f>
        <v>0</v>
      </c>
      <c r="F98" s="243">
        <f>IFERROR(GETPIVOTDATA("Somma di DARE EUR",'Pivot RakBank AED'!$A$3,"Mese",4,"Tipologia",$A98),0)
- IFERROR(GETPIVOTDATA("Somma di AVERE EUR",'Pivot RakBank AED'!$A$3,"Mese",4,"Tipologia",$A98),0)
+IFERROR(GETPIVOTDATA("Somma di DARE",'Pivot RakBank EUR'!$A$3,"Mese",4,"Tipologia",$A98),0)
- IFERROR(GETPIVOTDATA("Somma di AVERE",'Pivot RakBank EUR'!$A$3,"Mese",4,"Tipologia",$A98),0)
+IFERROR(GETPIVOTDATA("Somma di DARE",'Pivot Fineco Sa'!$A$3,"Mese",4,"Tipologia",$A98),0)
+ IFERROR(GETPIVOTDATA("Somma di DARE",'Pivot Fineco St'!$A$3,"Mese",4,"Tipologia",$A98),0)
+ Contanti!N19
+ IFERROR(GETPIVOTDATA("Somma di DARE",'Pivot BBVA'!$A$3,"Mese",4,"Tipologia",$A98),0)
+ IFERROR(GETPIVOTDATA("Somma di DARE",'Pivot Amex'!$A$3,"Mese",4,"Tipologia",$A98),0)
- IFERROR(GETPIVOTDATA("Somma di AVERE",'Pivot Amex'!$A$3,"Mese",4,"Tipologia",$A98),0)
- IFERROR(GETPIVOTDATA("Somma di AVERE",'Pivot BBVA'!$A$3,"Mese",4,"Tipologia",$A98),0)
- IFERROR(GETPIVOTDATA("Somma di AVERE",'Pivot Fineco St'!$A$3,"Mese",4,"Tipologia",$A98),0)
- IFERROR(GETPIVOTDATA("Somma di AVERE",'Pivot Fineco Sa'!$A$3,"Mese",4,"Tipologia",$A98),0)
+ IFERROR(GETPIVOTDATA("Somma di DARE",'Pivot PP Visa'!$A$3,"Mese",4,"Tipologia",$A98),0)
- IFERROR(GETPIVOTDATA("Somma di AVERE",'Pivot PP Visa'!$A$3,"Mese",4,"Tipologia",$A98),0)
+ IFERROR(GETPIVOTDATA("Somma di DARE",'Pivot Revolut'!$A$3,"Mese",4,"Tipologia",$A98),0)
- IFERROR(GETPIVOTDATA("Somma di AVERE",'Pivot Revolut'!$A$3,"Mese",4,"Tipologia",$A98),0)</f>
        <v>0</v>
      </c>
      <c r="G98" s="243">
        <f>IFERROR(GETPIVOTDATA("Somma di DARE EUR",'Pivot RakBank AED'!$A$3,"Mese",5,"Tipologia",$A98),0)
- IFERROR(GETPIVOTDATA("Somma di AVERE EUR",'Pivot RakBank AED'!$A$3,"Mese",5,"Tipologia",$A98),0)
+IFERROR(GETPIVOTDATA("Somma di DARE",'Pivot RakBank EUR'!$A$3,"Mese",5,"Tipologia",$A98),0)
- IFERROR(GETPIVOTDATA("Somma di AVERE",'Pivot RakBank EUR'!$A$3,"Mese",5,"Tipologia",$A98),0)
+IFERROR(GETPIVOTDATA("Somma di DARE",'Pivot Fineco Sa'!$A$3,"Mese",5,"Tipologia",$A98),0)
+ IFERROR(GETPIVOTDATA("Somma di DARE",'Pivot Fineco St'!$A$3,"Mese",5,"Tipologia",$A98),0)
+ Contanti!R19
+ IFERROR(GETPIVOTDATA("Somma di DARE",'Pivot BBVA'!$A$3,"Mese",5,"Tipologia",$A98),0)
+ IFERROR(GETPIVOTDATA("Somma di DARE",'Pivot Amex'!$A$3,"Mese",5,"Tipologia",$A98),0)
- IFERROR(GETPIVOTDATA("Somma di AVERE",'Pivot Amex'!$A$3,"Mese",5,"Tipologia",$A98),0)
- IFERROR(GETPIVOTDATA("Somma di AVERE",'Pivot BBVA'!$A$3,"Mese",5,"Tipologia",$A98),0)
- IFERROR(GETPIVOTDATA("Somma di AVERE",'Pivot Fineco St'!$A$3,"Mese",5,"Tipologia",$A98),0)
- IFERROR(GETPIVOTDATA("Somma di AVERE",'Pivot Fineco Sa'!$A$3,"Mese",5,"Tipologia",$A98),0)
+ IFERROR(GETPIVOTDATA("Somma di DARE",'Pivot PP Visa'!$A$3,"Mese",5,"Tipologia",$A98),0)
- IFERROR(GETPIVOTDATA("Somma di AVERE",'Pivot PP Visa'!$A$3,"Mese",5,"Tipologia",$A98),0)
+ IFERROR(GETPIVOTDATA("Somma di DARE",'Pivot Revolut'!$A$3,"Mese",5,"Tipologia",$A98),0)
- IFERROR(GETPIVOTDATA("Somma di AVERE",'Pivot Revolut'!$A$3,"Mese",5,"Tipologia",$A98),0)</f>
        <v>0</v>
      </c>
      <c r="H98" s="243">
        <f>IFERROR(GETPIVOTDATA("Somma di DARE EUR",'Pivot RakBank AED'!$A$3,"Mese",6,"Tipologia",$A98),0)
- IFERROR(GETPIVOTDATA("Somma di AVERE EUR",'Pivot RakBank AED'!$A$3,"Mese",6,"Tipologia",$A98),0)
+IFERROR(GETPIVOTDATA("Somma di DARE",'Pivot RakBank EUR'!$A$3,"Mese",6,"Tipologia",$A98),0)
- IFERROR(GETPIVOTDATA("Somma di AVERE",'Pivot RakBank EUR'!$A$3,"Mese",6,"Tipologia",$A98),0)
+IFERROR(GETPIVOTDATA("Somma di DARE",'Pivot Fineco Sa'!$A$3,"Mese",6,"Tipologia",$A98),0)
+ IFERROR(GETPIVOTDATA("Somma di DARE",'Pivot Fineco St'!$A$3,"Mese",6,"Tipologia",$A98),0)
+ Contanti!V19
+ IFERROR(GETPIVOTDATA("Somma di DARE",'Pivot BBVA'!$A$3,"Mese",6,"Tipologia",$A98),0)
+ IFERROR(GETPIVOTDATA("Somma di DARE",'Pivot Amex'!$A$3,"Mese",6,"Tipologia",$A98),0)
- IFERROR(GETPIVOTDATA("Somma di AVERE",'Pivot Amex'!$A$3,"Mese",6,"Tipologia",$A98),0)
- IFERROR(GETPIVOTDATA("Somma di AVERE",'Pivot BBVA'!$A$3,"Mese",6,"Tipologia",$A98),0)
- IFERROR(GETPIVOTDATA("Somma di AVERE",'Pivot Fineco St'!$A$3,"Mese",6,"Tipologia",$A98),0)
- IFERROR(GETPIVOTDATA("Somma di AVERE",'Pivot Fineco Sa'!$A$3,"Mese",6,"Tipologia",$A98),0)
+ IFERROR(GETPIVOTDATA("Somma di DARE",'Pivot PP Visa'!$A$3,"Mese",6,"Tipologia",$A98),0)
- IFERROR(GETPIVOTDATA("Somma di AVERE",'Pivot PP Visa'!$A$3,"Mese",6,"Tipologia",$A98),0)
+ IFERROR(GETPIVOTDATA("Somma di DARE",'Pivot Revolut'!$A$3,"Mese",6,"Tipologia",$A98),0)
- IFERROR(GETPIVOTDATA("Somma di AVERE",'Pivot Revolut'!$A$3,"Mese",6,"Tipologia",$A98),0)</f>
        <v>0</v>
      </c>
      <c r="I98" s="243">
        <f>IFERROR(GETPIVOTDATA("Somma di DARE EUR",'Pivot RakBank AED'!$A$3,"Mese",7,"Tipologia",$A98),0)
- IFERROR(GETPIVOTDATA("Somma di AVERE EUR",'Pivot RakBank AED'!$A$3,"Mese",7,"Tipologia",$A98),0)
+IFERROR(GETPIVOTDATA("Somma di DARE",'Pivot RakBank EUR'!$A$3,"Mese",7,"Tipologia",$A98),0)
- IFERROR(GETPIVOTDATA("Somma di AVERE",'Pivot RakBank EUR'!$A$3,"Mese",7,"Tipologia",$A98),0)
+IFERROR(GETPIVOTDATA("Somma di DARE",'Pivot Fineco Sa'!$A$3,"Mese",7,"Tipologia",$A98),0)
+ IFERROR(GETPIVOTDATA("Somma di DARE",'Pivot Fineco St'!$A$3,"Mese",7,"Tipologia",$A98),0)
+ Contanti!Z19
+ IFERROR(GETPIVOTDATA("Somma di DARE",'Pivot BBVA'!$A$3,"Mese",7,"Tipologia",$A98),0)
+ IFERROR(GETPIVOTDATA("Somma di DARE",'Pivot Amex'!$A$3,"Mese",7,"Tipologia",$A98),0)
- IFERROR(GETPIVOTDATA("Somma di AVERE",'Pivot Amex'!$A$3,"Mese",7,"Tipologia",$A98),0)
- IFERROR(GETPIVOTDATA("Somma di AVERE",'Pivot BBVA'!$A$3,"Mese",7,"Tipologia",$A98),0)
- IFERROR(GETPIVOTDATA("Somma di AVERE",'Pivot Fineco St'!$A$3,"Mese",7,"Tipologia",$A98),0)
- IFERROR(GETPIVOTDATA("Somma di AVERE",'Pivot Fineco Sa'!$A$3,"Mese",7,"Tipologia",$A98),0)
+ IFERROR(GETPIVOTDATA("Somma di DARE",'Pivot PP Visa'!$A$3,"Mese",7,"Tipologia",$A98),0)
- IFERROR(GETPIVOTDATA("Somma di AVERE",'Pivot PP Visa'!$A$3,"Mese",7,"Tipologia",$A98),0)
+ IFERROR(GETPIVOTDATA("Somma di DARE",'Pivot Revolut'!$A$3,"Mese",7,"Tipologia",$A98),0)
- IFERROR(GETPIVOTDATA("Somma di AVERE",'Pivot Revolut'!$A$3,"Mese",7,"Tipologia",$A98),0)</f>
        <v>0</v>
      </c>
      <c r="J98" s="243">
        <f>IFERROR(GETPIVOTDATA("Somma di DARE EUR",'Pivot RakBank AED'!$A$3,"Mese",8,"Tipologia",$A98),0)
- IFERROR(GETPIVOTDATA("Somma di AVERE EUR",'Pivot RakBank AED'!$A$3,"Mese",8,"Tipologia",$A98),0)
+IFERROR(GETPIVOTDATA("Somma di DARE",'Pivot RakBank EUR'!$A$3,"Mese",8,"Tipologia",$A98),0)
- IFERROR(GETPIVOTDATA("Somma di AVERE",'Pivot RakBank EUR'!$A$3,"Mese",8,"Tipologia",$A98),0)
+IFERROR(GETPIVOTDATA("Somma di DARE",'Pivot Fineco Sa'!$A$3,"Mese",8,"Tipologia",$A98),0)
+ IFERROR(GETPIVOTDATA("Somma di DARE",'Pivot Fineco St'!$A$3,"Mese",8,"Tipologia",$A98),0)
+ Contanti!AD19
+ IFERROR(GETPIVOTDATA("Somma di DARE",'Pivot BBVA'!$A$3,"Mese",8,"Tipologia",$A98),0)
+ IFERROR(GETPIVOTDATA("Somma di DARE",'Pivot Amex'!$A$3,"Mese",8,"Tipologia",$A98),0)
- IFERROR(GETPIVOTDATA("Somma di AVERE",'Pivot Amex'!$A$3,"Mese",8,"Tipologia",$A98),0)
- IFERROR(GETPIVOTDATA("Somma di AVERE",'Pivot BBVA'!$A$3,"Mese",8,"Tipologia",$A98),0)
- IFERROR(GETPIVOTDATA("Somma di AVERE",'Pivot Fineco St'!$A$3,"Mese",8,"Tipologia",$A98),0)
- IFERROR(GETPIVOTDATA("Somma di AVERE",'Pivot Fineco Sa'!$A$3,"Mese",8,"Tipologia",$A98),0)
+ IFERROR(GETPIVOTDATA("Somma di DARE",'Pivot PP Visa'!$A$3,"Mese",8,"Tipologia",$A98),0)
- IFERROR(GETPIVOTDATA("Somma di AVERE",'Pivot PP Visa'!$A$3,"Mese",8,"Tipologia",$A98),0)
+ IFERROR(GETPIVOTDATA("Somma di DARE",'Pivot Revolut'!$A$3,"Mese",8,"Tipologia",$A98),0)
- IFERROR(GETPIVOTDATA("Somma di AVERE",'Pivot Revolut'!$A$3,"Mese",8,"Tipologia",$A98),0)</f>
        <v>0</v>
      </c>
      <c r="K98" s="243">
        <f>IFERROR(GETPIVOTDATA("Somma di DARE EUR",'Pivot RakBank AED'!$A$3,"Mese",9,"Tipologia",$A98),0)
- IFERROR(GETPIVOTDATA("Somma di AVERE EUR",'Pivot RakBank AED'!$A$3,"Mese",9,"Tipologia",$A98),0)
+IFERROR(GETPIVOTDATA("Somma di DARE",'Pivot RakBank EUR'!$A$3,"Mese",9,"Tipologia",$A98),0)
- IFERROR(GETPIVOTDATA("Somma di AVERE",'Pivot RakBank EUR'!$A$3,"Mese",9,"Tipologia",$A98),0)
+IFERROR(GETPIVOTDATA("Somma di DARE",'Pivot Fineco Sa'!$A$3,"Mese",9,"Tipologia",$A98),0)
+ IFERROR(GETPIVOTDATA("Somma di DARE",'Pivot Fineco St'!$A$3,"Mese",9,"Tipologia",$A98),0)
+ Contanti!AH19
+ IFERROR(GETPIVOTDATA("Somma di DARE",'Pivot BBVA'!$A$3,"Mese",9,"Tipologia",$A98),0)
+ IFERROR(GETPIVOTDATA("Somma di DARE",'Pivot Amex'!$A$3,"Mese",9,"Tipologia",$A98),0)
- IFERROR(GETPIVOTDATA("Somma di AVERE",'Pivot Amex'!$A$3,"Mese",9,"Tipologia",$A98),0)
- IFERROR(GETPIVOTDATA("Somma di AVERE",'Pivot BBVA'!$A$3,"Mese",9,"Tipologia",$A98),0)
- IFERROR(GETPIVOTDATA("Somma di AVERE",'Pivot Fineco St'!$A$3,"Mese",9,"Tipologia",$A98),0)
- IFERROR(GETPIVOTDATA("Somma di AVERE",'Pivot Fineco Sa'!$A$3,"Mese",9,"Tipologia",$A98),0)
+ IFERROR(GETPIVOTDATA("Somma di DARE",'Pivot PP Visa'!$A$3,"Mese",9,"Tipologia",$A98),0)
- IFERROR(GETPIVOTDATA("Somma di AVERE",'Pivot PP Visa'!$A$3,"Mese",9,"Tipologia",$A98),0)
+ IFERROR(GETPIVOTDATA("Somma di DARE",'Pivot Revolut'!$A$3,"Mese",9,"Tipologia",$A98),0)
- IFERROR(GETPIVOTDATA("Somma di AVERE",'Pivot Revolut'!$A$3,"Mese",9,"Tipologia",$A98),0)</f>
        <v>0</v>
      </c>
      <c r="L98" s="243">
        <f>IFERROR(GETPIVOTDATA("Somma di DARE EUR",'Pivot RakBank AED'!$A$3,"Mese",10,"Tipologia",$A98),0)
- IFERROR(GETPIVOTDATA("Somma di AVERE EUR",'Pivot RakBank AED'!$A$3,"Mese",10,"Tipologia",$A98),0)
+IFERROR(GETPIVOTDATA("Somma di DARE",'Pivot RakBank EUR'!$A$3,"Mese",10,"Tipologia",$A98),0)
- IFERROR(GETPIVOTDATA("Somma di AVERE",'Pivot RakBank EUR'!$A$3,"Mese",10,"Tipologia",$A98),0)
+IFERROR(GETPIVOTDATA("Somma di DARE",'Pivot Fineco Sa'!$A$3,"Mese",10,"Tipologia",$A98),0)
+ IFERROR(GETPIVOTDATA("Somma di DARE",'Pivot Fineco St'!$A$3,"Mese",10,"Tipologia",$A98),0)
+ Contanti!AL19
+ IFERROR(GETPIVOTDATA("Somma di DARE",'Pivot BBVA'!$A$3,"Mese",10,"Tipologia",$A98),0)
+ IFERROR(GETPIVOTDATA("Somma di DARE",'Pivot Amex'!$A$3,"Mese",10,"Tipologia",$A98),0)
- IFERROR(GETPIVOTDATA("Somma di AVERE",'Pivot Amex'!$A$3,"Mese",10,"Tipologia",$A98),0)
- IFERROR(GETPIVOTDATA("Somma di AVERE",'Pivot BBVA'!$A$3,"Mese",10,"Tipologia",$A98),0)
- IFERROR(GETPIVOTDATA("Somma di AVERE",'Pivot Fineco St'!$A$3,"Mese",10,"Tipologia",$A98),0)
- IFERROR(GETPIVOTDATA("Somma di AVERE",'Pivot Fineco Sa'!$A$3,"Mese",10,"Tipologia",$A98),0)
+ IFERROR(GETPIVOTDATA("Somma di DARE",'Pivot PP Visa'!$A$3,"Mese",10,"Tipologia",$A98),0)
- IFERROR(GETPIVOTDATA("Somma di AVERE",'Pivot PP Visa'!$A$3,"Mese",10,"Tipologia",$A98),0)
+ IFERROR(GETPIVOTDATA("Somma di DARE",'Pivot Revolut'!$A$3,"Mese",10,"Tipologia",$A98),0)
- IFERROR(GETPIVOTDATA("Somma di AVERE",'Pivot Revolut'!$A$3,"Mese",10,"Tipologia",$A98),0)</f>
        <v>0</v>
      </c>
      <c r="M98" s="243">
        <f>IFERROR(GETPIVOTDATA("Somma di DARE EUR",'Pivot RakBank AED'!$A$3,"Mese",11,"Tipologia",$A98),0)
- IFERROR(GETPIVOTDATA("Somma di AVERE EUR",'Pivot RakBank AED'!$A$3,"Mese",11,"Tipologia",$A98),0)
+IFERROR(GETPIVOTDATA("Somma di DARE",'Pivot RakBank EUR'!$A$3,"Mese",11,"Tipologia",$A98),0)
- IFERROR(GETPIVOTDATA("Somma di AVERE",'Pivot RakBank EUR'!$A$3,"Mese",11,"Tipologia",$A98),0)
+IFERROR(GETPIVOTDATA("Somma di DARE",'Pivot Fineco Sa'!$A$3,"Mese",11,"Tipologia",$A98),0)
+ IFERROR(GETPIVOTDATA("Somma di DARE",'Pivot Fineco St'!$A$3,"Mese",11,"Tipologia",$A98),0)
+ Contanti!AP19
+ IFERROR(GETPIVOTDATA("Somma di DARE",'Pivot BBVA'!$A$3,"Mese",11,"Tipologia",$A98),0)
+ IFERROR(GETPIVOTDATA("Somma di DARE",'Pivot Amex'!$A$3,"Mese",11,"Tipologia",$A98),0)
- IFERROR(GETPIVOTDATA("Somma di AVERE",'Pivot Amex'!$A$3,"Mese",11,"Tipologia",$A98),0)
- IFERROR(GETPIVOTDATA("Somma di AVERE",'Pivot BBVA'!$A$3,"Mese",11,"Tipologia",$A98),0)
- IFERROR(GETPIVOTDATA("Somma di AVERE",'Pivot Fineco St'!$A$3,"Mese",11,"Tipologia",$A98),0)
- IFERROR(GETPIVOTDATA("Somma di AVERE",'Pivot Fineco Sa'!$A$3,"Mese",11,"Tipologia",$A98),0)
+ IFERROR(GETPIVOTDATA("Somma di DARE",'Pivot PP Visa'!$A$3,"Mese",11,"Tipologia",$A98),0)
- IFERROR(GETPIVOTDATA("Somma di AVERE",'Pivot PP Visa'!$A$3,"Mese",11,"Tipologia",$A98),0)
+ IFERROR(GETPIVOTDATA("Somma di DARE",'Pivot Revolut'!$A$3,"Mese",11,"Tipologia",$A98),0)
- IFERROR(GETPIVOTDATA("Somma di AVERE",'Pivot Revolut'!$A$3,"Mese",11,"Tipologia",$A98),0)</f>
        <v>0</v>
      </c>
      <c r="N98" s="243">
        <f>IFERROR(GETPIVOTDATA("Somma di DARE EUR",'Pivot RakBank AED'!$A$3,"Mese",12,"Tipologia",$A98),0)
- IFERROR(GETPIVOTDATA("Somma di AVERE EUR",'Pivot RakBank AED'!$A$3,"Mese",12,"Tipologia",$A98),0)
+IFERROR(GETPIVOTDATA("Somma di DARE",'Pivot RakBank EUR'!$A$3,"Mese",12,"Tipologia",$A98),0)
- IFERROR(GETPIVOTDATA("Somma di AVERE",'Pivot RakBank EUR'!$A$3,"Mese",12,"Tipologia",$A98),0)
+IFERROR(GETPIVOTDATA("Somma di DARE",'Pivot Fineco Sa'!$A$3,"Mese",12,"Tipologia",$A98),0)
+ IFERROR(GETPIVOTDATA("Somma di DARE",'Pivot Fineco St'!$A$3,"Mese",12,"Tipologia",$A98),0)
+ Contanti!AT19
+ IFERROR(GETPIVOTDATA("Somma di DARE",'Pivot BBVA'!$A$3,"Mese",12,"Tipologia",$A98),0)
+ IFERROR(GETPIVOTDATA("Somma di DARE",'Pivot Amex'!$A$3,"Mese",12,"Tipologia",$A98),0)
- IFERROR(GETPIVOTDATA("Somma di AVERE",'Pivot Amex'!$A$3,"Mese",12,"Tipologia",$A98),0)
- IFERROR(GETPIVOTDATA("Somma di AVERE",'Pivot BBVA'!$A$3,"Mese",12,"Tipologia",$A98),0)
- IFERROR(GETPIVOTDATA("Somma di AVERE",'Pivot Fineco St'!$A$3,"Mese",12,"Tipologia",$A98),0)
- IFERROR(GETPIVOTDATA("Somma di AVERE",'Pivot Fineco Sa'!$A$3,"Mese",12,"Tipologia",$A98),0)
+ IFERROR(GETPIVOTDATA("Somma di DARE",'Pivot PP Visa'!$A$3,"Mese",12,"Tipologia",$A98),0)
- IFERROR(GETPIVOTDATA("Somma di AVERE",'Pivot PP Visa'!$A$3,"Mese",12,"Tipologia",$A98),0)
+ IFERROR(GETPIVOTDATA("Somma di DARE",'Pivot Revolut'!$A$3,"Mese",12,"Tipologia",$A98),0)
- IFERROR(GETPIVOTDATA("Somma di AVERE",'Pivot Revolut'!$A$3,"Mese",12,"Tipologia",$A98),0)</f>
        <v>0</v>
      </c>
      <c r="O98" s="252">
        <f t="shared" si="6"/>
        <v>0</v>
      </c>
      <c r="P98" s="243">
        <f t="shared" ca="1" si="7"/>
        <v>0</v>
      </c>
    </row>
    <row r="99" spans="1:16" s="125" customFormat="1" ht="21" customHeight="1" x14ac:dyDescent="0.2">
      <c r="A99" s="251" t="s">
        <v>344</v>
      </c>
      <c r="B99" s="251"/>
      <c r="C99" s="243">
        <f>IFERROR(GETPIVOTDATA("Somma di DARE EUR",'Pivot RakBank AED'!$A$3,"Mese",1,"Tipologia",$A99),0)
- IFERROR(GETPIVOTDATA("Somma di AVERE EUR",'Pivot RakBank AED'!$A$3,"Mese",1,"Tipologia",$A99),0)
+IFERROR(GETPIVOTDATA("Somma di DARE",'Pivot RakBank EUR'!$A$3,"Mese",1,"Tipologia",$A99),0)
- IFERROR(GETPIVOTDATA("Somma di AVERE",'Pivot RakBank EUR'!$A$3,"Mese",1,"Tipologia",$A99),0)
+IFERROR(GETPIVOTDATA("Somma di DARE",'Pivot Fineco Sa'!$A$3,"Mese",1,"Tipologia",$A99),0)
+ IFERROR(GETPIVOTDATA("Somma di DARE",'Pivot Fineco St'!$A$3,"Mese",1,"Tipologia",$A99),0)
+ Contanti!B20
+ IFERROR(GETPIVOTDATA("Somma di DARE",'Pivot BBVA'!$A$3,"Mese",1,"Tipologia",$A99),0)
+ IFERROR(GETPIVOTDATA("Somma di DARE",'Pivot Amex'!$A$3,"Mese",1,"Tipologia",$A99),0)
- IFERROR(GETPIVOTDATA("Somma di AVERE",'Pivot Amex'!$A$3,"Mese",1,"Tipologia",$A99),0)
- IFERROR(GETPIVOTDATA("Somma di AVERE",'Pivot BBVA'!$A$3,"Mese",1,"Tipologia",$A99),0)
- IFERROR(GETPIVOTDATA("Somma di AVERE",'Pivot Fineco St'!$A$3,"Mese",1,"Tipologia",$A99),0)
- IFERROR(GETPIVOTDATA("Somma di AVERE",'Pivot Fineco Sa'!$A$3,"Mese",1,"Tipologia",$A99),0)
+ IFERROR(GETPIVOTDATA("Somma di DARE",'Pivot PP Visa'!$A$3,"Mese",1,"Tipologia",$A99),0)
- IFERROR(GETPIVOTDATA("Somma di AVERE",'Pivot PP Visa'!$A$3,"Mese",1,"Tipologia",$A99),0)
+ IFERROR(GETPIVOTDATA("Somma di DARE",'Pivot Revolut'!$A$3,"Mese",1,"Tipologia",$A99),0)
- IFERROR(GETPIVOTDATA("Somma di AVERE",'Pivot Revolut'!$A$3,"Mese",1,"Tipologia",$A99),0)</f>
        <v>30.189999999999998</v>
      </c>
      <c r="D99" s="243">
        <f>IFERROR(GETPIVOTDATA("Somma di DARE EUR",'Pivot RakBank AED'!$A$3,"Mese",2,"Tipologia",$A99),0)
- IFERROR(GETPIVOTDATA("Somma di AVERE EUR",'Pivot RakBank AED'!$A$3,"Mese",2,"Tipologia",$A99),0)
+IFERROR(GETPIVOTDATA("Somma di DARE",'Pivot RakBank EUR'!$A$3,"Mese",2,"Tipologia",$A99),0)
- IFERROR(GETPIVOTDATA("Somma di AVERE",'Pivot RakBank EUR'!$A$3,"Mese",2,"Tipologia",$A99),0)
+IFERROR(GETPIVOTDATA("Somma di DARE",'Pivot Fineco Sa'!$A$3,"Mese",2,"Tipologia",$A99),0)
+ IFERROR(GETPIVOTDATA("Somma di DARE",'Pivot Fineco St'!$A$3,"Mese",2,"Tipologia",$A99),0)
+ Contanti!F20
+ IFERROR(GETPIVOTDATA("Somma di DARE",'Pivot BBVA'!$A$3,"Mese",2,"Tipologia",$A99),0)
+ IFERROR(GETPIVOTDATA("Somma di DARE",'Pivot Amex'!$A$3,"Mese",2,"Tipologia",$A99),0)
- IFERROR(GETPIVOTDATA("Somma di AVERE",'Pivot Amex'!$A$3,"Mese",2,"Tipologia",$A99),0)
- IFERROR(GETPIVOTDATA("Somma di AVERE",'Pivot BBVA'!$A$3,"Mese",2,"Tipologia",$A99),0)
- IFERROR(GETPIVOTDATA("Somma di AVERE",'Pivot Fineco St'!$A$3,"Mese",2,"Tipologia",$A99),0)
- IFERROR(GETPIVOTDATA("Somma di AVERE",'Pivot Fineco Sa'!$A$3,"Mese",2,"Tipologia",$A99),0)
+ IFERROR(GETPIVOTDATA("Somma di DARE",'Pivot PP Visa'!$A$3,"Mese",2,"Tipologia",$A99),0)
- IFERROR(GETPIVOTDATA("Somma di AVERE",'Pivot PP Visa'!$A$3,"Mese",2,"Tipologia",$A99),0)
+ IFERROR(GETPIVOTDATA("Somma di DARE",'Pivot Revolut'!$A$3,"Mese",2,"Tipologia",$A99),0)
- IFERROR(GETPIVOTDATA("Somma di AVERE",'Pivot Revolut'!$A$3,"Mese",2,"Tipologia",$A99),0)</f>
        <v>30</v>
      </c>
      <c r="E99" s="243">
        <f>IFERROR(GETPIVOTDATA("Somma di DARE EUR",'Pivot RakBank AED'!$A$3,"Mese",3,"Tipologia",$A99),0)
- IFERROR(GETPIVOTDATA("Somma di AVERE EUR",'Pivot RakBank AED'!$A$3,"Mese",3,"Tipologia",$A99),0)
+IFERROR(GETPIVOTDATA("Somma di DARE",'Pivot RakBank EUR'!$A$3,"Mese",3,"Tipologia",$A99),0)
- IFERROR(GETPIVOTDATA("Somma di AVERE",'Pivot RakBank EUR'!$A$3,"Mese",3,"Tipologia",$A99),0)
+IFERROR(GETPIVOTDATA("Somma di DARE",'Pivot Fineco Sa'!$A$3,"Mese",3,"Tipologia",$A99),0)
+ IFERROR(GETPIVOTDATA("Somma di DARE",'Pivot Fineco St'!$A$3,"Mese",3,"Tipologia",$A99),0)
+ Contanti!J20
+ IFERROR(GETPIVOTDATA("Somma di DARE",'Pivot BBVA'!$A$3,"Mese",3,"Tipologia",$A99),0)
+ IFERROR(GETPIVOTDATA("Somma di DARE",'Pivot Amex'!$A$3,"Mese",3,"Tipologia",$A99),0)
- IFERROR(GETPIVOTDATA("Somma di AVERE",'Pivot Amex'!$A$3,"Mese",3,"Tipologia",$A99),0)
- IFERROR(GETPIVOTDATA("Somma di AVERE",'Pivot BBVA'!$A$3,"Mese",3,"Tipologia",$A99),0)
- IFERROR(GETPIVOTDATA("Somma di AVERE",'Pivot Fineco St'!$A$3,"Mese",3,"Tipologia",$A99),0)
- IFERROR(GETPIVOTDATA("Somma di AVERE",'Pivot Fineco Sa'!$A$3,"Mese",3,"Tipologia",$A99),0)
+ IFERROR(GETPIVOTDATA("Somma di DARE",'Pivot PP Visa'!$A$3,"Mese",3,"Tipologia",$A99),0)
- IFERROR(GETPIVOTDATA("Somma di AVERE",'Pivot PP Visa'!$A$3,"Mese",3,"Tipologia",$A99),0)
+ IFERROR(GETPIVOTDATA("Somma di DARE",'Pivot Revolut'!$A$3,"Mese",3,"Tipologia",$A99),0)
- IFERROR(GETPIVOTDATA("Somma di AVERE",'Pivot Revolut'!$A$3,"Mese",3,"Tipologia",$A99),0)</f>
        <v>30.299999999999997</v>
      </c>
      <c r="F99" s="243">
        <f>IFERROR(GETPIVOTDATA("Somma di DARE EUR",'Pivot RakBank AED'!$A$3,"Mese",4,"Tipologia",$A99),0)
- IFERROR(GETPIVOTDATA("Somma di AVERE EUR",'Pivot RakBank AED'!$A$3,"Mese",4,"Tipologia",$A99),0)
+IFERROR(GETPIVOTDATA("Somma di DARE",'Pivot RakBank EUR'!$A$3,"Mese",4,"Tipologia",$A99),0)
- IFERROR(GETPIVOTDATA("Somma di AVERE",'Pivot RakBank EUR'!$A$3,"Mese",4,"Tipologia",$A99),0)
+IFERROR(GETPIVOTDATA("Somma di DARE",'Pivot Fineco Sa'!$A$3,"Mese",4,"Tipologia",$A99),0)
+ IFERROR(GETPIVOTDATA("Somma di DARE",'Pivot Fineco St'!$A$3,"Mese",4,"Tipologia",$A99),0)
+ Contanti!N20
+ IFERROR(GETPIVOTDATA("Somma di DARE",'Pivot BBVA'!$A$3,"Mese",4,"Tipologia",$A99),0)
+ IFERROR(GETPIVOTDATA("Somma di DARE",'Pivot Amex'!$A$3,"Mese",4,"Tipologia",$A99),0)
- IFERROR(GETPIVOTDATA("Somma di AVERE",'Pivot Amex'!$A$3,"Mese",4,"Tipologia",$A99),0)
- IFERROR(GETPIVOTDATA("Somma di AVERE",'Pivot BBVA'!$A$3,"Mese",4,"Tipologia",$A99),0)
- IFERROR(GETPIVOTDATA("Somma di AVERE",'Pivot Fineco St'!$A$3,"Mese",4,"Tipologia",$A99),0)
- IFERROR(GETPIVOTDATA("Somma di AVERE",'Pivot Fineco Sa'!$A$3,"Mese",4,"Tipologia",$A99),0)
+ IFERROR(GETPIVOTDATA("Somma di DARE",'Pivot PP Visa'!$A$3,"Mese",4,"Tipologia",$A99),0)
- IFERROR(GETPIVOTDATA("Somma di AVERE",'Pivot PP Visa'!$A$3,"Mese",4,"Tipologia",$A99),0)
+ IFERROR(GETPIVOTDATA("Somma di DARE",'Pivot Revolut'!$A$3,"Mese",4,"Tipologia",$A99),0)
- IFERROR(GETPIVOTDATA("Somma di AVERE",'Pivot Revolut'!$A$3,"Mese",4,"Tipologia",$A99),0)</f>
        <v>30</v>
      </c>
      <c r="G99" s="243">
        <f>IFERROR(GETPIVOTDATA("Somma di DARE EUR",'Pivot RakBank AED'!$A$3,"Mese",5,"Tipologia",$A99),0)
- IFERROR(GETPIVOTDATA("Somma di AVERE EUR",'Pivot RakBank AED'!$A$3,"Mese",5,"Tipologia",$A99),0)
+IFERROR(GETPIVOTDATA("Somma di DARE",'Pivot RakBank EUR'!$A$3,"Mese",5,"Tipologia",$A99),0)
- IFERROR(GETPIVOTDATA("Somma di AVERE",'Pivot RakBank EUR'!$A$3,"Mese",5,"Tipologia",$A99),0)
+IFERROR(GETPIVOTDATA("Somma di DARE",'Pivot Fineco Sa'!$A$3,"Mese",5,"Tipologia",$A99),0)
+ IFERROR(GETPIVOTDATA("Somma di DARE",'Pivot Fineco St'!$A$3,"Mese",5,"Tipologia",$A99),0)
+ Contanti!R20
+ IFERROR(GETPIVOTDATA("Somma di DARE",'Pivot BBVA'!$A$3,"Mese",5,"Tipologia",$A99),0)
+ IFERROR(GETPIVOTDATA("Somma di DARE",'Pivot Amex'!$A$3,"Mese",5,"Tipologia",$A99),0)
- IFERROR(GETPIVOTDATA("Somma di AVERE",'Pivot Amex'!$A$3,"Mese",5,"Tipologia",$A99),0)
- IFERROR(GETPIVOTDATA("Somma di AVERE",'Pivot BBVA'!$A$3,"Mese",5,"Tipologia",$A99),0)
- IFERROR(GETPIVOTDATA("Somma di AVERE",'Pivot Fineco St'!$A$3,"Mese",5,"Tipologia",$A99),0)
- IFERROR(GETPIVOTDATA("Somma di AVERE",'Pivot Fineco Sa'!$A$3,"Mese",5,"Tipologia",$A99),0)
+ IFERROR(GETPIVOTDATA("Somma di DARE",'Pivot PP Visa'!$A$3,"Mese",5,"Tipologia",$A99),0)
- IFERROR(GETPIVOTDATA("Somma di AVERE",'Pivot PP Visa'!$A$3,"Mese",5,"Tipologia",$A99),0)
+ IFERROR(GETPIVOTDATA("Somma di DARE",'Pivot Revolut'!$A$3,"Mese",5,"Tipologia",$A99),0)
- IFERROR(GETPIVOTDATA("Somma di AVERE",'Pivot Revolut'!$A$3,"Mese",5,"Tipologia",$A99),0)</f>
        <v>30</v>
      </c>
      <c r="H99" s="243">
        <f>IFERROR(GETPIVOTDATA("Somma di DARE EUR",'Pivot RakBank AED'!$A$3,"Mese",6,"Tipologia",$A99),0)
- IFERROR(GETPIVOTDATA("Somma di AVERE EUR",'Pivot RakBank AED'!$A$3,"Mese",6,"Tipologia",$A99),0)
+IFERROR(GETPIVOTDATA("Somma di DARE",'Pivot RakBank EUR'!$A$3,"Mese",6,"Tipologia",$A99),0)
- IFERROR(GETPIVOTDATA("Somma di AVERE",'Pivot RakBank EUR'!$A$3,"Mese",6,"Tipologia",$A99),0)
+IFERROR(GETPIVOTDATA("Somma di DARE",'Pivot Fineco Sa'!$A$3,"Mese",6,"Tipologia",$A99),0)
+ IFERROR(GETPIVOTDATA("Somma di DARE",'Pivot Fineco St'!$A$3,"Mese",6,"Tipologia",$A99),0)
+ Contanti!V20
+ IFERROR(GETPIVOTDATA("Somma di DARE",'Pivot BBVA'!$A$3,"Mese",6,"Tipologia",$A99),0)
+ IFERROR(GETPIVOTDATA("Somma di DARE",'Pivot Amex'!$A$3,"Mese",6,"Tipologia",$A99),0)
- IFERROR(GETPIVOTDATA("Somma di AVERE",'Pivot Amex'!$A$3,"Mese",6,"Tipologia",$A99),0)
- IFERROR(GETPIVOTDATA("Somma di AVERE",'Pivot BBVA'!$A$3,"Mese",6,"Tipologia",$A99),0)
- IFERROR(GETPIVOTDATA("Somma di AVERE",'Pivot Fineco St'!$A$3,"Mese",6,"Tipologia",$A99),0)
- IFERROR(GETPIVOTDATA("Somma di AVERE",'Pivot Fineco Sa'!$A$3,"Mese",6,"Tipologia",$A99),0)
+ IFERROR(GETPIVOTDATA("Somma di DARE",'Pivot PP Visa'!$A$3,"Mese",6,"Tipologia",$A99),0)
- IFERROR(GETPIVOTDATA("Somma di AVERE",'Pivot PP Visa'!$A$3,"Mese",6,"Tipologia",$A99),0)
+ IFERROR(GETPIVOTDATA("Somma di DARE",'Pivot Revolut'!$A$3,"Mese",6,"Tipologia",$A99),0)
- IFERROR(GETPIVOTDATA("Somma di AVERE",'Pivot Revolut'!$A$3,"Mese",6,"Tipologia",$A99),0)</f>
        <v>30.96</v>
      </c>
      <c r="I99" s="243">
        <f>IFERROR(GETPIVOTDATA("Somma di DARE EUR",'Pivot RakBank AED'!$A$3,"Mese",7,"Tipologia",$A99),0)
- IFERROR(GETPIVOTDATA("Somma di AVERE EUR",'Pivot RakBank AED'!$A$3,"Mese",7,"Tipologia",$A99),0)
+IFERROR(GETPIVOTDATA("Somma di DARE",'Pivot RakBank EUR'!$A$3,"Mese",7,"Tipologia",$A99),0)
- IFERROR(GETPIVOTDATA("Somma di AVERE",'Pivot RakBank EUR'!$A$3,"Mese",7,"Tipologia",$A99),0)
+IFERROR(GETPIVOTDATA("Somma di DARE",'Pivot Fineco Sa'!$A$3,"Mese",7,"Tipologia",$A99),0)
+ IFERROR(GETPIVOTDATA("Somma di DARE",'Pivot Fineco St'!$A$3,"Mese",7,"Tipologia",$A99),0)
+ Contanti!Z20
+ IFERROR(GETPIVOTDATA("Somma di DARE",'Pivot BBVA'!$A$3,"Mese",7,"Tipologia",$A99),0)
+ IFERROR(GETPIVOTDATA("Somma di DARE",'Pivot Amex'!$A$3,"Mese",7,"Tipologia",$A99),0)
- IFERROR(GETPIVOTDATA("Somma di AVERE",'Pivot Amex'!$A$3,"Mese",7,"Tipologia",$A99),0)
- IFERROR(GETPIVOTDATA("Somma di AVERE",'Pivot BBVA'!$A$3,"Mese",7,"Tipologia",$A99),0)
- IFERROR(GETPIVOTDATA("Somma di AVERE",'Pivot Fineco St'!$A$3,"Mese",7,"Tipologia",$A99),0)
- IFERROR(GETPIVOTDATA("Somma di AVERE",'Pivot Fineco Sa'!$A$3,"Mese",7,"Tipologia",$A99),0)
+ IFERROR(GETPIVOTDATA("Somma di DARE",'Pivot PP Visa'!$A$3,"Mese",7,"Tipologia",$A99),0)
- IFERROR(GETPIVOTDATA("Somma di AVERE",'Pivot PP Visa'!$A$3,"Mese",7,"Tipologia",$A99),0)
+ IFERROR(GETPIVOTDATA("Somma di DARE",'Pivot Revolut'!$A$3,"Mese",7,"Tipologia",$A99),0)
- IFERROR(GETPIVOTDATA("Somma di AVERE",'Pivot Revolut'!$A$3,"Mese",7,"Tipologia",$A99),0)</f>
        <v>0</v>
      </c>
      <c r="J99" s="243">
        <f>IFERROR(GETPIVOTDATA("Somma di DARE EUR",'Pivot RakBank AED'!$A$3,"Mese",8,"Tipologia",$A99),0)
- IFERROR(GETPIVOTDATA("Somma di AVERE EUR",'Pivot RakBank AED'!$A$3,"Mese",8,"Tipologia",$A99),0)
+IFERROR(GETPIVOTDATA("Somma di DARE",'Pivot RakBank EUR'!$A$3,"Mese",8,"Tipologia",$A99),0)
- IFERROR(GETPIVOTDATA("Somma di AVERE",'Pivot RakBank EUR'!$A$3,"Mese",8,"Tipologia",$A99),0)
+IFERROR(GETPIVOTDATA("Somma di DARE",'Pivot Fineco Sa'!$A$3,"Mese",8,"Tipologia",$A99),0)
+ IFERROR(GETPIVOTDATA("Somma di DARE",'Pivot Fineco St'!$A$3,"Mese",8,"Tipologia",$A99),0)
+ Contanti!AD20
+ IFERROR(GETPIVOTDATA("Somma di DARE",'Pivot BBVA'!$A$3,"Mese",8,"Tipologia",$A99),0)
+ IFERROR(GETPIVOTDATA("Somma di DARE",'Pivot Amex'!$A$3,"Mese",8,"Tipologia",$A99),0)
- IFERROR(GETPIVOTDATA("Somma di AVERE",'Pivot Amex'!$A$3,"Mese",8,"Tipologia",$A99),0)
- IFERROR(GETPIVOTDATA("Somma di AVERE",'Pivot BBVA'!$A$3,"Mese",8,"Tipologia",$A99),0)
- IFERROR(GETPIVOTDATA("Somma di AVERE",'Pivot Fineco St'!$A$3,"Mese",8,"Tipologia",$A99),0)
- IFERROR(GETPIVOTDATA("Somma di AVERE",'Pivot Fineco Sa'!$A$3,"Mese",8,"Tipologia",$A99),0)
+ IFERROR(GETPIVOTDATA("Somma di DARE",'Pivot PP Visa'!$A$3,"Mese",8,"Tipologia",$A99),0)
- IFERROR(GETPIVOTDATA("Somma di AVERE",'Pivot PP Visa'!$A$3,"Mese",8,"Tipologia",$A99),0)
+ IFERROR(GETPIVOTDATA("Somma di DARE",'Pivot Revolut'!$A$3,"Mese",8,"Tipologia",$A99),0)
- IFERROR(GETPIVOTDATA("Somma di AVERE",'Pivot Revolut'!$A$3,"Mese",8,"Tipologia",$A99),0)</f>
        <v>0</v>
      </c>
      <c r="K99" s="243">
        <f>IFERROR(GETPIVOTDATA("Somma di DARE EUR",'Pivot RakBank AED'!$A$3,"Mese",9,"Tipologia",$A99),0)
- IFERROR(GETPIVOTDATA("Somma di AVERE EUR",'Pivot RakBank AED'!$A$3,"Mese",9,"Tipologia",$A99),0)
+IFERROR(GETPIVOTDATA("Somma di DARE",'Pivot RakBank EUR'!$A$3,"Mese",9,"Tipologia",$A99),0)
- IFERROR(GETPIVOTDATA("Somma di AVERE",'Pivot RakBank EUR'!$A$3,"Mese",9,"Tipologia",$A99),0)
+IFERROR(GETPIVOTDATA("Somma di DARE",'Pivot Fineco Sa'!$A$3,"Mese",9,"Tipologia",$A99),0)
+ IFERROR(GETPIVOTDATA("Somma di DARE",'Pivot Fineco St'!$A$3,"Mese",9,"Tipologia",$A99),0)
+ Contanti!AH20
+ IFERROR(GETPIVOTDATA("Somma di DARE",'Pivot BBVA'!$A$3,"Mese",9,"Tipologia",$A99),0)
+ IFERROR(GETPIVOTDATA("Somma di DARE",'Pivot Amex'!$A$3,"Mese",9,"Tipologia",$A99),0)
- IFERROR(GETPIVOTDATA("Somma di AVERE",'Pivot Amex'!$A$3,"Mese",9,"Tipologia",$A99),0)
- IFERROR(GETPIVOTDATA("Somma di AVERE",'Pivot BBVA'!$A$3,"Mese",9,"Tipologia",$A99),0)
- IFERROR(GETPIVOTDATA("Somma di AVERE",'Pivot Fineco St'!$A$3,"Mese",9,"Tipologia",$A99),0)
- IFERROR(GETPIVOTDATA("Somma di AVERE",'Pivot Fineco Sa'!$A$3,"Mese",9,"Tipologia",$A99),0)
+ IFERROR(GETPIVOTDATA("Somma di DARE",'Pivot PP Visa'!$A$3,"Mese",9,"Tipologia",$A99),0)
- IFERROR(GETPIVOTDATA("Somma di AVERE",'Pivot PP Visa'!$A$3,"Mese",9,"Tipologia",$A99),0)
+ IFERROR(GETPIVOTDATA("Somma di DARE",'Pivot Revolut'!$A$3,"Mese",9,"Tipologia",$A99),0)
- IFERROR(GETPIVOTDATA("Somma di AVERE",'Pivot Revolut'!$A$3,"Mese",9,"Tipologia",$A99),0)</f>
        <v>0</v>
      </c>
      <c r="L99" s="243">
        <f>IFERROR(GETPIVOTDATA("Somma di DARE EUR",'Pivot RakBank AED'!$A$3,"Mese",10,"Tipologia",$A99),0)
- IFERROR(GETPIVOTDATA("Somma di AVERE EUR",'Pivot RakBank AED'!$A$3,"Mese",10,"Tipologia",$A99),0)
+IFERROR(GETPIVOTDATA("Somma di DARE",'Pivot RakBank EUR'!$A$3,"Mese",10,"Tipologia",$A99),0)
- IFERROR(GETPIVOTDATA("Somma di AVERE",'Pivot RakBank EUR'!$A$3,"Mese",10,"Tipologia",$A99),0)
+IFERROR(GETPIVOTDATA("Somma di DARE",'Pivot Fineco Sa'!$A$3,"Mese",10,"Tipologia",$A99),0)
+ IFERROR(GETPIVOTDATA("Somma di DARE",'Pivot Fineco St'!$A$3,"Mese",10,"Tipologia",$A99),0)
+ Contanti!AL20
+ IFERROR(GETPIVOTDATA("Somma di DARE",'Pivot BBVA'!$A$3,"Mese",10,"Tipologia",$A99),0)
+ IFERROR(GETPIVOTDATA("Somma di DARE",'Pivot Amex'!$A$3,"Mese",10,"Tipologia",$A99),0)
- IFERROR(GETPIVOTDATA("Somma di AVERE",'Pivot Amex'!$A$3,"Mese",10,"Tipologia",$A99),0)
- IFERROR(GETPIVOTDATA("Somma di AVERE",'Pivot BBVA'!$A$3,"Mese",10,"Tipologia",$A99),0)
- IFERROR(GETPIVOTDATA("Somma di AVERE",'Pivot Fineco St'!$A$3,"Mese",10,"Tipologia",$A99),0)
- IFERROR(GETPIVOTDATA("Somma di AVERE",'Pivot Fineco Sa'!$A$3,"Mese",10,"Tipologia",$A99),0)
+ IFERROR(GETPIVOTDATA("Somma di DARE",'Pivot PP Visa'!$A$3,"Mese",10,"Tipologia",$A99),0)
- IFERROR(GETPIVOTDATA("Somma di AVERE",'Pivot PP Visa'!$A$3,"Mese",10,"Tipologia",$A99),0)
+ IFERROR(GETPIVOTDATA("Somma di DARE",'Pivot Revolut'!$A$3,"Mese",10,"Tipologia",$A99),0)
- IFERROR(GETPIVOTDATA("Somma di AVERE",'Pivot Revolut'!$A$3,"Mese",10,"Tipologia",$A99),0)</f>
        <v>0</v>
      </c>
      <c r="M99" s="243">
        <f>IFERROR(GETPIVOTDATA("Somma di DARE EUR",'Pivot RakBank AED'!$A$3,"Mese",11,"Tipologia",$A99),0)
- IFERROR(GETPIVOTDATA("Somma di AVERE EUR",'Pivot RakBank AED'!$A$3,"Mese",11,"Tipologia",$A99),0)
+IFERROR(GETPIVOTDATA("Somma di DARE",'Pivot RakBank EUR'!$A$3,"Mese",11,"Tipologia",$A99),0)
- IFERROR(GETPIVOTDATA("Somma di AVERE",'Pivot RakBank EUR'!$A$3,"Mese",11,"Tipologia",$A99),0)
+IFERROR(GETPIVOTDATA("Somma di DARE",'Pivot Fineco Sa'!$A$3,"Mese",11,"Tipologia",$A99),0)
+ IFERROR(GETPIVOTDATA("Somma di DARE",'Pivot Fineco St'!$A$3,"Mese",11,"Tipologia",$A99),0)
+ Contanti!AP20
+ IFERROR(GETPIVOTDATA("Somma di DARE",'Pivot BBVA'!$A$3,"Mese",11,"Tipologia",$A99),0)
+ IFERROR(GETPIVOTDATA("Somma di DARE",'Pivot Amex'!$A$3,"Mese",11,"Tipologia",$A99),0)
- IFERROR(GETPIVOTDATA("Somma di AVERE",'Pivot Amex'!$A$3,"Mese",11,"Tipologia",$A99),0)
- IFERROR(GETPIVOTDATA("Somma di AVERE",'Pivot BBVA'!$A$3,"Mese",11,"Tipologia",$A99),0)
- IFERROR(GETPIVOTDATA("Somma di AVERE",'Pivot Fineco St'!$A$3,"Mese",11,"Tipologia",$A99),0)
- IFERROR(GETPIVOTDATA("Somma di AVERE",'Pivot Fineco Sa'!$A$3,"Mese",11,"Tipologia",$A99),0)
+ IFERROR(GETPIVOTDATA("Somma di DARE",'Pivot PP Visa'!$A$3,"Mese",11,"Tipologia",$A99),0)
- IFERROR(GETPIVOTDATA("Somma di AVERE",'Pivot PP Visa'!$A$3,"Mese",11,"Tipologia",$A99),0)
+ IFERROR(GETPIVOTDATA("Somma di DARE",'Pivot Revolut'!$A$3,"Mese",11,"Tipologia",$A99),0)
- IFERROR(GETPIVOTDATA("Somma di AVERE",'Pivot Revolut'!$A$3,"Mese",11,"Tipologia",$A99),0)</f>
        <v>0</v>
      </c>
      <c r="N99" s="243">
        <f>IFERROR(GETPIVOTDATA("Somma di DARE EUR",'Pivot RakBank AED'!$A$3,"Mese",12,"Tipologia",$A99),0)
- IFERROR(GETPIVOTDATA("Somma di AVERE EUR",'Pivot RakBank AED'!$A$3,"Mese",12,"Tipologia",$A99),0)
+IFERROR(GETPIVOTDATA("Somma di DARE",'Pivot RakBank EUR'!$A$3,"Mese",12,"Tipologia",$A99),0)
- IFERROR(GETPIVOTDATA("Somma di AVERE",'Pivot RakBank EUR'!$A$3,"Mese",12,"Tipologia",$A99),0)
+IFERROR(GETPIVOTDATA("Somma di DARE",'Pivot Fineco Sa'!$A$3,"Mese",12,"Tipologia",$A99),0)
+ IFERROR(GETPIVOTDATA("Somma di DARE",'Pivot Fineco St'!$A$3,"Mese",12,"Tipologia",$A99),0)
+ Contanti!AT20
+ IFERROR(GETPIVOTDATA("Somma di DARE",'Pivot BBVA'!$A$3,"Mese",12,"Tipologia",$A99),0)
+ IFERROR(GETPIVOTDATA("Somma di DARE",'Pivot Amex'!$A$3,"Mese",12,"Tipologia",$A99),0)
- IFERROR(GETPIVOTDATA("Somma di AVERE",'Pivot Amex'!$A$3,"Mese",12,"Tipologia",$A99),0)
- IFERROR(GETPIVOTDATA("Somma di AVERE",'Pivot BBVA'!$A$3,"Mese",12,"Tipologia",$A99),0)
- IFERROR(GETPIVOTDATA("Somma di AVERE",'Pivot Fineco St'!$A$3,"Mese",12,"Tipologia",$A99),0)
- IFERROR(GETPIVOTDATA("Somma di AVERE",'Pivot Fineco Sa'!$A$3,"Mese",12,"Tipologia",$A99),0)
+ IFERROR(GETPIVOTDATA("Somma di DARE",'Pivot PP Visa'!$A$3,"Mese",12,"Tipologia",$A99),0)
- IFERROR(GETPIVOTDATA("Somma di AVERE",'Pivot PP Visa'!$A$3,"Mese",12,"Tipologia",$A99),0)
+ IFERROR(GETPIVOTDATA("Somma di DARE",'Pivot Revolut'!$A$3,"Mese",12,"Tipologia",$A99),0)
- IFERROR(GETPIVOTDATA("Somma di AVERE",'Pivot Revolut'!$A$3,"Mese",12,"Tipologia",$A99),0)</f>
        <v>0</v>
      </c>
      <c r="O99" s="252">
        <f t="shared" si="6"/>
        <v>181.45000000000002</v>
      </c>
      <c r="P99" s="243">
        <f t="shared" ca="1" si="7"/>
        <v>25.921428571428574</v>
      </c>
    </row>
    <row r="100" spans="1:16" s="125" customFormat="1" ht="21" customHeight="1" x14ac:dyDescent="0.2">
      <c r="A100" s="251" t="s">
        <v>345</v>
      </c>
      <c r="B100" s="251"/>
      <c r="C100" s="243">
        <f>IFERROR(GETPIVOTDATA("Somma di DARE EUR",'Pivot RakBank AED'!$A$3,"Mese",1,"Tipologia",$A100),0)
- IFERROR(GETPIVOTDATA("Somma di AVERE EUR",'Pivot RakBank AED'!$A$3,"Mese",1,"Tipologia",$A100),0)
+IFERROR(GETPIVOTDATA("Somma di DARE",'Pivot RakBank EUR'!$A$3,"Mese",1,"Tipologia",$A100),0)
- IFERROR(GETPIVOTDATA("Somma di AVERE",'Pivot RakBank EUR'!$A$3,"Mese",1,"Tipologia",$A100),0)
+IFERROR(GETPIVOTDATA("Somma di DARE",'Pivot Fineco Sa'!$A$3,"Mese",1,"Tipologia",$A100),0)
+ IFERROR(GETPIVOTDATA("Somma di DARE",'Pivot Fineco St'!$A$3,"Mese",1,"Tipologia",$A100),0)
+ Contanti!B21
+ IFERROR(GETPIVOTDATA("Somma di DARE",'Pivot BBVA'!$A$3,"Mese",1,"Tipologia",$A100),0)
+ IFERROR(GETPIVOTDATA("Somma di DARE",'Pivot Amex'!$A$3,"Mese",1,"Tipologia",$A100),0)
- IFERROR(GETPIVOTDATA("Somma di AVERE",'Pivot Amex'!$A$3,"Mese",1,"Tipologia",$A100),0)
- IFERROR(GETPIVOTDATA("Somma di AVERE",'Pivot BBVA'!$A$3,"Mese",1,"Tipologia",$A100),0)
- IFERROR(GETPIVOTDATA("Somma di AVERE",'Pivot Fineco St'!$A$3,"Mese",1,"Tipologia",$A100),0)
- IFERROR(GETPIVOTDATA("Somma di AVERE",'Pivot Fineco Sa'!$A$3,"Mese",1,"Tipologia",$A100),0)
+ IFERROR(GETPIVOTDATA("Somma di DARE",'Pivot PP Visa'!$A$3,"Mese",1,"Tipologia",$A100),0)
- IFERROR(GETPIVOTDATA("Somma di AVERE",'Pivot PP Visa'!$A$3,"Mese",1,"Tipologia",$A100),0)
+ IFERROR(GETPIVOTDATA("Somma di DARE",'Pivot Revolut'!$A$3,"Mese",1,"Tipologia",$A100),0)
- IFERROR(GETPIVOTDATA("Somma di AVERE",'Pivot Revolut'!$A$3,"Mese",1,"Tipologia",$A100),0)</f>
        <v>26.490000000000002</v>
      </c>
      <c r="D100" s="243">
        <f>IFERROR(GETPIVOTDATA("Somma di DARE EUR",'Pivot RakBank AED'!$A$3,"Mese",2,"Tipologia",$A100),0)
- IFERROR(GETPIVOTDATA("Somma di AVERE EUR",'Pivot RakBank AED'!$A$3,"Mese",2,"Tipologia",$A100),0)
+IFERROR(GETPIVOTDATA("Somma di DARE",'Pivot RakBank EUR'!$A$3,"Mese",2,"Tipologia",$A100),0)
- IFERROR(GETPIVOTDATA("Somma di AVERE",'Pivot RakBank EUR'!$A$3,"Mese",2,"Tipologia",$A100),0)
+IFERROR(GETPIVOTDATA("Somma di DARE",'Pivot Fineco Sa'!$A$3,"Mese",2,"Tipologia",$A100),0)
+ IFERROR(GETPIVOTDATA("Somma di DARE",'Pivot Fineco St'!$A$3,"Mese",2,"Tipologia",$A100),0)
+ Contanti!F21
+ IFERROR(GETPIVOTDATA("Somma di DARE",'Pivot BBVA'!$A$3,"Mese",2,"Tipologia",$A100),0)
+ IFERROR(GETPIVOTDATA("Somma di DARE",'Pivot Amex'!$A$3,"Mese",2,"Tipologia",$A100),0)
- IFERROR(GETPIVOTDATA("Somma di AVERE",'Pivot Amex'!$A$3,"Mese",2,"Tipologia",$A100),0)
- IFERROR(GETPIVOTDATA("Somma di AVERE",'Pivot BBVA'!$A$3,"Mese",2,"Tipologia",$A100),0)
- IFERROR(GETPIVOTDATA("Somma di AVERE",'Pivot Fineco St'!$A$3,"Mese",2,"Tipologia",$A100),0)
- IFERROR(GETPIVOTDATA("Somma di AVERE",'Pivot Fineco Sa'!$A$3,"Mese",2,"Tipologia",$A100),0)
+ IFERROR(GETPIVOTDATA("Somma di DARE",'Pivot PP Visa'!$A$3,"Mese",2,"Tipologia",$A100),0)
- IFERROR(GETPIVOTDATA("Somma di AVERE",'Pivot PP Visa'!$A$3,"Mese",2,"Tipologia",$A100),0)
+ IFERROR(GETPIVOTDATA("Somma di DARE",'Pivot Revolut'!$A$3,"Mese",2,"Tipologia",$A100),0)
- IFERROR(GETPIVOTDATA("Somma di AVERE",'Pivot Revolut'!$A$3,"Mese",2,"Tipologia",$A100),0)</f>
        <v>54.129999999999995</v>
      </c>
      <c r="E100" s="243">
        <f>IFERROR(GETPIVOTDATA("Somma di DARE EUR",'Pivot RakBank AED'!$A$3,"Mese",3,"Tipologia",$A100),0)
- IFERROR(GETPIVOTDATA("Somma di AVERE EUR",'Pivot RakBank AED'!$A$3,"Mese",3,"Tipologia",$A100),0)
+IFERROR(GETPIVOTDATA("Somma di DARE",'Pivot RakBank EUR'!$A$3,"Mese",3,"Tipologia",$A100),0)
- IFERROR(GETPIVOTDATA("Somma di AVERE",'Pivot RakBank EUR'!$A$3,"Mese",3,"Tipologia",$A100),0)
+IFERROR(GETPIVOTDATA("Somma di DARE",'Pivot Fineco Sa'!$A$3,"Mese",3,"Tipologia",$A100),0)
+ IFERROR(GETPIVOTDATA("Somma di DARE",'Pivot Fineco St'!$A$3,"Mese",3,"Tipologia",$A100),0)
+ Contanti!J21
+ IFERROR(GETPIVOTDATA("Somma di DARE",'Pivot BBVA'!$A$3,"Mese",3,"Tipologia",$A100),0)
+ IFERROR(GETPIVOTDATA("Somma di DARE",'Pivot Amex'!$A$3,"Mese",3,"Tipologia",$A100),0)
- IFERROR(GETPIVOTDATA("Somma di AVERE",'Pivot Amex'!$A$3,"Mese",3,"Tipologia",$A100),0)
- IFERROR(GETPIVOTDATA("Somma di AVERE",'Pivot BBVA'!$A$3,"Mese",3,"Tipologia",$A100),0)
- IFERROR(GETPIVOTDATA("Somma di AVERE",'Pivot Fineco St'!$A$3,"Mese",3,"Tipologia",$A100),0)
- IFERROR(GETPIVOTDATA("Somma di AVERE",'Pivot Fineco Sa'!$A$3,"Mese",3,"Tipologia",$A100),0)
+ IFERROR(GETPIVOTDATA("Somma di DARE",'Pivot PP Visa'!$A$3,"Mese",3,"Tipologia",$A100),0)
- IFERROR(GETPIVOTDATA("Somma di AVERE",'Pivot PP Visa'!$A$3,"Mese",3,"Tipologia",$A100),0)
+ IFERROR(GETPIVOTDATA("Somma di DARE",'Pivot Revolut'!$A$3,"Mese",3,"Tipologia",$A100),0)
- IFERROR(GETPIVOTDATA("Somma di AVERE",'Pivot Revolut'!$A$3,"Mese",3,"Tipologia",$A100),0)</f>
        <v>21.42</v>
      </c>
      <c r="F100" s="243">
        <f>IFERROR(GETPIVOTDATA("Somma di DARE EUR",'Pivot RakBank AED'!$A$3,"Mese",4,"Tipologia",$A100),0)
- IFERROR(GETPIVOTDATA("Somma di AVERE EUR",'Pivot RakBank AED'!$A$3,"Mese",4,"Tipologia",$A100),0)
+IFERROR(GETPIVOTDATA("Somma di DARE",'Pivot RakBank EUR'!$A$3,"Mese",4,"Tipologia",$A100),0)
- IFERROR(GETPIVOTDATA("Somma di AVERE",'Pivot RakBank EUR'!$A$3,"Mese",4,"Tipologia",$A100),0)
+IFERROR(GETPIVOTDATA("Somma di DARE",'Pivot Fineco Sa'!$A$3,"Mese",4,"Tipologia",$A100),0)
+ IFERROR(GETPIVOTDATA("Somma di DARE",'Pivot Fineco St'!$A$3,"Mese",4,"Tipologia",$A100),0)
+ Contanti!N21
+ IFERROR(GETPIVOTDATA("Somma di DARE",'Pivot BBVA'!$A$3,"Mese",4,"Tipologia",$A100),0)
+ IFERROR(GETPIVOTDATA("Somma di DARE",'Pivot Amex'!$A$3,"Mese",4,"Tipologia",$A100),0)
- IFERROR(GETPIVOTDATA("Somma di AVERE",'Pivot Amex'!$A$3,"Mese",4,"Tipologia",$A100),0)
- IFERROR(GETPIVOTDATA("Somma di AVERE",'Pivot BBVA'!$A$3,"Mese",4,"Tipologia",$A100),0)
- IFERROR(GETPIVOTDATA("Somma di AVERE",'Pivot Fineco St'!$A$3,"Mese",4,"Tipologia",$A100),0)
- IFERROR(GETPIVOTDATA("Somma di AVERE",'Pivot Fineco Sa'!$A$3,"Mese",4,"Tipologia",$A100),0)
+ IFERROR(GETPIVOTDATA("Somma di DARE",'Pivot PP Visa'!$A$3,"Mese",4,"Tipologia",$A100),0)
- IFERROR(GETPIVOTDATA("Somma di AVERE",'Pivot PP Visa'!$A$3,"Mese",4,"Tipologia",$A100),0)
+ IFERROR(GETPIVOTDATA("Somma di DARE",'Pivot Revolut'!$A$3,"Mese",4,"Tipologia",$A100),0)
- IFERROR(GETPIVOTDATA("Somma di AVERE",'Pivot Revolut'!$A$3,"Mese",4,"Tipologia",$A100),0)</f>
        <v>15</v>
      </c>
      <c r="G100" s="243">
        <f>IFERROR(GETPIVOTDATA("Somma di DARE EUR",'Pivot RakBank AED'!$A$3,"Mese",5,"Tipologia",$A100),0)
- IFERROR(GETPIVOTDATA("Somma di AVERE EUR",'Pivot RakBank AED'!$A$3,"Mese",5,"Tipologia",$A100),0)
+IFERROR(GETPIVOTDATA("Somma di DARE",'Pivot RakBank EUR'!$A$3,"Mese",5,"Tipologia",$A100),0)
- IFERROR(GETPIVOTDATA("Somma di AVERE",'Pivot RakBank EUR'!$A$3,"Mese",5,"Tipologia",$A100),0)
+IFERROR(GETPIVOTDATA("Somma di DARE",'Pivot Fineco Sa'!$A$3,"Mese",5,"Tipologia",$A100),0)
+ IFERROR(GETPIVOTDATA("Somma di DARE",'Pivot Fineco St'!$A$3,"Mese",5,"Tipologia",$A100),0)
+ Contanti!R21
+ IFERROR(GETPIVOTDATA("Somma di DARE",'Pivot BBVA'!$A$3,"Mese",5,"Tipologia",$A100),0)
+ IFERROR(GETPIVOTDATA("Somma di DARE",'Pivot Amex'!$A$3,"Mese",5,"Tipologia",$A100),0)
- IFERROR(GETPIVOTDATA("Somma di AVERE",'Pivot Amex'!$A$3,"Mese",5,"Tipologia",$A100),0)
- IFERROR(GETPIVOTDATA("Somma di AVERE",'Pivot BBVA'!$A$3,"Mese",5,"Tipologia",$A100),0)
- IFERROR(GETPIVOTDATA("Somma di AVERE",'Pivot Fineco St'!$A$3,"Mese",5,"Tipologia",$A100),0)
- IFERROR(GETPIVOTDATA("Somma di AVERE",'Pivot Fineco Sa'!$A$3,"Mese",5,"Tipologia",$A100),0)
+ IFERROR(GETPIVOTDATA("Somma di DARE",'Pivot PP Visa'!$A$3,"Mese",5,"Tipologia",$A100),0)
- IFERROR(GETPIVOTDATA("Somma di AVERE",'Pivot PP Visa'!$A$3,"Mese",5,"Tipologia",$A100),0)
+ IFERROR(GETPIVOTDATA("Somma di DARE",'Pivot Revolut'!$A$3,"Mese",5,"Tipologia",$A100),0)
- IFERROR(GETPIVOTDATA("Somma di AVERE",'Pivot Revolut'!$A$3,"Mese",5,"Tipologia",$A100),0)</f>
        <v>29.0136</v>
      </c>
      <c r="H100" s="243">
        <f>IFERROR(GETPIVOTDATA("Somma di DARE EUR",'Pivot RakBank AED'!$A$3,"Mese",6,"Tipologia",$A100),0)
- IFERROR(GETPIVOTDATA("Somma di AVERE EUR",'Pivot RakBank AED'!$A$3,"Mese",6,"Tipologia",$A100),0)
+IFERROR(GETPIVOTDATA("Somma di DARE",'Pivot RakBank EUR'!$A$3,"Mese",6,"Tipologia",$A100),0)
- IFERROR(GETPIVOTDATA("Somma di AVERE",'Pivot RakBank EUR'!$A$3,"Mese",6,"Tipologia",$A100),0)
+IFERROR(GETPIVOTDATA("Somma di DARE",'Pivot Fineco Sa'!$A$3,"Mese",6,"Tipologia",$A100),0)
+ IFERROR(GETPIVOTDATA("Somma di DARE",'Pivot Fineco St'!$A$3,"Mese",6,"Tipologia",$A100),0)
+ Contanti!V21
+ IFERROR(GETPIVOTDATA("Somma di DARE",'Pivot BBVA'!$A$3,"Mese",6,"Tipologia",$A100),0)
+ IFERROR(GETPIVOTDATA("Somma di DARE",'Pivot Amex'!$A$3,"Mese",6,"Tipologia",$A100),0)
- IFERROR(GETPIVOTDATA("Somma di AVERE",'Pivot Amex'!$A$3,"Mese",6,"Tipologia",$A100),0)
- IFERROR(GETPIVOTDATA("Somma di AVERE",'Pivot BBVA'!$A$3,"Mese",6,"Tipologia",$A100),0)
- IFERROR(GETPIVOTDATA("Somma di AVERE",'Pivot Fineco St'!$A$3,"Mese",6,"Tipologia",$A100),0)
- IFERROR(GETPIVOTDATA("Somma di AVERE",'Pivot Fineco Sa'!$A$3,"Mese",6,"Tipologia",$A100),0)
+ IFERROR(GETPIVOTDATA("Somma di DARE",'Pivot PP Visa'!$A$3,"Mese",6,"Tipologia",$A100),0)
- IFERROR(GETPIVOTDATA("Somma di AVERE",'Pivot PP Visa'!$A$3,"Mese",6,"Tipologia",$A100),0)
+ IFERROR(GETPIVOTDATA("Somma di DARE",'Pivot Revolut'!$A$3,"Mese",6,"Tipologia",$A100),0)
- IFERROR(GETPIVOTDATA("Somma di AVERE",'Pivot Revolut'!$A$3,"Mese",6,"Tipologia",$A100),0)</f>
        <v>15</v>
      </c>
      <c r="I100" s="243">
        <f>IFERROR(GETPIVOTDATA("Somma di DARE EUR",'Pivot RakBank AED'!$A$3,"Mese",7,"Tipologia",$A100),0)
- IFERROR(GETPIVOTDATA("Somma di AVERE EUR",'Pivot RakBank AED'!$A$3,"Mese",7,"Tipologia",$A100),0)
+IFERROR(GETPIVOTDATA("Somma di DARE",'Pivot RakBank EUR'!$A$3,"Mese",7,"Tipologia",$A100),0)
- IFERROR(GETPIVOTDATA("Somma di AVERE",'Pivot RakBank EUR'!$A$3,"Mese",7,"Tipologia",$A100),0)
+IFERROR(GETPIVOTDATA("Somma di DARE",'Pivot Fineco Sa'!$A$3,"Mese",7,"Tipologia",$A100),0)
+ IFERROR(GETPIVOTDATA("Somma di DARE",'Pivot Fineco St'!$A$3,"Mese",7,"Tipologia",$A100),0)
+ Contanti!Z21
+ IFERROR(GETPIVOTDATA("Somma di DARE",'Pivot BBVA'!$A$3,"Mese",7,"Tipologia",$A100),0)
+ IFERROR(GETPIVOTDATA("Somma di DARE",'Pivot Amex'!$A$3,"Mese",7,"Tipologia",$A100),0)
- IFERROR(GETPIVOTDATA("Somma di AVERE",'Pivot Amex'!$A$3,"Mese",7,"Tipologia",$A100),0)
- IFERROR(GETPIVOTDATA("Somma di AVERE",'Pivot BBVA'!$A$3,"Mese",7,"Tipologia",$A100),0)
- IFERROR(GETPIVOTDATA("Somma di AVERE",'Pivot Fineco St'!$A$3,"Mese",7,"Tipologia",$A100),0)
- IFERROR(GETPIVOTDATA("Somma di AVERE",'Pivot Fineco Sa'!$A$3,"Mese",7,"Tipologia",$A100),0)
+ IFERROR(GETPIVOTDATA("Somma di DARE",'Pivot PP Visa'!$A$3,"Mese",7,"Tipologia",$A100),0)
- IFERROR(GETPIVOTDATA("Somma di AVERE",'Pivot PP Visa'!$A$3,"Mese",7,"Tipologia",$A100),0)
+ IFERROR(GETPIVOTDATA("Somma di DARE",'Pivot Revolut'!$A$3,"Mese",7,"Tipologia",$A100),0)
- IFERROR(GETPIVOTDATA("Somma di AVERE",'Pivot Revolut'!$A$3,"Mese",7,"Tipologia",$A100),0)</f>
        <v>0</v>
      </c>
      <c r="J100" s="243">
        <f>IFERROR(GETPIVOTDATA("Somma di DARE EUR",'Pivot RakBank AED'!$A$3,"Mese",8,"Tipologia",$A100),0)
- IFERROR(GETPIVOTDATA("Somma di AVERE EUR",'Pivot RakBank AED'!$A$3,"Mese",8,"Tipologia",$A100),0)
+IFERROR(GETPIVOTDATA("Somma di DARE",'Pivot RakBank EUR'!$A$3,"Mese",8,"Tipologia",$A100),0)
- IFERROR(GETPIVOTDATA("Somma di AVERE",'Pivot RakBank EUR'!$A$3,"Mese",8,"Tipologia",$A100),0)
+IFERROR(GETPIVOTDATA("Somma di DARE",'Pivot Fineco Sa'!$A$3,"Mese",8,"Tipologia",$A100),0)
+ IFERROR(GETPIVOTDATA("Somma di DARE",'Pivot Fineco St'!$A$3,"Mese",8,"Tipologia",$A100),0)
+ Contanti!AD21
+ IFERROR(GETPIVOTDATA("Somma di DARE",'Pivot BBVA'!$A$3,"Mese",8,"Tipologia",$A100),0)
+ IFERROR(GETPIVOTDATA("Somma di DARE",'Pivot Amex'!$A$3,"Mese",8,"Tipologia",$A100),0)
- IFERROR(GETPIVOTDATA("Somma di AVERE",'Pivot Amex'!$A$3,"Mese",8,"Tipologia",$A100),0)
- IFERROR(GETPIVOTDATA("Somma di AVERE",'Pivot BBVA'!$A$3,"Mese",8,"Tipologia",$A100),0)
- IFERROR(GETPIVOTDATA("Somma di AVERE",'Pivot Fineco St'!$A$3,"Mese",8,"Tipologia",$A100),0)
- IFERROR(GETPIVOTDATA("Somma di AVERE",'Pivot Fineco Sa'!$A$3,"Mese",8,"Tipologia",$A100),0)
+ IFERROR(GETPIVOTDATA("Somma di DARE",'Pivot PP Visa'!$A$3,"Mese",8,"Tipologia",$A100),0)
- IFERROR(GETPIVOTDATA("Somma di AVERE",'Pivot PP Visa'!$A$3,"Mese",8,"Tipologia",$A100),0)
+ IFERROR(GETPIVOTDATA("Somma di DARE",'Pivot Revolut'!$A$3,"Mese",8,"Tipologia",$A100),0)
- IFERROR(GETPIVOTDATA("Somma di AVERE",'Pivot Revolut'!$A$3,"Mese",8,"Tipologia",$A100),0)</f>
        <v>0</v>
      </c>
      <c r="K100" s="243">
        <f>IFERROR(GETPIVOTDATA("Somma di DARE EUR",'Pivot RakBank AED'!$A$3,"Mese",9,"Tipologia",$A100),0)
- IFERROR(GETPIVOTDATA("Somma di AVERE EUR",'Pivot RakBank AED'!$A$3,"Mese",9,"Tipologia",$A100),0)
+IFERROR(GETPIVOTDATA("Somma di DARE",'Pivot RakBank EUR'!$A$3,"Mese",9,"Tipologia",$A100),0)
- IFERROR(GETPIVOTDATA("Somma di AVERE",'Pivot RakBank EUR'!$A$3,"Mese",9,"Tipologia",$A100),0)
+IFERROR(GETPIVOTDATA("Somma di DARE",'Pivot Fineco Sa'!$A$3,"Mese",9,"Tipologia",$A100),0)
+ IFERROR(GETPIVOTDATA("Somma di DARE",'Pivot Fineco St'!$A$3,"Mese",9,"Tipologia",$A100),0)
+ Contanti!AH21
+ IFERROR(GETPIVOTDATA("Somma di DARE",'Pivot BBVA'!$A$3,"Mese",9,"Tipologia",$A100),0)
+ IFERROR(GETPIVOTDATA("Somma di DARE",'Pivot Amex'!$A$3,"Mese",9,"Tipologia",$A100),0)
- IFERROR(GETPIVOTDATA("Somma di AVERE",'Pivot Amex'!$A$3,"Mese",9,"Tipologia",$A100),0)
- IFERROR(GETPIVOTDATA("Somma di AVERE",'Pivot BBVA'!$A$3,"Mese",9,"Tipologia",$A100),0)
- IFERROR(GETPIVOTDATA("Somma di AVERE",'Pivot Fineco St'!$A$3,"Mese",9,"Tipologia",$A100),0)
- IFERROR(GETPIVOTDATA("Somma di AVERE",'Pivot Fineco Sa'!$A$3,"Mese",9,"Tipologia",$A100),0)
+ IFERROR(GETPIVOTDATA("Somma di DARE",'Pivot PP Visa'!$A$3,"Mese",9,"Tipologia",$A100),0)
- IFERROR(GETPIVOTDATA("Somma di AVERE",'Pivot PP Visa'!$A$3,"Mese",9,"Tipologia",$A100),0)
+ IFERROR(GETPIVOTDATA("Somma di DARE",'Pivot Revolut'!$A$3,"Mese",9,"Tipologia",$A100),0)
- IFERROR(GETPIVOTDATA("Somma di AVERE",'Pivot Revolut'!$A$3,"Mese",9,"Tipologia",$A100),0)</f>
        <v>0</v>
      </c>
      <c r="L100" s="243">
        <f>IFERROR(GETPIVOTDATA("Somma di DARE EUR",'Pivot RakBank AED'!$A$3,"Mese",10,"Tipologia",$A100),0)
- IFERROR(GETPIVOTDATA("Somma di AVERE EUR",'Pivot RakBank AED'!$A$3,"Mese",10,"Tipologia",$A100),0)
+IFERROR(GETPIVOTDATA("Somma di DARE",'Pivot RakBank EUR'!$A$3,"Mese",10,"Tipologia",$A100),0)
- IFERROR(GETPIVOTDATA("Somma di AVERE",'Pivot RakBank EUR'!$A$3,"Mese",10,"Tipologia",$A100),0)
+IFERROR(GETPIVOTDATA("Somma di DARE",'Pivot Fineco Sa'!$A$3,"Mese",10,"Tipologia",$A100),0)
+ IFERROR(GETPIVOTDATA("Somma di DARE",'Pivot Fineco St'!$A$3,"Mese",10,"Tipologia",$A100),0)
+ Contanti!AL21
+ IFERROR(GETPIVOTDATA("Somma di DARE",'Pivot BBVA'!$A$3,"Mese",10,"Tipologia",$A100),0)
+ IFERROR(GETPIVOTDATA("Somma di DARE",'Pivot Amex'!$A$3,"Mese",10,"Tipologia",$A100),0)
- IFERROR(GETPIVOTDATA("Somma di AVERE",'Pivot Amex'!$A$3,"Mese",10,"Tipologia",$A100),0)
- IFERROR(GETPIVOTDATA("Somma di AVERE",'Pivot BBVA'!$A$3,"Mese",10,"Tipologia",$A100),0)
- IFERROR(GETPIVOTDATA("Somma di AVERE",'Pivot Fineco St'!$A$3,"Mese",10,"Tipologia",$A100),0)
- IFERROR(GETPIVOTDATA("Somma di AVERE",'Pivot Fineco Sa'!$A$3,"Mese",10,"Tipologia",$A100),0)
+ IFERROR(GETPIVOTDATA("Somma di DARE",'Pivot PP Visa'!$A$3,"Mese",10,"Tipologia",$A100),0)
- IFERROR(GETPIVOTDATA("Somma di AVERE",'Pivot PP Visa'!$A$3,"Mese",10,"Tipologia",$A100),0)
+ IFERROR(GETPIVOTDATA("Somma di DARE",'Pivot Revolut'!$A$3,"Mese",10,"Tipologia",$A100),0)
- IFERROR(GETPIVOTDATA("Somma di AVERE",'Pivot Revolut'!$A$3,"Mese",10,"Tipologia",$A100),0)</f>
        <v>0</v>
      </c>
      <c r="M100" s="243">
        <f>IFERROR(GETPIVOTDATA("Somma di DARE EUR",'Pivot RakBank AED'!$A$3,"Mese",11,"Tipologia",$A100),0)
- IFERROR(GETPIVOTDATA("Somma di AVERE EUR",'Pivot RakBank AED'!$A$3,"Mese",11,"Tipologia",$A100),0)
+IFERROR(GETPIVOTDATA("Somma di DARE",'Pivot RakBank EUR'!$A$3,"Mese",11,"Tipologia",$A100),0)
- IFERROR(GETPIVOTDATA("Somma di AVERE",'Pivot RakBank EUR'!$A$3,"Mese",11,"Tipologia",$A100),0)
+IFERROR(GETPIVOTDATA("Somma di DARE",'Pivot Fineco Sa'!$A$3,"Mese",11,"Tipologia",$A100),0)
+ IFERROR(GETPIVOTDATA("Somma di DARE",'Pivot Fineco St'!$A$3,"Mese",11,"Tipologia",$A100),0)
+ Contanti!AP21
+ IFERROR(GETPIVOTDATA("Somma di DARE",'Pivot BBVA'!$A$3,"Mese",11,"Tipologia",$A100),0)
+ IFERROR(GETPIVOTDATA("Somma di DARE",'Pivot Amex'!$A$3,"Mese",11,"Tipologia",$A100),0)
- IFERROR(GETPIVOTDATA("Somma di AVERE",'Pivot Amex'!$A$3,"Mese",11,"Tipologia",$A100),0)
- IFERROR(GETPIVOTDATA("Somma di AVERE",'Pivot BBVA'!$A$3,"Mese",11,"Tipologia",$A100),0)
- IFERROR(GETPIVOTDATA("Somma di AVERE",'Pivot Fineco St'!$A$3,"Mese",11,"Tipologia",$A100),0)
- IFERROR(GETPIVOTDATA("Somma di AVERE",'Pivot Fineco Sa'!$A$3,"Mese",11,"Tipologia",$A100),0)
+ IFERROR(GETPIVOTDATA("Somma di DARE",'Pivot PP Visa'!$A$3,"Mese",11,"Tipologia",$A100),0)
- IFERROR(GETPIVOTDATA("Somma di AVERE",'Pivot PP Visa'!$A$3,"Mese",11,"Tipologia",$A100),0)
+ IFERROR(GETPIVOTDATA("Somma di DARE",'Pivot Revolut'!$A$3,"Mese",11,"Tipologia",$A100),0)
- IFERROR(GETPIVOTDATA("Somma di AVERE",'Pivot Revolut'!$A$3,"Mese",11,"Tipologia",$A100),0)</f>
        <v>0</v>
      </c>
      <c r="N100" s="243">
        <f>IFERROR(GETPIVOTDATA("Somma di DARE EUR",'Pivot RakBank AED'!$A$3,"Mese",12,"Tipologia",$A100),0)
- IFERROR(GETPIVOTDATA("Somma di AVERE EUR",'Pivot RakBank AED'!$A$3,"Mese",12,"Tipologia",$A100),0)
+IFERROR(GETPIVOTDATA("Somma di DARE",'Pivot RakBank EUR'!$A$3,"Mese",12,"Tipologia",$A100),0)
- IFERROR(GETPIVOTDATA("Somma di AVERE",'Pivot RakBank EUR'!$A$3,"Mese",12,"Tipologia",$A100),0)
+IFERROR(GETPIVOTDATA("Somma di DARE",'Pivot Fineco Sa'!$A$3,"Mese",12,"Tipologia",$A100),0)
+ IFERROR(GETPIVOTDATA("Somma di DARE",'Pivot Fineco St'!$A$3,"Mese",12,"Tipologia",$A100),0)
+ Contanti!AT21
+ IFERROR(GETPIVOTDATA("Somma di DARE",'Pivot BBVA'!$A$3,"Mese",12,"Tipologia",$A100),0)
+ IFERROR(GETPIVOTDATA("Somma di DARE",'Pivot Amex'!$A$3,"Mese",12,"Tipologia",$A100),0)
- IFERROR(GETPIVOTDATA("Somma di AVERE",'Pivot Amex'!$A$3,"Mese",12,"Tipologia",$A100),0)
- IFERROR(GETPIVOTDATA("Somma di AVERE",'Pivot BBVA'!$A$3,"Mese",12,"Tipologia",$A100),0)
- IFERROR(GETPIVOTDATA("Somma di AVERE",'Pivot Fineco St'!$A$3,"Mese",12,"Tipologia",$A100),0)
- IFERROR(GETPIVOTDATA("Somma di AVERE",'Pivot Fineco Sa'!$A$3,"Mese",12,"Tipologia",$A100),0)
+ IFERROR(GETPIVOTDATA("Somma di DARE",'Pivot PP Visa'!$A$3,"Mese",12,"Tipologia",$A100),0)
- IFERROR(GETPIVOTDATA("Somma di AVERE",'Pivot PP Visa'!$A$3,"Mese",12,"Tipologia",$A100),0)
+ IFERROR(GETPIVOTDATA("Somma di DARE",'Pivot Revolut'!$A$3,"Mese",12,"Tipologia",$A100),0)
- IFERROR(GETPIVOTDATA("Somma di AVERE",'Pivot Revolut'!$A$3,"Mese",12,"Tipologia",$A100),0)</f>
        <v>0</v>
      </c>
      <c r="O100" s="252">
        <f t="shared" si="6"/>
        <v>161.05360000000002</v>
      </c>
      <c r="P100" s="243">
        <f t="shared" ca="1" si="7"/>
        <v>23.007657142857145</v>
      </c>
    </row>
    <row r="101" spans="1:16" s="125" customFormat="1" ht="21" customHeight="1" x14ac:dyDescent="0.2">
      <c r="A101" s="258" t="s">
        <v>119</v>
      </c>
      <c r="B101" s="258"/>
      <c r="C101" s="243">
        <f>IFERROR(GETPIVOTDATA("Somma di DARE EUR",'Pivot RakBank AED'!$A$3,"Mese",1,"Tipologia",$A101),0)
- IFERROR(GETPIVOTDATA("Somma di AVERE EUR",'Pivot RakBank AED'!$A$3,"Mese",1,"Tipologia",$A101),0)
+IFERROR(GETPIVOTDATA("Somma di DARE",'Pivot RakBank EUR'!$A$3,"Mese",1,"Tipologia",$A101),0)
- IFERROR(GETPIVOTDATA("Somma di AVERE",'Pivot RakBank EUR'!$A$3,"Mese",1,"Tipologia",$A101),0)
+IFERROR(GETPIVOTDATA("Somma di DARE",'Pivot Fineco Sa'!$A$3,"Mese",1,"Tipologia",$A101),0)
+ IFERROR(GETPIVOTDATA("Somma di DARE",'Pivot Fineco St'!$A$3,"Mese",1,"Tipologia",$A101),0)
+ Contanti!B22
+ IFERROR(GETPIVOTDATA("Somma di DARE",'Pivot BBVA'!$A$3,"Mese",1,"Tipologia",$A101),0)
+ IFERROR(GETPIVOTDATA("Somma di DARE",'Pivot Amex'!$A$3,"Mese",1,"Tipologia",$A101),0)
- IFERROR(GETPIVOTDATA("Somma di AVERE",'Pivot Amex'!$A$3,"Mese",1,"Tipologia",$A101),0)
- IFERROR(GETPIVOTDATA("Somma di AVERE",'Pivot BBVA'!$A$3,"Mese",1,"Tipologia",$A101),0)
- IFERROR(GETPIVOTDATA("Somma di AVERE",'Pivot Fineco St'!$A$3,"Mese",1,"Tipologia",$A101),0)
- IFERROR(GETPIVOTDATA("Somma di AVERE",'Pivot Fineco Sa'!$A$3,"Mese",1,"Tipologia",$A101),0)
+ IFERROR(GETPIVOTDATA("Somma di DARE",'Pivot PP Visa'!$A$3,"Mese",1,"Tipologia",$A101),0)
- IFERROR(GETPIVOTDATA("Somma di AVERE",'Pivot PP Visa'!$A$3,"Mese",1,"Tipologia",$A101),0)
+ IFERROR(GETPIVOTDATA("Somma di DARE",'Pivot Revolut'!$A$3,"Mese",1,"Tipologia",$A101),0)
- IFERROR(GETPIVOTDATA("Somma di AVERE",'Pivot Revolut'!$A$3,"Mese",1,"Tipologia",$A101),0)</f>
        <v>32.85</v>
      </c>
      <c r="D101" s="243">
        <f>IFERROR(GETPIVOTDATA("Somma di DARE EUR",'Pivot RakBank AED'!$A$3,"Mese",2,"Tipologia",$A101),0)
- IFERROR(GETPIVOTDATA("Somma di AVERE EUR",'Pivot RakBank AED'!$A$3,"Mese",2,"Tipologia",$A101),0)
+IFERROR(GETPIVOTDATA("Somma di DARE",'Pivot RakBank EUR'!$A$3,"Mese",2,"Tipologia",$A101),0)
- IFERROR(GETPIVOTDATA("Somma di AVERE",'Pivot RakBank EUR'!$A$3,"Mese",2,"Tipologia",$A101),0)
+IFERROR(GETPIVOTDATA("Somma di DARE",'Pivot Fineco Sa'!$A$3,"Mese",2,"Tipologia",$A101),0)
+ IFERROR(GETPIVOTDATA("Somma di DARE",'Pivot Fineco St'!$A$3,"Mese",2,"Tipologia",$A101),0)
+ Contanti!F22
+ IFERROR(GETPIVOTDATA("Somma di DARE",'Pivot BBVA'!$A$3,"Mese",2,"Tipologia",$A101),0)
+ IFERROR(GETPIVOTDATA("Somma di DARE",'Pivot Amex'!$A$3,"Mese",2,"Tipologia",$A101),0)
- IFERROR(GETPIVOTDATA("Somma di AVERE",'Pivot Amex'!$A$3,"Mese",2,"Tipologia",$A101),0)
- IFERROR(GETPIVOTDATA("Somma di AVERE",'Pivot BBVA'!$A$3,"Mese",2,"Tipologia",$A101),0)
- IFERROR(GETPIVOTDATA("Somma di AVERE",'Pivot Fineco St'!$A$3,"Mese",2,"Tipologia",$A101),0)
- IFERROR(GETPIVOTDATA("Somma di AVERE",'Pivot Fineco Sa'!$A$3,"Mese",2,"Tipologia",$A101),0)
+ IFERROR(GETPIVOTDATA("Somma di DARE",'Pivot PP Visa'!$A$3,"Mese",2,"Tipologia",$A101),0)
- IFERROR(GETPIVOTDATA("Somma di AVERE",'Pivot PP Visa'!$A$3,"Mese",2,"Tipologia",$A101),0)
+ IFERROR(GETPIVOTDATA("Somma di DARE",'Pivot Revolut'!$A$3,"Mese",2,"Tipologia",$A101),0)
- IFERROR(GETPIVOTDATA("Somma di AVERE",'Pivot Revolut'!$A$3,"Mese",2,"Tipologia",$A101),0)</f>
        <v>25.86</v>
      </c>
      <c r="E101" s="243">
        <f>IFERROR(GETPIVOTDATA("Somma di DARE EUR",'Pivot RakBank AED'!$A$3,"Mese",3,"Tipologia",$A101),0)
- IFERROR(GETPIVOTDATA("Somma di AVERE EUR",'Pivot RakBank AED'!$A$3,"Mese",3,"Tipologia",$A101),0)
+IFERROR(GETPIVOTDATA("Somma di DARE",'Pivot RakBank EUR'!$A$3,"Mese",3,"Tipologia",$A101),0)
- IFERROR(GETPIVOTDATA("Somma di AVERE",'Pivot RakBank EUR'!$A$3,"Mese",3,"Tipologia",$A101),0)
+IFERROR(GETPIVOTDATA("Somma di DARE",'Pivot Fineco Sa'!$A$3,"Mese",3,"Tipologia",$A101),0)
+ IFERROR(GETPIVOTDATA("Somma di DARE",'Pivot Fineco St'!$A$3,"Mese",3,"Tipologia",$A101),0)
+ Contanti!J22
+ IFERROR(GETPIVOTDATA("Somma di DARE",'Pivot BBVA'!$A$3,"Mese",3,"Tipologia",$A101),0)
+ IFERROR(GETPIVOTDATA("Somma di DARE",'Pivot Amex'!$A$3,"Mese",3,"Tipologia",$A101),0)
- IFERROR(GETPIVOTDATA("Somma di AVERE",'Pivot Amex'!$A$3,"Mese",3,"Tipologia",$A101),0)
- IFERROR(GETPIVOTDATA("Somma di AVERE",'Pivot BBVA'!$A$3,"Mese",3,"Tipologia",$A101),0)
- IFERROR(GETPIVOTDATA("Somma di AVERE",'Pivot Fineco St'!$A$3,"Mese",3,"Tipologia",$A101),0)
- IFERROR(GETPIVOTDATA("Somma di AVERE",'Pivot Fineco Sa'!$A$3,"Mese",3,"Tipologia",$A101),0)
+ IFERROR(GETPIVOTDATA("Somma di DARE",'Pivot PP Visa'!$A$3,"Mese",3,"Tipologia",$A101),0)
- IFERROR(GETPIVOTDATA("Somma di AVERE",'Pivot PP Visa'!$A$3,"Mese",3,"Tipologia",$A101),0)
+ IFERROR(GETPIVOTDATA("Somma di DARE",'Pivot Revolut'!$A$3,"Mese",3,"Tipologia",$A101),0)
- IFERROR(GETPIVOTDATA("Somma di AVERE",'Pivot Revolut'!$A$3,"Mese",3,"Tipologia",$A101),0)</f>
        <v>15.870000000000001</v>
      </c>
      <c r="F101" s="243">
        <f>IFERROR(GETPIVOTDATA("Somma di DARE EUR",'Pivot RakBank AED'!$A$3,"Mese",4,"Tipologia",$A101),0)
- IFERROR(GETPIVOTDATA("Somma di AVERE EUR",'Pivot RakBank AED'!$A$3,"Mese",4,"Tipologia",$A101),0)
+IFERROR(GETPIVOTDATA("Somma di DARE",'Pivot RakBank EUR'!$A$3,"Mese",4,"Tipologia",$A101),0)
- IFERROR(GETPIVOTDATA("Somma di AVERE",'Pivot RakBank EUR'!$A$3,"Mese",4,"Tipologia",$A101),0)
+IFERROR(GETPIVOTDATA("Somma di DARE",'Pivot Fineco Sa'!$A$3,"Mese",4,"Tipologia",$A101),0)
+ IFERROR(GETPIVOTDATA("Somma di DARE",'Pivot Fineco St'!$A$3,"Mese",4,"Tipologia",$A101),0)
+ Contanti!N22
+ IFERROR(GETPIVOTDATA("Somma di DARE",'Pivot BBVA'!$A$3,"Mese",4,"Tipologia",$A101),0)
+ IFERROR(GETPIVOTDATA("Somma di DARE",'Pivot Amex'!$A$3,"Mese",4,"Tipologia",$A101),0)
- IFERROR(GETPIVOTDATA("Somma di AVERE",'Pivot Amex'!$A$3,"Mese",4,"Tipologia",$A101),0)
- IFERROR(GETPIVOTDATA("Somma di AVERE",'Pivot BBVA'!$A$3,"Mese",4,"Tipologia",$A101),0)
- IFERROR(GETPIVOTDATA("Somma di AVERE",'Pivot Fineco St'!$A$3,"Mese",4,"Tipologia",$A101),0)
- IFERROR(GETPIVOTDATA("Somma di AVERE",'Pivot Fineco Sa'!$A$3,"Mese",4,"Tipologia",$A101),0)
+ IFERROR(GETPIVOTDATA("Somma di DARE",'Pivot PP Visa'!$A$3,"Mese",4,"Tipologia",$A101),0)
- IFERROR(GETPIVOTDATA("Somma di AVERE",'Pivot PP Visa'!$A$3,"Mese",4,"Tipologia",$A101),0)
+ IFERROR(GETPIVOTDATA("Somma di DARE",'Pivot Revolut'!$A$3,"Mese",4,"Tipologia",$A101),0)
- IFERROR(GETPIVOTDATA("Somma di AVERE",'Pivot Revolut'!$A$3,"Mese",4,"Tipologia",$A101),0)</f>
        <v>16.87</v>
      </c>
      <c r="G101" s="243">
        <f>IFERROR(GETPIVOTDATA("Somma di DARE EUR",'Pivot RakBank AED'!$A$3,"Mese",5,"Tipologia",$A101),0)
- IFERROR(GETPIVOTDATA("Somma di AVERE EUR",'Pivot RakBank AED'!$A$3,"Mese",5,"Tipologia",$A101),0)
+IFERROR(GETPIVOTDATA("Somma di DARE",'Pivot RakBank EUR'!$A$3,"Mese",5,"Tipologia",$A101),0)
- IFERROR(GETPIVOTDATA("Somma di AVERE",'Pivot RakBank EUR'!$A$3,"Mese",5,"Tipologia",$A101),0)
+IFERROR(GETPIVOTDATA("Somma di DARE",'Pivot Fineco Sa'!$A$3,"Mese",5,"Tipologia",$A101),0)
+ IFERROR(GETPIVOTDATA("Somma di DARE",'Pivot Fineco St'!$A$3,"Mese",5,"Tipologia",$A101),0)
+ Contanti!R22
+ IFERROR(GETPIVOTDATA("Somma di DARE",'Pivot BBVA'!$A$3,"Mese",5,"Tipologia",$A101),0)
+ IFERROR(GETPIVOTDATA("Somma di DARE",'Pivot Amex'!$A$3,"Mese",5,"Tipologia",$A101),0)
- IFERROR(GETPIVOTDATA("Somma di AVERE",'Pivot Amex'!$A$3,"Mese",5,"Tipologia",$A101),0)
- IFERROR(GETPIVOTDATA("Somma di AVERE",'Pivot BBVA'!$A$3,"Mese",5,"Tipologia",$A101),0)
- IFERROR(GETPIVOTDATA("Somma di AVERE",'Pivot Fineco St'!$A$3,"Mese",5,"Tipologia",$A101),0)
- IFERROR(GETPIVOTDATA("Somma di AVERE",'Pivot Fineco Sa'!$A$3,"Mese",5,"Tipologia",$A101),0)
+ IFERROR(GETPIVOTDATA("Somma di DARE",'Pivot PP Visa'!$A$3,"Mese",5,"Tipologia",$A101),0)
- IFERROR(GETPIVOTDATA("Somma di AVERE",'Pivot PP Visa'!$A$3,"Mese",5,"Tipologia",$A101),0)
+ IFERROR(GETPIVOTDATA("Somma di DARE",'Pivot Revolut'!$A$3,"Mese",5,"Tipologia",$A101),0)
- IFERROR(GETPIVOTDATA("Somma di AVERE",'Pivot Revolut'!$A$3,"Mese",5,"Tipologia",$A101),0)</f>
        <v>26.86</v>
      </c>
      <c r="H101" s="243">
        <f>IFERROR(GETPIVOTDATA("Somma di DARE EUR",'Pivot RakBank AED'!$A$3,"Mese",6,"Tipologia",$A101),0)
- IFERROR(GETPIVOTDATA("Somma di AVERE EUR",'Pivot RakBank AED'!$A$3,"Mese",6,"Tipologia",$A101),0)
+IFERROR(GETPIVOTDATA("Somma di DARE",'Pivot RakBank EUR'!$A$3,"Mese",6,"Tipologia",$A101),0)
- IFERROR(GETPIVOTDATA("Somma di AVERE",'Pivot RakBank EUR'!$A$3,"Mese",6,"Tipologia",$A101),0)
+IFERROR(GETPIVOTDATA("Somma di DARE",'Pivot Fineco Sa'!$A$3,"Mese",6,"Tipologia",$A101),0)
+ IFERROR(GETPIVOTDATA("Somma di DARE",'Pivot Fineco St'!$A$3,"Mese",6,"Tipologia",$A101),0)
+ Contanti!V22
+ IFERROR(GETPIVOTDATA("Somma di DARE",'Pivot BBVA'!$A$3,"Mese",6,"Tipologia",$A101),0)
+ IFERROR(GETPIVOTDATA("Somma di DARE",'Pivot Amex'!$A$3,"Mese",6,"Tipologia",$A101),0)
- IFERROR(GETPIVOTDATA("Somma di AVERE",'Pivot Amex'!$A$3,"Mese",6,"Tipologia",$A101),0)
- IFERROR(GETPIVOTDATA("Somma di AVERE",'Pivot BBVA'!$A$3,"Mese",6,"Tipologia",$A101),0)
- IFERROR(GETPIVOTDATA("Somma di AVERE",'Pivot Fineco St'!$A$3,"Mese",6,"Tipologia",$A101),0)
- IFERROR(GETPIVOTDATA("Somma di AVERE",'Pivot Fineco Sa'!$A$3,"Mese",6,"Tipologia",$A101),0)
+ IFERROR(GETPIVOTDATA("Somma di DARE",'Pivot PP Visa'!$A$3,"Mese",6,"Tipologia",$A101),0)
- IFERROR(GETPIVOTDATA("Somma di AVERE",'Pivot PP Visa'!$A$3,"Mese",6,"Tipologia",$A101),0)
+ IFERROR(GETPIVOTDATA("Somma di DARE",'Pivot Revolut'!$A$3,"Mese",6,"Tipologia",$A101),0)
- IFERROR(GETPIVOTDATA("Somma di AVERE",'Pivot Revolut'!$A$3,"Mese",6,"Tipologia",$A101),0)</f>
        <v>16.87</v>
      </c>
      <c r="I101" s="243">
        <f>IFERROR(GETPIVOTDATA("Somma di DARE EUR",'Pivot RakBank AED'!$A$3,"Mese",7,"Tipologia",$A101),0)
- IFERROR(GETPIVOTDATA("Somma di AVERE EUR",'Pivot RakBank AED'!$A$3,"Mese",7,"Tipologia",$A101),0)
+IFERROR(GETPIVOTDATA("Somma di DARE",'Pivot RakBank EUR'!$A$3,"Mese",7,"Tipologia",$A101),0)
- IFERROR(GETPIVOTDATA("Somma di AVERE",'Pivot RakBank EUR'!$A$3,"Mese",7,"Tipologia",$A101),0)
+IFERROR(GETPIVOTDATA("Somma di DARE",'Pivot Fineco Sa'!$A$3,"Mese",7,"Tipologia",$A101),0)
+ IFERROR(GETPIVOTDATA("Somma di DARE",'Pivot Fineco St'!$A$3,"Mese",7,"Tipologia",$A101),0)
+ Contanti!Z22
+ IFERROR(GETPIVOTDATA("Somma di DARE",'Pivot BBVA'!$A$3,"Mese",7,"Tipologia",$A101),0)
+ IFERROR(GETPIVOTDATA("Somma di DARE",'Pivot Amex'!$A$3,"Mese",7,"Tipologia",$A101),0)
- IFERROR(GETPIVOTDATA("Somma di AVERE",'Pivot Amex'!$A$3,"Mese",7,"Tipologia",$A101),0)
- IFERROR(GETPIVOTDATA("Somma di AVERE",'Pivot BBVA'!$A$3,"Mese",7,"Tipologia",$A101),0)
- IFERROR(GETPIVOTDATA("Somma di AVERE",'Pivot Fineco St'!$A$3,"Mese",7,"Tipologia",$A101),0)
- IFERROR(GETPIVOTDATA("Somma di AVERE",'Pivot Fineco Sa'!$A$3,"Mese",7,"Tipologia",$A101),0)
+ IFERROR(GETPIVOTDATA("Somma di DARE",'Pivot PP Visa'!$A$3,"Mese",7,"Tipologia",$A101),0)
- IFERROR(GETPIVOTDATA("Somma di AVERE",'Pivot PP Visa'!$A$3,"Mese",7,"Tipologia",$A101),0)
+ IFERROR(GETPIVOTDATA("Somma di DARE",'Pivot Revolut'!$A$3,"Mese",7,"Tipologia",$A101),0)
- IFERROR(GETPIVOTDATA("Somma di AVERE",'Pivot Revolut'!$A$3,"Mese",7,"Tipologia",$A101),0)</f>
        <v>0</v>
      </c>
      <c r="J101" s="243">
        <f>IFERROR(GETPIVOTDATA("Somma di DARE EUR",'Pivot RakBank AED'!$A$3,"Mese",8,"Tipologia",$A101),0)
- IFERROR(GETPIVOTDATA("Somma di AVERE EUR",'Pivot RakBank AED'!$A$3,"Mese",8,"Tipologia",$A101),0)
+IFERROR(GETPIVOTDATA("Somma di DARE",'Pivot RakBank EUR'!$A$3,"Mese",8,"Tipologia",$A101),0)
- IFERROR(GETPIVOTDATA("Somma di AVERE",'Pivot RakBank EUR'!$A$3,"Mese",8,"Tipologia",$A101),0)
+IFERROR(GETPIVOTDATA("Somma di DARE",'Pivot Fineco Sa'!$A$3,"Mese",8,"Tipologia",$A101),0)
+ IFERROR(GETPIVOTDATA("Somma di DARE",'Pivot Fineco St'!$A$3,"Mese",8,"Tipologia",$A101),0)
+ Contanti!AD22
+ IFERROR(GETPIVOTDATA("Somma di DARE",'Pivot BBVA'!$A$3,"Mese",8,"Tipologia",$A101),0)
+ IFERROR(GETPIVOTDATA("Somma di DARE",'Pivot Amex'!$A$3,"Mese",8,"Tipologia",$A101),0)
- IFERROR(GETPIVOTDATA("Somma di AVERE",'Pivot Amex'!$A$3,"Mese",8,"Tipologia",$A101),0)
- IFERROR(GETPIVOTDATA("Somma di AVERE",'Pivot BBVA'!$A$3,"Mese",8,"Tipologia",$A101),0)
- IFERROR(GETPIVOTDATA("Somma di AVERE",'Pivot Fineco St'!$A$3,"Mese",8,"Tipologia",$A101),0)
- IFERROR(GETPIVOTDATA("Somma di AVERE",'Pivot Fineco Sa'!$A$3,"Mese",8,"Tipologia",$A101),0)
+ IFERROR(GETPIVOTDATA("Somma di DARE",'Pivot PP Visa'!$A$3,"Mese",8,"Tipologia",$A101),0)
- IFERROR(GETPIVOTDATA("Somma di AVERE",'Pivot PP Visa'!$A$3,"Mese",8,"Tipologia",$A101),0)
+ IFERROR(GETPIVOTDATA("Somma di DARE",'Pivot Revolut'!$A$3,"Mese",8,"Tipologia",$A101),0)
- IFERROR(GETPIVOTDATA("Somma di AVERE",'Pivot Revolut'!$A$3,"Mese",8,"Tipologia",$A101),0)</f>
        <v>0</v>
      </c>
      <c r="K101" s="243">
        <f>IFERROR(GETPIVOTDATA("Somma di DARE EUR",'Pivot RakBank AED'!$A$3,"Mese",9,"Tipologia",$A101),0)
- IFERROR(GETPIVOTDATA("Somma di AVERE EUR",'Pivot RakBank AED'!$A$3,"Mese",9,"Tipologia",$A101),0)
+IFERROR(GETPIVOTDATA("Somma di DARE",'Pivot RakBank EUR'!$A$3,"Mese",9,"Tipologia",$A101),0)
- IFERROR(GETPIVOTDATA("Somma di AVERE",'Pivot RakBank EUR'!$A$3,"Mese",9,"Tipologia",$A101),0)
+IFERROR(GETPIVOTDATA("Somma di DARE",'Pivot Fineco Sa'!$A$3,"Mese",9,"Tipologia",$A101),0)
+ IFERROR(GETPIVOTDATA("Somma di DARE",'Pivot Fineco St'!$A$3,"Mese",9,"Tipologia",$A101),0)
+ Contanti!AH22
+ IFERROR(GETPIVOTDATA("Somma di DARE",'Pivot BBVA'!$A$3,"Mese",9,"Tipologia",$A101),0)
+ IFERROR(GETPIVOTDATA("Somma di DARE",'Pivot Amex'!$A$3,"Mese",9,"Tipologia",$A101),0)
- IFERROR(GETPIVOTDATA("Somma di AVERE",'Pivot Amex'!$A$3,"Mese",9,"Tipologia",$A101),0)
- IFERROR(GETPIVOTDATA("Somma di AVERE",'Pivot BBVA'!$A$3,"Mese",9,"Tipologia",$A101),0)
- IFERROR(GETPIVOTDATA("Somma di AVERE",'Pivot Fineco St'!$A$3,"Mese",9,"Tipologia",$A101),0)
- IFERROR(GETPIVOTDATA("Somma di AVERE",'Pivot Fineco Sa'!$A$3,"Mese",9,"Tipologia",$A101),0)
+ IFERROR(GETPIVOTDATA("Somma di DARE",'Pivot PP Visa'!$A$3,"Mese",9,"Tipologia",$A101),0)
- IFERROR(GETPIVOTDATA("Somma di AVERE",'Pivot PP Visa'!$A$3,"Mese",9,"Tipologia",$A101),0)
+ IFERROR(GETPIVOTDATA("Somma di DARE",'Pivot Revolut'!$A$3,"Mese",9,"Tipologia",$A101),0)
- IFERROR(GETPIVOTDATA("Somma di AVERE",'Pivot Revolut'!$A$3,"Mese",9,"Tipologia",$A101),0)</f>
        <v>0</v>
      </c>
      <c r="L101" s="243">
        <f>IFERROR(GETPIVOTDATA("Somma di DARE EUR",'Pivot RakBank AED'!$A$3,"Mese",10,"Tipologia",$A101),0)
- IFERROR(GETPIVOTDATA("Somma di AVERE EUR",'Pivot RakBank AED'!$A$3,"Mese",10,"Tipologia",$A101),0)
+IFERROR(GETPIVOTDATA("Somma di DARE",'Pivot RakBank EUR'!$A$3,"Mese",10,"Tipologia",$A101),0)
- IFERROR(GETPIVOTDATA("Somma di AVERE",'Pivot RakBank EUR'!$A$3,"Mese",10,"Tipologia",$A101),0)
+IFERROR(GETPIVOTDATA("Somma di DARE",'Pivot Fineco Sa'!$A$3,"Mese",10,"Tipologia",$A101),0)
+ IFERROR(GETPIVOTDATA("Somma di DARE",'Pivot Fineco St'!$A$3,"Mese",10,"Tipologia",$A101),0)
+ Contanti!AL22
+ IFERROR(GETPIVOTDATA("Somma di DARE",'Pivot BBVA'!$A$3,"Mese",10,"Tipologia",$A101),0)
+ IFERROR(GETPIVOTDATA("Somma di DARE",'Pivot Amex'!$A$3,"Mese",10,"Tipologia",$A101),0)
- IFERROR(GETPIVOTDATA("Somma di AVERE",'Pivot Amex'!$A$3,"Mese",10,"Tipologia",$A101),0)
- IFERROR(GETPIVOTDATA("Somma di AVERE",'Pivot BBVA'!$A$3,"Mese",10,"Tipologia",$A101),0)
- IFERROR(GETPIVOTDATA("Somma di AVERE",'Pivot Fineco St'!$A$3,"Mese",10,"Tipologia",$A101),0)
- IFERROR(GETPIVOTDATA("Somma di AVERE",'Pivot Fineco Sa'!$A$3,"Mese",10,"Tipologia",$A101),0)
+ IFERROR(GETPIVOTDATA("Somma di DARE",'Pivot PP Visa'!$A$3,"Mese",10,"Tipologia",$A101),0)
- IFERROR(GETPIVOTDATA("Somma di AVERE",'Pivot PP Visa'!$A$3,"Mese",10,"Tipologia",$A101),0)
+ IFERROR(GETPIVOTDATA("Somma di DARE",'Pivot Revolut'!$A$3,"Mese",10,"Tipologia",$A101),0)
- IFERROR(GETPIVOTDATA("Somma di AVERE",'Pivot Revolut'!$A$3,"Mese",10,"Tipologia",$A101),0)</f>
        <v>0</v>
      </c>
      <c r="M101" s="243">
        <f>IFERROR(GETPIVOTDATA("Somma di DARE EUR",'Pivot RakBank AED'!$A$3,"Mese",11,"Tipologia",$A101),0)
- IFERROR(GETPIVOTDATA("Somma di AVERE EUR",'Pivot RakBank AED'!$A$3,"Mese",11,"Tipologia",$A101),0)
+IFERROR(GETPIVOTDATA("Somma di DARE",'Pivot RakBank EUR'!$A$3,"Mese",11,"Tipologia",$A101),0)
- IFERROR(GETPIVOTDATA("Somma di AVERE",'Pivot RakBank EUR'!$A$3,"Mese",11,"Tipologia",$A101),0)
+IFERROR(GETPIVOTDATA("Somma di DARE",'Pivot Fineco Sa'!$A$3,"Mese",11,"Tipologia",$A101),0)
+ IFERROR(GETPIVOTDATA("Somma di DARE",'Pivot Fineco St'!$A$3,"Mese",11,"Tipologia",$A101),0)
+ Contanti!AP22
+ IFERROR(GETPIVOTDATA("Somma di DARE",'Pivot BBVA'!$A$3,"Mese",11,"Tipologia",$A101),0)
+ IFERROR(GETPIVOTDATA("Somma di DARE",'Pivot Amex'!$A$3,"Mese",11,"Tipologia",$A101),0)
- IFERROR(GETPIVOTDATA("Somma di AVERE",'Pivot Amex'!$A$3,"Mese",11,"Tipologia",$A101),0)
- IFERROR(GETPIVOTDATA("Somma di AVERE",'Pivot BBVA'!$A$3,"Mese",11,"Tipologia",$A101),0)
- IFERROR(GETPIVOTDATA("Somma di AVERE",'Pivot Fineco St'!$A$3,"Mese",11,"Tipologia",$A101),0)
- IFERROR(GETPIVOTDATA("Somma di AVERE",'Pivot Fineco Sa'!$A$3,"Mese",11,"Tipologia",$A101),0)
+ IFERROR(GETPIVOTDATA("Somma di DARE",'Pivot PP Visa'!$A$3,"Mese",11,"Tipologia",$A101),0)
- IFERROR(GETPIVOTDATA("Somma di AVERE",'Pivot PP Visa'!$A$3,"Mese",11,"Tipologia",$A101),0)
+ IFERROR(GETPIVOTDATA("Somma di DARE",'Pivot Revolut'!$A$3,"Mese",11,"Tipologia",$A101),0)
- IFERROR(GETPIVOTDATA("Somma di AVERE",'Pivot Revolut'!$A$3,"Mese",11,"Tipologia",$A101),0)</f>
        <v>0</v>
      </c>
      <c r="N101" s="243">
        <f>IFERROR(GETPIVOTDATA("Somma di DARE EUR",'Pivot RakBank AED'!$A$3,"Mese",12,"Tipologia",$A101),0)
- IFERROR(GETPIVOTDATA("Somma di AVERE EUR",'Pivot RakBank AED'!$A$3,"Mese",12,"Tipologia",$A101),0)
+IFERROR(GETPIVOTDATA("Somma di DARE",'Pivot RakBank EUR'!$A$3,"Mese",12,"Tipologia",$A101),0)
- IFERROR(GETPIVOTDATA("Somma di AVERE",'Pivot RakBank EUR'!$A$3,"Mese",12,"Tipologia",$A101),0)
+IFERROR(GETPIVOTDATA("Somma di DARE",'Pivot Fineco Sa'!$A$3,"Mese",12,"Tipologia",$A101),0)
+ IFERROR(GETPIVOTDATA("Somma di DARE",'Pivot Fineco St'!$A$3,"Mese",12,"Tipologia",$A101),0)
+ Contanti!AT22
+ IFERROR(GETPIVOTDATA("Somma di DARE",'Pivot BBVA'!$A$3,"Mese",12,"Tipologia",$A101),0)
+ IFERROR(GETPIVOTDATA("Somma di DARE",'Pivot Amex'!$A$3,"Mese",12,"Tipologia",$A101),0)
- IFERROR(GETPIVOTDATA("Somma di AVERE",'Pivot Amex'!$A$3,"Mese",12,"Tipologia",$A101),0)
- IFERROR(GETPIVOTDATA("Somma di AVERE",'Pivot BBVA'!$A$3,"Mese",12,"Tipologia",$A101),0)
- IFERROR(GETPIVOTDATA("Somma di AVERE",'Pivot Fineco St'!$A$3,"Mese",12,"Tipologia",$A101),0)
- IFERROR(GETPIVOTDATA("Somma di AVERE",'Pivot Fineco Sa'!$A$3,"Mese",12,"Tipologia",$A101),0)
+ IFERROR(GETPIVOTDATA("Somma di DARE",'Pivot PP Visa'!$A$3,"Mese",12,"Tipologia",$A101),0)
- IFERROR(GETPIVOTDATA("Somma di AVERE",'Pivot PP Visa'!$A$3,"Mese",12,"Tipologia",$A101),0)
+ IFERROR(GETPIVOTDATA("Somma di DARE",'Pivot Revolut'!$A$3,"Mese",12,"Tipologia",$A101),0)
- IFERROR(GETPIVOTDATA("Somma di AVERE",'Pivot Revolut'!$A$3,"Mese",12,"Tipologia",$A101),0)</f>
        <v>0</v>
      </c>
      <c r="O101" s="252">
        <f t="shared" si="6"/>
        <v>135.18</v>
      </c>
      <c r="P101" s="243">
        <f t="shared" ca="1" si="7"/>
        <v>19.311428571428571</v>
      </c>
    </row>
    <row r="102" spans="1:16" s="125" customFormat="1" ht="21" customHeight="1" x14ac:dyDescent="0.2">
      <c r="A102" s="258" t="s">
        <v>120</v>
      </c>
      <c r="B102" s="258"/>
      <c r="C102" s="243">
        <f>IFERROR(GETPIVOTDATA("Somma di DARE EUR",'Pivot RakBank AED'!$A$3,"Mese",1,"Tipologia",$A102),0)
- IFERROR(GETPIVOTDATA("Somma di AVERE EUR",'Pivot RakBank AED'!$A$3,"Mese",1,"Tipologia",$A102),0)
+IFERROR(GETPIVOTDATA("Somma di DARE",'Pivot RakBank EUR'!$A$3,"Mese",1,"Tipologia",$A102),0)
- IFERROR(GETPIVOTDATA("Somma di AVERE",'Pivot RakBank EUR'!$A$3,"Mese",1,"Tipologia",$A102),0)
+IFERROR(GETPIVOTDATA("Somma di DARE",'Pivot Fineco Sa'!$A$3,"Mese",1,"Tipologia",$A102),0)
+ IFERROR(GETPIVOTDATA("Somma di DARE",'Pivot Fineco St'!$A$3,"Mese",1,"Tipologia",$A102),0)
+ Contanti!B23
+ IFERROR(GETPIVOTDATA("Somma di DARE",'Pivot BBVA'!$A$3,"Mese",1,"Tipologia",$A102),0)
+ IFERROR(GETPIVOTDATA("Somma di DARE",'Pivot Amex'!$A$3,"Mese",1,"Tipologia",$A102),0)
- IFERROR(GETPIVOTDATA("Somma di AVERE",'Pivot Amex'!$A$3,"Mese",1,"Tipologia",$A102),0)
- IFERROR(GETPIVOTDATA("Somma di AVERE",'Pivot BBVA'!$A$3,"Mese",1,"Tipologia",$A102),0)
- IFERROR(GETPIVOTDATA("Somma di AVERE",'Pivot Fineco St'!$A$3,"Mese",1,"Tipologia",$A102),0)
- IFERROR(GETPIVOTDATA("Somma di AVERE",'Pivot Fineco Sa'!$A$3,"Mese",1,"Tipologia",$A102),0)
+ IFERROR(GETPIVOTDATA("Somma di DARE",'Pivot PP Visa'!$A$3,"Mese",1,"Tipologia",$A102),0)
- IFERROR(GETPIVOTDATA("Somma di AVERE",'Pivot PP Visa'!$A$3,"Mese",1,"Tipologia",$A102),0)
+ IFERROR(GETPIVOTDATA("Somma di DARE",'Pivot Revolut'!$A$3,"Mese",1,"Tipologia",$A102),0)
- IFERROR(GETPIVOTDATA("Somma di AVERE",'Pivot Revolut'!$A$3,"Mese",1,"Tipologia",$A102),0)</f>
        <v>0</v>
      </c>
      <c r="D102" s="243">
        <f>IFERROR(GETPIVOTDATA("Somma di DARE EUR",'Pivot RakBank AED'!$A$3,"Mese",2,"Tipologia",$A102),0)
- IFERROR(GETPIVOTDATA("Somma di AVERE EUR",'Pivot RakBank AED'!$A$3,"Mese",2,"Tipologia",$A102),0)
+IFERROR(GETPIVOTDATA("Somma di DARE",'Pivot RakBank EUR'!$A$3,"Mese",2,"Tipologia",$A102),0)
- IFERROR(GETPIVOTDATA("Somma di AVERE",'Pivot RakBank EUR'!$A$3,"Mese",2,"Tipologia",$A102),0)
+IFERROR(GETPIVOTDATA("Somma di DARE",'Pivot Fineco Sa'!$A$3,"Mese",2,"Tipologia",$A102),0)
+ IFERROR(GETPIVOTDATA("Somma di DARE",'Pivot Fineco St'!$A$3,"Mese",2,"Tipologia",$A102),0)
+ Contanti!F23
+ IFERROR(GETPIVOTDATA("Somma di DARE",'Pivot BBVA'!$A$3,"Mese",2,"Tipologia",$A102),0)
+ IFERROR(GETPIVOTDATA("Somma di DARE",'Pivot Amex'!$A$3,"Mese",2,"Tipologia",$A102),0)
- IFERROR(GETPIVOTDATA("Somma di AVERE",'Pivot Amex'!$A$3,"Mese",2,"Tipologia",$A102),0)
- IFERROR(GETPIVOTDATA("Somma di AVERE",'Pivot BBVA'!$A$3,"Mese",2,"Tipologia",$A102),0)
- IFERROR(GETPIVOTDATA("Somma di AVERE",'Pivot Fineco St'!$A$3,"Mese",2,"Tipologia",$A102),0)
- IFERROR(GETPIVOTDATA("Somma di AVERE",'Pivot Fineco Sa'!$A$3,"Mese",2,"Tipologia",$A102),0)
+ IFERROR(GETPIVOTDATA("Somma di DARE",'Pivot PP Visa'!$A$3,"Mese",2,"Tipologia",$A102),0)
- IFERROR(GETPIVOTDATA("Somma di AVERE",'Pivot PP Visa'!$A$3,"Mese",2,"Tipologia",$A102),0)
+ IFERROR(GETPIVOTDATA("Somma di DARE",'Pivot Revolut'!$A$3,"Mese",2,"Tipologia",$A102),0)
- IFERROR(GETPIVOTDATA("Somma di AVERE",'Pivot Revolut'!$A$3,"Mese",2,"Tipologia",$A102),0)</f>
        <v>0</v>
      </c>
      <c r="E102" s="243">
        <f>IFERROR(GETPIVOTDATA("Somma di DARE EUR",'Pivot RakBank AED'!$A$3,"Mese",3,"Tipologia",$A102),0)
- IFERROR(GETPIVOTDATA("Somma di AVERE EUR",'Pivot RakBank AED'!$A$3,"Mese",3,"Tipologia",$A102),0)
+IFERROR(GETPIVOTDATA("Somma di DARE",'Pivot RakBank EUR'!$A$3,"Mese",3,"Tipologia",$A102),0)
- IFERROR(GETPIVOTDATA("Somma di AVERE",'Pivot RakBank EUR'!$A$3,"Mese",3,"Tipologia",$A102),0)
+IFERROR(GETPIVOTDATA("Somma di DARE",'Pivot Fineco Sa'!$A$3,"Mese",3,"Tipologia",$A102),0)
+ IFERROR(GETPIVOTDATA("Somma di DARE",'Pivot Fineco St'!$A$3,"Mese",3,"Tipologia",$A102),0)
+ Contanti!J23
+ IFERROR(GETPIVOTDATA("Somma di DARE",'Pivot BBVA'!$A$3,"Mese",3,"Tipologia",$A102),0)
+ IFERROR(GETPIVOTDATA("Somma di DARE",'Pivot Amex'!$A$3,"Mese",3,"Tipologia",$A102),0)
- IFERROR(GETPIVOTDATA("Somma di AVERE",'Pivot Amex'!$A$3,"Mese",3,"Tipologia",$A102),0)
- IFERROR(GETPIVOTDATA("Somma di AVERE",'Pivot BBVA'!$A$3,"Mese",3,"Tipologia",$A102),0)
- IFERROR(GETPIVOTDATA("Somma di AVERE",'Pivot Fineco St'!$A$3,"Mese",3,"Tipologia",$A102),0)
- IFERROR(GETPIVOTDATA("Somma di AVERE",'Pivot Fineco Sa'!$A$3,"Mese",3,"Tipologia",$A102),0)
+ IFERROR(GETPIVOTDATA("Somma di DARE",'Pivot PP Visa'!$A$3,"Mese",3,"Tipologia",$A102),0)
- IFERROR(GETPIVOTDATA("Somma di AVERE",'Pivot PP Visa'!$A$3,"Mese",3,"Tipologia",$A102),0)
+ IFERROR(GETPIVOTDATA("Somma di DARE",'Pivot Revolut'!$A$3,"Mese",3,"Tipologia",$A102),0)
- IFERROR(GETPIVOTDATA("Somma di AVERE",'Pivot Revolut'!$A$3,"Mese",3,"Tipologia",$A102),0)</f>
        <v>0</v>
      </c>
      <c r="F102" s="243">
        <f>IFERROR(GETPIVOTDATA("Somma di DARE EUR",'Pivot RakBank AED'!$A$3,"Mese",4,"Tipologia",$A102),0)
- IFERROR(GETPIVOTDATA("Somma di AVERE EUR",'Pivot RakBank AED'!$A$3,"Mese",4,"Tipologia",$A102),0)
+IFERROR(GETPIVOTDATA("Somma di DARE",'Pivot RakBank EUR'!$A$3,"Mese",4,"Tipologia",$A102),0)
- IFERROR(GETPIVOTDATA("Somma di AVERE",'Pivot RakBank EUR'!$A$3,"Mese",4,"Tipologia",$A102),0)
+IFERROR(GETPIVOTDATA("Somma di DARE",'Pivot Fineco Sa'!$A$3,"Mese",4,"Tipologia",$A102),0)
+ IFERROR(GETPIVOTDATA("Somma di DARE",'Pivot Fineco St'!$A$3,"Mese",4,"Tipologia",$A102),0)
+ Contanti!N23
+ IFERROR(GETPIVOTDATA("Somma di DARE",'Pivot BBVA'!$A$3,"Mese",4,"Tipologia",$A102),0)
+ IFERROR(GETPIVOTDATA("Somma di DARE",'Pivot Amex'!$A$3,"Mese",4,"Tipologia",$A102),0)
- IFERROR(GETPIVOTDATA("Somma di AVERE",'Pivot Amex'!$A$3,"Mese",4,"Tipologia",$A102),0)
- IFERROR(GETPIVOTDATA("Somma di AVERE",'Pivot BBVA'!$A$3,"Mese",4,"Tipologia",$A102),0)
- IFERROR(GETPIVOTDATA("Somma di AVERE",'Pivot Fineco St'!$A$3,"Mese",4,"Tipologia",$A102),0)
- IFERROR(GETPIVOTDATA("Somma di AVERE",'Pivot Fineco Sa'!$A$3,"Mese",4,"Tipologia",$A102),0)
+ IFERROR(GETPIVOTDATA("Somma di DARE",'Pivot PP Visa'!$A$3,"Mese",4,"Tipologia",$A102),0)
- IFERROR(GETPIVOTDATA("Somma di AVERE",'Pivot PP Visa'!$A$3,"Mese",4,"Tipologia",$A102),0)
+ IFERROR(GETPIVOTDATA("Somma di DARE",'Pivot Revolut'!$A$3,"Mese",4,"Tipologia",$A102),0)
- IFERROR(GETPIVOTDATA("Somma di AVERE",'Pivot Revolut'!$A$3,"Mese",4,"Tipologia",$A102),0)</f>
        <v>0</v>
      </c>
      <c r="G102" s="243">
        <f>IFERROR(GETPIVOTDATA("Somma di DARE EUR",'Pivot RakBank AED'!$A$3,"Mese",5,"Tipologia",$A102),0)
- IFERROR(GETPIVOTDATA("Somma di AVERE EUR",'Pivot RakBank AED'!$A$3,"Mese",5,"Tipologia",$A102),0)
+IFERROR(GETPIVOTDATA("Somma di DARE",'Pivot RakBank EUR'!$A$3,"Mese",5,"Tipologia",$A102),0)
- IFERROR(GETPIVOTDATA("Somma di AVERE",'Pivot RakBank EUR'!$A$3,"Mese",5,"Tipologia",$A102),0)
+IFERROR(GETPIVOTDATA("Somma di DARE",'Pivot Fineco Sa'!$A$3,"Mese",5,"Tipologia",$A102),0)
+ IFERROR(GETPIVOTDATA("Somma di DARE",'Pivot Fineco St'!$A$3,"Mese",5,"Tipologia",$A102),0)
+ Contanti!R23
+ IFERROR(GETPIVOTDATA("Somma di DARE",'Pivot BBVA'!$A$3,"Mese",5,"Tipologia",$A102),0)
+ IFERROR(GETPIVOTDATA("Somma di DARE",'Pivot Amex'!$A$3,"Mese",5,"Tipologia",$A102),0)
- IFERROR(GETPIVOTDATA("Somma di AVERE",'Pivot Amex'!$A$3,"Mese",5,"Tipologia",$A102),0)
- IFERROR(GETPIVOTDATA("Somma di AVERE",'Pivot BBVA'!$A$3,"Mese",5,"Tipologia",$A102),0)
- IFERROR(GETPIVOTDATA("Somma di AVERE",'Pivot Fineco St'!$A$3,"Mese",5,"Tipologia",$A102),0)
- IFERROR(GETPIVOTDATA("Somma di AVERE",'Pivot Fineco Sa'!$A$3,"Mese",5,"Tipologia",$A102),0)
+ IFERROR(GETPIVOTDATA("Somma di DARE",'Pivot PP Visa'!$A$3,"Mese",5,"Tipologia",$A102),0)
- IFERROR(GETPIVOTDATA("Somma di AVERE",'Pivot PP Visa'!$A$3,"Mese",5,"Tipologia",$A102),0)
+ IFERROR(GETPIVOTDATA("Somma di DARE",'Pivot Revolut'!$A$3,"Mese",5,"Tipologia",$A102),0)
- IFERROR(GETPIVOTDATA("Somma di AVERE",'Pivot Revolut'!$A$3,"Mese",5,"Tipologia",$A102),0)</f>
        <v>0</v>
      </c>
      <c r="H102" s="243">
        <f>IFERROR(GETPIVOTDATA("Somma di DARE EUR",'Pivot RakBank AED'!$A$3,"Mese",6,"Tipologia",$A102),0)
- IFERROR(GETPIVOTDATA("Somma di AVERE EUR",'Pivot RakBank AED'!$A$3,"Mese",6,"Tipologia",$A102),0)
+IFERROR(GETPIVOTDATA("Somma di DARE",'Pivot RakBank EUR'!$A$3,"Mese",6,"Tipologia",$A102),0)
- IFERROR(GETPIVOTDATA("Somma di AVERE",'Pivot RakBank EUR'!$A$3,"Mese",6,"Tipologia",$A102),0)
+IFERROR(GETPIVOTDATA("Somma di DARE",'Pivot Fineco Sa'!$A$3,"Mese",6,"Tipologia",$A102),0)
+ IFERROR(GETPIVOTDATA("Somma di DARE",'Pivot Fineco St'!$A$3,"Mese",6,"Tipologia",$A102),0)
+ Contanti!V23
+ IFERROR(GETPIVOTDATA("Somma di DARE",'Pivot BBVA'!$A$3,"Mese",6,"Tipologia",$A102),0)
+ IFERROR(GETPIVOTDATA("Somma di DARE",'Pivot Amex'!$A$3,"Mese",6,"Tipologia",$A102),0)
- IFERROR(GETPIVOTDATA("Somma di AVERE",'Pivot Amex'!$A$3,"Mese",6,"Tipologia",$A102),0)
- IFERROR(GETPIVOTDATA("Somma di AVERE",'Pivot BBVA'!$A$3,"Mese",6,"Tipologia",$A102),0)
- IFERROR(GETPIVOTDATA("Somma di AVERE",'Pivot Fineco St'!$A$3,"Mese",6,"Tipologia",$A102),0)
- IFERROR(GETPIVOTDATA("Somma di AVERE",'Pivot Fineco Sa'!$A$3,"Mese",6,"Tipologia",$A102),0)
+ IFERROR(GETPIVOTDATA("Somma di DARE",'Pivot PP Visa'!$A$3,"Mese",6,"Tipologia",$A102),0)
- IFERROR(GETPIVOTDATA("Somma di AVERE",'Pivot PP Visa'!$A$3,"Mese",6,"Tipologia",$A102),0)
+ IFERROR(GETPIVOTDATA("Somma di DARE",'Pivot Revolut'!$A$3,"Mese",6,"Tipologia",$A102),0)
- IFERROR(GETPIVOTDATA("Somma di AVERE",'Pivot Revolut'!$A$3,"Mese",6,"Tipologia",$A102),0)</f>
        <v>0</v>
      </c>
      <c r="I102" s="243">
        <f>IFERROR(GETPIVOTDATA("Somma di DARE EUR",'Pivot RakBank AED'!$A$3,"Mese",7,"Tipologia",$A102),0)
- IFERROR(GETPIVOTDATA("Somma di AVERE EUR",'Pivot RakBank AED'!$A$3,"Mese",7,"Tipologia",$A102),0)
+IFERROR(GETPIVOTDATA("Somma di DARE",'Pivot RakBank EUR'!$A$3,"Mese",7,"Tipologia",$A102),0)
- IFERROR(GETPIVOTDATA("Somma di AVERE",'Pivot RakBank EUR'!$A$3,"Mese",7,"Tipologia",$A102),0)
+IFERROR(GETPIVOTDATA("Somma di DARE",'Pivot Fineco Sa'!$A$3,"Mese",7,"Tipologia",$A102),0)
+ IFERROR(GETPIVOTDATA("Somma di DARE",'Pivot Fineco St'!$A$3,"Mese",7,"Tipologia",$A102),0)
+ Contanti!Z23
+ IFERROR(GETPIVOTDATA("Somma di DARE",'Pivot BBVA'!$A$3,"Mese",7,"Tipologia",$A102),0)
+ IFERROR(GETPIVOTDATA("Somma di DARE",'Pivot Amex'!$A$3,"Mese",7,"Tipologia",$A102),0)
- IFERROR(GETPIVOTDATA("Somma di AVERE",'Pivot Amex'!$A$3,"Mese",7,"Tipologia",$A102),0)
- IFERROR(GETPIVOTDATA("Somma di AVERE",'Pivot BBVA'!$A$3,"Mese",7,"Tipologia",$A102),0)
- IFERROR(GETPIVOTDATA("Somma di AVERE",'Pivot Fineco St'!$A$3,"Mese",7,"Tipologia",$A102),0)
- IFERROR(GETPIVOTDATA("Somma di AVERE",'Pivot Fineco Sa'!$A$3,"Mese",7,"Tipologia",$A102),0)
+ IFERROR(GETPIVOTDATA("Somma di DARE",'Pivot PP Visa'!$A$3,"Mese",7,"Tipologia",$A102),0)
- IFERROR(GETPIVOTDATA("Somma di AVERE",'Pivot PP Visa'!$A$3,"Mese",7,"Tipologia",$A102),0)
+ IFERROR(GETPIVOTDATA("Somma di DARE",'Pivot Revolut'!$A$3,"Mese",7,"Tipologia",$A102),0)
- IFERROR(GETPIVOTDATA("Somma di AVERE",'Pivot Revolut'!$A$3,"Mese",7,"Tipologia",$A102),0)</f>
        <v>0</v>
      </c>
      <c r="J102" s="243">
        <f>IFERROR(GETPIVOTDATA("Somma di DARE EUR",'Pivot RakBank AED'!$A$3,"Mese",8,"Tipologia",$A102),0)
- IFERROR(GETPIVOTDATA("Somma di AVERE EUR",'Pivot RakBank AED'!$A$3,"Mese",8,"Tipologia",$A102),0)
+IFERROR(GETPIVOTDATA("Somma di DARE",'Pivot RakBank EUR'!$A$3,"Mese",8,"Tipologia",$A102),0)
- IFERROR(GETPIVOTDATA("Somma di AVERE",'Pivot RakBank EUR'!$A$3,"Mese",8,"Tipologia",$A102),0)
+IFERROR(GETPIVOTDATA("Somma di DARE",'Pivot Fineco Sa'!$A$3,"Mese",8,"Tipologia",$A102),0)
+ IFERROR(GETPIVOTDATA("Somma di DARE",'Pivot Fineco St'!$A$3,"Mese",8,"Tipologia",$A102),0)
+ Contanti!AD23
+ IFERROR(GETPIVOTDATA("Somma di DARE",'Pivot BBVA'!$A$3,"Mese",8,"Tipologia",$A102),0)
+ IFERROR(GETPIVOTDATA("Somma di DARE",'Pivot Amex'!$A$3,"Mese",8,"Tipologia",$A102),0)
- IFERROR(GETPIVOTDATA("Somma di AVERE",'Pivot Amex'!$A$3,"Mese",8,"Tipologia",$A102),0)
- IFERROR(GETPIVOTDATA("Somma di AVERE",'Pivot BBVA'!$A$3,"Mese",8,"Tipologia",$A102),0)
- IFERROR(GETPIVOTDATA("Somma di AVERE",'Pivot Fineco St'!$A$3,"Mese",8,"Tipologia",$A102),0)
- IFERROR(GETPIVOTDATA("Somma di AVERE",'Pivot Fineco Sa'!$A$3,"Mese",8,"Tipologia",$A102),0)
+ IFERROR(GETPIVOTDATA("Somma di DARE",'Pivot PP Visa'!$A$3,"Mese",8,"Tipologia",$A102),0)
- IFERROR(GETPIVOTDATA("Somma di AVERE",'Pivot PP Visa'!$A$3,"Mese",8,"Tipologia",$A102),0)
+ IFERROR(GETPIVOTDATA("Somma di DARE",'Pivot Revolut'!$A$3,"Mese",8,"Tipologia",$A102),0)
- IFERROR(GETPIVOTDATA("Somma di AVERE",'Pivot Revolut'!$A$3,"Mese",8,"Tipologia",$A102),0)</f>
        <v>0</v>
      </c>
      <c r="K102" s="243">
        <f>IFERROR(GETPIVOTDATA("Somma di DARE EUR",'Pivot RakBank AED'!$A$3,"Mese",9,"Tipologia",$A102),0)
- IFERROR(GETPIVOTDATA("Somma di AVERE EUR",'Pivot RakBank AED'!$A$3,"Mese",9,"Tipologia",$A102),0)
+IFERROR(GETPIVOTDATA("Somma di DARE",'Pivot RakBank EUR'!$A$3,"Mese",9,"Tipologia",$A102),0)
- IFERROR(GETPIVOTDATA("Somma di AVERE",'Pivot RakBank EUR'!$A$3,"Mese",9,"Tipologia",$A102),0)
+IFERROR(GETPIVOTDATA("Somma di DARE",'Pivot Fineco Sa'!$A$3,"Mese",9,"Tipologia",$A102),0)
+ IFERROR(GETPIVOTDATA("Somma di DARE",'Pivot Fineco St'!$A$3,"Mese",9,"Tipologia",$A102),0)
+ Contanti!AH23
+ IFERROR(GETPIVOTDATA("Somma di DARE",'Pivot BBVA'!$A$3,"Mese",9,"Tipologia",$A102),0)
+ IFERROR(GETPIVOTDATA("Somma di DARE",'Pivot Amex'!$A$3,"Mese",9,"Tipologia",$A102),0)
- IFERROR(GETPIVOTDATA("Somma di AVERE",'Pivot Amex'!$A$3,"Mese",9,"Tipologia",$A102),0)
- IFERROR(GETPIVOTDATA("Somma di AVERE",'Pivot BBVA'!$A$3,"Mese",9,"Tipologia",$A102),0)
- IFERROR(GETPIVOTDATA("Somma di AVERE",'Pivot Fineco St'!$A$3,"Mese",9,"Tipologia",$A102),0)
- IFERROR(GETPIVOTDATA("Somma di AVERE",'Pivot Fineco Sa'!$A$3,"Mese",9,"Tipologia",$A102),0)
+ IFERROR(GETPIVOTDATA("Somma di DARE",'Pivot PP Visa'!$A$3,"Mese",9,"Tipologia",$A102),0)
- IFERROR(GETPIVOTDATA("Somma di AVERE",'Pivot PP Visa'!$A$3,"Mese",9,"Tipologia",$A102),0)
+ IFERROR(GETPIVOTDATA("Somma di DARE",'Pivot Revolut'!$A$3,"Mese",9,"Tipologia",$A102),0)
- IFERROR(GETPIVOTDATA("Somma di AVERE",'Pivot Revolut'!$A$3,"Mese",9,"Tipologia",$A102),0)</f>
        <v>0</v>
      </c>
      <c r="L102" s="243">
        <f>IFERROR(GETPIVOTDATA("Somma di DARE EUR",'Pivot RakBank AED'!$A$3,"Mese",10,"Tipologia",$A102),0)
- IFERROR(GETPIVOTDATA("Somma di AVERE EUR",'Pivot RakBank AED'!$A$3,"Mese",10,"Tipologia",$A102),0)
+IFERROR(GETPIVOTDATA("Somma di DARE",'Pivot RakBank EUR'!$A$3,"Mese",10,"Tipologia",$A102),0)
- IFERROR(GETPIVOTDATA("Somma di AVERE",'Pivot RakBank EUR'!$A$3,"Mese",10,"Tipologia",$A102),0)
+IFERROR(GETPIVOTDATA("Somma di DARE",'Pivot Fineco Sa'!$A$3,"Mese",10,"Tipologia",$A102),0)
+ IFERROR(GETPIVOTDATA("Somma di DARE",'Pivot Fineco St'!$A$3,"Mese",10,"Tipologia",$A102),0)
+ Contanti!AL23
+ IFERROR(GETPIVOTDATA("Somma di DARE",'Pivot BBVA'!$A$3,"Mese",10,"Tipologia",$A102),0)
+ IFERROR(GETPIVOTDATA("Somma di DARE",'Pivot Amex'!$A$3,"Mese",10,"Tipologia",$A102),0)
- IFERROR(GETPIVOTDATA("Somma di AVERE",'Pivot Amex'!$A$3,"Mese",10,"Tipologia",$A102),0)
- IFERROR(GETPIVOTDATA("Somma di AVERE",'Pivot BBVA'!$A$3,"Mese",10,"Tipologia",$A102),0)
- IFERROR(GETPIVOTDATA("Somma di AVERE",'Pivot Fineco St'!$A$3,"Mese",10,"Tipologia",$A102),0)
- IFERROR(GETPIVOTDATA("Somma di AVERE",'Pivot Fineco Sa'!$A$3,"Mese",10,"Tipologia",$A102),0)
+ IFERROR(GETPIVOTDATA("Somma di DARE",'Pivot PP Visa'!$A$3,"Mese",10,"Tipologia",$A102),0)
- IFERROR(GETPIVOTDATA("Somma di AVERE",'Pivot PP Visa'!$A$3,"Mese",10,"Tipologia",$A102),0)
+ IFERROR(GETPIVOTDATA("Somma di DARE",'Pivot Revolut'!$A$3,"Mese",10,"Tipologia",$A102),0)
- IFERROR(GETPIVOTDATA("Somma di AVERE",'Pivot Revolut'!$A$3,"Mese",10,"Tipologia",$A102),0)</f>
        <v>0</v>
      </c>
      <c r="M102" s="243">
        <f>IFERROR(GETPIVOTDATA("Somma di DARE EUR",'Pivot RakBank AED'!$A$3,"Mese",11,"Tipologia",$A102),0)
- IFERROR(GETPIVOTDATA("Somma di AVERE EUR",'Pivot RakBank AED'!$A$3,"Mese",11,"Tipologia",$A102),0)
+IFERROR(GETPIVOTDATA("Somma di DARE",'Pivot RakBank EUR'!$A$3,"Mese",11,"Tipologia",$A102),0)
- IFERROR(GETPIVOTDATA("Somma di AVERE",'Pivot RakBank EUR'!$A$3,"Mese",11,"Tipologia",$A102),0)
+IFERROR(GETPIVOTDATA("Somma di DARE",'Pivot Fineco Sa'!$A$3,"Mese",11,"Tipologia",$A102),0)
+ IFERROR(GETPIVOTDATA("Somma di DARE",'Pivot Fineco St'!$A$3,"Mese",11,"Tipologia",$A102),0)
+ Contanti!AP23
+ IFERROR(GETPIVOTDATA("Somma di DARE",'Pivot BBVA'!$A$3,"Mese",11,"Tipologia",$A102),0)
+ IFERROR(GETPIVOTDATA("Somma di DARE",'Pivot Amex'!$A$3,"Mese",11,"Tipologia",$A102),0)
- IFERROR(GETPIVOTDATA("Somma di AVERE",'Pivot Amex'!$A$3,"Mese",11,"Tipologia",$A102),0)
- IFERROR(GETPIVOTDATA("Somma di AVERE",'Pivot BBVA'!$A$3,"Mese",11,"Tipologia",$A102),0)
- IFERROR(GETPIVOTDATA("Somma di AVERE",'Pivot Fineco St'!$A$3,"Mese",11,"Tipologia",$A102),0)
- IFERROR(GETPIVOTDATA("Somma di AVERE",'Pivot Fineco Sa'!$A$3,"Mese",11,"Tipologia",$A102),0)
+ IFERROR(GETPIVOTDATA("Somma di DARE",'Pivot PP Visa'!$A$3,"Mese",11,"Tipologia",$A102),0)
- IFERROR(GETPIVOTDATA("Somma di AVERE",'Pivot PP Visa'!$A$3,"Mese",11,"Tipologia",$A102),0)
+ IFERROR(GETPIVOTDATA("Somma di DARE",'Pivot Revolut'!$A$3,"Mese",11,"Tipologia",$A102),0)
- IFERROR(GETPIVOTDATA("Somma di AVERE",'Pivot Revolut'!$A$3,"Mese",11,"Tipologia",$A102),0)</f>
        <v>0</v>
      </c>
      <c r="N102" s="243">
        <f>IFERROR(GETPIVOTDATA("Somma di DARE EUR",'Pivot RakBank AED'!$A$3,"Mese",12,"Tipologia",$A102),0)
- IFERROR(GETPIVOTDATA("Somma di AVERE EUR",'Pivot RakBank AED'!$A$3,"Mese",12,"Tipologia",$A102),0)
+IFERROR(GETPIVOTDATA("Somma di DARE",'Pivot RakBank EUR'!$A$3,"Mese",12,"Tipologia",$A102),0)
- IFERROR(GETPIVOTDATA("Somma di AVERE",'Pivot RakBank EUR'!$A$3,"Mese",12,"Tipologia",$A102),0)
+IFERROR(GETPIVOTDATA("Somma di DARE",'Pivot Fineco Sa'!$A$3,"Mese",12,"Tipologia",$A102),0)
+ IFERROR(GETPIVOTDATA("Somma di DARE",'Pivot Fineco St'!$A$3,"Mese",12,"Tipologia",$A102),0)
+ Contanti!AT23
+ IFERROR(GETPIVOTDATA("Somma di DARE",'Pivot BBVA'!$A$3,"Mese",12,"Tipologia",$A102),0)
+ IFERROR(GETPIVOTDATA("Somma di DARE",'Pivot Amex'!$A$3,"Mese",12,"Tipologia",$A102),0)
- IFERROR(GETPIVOTDATA("Somma di AVERE",'Pivot Amex'!$A$3,"Mese",12,"Tipologia",$A102),0)
- IFERROR(GETPIVOTDATA("Somma di AVERE",'Pivot BBVA'!$A$3,"Mese",12,"Tipologia",$A102),0)
- IFERROR(GETPIVOTDATA("Somma di AVERE",'Pivot Fineco St'!$A$3,"Mese",12,"Tipologia",$A102),0)
- IFERROR(GETPIVOTDATA("Somma di AVERE",'Pivot Fineco Sa'!$A$3,"Mese",12,"Tipologia",$A102),0)
+ IFERROR(GETPIVOTDATA("Somma di DARE",'Pivot PP Visa'!$A$3,"Mese",12,"Tipologia",$A102),0)
- IFERROR(GETPIVOTDATA("Somma di AVERE",'Pivot PP Visa'!$A$3,"Mese",12,"Tipologia",$A102),0)
+ IFERROR(GETPIVOTDATA("Somma di DARE",'Pivot Revolut'!$A$3,"Mese",12,"Tipologia",$A102),0)
- IFERROR(GETPIVOTDATA("Somma di AVERE",'Pivot Revolut'!$A$3,"Mese",12,"Tipologia",$A102),0)</f>
        <v>0</v>
      </c>
      <c r="O102" s="252">
        <f t="shared" si="6"/>
        <v>0</v>
      </c>
      <c r="P102" s="243">
        <f t="shared" ca="1" si="7"/>
        <v>0</v>
      </c>
    </row>
    <row r="103" spans="1:16" s="125" customFormat="1" ht="21" customHeight="1" x14ac:dyDescent="0.2">
      <c r="A103" s="259"/>
      <c r="B103" s="259"/>
      <c r="C103" s="260"/>
      <c r="D103" s="260"/>
      <c r="E103" s="260"/>
      <c r="F103" s="260"/>
      <c r="G103" s="260"/>
      <c r="H103" s="260"/>
      <c r="I103" s="260"/>
      <c r="J103" s="260"/>
      <c r="K103" s="260"/>
      <c r="L103" s="260"/>
      <c r="M103" s="260"/>
      <c r="N103" s="260"/>
      <c r="O103" s="260"/>
      <c r="P103" s="260"/>
    </row>
    <row r="104" spans="1:16" s="125" customFormat="1" ht="21" customHeight="1" x14ac:dyDescent="0.2">
      <c r="A104" s="255" t="s">
        <v>240</v>
      </c>
      <c r="B104" s="255"/>
      <c r="C104" s="256">
        <f t="shared" ref="C104:N104" si="8">SUM(C105:C107)</f>
        <v>1060.7500000000002</v>
      </c>
      <c r="D104" s="256">
        <f t="shared" si="8"/>
        <v>502.4</v>
      </c>
      <c r="E104" s="256">
        <f t="shared" si="8"/>
        <v>1110.3399999999999</v>
      </c>
      <c r="F104" s="256">
        <f t="shared" si="8"/>
        <v>1168.18</v>
      </c>
      <c r="G104" s="256">
        <f t="shared" si="8"/>
        <v>1270.04</v>
      </c>
      <c r="H104" s="256">
        <f t="shared" si="8"/>
        <v>1337.1399999999999</v>
      </c>
      <c r="I104" s="256">
        <f t="shared" si="8"/>
        <v>250.06</v>
      </c>
      <c r="J104" s="256">
        <f t="shared" si="8"/>
        <v>0</v>
      </c>
      <c r="K104" s="256">
        <f t="shared" si="8"/>
        <v>0</v>
      </c>
      <c r="L104" s="256">
        <f t="shared" si="8"/>
        <v>0</v>
      </c>
      <c r="M104" s="256">
        <f t="shared" si="8"/>
        <v>0</v>
      </c>
      <c r="N104" s="256">
        <f t="shared" si="8"/>
        <v>0</v>
      </c>
      <c r="O104" s="257">
        <f>SUM(C104:N104)</f>
        <v>6698.9100000000008</v>
      </c>
      <c r="P104" s="256">
        <f ca="1">SUM(P105:P107)</f>
        <v>956.987142857143</v>
      </c>
    </row>
    <row r="105" spans="1:16" s="125" customFormat="1" ht="21" customHeight="1" x14ac:dyDescent="0.2">
      <c r="A105" s="251" t="s">
        <v>32</v>
      </c>
      <c r="B105" s="251"/>
      <c r="C105" s="243">
        <f>IFERROR(GETPIVOTDATA("Somma di DARE EUR",'Pivot RakBank AED'!$A$3,"Mese",1,"Tipologia",$A105),0)
- IFERROR(GETPIVOTDATA("Somma di AVERE EUR",'Pivot RakBank AED'!$A$3,"Mese",1,"Tipologia",$A105),0)
+IFERROR(GETPIVOTDATA("Somma di DARE",'Pivot RakBank EUR'!$A$3,"Mese",1,"Tipologia",$A105),0)
- IFERROR(GETPIVOTDATA("Somma di AVERE",'Pivot RakBank EUR'!$A$3,"Mese",1,"Tipologia",$A105),0)
+IFERROR(GETPIVOTDATA("Somma di DARE",'Pivot Fineco Sa'!$A$3,"Mese",1,"Tipologia",$A105),0)
+ IFERROR(GETPIVOTDATA("Somma di DARE",'Pivot Fineco St'!$A$3,"Mese",1,"Tipologia",$A105),0)
+ Contanti!B26
+ IFERROR(GETPIVOTDATA("Somma di DARE",'Pivot BBVA'!$A$3,"Mese",1,"Tipologia",$A105),0)
+ IFERROR(GETPIVOTDATA("Somma di DARE",'Pivot Amex'!$A$3,"Mese",1,"Tipologia",$A105),0)
- IFERROR(GETPIVOTDATA("Somma di AVERE",'Pivot Amex'!$A$3,"Mese",1,"Tipologia",$A105),0)
- IFERROR(GETPIVOTDATA("Somma di AVERE",'Pivot BBVA'!$A$3,"Mese",1,"Tipologia",$A105),0)
- IFERROR(GETPIVOTDATA("Somma di AVERE",'Pivot Fineco St'!$A$3,"Mese",1,"Tipologia",$A105),0)
- IFERROR(GETPIVOTDATA("Somma di AVERE",'Pivot Fineco Sa'!$A$3,"Mese",1,"Tipologia",$A105),0)
+ IFERROR(GETPIVOTDATA("Somma di DARE",'Pivot PP Visa'!$A$3,"Mese",1,"Tipologia",$A105),0)
- IFERROR(GETPIVOTDATA("Somma di AVERE",'Pivot PP Visa'!$A$3,"Mese",1,"Tipologia",$A105),0)
+ IFERROR(GETPIVOTDATA("Somma di DARE",'Pivot Revolut'!$A$3,"Mese",1,"Tipologia",$A105),0)
- IFERROR(GETPIVOTDATA("Somma di AVERE",'Pivot Revolut'!$A$3,"Mese",1,"Tipologia",$A105),0)</f>
        <v>725.00000000000023</v>
      </c>
      <c r="D105" s="243">
        <f>IFERROR(GETPIVOTDATA("Somma di DARE EUR",'Pivot RakBank AED'!$A$3,"Mese",2,"Tipologia",$A105),0)
- IFERROR(GETPIVOTDATA("Somma di AVERE EUR",'Pivot RakBank AED'!$A$3,"Mese",2,"Tipologia",$A105),0)
+IFERROR(GETPIVOTDATA("Somma di DARE",'Pivot RakBank EUR'!$A$3,"Mese",2,"Tipologia",$A105),0)
- IFERROR(GETPIVOTDATA("Somma di AVERE",'Pivot RakBank EUR'!$A$3,"Mese",2,"Tipologia",$A105),0)
+IFERROR(GETPIVOTDATA("Somma di DARE",'Pivot Fineco Sa'!$A$3,"Mese",2,"Tipologia",$A105),0)
+ IFERROR(GETPIVOTDATA("Somma di DARE",'Pivot Fineco St'!$A$3,"Mese",2,"Tipologia",$A105),0)
+ Contanti!F26
+ IFERROR(GETPIVOTDATA("Somma di DARE",'Pivot BBVA'!$A$3,"Mese",2,"Tipologia",$A105),0)
+ IFERROR(GETPIVOTDATA("Somma di DARE",'Pivot Amex'!$A$3,"Mese",2,"Tipologia",$A105),0)
- IFERROR(GETPIVOTDATA("Somma di AVERE",'Pivot Amex'!$A$3,"Mese",2,"Tipologia",$A105),0)
- IFERROR(GETPIVOTDATA("Somma di AVERE",'Pivot BBVA'!$A$3,"Mese",2,"Tipologia",$A105),0)
- IFERROR(GETPIVOTDATA("Somma di AVERE",'Pivot Fineco St'!$A$3,"Mese",2,"Tipologia",$A105),0)
- IFERROR(GETPIVOTDATA("Somma di AVERE",'Pivot Fineco Sa'!$A$3,"Mese",2,"Tipologia",$A105),0)
+ IFERROR(GETPIVOTDATA("Somma di DARE",'Pivot PP Visa'!$A$3,"Mese",2,"Tipologia",$A105),0)
- IFERROR(GETPIVOTDATA("Somma di AVERE",'Pivot PP Visa'!$A$3,"Mese",2,"Tipologia",$A105),0)
+ IFERROR(GETPIVOTDATA("Somma di DARE",'Pivot Revolut'!$A$3,"Mese",2,"Tipologia",$A105),0)
- IFERROR(GETPIVOTDATA("Somma di AVERE",'Pivot Revolut'!$A$3,"Mese",2,"Tipologia",$A105),0)</f>
        <v>378.26</v>
      </c>
      <c r="E105" s="243">
        <f>IFERROR(GETPIVOTDATA("Somma di DARE EUR",'Pivot RakBank AED'!$A$3,"Mese",3,"Tipologia",$A105),0)
- IFERROR(GETPIVOTDATA("Somma di AVERE EUR",'Pivot RakBank AED'!$A$3,"Mese",3,"Tipologia",$A105),0)
+IFERROR(GETPIVOTDATA("Somma di DARE",'Pivot RakBank EUR'!$A$3,"Mese",3,"Tipologia",$A105),0)
- IFERROR(GETPIVOTDATA("Somma di AVERE",'Pivot RakBank EUR'!$A$3,"Mese",3,"Tipologia",$A105),0)
+IFERROR(GETPIVOTDATA("Somma di DARE",'Pivot Fineco Sa'!$A$3,"Mese",3,"Tipologia",$A105),0)
+ IFERROR(GETPIVOTDATA("Somma di DARE",'Pivot Fineco St'!$A$3,"Mese",3,"Tipologia",$A105),0)
+ Contanti!J26
+ IFERROR(GETPIVOTDATA("Somma di DARE",'Pivot BBVA'!$A$3,"Mese",3,"Tipologia",$A105),0)
+ IFERROR(GETPIVOTDATA("Somma di DARE",'Pivot Amex'!$A$3,"Mese",3,"Tipologia",$A105),0)
- IFERROR(GETPIVOTDATA("Somma di AVERE",'Pivot Amex'!$A$3,"Mese",3,"Tipologia",$A105),0)
- IFERROR(GETPIVOTDATA("Somma di AVERE",'Pivot BBVA'!$A$3,"Mese",3,"Tipologia",$A105),0)
- IFERROR(GETPIVOTDATA("Somma di AVERE",'Pivot Fineco St'!$A$3,"Mese",3,"Tipologia",$A105),0)
- IFERROR(GETPIVOTDATA("Somma di AVERE",'Pivot Fineco Sa'!$A$3,"Mese",3,"Tipologia",$A105),0)
+ IFERROR(GETPIVOTDATA("Somma di DARE",'Pivot PP Visa'!$A$3,"Mese",3,"Tipologia",$A105),0)
- IFERROR(GETPIVOTDATA("Somma di AVERE",'Pivot PP Visa'!$A$3,"Mese",3,"Tipologia",$A105),0)
+ IFERROR(GETPIVOTDATA("Somma di DARE",'Pivot Revolut'!$A$3,"Mese",3,"Tipologia",$A105),0)
- IFERROR(GETPIVOTDATA("Somma di AVERE",'Pivot Revolut'!$A$3,"Mese",3,"Tipologia",$A105),0)</f>
        <v>858.58999999999992</v>
      </c>
      <c r="F105" s="243">
        <f>IFERROR(GETPIVOTDATA("Somma di DARE EUR",'Pivot RakBank AED'!$A$3,"Mese",4,"Tipologia",$A105),0)
- IFERROR(GETPIVOTDATA("Somma di AVERE EUR",'Pivot RakBank AED'!$A$3,"Mese",4,"Tipologia",$A105),0)
+IFERROR(GETPIVOTDATA("Somma di DARE",'Pivot RakBank EUR'!$A$3,"Mese",4,"Tipologia",$A105),0)
- IFERROR(GETPIVOTDATA("Somma di AVERE",'Pivot RakBank EUR'!$A$3,"Mese",4,"Tipologia",$A105),0)
+IFERROR(GETPIVOTDATA("Somma di DARE",'Pivot Fineco Sa'!$A$3,"Mese",4,"Tipologia",$A105),0)
+ IFERROR(GETPIVOTDATA("Somma di DARE",'Pivot Fineco St'!$A$3,"Mese",4,"Tipologia",$A105),0)
+ Contanti!N26
+ IFERROR(GETPIVOTDATA("Somma di DARE",'Pivot BBVA'!$A$3,"Mese",4,"Tipologia",$A105),0)
+ IFERROR(GETPIVOTDATA("Somma di DARE",'Pivot Amex'!$A$3,"Mese",4,"Tipologia",$A105),0)
- IFERROR(GETPIVOTDATA("Somma di AVERE",'Pivot Amex'!$A$3,"Mese",4,"Tipologia",$A105),0)
- IFERROR(GETPIVOTDATA("Somma di AVERE",'Pivot BBVA'!$A$3,"Mese",4,"Tipologia",$A105),0)
- IFERROR(GETPIVOTDATA("Somma di AVERE",'Pivot Fineco St'!$A$3,"Mese",4,"Tipologia",$A105),0)
- IFERROR(GETPIVOTDATA("Somma di AVERE",'Pivot Fineco Sa'!$A$3,"Mese",4,"Tipologia",$A105),0)
+ IFERROR(GETPIVOTDATA("Somma di DARE",'Pivot PP Visa'!$A$3,"Mese",4,"Tipologia",$A105),0)
- IFERROR(GETPIVOTDATA("Somma di AVERE",'Pivot PP Visa'!$A$3,"Mese",4,"Tipologia",$A105),0)
+ IFERROR(GETPIVOTDATA("Somma di DARE",'Pivot Revolut'!$A$3,"Mese",4,"Tipologia",$A105),0)
- IFERROR(GETPIVOTDATA("Somma di AVERE",'Pivot Revolut'!$A$3,"Mese",4,"Tipologia",$A105),0)</f>
        <v>618.62</v>
      </c>
      <c r="G105" s="243">
        <f>IFERROR(GETPIVOTDATA("Somma di DARE EUR",'Pivot RakBank AED'!$A$3,"Mese",5,"Tipologia",$A105),0)
- IFERROR(GETPIVOTDATA("Somma di AVERE EUR",'Pivot RakBank AED'!$A$3,"Mese",5,"Tipologia",$A105),0)
+IFERROR(GETPIVOTDATA("Somma di DARE",'Pivot RakBank EUR'!$A$3,"Mese",5,"Tipologia",$A105),0)
- IFERROR(GETPIVOTDATA("Somma di AVERE",'Pivot RakBank EUR'!$A$3,"Mese",5,"Tipologia",$A105),0)
+IFERROR(GETPIVOTDATA("Somma di DARE",'Pivot Fineco Sa'!$A$3,"Mese",5,"Tipologia",$A105),0)
+ IFERROR(GETPIVOTDATA("Somma di DARE",'Pivot Fineco St'!$A$3,"Mese",5,"Tipologia",$A105),0)
+ Contanti!R26
+ IFERROR(GETPIVOTDATA("Somma di DARE",'Pivot BBVA'!$A$3,"Mese",5,"Tipologia",$A105),0)
+ IFERROR(GETPIVOTDATA("Somma di DARE",'Pivot Amex'!$A$3,"Mese",5,"Tipologia",$A105),0)
- IFERROR(GETPIVOTDATA("Somma di AVERE",'Pivot Amex'!$A$3,"Mese",5,"Tipologia",$A105),0)
- IFERROR(GETPIVOTDATA("Somma di AVERE",'Pivot BBVA'!$A$3,"Mese",5,"Tipologia",$A105),0)
- IFERROR(GETPIVOTDATA("Somma di AVERE",'Pivot Fineco St'!$A$3,"Mese",5,"Tipologia",$A105),0)
- IFERROR(GETPIVOTDATA("Somma di AVERE",'Pivot Fineco Sa'!$A$3,"Mese",5,"Tipologia",$A105),0)
+ IFERROR(GETPIVOTDATA("Somma di DARE",'Pivot PP Visa'!$A$3,"Mese",5,"Tipologia",$A105),0)
- IFERROR(GETPIVOTDATA("Somma di AVERE",'Pivot PP Visa'!$A$3,"Mese",5,"Tipologia",$A105),0)
+ IFERROR(GETPIVOTDATA("Somma di DARE",'Pivot Revolut'!$A$3,"Mese",5,"Tipologia",$A105),0)
- IFERROR(GETPIVOTDATA("Somma di AVERE",'Pivot Revolut'!$A$3,"Mese",5,"Tipologia",$A105),0)</f>
        <v>888.19</v>
      </c>
      <c r="H105" s="243">
        <f>IFERROR(GETPIVOTDATA("Somma di DARE EUR",'Pivot RakBank AED'!$A$3,"Mese",6,"Tipologia",$A105),0)
- IFERROR(GETPIVOTDATA("Somma di AVERE EUR",'Pivot RakBank AED'!$A$3,"Mese",6,"Tipologia",$A105),0)
+IFERROR(GETPIVOTDATA("Somma di DARE",'Pivot RakBank EUR'!$A$3,"Mese",6,"Tipologia",$A105),0)
- IFERROR(GETPIVOTDATA("Somma di AVERE",'Pivot RakBank EUR'!$A$3,"Mese",6,"Tipologia",$A105),0)
+IFERROR(GETPIVOTDATA("Somma di DARE",'Pivot Fineco Sa'!$A$3,"Mese",6,"Tipologia",$A105),0)
+ IFERROR(GETPIVOTDATA("Somma di DARE",'Pivot Fineco St'!$A$3,"Mese",6,"Tipologia",$A105),0)
+ Contanti!V26
+ IFERROR(GETPIVOTDATA("Somma di DARE",'Pivot BBVA'!$A$3,"Mese",6,"Tipologia",$A105),0)
+ IFERROR(GETPIVOTDATA("Somma di DARE",'Pivot Amex'!$A$3,"Mese",6,"Tipologia",$A105),0)
- IFERROR(GETPIVOTDATA("Somma di AVERE",'Pivot Amex'!$A$3,"Mese",6,"Tipologia",$A105),0)
- IFERROR(GETPIVOTDATA("Somma di AVERE",'Pivot BBVA'!$A$3,"Mese",6,"Tipologia",$A105),0)
- IFERROR(GETPIVOTDATA("Somma di AVERE",'Pivot Fineco St'!$A$3,"Mese",6,"Tipologia",$A105),0)
- IFERROR(GETPIVOTDATA("Somma di AVERE",'Pivot Fineco Sa'!$A$3,"Mese",6,"Tipologia",$A105),0)
+ IFERROR(GETPIVOTDATA("Somma di DARE",'Pivot PP Visa'!$A$3,"Mese",6,"Tipologia",$A105),0)
- IFERROR(GETPIVOTDATA("Somma di AVERE",'Pivot PP Visa'!$A$3,"Mese",6,"Tipologia",$A105),0)
+ IFERROR(GETPIVOTDATA("Somma di DARE",'Pivot Revolut'!$A$3,"Mese",6,"Tipologia",$A105),0)
- IFERROR(GETPIVOTDATA("Somma di AVERE",'Pivot Revolut'!$A$3,"Mese",6,"Tipologia",$A105),0)</f>
        <v>725.97</v>
      </c>
      <c r="I105" s="243">
        <f>IFERROR(GETPIVOTDATA("Somma di DARE EUR",'Pivot RakBank AED'!$A$3,"Mese",7,"Tipologia",$A105),0)
- IFERROR(GETPIVOTDATA("Somma di AVERE EUR",'Pivot RakBank AED'!$A$3,"Mese",7,"Tipologia",$A105),0)
+IFERROR(GETPIVOTDATA("Somma di DARE",'Pivot RakBank EUR'!$A$3,"Mese",7,"Tipologia",$A105),0)
- IFERROR(GETPIVOTDATA("Somma di AVERE",'Pivot RakBank EUR'!$A$3,"Mese",7,"Tipologia",$A105),0)
+IFERROR(GETPIVOTDATA("Somma di DARE",'Pivot Fineco Sa'!$A$3,"Mese",7,"Tipologia",$A105),0)
+ IFERROR(GETPIVOTDATA("Somma di DARE",'Pivot Fineco St'!$A$3,"Mese",7,"Tipologia",$A105),0)
+ Contanti!Z26
+ IFERROR(GETPIVOTDATA("Somma di DARE",'Pivot BBVA'!$A$3,"Mese",7,"Tipologia",$A105),0)
+ IFERROR(GETPIVOTDATA("Somma di DARE",'Pivot Amex'!$A$3,"Mese",7,"Tipologia",$A105),0)
- IFERROR(GETPIVOTDATA("Somma di AVERE",'Pivot Amex'!$A$3,"Mese",7,"Tipologia",$A105),0)
- IFERROR(GETPIVOTDATA("Somma di AVERE",'Pivot BBVA'!$A$3,"Mese",7,"Tipologia",$A105),0)
- IFERROR(GETPIVOTDATA("Somma di AVERE",'Pivot Fineco St'!$A$3,"Mese",7,"Tipologia",$A105),0)
- IFERROR(GETPIVOTDATA("Somma di AVERE",'Pivot Fineco Sa'!$A$3,"Mese",7,"Tipologia",$A105),0)
+ IFERROR(GETPIVOTDATA("Somma di DARE",'Pivot PP Visa'!$A$3,"Mese",7,"Tipologia",$A105),0)
- IFERROR(GETPIVOTDATA("Somma di AVERE",'Pivot PP Visa'!$A$3,"Mese",7,"Tipologia",$A105),0)
+ IFERROR(GETPIVOTDATA("Somma di DARE",'Pivot Revolut'!$A$3,"Mese",7,"Tipologia",$A105),0)
- IFERROR(GETPIVOTDATA("Somma di AVERE",'Pivot Revolut'!$A$3,"Mese",7,"Tipologia",$A105),0)</f>
        <v>141.76</v>
      </c>
      <c r="J105" s="243">
        <f>IFERROR(GETPIVOTDATA("Somma di DARE EUR",'Pivot RakBank AED'!$A$3,"Mese",8,"Tipologia",$A105),0)
- IFERROR(GETPIVOTDATA("Somma di AVERE EUR",'Pivot RakBank AED'!$A$3,"Mese",8,"Tipologia",$A105),0)
+IFERROR(GETPIVOTDATA("Somma di DARE",'Pivot RakBank EUR'!$A$3,"Mese",8,"Tipologia",$A105),0)
- IFERROR(GETPIVOTDATA("Somma di AVERE",'Pivot RakBank EUR'!$A$3,"Mese",8,"Tipologia",$A105),0)
+IFERROR(GETPIVOTDATA("Somma di DARE",'Pivot Fineco Sa'!$A$3,"Mese",8,"Tipologia",$A105),0)
+ IFERROR(GETPIVOTDATA("Somma di DARE",'Pivot Fineco St'!$A$3,"Mese",8,"Tipologia",$A105),0)
+ Contanti!AD26
+ IFERROR(GETPIVOTDATA("Somma di DARE",'Pivot BBVA'!$A$3,"Mese",8,"Tipologia",$A105),0)
+ IFERROR(GETPIVOTDATA("Somma di DARE",'Pivot Amex'!$A$3,"Mese",8,"Tipologia",$A105),0)
- IFERROR(GETPIVOTDATA("Somma di AVERE",'Pivot Amex'!$A$3,"Mese",8,"Tipologia",$A105),0)
- IFERROR(GETPIVOTDATA("Somma di AVERE",'Pivot BBVA'!$A$3,"Mese",8,"Tipologia",$A105),0)
- IFERROR(GETPIVOTDATA("Somma di AVERE",'Pivot Fineco St'!$A$3,"Mese",8,"Tipologia",$A105),0)
- IFERROR(GETPIVOTDATA("Somma di AVERE",'Pivot Fineco Sa'!$A$3,"Mese",8,"Tipologia",$A105),0)
+ IFERROR(GETPIVOTDATA("Somma di DARE",'Pivot PP Visa'!$A$3,"Mese",8,"Tipologia",$A105),0)
- IFERROR(GETPIVOTDATA("Somma di AVERE",'Pivot PP Visa'!$A$3,"Mese",8,"Tipologia",$A105),0)
+ IFERROR(GETPIVOTDATA("Somma di DARE",'Pivot Revolut'!$A$3,"Mese",8,"Tipologia",$A105),0)
- IFERROR(GETPIVOTDATA("Somma di AVERE",'Pivot Revolut'!$A$3,"Mese",8,"Tipologia",$A105),0)</f>
        <v>0</v>
      </c>
      <c r="K105" s="243">
        <f>IFERROR(GETPIVOTDATA("Somma di DARE EUR",'Pivot RakBank AED'!$A$3,"Mese",9,"Tipologia",$A105),0)
- IFERROR(GETPIVOTDATA("Somma di AVERE EUR",'Pivot RakBank AED'!$A$3,"Mese",9,"Tipologia",$A105),0)
+IFERROR(GETPIVOTDATA("Somma di DARE",'Pivot RakBank EUR'!$A$3,"Mese",9,"Tipologia",$A105),0)
- IFERROR(GETPIVOTDATA("Somma di AVERE",'Pivot RakBank EUR'!$A$3,"Mese",9,"Tipologia",$A105),0)
+IFERROR(GETPIVOTDATA("Somma di DARE",'Pivot Fineco Sa'!$A$3,"Mese",9,"Tipologia",$A105),0)
+ IFERROR(GETPIVOTDATA("Somma di DARE",'Pivot Fineco St'!$A$3,"Mese",9,"Tipologia",$A105),0)
+ Contanti!AH26
+ IFERROR(GETPIVOTDATA("Somma di DARE",'Pivot BBVA'!$A$3,"Mese",9,"Tipologia",$A105),0)
+ IFERROR(GETPIVOTDATA("Somma di DARE",'Pivot Amex'!$A$3,"Mese",9,"Tipologia",$A105),0)
- IFERROR(GETPIVOTDATA("Somma di AVERE",'Pivot Amex'!$A$3,"Mese",9,"Tipologia",$A105),0)
- IFERROR(GETPIVOTDATA("Somma di AVERE",'Pivot BBVA'!$A$3,"Mese",9,"Tipologia",$A105),0)
- IFERROR(GETPIVOTDATA("Somma di AVERE",'Pivot Fineco St'!$A$3,"Mese",9,"Tipologia",$A105),0)
- IFERROR(GETPIVOTDATA("Somma di AVERE",'Pivot Fineco Sa'!$A$3,"Mese",9,"Tipologia",$A105),0)
+ IFERROR(GETPIVOTDATA("Somma di DARE",'Pivot PP Visa'!$A$3,"Mese",9,"Tipologia",$A105),0)
- IFERROR(GETPIVOTDATA("Somma di AVERE",'Pivot PP Visa'!$A$3,"Mese",9,"Tipologia",$A105),0)
+ IFERROR(GETPIVOTDATA("Somma di DARE",'Pivot Revolut'!$A$3,"Mese",9,"Tipologia",$A105),0)
- IFERROR(GETPIVOTDATA("Somma di AVERE",'Pivot Revolut'!$A$3,"Mese",9,"Tipologia",$A105),0)</f>
        <v>0</v>
      </c>
      <c r="L105" s="243">
        <f>IFERROR(GETPIVOTDATA("Somma di DARE EUR",'Pivot RakBank AED'!$A$3,"Mese",10,"Tipologia",$A105),0)
- IFERROR(GETPIVOTDATA("Somma di AVERE EUR",'Pivot RakBank AED'!$A$3,"Mese",10,"Tipologia",$A105),0)
+IFERROR(GETPIVOTDATA("Somma di DARE",'Pivot RakBank EUR'!$A$3,"Mese",10,"Tipologia",$A105),0)
- IFERROR(GETPIVOTDATA("Somma di AVERE",'Pivot RakBank EUR'!$A$3,"Mese",10,"Tipologia",$A105),0)
+IFERROR(GETPIVOTDATA("Somma di DARE",'Pivot Fineco Sa'!$A$3,"Mese",10,"Tipologia",$A105),0)
+ IFERROR(GETPIVOTDATA("Somma di DARE",'Pivot Fineco St'!$A$3,"Mese",10,"Tipologia",$A105),0)
+ Contanti!AL26
+ IFERROR(GETPIVOTDATA("Somma di DARE",'Pivot BBVA'!$A$3,"Mese",10,"Tipologia",$A105),0)
+ IFERROR(GETPIVOTDATA("Somma di DARE",'Pivot Amex'!$A$3,"Mese",10,"Tipologia",$A105),0)
- IFERROR(GETPIVOTDATA("Somma di AVERE",'Pivot Amex'!$A$3,"Mese",10,"Tipologia",$A105),0)
- IFERROR(GETPIVOTDATA("Somma di AVERE",'Pivot BBVA'!$A$3,"Mese",10,"Tipologia",$A105),0)
- IFERROR(GETPIVOTDATA("Somma di AVERE",'Pivot Fineco St'!$A$3,"Mese",10,"Tipologia",$A105),0)
- IFERROR(GETPIVOTDATA("Somma di AVERE",'Pivot Fineco Sa'!$A$3,"Mese",10,"Tipologia",$A105),0)
+ IFERROR(GETPIVOTDATA("Somma di DARE",'Pivot PP Visa'!$A$3,"Mese",10,"Tipologia",$A105),0)
- IFERROR(GETPIVOTDATA("Somma di AVERE",'Pivot PP Visa'!$A$3,"Mese",10,"Tipologia",$A105),0)
+ IFERROR(GETPIVOTDATA("Somma di DARE",'Pivot Revolut'!$A$3,"Mese",10,"Tipologia",$A105),0)
- IFERROR(GETPIVOTDATA("Somma di AVERE",'Pivot Revolut'!$A$3,"Mese",10,"Tipologia",$A105),0)</f>
        <v>0</v>
      </c>
      <c r="M105" s="243">
        <f>IFERROR(GETPIVOTDATA("Somma di DARE EUR",'Pivot RakBank AED'!$A$3,"Mese",11,"Tipologia",$A105),0)
- IFERROR(GETPIVOTDATA("Somma di AVERE EUR",'Pivot RakBank AED'!$A$3,"Mese",11,"Tipologia",$A105),0)
+IFERROR(GETPIVOTDATA("Somma di DARE",'Pivot RakBank EUR'!$A$3,"Mese",11,"Tipologia",$A105),0)
- IFERROR(GETPIVOTDATA("Somma di AVERE",'Pivot RakBank EUR'!$A$3,"Mese",11,"Tipologia",$A105),0)
+IFERROR(GETPIVOTDATA("Somma di DARE",'Pivot Fineco Sa'!$A$3,"Mese",11,"Tipologia",$A105),0)
+ IFERROR(GETPIVOTDATA("Somma di DARE",'Pivot Fineco St'!$A$3,"Mese",11,"Tipologia",$A105),0)
+ Contanti!AP26
+ IFERROR(GETPIVOTDATA("Somma di DARE",'Pivot BBVA'!$A$3,"Mese",11,"Tipologia",$A105),0)
+ IFERROR(GETPIVOTDATA("Somma di DARE",'Pivot Amex'!$A$3,"Mese",11,"Tipologia",$A105),0)
- IFERROR(GETPIVOTDATA("Somma di AVERE",'Pivot Amex'!$A$3,"Mese",11,"Tipologia",$A105),0)
- IFERROR(GETPIVOTDATA("Somma di AVERE",'Pivot BBVA'!$A$3,"Mese",11,"Tipologia",$A105),0)
- IFERROR(GETPIVOTDATA("Somma di AVERE",'Pivot Fineco St'!$A$3,"Mese",11,"Tipologia",$A105),0)
- IFERROR(GETPIVOTDATA("Somma di AVERE",'Pivot Fineco Sa'!$A$3,"Mese",11,"Tipologia",$A105),0)
+ IFERROR(GETPIVOTDATA("Somma di DARE",'Pivot PP Visa'!$A$3,"Mese",11,"Tipologia",$A105),0)
- IFERROR(GETPIVOTDATA("Somma di AVERE",'Pivot PP Visa'!$A$3,"Mese",11,"Tipologia",$A105),0)
+ IFERROR(GETPIVOTDATA("Somma di DARE",'Pivot Revolut'!$A$3,"Mese",11,"Tipologia",$A105),0)
- IFERROR(GETPIVOTDATA("Somma di AVERE",'Pivot Revolut'!$A$3,"Mese",11,"Tipologia",$A105),0)</f>
        <v>0</v>
      </c>
      <c r="N105" s="243">
        <f>IFERROR(GETPIVOTDATA("Somma di DARE EUR",'Pivot RakBank AED'!$A$3,"Mese",12,"Tipologia",$A105),0)
- IFERROR(GETPIVOTDATA("Somma di AVERE EUR",'Pivot RakBank AED'!$A$3,"Mese",12,"Tipologia",$A105),0)
+IFERROR(GETPIVOTDATA("Somma di DARE",'Pivot RakBank EUR'!$A$3,"Mese",12,"Tipologia",$A105),0)
- IFERROR(GETPIVOTDATA("Somma di AVERE",'Pivot RakBank EUR'!$A$3,"Mese",12,"Tipologia",$A105),0)
+IFERROR(GETPIVOTDATA("Somma di DARE",'Pivot Fineco Sa'!$A$3,"Mese",12,"Tipologia",$A105),0)
+ IFERROR(GETPIVOTDATA("Somma di DARE",'Pivot Fineco St'!$A$3,"Mese",12,"Tipologia",$A105),0)
+ Contanti!AT26
+ IFERROR(GETPIVOTDATA("Somma di DARE",'Pivot BBVA'!$A$3,"Mese",12,"Tipologia",$A105),0)
+ IFERROR(GETPIVOTDATA("Somma di DARE",'Pivot Amex'!$A$3,"Mese",12,"Tipologia",$A105),0)
- IFERROR(GETPIVOTDATA("Somma di AVERE",'Pivot Amex'!$A$3,"Mese",12,"Tipologia",$A105),0)
- IFERROR(GETPIVOTDATA("Somma di AVERE",'Pivot BBVA'!$A$3,"Mese",12,"Tipologia",$A105),0)
- IFERROR(GETPIVOTDATA("Somma di AVERE",'Pivot Fineco St'!$A$3,"Mese",12,"Tipologia",$A105),0)
- IFERROR(GETPIVOTDATA("Somma di AVERE",'Pivot Fineco Sa'!$A$3,"Mese",12,"Tipologia",$A105),0)
+ IFERROR(GETPIVOTDATA("Somma di DARE",'Pivot PP Visa'!$A$3,"Mese",12,"Tipologia",$A105),0)
- IFERROR(GETPIVOTDATA("Somma di AVERE",'Pivot PP Visa'!$A$3,"Mese",12,"Tipologia",$A105),0)
+ IFERROR(GETPIVOTDATA("Somma di DARE",'Pivot Revolut'!$A$3,"Mese",12,"Tipologia",$A105),0)
- IFERROR(GETPIVOTDATA("Somma di AVERE",'Pivot Revolut'!$A$3,"Mese",12,"Tipologia",$A105),0)</f>
        <v>0</v>
      </c>
      <c r="O105" s="252">
        <f>SUM(C105:N105)</f>
        <v>4336.3900000000003</v>
      </c>
      <c r="P105" s="243">
        <f t="shared" ref="P105:P107" ca="1" si="9">O105/(MONTH(TODAY()))</f>
        <v>619.48428571428576</v>
      </c>
    </row>
    <row r="106" spans="1:16" s="125" customFormat="1" ht="21" customHeight="1" x14ac:dyDescent="0.2">
      <c r="A106" s="251" t="s">
        <v>46</v>
      </c>
      <c r="B106" s="251"/>
      <c r="C106" s="243">
        <f>IFERROR(GETPIVOTDATA("Somma di DARE EUR",'Pivot RakBank AED'!$A$3,"Mese",1,"Tipologia",$A106),0)
- IFERROR(GETPIVOTDATA("Somma di AVERE EUR",'Pivot RakBank AED'!$A$3,"Mese",1,"Tipologia",$A106),0)
+IFERROR(GETPIVOTDATA("Somma di DARE",'Pivot RakBank EUR'!$A$3,"Mese",1,"Tipologia",$A106),0)
- IFERROR(GETPIVOTDATA("Somma di AVERE",'Pivot RakBank EUR'!$A$3,"Mese",1,"Tipologia",$A106),0)
+IFERROR(GETPIVOTDATA("Somma di DARE",'Pivot Fineco Sa'!$A$3,"Mese",1,"Tipologia",$A106),0)
+ IFERROR(GETPIVOTDATA("Somma di DARE",'Pivot Fineco St'!$A$3,"Mese",1,"Tipologia",$A106),0)
+ Contanti!B27
+ IFERROR(GETPIVOTDATA("Somma di DARE",'Pivot BBVA'!$A$3,"Mese",1,"Tipologia",$A106),0)
+ IFERROR(GETPIVOTDATA("Somma di DARE",'Pivot Amex'!$A$3,"Mese",1,"Tipologia",$A106),0)
- IFERROR(GETPIVOTDATA("Somma di AVERE",'Pivot Amex'!$A$3,"Mese",1,"Tipologia",$A106),0)
- IFERROR(GETPIVOTDATA("Somma di AVERE",'Pivot BBVA'!$A$3,"Mese",1,"Tipologia",$A106),0)
- IFERROR(GETPIVOTDATA("Somma di AVERE",'Pivot Fineco St'!$A$3,"Mese",1,"Tipologia",$A106),0)
- IFERROR(GETPIVOTDATA("Somma di AVERE",'Pivot Fineco Sa'!$A$3,"Mese",1,"Tipologia",$A106),0)
+ IFERROR(GETPIVOTDATA("Somma di DARE",'Pivot PP Visa'!$A$3,"Mese",1,"Tipologia",$A106),0)
- IFERROR(GETPIVOTDATA("Somma di AVERE",'Pivot PP Visa'!$A$3,"Mese",1,"Tipologia",$A106),0)
+ IFERROR(GETPIVOTDATA("Somma di DARE",'Pivot Revolut'!$A$3,"Mese",1,"Tipologia",$A106),0)
- IFERROR(GETPIVOTDATA("Somma di AVERE",'Pivot Revolut'!$A$3,"Mese",1,"Tipologia",$A106),0)</f>
        <v>102.64999999999999</v>
      </c>
      <c r="D106" s="243">
        <f>IFERROR(GETPIVOTDATA("Somma di DARE EUR",'Pivot RakBank AED'!$A$3,"Mese",2,"Tipologia",$A106),0)
- IFERROR(GETPIVOTDATA("Somma di AVERE EUR",'Pivot RakBank AED'!$A$3,"Mese",2,"Tipologia",$A106),0)
+IFERROR(GETPIVOTDATA("Somma di DARE",'Pivot RakBank EUR'!$A$3,"Mese",2,"Tipologia",$A106),0)
- IFERROR(GETPIVOTDATA("Somma di AVERE",'Pivot RakBank EUR'!$A$3,"Mese",2,"Tipologia",$A106),0)
+IFERROR(GETPIVOTDATA("Somma di DARE",'Pivot Fineco Sa'!$A$3,"Mese",2,"Tipologia",$A106),0)
+ IFERROR(GETPIVOTDATA("Somma di DARE",'Pivot Fineco St'!$A$3,"Mese",2,"Tipologia",$A106),0)
+ Contanti!F27
+ IFERROR(GETPIVOTDATA("Somma di DARE",'Pivot BBVA'!$A$3,"Mese",2,"Tipologia",$A106),0)
+ IFERROR(GETPIVOTDATA("Somma di DARE",'Pivot Amex'!$A$3,"Mese",2,"Tipologia",$A106),0)
- IFERROR(GETPIVOTDATA("Somma di AVERE",'Pivot Amex'!$A$3,"Mese",2,"Tipologia",$A106),0)
- IFERROR(GETPIVOTDATA("Somma di AVERE",'Pivot BBVA'!$A$3,"Mese",2,"Tipologia",$A106),0)
- IFERROR(GETPIVOTDATA("Somma di AVERE",'Pivot Fineco St'!$A$3,"Mese",2,"Tipologia",$A106),0)
- IFERROR(GETPIVOTDATA("Somma di AVERE",'Pivot Fineco Sa'!$A$3,"Mese",2,"Tipologia",$A106),0)
+ IFERROR(GETPIVOTDATA("Somma di DARE",'Pivot PP Visa'!$A$3,"Mese",2,"Tipologia",$A106),0)
- IFERROR(GETPIVOTDATA("Somma di AVERE",'Pivot PP Visa'!$A$3,"Mese",2,"Tipologia",$A106),0)
+ IFERROR(GETPIVOTDATA("Somma di DARE",'Pivot Revolut'!$A$3,"Mese",2,"Tipologia",$A106),0)
- IFERROR(GETPIVOTDATA("Somma di AVERE",'Pivot Revolut'!$A$3,"Mese",2,"Tipologia",$A106),0)</f>
        <v>22</v>
      </c>
      <c r="E106" s="243">
        <f>IFERROR(GETPIVOTDATA("Somma di DARE EUR",'Pivot RakBank AED'!$A$3,"Mese",3,"Tipologia",$A106),0)
- IFERROR(GETPIVOTDATA("Somma di AVERE EUR",'Pivot RakBank AED'!$A$3,"Mese",3,"Tipologia",$A106),0)
+IFERROR(GETPIVOTDATA("Somma di DARE",'Pivot RakBank EUR'!$A$3,"Mese",3,"Tipologia",$A106),0)
- IFERROR(GETPIVOTDATA("Somma di AVERE",'Pivot RakBank EUR'!$A$3,"Mese",3,"Tipologia",$A106),0)
+IFERROR(GETPIVOTDATA("Somma di DARE",'Pivot Fineco Sa'!$A$3,"Mese",3,"Tipologia",$A106),0)
+ IFERROR(GETPIVOTDATA("Somma di DARE",'Pivot Fineco St'!$A$3,"Mese",3,"Tipologia",$A106),0)
+ Contanti!J27
+ IFERROR(GETPIVOTDATA("Somma di DARE",'Pivot BBVA'!$A$3,"Mese",3,"Tipologia",$A106),0)
+ IFERROR(GETPIVOTDATA("Somma di DARE",'Pivot Amex'!$A$3,"Mese",3,"Tipologia",$A106),0)
- IFERROR(GETPIVOTDATA("Somma di AVERE",'Pivot Amex'!$A$3,"Mese",3,"Tipologia",$A106),0)
- IFERROR(GETPIVOTDATA("Somma di AVERE",'Pivot BBVA'!$A$3,"Mese",3,"Tipologia",$A106),0)
- IFERROR(GETPIVOTDATA("Somma di AVERE",'Pivot Fineco St'!$A$3,"Mese",3,"Tipologia",$A106),0)
- IFERROR(GETPIVOTDATA("Somma di AVERE",'Pivot Fineco Sa'!$A$3,"Mese",3,"Tipologia",$A106),0)
+ IFERROR(GETPIVOTDATA("Somma di DARE",'Pivot PP Visa'!$A$3,"Mese",3,"Tipologia",$A106),0)
- IFERROR(GETPIVOTDATA("Somma di AVERE",'Pivot PP Visa'!$A$3,"Mese",3,"Tipologia",$A106),0)
+ IFERROR(GETPIVOTDATA("Somma di DARE",'Pivot Revolut'!$A$3,"Mese",3,"Tipologia",$A106),0)
- IFERROR(GETPIVOTDATA("Somma di AVERE",'Pivot Revolut'!$A$3,"Mese",3,"Tipologia",$A106),0)</f>
        <v>104.90000000000002</v>
      </c>
      <c r="F106" s="243">
        <f>IFERROR(GETPIVOTDATA("Somma di DARE EUR",'Pivot RakBank AED'!$A$3,"Mese",4,"Tipologia",$A106),0)
- IFERROR(GETPIVOTDATA("Somma di AVERE EUR",'Pivot RakBank AED'!$A$3,"Mese",4,"Tipologia",$A106),0)
+IFERROR(GETPIVOTDATA("Somma di DARE",'Pivot RakBank EUR'!$A$3,"Mese",4,"Tipologia",$A106),0)
- IFERROR(GETPIVOTDATA("Somma di AVERE",'Pivot RakBank EUR'!$A$3,"Mese",4,"Tipologia",$A106),0)
+IFERROR(GETPIVOTDATA("Somma di DARE",'Pivot Fineco Sa'!$A$3,"Mese",4,"Tipologia",$A106),0)
+ IFERROR(GETPIVOTDATA("Somma di DARE",'Pivot Fineco St'!$A$3,"Mese",4,"Tipologia",$A106),0)
+ Contanti!N27
+ IFERROR(GETPIVOTDATA("Somma di DARE",'Pivot BBVA'!$A$3,"Mese",4,"Tipologia",$A106),0)
+ IFERROR(GETPIVOTDATA("Somma di DARE",'Pivot Amex'!$A$3,"Mese",4,"Tipologia",$A106),0)
- IFERROR(GETPIVOTDATA("Somma di AVERE",'Pivot Amex'!$A$3,"Mese",4,"Tipologia",$A106),0)
- IFERROR(GETPIVOTDATA("Somma di AVERE",'Pivot BBVA'!$A$3,"Mese",4,"Tipologia",$A106),0)
- IFERROR(GETPIVOTDATA("Somma di AVERE",'Pivot Fineco St'!$A$3,"Mese",4,"Tipologia",$A106),0)
- IFERROR(GETPIVOTDATA("Somma di AVERE",'Pivot Fineco Sa'!$A$3,"Mese",4,"Tipologia",$A106),0)
+ IFERROR(GETPIVOTDATA("Somma di DARE",'Pivot PP Visa'!$A$3,"Mese",4,"Tipologia",$A106),0)
- IFERROR(GETPIVOTDATA("Somma di AVERE",'Pivot PP Visa'!$A$3,"Mese",4,"Tipologia",$A106),0)
+ IFERROR(GETPIVOTDATA("Somma di DARE",'Pivot Revolut'!$A$3,"Mese",4,"Tipologia",$A106),0)
- IFERROR(GETPIVOTDATA("Somma di AVERE",'Pivot Revolut'!$A$3,"Mese",4,"Tipologia",$A106),0)</f>
        <v>112.46</v>
      </c>
      <c r="G106" s="243">
        <f>IFERROR(GETPIVOTDATA("Somma di DARE EUR",'Pivot RakBank AED'!$A$3,"Mese",5,"Tipologia",$A106),0)
- IFERROR(GETPIVOTDATA("Somma di AVERE EUR",'Pivot RakBank AED'!$A$3,"Mese",5,"Tipologia",$A106),0)
+IFERROR(GETPIVOTDATA("Somma di DARE",'Pivot RakBank EUR'!$A$3,"Mese",5,"Tipologia",$A106),0)
- IFERROR(GETPIVOTDATA("Somma di AVERE",'Pivot RakBank EUR'!$A$3,"Mese",5,"Tipologia",$A106),0)
+IFERROR(GETPIVOTDATA("Somma di DARE",'Pivot Fineco Sa'!$A$3,"Mese",5,"Tipologia",$A106),0)
+ IFERROR(GETPIVOTDATA("Somma di DARE",'Pivot Fineco St'!$A$3,"Mese",5,"Tipologia",$A106),0)
+ Contanti!R27
+ IFERROR(GETPIVOTDATA("Somma di DARE",'Pivot BBVA'!$A$3,"Mese",5,"Tipologia",$A106),0)
+ IFERROR(GETPIVOTDATA("Somma di DARE",'Pivot Amex'!$A$3,"Mese",5,"Tipologia",$A106),0)
- IFERROR(GETPIVOTDATA("Somma di AVERE",'Pivot Amex'!$A$3,"Mese",5,"Tipologia",$A106),0)
- IFERROR(GETPIVOTDATA("Somma di AVERE",'Pivot BBVA'!$A$3,"Mese",5,"Tipologia",$A106),0)
- IFERROR(GETPIVOTDATA("Somma di AVERE",'Pivot Fineco St'!$A$3,"Mese",5,"Tipologia",$A106),0)
- IFERROR(GETPIVOTDATA("Somma di AVERE",'Pivot Fineco Sa'!$A$3,"Mese",5,"Tipologia",$A106),0)
+ IFERROR(GETPIVOTDATA("Somma di DARE",'Pivot PP Visa'!$A$3,"Mese",5,"Tipologia",$A106),0)
- IFERROR(GETPIVOTDATA("Somma di AVERE",'Pivot PP Visa'!$A$3,"Mese",5,"Tipologia",$A106),0)
+ IFERROR(GETPIVOTDATA("Somma di DARE",'Pivot Revolut'!$A$3,"Mese",5,"Tipologia",$A106),0)
- IFERROR(GETPIVOTDATA("Somma di AVERE",'Pivot Revolut'!$A$3,"Mese",5,"Tipologia",$A106),0)</f>
        <v>122.9</v>
      </c>
      <c r="H106" s="243">
        <f>IFERROR(GETPIVOTDATA("Somma di DARE EUR",'Pivot RakBank AED'!$A$3,"Mese",6,"Tipologia",$A106),0)
- IFERROR(GETPIVOTDATA("Somma di AVERE EUR",'Pivot RakBank AED'!$A$3,"Mese",6,"Tipologia",$A106),0)
+IFERROR(GETPIVOTDATA("Somma di DARE",'Pivot RakBank EUR'!$A$3,"Mese",6,"Tipologia",$A106),0)
- IFERROR(GETPIVOTDATA("Somma di AVERE",'Pivot RakBank EUR'!$A$3,"Mese",6,"Tipologia",$A106),0)
+IFERROR(GETPIVOTDATA("Somma di DARE",'Pivot Fineco Sa'!$A$3,"Mese",6,"Tipologia",$A106),0)
+ IFERROR(GETPIVOTDATA("Somma di DARE",'Pivot Fineco St'!$A$3,"Mese",6,"Tipologia",$A106),0)
+ Contanti!V27
+ IFERROR(GETPIVOTDATA("Somma di DARE",'Pivot BBVA'!$A$3,"Mese",6,"Tipologia",$A106),0)
+ IFERROR(GETPIVOTDATA("Somma di DARE",'Pivot Amex'!$A$3,"Mese",6,"Tipologia",$A106),0)
- IFERROR(GETPIVOTDATA("Somma di AVERE",'Pivot Amex'!$A$3,"Mese",6,"Tipologia",$A106),0)
- IFERROR(GETPIVOTDATA("Somma di AVERE",'Pivot BBVA'!$A$3,"Mese",6,"Tipologia",$A106),0)
- IFERROR(GETPIVOTDATA("Somma di AVERE",'Pivot Fineco St'!$A$3,"Mese",6,"Tipologia",$A106),0)
- IFERROR(GETPIVOTDATA("Somma di AVERE",'Pivot Fineco Sa'!$A$3,"Mese",6,"Tipologia",$A106),0)
+ IFERROR(GETPIVOTDATA("Somma di DARE",'Pivot PP Visa'!$A$3,"Mese",6,"Tipologia",$A106),0)
- IFERROR(GETPIVOTDATA("Somma di AVERE",'Pivot PP Visa'!$A$3,"Mese",6,"Tipologia",$A106),0)
+ IFERROR(GETPIVOTDATA("Somma di DARE",'Pivot Revolut'!$A$3,"Mese",6,"Tipologia",$A106),0)
- IFERROR(GETPIVOTDATA("Somma di AVERE",'Pivot Revolut'!$A$3,"Mese",6,"Tipologia",$A106),0)</f>
        <v>111.55000000000001</v>
      </c>
      <c r="I106" s="243">
        <f>IFERROR(GETPIVOTDATA("Somma di DARE EUR",'Pivot RakBank AED'!$A$3,"Mese",7,"Tipologia",$A106),0)
- IFERROR(GETPIVOTDATA("Somma di AVERE EUR",'Pivot RakBank AED'!$A$3,"Mese",7,"Tipologia",$A106),0)
+IFERROR(GETPIVOTDATA("Somma di DARE",'Pivot RakBank EUR'!$A$3,"Mese",7,"Tipologia",$A106),0)
- IFERROR(GETPIVOTDATA("Somma di AVERE",'Pivot RakBank EUR'!$A$3,"Mese",7,"Tipologia",$A106),0)
+IFERROR(GETPIVOTDATA("Somma di DARE",'Pivot Fineco Sa'!$A$3,"Mese",7,"Tipologia",$A106),0)
+ IFERROR(GETPIVOTDATA("Somma di DARE",'Pivot Fineco St'!$A$3,"Mese",7,"Tipologia",$A106),0)
+ Contanti!Z27
+ IFERROR(GETPIVOTDATA("Somma di DARE",'Pivot BBVA'!$A$3,"Mese",7,"Tipologia",$A106),0)
+ IFERROR(GETPIVOTDATA("Somma di DARE",'Pivot Amex'!$A$3,"Mese",7,"Tipologia",$A106),0)
- IFERROR(GETPIVOTDATA("Somma di AVERE",'Pivot Amex'!$A$3,"Mese",7,"Tipologia",$A106),0)
- IFERROR(GETPIVOTDATA("Somma di AVERE",'Pivot BBVA'!$A$3,"Mese",7,"Tipologia",$A106),0)
- IFERROR(GETPIVOTDATA("Somma di AVERE",'Pivot Fineco St'!$A$3,"Mese",7,"Tipologia",$A106),0)
- IFERROR(GETPIVOTDATA("Somma di AVERE",'Pivot Fineco Sa'!$A$3,"Mese",7,"Tipologia",$A106),0)
+ IFERROR(GETPIVOTDATA("Somma di DARE",'Pivot PP Visa'!$A$3,"Mese",7,"Tipologia",$A106),0)
- IFERROR(GETPIVOTDATA("Somma di AVERE",'Pivot PP Visa'!$A$3,"Mese",7,"Tipologia",$A106),0)
+ IFERROR(GETPIVOTDATA("Somma di DARE",'Pivot Revolut'!$A$3,"Mese",7,"Tipologia",$A106),0)
- IFERROR(GETPIVOTDATA("Somma di AVERE",'Pivot Revolut'!$A$3,"Mese",7,"Tipologia",$A106),0)</f>
        <v>7.4</v>
      </c>
      <c r="J106" s="243">
        <f>IFERROR(GETPIVOTDATA("Somma di DARE EUR",'Pivot RakBank AED'!$A$3,"Mese",8,"Tipologia",$A106),0)
- IFERROR(GETPIVOTDATA("Somma di AVERE EUR",'Pivot RakBank AED'!$A$3,"Mese",8,"Tipologia",$A106),0)
+IFERROR(GETPIVOTDATA("Somma di DARE",'Pivot RakBank EUR'!$A$3,"Mese",8,"Tipologia",$A106),0)
- IFERROR(GETPIVOTDATA("Somma di AVERE",'Pivot RakBank EUR'!$A$3,"Mese",8,"Tipologia",$A106),0)
+IFERROR(GETPIVOTDATA("Somma di DARE",'Pivot Fineco Sa'!$A$3,"Mese",8,"Tipologia",$A106),0)
+ IFERROR(GETPIVOTDATA("Somma di DARE",'Pivot Fineco St'!$A$3,"Mese",8,"Tipologia",$A106),0)
+ Contanti!AD27
+ IFERROR(GETPIVOTDATA("Somma di DARE",'Pivot BBVA'!$A$3,"Mese",8,"Tipologia",$A106),0)
+ IFERROR(GETPIVOTDATA("Somma di DARE",'Pivot Amex'!$A$3,"Mese",8,"Tipologia",$A106),0)
- IFERROR(GETPIVOTDATA("Somma di AVERE",'Pivot Amex'!$A$3,"Mese",8,"Tipologia",$A106),0)
- IFERROR(GETPIVOTDATA("Somma di AVERE",'Pivot BBVA'!$A$3,"Mese",8,"Tipologia",$A106),0)
- IFERROR(GETPIVOTDATA("Somma di AVERE",'Pivot Fineco St'!$A$3,"Mese",8,"Tipologia",$A106),0)
- IFERROR(GETPIVOTDATA("Somma di AVERE",'Pivot Fineco Sa'!$A$3,"Mese",8,"Tipologia",$A106),0)
+ IFERROR(GETPIVOTDATA("Somma di DARE",'Pivot PP Visa'!$A$3,"Mese",8,"Tipologia",$A106),0)
- IFERROR(GETPIVOTDATA("Somma di AVERE",'Pivot PP Visa'!$A$3,"Mese",8,"Tipologia",$A106),0)
+ IFERROR(GETPIVOTDATA("Somma di DARE",'Pivot Revolut'!$A$3,"Mese",8,"Tipologia",$A106),0)
- IFERROR(GETPIVOTDATA("Somma di AVERE",'Pivot Revolut'!$A$3,"Mese",8,"Tipologia",$A106),0)</f>
        <v>0</v>
      </c>
      <c r="K106" s="243">
        <f>IFERROR(GETPIVOTDATA("Somma di DARE EUR",'Pivot RakBank AED'!$A$3,"Mese",9,"Tipologia",$A106),0)
- IFERROR(GETPIVOTDATA("Somma di AVERE EUR",'Pivot RakBank AED'!$A$3,"Mese",9,"Tipologia",$A106),0)
+IFERROR(GETPIVOTDATA("Somma di DARE",'Pivot RakBank EUR'!$A$3,"Mese",9,"Tipologia",$A106),0)
- IFERROR(GETPIVOTDATA("Somma di AVERE",'Pivot RakBank EUR'!$A$3,"Mese",9,"Tipologia",$A106),0)
+IFERROR(GETPIVOTDATA("Somma di DARE",'Pivot Fineco Sa'!$A$3,"Mese",9,"Tipologia",$A106),0)
+ IFERROR(GETPIVOTDATA("Somma di DARE",'Pivot Fineco St'!$A$3,"Mese",9,"Tipologia",$A106),0)
+ Contanti!AH27
+ IFERROR(GETPIVOTDATA("Somma di DARE",'Pivot BBVA'!$A$3,"Mese",9,"Tipologia",$A106),0)
+ IFERROR(GETPIVOTDATA("Somma di DARE",'Pivot Amex'!$A$3,"Mese",9,"Tipologia",$A106),0)
- IFERROR(GETPIVOTDATA("Somma di AVERE",'Pivot Amex'!$A$3,"Mese",9,"Tipologia",$A106),0)
- IFERROR(GETPIVOTDATA("Somma di AVERE",'Pivot BBVA'!$A$3,"Mese",9,"Tipologia",$A106),0)
- IFERROR(GETPIVOTDATA("Somma di AVERE",'Pivot Fineco St'!$A$3,"Mese",9,"Tipologia",$A106),0)
- IFERROR(GETPIVOTDATA("Somma di AVERE",'Pivot Fineco Sa'!$A$3,"Mese",9,"Tipologia",$A106),0)
+ IFERROR(GETPIVOTDATA("Somma di DARE",'Pivot PP Visa'!$A$3,"Mese",9,"Tipologia",$A106),0)
- IFERROR(GETPIVOTDATA("Somma di AVERE",'Pivot PP Visa'!$A$3,"Mese",9,"Tipologia",$A106),0)
+ IFERROR(GETPIVOTDATA("Somma di DARE",'Pivot Revolut'!$A$3,"Mese",9,"Tipologia",$A106),0)
- IFERROR(GETPIVOTDATA("Somma di AVERE",'Pivot Revolut'!$A$3,"Mese",9,"Tipologia",$A106),0)</f>
        <v>0</v>
      </c>
      <c r="L106" s="243">
        <f>IFERROR(GETPIVOTDATA("Somma di DARE EUR",'Pivot RakBank AED'!$A$3,"Mese",10,"Tipologia",$A106),0)
- IFERROR(GETPIVOTDATA("Somma di AVERE EUR",'Pivot RakBank AED'!$A$3,"Mese",10,"Tipologia",$A106),0)
+IFERROR(GETPIVOTDATA("Somma di DARE",'Pivot RakBank EUR'!$A$3,"Mese",10,"Tipologia",$A106),0)
- IFERROR(GETPIVOTDATA("Somma di AVERE",'Pivot RakBank EUR'!$A$3,"Mese",10,"Tipologia",$A106),0)
+IFERROR(GETPIVOTDATA("Somma di DARE",'Pivot Fineco Sa'!$A$3,"Mese",10,"Tipologia",$A106),0)
+ IFERROR(GETPIVOTDATA("Somma di DARE",'Pivot Fineco St'!$A$3,"Mese",10,"Tipologia",$A106),0)
+ Contanti!AL27
+ IFERROR(GETPIVOTDATA("Somma di DARE",'Pivot BBVA'!$A$3,"Mese",10,"Tipologia",$A106),0)
+ IFERROR(GETPIVOTDATA("Somma di DARE",'Pivot Amex'!$A$3,"Mese",10,"Tipologia",$A106),0)
- IFERROR(GETPIVOTDATA("Somma di AVERE",'Pivot Amex'!$A$3,"Mese",10,"Tipologia",$A106),0)
- IFERROR(GETPIVOTDATA("Somma di AVERE",'Pivot BBVA'!$A$3,"Mese",10,"Tipologia",$A106),0)
- IFERROR(GETPIVOTDATA("Somma di AVERE",'Pivot Fineco St'!$A$3,"Mese",10,"Tipologia",$A106),0)
- IFERROR(GETPIVOTDATA("Somma di AVERE",'Pivot Fineco Sa'!$A$3,"Mese",10,"Tipologia",$A106),0)
+ IFERROR(GETPIVOTDATA("Somma di DARE",'Pivot PP Visa'!$A$3,"Mese",10,"Tipologia",$A106),0)
- IFERROR(GETPIVOTDATA("Somma di AVERE",'Pivot PP Visa'!$A$3,"Mese",10,"Tipologia",$A106),0)
+ IFERROR(GETPIVOTDATA("Somma di DARE",'Pivot Revolut'!$A$3,"Mese",10,"Tipologia",$A106),0)
- IFERROR(GETPIVOTDATA("Somma di AVERE",'Pivot Revolut'!$A$3,"Mese",10,"Tipologia",$A106),0)</f>
        <v>0</v>
      </c>
      <c r="M106" s="243">
        <f>IFERROR(GETPIVOTDATA("Somma di DARE EUR",'Pivot RakBank AED'!$A$3,"Mese",11,"Tipologia",$A106),0)
- IFERROR(GETPIVOTDATA("Somma di AVERE EUR",'Pivot RakBank AED'!$A$3,"Mese",11,"Tipologia",$A106),0)
+IFERROR(GETPIVOTDATA("Somma di DARE",'Pivot RakBank EUR'!$A$3,"Mese",11,"Tipologia",$A106),0)
- IFERROR(GETPIVOTDATA("Somma di AVERE",'Pivot RakBank EUR'!$A$3,"Mese",11,"Tipologia",$A106),0)
+IFERROR(GETPIVOTDATA("Somma di DARE",'Pivot Fineco Sa'!$A$3,"Mese",11,"Tipologia",$A106),0)
+ IFERROR(GETPIVOTDATA("Somma di DARE",'Pivot Fineco St'!$A$3,"Mese",11,"Tipologia",$A106),0)
+ Contanti!AP27
+ IFERROR(GETPIVOTDATA("Somma di DARE",'Pivot BBVA'!$A$3,"Mese",11,"Tipologia",$A106),0)
+ IFERROR(GETPIVOTDATA("Somma di DARE",'Pivot Amex'!$A$3,"Mese",11,"Tipologia",$A106),0)
- IFERROR(GETPIVOTDATA("Somma di AVERE",'Pivot Amex'!$A$3,"Mese",11,"Tipologia",$A106),0)
- IFERROR(GETPIVOTDATA("Somma di AVERE",'Pivot BBVA'!$A$3,"Mese",11,"Tipologia",$A106),0)
- IFERROR(GETPIVOTDATA("Somma di AVERE",'Pivot Fineco St'!$A$3,"Mese",11,"Tipologia",$A106),0)
- IFERROR(GETPIVOTDATA("Somma di AVERE",'Pivot Fineco Sa'!$A$3,"Mese",11,"Tipologia",$A106),0)
+ IFERROR(GETPIVOTDATA("Somma di DARE",'Pivot PP Visa'!$A$3,"Mese",11,"Tipologia",$A106),0)
- IFERROR(GETPIVOTDATA("Somma di AVERE",'Pivot PP Visa'!$A$3,"Mese",11,"Tipologia",$A106),0)
+ IFERROR(GETPIVOTDATA("Somma di DARE",'Pivot Revolut'!$A$3,"Mese",11,"Tipologia",$A106),0)
- IFERROR(GETPIVOTDATA("Somma di AVERE",'Pivot Revolut'!$A$3,"Mese",11,"Tipologia",$A106),0)</f>
        <v>0</v>
      </c>
      <c r="N106" s="243">
        <f>IFERROR(GETPIVOTDATA("Somma di DARE EUR",'Pivot RakBank AED'!$A$3,"Mese",12,"Tipologia",$A106),0)
- IFERROR(GETPIVOTDATA("Somma di AVERE EUR",'Pivot RakBank AED'!$A$3,"Mese",12,"Tipologia",$A106),0)
+IFERROR(GETPIVOTDATA("Somma di DARE",'Pivot RakBank EUR'!$A$3,"Mese",12,"Tipologia",$A106),0)
- IFERROR(GETPIVOTDATA("Somma di AVERE",'Pivot RakBank EUR'!$A$3,"Mese",12,"Tipologia",$A106),0)
+IFERROR(GETPIVOTDATA("Somma di DARE",'Pivot Fineco Sa'!$A$3,"Mese",12,"Tipologia",$A106),0)
+ IFERROR(GETPIVOTDATA("Somma di DARE",'Pivot Fineco St'!$A$3,"Mese",12,"Tipologia",$A106),0)
+ Contanti!AT27
+ IFERROR(GETPIVOTDATA("Somma di DARE",'Pivot BBVA'!$A$3,"Mese",12,"Tipologia",$A106),0)
+ IFERROR(GETPIVOTDATA("Somma di DARE",'Pivot Amex'!$A$3,"Mese",12,"Tipologia",$A106),0)
- IFERROR(GETPIVOTDATA("Somma di AVERE",'Pivot Amex'!$A$3,"Mese",12,"Tipologia",$A106),0)
- IFERROR(GETPIVOTDATA("Somma di AVERE",'Pivot BBVA'!$A$3,"Mese",12,"Tipologia",$A106),0)
- IFERROR(GETPIVOTDATA("Somma di AVERE",'Pivot Fineco St'!$A$3,"Mese",12,"Tipologia",$A106),0)
- IFERROR(GETPIVOTDATA("Somma di AVERE",'Pivot Fineco Sa'!$A$3,"Mese",12,"Tipologia",$A106),0)
+ IFERROR(GETPIVOTDATA("Somma di DARE",'Pivot PP Visa'!$A$3,"Mese",12,"Tipologia",$A106),0)
- IFERROR(GETPIVOTDATA("Somma di AVERE",'Pivot PP Visa'!$A$3,"Mese",12,"Tipologia",$A106),0)
+ IFERROR(GETPIVOTDATA("Somma di DARE",'Pivot Revolut'!$A$3,"Mese",12,"Tipologia",$A106),0)
- IFERROR(GETPIVOTDATA("Somma di AVERE",'Pivot Revolut'!$A$3,"Mese",12,"Tipologia",$A106),0)</f>
        <v>0</v>
      </c>
      <c r="O106" s="252">
        <f>SUM(C106:N106)</f>
        <v>583.86</v>
      </c>
      <c r="P106" s="243">
        <f t="shared" ca="1" si="9"/>
        <v>83.408571428571435</v>
      </c>
    </row>
    <row r="107" spans="1:16" s="125" customFormat="1" ht="21" customHeight="1" x14ac:dyDescent="0.2">
      <c r="A107" s="251" t="s">
        <v>47</v>
      </c>
      <c r="B107" s="251"/>
      <c r="C107" s="243">
        <f>IFERROR(GETPIVOTDATA("Somma di DARE EUR",'Pivot RakBank AED'!$A$3,"Mese",1,"Tipologia",$A107),0)
- IFERROR(GETPIVOTDATA("Somma di AVERE EUR",'Pivot RakBank AED'!$A$3,"Mese",1,"Tipologia",$A107),0)
+IFERROR(GETPIVOTDATA("Somma di DARE",'Pivot RakBank EUR'!$A$3,"Mese",1,"Tipologia",$A107),0)
- IFERROR(GETPIVOTDATA("Somma di AVERE",'Pivot RakBank EUR'!$A$3,"Mese",1,"Tipologia",$A107),0)
+IFERROR(GETPIVOTDATA("Somma di DARE",'Pivot Fineco Sa'!$A$3,"Mese",1,"Tipologia",$A107),0)
+ IFERROR(GETPIVOTDATA("Somma di DARE",'Pivot Fineco St'!$A$3,"Mese",1,"Tipologia",$A107),0)
+ Contanti!B28
+ IFERROR(GETPIVOTDATA("Somma di DARE",'Pivot BBVA'!$A$3,"Mese",1,"Tipologia",$A107),0)
+ IFERROR(GETPIVOTDATA("Somma di DARE",'Pivot Amex'!$A$3,"Mese",1,"Tipologia",$A107),0)
- IFERROR(GETPIVOTDATA("Somma di AVERE",'Pivot Amex'!$A$3,"Mese",1,"Tipologia",$A107),0)
- IFERROR(GETPIVOTDATA("Somma di AVERE",'Pivot BBVA'!$A$3,"Mese",1,"Tipologia",$A107),0)
- IFERROR(GETPIVOTDATA("Somma di AVERE",'Pivot Fineco St'!$A$3,"Mese",1,"Tipologia",$A107),0)
- IFERROR(GETPIVOTDATA("Somma di AVERE",'Pivot Fineco Sa'!$A$3,"Mese",1,"Tipologia",$A107),0)
+ IFERROR(GETPIVOTDATA("Somma di DARE",'Pivot PP Visa'!$A$3,"Mese",1,"Tipologia",$A107),0)
- IFERROR(GETPIVOTDATA("Somma di AVERE",'Pivot PP Visa'!$A$3,"Mese",1,"Tipologia",$A107),0)
+ IFERROR(GETPIVOTDATA("Somma di DARE",'Pivot Revolut'!$A$3,"Mese",1,"Tipologia",$A107),0)
- IFERROR(GETPIVOTDATA("Somma di AVERE",'Pivot Revolut'!$A$3,"Mese",1,"Tipologia",$A107),0)</f>
        <v>233.1</v>
      </c>
      <c r="D107" s="243">
        <f>IFERROR(GETPIVOTDATA("Somma di DARE EUR",'Pivot RakBank AED'!$A$3,"Mese",2,"Tipologia",$A107),0)
- IFERROR(GETPIVOTDATA("Somma di AVERE EUR",'Pivot RakBank AED'!$A$3,"Mese",2,"Tipologia",$A107),0)
+IFERROR(GETPIVOTDATA("Somma di DARE",'Pivot RakBank EUR'!$A$3,"Mese",2,"Tipologia",$A107),0)
- IFERROR(GETPIVOTDATA("Somma di AVERE",'Pivot RakBank EUR'!$A$3,"Mese",2,"Tipologia",$A107),0)
+IFERROR(GETPIVOTDATA("Somma di DARE",'Pivot Fineco Sa'!$A$3,"Mese",2,"Tipologia",$A107),0)
+ IFERROR(GETPIVOTDATA("Somma di DARE",'Pivot Fineco St'!$A$3,"Mese",2,"Tipologia",$A107),0)
+ Contanti!F28
+ IFERROR(GETPIVOTDATA("Somma di DARE",'Pivot BBVA'!$A$3,"Mese",2,"Tipologia",$A107),0)
+ IFERROR(GETPIVOTDATA("Somma di DARE",'Pivot Amex'!$A$3,"Mese",2,"Tipologia",$A107),0)
- IFERROR(GETPIVOTDATA("Somma di AVERE",'Pivot Amex'!$A$3,"Mese",2,"Tipologia",$A107),0)
- IFERROR(GETPIVOTDATA("Somma di AVERE",'Pivot BBVA'!$A$3,"Mese",2,"Tipologia",$A107),0)
- IFERROR(GETPIVOTDATA("Somma di AVERE",'Pivot Fineco St'!$A$3,"Mese",2,"Tipologia",$A107),0)
- IFERROR(GETPIVOTDATA("Somma di AVERE",'Pivot Fineco Sa'!$A$3,"Mese",2,"Tipologia",$A107),0)
+ IFERROR(GETPIVOTDATA("Somma di DARE",'Pivot PP Visa'!$A$3,"Mese",2,"Tipologia",$A107),0)
- IFERROR(GETPIVOTDATA("Somma di AVERE",'Pivot PP Visa'!$A$3,"Mese",2,"Tipologia",$A107),0)
+ IFERROR(GETPIVOTDATA("Somma di DARE",'Pivot Revolut'!$A$3,"Mese",2,"Tipologia",$A107),0)
- IFERROR(GETPIVOTDATA("Somma di AVERE",'Pivot Revolut'!$A$3,"Mese",2,"Tipologia",$A107),0)</f>
        <v>102.13999999999999</v>
      </c>
      <c r="E107" s="243">
        <f>IFERROR(GETPIVOTDATA("Somma di DARE EUR",'Pivot RakBank AED'!$A$3,"Mese",3,"Tipologia",$A107),0)
- IFERROR(GETPIVOTDATA("Somma di AVERE EUR",'Pivot RakBank AED'!$A$3,"Mese",3,"Tipologia",$A107),0)
+IFERROR(GETPIVOTDATA("Somma di DARE",'Pivot RakBank EUR'!$A$3,"Mese",3,"Tipologia",$A107),0)
- IFERROR(GETPIVOTDATA("Somma di AVERE",'Pivot RakBank EUR'!$A$3,"Mese",3,"Tipologia",$A107),0)
+IFERROR(GETPIVOTDATA("Somma di DARE",'Pivot Fineco Sa'!$A$3,"Mese",3,"Tipologia",$A107),0)
+ IFERROR(GETPIVOTDATA("Somma di DARE",'Pivot Fineco St'!$A$3,"Mese",3,"Tipologia",$A107),0)
+ Contanti!J28
+ IFERROR(GETPIVOTDATA("Somma di DARE",'Pivot BBVA'!$A$3,"Mese",3,"Tipologia",$A107),0)
+ IFERROR(GETPIVOTDATA("Somma di DARE",'Pivot Amex'!$A$3,"Mese",3,"Tipologia",$A107),0)
- IFERROR(GETPIVOTDATA("Somma di AVERE",'Pivot Amex'!$A$3,"Mese",3,"Tipologia",$A107),0)
- IFERROR(GETPIVOTDATA("Somma di AVERE",'Pivot BBVA'!$A$3,"Mese",3,"Tipologia",$A107),0)
- IFERROR(GETPIVOTDATA("Somma di AVERE",'Pivot Fineco St'!$A$3,"Mese",3,"Tipologia",$A107),0)
- IFERROR(GETPIVOTDATA("Somma di AVERE",'Pivot Fineco Sa'!$A$3,"Mese",3,"Tipologia",$A107),0)
+ IFERROR(GETPIVOTDATA("Somma di DARE",'Pivot PP Visa'!$A$3,"Mese",3,"Tipologia",$A107),0)
- IFERROR(GETPIVOTDATA("Somma di AVERE",'Pivot PP Visa'!$A$3,"Mese",3,"Tipologia",$A107),0)
+ IFERROR(GETPIVOTDATA("Somma di DARE",'Pivot Revolut'!$A$3,"Mese",3,"Tipologia",$A107),0)
- IFERROR(GETPIVOTDATA("Somma di AVERE",'Pivot Revolut'!$A$3,"Mese",3,"Tipologia",$A107),0)</f>
        <v>146.85</v>
      </c>
      <c r="F107" s="243">
        <f>IFERROR(GETPIVOTDATA("Somma di DARE EUR",'Pivot RakBank AED'!$A$3,"Mese",4,"Tipologia",$A107),0)
- IFERROR(GETPIVOTDATA("Somma di AVERE EUR",'Pivot RakBank AED'!$A$3,"Mese",4,"Tipologia",$A107),0)
+IFERROR(GETPIVOTDATA("Somma di DARE",'Pivot RakBank EUR'!$A$3,"Mese",4,"Tipologia",$A107),0)
- IFERROR(GETPIVOTDATA("Somma di AVERE",'Pivot RakBank EUR'!$A$3,"Mese",4,"Tipologia",$A107),0)
+IFERROR(GETPIVOTDATA("Somma di DARE",'Pivot Fineco Sa'!$A$3,"Mese",4,"Tipologia",$A107),0)
+ IFERROR(GETPIVOTDATA("Somma di DARE",'Pivot Fineco St'!$A$3,"Mese",4,"Tipologia",$A107),0)
+ Contanti!N28
+ IFERROR(GETPIVOTDATA("Somma di DARE",'Pivot BBVA'!$A$3,"Mese",4,"Tipologia",$A107),0)
+ IFERROR(GETPIVOTDATA("Somma di DARE",'Pivot Amex'!$A$3,"Mese",4,"Tipologia",$A107),0)
- IFERROR(GETPIVOTDATA("Somma di AVERE",'Pivot Amex'!$A$3,"Mese",4,"Tipologia",$A107),0)
- IFERROR(GETPIVOTDATA("Somma di AVERE",'Pivot BBVA'!$A$3,"Mese",4,"Tipologia",$A107),0)
- IFERROR(GETPIVOTDATA("Somma di AVERE",'Pivot Fineco St'!$A$3,"Mese",4,"Tipologia",$A107),0)
- IFERROR(GETPIVOTDATA("Somma di AVERE",'Pivot Fineco Sa'!$A$3,"Mese",4,"Tipologia",$A107),0)
+ IFERROR(GETPIVOTDATA("Somma di DARE",'Pivot PP Visa'!$A$3,"Mese",4,"Tipologia",$A107),0)
- IFERROR(GETPIVOTDATA("Somma di AVERE",'Pivot PP Visa'!$A$3,"Mese",4,"Tipologia",$A107),0)
+ IFERROR(GETPIVOTDATA("Somma di DARE",'Pivot Revolut'!$A$3,"Mese",4,"Tipologia",$A107),0)
- IFERROR(GETPIVOTDATA("Somma di AVERE",'Pivot Revolut'!$A$3,"Mese",4,"Tipologia",$A107),0)</f>
        <v>437.1</v>
      </c>
      <c r="G107" s="243">
        <f>IFERROR(GETPIVOTDATA("Somma di DARE EUR",'Pivot RakBank AED'!$A$3,"Mese",5,"Tipologia",$A107),0)
- IFERROR(GETPIVOTDATA("Somma di AVERE EUR",'Pivot RakBank AED'!$A$3,"Mese",5,"Tipologia",$A107),0)
+IFERROR(GETPIVOTDATA("Somma di DARE",'Pivot RakBank EUR'!$A$3,"Mese",5,"Tipologia",$A107),0)
- IFERROR(GETPIVOTDATA("Somma di AVERE",'Pivot RakBank EUR'!$A$3,"Mese",5,"Tipologia",$A107),0)
+IFERROR(GETPIVOTDATA("Somma di DARE",'Pivot Fineco Sa'!$A$3,"Mese",5,"Tipologia",$A107),0)
+ IFERROR(GETPIVOTDATA("Somma di DARE",'Pivot Fineco St'!$A$3,"Mese",5,"Tipologia",$A107),0)
+ Contanti!R28
+ IFERROR(GETPIVOTDATA("Somma di DARE",'Pivot BBVA'!$A$3,"Mese",5,"Tipologia",$A107),0)
+ IFERROR(GETPIVOTDATA("Somma di DARE",'Pivot Amex'!$A$3,"Mese",5,"Tipologia",$A107),0)
- IFERROR(GETPIVOTDATA("Somma di AVERE",'Pivot Amex'!$A$3,"Mese",5,"Tipologia",$A107),0)
- IFERROR(GETPIVOTDATA("Somma di AVERE",'Pivot BBVA'!$A$3,"Mese",5,"Tipologia",$A107),0)
- IFERROR(GETPIVOTDATA("Somma di AVERE",'Pivot Fineco St'!$A$3,"Mese",5,"Tipologia",$A107),0)
- IFERROR(GETPIVOTDATA("Somma di AVERE",'Pivot Fineco Sa'!$A$3,"Mese",5,"Tipologia",$A107),0)
+ IFERROR(GETPIVOTDATA("Somma di DARE",'Pivot PP Visa'!$A$3,"Mese",5,"Tipologia",$A107),0)
- IFERROR(GETPIVOTDATA("Somma di AVERE",'Pivot PP Visa'!$A$3,"Mese",5,"Tipologia",$A107),0)
+ IFERROR(GETPIVOTDATA("Somma di DARE",'Pivot Revolut'!$A$3,"Mese",5,"Tipologia",$A107),0)
- IFERROR(GETPIVOTDATA("Somma di AVERE",'Pivot Revolut'!$A$3,"Mese",5,"Tipologia",$A107),0)</f>
        <v>258.95</v>
      </c>
      <c r="H107" s="243">
        <f>IFERROR(GETPIVOTDATA("Somma di DARE EUR",'Pivot RakBank AED'!$A$3,"Mese",6,"Tipologia",$A107),0)
- IFERROR(GETPIVOTDATA("Somma di AVERE EUR",'Pivot RakBank AED'!$A$3,"Mese",6,"Tipologia",$A107),0)
+IFERROR(GETPIVOTDATA("Somma di DARE",'Pivot RakBank EUR'!$A$3,"Mese",6,"Tipologia",$A107),0)
- IFERROR(GETPIVOTDATA("Somma di AVERE",'Pivot RakBank EUR'!$A$3,"Mese",6,"Tipologia",$A107),0)
+IFERROR(GETPIVOTDATA("Somma di DARE",'Pivot Fineco Sa'!$A$3,"Mese",6,"Tipologia",$A107),0)
+ IFERROR(GETPIVOTDATA("Somma di DARE",'Pivot Fineco St'!$A$3,"Mese",6,"Tipologia",$A107),0)
+ Contanti!V28
+ IFERROR(GETPIVOTDATA("Somma di DARE",'Pivot BBVA'!$A$3,"Mese",6,"Tipologia",$A107),0)
+ IFERROR(GETPIVOTDATA("Somma di DARE",'Pivot Amex'!$A$3,"Mese",6,"Tipologia",$A107),0)
- IFERROR(GETPIVOTDATA("Somma di AVERE",'Pivot Amex'!$A$3,"Mese",6,"Tipologia",$A107),0)
- IFERROR(GETPIVOTDATA("Somma di AVERE",'Pivot BBVA'!$A$3,"Mese",6,"Tipologia",$A107),0)
- IFERROR(GETPIVOTDATA("Somma di AVERE",'Pivot Fineco St'!$A$3,"Mese",6,"Tipologia",$A107),0)
- IFERROR(GETPIVOTDATA("Somma di AVERE",'Pivot Fineco Sa'!$A$3,"Mese",6,"Tipologia",$A107),0)
+ IFERROR(GETPIVOTDATA("Somma di DARE",'Pivot PP Visa'!$A$3,"Mese",6,"Tipologia",$A107),0)
- IFERROR(GETPIVOTDATA("Somma di AVERE",'Pivot PP Visa'!$A$3,"Mese",6,"Tipologia",$A107),0)
+ IFERROR(GETPIVOTDATA("Somma di DARE",'Pivot Revolut'!$A$3,"Mese",6,"Tipologia",$A107),0)
- IFERROR(GETPIVOTDATA("Somma di AVERE",'Pivot Revolut'!$A$3,"Mese",6,"Tipologia",$A107),0)</f>
        <v>499.62</v>
      </c>
      <c r="I107" s="243">
        <f>IFERROR(GETPIVOTDATA("Somma di DARE EUR",'Pivot RakBank AED'!$A$3,"Mese",7,"Tipologia",$A107),0)
- IFERROR(GETPIVOTDATA("Somma di AVERE EUR",'Pivot RakBank AED'!$A$3,"Mese",7,"Tipologia",$A107),0)
+IFERROR(GETPIVOTDATA("Somma di DARE",'Pivot RakBank EUR'!$A$3,"Mese",7,"Tipologia",$A107),0)
- IFERROR(GETPIVOTDATA("Somma di AVERE",'Pivot RakBank EUR'!$A$3,"Mese",7,"Tipologia",$A107),0)
+IFERROR(GETPIVOTDATA("Somma di DARE",'Pivot Fineco Sa'!$A$3,"Mese",7,"Tipologia",$A107),0)
+ IFERROR(GETPIVOTDATA("Somma di DARE",'Pivot Fineco St'!$A$3,"Mese",7,"Tipologia",$A107),0)
+ Contanti!Z28
+ IFERROR(GETPIVOTDATA("Somma di DARE",'Pivot BBVA'!$A$3,"Mese",7,"Tipologia",$A107),0)
+ IFERROR(GETPIVOTDATA("Somma di DARE",'Pivot Amex'!$A$3,"Mese",7,"Tipologia",$A107),0)
- IFERROR(GETPIVOTDATA("Somma di AVERE",'Pivot Amex'!$A$3,"Mese",7,"Tipologia",$A107),0)
- IFERROR(GETPIVOTDATA("Somma di AVERE",'Pivot BBVA'!$A$3,"Mese",7,"Tipologia",$A107),0)
- IFERROR(GETPIVOTDATA("Somma di AVERE",'Pivot Fineco St'!$A$3,"Mese",7,"Tipologia",$A107),0)
- IFERROR(GETPIVOTDATA("Somma di AVERE",'Pivot Fineco Sa'!$A$3,"Mese",7,"Tipologia",$A107),0)
+ IFERROR(GETPIVOTDATA("Somma di DARE",'Pivot PP Visa'!$A$3,"Mese",7,"Tipologia",$A107),0)
- IFERROR(GETPIVOTDATA("Somma di AVERE",'Pivot PP Visa'!$A$3,"Mese",7,"Tipologia",$A107),0)
+ IFERROR(GETPIVOTDATA("Somma di DARE",'Pivot Revolut'!$A$3,"Mese",7,"Tipologia",$A107),0)
- IFERROR(GETPIVOTDATA("Somma di AVERE",'Pivot Revolut'!$A$3,"Mese",7,"Tipologia",$A107),0)</f>
        <v>100.9</v>
      </c>
      <c r="J107" s="243">
        <f>IFERROR(GETPIVOTDATA("Somma di DARE EUR",'Pivot RakBank AED'!$A$3,"Mese",8,"Tipologia",$A107),0)
- IFERROR(GETPIVOTDATA("Somma di AVERE EUR",'Pivot RakBank AED'!$A$3,"Mese",8,"Tipologia",$A107),0)
+IFERROR(GETPIVOTDATA("Somma di DARE",'Pivot RakBank EUR'!$A$3,"Mese",8,"Tipologia",$A107),0)
- IFERROR(GETPIVOTDATA("Somma di AVERE",'Pivot RakBank EUR'!$A$3,"Mese",8,"Tipologia",$A107),0)
+IFERROR(GETPIVOTDATA("Somma di DARE",'Pivot Fineco Sa'!$A$3,"Mese",8,"Tipologia",$A107),0)
+ IFERROR(GETPIVOTDATA("Somma di DARE",'Pivot Fineco St'!$A$3,"Mese",8,"Tipologia",$A107),0)
+ Contanti!AD28
+ IFERROR(GETPIVOTDATA("Somma di DARE",'Pivot BBVA'!$A$3,"Mese",8,"Tipologia",$A107),0)
+ IFERROR(GETPIVOTDATA("Somma di DARE",'Pivot Amex'!$A$3,"Mese",8,"Tipologia",$A107),0)
- IFERROR(GETPIVOTDATA("Somma di AVERE",'Pivot Amex'!$A$3,"Mese",8,"Tipologia",$A107),0)
- IFERROR(GETPIVOTDATA("Somma di AVERE",'Pivot BBVA'!$A$3,"Mese",8,"Tipologia",$A107),0)
- IFERROR(GETPIVOTDATA("Somma di AVERE",'Pivot Fineco St'!$A$3,"Mese",8,"Tipologia",$A107),0)
- IFERROR(GETPIVOTDATA("Somma di AVERE",'Pivot Fineco Sa'!$A$3,"Mese",8,"Tipologia",$A107),0)
+ IFERROR(GETPIVOTDATA("Somma di DARE",'Pivot PP Visa'!$A$3,"Mese",8,"Tipologia",$A107),0)
- IFERROR(GETPIVOTDATA("Somma di AVERE",'Pivot PP Visa'!$A$3,"Mese",8,"Tipologia",$A107),0)
+ IFERROR(GETPIVOTDATA("Somma di DARE",'Pivot Revolut'!$A$3,"Mese",8,"Tipologia",$A107),0)
- IFERROR(GETPIVOTDATA("Somma di AVERE",'Pivot Revolut'!$A$3,"Mese",8,"Tipologia",$A107),0)</f>
        <v>0</v>
      </c>
      <c r="K107" s="243">
        <f>IFERROR(GETPIVOTDATA("Somma di DARE EUR",'Pivot RakBank AED'!$A$3,"Mese",9,"Tipologia",$A107),0)
- IFERROR(GETPIVOTDATA("Somma di AVERE EUR",'Pivot RakBank AED'!$A$3,"Mese",9,"Tipologia",$A107),0)
+IFERROR(GETPIVOTDATA("Somma di DARE",'Pivot RakBank EUR'!$A$3,"Mese",9,"Tipologia",$A107),0)
- IFERROR(GETPIVOTDATA("Somma di AVERE",'Pivot RakBank EUR'!$A$3,"Mese",9,"Tipologia",$A107),0)
+IFERROR(GETPIVOTDATA("Somma di DARE",'Pivot Fineco Sa'!$A$3,"Mese",9,"Tipologia",$A107),0)
+ IFERROR(GETPIVOTDATA("Somma di DARE",'Pivot Fineco St'!$A$3,"Mese",9,"Tipologia",$A107),0)
+ Contanti!AH28
+ IFERROR(GETPIVOTDATA("Somma di DARE",'Pivot BBVA'!$A$3,"Mese",9,"Tipologia",$A107),0)
+ IFERROR(GETPIVOTDATA("Somma di DARE",'Pivot Amex'!$A$3,"Mese",9,"Tipologia",$A107),0)
- IFERROR(GETPIVOTDATA("Somma di AVERE",'Pivot Amex'!$A$3,"Mese",9,"Tipologia",$A107),0)
- IFERROR(GETPIVOTDATA("Somma di AVERE",'Pivot BBVA'!$A$3,"Mese",9,"Tipologia",$A107),0)
- IFERROR(GETPIVOTDATA("Somma di AVERE",'Pivot Fineco St'!$A$3,"Mese",9,"Tipologia",$A107),0)
- IFERROR(GETPIVOTDATA("Somma di AVERE",'Pivot Fineco Sa'!$A$3,"Mese",9,"Tipologia",$A107),0)
+ IFERROR(GETPIVOTDATA("Somma di DARE",'Pivot PP Visa'!$A$3,"Mese",9,"Tipologia",$A107),0)
- IFERROR(GETPIVOTDATA("Somma di AVERE",'Pivot PP Visa'!$A$3,"Mese",9,"Tipologia",$A107),0)
+ IFERROR(GETPIVOTDATA("Somma di DARE",'Pivot Revolut'!$A$3,"Mese",9,"Tipologia",$A107),0)
- IFERROR(GETPIVOTDATA("Somma di AVERE",'Pivot Revolut'!$A$3,"Mese",9,"Tipologia",$A107),0)</f>
        <v>0</v>
      </c>
      <c r="L107" s="243">
        <f>IFERROR(GETPIVOTDATA("Somma di DARE EUR",'Pivot RakBank AED'!$A$3,"Mese",10,"Tipologia",$A107),0)
- IFERROR(GETPIVOTDATA("Somma di AVERE EUR",'Pivot RakBank AED'!$A$3,"Mese",10,"Tipologia",$A107),0)
+IFERROR(GETPIVOTDATA("Somma di DARE",'Pivot RakBank EUR'!$A$3,"Mese",10,"Tipologia",$A107),0)
- IFERROR(GETPIVOTDATA("Somma di AVERE",'Pivot RakBank EUR'!$A$3,"Mese",10,"Tipologia",$A107),0)
+IFERROR(GETPIVOTDATA("Somma di DARE",'Pivot Fineco Sa'!$A$3,"Mese",10,"Tipologia",$A107),0)
+ IFERROR(GETPIVOTDATA("Somma di DARE",'Pivot Fineco St'!$A$3,"Mese",10,"Tipologia",$A107),0)
+ Contanti!AL28
+ IFERROR(GETPIVOTDATA("Somma di DARE",'Pivot BBVA'!$A$3,"Mese",10,"Tipologia",$A107),0)
+ IFERROR(GETPIVOTDATA("Somma di DARE",'Pivot Amex'!$A$3,"Mese",10,"Tipologia",$A107),0)
- IFERROR(GETPIVOTDATA("Somma di AVERE",'Pivot Amex'!$A$3,"Mese",10,"Tipologia",$A107),0)
- IFERROR(GETPIVOTDATA("Somma di AVERE",'Pivot BBVA'!$A$3,"Mese",10,"Tipologia",$A107),0)
- IFERROR(GETPIVOTDATA("Somma di AVERE",'Pivot Fineco St'!$A$3,"Mese",10,"Tipologia",$A107),0)
- IFERROR(GETPIVOTDATA("Somma di AVERE",'Pivot Fineco Sa'!$A$3,"Mese",10,"Tipologia",$A107),0)
+ IFERROR(GETPIVOTDATA("Somma di DARE",'Pivot PP Visa'!$A$3,"Mese",10,"Tipologia",$A107),0)
- IFERROR(GETPIVOTDATA("Somma di AVERE",'Pivot PP Visa'!$A$3,"Mese",10,"Tipologia",$A107),0)
+ IFERROR(GETPIVOTDATA("Somma di DARE",'Pivot Revolut'!$A$3,"Mese",10,"Tipologia",$A107),0)
- IFERROR(GETPIVOTDATA("Somma di AVERE",'Pivot Revolut'!$A$3,"Mese",10,"Tipologia",$A107),0)</f>
        <v>0</v>
      </c>
      <c r="M107" s="243">
        <f>IFERROR(GETPIVOTDATA("Somma di DARE EUR",'Pivot RakBank AED'!$A$3,"Mese",11,"Tipologia",$A107),0)
- IFERROR(GETPIVOTDATA("Somma di AVERE EUR",'Pivot RakBank AED'!$A$3,"Mese",11,"Tipologia",$A107),0)
+IFERROR(GETPIVOTDATA("Somma di DARE",'Pivot RakBank EUR'!$A$3,"Mese",11,"Tipologia",$A107),0)
- IFERROR(GETPIVOTDATA("Somma di AVERE",'Pivot RakBank EUR'!$A$3,"Mese",11,"Tipologia",$A107),0)
+IFERROR(GETPIVOTDATA("Somma di DARE",'Pivot Fineco Sa'!$A$3,"Mese",11,"Tipologia",$A107),0)
+ IFERROR(GETPIVOTDATA("Somma di DARE",'Pivot Fineco St'!$A$3,"Mese",11,"Tipologia",$A107),0)
+ Contanti!AP28
+ IFERROR(GETPIVOTDATA("Somma di DARE",'Pivot BBVA'!$A$3,"Mese",11,"Tipologia",$A107),0)
+ IFERROR(GETPIVOTDATA("Somma di DARE",'Pivot Amex'!$A$3,"Mese",11,"Tipologia",$A107),0)
- IFERROR(GETPIVOTDATA("Somma di AVERE",'Pivot Amex'!$A$3,"Mese",11,"Tipologia",$A107),0)
- IFERROR(GETPIVOTDATA("Somma di AVERE",'Pivot BBVA'!$A$3,"Mese",11,"Tipologia",$A107),0)
- IFERROR(GETPIVOTDATA("Somma di AVERE",'Pivot Fineco St'!$A$3,"Mese",11,"Tipologia",$A107),0)
- IFERROR(GETPIVOTDATA("Somma di AVERE",'Pivot Fineco Sa'!$A$3,"Mese",11,"Tipologia",$A107),0)
+ IFERROR(GETPIVOTDATA("Somma di DARE",'Pivot PP Visa'!$A$3,"Mese",11,"Tipologia",$A107),0)
- IFERROR(GETPIVOTDATA("Somma di AVERE",'Pivot PP Visa'!$A$3,"Mese",11,"Tipologia",$A107),0)
+ IFERROR(GETPIVOTDATA("Somma di DARE",'Pivot Revolut'!$A$3,"Mese",11,"Tipologia",$A107),0)
- IFERROR(GETPIVOTDATA("Somma di AVERE",'Pivot Revolut'!$A$3,"Mese",11,"Tipologia",$A107),0)</f>
        <v>0</v>
      </c>
      <c r="N107" s="243">
        <f>IFERROR(GETPIVOTDATA("Somma di DARE EUR",'Pivot RakBank AED'!$A$3,"Mese",12,"Tipologia",$A107),0)
- IFERROR(GETPIVOTDATA("Somma di AVERE EUR",'Pivot RakBank AED'!$A$3,"Mese",12,"Tipologia",$A107),0)
+IFERROR(GETPIVOTDATA("Somma di DARE",'Pivot RakBank EUR'!$A$3,"Mese",12,"Tipologia",$A107),0)
- IFERROR(GETPIVOTDATA("Somma di AVERE",'Pivot RakBank EUR'!$A$3,"Mese",12,"Tipologia",$A107),0)
+IFERROR(GETPIVOTDATA("Somma di DARE",'Pivot Fineco Sa'!$A$3,"Mese",12,"Tipologia",$A107),0)
+ IFERROR(GETPIVOTDATA("Somma di DARE",'Pivot Fineco St'!$A$3,"Mese",12,"Tipologia",$A107),0)
+ Contanti!AT28
+ IFERROR(GETPIVOTDATA("Somma di DARE",'Pivot BBVA'!$A$3,"Mese",12,"Tipologia",$A107),0)
+ IFERROR(GETPIVOTDATA("Somma di DARE",'Pivot Amex'!$A$3,"Mese",12,"Tipologia",$A107),0)
- IFERROR(GETPIVOTDATA("Somma di AVERE",'Pivot Amex'!$A$3,"Mese",12,"Tipologia",$A107),0)
- IFERROR(GETPIVOTDATA("Somma di AVERE",'Pivot BBVA'!$A$3,"Mese",12,"Tipologia",$A107),0)
- IFERROR(GETPIVOTDATA("Somma di AVERE",'Pivot Fineco St'!$A$3,"Mese",12,"Tipologia",$A107),0)
- IFERROR(GETPIVOTDATA("Somma di AVERE",'Pivot Fineco Sa'!$A$3,"Mese",12,"Tipologia",$A107),0)
+ IFERROR(GETPIVOTDATA("Somma di DARE",'Pivot PP Visa'!$A$3,"Mese",12,"Tipologia",$A107),0)
- IFERROR(GETPIVOTDATA("Somma di AVERE",'Pivot PP Visa'!$A$3,"Mese",12,"Tipologia",$A107),0)
+ IFERROR(GETPIVOTDATA("Somma di DARE",'Pivot Revolut'!$A$3,"Mese",12,"Tipologia",$A107),0)
- IFERROR(GETPIVOTDATA("Somma di AVERE",'Pivot Revolut'!$A$3,"Mese",12,"Tipologia",$A107),0)</f>
        <v>0</v>
      </c>
      <c r="O107" s="252">
        <f>SUM(C107:N107)</f>
        <v>1778.6600000000003</v>
      </c>
      <c r="P107" s="243">
        <f t="shared" ca="1" si="9"/>
        <v>254.09428571428575</v>
      </c>
    </row>
    <row r="108" spans="1:16" s="125" customFormat="1" ht="21" customHeight="1" x14ac:dyDescent="0.2">
      <c r="A108" s="251"/>
      <c r="B108" s="251"/>
      <c r="C108" s="243"/>
      <c r="D108" s="243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61"/>
      <c r="P108" s="243"/>
    </row>
    <row r="109" spans="1:16" s="125" customFormat="1" ht="21" customHeight="1" x14ac:dyDescent="0.2">
      <c r="A109" s="255" t="s">
        <v>298</v>
      </c>
      <c r="B109" s="255"/>
      <c r="C109" s="256">
        <f t="shared" ref="C109:N109" si="10">SUM(C110:C112)</f>
        <v>0</v>
      </c>
      <c r="D109" s="256">
        <f t="shared" si="10"/>
        <v>1010.3900000000001</v>
      </c>
      <c r="E109" s="256">
        <f t="shared" si="10"/>
        <v>16.920000000000002</v>
      </c>
      <c r="F109" s="256">
        <f t="shared" si="10"/>
        <v>3.99</v>
      </c>
      <c r="G109" s="256">
        <f t="shared" si="10"/>
        <v>14.9</v>
      </c>
      <c r="H109" s="256">
        <f t="shared" si="10"/>
        <v>868.94999999999993</v>
      </c>
      <c r="I109" s="256">
        <f t="shared" si="10"/>
        <v>14.12</v>
      </c>
      <c r="J109" s="256">
        <f t="shared" si="10"/>
        <v>0</v>
      </c>
      <c r="K109" s="256">
        <f t="shared" si="10"/>
        <v>0</v>
      </c>
      <c r="L109" s="256">
        <f t="shared" si="10"/>
        <v>0</v>
      </c>
      <c r="M109" s="256">
        <f t="shared" si="10"/>
        <v>0</v>
      </c>
      <c r="N109" s="256">
        <f t="shared" si="10"/>
        <v>0</v>
      </c>
      <c r="O109" s="257">
        <f>SUM(C109:N109)</f>
        <v>1929.27</v>
      </c>
      <c r="P109" s="256">
        <f ca="1">SUM(P110:P112)</f>
        <v>275.60999999999996</v>
      </c>
    </row>
    <row r="110" spans="1:16" s="125" customFormat="1" ht="21" customHeight="1" x14ac:dyDescent="0.2">
      <c r="A110" s="251" t="s">
        <v>350</v>
      </c>
      <c r="B110" s="251"/>
      <c r="C110" s="243">
        <f>IFERROR(GETPIVOTDATA("Somma di DARE EUR",'Pivot RakBank AED'!$A$3,"Mese",1,"Tipologia",$A110),0)
- IFERROR(GETPIVOTDATA("Somma di AVERE EUR",'Pivot RakBank AED'!$A$3,"Mese",1,"Tipologia",$A110),0)
+IFERROR(GETPIVOTDATA("Somma di DARE",'Pivot RakBank EUR'!$A$3,"Mese",1,"Tipologia",$A110),0)
- IFERROR(GETPIVOTDATA("Somma di AVERE",'Pivot RakBank EUR'!$A$3,"Mese",1,"Tipologia",$A110),0)
+IFERROR(GETPIVOTDATA("Somma di DARE",'Pivot Fineco Sa'!$A$3,"Mese",1,"Tipologia",$A110),0)
+ IFERROR(GETPIVOTDATA("Somma di DARE",'Pivot Fineco St'!$A$3,"Mese",1,"Tipologia",$A110),0)
+ Contanti!B31
+ IFERROR(GETPIVOTDATA("Somma di DARE",'Pivot BBVA'!$A$3,"Mese",1,"Tipologia",$A110),0)
+ IFERROR(GETPIVOTDATA("Somma di DARE",'Pivot Amex'!$A$3,"Mese",1,"Tipologia",$A110),0)
- IFERROR(GETPIVOTDATA("Somma di AVERE",'Pivot Amex'!$A$3,"Mese",1,"Tipologia",$A110),0)
- IFERROR(GETPIVOTDATA("Somma di AVERE",'Pivot BBVA'!$A$3,"Mese",1,"Tipologia",$A110),0)
- IFERROR(GETPIVOTDATA("Somma di AVERE",'Pivot Fineco St'!$A$3,"Mese",1,"Tipologia",$A110),0)
- IFERROR(GETPIVOTDATA("Somma di AVERE",'Pivot Fineco Sa'!$A$3,"Mese",1,"Tipologia",$A110),0)
+ IFERROR(GETPIVOTDATA("Somma di DARE",'Pivot PP Visa'!$A$3,"Mese",1,"Tipologia",$A110),0)
- IFERROR(GETPIVOTDATA("Somma di AVERE",'Pivot PP Visa'!$A$3,"Mese",1,"Tipologia",$A110),0)
+ IFERROR(GETPIVOTDATA("Somma di DARE",'Pivot Revolut'!$A$3,"Mese",1,"Tipologia",$A110),0)
- IFERROR(GETPIVOTDATA("Somma di AVERE",'Pivot Revolut'!$A$3,"Mese",1,"Tipologia",$A110),0)</f>
        <v>0</v>
      </c>
      <c r="D110" s="243">
        <f>IFERROR(GETPIVOTDATA("Somma di DARE EUR",'Pivot RakBank AED'!$A$3,"Mese",2,"Tipologia",$A110),0)
- IFERROR(GETPIVOTDATA("Somma di AVERE EUR",'Pivot RakBank AED'!$A$3,"Mese",2,"Tipologia",$A110),0)
+IFERROR(GETPIVOTDATA("Somma di DARE",'Pivot RakBank EUR'!$A$3,"Mese",2,"Tipologia",$A110),0)
- IFERROR(GETPIVOTDATA("Somma di AVERE",'Pivot RakBank EUR'!$A$3,"Mese",2,"Tipologia",$A110),0)
+IFERROR(GETPIVOTDATA("Somma di DARE",'Pivot Fineco Sa'!$A$3,"Mese",2,"Tipologia",$A110),0)
+ IFERROR(GETPIVOTDATA("Somma di DARE",'Pivot Fineco St'!$A$3,"Mese",2,"Tipologia",$A110),0)
+ Contanti!F31
+ IFERROR(GETPIVOTDATA("Somma di DARE",'Pivot BBVA'!$A$3,"Mese",2,"Tipologia",$A110),0)
+ IFERROR(GETPIVOTDATA("Somma di DARE",'Pivot Amex'!$A$3,"Mese",2,"Tipologia",$A110),0)
- IFERROR(GETPIVOTDATA("Somma di AVERE",'Pivot Amex'!$A$3,"Mese",2,"Tipologia",$A110),0)
- IFERROR(GETPIVOTDATA("Somma di AVERE",'Pivot BBVA'!$A$3,"Mese",2,"Tipologia",$A110),0)
- IFERROR(GETPIVOTDATA("Somma di AVERE",'Pivot Fineco St'!$A$3,"Mese",2,"Tipologia",$A110),0)
- IFERROR(GETPIVOTDATA("Somma di AVERE",'Pivot Fineco Sa'!$A$3,"Mese",2,"Tipologia",$A110),0)
+ IFERROR(GETPIVOTDATA("Somma di DARE",'Pivot PP Visa'!$A$3,"Mese",2,"Tipologia",$A110),0)
- IFERROR(GETPIVOTDATA("Somma di AVERE",'Pivot PP Visa'!$A$3,"Mese",2,"Tipologia",$A110),0)
+ IFERROR(GETPIVOTDATA("Somma di DARE",'Pivot Revolut'!$A$3,"Mese",2,"Tipologia",$A110),0)
- IFERROR(GETPIVOTDATA("Somma di AVERE",'Pivot Revolut'!$A$3,"Mese",2,"Tipologia",$A110),0)</f>
        <v>1010.3900000000001</v>
      </c>
      <c r="E110" s="243">
        <f>IFERROR(GETPIVOTDATA("Somma di DARE EUR",'Pivot RakBank AED'!$A$3,"Mese",3,"Tipologia",$A110),0)
- IFERROR(GETPIVOTDATA("Somma di AVERE EUR",'Pivot RakBank AED'!$A$3,"Mese",3,"Tipologia",$A110),0)
+IFERROR(GETPIVOTDATA("Somma di DARE",'Pivot RakBank EUR'!$A$3,"Mese",3,"Tipologia",$A110),0)
- IFERROR(GETPIVOTDATA("Somma di AVERE",'Pivot RakBank EUR'!$A$3,"Mese",3,"Tipologia",$A110),0)
+IFERROR(GETPIVOTDATA("Somma di DARE",'Pivot Fineco Sa'!$A$3,"Mese",3,"Tipologia",$A110),0)
+ IFERROR(GETPIVOTDATA("Somma di DARE",'Pivot Fineco St'!$A$3,"Mese",3,"Tipologia",$A110),0)
+ Contanti!J31
+ IFERROR(GETPIVOTDATA("Somma di DARE",'Pivot BBVA'!$A$3,"Mese",3,"Tipologia",$A110),0)
+ IFERROR(GETPIVOTDATA("Somma di DARE",'Pivot Amex'!$A$3,"Mese",3,"Tipologia",$A110),0)
- IFERROR(GETPIVOTDATA("Somma di AVERE",'Pivot Amex'!$A$3,"Mese",3,"Tipologia",$A110),0)
- IFERROR(GETPIVOTDATA("Somma di AVERE",'Pivot BBVA'!$A$3,"Mese",3,"Tipologia",$A110),0)
- IFERROR(GETPIVOTDATA("Somma di AVERE",'Pivot Fineco St'!$A$3,"Mese",3,"Tipologia",$A110),0)
- IFERROR(GETPIVOTDATA("Somma di AVERE",'Pivot Fineco Sa'!$A$3,"Mese",3,"Tipologia",$A110),0)
+ IFERROR(GETPIVOTDATA("Somma di DARE",'Pivot PP Visa'!$A$3,"Mese",3,"Tipologia",$A110),0)
- IFERROR(GETPIVOTDATA("Somma di AVERE",'Pivot PP Visa'!$A$3,"Mese",3,"Tipologia",$A110),0)
+ IFERROR(GETPIVOTDATA("Somma di DARE",'Pivot Revolut'!$A$3,"Mese",3,"Tipologia",$A110),0)
- IFERROR(GETPIVOTDATA("Somma di AVERE",'Pivot Revolut'!$A$3,"Mese",3,"Tipologia",$A110),0)</f>
        <v>0</v>
      </c>
      <c r="F110" s="243">
        <f>IFERROR(GETPIVOTDATA("Somma di DARE EUR",'Pivot RakBank AED'!$A$3,"Mese",4,"Tipologia",$A110),0)
- IFERROR(GETPIVOTDATA("Somma di AVERE EUR",'Pivot RakBank AED'!$A$3,"Mese",4,"Tipologia",$A110),0)
+IFERROR(GETPIVOTDATA("Somma di DARE",'Pivot RakBank EUR'!$A$3,"Mese",4,"Tipologia",$A110),0)
- IFERROR(GETPIVOTDATA("Somma di AVERE",'Pivot RakBank EUR'!$A$3,"Mese",4,"Tipologia",$A110),0)
+IFERROR(GETPIVOTDATA("Somma di DARE",'Pivot Fineco Sa'!$A$3,"Mese",4,"Tipologia",$A110),0)
+ IFERROR(GETPIVOTDATA("Somma di DARE",'Pivot Fineco St'!$A$3,"Mese",4,"Tipologia",$A110),0)
+ Contanti!N31
+ IFERROR(GETPIVOTDATA("Somma di DARE",'Pivot BBVA'!$A$3,"Mese",4,"Tipologia",$A110),0)
+ IFERROR(GETPIVOTDATA("Somma di DARE",'Pivot Amex'!$A$3,"Mese",4,"Tipologia",$A110),0)
- IFERROR(GETPIVOTDATA("Somma di AVERE",'Pivot Amex'!$A$3,"Mese",4,"Tipologia",$A110),0)
- IFERROR(GETPIVOTDATA("Somma di AVERE",'Pivot BBVA'!$A$3,"Mese",4,"Tipologia",$A110),0)
- IFERROR(GETPIVOTDATA("Somma di AVERE",'Pivot Fineco St'!$A$3,"Mese",4,"Tipologia",$A110),0)
- IFERROR(GETPIVOTDATA("Somma di AVERE",'Pivot Fineco Sa'!$A$3,"Mese",4,"Tipologia",$A110),0)
+ IFERROR(GETPIVOTDATA("Somma di DARE",'Pivot PP Visa'!$A$3,"Mese",4,"Tipologia",$A110),0)
- IFERROR(GETPIVOTDATA("Somma di AVERE",'Pivot PP Visa'!$A$3,"Mese",4,"Tipologia",$A110),0)
+ IFERROR(GETPIVOTDATA("Somma di DARE",'Pivot Revolut'!$A$3,"Mese",4,"Tipologia",$A110),0)
- IFERROR(GETPIVOTDATA("Somma di AVERE",'Pivot Revolut'!$A$3,"Mese",4,"Tipologia",$A110),0)</f>
        <v>0</v>
      </c>
      <c r="G110" s="243">
        <f>IFERROR(GETPIVOTDATA("Somma di DARE EUR",'Pivot RakBank AED'!$A$3,"Mese",5,"Tipologia",$A110),0)
- IFERROR(GETPIVOTDATA("Somma di AVERE EUR",'Pivot RakBank AED'!$A$3,"Mese",5,"Tipologia",$A110),0)
+IFERROR(GETPIVOTDATA("Somma di DARE",'Pivot RakBank EUR'!$A$3,"Mese",5,"Tipologia",$A110),0)
- IFERROR(GETPIVOTDATA("Somma di AVERE",'Pivot RakBank EUR'!$A$3,"Mese",5,"Tipologia",$A110),0)
+IFERROR(GETPIVOTDATA("Somma di DARE",'Pivot Fineco Sa'!$A$3,"Mese",5,"Tipologia",$A110),0)
+ IFERROR(GETPIVOTDATA("Somma di DARE",'Pivot Fineco St'!$A$3,"Mese",5,"Tipologia",$A110),0)
+ Contanti!R31
+ IFERROR(GETPIVOTDATA("Somma di DARE",'Pivot BBVA'!$A$3,"Mese",5,"Tipologia",$A110),0)
+ IFERROR(GETPIVOTDATA("Somma di DARE",'Pivot Amex'!$A$3,"Mese",5,"Tipologia",$A110),0)
- IFERROR(GETPIVOTDATA("Somma di AVERE",'Pivot Amex'!$A$3,"Mese",5,"Tipologia",$A110),0)
- IFERROR(GETPIVOTDATA("Somma di AVERE",'Pivot BBVA'!$A$3,"Mese",5,"Tipologia",$A110),0)
- IFERROR(GETPIVOTDATA("Somma di AVERE",'Pivot Fineco St'!$A$3,"Mese",5,"Tipologia",$A110),0)
- IFERROR(GETPIVOTDATA("Somma di AVERE",'Pivot Fineco Sa'!$A$3,"Mese",5,"Tipologia",$A110),0)
+ IFERROR(GETPIVOTDATA("Somma di DARE",'Pivot PP Visa'!$A$3,"Mese",5,"Tipologia",$A110),0)
- IFERROR(GETPIVOTDATA("Somma di AVERE",'Pivot PP Visa'!$A$3,"Mese",5,"Tipologia",$A110),0)
+ IFERROR(GETPIVOTDATA("Somma di DARE",'Pivot Revolut'!$A$3,"Mese",5,"Tipologia",$A110),0)
- IFERROR(GETPIVOTDATA("Somma di AVERE",'Pivot Revolut'!$A$3,"Mese",5,"Tipologia",$A110),0)</f>
        <v>0</v>
      </c>
      <c r="H110" s="243">
        <f>IFERROR(GETPIVOTDATA("Somma di DARE EUR",'Pivot RakBank AED'!$A$3,"Mese",6,"Tipologia",$A110),0)
- IFERROR(GETPIVOTDATA("Somma di AVERE EUR",'Pivot RakBank AED'!$A$3,"Mese",6,"Tipologia",$A110),0)
+IFERROR(GETPIVOTDATA("Somma di DARE",'Pivot RakBank EUR'!$A$3,"Mese",6,"Tipologia",$A110),0)
- IFERROR(GETPIVOTDATA("Somma di AVERE",'Pivot RakBank EUR'!$A$3,"Mese",6,"Tipologia",$A110),0)
+IFERROR(GETPIVOTDATA("Somma di DARE",'Pivot Fineco Sa'!$A$3,"Mese",6,"Tipologia",$A110),0)
+ IFERROR(GETPIVOTDATA("Somma di DARE",'Pivot Fineco St'!$A$3,"Mese",6,"Tipologia",$A110),0)
+ Contanti!V31
+ IFERROR(GETPIVOTDATA("Somma di DARE",'Pivot BBVA'!$A$3,"Mese",6,"Tipologia",$A110),0)
+ IFERROR(GETPIVOTDATA("Somma di DARE",'Pivot Amex'!$A$3,"Mese",6,"Tipologia",$A110),0)
- IFERROR(GETPIVOTDATA("Somma di AVERE",'Pivot Amex'!$A$3,"Mese",6,"Tipologia",$A110),0)
- IFERROR(GETPIVOTDATA("Somma di AVERE",'Pivot BBVA'!$A$3,"Mese",6,"Tipologia",$A110),0)
- IFERROR(GETPIVOTDATA("Somma di AVERE",'Pivot Fineco St'!$A$3,"Mese",6,"Tipologia",$A110),0)
- IFERROR(GETPIVOTDATA("Somma di AVERE",'Pivot Fineco Sa'!$A$3,"Mese",6,"Tipologia",$A110),0)
+ IFERROR(GETPIVOTDATA("Somma di DARE",'Pivot PP Visa'!$A$3,"Mese",6,"Tipologia",$A110),0)
- IFERROR(GETPIVOTDATA("Somma di AVERE",'Pivot PP Visa'!$A$3,"Mese",6,"Tipologia",$A110),0)
+ IFERROR(GETPIVOTDATA("Somma di DARE",'Pivot Revolut'!$A$3,"Mese",6,"Tipologia",$A110),0)
- IFERROR(GETPIVOTDATA("Somma di AVERE",'Pivot Revolut'!$A$3,"Mese",6,"Tipologia",$A110),0)</f>
        <v>835.67</v>
      </c>
      <c r="I110" s="243">
        <f>IFERROR(GETPIVOTDATA("Somma di DARE EUR",'Pivot RakBank AED'!$A$3,"Mese",7,"Tipologia",$A110),0)
- IFERROR(GETPIVOTDATA("Somma di AVERE EUR",'Pivot RakBank AED'!$A$3,"Mese",7,"Tipologia",$A110),0)
+IFERROR(GETPIVOTDATA("Somma di DARE",'Pivot RakBank EUR'!$A$3,"Mese",7,"Tipologia",$A110),0)
- IFERROR(GETPIVOTDATA("Somma di AVERE",'Pivot RakBank EUR'!$A$3,"Mese",7,"Tipologia",$A110),0)
+IFERROR(GETPIVOTDATA("Somma di DARE",'Pivot Fineco Sa'!$A$3,"Mese",7,"Tipologia",$A110),0)
+ IFERROR(GETPIVOTDATA("Somma di DARE",'Pivot Fineco St'!$A$3,"Mese",7,"Tipologia",$A110),0)
+ Contanti!Z31
+ IFERROR(GETPIVOTDATA("Somma di DARE",'Pivot BBVA'!$A$3,"Mese",7,"Tipologia",$A110),0)
+ IFERROR(GETPIVOTDATA("Somma di DARE",'Pivot Amex'!$A$3,"Mese",7,"Tipologia",$A110),0)
- IFERROR(GETPIVOTDATA("Somma di AVERE",'Pivot Amex'!$A$3,"Mese",7,"Tipologia",$A110),0)
- IFERROR(GETPIVOTDATA("Somma di AVERE",'Pivot BBVA'!$A$3,"Mese",7,"Tipologia",$A110),0)
- IFERROR(GETPIVOTDATA("Somma di AVERE",'Pivot Fineco St'!$A$3,"Mese",7,"Tipologia",$A110),0)
- IFERROR(GETPIVOTDATA("Somma di AVERE",'Pivot Fineco Sa'!$A$3,"Mese",7,"Tipologia",$A110),0)
+ IFERROR(GETPIVOTDATA("Somma di DARE",'Pivot PP Visa'!$A$3,"Mese",7,"Tipologia",$A110),0)
- IFERROR(GETPIVOTDATA("Somma di AVERE",'Pivot PP Visa'!$A$3,"Mese",7,"Tipologia",$A110),0)
+ IFERROR(GETPIVOTDATA("Somma di DARE",'Pivot Revolut'!$A$3,"Mese",7,"Tipologia",$A110),0)
- IFERROR(GETPIVOTDATA("Somma di AVERE",'Pivot Revolut'!$A$3,"Mese",7,"Tipologia",$A110),0)</f>
        <v>14.12</v>
      </c>
      <c r="J110" s="243">
        <f>IFERROR(GETPIVOTDATA("Somma di DARE EUR",'Pivot RakBank AED'!$A$3,"Mese",8,"Tipologia",$A110),0)
- IFERROR(GETPIVOTDATA("Somma di AVERE EUR",'Pivot RakBank AED'!$A$3,"Mese",8,"Tipologia",$A110),0)
+IFERROR(GETPIVOTDATA("Somma di DARE",'Pivot RakBank EUR'!$A$3,"Mese",8,"Tipologia",$A110),0)
- IFERROR(GETPIVOTDATA("Somma di AVERE",'Pivot RakBank EUR'!$A$3,"Mese",8,"Tipologia",$A110),0)
+IFERROR(GETPIVOTDATA("Somma di DARE",'Pivot Fineco Sa'!$A$3,"Mese",8,"Tipologia",$A110),0)
+ IFERROR(GETPIVOTDATA("Somma di DARE",'Pivot Fineco St'!$A$3,"Mese",8,"Tipologia",$A110),0)
+ Contanti!AD31
+ IFERROR(GETPIVOTDATA("Somma di DARE",'Pivot BBVA'!$A$3,"Mese",8,"Tipologia",$A110),0)
+ IFERROR(GETPIVOTDATA("Somma di DARE",'Pivot Amex'!$A$3,"Mese",8,"Tipologia",$A110),0)
- IFERROR(GETPIVOTDATA("Somma di AVERE",'Pivot Amex'!$A$3,"Mese",8,"Tipologia",$A110),0)
- IFERROR(GETPIVOTDATA("Somma di AVERE",'Pivot BBVA'!$A$3,"Mese",8,"Tipologia",$A110),0)
- IFERROR(GETPIVOTDATA("Somma di AVERE",'Pivot Fineco St'!$A$3,"Mese",8,"Tipologia",$A110),0)
- IFERROR(GETPIVOTDATA("Somma di AVERE",'Pivot Fineco Sa'!$A$3,"Mese",8,"Tipologia",$A110),0)
+ IFERROR(GETPIVOTDATA("Somma di DARE",'Pivot PP Visa'!$A$3,"Mese",8,"Tipologia",$A110),0)
- IFERROR(GETPIVOTDATA("Somma di AVERE",'Pivot PP Visa'!$A$3,"Mese",8,"Tipologia",$A110),0)
+ IFERROR(GETPIVOTDATA("Somma di DARE",'Pivot Revolut'!$A$3,"Mese",8,"Tipologia",$A110),0)
- IFERROR(GETPIVOTDATA("Somma di AVERE",'Pivot Revolut'!$A$3,"Mese",8,"Tipologia",$A110),0)</f>
        <v>0</v>
      </c>
      <c r="K110" s="243">
        <f>IFERROR(GETPIVOTDATA("Somma di DARE EUR",'Pivot RakBank AED'!$A$3,"Mese",9,"Tipologia",$A110),0)
- IFERROR(GETPIVOTDATA("Somma di AVERE EUR",'Pivot RakBank AED'!$A$3,"Mese",9,"Tipologia",$A110),0)
+IFERROR(GETPIVOTDATA("Somma di DARE",'Pivot RakBank EUR'!$A$3,"Mese",9,"Tipologia",$A110),0)
- IFERROR(GETPIVOTDATA("Somma di AVERE",'Pivot RakBank EUR'!$A$3,"Mese",9,"Tipologia",$A110),0)
+IFERROR(GETPIVOTDATA("Somma di DARE",'Pivot Fineco Sa'!$A$3,"Mese",9,"Tipologia",$A110),0)
+ IFERROR(GETPIVOTDATA("Somma di DARE",'Pivot Fineco St'!$A$3,"Mese",9,"Tipologia",$A110),0)
+ Contanti!AH31
+ IFERROR(GETPIVOTDATA("Somma di DARE",'Pivot BBVA'!$A$3,"Mese",9,"Tipologia",$A110),0)
+ IFERROR(GETPIVOTDATA("Somma di DARE",'Pivot Amex'!$A$3,"Mese",9,"Tipologia",$A110),0)
- IFERROR(GETPIVOTDATA("Somma di AVERE",'Pivot Amex'!$A$3,"Mese",9,"Tipologia",$A110),0)
- IFERROR(GETPIVOTDATA("Somma di AVERE",'Pivot BBVA'!$A$3,"Mese",9,"Tipologia",$A110),0)
- IFERROR(GETPIVOTDATA("Somma di AVERE",'Pivot Fineco St'!$A$3,"Mese",9,"Tipologia",$A110),0)
- IFERROR(GETPIVOTDATA("Somma di AVERE",'Pivot Fineco Sa'!$A$3,"Mese",9,"Tipologia",$A110),0)
+ IFERROR(GETPIVOTDATA("Somma di DARE",'Pivot PP Visa'!$A$3,"Mese",9,"Tipologia",$A110),0)
- IFERROR(GETPIVOTDATA("Somma di AVERE",'Pivot PP Visa'!$A$3,"Mese",9,"Tipologia",$A110),0)
+ IFERROR(GETPIVOTDATA("Somma di DARE",'Pivot Revolut'!$A$3,"Mese",9,"Tipologia",$A110),0)
- IFERROR(GETPIVOTDATA("Somma di AVERE",'Pivot Revolut'!$A$3,"Mese",9,"Tipologia",$A110),0)</f>
        <v>0</v>
      </c>
      <c r="L110" s="243">
        <f>IFERROR(GETPIVOTDATA("Somma di DARE EUR",'Pivot RakBank AED'!$A$3,"Mese",10,"Tipologia",$A110),0)
- IFERROR(GETPIVOTDATA("Somma di AVERE EUR",'Pivot RakBank AED'!$A$3,"Mese",10,"Tipologia",$A110),0)
+IFERROR(GETPIVOTDATA("Somma di DARE",'Pivot RakBank EUR'!$A$3,"Mese",10,"Tipologia",$A110),0)
- IFERROR(GETPIVOTDATA("Somma di AVERE",'Pivot RakBank EUR'!$A$3,"Mese",10,"Tipologia",$A110),0)
+IFERROR(GETPIVOTDATA("Somma di DARE",'Pivot Fineco Sa'!$A$3,"Mese",10,"Tipologia",$A110),0)
+ IFERROR(GETPIVOTDATA("Somma di DARE",'Pivot Fineco St'!$A$3,"Mese",10,"Tipologia",$A110),0)
+ Contanti!AL31
+ IFERROR(GETPIVOTDATA("Somma di DARE",'Pivot BBVA'!$A$3,"Mese",10,"Tipologia",$A110),0)
+ IFERROR(GETPIVOTDATA("Somma di DARE",'Pivot Amex'!$A$3,"Mese",10,"Tipologia",$A110),0)
- IFERROR(GETPIVOTDATA("Somma di AVERE",'Pivot Amex'!$A$3,"Mese",10,"Tipologia",$A110),0)
- IFERROR(GETPIVOTDATA("Somma di AVERE",'Pivot BBVA'!$A$3,"Mese",10,"Tipologia",$A110),0)
- IFERROR(GETPIVOTDATA("Somma di AVERE",'Pivot Fineco St'!$A$3,"Mese",10,"Tipologia",$A110),0)
- IFERROR(GETPIVOTDATA("Somma di AVERE",'Pivot Fineco Sa'!$A$3,"Mese",10,"Tipologia",$A110),0)
+ IFERROR(GETPIVOTDATA("Somma di DARE",'Pivot PP Visa'!$A$3,"Mese",10,"Tipologia",$A110),0)
- IFERROR(GETPIVOTDATA("Somma di AVERE",'Pivot PP Visa'!$A$3,"Mese",10,"Tipologia",$A110),0)
+ IFERROR(GETPIVOTDATA("Somma di DARE",'Pivot Revolut'!$A$3,"Mese",10,"Tipologia",$A110),0)
- IFERROR(GETPIVOTDATA("Somma di AVERE",'Pivot Revolut'!$A$3,"Mese",10,"Tipologia",$A110),0)</f>
        <v>0</v>
      </c>
      <c r="M110" s="243">
        <f>IFERROR(GETPIVOTDATA("Somma di DARE EUR",'Pivot RakBank AED'!$A$3,"Mese",11,"Tipologia",$A110),0)
- IFERROR(GETPIVOTDATA("Somma di AVERE EUR",'Pivot RakBank AED'!$A$3,"Mese",11,"Tipologia",$A110),0)
+IFERROR(GETPIVOTDATA("Somma di DARE",'Pivot RakBank EUR'!$A$3,"Mese",11,"Tipologia",$A110),0)
- IFERROR(GETPIVOTDATA("Somma di AVERE",'Pivot RakBank EUR'!$A$3,"Mese",11,"Tipologia",$A110),0)
+IFERROR(GETPIVOTDATA("Somma di DARE",'Pivot Fineco Sa'!$A$3,"Mese",11,"Tipologia",$A110),0)
+ IFERROR(GETPIVOTDATA("Somma di DARE",'Pivot Fineco St'!$A$3,"Mese",11,"Tipologia",$A110),0)
+ Contanti!AP31
+ IFERROR(GETPIVOTDATA("Somma di DARE",'Pivot BBVA'!$A$3,"Mese",11,"Tipologia",$A110),0)
+ IFERROR(GETPIVOTDATA("Somma di DARE",'Pivot Amex'!$A$3,"Mese",11,"Tipologia",$A110),0)
- IFERROR(GETPIVOTDATA("Somma di AVERE",'Pivot Amex'!$A$3,"Mese",11,"Tipologia",$A110),0)
- IFERROR(GETPIVOTDATA("Somma di AVERE",'Pivot BBVA'!$A$3,"Mese",11,"Tipologia",$A110),0)
- IFERROR(GETPIVOTDATA("Somma di AVERE",'Pivot Fineco St'!$A$3,"Mese",11,"Tipologia",$A110),0)
- IFERROR(GETPIVOTDATA("Somma di AVERE",'Pivot Fineco Sa'!$A$3,"Mese",11,"Tipologia",$A110),0)
+ IFERROR(GETPIVOTDATA("Somma di DARE",'Pivot PP Visa'!$A$3,"Mese",11,"Tipologia",$A110),0)
- IFERROR(GETPIVOTDATA("Somma di AVERE",'Pivot PP Visa'!$A$3,"Mese",11,"Tipologia",$A110),0)
+ IFERROR(GETPIVOTDATA("Somma di DARE",'Pivot Revolut'!$A$3,"Mese",11,"Tipologia",$A110),0)
- IFERROR(GETPIVOTDATA("Somma di AVERE",'Pivot Revolut'!$A$3,"Mese",11,"Tipologia",$A110),0)</f>
        <v>0</v>
      </c>
      <c r="N110" s="243">
        <f>IFERROR(GETPIVOTDATA("Somma di DARE EUR",'Pivot RakBank AED'!$A$3,"Mese",12,"Tipologia",$A110),0)
- IFERROR(GETPIVOTDATA("Somma di AVERE EUR",'Pivot RakBank AED'!$A$3,"Mese",12,"Tipologia",$A110),0)
+IFERROR(GETPIVOTDATA("Somma di DARE",'Pivot RakBank EUR'!$A$3,"Mese",12,"Tipologia",$A110),0)
- IFERROR(GETPIVOTDATA("Somma di AVERE",'Pivot RakBank EUR'!$A$3,"Mese",12,"Tipologia",$A110),0)
+IFERROR(GETPIVOTDATA("Somma di DARE",'Pivot Fineco Sa'!$A$3,"Mese",12,"Tipologia",$A110),0)
+ IFERROR(GETPIVOTDATA("Somma di DARE",'Pivot Fineco St'!$A$3,"Mese",12,"Tipologia",$A110),0)
+ Contanti!AT31
+ IFERROR(GETPIVOTDATA("Somma di DARE",'Pivot BBVA'!$A$3,"Mese",12,"Tipologia",$A110),0)
+ IFERROR(GETPIVOTDATA("Somma di DARE",'Pivot Amex'!$A$3,"Mese",12,"Tipologia",$A110),0)
- IFERROR(GETPIVOTDATA("Somma di AVERE",'Pivot Amex'!$A$3,"Mese",12,"Tipologia",$A110),0)
- IFERROR(GETPIVOTDATA("Somma di AVERE",'Pivot BBVA'!$A$3,"Mese",12,"Tipologia",$A110),0)
- IFERROR(GETPIVOTDATA("Somma di AVERE",'Pivot Fineco St'!$A$3,"Mese",12,"Tipologia",$A110),0)
- IFERROR(GETPIVOTDATA("Somma di AVERE",'Pivot Fineco Sa'!$A$3,"Mese",12,"Tipologia",$A110),0)
+ IFERROR(GETPIVOTDATA("Somma di DARE",'Pivot PP Visa'!$A$3,"Mese",12,"Tipologia",$A110),0)
- IFERROR(GETPIVOTDATA("Somma di AVERE",'Pivot PP Visa'!$A$3,"Mese",12,"Tipologia",$A110),0)
+ IFERROR(GETPIVOTDATA("Somma di DARE",'Pivot Revolut'!$A$3,"Mese",12,"Tipologia",$A110),0)
- IFERROR(GETPIVOTDATA("Somma di AVERE",'Pivot Revolut'!$A$3,"Mese",12,"Tipologia",$A110),0)</f>
        <v>0</v>
      </c>
      <c r="O110" s="252">
        <f>SUM(C110:N110)</f>
        <v>1860.1799999999998</v>
      </c>
      <c r="P110" s="243">
        <f t="shared" ref="P110:P112" ca="1" si="11">O110/(MONTH(TODAY()))</f>
        <v>265.73999999999995</v>
      </c>
    </row>
    <row r="111" spans="1:16" s="125" customFormat="1" ht="21" customHeight="1" x14ac:dyDescent="0.2">
      <c r="A111" s="251" t="s">
        <v>289</v>
      </c>
      <c r="B111" s="251"/>
      <c r="C111" s="243">
        <f>IFERROR(GETPIVOTDATA("Somma di DARE EUR",'Pivot RakBank AED'!$A$3,"Mese",1,"Tipologia",$A111),0)
- IFERROR(GETPIVOTDATA("Somma di AVERE EUR",'Pivot RakBank AED'!$A$3,"Mese",1,"Tipologia",$A111),0)
+IFERROR(GETPIVOTDATA("Somma di DARE",'Pivot RakBank EUR'!$A$3,"Mese",1,"Tipologia",$A111),0)
- IFERROR(GETPIVOTDATA("Somma di AVERE",'Pivot RakBank EUR'!$A$3,"Mese",1,"Tipologia",$A111),0)
+IFERROR(GETPIVOTDATA("Somma di DARE",'Pivot Fineco Sa'!$A$3,"Mese",1,"Tipologia",$A111),0)
+ IFERROR(GETPIVOTDATA("Somma di DARE",'Pivot Fineco St'!$A$3,"Mese",1,"Tipologia",$A111),0)
+ Contanti!B32
+ IFERROR(GETPIVOTDATA("Somma di DARE",'Pivot BBVA'!$A$3,"Mese",1,"Tipologia",$A111),0)
+ IFERROR(GETPIVOTDATA("Somma di DARE",'Pivot Amex'!$A$3,"Mese",1,"Tipologia",$A111),0)
- IFERROR(GETPIVOTDATA("Somma di AVERE",'Pivot Amex'!$A$3,"Mese",1,"Tipologia",$A111),0)
- IFERROR(GETPIVOTDATA("Somma di AVERE",'Pivot BBVA'!$A$3,"Mese",1,"Tipologia",$A111),0)
- IFERROR(GETPIVOTDATA("Somma di AVERE",'Pivot Fineco St'!$A$3,"Mese",1,"Tipologia",$A111),0)
- IFERROR(GETPIVOTDATA("Somma di AVERE",'Pivot Fineco Sa'!$A$3,"Mese",1,"Tipologia",$A111),0)
+ IFERROR(GETPIVOTDATA("Somma di DARE",'Pivot PP Visa'!$A$3,"Mese",1,"Tipologia",$A111),0)
- IFERROR(GETPIVOTDATA("Somma di AVERE",'Pivot PP Visa'!$A$3,"Mese",1,"Tipologia",$A111),0)
+ IFERROR(GETPIVOTDATA("Somma di DARE",'Pivot Revolut'!$A$3,"Mese",1,"Tipologia",$A111),0)
- IFERROR(GETPIVOTDATA("Somma di AVERE",'Pivot Revolut'!$A$3,"Mese",1,"Tipologia",$A111),0)</f>
        <v>0</v>
      </c>
      <c r="D111" s="243">
        <f>IFERROR(GETPIVOTDATA("Somma di DARE EUR",'Pivot RakBank AED'!$A$3,"Mese",2,"Tipologia",$A111),0)
- IFERROR(GETPIVOTDATA("Somma di AVERE EUR",'Pivot RakBank AED'!$A$3,"Mese",2,"Tipologia",$A111),0)
+IFERROR(GETPIVOTDATA("Somma di DARE",'Pivot RakBank EUR'!$A$3,"Mese",2,"Tipologia",$A111),0)
- IFERROR(GETPIVOTDATA("Somma di AVERE",'Pivot RakBank EUR'!$A$3,"Mese",2,"Tipologia",$A111),0)
+IFERROR(GETPIVOTDATA("Somma di DARE",'Pivot Fineco Sa'!$A$3,"Mese",2,"Tipologia",$A111),0)
+ IFERROR(GETPIVOTDATA("Somma di DARE",'Pivot Fineco St'!$A$3,"Mese",2,"Tipologia",$A111),0)
+ Contanti!F32
+ IFERROR(GETPIVOTDATA("Somma di DARE",'Pivot BBVA'!$A$3,"Mese",2,"Tipologia",$A111),0)
+ IFERROR(GETPIVOTDATA("Somma di DARE",'Pivot Amex'!$A$3,"Mese",2,"Tipologia",$A111),0)
- IFERROR(GETPIVOTDATA("Somma di AVERE",'Pivot Amex'!$A$3,"Mese",2,"Tipologia",$A111),0)
- IFERROR(GETPIVOTDATA("Somma di AVERE",'Pivot BBVA'!$A$3,"Mese",2,"Tipologia",$A111),0)
- IFERROR(GETPIVOTDATA("Somma di AVERE",'Pivot Fineco St'!$A$3,"Mese",2,"Tipologia",$A111),0)
- IFERROR(GETPIVOTDATA("Somma di AVERE",'Pivot Fineco Sa'!$A$3,"Mese",2,"Tipologia",$A111),0)
+ IFERROR(GETPIVOTDATA("Somma di DARE",'Pivot PP Visa'!$A$3,"Mese",2,"Tipologia",$A111),0)
- IFERROR(GETPIVOTDATA("Somma di AVERE",'Pivot PP Visa'!$A$3,"Mese",2,"Tipologia",$A111),0)
+ IFERROR(GETPIVOTDATA("Somma di DARE",'Pivot Revolut'!$A$3,"Mese",2,"Tipologia",$A111),0)
- IFERROR(GETPIVOTDATA("Somma di AVERE",'Pivot Revolut'!$A$3,"Mese",2,"Tipologia",$A111),0)</f>
        <v>0</v>
      </c>
      <c r="E111" s="243">
        <f>IFERROR(GETPIVOTDATA("Somma di DARE EUR",'Pivot RakBank AED'!$A$3,"Mese",3,"Tipologia",$A111),0)
- IFERROR(GETPIVOTDATA("Somma di AVERE EUR",'Pivot RakBank AED'!$A$3,"Mese",3,"Tipologia",$A111),0)
+IFERROR(GETPIVOTDATA("Somma di DARE",'Pivot RakBank EUR'!$A$3,"Mese",3,"Tipologia",$A111),0)
- IFERROR(GETPIVOTDATA("Somma di AVERE",'Pivot RakBank EUR'!$A$3,"Mese",3,"Tipologia",$A111),0)
+IFERROR(GETPIVOTDATA("Somma di DARE",'Pivot Fineco Sa'!$A$3,"Mese",3,"Tipologia",$A111),0)
+ IFERROR(GETPIVOTDATA("Somma di DARE",'Pivot Fineco St'!$A$3,"Mese",3,"Tipologia",$A111),0)
+ Contanti!J32
+ IFERROR(GETPIVOTDATA("Somma di DARE",'Pivot BBVA'!$A$3,"Mese",3,"Tipologia",$A111),0)
+ IFERROR(GETPIVOTDATA("Somma di DARE",'Pivot Amex'!$A$3,"Mese",3,"Tipologia",$A111),0)
- IFERROR(GETPIVOTDATA("Somma di AVERE",'Pivot Amex'!$A$3,"Mese",3,"Tipologia",$A111),0)
- IFERROR(GETPIVOTDATA("Somma di AVERE",'Pivot BBVA'!$A$3,"Mese",3,"Tipologia",$A111),0)
- IFERROR(GETPIVOTDATA("Somma di AVERE",'Pivot Fineco St'!$A$3,"Mese",3,"Tipologia",$A111),0)
- IFERROR(GETPIVOTDATA("Somma di AVERE",'Pivot Fineco Sa'!$A$3,"Mese",3,"Tipologia",$A111),0)
+ IFERROR(GETPIVOTDATA("Somma di DARE",'Pivot PP Visa'!$A$3,"Mese",3,"Tipologia",$A111),0)
- IFERROR(GETPIVOTDATA("Somma di AVERE",'Pivot PP Visa'!$A$3,"Mese",3,"Tipologia",$A111),0)
+ IFERROR(GETPIVOTDATA("Somma di DARE",'Pivot Revolut'!$A$3,"Mese",3,"Tipologia",$A111),0)
- IFERROR(GETPIVOTDATA("Somma di AVERE",'Pivot Revolut'!$A$3,"Mese",3,"Tipologia",$A111),0)</f>
        <v>0</v>
      </c>
      <c r="F111" s="243">
        <f>IFERROR(GETPIVOTDATA("Somma di DARE EUR",'Pivot RakBank AED'!$A$3,"Mese",4,"Tipologia",$A111),0)
- IFERROR(GETPIVOTDATA("Somma di AVERE EUR",'Pivot RakBank AED'!$A$3,"Mese",4,"Tipologia",$A111),0)
+IFERROR(GETPIVOTDATA("Somma di DARE",'Pivot RakBank EUR'!$A$3,"Mese",4,"Tipologia",$A111),0)
- IFERROR(GETPIVOTDATA("Somma di AVERE",'Pivot RakBank EUR'!$A$3,"Mese",4,"Tipologia",$A111),0)
+IFERROR(GETPIVOTDATA("Somma di DARE",'Pivot Fineco Sa'!$A$3,"Mese",4,"Tipologia",$A111),0)
+ IFERROR(GETPIVOTDATA("Somma di DARE",'Pivot Fineco St'!$A$3,"Mese",4,"Tipologia",$A111),0)
+ Contanti!N32
+ IFERROR(GETPIVOTDATA("Somma di DARE",'Pivot BBVA'!$A$3,"Mese",4,"Tipologia",$A111),0)
+ IFERROR(GETPIVOTDATA("Somma di DARE",'Pivot Amex'!$A$3,"Mese",4,"Tipologia",$A111),0)
- IFERROR(GETPIVOTDATA("Somma di AVERE",'Pivot Amex'!$A$3,"Mese",4,"Tipologia",$A111),0)
- IFERROR(GETPIVOTDATA("Somma di AVERE",'Pivot BBVA'!$A$3,"Mese",4,"Tipologia",$A111),0)
- IFERROR(GETPIVOTDATA("Somma di AVERE",'Pivot Fineco St'!$A$3,"Mese",4,"Tipologia",$A111),0)
- IFERROR(GETPIVOTDATA("Somma di AVERE",'Pivot Fineco Sa'!$A$3,"Mese",4,"Tipologia",$A111),0)
+ IFERROR(GETPIVOTDATA("Somma di DARE",'Pivot PP Visa'!$A$3,"Mese",4,"Tipologia",$A111),0)
- IFERROR(GETPIVOTDATA("Somma di AVERE",'Pivot PP Visa'!$A$3,"Mese",4,"Tipologia",$A111),0)
+ IFERROR(GETPIVOTDATA("Somma di DARE",'Pivot Revolut'!$A$3,"Mese",4,"Tipologia",$A111),0)
- IFERROR(GETPIVOTDATA("Somma di AVERE",'Pivot Revolut'!$A$3,"Mese",4,"Tipologia",$A111),0)</f>
        <v>3.99</v>
      </c>
      <c r="G111" s="243">
        <f>IFERROR(GETPIVOTDATA("Somma di DARE EUR",'Pivot RakBank AED'!$A$3,"Mese",5,"Tipologia",$A111),0)
- IFERROR(GETPIVOTDATA("Somma di AVERE EUR",'Pivot RakBank AED'!$A$3,"Mese",5,"Tipologia",$A111),0)
+IFERROR(GETPIVOTDATA("Somma di DARE",'Pivot RakBank EUR'!$A$3,"Mese",5,"Tipologia",$A111),0)
- IFERROR(GETPIVOTDATA("Somma di AVERE",'Pivot RakBank EUR'!$A$3,"Mese",5,"Tipologia",$A111),0)
+IFERROR(GETPIVOTDATA("Somma di DARE",'Pivot Fineco Sa'!$A$3,"Mese",5,"Tipologia",$A111),0)
+ IFERROR(GETPIVOTDATA("Somma di DARE",'Pivot Fineco St'!$A$3,"Mese",5,"Tipologia",$A111),0)
+ Contanti!R32
+ IFERROR(GETPIVOTDATA("Somma di DARE",'Pivot BBVA'!$A$3,"Mese",5,"Tipologia",$A111),0)
+ IFERROR(GETPIVOTDATA("Somma di DARE",'Pivot Amex'!$A$3,"Mese",5,"Tipologia",$A111),0)
- IFERROR(GETPIVOTDATA("Somma di AVERE",'Pivot Amex'!$A$3,"Mese",5,"Tipologia",$A111),0)
- IFERROR(GETPIVOTDATA("Somma di AVERE",'Pivot BBVA'!$A$3,"Mese",5,"Tipologia",$A111),0)
- IFERROR(GETPIVOTDATA("Somma di AVERE",'Pivot Fineco St'!$A$3,"Mese",5,"Tipologia",$A111),0)
- IFERROR(GETPIVOTDATA("Somma di AVERE",'Pivot Fineco Sa'!$A$3,"Mese",5,"Tipologia",$A111),0)
+ IFERROR(GETPIVOTDATA("Somma di DARE",'Pivot PP Visa'!$A$3,"Mese",5,"Tipologia",$A111),0)
- IFERROR(GETPIVOTDATA("Somma di AVERE",'Pivot PP Visa'!$A$3,"Mese",5,"Tipologia",$A111),0)
+ IFERROR(GETPIVOTDATA("Somma di DARE",'Pivot Revolut'!$A$3,"Mese",5,"Tipologia",$A111),0)
- IFERROR(GETPIVOTDATA("Somma di AVERE",'Pivot Revolut'!$A$3,"Mese",5,"Tipologia",$A111),0)</f>
        <v>14.9</v>
      </c>
      <c r="H111" s="243">
        <f>IFERROR(GETPIVOTDATA("Somma di DARE EUR",'Pivot RakBank AED'!$A$3,"Mese",6,"Tipologia",$A111),0)
- IFERROR(GETPIVOTDATA("Somma di AVERE EUR",'Pivot RakBank AED'!$A$3,"Mese",6,"Tipologia",$A111),0)
+IFERROR(GETPIVOTDATA("Somma di DARE",'Pivot RakBank EUR'!$A$3,"Mese",6,"Tipologia",$A111),0)
- IFERROR(GETPIVOTDATA("Somma di AVERE",'Pivot RakBank EUR'!$A$3,"Mese",6,"Tipologia",$A111),0)
+IFERROR(GETPIVOTDATA("Somma di DARE",'Pivot Fineco Sa'!$A$3,"Mese",6,"Tipologia",$A111),0)
+ IFERROR(GETPIVOTDATA("Somma di DARE",'Pivot Fineco St'!$A$3,"Mese",6,"Tipologia",$A111),0)
+ Contanti!V32
+ IFERROR(GETPIVOTDATA("Somma di DARE",'Pivot BBVA'!$A$3,"Mese",6,"Tipologia",$A111),0)
+ IFERROR(GETPIVOTDATA("Somma di DARE",'Pivot Amex'!$A$3,"Mese",6,"Tipologia",$A111),0)
- IFERROR(GETPIVOTDATA("Somma di AVERE",'Pivot Amex'!$A$3,"Mese",6,"Tipologia",$A111),0)
- IFERROR(GETPIVOTDATA("Somma di AVERE",'Pivot BBVA'!$A$3,"Mese",6,"Tipologia",$A111),0)
- IFERROR(GETPIVOTDATA("Somma di AVERE",'Pivot Fineco St'!$A$3,"Mese",6,"Tipologia",$A111),0)
- IFERROR(GETPIVOTDATA("Somma di AVERE",'Pivot Fineco Sa'!$A$3,"Mese",6,"Tipologia",$A111),0)
+ IFERROR(GETPIVOTDATA("Somma di DARE",'Pivot PP Visa'!$A$3,"Mese",6,"Tipologia",$A111),0)
- IFERROR(GETPIVOTDATA("Somma di AVERE",'Pivot PP Visa'!$A$3,"Mese",6,"Tipologia",$A111),0)
+ IFERROR(GETPIVOTDATA("Somma di DARE",'Pivot Revolut'!$A$3,"Mese",6,"Tipologia",$A111),0)
- IFERROR(GETPIVOTDATA("Somma di AVERE",'Pivot Revolut'!$A$3,"Mese",6,"Tipologia",$A111),0)</f>
        <v>33.28</v>
      </c>
      <c r="I111" s="243">
        <f>IFERROR(GETPIVOTDATA("Somma di DARE EUR",'Pivot RakBank AED'!$A$3,"Mese",7,"Tipologia",$A111),0)
- IFERROR(GETPIVOTDATA("Somma di AVERE EUR",'Pivot RakBank AED'!$A$3,"Mese",7,"Tipologia",$A111),0)
+IFERROR(GETPIVOTDATA("Somma di DARE",'Pivot RakBank EUR'!$A$3,"Mese",7,"Tipologia",$A111),0)
- IFERROR(GETPIVOTDATA("Somma di AVERE",'Pivot RakBank EUR'!$A$3,"Mese",7,"Tipologia",$A111),0)
+IFERROR(GETPIVOTDATA("Somma di DARE",'Pivot Fineco Sa'!$A$3,"Mese",7,"Tipologia",$A111),0)
+ IFERROR(GETPIVOTDATA("Somma di DARE",'Pivot Fineco St'!$A$3,"Mese",7,"Tipologia",$A111),0)
+ Contanti!Z32
+ IFERROR(GETPIVOTDATA("Somma di DARE",'Pivot BBVA'!$A$3,"Mese",7,"Tipologia",$A111),0)
+ IFERROR(GETPIVOTDATA("Somma di DARE",'Pivot Amex'!$A$3,"Mese",7,"Tipologia",$A111),0)
- IFERROR(GETPIVOTDATA("Somma di AVERE",'Pivot Amex'!$A$3,"Mese",7,"Tipologia",$A111),0)
- IFERROR(GETPIVOTDATA("Somma di AVERE",'Pivot BBVA'!$A$3,"Mese",7,"Tipologia",$A111),0)
- IFERROR(GETPIVOTDATA("Somma di AVERE",'Pivot Fineco St'!$A$3,"Mese",7,"Tipologia",$A111),0)
- IFERROR(GETPIVOTDATA("Somma di AVERE",'Pivot Fineco Sa'!$A$3,"Mese",7,"Tipologia",$A111),0)
+ IFERROR(GETPIVOTDATA("Somma di DARE",'Pivot PP Visa'!$A$3,"Mese",7,"Tipologia",$A111),0)
- IFERROR(GETPIVOTDATA("Somma di AVERE",'Pivot PP Visa'!$A$3,"Mese",7,"Tipologia",$A111),0)
+ IFERROR(GETPIVOTDATA("Somma di DARE",'Pivot Revolut'!$A$3,"Mese",7,"Tipologia",$A111),0)
- IFERROR(GETPIVOTDATA("Somma di AVERE",'Pivot Revolut'!$A$3,"Mese",7,"Tipologia",$A111),0)</f>
        <v>0</v>
      </c>
      <c r="J111" s="243">
        <f>IFERROR(GETPIVOTDATA("Somma di DARE EUR",'Pivot RakBank AED'!$A$3,"Mese",8,"Tipologia",$A111),0)
- IFERROR(GETPIVOTDATA("Somma di AVERE EUR",'Pivot RakBank AED'!$A$3,"Mese",8,"Tipologia",$A111),0)
+IFERROR(GETPIVOTDATA("Somma di DARE",'Pivot RakBank EUR'!$A$3,"Mese",8,"Tipologia",$A111),0)
- IFERROR(GETPIVOTDATA("Somma di AVERE",'Pivot RakBank EUR'!$A$3,"Mese",8,"Tipologia",$A111),0)
+IFERROR(GETPIVOTDATA("Somma di DARE",'Pivot Fineco Sa'!$A$3,"Mese",8,"Tipologia",$A111),0)
+ IFERROR(GETPIVOTDATA("Somma di DARE",'Pivot Fineco St'!$A$3,"Mese",8,"Tipologia",$A111),0)
+ Contanti!AD32
+ IFERROR(GETPIVOTDATA("Somma di DARE",'Pivot BBVA'!$A$3,"Mese",8,"Tipologia",$A111),0)
+ IFERROR(GETPIVOTDATA("Somma di DARE",'Pivot Amex'!$A$3,"Mese",8,"Tipologia",$A111),0)
- IFERROR(GETPIVOTDATA("Somma di AVERE",'Pivot Amex'!$A$3,"Mese",8,"Tipologia",$A111),0)
- IFERROR(GETPIVOTDATA("Somma di AVERE",'Pivot BBVA'!$A$3,"Mese",8,"Tipologia",$A111),0)
- IFERROR(GETPIVOTDATA("Somma di AVERE",'Pivot Fineco St'!$A$3,"Mese",8,"Tipologia",$A111),0)
- IFERROR(GETPIVOTDATA("Somma di AVERE",'Pivot Fineco Sa'!$A$3,"Mese",8,"Tipologia",$A111),0)
+ IFERROR(GETPIVOTDATA("Somma di DARE",'Pivot PP Visa'!$A$3,"Mese",8,"Tipologia",$A111),0)
- IFERROR(GETPIVOTDATA("Somma di AVERE",'Pivot PP Visa'!$A$3,"Mese",8,"Tipologia",$A111),0)
+ IFERROR(GETPIVOTDATA("Somma di DARE",'Pivot Revolut'!$A$3,"Mese",8,"Tipologia",$A111),0)
- IFERROR(GETPIVOTDATA("Somma di AVERE",'Pivot Revolut'!$A$3,"Mese",8,"Tipologia",$A111),0)</f>
        <v>0</v>
      </c>
      <c r="K111" s="243">
        <f>IFERROR(GETPIVOTDATA("Somma di DARE EUR",'Pivot RakBank AED'!$A$3,"Mese",9,"Tipologia",$A111),0)
- IFERROR(GETPIVOTDATA("Somma di AVERE EUR",'Pivot RakBank AED'!$A$3,"Mese",9,"Tipologia",$A111),0)
+IFERROR(GETPIVOTDATA("Somma di DARE",'Pivot RakBank EUR'!$A$3,"Mese",9,"Tipologia",$A111),0)
- IFERROR(GETPIVOTDATA("Somma di AVERE",'Pivot RakBank EUR'!$A$3,"Mese",9,"Tipologia",$A111),0)
+IFERROR(GETPIVOTDATA("Somma di DARE",'Pivot Fineco Sa'!$A$3,"Mese",9,"Tipologia",$A111),0)
+ IFERROR(GETPIVOTDATA("Somma di DARE",'Pivot Fineco St'!$A$3,"Mese",9,"Tipologia",$A111),0)
+ Contanti!AH32
+ IFERROR(GETPIVOTDATA("Somma di DARE",'Pivot BBVA'!$A$3,"Mese",9,"Tipologia",$A111),0)
+ IFERROR(GETPIVOTDATA("Somma di DARE",'Pivot Amex'!$A$3,"Mese",9,"Tipologia",$A111),0)
- IFERROR(GETPIVOTDATA("Somma di AVERE",'Pivot Amex'!$A$3,"Mese",9,"Tipologia",$A111),0)
- IFERROR(GETPIVOTDATA("Somma di AVERE",'Pivot BBVA'!$A$3,"Mese",9,"Tipologia",$A111),0)
- IFERROR(GETPIVOTDATA("Somma di AVERE",'Pivot Fineco St'!$A$3,"Mese",9,"Tipologia",$A111),0)
- IFERROR(GETPIVOTDATA("Somma di AVERE",'Pivot Fineco Sa'!$A$3,"Mese",9,"Tipologia",$A111),0)
+ IFERROR(GETPIVOTDATA("Somma di DARE",'Pivot PP Visa'!$A$3,"Mese",9,"Tipologia",$A111),0)
- IFERROR(GETPIVOTDATA("Somma di AVERE",'Pivot PP Visa'!$A$3,"Mese",9,"Tipologia",$A111),0)
+ IFERROR(GETPIVOTDATA("Somma di DARE",'Pivot Revolut'!$A$3,"Mese",9,"Tipologia",$A111),0)
- IFERROR(GETPIVOTDATA("Somma di AVERE",'Pivot Revolut'!$A$3,"Mese",9,"Tipologia",$A111),0)</f>
        <v>0</v>
      </c>
      <c r="L111" s="243">
        <f>IFERROR(GETPIVOTDATA("Somma di DARE EUR",'Pivot RakBank AED'!$A$3,"Mese",10,"Tipologia",$A111),0)
- IFERROR(GETPIVOTDATA("Somma di AVERE EUR",'Pivot RakBank AED'!$A$3,"Mese",10,"Tipologia",$A111),0)
+IFERROR(GETPIVOTDATA("Somma di DARE",'Pivot RakBank EUR'!$A$3,"Mese",10,"Tipologia",$A111),0)
- IFERROR(GETPIVOTDATA("Somma di AVERE",'Pivot RakBank EUR'!$A$3,"Mese",10,"Tipologia",$A111),0)
+IFERROR(GETPIVOTDATA("Somma di DARE",'Pivot Fineco Sa'!$A$3,"Mese",10,"Tipologia",$A111),0)
+ IFERROR(GETPIVOTDATA("Somma di DARE",'Pivot Fineco St'!$A$3,"Mese",10,"Tipologia",$A111),0)
+ Contanti!AL32
+ IFERROR(GETPIVOTDATA("Somma di DARE",'Pivot BBVA'!$A$3,"Mese",10,"Tipologia",$A111),0)
+ IFERROR(GETPIVOTDATA("Somma di DARE",'Pivot Amex'!$A$3,"Mese",10,"Tipologia",$A111),0)
- IFERROR(GETPIVOTDATA("Somma di AVERE",'Pivot Amex'!$A$3,"Mese",10,"Tipologia",$A111),0)
- IFERROR(GETPIVOTDATA("Somma di AVERE",'Pivot BBVA'!$A$3,"Mese",10,"Tipologia",$A111),0)
- IFERROR(GETPIVOTDATA("Somma di AVERE",'Pivot Fineco St'!$A$3,"Mese",10,"Tipologia",$A111),0)
- IFERROR(GETPIVOTDATA("Somma di AVERE",'Pivot Fineco Sa'!$A$3,"Mese",10,"Tipologia",$A111),0)
+ IFERROR(GETPIVOTDATA("Somma di DARE",'Pivot PP Visa'!$A$3,"Mese",10,"Tipologia",$A111),0)
- IFERROR(GETPIVOTDATA("Somma di AVERE",'Pivot PP Visa'!$A$3,"Mese",10,"Tipologia",$A111),0)
+ IFERROR(GETPIVOTDATA("Somma di DARE",'Pivot Revolut'!$A$3,"Mese",10,"Tipologia",$A111),0)
- IFERROR(GETPIVOTDATA("Somma di AVERE",'Pivot Revolut'!$A$3,"Mese",10,"Tipologia",$A111),0)</f>
        <v>0</v>
      </c>
      <c r="M111" s="243">
        <f>IFERROR(GETPIVOTDATA("Somma di DARE EUR",'Pivot RakBank AED'!$A$3,"Mese",11,"Tipologia",$A111),0)
- IFERROR(GETPIVOTDATA("Somma di AVERE EUR",'Pivot RakBank AED'!$A$3,"Mese",11,"Tipologia",$A111),0)
+IFERROR(GETPIVOTDATA("Somma di DARE",'Pivot RakBank EUR'!$A$3,"Mese",11,"Tipologia",$A111),0)
- IFERROR(GETPIVOTDATA("Somma di AVERE",'Pivot RakBank EUR'!$A$3,"Mese",11,"Tipologia",$A111),0)
+IFERROR(GETPIVOTDATA("Somma di DARE",'Pivot Fineco Sa'!$A$3,"Mese",11,"Tipologia",$A111),0)
+ IFERROR(GETPIVOTDATA("Somma di DARE",'Pivot Fineco St'!$A$3,"Mese",11,"Tipologia",$A111),0)
+ Contanti!AP32
+ IFERROR(GETPIVOTDATA("Somma di DARE",'Pivot BBVA'!$A$3,"Mese",11,"Tipologia",$A111),0)
+ IFERROR(GETPIVOTDATA("Somma di DARE",'Pivot Amex'!$A$3,"Mese",11,"Tipologia",$A111),0)
- IFERROR(GETPIVOTDATA("Somma di AVERE",'Pivot Amex'!$A$3,"Mese",11,"Tipologia",$A111),0)
- IFERROR(GETPIVOTDATA("Somma di AVERE",'Pivot BBVA'!$A$3,"Mese",11,"Tipologia",$A111),0)
- IFERROR(GETPIVOTDATA("Somma di AVERE",'Pivot Fineco St'!$A$3,"Mese",11,"Tipologia",$A111),0)
- IFERROR(GETPIVOTDATA("Somma di AVERE",'Pivot Fineco Sa'!$A$3,"Mese",11,"Tipologia",$A111),0)
+ IFERROR(GETPIVOTDATA("Somma di DARE",'Pivot PP Visa'!$A$3,"Mese",11,"Tipologia",$A111),0)
- IFERROR(GETPIVOTDATA("Somma di AVERE",'Pivot PP Visa'!$A$3,"Mese",11,"Tipologia",$A111),0)
+ IFERROR(GETPIVOTDATA("Somma di DARE",'Pivot Revolut'!$A$3,"Mese",11,"Tipologia",$A111),0)
- IFERROR(GETPIVOTDATA("Somma di AVERE",'Pivot Revolut'!$A$3,"Mese",11,"Tipologia",$A111),0)</f>
        <v>0</v>
      </c>
      <c r="N111" s="243">
        <f>IFERROR(GETPIVOTDATA("Somma di DARE EUR",'Pivot RakBank AED'!$A$3,"Mese",12,"Tipologia",$A111),0)
- IFERROR(GETPIVOTDATA("Somma di AVERE EUR",'Pivot RakBank AED'!$A$3,"Mese",12,"Tipologia",$A111),0)
+IFERROR(GETPIVOTDATA("Somma di DARE",'Pivot RakBank EUR'!$A$3,"Mese",12,"Tipologia",$A111),0)
- IFERROR(GETPIVOTDATA("Somma di AVERE",'Pivot RakBank EUR'!$A$3,"Mese",12,"Tipologia",$A111),0)
+IFERROR(GETPIVOTDATA("Somma di DARE",'Pivot Fineco Sa'!$A$3,"Mese",12,"Tipologia",$A111),0)
+ IFERROR(GETPIVOTDATA("Somma di DARE",'Pivot Fineco St'!$A$3,"Mese",12,"Tipologia",$A111),0)
+ Contanti!AT32
+ IFERROR(GETPIVOTDATA("Somma di DARE",'Pivot BBVA'!$A$3,"Mese",12,"Tipologia",$A111),0)
+ IFERROR(GETPIVOTDATA("Somma di DARE",'Pivot Amex'!$A$3,"Mese",12,"Tipologia",$A111),0)
- IFERROR(GETPIVOTDATA("Somma di AVERE",'Pivot Amex'!$A$3,"Mese",12,"Tipologia",$A111),0)
- IFERROR(GETPIVOTDATA("Somma di AVERE",'Pivot BBVA'!$A$3,"Mese",12,"Tipologia",$A111),0)
- IFERROR(GETPIVOTDATA("Somma di AVERE",'Pivot Fineco St'!$A$3,"Mese",12,"Tipologia",$A111),0)
- IFERROR(GETPIVOTDATA("Somma di AVERE",'Pivot Fineco Sa'!$A$3,"Mese",12,"Tipologia",$A111),0)
+ IFERROR(GETPIVOTDATA("Somma di DARE",'Pivot PP Visa'!$A$3,"Mese",12,"Tipologia",$A111),0)
- IFERROR(GETPIVOTDATA("Somma di AVERE",'Pivot PP Visa'!$A$3,"Mese",12,"Tipologia",$A111),0)
+ IFERROR(GETPIVOTDATA("Somma di DARE",'Pivot Revolut'!$A$3,"Mese",12,"Tipologia",$A111),0)
- IFERROR(GETPIVOTDATA("Somma di AVERE",'Pivot Revolut'!$A$3,"Mese",12,"Tipologia",$A111),0)</f>
        <v>0</v>
      </c>
      <c r="O111" s="252">
        <f>SUM(C111:N111)</f>
        <v>52.17</v>
      </c>
      <c r="P111" s="243">
        <f t="shared" ca="1" si="11"/>
        <v>7.4528571428571428</v>
      </c>
    </row>
    <row r="112" spans="1:16" s="125" customFormat="1" ht="21" customHeight="1" x14ac:dyDescent="0.2">
      <c r="A112" s="251" t="s">
        <v>239</v>
      </c>
      <c r="B112" s="251"/>
      <c r="C112" s="243">
        <f>IFERROR(GETPIVOTDATA("Somma di DARE EUR",'Pivot RakBank AED'!$A$3,"Mese",1,"Tipologia",$A112),0)
- IFERROR(GETPIVOTDATA("Somma di AVERE EUR",'Pivot RakBank AED'!$A$3,"Mese",1,"Tipologia",$A112),0)
+IFERROR(GETPIVOTDATA("Somma di DARE",'Pivot RakBank EUR'!$A$3,"Mese",1,"Tipologia",$A112),0)
- IFERROR(GETPIVOTDATA("Somma di AVERE",'Pivot RakBank EUR'!$A$3,"Mese",1,"Tipologia",$A112),0)
+IFERROR(GETPIVOTDATA("Somma di DARE",'Pivot Fineco Sa'!$A$3,"Mese",1,"Tipologia",$A112),0)
+ IFERROR(GETPIVOTDATA("Somma di DARE",'Pivot Fineco St'!$A$3,"Mese",1,"Tipologia",$A112),0)
+ Contanti!B33
+ IFERROR(GETPIVOTDATA("Somma di DARE",'Pivot BBVA'!$A$3,"Mese",1,"Tipologia",$A112),0)
+ IFERROR(GETPIVOTDATA("Somma di DARE",'Pivot Amex'!$A$3,"Mese",1,"Tipologia",$A112),0)
- IFERROR(GETPIVOTDATA("Somma di AVERE",'Pivot Amex'!$A$3,"Mese",1,"Tipologia",$A112),0)
- IFERROR(GETPIVOTDATA("Somma di AVERE",'Pivot BBVA'!$A$3,"Mese",1,"Tipologia",$A112),0)
- IFERROR(GETPIVOTDATA("Somma di AVERE",'Pivot Fineco St'!$A$3,"Mese",1,"Tipologia",$A112),0)
- IFERROR(GETPIVOTDATA("Somma di AVERE",'Pivot Fineco Sa'!$A$3,"Mese",1,"Tipologia",$A112),0)
+ IFERROR(GETPIVOTDATA("Somma di DARE",'Pivot PP Visa'!$A$3,"Mese",1,"Tipologia",$A112),0)
- IFERROR(GETPIVOTDATA("Somma di AVERE",'Pivot PP Visa'!$A$3,"Mese",1,"Tipologia",$A112),0)
+ IFERROR(GETPIVOTDATA("Somma di DARE",'Pivot Revolut'!$A$3,"Mese",1,"Tipologia",$A112),0)
- IFERROR(GETPIVOTDATA("Somma di AVERE",'Pivot Revolut'!$A$3,"Mese",1,"Tipologia",$A112),0)</f>
        <v>0</v>
      </c>
      <c r="D112" s="243">
        <f>IFERROR(GETPIVOTDATA("Somma di DARE EUR",'Pivot RakBank AED'!$A$3,"Mese",2,"Tipologia",$A112),0)
- IFERROR(GETPIVOTDATA("Somma di AVERE EUR",'Pivot RakBank AED'!$A$3,"Mese",2,"Tipologia",$A112),0)
+IFERROR(GETPIVOTDATA("Somma di DARE",'Pivot RakBank EUR'!$A$3,"Mese",2,"Tipologia",$A112),0)
- IFERROR(GETPIVOTDATA("Somma di AVERE",'Pivot RakBank EUR'!$A$3,"Mese",2,"Tipologia",$A112),0)
+IFERROR(GETPIVOTDATA("Somma di DARE",'Pivot Fineco Sa'!$A$3,"Mese",2,"Tipologia",$A112),0)
+ IFERROR(GETPIVOTDATA("Somma di DARE",'Pivot Fineco St'!$A$3,"Mese",2,"Tipologia",$A112),0)
+ Contanti!F33
+ IFERROR(GETPIVOTDATA("Somma di DARE",'Pivot BBVA'!$A$3,"Mese",2,"Tipologia",$A112),0)
+ IFERROR(GETPIVOTDATA("Somma di DARE",'Pivot Amex'!$A$3,"Mese",2,"Tipologia",$A112),0)
- IFERROR(GETPIVOTDATA("Somma di AVERE",'Pivot Amex'!$A$3,"Mese",2,"Tipologia",$A112),0)
- IFERROR(GETPIVOTDATA("Somma di AVERE",'Pivot BBVA'!$A$3,"Mese",2,"Tipologia",$A112),0)
- IFERROR(GETPIVOTDATA("Somma di AVERE",'Pivot Fineco St'!$A$3,"Mese",2,"Tipologia",$A112),0)
- IFERROR(GETPIVOTDATA("Somma di AVERE",'Pivot Fineco Sa'!$A$3,"Mese",2,"Tipologia",$A112),0)
+ IFERROR(GETPIVOTDATA("Somma di DARE",'Pivot PP Visa'!$A$3,"Mese",2,"Tipologia",$A112),0)
- IFERROR(GETPIVOTDATA("Somma di AVERE",'Pivot PP Visa'!$A$3,"Mese",2,"Tipologia",$A112),0)
+ IFERROR(GETPIVOTDATA("Somma di DARE",'Pivot Revolut'!$A$3,"Mese",2,"Tipologia",$A112),0)
- IFERROR(GETPIVOTDATA("Somma di AVERE",'Pivot Revolut'!$A$3,"Mese",2,"Tipologia",$A112),0)</f>
        <v>0</v>
      </c>
      <c r="E112" s="243">
        <f>IFERROR(GETPIVOTDATA("Somma di DARE EUR",'Pivot RakBank AED'!$A$3,"Mese",3,"Tipologia",$A112),0)
- IFERROR(GETPIVOTDATA("Somma di AVERE EUR",'Pivot RakBank AED'!$A$3,"Mese",3,"Tipologia",$A112),0)
+IFERROR(GETPIVOTDATA("Somma di DARE",'Pivot RakBank EUR'!$A$3,"Mese",3,"Tipologia",$A112),0)
- IFERROR(GETPIVOTDATA("Somma di AVERE",'Pivot RakBank EUR'!$A$3,"Mese",3,"Tipologia",$A112),0)
+IFERROR(GETPIVOTDATA("Somma di DARE",'Pivot Fineco Sa'!$A$3,"Mese",3,"Tipologia",$A112),0)
+ IFERROR(GETPIVOTDATA("Somma di DARE",'Pivot Fineco St'!$A$3,"Mese",3,"Tipologia",$A112),0)
+ Contanti!J33
+ IFERROR(GETPIVOTDATA("Somma di DARE",'Pivot BBVA'!$A$3,"Mese",3,"Tipologia",$A112),0)
+ IFERROR(GETPIVOTDATA("Somma di DARE",'Pivot Amex'!$A$3,"Mese",3,"Tipologia",$A112),0)
- IFERROR(GETPIVOTDATA("Somma di AVERE",'Pivot Amex'!$A$3,"Mese",3,"Tipologia",$A112),0)
- IFERROR(GETPIVOTDATA("Somma di AVERE",'Pivot BBVA'!$A$3,"Mese",3,"Tipologia",$A112),0)
- IFERROR(GETPIVOTDATA("Somma di AVERE",'Pivot Fineco St'!$A$3,"Mese",3,"Tipologia",$A112),0)
- IFERROR(GETPIVOTDATA("Somma di AVERE",'Pivot Fineco Sa'!$A$3,"Mese",3,"Tipologia",$A112),0)
+ IFERROR(GETPIVOTDATA("Somma di DARE",'Pivot PP Visa'!$A$3,"Mese",3,"Tipologia",$A112),0)
- IFERROR(GETPIVOTDATA("Somma di AVERE",'Pivot PP Visa'!$A$3,"Mese",3,"Tipologia",$A112),0)
+ IFERROR(GETPIVOTDATA("Somma di DARE",'Pivot Revolut'!$A$3,"Mese",3,"Tipologia",$A112),0)
- IFERROR(GETPIVOTDATA("Somma di AVERE",'Pivot Revolut'!$A$3,"Mese",3,"Tipologia",$A112),0)</f>
        <v>16.920000000000002</v>
      </c>
      <c r="F112" s="243">
        <f>IFERROR(GETPIVOTDATA("Somma di DARE EUR",'Pivot RakBank AED'!$A$3,"Mese",4,"Tipologia",$A112),0)
- IFERROR(GETPIVOTDATA("Somma di AVERE EUR",'Pivot RakBank AED'!$A$3,"Mese",4,"Tipologia",$A112),0)
+IFERROR(GETPIVOTDATA("Somma di DARE",'Pivot RakBank EUR'!$A$3,"Mese",4,"Tipologia",$A112),0)
- IFERROR(GETPIVOTDATA("Somma di AVERE",'Pivot RakBank EUR'!$A$3,"Mese",4,"Tipologia",$A112),0)
+IFERROR(GETPIVOTDATA("Somma di DARE",'Pivot Fineco Sa'!$A$3,"Mese",4,"Tipologia",$A112),0)
+ IFERROR(GETPIVOTDATA("Somma di DARE",'Pivot Fineco St'!$A$3,"Mese",4,"Tipologia",$A112),0)
+ Contanti!N33
+ IFERROR(GETPIVOTDATA("Somma di DARE",'Pivot BBVA'!$A$3,"Mese",4,"Tipologia",$A112),0)
+ IFERROR(GETPIVOTDATA("Somma di DARE",'Pivot Amex'!$A$3,"Mese",4,"Tipologia",$A112),0)
- IFERROR(GETPIVOTDATA("Somma di AVERE",'Pivot Amex'!$A$3,"Mese",4,"Tipologia",$A112),0)
- IFERROR(GETPIVOTDATA("Somma di AVERE",'Pivot BBVA'!$A$3,"Mese",4,"Tipologia",$A112),0)
- IFERROR(GETPIVOTDATA("Somma di AVERE",'Pivot Fineco St'!$A$3,"Mese",4,"Tipologia",$A112),0)
- IFERROR(GETPIVOTDATA("Somma di AVERE",'Pivot Fineco Sa'!$A$3,"Mese",4,"Tipologia",$A112),0)
+ IFERROR(GETPIVOTDATA("Somma di DARE",'Pivot PP Visa'!$A$3,"Mese",4,"Tipologia",$A112),0)
- IFERROR(GETPIVOTDATA("Somma di AVERE",'Pivot PP Visa'!$A$3,"Mese",4,"Tipologia",$A112),0)
+ IFERROR(GETPIVOTDATA("Somma di DARE",'Pivot Revolut'!$A$3,"Mese",4,"Tipologia",$A112),0)
- IFERROR(GETPIVOTDATA("Somma di AVERE",'Pivot Revolut'!$A$3,"Mese",4,"Tipologia",$A112),0)</f>
        <v>0</v>
      </c>
      <c r="G112" s="243">
        <f>IFERROR(GETPIVOTDATA("Somma di DARE EUR",'Pivot RakBank AED'!$A$3,"Mese",5,"Tipologia",$A112),0)
- IFERROR(GETPIVOTDATA("Somma di AVERE EUR",'Pivot RakBank AED'!$A$3,"Mese",5,"Tipologia",$A112),0)
+IFERROR(GETPIVOTDATA("Somma di DARE",'Pivot RakBank EUR'!$A$3,"Mese",5,"Tipologia",$A112),0)
- IFERROR(GETPIVOTDATA("Somma di AVERE",'Pivot RakBank EUR'!$A$3,"Mese",5,"Tipologia",$A112),0)
+IFERROR(GETPIVOTDATA("Somma di DARE",'Pivot Fineco Sa'!$A$3,"Mese",5,"Tipologia",$A112),0)
+ IFERROR(GETPIVOTDATA("Somma di DARE",'Pivot Fineco St'!$A$3,"Mese",5,"Tipologia",$A112),0)
+ Contanti!R33
+ IFERROR(GETPIVOTDATA("Somma di DARE",'Pivot BBVA'!$A$3,"Mese",5,"Tipologia",$A112),0)
+ IFERROR(GETPIVOTDATA("Somma di DARE",'Pivot Amex'!$A$3,"Mese",5,"Tipologia",$A112),0)
- IFERROR(GETPIVOTDATA("Somma di AVERE",'Pivot Amex'!$A$3,"Mese",5,"Tipologia",$A112),0)
- IFERROR(GETPIVOTDATA("Somma di AVERE",'Pivot BBVA'!$A$3,"Mese",5,"Tipologia",$A112),0)
- IFERROR(GETPIVOTDATA("Somma di AVERE",'Pivot Fineco St'!$A$3,"Mese",5,"Tipologia",$A112),0)
- IFERROR(GETPIVOTDATA("Somma di AVERE",'Pivot Fineco Sa'!$A$3,"Mese",5,"Tipologia",$A112),0)
+ IFERROR(GETPIVOTDATA("Somma di DARE",'Pivot PP Visa'!$A$3,"Mese",5,"Tipologia",$A112),0)
- IFERROR(GETPIVOTDATA("Somma di AVERE",'Pivot PP Visa'!$A$3,"Mese",5,"Tipologia",$A112),0)
+ IFERROR(GETPIVOTDATA("Somma di DARE",'Pivot Revolut'!$A$3,"Mese",5,"Tipologia",$A112),0)
- IFERROR(GETPIVOTDATA("Somma di AVERE",'Pivot Revolut'!$A$3,"Mese",5,"Tipologia",$A112),0)</f>
        <v>0</v>
      </c>
      <c r="H112" s="243">
        <f>IFERROR(GETPIVOTDATA("Somma di DARE EUR",'Pivot RakBank AED'!$A$3,"Mese",6,"Tipologia",$A112),0)
- IFERROR(GETPIVOTDATA("Somma di AVERE EUR",'Pivot RakBank AED'!$A$3,"Mese",6,"Tipologia",$A112),0)
+IFERROR(GETPIVOTDATA("Somma di DARE",'Pivot RakBank EUR'!$A$3,"Mese",6,"Tipologia",$A112),0)
- IFERROR(GETPIVOTDATA("Somma di AVERE",'Pivot RakBank EUR'!$A$3,"Mese",6,"Tipologia",$A112),0)
+IFERROR(GETPIVOTDATA("Somma di DARE",'Pivot Fineco Sa'!$A$3,"Mese",6,"Tipologia",$A112),0)
+ IFERROR(GETPIVOTDATA("Somma di DARE",'Pivot Fineco St'!$A$3,"Mese",6,"Tipologia",$A112),0)
+ Contanti!V33
+ IFERROR(GETPIVOTDATA("Somma di DARE",'Pivot BBVA'!$A$3,"Mese",6,"Tipologia",$A112),0)
+ IFERROR(GETPIVOTDATA("Somma di DARE",'Pivot Amex'!$A$3,"Mese",6,"Tipologia",$A112),0)
- IFERROR(GETPIVOTDATA("Somma di AVERE",'Pivot Amex'!$A$3,"Mese",6,"Tipologia",$A112),0)
- IFERROR(GETPIVOTDATA("Somma di AVERE",'Pivot BBVA'!$A$3,"Mese",6,"Tipologia",$A112),0)
- IFERROR(GETPIVOTDATA("Somma di AVERE",'Pivot Fineco St'!$A$3,"Mese",6,"Tipologia",$A112),0)
- IFERROR(GETPIVOTDATA("Somma di AVERE",'Pivot Fineco Sa'!$A$3,"Mese",6,"Tipologia",$A112),0)
+ IFERROR(GETPIVOTDATA("Somma di DARE",'Pivot PP Visa'!$A$3,"Mese",6,"Tipologia",$A112),0)
- IFERROR(GETPIVOTDATA("Somma di AVERE",'Pivot PP Visa'!$A$3,"Mese",6,"Tipologia",$A112),0)
+ IFERROR(GETPIVOTDATA("Somma di DARE",'Pivot Revolut'!$A$3,"Mese",6,"Tipologia",$A112),0)
- IFERROR(GETPIVOTDATA("Somma di AVERE",'Pivot Revolut'!$A$3,"Mese",6,"Tipologia",$A112),0)</f>
        <v>0</v>
      </c>
      <c r="I112" s="243">
        <f>IFERROR(GETPIVOTDATA("Somma di DARE EUR",'Pivot RakBank AED'!$A$3,"Mese",7,"Tipologia",$A112),0)
- IFERROR(GETPIVOTDATA("Somma di AVERE EUR",'Pivot RakBank AED'!$A$3,"Mese",7,"Tipologia",$A112),0)
+IFERROR(GETPIVOTDATA("Somma di DARE",'Pivot RakBank EUR'!$A$3,"Mese",7,"Tipologia",$A112),0)
- IFERROR(GETPIVOTDATA("Somma di AVERE",'Pivot RakBank EUR'!$A$3,"Mese",7,"Tipologia",$A112),0)
+IFERROR(GETPIVOTDATA("Somma di DARE",'Pivot Fineco Sa'!$A$3,"Mese",7,"Tipologia",$A112),0)
+ IFERROR(GETPIVOTDATA("Somma di DARE",'Pivot Fineco St'!$A$3,"Mese",7,"Tipologia",$A112),0)
+ Contanti!Z33
+ IFERROR(GETPIVOTDATA("Somma di DARE",'Pivot BBVA'!$A$3,"Mese",7,"Tipologia",$A112),0)
+ IFERROR(GETPIVOTDATA("Somma di DARE",'Pivot Amex'!$A$3,"Mese",7,"Tipologia",$A112),0)
- IFERROR(GETPIVOTDATA("Somma di AVERE",'Pivot Amex'!$A$3,"Mese",7,"Tipologia",$A112),0)
- IFERROR(GETPIVOTDATA("Somma di AVERE",'Pivot BBVA'!$A$3,"Mese",7,"Tipologia",$A112),0)
- IFERROR(GETPIVOTDATA("Somma di AVERE",'Pivot Fineco St'!$A$3,"Mese",7,"Tipologia",$A112),0)
- IFERROR(GETPIVOTDATA("Somma di AVERE",'Pivot Fineco Sa'!$A$3,"Mese",7,"Tipologia",$A112),0)
+ IFERROR(GETPIVOTDATA("Somma di DARE",'Pivot PP Visa'!$A$3,"Mese",7,"Tipologia",$A112),0)
- IFERROR(GETPIVOTDATA("Somma di AVERE",'Pivot PP Visa'!$A$3,"Mese",7,"Tipologia",$A112),0)
+ IFERROR(GETPIVOTDATA("Somma di DARE",'Pivot Revolut'!$A$3,"Mese",7,"Tipologia",$A112),0)
- IFERROR(GETPIVOTDATA("Somma di AVERE",'Pivot Revolut'!$A$3,"Mese",7,"Tipologia",$A112),0)</f>
        <v>0</v>
      </c>
      <c r="J112" s="243">
        <f>IFERROR(GETPIVOTDATA("Somma di DARE EUR",'Pivot RakBank AED'!$A$3,"Mese",8,"Tipologia",$A112),0)
- IFERROR(GETPIVOTDATA("Somma di AVERE EUR",'Pivot RakBank AED'!$A$3,"Mese",8,"Tipologia",$A112),0)
+IFERROR(GETPIVOTDATA("Somma di DARE",'Pivot RakBank EUR'!$A$3,"Mese",8,"Tipologia",$A112),0)
- IFERROR(GETPIVOTDATA("Somma di AVERE",'Pivot RakBank EUR'!$A$3,"Mese",8,"Tipologia",$A112),0)
+IFERROR(GETPIVOTDATA("Somma di DARE",'Pivot Fineco Sa'!$A$3,"Mese",8,"Tipologia",$A112),0)
+ IFERROR(GETPIVOTDATA("Somma di DARE",'Pivot Fineco St'!$A$3,"Mese",8,"Tipologia",$A112),0)
+ Contanti!AD33
+ IFERROR(GETPIVOTDATA("Somma di DARE",'Pivot BBVA'!$A$3,"Mese",8,"Tipologia",$A112),0)
+ IFERROR(GETPIVOTDATA("Somma di DARE",'Pivot Amex'!$A$3,"Mese",8,"Tipologia",$A112),0)
- IFERROR(GETPIVOTDATA("Somma di AVERE",'Pivot Amex'!$A$3,"Mese",8,"Tipologia",$A112),0)
- IFERROR(GETPIVOTDATA("Somma di AVERE",'Pivot BBVA'!$A$3,"Mese",8,"Tipologia",$A112),0)
- IFERROR(GETPIVOTDATA("Somma di AVERE",'Pivot Fineco St'!$A$3,"Mese",8,"Tipologia",$A112),0)
- IFERROR(GETPIVOTDATA("Somma di AVERE",'Pivot Fineco Sa'!$A$3,"Mese",8,"Tipologia",$A112),0)
+ IFERROR(GETPIVOTDATA("Somma di DARE",'Pivot PP Visa'!$A$3,"Mese",8,"Tipologia",$A112),0)
- IFERROR(GETPIVOTDATA("Somma di AVERE",'Pivot PP Visa'!$A$3,"Mese",8,"Tipologia",$A112),0)
+ IFERROR(GETPIVOTDATA("Somma di DARE",'Pivot Revolut'!$A$3,"Mese",8,"Tipologia",$A112),0)
- IFERROR(GETPIVOTDATA("Somma di AVERE",'Pivot Revolut'!$A$3,"Mese",8,"Tipologia",$A112),0)</f>
        <v>0</v>
      </c>
      <c r="K112" s="243">
        <f>IFERROR(GETPIVOTDATA("Somma di DARE EUR",'Pivot RakBank AED'!$A$3,"Mese",9,"Tipologia",$A112),0)
- IFERROR(GETPIVOTDATA("Somma di AVERE EUR",'Pivot RakBank AED'!$A$3,"Mese",9,"Tipologia",$A112),0)
+IFERROR(GETPIVOTDATA("Somma di DARE",'Pivot RakBank EUR'!$A$3,"Mese",9,"Tipologia",$A112),0)
- IFERROR(GETPIVOTDATA("Somma di AVERE",'Pivot RakBank EUR'!$A$3,"Mese",9,"Tipologia",$A112),0)
+IFERROR(GETPIVOTDATA("Somma di DARE",'Pivot Fineco Sa'!$A$3,"Mese",9,"Tipologia",$A112),0)
+ IFERROR(GETPIVOTDATA("Somma di DARE",'Pivot Fineco St'!$A$3,"Mese",9,"Tipologia",$A112),0)
+ Contanti!AH33
+ IFERROR(GETPIVOTDATA("Somma di DARE",'Pivot BBVA'!$A$3,"Mese",9,"Tipologia",$A112),0)
+ IFERROR(GETPIVOTDATA("Somma di DARE",'Pivot Amex'!$A$3,"Mese",9,"Tipologia",$A112),0)
- IFERROR(GETPIVOTDATA("Somma di AVERE",'Pivot Amex'!$A$3,"Mese",9,"Tipologia",$A112),0)
- IFERROR(GETPIVOTDATA("Somma di AVERE",'Pivot BBVA'!$A$3,"Mese",9,"Tipologia",$A112),0)
- IFERROR(GETPIVOTDATA("Somma di AVERE",'Pivot Fineco St'!$A$3,"Mese",9,"Tipologia",$A112),0)
- IFERROR(GETPIVOTDATA("Somma di AVERE",'Pivot Fineco Sa'!$A$3,"Mese",9,"Tipologia",$A112),0)
+ IFERROR(GETPIVOTDATA("Somma di DARE",'Pivot PP Visa'!$A$3,"Mese",9,"Tipologia",$A112),0)
- IFERROR(GETPIVOTDATA("Somma di AVERE",'Pivot PP Visa'!$A$3,"Mese",9,"Tipologia",$A112),0)
+ IFERROR(GETPIVOTDATA("Somma di DARE",'Pivot Revolut'!$A$3,"Mese",9,"Tipologia",$A112),0)
- IFERROR(GETPIVOTDATA("Somma di AVERE",'Pivot Revolut'!$A$3,"Mese",9,"Tipologia",$A112),0)</f>
        <v>0</v>
      </c>
      <c r="L112" s="243">
        <f>IFERROR(GETPIVOTDATA("Somma di DARE EUR",'Pivot RakBank AED'!$A$3,"Mese",10,"Tipologia",$A112),0)
- IFERROR(GETPIVOTDATA("Somma di AVERE EUR",'Pivot RakBank AED'!$A$3,"Mese",10,"Tipologia",$A112),0)
+IFERROR(GETPIVOTDATA("Somma di DARE",'Pivot RakBank EUR'!$A$3,"Mese",10,"Tipologia",$A112),0)
- IFERROR(GETPIVOTDATA("Somma di AVERE",'Pivot RakBank EUR'!$A$3,"Mese",10,"Tipologia",$A112),0)
+IFERROR(GETPIVOTDATA("Somma di DARE",'Pivot Fineco Sa'!$A$3,"Mese",10,"Tipologia",$A112),0)
+ IFERROR(GETPIVOTDATA("Somma di DARE",'Pivot Fineco St'!$A$3,"Mese",10,"Tipologia",$A112),0)
+ Contanti!AL33
+ IFERROR(GETPIVOTDATA("Somma di DARE",'Pivot BBVA'!$A$3,"Mese",10,"Tipologia",$A112),0)
+ IFERROR(GETPIVOTDATA("Somma di DARE",'Pivot Amex'!$A$3,"Mese",10,"Tipologia",$A112),0)
- IFERROR(GETPIVOTDATA("Somma di AVERE",'Pivot Amex'!$A$3,"Mese",10,"Tipologia",$A112),0)
- IFERROR(GETPIVOTDATA("Somma di AVERE",'Pivot BBVA'!$A$3,"Mese",10,"Tipologia",$A112),0)
- IFERROR(GETPIVOTDATA("Somma di AVERE",'Pivot Fineco St'!$A$3,"Mese",10,"Tipologia",$A112),0)
- IFERROR(GETPIVOTDATA("Somma di AVERE",'Pivot Fineco Sa'!$A$3,"Mese",10,"Tipologia",$A112),0)
+ IFERROR(GETPIVOTDATA("Somma di DARE",'Pivot PP Visa'!$A$3,"Mese",10,"Tipologia",$A112),0)
- IFERROR(GETPIVOTDATA("Somma di AVERE",'Pivot PP Visa'!$A$3,"Mese",10,"Tipologia",$A112),0)
+ IFERROR(GETPIVOTDATA("Somma di DARE",'Pivot Revolut'!$A$3,"Mese",10,"Tipologia",$A112),0)
- IFERROR(GETPIVOTDATA("Somma di AVERE",'Pivot Revolut'!$A$3,"Mese",10,"Tipologia",$A112),0)</f>
        <v>0</v>
      </c>
      <c r="M112" s="243">
        <f>IFERROR(GETPIVOTDATA("Somma di DARE EUR",'Pivot RakBank AED'!$A$3,"Mese",11,"Tipologia",$A112),0)
- IFERROR(GETPIVOTDATA("Somma di AVERE EUR",'Pivot RakBank AED'!$A$3,"Mese",11,"Tipologia",$A112),0)
+IFERROR(GETPIVOTDATA("Somma di DARE",'Pivot RakBank EUR'!$A$3,"Mese",11,"Tipologia",$A112),0)
- IFERROR(GETPIVOTDATA("Somma di AVERE",'Pivot RakBank EUR'!$A$3,"Mese",11,"Tipologia",$A112),0)
+IFERROR(GETPIVOTDATA("Somma di DARE",'Pivot Fineco Sa'!$A$3,"Mese",11,"Tipologia",$A112),0)
+ IFERROR(GETPIVOTDATA("Somma di DARE",'Pivot Fineco St'!$A$3,"Mese",11,"Tipologia",$A112),0)
+ Contanti!AP33
+ IFERROR(GETPIVOTDATA("Somma di DARE",'Pivot BBVA'!$A$3,"Mese",11,"Tipologia",$A112),0)
+ IFERROR(GETPIVOTDATA("Somma di DARE",'Pivot Amex'!$A$3,"Mese",11,"Tipologia",$A112),0)
- IFERROR(GETPIVOTDATA("Somma di AVERE",'Pivot Amex'!$A$3,"Mese",11,"Tipologia",$A112),0)
- IFERROR(GETPIVOTDATA("Somma di AVERE",'Pivot BBVA'!$A$3,"Mese",11,"Tipologia",$A112),0)
- IFERROR(GETPIVOTDATA("Somma di AVERE",'Pivot Fineco St'!$A$3,"Mese",11,"Tipologia",$A112),0)
- IFERROR(GETPIVOTDATA("Somma di AVERE",'Pivot Fineco Sa'!$A$3,"Mese",11,"Tipologia",$A112),0)
+ IFERROR(GETPIVOTDATA("Somma di DARE",'Pivot PP Visa'!$A$3,"Mese",11,"Tipologia",$A112),0)
- IFERROR(GETPIVOTDATA("Somma di AVERE",'Pivot PP Visa'!$A$3,"Mese",11,"Tipologia",$A112),0)
+ IFERROR(GETPIVOTDATA("Somma di DARE",'Pivot Revolut'!$A$3,"Mese",11,"Tipologia",$A112),0)
- IFERROR(GETPIVOTDATA("Somma di AVERE",'Pivot Revolut'!$A$3,"Mese",11,"Tipologia",$A112),0)</f>
        <v>0</v>
      </c>
      <c r="N112" s="243">
        <f>IFERROR(GETPIVOTDATA("Somma di DARE EUR",'Pivot RakBank AED'!$A$3,"Mese",12,"Tipologia",$A112),0)
- IFERROR(GETPIVOTDATA("Somma di AVERE EUR",'Pivot RakBank AED'!$A$3,"Mese",12,"Tipologia",$A112),0)
+IFERROR(GETPIVOTDATA("Somma di DARE",'Pivot RakBank EUR'!$A$3,"Mese",12,"Tipologia",$A112),0)
- IFERROR(GETPIVOTDATA("Somma di AVERE",'Pivot RakBank EUR'!$A$3,"Mese",12,"Tipologia",$A112),0)
+IFERROR(GETPIVOTDATA("Somma di DARE",'Pivot Fineco Sa'!$A$3,"Mese",12,"Tipologia",$A112),0)
+ IFERROR(GETPIVOTDATA("Somma di DARE",'Pivot Fineco St'!$A$3,"Mese",12,"Tipologia",$A112),0)
+ Contanti!AT33
+ IFERROR(GETPIVOTDATA("Somma di DARE",'Pivot BBVA'!$A$3,"Mese",12,"Tipologia",$A112),0)
+ IFERROR(GETPIVOTDATA("Somma di DARE",'Pivot Amex'!$A$3,"Mese",12,"Tipologia",$A112),0)
- IFERROR(GETPIVOTDATA("Somma di AVERE",'Pivot Amex'!$A$3,"Mese",12,"Tipologia",$A112),0)
- IFERROR(GETPIVOTDATA("Somma di AVERE",'Pivot BBVA'!$A$3,"Mese",12,"Tipologia",$A112),0)
- IFERROR(GETPIVOTDATA("Somma di AVERE",'Pivot Fineco St'!$A$3,"Mese",12,"Tipologia",$A112),0)
- IFERROR(GETPIVOTDATA("Somma di AVERE",'Pivot Fineco Sa'!$A$3,"Mese",12,"Tipologia",$A112),0)
+ IFERROR(GETPIVOTDATA("Somma di DARE",'Pivot PP Visa'!$A$3,"Mese",12,"Tipologia",$A112),0)
- IFERROR(GETPIVOTDATA("Somma di AVERE",'Pivot PP Visa'!$A$3,"Mese",12,"Tipologia",$A112),0)
+ IFERROR(GETPIVOTDATA("Somma di DARE",'Pivot Revolut'!$A$3,"Mese",12,"Tipologia",$A112),0)
- IFERROR(GETPIVOTDATA("Somma di AVERE",'Pivot Revolut'!$A$3,"Mese",12,"Tipologia",$A112),0)</f>
        <v>0</v>
      </c>
      <c r="O112" s="252">
        <f>SUM(C112:N112)</f>
        <v>16.920000000000002</v>
      </c>
      <c r="P112" s="243">
        <f t="shared" ca="1" si="11"/>
        <v>2.4171428571428573</v>
      </c>
    </row>
    <row r="113" spans="1:16" s="125" customFormat="1" ht="21" customHeight="1" x14ac:dyDescent="0.2">
      <c r="A113" s="259"/>
      <c r="B113" s="259"/>
      <c r="C113" s="260"/>
      <c r="D113" s="260"/>
      <c r="E113" s="260"/>
      <c r="F113" s="260"/>
      <c r="G113" s="260"/>
      <c r="H113" s="260"/>
      <c r="I113" s="260"/>
      <c r="J113" s="260"/>
      <c r="K113" s="260"/>
      <c r="L113" s="260"/>
      <c r="M113" s="260"/>
      <c r="N113" s="260"/>
      <c r="O113" s="260"/>
      <c r="P113" s="260"/>
    </row>
    <row r="114" spans="1:16" s="250" customFormat="1" ht="21" customHeight="1" x14ac:dyDescent="0.2">
      <c r="A114" s="247" t="s">
        <v>43</v>
      </c>
      <c r="B114" s="247"/>
      <c r="C114" s="248">
        <f t="shared" ref="C114:N114" si="12">SUM(C115)</f>
        <v>0</v>
      </c>
      <c r="D114" s="248">
        <f t="shared" si="12"/>
        <v>1508.27</v>
      </c>
      <c r="E114" s="248">
        <f t="shared" si="12"/>
        <v>0</v>
      </c>
      <c r="F114" s="248">
        <f t="shared" si="12"/>
        <v>287.99</v>
      </c>
      <c r="G114" s="248">
        <f t="shared" si="12"/>
        <v>402.19</v>
      </c>
      <c r="H114" s="248">
        <f t="shared" si="12"/>
        <v>120</v>
      </c>
      <c r="I114" s="248">
        <f t="shared" si="12"/>
        <v>0</v>
      </c>
      <c r="J114" s="248">
        <f t="shared" si="12"/>
        <v>0</v>
      </c>
      <c r="K114" s="248">
        <f t="shared" si="12"/>
        <v>0</v>
      </c>
      <c r="L114" s="248">
        <f t="shared" si="12"/>
        <v>0</v>
      </c>
      <c r="M114" s="248">
        <f t="shared" si="12"/>
        <v>0</v>
      </c>
      <c r="N114" s="248">
        <f t="shared" si="12"/>
        <v>0</v>
      </c>
      <c r="O114" s="249">
        <f>SUM(C114:N114)</f>
        <v>2318.4499999999998</v>
      </c>
      <c r="P114" s="248">
        <f ca="1">SUM(P115)</f>
        <v>331.20714285714286</v>
      </c>
    </row>
    <row r="115" spans="1:16" s="125" customFormat="1" ht="21" customHeight="1" x14ac:dyDescent="0.2">
      <c r="A115" s="251" t="s">
        <v>347</v>
      </c>
      <c r="B115" s="251"/>
      <c r="C115" s="243">
        <f>IFERROR(GETPIVOTDATA("Somma di DARE EUR",'Pivot RakBank AED'!$A$3,"Mese",1,"Tipologia",$A115),0)
- IFERROR(GETPIVOTDATA("Somma di AVERE EUR",'Pivot RakBank AED'!$A$3,"Mese",1,"Tipologia",$A115),0)
+IFERROR(GETPIVOTDATA("Somma di DARE",'Pivot RakBank EUR'!$A$3,"Mese",1,"Tipologia",$A115),0)
- IFERROR(GETPIVOTDATA("Somma di AVERE",'Pivot RakBank EUR'!$A$3,"Mese",1,"Tipologia",$A115),0)
+IFERROR(GETPIVOTDATA("Somma di DARE",'Pivot Fineco Sa'!$A$3,"Mese",1,"Tipologia",$A115),0)
+ IFERROR(GETPIVOTDATA("Somma di DARE",'Pivot Fineco St'!$A$3,"Mese",1,"Tipologia",$A115),0)
+ Contanti!B36
+ IFERROR(GETPIVOTDATA("Somma di DARE",'Pivot BBVA'!$A$3,"Mese",1,"Tipologia",$A115),0)
+ IFERROR(GETPIVOTDATA("Somma di DARE",'Pivot Amex'!$A$3,"Mese",1,"Tipologia",$A115),0)
- IFERROR(GETPIVOTDATA("Somma di AVERE",'Pivot Amex'!$A$3,"Mese",1,"Tipologia",$A115),0)
- IFERROR(GETPIVOTDATA("Somma di AVERE",'Pivot BBVA'!$A$3,"Mese",1,"Tipologia",$A115),0)
- IFERROR(GETPIVOTDATA("Somma di AVERE",'Pivot Fineco St'!$A$3,"Mese",1,"Tipologia",$A115),0)
- IFERROR(GETPIVOTDATA("Somma di AVERE",'Pivot Fineco Sa'!$A$3,"Mese",1,"Tipologia",$A115),0)
+ IFERROR(GETPIVOTDATA("Somma di DARE",'Pivot PP Visa'!$A$3,"Mese",1,"Tipologia",$A115),0)
- IFERROR(GETPIVOTDATA("Somma di AVERE",'Pivot PP Visa'!$A$3,"Mese",1,"Tipologia",$A115),0)
+ IFERROR(GETPIVOTDATA("Somma di DARE",'Pivot Revolut'!$A$3,"Mese",1,"Tipologia",$A115),0)
- IFERROR(GETPIVOTDATA("Somma di AVERE",'Pivot Revolut'!$A$3,"Mese",1,"Tipologia",$A115),0)</f>
        <v>0</v>
      </c>
      <c r="D115" s="243">
        <f>IFERROR(GETPIVOTDATA("Somma di DARE EUR",'Pivot RakBank AED'!$A$3,"Mese",2,"Tipologia",$A115),0)
- IFERROR(GETPIVOTDATA("Somma di AVERE EUR",'Pivot RakBank AED'!$A$3,"Mese",2,"Tipologia",$A115),0)
+IFERROR(GETPIVOTDATA("Somma di DARE",'Pivot RakBank EUR'!$A$3,"Mese",2,"Tipologia",$A115),0)
- IFERROR(GETPIVOTDATA("Somma di AVERE",'Pivot RakBank EUR'!$A$3,"Mese",2,"Tipologia",$A115),0)
+IFERROR(GETPIVOTDATA("Somma di DARE",'Pivot Fineco Sa'!$A$3,"Mese",2,"Tipologia",$A115),0)
+ IFERROR(GETPIVOTDATA("Somma di DARE",'Pivot Fineco St'!$A$3,"Mese",2,"Tipologia",$A115),0)
+ Contanti!F36
+ IFERROR(GETPIVOTDATA("Somma di DARE",'Pivot BBVA'!$A$3,"Mese",2,"Tipologia",$A115),0)
+ IFERROR(GETPIVOTDATA("Somma di DARE",'Pivot Amex'!$A$3,"Mese",2,"Tipologia",$A115),0)
- IFERROR(GETPIVOTDATA("Somma di AVERE",'Pivot Amex'!$A$3,"Mese",2,"Tipologia",$A115),0)
- IFERROR(GETPIVOTDATA("Somma di AVERE",'Pivot BBVA'!$A$3,"Mese",2,"Tipologia",$A115),0)
- IFERROR(GETPIVOTDATA("Somma di AVERE",'Pivot Fineco St'!$A$3,"Mese",2,"Tipologia",$A115),0)
- IFERROR(GETPIVOTDATA("Somma di AVERE",'Pivot Fineco Sa'!$A$3,"Mese",2,"Tipologia",$A115),0)
+ IFERROR(GETPIVOTDATA("Somma di DARE",'Pivot PP Visa'!$A$3,"Mese",2,"Tipologia",$A115),0)
- IFERROR(GETPIVOTDATA("Somma di AVERE",'Pivot PP Visa'!$A$3,"Mese",2,"Tipologia",$A115),0)
+ IFERROR(GETPIVOTDATA("Somma di DARE",'Pivot Revolut'!$A$3,"Mese",2,"Tipologia",$A115),0)
- IFERROR(GETPIVOTDATA("Somma di AVERE",'Pivot Revolut'!$A$3,"Mese",2,"Tipologia",$A115),0)</f>
        <v>1508.27</v>
      </c>
      <c r="E115" s="243">
        <f>IFERROR(GETPIVOTDATA("Somma di DARE EUR",'Pivot RakBank AED'!$A$3,"Mese",3,"Tipologia",$A115),0)
- IFERROR(GETPIVOTDATA("Somma di AVERE EUR",'Pivot RakBank AED'!$A$3,"Mese",3,"Tipologia",$A115),0)
+IFERROR(GETPIVOTDATA("Somma di DARE",'Pivot RakBank EUR'!$A$3,"Mese",3,"Tipologia",$A115),0)
- IFERROR(GETPIVOTDATA("Somma di AVERE",'Pivot RakBank EUR'!$A$3,"Mese",3,"Tipologia",$A115),0)
+IFERROR(GETPIVOTDATA("Somma di DARE",'Pivot Fineco Sa'!$A$3,"Mese",3,"Tipologia",$A115),0)
+ IFERROR(GETPIVOTDATA("Somma di DARE",'Pivot Fineco St'!$A$3,"Mese",3,"Tipologia",$A115),0)
+ Contanti!J36
+ IFERROR(GETPIVOTDATA("Somma di DARE",'Pivot BBVA'!$A$3,"Mese",3,"Tipologia",$A115),0)
+ IFERROR(GETPIVOTDATA("Somma di DARE",'Pivot Amex'!$A$3,"Mese",3,"Tipologia",$A115),0)
- IFERROR(GETPIVOTDATA("Somma di AVERE",'Pivot Amex'!$A$3,"Mese",3,"Tipologia",$A115),0)
- IFERROR(GETPIVOTDATA("Somma di AVERE",'Pivot BBVA'!$A$3,"Mese",3,"Tipologia",$A115),0)
- IFERROR(GETPIVOTDATA("Somma di AVERE",'Pivot Fineco St'!$A$3,"Mese",3,"Tipologia",$A115),0)
- IFERROR(GETPIVOTDATA("Somma di AVERE",'Pivot Fineco Sa'!$A$3,"Mese",3,"Tipologia",$A115),0)
+ IFERROR(GETPIVOTDATA("Somma di DARE",'Pivot PP Visa'!$A$3,"Mese",3,"Tipologia",$A115),0)
- IFERROR(GETPIVOTDATA("Somma di AVERE",'Pivot PP Visa'!$A$3,"Mese",3,"Tipologia",$A115),0)
+ IFERROR(GETPIVOTDATA("Somma di DARE",'Pivot Revolut'!$A$3,"Mese",3,"Tipologia",$A115),0)
- IFERROR(GETPIVOTDATA("Somma di AVERE",'Pivot Revolut'!$A$3,"Mese",3,"Tipologia",$A115),0)</f>
        <v>0</v>
      </c>
      <c r="F115" s="243">
        <f>IFERROR(GETPIVOTDATA("Somma di DARE EUR",'Pivot RakBank AED'!$A$3,"Mese",4,"Tipologia",$A115),0)
- IFERROR(GETPIVOTDATA("Somma di AVERE EUR",'Pivot RakBank AED'!$A$3,"Mese",4,"Tipologia",$A115),0)
+IFERROR(GETPIVOTDATA("Somma di DARE",'Pivot RakBank EUR'!$A$3,"Mese",4,"Tipologia",$A115),0)
- IFERROR(GETPIVOTDATA("Somma di AVERE",'Pivot RakBank EUR'!$A$3,"Mese",4,"Tipologia",$A115),0)
+IFERROR(GETPIVOTDATA("Somma di DARE",'Pivot Fineco Sa'!$A$3,"Mese",4,"Tipologia",$A115),0)
+ IFERROR(GETPIVOTDATA("Somma di DARE",'Pivot Fineco St'!$A$3,"Mese",4,"Tipologia",$A115),0)
+ Contanti!N36
+ IFERROR(GETPIVOTDATA("Somma di DARE",'Pivot BBVA'!$A$3,"Mese",4,"Tipologia",$A115),0)
+ IFERROR(GETPIVOTDATA("Somma di DARE",'Pivot Amex'!$A$3,"Mese",4,"Tipologia",$A115),0)
- IFERROR(GETPIVOTDATA("Somma di AVERE",'Pivot Amex'!$A$3,"Mese",4,"Tipologia",$A115),0)
- IFERROR(GETPIVOTDATA("Somma di AVERE",'Pivot BBVA'!$A$3,"Mese",4,"Tipologia",$A115),0)
- IFERROR(GETPIVOTDATA("Somma di AVERE",'Pivot Fineco St'!$A$3,"Mese",4,"Tipologia",$A115),0)
- IFERROR(GETPIVOTDATA("Somma di AVERE",'Pivot Fineco Sa'!$A$3,"Mese",4,"Tipologia",$A115),0)
+ IFERROR(GETPIVOTDATA("Somma di DARE",'Pivot PP Visa'!$A$3,"Mese",4,"Tipologia",$A115),0)
- IFERROR(GETPIVOTDATA("Somma di AVERE",'Pivot PP Visa'!$A$3,"Mese",4,"Tipologia",$A115),0)
+ IFERROR(GETPIVOTDATA("Somma di DARE",'Pivot Revolut'!$A$3,"Mese",4,"Tipologia",$A115),0)
- IFERROR(GETPIVOTDATA("Somma di AVERE",'Pivot Revolut'!$A$3,"Mese",4,"Tipologia",$A115),0)</f>
        <v>287.99</v>
      </c>
      <c r="G115" s="243">
        <f>IFERROR(GETPIVOTDATA("Somma di DARE EUR",'Pivot RakBank AED'!$A$3,"Mese",5,"Tipologia",$A115),0)
- IFERROR(GETPIVOTDATA("Somma di AVERE EUR",'Pivot RakBank AED'!$A$3,"Mese",5,"Tipologia",$A115),0)
+IFERROR(GETPIVOTDATA("Somma di DARE",'Pivot RakBank EUR'!$A$3,"Mese",5,"Tipologia",$A115),0)
- IFERROR(GETPIVOTDATA("Somma di AVERE",'Pivot RakBank EUR'!$A$3,"Mese",5,"Tipologia",$A115),0)
+IFERROR(GETPIVOTDATA("Somma di DARE",'Pivot Fineco Sa'!$A$3,"Mese",5,"Tipologia",$A115),0)
+ IFERROR(GETPIVOTDATA("Somma di DARE",'Pivot Fineco St'!$A$3,"Mese",5,"Tipologia",$A115),0)
+ Contanti!R36
+ IFERROR(GETPIVOTDATA("Somma di DARE",'Pivot BBVA'!$A$3,"Mese",5,"Tipologia",$A115),0)
+ IFERROR(GETPIVOTDATA("Somma di DARE",'Pivot Amex'!$A$3,"Mese",5,"Tipologia",$A115),0)
- IFERROR(GETPIVOTDATA("Somma di AVERE",'Pivot Amex'!$A$3,"Mese",5,"Tipologia",$A115),0)
- IFERROR(GETPIVOTDATA("Somma di AVERE",'Pivot BBVA'!$A$3,"Mese",5,"Tipologia",$A115),0)
- IFERROR(GETPIVOTDATA("Somma di AVERE",'Pivot Fineco St'!$A$3,"Mese",5,"Tipologia",$A115),0)
- IFERROR(GETPIVOTDATA("Somma di AVERE",'Pivot Fineco Sa'!$A$3,"Mese",5,"Tipologia",$A115),0)
+ IFERROR(GETPIVOTDATA("Somma di DARE",'Pivot PP Visa'!$A$3,"Mese",5,"Tipologia",$A115),0)
- IFERROR(GETPIVOTDATA("Somma di AVERE",'Pivot PP Visa'!$A$3,"Mese",5,"Tipologia",$A115),0)
+ IFERROR(GETPIVOTDATA("Somma di DARE",'Pivot Revolut'!$A$3,"Mese",5,"Tipologia",$A115),0)
- IFERROR(GETPIVOTDATA("Somma di AVERE",'Pivot Revolut'!$A$3,"Mese",5,"Tipologia",$A115),0)</f>
        <v>402.19</v>
      </c>
      <c r="H115" s="243">
        <f>IFERROR(GETPIVOTDATA("Somma di DARE EUR",'Pivot RakBank AED'!$A$3,"Mese",6,"Tipologia",$A115),0)
- IFERROR(GETPIVOTDATA("Somma di AVERE EUR",'Pivot RakBank AED'!$A$3,"Mese",6,"Tipologia",$A115),0)
+IFERROR(GETPIVOTDATA("Somma di DARE",'Pivot RakBank EUR'!$A$3,"Mese",6,"Tipologia",$A115),0)
- IFERROR(GETPIVOTDATA("Somma di AVERE",'Pivot RakBank EUR'!$A$3,"Mese",6,"Tipologia",$A115),0)
+IFERROR(GETPIVOTDATA("Somma di DARE",'Pivot Fineco Sa'!$A$3,"Mese",6,"Tipologia",$A115),0)
+ IFERROR(GETPIVOTDATA("Somma di DARE",'Pivot Fineco St'!$A$3,"Mese",6,"Tipologia",$A115),0)
+ Contanti!V36
+ IFERROR(GETPIVOTDATA("Somma di DARE",'Pivot BBVA'!$A$3,"Mese",6,"Tipologia",$A115),0)
+ IFERROR(GETPIVOTDATA("Somma di DARE",'Pivot Amex'!$A$3,"Mese",6,"Tipologia",$A115),0)
- IFERROR(GETPIVOTDATA("Somma di AVERE",'Pivot Amex'!$A$3,"Mese",6,"Tipologia",$A115),0)
- IFERROR(GETPIVOTDATA("Somma di AVERE",'Pivot BBVA'!$A$3,"Mese",6,"Tipologia",$A115),0)
- IFERROR(GETPIVOTDATA("Somma di AVERE",'Pivot Fineco St'!$A$3,"Mese",6,"Tipologia",$A115),0)
- IFERROR(GETPIVOTDATA("Somma di AVERE",'Pivot Fineco Sa'!$A$3,"Mese",6,"Tipologia",$A115),0)
+ IFERROR(GETPIVOTDATA("Somma di DARE",'Pivot PP Visa'!$A$3,"Mese",6,"Tipologia",$A115),0)
- IFERROR(GETPIVOTDATA("Somma di AVERE",'Pivot PP Visa'!$A$3,"Mese",6,"Tipologia",$A115),0)
+ IFERROR(GETPIVOTDATA("Somma di DARE",'Pivot Revolut'!$A$3,"Mese",6,"Tipologia",$A115),0)
- IFERROR(GETPIVOTDATA("Somma di AVERE",'Pivot Revolut'!$A$3,"Mese",6,"Tipologia",$A115),0)</f>
        <v>120</v>
      </c>
      <c r="I115" s="243">
        <f>IFERROR(GETPIVOTDATA("Somma di DARE EUR",'Pivot RakBank AED'!$A$3,"Mese",7,"Tipologia",$A115),0)
- IFERROR(GETPIVOTDATA("Somma di AVERE EUR",'Pivot RakBank AED'!$A$3,"Mese",7,"Tipologia",$A115),0)
+IFERROR(GETPIVOTDATA("Somma di DARE",'Pivot RakBank EUR'!$A$3,"Mese",7,"Tipologia",$A115),0)
- IFERROR(GETPIVOTDATA("Somma di AVERE",'Pivot RakBank EUR'!$A$3,"Mese",7,"Tipologia",$A115),0)
+IFERROR(GETPIVOTDATA("Somma di DARE",'Pivot Fineco Sa'!$A$3,"Mese",7,"Tipologia",$A115),0)
+ IFERROR(GETPIVOTDATA("Somma di DARE",'Pivot Fineco St'!$A$3,"Mese",7,"Tipologia",$A115),0)
+ Contanti!Z36
+ IFERROR(GETPIVOTDATA("Somma di DARE",'Pivot BBVA'!$A$3,"Mese",7,"Tipologia",$A115),0)
+ IFERROR(GETPIVOTDATA("Somma di DARE",'Pivot Amex'!$A$3,"Mese",7,"Tipologia",$A115),0)
- IFERROR(GETPIVOTDATA("Somma di AVERE",'Pivot Amex'!$A$3,"Mese",7,"Tipologia",$A115),0)
- IFERROR(GETPIVOTDATA("Somma di AVERE",'Pivot BBVA'!$A$3,"Mese",7,"Tipologia",$A115),0)
- IFERROR(GETPIVOTDATA("Somma di AVERE",'Pivot Fineco St'!$A$3,"Mese",7,"Tipologia",$A115),0)
- IFERROR(GETPIVOTDATA("Somma di AVERE",'Pivot Fineco Sa'!$A$3,"Mese",7,"Tipologia",$A115),0)
+ IFERROR(GETPIVOTDATA("Somma di DARE",'Pivot PP Visa'!$A$3,"Mese",7,"Tipologia",$A115),0)
- IFERROR(GETPIVOTDATA("Somma di AVERE",'Pivot PP Visa'!$A$3,"Mese",7,"Tipologia",$A115),0)
+ IFERROR(GETPIVOTDATA("Somma di DARE",'Pivot Revolut'!$A$3,"Mese",7,"Tipologia",$A115),0)
- IFERROR(GETPIVOTDATA("Somma di AVERE",'Pivot Revolut'!$A$3,"Mese",7,"Tipologia",$A115),0)</f>
        <v>0</v>
      </c>
      <c r="J115" s="243">
        <f>IFERROR(GETPIVOTDATA("Somma di DARE EUR",'Pivot RakBank AED'!$A$3,"Mese",8,"Tipologia",$A115),0)
- IFERROR(GETPIVOTDATA("Somma di AVERE EUR",'Pivot RakBank AED'!$A$3,"Mese",8,"Tipologia",$A115),0)
+IFERROR(GETPIVOTDATA("Somma di DARE",'Pivot RakBank EUR'!$A$3,"Mese",8,"Tipologia",$A115),0)
- IFERROR(GETPIVOTDATA("Somma di AVERE",'Pivot RakBank EUR'!$A$3,"Mese",8,"Tipologia",$A115),0)
+IFERROR(GETPIVOTDATA("Somma di DARE",'Pivot Fineco Sa'!$A$3,"Mese",8,"Tipologia",$A115),0)
+ IFERROR(GETPIVOTDATA("Somma di DARE",'Pivot Fineco St'!$A$3,"Mese",8,"Tipologia",$A115),0)
+ Contanti!AD36
+ IFERROR(GETPIVOTDATA("Somma di DARE",'Pivot BBVA'!$A$3,"Mese",8,"Tipologia",$A115),0)
+ IFERROR(GETPIVOTDATA("Somma di DARE",'Pivot Amex'!$A$3,"Mese",8,"Tipologia",$A115),0)
- IFERROR(GETPIVOTDATA("Somma di AVERE",'Pivot Amex'!$A$3,"Mese",8,"Tipologia",$A115),0)
- IFERROR(GETPIVOTDATA("Somma di AVERE",'Pivot BBVA'!$A$3,"Mese",8,"Tipologia",$A115),0)
- IFERROR(GETPIVOTDATA("Somma di AVERE",'Pivot Fineco St'!$A$3,"Mese",8,"Tipologia",$A115),0)
- IFERROR(GETPIVOTDATA("Somma di AVERE",'Pivot Fineco Sa'!$A$3,"Mese",8,"Tipologia",$A115),0)
+ IFERROR(GETPIVOTDATA("Somma di DARE",'Pivot PP Visa'!$A$3,"Mese",8,"Tipologia",$A115),0)
- IFERROR(GETPIVOTDATA("Somma di AVERE",'Pivot PP Visa'!$A$3,"Mese",8,"Tipologia",$A115),0)
+ IFERROR(GETPIVOTDATA("Somma di DARE",'Pivot Revolut'!$A$3,"Mese",8,"Tipologia",$A115),0)
- IFERROR(GETPIVOTDATA("Somma di AVERE",'Pivot Revolut'!$A$3,"Mese",8,"Tipologia",$A115),0)</f>
        <v>0</v>
      </c>
      <c r="K115" s="243">
        <f>IFERROR(GETPIVOTDATA("Somma di DARE EUR",'Pivot RakBank AED'!$A$3,"Mese",9,"Tipologia",$A115),0)
- IFERROR(GETPIVOTDATA("Somma di AVERE EUR",'Pivot RakBank AED'!$A$3,"Mese",9,"Tipologia",$A115),0)
+IFERROR(GETPIVOTDATA("Somma di DARE",'Pivot RakBank EUR'!$A$3,"Mese",9,"Tipologia",$A115),0)
- IFERROR(GETPIVOTDATA("Somma di AVERE",'Pivot RakBank EUR'!$A$3,"Mese",9,"Tipologia",$A115),0)
+IFERROR(GETPIVOTDATA("Somma di DARE",'Pivot Fineco Sa'!$A$3,"Mese",9,"Tipologia",$A115),0)
+ IFERROR(GETPIVOTDATA("Somma di DARE",'Pivot Fineco St'!$A$3,"Mese",9,"Tipologia",$A115),0)
+ Contanti!AH36
+ IFERROR(GETPIVOTDATA("Somma di DARE",'Pivot BBVA'!$A$3,"Mese",9,"Tipologia",$A115),0)
+ IFERROR(GETPIVOTDATA("Somma di DARE",'Pivot Amex'!$A$3,"Mese",9,"Tipologia",$A115),0)
- IFERROR(GETPIVOTDATA("Somma di AVERE",'Pivot Amex'!$A$3,"Mese",9,"Tipologia",$A115),0)
- IFERROR(GETPIVOTDATA("Somma di AVERE",'Pivot BBVA'!$A$3,"Mese",9,"Tipologia",$A115),0)
- IFERROR(GETPIVOTDATA("Somma di AVERE",'Pivot Fineco St'!$A$3,"Mese",9,"Tipologia",$A115),0)
- IFERROR(GETPIVOTDATA("Somma di AVERE",'Pivot Fineco Sa'!$A$3,"Mese",9,"Tipologia",$A115),0)
+ IFERROR(GETPIVOTDATA("Somma di DARE",'Pivot PP Visa'!$A$3,"Mese",9,"Tipologia",$A115),0)
- IFERROR(GETPIVOTDATA("Somma di AVERE",'Pivot PP Visa'!$A$3,"Mese",9,"Tipologia",$A115),0)
+ IFERROR(GETPIVOTDATA("Somma di DARE",'Pivot Revolut'!$A$3,"Mese",9,"Tipologia",$A115),0)
- IFERROR(GETPIVOTDATA("Somma di AVERE",'Pivot Revolut'!$A$3,"Mese",9,"Tipologia",$A115),0)</f>
        <v>0</v>
      </c>
      <c r="L115" s="243">
        <f>IFERROR(GETPIVOTDATA("Somma di DARE EUR",'Pivot RakBank AED'!$A$3,"Mese",10,"Tipologia",$A115),0)
- IFERROR(GETPIVOTDATA("Somma di AVERE EUR",'Pivot RakBank AED'!$A$3,"Mese",10,"Tipologia",$A115),0)
+IFERROR(GETPIVOTDATA("Somma di DARE",'Pivot RakBank EUR'!$A$3,"Mese",10,"Tipologia",$A115),0)
- IFERROR(GETPIVOTDATA("Somma di AVERE",'Pivot RakBank EUR'!$A$3,"Mese",10,"Tipologia",$A115),0)
+IFERROR(GETPIVOTDATA("Somma di DARE",'Pivot Fineco Sa'!$A$3,"Mese",10,"Tipologia",$A115),0)
+ IFERROR(GETPIVOTDATA("Somma di DARE",'Pivot Fineco St'!$A$3,"Mese",10,"Tipologia",$A115),0)
+ Contanti!AL36
+ IFERROR(GETPIVOTDATA("Somma di DARE",'Pivot BBVA'!$A$3,"Mese",10,"Tipologia",$A115),0)
+ IFERROR(GETPIVOTDATA("Somma di DARE",'Pivot Amex'!$A$3,"Mese",10,"Tipologia",$A115),0)
- IFERROR(GETPIVOTDATA("Somma di AVERE",'Pivot Amex'!$A$3,"Mese",10,"Tipologia",$A115),0)
- IFERROR(GETPIVOTDATA("Somma di AVERE",'Pivot BBVA'!$A$3,"Mese",10,"Tipologia",$A115),0)
- IFERROR(GETPIVOTDATA("Somma di AVERE",'Pivot Fineco St'!$A$3,"Mese",10,"Tipologia",$A115),0)
- IFERROR(GETPIVOTDATA("Somma di AVERE",'Pivot Fineco Sa'!$A$3,"Mese",10,"Tipologia",$A115),0)
+ IFERROR(GETPIVOTDATA("Somma di DARE",'Pivot PP Visa'!$A$3,"Mese",10,"Tipologia",$A115),0)
- IFERROR(GETPIVOTDATA("Somma di AVERE",'Pivot PP Visa'!$A$3,"Mese",10,"Tipologia",$A115),0)
+ IFERROR(GETPIVOTDATA("Somma di DARE",'Pivot Revolut'!$A$3,"Mese",10,"Tipologia",$A115),0)
- IFERROR(GETPIVOTDATA("Somma di AVERE",'Pivot Revolut'!$A$3,"Mese",10,"Tipologia",$A115),0)</f>
        <v>0</v>
      </c>
      <c r="M115" s="243">
        <f>IFERROR(GETPIVOTDATA("Somma di DARE EUR",'Pivot RakBank AED'!$A$3,"Mese",11,"Tipologia",$A115),0)
- IFERROR(GETPIVOTDATA("Somma di AVERE EUR",'Pivot RakBank AED'!$A$3,"Mese",11,"Tipologia",$A115),0)
+IFERROR(GETPIVOTDATA("Somma di DARE",'Pivot RakBank EUR'!$A$3,"Mese",11,"Tipologia",$A115),0)
- IFERROR(GETPIVOTDATA("Somma di AVERE",'Pivot RakBank EUR'!$A$3,"Mese",11,"Tipologia",$A115),0)
+IFERROR(GETPIVOTDATA("Somma di DARE",'Pivot Fineco Sa'!$A$3,"Mese",11,"Tipologia",$A115),0)
+ IFERROR(GETPIVOTDATA("Somma di DARE",'Pivot Fineco St'!$A$3,"Mese",11,"Tipologia",$A115),0)
+ Contanti!AP36
+ IFERROR(GETPIVOTDATA("Somma di DARE",'Pivot BBVA'!$A$3,"Mese",11,"Tipologia",$A115),0)
+ IFERROR(GETPIVOTDATA("Somma di DARE",'Pivot Amex'!$A$3,"Mese",11,"Tipologia",$A115),0)
- IFERROR(GETPIVOTDATA("Somma di AVERE",'Pivot Amex'!$A$3,"Mese",11,"Tipologia",$A115),0)
- IFERROR(GETPIVOTDATA("Somma di AVERE",'Pivot BBVA'!$A$3,"Mese",11,"Tipologia",$A115),0)
- IFERROR(GETPIVOTDATA("Somma di AVERE",'Pivot Fineco St'!$A$3,"Mese",11,"Tipologia",$A115),0)
- IFERROR(GETPIVOTDATA("Somma di AVERE",'Pivot Fineco Sa'!$A$3,"Mese",11,"Tipologia",$A115),0)
+ IFERROR(GETPIVOTDATA("Somma di DARE",'Pivot PP Visa'!$A$3,"Mese",11,"Tipologia",$A115),0)
- IFERROR(GETPIVOTDATA("Somma di AVERE",'Pivot PP Visa'!$A$3,"Mese",11,"Tipologia",$A115),0)
+ IFERROR(GETPIVOTDATA("Somma di DARE",'Pivot Revolut'!$A$3,"Mese",11,"Tipologia",$A115),0)
- IFERROR(GETPIVOTDATA("Somma di AVERE",'Pivot Revolut'!$A$3,"Mese",11,"Tipologia",$A115),0)</f>
        <v>0</v>
      </c>
      <c r="N115" s="243">
        <f>IFERROR(GETPIVOTDATA("Somma di DARE EUR",'Pivot RakBank AED'!$A$3,"Mese",12,"Tipologia",$A115),0)
- IFERROR(GETPIVOTDATA("Somma di AVERE EUR",'Pivot RakBank AED'!$A$3,"Mese",12,"Tipologia",$A115),0)
+IFERROR(GETPIVOTDATA("Somma di DARE",'Pivot RakBank EUR'!$A$3,"Mese",12,"Tipologia",$A115),0)
- IFERROR(GETPIVOTDATA("Somma di AVERE",'Pivot RakBank EUR'!$A$3,"Mese",12,"Tipologia",$A115),0)
+IFERROR(GETPIVOTDATA("Somma di DARE",'Pivot Fineco Sa'!$A$3,"Mese",12,"Tipologia",$A115),0)
+ IFERROR(GETPIVOTDATA("Somma di DARE",'Pivot Fineco St'!$A$3,"Mese",12,"Tipologia",$A115),0)
+ Contanti!AT36
+ IFERROR(GETPIVOTDATA("Somma di DARE",'Pivot BBVA'!$A$3,"Mese",12,"Tipologia",$A115),0)
+ IFERROR(GETPIVOTDATA("Somma di DARE",'Pivot Amex'!$A$3,"Mese",12,"Tipologia",$A115),0)
- IFERROR(GETPIVOTDATA("Somma di AVERE",'Pivot Amex'!$A$3,"Mese",12,"Tipologia",$A115),0)
- IFERROR(GETPIVOTDATA("Somma di AVERE",'Pivot BBVA'!$A$3,"Mese",12,"Tipologia",$A115),0)
- IFERROR(GETPIVOTDATA("Somma di AVERE",'Pivot Fineco St'!$A$3,"Mese",12,"Tipologia",$A115),0)
- IFERROR(GETPIVOTDATA("Somma di AVERE",'Pivot Fineco Sa'!$A$3,"Mese",12,"Tipologia",$A115),0)
+ IFERROR(GETPIVOTDATA("Somma di DARE",'Pivot PP Visa'!$A$3,"Mese",12,"Tipologia",$A115),0)
- IFERROR(GETPIVOTDATA("Somma di AVERE",'Pivot PP Visa'!$A$3,"Mese",12,"Tipologia",$A115),0)
+ IFERROR(GETPIVOTDATA("Somma di DARE",'Pivot Revolut'!$A$3,"Mese",12,"Tipologia",$A115),0)
- IFERROR(GETPIVOTDATA("Somma di AVERE",'Pivot Revolut'!$A$3,"Mese",12,"Tipologia",$A115),0)</f>
        <v>0</v>
      </c>
      <c r="O115" s="252">
        <f>SUM(C115:N115)</f>
        <v>2318.4499999999998</v>
      </c>
      <c r="P115" s="243">
        <f ca="1">O115/(MONTH(TODAY()))</f>
        <v>331.20714285714286</v>
      </c>
    </row>
    <row r="116" spans="1:16" s="125" customFormat="1" ht="21" customHeight="1" x14ac:dyDescent="0.2">
      <c r="A116" s="259"/>
      <c r="B116" s="259"/>
      <c r="C116" s="260"/>
      <c r="D116" s="260"/>
      <c r="E116" s="260"/>
      <c r="F116" s="260"/>
      <c r="G116" s="260"/>
      <c r="H116" s="260"/>
      <c r="I116" s="260"/>
      <c r="J116" s="260"/>
      <c r="K116" s="260"/>
      <c r="L116" s="260"/>
      <c r="M116" s="260"/>
      <c r="N116" s="260"/>
      <c r="O116" s="260"/>
      <c r="P116" s="260"/>
    </row>
    <row r="117" spans="1:16" s="250" customFormat="1" ht="21" customHeight="1" x14ac:dyDescent="0.2">
      <c r="A117" s="247" t="s">
        <v>98</v>
      </c>
      <c r="B117" s="247"/>
      <c r="C117" s="248">
        <f t="shared" ref="C117:N117" si="13">SUM(C118:C128)</f>
        <v>0</v>
      </c>
      <c r="D117" s="248">
        <f t="shared" si="13"/>
        <v>998.69220183486232</v>
      </c>
      <c r="E117" s="248">
        <f t="shared" si="13"/>
        <v>43.84</v>
      </c>
      <c r="F117" s="248">
        <f t="shared" si="13"/>
        <v>33.61</v>
      </c>
      <c r="G117" s="248">
        <f t="shared" si="13"/>
        <v>410.81333333333333</v>
      </c>
      <c r="H117" s="248">
        <f t="shared" si="13"/>
        <v>0</v>
      </c>
      <c r="I117" s="248">
        <f t="shared" si="13"/>
        <v>0</v>
      </c>
      <c r="J117" s="248">
        <f t="shared" si="13"/>
        <v>0</v>
      </c>
      <c r="K117" s="248">
        <f t="shared" si="13"/>
        <v>0</v>
      </c>
      <c r="L117" s="248">
        <f t="shared" si="13"/>
        <v>0</v>
      </c>
      <c r="M117" s="248">
        <f t="shared" si="13"/>
        <v>0</v>
      </c>
      <c r="N117" s="248">
        <f t="shared" si="13"/>
        <v>0</v>
      </c>
      <c r="O117" s="249">
        <f t="shared" ref="O117:O128" si="14">SUM(C117:N117)</f>
        <v>1486.9555351681954</v>
      </c>
      <c r="P117" s="248"/>
    </row>
    <row r="118" spans="1:16" s="125" customFormat="1" ht="21" customHeight="1" x14ac:dyDescent="0.2">
      <c r="A118" s="251" t="s">
        <v>100</v>
      </c>
      <c r="B118" s="251"/>
      <c r="C118" s="243">
        <f>IFERROR(GETPIVOTDATA("Somma di DARE EUR",'Pivot RakBank AED'!$A$3,"Mese",1,"Tipologia",$A118),0)
- IFERROR(GETPIVOTDATA("Somma di AVERE EUR",'Pivot RakBank AED'!$A$3,"Mese",1,"Tipologia",$A118),0)
+IFERROR(GETPIVOTDATA("Somma di DARE",'Pivot RakBank EUR'!$A$3,"Mese",1,"Tipologia",$A118),0)
- IFERROR(GETPIVOTDATA("Somma di AVERE",'Pivot RakBank EUR'!$A$3,"Mese",1,"Tipologia",$A118),0)
+IFERROR(GETPIVOTDATA("Somma di DARE",'Pivot Fineco Sa'!$A$3,"Mese",1,"Tipologia",$A118),0)
+ IFERROR(GETPIVOTDATA("Somma di DARE",'Pivot Fineco St'!$A$3,"Mese",1,"Tipologia",$A118),0)
+ Contanti!B39
+ IFERROR(GETPIVOTDATA("Somma di DARE",'Pivot BBVA'!$A$3,"Mese",1,"Tipologia",$A118),0)
+ IFERROR(GETPIVOTDATA("Somma di DARE",'Pivot Amex'!$A$3,"Mese",1,"Tipologia",$A118),0)
- IFERROR(GETPIVOTDATA("Somma di AVERE",'Pivot Amex'!$A$3,"Mese",1,"Tipologia",$A118),0)
- IFERROR(GETPIVOTDATA("Somma di AVERE",'Pivot BBVA'!$A$3,"Mese",1,"Tipologia",$A118),0)
- IFERROR(GETPIVOTDATA("Somma di AVERE",'Pivot Fineco St'!$A$3,"Mese",1,"Tipologia",$A118),0)
- IFERROR(GETPIVOTDATA("Somma di AVERE",'Pivot Fineco Sa'!$A$3,"Mese",1,"Tipologia",$A118),0)
+ IFERROR(GETPIVOTDATA("Somma di DARE",'Pivot PP Visa'!$A$3,"Mese",1,"Tipologia",$A118),0)
- IFERROR(GETPIVOTDATA("Somma di AVERE",'Pivot PP Visa'!$A$3,"Mese",1,"Tipologia",$A118),0)
+ IFERROR(GETPIVOTDATA("Somma di DARE",'Pivot Revolut'!$A$3,"Mese",1,"Tipologia",$A118),0)
- IFERROR(GETPIVOTDATA("Somma di AVERE",'Pivot Revolut'!$A$3,"Mese",1,"Tipologia",$A118),0)</f>
        <v>0</v>
      </c>
      <c r="D118" s="243">
        <f>IFERROR(GETPIVOTDATA("Somma di DARE EUR",'Pivot RakBank AED'!$A$3,"Mese",2,"Tipologia",$A118),0)
- IFERROR(GETPIVOTDATA("Somma di AVERE EUR",'Pivot RakBank AED'!$A$3,"Mese",2,"Tipologia",$A118),0)
+IFERROR(GETPIVOTDATA("Somma di DARE",'Pivot RakBank EUR'!$A$3,"Mese",2,"Tipologia",$A118),0)
- IFERROR(GETPIVOTDATA("Somma di AVERE",'Pivot RakBank EUR'!$A$3,"Mese",2,"Tipologia",$A118),0)
+IFERROR(GETPIVOTDATA("Somma di DARE",'Pivot Fineco Sa'!$A$3,"Mese",2,"Tipologia",$A118),0)
+ IFERROR(GETPIVOTDATA("Somma di DARE",'Pivot Fineco St'!$A$3,"Mese",2,"Tipologia",$A118),0)
+ Contanti!F39
+ IFERROR(GETPIVOTDATA("Somma di DARE",'Pivot BBVA'!$A$3,"Mese",2,"Tipologia",$A118),0)
+ IFERROR(GETPIVOTDATA("Somma di DARE",'Pivot Amex'!$A$3,"Mese",2,"Tipologia",$A118),0)
- IFERROR(GETPIVOTDATA("Somma di AVERE",'Pivot Amex'!$A$3,"Mese",2,"Tipologia",$A118),0)
- IFERROR(GETPIVOTDATA("Somma di AVERE",'Pivot BBVA'!$A$3,"Mese",2,"Tipologia",$A118),0)
- IFERROR(GETPIVOTDATA("Somma di AVERE",'Pivot Fineco St'!$A$3,"Mese",2,"Tipologia",$A118),0)
- IFERROR(GETPIVOTDATA("Somma di AVERE",'Pivot Fineco Sa'!$A$3,"Mese",2,"Tipologia",$A118),0)
+ IFERROR(GETPIVOTDATA("Somma di DARE",'Pivot PP Visa'!$A$3,"Mese",2,"Tipologia",$A118),0)
- IFERROR(GETPIVOTDATA("Somma di AVERE",'Pivot PP Visa'!$A$3,"Mese",2,"Tipologia",$A118),0)
+ IFERROR(GETPIVOTDATA("Somma di DARE",'Pivot Revolut'!$A$3,"Mese",2,"Tipologia",$A118),0)
- IFERROR(GETPIVOTDATA("Somma di AVERE",'Pivot Revolut'!$A$3,"Mese",2,"Tipologia",$A118),0)</f>
        <v>0</v>
      </c>
      <c r="E118" s="243">
        <f>IFERROR(GETPIVOTDATA("Somma di DARE EUR",'Pivot RakBank AED'!$A$3,"Mese",3,"Tipologia",$A118),0)
- IFERROR(GETPIVOTDATA("Somma di AVERE EUR",'Pivot RakBank AED'!$A$3,"Mese",3,"Tipologia",$A118),0)
+IFERROR(GETPIVOTDATA("Somma di DARE",'Pivot RakBank EUR'!$A$3,"Mese",3,"Tipologia",$A118),0)
- IFERROR(GETPIVOTDATA("Somma di AVERE",'Pivot RakBank EUR'!$A$3,"Mese",3,"Tipologia",$A118),0)
+IFERROR(GETPIVOTDATA("Somma di DARE",'Pivot Fineco Sa'!$A$3,"Mese",3,"Tipologia",$A118),0)
+ IFERROR(GETPIVOTDATA("Somma di DARE",'Pivot Fineco St'!$A$3,"Mese",3,"Tipologia",$A118),0)
+ Contanti!J39
+ IFERROR(GETPIVOTDATA("Somma di DARE",'Pivot BBVA'!$A$3,"Mese",3,"Tipologia",$A118),0)
+ IFERROR(GETPIVOTDATA("Somma di DARE",'Pivot Amex'!$A$3,"Mese",3,"Tipologia",$A118),0)
- IFERROR(GETPIVOTDATA("Somma di AVERE",'Pivot Amex'!$A$3,"Mese",3,"Tipologia",$A118),0)
- IFERROR(GETPIVOTDATA("Somma di AVERE",'Pivot BBVA'!$A$3,"Mese",3,"Tipologia",$A118),0)
- IFERROR(GETPIVOTDATA("Somma di AVERE",'Pivot Fineco St'!$A$3,"Mese",3,"Tipologia",$A118),0)
- IFERROR(GETPIVOTDATA("Somma di AVERE",'Pivot Fineco Sa'!$A$3,"Mese",3,"Tipologia",$A118),0)
+ IFERROR(GETPIVOTDATA("Somma di DARE",'Pivot PP Visa'!$A$3,"Mese",3,"Tipologia",$A118),0)
- IFERROR(GETPIVOTDATA("Somma di AVERE",'Pivot PP Visa'!$A$3,"Mese",3,"Tipologia",$A118),0)
+ IFERROR(GETPIVOTDATA("Somma di DARE",'Pivot Revolut'!$A$3,"Mese",3,"Tipologia",$A118),0)
- IFERROR(GETPIVOTDATA("Somma di AVERE",'Pivot Revolut'!$A$3,"Mese",3,"Tipologia",$A118),0)</f>
        <v>0</v>
      </c>
      <c r="F118" s="243">
        <f>IFERROR(GETPIVOTDATA("Somma di DARE EUR",'Pivot RakBank AED'!$A$3,"Mese",4,"Tipologia",$A118),0)
- IFERROR(GETPIVOTDATA("Somma di AVERE EUR",'Pivot RakBank AED'!$A$3,"Mese",4,"Tipologia",$A118),0)
+IFERROR(GETPIVOTDATA("Somma di DARE",'Pivot RakBank EUR'!$A$3,"Mese",4,"Tipologia",$A118),0)
- IFERROR(GETPIVOTDATA("Somma di AVERE",'Pivot RakBank EUR'!$A$3,"Mese",4,"Tipologia",$A118),0)
+IFERROR(GETPIVOTDATA("Somma di DARE",'Pivot Fineco Sa'!$A$3,"Mese",4,"Tipologia",$A118),0)
+ IFERROR(GETPIVOTDATA("Somma di DARE",'Pivot Fineco St'!$A$3,"Mese",4,"Tipologia",$A118),0)
+ Contanti!N39
+ IFERROR(GETPIVOTDATA("Somma di DARE",'Pivot BBVA'!$A$3,"Mese",4,"Tipologia",$A118),0)
+ IFERROR(GETPIVOTDATA("Somma di DARE",'Pivot Amex'!$A$3,"Mese",4,"Tipologia",$A118),0)
- IFERROR(GETPIVOTDATA("Somma di AVERE",'Pivot Amex'!$A$3,"Mese",4,"Tipologia",$A118),0)
- IFERROR(GETPIVOTDATA("Somma di AVERE",'Pivot BBVA'!$A$3,"Mese",4,"Tipologia",$A118),0)
- IFERROR(GETPIVOTDATA("Somma di AVERE",'Pivot Fineco St'!$A$3,"Mese",4,"Tipologia",$A118),0)
- IFERROR(GETPIVOTDATA("Somma di AVERE",'Pivot Fineco Sa'!$A$3,"Mese",4,"Tipologia",$A118),0)
+ IFERROR(GETPIVOTDATA("Somma di DARE",'Pivot PP Visa'!$A$3,"Mese",4,"Tipologia",$A118),0)
- IFERROR(GETPIVOTDATA("Somma di AVERE",'Pivot PP Visa'!$A$3,"Mese",4,"Tipologia",$A118),0)
+ IFERROR(GETPIVOTDATA("Somma di DARE",'Pivot Revolut'!$A$3,"Mese",4,"Tipologia",$A118),0)
- IFERROR(GETPIVOTDATA("Somma di AVERE",'Pivot Revolut'!$A$3,"Mese",4,"Tipologia",$A118),0)</f>
        <v>23.84</v>
      </c>
      <c r="G118" s="243">
        <f>IFERROR(GETPIVOTDATA("Somma di DARE EUR",'Pivot RakBank AED'!$A$3,"Mese",5,"Tipologia",$A118),0)
- IFERROR(GETPIVOTDATA("Somma di AVERE EUR",'Pivot RakBank AED'!$A$3,"Mese",5,"Tipologia",$A118),0)
+IFERROR(GETPIVOTDATA("Somma di DARE",'Pivot RakBank EUR'!$A$3,"Mese",5,"Tipologia",$A118),0)
- IFERROR(GETPIVOTDATA("Somma di AVERE",'Pivot RakBank EUR'!$A$3,"Mese",5,"Tipologia",$A118),0)
+IFERROR(GETPIVOTDATA("Somma di DARE",'Pivot Fineco Sa'!$A$3,"Mese",5,"Tipologia",$A118),0)
+ IFERROR(GETPIVOTDATA("Somma di DARE",'Pivot Fineco St'!$A$3,"Mese",5,"Tipologia",$A118),0)
+ Contanti!R39
+ IFERROR(GETPIVOTDATA("Somma di DARE",'Pivot BBVA'!$A$3,"Mese",5,"Tipologia",$A118),0)
+ IFERROR(GETPIVOTDATA("Somma di DARE",'Pivot Amex'!$A$3,"Mese",5,"Tipologia",$A118),0)
- IFERROR(GETPIVOTDATA("Somma di AVERE",'Pivot Amex'!$A$3,"Mese",5,"Tipologia",$A118),0)
- IFERROR(GETPIVOTDATA("Somma di AVERE",'Pivot BBVA'!$A$3,"Mese",5,"Tipologia",$A118),0)
- IFERROR(GETPIVOTDATA("Somma di AVERE",'Pivot Fineco St'!$A$3,"Mese",5,"Tipologia",$A118),0)
- IFERROR(GETPIVOTDATA("Somma di AVERE",'Pivot Fineco Sa'!$A$3,"Mese",5,"Tipologia",$A118),0)
+ IFERROR(GETPIVOTDATA("Somma di DARE",'Pivot PP Visa'!$A$3,"Mese",5,"Tipologia",$A118),0)
- IFERROR(GETPIVOTDATA("Somma di AVERE",'Pivot PP Visa'!$A$3,"Mese",5,"Tipologia",$A118),0)
+ IFERROR(GETPIVOTDATA("Somma di DARE",'Pivot Revolut'!$A$3,"Mese",5,"Tipologia",$A118),0)
- IFERROR(GETPIVOTDATA("Somma di AVERE",'Pivot Revolut'!$A$3,"Mese",5,"Tipologia",$A118),0)</f>
        <v>0</v>
      </c>
      <c r="H118" s="243">
        <f>IFERROR(GETPIVOTDATA("Somma di DARE EUR",'Pivot RakBank AED'!$A$3,"Mese",6,"Tipologia",$A118),0)
- IFERROR(GETPIVOTDATA("Somma di AVERE EUR",'Pivot RakBank AED'!$A$3,"Mese",6,"Tipologia",$A118),0)
+IFERROR(GETPIVOTDATA("Somma di DARE",'Pivot RakBank EUR'!$A$3,"Mese",6,"Tipologia",$A118),0)
- IFERROR(GETPIVOTDATA("Somma di AVERE",'Pivot RakBank EUR'!$A$3,"Mese",6,"Tipologia",$A118),0)
+IFERROR(GETPIVOTDATA("Somma di DARE",'Pivot Fineco Sa'!$A$3,"Mese",6,"Tipologia",$A118),0)
+ IFERROR(GETPIVOTDATA("Somma di DARE",'Pivot Fineco St'!$A$3,"Mese",6,"Tipologia",$A118),0)
+ Contanti!V39
+ IFERROR(GETPIVOTDATA("Somma di DARE",'Pivot BBVA'!$A$3,"Mese",6,"Tipologia",$A118),0)
+ IFERROR(GETPIVOTDATA("Somma di DARE",'Pivot Amex'!$A$3,"Mese",6,"Tipologia",$A118),0)
- IFERROR(GETPIVOTDATA("Somma di AVERE",'Pivot Amex'!$A$3,"Mese",6,"Tipologia",$A118),0)
- IFERROR(GETPIVOTDATA("Somma di AVERE",'Pivot BBVA'!$A$3,"Mese",6,"Tipologia",$A118),0)
- IFERROR(GETPIVOTDATA("Somma di AVERE",'Pivot Fineco St'!$A$3,"Mese",6,"Tipologia",$A118),0)
- IFERROR(GETPIVOTDATA("Somma di AVERE",'Pivot Fineco Sa'!$A$3,"Mese",6,"Tipologia",$A118),0)
+ IFERROR(GETPIVOTDATA("Somma di DARE",'Pivot PP Visa'!$A$3,"Mese",6,"Tipologia",$A118),0)
- IFERROR(GETPIVOTDATA("Somma di AVERE",'Pivot PP Visa'!$A$3,"Mese",6,"Tipologia",$A118),0)
+ IFERROR(GETPIVOTDATA("Somma di DARE",'Pivot Revolut'!$A$3,"Mese",6,"Tipologia",$A118),0)
- IFERROR(GETPIVOTDATA("Somma di AVERE",'Pivot Revolut'!$A$3,"Mese",6,"Tipologia",$A118),0)</f>
        <v>0</v>
      </c>
      <c r="I118" s="243">
        <f>IFERROR(GETPIVOTDATA("Somma di DARE EUR",'Pivot RakBank AED'!$A$3,"Mese",7,"Tipologia",$A118),0)
- IFERROR(GETPIVOTDATA("Somma di AVERE EUR",'Pivot RakBank AED'!$A$3,"Mese",7,"Tipologia",$A118),0)
+IFERROR(GETPIVOTDATA("Somma di DARE",'Pivot RakBank EUR'!$A$3,"Mese",7,"Tipologia",$A118),0)
- IFERROR(GETPIVOTDATA("Somma di AVERE",'Pivot RakBank EUR'!$A$3,"Mese",7,"Tipologia",$A118),0)
+IFERROR(GETPIVOTDATA("Somma di DARE",'Pivot Fineco Sa'!$A$3,"Mese",7,"Tipologia",$A118),0)
+ IFERROR(GETPIVOTDATA("Somma di DARE",'Pivot Fineco St'!$A$3,"Mese",7,"Tipologia",$A118),0)
+ Contanti!Z39
+ IFERROR(GETPIVOTDATA("Somma di DARE",'Pivot BBVA'!$A$3,"Mese",7,"Tipologia",$A118),0)
+ IFERROR(GETPIVOTDATA("Somma di DARE",'Pivot Amex'!$A$3,"Mese",7,"Tipologia",$A118),0)
- IFERROR(GETPIVOTDATA("Somma di AVERE",'Pivot Amex'!$A$3,"Mese",7,"Tipologia",$A118),0)
- IFERROR(GETPIVOTDATA("Somma di AVERE",'Pivot BBVA'!$A$3,"Mese",7,"Tipologia",$A118),0)
- IFERROR(GETPIVOTDATA("Somma di AVERE",'Pivot Fineco St'!$A$3,"Mese",7,"Tipologia",$A118),0)
- IFERROR(GETPIVOTDATA("Somma di AVERE",'Pivot Fineco Sa'!$A$3,"Mese",7,"Tipologia",$A118),0)
+ IFERROR(GETPIVOTDATA("Somma di DARE",'Pivot PP Visa'!$A$3,"Mese",7,"Tipologia",$A118),0)
- IFERROR(GETPIVOTDATA("Somma di AVERE",'Pivot PP Visa'!$A$3,"Mese",7,"Tipologia",$A118),0)
+ IFERROR(GETPIVOTDATA("Somma di DARE",'Pivot Revolut'!$A$3,"Mese",7,"Tipologia",$A118),0)
- IFERROR(GETPIVOTDATA("Somma di AVERE",'Pivot Revolut'!$A$3,"Mese",7,"Tipologia",$A118),0)</f>
        <v>0</v>
      </c>
      <c r="J118" s="243">
        <f>IFERROR(GETPIVOTDATA("Somma di DARE EUR",'Pivot RakBank AED'!$A$3,"Mese",8,"Tipologia",$A118),0)
- IFERROR(GETPIVOTDATA("Somma di AVERE EUR",'Pivot RakBank AED'!$A$3,"Mese",8,"Tipologia",$A118),0)
+IFERROR(GETPIVOTDATA("Somma di DARE",'Pivot RakBank EUR'!$A$3,"Mese",8,"Tipologia",$A118),0)
- IFERROR(GETPIVOTDATA("Somma di AVERE",'Pivot RakBank EUR'!$A$3,"Mese",8,"Tipologia",$A118),0)
+IFERROR(GETPIVOTDATA("Somma di DARE",'Pivot Fineco Sa'!$A$3,"Mese",8,"Tipologia",$A118),0)
+ IFERROR(GETPIVOTDATA("Somma di DARE",'Pivot Fineco St'!$A$3,"Mese",8,"Tipologia",$A118),0)
+ Contanti!AD39
+ IFERROR(GETPIVOTDATA("Somma di DARE",'Pivot BBVA'!$A$3,"Mese",8,"Tipologia",$A118),0)
+ IFERROR(GETPIVOTDATA("Somma di DARE",'Pivot Amex'!$A$3,"Mese",8,"Tipologia",$A118),0)
- IFERROR(GETPIVOTDATA("Somma di AVERE",'Pivot Amex'!$A$3,"Mese",8,"Tipologia",$A118),0)
- IFERROR(GETPIVOTDATA("Somma di AVERE",'Pivot BBVA'!$A$3,"Mese",8,"Tipologia",$A118),0)
- IFERROR(GETPIVOTDATA("Somma di AVERE",'Pivot Fineco St'!$A$3,"Mese",8,"Tipologia",$A118),0)
- IFERROR(GETPIVOTDATA("Somma di AVERE",'Pivot Fineco Sa'!$A$3,"Mese",8,"Tipologia",$A118),0)
+ IFERROR(GETPIVOTDATA("Somma di DARE",'Pivot PP Visa'!$A$3,"Mese",8,"Tipologia",$A118),0)
- IFERROR(GETPIVOTDATA("Somma di AVERE",'Pivot PP Visa'!$A$3,"Mese",8,"Tipologia",$A118),0)
+ IFERROR(GETPIVOTDATA("Somma di DARE",'Pivot Revolut'!$A$3,"Mese",8,"Tipologia",$A118),0)
- IFERROR(GETPIVOTDATA("Somma di AVERE",'Pivot Revolut'!$A$3,"Mese",8,"Tipologia",$A118),0)</f>
        <v>0</v>
      </c>
      <c r="K118" s="243">
        <f>IFERROR(GETPIVOTDATA("Somma di DARE EUR",'Pivot RakBank AED'!$A$3,"Mese",9,"Tipologia",$A118),0)
- IFERROR(GETPIVOTDATA("Somma di AVERE EUR",'Pivot RakBank AED'!$A$3,"Mese",9,"Tipologia",$A118),0)
+IFERROR(GETPIVOTDATA("Somma di DARE",'Pivot RakBank EUR'!$A$3,"Mese",9,"Tipologia",$A118),0)
- IFERROR(GETPIVOTDATA("Somma di AVERE",'Pivot RakBank EUR'!$A$3,"Mese",9,"Tipologia",$A118),0)
+IFERROR(GETPIVOTDATA("Somma di DARE",'Pivot Fineco Sa'!$A$3,"Mese",9,"Tipologia",$A118),0)
+ IFERROR(GETPIVOTDATA("Somma di DARE",'Pivot Fineco St'!$A$3,"Mese",9,"Tipologia",$A118),0)
+ Contanti!AH39
+ IFERROR(GETPIVOTDATA("Somma di DARE",'Pivot BBVA'!$A$3,"Mese",9,"Tipologia",$A118),0)
+ IFERROR(GETPIVOTDATA("Somma di DARE",'Pivot Amex'!$A$3,"Mese",9,"Tipologia",$A118),0)
- IFERROR(GETPIVOTDATA("Somma di AVERE",'Pivot Amex'!$A$3,"Mese",9,"Tipologia",$A118),0)
- IFERROR(GETPIVOTDATA("Somma di AVERE",'Pivot BBVA'!$A$3,"Mese",9,"Tipologia",$A118),0)
- IFERROR(GETPIVOTDATA("Somma di AVERE",'Pivot Fineco St'!$A$3,"Mese",9,"Tipologia",$A118),0)
- IFERROR(GETPIVOTDATA("Somma di AVERE",'Pivot Fineco Sa'!$A$3,"Mese",9,"Tipologia",$A118),0)
+ IFERROR(GETPIVOTDATA("Somma di DARE",'Pivot PP Visa'!$A$3,"Mese",9,"Tipologia",$A118),0)
- IFERROR(GETPIVOTDATA("Somma di AVERE",'Pivot PP Visa'!$A$3,"Mese",9,"Tipologia",$A118),0)
+ IFERROR(GETPIVOTDATA("Somma di DARE",'Pivot Revolut'!$A$3,"Mese",9,"Tipologia",$A118),0)
- IFERROR(GETPIVOTDATA("Somma di AVERE",'Pivot Revolut'!$A$3,"Mese",9,"Tipologia",$A118),0)</f>
        <v>0</v>
      </c>
      <c r="L118" s="243">
        <f>IFERROR(GETPIVOTDATA("Somma di DARE EUR",'Pivot RakBank AED'!$A$3,"Mese",10,"Tipologia",$A118),0)
- IFERROR(GETPIVOTDATA("Somma di AVERE EUR",'Pivot RakBank AED'!$A$3,"Mese",10,"Tipologia",$A118),0)
+IFERROR(GETPIVOTDATA("Somma di DARE",'Pivot RakBank EUR'!$A$3,"Mese",10,"Tipologia",$A118),0)
- IFERROR(GETPIVOTDATA("Somma di AVERE",'Pivot RakBank EUR'!$A$3,"Mese",10,"Tipologia",$A118),0)
+IFERROR(GETPIVOTDATA("Somma di DARE",'Pivot Fineco Sa'!$A$3,"Mese",10,"Tipologia",$A118),0)
+ IFERROR(GETPIVOTDATA("Somma di DARE",'Pivot Fineco St'!$A$3,"Mese",10,"Tipologia",$A118),0)
+ Contanti!AL39
+ IFERROR(GETPIVOTDATA("Somma di DARE",'Pivot BBVA'!$A$3,"Mese",10,"Tipologia",$A118),0)
+ IFERROR(GETPIVOTDATA("Somma di DARE",'Pivot Amex'!$A$3,"Mese",10,"Tipologia",$A118),0)
- IFERROR(GETPIVOTDATA("Somma di AVERE",'Pivot Amex'!$A$3,"Mese",10,"Tipologia",$A118),0)
- IFERROR(GETPIVOTDATA("Somma di AVERE",'Pivot BBVA'!$A$3,"Mese",10,"Tipologia",$A118),0)
- IFERROR(GETPIVOTDATA("Somma di AVERE",'Pivot Fineco St'!$A$3,"Mese",10,"Tipologia",$A118),0)
- IFERROR(GETPIVOTDATA("Somma di AVERE",'Pivot Fineco Sa'!$A$3,"Mese",10,"Tipologia",$A118),0)
+ IFERROR(GETPIVOTDATA("Somma di DARE",'Pivot PP Visa'!$A$3,"Mese",10,"Tipologia",$A118),0)
- IFERROR(GETPIVOTDATA("Somma di AVERE",'Pivot PP Visa'!$A$3,"Mese",10,"Tipologia",$A118),0)
+ IFERROR(GETPIVOTDATA("Somma di DARE",'Pivot Revolut'!$A$3,"Mese",10,"Tipologia",$A118),0)
- IFERROR(GETPIVOTDATA("Somma di AVERE",'Pivot Revolut'!$A$3,"Mese",10,"Tipologia",$A118),0)</f>
        <v>0</v>
      </c>
      <c r="M118" s="243">
        <f>IFERROR(GETPIVOTDATA("Somma di DARE EUR",'Pivot RakBank AED'!$A$3,"Mese",11,"Tipologia",$A118),0)
- IFERROR(GETPIVOTDATA("Somma di AVERE EUR",'Pivot RakBank AED'!$A$3,"Mese",11,"Tipologia",$A118),0)
+IFERROR(GETPIVOTDATA("Somma di DARE",'Pivot RakBank EUR'!$A$3,"Mese",11,"Tipologia",$A118),0)
- IFERROR(GETPIVOTDATA("Somma di AVERE",'Pivot RakBank EUR'!$A$3,"Mese",11,"Tipologia",$A118),0)
+IFERROR(GETPIVOTDATA("Somma di DARE",'Pivot Fineco Sa'!$A$3,"Mese",11,"Tipologia",$A118),0)
+ IFERROR(GETPIVOTDATA("Somma di DARE",'Pivot Fineco St'!$A$3,"Mese",11,"Tipologia",$A118),0)
+ Contanti!AP39
+ IFERROR(GETPIVOTDATA("Somma di DARE",'Pivot BBVA'!$A$3,"Mese",11,"Tipologia",$A118),0)
+ IFERROR(GETPIVOTDATA("Somma di DARE",'Pivot Amex'!$A$3,"Mese",11,"Tipologia",$A118),0)
- IFERROR(GETPIVOTDATA("Somma di AVERE",'Pivot Amex'!$A$3,"Mese",11,"Tipologia",$A118),0)
- IFERROR(GETPIVOTDATA("Somma di AVERE",'Pivot BBVA'!$A$3,"Mese",11,"Tipologia",$A118),0)
- IFERROR(GETPIVOTDATA("Somma di AVERE",'Pivot Fineco St'!$A$3,"Mese",11,"Tipologia",$A118),0)
- IFERROR(GETPIVOTDATA("Somma di AVERE",'Pivot Fineco Sa'!$A$3,"Mese",11,"Tipologia",$A118),0)
+ IFERROR(GETPIVOTDATA("Somma di DARE",'Pivot PP Visa'!$A$3,"Mese",11,"Tipologia",$A118),0)
- IFERROR(GETPIVOTDATA("Somma di AVERE",'Pivot PP Visa'!$A$3,"Mese",11,"Tipologia",$A118),0)
+ IFERROR(GETPIVOTDATA("Somma di DARE",'Pivot Revolut'!$A$3,"Mese",11,"Tipologia",$A118),0)
- IFERROR(GETPIVOTDATA("Somma di AVERE",'Pivot Revolut'!$A$3,"Mese",11,"Tipologia",$A118),0)</f>
        <v>0</v>
      </c>
      <c r="N118" s="243">
        <f>IFERROR(GETPIVOTDATA("Somma di DARE EUR",'Pivot RakBank AED'!$A$3,"Mese",12,"Tipologia",$A118),0)
- IFERROR(GETPIVOTDATA("Somma di AVERE EUR",'Pivot RakBank AED'!$A$3,"Mese",12,"Tipologia",$A118),0)
+IFERROR(GETPIVOTDATA("Somma di DARE",'Pivot RakBank EUR'!$A$3,"Mese",12,"Tipologia",$A118),0)
- IFERROR(GETPIVOTDATA("Somma di AVERE",'Pivot RakBank EUR'!$A$3,"Mese",12,"Tipologia",$A118),0)
+IFERROR(GETPIVOTDATA("Somma di DARE",'Pivot Fineco Sa'!$A$3,"Mese",12,"Tipologia",$A118),0)
+ IFERROR(GETPIVOTDATA("Somma di DARE",'Pivot Fineco St'!$A$3,"Mese",12,"Tipologia",$A118),0)
+ Contanti!AT39
+ IFERROR(GETPIVOTDATA("Somma di DARE",'Pivot BBVA'!$A$3,"Mese",12,"Tipologia",$A118),0)
+ IFERROR(GETPIVOTDATA("Somma di DARE",'Pivot Amex'!$A$3,"Mese",12,"Tipologia",$A118),0)
- IFERROR(GETPIVOTDATA("Somma di AVERE",'Pivot Amex'!$A$3,"Mese",12,"Tipologia",$A118),0)
- IFERROR(GETPIVOTDATA("Somma di AVERE",'Pivot BBVA'!$A$3,"Mese",12,"Tipologia",$A118),0)
- IFERROR(GETPIVOTDATA("Somma di AVERE",'Pivot Fineco St'!$A$3,"Mese",12,"Tipologia",$A118),0)
- IFERROR(GETPIVOTDATA("Somma di AVERE",'Pivot Fineco Sa'!$A$3,"Mese",12,"Tipologia",$A118),0)
+ IFERROR(GETPIVOTDATA("Somma di DARE",'Pivot PP Visa'!$A$3,"Mese",12,"Tipologia",$A118),0)
- IFERROR(GETPIVOTDATA("Somma di AVERE",'Pivot PP Visa'!$A$3,"Mese",12,"Tipologia",$A118),0)
+ IFERROR(GETPIVOTDATA("Somma di DARE",'Pivot Revolut'!$A$3,"Mese",12,"Tipologia",$A118),0)
- IFERROR(GETPIVOTDATA("Somma di AVERE",'Pivot Revolut'!$A$3,"Mese",12,"Tipologia",$A118),0)</f>
        <v>0</v>
      </c>
      <c r="O118" s="252">
        <f t="shared" si="14"/>
        <v>23.84</v>
      </c>
      <c r="P118" s="243"/>
    </row>
    <row r="119" spans="1:16" s="125" customFormat="1" ht="21" customHeight="1" x14ac:dyDescent="0.2">
      <c r="A119" s="251" t="s">
        <v>111</v>
      </c>
      <c r="B119" s="251"/>
      <c r="C119" s="243">
        <f>IFERROR(GETPIVOTDATA("Somma di DARE EUR",'Pivot RakBank AED'!$A$3,"Mese",1,"Tipologia",$A119),0)
- IFERROR(GETPIVOTDATA("Somma di AVERE EUR",'Pivot RakBank AED'!$A$3,"Mese",1,"Tipologia",$A119),0)
+IFERROR(GETPIVOTDATA("Somma di DARE",'Pivot RakBank EUR'!$A$3,"Mese",1,"Tipologia",$A119),0)
- IFERROR(GETPIVOTDATA("Somma di AVERE",'Pivot RakBank EUR'!$A$3,"Mese",1,"Tipologia",$A119),0)
+IFERROR(GETPIVOTDATA("Somma di DARE",'Pivot Fineco Sa'!$A$3,"Mese",1,"Tipologia",$A119),0)
+ IFERROR(GETPIVOTDATA("Somma di DARE",'Pivot Fineco St'!$A$3,"Mese",1,"Tipologia",$A119),0)
+ Contanti!B40
+ IFERROR(GETPIVOTDATA("Somma di DARE",'Pivot BBVA'!$A$3,"Mese",1,"Tipologia",$A119),0)
+ IFERROR(GETPIVOTDATA("Somma di DARE",'Pivot Amex'!$A$3,"Mese",1,"Tipologia",$A119),0)
- IFERROR(GETPIVOTDATA("Somma di AVERE",'Pivot Amex'!$A$3,"Mese",1,"Tipologia",$A119),0)
- IFERROR(GETPIVOTDATA("Somma di AVERE",'Pivot BBVA'!$A$3,"Mese",1,"Tipologia",$A119),0)
- IFERROR(GETPIVOTDATA("Somma di AVERE",'Pivot Fineco St'!$A$3,"Mese",1,"Tipologia",$A119),0)
- IFERROR(GETPIVOTDATA("Somma di AVERE",'Pivot Fineco Sa'!$A$3,"Mese",1,"Tipologia",$A119),0)
+ IFERROR(GETPIVOTDATA("Somma di DARE",'Pivot PP Visa'!$A$3,"Mese",1,"Tipologia",$A119),0)
- IFERROR(GETPIVOTDATA("Somma di AVERE",'Pivot PP Visa'!$A$3,"Mese",1,"Tipologia",$A119),0)
+ IFERROR(GETPIVOTDATA("Somma di DARE",'Pivot Revolut'!$A$3,"Mese",1,"Tipologia",$A119),0)
- IFERROR(GETPIVOTDATA("Somma di AVERE",'Pivot Revolut'!$A$3,"Mese",1,"Tipologia",$A119),0)</f>
        <v>0</v>
      </c>
      <c r="D119" s="243">
        <f>IFERROR(GETPIVOTDATA("Somma di DARE EUR",'Pivot RakBank AED'!$A$3,"Mese",2,"Tipologia",$A119),0)
- IFERROR(GETPIVOTDATA("Somma di AVERE EUR",'Pivot RakBank AED'!$A$3,"Mese",2,"Tipologia",$A119),0)
+IFERROR(GETPIVOTDATA("Somma di DARE",'Pivot RakBank EUR'!$A$3,"Mese",2,"Tipologia",$A119),0)
- IFERROR(GETPIVOTDATA("Somma di AVERE",'Pivot RakBank EUR'!$A$3,"Mese",2,"Tipologia",$A119),0)
+IFERROR(GETPIVOTDATA("Somma di DARE",'Pivot Fineco Sa'!$A$3,"Mese",2,"Tipologia",$A119),0)
+ IFERROR(GETPIVOTDATA("Somma di DARE",'Pivot Fineco St'!$A$3,"Mese",2,"Tipologia",$A119),0)
+ Contanti!F40
+ IFERROR(GETPIVOTDATA("Somma di DARE",'Pivot BBVA'!$A$3,"Mese",2,"Tipologia",$A119),0)
+ IFERROR(GETPIVOTDATA("Somma di DARE",'Pivot Amex'!$A$3,"Mese",2,"Tipologia",$A119),0)
- IFERROR(GETPIVOTDATA("Somma di AVERE",'Pivot Amex'!$A$3,"Mese",2,"Tipologia",$A119),0)
- IFERROR(GETPIVOTDATA("Somma di AVERE",'Pivot BBVA'!$A$3,"Mese",2,"Tipologia",$A119),0)
- IFERROR(GETPIVOTDATA("Somma di AVERE",'Pivot Fineco St'!$A$3,"Mese",2,"Tipologia",$A119),0)
- IFERROR(GETPIVOTDATA("Somma di AVERE",'Pivot Fineco Sa'!$A$3,"Mese",2,"Tipologia",$A119),0)
+ IFERROR(GETPIVOTDATA("Somma di DARE",'Pivot PP Visa'!$A$3,"Mese",2,"Tipologia",$A119),0)
- IFERROR(GETPIVOTDATA("Somma di AVERE",'Pivot PP Visa'!$A$3,"Mese",2,"Tipologia",$A119),0)
+ IFERROR(GETPIVOTDATA("Somma di DARE",'Pivot Revolut'!$A$3,"Mese",2,"Tipologia",$A119),0)
- IFERROR(GETPIVOTDATA("Somma di AVERE",'Pivot Revolut'!$A$3,"Mese",2,"Tipologia",$A119),0)</f>
        <v>48.34</v>
      </c>
      <c r="E119" s="243">
        <f>IFERROR(GETPIVOTDATA("Somma di DARE EUR",'Pivot RakBank AED'!$A$3,"Mese",3,"Tipologia",$A119),0)
- IFERROR(GETPIVOTDATA("Somma di AVERE EUR",'Pivot RakBank AED'!$A$3,"Mese",3,"Tipologia",$A119),0)
+IFERROR(GETPIVOTDATA("Somma di DARE",'Pivot RakBank EUR'!$A$3,"Mese",3,"Tipologia",$A119),0)
- IFERROR(GETPIVOTDATA("Somma di AVERE",'Pivot RakBank EUR'!$A$3,"Mese",3,"Tipologia",$A119),0)
+IFERROR(GETPIVOTDATA("Somma di DARE",'Pivot Fineco Sa'!$A$3,"Mese",3,"Tipologia",$A119),0)
+ IFERROR(GETPIVOTDATA("Somma di DARE",'Pivot Fineco St'!$A$3,"Mese",3,"Tipologia",$A119),0)
+ Contanti!J40
+ IFERROR(GETPIVOTDATA("Somma di DARE",'Pivot BBVA'!$A$3,"Mese",3,"Tipologia",$A119),0)
+ IFERROR(GETPIVOTDATA("Somma di DARE",'Pivot Amex'!$A$3,"Mese",3,"Tipologia",$A119),0)
- IFERROR(GETPIVOTDATA("Somma di AVERE",'Pivot Amex'!$A$3,"Mese",3,"Tipologia",$A119),0)
- IFERROR(GETPIVOTDATA("Somma di AVERE",'Pivot BBVA'!$A$3,"Mese",3,"Tipologia",$A119),0)
- IFERROR(GETPIVOTDATA("Somma di AVERE",'Pivot Fineco St'!$A$3,"Mese",3,"Tipologia",$A119),0)
- IFERROR(GETPIVOTDATA("Somma di AVERE",'Pivot Fineco Sa'!$A$3,"Mese",3,"Tipologia",$A119),0)
+ IFERROR(GETPIVOTDATA("Somma di DARE",'Pivot PP Visa'!$A$3,"Mese",3,"Tipologia",$A119),0)
- IFERROR(GETPIVOTDATA("Somma di AVERE",'Pivot PP Visa'!$A$3,"Mese",3,"Tipologia",$A119),0)
+ IFERROR(GETPIVOTDATA("Somma di DARE",'Pivot Revolut'!$A$3,"Mese",3,"Tipologia",$A119),0)
- IFERROR(GETPIVOTDATA("Somma di AVERE",'Pivot Revolut'!$A$3,"Mese",3,"Tipologia",$A119),0)</f>
        <v>43.84</v>
      </c>
      <c r="F119" s="243">
        <f>IFERROR(GETPIVOTDATA("Somma di DARE EUR",'Pivot RakBank AED'!$A$3,"Mese",4,"Tipologia",$A119),0)
- IFERROR(GETPIVOTDATA("Somma di AVERE EUR",'Pivot RakBank AED'!$A$3,"Mese",4,"Tipologia",$A119),0)
+IFERROR(GETPIVOTDATA("Somma di DARE",'Pivot RakBank EUR'!$A$3,"Mese",4,"Tipologia",$A119),0)
- IFERROR(GETPIVOTDATA("Somma di AVERE",'Pivot RakBank EUR'!$A$3,"Mese",4,"Tipologia",$A119),0)
+IFERROR(GETPIVOTDATA("Somma di DARE",'Pivot Fineco Sa'!$A$3,"Mese",4,"Tipologia",$A119),0)
+ IFERROR(GETPIVOTDATA("Somma di DARE",'Pivot Fineco St'!$A$3,"Mese",4,"Tipologia",$A119),0)
+ Contanti!N40
+ IFERROR(GETPIVOTDATA("Somma di DARE",'Pivot BBVA'!$A$3,"Mese",4,"Tipologia",$A119),0)
+ IFERROR(GETPIVOTDATA("Somma di DARE",'Pivot Amex'!$A$3,"Mese",4,"Tipologia",$A119),0)
- IFERROR(GETPIVOTDATA("Somma di AVERE",'Pivot Amex'!$A$3,"Mese",4,"Tipologia",$A119),0)
- IFERROR(GETPIVOTDATA("Somma di AVERE",'Pivot BBVA'!$A$3,"Mese",4,"Tipologia",$A119),0)
- IFERROR(GETPIVOTDATA("Somma di AVERE",'Pivot Fineco St'!$A$3,"Mese",4,"Tipologia",$A119),0)
- IFERROR(GETPIVOTDATA("Somma di AVERE",'Pivot Fineco Sa'!$A$3,"Mese",4,"Tipologia",$A119),0)
+ IFERROR(GETPIVOTDATA("Somma di DARE",'Pivot PP Visa'!$A$3,"Mese",4,"Tipologia",$A119),0)
- IFERROR(GETPIVOTDATA("Somma di AVERE",'Pivot PP Visa'!$A$3,"Mese",4,"Tipologia",$A119),0)
+ IFERROR(GETPIVOTDATA("Somma di DARE",'Pivot Revolut'!$A$3,"Mese",4,"Tipologia",$A119),0)
- IFERROR(GETPIVOTDATA("Somma di AVERE",'Pivot Revolut'!$A$3,"Mese",4,"Tipologia",$A119),0)</f>
        <v>9.77</v>
      </c>
      <c r="G119" s="243">
        <f>IFERROR(GETPIVOTDATA("Somma di DARE EUR",'Pivot RakBank AED'!$A$3,"Mese",5,"Tipologia",$A119),0)
- IFERROR(GETPIVOTDATA("Somma di AVERE EUR",'Pivot RakBank AED'!$A$3,"Mese",5,"Tipologia",$A119),0)
+IFERROR(GETPIVOTDATA("Somma di DARE",'Pivot RakBank EUR'!$A$3,"Mese",5,"Tipologia",$A119),0)
- IFERROR(GETPIVOTDATA("Somma di AVERE",'Pivot RakBank EUR'!$A$3,"Mese",5,"Tipologia",$A119),0)
+IFERROR(GETPIVOTDATA("Somma di DARE",'Pivot Fineco Sa'!$A$3,"Mese",5,"Tipologia",$A119),0)
+ IFERROR(GETPIVOTDATA("Somma di DARE",'Pivot Fineco St'!$A$3,"Mese",5,"Tipologia",$A119),0)
+ Contanti!R40
+ IFERROR(GETPIVOTDATA("Somma di DARE",'Pivot BBVA'!$A$3,"Mese",5,"Tipologia",$A119),0)
+ IFERROR(GETPIVOTDATA("Somma di DARE",'Pivot Amex'!$A$3,"Mese",5,"Tipologia",$A119),0)
- IFERROR(GETPIVOTDATA("Somma di AVERE",'Pivot Amex'!$A$3,"Mese",5,"Tipologia",$A119),0)
- IFERROR(GETPIVOTDATA("Somma di AVERE",'Pivot BBVA'!$A$3,"Mese",5,"Tipologia",$A119),0)
- IFERROR(GETPIVOTDATA("Somma di AVERE",'Pivot Fineco St'!$A$3,"Mese",5,"Tipologia",$A119),0)
- IFERROR(GETPIVOTDATA("Somma di AVERE",'Pivot Fineco Sa'!$A$3,"Mese",5,"Tipologia",$A119),0)
+ IFERROR(GETPIVOTDATA("Somma di DARE",'Pivot PP Visa'!$A$3,"Mese",5,"Tipologia",$A119),0)
- IFERROR(GETPIVOTDATA("Somma di AVERE",'Pivot PP Visa'!$A$3,"Mese",5,"Tipologia",$A119),0)
+ IFERROR(GETPIVOTDATA("Somma di DARE",'Pivot Revolut'!$A$3,"Mese",5,"Tipologia",$A119),0)
- IFERROR(GETPIVOTDATA("Somma di AVERE",'Pivot Revolut'!$A$3,"Mese",5,"Tipologia",$A119),0)</f>
        <v>0</v>
      </c>
      <c r="H119" s="243">
        <f>IFERROR(GETPIVOTDATA("Somma di DARE EUR",'Pivot RakBank AED'!$A$3,"Mese",6,"Tipologia",$A119),0)
- IFERROR(GETPIVOTDATA("Somma di AVERE EUR",'Pivot RakBank AED'!$A$3,"Mese",6,"Tipologia",$A119),0)
+IFERROR(GETPIVOTDATA("Somma di DARE",'Pivot RakBank EUR'!$A$3,"Mese",6,"Tipologia",$A119),0)
- IFERROR(GETPIVOTDATA("Somma di AVERE",'Pivot RakBank EUR'!$A$3,"Mese",6,"Tipologia",$A119),0)
+IFERROR(GETPIVOTDATA("Somma di DARE",'Pivot Fineco Sa'!$A$3,"Mese",6,"Tipologia",$A119),0)
+ IFERROR(GETPIVOTDATA("Somma di DARE",'Pivot Fineco St'!$A$3,"Mese",6,"Tipologia",$A119),0)
+ Contanti!V40
+ IFERROR(GETPIVOTDATA("Somma di DARE",'Pivot BBVA'!$A$3,"Mese",6,"Tipologia",$A119),0)
+ IFERROR(GETPIVOTDATA("Somma di DARE",'Pivot Amex'!$A$3,"Mese",6,"Tipologia",$A119),0)
- IFERROR(GETPIVOTDATA("Somma di AVERE",'Pivot Amex'!$A$3,"Mese",6,"Tipologia",$A119),0)
- IFERROR(GETPIVOTDATA("Somma di AVERE",'Pivot BBVA'!$A$3,"Mese",6,"Tipologia",$A119),0)
- IFERROR(GETPIVOTDATA("Somma di AVERE",'Pivot Fineco St'!$A$3,"Mese",6,"Tipologia",$A119),0)
- IFERROR(GETPIVOTDATA("Somma di AVERE",'Pivot Fineco Sa'!$A$3,"Mese",6,"Tipologia",$A119),0)
+ IFERROR(GETPIVOTDATA("Somma di DARE",'Pivot PP Visa'!$A$3,"Mese",6,"Tipologia",$A119),0)
- IFERROR(GETPIVOTDATA("Somma di AVERE",'Pivot PP Visa'!$A$3,"Mese",6,"Tipologia",$A119),0)
+ IFERROR(GETPIVOTDATA("Somma di DARE",'Pivot Revolut'!$A$3,"Mese",6,"Tipologia",$A119),0)
- IFERROR(GETPIVOTDATA("Somma di AVERE",'Pivot Revolut'!$A$3,"Mese",6,"Tipologia",$A119),0)</f>
        <v>0</v>
      </c>
      <c r="I119" s="243">
        <f>IFERROR(GETPIVOTDATA("Somma di DARE EUR",'Pivot RakBank AED'!$A$3,"Mese",7,"Tipologia",$A119),0)
- IFERROR(GETPIVOTDATA("Somma di AVERE EUR",'Pivot RakBank AED'!$A$3,"Mese",7,"Tipologia",$A119),0)
+IFERROR(GETPIVOTDATA("Somma di DARE",'Pivot RakBank EUR'!$A$3,"Mese",7,"Tipologia",$A119),0)
- IFERROR(GETPIVOTDATA("Somma di AVERE",'Pivot RakBank EUR'!$A$3,"Mese",7,"Tipologia",$A119),0)
+IFERROR(GETPIVOTDATA("Somma di DARE",'Pivot Fineco Sa'!$A$3,"Mese",7,"Tipologia",$A119),0)
+ IFERROR(GETPIVOTDATA("Somma di DARE",'Pivot Fineco St'!$A$3,"Mese",7,"Tipologia",$A119),0)
+ Contanti!Z40
+ IFERROR(GETPIVOTDATA("Somma di DARE",'Pivot BBVA'!$A$3,"Mese",7,"Tipologia",$A119),0)
+ IFERROR(GETPIVOTDATA("Somma di DARE",'Pivot Amex'!$A$3,"Mese",7,"Tipologia",$A119),0)
- IFERROR(GETPIVOTDATA("Somma di AVERE",'Pivot Amex'!$A$3,"Mese",7,"Tipologia",$A119),0)
- IFERROR(GETPIVOTDATA("Somma di AVERE",'Pivot BBVA'!$A$3,"Mese",7,"Tipologia",$A119),0)
- IFERROR(GETPIVOTDATA("Somma di AVERE",'Pivot Fineco St'!$A$3,"Mese",7,"Tipologia",$A119),0)
- IFERROR(GETPIVOTDATA("Somma di AVERE",'Pivot Fineco Sa'!$A$3,"Mese",7,"Tipologia",$A119),0)
+ IFERROR(GETPIVOTDATA("Somma di DARE",'Pivot PP Visa'!$A$3,"Mese",7,"Tipologia",$A119),0)
- IFERROR(GETPIVOTDATA("Somma di AVERE",'Pivot PP Visa'!$A$3,"Mese",7,"Tipologia",$A119),0)
+ IFERROR(GETPIVOTDATA("Somma di DARE",'Pivot Revolut'!$A$3,"Mese",7,"Tipologia",$A119),0)
- IFERROR(GETPIVOTDATA("Somma di AVERE",'Pivot Revolut'!$A$3,"Mese",7,"Tipologia",$A119),0)</f>
        <v>0</v>
      </c>
      <c r="J119" s="243">
        <f>IFERROR(GETPIVOTDATA("Somma di DARE EUR",'Pivot RakBank AED'!$A$3,"Mese",8,"Tipologia",$A119),0)
- IFERROR(GETPIVOTDATA("Somma di AVERE EUR",'Pivot RakBank AED'!$A$3,"Mese",8,"Tipologia",$A119),0)
+IFERROR(GETPIVOTDATA("Somma di DARE",'Pivot RakBank EUR'!$A$3,"Mese",8,"Tipologia",$A119),0)
- IFERROR(GETPIVOTDATA("Somma di AVERE",'Pivot RakBank EUR'!$A$3,"Mese",8,"Tipologia",$A119),0)
+IFERROR(GETPIVOTDATA("Somma di DARE",'Pivot Fineco Sa'!$A$3,"Mese",8,"Tipologia",$A119),0)
+ IFERROR(GETPIVOTDATA("Somma di DARE",'Pivot Fineco St'!$A$3,"Mese",8,"Tipologia",$A119),0)
+ Contanti!AD40
+ IFERROR(GETPIVOTDATA("Somma di DARE",'Pivot BBVA'!$A$3,"Mese",8,"Tipologia",$A119),0)
+ IFERROR(GETPIVOTDATA("Somma di DARE",'Pivot Amex'!$A$3,"Mese",8,"Tipologia",$A119),0)
- IFERROR(GETPIVOTDATA("Somma di AVERE",'Pivot Amex'!$A$3,"Mese",8,"Tipologia",$A119),0)
- IFERROR(GETPIVOTDATA("Somma di AVERE",'Pivot BBVA'!$A$3,"Mese",8,"Tipologia",$A119),0)
- IFERROR(GETPIVOTDATA("Somma di AVERE",'Pivot Fineco St'!$A$3,"Mese",8,"Tipologia",$A119),0)
- IFERROR(GETPIVOTDATA("Somma di AVERE",'Pivot Fineco Sa'!$A$3,"Mese",8,"Tipologia",$A119),0)
+ IFERROR(GETPIVOTDATA("Somma di DARE",'Pivot PP Visa'!$A$3,"Mese",8,"Tipologia",$A119),0)
- IFERROR(GETPIVOTDATA("Somma di AVERE",'Pivot PP Visa'!$A$3,"Mese",8,"Tipologia",$A119),0)
+ IFERROR(GETPIVOTDATA("Somma di DARE",'Pivot Revolut'!$A$3,"Mese",8,"Tipologia",$A119),0)
- IFERROR(GETPIVOTDATA("Somma di AVERE",'Pivot Revolut'!$A$3,"Mese",8,"Tipologia",$A119),0)</f>
        <v>0</v>
      </c>
      <c r="K119" s="243">
        <f>IFERROR(GETPIVOTDATA("Somma di DARE EUR",'Pivot RakBank AED'!$A$3,"Mese",9,"Tipologia",$A119),0)
- IFERROR(GETPIVOTDATA("Somma di AVERE EUR",'Pivot RakBank AED'!$A$3,"Mese",9,"Tipologia",$A119),0)
+IFERROR(GETPIVOTDATA("Somma di DARE",'Pivot RakBank EUR'!$A$3,"Mese",9,"Tipologia",$A119),0)
- IFERROR(GETPIVOTDATA("Somma di AVERE",'Pivot RakBank EUR'!$A$3,"Mese",9,"Tipologia",$A119),0)
+IFERROR(GETPIVOTDATA("Somma di DARE",'Pivot Fineco Sa'!$A$3,"Mese",9,"Tipologia",$A119),0)
+ IFERROR(GETPIVOTDATA("Somma di DARE",'Pivot Fineco St'!$A$3,"Mese",9,"Tipologia",$A119),0)
+ Contanti!AH40
+ IFERROR(GETPIVOTDATA("Somma di DARE",'Pivot BBVA'!$A$3,"Mese",9,"Tipologia",$A119),0)
+ IFERROR(GETPIVOTDATA("Somma di DARE",'Pivot Amex'!$A$3,"Mese",9,"Tipologia",$A119),0)
- IFERROR(GETPIVOTDATA("Somma di AVERE",'Pivot Amex'!$A$3,"Mese",9,"Tipologia",$A119),0)
- IFERROR(GETPIVOTDATA("Somma di AVERE",'Pivot BBVA'!$A$3,"Mese",9,"Tipologia",$A119),0)
- IFERROR(GETPIVOTDATA("Somma di AVERE",'Pivot Fineco St'!$A$3,"Mese",9,"Tipologia",$A119),0)
- IFERROR(GETPIVOTDATA("Somma di AVERE",'Pivot Fineco Sa'!$A$3,"Mese",9,"Tipologia",$A119),0)
+ IFERROR(GETPIVOTDATA("Somma di DARE",'Pivot PP Visa'!$A$3,"Mese",9,"Tipologia",$A119),0)
- IFERROR(GETPIVOTDATA("Somma di AVERE",'Pivot PP Visa'!$A$3,"Mese",9,"Tipologia",$A119),0)
+ IFERROR(GETPIVOTDATA("Somma di DARE",'Pivot Revolut'!$A$3,"Mese",9,"Tipologia",$A119),0)
- IFERROR(GETPIVOTDATA("Somma di AVERE",'Pivot Revolut'!$A$3,"Mese",9,"Tipologia",$A119),0)</f>
        <v>0</v>
      </c>
      <c r="L119" s="243">
        <f>IFERROR(GETPIVOTDATA("Somma di DARE EUR",'Pivot RakBank AED'!$A$3,"Mese",10,"Tipologia",$A119),0)
- IFERROR(GETPIVOTDATA("Somma di AVERE EUR",'Pivot RakBank AED'!$A$3,"Mese",10,"Tipologia",$A119),0)
+IFERROR(GETPIVOTDATA("Somma di DARE",'Pivot RakBank EUR'!$A$3,"Mese",10,"Tipologia",$A119),0)
- IFERROR(GETPIVOTDATA("Somma di AVERE",'Pivot RakBank EUR'!$A$3,"Mese",10,"Tipologia",$A119),0)
+IFERROR(GETPIVOTDATA("Somma di DARE",'Pivot Fineco Sa'!$A$3,"Mese",10,"Tipologia",$A119),0)
+ IFERROR(GETPIVOTDATA("Somma di DARE",'Pivot Fineco St'!$A$3,"Mese",10,"Tipologia",$A119),0)
+ Contanti!AL40
+ IFERROR(GETPIVOTDATA("Somma di DARE",'Pivot BBVA'!$A$3,"Mese",10,"Tipologia",$A119),0)
+ IFERROR(GETPIVOTDATA("Somma di DARE",'Pivot Amex'!$A$3,"Mese",10,"Tipologia",$A119),0)
- IFERROR(GETPIVOTDATA("Somma di AVERE",'Pivot Amex'!$A$3,"Mese",10,"Tipologia",$A119),0)
- IFERROR(GETPIVOTDATA("Somma di AVERE",'Pivot BBVA'!$A$3,"Mese",10,"Tipologia",$A119),0)
- IFERROR(GETPIVOTDATA("Somma di AVERE",'Pivot Fineco St'!$A$3,"Mese",10,"Tipologia",$A119),0)
- IFERROR(GETPIVOTDATA("Somma di AVERE",'Pivot Fineco Sa'!$A$3,"Mese",10,"Tipologia",$A119),0)
+ IFERROR(GETPIVOTDATA("Somma di DARE",'Pivot PP Visa'!$A$3,"Mese",10,"Tipologia",$A119),0)
- IFERROR(GETPIVOTDATA("Somma di AVERE",'Pivot PP Visa'!$A$3,"Mese",10,"Tipologia",$A119),0)
+ IFERROR(GETPIVOTDATA("Somma di DARE",'Pivot Revolut'!$A$3,"Mese",10,"Tipologia",$A119),0)
- IFERROR(GETPIVOTDATA("Somma di AVERE",'Pivot Revolut'!$A$3,"Mese",10,"Tipologia",$A119),0)</f>
        <v>0</v>
      </c>
      <c r="M119" s="243">
        <f>IFERROR(GETPIVOTDATA("Somma di DARE EUR",'Pivot RakBank AED'!$A$3,"Mese",11,"Tipologia",$A119),0)
- IFERROR(GETPIVOTDATA("Somma di AVERE EUR",'Pivot RakBank AED'!$A$3,"Mese",11,"Tipologia",$A119),0)
+IFERROR(GETPIVOTDATA("Somma di DARE",'Pivot RakBank EUR'!$A$3,"Mese",11,"Tipologia",$A119),0)
- IFERROR(GETPIVOTDATA("Somma di AVERE",'Pivot RakBank EUR'!$A$3,"Mese",11,"Tipologia",$A119),0)
+IFERROR(GETPIVOTDATA("Somma di DARE",'Pivot Fineco Sa'!$A$3,"Mese",11,"Tipologia",$A119),0)
+ IFERROR(GETPIVOTDATA("Somma di DARE",'Pivot Fineco St'!$A$3,"Mese",11,"Tipologia",$A119),0)
+ Contanti!AP40
+ IFERROR(GETPIVOTDATA("Somma di DARE",'Pivot BBVA'!$A$3,"Mese",11,"Tipologia",$A119),0)
+ IFERROR(GETPIVOTDATA("Somma di DARE",'Pivot Amex'!$A$3,"Mese",11,"Tipologia",$A119),0)
- IFERROR(GETPIVOTDATA("Somma di AVERE",'Pivot Amex'!$A$3,"Mese",11,"Tipologia",$A119),0)
- IFERROR(GETPIVOTDATA("Somma di AVERE",'Pivot BBVA'!$A$3,"Mese",11,"Tipologia",$A119),0)
- IFERROR(GETPIVOTDATA("Somma di AVERE",'Pivot Fineco St'!$A$3,"Mese",11,"Tipologia",$A119),0)
- IFERROR(GETPIVOTDATA("Somma di AVERE",'Pivot Fineco Sa'!$A$3,"Mese",11,"Tipologia",$A119),0)
+ IFERROR(GETPIVOTDATA("Somma di DARE",'Pivot PP Visa'!$A$3,"Mese",11,"Tipologia",$A119),0)
- IFERROR(GETPIVOTDATA("Somma di AVERE",'Pivot PP Visa'!$A$3,"Mese",11,"Tipologia",$A119),0)
+ IFERROR(GETPIVOTDATA("Somma di DARE",'Pivot Revolut'!$A$3,"Mese",11,"Tipologia",$A119),0)
- IFERROR(GETPIVOTDATA("Somma di AVERE",'Pivot Revolut'!$A$3,"Mese",11,"Tipologia",$A119),0)</f>
        <v>0</v>
      </c>
      <c r="N119" s="243">
        <f>IFERROR(GETPIVOTDATA("Somma di DARE EUR",'Pivot RakBank AED'!$A$3,"Mese",12,"Tipologia",$A119),0)
- IFERROR(GETPIVOTDATA("Somma di AVERE EUR",'Pivot RakBank AED'!$A$3,"Mese",12,"Tipologia",$A119),0)
+IFERROR(GETPIVOTDATA("Somma di DARE",'Pivot RakBank EUR'!$A$3,"Mese",12,"Tipologia",$A119),0)
- IFERROR(GETPIVOTDATA("Somma di AVERE",'Pivot RakBank EUR'!$A$3,"Mese",12,"Tipologia",$A119),0)
+IFERROR(GETPIVOTDATA("Somma di DARE",'Pivot Fineco Sa'!$A$3,"Mese",12,"Tipologia",$A119),0)
+ IFERROR(GETPIVOTDATA("Somma di DARE",'Pivot Fineco St'!$A$3,"Mese",12,"Tipologia",$A119),0)
+ Contanti!AT40
+ IFERROR(GETPIVOTDATA("Somma di DARE",'Pivot BBVA'!$A$3,"Mese",12,"Tipologia",$A119),0)
+ IFERROR(GETPIVOTDATA("Somma di DARE",'Pivot Amex'!$A$3,"Mese",12,"Tipologia",$A119),0)
- IFERROR(GETPIVOTDATA("Somma di AVERE",'Pivot Amex'!$A$3,"Mese",12,"Tipologia",$A119),0)
- IFERROR(GETPIVOTDATA("Somma di AVERE",'Pivot BBVA'!$A$3,"Mese",12,"Tipologia",$A119),0)
- IFERROR(GETPIVOTDATA("Somma di AVERE",'Pivot Fineco St'!$A$3,"Mese",12,"Tipologia",$A119),0)
- IFERROR(GETPIVOTDATA("Somma di AVERE",'Pivot Fineco Sa'!$A$3,"Mese",12,"Tipologia",$A119),0)
+ IFERROR(GETPIVOTDATA("Somma di DARE",'Pivot PP Visa'!$A$3,"Mese",12,"Tipologia",$A119),0)
- IFERROR(GETPIVOTDATA("Somma di AVERE",'Pivot PP Visa'!$A$3,"Mese",12,"Tipologia",$A119),0)
+ IFERROR(GETPIVOTDATA("Somma di DARE",'Pivot Revolut'!$A$3,"Mese",12,"Tipologia",$A119),0)
- IFERROR(GETPIVOTDATA("Somma di AVERE",'Pivot Revolut'!$A$3,"Mese",12,"Tipologia",$A119),0)</f>
        <v>0</v>
      </c>
      <c r="O119" s="252">
        <f t="shared" si="14"/>
        <v>101.95</v>
      </c>
      <c r="P119" s="243"/>
    </row>
    <row r="120" spans="1:16" s="125" customFormat="1" ht="21" customHeight="1" x14ac:dyDescent="0.2">
      <c r="A120" s="251" t="s">
        <v>112</v>
      </c>
      <c r="B120" s="251"/>
      <c r="C120" s="243">
        <f>IFERROR(GETPIVOTDATA("Somma di DARE EUR",'Pivot RakBank AED'!$A$3,"Mese",1,"Tipologia",$A120),0)
- IFERROR(GETPIVOTDATA("Somma di AVERE EUR",'Pivot RakBank AED'!$A$3,"Mese",1,"Tipologia",$A120),0)
+IFERROR(GETPIVOTDATA("Somma di DARE",'Pivot RakBank EUR'!$A$3,"Mese",1,"Tipologia",$A120),0)
- IFERROR(GETPIVOTDATA("Somma di AVERE",'Pivot RakBank EUR'!$A$3,"Mese",1,"Tipologia",$A120),0)
+IFERROR(GETPIVOTDATA("Somma di DARE",'Pivot Fineco Sa'!$A$3,"Mese",1,"Tipologia",$A120),0)
+ IFERROR(GETPIVOTDATA("Somma di DARE",'Pivot Fineco St'!$A$3,"Mese",1,"Tipologia",$A120),0)
+ Contanti!B41
+ IFERROR(GETPIVOTDATA("Somma di DARE",'Pivot BBVA'!$A$3,"Mese",1,"Tipologia",$A120),0)
+ IFERROR(GETPIVOTDATA("Somma di DARE",'Pivot Amex'!$A$3,"Mese",1,"Tipologia",$A120),0)
- IFERROR(GETPIVOTDATA("Somma di AVERE",'Pivot Amex'!$A$3,"Mese",1,"Tipologia",$A120),0)
- IFERROR(GETPIVOTDATA("Somma di AVERE",'Pivot BBVA'!$A$3,"Mese",1,"Tipologia",$A120),0)
- IFERROR(GETPIVOTDATA("Somma di AVERE",'Pivot Fineco St'!$A$3,"Mese",1,"Tipologia",$A120),0)
- IFERROR(GETPIVOTDATA("Somma di AVERE",'Pivot Fineco Sa'!$A$3,"Mese",1,"Tipologia",$A120),0)
+ IFERROR(GETPIVOTDATA("Somma di DARE",'Pivot PP Visa'!$A$3,"Mese",1,"Tipologia",$A120),0)
- IFERROR(GETPIVOTDATA("Somma di AVERE",'Pivot PP Visa'!$A$3,"Mese",1,"Tipologia",$A120),0)
+ IFERROR(GETPIVOTDATA("Somma di DARE",'Pivot Revolut'!$A$3,"Mese",1,"Tipologia",$A120),0)
- IFERROR(GETPIVOTDATA("Somma di AVERE",'Pivot Revolut'!$A$3,"Mese",1,"Tipologia",$A120),0)</f>
        <v>0</v>
      </c>
      <c r="D120" s="243">
        <f>IFERROR(GETPIVOTDATA("Somma di DARE EUR",'Pivot RakBank AED'!$A$3,"Mese",2,"Tipologia",$A120),0)
- IFERROR(GETPIVOTDATA("Somma di AVERE EUR",'Pivot RakBank AED'!$A$3,"Mese",2,"Tipologia",$A120),0)
+IFERROR(GETPIVOTDATA("Somma di DARE",'Pivot RakBank EUR'!$A$3,"Mese",2,"Tipologia",$A120),0)
- IFERROR(GETPIVOTDATA("Somma di AVERE",'Pivot RakBank EUR'!$A$3,"Mese",2,"Tipologia",$A120),0)
+IFERROR(GETPIVOTDATA("Somma di DARE",'Pivot Fineco Sa'!$A$3,"Mese",2,"Tipologia",$A120),0)
+ IFERROR(GETPIVOTDATA("Somma di DARE",'Pivot Fineco St'!$A$3,"Mese",2,"Tipologia",$A120),0)
+ Contanti!F41
+ IFERROR(GETPIVOTDATA("Somma di DARE",'Pivot BBVA'!$A$3,"Mese",2,"Tipologia",$A120),0)
+ IFERROR(GETPIVOTDATA("Somma di DARE",'Pivot Amex'!$A$3,"Mese",2,"Tipologia",$A120),0)
- IFERROR(GETPIVOTDATA("Somma di AVERE",'Pivot Amex'!$A$3,"Mese",2,"Tipologia",$A120),0)
- IFERROR(GETPIVOTDATA("Somma di AVERE",'Pivot BBVA'!$A$3,"Mese",2,"Tipologia",$A120),0)
- IFERROR(GETPIVOTDATA("Somma di AVERE",'Pivot Fineco St'!$A$3,"Mese",2,"Tipologia",$A120),0)
- IFERROR(GETPIVOTDATA("Somma di AVERE",'Pivot Fineco Sa'!$A$3,"Mese",2,"Tipologia",$A120),0)
+ IFERROR(GETPIVOTDATA("Somma di DARE",'Pivot PP Visa'!$A$3,"Mese",2,"Tipologia",$A120),0)
- IFERROR(GETPIVOTDATA("Somma di AVERE",'Pivot PP Visa'!$A$3,"Mese",2,"Tipologia",$A120),0)
+ IFERROR(GETPIVOTDATA("Somma di DARE",'Pivot Revolut'!$A$3,"Mese",2,"Tipologia",$A120),0)
- IFERROR(GETPIVOTDATA("Somma di AVERE",'Pivot Revolut'!$A$3,"Mese",2,"Tipologia",$A120),0)</f>
        <v>30.09</v>
      </c>
      <c r="E120" s="243">
        <f>IFERROR(GETPIVOTDATA("Somma di DARE EUR",'Pivot RakBank AED'!$A$3,"Mese",3,"Tipologia",$A120),0)
- IFERROR(GETPIVOTDATA("Somma di AVERE EUR",'Pivot RakBank AED'!$A$3,"Mese",3,"Tipologia",$A120),0)
+IFERROR(GETPIVOTDATA("Somma di DARE",'Pivot RakBank EUR'!$A$3,"Mese",3,"Tipologia",$A120),0)
- IFERROR(GETPIVOTDATA("Somma di AVERE",'Pivot RakBank EUR'!$A$3,"Mese",3,"Tipologia",$A120),0)
+IFERROR(GETPIVOTDATA("Somma di DARE",'Pivot Fineco Sa'!$A$3,"Mese",3,"Tipologia",$A120),0)
+ IFERROR(GETPIVOTDATA("Somma di DARE",'Pivot Fineco St'!$A$3,"Mese",3,"Tipologia",$A120),0)
+ Contanti!J41
+ IFERROR(GETPIVOTDATA("Somma di DARE",'Pivot BBVA'!$A$3,"Mese",3,"Tipologia",$A120),0)
+ IFERROR(GETPIVOTDATA("Somma di DARE",'Pivot Amex'!$A$3,"Mese",3,"Tipologia",$A120),0)
- IFERROR(GETPIVOTDATA("Somma di AVERE",'Pivot Amex'!$A$3,"Mese",3,"Tipologia",$A120),0)
- IFERROR(GETPIVOTDATA("Somma di AVERE",'Pivot BBVA'!$A$3,"Mese",3,"Tipologia",$A120),0)
- IFERROR(GETPIVOTDATA("Somma di AVERE",'Pivot Fineco St'!$A$3,"Mese",3,"Tipologia",$A120),0)
- IFERROR(GETPIVOTDATA("Somma di AVERE",'Pivot Fineco Sa'!$A$3,"Mese",3,"Tipologia",$A120),0)
+ IFERROR(GETPIVOTDATA("Somma di DARE",'Pivot PP Visa'!$A$3,"Mese",3,"Tipologia",$A120),0)
- IFERROR(GETPIVOTDATA("Somma di AVERE",'Pivot PP Visa'!$A$3,"Mese",3,"Tipologia",$A120),0)
+ IFERROR(GETPIVOTDATA("Somma di DARE",'Pivot Revolut'!$A$3,"Mese",3,"Tipologia",$A120),0)
- IFERROR(GETPIVOTDATA("Somma di AVERE",'Pivot Revolut'!$A$3,"Mese",3,"Tipologia",$A120),0)</f>
        <v>0</v>
      </c>
      <c r="F120" s="243">
        <f>IFERROR(GETPIVOTDATA("Somma di DARE EUR",'Pivot RakBank AED'!$A$3,"Mese",4,"Tipologia",$A120),0)
- IFERROR(GETPIVOTDATA("Somma di AVERE EUR",'Pivot RakBank AED'!$A$3,"Mese",4,"Tipologia",$A120),0)
+IFERROR(GETPIVOTDATA("Somma di DARE",'Pivot RakBank EUR'!$A$3,"Mese",4,"Tipologia",$A120),0)
- IFERROR(GETPIVOTDATA("Somma di AVERE",'Pivot RakBank EUR'!$A$3,"Mese",4,"Tipologia",$A120),0)
+IFERROR(GETPIVOTDATA("Somma di DARE",'Pivot Fineco Sa'!$A$3,"Mese",4,"Tipologia",$A120),0)
+ IFERROR(GETPIVOTDATA("Somma di DARE",'Pivot Fineco St'!$A$3,"Mese",4,"Tipologia",$A120),0)
+ Contanti!N41
+ IFERROR(GETPIVOTDATA("Somma di DARE",'Pivot BBVA'!$A$3,"Mese",4,"Tipologia",$A120),0)
+ IFERROR(GETPIVOTDATA("Somma di DARE",'Pivot Amex'!$A$3,"Mese",4,"Tipologia",$A120),0)
- IFERROR(GETPIVOTDATA("Somma di AVERE",'Pivot Amex'!$A$3,"Mese",4,"Tipologia",$A120),0)
- IFERROR(GETPIVOTDATA("Somma di AVERE",'Pivot BBVA'!$A$3,"Mese",4,"Tipologia",$A120),0)
- IFERROR(GETPIVOTDATA("Somma di AVERE",'Pivot Fineco St'!$A$3,"Mese",4,"Tipologia",$A120),0)
- IFERROR(GETPIVOTDATA("Somma di AVERE",'Pivot Fineco Sa'!$A$3,"Mese",4,"Tipologia",$A120),0)
+ IFERROR(GETPIVOTDATA("Somma di DARE",'Pivot PP Visa'!$A$3,"Mese",4,"Tipologia",$A120),0)
- IFERROR(GETPIVOTDATA("Somma di AVERE",'Pivot PP Visa'!$A$3,"Mese",4,"Tipologia",$A120),0)
+ IFERROR(GETPIVOTDATA("Somma di DARE",'Pivot Revolut'!$A$3,"Mese",4,"Tipologia",$A120),0)
- IFERROR(GETPIVOTDATA("Somma di AVERE",'Pivot Revolut'!$A$3,"Mese",4,"Tipologia",$A120),0)</f>
        <v>0</v>
      </c>
      <c r="G120" s="243">
        <f>IFERROR(GETPIVOTDATA("Somma di DARE EUR",'Pivot RakBank AED'!$A$3,"Mese",5,"Tipologia",$A120),0)
- IFERROR(GETPIVOTDATA("Somma di AVERE EUR",'Pivot RakBank AED'!$A$3,"Mese",5,"Tipologia",$A120),0)
+IFERROR(GETPIVOTDATA("Somma di DARE",'Pivot RakBank EUR'!$A$3,"Mese",5,"Tipologia",$A120),0)
- IFERROR(GETPIVOTDATA("Somma di AVERE",'Pivot RakBank EUR'!$A$3,"Mese",5,"Tipologia",$A120),0)
+IFERROR(GETPIVOTDATA("Somma di DARE",'Pivot Fineco Sa'!$A$3,"Mese",5,"Tipologia",$A120),0)
+ IFERROR(GETPIVOTDATA("Somma di DARE",'Pivot Fineco St'!$A$3,"Mese",5,"Tipologia",$A120),0)
+ Contanti!R41
+ IFERROR(GETPIVOTDATA("Somma di DARE",'Pivot BBVA'!$A$3,"Mese",5,"Tipologia",$A120),0)
+ IFERROR(GETPIVOTDATA("Somma di DARE",'Pivot Amex'!$A$3,"Mese",5,"Tipologia",$A120),0)
- IFERROR(GETPIVOTDATA("Somma di AVERE",'Pivot Amex'!$A$3,"Mese",5,"Tipologia",$A120),0)
- IFERROR(GETPIVOTDATA("Somma di AVERE",'Pivot BBVA'!$A$3,"Mese",5,"Tipologia",$A120),0)
- IFERROR(GETPIVOTDATA("Somma di AVERE",'Pivot Fineco St'!$A$3,"Mese",5,"Tipologia",$A120),0)
- IFERROR(GETPIVOTDATA("Somma di AVERE",'Pivot Fineco Sa'!$A$3,"Mese",5,"Tipologia",$A120),0)
+ IFERROR(GETPIVOTDATA("Somma di DARE",'Pivot PP Visa'!$A$3,"Mese",5,"Tipologia",$A120),0)
- IFERROR(GETPIVOTDATA("Somma di AVERE",'Pivot PP Visa'!$A$3,"Mese",5,"Tipologia",$A120),0)
+ IFERROR(GETPIVOTDATA("Somma di DARE",'Pivot Revolut'!$A$3,"Mese",5,"Tipologia",$A120),0)
- IFERROR(GETPIVOTDATA("Somma di AVERE",'Pivot Revolut'!$A$3,"Mese",5,"Tipologia",$A120),0)</f>
        <v>0</v>
      </c>
      <c r="H120" s="243">
        <f>IFERROR(GETPIVOTDATA("Somma di DARE EUR",'Pivot RakBank AED'!$A$3,"Mese",6,"Tipologia",$A120),0)
- IFERROR(GETPIVOTDATA("Somma di AVERE EUR",'Pivot RakBank AED'!$A$3,"Mese",6,"Tipologia",$A120),0)
+IFERROR(GETPIVOTDATA("Somma di DARE",'Pivot RakBank EUR'!$A$3,"Mese",6,"Tipologia",$A120),0)
- IFERROR(GETPIVOTDATA("Somma di AVERE",'Pivot RakBank EUR'!$A$3,"Mese",6,"Tipologia",$A120),0)
+IFERROR(GETPIVOTDATA("Somma di DARE",'Pivot Fineco Sa'!$A$3,"Mese",6,"Tipologia",$A120),0)
+ IFERROR(GETPIVOTDATA("Somma di DARE",'Pivot Fineco St'!$A$3,"Mese",6,"Tipologia",$A120),0)
+ Contanti!V41
+ IFERROR(GETPIVOTDATA("Somma di DARE",'Pivot BBVA'!$A$3,"Mese",6,"Tipologia",$A120),0)
+ IFERROR(GETPIVOTDATA("Somma di DARE",'Pivot Amex'!$A$3,"Mese",6,"Tipologia",$A120),0)
- IFERROR(GETPIVOTDATA("Somma di AVERE",'Pivot Amex'!$A$3,"Mese",6,"Tipologia",$A120),0)
- IFERROR(GETPIVOTDATA("Somma di AVERE",'Pivot BBVA'!$A$3,"Mese",6,"Tipologia",$A120),0)
- IFERROR(GETPIVOTDATA("Somma di AVERE",'Pivot Fineco St'!$A$3,"Mese",6,"Tipologia",$A120),0)
- IFERROR(GETPIVOTDATA("Somma di AVERE",'Pivot Fineco Sa'!$A$3,"Mese",6,"Tipologia",$A120),0)
+ IFERROR(GETPIVOTDATA("Somma di DARE",'Pivot PP Visa'!$A$3,"Mese",6,"Tipologia",$A120),0)
- IFERROR(GETPIVOTDATA("Somma di AVERE",'Pivot PP Visa'!$A$3,"Mese",6,"Tipologia",$A120),0)
+ IFERROR(GETPIVOTDATA("Somma di DARE",'Pivot Revolut'!$A$3,"Mese",6,"Tipologia",$A120),0)
- IFERROR(GETPIVOTDATA("Somma di AVERE",'Pivot Revolut'!$A$3,"Mese",6,"Tipologia",$A120),0)</f>
        <v>0</v>
      </c>
      <c r="I120" s="243">
        <f>IFERROR(GETPIVOTDATA("Somma di DARE EUR",'Pivot RakBank AED'!$A$3,"Mese",7,"Tipologia",$A120),0)
- IFERROR(GETPIVOTDATA("Somma di AVERE EUR",'Pivot RakBank AED'!$A$3,"Mese",7,"Tipologia",$A120),0)
+IFERROR(GETPIVOTDATA("Somma di DARE",'Pivot RakBank EUR'!$A$3,"Mese",7,"Tipologia",$A120),0)
- IFERROR(GETPIVOTDATA("Somma di AVERE",'Pivot RakBank EUR'!$A$3,"Mese",7,"Tipologia",$A120),0)
+IFERROR(GETPIVOTDATA("Somma di DARE",'Pivot Fineco Sa'!$A$3,"Mese",7,"Tipologia",$A120),0)
+ IFERROR(GETPIVOTDATA("Somma di DARE",'Pivot Fineco St'!$A$3,"Mese",7,"Tipologia",$A120),0)
+ Contanti!Z41
+ IFERROR(GETPIVOTDATA("Somma di DARE",'Pivot BBVA'!$A$3,"Mese",7,"Tipologia",$A120),0)
+ IFERROR(GETPIVOTDATA("Somma di DARE",'Pivot Amex'!$A$3,"Mese",7,"Tipologia",$A120),0)
- IFERROR(GETPIVOTDATA("Somma di AVERE",'Pivot Amex'!$A$3,"Mese",7,"Tipologia",$A120),0)
- IFERROR(GETPIVOTDATA("Somma di AVERE",'Pivot BBVA'!$A$3,"Mese",7,"Tipologia",$A120),0)
- IFERROR(GETPIVOTDATA("Somma di AVERE",'Pivot Fineco St'!$A$3,"Mese",7,"Tipologia",$A120),0)
- IFERROR(GETPIVOTDATA("Somma di AVERE",'Pivot Fineco Sa'!$A$3,"Mese",7,"Tipologia",$A120),0)
+ IFERROR(GETPIVOTDATA("Somma di DARE",'Pivot PP Visa'!$A$3,"Mese",7,"Tipologia",$A120),0)
- IFERROR(GETPIVOTDATA("Somma di AVERE",'Pivot PP Visa'!$A$3,"Mese",7,"Tipologia",$A120),0)
+ IFERROR(GETPIVOTDATA("Somma di DARE",'Pivot Revolut'!$A$3,"Mese",7,"Tipologia",$A120),0)
- IFERROR(GETPIVOTDATA("Somma di AVERE",'Pivot Revolut'!$A$3,"Mese",7,"Tipologia",$A120),0)</f>
        <v>0</v>
      </c>
      <c r="J120" s="243">
        <f>IFERROR(GETPIVOTDATA("Somma di DARE EUR",'Pivot RakBank AED'!$A$3,"Mese",8,"Tipologia",$A120),0)
- IFERROR(GETPIVOTDATA("Somma di AVERE EUR",'Pivot RakBank AED'!$A$3,"Mese",8,"Tipologia",$A120),0)
+IFERROR(GETPIVOTDATA("Somma di DARE",'Pivot RakBank EUR'!$A$3,"Mese",8,"Tipologia",$A120),0)
- IFERROR(GETPIVOTDATA("Somma di AVERE",'Pivot RakBank EUR'!$A$3,"Mese",8,"Tipologia",$A120),0)
+IFERROR(GETPIVOTDATA("Somma di DARE",'Pivot Fineco Sa'!$A$3,"Mese",8,"Tipologia",$A120),0)
+ IFERROR(GETPIVOTDATA("Somma di DARE",'Pivot Fineco St'!$A$3,"Mese",8,"Tipologia",$A120),0)
+ Contanti!AD41
+ IFERROR(GETPIVOTDATA("Somma di DARE",'Pivot BBVA'!$A$3,"Mese",8,"Tipologia",$A120),0)
+ IFERROR(GETPIVOTDATA("Somma di DARE",'Pivot Amex'!$A$3,"Mese",8,"Tipologia",$A120),0)
- IFERROR(GETPIVOTDATA("Somma di AVERE",'Pivot Amex'!$A$3,"Mese",8,"Tipologia",$A120),0)
- IFERROR(GETPIVOTDATA("Somma di AVERE",'Pivot BBVA'!$A$3,"Mese",8,"Tipologia",$A120),0)
- IFERROR(GETPIVOTDATA("Somma di AVERE",'Pivot Fineco St'!$A$3,"Mese",8,"Tipologia",$A120),0)
- IFERROR(GETPIVOTDATA("Somma di AVERE",'Pivot Fineco Sa'!$A$3,"Mese",8,"Tipologia",$A120),0)
+ IFERROR(GETPIVOTDATA("Somma di DARE",'Pivot PP Visa'!$A$3,"Mese",8,"Tipologia",$A120),0)
- IFERROR(GETPIVOTDATA("Somma di AVERE",'Pivot PP Visa'!$A$3,"Mese",8,"Tipologia",$A120),0)
+ IFERROR(GETPIVOTDATA("Somma di DARE",'Pivot Revolut'!$A$3,"Mese",8,"Tipologia",$A120),0)
- IFERROR(GETPIVOTDATA("Somma di AVERE",'Pivot Revolut'!$A$3,"Mese",8,"Tipologia",$A120),0)</f>
        <v>0</v>
      </c>
      <c r="K120" s="243">
        <f>IFERROR(GETPIVOTDATA("Somma di DARE EUR",'Pivot RakBank AED'!$A$3,"Mese",9,"Tipologia",$A120),0)
- IFERROR(GETPIVOTDATA("Somma di AVERE EUR",'Pivot RakBank AED'!$A$3,"Mese",9,"Tipologia",$A120),0)
+IFERROR(GETPIVOTDATA("Somma di DARE",'Pivot RakBank EUR'!$A$3,"Mese",9,"Tipologia",$A120),0)
- IFERROR(GETPIVOTDATA("Somma di AVERE",'Pivot RakBank EUR'!$A$3,"Mese",9,"Tipologia",$A120),0)
+IFERROR(GETPIVOTDATA("Somma di DARE",'Pivot Fineco Sa'!$A$3,"Mese",9,"Tipologia",$A120),0)
+ IFERROR(GETPIVOTDATA("Somma di DARE",'Pivot Fineco St'!$A$3,"Mese",9,"Tipologia",$A120),0)
+ Contanti!AH41
+ IFERROR(GETPIVOTDATA("Somma di DARE",'Pivot BBVA'!$A$3,"Mese",9,"Tipologia",$A120),0)
+ IFERROR(GETPIVOTDATA("Somma di DARE",'Pivot Amex'!$A$3,"Mese",9,"Tipologia",$A120),0)
- IFERROR(GETPIVOTDATA("Somma di AVERE",'Pivot Amex'!$A$3,"Mese",9,"Tipologia",$A120),0)
- IFERROR(GETPIVOTDATA("Somma di AVERE",'Pivot BBVA'!$A$3,"Mese",9,"Tipologia",$A120),0)
- IFERROR(GETPIVOTDATA("Somma di AVERE",'Pivot Fineco St'!$A$3,"Mese",9,"Tipologia",$A120),0)
- IFERROR(GETPIVOTDATA("Somma di AVERE",'Pivot Fineco Sa'!$A$3,"Mese",9,"Tipologia",$A120),0)
+ IFERROR(GETPIVOTDATA("Somma di DARE",'Pivot PP Visa'!$A$3,"Mese",9,"Tipologia",$A120),0)
- IFERROR(GETPIVOTDATA("Somma di AVERE",'Pivot PP Visa'!$A$3,"Mese",9,"Tipologia",$A120),0)
+ IFERROR(GETPIVOTDATA("Somma di DARE",'Pivot Revolut'!$A$3,"Mese",9,"Tipologia",$A120),0)
- IFERROR(GETPIVOTDATA("Somma di AVERE",'Pivot Revolut'!$A$3,"Mese",9,"Tipologia",$A120),0)</f>
        <v>0</v>
      </c>
      <c r="L120" s="243">
        <f>IFERROR(GETPIVOTDATA("Somma di DARE EUR",'Pivot RakBank AED'!$A$3,"Mese",10,"Tipologia",$A120),0)
- IFERROR(GETPIVOTDATA("Somma di AVERE EUR",'Pivot RakBank AED'!$A$3,"Mese",10,"Tipologia",$A120),0)
+IFERROR(GETPIVOTDATA("Somma di DARE",'Pivot RakBank EUR'!$A$3,"Mese",10,"Tipologia",$A120),0)
- IFERROR(GETPIVOTDATA("Somma di AVERE",'Pivot RakBank EUR'!$A$3,"Mese",10,"Tipologia",$A120),0)
+IFERROR(GETPIVOTDATA("Somma di DARE",'Pivot Fineco Sa'!$A$3,"Mese",10,"Tipologia",$A120),0)
+ IFERROR(GETPIVOTDATA("Somma di DARE",'Pivot Fineco St'!$A$3,"Mese",10,"Tipologia",$A120),0)
+ Contanti!AL41
+ IFERROR(GETPIVOTDATA("Somma di DARE",'Pivot BBVA'!$A$3,"Mese",10,"Tipologia",$A120),0)
+ IFERROR(GETPIVOTDATA("Somma di DARE",'Pivot Amex'!$A$3,"Mese",10,"Tipologia",$A120),0)
- IFERROR(GETPIVOTDATA("Somma di AVERE",'Pivot Amex'!$A$3,"Mese",10,"Tipologia",$A120),0)
- IFERROR(GETPIVOTDATA("Somma di AVERE",'Pivot BBVA'!$A$3,"Mese",10,"Tipologia",$A120),0)
- IFERROR(GETPIVOTDATA("Somma di AVERE",'Pivot Fineco St'!$A$3,"Mese",10,"Tipologia",$A120),0)
- IFERROR(GETPIVOTDATA("Somma di AVERE",'Pivot Fineco Sa'!$A$3,"Mese",10,"Tipologia",$A120),0)
+ IFERROR(GETPIVOTDATA("Somma di DARE",'Pivot PP Visa'!$A$3,"Mese",10,"Tipologia",$A120),0)
- IFERROR(GETPIVOTDATA("Somma di AVERE",'Pivot PP Visa'!$A$3,"Mese",10,"Tipologia",$A120),0)
+ IFERROR(GETPIVOTDATA("Somma di DARE",'Pivot Revolut'!$A$3,"Mese",10,"Tipologia",$A120),0)
- IFERROR(GETPIVOTDATA("Somma di AVERE",'Pivot Revolut'!$A$3,"Mese",10,"Tipologia",$A120),0)</f>
        <v>0</v>
      </c>
      <c r="M120" s="243">
        <f>IFERROR(GETPIVOTDATA("Somma di DARE EUR",'Pivot RakBank AED'!$A$3,"Mese",11,"Tipologia",$A120),0)
- IFERROR(GETPIVOTDATA("Somma di AVERE EUR",'Pivot RakBank AED'!$A$3,"Mese",11,"Tipologia",$A120),0)
+IFERROR(GETPIVOTDATA("Somma di DARE",'Pivot RakBank EUR'!$A$3,"Mese",11,"Tipologia",$A120),0)
- IFERROR(GETPIVOTDATA("Somma di AVERE",'Pivot RakBank EUR'!$A$3,"Mese",11,"Tipologia",$A120),0)
+IFERROR(GETPIVOTDATA("Somma di DARE",'Pivot Fineco Sa'!$A$3,"Mese",11,"Tipologia",$A120),0)
+ IFERROR(GETPIVOTDATA("Somma di DARE",'Pivot Fineco St'!$A$3,"Mese",11,"Tipologia",$A120),0)
+ Contanti!AP41
+ IFERROR(GETPIVOTDATA("Somma di DARE",'Pivot BBVA'!$A$3,"Mese",11,"Tipologia",$A120),0)
+ IFERROR(GETPIVOTDATA("Somma di DARE",'Pivot Amex'!$A$3,"Mese",11,"Tipologia",$A120),0)
- IFERROR(GETPIVOTDATA("Somma di AVERE",'Pivot Amex'!$A$3,"Mese",11,"Tipologia",$A120),0)
- IFERROR(GETPIVOTDATA("Somma di AVERE",'Pivot BBVA'!$A$3,"Mese",11,"Tipologia",$A120),0)
- IFERROR(GETPIVOTDATA("Somma di AVERE",'Pivot Fineco St'!$A$3,"Mese",11,"Tipologia",$A120),0)
- IFERROR(GETPIVOTDATA("Somma di AVERE",'Pivot Fineco Sa'!$A$3,"Mese",11,"Tipologia",$A120),0)
+ IFERROR(GETPIVOTDATA("Somma di DARE",'Pivot PP Visa'!$A$3,"Mese",11,"Tipologia",$A120),0)
- IFERROR(GETPIVOTDATA("Somma di AVERE",'Pivot PP Visa'!$A$3,"Mese",11,"Tipologia",$A120),0)
+ IFERROR(GETPIVOTDATA("Somma di DARE",'Pivot Revolut'!$A$3,"Mese",11,"Tipologia",$A120),0)
- IFERROR(GETPIVOTDATA("Somma di AVERE",'Pivot Revolut'!$A$3,"Mese",11,"Tipologia",$A120),0)</f>
        <v>0</v>
      </c>
      <c r="N120" s="243">
        <f>IFERROR(GETPIVOTDATA("Somma di DARE EUR",'Pivot RakBank AED'!$A$3,"Mese",12,"Tipologia",$A120),0)
- IFERROR(GETPIVOTDATA("Somma di AVERE EUR",'Pivot RakBank AED'!$A$3,"Mese",12,"Tipologia",$A120),0)
+IFERROR(GETPIVOTDATA("Somma di DARE",'Pivot RakBank EUR'!$A$3,"Mese",12,"Tipologia",$A120),0)
- IFERROR(GETPIVOTDATA("Somma di AVERE",'Pivot RakBank EUR'!$A$3,"Mese",12,"Tipologia",$A120),0)
+IFERROR(GETPIVOTDATA("Somma di DARE",'Pivot Fineco Sa'!$A$3,"Mese",12,"Tipologia",$A120),0)
+ IFERROR(GETPIVOTDATA("Somma di DARE",'Pivot Fineco St'!$A$3,"Mese",12,"Tipologia",$A120),0)
+ Contanti!AT41
+ IFERROR(GETPIVOTDATA("Somma di DARE",'Pivot BBVA'!$A$3,"Mese",12,"Tipologia",$A120),0)
+ IFERROR(GETPIVOTDATA("Somma di DARE",'Pivot Amex'!$A$3,"Mese",12,"Tipologia",$A120),0)
- IFERROR(GETPIVOTDATA("Somma di AVERE",'Pivot Amex'!$A$3,"Mese",12,"Tipologia",$A120),0)
- IFERROR(GETPIVOTDATA("Somma di AVERE",'Pivot BBVA'!$A$3,"Mese",12,"Tipologia",$A120),0)
- IFERROR(GETPIVOTDATA("Somma di AVERE",'Pivot Fineco St'!$A$3,"Mese",12,"Tipologia",$A120),0)
- IFERROR(GETPIVOTDATA("Somma di AVERE",'Pivot Fineco Sa'!$A$3,"Mese",12,"Tipologia",$A120),0)
+ IFERROR(GETPIVOTDATA("Somma di DARE",'Pivot PP Visa'!$A$3,"Mese",12,"Tipologia",$A120),0)
- IFERROR(GETPIVOTDATA("Somma di AVERE",'Pivot PP Visa'!$A$3,"Mese",12,"Tipologia",$A120),0)
+ IFERROR(GETPIVOTDATA("Somma di DARE",'Pivot Revolut'!$A$3,"Mese",12,"Tipologia",$A120),0)
- IFERROR(GETPIVOTDATA("Somma di AVERE",'Pivot Revolut'!$A$3,"Mese",12,"Tipologia",$A120),0)</f>
        <v>0</v>
      </c>
      <c r="O120" s="252">
        <f t="shared" si="14"/>
        <v>30.09</v>
      </c>
      <c r="P120" s="243"/>
    </row>
    <row r="121" spans="1:16" s="125" customFormat="1" ht="21" customHeight="1" x14ac:dyDescent="0.2">
      <c r="A121" s="251" t="s">
        <v>113</v>
      </c>
      <c r="B121" s="251"/>
      <c r="C121" s="243">
        <f>IFERROR(GETPIVOTDATA("Somma di DARE EUR",'Pivot RakBank AED'!$A$3,"Mese",1,"Tipologia",$A121),0)
- IFERROR(GETPIVOTDATA("Somma di AVERE EUR",'Pivot RakBank AED'!$A$3,"Mese",1,"Tipologia",$A121),0)
+IFERROR(GETPIVOTDATA("Somma di DARE",'Pivot RakBank EUR'!$A$3,"Mese",1,"Tipologia",$A121),0)
- IFERROR(GETPIVOTDATA("Somma di AVERE",'Pivot RakBank EUR'!$A$3,"Mese",1,"Tipologia",$A121),0)
+IFERROR(GETPIVOTDATA("Somma di DARE",'Pivot Fineco Sa'!$A$3,"Mese",1,"Tipologia",$A121),0)
+ IFERROR(GETPIVOTDATA("Somma di DARE",'Pivot Fineco St'!$A$3,"Mese",1,"Tipologia",$A121),0)
+ Contanti!B42
+ IFERROR(GETPIVOTDATA("Somma di DARE",'Pivot BBVA'!$A$3,"Mese",1,"Tipologia",$A121),0)
+ IFERROR(GETPIVOTDATA("Somma di DARE",'Pivot Amex'!$A$3,"Mese",1,"Tipologia",$A121),0)
- IFERROR(GETPIVOTDATA("Somma di AVERE",'Pivot Amex'!$A$3,"Mese",1,"Tipologia",$A121),0)
- IFERROR(GETPIVOTDATA("Somma di AVERE",'Pivot BBVA'!$A$3,"Mese",1,"Tipologia",$A121),0)
- IFERROR(GETPIVOTDATA("Somma di AVERE",'Pivot Fineco St'!$A$3,"Mese",1,"Tipologia",$A121),0)
- IFERROR(GETPIVOTDATA("Somma di AVERE",'Pivot Fineco Sa'!$A$3,"Mese",1,"Tipologia",$A121),0)
+ IFERROR(GETPIVOTDATA("Somma di DARE",'Pivot PP Visa'!$A$3,"Mese",1,"Tipologia",$A121),0)
- IFERROR(GETPIVOTDATA("Somma di AVERE",'Pivot PP Visa'!$A$3,"Mese",1,"Tipologia",$A121),0)
+ IFERROR(GETPIVOTDATA("Somma di DARE",'Pivot Revolut'!$A$3,"Mese",1,"Tipologia",$A121),0)
- IFERROR(GETPIVOTDATA("Somma di AVERE",'Pivot Revolut'!$A$3,"Mese",1,"Tipologia",$A121),0)</f>
        <v>0</v>
      </c>
      <c r="D121" s="243">
        <f>IFERROR(GETPIVOTDATA("Somma di DARE EUR",'Pivot RakBank AED'!$A$3,"Mese",2,"Tipologia",$A121),0)
- IFERROR(GETPIVOTDATA("Somma di AVERE EUR",'Pivot RakBank AED'!$A$3,"Mese",2,"Tipologia",$A121),0)
+IFERROR(GETPIVOTDATA("Somma di DARE",'Pivot RakBank EUR'!$A$3,"Mese",2,"Tipologia",$A121),0)
- IFERROR(GETPIVOTDATA("Somma di AVERE",'Pivot RakBank EUR'!$A$3,"Mese",2,"Tipologia",$A121),0)
+IFERROR(GETPIVOTDATA("Somma di DARE",'Pivot Fineco Sa'!$A$3,"Mese",2,"Tipologia",$A121),0)
+ IFERROR(GETPIVOTDATA("Somma di DARE",'Pivot Fineco St'!$A$3,"Mese",2,"Tipologia",$A121),0)
+ Contanti!F42
+ IFERROR(GETPIVOTDATA("Somma di DARE",'Pivot BBVA'!$A$3,"Mese",2,"Tipologia",$A121),0)
+ IFERROR(GETPIVOTDATA("Somma di DARE",'Pivot Amex'!$A$3,"Mese",2,"Tipologia",$A121),0)
- IFERROR(GETPIVOTDATA("Somma di AVERE",'Pivot Amex'!$A$3,"Mese",2,"Tipologia",$A121),0)
- IFERROR(GETPIVOTDATA("Somma di AVERE",'Pivot BBVA'!$A$3,"Mese",2,"Tipologia",$A121),0)
- IFERROR(GETPIVOTDATA("Somma di AVERE",'Pivot Fineco St'!$A$3,"Mese",2,"Tipologia",$A121),0)
- IFERROR(GETPIVOTDATA("Somma di AVERE",'Pivot Fineco Sa'!$A$3,"Mese",2,"Tipologia",$A121),0)
+ IFERROR(GETPIVOTDATA("Somma di DARE",'Pivot PP Visa'!$A$3,"Mese",2,"Tipologia",$A121),0)
- IFERROR(GETPIVOTDATA("Somma di AVERE",'Pivot PP Visa'!$A$3,"Mese",2,"Tipologia",$A121),0)
+ IFERROR(GETPIVOTDATA("Somma di DARE",'Pivot Revolut'!$A$3,"Mese",2,"Tipologia",$A121),0)
- IFERROR(GETPIVOTDATA("Somma di AVERE",'Pivot Revolut'!$A$3,"Mese",2,"Tipologia",$A121),0)</f>
        <v>30.032201834862384</v>
      </c>
      <c r="E121" s="243">
        <f>IFERROR(GETPIVOTDATA("Somma di DARE EUR",'Pivot RakBank AED'!$A$3,"Mese",3,"Tipologia",$A121),0)
- IFERROR(GETPIVOTDATA("Somma di AVERE EUR",'Pivot RakBank AED'!$A$3,"Mese",3,"Tipologia",$A121),0)
+IFERROR(GETPIVOTDATA("Somma di DARE",'Pivot RakBank EUR'!$A$3,"Mese",3,"Tipologia",$A121),0)
- IFERROR(GETPIVOTDATA("Somma di AVERE",'Pivot RakBank EUR'!$A$3,"Mese",3,"Tipologia",$A121),0)
+IFERROR(GETPIVOTDATA("Somma di DARE",'Pivot Fineco Sa'!$A$3,"Mese",3,"Tipologia",$A121),0)
+ IFERROR(GETPIVOTDATA("Somma di DARE",'Pivot Fineco St'!$A$3,"Mese",3,"Tipologia",$A121),0)
+ Contanti!J42
+ IFERROR(GETPIVOTDATA("Somma di DARE",'Pivot BBVA'!$A$3,"Mese",3,"Tipologia",$A121),0)
+ IFERROR(GETPIVOTDATA("Somma di DARE",'Pivot Amex'!$A$3,"Mese",3,"Tipologia",$A121),0)
- IFERROR(GETPIVOTDATA("Somma di AVERE",'Pivot Amex'!$A$3,"Mese",3,"Tipologia",$A121),0)
- IFERROR(GETPIVOTDATA("Somma di AVERE",'Pivot BBVA'!$A$3,"Mese",3,"Tipologia",$A121),0)
- IFERROR(GETPIVOTDATA("Somma di AVERE",'Pivot Fineco St'!$A$3,"Mese",3,"Tipologia",$A121),0)
- IFERROR(GETPIVOTDATA("Somma di AVERE",'Pivot Fineco Sa'!$A$3,"Mese",3,"Tipologia",$A121),0)
+ IFERROR(GETPIVOTDATA("Somma di DARE",'Pivot PP Visa'!$A$3,"Mese",3,"Tipologia",$A121),0)
- IFERROR(GETPIVOTDATA("Somma di AVERE",'Pivot PP Visa'!$A$3,"Mese",3,"Tipologia",$A121),0)
+ IFERROR(GETPIVOTDATA("Somma di DARE",'Pivot Revolut'!$A$3,"Mese",3,"Tipologia",$A121),0)
- IFERROR(GETPIVOTDATA("Somma di AVERE",'Pivot Revolut'!$A$3,"Mese",3,"Tipologia",$A121),0)</f>
        <v>0</v>
      </c>
      <c r="F121" s="243">
        <f>IFERROR(GETPIVOTDATA("Somma di DARE EUR",'Pivot RakBank AED'!$A$3,"Mese",4,"Tipologia",$A121),0)
- IFERROR(GETPIVOTDATA("Somma di AVERE EUR",'Pivot RakBank AED'!$A$3,"Mese",4,"Tipologia",$A121),0)
+IFERROR(GETPIVOTDATA("Somma di DARE",'Pivot RakBank EUR'!$A$3,"Mese",4,"Tipologia",$A121),0)
- IFERROR(GETPIVOTDATA("Somma di AVERE",'Pivot RakBank EUR'!$A$3,"Mese",4,"Tipologia",$A121),0)
+IFERROR(GETPIVOTDATA("Somma di DARE",'Pivot Fineco Sa'!$A$3,"Mese",4,"Tipologia",$A121),0)
+ IFERROR(GETPIVOTDATA("Somma di DARE",'Pivot Fineco St'!$A$3,"Mese",4,"Tipologia",$A121),0)
+ Contanti!N42
+ IFERROR(GETPIVOTDATA("Somma di DARE",'Pivot BBVA'!$A$3,"Mese",4,"Tipologia",$A121),0)
+ IFERROR(GETPIVOTDATA("Somma di DARE",'Pivot Amex'!$A$3,"Mese",4,"Tipologia",$A121),0)
- IFERROR(GETPIVOTDATA("Somma di AVERE",'Pivot Amex'!$A$3,"Mese",4,"Tipologia",$A121),0)
- IFERROR(GETPIVOTDATA("Somma di AVERE",'Pivot BBVA'!$A$3,"Mese",4,"Tipologia",$A121),0)
- IFERROR(GETPIVOTDATA("Somma di AVERE",'Pivot Fineco St'!$A$3,"Mese",4,"Tipologia",$A121),0)
- IFERROR(GETPIVOTDATA("Somma di AVERE",'Pivot Fineco Sa'!$A$3,"Mese",4,"Tipologia",$A121),0)
+ IFERROR(GETPIVOTDATA("Somma di DARE",'Pivot PP Visa'!$A$3,"Mese",4,"Tipologia",$A121),0)
- IFERROR(GETPIVOTDATA("Somma di AVERE",'Pivot PP Visa'!$A$3,"Mese",4,"Tipologia",$A121),0)
+ IFERROR(GETPIVOTDATA("Somma di DARE",'Pivot Revolut'!$A$3,"Mese",4,"Tipologia",$A121),0)
- IFERROR(GETPIVOTDATA("Somma di AVERE",'Pivot Revolut'!$A$3,"Mese",4,"Tipologia",$A121),0)</f>
        <v>0</v>
      </c>
      <c r="G121" s="243">
        <f>IFERROR(GETPIVOTDATA("Somma di DARE EUR",'Pivot RakBank AED'!$A$3,"Mese",5,"Tipologia",$A121),0)
- IFERROR(GETPIVOTDATA("Somma di AVERE EUR",'Pivot RakBank AED'!$A$3,"Mese",5,"Tipologia",$A121),0)
+IFERROR(GETPIVOTDATA("Somma di DARE",'Pivot RakBank EUR'!$A$3,"Mese",5,"Tipologia",$A121),0)
- IFERROR(GETPIVOTDATA("Somma di AVERE",'Pivot RakBank EUR'!$A$3,"Mese",5,"Tipologia",$A121),0)
+IFERROR(GETPIVOTDATA("Somma di DARE",'Pivot Fineco Sa'!$A$3,"Mese",5,"Tipologia",$A121),0)
+ IFERROR(GETPIVOTDATA("Somma di DARE",'Pivot Fineco St'!$A$3,"Mese",5,"Tipologia",$A121),0)
+ Contanti!R42
+ IFERROR(GETPIVOTDATA("Somma di DARE",'Pivot BBVA'!$A$3,"Mese",5,"Tipologia",$A121),0)
+ IFERROR(GETPIVOTDATA("Somma di DARE",'Pivot Amex'!$A$3,"Mese",5,"Tipologia",$A121),0)
- IFERROR(GETPIVOTDATA("Somma di AVERE",'Pivot Amex'!$A$3,"Mese",5,"Tipologia",$A121),0)
- IFERROR(GETPIVOTDATA("Somma di AVERE",'Pivot BBVA'!$A$3,"Mese",5,"Tipologia",$A121),0)
- IFERROR(GETPIVOTDATA("Somma di AVERE",'Pivot Fineco St'!$A$3,"Mese",5,"Tipologia",$A121),0)
- IFERROR(GETPIVOTDATA("Somma di AVERE",'Pivot Fineco Sa'!$A$3,"Mese",5,"Tipologia",$A121),0)
+ IFERROR(GETPIVOTDATA("Somma di DARE",'Pivot PP Visa'!$A$3,"Mese",5,"Tipologia",$A121),0)
- IFERROR(GETPIVOTDATA("Somma di AVERE",'Pivot PP Visa'!$A$3,"Mese",5,"Tipologia",$A121),0)
+ IFERROR(GETPIVOTDATA("Somma di DARE",'Pivot Revolut'!$A$3,"Mese",5,"Tipologia",$A121),0)
- IFERROR(GETPIVOTDATA("Somma di AVERE",'Pivot Revolut'!$A$3,"Mese",5,"Tipologia",$A121),0)</f>
        <v>13.096666666666668</v>
      </c>
      <c r="H121" s="243">
        <f>IFERROR(GETPIVOTDATA("Somma di DARE EUR",'Pivot RakBank AED'!$A$3,"Mese",6,"Tipologia",$A121),0)
- IFERROR(GETPIVOTDATA("Somma di AVERE EUR",'Pivot RakBank AED'!$A$3,"Mese",6,"Tipologia",$A121),0)
+IFERROR(GETPIVOTDATA("Somma di DARE",'Pivot RakBank EUR'!$A$3,"Mese",6,"Tipologia",$A121),0)
- IFERROR(GETPIVOTDATA("Somma di AVERE",'Pivot RakBank EUR'!$A$3,"Mese",6,"Tipologia",$A121),0)
+IFERROR(GETPIVOTDATA("Somma di DARE",'Pivot Fineco Sa'!$A$3,"Mese",6,"Tipologia",$A121),0)
+ IFERROR(GETPIVOTDATA("Somma di DARE",'Pivot Fineco St'!$A$3,"Mese",6,"Tipologia",$A121),0)
+ Contanti!V42
+ IFERROR(GETPIVOTDATA("Somma di DARE",'Pivot BBVA'!$A$3,"Mese",6,"Tipologia",$A121),0)
+ IFERROR(GETPIVOTDATA("Somma di DARE",'Pivot Amex'!$A$3,"Mese",6,"Tipologia",$A121),0)
- IFERROR(GETPIVOTDATA("Somma di AVERE",'Pivot Amex'!$A$3,"Mese",6,"Tipologia",$A121),0)
- IFERROR(GETPIVOTDATA("Somma di AVERE",'Pivot BBVA'!$A$3,"Mese",6,"Tipologia",$A121),0)
- IFERROR(GETPIVOTDATA("Somma di AVERE",'Pivot Fineco St'!$A$3,"Mese",6,"Tipologia",$A121),0)
- IFERROR(GETPIVOTDATA("Somma di AVERE",'Pivot Fineco Sa'!$A$3,"Mese",6,"Tipologia",$A121),0)
+ IFERROR(GETPIVOTDATA("Somma di DARE",'Pivot PP Visa'!$A$3,"Mese",6,"Tipologia",$A121),0)
- IFERROR(GETPIVOTDATA("Somma di AVERE",'Pivot PP Visa'!$A$3,"Mese",6,"Tipologia",$A121),0)
+ IFERROR(GETPIVOTDATA("Somma di DARE",'Pivot Revolut'!$A$3,"Mese",6,"Tipologia",$A121),0)
- IFERROR(GETPIVOTDATA("Somma di AVERE",'Pivot Revolut'!$A$3,"Mese",6,"Tipologia",$A121),0)</f>
        <v>0</v>
      </c>
      <c r="I121" s="243">
        <f>IFERROR(GETPIVOTDATA("Somma di DARE EUR",'Pivot RakBank AED'!$A$3,"Mese",7,"Tipologia",$A121),0)
- IFERROR(GETPIVOTDATA("Somma di AVERE EUR",'Pivot RakBank AED'!$A$3,"Mese",7,"Tipologia",$A121),0)
+IFERROR(GETPIVOTDATA("Somma di DARE",'Pivot RakBank EUR'!$A$3,"Mese",7,"Tipologia",$A121),0)
- IFERROR(GETPIVOTDATA("Somma di AVERE",'Pivot RakBank EUR'!$A$3,"Mese",7,"Tipologia",$A121),0)
+IFERROR(GETPIVOTDATA("Somma di DARE",'Pivot Fineco Sa'!$A$3,"Mese",7,"Tipologia",$A121),0)
+ IFERROR(GETPIVOTDATA("Somma di DARE",'Pivot Fineco St'!$A$3,"Mese",7,"Tipologia",$A121),0)
+ Contanti!Z42
+ IFERROR(GETPIVOTDATA("Somma di DARE",'Pivot BBVA'!$A$3,"Mese",7,"Tipologia",$A121),0)
+ IFERROR(GETPIVOTDATA("Somma di DARE",'Pivot Amex'!$A$3,"Mese",7,"Tipologia",$A121),0)
- IFERROR(GETPIVOTDATA("Somma di AVERE",'Pivot Amex'!$A$3,"Mese",7,"Tipologia",$A121),0)
- IFERROR(GETPIVOTDATA("Somma di AVERE",'Pivot BBVA'!$A$3,"Mese",7,"Tipologia",$A121),0)
- IFERROR(GETPIVOTDATA("Somma di AVERE",'Pivot Fineco St'!$A$3,"Mese",7,"Tipologia",$A121),0)
- IFERROR(GETPIVOTDATA("Somma di AVERE",'Pivot Fineco Sa'!$A$3,"Mese",7,"Tipologia",$A121),0)
+ IFERROR(GETPIVOTDATA("Somma di DARE",'Pivot PP Visa'!$A$3,"Mese",7,"Tipologia",$A121),0)
- IFERROR(GETPIVOTDATA("Somma di AVERE",'Pivot PP Visa'!$A$3,"Mese",7,"Tipologia",$A121),0)
+ IFERROR(GETPIVOTDATA("Somma di DARE",'Pivot Revolut'!$A$3,"Mese",7,"Tipologia",$A121),0)
- IFERROR(GETPIVOTDATA("Somma di AVERE",'Pivot Revolut'!$A$3,"Mese",7,"Tipologia",$A121),0)</f>
        <v>0</v>
      </c>
      <c r="J121" s="243">
        <f>IFERROR(GETPIVOTDATA("Somma di DARE EUR",'Pivot RakBank AED'!$A$3,"Mese",8,"Tipologia",$A121),0)
- IFERROR(GETPIVOTDATA("Somma di AVERE EUR",'Pivot RakBank AED'!$A$3,"Mese",8,"Tipologia",$A121),0)
+IFERROR(GETPIVOTDATA("Somma di DARE",'Pivot RakBank EUR'!$A$3,"Mese",8,"Tipologia",$A121),0)
- IFERROR(GETPIVOTDATA("Somma di AVERE",'Pivot RakBank EUR'!$A$3,"Mese",8,"Tipologia",$A121),0)
+IFERROR(GETPIVOTDATA("Somma di DARE",'Pivot Fineco Sa'!$A$3,"Mese",8,"Tipologia",$A121),0)
+ IFERROR(GETPIVOTDATA("Somma di DARE",'Pivot Fineco St'!$A$3,"Mese",8,"Tipologia",$A121),0)
+ Contanti!AD42
+ IFERROR(GETPIVOTDATA("Somma di DARE",'Pivot BBVA'!$A$3,"Mese",8,"Tipologia",$A121),0)
+ IFERROR(GETPIVOTDATA("Somma di DARE",'Pivot Amex'!$A$3,"Mese",8,"Tipologia",$A121),0)
- IFERROR(GETPIVOTDATA("Somma di AVERE",'Pivot Amex'!$A$3,"Mese",8,"Tipologia",$A121),0)
- IFERROR(GETPIVOTDATA("Somma di AVERE",'Pivot BBVA'!$A$3,"Mese",8,"Tipologia",$A121),0)
- IFERROR(GETPIVOTDATA("Somma di AVERE",'Pivot Fineco St'!$A$3,"Mese",8,"Tipologia",$A121),0)
- IFERROR(GETPIVOTDATA("Somma di AVERE",'Pivot Fineco Sa'!$A$3,"Mese",8,"Tipologia",$A121),0)
+ IFERROR(GETPIVOTDATA("Somma di DARE",'Pivot PP Visa'!$A$3,"Mese",8,"Tipologia",$A121),0)
- IFERROR(GETPIVOTDATA("Somma di AVERE",'Pivot PP Visa'!$A$3,"Mese",8,"Tipologia",$A121),0)
+ IFERROR(GETPIVOTDATA("Somma di DARE",'Pivot Revolut'!$A$3,"Mese",8,"Tipologia",$A121),0)
- IFERROR(GETPIVOTDATA("Somma di AVERE",'Pivot Revolut'!$A$3,"Mese",8,"Tipologia",$A121),0)</f>
        <v>0</v>
      </c>
      <c r="K121" s="243">
        <f>IFERROR(GETPIVOTDATA("Somma di DARE EUR",'Pivot RakBank AED'!$A$3,"Mese",9,"Tipologia",$A121),0)
- IFERROR(GETPIVOTDATA("Somma di AVERE EUR",'Pivot RakBank AED'!$A$3,"Mese",9,"Tipologia",$A121),0)
+IFERROR(GETPIVOTDATA("Somma di DARE",'Pivot RakBank EUR'!$A$3,"Mese",9,"Tipologia",$A121),0)
- IFERROR(GETPIVOTDATA("Somma di AVERE",'Pivot RakBank EUR'!$A$3,"Mese",9,"Tipologia",$A121),0)
+IFERROR(GETPIVOTDATA("Somma di DARE",'Pivot Fineco Sa'!$A$3,"Mese",9,"Tipologia",$A121),0)
+ IFERROR(GETPIVOTDATA("Somma di DARE",'Pivot Fineco St'!$A$3,"Mese",9,"Tipologia",$A121),0)
+ Contanti!AH42
+ IFERROR(GETPIVOTDATA("Somma di DARE",'Pivot BBVA'!$A$3,"Mese",9,"Tipologia",$A121),0)
+ IFERROR(GETPIVOTDATA("Somma di DARE",'Pivot Amex'!$A$3,"Mese",9,"Tipologia",$A121),0)
- IFERROR(GETPIVOTDATA("Somma di AVERE",'Pivot Amex'!$A$3,"Mese",9,"Tipologia",$A121),0)
- IFERROR(GETPIVOTDATA("Somma di AVERE",'Pivot BBVA'!$A$3,"Mese",9,"Tipologia",$A121),0)
- IFERROR(GETPIVOTDATA("Somma di AVERE",'Pivot Fineco St'!$A$3,"Mese",9,"Tipologia",$A121),0)
- IFERROR(GETPIVOTDATA("Somma di AVERE",'Pivot Fineco Sa'!$A$3,"Mese",9,"Tipologia",$A121),0)
+ IFERROR(GETPIVOTDATA("Somma di DARE",'Pivot PP Visa'!$A$3,"Mese",9,"Tipologia",$A121),0)
- IFERROR(GETPIVOTDATA("Somma di AVERE",'Pivot PP Visa'!$A$3,"Mese",9,"Tipologia",$A121),0)
+ IFERROR(GETPIVOTDATA("Somma di DARE",'Pivot Revolut'!$A$3,"Mese",9,"Tipologia",$A121),0)
- IFERROR(GETPIVOTDATA("Somma di AVERE",'Pivot Revolut'!$A$3,"Mese",9,"Tipologia",$A121),0)</f>
        <v>0</v>
      </c>
      <c r="L121" s="243">
        <f>IFERROR(GETPIVOTDATA("Somma di DARE EUR",'Pivot RakBank AED'!$A$3,"Mese",10,"Tipologia",$A121),0)
- IFERROR(GETPIVOTDATA("Somma di AVERE EUR",'Pivot RakBank AED'!$A$3,"Mese",10,"Tipologia",$A121),0)
+IFERROR(GETPIVOTDATA("Somma di DARE",'Pivot RakBank EUR'!$A$3,"Mese",10,"Tipologia",$A121),0)
- IFERROR(GETPIVOTDATA("Somma di AVERE",'Pivot RakBank EUR'!$A$3,"Mese",10,"Tipologia",$A121),0)
+IFERROR(GETPIVOTDATA("Somma di DARE",'Pivot Fineco Sa'!$A$3,"Mese",10,"Tipologia",$A121),0)
+ IFERROR(GETPIVOTDATA("Somma di DARE",'Pivot Fineco St'!$A$3,"Mese",10,"Tipologia",$A121),0)
+ Contanti!AL42
+ IFERROR(GETPIVOTDATA("Somma di DARE",'Pivot BBVA'!$A$3,"Mese",10,"Tipologia",$A121),0)
+ IFERROR(GETPIVOTDATA("Somma di DARE",'Pivot Amex'!$A$3,"Mese",10,"Tipologia",$A121),0)
- IFERROR(GETPIVOTDATA("Somma di AVERE",'Pivot Amex'!$A$3,"Mese",10,"Tipologia",$A121),0)
- IFERROR(GETPIVOTDATA("Somma di AVERE",'Pivot BBVA'!$A$3,"Mese",10,"Tipologia",$A121),0)
- IFERROR(GETPIVOTDATA("Somma di AVERE",'Pivot Fineco St'!$A$3,"Mese",10,"Tipologia",$A121),0)
- IFERROR(GETPIVOTDATA("Somma di AVERE",'Pivot Fineco Sa'!$A$3,"Mese",10,"Tipologia",$A121),0)
+ IFERROR(GETPIVOTDATA("Somma di DARE",'Pivot PP Visa'!$A$3,"Mese",10,"Tipologia",$A121),0)
- IFERROR(GETPIVOTDATA("Somma di AVERE",'Pivot PP Visa'!$A$3,"Mese",10,"Tipologia",$A121),0)
+ IFERROR(GETPIVOTDATA("Somma di DARE",'Pivot Revolut'!$A$3,"Mese",10,"Tipologia",$A121),0)
- IFERROR(GETPIVOTDATA("Somma di AVERE",'Pivot Revolut'!$A$3,"Mese",10,"Tipologia",$A121),0)</f>
        <v>0</v>
      </c>
      <c r="M121" s="243">
        <f>IFERROR(GETPIVOTDATA("Somma di DARE EUR",'Pivot RakBank AED'!$A$3,"Mese",11,"Tipologia",$A121),0)
- IFERROR(GETPIVOTDATA("Somma di AVERE EUR",'Pivot RakBank AED'!$A$3,"Mese",11,"Tipologia",$A121),0)
+IFERROR(GETPIVOTDATA("Somma di DARE",'Pivot RakBank EUR'!$A$3,"Mese",11,"Tipologia",$A121),0)
- IFERROR(GETPIVOTDATA("Somma di AVERE",'Pivot RakBank EUR'!$A$3,"Mese",11,"Tipologia",$A121),0)
+IFERROR(GETPIVOTDATA("Somma di DARE",'Pivot Fineco Sa'!$A$3,"Mese",11,"Tipologia",$A121),0)
+ IFERROR(GETPIVOTDATA("Somma di DARE",'Pivot Fineco St'!$A$3,"Mese",11,"Tipologia",$A121),0)
+ Contanti!AP42
+ IFERROR(GETPIVOTDATA("Somma di DARE",'Pivot BBVA'!$A$3,"Mese",11,"Tipologia",$A121),0)
+ IFERROR(GETPIVOTDATA("Somma di DARE",'Pivot Amex'!$A$3,"Mese",11,"Tipologia",$A121),0)
- IFERROR(GETPIVOTDATA("Somma di AVERE",'Pivot Amex'!$A$3,"Mese",11,"Tipologia",$A121),0)
- IFERROR(GETPIVOTDATA("Somma di AVERE",'Pivot BBVA'!$A$3,"Mese",11,"Tipologia",$A121),0)
- IFERROR(GETPIVOTDATA("Somma di AVERE",'Pivot Fineco St'!$A$3,"Mese",11,"Tipologia",$A121),0)
- IFERROR(GETPIVOTDATA("Somma di AVERE",'Pivot Fineco Sa'!$A$3,"Mese",11,"Tipologia",$A121),0)
+ IFERROR(GETPIVOTDATA("Somma di DARE",'Pivot PP Visa'!$A$3,"Mese",11,"Tipologia",$A121),0)
- IFERROR(GETPIVOTDATA("Somma di AVERE",'Pivot PP Visa'!$A$3,"Mese",11,"Tipologia",$A121),0)
+ IFERROR(GETPIVOTDATA("Somma di DARE",'Pivot Revolut'!$A$3,"Mese",11,"Tipologia",$A121),0)
- IFERROR(GETPIVOTDATA("Somma di AVERE",'Pivot Revolut'!$A$3,"Mese",11,"Tipologia",$A121),0)</f>
        <v>0</v>
      </c>
      <c r="N121" s="243">
        <f>IFERROR(GETPIVOTDATA("Somma di DARE EUR",'Pivot RakBank AED'!$A$3,"Mese",12,"Tipologia",$A121),0)
- IFERROR(GETPIVOTDATA("Somma di AVERE EUR",'Pivot RakBank AED'!$A$3,"Mese",12,"Tipologia",$A121),0)
+IFERROR(GETPIVOTDATA("Somma di DARE",'Pivot RakBank EUR'!$A$3,"Mese",12,"Tipologia",$A121),0)
- IFERROR(GETPIVOTDATA("Somma di AVERE",'Pivot RakBank EUR'!$A$3,"Mese",12,"Tipologia",$A121),0)
+IFERROR(GETPIVOTDATA("Somma di DARE",'Pivot Fineco Sa'!$A$3,"Mese",12,"Tipologia",$A121),0)
+ IFERROR(GETPIVOTDATA("Somma di DARE",'Pivot Fineco St'!$A$3,"Mese",12,"Tipologia",$A121),0)
+ Contanti!AT42
+ IFERROR(GETPIVOTDATA("Somma di DARE",'Pivot BBVA'!$A$3,"Mese",12,"Tipologia",$A121),0)
+ IFERROR(GETPIVOTDATA("Somma di DARE",'Pivot Amex'!$A$3,"Mese",12,"Tipologia",$A121),0)
- IFERROR(GETPIVOTDATA("Somma di AVERE",'Pivot Amex'!$A$3,"Mese",12,"Tipologia",$A121),0)
- IFERROR(GETPIVOTDATA("Somma di AVERE",'Pivot BBVA'!$A$3,"Mese",12,"Tipologia",$A121),0)
- IFERROR(GETPIVOTDATA("Somma di AVERE",'Pivot Fineco St'!$A$3,"Mese",12,"Tipologia",$A121),0)
- IFERROR(GETPIVOTDATA("Somma di AVERE",'Pivot Fineco Sa'!$A$3,"Mese",12,"Tipologia",$A121),0)
+ IFERROR(GETPIVOTDATA("Somma di DARE",'Pivot PP Visa'!$A$3,"Mese",12,"Tipologia",$A121),0)
- IFERROR(GETPIVOTDATA("Somma di AVERE",'Pivot PP Visa'!$A$3,"Mese",12,"Tipologia",$A121),0)
+ IFERROR(GETPIVOTDATA("Somma di DARE",'Pivot Revolut'!$A$3,"Mese",12,"Tipologia",$A121),0)
- IFERROR(GETPIVOTDATA("Somma di AVERE",'Pivot Revolut'!$A$3,"Mese",12,"Tipologia",$A121),0)</f>
        <v>0</v>
      </c>
      <c r="O121" s="252">
        <f t="shared" si="14"/>
        <v>43.128868501529055</v>
      </c>
      <c r="P121" s="243"/>
    </row>
    <row r="122" spans="1:16" s="125" customFormat="1" ht="21" customHeight="1" x14ac:dyDescent="0.2">
      <c r="A122" s="251" t="s">
        <v>177</v>
      </c>
      <c r="B122" s="251"/>
      <c r="C122" s="243">
        <f>IFERROR(GETPIVOTDATA("Somma di DARE EUR",'Pivot RakBank AED'!$A$3,"Mese",1,"Tipologia",$A122),0)
- IFERROR(GETPIVOTDATA("Somma di AVERE EUR",'Pivot RakBank AED'!$A$3,"Mese",1,"Tipologia",$A122),0)
+IFERROR(GETPIVOTDATA("Somma di DARE",'Pivot RakBank EUR'!$A$3,"Mese",1,"Tipologia",$A122),0)
- IFERROR(GETPIVOTDATA("Somma di AVERE",'Pivot RakBank EUR'!$A$3,"Mese",1,"Tipologia",$A122),0)
+IFERROR(GETPIVOTDATA("Somma di DARE",'Pivot Fineco Sa'!$A$3,"Mese",1,"Tipologia",$A122),0)
+ IFERROR(GETPIVOTDATA("Somma di DARE",'Pivot Fineco St'!$A$3,"Mese",1,"Tipologia",$A122),0)
+ Contanti!B43
+ IFERROR(GETPIVOTDATA("Somma di DARE",'Pivot BBVA'!$A$3,"Mese",1,"Tipologia",$A122),0)
+ IFERROR(GETPIVOTDATA("Somma di DARE",'Pivot Amex'!$A$3,"Mese",1,"Tipologia",$A122),0)
- IFERROR(GETPIVOTDATA("Somma di AVERE",'Pivot Amex'!$A$3,"Mese",1,"Tipologia",$A122),0)
- IFERROR(GETPIVOTDATA("Somma di AVERE",'Pivot BBVA'!$A$3,"Mese",1,"Tipologia",$A122),0)
- IFERROR(GETPIVOTDATA("Somma di AVERE",'Pivot Fineco St'!$A$3,"Mese",1,"Tipologia",$A122),0)
- IFERROR(GETPIVOTDATA("Somma di AVERE",'Pivot Fineco Sa'!$A$3,"Mese",1,"Tipologia",$A122),0)
+ IFERROR(GETPIVOTDATA("Somma di DARE",'Pivot PP Visa'!$A$3,"Mese",1,"Tipologia",$A122),0)
- IFERROR(GETPIVOTDATA("Somma di AVERE",'Pivot PP Visa'!$A$3,"Mese",1,"Tipologia",$A122),0)
+ IFERROR(GETPIVOTDATA("Somma di DARE",'Pivot Revolut'!$A$3,"Mese",1,"Tipologia",$A122),0)
- IFERROR(GETPIVOTDATA("Somma di AVERE",'Pivot Revolut'!$A$3,"Mese",1,"Tipologia",$A122),0)</f>
        <v>0</v>
      </c>
      <c r="D122" s="243">
        <f>IFERROR(GETPIVOTDATA("Somma di DARE EUR",'Pivot RakBank AED'!$A$3,"Mese",2,"Tipologia",$A122),0)
- IFERROR(GETPIVOTDATA("Somma di AVERE EUR",'Pivot RakBank AED'!$A$3,"Mese",2,"Tipologia",$A122),0)
+IFERROR(GETPIVOTDATA("Somma di DARE",'Pivot RakBank EUR'!$A$3,"Mese",2,"Tipologia",$A122),0)
- IFERROR(GETPIVOTDATA("Somma di AVERE",'Pivot RakBank EUR'!$A$3,"Mese",2,"Tipologia",$A122),0)
+IFERROR(GETPIVOTDATA("Somma di DARE",'Pivot Fineco Sa'!$A$3,"Mese",2,"Tipologia",$A122),0)
+ IFERROR(GETPIVOTDATA("Somma di DARE",'Pivot Fineco St'!$A$3,"Mese",2,"Tipologia",$A122),0)
+ Contanti!F43
+ IFERROR(GETPIVOTDATA("Somma di DARE",'Pivot BBVA'!$A$3,"Mese",2,"Tipologia",$A122),0)
+ IFERROR(GETPIVOTDATA("Somma di DARE",'Pivot Amex'!$A$3,"Mese",2,"Tipologia",$A122),0)
- IFERROR(GETPIVOTDATA("Somma di AVERE",'Pivot Amex'!$A$3,"Mese",2,"Tipologia",$A122),0)
- IFERROR(GETPIVOTDATA("Somma di AVERE",'Pivot BBVA'!$A$3,"Mese",2,"Tipologia",$A122),0)
- IFERROR(GETPIVOTDATA("Somma di AVERE",'Pivot Fineco St'!$A$3,"Mese",2,"Tipologia",$A122),0)
- IFERROR(GETPIVOTDATA("Somma di AVERE",'Pivot Fineco Sa'!$A$3,"Mese",2,"Tipologia",$A122),0)
+ IFERROR(GETPIVOTDATA("Somma di DARE",'Pivot PP Visa'!$A$3,"Mese",2,"Tipologia",$A122),0)
- IFERROR(GETPIVOTDATA("Somma di AVERE",'Pivot PP Visa'!$A$3,"Mese",2,"Tipologia",$A122),0)
+ IFERROR(GETPIVOTDATA("Somma di DARE",'Pivot Revolut'!$A$3,"Mese",2,"Tipologia",$A122),0)
- IFERROR(GETPIVOTDATA("Somma di AVERE",'Pivot Revolut'!$A$3,"Mese",2,"Tipologia",$A122),0)</f>
        <v>0</v>
      </c>
      <c r="E122" s="243">
        <f>IFERROR(GETPIVOTDATA("Somma di DARE EUR",'Pivot RakBank AED'!$A$3,"Mese",3,"Tipologia",$A122),0)
- IFERROR(GETPIVOTDATA("Somma di AVERE EUR",'Pivot RakBank AED'!$A$3,"Mese",3,"Tipologia",$A122),0)
+IFERROR(GETPIVOTDATA("Somma di DARE",'Pivot RakBank EUR'!$A$3,"Mese",3,"Tipologia",$A122),0)
- IFERROR(GETPIVOTDATA("Somma di AVERE",'Pivot RakBank EUR'!$A$3,"Mese",3,"Tipologia",$A122),0)
+IFERROR(GETPIVOTDATA("Somma di DARE",'Pivot Fineco Sa'!$A$3,"Mese",3,"Tipologia",$A122),0)
+ IFERROR(GETPIVOTDATA("Somma di DARE",'Pivot Fineco St'!$A$3,"Mese",3,"Tipologia",$A122),0)
+ Contanti!J43
+ IFERROR(GETPIVOTDATA("Somma di DARE",'Pivot BBVA'!$A$3,"Mese",3,"Tipologia",$A122),0)
+ IFERROR(GETPIVOTDATA("Somma di DARE",'Pivot Amex'!$A$3,"Mese",3,"Tipologia",$A122),0)
- IFERROR(GETPIVOTDATA("Somma di AVERE",'Pivot Amex'!$A$3,"Mese",3,"Tipologia",$A122),0)
- IFERROR(GETPIVOTDATA("Somma di AVERE",'Pivot BBVA'!$A$3,"Mese",3,"Tipologia",$A122),0)
- IFERROR(GETPIVOTDATA("Somma di AVERE",'Pivot Fineco St'!$A$3,"Mese",3,"Tipologia",$A122),0)
- IFERROR(GETPIVOTDATA("Somma di AVERE",'Pivot Fineco Sa'!$A$3,"Mese",3,"Tipologia",$A122),0)
+ IFERROR(GETPIVOTDATA("Somma di DARE",'Pivot PP Visa'!$A$3,"Mese",3,"Tipologia",$A122),0)
- IFERROR(GETPIVOTDATA("Somma di AVERE",'Pivot PP Visa'!$A$3,"Mese",3,"Tipologia",$A122),0)
+ IFERROR(GETPIVOTDATA("Somma di DARE",'Pivot Revolut'!$A$3,"Mese",3,"Tipologia",$A122),0)
- IFERROR(GETPIVOTDATA("Somma di AVERE",'Pivot Revolut'!$A$3,"Mese",3,"Tipologia",$A122),0)</f>
        <v>0</v>
      </c>
      <c r="F122" s="243">
        <f>IFERROR(GETPIVOTDATA("Somma di DARE EUR",'Pivot RakBank AED'!$A$3,"Mese",4,"Tipologia",$A122),0)
- IFERROR(GETPIVOTDATA("Somma di AVERE EUR",'Pivot RakBank AED'!$A$3,"Mese",4,"Tipologia",$A122),0)
+IFERROR(GETPIVOTDATA("Somma di DARE",'Pivot RakBank EUR'!$A$3,"Mese",4,"Tipologia",$A122),0)
- IFERROR(GETPIVOTDATA("Somma di AVERE",'Pivot RakBank EUR'!$A$3,"Mese",4,"Tipologia",$A122),0)
+IFERROR(GETPIVOTDATA("Somma di DARE",'Pivot Fineco Sa'!$A$3,"Mese",4,"Tipologia",$A122),0)
+ IFERROR(GETPIVOTDATA("Somma di DARE",'Pivot Fineco St'!$A$3,"Mese",4,"Tipologia",$A122),0)
+ Contanti!N43
+ IFERROR(GETPIVOTDATA("Somma di DARE",'Pivot BBVA'!$A$3,"Mese",4,"Tipologia",$A122),0)
+ IFERROR(GETPIVOTDATA("Somma di DARE",'Pivot Amex'!$A$3,"Mese",4,"Tipologia",$A122),0)
- IFERROR(GETPIVOTDATA("Somma di AVERE",'Pivot Amex'!$A$3,"Mese",4,"Tipologia",$A122),0)
- IFERROR(GETPIVOTDATA("Somma di AVERE",'Pivot BBVA'!$A$3,"Mese",4,"Tipologia",$A122),0)
- IFERROR(GETPIVOTDATA("Somma di AVERE",'Pivot Fineco St'!$A$3,"Mese",4,"Tipologia",$A122),0)
- IFERROR(GETPIVOTDATA("Somma di AVERE",'Pivot Fineco Sa'!$A$3,"Mese",4,"Tipologia",$A122),0)
+ IFERROR(GETPIVOTDATA("Somma di DARE",'Pivot PP Visa'!$A$3,"Mese",4,"Tipologia",$A122),0)
- IFERROR(GETPIVOTDATA("Somma di AVERE",'Pivot PP Visa'!$A$3,"Mese",4,"Tipologia",$A122),0)
+ IFERROR(GETPIVOTDATA("Somma di DARE",'Pivot Revolut'!$A$3,"Mese",4,"Tipologia",$A122),0)
- IFERROR(GETPIVOTDATA("Somma di AVERE",'Pivot Revolut'!$A$3,"Mese",4,"Tipologia",$A122),0)</f>
        <v>0</v>
      </c>
      <c r="G122" s="243">
        <f>IFERROR(GETPIVOTDATA("Somma di DARE EUR",'Pivot RakBank AED'!$A$3,"Mese",5,"Tipologia",$A122),0)
- IFERROR(GETPIVOTDATA("Somma di AVERE EUR",'Pivot RakBank AED'!$A$3,"Mese",5,"Tipologia",$A122),0)
+IFERROR(GETPIVOTDATA("Somma di DARE",'Pivot RakBank EUR'!$A$3,"Mese",5,"Tipologia",$A122),0)
- IFERROR(GETPIVOTDATA("Somma di AVERE",'Pivot RakBank EUR'!$A$3,"Mese",5,"Tipologia",$A122),0)
+IFERROR(GETPIVOTDATA("Somma di DARE",'Pivot Fineco Sa'!$A$3,"Mese",5,"Tipologia",$A122),0)
+ IFERROR(GETPIVOTDATA("Somma di DARE",'Pivot Fineco St'!$A$3,"Mese",5,"Tipologia",$A122),0)
+ Contanti!R43
+ IFERROR(GETPIVOTDATA("Somma di DARE",'Pivot BBVA'!$A$3,"Mese",5,"Tipologia",$A122),0)
+ IFERROR(GETPIVOTDATA("Somma di DARE",'Pivot Amex'!$A$3,"Mese",5,"Tipologia",$A122),0)
- IFERROR(GETPIVOTDATA("Somma di AVERE",'Pivot Amex'!$A$3,"Mese",5,"Tipologia",$A122),0)
- IFERROR(GETPIVOTDATA("Somma di AVERE",'Pivot BBVA'!$A$3,"Mese",5,"Tipologia",$A122),0)
- IFERROR(GETPIVOTDATA("Somma di AVERE",'Pivot Fineco St'!$A$3,"Mese",5,"Tipologia",$A122),0)
- IFERROR(GETPIVOTDATA("Somma di AVERE",'Pivot Fineco Sa'!$A$3,"Mese",5,"Tipologia",$A122),0)
+ IFERROR(GETPIVOTDATA("Somma di DARE",'Pivot PP Visa'!$A$3,"Mese",5,"Tipologia",$A122),0)
- IFERROR(GETPIVOTDATA("Somma di AVERE",'Pivot PP Visa'!$A$3,"Mese",5,"Tipologia",$A122),0)
+ IFERROR(GETPIVOTDATA("Somma di DARE",'Pivot Revolut'!$A$3,"Mese",5,"Tipologia",$A122),0)
- IFERROR(GETPIVOTDATA("Somma di AVERE",'Pivot Revolut'!$A$3,"Mese",5,"Tipologia",$A122),0)</f>
        <v>0</v>
      </c>
      <c r="H122" s="243">
        <f>IFERROR(GETPIVOTDATA("Somma di DARE EUR",'Pivot RakBank AED'!$A$3,"Mese",6,"Tipologia",$A122),0)
- IFERROR(GETPIVOTDATA("Somma di AVERE EUR",'Pivot RakBank AED'!$A$3,"Mese",6,"Tipologia",$A122),0)
+IFERROR(GETPIVOTDATA("Somma di DARE",'Pivot RakBank EUR'!$A$3,"Mese",6,"Tipologia",$A122),0)
- IFERROR(GETPIVOTDATA("Somma di AVERE",'Pivot RakBank EUR'!$A$3,"Mese",6,"Tipologia",$A122),0)
+IFERROR(GETPIVOTDATA("Somma di DARE",'Pivot Fineco Sa'!$A$3,"Mese",6,"Tipologia",$A122),0)
+ IFERROR(GETPIVOTDATA("Somma di DARE",'Pivot Fineco St'!$A$3,"Mese",6,"Tipologia",$A122),0)
+ Contanti!V43
+ IFERROR(GETPIVOTDATA("Somma di DARE",'Pivot BBVA'!$A$3,"Mese",6,"Tipologia",$A122),0)
+ IFERROR(GETPIVOTDATA("Somma di DARE",'Pivot Amex'!$A$3,"Mese",6,"Tipologia",$A122),0)
- IFERROR(GETPIVOTDATA("Somma di AVERE",'Pivot Amex'!$A$3,"Mese",6,"Tipologia",$A122),0)
- IFERROR(GETPIVOTDATA("Somma di AVERE",'Pivot BBVA'!$A$3,"Mese",6,"Tipologia",$A122),0)
- IFERROR(GETPIVOTDATA("Somma di AVERE",'Pivot Fineco St'!$A$3,"Mese",6,"Tipologia",$A122),0)
- IFERROR(GETPIVOTDATA("Somma di AVERE",'Pivot Fineco Sa'!$A$3,"Mese",6,"Tipologia",$A122),0)
+ IFERROR(GETPIVOTDATA("Somma di DARE",'Pivot PP Visa'!$A$3,"Mese",6,"Tipologia",$A122),0)
- IFERROR(GETPIVOTDATA("Somma di AVERE",'Pivot PP Visa'!$A$3,"Mese",6,"Tipologia",$A122),0)
+ IFERROR(GETPIVOTDATA("Somma di DARE",'Pivot Revolut'!$A$3,"Mese",6,"Tipologia",$A122),0)
- IFERROR(GETPIVOTDATA("Somma di AVERE",'Pivot Revolut'!$A$3,"Mese",6,"Tipologia",$A122),0)</f>
        <v>0</v>
      </c>
      <c r="I122" s="243">
        <f>IFERROR(GETPIVOTDATA("Somma di DARE EUR",'Pivot RakBank AED'!$A$3,"Mese",7,"Tipologia",$A122),0)
- IFERROR(GETPIVOTDATA("Somma di AVERE EUR",'Pivot RakBank AED'!$A$3,"Mese",7,"Tipologia",$A122),0)
+IFERROR(GETPIVOTDATA("Somma di DARE",'Pivot RakBank EUR'!$A$3,"Mese",7,"Tipologia",$A122),0)
- IFERROR(GETPIVOTDATA("Somma di AVERE",'Pivot RakBank EUR'!$A$3,"Mese",7,"Tipologia",$A122),0)
+IFERROR(GETPIVOTDATA("Somma di DARE",'Pivot Fineco Sa'!$A$3,"Mese",7,"Tipologia",$A122),0)
+ IFERROR(GETPIVOTDATA("Somma di DARE",'Pivot Fineco St'!$A$3,"Mese",7,"Tipologia",$A122),0)
+ Contanti!Z43
+ IFERROR(GETPIVOTDATA("Somma di DARE",'Pivot BBVA'!$A$3,"Mese",7,"Tipologia",$A122),0)
+ IFERROR(GETPIVOTDATA("Somma di DARE",'Pivot Amex'!$A$3,"Mese",7,"Tipologia",$A122),0)
- IFERROR(GETPIVOTDATA("Somma di AVERE",'Pivot Amex'!$A$3,"Mese",7,"Tipologia",$A122),0)
- IFERROR(GETPIVOTDATA("Somma di AVERE",'Pivot BBVA'!$A$3,"Mese",7,"Tipologia",$A122),0)
- IFERROR(GETPIVOTDATA("Somma di AVERE",'Pivot Fineco St'!$A$3,"Mese",7,"Tipologia",$A122),0)
- IFERROR(GETPIVOTDATA("Somma di AVERE",'Pivot Fineco Sa'!$A$3,"Mese",7,"Tipologia",$A122),0)
+ IFERROR(GETPIVOTDATA("Somma di DARE",'Pivot PP Visa'!$A$3,"Mese",7,"Tipologia",$A122),0)
- IFERROR(GETPIVOTDATA("Somma di AVERE",'Pivot PP Visa'!$A$3,"Mese",7,"Tipologia",$A122),0)
+ IFERROR(GETPIVOTDATA("Somma di DARE",'Pivot Revolut'!$A$3,"Mese",7,"Tipologia",$A122),0)
- IFERROR(GETPIVOTDATA("Somma di AVERE",'Pivot Revolut'!$A$3,"Mese",7,"Tipologia",$A122),0)</f>
        <v>0</v>
      </c>
      <c r="J122" s="243">
        <f>IFERROR(GETPIVOTDATA("Somma di DARE EUR",'Pivot RakBank AED'!$A$3,"Mese",8,"Tipologia",$A122),0)
- IFERROR(GETPIVOTDATA("Somma di AVERE EUR",'Pivot RakBank AED'!$A$3,"Mese",8,"Tipologia",$A122),0)
+IFERROR(GETPIVOTDATA("Somma di DARE",'Pivot RakBank EUR'!$A$3,"Mese",8,"Tipologia",$A122),0)
- IFERROR(GETPIVOTDATA("Somma di AVERE",'Pivot RakBank EUR'!$A$3,"Mese",8,"Tipologia",$A122),0)
+IFERROR(GETPIVOTDATA("Somma di DARE",'Pivot Fineco Sa'!$A$3,"Mese",8,"Tipologia",$A122),0)
+ IFERROR(GETPIVOTDATA("Somma di DARE",'Pivot Fineco St'!$A$3,"Mese",8,"Tipologia",$A122),0)
+ Contanti!AD43
+ IFERROR(GETPIVOTDATA("Somma di DARE",'Pivot BBVA'!$A$3,"Mese",8,"Tipologia",$A122),0)
+ IFERROR(GETPIVOTDATA("Somma di DARE",'Pivot Amex'!$A$3,"Mese",8,"Tipologia",$A122),0)
- IFERROR(GETPIVOTDATA("Somma di AVERE",'Pivot Amex'!$A$3,"Mese",8,"Tipologia",$A122),0)
- IFERROR(GETPIVOTDATA("Somma di AVERE",'Pivot BBVA'!$A$3,"Mese",8,"Tipologia",$A122),0)
- IFERROR(GETPIVOTDATA("Somma di AVERE",'Pivot Fineco St'!$A$3,"Mese",8,"Tipologia",$A122),0)
- IFERROR(GETPIVOTDATA("Somma di AVERE",'Pivot Fineco Sa'!$A$3,"Mese",8,"Tipologia",$A122),0)
+ IFERROR(GETPIVOTDATA("Somma di DARE",'Pivot PP Visa'!$A$3,"Mese",8,"Tipologia",$A122),0)
- IFERROR(GETPIVOTDATA("Somma di AVERE",'Pivot PP Visa'!$A$3,"Mese",8,"Tipologia",$A122),0)
+ IFERROR(GETPIVOTDATA("Somma di DARE",'Pivot Revolut'!$A$3,"Mese",8,"Tipologia",$A122),0)
- IFERROR(GETPIVOTDATA("Somma di AVERE",'Pivot Revolut'!$A$3,"Mese",8,"Tipologia",$A122),0)</f>
        <v>0</v>
      </c>
      <c r="K122" s="243">
        <f>IFERROR(GETPIVOTDATA("Somma di DARE EUR",'Pivot RakBank AED'!$A$3,"Mese",9,"Tipologia",$A122),0)
- IFERROR(GETPIVOTDATA("Somma di AVERE EUR",'Pivot RakBank AED'!$A$3,"Mese",9,"Tipologia",$A122),0)
+IFERROR(GETPIVOTDATA("Somma di DARE",'Pivot RakBank EUR'!$A$3,"Mese",9,"Tipologia",$A122),0)
- IFERROR(GETPIVOTDATA("Somma di AVERE",'Pivot RakBank EUR'!$A$3,"Mese",9,"Tipologia",$A122),0)
+IFERROR(GETPIVOTDATA("Somma di DARE",'Pivot Fineco Sa'!$A$3,"Mese",9,"Tipologia",$A122),0)
+ IFERROR(GETPIVOTDATA("Somma di DARE",'Pivot Fineco St'!$A$3,"Mese",9,"Tipologia",$A122),0)
+ Contanti!AH43
+ IFERROR(GETPIVOTDATA("Somma di DARE",'Pivot BBVA'!$A$3,"Mese",9,"Tipologia",$A122),0)
+ IFERROR(GETPIVOTDATA("Somma di DARE",'Pivot Amex'!$A$3,"Mese",9,"Tipologia",$A122),0)
- IFERROR(GETPIVOTDATA("Somma di AVERE",'Pivot Amex'!$A$3,"Mese",9,"Tipologia",$A122),0)
- IFERROR(GETPIVOTDATA("Somma di AVERE",'Pivot BBVA'!$A$3,"Mese",9,"Tipologia",$A122),0)
- IFERROR(GETPIVOTDATA("Somma di AVERE",'Pivot Fineco St'!$A$3,"Mese",9,"Tipologia",$A122),0)
- IFERROR(GETPIVOTDATA("Somma di AVERE",'Pivot Fineco Sa'!$A$3,"Mese",9,"Tipologia",$A122),0)
+ IFERROR(GETPIVOTDATA("Somma di DARE",'Pivot PP Visa'!$A$3,"Mese",9,"Tipologia",$A122),0)
- IFERROR(GETPIVOTDATA("Somma di AVERE",'Pivot PP Visa'!$A$3,"Mese",9,"Tipologia",$A122),0)
+ IFERROR(GETPIVOTDATA("Somma di DARE",'Pivot Revolut'!$A$3,"Mese",9,"Tipologia",$A122),0)
- IFERROR(GETPIVOTDATA("Somma di AVERE",'Pivot Revolut'!$A$3,"Mese",9,"Tipologia",$A122),0)</f>
        <v>0</v>
      </c>
      <c r="L122" s="243">
        <f>IFERROR(GETPIVOTDATA("Somma di DARE EUR",'Pivot RakBank AED'!$A$3,"Mese",10,"Tipologia",$A122),0)
- IFERROR(GETPIVOTDATA("Somma di AVERE EUR",'Pivot RakBank AED'!$A$3,"Mese",10,"Tipologia",$A122),0)
+IFERROR(GETPIVOTDATA("Somma di DARE",'Pivot RakBank EUR'!$A$3,"Mese",10,"Tipologia",$A122),0)
- IFERROR(GETPIVOTDATA("Somma di AVERE",'Pivot RakBank EUR'!$A$3,"Mese",10,"Tipologia",$A122),0)
+IFERROR(GETPIVOTDATA("Somma di DARE",'Pivot Fineco Sa'!$A$3,"Mese",10,"Tipologia",$A122),0)
+ IFERROR(GETPIVOTDATA("Somma di DARE",'Pivot Fineco St'!$A$3,"Mese",10,"Tipologia",$A122),0)
+ Contanti!AL43
+ IFERROR(GETPIVOTDATA("Somma di DARE",'Pivot BBVA'!$A$3,"Mese",10,"Tipologia",$A122),0)
+ IFERROR(GETPIVOTDATA("Somma di DARE",'Pivot Amex'!$A$3,"Mese",10,"Tipologia",$A122),0)
- IFERROR(GETPIVOTDATA("Somma di AVERE",'Pivot Amex'!$A$3,"Mese",10,"Tipologia",$A122),0)
- IFERROR(GETPIVOTDATA("Somma di AVERE",'Pivot BBVA'!$A$3,"Mese",10,"Tipologia",$A122),0)
- IFERROR(GETPIVOTDATA("Somma di AVERE",'Pivot Fineco St'!$A$3,"Mese",10,"Tipologia",$A122),0)
- IFERROR(GETPIVOTDATA("Somma di AVERE",'Pivot Fineco Sa'!$A$3,"Mese",10,"Tipologia",$A122),0)
+ IFERROR(GETPIVOTDATA("Somma di DARE",'Pivot PP Visa'!$A$3,"Mese",10,"Tipologia",$A122),0)
- IFERROR(GETPIVOTDATA("Somma di AVERE",'Pivot PP Visa'!$A$3,"Mese",10,"Tipologia",$A122),0)
+ IFERROR(GETPIVOTDATA("Somma di DARE",'Pivot Revolut'!$A$3,"Mese",10,"Tipologia",$A122),0)
- IFERROR(GETPIVOTDATA("Somma di AVERE",'Pivot Revolut'!$A$3,"Mese",10,"Tipologia",$A122),0)</f>
        <v>0</v>
      </c>
      <c r="M122" s="243">
        <f>IFERROR(GETPIVOTDATA("Somma di DARE EUR",'Pivot RakBank AED'!$A$3,"Mese",11,"Tipologia",$A122),0)
- IFERROR(GETPIVOTDATA("Somma di AVERE EUR",'Pivot RakBank AED'!$A$3,"Mese",11,"Tipologia",$A122),0)
+IFERROR(GETPIVOTDATA("Somma di DARE",'Pivot RakBank EUR'!$A$3,"Mese",11,"Tipologia",$A122),0)
- IFERROR(GETPIVOTDATA("Somma di AVERE",'Pivot RakBank EUR'!$A$3,"Mese",11,"Tipologia",$A122),0)
+IFERROR(GETPIVOTDATA("Somma di DARE",'Pivot Fineco Sa'!$A$3,"Mese",11,"Tipologia",$A122),0)
+ IFERROR(GETPIVOTDATA("Somma di DARE",'Pivot Fineco St'!$A$3,"Mese",11,"Tipologia",$A122),0)
+ Contanti!AP43
+ IFERROR(GETPIVOTDATA("Somma di DARE",'Pivot BBVA'!$A$3,"Mese",11,"Tipologia",$A122),0)
+ IFERROR(GETPIVOTDATA("Somma di DARE",'Pivot Amex'!$A$3,"Mese",11,"Tipologia",$A122),0)
- IFERROR(GETPIVOTDATA("Somma di AVERE",'Pivot Amex'!$A$3,"Mese",11,"Tipologia",$A122),0)
- IFERROR(GETPIVOTDATA("Somma di AVERE",'Pivot BBVA'!$A$3,"Mese",11,"Tipologia",$A122),0)
- IFERROR(GETPIVOTDATA("Somma di AVERE",'Pivot Fineco St'!$A$3,"Mese",11,"Tipologia",$A122),0)
- IFERROR(GETPIVOTDATA("Somma di AVERE",'Pivot Fineco Sa'!$A$3,"Mese",11,"Tipologia",$A122),0)
+ IFERROR(GETPIVOTDATA("Somma di DARE",'Pivot PP Visa'!$A$3,"Mese",11,"Tipologia",$A122),0)
- IFERROR(GETPIVOTDATA("Somma di AVERE",'Pivot PP Visa'!$A$3,"Mese",11,"Tipologia",$A122),0)
+ IFERROR(GETPIVOTDATA("Somma di DARE",'Pivot Revolut'!$A$3,"Mese",11,"Tipologia",$A122),0)
- IFERROR(GETPIVOTDATA("Somma di AVERE",'Pivot Revolut'!$A$3,"Mese",11,"Tipologia",$A122),0)</f>
        <v>0</v>
      </c>
      <c r="N122" s="243">
        <f>IFERROR(GETPIVOTDATA("Somma di DARE EUR",'Pivot RakBank AED'!$A$3,"Mese",12,"Tipologia",$A122),0)
- IFERROR(GETPIVOTDATA("Somma di AVERE EUR",'Pivot RakBank AED'!$A$3,"Mese",12,"Tipologia",$A122),0)
+IFERROR(GETPIVOTDATA("Somma di DARE",'Pivot RakBank EUR'!$A$3,"Mese",12,"Tipologia",$A122),0)
- IFERROR(GETPIVOTDATA("Somma di AVERE",'Pivot RakBank EUR'!$A$3,"Mese",12,"Tipologia",$A122),0)
+IFERROR(GETPIVOTDATA("Somma di DARE",'Pivot Fineco Sa'!$A$3,"Mese",12,"Tipologia",$A122),0)
+ IFERROR(GETPIVOTDATA("Somma di DARE",'Pivot Fineco St'!$A$3,"Mese",12,"Tipologia",$A122),0)
+ Contanti!AT43
+ IFERROR(GETPIVOTDATA("Somma di DARE",'Pivot BBVA'!$A$3,"Mese",12,"Tipologia",$A122),0)
+ IFERROR(GETPIVOTDATA("Somma di DARE",'Pivot Amex'!$A$3,"Mese",12,"Tipologia",$A122),0)
- IFERROR(GETPIVOTDATA("Somma di AVERE",'Pivot Amex'!$A$3,"Mese",12,"Tipologia",$A122),0)
- IFERROR(GETPIVOTDATA("Somma di AVERE",'Pivot BBVA'!$A$3,"Mese",12,"Tipologia",$A122),0)
- IFERROR(GETPIVOTDATA("Somma di AVERE",'Pivot Fineco St'!$A$3,"Mese",12,"Tipologia",$A122),0)
- IFERROR(GETPIVOTDATA("Somma di AVERE",'Pivot Fineco Sa'!$A$3,"Mese",12,"Tipologia",$A122),0)
+ IFERROR(GETPIVOTDATA("Somma di DARE",'Pivot PP Visa'!$A$3,"Mese",12,"Tipologia",$A122),0)
- IFERROR(GETPIVOTDATA("Somma di AVERE",'Pivot PP Visa'!$A$3,"Mese",12,"Tipologia",$A122),0)
+ IFERROR(GETPIVOTDATA("Somma di DARE",'Pivot Revolut'!$A$3,"Mese",12,"Tipologia",$A122),0)
- IFERROR(GETPIVOTDATA("Somma di AVERE",'Pivot Revolut'!$A$3,"Mese",12,"Tipologia",$A122),0)</f>
        <v>0</v>
      </c>
      <c r="O122" s="252">
        <f t="shared" si="14"/>
        <v>0</v>
      </c>
      <c r="P122" s="243"/>
    </row>
    <row r="123" spans="1:16" s="125" customFormat="1" ht="21" customHeight="1" x14ac:dyDescent="0.2">
      <c r="A123" s="251" t="s">
        <v>99</v>
      </c>
      <c r="B123" s="251"/>
      <c r="C123" s="243">
        <f>IFERROR(GETPIVOTDATA("Somma di DARE EUR",'Pivot RakBank AED'!$A$3,"Mese",1,"Tipologia",$A123),0)
- IFERROR(GETPIVOTDATA("Somma di AVERE EUR",'Pivot RakBank AED'!$A$3,"Mese",1,"Tipologia",$A123),0)
+IFERROR(GETPIVOTDATA("Somma di DARE",'Pivot RakBank EUR'!$A$3,"Mese",1,"Tipologia",$A123),0)
- IFERROR(GETPIVOTDATA("Somma di AVERE",'Pivot RakBank EUR'!$A$3,"Mese",1,"Tipologia",$A123),0)
+IFERROR(GETPIVOTDATA("Somma di DARE",'Pivot Fineco Sa'!$A$3,"Mese",1,"Tipologia",$A123),0)
+ IFERROR(GETPIVOTDATA("Somma di DARE",'Pivot Fineco St'!$A$3,"Mese",1,"Tipologia",$A123),0)
+ Contanti!B44
+ IFERROR(GETPIVOTDATA("Somma di DARE",'Pivot BBVA'!$A$3,"Mese",1,"Tipologia",$A123),0)
+ IFERROR(GETPIVOTDATA("Somma di DARE",'Pivot Amex'!$A$3,"Mese",1,"Tipologia",$A123),0)
- IFERROR(GETPIVOTDATA("Somma di AVERE",'Pivot Amex'!$A$3,"Mese",1,"Tipologia",$A123),0)
- IFERROR(GETPIVOTDATA("Somma di AVERE",'Pivot BBVA'!$A$3,"Mese",1,"Tipologia",$A123),0)
- IFERROR(GETPIVOTDATA("Somma di AVERE",'Pivot Fineco St'!$A$3,"Mese",1,"Tipologia",$A123),0)
- IFERROR(GETPIVOTDATA("Somma di AVERE",'Pivot Fineco Sa'!$A$3,"Mese",1,"Tipologia",$A123),0)
+ IFERROR(GETPIVOTDATA("Somma di DARE",'Pivot PP Visa'!$A$3,"Mese",1,"Tipologia",$A123),0)
- IFERROR(GETPIVOTDATA("Somma di AVERE",'Pivot PP Visa'!$A$3,"Mese",1,"Tipologia",$A123),0)
+ IFERROR(GETPIVOTDATA("Somma di DARE",'Pivot Revolut'!$A$3,"Mese",1,"Tipologia",$A123),0)
- IFERROR(GETPIVOTDATA("Somma di AVERE",'Pivot Revolut'!$A$3,"Mese",1,"Tipologia",$A123),0)</f>
        <v>0</v>
      </c>
      <c r="D123" s="243">
        <f>IFERROR(GETPIVOTDATA("Somma di DARE EUR",'Pivot RakBank AED'!$A$3,"Mese",2,"Tipologia",$A123),0)
- IFERROR(GETPIVOTDATA("Somma di AVERE EUR",'Pivot RakBank AED'!$A$3,"Mese",2,"Tipologia",$A123),0)
+IFERROR(GETPIVOTDATA("Somma di DARE",'Pivot RakBank EUR'!$A$3,"Mese",2,"Tipologia",$A123),0)
- IFERROR(GETPIVOTDATA("Somma di AVERE",'Pivot RakBank EUR'!$A$3,"Mese",2,"Tipologia",$A123),0)
+IFERROR(GETPIVOTDATA("Somma di DARE",'Pivot Fineco Sa'!$A$3,"Mese",2,"Tipologia",$A123),0)
+ IFERROR(GETPIVOTDATA("Somma di DARE",'Pivot Fineco St'!$A$3,"Mese",2,"Tipologia",$A123),0)
+ Contanti!F44
+ IFERROR(GETPIVOTDATA("Somma di DARE",'Pivot BBVA'!$A$3,"Mese",2,"Tipologia",$A123),0)
+ IFERROR(GETPIVOTDATA("Somma di DARE",'Pivot Amex'!$A$3,"Mese",2,"Tipologia",$A123),0)
- IFERROR(GETPIVOTDATA("Somma di AVERE",'Pivot Amex'!$A$3,"Mese",2,"Tipologia",$A123),0)
- IFERROR(GETPIVOTDATA("Somma di AVERE",'Pivot BBVA'!$A$3,"Mese",2,"Tipologia",$A123),0)
- IFERROR(GETPIVOTDATA("Somma di AVERE",'Pivot Fineco St'!$A$3,"Mese",2,"Tipologia",$A123),0)
- IFERROR(GETPIVOTDATA("Somma di AVERE",'Pivot Fineco Sa'!$A$3,"Mese",2,"Tipologia",$A123),0)
+ IFERROR(GETPIVOTDATA("Somma di DARE",'Pivot PP Visa'!$A$3,"Mese",2,"Tipologia",$A123),0)
- IFERROR(GETPIVOTDATA("Somma di AVERE",'Pivot PP Visa'!$A$3,"Mese",2,"Tipologia",$A123),0)
+ IFERROR(GETPIVOTDATA("Somma di DARE",'Pivot Revolut'!$A$3,"Mese",2,"Tipologia",$A123),0)
- IFERROR(GETPIVOTDATA("Somma di AVERE",'Pivot Revolut'!$A$3,"Mese",2,"Tipologia",$A123),0)</f>
        <v>0</v>
      </c>
      <c r="E123" s="243">
        <f>IFERROR(GETPIVOTDATA("Somma di DARE EUR",'Pivot RakBank AED'!$A$3,"Mese",3,"Tipologia",$A123),0)
- IFERROR(GETPIVOTDATA("Somma di AVERE EUR",'Pivot RakBank AED'!$A$3,"Mese",3,"Tipologia",$A123),0)
+IFERROR(GETPIVOTDATA("Somma di DARE",'Pivot RakBank EUR'!$A$3,"Mese",3,"Tipologia",$A123),0)
- IFERROR(GETPIVOTDATA("Somma di AVERE",'Pivot RakBank EUR'!$A$3,"Mese",3,"Tipologia",$A123),0)
+IFERROR(GETPIVOTDATA("Somma di DARE",'Pivot Fineco Sa'!$A$3,"Mese",3,"Tipologia",$A123),0)
+ IFERROR(GETPIVOTDATA("Somma di DARE",'Pivot Fineco St'!$A$3,"Mese",3,"Tipologia",$A123),0)
+ Contanti!J44
+ IFERROR(GETPIVOTDATA("Somma di DARE",'Pivot BBVA'!$A$3,"Mese",3,"Tipologia",$A123),0)
+ IFERROR(GETPIVOTDATA("Somma di DARE",'Pivot Amex'!$A$3,"Mese",3,"Tipologia",$A123),0)
- IFERROR(GETPIVOTDATA("Somma di AVERE",'Pivot Amex'!$A$3,"Mese",3,"Tipologia",$A123),0)
- IFERROR(GETPIVOTDATA("Somma di AVERE",'Pivot BBVA'!$A$3,"Mese",3,"Tipologia",$A123),0)
- IFERROR(GETPIVOTDATA("Somma di AVERE",'Pivot Fineco St'!$A$3,"Mese",3,"Tipologia",$A123),0)
- IFERROR(GETPIVOTDATA("Somma di AVERE",'Pivot Fineco Sa'!$A$3,"Mese",3,"Tipologia",$A123),0)
+ IFERROR(GETPIVOTDATA("Somma di DARE",'Pivot PP Visa'!$A$3,"Mese",3,"Tipologia",$A123),0)
- IFERROR(GETPIVOTDATA("Somma di AVERE",'Pivot PP Visa'!$A$3,"Mese",3,"Tipologia",$A123),0)
+ IFERROR(GETPIVOTDATA("Somma di DARE",'Pivot Revolut'!$A$3,"Mese",3,"Tipologia",$A123),0)
- IFERROR(GETPIVOTDATA("Somma di AVERE",'Pivot Revolut'!$A$3,"Mese",3,"Tipologia",$A123),0)</f>
        <v>0</v>
      </c>
      <c r="F123" s="243">
        <f>IFERROR(GETPIVOTDATA("Somma di DARE EUR",'Pivot RakBank AED'!$A$3,"Mese",4,"Tipologia",$A123),0)
- IFERROR(GETPIVOTDATA("Somma di AVERE EUR",'Pivot RakBank AED'!$A$3,"Mese",4,"Tipologia",$A123),0)
+IFERROR(GETPIVOTDATA("Somma di DARE",'Pivot RakBank EUR'!$A$3,"Mese",4,"Tipologia",$A123),0)
- IFERROR(GETPIVOTDATA("Somma di AVERE",'Pivot RakBank EUR'!$A$3,"Mese",4,"Tipologia",$A123),0)
+IFERROR(GETPIVOTDATA("Somma di DARE",'Pivot Fineco Sa'!$A$3,"Mese",4,"Tipologia",$A123),0)
+ IFERROR(GETPIVOTDATA("Somma di DARE",'Pivot Fineco St'!$A$3,"Mese",4,"Tipologia",$A123),0)
+ Contanti!N44
+ IFERROR(GETPIVOTDATA("Somma di DARE",'Pivot BBVA'!$A$3,"Mese",4,"Tipologia",$A123),0)
+ IFERROR(GETPIVOTDATA("Somma di DARE",'Pivot Amex'!$A$3,"Mese",4,"Tipologia",$A123),0)
- IFERROR(GETPIVOTDATA("Somma di AVERE",'Pivot Amex'!$A$3,"Mese",4,"Tipologia",$A123),0)
- IFERROR(GETPIVOTDATA("Somma di AVERE",'Pivot BBVA'!$A$3,"Mese",4,"Tipologia",$A123),0)
- IFERROR(GETPIVOTDATA("Somma di AVERE",'Pivot Fineco St'!$A$3,"Mese",4,"Tipologia",$A123),0)
- IFERROR(GETPIVOTDATA("Somma di AVERE",'Pivot Fineco Sa'!$A$3,"Mese",4,"Tipologia",$A123),0)
+ IFERROR(GETPIVOTDATA("Somma di DARE",'Pivot PP Visa'!$A$3,"Mese",4,"Tipologia",$A123),0)
- IFERROR(GETPIVOTDATA("Somma di AVERE",'Pivot PP Visa'!$A$3,"Mese",4,"Tipologia",$A123),0)
+ IFERROR(GETPIVOTDATA("Somma di DARE",'Pivot Revolut'!$A$3,"Mese",4,"Tipologia",$A123),0)
- IFERROR(GETPIVOTDATA("Somma di AVERE",'Pivot Revolut'!$A$3,"Mese",4,"Tipologia",$A123),0)</f>
        <v>0</v>
      </c>
      <c r="G123" s="243">
        <f>IFERROR(GETPIVOTDATA("Somma di DARE EUR",'Pivot RakBank AED'!$A$3,"Mese",5,"Tipologia",$A123),0)
- IFERROR(GETPIVOTDATA("Somma di AVERE EUR",'Pivot RakBank AED'!$A$3,"Mese",5,"Tipologia",$A123),0)
+IFERROR(GETPIVOTDATA("Somma di DARE",'Pivot RakBank EUR'!$A$3,"Mese",5,"Tipologia",$A123),0)
- IFERROR(GETPIVOTDATA("Somma di AVERE",'Pivot RakBank EUR'!$A$3,"Mese",5,"Tipologia",$A123),0)
+IFERROR(GETPIVOTDATA("Somma di DARE",'Pivot Fineco Sa'!$A$3,"Mese",5,"Tipologia",$A123),0)
+ IFERROR(GETPIVOTDATA("Somma di DARE",'Pivot Fineco St'!$A$3,"Mese",5,"Tipologia",$A123),0)
+ Contanti!R44
+ IFERROR(GETPIVOTDATA("Somma di DARE",'Pivot BBVA'!$A$3,"Mese",5,"Tipologia",$A123),0)
+ IFERROR(GETPIVOTDATA("Somma di DARE",'Pivot Amex'!$A$3,"Mese",5,"Tipologia",$A123),0)
- IFERROR(GETPIVOTDATA("Somma di AVERE",'Pivot Amex'!$A$3,"Mese",5,"Tipologia",$A123),0)
- IFERROR(GETPIVOTDATA("Somma di AVERE",'Pivot BBVA'!$A$3,"Mese",5,"Tipologia",$A123),0)
- IFERROR(GETPIVOTDATA("Somma di AVERE",'Pivot Fineco St'!$A$3,"Mese",5,"Tipologia",$A123),0)
- IFERROR(GETPIVOTDATA("Somma di AVERE",'Pivot Fineco Sa'!$A$3,"Mese",5,"Tipologia",$A123),0)
+ IFERROR(GETPIVOTDATA("Somma di DARE",'Pivot PP Visa'!$A$3,"Mese",5,"Tipologia",$A123),0)
- IFERROR(GETPIVOTDATA("Somma di AVERE",'Pivot PP Visa'!$A$3,"Mese",5,"Tipologia",$A123),0)
+ IFERROR(GETPIVOTDATA("Somma di DARE",'Pivot Revolut'!$A$3,"Mese",5,"Tipologia",$A123),0)
- IFERROR(GETPIVOTDATA("Somma di AVERE",'Pivot Revolut'!$A$3,"Mese",5,"Tipologia",$A123),0)</f>
        <v>276.89999999999998</v>
      </c>
      <c r="H123" s="243">
        <f>IFERROR(GETPIVOTDATA("Somma di DARE EUR",'Pivot RakBank AED'!$A$3,"Mese",6,"Tipologia",$A123),0)
- IFERROR(GETPIVOTDATA("Somma di AVERE EUR",'Pivot RakBank AED'!$A$3,"Mese",6,"Tipologia",$A123),0)
+IFERROR(GETPIVOTDATA("Somma di DARE",'Pivot RakBank EUR'!$A$3,"Mese",6,"Tipologia",$A123),0)
- IFERROR(GETPIVOTDATA("Somma di AVERE",'Pivot RakBank EUR'!$A$3,"Mese",6,"Tipologia",$A123),0)
+IFERROR(GETPIVOTDATA("Somma di DARE",'Pivot Fineco Sa'!$A$3,"Mese",6,"Tipologia",$A123),0)
+ IFERROR(GETPIVOTDATA("Somma di DARE",'Pivot Fineco St'!$A$3,"Mese",6,"Tipologia",$A123),0)
+ Contanti!V44
+ IFERROR(GETPIVOTDATA("Somma di DARE",'Pivot BBVA'!$A$3,"Mese",6,"Tipologia",$A123),0)
+ IFERROR(GETPIVOTDATA("Somma di DARE",'Pivot Amex'!$A$3,"Mese",6,"Tipologia",$A123),0)
- IFERROR(GETPIVOTDATA("Somma di AVERE",'Pivot Amex'!$A$3,"Mese",6,"Tipologia",$A123),0)
- IFERROR(GETPIVOTDATA("Somma di AVERE",'Pivot BBVA'!$A$3,"Mese",6,"Tipologia",$A123),0)
- IFERROR(GETPIVOTDATA("Somma di AVERE",'Pivot Fineco St'!$A$3,"Mese",6,"Tipologia",$A123),0)
- IFERROR(GETPIVOTDATA("Somma di AVERE",'Pivot Fineco Sa'!$A$3,"Mese",6,"Tipologia",$A123),0)
+ IFERROR(GETPIVOTDATA("Somma di DARE",'Pivot PP Visa'!$A$3,"Mese",6,"Tipologia",$A123),0)
- IFERROR(GETPIVOTDATA("Somma di AVERE",'Pivot PP Visa'!$A$3,"Mese",6,"Tipologia",$A123),0)
+ IFERROR(GETPIVOTDATA("Somma di DARE",'Pivot Revolut'!$A$3,"Mese",6,"Tipologia",$A123),0)
- IFERROR(GETPIVOTDATA("Somma di AVERE",'Pivot Revolut'!$A$3,"Mese",6,"Tipologia",$A123),0)</f>
        <v>0</v>
      </c>
      <c r="I123" s="243">
        <f>IFERROR(GETPIVOTDATA("Somma di DARE EUR",'Pivot RakBank AED'!$A$3,"Mese",7,"Tipologia",$A123),0)
- IFERROR(GETPIVOTDATA("Somma di AVERE EUR",'Pivot RakBank AED'!$A$3,"Mese",7,"Tipologia",$A123),0)
+IFERROR(GETPIVOTDATA("Somma di DARE",'Pivot RakBank EUR'!$A$3,"Mese",7,"Tipologia",$A123),0)
- IFERROR(GETPIVOTDATA("Somma di AVERE",'Pivot RakBank EUR'!$A$3,"Mese",7,"Tipologia",$A123),0)
+IFERROR(GETPIVOTDATA("Somma di DARE",'Pivot Fineco Sa'!$A$3,"Mese",7,"Tipologia",$A123),0)
+ IFERROR(GETPIVOTDATA("Somma di DARE",'Pivot Fineco St'!$A$3,"Mese",7,"Tipologia",$A123),0)
+ Contanti!Z44
+ IFERROR(GETPIVOTDATA("Somma di DARE",'Pivot BBVA'!$A$3,"Mese",7,"Tipologia",$A123),0)
+ IFERROR(GETPIVOTDATA("Somma di DARE",'Pivot Amex'!$A$3,"Mese",7,"Tipologia",$A123),0)
- IFERROR(GETPIVOTDATA("Somma di AVERE",'Pivot Amex'!$A$3,"Mese",7,"Tipologia",$A123),0)
- IFERROR(GETPIVOTDATA("Somma di AVERE",'Pivot BBVA'!$A$3,"Mese",7,"Tipologia",$A123),0)
- IFERROR(GETPIVOTDATA("Somma di AVERE",'Pivot Fineco St'!$A$3,"Mese",7,"Tipologia",$A123),0)
- IFERROR(GETPIVOTDATA("Somma di AVERE",'Pivot Fineco Sa'!$A$3,"Mese",7,"Tipologia",$A123),0)
+ IFERROR(GETPIVOTDATA("Somma di DARE",'Pivot PP Visa'!$A$3,"Mese",7,"Tipologia",$A123),0)
- IFERROR(GETPIVOTDATA("Somma di AVERE",'Pivot PP Visa'!$A$3,"Mese",7,"Tipologia",$A123),0)
+ IFERROR(GETPIVOTDATA("Somma di DARE",'Pivot Revolut'!$A$3,"Mese",7,"Tipologia",$A123),0)
- IFERROR(GETPIVOTDATA("Somma di AVERE",'Pivot Revolut'!$A$3,"Mese",7,"Tipologia",$A123),0)</f>
        <v>0</v>
      </c>
      <c r="J123" s="243">
        <f>IFERROR(GETPIVOTDATA("Somma di DARE EUR",'Pivot RakBank AED'!$A$3,"Mese",8,"Tipologia",$A123),0)
- IFERROR(GETPIVOTDATA("Somma di AVERE EUR",'Pivot RakBank AED'!$A$3,"Mese",8,"Tipologia",$A123),0)
+IFERROR(GETPIVOTDATA("Somma di DARE",'Pivot RakBank EUR'!$A$3,"Mese",8,"Tipologia",$A123),0)
- IFERROR(GETPIVOTDATA("Somma di AVERE",'Pivot RakBank EUR'!$A$3,"Mese",8,"Tipologia",$A123),0)
+IFERROR(GETPIVOTDATA("Somma di DARE",'Pivot Fineco Sa'!$A$3,"Mese",8,"Tipologia",$A123),0)
+ IFERROR(GETPIVOTDATA("Somma di DARE",'Pivot Fineco St'!$A$3,"Mese",8,"Tipologia",$A123),0)
+ Contanti!AD44
+ IFERROR(GETPIVOTDATA("Somma di DARE",'Pivot BBVA'!$A$3,"Mese",8,"Tipologia",$A123),0)
+ IFERROR(GETPIVOTDATA("Somma di DARE",'Pivot Amex'!$A$3,"Mese",8,"Tipologia",$A123),0)
- IFERROR(GETPIVOTDATA("Somma di AVERE",'Pivot Amex'!$A$3,"Mese",8,"Tipologia",$A123),0)
- IFERROR(GETPIVOTDATA("Somma di AVERE",'Pivot BBVA'!$A$3,"Mese",8,"Tipologia",$A123),0)
- IFERROR(GETPIVOTDATA("Somma di AVERE",'Pivot Fineco St'!$A$3,"Mese",8,"Tipologia",$A123),0)
- IFERROR(GETPIVOTDATA("Somma di AVERE",'Pivot Fineco Sa'!$A$3,"Mese",8,"Tipologia",$A123),0)
+ IFERROR(GETPIVOTDATA("Somma di DARE",'Pivot PP Visa'!$A$3,"Mese",8,"Tipologia",$A123),0)
- IFERROR(GETPIVOTDATA("Somma di AVERE",'Pivot PP Visa'!$A$3,"Mese",8,"Tipologia",$A123),0)
+ IFERROR(GETPIVOTDATA("Somma di DARE",'Pivot Revolut'!$A$3,"Mese",8,"Tipologia",$A123),0)
- IFERROR(GETPIVOTDATA("Somma di AVERE",'Pivot Revolut'!$A$3,"Mese",8,"Tipologia",$A123),0)</f>
        <v>0</v>
      </c>
      <c r="K123" s="243">
        <f>IFERROR(GETPIVOTDATA("Somma di DARE EUR",'Pivot RakBank AED'!$A$3,"Mese",9,"Tipologia",$A123),0)
- IFERROR(GETPIVOTDATA("Somma di AVERE EUR",'Pivot RakBank AED'!$A$3,"Mese",9,"Tipologia",$A123),0)
+IFERROR(GETPIVOTDATA("Somma di DARE",'Pivot RakBank EUR'!$A$3,"Mese",9,"Tipologia",$A123),0)
- IFERROR(GETPIVOTDATA("Somma di AVERE",'Pivot RakBank EUR'!$A$3,"Mese",9,"Tipologia",$A123),0)
+IFERROR(GETPIVOTDATA("Somma di DARE",'Pivot Fineco Sa'!$A$3,"Mese",9,"Tipologia",$A123),0)
+ IFERROR(GETPIVOTDATA("Somma di DARE",'Pivot Fineco St'!$A$3,"Mese",9,"Tipologia",$A123),0)
+ Contanti!AH44
+ IFERROR(GETPIVOTDATA("Somma di DARE",'Pivot BBVA'!$A$3,"Mese",9,"Tipologia",$A123),0)
+ IFERROR(GETPIVOTDATA("Somma di DARE",'Pivot Amex'!$A$3,"Mese",9,"Tipologia",$A123),0)
- IFERROR(GETPIVOTDATA("Somma di AVERE",'Pivot Amex'!$A$3,"Mese",9,"Tipologia",$A123),0)
- IFERROR(GETPIVOTDATA("Somma di AVERE",'Pivot BBVA'!$A$3,"Mese",9,"Tipologia",$A123),0)
- IFERROR(GETPIVOTDATA("Somma di AVERE",'Pivot Fineco St'!$A$3,"Mese",9,"Tipologia",$A123),0)
- IFERROR(GETPIVOTDATA("Somma di AVERE",'Pivot Fineco Sa'!$A$3,"Mese",9,"Tipologia",$A123),0)
+ IFERROR(GETPIVOTDATA("Somma di DARE",'Pivot PP Visa'!$A$3,"Mese",9,"Tipologia",$A123),0)
- IFERROR(GETPIVOTDATA("Somma di AVERE",'Pivot PP Visa'!$A$3,"Mese",9,"Tipologia",$A123),0)
+ IFERROR(GETPIVOTDATA("Somma di DARE",'Pivot Revolut'!$A$3,"Mese",9,"Tipologia",$A123),0)
- IFERROR(GETPIVOTDATA("Somma di AVERE",'Pivot Revolut'!$A$3,"Mese",9,"Tipologia",$A123),0)</f>
        <v>0</v>
      </c>
      <c r="L123" s="243">
        <f>IFERROR(GETPIVOTDATA("Somma di DARE EUR",'Pivot RakBank AED'!$A$3,"Mese",10,"Tipologia",$A123),0)
- IFERROR(GETPIVOTDATA("Somma di AVERE EUR",'Pivot RakBank AED'!$A$3,"Mese",10,"Tipologia",$A123),0)
+IFERROR(GETPIVOTDATA("Somma di DARE",'Pivot RakBank EUR'!$A$3,"Mese",10,"Tipologia",$A123),0)
- IFERROR(GETPIVOTDATA("Somma di AVERE",'Pivot RakBank EUR'!$A$3,"Mese",10,"Tipologia",$A123),0)
+IFERROR(GETPIVOTDATA("Somma di DARE",'Pivot Fineco Sa'!$A$3,"Mese",10,"Tipologia",$A123),0)
+ IFERROR(GETPIVOTDATA("Somma di DARE",'Pivot Fineco St'!$A$3,"Mese",10,"Tipologia",$A123),0)
+ Contanti!AL44
+ IFERROR(GETPIVOTDATA("Somma di DARE",'Pivot BBVA'!$A$3,"Mese",10,"Tipologia",$A123),0)
+ IFERROR(GETPIVOTDATA("Somma di DARE",'Pivot Amex'!$A$3,"Mese",10,"Tipologia",$A123),0)
- IFERROR(GETPIVOTDATA("Somma di AVERE",'Pivot Amex'!$A$3,"Mese",10,"Tipologia",$A123),0)
- IFERROR(GETPIVOTDATA("Somma di AVERE",'Pivot BBVA'!$A$3,"Mese",10,"Tipologia",$A123),0)
- IFERROR(GETPIVOTDATA("Somma di AVERE",'Pivot Fineco St'!$A$3,"Mese",10,"Tipologia",$A123),0)
- IFERROR(GETPIVOTDATA("Somma di AVERE",'Pivot Fineco Sa'!$A$3,"Mese",10,"Tipologia",$A123),0)
+ IFERROR(GETPIVOTDATA("Somma di DARE",'Pivot PP Visa'!$A$3,"Mese",10,"Tipologia",$A123),0)
- IFERROR(GETPIVOTDATA("Somma di AVERE",'Pivot PP Visa'!$A$3,"Mese",10,"Tipologia",$A123),0)
+ IFERROR(GETPIVOTDATA("Somma di DARE",'Pivot Revolut'!$A$3,"Mese",10,"Tipologia",$A123),0)
- IFERROR(GETPIVOTDATA("Somma di AVERE",'Pivot Revolut'!$A$3,"Mese",10,"Tipologia",$A123),0)</f>
        <v>0</v>
      </c>
      <c r="M123" s="243">
        <f>IFERROR(GETPIVOTDATA("Somma di DARE EUR",'Pivot RakBank AED'!$A$3,"Mese",11,"Tipologia",$A123),0)
- IFERROR(GETPIVOTDATA("Somma di AVERE EUR",'Pivot RakBank AED'!$A$3,"Mese",11,"Tipologia",$A123),0)
+IFERROR(GETPIVOTDATA("Somma di DARE",'Pivot RakBank EUR'!$A$3,"Mese",11,"Tipologia",$A123),0)
- IFERROR(GETPIVOTDATA("Somma di AVERE",'Pivot RakBank EUR'!$A$3,"Mese",11,"Tipologia",$A123),0)
+IFERROR(GETPIVOTDATA("Somma di DARE",'Pivot Fineco Sa'!$A$3,"Mese",11,"Tipologia",$A123),0)
+ IFERROR(GETPIVOTDATA("Somma di DARE",'Pivot Fineco St'!$A$3,"Mese",11,"Tipologia",$A123),0)
+ Contanti!AP44
+ IFERROR(GETPIVOTDATA("Somma di DARE",'Pivot BBVA'!$A$3,"Mese",11,"Tipologia",$A123),0)
+ IFERROR(GETPIVOTDATA("Somma di DARE",'Pivot Amex'!$A$3,"Mese",11,"Tipologia",$A123),0)
- IFERROR(GETPIVOTDATA("Somma di AVERE",'Pivot Amex'!$A$3,"Mese",11,"Tipologia",$A123),0)
- IFERROR(GETPIVOTDATA("Somma di AVERE",'Pivot BBVA'!$A$3,"Mese",11,"Tipologia",$A123),0)
- IFERROR(GETPIVOTDATA("Somma di AVERE",'Pivot Fineco St'!$A$3,"Mese",11,"Tipologia",$A123),0)
- IFERROR(GETPIVOTDATA("Somma di AVERE",'Pivot Fineco Sa'!$A$3,"Mese",11,"Tipologia",$A123),0)
+ IFERROR(GETPIVOTDATA("Somma di DARE",'Pivot PP Visa'!$A$3,"Mese",11,"Tipologia",$A123),0)
- IFERROR(GETPIVOTDATA("Somma di AVERE",'Pivot PP Visa'!$A$3,"Mese",11,"Tipologia",$A123),0)
+ IFERROR(GETPIVOTDATA("Somma di DARE",'Pivot Revolut'!$A$3,"Mese",11,"Tipologia",$A123),0)
- IFERROR(GETPIVOTDATA("Somma di AVERE",'Pivot Revolut'!$A$3,"Mese",11,"Tipologia",$A123),0)</f>
        <v>0</v>
      </c>
      <c r="N123" s="243">
        <f>IFERROR(GETPIVOTDATA("Somma di DARE EUR",'Pivot RakBank AED'!$A$3,"Mese",12,"Tipologia",$A123),0)
- IFERROR(GETPIVOTDATA("Somma di AVERE EUR",'Pivot RakBank AED'!$A$3,"Mese",12,"Tipologia",$A123),0)
+IFERROR(GETPIVOTDATA("Somma di DARE",'Pivot RakBank EUR'!$A$3,"Mese",12,"Tipologia",$A123),0)
- IFERROR(GETPIVOTDATA("Somma di AVERE",'Pivot RakBank EUR'!$A$3,"Mese",12,"Tipologia",$A123),0)
+IFERROR(GETPIVOTDATA("Somma di DARE",'Pivot Fineco Sa'!$A$3,"Mese",12,"Tipologia",$A123),0)
+ IFERROR(GETPIVOTDATA("Somma di DARE",'Pivot Fineco St'!$A$3,"Mese",12,"Tipologia",$A123),0)
+ Contanti!AT44
+ IFERROR(GETPIVOTDATA("Somma di DARE",'Pivot BBVA'!$A$3,"Mese",12,"Tipologia",$A123),0)
+ IFERROR(GETPIVOTDATA("Somma di DARE",'Pivot Amex'!$A$3,"Mese",12,"Tipologia",$A123),0)
- IFERROR(GETPIVOTDATA("Somma di AVERE",'Pivot Amex'!$A$3,"Mese",12,"Tipologia",$A123),0)
- IFERROR(GETPIVOTDATA("Somma di AVERE",'Pivot BBVA'!$A$3,"Mese",12,"Tipologia",$A123),0)
- IFERROR(GETPIVOTDATA("Somma di AVERE",'Pivot Fineco St'!$A$3,"Mese",12,"Tipologia",$A123),0)
- IFERROR(GETPIVOTDATA("Somma di AVERE",'Pivot Fineco Sa'!$A$3,"Mese",12,"Tipologia",$A123),0)
+ IFERROR(GETPIVOTDATA("Somma di DARE",'Pivot PP Visa'!$A$3,"Mese",12,"Tipologia",$A123),0)
- IFERROR(GETPIVOTDATA("Somma di AVERE",'Pivot PP Visa'!$A$3,"Mese",12,"Tipologia",$A123),0)
+ IFERROR(GETPIVOTDATA("Somma di DARE",'Pivot Revolut'!$A$3,"Mese",12,"Tipologia",$A123),0)
- IFERROR(GETPIVOTDATA("Somma di AVERE",'Pivot Revolut'!$A$3,"Mese",12,"Tipologia",$A123),0)</f>
        <v>0</v>
      </c>
      <c r="O123" s="252">
        <f t="shared" si="14"/>
        <v>276.89999999999998</v>
      </c>
      <c r="P123" s="243"/>
    </row>
    <row r="124" spans="1:16" s="125" customFormat="1" ht="21" customHeight="1" x14ac:dyDescent="0.2">
      <c r="A124" s="251" t="s">
        <v>243</v>
      </c>
      <c r="B124" s="251"/>
      <c r="C124" s="243">
        <f>IFERROR(GETPIVOTDATA("Somma di DARE EUR",'Pivot RakBank AED'!$A$3,"Mese",1,"Tipologia",$A124),0)
- IFERROR(GETPIVOTDATA("Somma di AVERE EUR",'Pivot RakBank AED'!$A$3,"Mese",1,"Tipologia",$A124),0)
+IFERROR(GETPIVOTDATA("Somma di DARE",'Pivot RakBank EUR'!$A$3,"Mese",1,"Tipologia",$A124),0)
- IFERROR(GETPIVOTDATA("Somma di AVERE",'Pivot RakBank EUR'!$A$3,"Mese",1,"Tipologia",$A124),0)
+IFERROR(GETPIVOTDATA("Somma di DARE",'Pivot Fineco Sa'!$A$3,"Mese",1,"Tipologia",$A124),0)
+ IFERROR(GETPIVOTDATA("Somma di DARE",'Pivot Fineco St'!$A$3,"Mese",1,"Tipologia",$A124),0)
+ Contanti!B45
+ IFERROR(GETPIVOTDATA("Somma di DARE",'Pivot BBVA'!$A$3,"Mese",1,"Tipologia",$A124),0)
+ IFERROR(GETPIVOTDATA("Somma di DARE",'Pivot Amex'!$A$3,"Mese",1,"Tipologia",$A124),0)
- IFERROR(GETPIVOTDATA("Somma di AVERE",'Pivot Amex'!$A$3,"Mese",1,"Tipologia",$A124),0)
- IFERROR(GETPIVOTDATA("Somma di AVERE",'Pivot BBVA'!$A$3,"Mese",1,"Tipologia",$A124),0)
- IFERROR(GETPIVOTDATA("Somma di AVERE",'Pivot Fineco St'!$A$3,"Mese",1,"Tipologia",$A124),0)
- IFERROR(GETPIVOTDATA("Somma di AVERE",'Pivot Fineco Sa'!$A$3,"Mese",1,"Tipologia",$A124),0)
+ IFERROR(GETPIVOTDATA("Somma di DARE",'Pivot PP Visa'!$A$3,"Mese",1,"Tipologia",$A124),0)
- IFERROR(GETPIVOTDATA("Somma di AVERE",'Pivot PP Visa'!$A$3,"Mese",1,"Tipologia",$A124),0)
+ IFERROR(GETPIVOTDATA("Somma di DARE",'Pivot Revolut'!$A$3,"Mese",1,"Tipologia",$A124),0)
- IFERROR(GETPIVOTDATA("Somma di AVERE",'Pivot Revolut'!$A$3,"Mese",1,"Tipologia",$A124),0)</f>
        <v>0</v>
      </c>
      <c r="D124" s="243">
        <f>IFERROR(GETPIVOTDATA("Somma di DARE EUR",'Pivot RakBank AED'!$A$3,"Mese",2,"Tipologia",$A124),0)
- IFERROR(GETPIVOTDATA("Somma di AVERE EUR",'Pivot RakBank AED'!$A$3,"Mese",2,"Tipologia",$A124),0)
+IFERROR(GETPIVOTDATA("Somma di DARE",'Pivot RakBank EUR'!$A$3,"Mese",2,"Tipologia",$A124),0)
- IFERROR(GETPIVOTDATA("Somma di AVERE",'Pivot RakBank EUR'!$A$3,"Mese",2,"Tipologia",$A124),0)
+IFERROR(GETPIVOTDATA("Somma di DARE",'Pivot Fineco Sa'!$A$3,"Mese",2,"Tipologia",$A124),0)
+ IFERROR(GETPIVOTDATA("Somma di DARE",'Pivot Fineco St'!$A$3,"Mese",2,"Tipologia",$A124),0)
+ Contanti!F45
+ IFERROR(GETPIVOTDATA("Somma di DARE",'Pivot BBVA'!$A$3,"Mese",2,"Tipologia",$A124),0)
+ IFERROR(GETPIVOTDATA("Somma di DARE",'Pivot Amex'!$A$3,"Mese",2,"Tipologia",$A124),0)
- IFERROR(GETPIVOTDATA("Somma di AVERE",'Pivot Amex'!$A$3,"Mese",2,"Tipologia",$A124),0)
- IFERROR(GETPIVOTDATA("Somma di AVERE",'Pivot BBVA'!$A$3,"Mese",2,"Tipologia",$A124),0)
- IFERROR(GETPIVOTDATA("Somma di AVERE",'Pivot Fineco St'!$A$3,"Mese",2,"Tipologia",$A124),0)
- IFERROR(GETPIVOTDATA("Somma di AVERE",'Pivot Fineco Sa'!$A$3,"Mese",2,"Tipologia",$A124),0)
+ IFERROR(GETPIVOTDATA("Somma di DARE",'Pivot PP Visa'!$A$3,"Mese",2,"Tipologia",$A124),0)
- IFERROR(GETPIVOTDATA("Somma di AVERE",'Pivot PP Visa'!$A$3,"Mese",2,"Tipologia",$A124),0)
+ IFERROR(GETPIVOTDATA("Somma di DARE",'Pivot Revolut'!$A$3,"Mese",2,"Tipologia",$A124),0)
- IFERROR(GETPIVOTDATA("Somma di AVERE",'Pivot Revolut'!$A$3,"Mese",2,"Tipologia",$A124),0)</f>
        <v>324.73</v>
      </c>
      <c r="E124" s="243">
        <f>IFERROR(GETPIVOTDATA("Somma di DARE EUR",'Pivot RakBank AED'!$A$3,"Mese",3,"Tipologia",$A124),0)
- IFERROR(GETPIVOTDATA("Somma di AVERE EUR",'Pivot RakBank AED'!$A$3,"Mese",3,"Tipologia",$A124),0)
+IFERROR(GETPIVOTDATA("Somma di DARE",'Pivot RakBank EUR'!$A$3,"Mese",3,"Tipologia",$A124),0)
- IFERROR(GETPIVOTDATA("Somma di AVERE",'Pivot RakBank EUR'!$A$3,"Mese",3,"Tipologia",$A124),0)
+IFERROR(GETPIVOTDATA("Somma di DARE",'Pivot Fineco Sa'!$A$3,"Mese",3,"Tipologia",$A124),0)
+ IFERROR(GETPIVOTDATA("Somma di DARE",'Pivot Fineco St'!$A$3,"Mese",3,"Tipologia",$A124),0)
+ Contanti!J45
+ IFERROR(GETPIVOTDATA("Somma di DARE",'Pivot BBVA'!$A$3,"Mese",3,"Tipologia",$A124),0)
+ IFERROR(GETPIVOTDATA("Somma di DARE",'Pivot Amex'!$A$3,"Mese",3,"Tipologia",$A124),0)
- IFERROR(GETPIVOTDATA("Somma di AVERE",'Pivot Amex'!$A$3,"Mese",3,"Tipologia",$A124),0)
- IFERROR(GETPIVOTDATA("Somma di AVERE",'Pivot BBVA'!$A$3,"Mese",3,"Tipologia",$A124),0)
- IFERROR(GETPIVOTDATA("Somma di AVERE",'Pivot Fineco St'!$A$3,"Mese",3,"Tipologia",$A124),0)
- IFERROR(GETPIVOTDATA("Somma di AVERE",'Pivot Fineco Sa'!$A$3,"Mese",3,"Tipologia",$A124),0)
+ IFERROR(GETPIVOTDATA("Somma di DARE",'Pivot PP Visa'!$A$3,"Mese",3,"Tipologia",$A124),0)
- IFERROR(GETPIVOTDATA("Somma di AVERE",'Pivot PP Visa'!$A$3,"Mese",3,"Tipologia",$A124),0)
+ IFERROR(GETPIVOTDATA("Somma di DARE",'Pivot Revolut'!$A$3,"Mese",3,"Tipologia",$A124),0)
- IFERROR(GETPIVOTDATA("Somma di AVERE",'Pivot Revolut'!$A$3,"Mese",3,"Tipologia",$A124),0)</f>
        <v>0</v>
      </c>
      <c r="F124" s="243">
        <f>IFERROR(GETPIVOTDATA("Somma di DARE EUR",'Pivot RakBank AED'!$A$3,"Mese",4,"Tipologia",$A124),0)
- IFERROR(GETPIVOTDATA("Somma di AVERE EUR",'Pivot RakBank AED'!$A$3,"Mese",4,"Tipologia",$A124),0)
+IFERROR(GETPIVOTDATA("Somma di DARE",'Pivot RakBank EUR'!$A$3,"Mese",4,"Tipologia",$A124),0)
- IFERROR(GETPIVOTDATA("Somma di AVERE",'Pivot RakBank EUR'!$A$3,"Mese",4,"Tipologia",$A124),0)
+IFERROR(GETPIVOTDATA("Somma di DARE",'Pivot Fineco Sa'!$A$3,"Mese",4,"Tipologia",$A124),0)
+ IFERROR(GETPIVOTDATA("Somma di DARE",'Pivot Fineco St'!$A$3,"Mese",4,"Tipologia",$A124),0)
+ Contanti!N45
+ IFERROR(GETPIVOTDATA("Somma di DARE",'Pivot BBVA'!$A$3,"Mese",4,"Tipologia",$A124),0)
+ IFERROR(GETPIVOTDATA("Somma di DARE",'Pivot Amex'!$A$3,"Mese",4,"Tipologia",$A124),0)
- IFERROR(GETPIVOTDATA("Somma di AVERE",'Pivot Amex'!$A$3,"Mese",4,"Tipologia",$A124),0)
- IFERROR(GETPIVOTDATA("Somma di AVERE",'Pivot BBVA'!$A$3,"Mese",4,"Tipologia",$A124),0)
- IFERROR(GETPIVOTDATA("Somma di AVERE",'Pivot Fineco St'!$A$3,"Mese",4,"Tipologia",$A124),0)
- IFERROR(GETPIVOTDATA("Somma di AVERE",'Pivot Fineco Sa'!$A$3,"Mese",4,"Tipologia",$A124),0)
+ IFERROR(GETPIVOTDATA("Somma di DARE",'Pivot PP Visa'!$A$3,"Mese",4,"Tipologia",$A124),0)
- IFERROR(GETPIVOTDATA("Somma di AVERE",'Pivot PP Visa'!$A$3,"Mese",4,"Tipologia",$A124),0)
+ IFERROR(GETPIVOTDATA("Somma di DARE",'Pivot Revolut'!$A$3,"Mese",4,"Tipologia",$A124),0)
- IFERROR(GETPIVOTDATA("Somma di AVERE",'Pivot Revolut'!$A$3,"Mese",4,"Tipologia",$A124),0)</f>
        <v>0</v>
      </c>
      <c r="G124" s="243">
        <f>IFERROR(GETPIVOTDATA("Somma di DARE EUR",'Pivot RakBank AED'!$A$3,"Mese",5,"Tipologia",$A124),0)
- IFERROR(GETPIVOTDATA("Somma di AVERE EUR",'Pivot RakBank AED'!$A$3,"Mese",5,"Tipologia",$A124),0)
+IFERROR(GETPIVOTDATA("Somma di DARE",'Pivot RakBank EUR'!$A$3,"Mese",5,"Tipologia",$A124),0)
- IFERROR(GETPIVOTDATA("Somma di AVERE",'Pivot RakBank EUR'!$A$3,"Mese",5,"Tipologia",$A124),0)
+IFERROR(GETPIVOTDATA("Somma di DARE",'Pivot Fineco Sa'!$A$3,"Mese",5,"Tipologia",$A124),0)
+ IFERROR(GETPIVOTDATA("Somma di DARE",'Pivot Fineco St'!$A$3,"Mese",5,"Tipologia",$A124),0)
+ Contanti!R45
+ IFERROR(GETPIVOTDATA("Somma di DARE",'Pivot BBVA'!$A$3,"Mese",5,"Tipologia",$A124),0)
+ IFERROR(GETPIVOTDATA("Somma di DARE",'Pivot Amex'!$A$3,"Mese",5,"Tipologia",$A124),0)
- IFERROR(GETPIVOTDATA("Somma di AVERE",'Pivot Amex'!$A$3,"Mese",5,"Tipologia",$A124),0)
- IFERROR(GETPIVOTDATA("Somma di AVERE",'Pivot BBVA'!$A$3,"Mese",5,"Tipologia",$A124),0)
- IFERROR(GETPIVOTDATA("Somma di AVERE",'Pivot Fineco St'!$A$3,"Mese",5,"Tipologia",$A124),0)
- IFERROR(GETPIVOTDATA("Somma di AVERE",'Pivot Fineco Sa'!$A$3,"Mese",5,"Tipologia",$A124),0)
+ IFERROR(GETPIVOTDATA("Somma di DARE",'Pivot PP Visa'!$A$3,"Mese",5,"Tipologia",$A124),0)
- IFERROR(GETPIVOTDATA("Somma di AVERE",'Pivot PP Visa'!$A$3,"Mese",5,"Tipologia",$A124),0)
+ IFERROR(GETPIVOTDATA("Somma di DARE",'Pivot Revolut'!$A$3,"Mese",5,"Tipologia",$A124),0)
- IFERROR(GETPIVOTDATA("Somma di AVERE",'Pivot Revolut'!$A$3,"Mese",5,"Tipologia",$A124),0)</f>
        <v>120.81666666666668</v>
      </c>
      <c r="H124" s="243">
        <f>IFERROR(GETPIVOTDATA("Somma di DARE EUR",'Pivot RakBank AED'!$A$3,"Mese",6,"Tipologia",$A124),0)
- IFERROR(GETPIVOTDATA("Somma di AVERE EUR",'Pivot RakBank AED'!$A$3,"Mese",6,"Tipologia",$A124),0)
+IFERROR(GETPIVOTDATA("Somma di DARE",'Pivot RakBank EUR'!$A$3,"Mese",6,"Tipologia",$A124),0)
- IFERROR(GETPIVOTDATA("Somma di AVERE",'Pivot RakBank EUR'!$A$3,"Mese",6,"Tipologia",$A124),0)
+IFERROR(GETPIVOTDATA("Somma di DARE",'Pivot Fineco Sa'!$A$3,"Mese",6,"Tipologia",$A124),0)
+ IFERROR(GETPIVOTDATA("Somma di DARE",'Pivot Fineco St'!$A$3,"Mese",6,"Tipologia",$A124),0)
+ Contanti!V45
+ IFERROR(GETPIVOTDATA("Somma di DARE",'Pivot BBVA'!$A$3,"Mese",6,"Tipologia",$A124),0)
+ IFERROR(GETPIVOTDATA("Somma di DARE",'Pivot Amex'!$A$3,"Mese",6,"Tipologia",$A124),0)
- IFERROR(GETPIVOTDATA("Somma di AVERE",'Pivot Amex'!$A$3,"Mese",6,"Tipologia",$A124),0)
- IFERROR(GETPIVOTDATA("Somma di AVERE",'Pivot BBVA'!$A$3,"Mese",6,"Tipologia",$A124),0)
- IFERROR(GETPIVOTDATA("Somma di AVERE",'Pivot Fineco St'!$A$3,"Mese",6,"Tipologia",$A124),0)
- IFERROR(GETPIVOTDATA("Somma di AVERE",'Pivot Fineco Sa'!$A$3,"Mese",6,"Tipologia",$A124),0)
+ IFERROR(GETPIVOTDATA("Somma di DARE",'Pivot PP Visa'!$A$3,"Mese",6,"Tipologia",$A124),0)
- IFERROR(GETPIVOTDATA("Somma di AVERE",'Pivot PP Visa'!$A$3,"Mese",6,"Tipologia",$A124),0)
+ IFERROR(GETPIVOTDATA("Somma di DARE",'Pivot Revolut'!$A$3,"Mese",6,"Tipologia",$A124),0)
- IFERROR(GETPIVOTDATA("Somma di AVERE",'Pivot Revolut'!$A$3,"Mese",6,"Tipologia",$A124),0)</f>
        <v>0</v>
      </c>
      <c r="I124" s="243">
        <f>IFERROR(GETPIVOTDATA("Somma di DARE EUR",'Pivot RakBank AED'!$A$3,"Mese",7,"Tipologia",$A124),0)
- IFERROR(GETPIVOTDATA("Somma di AVERE EUR",'Pivot RakBank AED'!$A$3,"Mese",7,"Tipologia",$A124),0)
+IFERROR(GETPIVOTDATA("Somma di DARE",'Pivot RakBank EUR'!$A$3,"Mese",7,"Tipologia",$A124),0)
- IFERROR(GETPIVOTDATA("Somma di AVERE",'Pivot RakBank EUR'!$A$3,"Mese",7,"Tipologia",$A124),0)
+IFERROR(GETPIVOTDATA("Somma di DARE",'Pivot Fineco Sa'!$A$3,"Mese",7,"Tipologia",$A124),0)
+ IFERROR(GETPIVOTDATA("Somma di DARE",'Pivot Fineco St'!$A$3,"Mese",7,"Tipologia",$A124),0)
+ Contanti!Z45
+ IFERROR(GETPIVOTDATA("Somma di DARE",'Pivot BBVA'!$A$3,"Mese",7,"Tipologia",$A124),0)
+ IFERROR(GETPIVOTDATA("Somma di DARE",'Pivot Amex'!$A$3,"Mese",7,"Tipologia",$A124),0)
- IFERROR(GETPIVOTDATA("Somma di AVERE",'Pivot Amex'!$A$3,"Mese",7,"Tipologia",$A124),0)
- IFERROR(GETPIVOTDATA("Somma di AVERE",'Pivot BBVA'!$A$3,"Mese",7,"Tipologia",$A124),0)
- IFERROR(GETPIVOTDATA("Somma di AVERE",'Pivot Fineco St'!$A$3,"Mese",7,"Tipologia",$A124),0)
- IFERROR(GETPIVOTDATA("Somma di AVERE",'Pivot Fineco Sa'!$A$3,"Mese",7,"Tipologia",$A124),0)
+ IFERROR(GETPIVOTDATA("Somma di DARE",'Pivot PP Visa'!$A$3,"Mese",7,"Tipologia",$A124),0)
- IFERROR(GETPIVOTDATA("Somma di AVERE",'Pivot PP Visa'!$A$3,"Mese",7,"Tipologia",$A124),0)
+ IFERROR(GETPIVOTDATA("Somma di DARE",'Pivot Revolut'!$A$3,"Mese",7,"Tipologia",$A124),0)
- IFERROR(GETPIVOTDATA("Somma di AVERE",'Pivot Revolut'!$A$3,"Mese",7,"Tipologia",$A124),0)</f>
        <v>0</v>
      </c>
      <c r="J124" s="243">
        <f>IFERROR(GETPIVOTDATA("Somma di DARE EUR",'Pivot RakBank AED'!$A$3,"Mese",8,"Tipologia",$A124),0)
- IFERROR(GETPIVOTDATA("Somma di AVERE EUR",'Pivot RakBank AED'!$A$3,"Mese",8,"Tipologia",$A124),0)
+IFERROR(GETPIVOTDATA("Somma di DARE",'Pivot RakBank EUR'!$A$3,"Mese",8,"Tipologia",$A124),0)
- IFERROR(GETPIVOTDATA("Somma di AVERE",'Pivot RakBank EUR'!$A$3,"Mese",8,"Tipologia",$A124),0)
+IFERROR(GETPIVOTDATA("Somma di DARE",'Pivot Fineco Sa'!$A$3,"Mese",8,"Tipologia",$A124),0)
+ IFERROR(GETPIVOTDATA("Somma di DARE",'Pivot Fineco St'!$A$3,"Mese",8,"Tipologia",$A124),0)
+ Contanti!AD45
+ IFERROR(GETPIVOTDATA("Somma di DARE",'Pivot BBVA'!$A$3,"Mese",8,"Tipologia",$A124),0)
+ IFERROR(GETPIVOTDATA("Somma di DARE",'Pivot Amex'!$A$3,"Mese",8,"Tipologia",$A124),0)
- IFERROR(GETPIVOTDATA("Somma di AVERE",'Pivot Amex'!$A$3,"Mese",8,"Tipologia",$A124),0)
- IFERROR(GETPIVOTDATA("Somma di AVERE",'Pivot BBVA'!$A$3,"Mese",8,"Tipologia",$A124),0)
- IFERROR(GETPIVOTDATA("Somma di AVERE",'Pivot Fineco St'!$A$3,"Mese",8,"Tipologia",$A124),0)
- IFERROR(GETPIVOTDATA("Somma di AVERE",'Pivot Fineco Sa'!$A$3,"Mese",8,"Tipologia",$A124),0)
+ IFERROR(GETPIVOTDATA("Somma di DARE",'Pivot PP Visa'!$A$3,"Mese",8,"Tipologia",$A124),0)
- IFERROR(GETPIVOTDATA("Somma di AVERE",'Pivot PP Visa'!$A$3,"Mese",8,"Tipologia",$A124),0)
+ IFERROR(GETPIVOTDATA("Somma di DARE",'Pivot Revolut'!$A$3,"Mese",8,"Tipologia",$A124),0)
- IFERROR(GETPIVOTDATA("Somma di AVERE",'Pivot Revolut'!$A$3,"Mese",8,"Tipologia",$A124),0)</f>
        <v>0</v>
      </c>
      <c r="K124" s="243">
        <f>IFERROR(GETPIVOTDATA("Somma di DARE EUR",'Pivot RakBank AED'!$A$3,"Mese",9,"Tipologia",$A124),0)
- IFERROR(GETPIVOTDATA("Somma di AVERE EUR",'Pivot RakBank AED'!$A$3,"Mese",9,"Tipologia",$A124),0)
+IFERROR(GETPIVOTDATA("Somma di DARE",'Pivot RakBank EUR'!$A$3,"Mese",9,"Tipologia",$A124),0)
- IFERROR(GETPIVOTDATA("Somma di AVERE",'Pivot RakBank EUR'!$A$3,"Mese",9,"Tipologia",$A124),0)
+IFERROR(GETPIVOTDATA("Somma di DARE",'Pivot Fineco Sa'!$A$3,"Mese",9,"Tipologia",$A124),0)
+ IFERROR(GETPIVOTDATA("Somma di DARE",'Pivot Fineco St'!$A$3,"Mese",9,"Tipologia",$A124),0)
+ Contanti!AH45
+ IFERROR(GETPIVOTDATA("Somma di DARE",'Pivot BBVA'!$A$3,"Mese",9,"Tipologia",$A124),0)
+ IFERROR(GETPIVOTDATA("Somma di DARE",'Pivot Amex'!$A$3,"Mese",9,"Tipologia",$A124),0)
- IFERROR(GETPIVOTDATA("Somma di AVERE",'Pivot Amex'!$A$3,"Mese",9,"Tipologia",$A124),0)
- IFERROR(GETPIVOTDATA("Somma di AVERE",'Pivot BBVA'!$A$3,"Mese",9,"Tipologia",$A124),0)
- IFERROR(GETPIVOTDATA("Somma di AVERE",'Pivot Fineco St'!$A$3,"Mese",9,"Tipologia",$A124),0)
- IFERROR(GETPIVOTDATA("Somma di AVERE",'Pivot Fineco Sa'!$A$3,"Mese",9,"Tipologia",$A124),0)
+ IFERROR(GETPIVOTDATA("Somma di DARE",'Pivot PP Visa'!$A$3,"Mese",9,"Tipologia",$A124),0)
- IFERROR(GETPIVOTDATA("Somma di AVERE",'Pivot PP Visa'!$A$3,"Mese",9,"Tipologia",$A124),0)
+ IFERROR(GETPIVOTDATA("Somma di DARE",'Pivot Revolut'!$A$3,"Mese",9,"Tipologia",$A124),0)
- IFERROR(GETPIVOTDATA("Somma di AVERE",'Pivot Revolut'!$A$3,"Mese",9,"Tipologia",$A124),0)</f>
        <v>0</v>
      </c>
      <c r="L124" s="243">
        <f>IFERROR(GETPIVOTDATA("Somma di DARE EUR",'Pivot RakBank AED'!$A$3,"Mese",10,"Tipologia",$A124),0)
- IFERROR(GETPIVOTDATA("Somma di AVERE EUR",'Pivot RakBank AED'!$A$3,"Mese",10,"Tipologia",$A124),0)
+IFERROR(GETPIVOTDATA("Somma di DARE",'Pivot RakBank EUR'!$A$3,"Mese",10,"Tipologia",$A124),0)
- IFERROR(GETPIVOTDATA("Somma di AVERE",'Pivot RakBank EUR'!$A$3,"Mese",10,"Tipologia",$A124),0)
+IFERROR(GETPIVOTDATA("Somma di DARE",'Pivot Fineco Sa'!$A$3,"Mese",10,"Tipologia",$A124),0)
+ IFERROR(GETPIVOTDATA("Somma di DARE",'Pivot Fineco St'!$A$3,"Mese",10,"Tipologia",$A124),0)
+ Contanti!AL45
+ IFERROR(GETPIVOTDATA("Somma di DARE",'Pivot BBVA'!$A$3,"Mese",10,"Tipologia",$A124),0)
+ IFERROR(GETPIVOTDATA("Somma di DARE",'Pivot Amex'!$A$3,"Mese",10,"Tipologia",$A124),0)
- IFERROR(GETPIVOTDATA("Somma di AVERE",'Pivot Amex'!$A$3,"Mese",10,"Tipologia",$A124),0)
- IFERROR(GETPIVOTDATA("Somma di AVERE",'Pivot BBVA'!$A$3,"Mese",10,"Tipologia",$A124),0)
- IFERROR(GETPIVOTDATA("Somma di AVERE",'Pivot Fineco St'!$A$3,"Mese",10,"Tipologia",$A124),0)
- IFERROR(GETPIVOTDATA("Somma di AVERE",'Pivot Fineco Sa'!$A$3,"Mese",10,"Tipologia",$A124),0)
+ IFERROR(GETPIVOTDATA("Somma di DARE",'Pivot PP Visa'!$A$3,"Mese",10,"Tipologia",$A124),0)
- IFERROR(GETPIVOTDATA("Somma di AVERE",'Pivot PP Visa'!$A$3,"Mese",10,"Tipologia",$A124),0)
+ IFERROR(GETPIVOTDATA("Somma di DARE",'Pivot Revolut'!$A$3,"Mese",10,"Tipologia",$A124),0)
- IFERROR(GETPIVOTDATA("Somma di AVERE",'Pivot Revolut'!$A$3,"Mese",10,"Tipologia",$A124),0)</f>
        <v>0</v>
      </c>
      <c r="M124" s="243">
        <f>IFERROR(GETPIVOTDATA("Somma di DARE EUR",'Pivot RakBank AED'!$A$3,"Mese",11,"Tipologia",$A124),0)
- IFERROR(GETPIVOTDATA("Somma di AVERE EUR",'Pivot RakBank AED'!$A$3,"Mese",11,"Tipologia",$A124),0)
+IFERROR(GETPIVOTDATA("Somma di DARE",'Pivot RakBank EUR'!$A$3,"Mese",11,"Tipologia",$A124),0)
- IFERROR(GETPIVOTDATA("Somma di AVERE",'Pivot RakBank EUR'!$A$3,"Mese",11,"Tipologia",$A124),0)
+IFERROR(GETPIVOTDATA("Somma di DARE",'Pivot Fineco Sa'!$A$3,"Mese",11,"Tipologia",$A124),0)
+ IFERROR(GETPIVOTDATA("Somma di DARE",'Pivot Fineco St'!$A$3,"Mese",11,"Tipologia",$A124),0)
+ Contanti!AP45
+ IFERROR(GETPIVOTDATA("Somma di DARE",'Pivot BBVA'!$A$3,"Mese",11,"Tipologia",$A124),0)
+ IFERROR(GETPIVOTDATA("Somma di DARE",'Pivot Amex'!$A$3,"Mese",11,"Tipologia",$A124),0)
- IFERROR(GETPIVOTDATA("Somma di AVERE",'Pivot Amex'!$A$3,"Mese",11,"Tipologia",$A124),0)
- IFERROR(GETPIVOTDATA("Somma di AVERE",'Pivot BBVA'!$A$3,"Mese",11,"Tipologia",$A124),0)
- IFERROR(GETPIVOTDATA("Somma di AVERE",'Pivot Fineco St'!$A$3,"Mese",11,"Tipologia",$A124),0)
- IFERROR(GETPIVOTDATA("Somma di AVERE",'Pivot Fineco Sa'!$A$3,"Mese",11,"Tipologia",$A124),0)
+ IFERROR(GETPIVOTDATA("Somma di DARE",'Pivot PP Visa'!$A$3,"Mese",11,"Tipologia",$A124),0)
- IFERROR(GETPIVOTDATA("Somma di AVERE",'Pivot PP Visa'!$A$3,"Mese",11,"Tipologia",$A124),0)
+ IFERROR(GETPIVOTDATA("Somma di DARE",'Pivot Revolut'!$A$3,"Mese",11,"Tipologia",$A124),0)
- IFERROR(GETPIVOTDATA("Somma di AVERE",'Pivot Revolut'!$A$3,"Mese",11,"Tipologia",$A124),0)</f>
        <v>0</v>
      </c>
      <c r="N124" s="243">
        <f>IFERROR(GETPIVOTDATA("Somma di DARE EUR",'Pivot RakBank AED'!$A$3,"Mese",12,"Tipologia",$A124),0)
- IFERROR(GETPIVOTDATA("Somma di AVERE EUR",'Pivot RakBank AED'!$A$3,"Mese",12,"Tipologia",$A124),0)
+IFERROR(GETPIVOTDATA("Somma di DARE",'Pivot RakBank EUR'!$A$3,"Mese",12,"Tipologia",$A124),0)
- IFERROR(GETPIVOTDATA("Somma di AVERE",'Pivot RakBank EUR'!$A$3,"Mese",12,"Tipologia",$A124),0)
+IFERROR(GETPIVOTDATA("Somma di DARE",'Pivot Fineco Sa'!$A$3,"Mese",12,"Tipologia",$A124),0)
+ IFERROR(GETPIVOTDATA("Somma di DARE",'Pivot Fineco St'!$A$3,"Mese",12,"Tipologia",$A124),0)
+ Contanti!AT45
+ IFERROR(GETPIVOTDATA("Somma di DARE",'Pivot BBVA'!$A$3,"Mese",12,"Tipologia",$A124),0)
+ IFERROR(GETPIVOTDATA("Somma di DARE",'Pivot Amex'!$A$3,"Mese",12,"Tipologia",$A124),0)
- IFERROR(GETPIVOTDATA("Somma di AVERE",'Pivot Amex'!$A$3,"Mese",12,"Tipologia",$A124),0)
- IFERROR(GETPIVOTDATA("Somma di AVERE",'Pivot BBVA'!$A$3,"Mese",12,"Tipologia",$A124),0)
- IFERROR(GETPIVOTDATA("Somma di AVERE",'Pivot Fineco St'!$A$3,"Mese",12,"Tipologia",$A124),0)
- IFERROR(GETPIVOTDATA("Somma di AVERE",'Pivot Fineco Sa'!$A$3,"Mese",12,"Tipologia",$A124),0)
+ IFERROR(GETPIVOTDATA("Somma di DARE",'Pivot PP Visa'!$A$3,"Mese",12,"Tipologia",$A124),0)
- IFERROR(GETPIVOTDATA("Somma di AVERE",'Pivot PP Visa'!$A$3,"Mese",12,"Tipologia",$A124),0)
+ IFERROR(GETPIVOTDATA("Somma di DARE",'Pivot Revolut'!$A$3,"Mese",12,"Tipologia",$A124),0)
- IFERROR(GETPIVOTDATA("Somma di AVERE",'Pivot Revolut'!$A$3,"Mese",12,"Tipologia",$A124),0)</f>
        <v>0</v>
      </c>
      <c r="O124" s="252">
        <f t="shared" si="14"/>
        <v>445.54666666666668</v>
      </c>
      <c r="P124" s="243"/>
    </row>
    <row r="125" spans="1:16" s="125" customFormat="1" ht="21" customHeight="1" x14ac:dyDescent="0.2">
      <c r="A125" s="251" t="s">
        <v>170</v>
      </c>
      <c r="B125" s="251"/>
      <c r="C125" s="243">
        <f>IFERROR(GETPIVOTDATA("Somma di DARE EUR",'Pivot RakBank AED'!$A$3,"Mese",1,"Tipologia",$A125),0)
- IFERROR(GETPIVOTDATA("Somma di AVERE EUR",'Pivot RakBank AED'!$A$3,"Mese",1,"Tipologia",$A125),0)
+IFERROR(GETPIVOTDATA("Somma di DARE",'Pivot RakBank EUR'!$A$3,"Mese",1,"Tipologia",$A125),0)
- IFERROR(GETPIVOTDATA("Somma di AVERE",'Pivot RakBank EUR'!$A$3,"Mese",1,"Tipologia",$A125),0)
+IFERROR(GETPIVOTDATA("Somma di DARE",'Pivot Fineco Sa'!$A$3,"Mese",1,"Tipologia",$A125),0)
+ IFERROR(GETPIVOTDATA("Somma di DARE",'Pivot Fineco St'!$A$3,"Mese",1,"Tipologia",$A125),0)
+ Contanti!B46
+ IFERROR(GETPIVOTDATA("Somma di DARE",'Pivot BBVA'!$A$3,"Mese",1,"Tipologia",$A125),0)
+ IFERROR(GETPIVOTDATA("Somma di DARE",'Pivot Amex'!$A$3,"Mese",1,"Tipologia",$A125),0)
- IFERROR(GETPIVOTDATA("Somma di AVERE",'Pivot Amex'!$A$3,"Mese",1,"Tipologia",$A125),0)
- IFERROR(GETPIVOTDATA("Somma di AVERE",'Pivot BBVA'!$A$3,"Mese",1,"Tipologia",$A125),0)
- IFERROR(GETPIVOTDATA("Somma di AVERE",'Pivot Fineco St'!$A$3,"Mese",1,"Tipologia",$A125),0)
- IFERROR(GETPIVOTDATA("Somma di AVERE",'Pivot Fineco Sa'!$A$3,"Mese",1,"Tipologia",$A125),0)
+ IFERROR(GETPIVOTDATA("Somma di DARE",'Pivot PP Visa'!$A$3,"Mese",1,"Tipologia",$A125),0)
- IFERROR(GETPIVOTDATA("Somma di AVERE",'Pivot PP Visa'!$A$3,"Mese",1,"Tipologia",$A125),0)
+ IFERROR(GETPIVOTDATA("Somma di DARE",'Pivot Revolut'!$A$3,"Mese",1,"Tipologia",$A125),0)
- IFERROR(GETPIVOTDATA("Somma di AVERE",'Pivot Revolut'!$A$3,"Mese",1,"Tipologia",$A125),0)</f>
        <v>0</v>
      </c>
      <c r="D125" s="243">
        <f>IFERROR(GETPIVOTDATA("Somma di DARE EUR",'Pivot RakBank AED'!$A$3,"Mese",2,"Tipologia",$A125),0)
- IFERROR(GETPIVOTDATA("Somma di AVERE EUR",'Pivot RakBank AED'!$A$3,"Mese",2,"Tipologia",$A125),0)
+IFERROR(GETPIVOTDATA("Somma di DARE",'Pivot RakBank EUR'!$A$3,"Mese",2,"Tipologia",$A125),0)
- IFERROR(GETPIVOTDATA("Somma di AVERE",'Pivot RakBank EUR'!$A$3,"Mese",2,"Tipologia",$A125),0)
+IFERROR(GETPIVOTDATA("Somma di DARE",'Pivot Fineco Sa'!$A$3,"Mese",2,"Tipologia",$A125),0)
+ IFERROR(GETPIVOTDATA("Somma di DARE",'Pivot Fineco St'!$A$3,"Mese",2,"Tipologia",$A125),0)
+ Contanti!F46
+ IFERROR(GETPIVOTDATA("Somma di DARE",'Pivot BBVA'!$A$3,"Mese",2,"Tipologia",$A125),0)
+ IFERROR(GETPIVOTDATA("Somma di DARE",'Pivot Amex'!$A$3,"Mese",2,"Tipologia",$A125),0)
- IFERROR(GETPIVOTDATA("Somma di AVERE",'Pivot Amex'!$A$3,"Mese",2,"Tipologia",$A125),0)
- IFERROR(GETPIVOTDATA("Somma di AVERE",'Pivot BBVA'!$A$3,"Mese",2,"Tipologia",$A125),0)
- IFERROR(GETPIVOTDATA("Somma di AVERE",'Pivot Fineco St'!$A$3,"Mese",2,"Tipologia",$A125),0)
- IFERROR(GETPIVOTDATA("Somma di AVERE",'Pivot Fineco Sa'!$A$3,"Mese",2,"Tipologia",$A125),0)
+ IFERROR(GETPIVOTDATA("Somma di DARE",'Pivot PP Visa'!$A$3,"Mese",2,"Tipologia",$A125),0)
- IFERROR(GETPIVOTDATA("Somma di AVERE",'Pivot PP Visa'!$A$3,"Mese",2,"Tipologia",$A125),0)
+ IFERROR(GETPIVOTDATA("Somma di DARE",'Pivot Revolut'!$A$3,"Mese",2,"Tipologia",$A125),0)
- IFERROR(GETPIVOTDATA("Somma di AVERE",'Pivot Revolut'!$A$3,"Mese",2,"Tipologia",$A125),0)</f>
        <v>182.2</v>
      </c>
      <c r="E125" s="243">
        <f>IFERROR(GETPIVOTDATA("Somma di DARE EUR",'Pivot RakBank AED'!$A$3,"Mese",3,"Tipologia",$A125),0)
- IFERROR(GETPIVOTDATA("Somma di AVERE EUR",'Pivot RakBank AED'!$A$3,"Mese",3,"Tipologia",$A125),0)
+IFERROR(GETPIVOTDATA("Somma di DARE",'Pivot RakBank EUR'!$A$3,"Mese",3,"Tipologia",$A125),0)
- IFERROR(GETPIVOTDATA("Somma di AVERE",'Pivot RakBank EUR'!$A$3,"Mese",3,"Tipologia",$A125),0)
+IFERROR(GETPIVOTDATA("Somma di DARE",'Pivot Fineco Sa'!$A$3,"Mese",3,"Tipologia",$A125),0)
+ IFERROR(GETPIVOTDATA("Somma di DARE",'Pivot Fineco St'!$A$3,"Mese",3,"Tipologia",$A125),0)
+ Contanti!J46
+ IFERROR(GETPIVOTDATA("Somma di DARE",'Pivot BBVA'!$A$3,"Mese",3,"Tipologia",$A125),0)
+ IFERROR(GETPIVOTDATA("Somma di DARE",'Pivot Amex'!$A$3,"Mese",3,"Tipologia",$A125),0)
- IFERROR(GETPIVOTDATA("Somma di AVERE",'Pivot Amex'!$A$3,"Mese",3,"Tipologia",$A125),0)
- IFERROR(GETPIVOTDATA("Somma di AVERE",'Pivot BBVA'!$A$3,"Mese",3,"Tipologia",$A125),0)
- IFERROR(GETPIVOTDATA("Somma di AVERE",'Pivot Fineco St'!$A$3,"Mese",3,"Tipologia",$A125),0)
- IFERROR(GETPIVOTDATA("Somma di AVERE",'Pivot Fineco Sa'!$A$3,"Mese",3,"Tipologia",$A125),0)
+ IFERROR(GETPIVOTDATA("Somma di DARE",'Pivot PP Visa'!$A$3,"Mese",3,"Tipologia",$A125),0)
- IFERROR(GETPIVOTDATA("Somma di AVERE",'Pivot PP Visa'!$A$3,"Mese",3,"Tipologia",$A125),0)
+ IFERROR(GETPIVOTDATA("Somma di DARE",'Pivot Revolut'!$A$3,"Mese",3,"Tipologia",$A125),0)
- IFERROR(GETPIVOTDATA("Somma di AVERE",'Pivot Revolut'!$A$3,"Mese",3,"Tipologia",$A125),0)</f>
        <v>0</v>
      </c>
      <c r="F125" s="243">
        <f>IFERROR(GETPIVOTDATA("Somma di DARE EUR",'Pivot RakBank AED'!$A$3,"Mese",4,"Tipologia",$A125),0)
- IFERROR(GETPIVOTDATA("Somma di AVERE EUR",'Pivot RakBank AED'!$A$3,"Mese",4,"Tipologia",$A125),0)
+IFERROR(GETPIVOTDATA("Somma di DARE",'Pivot RakBank EUR'!$A$3,"Mese",4,"Tipologia",$A125),0)
- IFERROR(GETPIVOTDATA("Somma di AVERE",'Pivot RakBank EUR'!$A$3,"Mese",4,"Tipologia",$A125),0)
+IFERROR(GETPIVOTDATA("Somma di DARE",'Pivot Fineco Sa'!$A$3,"Mese",4,"Tipologia",$A125),0)
+ IFERROR(GETPIVOTDATA("Somma di DARE",'Pivot Fineco St'!$A$3,"Mese",4,"Tipologia",$A125),0)
+ Contanti!N46
+ IFERROR(GETPIVOTDATA("Somma di DARE",'Pivot BBVA'!$A$3,"Mese",4,"Tipologia",$A125),0)
+ IFERROR(GETPIVOTDATA("Somma di DARE",'Pivot Amex'!$A$3,"Mese",4,"Tipologia",$A125),0)
- IFERROR(GETPIVOTDATA("Somma di AVERE",'Pivot Amex'!$A$3,"Mese",4,"Tipologia",$A125),0)
- IFERROR(GETPIVOTDATA("Somma di AVERE",'Pivot BBVA'!$A$3,"Mese",4,"Tipologia",$A125),0)
- IFERROR(GETPIVOTDATA("Somma di AVERE",'Pivot Fineco St'!$A$3,"Mese",4,"Tipologia",$A125),0)
- IFERROR(GETPIVOTDATA("Somma di AVERE",'Pivot Fineco Sa'!$A$3,"Mese",4,"Tipologia",$A125),0)
+ IFERROR(GETPIVOTDATA("Somma di DARE",'Pivot PP Visa'!$A$3,"Mese",4,"Tipologia",$A125),0)
- IFERROR(GETPIVOTDATA("Somma di AVERE",'Pivot PP Visa'!$A$3,"Mese",4,"Tipologia",$A125),0)
+ IFERROR(GETPIVOTDATA("Somma di DARE",'Pivot Revolut'!$A$3,"Mese",4,"Tipologia",$A125),0)
- IFERROR(GETPIVOTDATA("Somma di AVERE",'Pivot Revolut'!$A$3,"Mese",4,"Tipologia",$A125),0)</f>
        <v>0</v>
      </c>
      <c r="G125" s="243">
        <f>IFERROR(GETPIVOTDATA("Somma di DARE EUR",'Pivot RakBank AED'!$A$3,"Mese",5,"Tipologia",$A125),0)
- IFERROR(GETPIVOTDATA("Somma di AVERE EUR",'Pivot RakBank AED'!$A$3,"Mese",5,"Tipologia",$A125),0)
+IFERROR(GETPIVOTDATA("Somma di DARE",'Pivot RakBank EUR'!$A$3,"Mese",5,"Tipologia",$A125),0)
- IFERROR(GETPIVOTDATA("Somma di AVERE",'Pivot RakBank EUR'!$A$3,"Mese",5,"Tipologia",$A125),0)
+IFERROR(GETPIVOTDATA("Somma di DARE",'Pivot Fineco Sa'!$A$3,"Mese",5,"Tipologia",$A125),0)
+ IFERROR(GETPIVOTDATA("Somma di DARE",'Pivot Fineco St'!$A$3,"Mese",5,"Tipologia",$A125),0)
+ Contanti!R46
+ IFERROR(GETPIVOTDATA("Somma di DARE",'Pivot BBVA'!$A$3,"Mese",5,"Tipologia",$A125),0)
+ IFERROR(GETPIVOTDATA("Somma di DARE",'Pivot Amex'!$A$3,"Mese",5,"Tipologia",$A125),0)
- IFERROR(GETPIVOTDATA("Somma di AVERE",'Pivot Amex'!$A$3,"Mese",5,"Tipologia",$A125),0)
- IFERROR(GETPIVOTDATA("Somma di AVERE",'Pivot BBVA'!$A$3,"Mese",5,"Tipologia",$A125),0)
- IFERROR(GETPIVOTDATA("Somma di AVERE",'Pivot Fineco St'!$A$3,"Mese",5,"Tipologia",$A125),0)
- IFERROR(GETPIVOTDATA("Somma di AVERE",'Pivot Fineco Sa'!$A$3,"Mese",5,"Tipologia",$A125),0)
+ IFERROR(GETPIVOTDATA("Somma di DARE",'Pivot PP Visa'!$A$3,"Mese",5,"Tipologia",$A125),0)
- IFERROR(GETPIVOTDATA("Somma di AVERE",'Pivot PP Visa'!$A$3,"Mese",5,"Tipologia",$A125),0)
+ IFERROR(GETPIVOTDATA("Somma di DARE",'Pivot Revolut'!$A$3,"Mese",5,"Tipologia",$A125),0)
- IFERROR(GETPIVOTDATA("Somma di AVERE",'Pivot Revolut'!$A$3,"Mese",5,"Tipologia",$A125),0)</f>
        <v>0</v>
      </c>
      <c r="H125" s="243">
        <f>IFERROR(GETPIVOTDATA("Somma di DARE EUR",'Pivot RakBank AED'!$A$3,"Mese",6,"Tipologia",$A125),0)
- IFERROR(GETPIVOTDATA("Somma di AVERE EUR",'Pivot RakBank AED'!$A$3,"Mese",6,"Tipologia",$A125),0)
+IFERROR(GETPIVOTDATA("Somma di DARE",'Pivot RakBank EUR'!$A$3,"Mese",6,"Tipologia",$A125),0)
- IFERROR(GETPIVOTDATA("Somma di AVERE",'Pivot RakBank EUR'!$A$3,"Mese",6,"Tipologia",$A125),0)
+IFERROR(GETPIVOTDATA("Somma di DARE",'Pivot Fineco Sa'!$A$3,"Mese",6,"Tipologia",$A125),0)
+ IFERROR(GETPIVOTDATA("Somma di DARE",'Pivot Fineco St'!$A$3,"Mese",6,"Tipologia",$A125),0)
+ Contanti!V46
+ IFERROR(GETPIVOTDATA("Somma di DARE",'Pivot BBVA'!$A$3,"Mese",6,"Tipologia",$A125),0)
+ IFERROR(GETPIVOTDATA("Somma di DARE",'Pivot Amex'!$A$3,"Mese",6,"Tipologia",$A125),0)
- IFERROR(GETPIVOTDATA("Somma di AVERE",'Pivot Amex'!$A$3,"Mese",6,"Tipologia",$A125),0)
- IFERROR(GETPIVOTDATA("Somma di AVERE",'Pivot BBVA'!$A$3,"Mese",6,"Tipologia",$A125),0)
- IFERROR(GETPIVOTDATA("Somma di AVERE",'Pivot Fineco St'!$A$3,"Mese",6,"Tipologia",$A125),0)
- IFERROR(GETPIVOTDATA("Somma di AVERE",'Pivot Fineco Sa'!$A$3,"Mese",6,"Tipologia",$A125),0)
+ IFERROR(GETPIVOTDATA("Somma di DARE",'Pivot PP Visa'!$A$3,"Mese",6,"Tipologia",$A125),0)
- IFERROR(GETPIVOTDATA("Somma di AVERE",'Pivot PP Visa'!$A$3,"Mese",6,"Tipologia",$A125),0)
+ IFERROR(GETPIVOTDATA("Somma di DARE",'Pivot Revolut'!$A$3,"Mese",6,"Tipologia",$A125),0)
- IFERROR(GETPIVOTDATA("Somma di AVERE",'Pivot Revolut'!$A$3,"Mese",6,"Tipologia",$A125),0)</f>
        <v>0</v>
      </c>
      <c r="I125" s="243">
        <f>IFERROR(GETPIVOTDATA("Somma di DARE EUR",'Pivot RakBank AED'!$A$3,"Mese",7,"Tipologia",$A125),0)
- IFERROR(GETPIVOTDATA("Somma di AVERE EUR",'Pivot RakBank AED'!$A$3,"Mese",7,"Tipologia",$A125),0)
+IFERROR(GETPIVOTDATA("Somma di DARE",'Pivot RakBank EUR'!$A$3,"Mese",7,"Tipologia",$A125),0)
- IFERROR(GETPIVOTDATA("Somma di AVERE",'Pivot RakBank EUR'!$A$3,"Mese",7,"Tipologia",$A125),0)
+IFERROR(GETPIVOTDATA("Somma di DARE",'Pivot Fineco Sa'!$A$3,"Mese",7,"Tipologia",$A125),0)
+ IFERROR(GETPIVOTDATA("Somma di DARE",'Pivot Fineco St'!$A$3,"Mese",7,"Tipologia",$A125),0)
+ Contanti!Z46
+ IFERROR(GETPIVOTDATA("Somma di DARE",'Pivot BBVA'!$A$3,"Mese",7,"Tipologia",$A125),0)
+ IFERROR(GETPIVOTDATA("Somma di DARE",'Pivot Amex'!$A$3,"Mese",7,"Tipologia",$A125),0)
- IFERROR(GETPIVOTDATA("Somma di AVERE",'Pivot Amex'!$A$3,"Mese",7,"Tipologia",$A125),0)
- IFERROR(GETPIVOTDATA("Somma di AVERE",'Pivot BBVA'!$A$3,"Mese",7,"Tipologia",$A125),0)
- IFERROR(GETPIVOTDATA("Somma di AVERE",'Pivot Fineco St'!$A$3,"Mese",7,"Tipologia",$A125),0)
- IFERROR(GETPIVOTDATA("Somma di AVERE",'Pivot Fineco Sa'!$A$3,"Mese",7,"Tipologia",$A125),0)
+ IFERROR(GETPIVOTDATA("Somma di DARE",'Pivot PP Visa'!$A$3,"Mese",7,"Tipologia",$A125),0)
- IFERROR(GETPIVOTDATA("Somma di AVERE",'Pivot PP Visa'!$A$3,"Mese",7,"Tipologia",$A125),0)
+ IFERROR(GETPIVOTDATA("Somma di DARE",'Pivot Revolut'!$A$3,"Mese",7,"Tipologia",$A125),0)
- IFERROR(GETPIVOTDATA("Somma di AVERE",'Pivot Revolut'!$A$3,"Mese",7,"Tipologia",$A125),0)</f>
        <v>0</v>
      </c>
      <c r="J125" s="243">
        <f>IFERROR(GETPIVOTDATA("Somma di DARE EUR",'Pivot RakBank AED'!$A$3,"Mese",8,"Tipologia",$A125),0)
- IFERROR(GETPIVOTDATA("Somma di AVERE EUR",'Pivot RakBank AED'!$A$3,"Mese",8,"Tipologia",$A125),0)
+IFERROR(GETPIVOTDATA("Somma di DARE",'Pivot RakBank EUR'!$A$3,"Mese",8,"Tipologia",$A125),0)
- IFERROR(GETPIVOTDATA("Somma di AVERE",'Pivot RakBank EUR'!$A$3,"Mese",8,"Tipologia",$A125),0)
+IFERROR(GETPIVOTDATA("Somma di DARE",'Pivot Fineco Sa'!$A$3,"Mese",8,"Tipologia",$A125),0)
+ IFERROR(GETPIVOTDATA("Somma di DARE",'Pivot Fineco St'!$A$3,"Mese",8,"Tipologia",$A125),0)
+ Contanti!AD46
+ IFERROR(GETPIVOTDATA("Somma di DARE",'Pivot BBVA'!$A$3,"Mese",8,"Tipologia",$A125),0)
+ IFERROR(GETPIVOTDATA("Somma di DARE",'Pivot Amex'!$A$3,"Mese",8,"Tipologia",$A125),0)
- IFERROR(GETPIVOTDATA("Somma di AVERE",'Pivot Amex'!$A$3,"Mese",8,"Tipologia",$A125),0)
- IFERROR(GETPIVOTDATA("Somma di AVERE",'Pivot BBVA'!$A$3,"Mese",8,"Tipologia",$A125),0)
- IFERROR(GETPIVOTDATA("Somma di AVERE",'Pivot Fineco St'!$A$3,"Mese",8,"Tipologia",$A125),0)
- IFERROR(GETPIVOTDATA("Somma di AVERE",'Pivot Fineco Sa'!$A$3,"Mese",8,"Tipologia",$A125),0)
+ IFERROR(GETPIVOTDATA("Somma di DARE",'Pivot PP Visa'!$A$3,"Mese",8,"Tipologia",$A125),0)
- IFERROR(GETPIVOTDATA("Somma di AVERE",'Pivot PP Visa'!$A$3,"Mese",8,"Tipologia",$A125),0)
+ IFERROR(GETPIVOTDATA("Somma di DARE",'Pivot Revolut'!$A$3,"Mese",8,"Tipologia",$A125),0)
- IFERROR(GETPIVOTDATA("Somma di AVERE",'Pivot Revolut'!$A$3,"Mese",8,"Tipologia",$A125),0)</f>
        <v>0</v>
      </c>
      <c r="K125" s="243">
        <f>IFERROR(GETPIVOTDATA("Somma di DARE EUR",'Pivot RakBank AED'!$A$3,"Mese",9,"Tipologia",$A125),0)
- IFERROR(GETPIVOTDATA("Somma di AVERE EUR",'Pivot RakBank AED'!$A$3,"Mese",9,"Tipologia",$A125),0)
+IFERROR(GETPIVOTDATA("Somma di DARE",'Pivot RakBank EUR'!$A$3,"Mese",9,"Tipologia",$A125),0)
- IFERROR(GETPIVOTDATA("Somma di AVERE",'Pivot RakBank EUR'!$A$3,"Mese",9,"Tipologia",$A125),0)
+IFERROR(GETPIVOTDATA("Somma di DARE",'Pivot Fineco Sa'!$A$3,"Mese",9,"Tipologia",$A125),0)
+ IFERROR(GETPIVOTDATA("Somma di DARE",'Pivot Fineco St'!$A$3,"Mese",9,"Tipologia",$A125),0)
+ Contanti!AH46
+ IFERROR(GETPIVOTDATA("Somma di DARE",'Pivot BBVA'!$A$3,"Mese",9,"Tipologia",$A125),0)
+ IFERROR(GETPIVOTDATA("Somma di DARE",'Pivot Amex'!$A$3,"Mese",9,"Tipologia",$A125),0)
- IFERROR(GETPIVOTDATA("Somma di AVERE",'Pivot Amex'!$A$3,"Mese",9,"Tipologia",$A125),0)
- IFERROR(GETPIVOTDATA("Somma di AVERE",'Pivot BBVA'!$A$3,"Mese",9,"Tipologia",$A125),0)
- IFERROR(GETPIVOTDATA("Somma di AVERE",'Pivot Fineco St'!$A$3,"Mese",9,"Tipologia",$A125),0)
- IFERROR(GETPIVOTDATA("Somma di AVERE",'Pivot Fineco Sa'!$A$3,"Mese",9,"Tipologia",$A125),0)
+ IFERROR(GETPIVOTDATA("Somma di DARE",'Pivot PP Visa'!$A$3,"Mese",9,"Tipologia",$A125),0)
- IFERROR(GETPIVOTDATA("Somma di AVERE",'Pivot PP Visa'!$A$3,"Mese",9,"Tipologia",$A125),0)
+ IFERROR(GETPIVOTDATA("Somma di DARE",'Pivot Revolut'!$A$3,"Mese",9,"Tipologia",$A125),0)
- IFERROR(GETPIVOTDATA("Somma di AVERE",'Pivot Revolut'!$A$3,"Mese",9,"Tipologia",$A125),0)</f>
        <v>0</v>
      </c>
      <c r="L125" s="243">
        <f>IFERROR(GETPIVOTDATA("Somma di DARE EUR",'Pivot RakBank AED'!$A$3,"Mese",10,"Tipologia",$A125),0)
- IFERROR(GETPIVOTDATA("Somma di AVERE EUR",'Pivot RakBank AED'!$A$3,"Mese",10,"Tipologia",$A125),0)
+IFERROR(GETPIVOTDATA("Somma di DARE",'Pivot RakBank EUR'!$A$3,"Mese",10,"Tipologia",$A125),0)
- IFERROR(GETPIVOTDATA("Somma di AVERE",'Pivot RakBank EUR'!$A$3,"Mese",10,"Tipologia",$A125),0)
+IFERROR(GETPIVOTDATA("Somma di DARE",'Pivot Fineco Sa'!$A$3,"Mese",10,"Tipologia",$A125),0)
+ IFERROR(GETPIVOTDATA("Somma di DARE",'Pivot Fineco St'!$A$3,"Mese",10,"Tipologia",$A125),0)
+ Contanti!AL46
+ IFERROR(GETPIVOTDATA("Somma di DARE",'Pivot BBVA'!$A$3,"Mese",10,"Tipologia",$A125),0)
+ IFERROR(GETPIVOTDATA("Somma di DARE",'Pivot Amex'!$A$3,"Mese",10,"Tipologia",$A125),0)
- IFERROR(GETPIVOTDATA("Somma di AVERE",'Pivot Amex'!$A$3,"Mese",10,"Tipologia",$A125),0)
- IFERROR(GETPIVOTDATA("Somma di AVERE",'Pivot BBVA'!$A$3,"Mese",10,"Tipologia",$A125),0)
- IFERROR(GETPIVOTDATA("Somma di AVERE",'Pivot Fineco St'!$A$3,"Mese",10,"Tipologia",$A125),0)
- IFERROR(GETPIVOTDATA("Somma di AVERE",'Pivot Fineco Sa'!$A$3,"Mese",10,"Tipologia",$A125),0)
+ IFERROR(GETPIVOTDATA("Somma di DARE",'Pivot PP Visa'!$A$3,"Mese",10,"Tipologia",$A125),0)
- IFERROR(GETPIVOTDATA("Somma di AVERE",'Pivot PP Visa'!$A$3,"Mese",10,"Tipologia",$A125),0)
+ IFERROR(GETPIVOTDATA("Somma di DARE",'Pivot Revolut'!$A$3,"Mese",10,"Tipologia",$A125),0)
- IFERROR(GETPIVOTDATA("Somma di AVERE",'Pivot Revolut'!$A$3,"Mese",10,"Tipologia",$A125),0)</f>
        <v>0</v>
      </c>
      <c r="M125" s="243">
        <f>IFERROR(GETPIVOTDATA("Somma di DARE EUR",'Pivot RakBank AED'!$A$3,"Mese",11,"Tipologia",$A125),0)
- IFERROR(GETPIVOTDATA("Somma di AVERE EUR",'Pivot RakBank AED'!$A$3,"Mese",11,"Tipologia",$A125),0)
+IFERROR(GETPIVOTDATA("Somma di DARE",'Pivot RakBank EUR'!$A$3,"Mese",11,"Tipologia",$A125),0)
- IFERROR(GETPIVOTDATA("Somma di AVERE",'Pivot RakBank EUR'!$A$3,"Mese",11,"Tipologia",$A125),0)
+IFERROR(GETPIVOTDATA("Somma di DARE",'Pivot Fineco Sa'!$A$3,"Mese",11,"Tipologia",$A125),0)
+ IFERROR(GETPIVOTDATA("Somma di DARE",'Pivot Fineco St'!$A$3,"Mese",11,"Tipologia",$A125),0)
+ Contanti!AP46
+ IFERROR(GETPIVOTDATA("Somma di DARE",'Pivot BBVA'!$A$3,"Mese",11,"Tipologia",$A125),0)
+ IFERROR(GETPIVOTDATA("Somma di DARE",'Pivot Amex'!$A$3,"Mese",11,"Tipologia",$A125),0)
- IFERROR(GETPIVOTDATA("Somma di AVERE",'Pivot Amex'!$A$3,"Mese",11,"Tipologia",$A125),0)
- IFERROR(GETPIVOTDATA("Somma di AVERE",'Pivot BBVA'!$A$3,"Mese",11,"Tipologia",$A125),0)
- IFERROR(GETPIVOTDATA("Somma di AVERE",'Pivot Fineco St'!$A$3,"Mese",11,"Tipologia",$A125),0)
- IFERROR(GETPIVOTDATA("Somma di AVERE",'Pivot Fineco Sa'!$A$3,"Mese",11,"Tipologia",$A125),0)
+ IFERROR(GETPIVOTDATA("Somma di DARE",'Pivot PP Visa'!$A$3,"Mese",11,"Tipologia",$A125),0)
- IFERROR(GETPIVOTDATA("Somma di AVERE",'Pivot PP Visa'!$A$3,"Mese",11,"Tipologia",$A125),0)
+ IFERROR(GETPIVOTDATA("Somma di DARE",'Pivot Revolut'!$A$3,"Mese",11,"Tipologia",$A125),0)
- IFERROR(GETPIVOTDATA("Somma di AVERE",'Pivot Revolut'!$A$3,"Mese",11,"Tipologia",$A125),0)</f>
        <v>0</v>
      </c>
      <c r="N125" s="243">
        <f>IFERROR(GETPIVOTDATA("Somma di DARE EUR",'Pivot RakBank AED'!$A$3,"Mese",12,"Tipologia",$A125),0)
- IFERROR(GETPIVOTDATA("Somma di AVERE EUR",'Pivot RakBank AED'!$A$3,"Mese",12,"Tipologia",$A125),0)
+IFERROR(GETPIVOTDATA("Somma di DARE",'Pivot RakBank EUR'!$A$3,"Mese",12,"Tipologia",$A125),0)
- IFERROR(GETPIVOTDATA("Somma di AVERE",'Pivot RakBank EUR'!$A$3,"Mese",12,"Tipologia",$A125),0)
+IFERROR(GETPIVOTDATA("Somma di DARE",'Pivot Fineco Sa'!$A$3,"Mese",12,"Tipologia",$A125),0)
+ IFERROR(GETPIVOTDATA("Somma di DARE",'Pivot Fineco St'!$A$3,"Mese",12,"Tipologia",$A125),0)
+ Contanti!AT46
+ IFERROR(GETPIVOTDATA("Somma di DARE",'Pivot BBVA'!$A$3,"Mese",12,"Tipologia",$A125),0)
+ IFERROR(GETPIVOTDATA("Somma di DARE",'Pivot Amex'!$A$3,"Mese",12,"Tipologia",$A125),0)
- IFERROR(GETPIVOTDATA("Somma di AVERE",'Pivot Amex'!$A$3,"Mese",12,"Tipologia",$A125),0)
- IFERROR(GETPIVOTDATA("Somma di AVERE",'Pivot BBVA'!$A$3,"Mese",12,"Tipologia",$A125),0)
- IFERROR(GETPIVOTDATA("Somma di AVERE",'Pivot Fineco St'!$A$3,"Mese",12,"Tipologia",$A125),0)
- IFERROR(GETPIVOTDATA("Somma di AVERE",'Pivot Fineco Sa'!$A$3,"Mese",12,"Tipologia",$A125),0)
+ IFERROR(GETPIVOTDATA("Somma di DARE",'Pivot PP Visa'!$A$3,"Mese",12,"Tipologia",$A125),0)
- IFERROR(GETPIVOTDATA("Somma di AVERE",'Pivot PP Visa'!$A$3,"Mese",12,"Tipologia",$A125),0)
+ IFERROR(GETPIVOTDATA("Somma di DARE",'Pivot Revolut'!$A$3,"Mese",12,"Tipologia",$A125),0)
- IFERROR(GETPIVOTDATA("Somma di AVERE",'Pivot Revolut'!$A$3,"Mese",12,"Tipologia",$A125),0)</f>
        <v>0</v>
      </c>
      <c r="O125" s="252">
        <f t="shared" si="14"/>
        <v>182.2</v>
      </c>
      <c r="P125" s="243"/>
    </row>
    <row r="126" spans="1:16" s="125" customFormat="1" ht="21" customHeight="1" x14ac:dyDescent="0.2">
      <c r="A126" s="251" t="s">
        <v>101</v>
      </c>
      <c r="B126" s="251"/>
      <c r="C126" s="243">
        <f>IFERROR(GETPIVOTDATA("Somma di DARE EUR",'Pivot RakBank AED'!$A$3,"Mese",1,"Tipologia",$A126),0)
- IFERROR(GETPIVOTDATA("Somma di AVERE EUR",'Pivot RakBank AED'!$A$3,"Mese",1,"Tipologia",$A126),0)
+IFERROR(GETPIVOTDATA("Somma di DARE",'Pivot RakBank EUR'!$A$3,"Mese",1,"Tipologia",$A126),0)
- IFERROR(GETPIVOTDATA("Somma di AVERE",'Pivot RakBank EUR'!$A$3,"Mese",1,"Tipologia",$A126),0)
+IFERROR(GETPIVOTDATA("Somma di DARE",'Pivot Fineco Sa'!$A$3,"Mese",1,"Tipologia",$A126),0)
+ IFERROR(GETPIVOTDATA("Somma di DARE",'Pivot Fineco St'!$A$3,"Mese",1,"Tipologia",$A126),0)
+ Contanti!B47
+ IFERROR(GETPIVOTDATA("Somma di DARE",'Pivot BBVA'!$A$3,"Mese",1,"Tipologia",$A126),0)
+ IFERROR(GETPIVOTDATA("Somma di DARE",'Pivot Amex'!$A$3,"Mese",1,"Tipologia",$A126),0)
- IFERROR(GETPIVOTDATA("Somma di AVERE",'Pivot Amex'!$A$3,"Mese",1,"Tipologia",$A126),0)
- IFERROR(GETPIVOTDATA("Somma di AVERE",'Pivot BBVA'!$A$3,"Mese",1,"Tipologia",$A126),0)
- IFERROR(GETPIVOTDATA("Somma di AVERE",'Pivot Fineco St'!$A$3,"Mese",1,"Tipologia",$A126),0)
- IFERROR(GETPIVOTDATA("Somma di AVERE",'Pivot Fineco Sa'!$A$3,"Mese",1,"Tipologia",$A126),0)
+ IFERROR(GETPIVOTDATA("Somma di DARE",'Pivot PP Visa'!$A$3,"Mese",1,"Tipologia",$A126),0)
- IFERROR(GETPIVOTDATA("Somma di AVERE",'Pivot PP Visa'!$A$3,"Mese",1,"Tipologia",$A126),0)
+ IFERROR(GETPIVOTDATA("Somma di DARE",'Pivot Revolut'!$A$3,"Mese",1,"Tipologia",$A126),0)
- IFERROR(GETPIVOTDATA("Somma di AVERE",'Pivot Revolut'!$A$3,"Mese",1,"Tipologia",$A126),0)</f>
        <v>0</v>
      </c>
      <c r="D126" s="243">
        <f>IFERROR(GETPIVOTDATA("Somma di DARE EUR",'Pivot RakBank AED'!$A$3,"Mese",2,"Tipologia",$A126),0)
- IFERROR(GETPIVOTDATA("Somma di AVERE EUR",'Pivot RakBank AED'!$A$3,"Mese",2,"Tipologia",$A126),0)
+IFERROR(GETPIVOTDATA("Somma di DARE",'Pivot RakBank EUR'!$A$3,"Mese",2,"Tipologia",$A126),0)
- IFERROR(GETPIVOTDATA("Somma di AVERE",'Pivot RakBank EUR'!$A$3,"Mese",2,"Tipologia",$A126),0)
+IFERROR(GETPIVOTDATA("Somma di DARE",'Pivot Fineco Sa'!$A$3,"Mese",2,"Tipologia",$A126),0)
+ IFERROR(GETPIVOTDATA("Somma di DARE",'Pivot Fineco St'!$A$3,"Mese",2,"Tipologia",$A126),0)
+ Contanti!F47
+ IFERROR(GETPIVOTDATA("Somma di DARE",'Pivot BBVA'!$A$3,"Mese",2,"Tipologia",$A126),0)
+ IFERROR(GETPIVOTDATA("Somma di DARE",'Pivot Amex'!$A$3,"Mese",2,"Tipologia",$A126),0)
- IFERROR(GETPIVOTDATA("Somma di AVERE",'Pivot Amex'!$A$3,"Mese",2,"Tipologia",$A126),0)
- IFERROR(GETPIVOTDATA("Somma di AVERE",'Pivot BBVA'!$A$3,"Mese",2,"Tipologia",$A126),0)
- IFERROR(GETPIVOTDATA("Somma di AVERE",'Pivot Fineco St'!$A$3,"Mese",2,"Tipologia",$A126),0)
- IFERROR(GETPIVOTDATA("Somma di AVERE",'Pivot Fineco Sa'!$A$3,"Mese",2,"Tipologia",$A126),0)
+ IFERROR(GETPIVOTDATA("Somma di DARE",'Pivot PP Visa'!$A$3,"Mese",2,"Tipologia",$A126),0)
- IFERROR(GETPIVOTDATA("Somma di AVERE",'Pivot PP Visa'!$A$3,"Mese",2,"Tipologia",$A126),0)
+ IFERROR(GETPIVOTDATA("Somma di DARE",'Pivot Revolut'!$A$3,"Mese",2,"Tipologia",$A126),0)
- IFERROR(GETPIVOTDATA("Somma di AVERE",'Pivot Revolut'!$A$3,"Mese",2,"Tipologia",$A126),0)</f>
        <v>360</v>
      </c>
      <c r="E126" s="243">
        <f>IFERROR(GETPIVOTDATA("Somma di DARE EUR",'Pivot RakBank AED'!$A$3,"Mese",3,"Tipologia",$A126),0)
- IFERROR(GETPIVOTDATA("Somma di AVERE EUR",'Pivot RakBank AED'!$A$3,"Mese",3,"Tipologia",$A126),0)
+IFERROR(GETPIVOTDATA("Somma di DARE",'Pivot RakBank EUR'!$A$3,"Mese",3,"Tipologia",$A126),0)
- IFERROR(GETPIVOTDATA("Somma di AVERE",'Pivot RakBank EUR'!$A$3,"Mese",3,"Tipologia",$A126),0)
+IFERROR(GETPIVOTDATA("Somma di DARE",'Pivot Fineco Sa'!$A$3,"Mese",3,"Tipologia",$A126),0)
+ IFERROR(GETPIVOTDATA("Somma di DARE",'Pivot Fineco St'!$A$3,"Mese",3,"Tipologia",$A126),0)
+ Contanti!J47
+ IFERROR(GETPIVOTDATA("Somma di DARE",'Pivot BBVA'!$A$3,"Mese",3,"Tipologia",$A126),0)
+ IFERROR(GETPIVOTDATA("Somma di DARE",'Pivot Amex'!$A$3,"Mese",3,"Tipologia",$A126),0)
- IFERROR(GETPIVOTDATA("Somma di AVERE",'Pivot Amex'!$A$3,"Mese",3,"Tipologia",$A126),0)
- IFERROR(GETPIVOTDATA("Somma di AVERE",'Pivot BBVA'!$A$3,"Mese",3,"Tipologia",$A126),0)
- IFERROR(GETPIVOTDATA("Somma di AVERE",'Pivot Fineco St'!$A$3,"Mese",3,"Tipologia",$A126),0)
- IFERROR(GETPIVOTDATA("Somma di AVERE",'Pivot Fineco Sa'!$A$3,"Mese",3,"Tipologia",$A126),0)
+ IFERROR(GETPIVOTDATA("Somma di DARE",'Pivot PP Visa'!$A$3,"Mese",3,"Tipologia",$A126),0)
- IFERROR(GETPIVOTDATA("Somma di AVERE",'Pivot PP Visa'!$A$3,"Mese",3,"Tipologia",$A126),0)
+ IFERROR(GETPIVOTDATA("Somma di DARE",'Pivot Revolut'!$A$3,"Mese",3,"Tipologia",$A126),0)
- IFERROR(GETPIVOTDATA("Somma di AVERE",'Pivot Revolut'!$A$3,"Mese",3,"Tipologia",$A126),0)</f>
        <v>0</v>
      </c>
      <c r="F126" s="243">
        <f>IFERROR(GETPIVOTDATA("Somma di DARE EUR",'Pivot RakBank AED'!$A$3,"Mese",4,"Tipologia",$A126),0)
- IFERROR(GETPIVOTDATA("Somma di AVERE EUR",'Pivot RakBank AED'!$A$3,"Mese",4,"Tipologia",$A126),0)
+IFERROR(GETPIVOTDATA("Somma di DARE",'Pivot RakBank EUR'!$A$3,"Mese",4,"Tipologia",$A126),0)
- IFERROR(GETPIVOTDATA("Somma di AVERE",'Pivot RakBank EUR'!$A$3,"Mese",4,"Tipologia",$A126),0)
+IFERROR(GETPIVOTDATA("Somma di DARE",'Pivot Fineco Sa'!$A$3,"Mese",4,"Tipologia",$A126),0)
+ IFERROR(GETPIVOTDATA("Somma di DARE",'Pivot Fineco St'!$A$3,"Mese",4,"Tipologia",$A126),0)
+ Contanti!N47
+ IFERROR(GETPIVOTDATA("Somma di DARE",'Pivot BBVA'!$A$3,"Mese",4,"Tipologia",$A126),0)
+ IFERROR(GETPIVOTDATA("Somma di DARE",'Pivot Amex'!$A$3,"Mese",4,"Tipologia",$A126),0)
- IFERROR(GETPIVOTDATA("Somma di AVERE",'Pivot Amex'!$A$3,"Mese",4,"Tipologia",$A126),0)
- IFERROR(GETPIVOTDATA("Somma di AVERE",'Pivot BBVA'!$A$3,"Mese",4,"Tipologia",$A126),0)
- IFERROR(GETPIVOTDATA("Somma di AVERE",'Pivot Fineco St'!$A$3,"Mese",4,"Tipologia",$A126),0)
- IFERROR(GETPIVOTDATA("Somma di AVERE",'Pivot Fineco Sa'!$A$3,"Mese",4,"Tipologia",$A126),0)
+ IFERROR(GETPIVOTDATA("Somma di DARE",'Pivot PP Visa'!$A$3,"Mese",4,"Tipologia",$A126),0)
- IFERROR(GETPIVOTDATA("Somma di AVERE",'Pivot PP Visa'!$A$3,"Mese",4,"Tipologia",$A126),0)
+ IFERROR(GETPIVOTDATA("Somma di DARE",'Pivot Revolut'!$A$3,"Mese",4,"Tipologia",$A126),0)
- IFERROR(GETPIVOTDATA("Somma di AVERE",'Pivot Revolut'!$A$3,"Mese",4,"Tipologia",$A126),0)</f>
        <v>0</v>
      </c>
      <c r="G126" s="243">
        <f>IFERROR(GETPIVOTDATA("Somma di DARE EUR",'Pivot RakBank AED'!$A$3,"Mese",5,"Tipologia",$A126),0)
- IFERROR(GETPIVOTDATA("Somma di AVERE EUR",'Pivot RakBank AED'!$A$3,"Mese",5,"Tipologia",$A126),0)
+IFERROR(GETPIVOTDATA("Somma di DARE",'Pivot RakBank EUR'!$A$3,"Mese",5,"Tipologia",$A126),0)
- IFERROR(GETPIVOTDATA("Somma di AVERE",'Pivot RakBank EUR'!$A$3,"Mese",5,"Tipologia",$A126),0)
+IFERROR(GETPIVOTDATA("Somma di DARE",'Pivot Fineco Sa'!$A$3,"Mese",5,"Tipologia",$A126),0)
+ IFERROR(GETPIVOTDATA("Somma di DARE",'Pivot Fineco St'!$A$3,"Mese",5,"Tipologia",$A126),0)
+ Contanti!R47
+ IFERROR(GETPIVOTDATA("Somma di DARE",'Pivot BBVA'!$A$3,"Mese",5,"Tipologia",$A126),0)
+ IFERROR(GETPIVOTDATA("Somma di DARE",'Pivot Amex'!$A$3,"Mese",5,"Tipologia",$A126),0)
- IFERROR(GETPIVOTDATA("Somma di AVERE",'Pivot Amex'!$A$3,"Mese",5,"Tipologia",$A126),0)
- IFERROR(GETPIVOTDATA("Somma di AVERE",'Pivot BBVA'!$A$3,"Mese",5,"Tipologia",$A126),0)
- IFERROR(GETPIVOTDATA("Somma di AVERE",'Pivot Fineco St'!$A$3,"Mese",5,"Tipologia",$A126),0)
- IFERROR(GETPIVOTDATA("Somma di AVERE",'Pivot Fineco Sa'!$A$3,"Mese",5,"Tipologia",$A126),0)
+ IFERROR(GETPIVOTDATA("Somma di DARE",'Pivot PP Visa'!$A$3,"Mese",5,"Tipologia",$A126),0)
- IFERROR(GETPIVOTDATA("Somma di AVERE",'Pivot PP Visa'!$A$3,"Mese",5,"Tipologia",$A126),0)
+ IFERROR(GETPIVOTDATA("Somma di DARE",'Pivot Revolut'!$A$3,"Mese",5,"Tipologia",$A126),0)
- IFERROR(GETPIVOTDATA("Somma di AVERE",'Pivot Revolut'!$A$3,"Mese",5,"Tipologia",$A126),0)</f>
        <v>0</v>
      </c>
      <c r="H126" s="243">
        <f>IFERROR(GETPIVOTDATA("Somma di DARE EUR",'Pivot RakBank AED'!$A$3,"Mese",6,"Tipologia",$A126),0)
- IFERROR(GETPIVOTDATA("Somma di AVERE EUR",'Pivot RakBank AED'!$A$3,"Mese",6,"Tipologia",$A126),0)
+IFERROR(GETPIVOTDATA("Somma di DARE",'Pivot RakBank EUR'!$A$3,"Mese",6,"Tipologia",$A126),0)
- IFERROR(GETPIVOTDATA("Somma di AVERE",'Pivot RakBank EUR'!$A$3,"Mese",6,"Tipologia",$A126),0)
+IFERROR(GETPIVOTDATA("Somma di DARE",'Pivot Fineco Sa'!$A$3,"Mese",6,"Tipologia",$A126),0)
+ IFERROR(GETPIVOTDATA("Somma di DARE",'Pivot Fineco St'!$A$3,"Mese",6,"Tipologia",$A126),0)
+ Contanti!V47
+ IFERROR(GETPIVOTDATA("Somma di DARE",'Pivot BBVA'!$A$3,"Mese",6,"Tipologia",$A126),0)
+ IFERROR(GETPIVOTDATA("Somma di DARE",'Pivot Amex'!$A$3,"Mese",6,"Tipologia",$A126),0)
- IFERROR(GETPIVOTDATA("Somma di AVERE",'Pivot Amex'!$A$3,"Mese",6,"Tipologia",$A126),0)
- IFERROR(GETPIVOTDATA("Somma di AVERE",'Pivot BBVA'!$A$3,"Mese",6,"Tipologia",$A126),0)
- IFERROR(GETPIVOTDATA("Somma di AVERE",'Pivot Fineco St'!$A$3,"Mese",6,"Tipologia",$A126),0)
- IFERROR(GETPIVOTDATA("Somma di AVERE",'Pivot Fineco Sa'!$A$3,"Mese",6,"Tipologia",$A126),0)
+ IFERROR(GETPIVOTDATA("Somma di DARE",'Pivot PP Visa'!$A$3,"Mese",6,"Tipologia",$A126),0)
- IFERROR(GETPIVOTDATA("Somma di AVERE",'Pivot PP Visa'!$A$3,"Mese",6,"Tipologia",$A126),0)
+ IFERROR(GETPIVOTDATA("Somma di DARE",'Pivot Revolut'!$A$3,"Mese",6,"Tipologia",$A126),0)
- IFERROR(GETPIVOTDATA("Somma di AVERE",'Pivot Revolut'!$A$3,"Mese",6,"Tipologia",$A126),0)</f>
        <v>0</v>
      </c>
      <c r="I126" s="243">
        <f>IFERROR(GETPIVOTDATA("Somma di DARE EUR",'Pivot RakBank AED'!$A$3,"Mese",7,"Tipologia",$A126),0)
- IFERROR(GETPIVOTDATA("Somma di AVERE EUR",'Pivot RakBank AED'!$A$3,"Mese",7,"Tipologia",$A126),0)
+IFERROR(GETPIVOTDATA("Somma di DARE",'Pivot RakBank EUR'!$A$3,"Mese",7,"Tipologia",$A126),0)
- IFERROR(GETPIVOTDATA("Somma di AVERE",'Pivot RakBank EUR'!$A$3,"Mese",7,"Tipologia",$A126),0)
+IFERROR(GETPIVOTDATA("Somma di DARE",'Pivot Fineco Sa'!$A$3,"Mese",7,"Tipologia",$A126),0)
+ IFERROR(GETPIVOTDATA("Somma di DARE",'Pivot Fineco St'!$A$3,"Mese",7,"Tipologia",$A126),0)
+ Contanti!Z47
+ IFERROR(GETPIVOTDATA("Somma di DARE",'Pivot BBVA'!$A$3,"Mese",7,"Tipologia",$A126),0)
+ IFERROR(GETPIVOTDATA("Somma di DARE",'Pivot Amex'!$A$3,"Mese",7,"Tipologia",$A126),0)
- IFERROR(GETPIVOTDATA("Somma di AVERE",'Pivot Amex'!$A$3,"Mese",7,"Tipologia",$A126),0)
- IFERROR(GETPIVOTDATA("Somma di AVERE",'Pivot BBVA'!$A$3,"Mese",7,"Tipologia",$A126),0)
- IFERROR(GETPIVOTDATA("Somma di AVERE",'Pivot Fineco St'!$A$3,"Mese",7,"Tipologia",$A126),0)
- IFERROR(GETPIVOTDATA("Somma di AVERE",'Pivot Fineco Sa'!$A$3,"Mese",7,"Tipologia",$A126),0)
+ IFERROR(GETPIVOTDATA("Somma di DARE",'Pivot PP Visa'!$A$3,"Mese",7,"Tipologia",$A126),0)
- IFERROR(GETPIVOTDATA("Somma di AVERE",'Pivot PP Visa'!$A$3,"Mese",7,"Tipologia",$A126),0)
+ IFERROR(GETPIVOTDATA("Somma di DARE",'Pivot Revolut'!$A$3,"Mese",7,"Tipologia",$A126),0)
- IFERROR(GETPIVOTDATA("Somma di AVERE",'Pivot Revolut'!$A$3,"Mese",7,"Tipologia",$A126),0)</f>
        <v>0</v>
      </c>
      <c r="J126" s="243">
        <f>IFERROR(GETPIVOTDATA("Somma di DARE EUR",'Pivot RakBank AED'!$A$3,"Mese",8,"Tipologia",$A126),0)
- IFERROR(GETPIVOTDATA("Somma di AVERE EUR",'Pivot RakBank AED'!$A$3,"Mese",8,"Tipologia",$A126),0)
+IFERROR(GETPIVOTDATA("Somma di DARE",'Pivot RakBank EUR'!$A$3,"Mese",8,"Tipologia",$A126),0)
- IFERROR(GETPIVOTDATA("Somma di AVERE",'Pivot RakBank EUR'!$A$3,"Mese",8,"Tipologia",$A126),0)
+IFERROR(GETPIVOTDATA("Somma di DARE",'Pivot Fineco Sa'!$A$3,"Mese",8,"Tipologia",$A126),0)
+ IFERROR(GETPIVOTDATA("Somma di DARE",'Pivot Fineco St'!$A$3,"Mese",8,"Tipologia",$A126),0)
+ Contanti!AD47
+ IFERROR(GETPIVOTDATA("Somma di DARE",'Pivot BBVA'!$A$3,"Mese",8,"Tipologia",$A126),0)
+ IFERROR(GETPIVOTDATA("Somma di DARE",'Pivot Amex'!$A$3,"Mese",8,"Tipologia",$A126),0)
- IFERROR(GETPIVOTDATA("Somma di AVERE",'Pivot Amex'!$A$3,"Mese",8,"Tipologia",$A126),0)
- IFERROR(GETPIVOTDATA("Somma di AVERE",'Pivot BBVA'!$A$3,"Mese",8,"Tipologia",$A126),0)
- IFERROR(GETPIVOTDATA("Somma di AVERE",'Pivot Fineco St'!$A$3,"Mese",8,"Tipologia",$A126),0)
- IFERROR(GETPIVOTDATA("Somma di AVERE",'Pivot Fineco Sa'!$A$3,"Mese",8,"Tipologia",$A126),0)
+ IFERROR(GETPIVOTDATA("Somma di DARE",'Pivot PP Visa'!$A$3,"Mese",8,"Tipologia",$A126),0)
- IFERROR(GETPIVOTDATA("Somma di AVERE",'Pivot PP Visa'!$A$3,"Mese",8,"Tipologia",$A126),0)
+ IFERROR(GETPIVOTDATA("Somma di DARE",'Pivot Revolut'!$A$3,"Mese",8,"Tipologia",$A126),0)
- IFERROR(GETPIVOTDATA("Somma di AVERE",'Pivot Revolut'!$A$3,"Mese",8,"Tipologia",$A126),0)</f>
        <v>0</v>
      </c>
      <c r="K126" s="243">
        <f>IFERROR(GETPIVOTDATA("Somma di DARE EUR",'Pivot RakBank AED'!$A$3,"Mese",9,"Tipologia",$A126),0)
- IFERROR(GETPIVOTDATA("Somma di AVERE EUR",'Pivot RakBank AED'!$A$3,"Mese",9,"Tipologia",$A126),0)
+IFERROR(GETPIVOTDATA("Somma di DARE",'Pivot RakBank EUR'!$A$3,"Mese",9,"Tipologia",$A126),0)
- IFERROR(GETPIVOTDATA("Somma di AVERE",'Pivot RakBank EUR'!$A$3,"Mese",9,"Tipologia",$A126),0)
+IFERROR(GETPIVOTDATA("Somma di DARE",'Pivot Fineco Sa'!$A$3,"Mese",9,"Tipologia",$A126),0)
+ IFERROR(GETPIVOTDATA("Somma di DARE",'Pivot Fineco St'!$A$3,"Mese",9,"Tipologia",$A126),0)
+ Contanti!AH47
+ IFERROR(GETPIVOTDATA("Somma di DARE",'Pivot BBVA'!$A$3,"Mese",9,"Tipologia",$A126),0)
+ IFERROR(GETPIVOTDATA("Somma di DARE",'Pivot Amex'!$A$3,"Mese",9,"Tipologia",$A126),0)
- IFERROR(GETPIVOTDATA("Somma di AVERE",'Pivot Amex'!$A$3,"Mese",9,"Tipologia",$A126),0)
- IFERROR(GETPIVOTDATA("Somma di AVERE",'Pivot BBVA'!$A$3,"Mese",9,"Tipologia",$A126),0)
- IFERROR(GETPIVOTDATA("Somma di AVERE",'Pivot Fineco St'!$A$3,"Mese",9,"Tipologia",$A126),0)
- IFERROR(GETPIVOTDATA("Somma di AVERE",'Pivot Fineco Sa'!$A$3,"Mese",9,"Tipologia",$A126),0)
+ IFERROR(GETPIVOTDATA("Somma di DARE",'Pivot PP Visa'!$A$3,"Mese",9,"Tipologia",$A126),0)
- IFERROR(GETPIVOTDATA("Somma di AVERE",'Pivot PP Visa'!$A$3,"Mese",9,"Tipologia",$A126),0)
+ IFERROR(GETPIVOTDATA("Somma di DARE",'Pivot Revolut'!$A$3,"Mese",9,"Tipologia",$A126),0)
- IFERROR(GETPIVOTDATA("Somma di AVERE",'Pivot Revolut'!$A$3,"Mese",9,"Tipologia",$A126),0)</f>
        <v>0</v>
      </c>
      <c r="L126" s="243">
        <f>IFERROR(GETPIVOTDATA("Somma di DARE EUR",'Pivot RakBank AED'!$A$3,"Mese",10,"Tipologia",$A126),0)
- IFERROR(GETPIVOTDATA("Somma di AVERE EUR",'Pivot RakBank AED'!$A$3,"Mese",10,"Tipologia",$A126),0)
+IFERROR(GETPIVOTDATA("Somma di DARE",'Pivot RakBank EUR'!$A$3,"Mese",10,"Tipologia",$A126),0)
- IFERROR(GETPIVOTDATA("Somma di AVERE",'Pivot RakBank EUR'!$A$3,"Mese",10,"Tipologia",$A126),0)
+IFERROR(GETPIVOTDATA("Somma di DARE",'Pivot Fineco Sa'!$A$3,"Mese",10,"Tipologia",$A126),0)
+ IFERROR(GETPIVOTDATA("Somma di DARE",'Pivot Fineco St'!$A$3,"Mese",10,"Tipologia",$A126),0)
+ Contanti!AL47
+ IFERROR(GETPIVOTDATA("Somma di DARE",'Pivot BBVA'!$A$3,"Mese",10,"Tipologia",$A126),0)
+ IFERROR(GETPIVOTDATA("Somma di DARE",'Pivot Amex'!$A$3,"Mese",10,"Tipologia",$A126),0)
- IFERROR(GETPIVOTDATA("Somma di AVERE",'Pivot Amex'!$A$3,"Mese",10,"Tipologia",$A126),0)
- IFERROR(GETPIVOTDATA("Somma di AVERE",'Pivot BBVA'!$A$3,"Mese",10,"Tipologia",$A126),0)
- IFERROR(GETPIVOTDATA("Somma di AVERE",'Pivot Fineco St'!$A$3,"Mese",10,"Tipologia",$A126),0)
- IFERROR(GETPIVOTDATA("Somma di AVERE",'Pivot Fineco Sa'!$A$3,"Mese",10,"Tipologia",$A126),0)
+ IFERROR(GETPIVOTDATA("Somma di DARE",'Pivot PP Visa'!$A$3,"Mese",10,"Tipologia",$A126),0)
- IFERROR(GETPIVOTDATA("Somma di AVERE",'Pivot PP Visa'!$A$3,"Mese",10,"Tipologia",$A126),0)
+ IFERROR(GETPIVOTDATA("Somma di DARE",'Pivot Revolut'!$A$3,"Mese",10,"Tipologia",$A126),0)
- IFERROR(GETPIVOTDATA("Somma di AVERE",'Pivot Revolut'!$A$3,"Mese",10,"Tipologia",$A126),0)</f>
        <v>0</v>
      </c>
      <c r="M126" s="243">
        <f>IFERROR(GETPIVOTDATA("Somma di DARE EUR",'Pivot RakBank AED'!$A$3,"Mese",11,"Tipologia",$A126),0)
- IFERROR(GETPIVOTDATA("Somma di AVERE EUR",'Pivot RakBank AED'!$A$3,"Mese",11,"Tipologia",$A126),0)
+IFERROR(GETPIVOTDATA("Somma di DARE",'Pivot RakBank EUR'!$A$3,"Mese",11,"Tipologia",$A126),0)
- IFERROR(GETPIVOTDATA("Somma di AVERE",'Pivot RakBank EUR'!$A$3,"Mese",11,"Tipologia",$A126),0)
+IFERROR(GETPIVOTDATA("Somma di DARE",'Pivot Fineco Sa'!$A$3,"Mese",11,"Tipologia",$A126),0)
+ IFERROR(GETPIVOTDATA("Somma di DARE",'Pivot Fineco St'!$A$3,"Mese",11,"Tipologia",$A126),0)
+ Contanti!AP47
+ IFERROR(GETPIVOTDATA("Somma di DARE",'Pivot BBVA'!$A$3,"Mese",11,"Tipologia",$A126),0)
+ IFERROR(GETPIVOTDATA("Somma di DARE",'Pivot Amex'!$A$3,"Mese",11,"Tipologia",$A126),0)
- IFERROR(GETPIVOTDATA("Somma di AVERE",'Pivot Amex'!$A$3,"Mese",11,"Tipologia",$A126),0)
- IFERROR(GETPIVOTDATA("Somma di AVERE",'Pivot BBVA'!$A$3,"Mese",11,"Tipologia",$A126),0)
- IFERROR(GETPIVOTDATA("Somma di AVERE",'Pivot Fineco St'!$A$3,"Mese",11,"Tipologia",$A126),0)
- IFERROR(GETPIVOTDATA("Somma di AVERE",'Pivot Fineco Sa'!$A$3,"Mese",11,"Tipologia",$A126),0)
+ IFERROR(GETPIVOTDATA("Somma di DARE",'Pivot PP Visa'!$A$3,"Mese",11,"Tipologia",$A126),0)
- IFERROR(GETPIVOTDATA("Somma di AVERE",'Pivot PP Visa'!$A$3,"Mese",11,"Tipologia",$A126),0)
+ IFERROR(GETPIVOTDATA("Somma di DARE",'Pivot Revolut'!$A$3,"Mese",11,"Tipologia",$A126),0)
- IFERROR(GETPIVOTDATA("Somma di AVERE",'Pivot Revolut'!$A$3,"Mese",11,"Tipologia",$A126),0)</f>
        <v>0</v>
      </c>
      <c r="N126" s="243">
        <f>IFERROR(GETPIVOTDATA("Somma di DARE EUR",'Pivot RakBank AED'!$A$3,"Mese",12,"Tipologia",$A126),0)
- IFERROR(GETPIVOTDATA("Somma di AVERE EUR",'Pivot RakBank AED'!$A$3,"Mese",12,"Tipologia",$A126),0)
+IFERROR(GETPIVOTDATA("Somma di DARE",'Pivot RakBank EUR'!$A$3,"Mese",12,"Tipologia",$A126),0)
- IFERROR(GETPIVOTDATA("Somma di AVERE",'Pivot RakBank EUR'!$A$3,"Mese",12,"Tipologia",$A126),0)
+IFERROR(GETPIVOTDATA("Somma di DARE",'Pivot Fineco Sa'!$A$3,"Mese",12,"Tipologia",$A126),0)
+ IFERROR(GETPIVOTDATA("Somma di DARE",'Pivot Fineco St'!$A$3,"Mese",12,"Tipologia",$A126),0)
+ Contanti!AT47
+ IFERROR(GETPIVOTDATA("Somma di DARE",'Pivot BBVA'!$A$3,"Mese",12,"Tipologia",$A126),0)
+ IFERROR(GETPIVOTDATA("Somma di DARE",'Pivot Amex'!$A$3,"Mese",12,"Tipologia",$A126),0)
- IFERROR(GETPIVOTDATA("Somma di AVERE",'Pivot Amex'!$A$3,"Mese",12,"Tipologia",$A126),0)
- IFERROR(GETPIVOTDATA("Somma di AVERE",'Pivot BBVA'!$A$3,"Mese",12,"Tipologia",$A126),0)
- IFERROR(GETPIVOTDATA("Somma di AVERE",'Pivot Fineco St'!$A$3,"Mese",12,"Tipologia",$A126),0)
- IFERROR(GETPIVOTDATA("Somma di AVERE",'Pivot Fineco Sa'!$A$3,"Mese",12,"Tipologia",$A126),0)
+ IFERROR(GETPIVOTDATA("Somma di DARE",'Pivot PP Visa'!$A$3,"Mese",12,"Tipologia",$A126),0)
- IFERROR(GETPIVOTDATA("Somma di AVERE",'Pivot PP Visa'!$A$3,"Mese",12,"Tipologia",$A126),0)
+ IFERROR(GETPIVOTDATA("Somma di DARE",'Pivot Revolut'!$A$3,"Mese",12,"Tipologia",$A126),0)
- IFERROR(GETPIVOTDATA("Somma di AVERE",'Pivot Revolut'!$A$3,"Mese",12,"Tipologia",$A126),0)</f>
        <v>0</v>
      </c>
      <c r="O126" s="252">
        <f t="shared" si="14"/>
        <v>360</v>
      </c>
      <c r="P126" s="243"/>
    </row>
    <row r="127" spans="1:16" s="125" customFormat="1" ht="21" customHeight="1" x14ac:dyDescent="0.2">
      <c r="A127" s="251" t="s">
        <v>103</v>
      </c>
      <c r="B127" s="251"/>
      <c r="C127" s="243">
        <f>IFERROR(GETPIVOTDATA("Somma di DARE EUR",'Pivot RakBank AED'!$A$3,"Mese",1,"Tipologia",$A127),0)
- IFERROR(GETPIVOTDATA("Somma di AVERE EUR",'Pivot RakBank AED'!$A$3,"Mese",1,"Tipologia",$A127),0)
+IFERROR(GETPIVOTDATA("Somma di DARE",'Pivot RakBank EUR'!$A$3,"Mese",1,"Tipologia",$A127),0)
- IFERROR(GETPIVOTDATA("Somma di AVERE",'Pivot RakBank EUR'!$A$3,"Mese",1,"Tipologia",$A127),0)
+IFERROR(GETPIVOTDATA("Somma di DARE",'Pivot Fineco Sa'!$A$3,"Mese",1,"Tipologia",$A127),0)
+ IFERROR(GETPIVOTDATA("Somma di DARE",'Pivot Fineco St'!$A$3,"Mese",1,"Tipologia",$A127),0)
+ Contanti!B48
+ IFERROR(GETPIVOTDATA("Somma di DARE",'Pivot BBVA'!$A$3,"Mese",1,"Tipologia",$A127),0)
+ IFERROR(GETPIVOTDATA("Somma di DARE",'Pivot Amex'!$A$3,"Mese",1,"Tipologia",$A127),0)
- IFERROR(GETPIVOTDATA("Somma di AVERE",'Pivot Amex'!$A$3,"Mese",1,"Tipologia",$A127),0)
- IFERROR(GETPIVOTDATA("Somma di AVERE",'Pivot BBVA'!$A$3,"Mese",1,"Tipologia",$A127),0)
- IFERROR(GETPIVOTDATA("Somma di AVERE",'Pivot Fineco St'!$A$3,"Mese",1,"Tipologia",$A127),0)
- IFERROR(GETPIVOTDATA("Somma di AVERE",'Pivot Fineco Sa'!$A$3,"Mese",1,"Tipologia",$A127),0)
+ IFERROR(GETPIVOTDATA("Somma di DARE",'Pivot PP Visa'!$A$3,"Mese",1,"Tipologia",$A127),0)
- IFERROR(GETPIVOTDATA("Somma di AVERE",'Pivot PP Visa'!$A$3,"Mese",1,"Tipologia",$A127),0)
+ IFERROR(GETPIVOTDATA("Somma di DARE",'Pivot Revolut'!$A$3,"Mese",1,"Tipologia",$A127),0)
- IFERROR(GETPIVOTDATA("Somma di AVERE",'Pivot Revolut'!$A$3,"Mese",1,"Tipologia",$A127),0)</f>
        <v>0</v>
      </c>
      <c r="D127" s="243">
        <f>IFERROR(GETPIVOTDATA("Somma di DARE EUR",'Pivot RakBank AED'!$A$3,"Mese",2,"Tipologia",$A127),0)
- IFERROR(GETPIVOTDATA("Somma di AVERE EUR",'Pivot RakBank AED'!$A$3,"Mese",2,"Tipologia",$A127),0)
+IFERROR(GETPIVOTDATA("Somma di DARE",'Pivot RakBank EUR'!$A$3,"Mese",2,"Tipologia",$A127),0)
- IFERROR(GETPIVOTDATA("Somma di AVERE",'Pivot RakBank EUR'!$A$3,"Mese",2,"Tipologia",$A127),0)
+IFERROR(GETPIVOTDATA("Somma di DARE",'Pivot Fineco Sa'!$A$3,"Mese",2,"Tipologia",$A127),0)
+ IFERROR(GETPIVOTDATA("Somma di DARE",'Pivot Fineco St'!$A$3,"Mese",2,"Tipologia",$A127),0)
+ Contanti!F48
+ IFERROR(GETPIVOTDATA("Somma di DARE",'Pivot BBVA'!$A$3,"Mese",2,"Tipologia",$A127),0)
+ IFERROR(GETPIVOTDATA("Somma di DARE",'Pivot Amex'!$A$3,"Mese",2,"Tipologia",$A127),0)
- IFERROR(GETPIVOTDATA("Somma di AVERE",'Pivot Amex'!$A$3,"Mese",2,"Tipologia",$A127),0)
- IFERROR(GETPIVOTDATA("Somma di AVERE",'Pivot BBVA'!$A$3,"Mese",2,"Tipologia",$A127),0)
- IFERROR(GETPIVOTDATA("Somma di AVERE",'Pivot Fineco St'!$A$3,"Mese",2,"Tipologia",$A127),0)
- IFERROR(GETPIVOTDATA("Somma di AVERE",'Pivot Fineco Sa'!$A$3,"Mese",2,"Tipologia",$A127),0)
+ IFERROR(GETPIVOTDATA("Somma di DARE",'Pivot PP Visa'!$A$3,"Mese",2,"Tipologia",$A127),0)
- IFERROR(GETPIVOTDATA("Somma di AVERE",'Pivot PP Visa'!$A$3,"Mese",2,"Tipologia",$A127),0)
+ IFERROR(GETPIVOTDATA("Somma di DARE",'Pivot Revolut'!$A$3,"Mese",2,"Tipologia",$A127),0)
- IFERROR(GETPIVOTDATA("Somma di AVERE",'Pivot Revolut'!$A$3,"Mese",2,"Tipologia",$A127),0)</f>
        <v>0</v>
      </c>
      <c r="E127" s="243">
        <f>IFERROR(GETPIVOTDATA("Somma di DARE EUR",'Pivot RakBank AED'!$A$3,"Mese",3,"Tipologia",$A127),0)
- IFERROR(GETPIVOTDATA("Somma di AVERE EUR",'Pivot RakBank AED'!$A$3,"Mese",3,"Tipologia",$A127),0)
+IFERROR(GETPIVOTDATA("Somma di DARE",'Pivot RakBank EUR'!$A$3,"Mese",3,"Tipologia",$A127),0)
- IFERROR(GETPIVOTDATA("Somma di AVERE",'Pivot RakBank EUR'!$A$3,"Mese",3,"Tipologia",$A127),0)
+IFERROR(GETPIVOTDATA("Somma di DARE",'Pivot Fineco Sa'!$A$3,"Mese",3,"Tipologia",$A127),0)
+ IFERROR(GETPIVOTDATA("Somma di DARE",'Pivot Fineco St'!$A$3,"Mese",3,"Tipologia",$A127),0)
+ Contanti!J48
+ IFERROR(GETPIVOTDATA("Somma di DARE",'Pivot BBVA'!$A$3,"Mese",3,"Tipologia",$A127),0)
+ IFERROR(GETPIVOTDATA("Somma di DARE",'Pivot Amex'!$A$3,"Mese",3,"Tipologia",$A127),0)
- IFERROR(GETPIVOTDATA("Somma di AVERE",'Pivot Amex'!$A$3,"Mese",3,"Tipologia",$A127),0)
- IFERROR(GETPIVOTDATA("Somma di AVERE",'Pivot BBVA'!$A$3,"Mese",3,"Tipologia",$A127),0)
- IFERROR(GETPIVOTDATA("Somma di AVERE",'Pivot Fineco St'!$A$3,"Mese",3,"Tipologia",$A127),0)
- IFERROR(GETPIVOTDATA("Somma di AVERE",'Pivot Fineco Sa'!$A$3,"Mese",3,"Tipologia",$A127),0)
+ IFERROR(GETPIVOTDATA("Somma di DARE",'Pivot PP Visa'!$A$3,"Mese",3,"Tipologia",$A127),0)
- IFERROR(GETPIVOTDATA("Somma di AVERE",'Pivot PP Visa'!$A$3,"Mese",3,"Tipologia",$A127),0)
+ IFERROR(GETPIVOTDATA("Somma di DARE",'Pivot Revolut'!$A$3,"Mese",3,"Tipologia",$A127),0)
- IFERROR(GETPIVOTDATA("Somma di AVERE",'Pivot Revolut'!$A$3,"Mese",3,"Tipologia",$A127),0)</f>
        <v>0</v>
      </c>
      <c r="F127" s="243">
        <f>IFERROR(GETPIVOTDATA("Somma di DARE EUR",'Pivot RakBank AED'!$A$3,"Mese",4,"Tipologia",$A127),0)
- IFERROR(GETPIVOTDATA("Somma di AVERE EUR",'Pivot RakBank AED'!$A$3,"Mese",4,"Tipologia",$A127),0)
+IFERROR(GETPIVOTDATA("Somma di DARE",'Pivot RakBank EUR'!$A$3,"Mese",4,"Tipologia",$A127),0)
- IFERROR(GETPIVOTDATA("Somma di AVERE",'Pivot RakBank EUR'!$A$3,"Mese",4,"Tipologia",$A127),0)
+IFERROR(GETPIVOTDATA("Somma di DARE",'Pivot Fineco Sa'!$A$3,"Mese",4,"Tipologia",$A127),0)
+ IFERROR(GETPIVOTDATA("Somma di DARE",'Pivot Fineco St'!$A$3,"Mese",4,"Tipologia",$A127),0)
+ Contanti!N48
+ IFERROR(GETPIVOTDATA("Somma di DARE",'Pivot BBVA'!$A$3,"Mese",4,"Tipologia",$A127),0)
+ IFERROR(GETPIVOTDATA("Somma di DARE",'Pivot Amex'!$A$3,"Mese",4,"Tipologia",$A127),0)
- IFERROR(GETPIVOTDATA("Somma di AVERE",'Pivot Amex'!$A$3,"Mese",4,"Tipologia",$A127),0)
- IFERROR(GETPIVOTDATA("Somma di AVERE",'Pivot BBVA'!$A$3,"Mese",4,"Tipologia",$A127),0)
- IFERROR(GETPIVOTDATA("Somma di AVERE",'Pivot Fineco St'!$A$3,"Mese",4,"Tipologia",$A127),0)
- IFERROR(GETPIVOTDATA("Somma di AVERE",'Pivot Fineco Sa'!$A$3,"Mese",4,"Tipologia",$A127),0)
+ IFERROR(GETPIVOTDATA("Somma di DARE",'Pivot PP Visa'!$A$3,"Mese",4,"Tipologia",$A127),0)
- IFERROR(GETPIVOTDATA("Somma di AVERE",'Pivot PP Visa'!$A$3,"Mese",4,"Tipologia",$A127),0)
+ IFERROR(GETPIVOTDATA("Somma di DARE",'Pivot Revolut'!$A$3,"Mese",4,"Tipologia",$A127),0)
- IFERROR(GETPIVOTDATA("Somma di AVERE",'Pivot Revolut'!$A$3,"Mese",4,"Tipologia",$A127),0)</f>
        <v>0</v>
      </c>
      <c r="G127" s="243">
        <f>IFERROR(GETPIVOTDATA("Somma di DARE EUR",'Pivot RakBank AED'!$A$3,"Mese",5,"Tipologia",$A127),0)
- IFERROR(GETPIVOTDATA("Somma di AVERE EUR",'Pivot RakBank AED'!$A$3,"Mese",5,"Tipologia",$A127),0)
+IFERROR(GETPIVOTDATA("Somma di DARE",'Pivot RakBank EUR'!$A$3,"Mese",5,"Tipologia",$A127),0)
- IFERROR(GETPIVOTDATA("Somma di AVERE",'Pivot RakBank EUR'!$A$3,"Mese",5,"Tipologia",$A127),0)
+IFERROR(GETPIVOTDATA("Somma di DARE",'Pivot Fineco Sa'!$A$3,"Mese",5,"Tipologia",$A127),0)
+ IFERROR(GETPIVOTDATA("Somma di DARE",'Pivot Fineco St'!$A$3,"Mese",5,"Tipologia",$A127),0)
+ Contanti!R48
+ IFERROR(GETPIVOTDATA("Somma di DARE",'Pivot BBVA'!$A$3,"Mese",5,"Tipologia",$A127),0)
+ IFERROR(GETPIVOTDATA("Somma di DARE",'Pivot Amex'!$A$3,"Mese",5,"Tipologia",$A127),0)
- IFERROR(GETPIVOTDATA("Somma di AVERE",'Pivot Amex'!$A$3,"Mese",5,"Tipologia",$A127),0)
- IFERROR(GETPIVOTDATA("Somma di AVERE",'Pivot BBVA'!$A$3,"Mese",5,"Tipologia",$A127),0)
- IFERROR(GETPIVOTDATA("Somma di AVERE",'Pivot Fineco St'!$A$3,"Mese",5,"Tipologia",$A127),0)
- IFERROR(GETPIVOTDATA("Somma di AVERE",'Pivot Fineco Sa'!$A$3,"Mese",5,"Tipologia",$A127),0)
+ IFERROR(GETPIVOTDATA("Somma di DARE",'Pivot PP Visa'!$A$3,"Mese",5,"Tipologia",$A127),0)
- IFERROR(GETPIVOTDATA("Somma di AVERE",'Pivot PP Visa'!$A$3,"Mese",5,"Tipologia",$A127),0)
+ IFERROR(GETPIVOTDATA("Somma di DARE",'Pivot Revolut'!$A$3,"Mese",5,"Tipologia",$A127),0)
- IFERROR(GETPIVOTDATA("Somma di AVERE",'Pivot Revolut'!$A$3,"Mese",5,"Tipologia",$A127),0)</f>
        <v>0</v>
      </c>
      <c r="H127" s="243">
        <f>IFERROR(GETPIVOTDATA("Somma di DARE EUR",'Pivot RakBank AED'!$A$3,"Mese",6,"Tipologia",$A127),0)
- IFERROR(GETPIVOTDATA("Somma di AVERE EUR",'Pivot RakBank AED'!$A$3,"Mese",6,"Tipologia",$A127),0)
+IFERROR(GETPIVOTDATA("Somma di DARE",'Pivot RakBank EUR'!$A$3,"Mese",6,"Tipologia",$A127),0)
- IFERROR(GETPIVOTDATA("Somma di AVERE",'Pivot RakBank EUR'!$A$3,"Mese",6,"Tipologia",$A127),0)
+IFERROR(GETPIVOTDATA("Somma di DARE",'Pivot Fineco Sa'!$A$3,"Mese",6,"Tipologia",$A127),0)
+ IFERROR(GETPIVOTDATA("Somma di DARE",'Pivot Fineco St'!$A$3,"Mese",6,"Tipologia",$A127),0)
+ Contanti!V48
+ IFERROR(GETPIVOTDATA("Somma di DARE",'Pivot BBVA'!$A$3,"Mese",6,"Tipologia",$A127),0)
+ IFERROR(GETPIVOTDATA("Somma di DARE",'Pivot Amex'!$A$3,"Mese",6,"Tipologia",$A127),0)
- IFERROR(GETPIVOTDATA("Somma di AVERE",'Pivot Amex'!$A$3,"Mese",6,"Tipologia",$A127),0)
- IFERROR(GETPIVOTDATA("Somma di AVERE",'Pivot BBVA'!$A$3,"Mese",6,"Tipologia",$A127),0)
- IFERROR(GETPIVOTDATA("Somma di AVERE",'Pivot Fineco St'!$A$3,"Mese",6,"Tipologia",$A127),0)
- IFERROR(GETPIVOTDATA("Somma di AVERE",'Pivot Fineco Sa'!$A$3,"Mese",6,"Tipologia",$A127),0)
+ IFERROR(GETPIVOTDATA("Somma di DARE",'Pivot PP Visa'!$A$3,"Mese",6,"Tipologia",$A127),0)
- IFERROR(GETPIVOTDATA("Somma di AVERE",'Pivot PP Visa'!$A$3,"Mese",6,"Tipologia",$A127),0)
+ IFERROR(GETPIVOTDATA("Somma di DARE",'Pivot Revolut'!$A$3,"Mese",6,"Tipologia",$A127),0)
- IFERROR(GETPIVOTDATA("Somma di AVERE",'Pivot Revolut'!$A$3,"Mese",6,"Tipologia",$A127),0)</f>
        <v>0</v>
      </c>
      <c r="I127" s="243">
        <f>IFERROR(GETPIVOTDATA("Somma di DARE EUR",'Pivot RakBank AED'!$A$3,"Mese",7,"Tipologia",$A127),0)
- IFERROR(GETPIVOTDATA("Somma di AVERE EUR",'Pivot RakBank AED'!$A$3,"Mese",7,"Tipologia",$A127),0)
+IFERROR(GETPIVOTDATA("Somma di DARE",'Pivot RakBank EUR'!$A$3,"Mese",7,"Tipologia",$A127),0)
- IFERROR(GETPIVOTDATA("Somma di AVERE",'Pivot RakBank EUR'!$A$3,"Mese",7,"Tipologia",$A127),0)
+IFERROR(GETPIVOTDATA("Somma di DARE",'Pivot Fineco Sa'!$A$3,"Mese",7,"Tipologia",$A127),0)
+ IFERROR(GETPIVOTDATA("Somma di DARE",'Pivot Fineco St'!$A$3,"Mese",7,"Tipologia",$A127),0)
+ Contanti!Z48
+ IFERROR(GETPIVOTDATA("Somma di DARE",'Pivot BBVA'!$A$3,"Mese",7,"Tipologia",$A127),0)
+ IFERROR(GETPIVOTDATA("Somma di DARE",'Pivot Amex'!$A$3,"Mese",7,"Tipologia",$A127),0)
- IFERROR(GETPIVOTDATA("Somma di AVERE",'Pivot Amex'!$A$3,"Mese",7,"Tipologia",$A127),0)
- IFERROR(GETPIVOTDATA("Somma di AVERE",'Pivot BBVA'!$A$3,"Mese",7,"Tipologia",$A127),0)
- IFERROR(GETPIVOTDATA("Somma di AVERE",'Pivot Fineco St'!$A$3,"Mese",7,"Tipologia",$A127),0)
- IFERROR(GETPIVOTDATA("Somma di AVERE",'Pivot Fineco Sa'!$A$3,"Mese",7,"Tipologia",$A127),0)
+ IFERROR(GETPIVOTDATA("Somma di DARE",'Pivot PP Visa'!$A$3,"Mese",7,"Tipologia",$A127),0)
- IFERROR(GETPIVOTDATA("Somma di AVERE",'Pivot PP Visa'!$A$3,"Mese",7,"Tipologia",$A127),0)
+ IFERROR(GETPIVOTDATA("Somma di DARE",'Pivot Revolut'!$A$3,"Mese",7,"Tipologia",$A127),0)
- IFERROR(GETPIVOTDATA("Somma di AVERE",'Pivot Revolut'!$A$3,"Mese",7,"Tipologia",$A127),0)</f>
        <v>0</v>
      </c>
      <c r="J127" s="243">
        <f>IFERROR(GETPIVOTDATA("Somma di DARE EUR",'Pivot RakBank AED'!$A$3,"Mese",8,"Tipologia",$A127),0)
- IFERROR(GETPIVOTDATA("Somma di AVERE EUR",'Pivot RakBank AED'!$A$3,"Mese",8,"Tipologia",$A127),0)
+IFERROR(GETPIVOTDATA("Somma di DARE",'Pivot RakBank EUR'!$A$3,"Mese",8,"Tipologia",$A127),0)
- IFERROR(GETPIVOTDATA("Somma di AVERE",'Pivot RakBank EUR'!$A$3,"Mese",8,"Tipologia",$A127),0)
+IFERROR(GETPIVOTDATA("Somma di DARE",'Pivot Fineco Sa'!$A$3,"Mese",8,"Tipologia",$A127),0)
+ IFERROR(GETPIVOTDATA("Somma di DARE",'Pivot Fineco St'!$A$3,"Mese",8,"Tipologia",$A127),0)
+ Contanti!AD48
+ IFERROR(GETPIVOTDATA("Somma di DARE",'Pivot BBVA'!$A$3,"Mese",8,"Tipologia",$A127),0)
+ IFERROR(GETPIVOTDATA("Somma di DARE",'Pivot Amex'!$A$3,"Mese",8,"Tipologia",$A127),0)
- IFERROR(GETPIVOTDATA("Somma di AVERE",'Pivot Amex'!$A$3,"Mese",8,"Tipologia",$A127),0)
- IFERROR(GETPIVOTDATA("Somma di AVERE",'Pivot BBVA'!$A$3,"Mese",8,"Tipologia",$A127),0)
- IFERROR(GETPIVOTDATA("Somma di AVERE",'Pivot Fineco St'!$A$3,"Mese",8,"Tipologia",$A127),0)
- IFERROR(GETPIVOTDATA("Somma di AVERE",'Pivot Fineco Sa'!$A$3,"Mese",8,"Tipologia",$A127),0)
+ IFERROR(GETPIVOTDATA("Somma di DARE",'Pivot PP Visa'!$A$3,"Mese",8,"Tipologia",$A127),0)
- IFERROR(GETPIVOTDATA("Somma di AVERE",'Pivot PP Visa'!$A$3,"Mese",8,"Tipologia",$A127),0)
+ IFERROR(GETPIVOTDATA("Somma di DARE",'Pivot Revolut'!$A$3,"Mese",8,"Tipologia",$A127),0)
- IFERROR(GETPIVOTDATA("Somma di AVERE",'Pivot Revolut'!$A$3,"Mese",8,"Tipologia",$A127),0)</f>
        <v>0</v>
      </c>
      <c r="K127" s="243">
        <f>IFERROR(GETPIVOTDATA("Somma di DARE EUR",'Pivot RakBank AED'!$A$3,"Mese",9,"Tipologia",$A127),0)
- IFERROR(GETPIVOTDATA("Somma di AVERE EUR",'Pivot RakBank AED'!$A$3,"Mese",9,"Tipologia",$A127),0)
+IFERROR(GETPIVOTDATA("Somma di DARE",'Pivot RakBank EUR'!$A$3,"Mese",9,"Tipologia",$A127),0)
- IFERROR(GETPIVOTDATA("Somma di AVERE",'Pivot RakBank EUR'!$A$3,"Mese",9,"Tipologia",$A127),0)
+IFERROR(GETPIVOTDATA("Somma di DARE",'Pivot Fineco Sa'!$A$3,"Mese",9,"Tipologia",$A127),0)
+ IFERROR(GETPIVOTDATA("Somma di DARE",'Pivot Fineco St'!$A$3,"Mese",9,"Tipologia",$A127),0)
+ Contanti!AH48
+ IFERROR(GETPIVOTDATA("Somma di DARE",'Pivot BBVA'!$A$3,"Mese",9,"Tipologia",$A127),0)
+ IFERROR(GETPIVOTDATA("Somma di DARE",'Pivot Amex'!$A$3,"Mese",9,"Tipologia",$A127),0)
- IFERROR(GETPIVOTDATA("Somma di AVERE",'Pivot Amex'!$A$3,"Mese",9,"Tipologia",$A127),0)
- IFERROR(GETPIVOTDATA("Somma di AVERE",'Pivot BBVA'!$A$3,"Mese",9,"Tipologia",$A127),0)
- IFERROR(GETPIVOTDATA("Somma di AVERE",'Pivot Fineco St'!$A$3,"Mese",9,"Tipologia",$A127),0)
- IFERROR(GETPIVOTDATA("Somma di AVERE",'Pivot Fineco Sa'!$A$3,"Mese",9,"Tipologia",$A127),0)
+ IFERROR(GETPIVOTDATA("Somma di DARE",'Pivot PP Visa'!$A$3,"Mese",9,"Tipologia",$A127),0)
- IFERROR(GETPIVOTDATA("Somma di AVERE",'Pivot PP Visa'!$A$3,"Mese",9,"Tipologia",$A127),0)
+ IFERROR(GETPIVOTDATA("Somma di DARE",'Pivot Revolut'!$A$3,"Mese",9,"Tipologia",$A127),0)
- IFERROR(GETPIVOTDATA("Somma di AVERE",'Pivot Revolut'!$A$3,"Mese",9,"Tipologia",$A127),0)</f>
        <v>0</v>
      </c>
      <c r="L127" s="243">
        <f>IFERROR(GETPIVOTDATA("Somma di DARE EUR",'Pivot RakBank AED'!$A$3,"Mese",10,"Tipologia",$A127),0)
- IFERROR(GETPIVOTDATA("Somma di AVERE EUR",'Pivot RakBank AED'!$A$3,"Mese",10,"Tipologia",$A127),0)
+IFERROR(GETPIVOTDATA("Somma di DARE",'Pivot RakBank EUR'!$A$3,"Mese",10,"Tipologia",$A127),0)
- IFERROR(GETPIVOTDATA("Somma di AVERE",'Pivot RakBank EUR'!$A$3,"Mese",10,"Tipologia",$A127),0)
+IFERROR(GETPIVOTDATA("Somma di DARE",'Pivot Fineco Sa'!$A$3,"Mese",10,"Tipologia",$A127),0)
+ IFERROR(GETPIVOTDATA("Somma di DARE",'Pivot Fineco St'!$A$3,"Mese",10,"Tipologia",$A127),0)
+ Contanti!AL48
+ IFERROR(GETPIVOTDATA("Somma di DARE",'Pivot BBVA'!$A$3,"Mese",10,"Tipologia",$A127),0)
+ IFERROR(GETPIVOTDATA("Somma di DARE",'Pivot Amex'!$A$3,"Mese",10,"Tipologia",$A127),0)
- IFERROR(GETPIVOTDATA("Somma di AVERE",'Pivot Amex'!$A$3,"Mese",10,"Tipologia",$A127),0)
- IFERROR(GETPIVOTDATA("Somma di AVERE",'Pivot BBVA'!$A$3,"Mese",10,"Tipologia",$A127),0)
- IFERROR(GETPIVOTDATA("Somma di AVERE",'Pivot Fineco St'!$A$3,"Mese",10,"Tipologia",$A127),0)
- IFERROR(GETPIVOTDATA("Somma di AVERE",'Pivot Fineco Sa'!$A$3,"Mese",10,"Tipologia",$A127),0)
+ IFERROR(GETPIVOTDATA("Somma di DARE",'Pivot PP Visa'!$A$3,"Mese",10,"Tipologia",$A127),0)
- IFERROR(GETPIVOTDATA("Somma di AVERE",'Pivot PP Visa'!$A$3,"Mese",10,"Tipologia",$A127),0)
+ IFERROR(GETPIVOTDATA("Somma di DARE",'Pivot Revolut'!$A$3,"Mese",10,"Tipologia",$A127),0)
- IFERROR(GETPIVOTDATA("Somma di AVERE",'Pivot Revolut'!$A$3,"Mese",10,"Tipologia",$A127),0)</f>
        <v>0</v>
      </c>
      <c r="M127" s="243">
        <f>IFERROR(GETPIVOTDATA("Somma di DARE EUR",'Pivot RakBank AED'!$A$3,"Mese",11,"Tipologia",$A127),0)
- IFERROR(GETPIVOTDATA("Somma di AVERE EUR",'Pivot RakBank AED'!$A$3,"Mese",11,"Tipologia",$A127),0)
+IFERROR(GETPIVOTDATA("Somma di DARE",'Pivot RakBank EUR'!$A$3,"Mese",11,"Tipologia",$A127),0)
- IFERROR(GETPIVOTDATA("Somma di AVERE",'Pivot RakBank EUR'!$A$3,"Mese",11,"Tipologia",$A127),0)
+IFERROR(GETPIVOTDATA("Somma di DARE",'Pivot Fineco Sa'!$A$3,"Mese",11,"Tipologia",$A127),0)
+ IFERROR(GETPIVOTDATA("Somma di DARE",'Pivot Fineco St'!$A$3,"Mese",11,"Tipologia",$A127),0)
+ Contanti!AP48
+ IFERROR(GETPIVOTDATA("Somma di DARE",'Pivot BBVA'!$A$3,"Mese",11,"Tipologia",$A127),0)
+ IFERROR(GETPIVOTDATA("Somma di DARE",'Pivot Amex'!$A$3,"Mese",11,"Tipologia",$A127),0)
- IFERROR(GETPIVOTDATA("Somma di AVERE",'Pivot Amex'!$A$3,"Mese",11,"Tipologia",$A127),0)
- IFERROR(GETPIVOTDATA("Somma di AVERE",'Pivot BBVA'!$A$3,"Mese",11,"Tipologia",$A127),0)
- IFERROR(GETPIVOTDATA("Somma di AVERE",'Pivot Fineco St'!$A$3,"Mese",11,"Tipologia",$A127),0)
- IFERROR(GETPIVOTDATA("Somma di AVERE",'Pivot Fineco Sa'!$A$3,"Mese",11,"Tipologia",$A127),0)
+ IFERROR(GETPIVOTDATA("Somma di DARE",'Pivot PP Visa'!$A$3,"Mese",11,"Tipologia",$A127),0)
- IFERROR(GETPIVOTDATA("Somma di AVERE",'Pivot PP Visa'!$A$3,"Mese",11,"Tipologia",$A127),0)
+ IFERROR(GETPIVOTDATA("Somma di DARE",'Pivot Revolut'!$A$3,"Mese",11,"Tipologia",$A127),0)
- IFERROR(GETPIVOTDATA("Somma di AVERE",'Pivot Revolut'!$A$3,"Mese",11,"Tipologia",$A127),0)</f>
        <v>0</v>
      </c>
      <c r="N127" s="243">
        <f>IFERROR(GETPIVOTDATA("Somma di DARE EUR",'Pivot RakBank AED'!$A$3,"Mese",12,"Tipologia",$A127),0)
- IFERROR(GETPIVOTDATA("Somma di AVERE EUR",'Pivot RakBank AED'!$A$3,"Mese",12,"Tipologia",$A127),0)
+IFERROR(GETPIVOTDATA("Somma di DARE",'Pivot RakBank EUR'!$A$3,"Mese",12,"Tipologia",$A127),0)
- IFERROR(GETPIVOTDATA("Somma di AVERE",'Pivot RakBank EUR'!$A$3,"Mese",12,"Tipologia",$A127),0)
+IFERROR(GETPIVOTDATA("Somma di DARE",'Pivot Fineco Sa'!$A$3,"Mese",12,"Tipologia",$A127),0)
+ IFERROR(GETPIVOTDATA("Somma di DARE",'Pivot Fineco St'!$A$3,"Mese",12,"Tipologia",$A127),0)
+ Contanti!AT48
+ IFERROR(GETPIVOTDATA("Somma di DARE",'Pivot BBVA'!$A$3,"Mese",12,"Tipologia",$A127),0)
+ IFERROR(GETPIVOTDATA("Somma di DARE",'Pivot Amex'!$A$3,"Mese",12,"Tipologia",$A127),0)
- IFERROR(GETPIVOTDATA("Somma di AVERE",'Pivot Amex'!$A$3,"Mese",12,"Tipologia",$A127),0)
- IFERROR(GETPIVOTDATA("Somma di AVERE",'Pivot BBVA'!$A$3,"Mese",12,"Tipologia",$A127),0)
- IFERROR(GETPIVOTDATA("Somma di AVERE",'Pivot Fineco St'!$A$3,"Mese",12,"Tipologia",$A127),0)
- IFERROR(GETPIVOTDATA("Somma di AVERE",'Pivot Fineco Sa'!$A$3,"Mese",12,"Tipologia",$A127),0)
+ IFERROR(GETPIVOTDATA("Somma di DARE",'Pivot PP Visa'!$A$3,"Mese",12,"Tipologia",$A127),0)
- IFERROR(GETPIVOTDATA("Somma di AVERE",'Pivot PP Visa'!$A$3,"Mese",12,"Tipologia",$A127),0)
+ IFERROR(GETPIVOTDATA("Somma di DARE",'Pivot Revolut'!$A$3,"Mese",12,"Tipologia",$A127),0)
- IFERROR(GETPIVOTDATA("Somma di AVERE",'Pivot Revolut'!$A$3,"Mese",12,"Tipologia",$A127),0)</f>
        <v>0</v>
      </c>
      <c r="O127" s="252">
        <f t="shared" si="14"/>
        <v>0</v>
      </c>
      <c r="P127" s="243"/>
    </row>
    <row r="128" spans="1:16" s="125" customFormat="1" ht="21" customHeight="1" x14ac:dyDescent="0.2">
      <c r="A128" s="251" t="s">
        <v>102</v>
      </c>
      <c r="B128" s="251"/>
      <c r="C128" s="243">
        <f>IFERROR(GETPIVOTDATA("Somma di DARE EUR",'Pivot RakBank AED'!$A$3,"Mese",1,"Tipologia",$A128),0)
- IFERROR(GETPIVOTDATA("Somma di AVERE EUR",'Pivot RakBank AED'!$A$3,"Mese",1,"Tipologia",$A128),0)
+IFERROR(GETPIVOTDATA("Somma di DARE",'Pivot RakBank EUR'!$A$3,"Mese",1,"Tipologia",$A128),0)
- IFERROR(GETPIVOTDATA("Somma di AVERE",'Pivot RakBank EUR'!$A$3,"Mese",1,"Tipologia",$A128),0)
+IFERROR(GETPIVOTDATA("Somma di DARE",'Pivot Fineco Sa'!$A$3,"Mese",1,"Tipologia",$A128),0)
+ IFERROR(GETPIVOTDATA("Somma di DARE",'Pivot Fineco St'!$A$3,"Mese",1,"Tipologia",$A128),0)
+ Contanti!B49
+ IFERROR(GETPIVOTDATA("Somma di DARE",'Pivot BBVA'!$A$3,"Mese",1,"Tipologia",$A128),0)
+ IFERROR(GETPIVOTDATA("Somma di DARE",'Pivot Amex'!$A$3,"Mese",1,"Tipologia",$A128),0)
- IFERROR(GETPIVOTDATA("Somma di AVERE",'Pivot Amex'!$A$3,"Mese",1,"Tipologia",$A128),0)
- IFERROR(GETPIVOTDATA("Somma di AVERE",'Pivot BBVA'!$A$3,"Mese",1,"Tipologia",$A128),0)
- IFERROR(GETPIVOTDATA("Somma di AVERE",'Pivot Fineco St'!$A$3,"Mese",1,"Tipologia",$A128),0)
- IFERROR(GETPIVOTDATA("Somma di AVERE",'Pivot Fineco Sa'!$A$3,"Mese",1,"Tipologia",$A128),0)
+ IFERROR(GETPIVOTDATA("Somma di DARE",'Pivot PP Visa'!$A$3,"Mese",1,"Tipologia",$A128),0)
- IFERROR(GETPIVOTDATA("Somma di AVERE",'Pivot PP Visa'!$A$3,"Mese",1,"Tipologia",$A128),0)
+ IFERROR(GETPIVOTDATA("Somma di DARE",'Pivot Revolut'!$A$3,"Mese",1,"Tipologia",$A128),0)
- IFERROR(GETPIVOTDATA("Somma di AVERE",'Pivot Revolut'!$A$3,"Mese",1,"Tipologia",$A128),0)</f>
        <v>0</v>
      </c>
      <c r="D128" s="243">
        <f>IFERROR(GETPIVOTDATA("Somma di DARE EUR",'Pivot RakBank AED'!$A$3,"Mese",2,"Tipologia",$A128),0)
- IFERROR(GETPIVOTDATA("Somma di AVERE EUR",'Pivot RakBank AED'!$A$3,"Mese",2,"Tipologia",$A128),0)
+IFERROR(GETPIVOTDATA("Somma di DARE",'Pivot RakBank EUR'!$A$3,"Mese",2,"Tipologia",$A128),0)
- IFERROR(GETPIVOTDATA("Somma di AVERE",'Pivot RakBank EUR'!$A$3,"Mese",2,"Tipologia",$A128),0)
+IFERROR(GETPIVOTDATA("Somma di DARE",'Pivot Fineco Sa'!$A$3,"Mese",2,"Tipologia",$A128),0)
+ IFERROR(GETPIVOTDATA("Somma di DARE",'Pivot Fineco St'!$A$3,"Mese",2,"Tipologia",$A128),0)
+ Contanti!F49
+ IFERROR(GETPIVOTDATA("Somma di DARE",'Pivot BBVA'!$A$3,"Mese",2,"Tipologia",$A128),0)
+ IFERROR(GETPIVOTDATA("Somma di DARE",'Pivot Amex'!$A$3,"Mese",2,"Tipologia",$A128),0)
- IFERROR(GETPIVOTDATA("Somma di AVERE",'Pivot Amex'!$A$3,"Mese",2,"Tipologia",$A128),0)
- IFERROR(GETPIVOTDATA("Somma di AVERE",'Pivot BBVA'!$A$3,"Mese",2,"Tipologia",$A128),0)
- IFERROR(GETPIVOTDATA("Somma di AVERE",'Pivot Fineco St'!$A$3,"Mese",2,"Tipologia",$A128),0)
- IFERROR(GETPIVOTDATA("Somma di AVERE",'Pivot Fineco Sa'!$A$3,"Mese",2,"Tipologia",$A128),0)
+ IFERROR(GETPIVOTDATA("Somma di DARE",'Pivot PP Visa'!$A$3,"Mese",2,"Tipologia",$A128),0)
- IFERROR(GETPIVOTDATA("Somma di AVERE",'Pivot PP Visa'!$A$3,"Mese",2,"Tipologia",$A128),0)
+ IFERROR(GETPIVOTDATA("Somma di DARE",'Pivot Revolut'!$A$3,"Mese",2,"Tipologia",$A128),0)
- IFERROR(GETPIVOTDATA("Somma di AVERE",'Pivot Revolut'!$A$3,"Mese",2,"Tipologia",$A128),0)</f>
        <v>23.299999999999997</v>
      </c>
      <c r="E128" s="243">
        <f>IFERROR(GETPIVOTDATA("Somma di DARE EUR",'Pivot RakBank AED'!$A$3,"Mese",3,"Tipologia",$A128),0)
- IFERROR(GETPIVOTDATA("Somma di AVERE EUR",'Pivot RakBank AED'!$A$3,"Mese",3,"Tipologia",$A128),0)
+IFERROR(GETPIVOTDATA("Somma di DARE",'Pivot RakBank EUR'!$A$3,"Mese",3,"Tipologia",$A128),0)
- IFERROR(GETPIVOTDATA("Somma di AVERE",'Pivot RakBank EUR'!$A$3,"Mese",3,"Tipologia",$A128),0)
+IFERROR(GETPIVOTDATA("Somma di DARE",'Pivot Fineco Sa'!$A$3,"Mese",3,"Tipologia",$A128),0)
+ IFERROR(GETPIVOTDATA("Somma di DARE",'Pivot Fineco St'!$A$3,"Mese",3,"Tipologia",$A128),0)
+ Contanti!J49
+ IFERROR(GETPIVOTDATA("Somma di DARE",'Pivot BBVA'!$A$3,"Mese",3,"Tipologia",$A128),0)
+ IFERROR(GETPIVOTDATA("Somma di DARE",'Pivot Amex'!$A$3,"Mese",3,"Tipologia",$A128),0)
- IFERROR(GETPIVOTDATA("Somma di AVERE",'Pivot Amex'!$A$3,"Mese",3,"Tipologia",$A128),0)
- IFERROR(GETPIVOTDATA("Somma di AVERE",'Pivot BBVA'!$A$3,"Mese",3,"Tipologia",$A128),0)
- IFERROR(GETPIVOTDATA("Somma di AVERE",'Pivot Fineco St'!$A$3,"Mese",3,"Tipologia",$A128),0)
- IFERROR(GETPIVOTDATA("Somma di AVERE",'Pivot Fineco Sa'!$A$3,"Mese",3,"Tipologia",$A128),0)
+ IFERROR(GETPIVOTDATA("Somma di DARE",'Pivot PP Visa'!$A$3,"Mese",3,"Tipologia",$A128),0)
- IFERROR(GETPIVOTDATA("Somma di AVERE",'Pivot PP Visa'!$A$3,"Mese",3,"Tipologia",$A128),0)
+ IFERROR(GETPIVOTDATA("Somma di DARE",'Pivot Revolut'!$A$3,"Mese",3,"Tipologia",$A128),0)
- IFERROR(GETPIVOTDATA("Somma di AVERE",'Pivot Revolut'!$A$3,"Mese",3,"Tipologia",$A128),0)</f>
        <v>0</v>
      </c>
      <c r="F128" s="243">
        <f>IFERROR(GETPIVOTDATA("Somma di DARE EUR",'Pivot RakBank AED'!$A$3,"Mese",4,"Tipologia",$A128),0)
- IFERROR(GETPIVOTDATA("Somma di AVERE EUR",'Pivot RakBank AED'!$A$3,"Mese",4,"Tipologia",$A128),0)
+IFERROR(GETPIVOTDATA("Somma di DARE",'Pivot RakBank EUR'!$A$3,"Mese",4,"Tipologia",$A128),0)
- IFERROR(GETPIVOTDATA("Somma di AVERE",'Pivot RakBank EUR'!$A$3,"Mese",4,"Tipologia",$A128),0)
+IFERROR(GETPIVOTDATA("Somma di DARE",'Pivot Fineco Sa'!$A$3,"Mese",4,"Tipologia",$A128),0)
+ IFERROR(GETPIVOTDATA("Somma di DARE",'Pivot Fineco St'!$A$3,"Mese",4,"Tipologia",$A128),0)
+ Contanti!N49
+ IFERROR(GETPIVOTDATA("Somma di DARE",'Pivot BBVA'!$A$3,"Mese",4,"Tipologia",$A128),0)
+ IFERROR(GETPIVOTDATA("Somma di DARE",'Pivot Amex'!$A$3,"Mese",4,"Tipologia",$A128),0)
- IFERROR(GETPIVOTDATA("Somma di AVERE",'Pivot Amex'!$A$3,"Mese",4,"Tipologia",$A128),0)
- IFERROR(GETPIVOTDATA("Somma di AVERE",'Pivot BBVA'!$A$3,"Mese",4,"Tipologia",$A128),0)
- IFERROR(GETPIVOTDATA("Somma di AVERE",'Pivot Fineco St'!$A$3,"Mese",4,"Tipologia",$A128),0)
- IFERROR(GETPIVOTDATA("Somma di AVERE",'Pivot Fineco Sa'!$A$3,"Mese",4,"Tipologia",$A128),0)
+ IFERROR(GETPIVOTDATA("Somma di DARE",'Pivot PP Visa'!$A$3,"Mese",4,"Tipologia",$A128),0)
- IFERROR(GETPIVOTDATA("Somma di AVERE",'Pivot PP Visa'!$A$3,"Mese",4,"Tipologia",$A128),0)
+ IFERROR(GETPIVOTDATA("Somma di DARE",'Pivot Revolut'!$A$3,"Mese",4,"Tipologia",$A128),0)
- IFERROR(GETPIVOTDATA("Somma di AVERE",'Pivot Revolut'!$A$3,"Mese",4,"Tipologia",$A128),0)</f>
        <v>0</v>
      </c>
      <c r="G128" s="243">
        <f>IFERROR(GETPIVOTDATA("Somma di DARE EUR",'Pivot RakBank AED'!$A$3,"Mese",5,"Tipologia",$A128),0)
- IFERROR(GETPIVOTDATA("Somma di AVERE EUR",'Pivot RakBank AED'!$A$3,"Mese",5,"Tipologia",$A128),0)
+IFERROR(GETPIVOTDATA("Somma di DARE",'Pivot RakBank EUR'!$A$3,"Mese",5,"Tipologia",$A128),0)
- IFERROR(GETPIVOTDATA("Somma di AVERE",'Pivot RakBank EUR'!$A$3,"Mese",5,"Tipologia",$A128),0)
+IFERROR(GETPIVOTDATA("Somma di DARE",'Pivot Fineco Sa'!$A$3,"Mese",5,"Tipologia",$A128),0)
+ IFERROR(GETPIVOTDATA("Somma di DARE",'Pivot Fineco St'!$A$3,"Mese",5,"Tipologia",$A128),0)
+ Contanti!R49
+ IFERROR(GETPIVOTDATA("Somma di DARE",'Pivot BBVA'!$A$3,"Mese",5,"Tipologia",$A128),0)
+ IFERROR(GETPIVOTDATA("Somma di DARE",'Pivot Amex'!$A$3,"Mese",5,"Tipologia",$A128),0)
- IFERROR(GETPIVOTDATA("Somma di AVERE",'Pivot Amex'!$A$3,"Mese",5,"Tipologia",$A128),0)
- IFERROR(GETPIVOTDATA("Somma di AVERE",'Pivot BBVA'!$A$3,"Mese",5,"Tipologia",$A128),0)
- IFERROR(GETPIVOTDATA("Somma di AVERE",'Pivot Fineco St'!$A$3,"Mese",5,"Tipologia",$A128),0)
- IFERROR(GETPIVOTDATA("Somma di AVERE",'Pivot Fineco Sa'!$A$3,"Mese",5,"Tipologia",$A128),0)
+ IFERROR(GETPIVOTDATA("Somma di DARE",'Pivot PP Visa'!$A$3,"Mese",5,"Tipologia",$A128),0)
- IFERROR(GETPIVOTDATA("Somma di AVERE",'Pivot PP Visa'!$A$3,"Mese",5,"Tipologia",$A128),0)
+ IFERROR(GETPIVOTDATA("Somma di DARE",'Pivot Revolut'!$A$3,"Mese",5,"Tipologia",$A128),0)
- IFERROR(GETPIVOTDATA("Somma di AVERE",'Pivot Revolut'!$A$3,"Mese",5,"Tipologia",$A128),0)</f>
        <v>0</v>
      </c>
      <c r="H128" s="243">
        <f>IFERROR(GETPIVOTDATA("Somma di DARE EUR",'Pivot RakBank AED'!$A$3,"Mese",6,"Tipologia",$A128),0)
- IFERROR(GETPIVOTDATA("Somma di AVERE EUR",'Pivot RakBank AED'!$A$3,"Mese",6,"Tipologia",$A128),0)
+IFERROR(GETPIVOTDATA("Somma di DARE",'Pivot RakBank EUR'!$A$3,"Mese",6,"Tipologia",$A128),0)
- IFERROR(GETPIVOTDATA("Somma di AVERE",'Pivot RakBank EUR'!$A$3,"Mese",6,"Tipologia",$A128),0)
+IFERROR(GETPIVOTDATA("Somma di DARE",'Pivot Fineco Sa'!$A$3,"Mese",6,"Tipologia",$A128),0)
+ IFERROR(GETPIVOTDATA("Somma di DARE",'Pivot Fineco St'!$A$3,"Mese",6,"Tipologia",$A128),0)
+ Contanti!V49
+ IFERROR(GETPIVOTDATA("Somma di DARE",'Pivot BBVA'!$A$3,"Mese",6,"Tipologia",$A128),0)
+ IFERROR(GETPIVOTDATA("Somma di DARE",'Pivot Amex'!$A$3,"Mese",6,"Tipologia",$A128),0)
- IFERROR(GETPIVOTDATA("Somma di AVERE",'Pivot Amex'!$A$3,"Mese",6,"Tipologia",$A128),0)
- IFERROR(GETPIVOTDATA("Somma di AVERE",'Pivot BBVA'!$A$3,"Mese",6,"Tipologia",$A128),0)
- IFERROR(GETPIVOTDATA("Somma di AVERE",'Pivot Fineco St'!$A$3,"Mese",6,"Tipologia",$A128),0)
- IFERROR(GETPIVOTDATA("Somma di AVERE",'Pivot Fineco Sa'!$A$3,"Mese",6,"Tipologia",$A128),0)
+ IFERROR(GETPIVOTDATA("Somma di DARE",'Pivot PP Visa'!$A$3,"Mese",6,"Tipologia",$A128),0)
- IFERROR(GETPIVOTDATA("Somma di AVERE",'Pivot PP Visa'!$A$3,"Mese",6,"Tipologia",$A128),0)
+ IFERROR(GETPIVOTDATA("Somma di DARE",'Pivot Revolut'!$A$3,"Mese",6,"Tipologia",$A128),0)
- IFERROR(GETPIVOTDATA("Somma di AVERE",'Pivot Revolut'!$A$3,"Mese",6,"Tipologia",$A128),0)</f>
        <v>0</v>
      </c>
      <c r="I128" s="243">
        <f>IFERROR(GETPIVOTDATA("Somma di DARE EUR",'Pivot RakBank AED'!$A$3,"Mese",7,"Tipologia",$A128),0)
- IFERROR(GETPIVOTDATA("Somma di AVERE EUR",'Pivot RakBank AED'!$A$3,"Mese",7,"Tipologia",$A128),0)
+IFERROR(GETPIVOTDATA("Somma di DARE",'Pivot RakBank EUR'!$A$3,"Mese",7,"Tipologia",$A128),0)
- IFERROR(GETPIVOTDATA("Somma di AVERE",'Pivot RakBank EUR'!$A$3,"Mese",7,"Tipologia",$A128),0)
+IFERROR(GETPIVOTDATA("Somma di DARE",'Pivot Fineco Sa'!$A$3,"Mese",7,"Tipologia",$A128),0)
+ IFERROR(GETPIVOTDATA("Somma di DARE",'Pivot Fineco St'!$A$3,"Mese",7,"Tipologia",$A128),0)
+ Contanti!Z49
+ IFERROR(GETPIVOTDATA("Somma di DARE",'Pivot BBVA'!$A$3,"Mese",7,"Tipologia",$A128),0)
+ IFERROR(GETPIVOTDATA("Somma di DARE",'Pivot Amex'!$A$3,"Mese",7,"Tipologia",$A128),0)
- IFERROR(GETPIVOTDATA("Somma di AVERE",'Pivot Amex'!$A$3,"Mese",7,"Tipologia",$A128),0)
- IFERROR(GETPIVOTDATA("Somma di AVERE",'Pivot BBVA'!$A$3,"Mese",7,"Tipologia",$A128),0)
- IFERROR(GETPIVOTDATA("Somma di AVERE",'Pivot Fineco St'!$A$3,"Mese",7,"Tipologia",$A128),0)
- IFERROR(GETPIVOTDATA("Somma di AVERE",'Pivot Fineco Sa'!$A$3,"Mese",7,"Tipologia",$A128),0)
+ IFERROR(GETPIVOTDATA("Somma di DARE",'Pivot PP Visa'!$A$3,"Mese",7,"Tipologia",$A128),0)
- IFERROR(GETPIVOTDATA("Somma di AVERE",'Pivot PP Visa'!$A$3,"Mese",7,"Tipologia",$A128),0)
+ IFERROR(GETPIVOTDATA("Somma di DARE",'Pivot Revolut'!$A$3,"Mese",7,"Tipologia",$A128),0)
- IFERROR(GETPIVOTDATA("Somma di AVERE",'Pivot Revolut'!$A$3,"Mese",7,"Tipologia",$A128),0)</f>
        <v>0</v>
      </c>
      <c r="J128" s="243">
        <f>IFERROR(GETPIVOTDATA("Somma di DARE EUR",'Pivot RakBank AED'!$A$3,"Mese",8,"Tipologia",$A128),0)
- IFERROR(GETPIVOTDATA("Somma di AVERE EUR",'Pivot RakBank AED'!$A$3,"Mese",8,"Tipologia",$A128),0)
+IFERROR(GETPIVOTDATA("Somma di DARE",'Pivot RakBank EUR'!$A$3,"Mese",8,"Tipologia",$A128),0)
- IFERROR(GETPIVOTDATA("Somma di AVERE",'Pivot RakBank EUR'!$A$3,"Mese",8,"Tipologia",$A128),0)
+IFERROR(GETPIVOTDATA("Somma di DARE",'Pivot Fineco Sa'!$A$3,"Mese",8,"Tipologia",$A128),0)
+ IFERROR(GETPIVOTDATA("Somma di DARE",'Pivot Fineco St'!$A$3,"Mese",8,"Tipologia",$A128),0)
+ Contanti!AD49
+ IFERROR(GETPIVOTDATA("Somma di DARE",'Pivot BBVA'!$A$3,"Mese",8,"Tipologia",$A128),0)
+ IFERROR(GETPIVOTDATA("Somma di DARE",'Pivot Amex'!$A$3,"Mese",8,"Tipologia",$A128),0)
- IFERROR(GETPIVOTDATA("Somma di AVERE",'Pivot Amex'!$A$3,"Mese",8,"Tipologia",$A128),0)
- IFERROR(GETPIVOTDATA("Somma di AVERE",'Pivot BBVA'!$A$3,"Mese",8,"Tipologia",$A128),0)
- IFERROR(GETPIVOTDATA("Somma di AVERE",'Pivot Fineco St'!$A$3,"Mese",8,"Tipologia",$A128),0)
- IFERROR(GETPIVOTDATA("Somma di AVERE",'Pivot Fineco Sa'!$A$3,"Mese",8,"Tipologia",$A128),0)
+ IFERROR(GETPIVOTDATA("Somma di DARE",'Pivot PP Visa'!$A$3,"Mese",8,"Tipologia",$A128),0)
- IFERROR(GETPIVOTDATA("Somma di AVERE",'Pivot PP Visa'!$A$3,"Mese",8,"Tipologia",$A128),0)
+ IFERROR(GETPIVOTDATA("Somma di DARE",'Pivot Revolut'!$A$3,"Mese",8,"Tipologia",$A128),0)
- IFERROR(GETPIVOTDATA("Somma di AVERE",'Pivot Revolut'!$A$3,"Mese",8,"Tipologia",$A128),0)</f>
        <v>0</v>
      </c>
      <c r="K128" s="243">
        <f>IFERROR(GETPIVOTDATA("Somma di DARE EUR",'Pivot RakBank AED'!$A$3,"Mese",9,"Tipologia",$A128),0)
- IFERROR(GETPIVOTDATA("Somma di AVERE EUR",'Pivot RakBank AED'!$A$3,"Mese",9,"Tipologia",$A128),0)
+IFERROR(GETPIVOTDATA("Somma di DARE",'Pivot RakBank EUR'!$A$3,"Mese",9,"Tipologia",$A128),0)
- IFERROR(GETPIVOTDATA("Somma di AVERE",'Pivot RakBank EUR'!$A$3,"Mese",9,"Tipologia",$A128),0)
+IFERROR(GETPIVOTDATA("Somma di DARE",'Pivot Fineco Sa'!$A$3,"Mese",9,"Tipologia",$A128),0)
+ IFERROR(GETPIVOTDATA("Somma di DARE",'Pivot Fineco St'!$A$3,"Mese",9,"Tipologia",$A128),0)
+ Contanti!AH49
+ IFERROR(GETPIVOTDATA("Somma di DARE",'Pivot BBVA'!$A$3,"Mese",9,"Tipologia",$A128),0)
+ IFERROR(GETPIVOTDATA("Somma di DARE",'Pivot Amex'!$A$3,"Mese",9,"Tipologia",$A128),0)
- IFERROR(GETPIVOTDATA("Somma di AVERE",'Pivot Amex'!$A$3,"Mese",9,"Tipologia",$A128),0)
- IFERROR(GETPIVOTDATA("Somma di AVERE",'Pivot BBVA'!$A$3,"Mese",9,"Tipologia",$A128),0)
- IFERROR(GETPIVOTDATA("Somma di AVERE",'Pivot Fineco St'!$A$3,"Mese",9,"Tipologia",$A128),0)
- IFERROR(GETPIVOTDATA("Somma di AVERE",'Pivot Fineco Sa'!$A$3,"Mese",9,"Tipologia",$A128),0)
+ IFERROR(GETPIVOTDATA("Somma di DARE",'Pivot PP Visa'!$A$3,"Mese",9,"Tipologia",$A128),0)
- IFERROR(GETPIVOTDATA("Somma di AVERE",'Pivot PP Visa'!$A$3,"Mese",9,"Tipologia",$A128),0)
+ IFERROR(GETPIVOTDATA("Somma di DARE",'Pivot Revolut'!$A$3,"Mese",9,"Tipologia",$A128),0)
- IFERROR(GETPIVOTDATA("Somma di AVERE",'Pivot Revolut'!$A$3,"Mese",9,"Tipologia",$A128),0)</f>
        <v>0</v>
      </c>
      <c r="L128" s="243">
        <f>IFERROR(GETPIVOTDATA("Somma di DARE EUR",'Pivot RakBank AED'!$A$3,"Mese",10,"Tipologia",$A128),0)
- IFERROR(GETPIVOTDATA("Somma di AVERE EUR",'Pivot RakBank AED'!$A$3,"Mese",10,"Tipologia",$A128),0)
+IFERROR(GETPIVOTDATA("Somma di DARE",'Pivot RakBank EUR'!$A$3,"Mese",10,"Tipologia",$A128),0)
- IFERROR(GETPIVOTDATA("Somma di AVERE",'Pivot RakBank EUR'!$A$3,"Mese",10,"Tipologia",$A128),0)
+IFERROR(GETPIVOTDATA("Somma di DARE",'Pivot Fineco Sa'!$A$3,"Mese",10,"Tipologia",$A128),0)
+ IFERROR(GETPIVOTDATA("Somma di DARE",'Pivot Fineco St'!$A$3,"Mese",10,"Tipologia",$A128),0)
+ Contanti!AL49
+ IFERROR(GETPIVOTDATA("Somma di DARE",'Pivot BBVA'!$A$3,"Mese",10,"Tipologia",$A128),0)
+ IFERROR(GETPIVOTDATA("Somma di DARE",'Pivot Amex'!$A$3,"Mese",10,"Tipologia",$A128),0)
- IFERROR(GETPIVOTDATA("Somma di AVERE",'Pivot Amex'!$A$3,"Mese",10,"Tipologia",$A128),0)
- IFERROR(GETPIVOTDATA("Somma di AVERE",'Pivot BBVA'!$A$3,"Mese",10,"Tipologia",$A128),0)
- IFERROR(GETPIVOTDATA("Somma di AVERE",'Pivot Fineco St'!$A$3,"Mese",10,"Tipologia",$A128),0)
- IFERROR(GETPIVOTDATA("Somma di AVERE",'Pivot Fineco Sa'!$A$3,"Mese",10,"Tipologia",$A128),0)
+ IFERROR(GETPIVOTDATA("Somma di DARE",'Pivot PP Visa'!$A$3,"Mese",10,"Tipologia",$A128),0)
- IFERROR(GETPIVOTDATA("Somma di AVERE",'Pivot PP Visa'!$A$3,"Mese",10,"Tipologia",$A128),0)
+ IFERROR(GETPIVOTDATA("Somma di DARE",'Pivot Revolut'!$A$3,"Mese",10,"Tipologia",$A128),0)
- IFERROR(GETPIVOTDATA("Somma di AVERE",'Pivot Revolut'!$A$3,"Mese",10,"Tipologia",$A128),0)</f>
        <v>0</v>
      </c>
      <c r="M128" s="243">
        <f>IFERROR(GETPIVOTDATA("Somma di DARE EUR",'Pivot RakBank AED'!$A$3,"Mese",11,"Tipologia",$A128),0)
- IFERROR(GETPIVOTDATA("Somma di AVERE EUR",'Pivot RakBank AED'!$A$3,"Mese",11,"Tipologia",$A128),0)
+IFERROR(GETPIVOTDATA("Somma di DARE",'Pivot RakBank EUR'!$A$3,"Mese",11,"Tipologia",$A128),0)
- IFERROR(GETPIVOTDATA("Somma di AVERE",'Pivot RakBank EUR'!$A$3,"Mese",11,"Tipologia",$A128),0)
+IFERROR(GETPIVOTDATA("Somma di DARE",'Pivot Fineco Sa'!$A$3,"Mese",11,"Tipologia",$A128),0)
+ IFERROR(GETPIVOTDATA("Somma di DARE",'Pivot Fineco St'!$A$3,"Mese",11,"Tipologia",$A128),0)
+ Contanti!AP49
+ IFERROR(GETPIVOTDATA("Somma di DARE",'Pivot BBVA'!$A$3,"Mese",11,"Tipologia",$A128),0)
+ IFERROR(GETPIVOTDATA("Somma di DARE",'Pivot Amex'!$A$3,"Mese",11,"Tipologia",$A128),0)
- IFERROR(GETPIVOTDATA("Somma di AVERE",'Pivot Amex'!$A$3,"Mese",11,"Tipologia",$A128),0)
- IFERROR(GETPIVOTDATA("Somma di AVERE",'Pivot BBVA'!$A$3,"Mese",11,"Tipologia",$A128),0)
- IFERROR(GETPIVOTDATA("Somma di AVERE",'Pivot Fineco St'!$A$3,"Mese",11,"Tipologia",$A128),0)
- IFERROR(GETPIVOTDATA("Somma di AVERE",'Pivot Fineco Sa'!$A$3,"Mese",11,"Tipologia",$A128),0)
+ IFERROR(GETPIVOTDATA("Somma di DARE",'Pivot PP Visa'!$A$3,"Mese",11,"Tipologia",$A128),0)
- IFERROR(GETPIVOTDATA("Somma di AVERE",'Pivot PP Visa'!$A$3,"Mese",11,"Tipologia",$A128),0)
+ IFERROR(GETPIVOTDATA("Somma di DARE",'Pivot Revolut'!$A$3,"Mese",11,"Tipologia",$A128),0)
- IFERROR(GETPIVOTDATA("Somma di AVERE",'Pivot Revolut'!$A$3,"Mese",11,"Tipologia",$A128),0)</f>
        <v>0</v>
      </c>
      <c r="N128" s="243">
        <f>IFERROR(GETPIVOTDATA("Somma di DARE EUR",'Pivot RakBank AED'!$A$3,"Mese",12,"Tipologia",$A128),0)
- IFERROR(GETPIVOTDATA("Somma di AVERE EUR",'Pivot RakBank AED'!$A$3,"Mese",12,"Tipologia",$A128),0)
+IFERROR(GETPIVOTDATA("Somma di DARE",'Pivot RakBank EUR'!$A$3,"Mese",12,"Tipologia",$A128),0)
- IFERROR(GETPIVOTDATA("Somma di AVERE",'Pivot RakBank EUR'!$A$3,"Mese",12,"Tipologia",$A128),0)
+IFERROR(GETPIVOTDATA("Somma di DARE",'Pivot Fineco Sa'!$A$3,"Mese",12,"Tipologia",$A128),0)
+ IFERROR(GETPIVOTDATA("Somma di DARE",'Pivot Fineco St'!$A$3,"Mese",12,"Tipologia",$A128),0)
+ Contanti!AT49
+ IFERROR(GETPIVOTDATA("Somma di DARE",'Pivot BBVA'!$A$3,"Mese",12,"Tipologia",$A128),0)
+ IFERROR(GETPIVOTDATA("Somma di DARE",'Pivot Amex'!$A$3,"Mese",12,"Tipologia",$A128),0)
- IFERROR(GETPIVOTDATA("Somma di AVERE",'Pivot Amex'!$A$3,"Mese",12,"Tipologia",$A128),0)
- IFERROR(GETPIVOTDATA("Somma di AVERE",'Pivot BBVA'!$A$3,"Mese",12,"Tipologia",$A128),0)
- IFERROR(GETPIVOTDATA("Somma di AVERE",'Pivot Fineco St'!$A$3,"Mese",12,"Tipologia",$A128),0)
- IFERROR(GETPIVOTDATA("Somma di AVERE",'Pivot Fineco Sa'!$A$3,"Mese",12,"Tipologia",$A128),0)
+ IFERROR(GETPIVOTDATA("Somma di DARE",'Pivot PP Visa'!$A$3,"Mese",12,"Tipologia",$A128),0)
- IFERROR(GETPIVOTDATA("Somma di AVERE",'Pivot PP Visa'!$A$3,"Mese",12,"Tipologia",$A128),0)
+ IFERROR(GETPIVOTDATA("Somma di DARE",'Pivot Revolut'!$A$3,"Mese",12,"Tipologia",$A128),0)
- IFERROR(GETPIVOTDATA("Somma di AVERE",'Pivot Revolut'!$A$3,"Mese",12,"Tipologia",$A128),0)</f>
        <v>0</v>
      </c>
      <c r="O128" s="252">
        <f t="shared" si="14"/>
        <v>23.299999999999997</v>
      </c>
      <c r="P128" s="243"/>
    </row>
    <row r="129" spans="1:16" s="125" customFormat="1" ht="21" customHeight="1" thickBot="1" x14ac:dyDescent="0.25">
      <c r="A129" s="251"/>
      <c r="B129" s="251"/>
      <c r="C129" s="243"/>
      <c r="D129" s="243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61"/>
      <c r="P129" s="243"/>
    </row>
    <row r="130" spans="1:16" s="131" customFormat="1" ht="15" outlineLevel="1" thickTop="1" x14ac:dyDescent="0.2">
      <c r="A130" s="262" t="s">
        <v>118</v>
      </c>
      <c r="B130" s="262"/>
      <c r="C130" s="263"/>
      <c r="D130" s="263"/>
      <c r="E130" s="263"/>
      <c r="F130" s="263"/>
      <c r="G130" s="263"/>
      <c r="H130" s="263"/>
      <c r="I130" s="263"/>
      <c r="J130" s="263"/>
      <c r="K130" s="263"/>
      <c r="L130" s="263"/>
      <c r="M130" s="263"/>
      <c r="N130" s="263"/>
      <c r="O130" s="263"/>
      <c r="P130" s="264"/>
    </row>
    <row r="131" spans="1:16" s="268" customFormat="1" ht="14" outlineLevel="1" x14ac:dyDescent="0.2">
      <c r="A131" s="265" t="s">
        <v>431</v>
      </c>
      <c r="B131" s="265"/>
      <c r="C131" s="266">
        <f>SUM(C132:C142)</f>
        <v>0</v>
      </c>
      <c r="D131" s="266">
        <f t="shared" ref="D131:N131" si="15">SUM(D132:D142)</f>
        <v>952.04220183486245</v>
      </c>
      <c r="E131" s="266">
        <f t="shared" si="15"/>
        <v>43.84</v>
      </c>
      <c r="F131" s="266">
        <f t="shared" si="15"/>
        <v>9.77</v>
      </c>
      <c r="G131" s="266">
        <f t="shared" si="15"/>
        <v>0</v>
      </c>
      <c r="H131" s="266">
        <f t="shared" si="15"/>
        <v>0</v>
      </c>
      <c r="I131" s="266">
        <f t="shared" si="15"/>
        <v>0</v>
      </c>
      <c r="J131" s="266">
        <f t="shared" si="15"/>
        <v>0</v>
      </c>
      <c r="K131" s="266">
        <f t="shared" si="15"/>
        <v>0</v>
      </c>
      <c r="L131" s="266">
        <f t="shared" si="15"/>
        <v>0</v>
      </c>
      <c r="M131" s="266">
        <f t="shared" si="15"/>
        <v>0</v>
      </c>
      <c r="N131" s="266">
        <f t="shared" si="15"/>
        <v>0</v>
      </c>
      <c r="O131" s="267">
        <f t="shared" ref="O131" si="16">SUM(C131:N131)</f>
        <v>1005.6522018348625</v>
      </c>
      <c r="P131" s="266"/>
    </row>
    <row r="132" spans="1:16" s="131" customFormat="1" ht="14" outlineLevel="1" x14ac:dyDescent="0.2">
      <c r="A132" s="269" t="s">
        <v>100</v>
      </c>
      <c r="B132" s="269"/>
      <c r="C132" s="270">
        <f>IF(ISERROR(GETPIVOTDATA("Somma di DARE",'Pivot Fineco Sa'!$A$3,"Mese",1,"Tipologia",$A132,"Viaggio",$A$131)),0,GETPIVOTDATA("Somma di DARE",'Pivot Fineco Sa'!$A$3,"Mese",1,"Tipologia",$A132,"Viaggio",$A$131))
+IF(ISERROR(GETPIVOTDATA("Somma di DARE",'Pivot Fineco St'!$A$3,"Mese",1,"Tipologia",$A132,"Viaggio",$A$131)),0,GETPIVOTDATA("Somma di DARE",'Pivot Fineco St'!$A$3,"Mese",1,"Tipologia",$A132,"Viaggio",$A$131))
+IF(Contanti!$E39='Conto Economico'!$A$131,Contanti!$B39)
+IF(ISERROR(GETPIVOTDATA("Somma di DARE",'Pivot BBVA'!$A$3,"Mese",1,"Tipologia",$A132,"Viaggio",$A$131)),0,GETPIVOTDATA("Somma di DARE",'Pivot BBVA'!$A$3,"Mese",1,"Tipologia",$A132,"Viaggio",$A$131))
+IF(ISERROR(GETPIVOTDATA("Somma di DARE",'Pivot Amex'!$A$3,"Mese",1,"Tipologia",$A132,"Viaggio",$A$131)),0,GETPIVOTDATA("Somma di DARE",'Pivot Amex'!$A$3,"Mese",1,"Tipologia",$A132,"Viaggio",$A$131))
-IF(ISERROR(GETPIVOTDATA("Somma di AVERE",'Pivot Amex'!$A$3,"Mese",1,"Tipologia",$A132,"Viaggio",$A$131)),0,GETPIVOTDATA("Somma di AVERE",'Pivot Amex'!$A$3,"Mese",1,"Tipologia",$A132,"Viaggio",$A$131))
-IF(ISERROR(GETPIVOTDATA("Somma di AVERE",'Pivot BBVA'!$A$3,"Mese",1,"Tipologia",$A132,"Viaggio",$A$131)),0,GETPIVOTDATA("Somma di AVERE",'Pivot BBVA'!$A$3,"Mese",1,"Tipologia",$A132,"Viaggio",$A$131))
-IF(ISERROR(GETPIVOTDATA("Somma di AVERE",'Pivot Fineco St'!$A$3,"Mese",1,"Tipologia",$A132,"Viaggio",$A$131)),0,GETPIVOTDATA("Somma di AVERE",'Pivot Fineco St'!$A$3,"Mese",1,"Tipologia",$A132,"Viaggio",$A$131))
-IF(ISERROR(GETPIVOTDATA("Somma di AVERE",'Pivot Fineco Sa'!$A$3,"Mese",1,"Tipologia",$A132,"Viaggio",$A$131)),0,GETPIVOTDATA("Somma di AVERE",'Pivot Fineco Sa'!$A$3,"Mese",1,"Tipologia",$A132,"Viaggio",$A$131))
+IF(ISERROR(GETPIVOTDATA("Somma di DARE",'Pivot PP Visa'!$A$3,"Mese",1,"Tipologia",$A132,"Viaggio",$A$131)),0,GETPIVOTDATA("Somma di DARE",'Pivot PP Visa'!$A$3,"Mese",1,"Tipologia",$A132,"Viaggio",$A$131))
-IF(ISERROR(GETPIVOTDATA("Somma di AVERE",'Pivot PP Visa'!$A$3,"Mese",1,"Tipologia",$A132,"Viaggio",$A$131)),0,GETPIVOTDATA("Somma di AVERE",'Pivot PP Visa'!$A$3,"Mese",1,"Tipologia",$A132,"Viaggio",$A$131))
+IF(ISERROR(GETPIVOTDATA("Somma di DARE",'Pivot Revolut'!$A$3,"Mese",1,"Tipologia",$A132,"Viaggio",$A$131)),0,GETPIVOTDATA("Somma di DARE",'Pivot Revolut'!$A$3,"Mese",1,"Tipologia",$A132,"Viaggio",$A$131))
-IF(ISERROR(GETPIVOTDATA("Somma di AVERE",'Pivot Revolut'!$A$3,"Mese",1,"Tipologia",$A132,"Viaggio",$A$131)),0,GETPIVOTDATA("Somma di AVERE",'Pivot Revolut'!$A$3,"Mese",1,"Tipologia",$A132,"Viaggio",$A$131))
+IF(ISERROR(GETPIVOTDATA("Somma di DARE",'Pivot RakBank EUR'!$A$3,"Mese",1,"Tipologia",$A132,"Viaggio",$A$131)),0,GETPIVOTDATA("Somma di DARE",'Pivot RakBank EUR'!$A$3,"Mese",1,"Tipologia",$A132,"Viaggio",$A$131))
-IF(ISERROR(GETPIVOTDATA("Somma di AVERE",'Pivot RakBank EUR'!$A$3,"Mese",1,"Tipologia",$A132,"Viaggio",$A$131)),0,GETPIVOTDATA("Somma di AVERE",'Pivot RakBank EUR'!$A$3,"Mese",1,"Tipologia",$A132,"Viaggio",$A$131))
+IF(ISERROR(GETPIVOTDATA("Somma di DARE EUR",'Pivot RakBank AED'!$A$3,"Mese",1,"Tipologia",$A132,"Viaggio",$A$131)),0,GETPIVOTDATA("Somma di DARE EUR",'Pivot RakBank AED'!$A$3,"Mese",1,"Tipologia",$A132,"Viaggio",$A$131))
-IF(ISERROR(GETPIVOTDATA("Somma di AVERE EUR",'Pivot RakBank AED'!$A$3,"Mese",1,"Tipologia",$A132,"Viaggio",$A$131)),0,GETPIVOTDATA("Somma di AVERE EUR",'Pivot RakBank AED'!$A$3,"Mese",1,"Tipologia",$A132,"Viaggio",$A$131))</f>
        <v>0</v>
      </c>
      <c r="D132" s="270">
        <f>IF(ISERROR(GETPIVOTDATA("Somma di DARE",'Pivot Fineco Sa'!$A$3,"Mese",2,"Tipologia",$A132,"Viaggio",$A$131)),0,GETPIVOTDATA("Somma di DARE",'Pivot Fineco Sa'!$A$3,"Mese",2,"Tipologia",$A132,"Viaggio",$A$131))
+IF(ISERROR(GETPIVOTDATA("Somma di DARE",'Pivot Fineco St'!$A$3,"Mese",2,"Tipologia",$A132,"Viaggio",$A$131)),0,GETPIVOTDATA("Somma di DARE",'Pivot Fineco St'!$A$3,"Mese",2,"Tipologia",$A132,"Viaggio",$A$131))
+IF(Contanti!$I39='Conto Economico'!$A$131,Contanti!$F39)
+IF(ISERROR(GETPIVOTDATA("Somma di DARE",'Pivot BBVA'!$A$3,"Mese",2,"Tipologia",$A132,"Viaggio",$A$131)),0,GETPIVOTDATA("Somma di DARE",'Pivot BBVA'!$A$3,"Mese",2,"Tipologia",$A132,"Viaggio",$A$131))
+IF(ISERROR(GETPIVOTDATA("Somma di DARE",'Pivot Amex'!$A$3,"Mese",2,"Tipologia",$A132,"Viaggio",$A$131)),0,GETPIVOTDATA("Somma di DARE",'Pivot Amex'!$A$3,"Mese",2,"Tipologia",$A132,"Viaggio",$A$131))
-IF(ISERROR(GETPIVOTDATA("Somma di AVERE",'Pivot Amex'!$A$3,"Mese",2,"Tipologia",$A132,"Viaggio",$A$131)),0,GETPIVOTDATA("Somma di AVERE",'Pivot Amex'!$A$3,"Mese",2,"Tipologia",$A132,"Viaggio",$A$131))
-IF(ISERROR(GETPIVOTDATA("Somma di AVERE",'Pivot BBVA'!$A$3,"Mese",2,"Tipologia",$A132,"Viaggio",$A$131)),0,GETPIVOTDATA("Somma di AVERE",'Pivot BBVA'!$A$3,"Mese",2,"Tipologia",$A132,"Viaggio",$A$131))
-IF(ISERROR(GETPIVOTDATA("Somma di AVERE",'Pivot Fineco St'!$A$3,"Mese",2,"Tipologia",$A132,"Viaggio",$A$131)),0,GETPIVOTDATA("Somma di AVERE",'Pivot Fineco St'!$A$3,"Mese",2,"Tipologia",$A132,"Viaggio",$A$131))
-IF(ISERROR(GETPIVOTDATA("Somma di AVERE",'Pivot Fineco Sa'!$A$3,"Mese",2,"Tipologia",$A132,"Viaggio",$A$131)),0,GETPIVOTDATA("Somma di AVERE",'Pivot Fineco Sa'!$A$3,"Mese",2,"Tipologia",$A132,"Viaggio",$A$131))
+IF(ISERROR(GETPIVOTDATA("Somma di DARE",'Pivot PP Visa'!$A$3,"Mese",2,"Tipologia",$A132,"Viaggio",$A$131)),0,GETPIVOTDATA("Somma di DARE",'Pivot PP Visa'!$A$3,"Mese",2,"Tipologia",$A132,"Viaggio",$A$131))
-IF(ISERROR(GETPIVOTDATA("Somma di AVERE",'Pivot PP Visa'!$A$3,"Mese",2,"Tipologia",$A132,"Viaggio",$A$131)),0,GETPIVOTDATA("Somma di AVERE",'Pivot PP Visa'!$A$3,"Mese",2,"Tipologia",$A132,"Viaggio",$A$131))
+IF(ISERROR(GETPIVOTDATA("Somma di DARE",'Pivot Revolut'!$A$3,"Mese",2,"Tipologia",$A132,"Viaggio",$A$131)),0,GETPIVOTDATA("Somma di DARE",'Pivot Revolut'!$A$3,"Mese",2,"Tipologia",$A132,"Viaggio",$A$131))
-IF(ISERROR(GETPIVOTDATA("Somma di AVERE",'Pivot Revolut'!$A$3,"Mese",2,"Tipologia",$A132,"Viaggio",$A$131)),0,GETPIVOTDATA("Somma di AVERE",'Pivot Revolut'!$A$3,"Mese",2,"Tipologia",$A132,"Viaggio",$A$131))
+IF(ISERROR(GETPIVOTDATA("Somma di DARE",'Pivot RakBank EUR'!$A$3,"Mese",2,"Tipologia",$A132,"Viaggio",$A$131)),0,GETPIVOTDATA("Somma di DARE",'Pivot RakBank EUR'!$A$3,"Mese",2,"Tipologia",$A132,"Viaggio",$A$131))
-IF(ISERROR(GETPIVOTDATA("Somma di AVERE",'Pivot RakBank EUR'!$A$3,"Mese",2,"Tipologia",$A132,"Viaggio",$A$131)),0,GETPIVOTDATA("Somma di AVERE",'Pivot RakBank EUR'!$A$3,"Mese",2,"Tipologia",$A132,"Viaggio",$A$131))
+IF(ISERROR(GETPIVOTDATA("Somma di DARE EUR",'Pivot RakBank AED'!$A$3,"Mese",2,"Tipologia",$A132,"Viaggio",$A$131)),0,GETPIVOTDATA("Somma di DARE EUR",'Pivot RakBank AED'!$A$3,"Mese",2,"Tipologia",$A132,"Viaggio",$A$131))
-IF(ISERROR(GETPIVOTDATA("Somma di AVERE EUR",'Pivot RakBank AED'!$A$3,"Mese",2,"Tipologia",$A132,"Viaggio",$A$131)),0,GETPIVOTDATA("Somma di AVERE EUR",'Pivot RakBank AED'!$A$3,"Mese",2,"Tipologia",$A132,"Viaggio",$A$131))</f>
        <v>0</v>
      </c>
      <c r="E132" s="270">
        <f>IF(ISERROR(GETPIVOTDATA("Somma di DARE",'Pivot Fineco Sa'!$A$3,"Mese",3,"Tipologia",$A132,"Viaggio",$A$131)),0,GETPIVOTDATA("Somma di DARE",'Pivot Fineco Sa'!$A$3,"Mese",3,"Tipologia",$A132,"Viaggio",$A$131))
+IF(ISERROR(GETPIVOTDATA("Somma di DARE",'Pivot Fineco St'!$A$3,"Mese",3,"Tipologia",$A132,"Viaggio",$A$131)),0,GETPIVOTDATA("Somma di DARE",'Pivot Fineco St'!$A$3,"Mese",3,"Tipologia",$A132,"Viaggio",$A$131))
+IF(Contanti!$M39='Conto Economico'!$A$131,Contanti!$J39)
+IF(ISERROR(GETPIVOTDATA("Somma di DARE",'Pivot BBVA'!$A$3,"Mese",3,"Tipologia",$A132,"Viaggio",$A$131)),0,GETPIVOTDATA("Somma di DARE",'Pivot BBVA'!$A$3,"Mese",3,"Tipologia",$A132,"Viaggio",$A$131))
+IF(ISERROR(GETPIVOTDATA("Somma di DARE",'Pivot Amex'!$A$3,"Mese",3,"Tipologia",$A132,"Viaggio",$A$131)),0,GETPIVOTDATA("Somma di DARE",'Pivot Amex'!$A$3,"Mese",3,"Tipologia",$A132,"Viaggio",$A$131))
-IF(ISERROR(GETPIVOTDATA("Somma di AVERE",'Pivot Amex'!$A$3,"Mese",3,"Tipologia",$A132,"Viaggio",$A$131)),0,GETPIVOTDATA("Somma di AVERE",'Pivot Amex'!$A$3,"Mese",3,"Tipologia",$A132,"Viaggio",$A$131))
-IF(ISERROR(GETPIVOTDATA("Somma di AVERE",'Pivot BBVA'!$A$3,"Mese",3,"Tipologia",$A132,"Viaggio",$A$131)),0,GETPIVOTDATA("Somma di AVERE",'Pivot BBVA'!$A$3,"Mese",3,"Tipologia",$A132,"Viaggio",$A$131))
-IF(ISERROR(GETPIVOTDATA("Somma di AVERE",'Pivot Fineco St'!$A$3,"Mese",3,"Tipologia",$A132,"Viaggio",$A$131)),0,GETPIVOTDATA("Somma di AVERE",'Pivot Fineco St'!$A$3,"Mese",3,"Tipologia",$A132,"Viaggio",$A$131))
-IF(ISERROR(GETPIVOTDATA("Somma di AVERE",'Pivot Fineco Sa'!$A$3,"Mese",3,"Tipologia",$A132,"Viaggio",$A$131)),0,GETPIVOTDATA("Somma di AVERE",'Pivot Fineco Sa'!$A$3,"Mese",3,"Tipologia",$A132,"Viaggio",$A$131))
+IF(ISERROR(GETPIVOTDATA("Somma di DARE",'Pivot PP Visa'!$A$3,"Mese",3,"Tipologia",$A132,"Viaggio",$A$131)),0,GETPIVOTDATA("Somma di DARE",'Pivot PP Visa'!$A$3,"Mese",3,"Tipologia",$A132,"Viaggio",$A$131))
-IF(ISERROR(GETPIVOTDATA("Somma di AVERE",'Pivot PP Visa'!$A$3,"Mese",3,"Tipologia",$A132,"Viaggio",$A$131)),0,GETPIVOTDATA("Somma di AVERE",'Pivot PP Visa'!$A$3,"Mese",3,"Tipologia",$A132,"Viaggio",$A$131))
+IF(ISERROR(GETPIVOTDATA("Somma di DARE",'Pivot Revolut'!$A$3,"Mese",3,"Tipologia",$A132,"Viaggio",$A$131)),0,GETPIVOTDATA("Somma di DARE",'Pivot Revolut'!$A$3,"Mese",3,"Tipologia",$A132,"Viaggio",$A$131))
-IF(ISERROR(GETPIVOTDATA("Somma di AVERE",'Pivot Revolut'!$A$3,"Mese",3,"Tipologia",$A132,"Viaggio",$A$131)),0,GETPIVOTDATA("Somma di AVERE",'Pivot Revolut'!$A$3,"Mese",3,"Tipologia",$A132,"Viaggio",$A$131))
+IF(ISERROR(GETPIVOTDATA("Somma di DARE",'Pivot RakBank EUR'!$A$3,"Mese",3,"Tipologia",$A132,"Viaggio",$A$131)),0,GETPIVOTDATA("Somma di DARE",'Pivot RakBank EUR'!$A$3,"Mese",3,"Tipologia",$A132,"Viaggio",$A$131))
-IF(ISERROR(GETPIVOTDATA("Somma di AVERE",'Pivot RakBank EUR'!$A$3,"Mese",3,"Tipologia",$A132,"Viaggio",$A$131)),0,GETPIVOTDATA("Somma di AVERE",'Pivot RakBank EUR'!$A$3,"Mese",3,"Tipologia",$A132,"Viaggio",$A$131))
+IF(ISERROR(GETPIVOTDATA("Somma di DARE EUR",'Pivot RakBank AED'!$A$3,"Mese",3,"Tipologia",$A132,"Viaggio",$A$131)),0,GETPIVOTDATA("Somma di DARE EUR",'Pivot RakBank AED'!$A$3,"Mese",3,"Tipologia",$A132,"Viaggio",$A$131))
-IF(ISERROR(GETPIVOTDATA("Somma di AVERE EUR",'Pivot RakBank AED'!$A$3,"Mese",3,"Tipologia",$A132,"Viaggio",$A$131)),0,GETPIVOTDATA("Somma di AVERE EUR",'Pivot RakBank AED'!$A$3,"Mese",3,"Tipologia",$A132,"Viaggio",$A$131))</f>
        <v>0</v>
      </c>
      <c r="F132" s="270">
        <f>IF(ISERROR(GETPIVOTDATA("Somma di DARE",'Pivot Fineco Sa'!$A$3,"Mese",4,"Tipologia",$A132,"Viaggio",$A$131)),0,GETPIVOTDATA("Somma di DARE",'Pivot Fineco Sa'!$A$3,"Mese",4,"Tipologia",$A132,"Viaggio",$A$131))
+IF(ISERROR(GETPIVOTDATA("Somma di DARE",'Pivot Fineco St'!$A$3,"Mese",4,"Tipologia",$A132,"Viaggio",$A$131)),0,GETPIVOTDATA("Somma di DARE",'Pivot Fineco St'!$A$3,"Mese",4,"Tipologia",$A132,"Viaggio",$A$131))
+IF(Contanti!$Q39='Conto Economico'!$A$131,Contanti!$N39)
+IF(ISERROR(GETPIVOTDATA("Somma di DARE",'Pivot BBVA'!$A$3,"Mese",4,"Tipologia",$A132,"Viaggio",$A$131)),0,GETPIVOTDATA("Somma di DARE",'Pivot BBVA'!$A$3,"Mese",4,"Tipologia",$A132,"Viaggio",$A$131))
+IF(ISERROR(GETPIVOTDATA("Somma di DARE",'Pivot Amex'!$A$3,"Mese",4,"Tipologia",$A132,"Viaggio",$A$131)),0,GETPIVOTDATA("Somma di DARE",'Pivot Amex'!$A$3,"Mese",4,"Tipologia",$A132,"Viaggio",$A$131))
-IF(ISERROR(GETPIVOTDATA("Somma di AVERE",'Pivot Amex'!$A$3,"Mese",4,"Tipologia",$A132,"Viaggio",$A$131)),0,GETPIVOTDATA("Somma di AVERE",'Pivot Amex'!$A$3,"Mese",4,"Tipologia",$A132,"Viaggio",$A$131))
-IF(ISERROR(GETPIVOTDATA("Somma di AVERE",'Pivot BBVA'!$A$3,"Mese",4,"Tipologia",$A132,"Viaggio",$A$131)),0,GETPIVOTDATA("Somma di AVERE",'Pivot BBVA'!$A$3,"Mese",4,"Tipologia",$A132,"Viaggio",$A$131))
-IF(ISERROR(GETPIVOTDATA("Somma di AVERE",'Pivot Fineco St'!$A$3,"Mese",4,"Tipologia",$A132,"Viaggio",$A$131)),0,GETPIVOTDATA("Somma di AVERE",'Pivot Fineco St'!$A$3,"Mese",4,"Tipologia",$A132,"Viaggio",$A$131))
-IF(ISERROR(GETPIVOTDATA("Somma di AVERE",'Pivot Fineco Sa'!$A$3,"Mese",4,"Tipologia",$A132,"Viaggio",$A$131)),0,GETPIVOTDATA("Somma di AVERE",'Pivot Fineco Sa'!$A$3,"Mese",4,"Tipologia",$A132,"Viaggio",$A$131))
+IF(ISERROR(GETPIVOTDATA("Somma di DARE",'Pivot PP Visa'!$A$3,"Mese",4,"Tipologia",$A132,"Viaggio",$A$131)),0,GETPIVOTDATA("Somma di DARE",'Pivot PP Visa'!$A$3,"Mese",4,"Tipologia",$A132,"Viaggio",$A$131))
-IF(ISERROR(GETPIVOTDATA("Somma di AVERE",'Pivot PP Visa'!$A$3,"Mese",4,"Tipologia",$A132,"Viaggio",$A$131)),0,GETPIVOTDATA("Somma di AVERE",'Pivot PP Visa'!$A$3,"Mese",4,"Tipologia",$A132,"Viaggio",$A$131))
+IF(ISERROR(GETPIVOTDATA("Somma di DARE",'Pivot Revolut'!$A$3,"Mese",4,"Tipologia",$A132,"Viaggio",$A$131)),0,GETPIVOTDATA("Somma di DARE",'Pivot Revolut'!$A$3,"Mese",4,"Tipologia",$A132,"Viaggio",$A$131))
-IF(ISERROR(GETPIVOTDATA("Somma di AVERE",'Pivot Revolut'!$A$3,"Mese",4,"Tipologia",$A132,"Viaggio",$A$131)),0,GETPIVOTDATA("Somma di AVERE",'Pivot Revolut'!$A$3,"Mese",4,"Tipologia",$A132,"Viaggio",$A$131))
+IF(ISERROR(GETPIVOTDATA("Somma di DARE",'Pivot RakBank EUR'!$A$3,"Mese",4,"Tipologia",$A132,"Viaggio",$A$131)),0,GETPIVOTDATA("Somma di DARE",'Pivot RakBank EUR'!$A$3,"Mese",4,"Tipologia",$A132,"Viaggio",$A$131))
-IF(ISERROR(GETPIVOTDATA("Somma di AVERE",'Pivot RakBank EUR'!$A$3,"Mese",4,"Tipologia",$A132,"Viaggio",$A$131)),0,GETPIVOTDATA("Somma di AVERE",'Pivot RakBank EUR'!$A$3,"Mese",4,"Tipologia",$A132,"Viaggio",$A$131))
+IF(ISERROR(GETPIVOTDATA("Somma di DARE EUR",'Pivot RakBank AED'!$A$3,"Mese",4,"Tipologia",$A132,"Viaggio",$A$131)),0,GETPIVOTDATA("Somma di DARE EUR",'Pivot RakBank AED'!$A$3,"Mese",4,"Tipologia",$A132,"Viaggio",$A$131))
-IF(ISERROR(GETPIVOTDATA("Somma di AVERE EUR",'Pivot RakBank AED'!$A$3,"Mese",4,"Tipologia",$A132,"Viaggio",$A$131)),0,GETPIVOTDATA("Somma di AVERE EUR",'Pivot RakBank AED'!$A$3,"Mese",4,"Tipologia",$A132,"Viaggio",$A$131))</f>
        <v>0</v>
      </c>
      <c r="G132" s="270">
        <f>IF(ISERROR(GETPIVOTDATA("Somma di DARE",'Pivot Fineco Sa'!$A$3,"Mese",5,"Tipologia",$A132,"Viaggio",$A$131)),0,GETPIVOTDATA("Somma di DARE",'Pivot Fineco Sa'!$A$3,"Mese",5,"Tipologia",$A132,"Viaggio",$A$131))
+IF(ISERROR(GETPIVOTDATA("Somma di DARE",'Pivot Fineco St'!$A$3,"Mese",5,"Tipologia",$A132,"Viaggio",$A$131)),0,GETPIVOTDATA("Somma di DARE",'Pivot Fineco St'!$A$3,"Mese",5,"Tipologia",$A132,"Viaggio",$A$131))
+IF(Contanti!$U39='Conto Economico'!$A$131,Contanti!$R39)
+IF(ISERROR(GETPIVOTDATA("Somma di DARE",'Pivot BBVA'!$A$3,"Mese",5,"Tipologia",$A132,"Viaggio",$A$131)),0,GETPIVOTDATA("Somma di DARE",'Pivot BBVA'!$A$3,"Mese",5,"Tipologia",$A132,"Viaggio",$A$131))
+IF(ISERROR(GETPIVOTDATA("Somma di DARE",'Pivot Amex'!$A$3,"Mese",5,"Tipologia",$A132,"Viaggio",$A$131)),0,GETPIVOTDATA("Somma di DARE",'Pivot Amex'!$A$3,"Mese",5,"Tipologia",$A132,"Viaggio",$A$131))
-IF(ISERROR(GETPIVOTDATA("Somma di AVERE",'Pivot Amex'!$A$3,"Mese",5,"Tipologia",$A132,"Viaggio",$A$131)),0,GETPIVOTDATA("Somma di AVERE",'Pivot Amex'!$A$3,"Mese",5,"Tipologia",$A132,"Viaggio",$A$131))
-IF(ISERROR(GETPIVOTDATA("Somma di AVERE",'Pivot BBVA'!$A$3,"Mese",5,"Tipologia",$A132,"Viaggio",$A$131)),0,GETPIVOTDATA("Somma di AVERE",'Pivot BBVA'!$A$3,"Mese",5,"Tipologia",$A132,"Viaggio",$A$131))
-IF(ISERROR(GETPIVOTDATA("Somma di AVERE",'Pivot Fineco St'!$A$3,"Mese",5,"Tipologia",$A132,"Viaggio",$A$131)),0,GETPIVOTDATA("Somma di AVERE",'Pivot Fineco St'!$A$3,"Mese",5,"Tipologia",$A132,"Viaggio",$A$131))
-IF(ISERROR(GETPIVOTDATA("Somma di AVERE",'Pivot Fineco Sa'!$A$3,"Mese",5,"Tipologia",$A132,"Viaggio",$A$131)),0,GETPIVOTDATA("Somma di AVERE",'Pivot Fineco Sa'!$A$3,"Mese",5,"Tipologia",$A132,"Viaggio",$A$131))
+IF(ISERROR(GETPIVOTDATA("Somma di DARE",'Pivot PP Visa'!$A$3,"Mese",5,"Tipologia",$A132,"Viaggio",$A$131)),0,GETPIVOTDATA("Somma di DARE",'Pivot PP Visa'!$A$3,"Mese",5,"Tipologia",$A132,"Viaggio",$A$131))
-IF(ISERROR(GETPIVOTDATA("Somma di AVERE",'Pivot PP Visa'!$A$3,"Mese",5,"Tipologia",$A132,"Viaggio",$A$131)),0,GETPIVOTDATA("Somma di AVERE",'Pivot PP Visa'!$A$3,"Mese",5,"Tipologia",$A132,"Viaggio",$A$131))
+IF(ISERROR(GETPIVOTDATA("Somma di DARE",'Pivot Revolut'!$A$3,"Mese",5,"Tipologia",$A132,"Viaggio",$A$131)),0,GETPIVOTDATA("Somma di DARE",'Pivot Revolut'!$A$3,"Mese",5,"Tipologia",$A132,"Viaggio",$A$131))
-IF(ISERROR(GETPIVOTDATA("Somma di AVERE",'Pivot Revolut'!$A$3,"Mese",5,"Tipologia",$A132,"Viaggio",$A$131)),0,GETPIVOTDATA("Somma di AVERE",'Pivot Revolut'!$A$3,"Mese",5,"Tipologia",$A132,"Viaggio",$A$131))
+IF(ISERROR(GETPIVOTDATA("Somma di DARE",'Pivot RakBank EUR'!$A$3,"Mese",5,"Tipologia",$A132,"Viaggio",$A$131)),0,GETPIVOTDATA("Somma di DARE",'Pivot RakBank EUR'!$A$3,"Mese",5,"Tipologia",$A132,"Viaggio",$A$131))
-IF(ISERROR(GETPIVOTDATA("Somma di AVERE",'Pivot RakBank EUR'!$A$3,"Mese",5,"Tipologia",$A132,"Viaggio",$A$131)),0,GETPIVOTDATA("Somma di AVERE",'Pivot RakBank EUR'!$A$3,"Mese",5,"Tipologia",$A132,"Viaggio",$A$131))
+IF(ISERROR(GETPIVOTDATA("Somma di DARE EUR",'Pivot RakBank AED'!$A$3,"Mese",5,"Tipologia",$A132,"Viaggio",$A$131)),0,GETPIVOTDATA("Somma di DARE EUR",'Pivot RakBank AED'!$A$3,"Mese",5,"Tipologia",$A132,"Viaggio",$A$131))
-IF(ISERROR(GETPIVOTDATA("Somma di AVERE EUR",'Pivot RakBank AED'!$A$3,"Mese",5,"Tipologia",$A132,"Viaggio",$A$131)),0,GETPIVOTDATA("Somma di AVERE EUR",'Pivot RakBank AED'!$A$3,"Mese",5,"Tipologia",$A132,"Viaggio",$A$131))</f>
        <v>0</v>
      </c>
      <c r="H132" s="270">
        <f>IF(ISERROR(GETPIVOTDATA("Somma di DARE",'Pivot Fineco Sa'!$A$3,"Mese",6,"Tipologia",$A132,"Viaggio",$A$131)),0,GETPIVOTDATA("Somma di DARE",'Pivot Fineco Sa'!$A$3,"Mese",6,"Tipologia",$A132,"Viaggio",$A$131))
+IF(ISERROR(GETPIVOTDATA("Somma di DARE",'Pivot Fineco St'!$A$3,"Mese",6,"Tipologia",$A132,"Viaggio",$A$131)),0,GETPIVOTDATA("Somma di DARE",'Pivot Fineco St'!$A$3,"Mese",6,"Tipologia",$A132,"Viaggio",$A$131))
+IF(Contanti!$Y39='Conto Economico'!$A$131,Contanti!$V39)
+IF(ISERROR(GETPIVOTDATA("Somma di DARE",'Pivot BBVA'!$A$3,"Mese",6,"Tipologia",$A132,"Viaggio",$A$131)),0,GETPIVOTDATA("Somma di DARE",'Pivot BBVA'!$A$3,"Mese",6,"Tipologia",$A132,"Viaggio",$A$131))
+IF(ISERROR(GETPIVOTDATA("Somma di DARE",'Pivot Amex'!$A$3,"Mese",6,"Tipologia",$A132,"Viaggio",$A$131)),0,GETPIVOTDATA("Somma di DARE",'Pivot Amex'!$A$3,"Mese",6,"Tipologia",$A132,"Viaggio",$A$131))
-IF(ISERROR(GETPIVOTDATA("Somma di AVERE",'Pivot Amex'!$A$3,"Mese",6,"Tipologia",$A132,"Viaggio",$A$131)),0,GETPIVOTDATA("Somma di AVERE",'Pivot Amex'!$A$3,"Mese",6,"Tipologia",$A132,"Viaggio",$A$131))
-IF(ISERROR(GETPIVOTDATA("Somma di AVERE",'Pivot BBVA'!$A$3,"Mese",6,"Tipologia",$A132,"Viaggio",$A$131)),0,GETPIVOTDATA("Somma di AVERE",'Pivot BBVA'!$A$3,"Mese",6,"Tipologia",$A132,"Viaggio",$A$131))
-IF(ISERROR(GETPIVOTDATA("Somma di AVERE",'Pivot Fineco St'!$A$3,"Mese",6,"Tipologia",$A132,"Viaggio",$A$131)),0,GETPIVOTDATA("Somma di AVERE",'Pivot Fineco St'!$A$3,"Mese",6,"Tipologia",$A132,"Viaggio",$A$131))
-IF(ISERROR(GETPIVOTDATA("Somma di AVERE",'Pivot Fineco Sa'!$A$3,"Mese",6,"Tipologia",$A132,"Viaggio",$A$131)),0,GETPIVOTDATA("Somma di AVERE",'Pivot Fineco Sa'!$A$3,"Mese",6,"Tipologia",$A132,"Viaggio",$A$131))
+IF(ISERROR(GETPIVOTDATA("Somma di DARE",'Pivot PP Visa'!$A$3,"Mese",6,"Tipologia",$A132,"Viaggio",$A$131)),0,GETPIVOTDATA("Somma di DARE",'Pivot PP Visa'!$A$3,"Mese",6,"Tipologia",$A132,"Viaggio",$A$131))
-IF(ISERROR(GETPIVOTDATA("Somma di AVERE",'Pivot PP Visa'!$A$3,"Mese",6,"Tipologia",$A132,"Viaggio",$A$131)),0,GETPIVOTDATA("Somma di AVERE",'Pivot PP Visa'!$A$3,"Mese",6,"Tipologia",$A132,"Viaggio",$A$131))
+IF(ISERROR(GETPIVOTDATA("Somma di DARE",'Pivot Revolut'!$A$3,"Mese",6,"Tipologia",$A132,"Viaggio",$A$131)),0,GETPIVOTDATA("Somma di DARE",'Pivot Revolut'!$A$3,"Mese",6,"Tipologia",$A132,"Viaggio",$A$131))
-IF(ISERROR(GETPIVOTDATA("Somma di AVERE",'Pivot Revolut'!$A$3,"Mese",6,"Tipologia",$A132,"Viaggio",$A$131)),0,GETPIVOTDATA("Somma di AVERE",'Pivot Revolut'!$A$3,"Mese",6,"Tipologia",$A132,"Viaggio",$A$131))
+IF(ISERROR(GETPIVOTDATA("Somma di DARE",'Pivot RakBank EUR'!$A$3,"Mese",6,"Tipologia",$A132,"Viaggio",$A$131)),0,GETPIVOTDATA("Somma di DARE",'Pivot RakBank EUR'!$A$3,"Mese",6,"Tipologia",$A132,"Viaggio",$A$131))
-IF(ISERROR(GETPIVOTDATA("Somma di AVERE",'Pivot RakBank EUR'!$A$3,"Mese",6,"Tipologia",$A132,"Viaggio",$A$131)),0,GETPIVOTDATA("Somma di AVERE",'Pivot RakBank EUR'!$A$3,"Mese",6,"Tipologia",$A132,"Viaggio",$A$131))
+IF(ISERROR(GETPIVOTDATA("Somma di DARE EUR",'Pivot RakBank AED'!$A$3,"Mese",6,"Tipologia",$A132,"Viaggio",$A$131)),0,GETPIVOTDATA("Somma di DARE EUR",'Pivot RakBank AED'!$A$3,"Mese",6,"Tipologia",$A132,"Viaggio",$A$131))
-IF(ISERROR(GETPIVOTDATA("Somma di AVERE EUR",'Pivot RakBank AED'!$A$3,"Mese",6,"Tipologia",$A132,"Viaggio",$A$131)),0,GETPIVOTDATA("Somma di AVERE EUR",'Pivot RakBank AED'!$A$3,"Mese",6,"Tipologia",$A132,"Viaggio",$A$131))</f>
        <v>0</v>
      </c>
      <c r="I132" s="270">
        <f>IF(ISERROR(GETPIVOTDATA("Somma di DARE",'Pivot Fineco Sa'!$A$3,"Mese",7,"Tipologia",$A132,"Viaggio",$A$131)),0,GETPIVOTDATA("Somma di DARE",'Pivot Fineco Sa'!$A$3,"Mese",7,"Tipologia",$A132,"Viaggio",$A$131))
+IF(ISERROR(GETPIVOTDATA("Somma di DARE",'Pivot Fineco St'!$A$3,"Mese",7,"Tipologia",$A132,"Viaggio",$A$131)),0,GETPIVOTDATA("Somma di DARE",'Pivot Fineco St'!$A$3,"Mese",7,"Tipologia",$A132,"Viaggio",$A$131))
+IF(Contanti!$AC39='Conto Economico'!$A$131,Contanti!$Z39)
+IF(ISERROR(GETPIVOTDATA("Somma di DARE",'Pivot BBVA'!$A$3,"Mese",7,"Tipologia",$A132,"Viaggio",$A$131)),0,GETPIVOTDATA("Somma di DARE",'Pivot BBVA'!$A$3,"Mese",7,"Tipologia",$A132,"Viaggio",$A$131))
+IF(ISERROR(GETPIVOTDATA("Somma di DARE",'Pivot Amex'!$A$3,"Mese",7,"Tipologia",$A132,"Viaggio",$A$131)),0,GETPIVOTDATA("Somma di DARE",'Pivot Amex'!$A$3,"Mese",7,"Tipologia",$A132,"Viaggio",$A$131))
-IF(ISERROR(GETPIVOTDATA("Somma di AVERE",'Pivot Amex'!$A$3,"Mese",7,"Tipologia",$A132,"Viaggio",$A$131)),0,GETPIVOTDATA("Somma di AVERE",'Pivot Amex'!$A$3,"Mese",7,"Tipologia",$A132,"Viaggio",$A$131))
-IF(ISERROR(GETPIVOTDATA("Somma di AVERE",'Pivot BBVA'!$A$3,"Mese",7,"Tipologia",$A132,"Viaggio",$A$131)),0,GETPIVOTDATA("Somma di AVERE",'Pivot BBVA'!$A$3,"Mese",7,"Tipologia",$A132,"Viaggio",$A$131))
-IF(ISERROR(GETPIVOTDATA("Somma di AVERE",'Pivot Fineco St'!$A$3,"Mese",7,"Tipologia",$A132,"Viaggio",$A$131)),0,GETPIVOTDATA("Somma di AVERE",'Pivot Fineco St'!$A$3,"Mese",7,"Tipologia",$A132,"Viaggio",$A$131))
-IF(ISERROR(GETPIVOTDATA("Somma di AVERE",'Pivot Fineco Sa'!$A$3,"Mese",7,"Tipologia",$A132,"Viaggio",$A$131)),0,GETPIVOTDATA("Somma di AVERE",'Pivot Fineco Sa'!$A$3,"Mese",7,"Tipologia",$A132,"Viaggio",$A$131))
+IF(ISERROR(GETPIVOTDATA("Somma di DARE",'Pivot PP Visa'!$A$3,"Mese",7,"Tipologia",$A132,"Viaggio",$A$131)),0,GETPIVOTDATA("Somma di DARE",'Pivot PP Visa'!$A$3,"Mese",7,"Tipologia",$A132,"Viaggio",$A$131))
-IF(ISERROR(GETPIVOTDATA("Somma di AVERE",'Pivot PP Visa'!$A$3,"Mese",7,"Tipologia",$A132,"Viaggio",$A$131)),0,GETPIVOTDATA("Somma di AVERE",'Pivot PP Visa'!$A$3,"Mese",7,"Tipologia",$A132,"Viaggio",$A$131))
+IF(ISERROR(GETPIVOTDATA("Somma di DARE",'Pivot Revolut'!$A$3,"Mese",7,"Tipologia",$A132,"Viaggio",$A$131)),0,GETPIVOTDATA("Somma di DARE",'Pivot Revolut'!$A$3,"Mese",7,"Tipologia",$A132,"Viaggio",$A$131))
-IF(ISERROR(GETPIVOTDATA("Somma di AVERE",'Pivot Revolut'!$A$3,"Mese",7,"Tipologia",$A132,"Viaggio",$A$131)),0,GETPIVOTDATA("Somma di AVERE",'Pivot Revolut'!$A$3,"Mese",7,"Tipologia",$A132,"Viaggio",$A$131))
+IF(ISERROR(GETPIVOTDATA("Somma di DARE",'Pivot RakBank EUR'!$A$3,"Mese",7,"Tipologia",$A132,"Viaggio",$A$131)),0,GETPIVOTDATA("Somma di DARE",'Pivot RakBank EUR'!$A$3,"Mese",7,"Tipologia",$A132,"Viaggio",$A$131))
-IF(ISERROR(GETPIVOTDATA("Somma di AVERE",'Pivot RakBank EUR'!$A$3,"Mese",7,"Tipologia",$A132,"Viaggio",$A$131)),0,GETPIVOTDATA("Somma di AVERE",'Pivot RakBank EUR'!$A$3,"Mese",7,"Tipologia",$A132,"Viaggio",$A$131))
+IF(ISERROR(GETPIVOTDATA("Somma di DARE EUR",'Pivot RakBank AED'!$A$3,"Mese",7,"Tipologia",$A132,"Viaggio",$A$131)),0,GETPIVOTDATA("Somma di DARE EUR",'Pivot RakBank AED'!$A$3,"Mese",7,"Tipologia",$A132,"Viaggio",$A$131))
-IF(ISERROR(GETPIVOTDATA("Somma di AVERE EUR",'Pivot RakBank AED'!$A$3,"Mese",7,"Tipologia",$A132,"Viaggio",$A$131)),0,GETPIVOTDATA("Somma di AVERE EUR",'Pivot RakBank AED'!$A$3,"Mese",7,"Tipologia",$A132,"Viaggio",$A$131))</f>
        <v>0</v>
      </c>
      <c r="J132" s="270">
        <f>IF(ISERROR(GETPIVOTDATA("Somma di DARE",'Pivot Fineco Sa'!$A$3,"Mese",8,"Tipologia",$A132,"Viaggio",$A$131)),0,GETPIVOTDATA("Somma di DARE",'Pivot Fineco Sa'!$A$3,"Mese",8,"Tipologia",$A132,"Viaggio",$A$131))
+IF(ISERROR(GETPIVOTDATA("Somma di DARE",'Pivot Fineco St'!$A$3,"Mese",8,"Tipologia",$A132,"Viaggio",$A$131)),0,GETPIVOTDATA("Somma di DARE",'Pivot Fineco St'!$A$3,"Mese",8,"Tipologia",$A132,"Viaggio",$A$131))
+IF(Contanti!$AG39='Conto Economico'!$A$131,Contanti!$AD39)
+IF(ISERROR(GETPIVOTDATA("Somma di DARE",'Pivot BBVA'!$A$3,"Mese",8,"Tipologia",$A132,"Viaggio",$A$131)),0,GETPIVOTDATA("Somma di DARE",'Pivot BBVA'!$A$3,"Mese",8,"Tipologia",$A132,"Viaggio",$A$131))
+IF(ISERROR(GETPIVOTDATA("Somma di DARE",'Pivot Amex'!$A$3,"Mese",8,"Tipologia",$A132,"Viaggio",$A$131)),0,GETPIVOTDATA("Somma di DARE",'Pivot Amex'!$A$3,"Mese",8,"Tipologia",$A132,"Viaggio",$A$131))
-IF(ISERROR(GETPIVOTDATA("Somma di AVERE",'Pivot Amex'!$A$3,"Mese",8,"Tipologia",$A132,"Viaggio",$A$131)),0,GETPIVOTDATA("Somma di AVERE",'Pivot Amex'!$A$3,"Mese",8,"Tipologia",$A132,"Viaggio",$A$131))
-IF(ISERROR(GETPIVOTDATA("Somma di AVERE",'Pivot BBVA'!$A$3,"Mese",8,"Tipologia",$A132,"Viaggio",$A$131)),0,GETPIVOTDATA("Somma di AVERE",'Pivot BBVA'!$A$3,"Mese",8,"Tipologia",$A132,"Viaggio",$A$131))
-IF(ISERROR(GETPIVOTDATA("Somma di AVERE",'Pivot Fineco St'!$A$3,"Mese",8,"Tipologia",$A132,"Viaggio",$A$131)),0,GETPIVOTDATA("Somma di AVERE",'Pivot Fineco St'!$A$3,"Mese",8,"Tipologia",$A132,"Viaggio",$A$131))
-IF(ISERROR(GETPIVOTDATA("Somma di AVERE",'Pivot Fineco Sa'!$A$3,"Mese",8,"Tipologia",$A132,"Viaggio",$A$131)),0,GETPIVOTDATA("Somma di AVERE",'Pivot Fineco Sa'!$A$3,"Mese",8,"Tipologia",$A132,"Viaggio",$A$131))
+IF(ISERROR(GETPIVOTDATA("Somma di DARE",'Pivot PP Visa'!$A$3,"Mese",8,"Tipologia",$A132,"Viaggio",$A$131)),0,GETPIVOTDATA("Somma di DARE",'Pivot PP Visa'!$A$3,"Mese",8,"Tipologia",$A132,"Viaggio",$A$131))
-IF(ISERROR(GETPIVOTDATA("Somma di AVERE",'Pivot PP Visa'!$A$3,"Mese",8,"Tipologia",$A132,"Viaggio",$A$131)),0,GETPIVOTDATA("Somma di AVERE",'Pivot PP Visa'!$A$3,"Mese",8,"Tipologia",$A132,"Viaggio",$A$131))
+IF(ISERROR(GETPIVOTDATA("Somma di DARE",'Pivot Revolut'!$A$3,"Mese",8,"Tipologia",$A132,"Viaggio",$A$131)),0,GETPIVOTDATA("Somma di DARE",'Pivot Revolut'!$A$3,"Mese",8,"Tipologia",$A132,"Viaggio",$A$131))
-IF(ISERROR(GETPIVOTDATA("Somma di AVERE",'Pivot Revolut'!$A$3,"Mese",8,"Tipologia",$A132,"Viaggio",$A$131)),0,GETPIVOTDATA("Somma di AVERE",'Pivot Revolut'!$A$3,"Mese",8,"Tipologia",$A132,"Viaggio",$A$131))
+IF(ISERROR(GETPIVOTDATA("Somma di DARE",'Pivot RakBank EUR'!$A$3,"Mese",8,"Tipologia",$A132,"Viaggio",$A$131)),0,GETPIVOTDATA("Somma di DARE",'Pivot RakBank EUR'!$A$3,"Mese",8,"Tipologia",$A132,"Viaggio",$A$131))
-IF(ISERROR(GETPIVOTDATA("Somma di AVERE",'Pivot RakBank EUR'!$A$3,"Mese",8,"Tipologia",$A132,"Viaggio",$A$131)),0,GETPIVOTDATA("Somma di AVERE",'Pivot RakBank EUR'!$A$3,"Mese",8,"Tipologia",$A132,"Viaggio",$A$131))
+IF(ISERROR(GETPIVOTDATA("Somma di DARE EUR",'Pivot RakBank AED'!$A$3,"Mese",8,"Tipologia",$A132,"Viaggio",$A$131)),0,GETPIVOTDATA("Somma di DARE EUR",'Pivot RakBank AED'!$A$3,"Mese",8,"Tipologia",$A132,"Viaggio",$A$131))
-IF(ISERROR(GETPIVOTDATA("Somma di AVERE EUR",'Pivot RakBank AED'!$A$3,"Mese",8,"Tipologia",$A132,"Viaggio",$A$131)),0,GETPIVOTDATA("Somma di AVERE EUR",'Pivot RakBank AED'!$A$3,"Mese",8,"Tipologia",$A132,"Viaggio",$A$131))</f>
        <v>0</v>
      </c>
      <c r="K132" s="270">
        <f>IF(ISERROR(GETPIVOTDATA("Somma di DARE",'Pivot Fineco Sa'!$A$3,"Mese",9,"Tipologia",$A132,"Viaggio",$A$131)),0,GETPIVOTDATA("Somma di DARE",'Pivot Fineco Sa'!$A$3,"Mese",9,"Tipologia",$A132,"Viaggio",$A$131))
+IF(ISERROR(GETPIVOTDATA("Somma di DARE",'Pivot Fineco St'!$A$3,"Mese",9,"Tipologia",$A132,"Viaggio",$A$131)),0,GETPIVOTDATA("Somma di DARE",'Pivot Fineco St'!$A$3,"Mese",9,"Tipologia",$A132,"Viaggio",$A$131))
+IF(Contanti!$AK39='Conto Economico'!$A$131,Contanti!$AH39)
+IF(ISERROR(GETPIVOTDATA("Somma di DARE",'Pivot BBVA'!$A$3,"Mese",9,"Tipologia",$A132,"Viaggio",$A$131)),0,GETPIVOTDATA("Somma di DARE",'Pivot BBVA'!$A$3,"Mese",9,"Tipologia",$A132,"Viaggio",$A$131))
+IF(ISERROR(GETPIVOTDATA("Somma di DARE",'Pivot Amex'!$A$3,"Mese",9,"Tipologia",$A132,"Viaggio",$A$131)),0,GETPIVOTDATA("Somma di DARE",'Pivot Amex'!$A$3,"Mese",9,"Tipologia",$A132,"Viaggio",$A$131))
-IF(ISERROR(GETPIVOTDATA("Somma di AVERE",'Pivot Amex'!$A$3,"Mese",9,"Tipologia",$A132,"Viaggio",$A$131)),0,GETPIVOTDATA("Somma di AVERE",'Pivot Amex'!$A$3,"Mese",9,"Tipologia",$A132,"Viaggio",$A$131))
-IF(ISERROR(GETPIVOTDATA("Somma di AVERE",'Pivot BBVA'!$A$3,"Mese",9,"Tipologia",$A132,"Viaggio",$A$131)),0,GETPIVOTDATA("Somma di AVERE",'Pivot BBVA'!$A$3,"Mese",9,"Tipologia",$A132,"Viaggio",$A$131))
-IF(ISERROR(GETPIVOTDATA("Somma di AVERE",'Pivot Fineco St'!$A$3,"Mese",9,"Tipologia",$A132,"Viaggio",$A$131)),0,GETPIVOTDATA("Somma di AVERE",'Pivot Fineco St'!$A$3,"Mese",9,"Tipologia",$A132,"Viaggio",$A$131))
-IF(ISERROR(GETPIVOTDATA("Somma di AVERE",'Pivot Fineco Sa'!$A$3,"Mese",9,"Tipologia",$A132,"Viaggio",$A$131)),0,GETPIVOTDATA("Somma di AVERE",'Pivot Fineco Sa'!$A$3,"Mese",9,"Tipologia",$A132,"Viaggio",$A$131))
+IF(ISERROR(GETPIVOTDATA("Somma di DARE",'Pivot PP Visa'!$A$3,"Mese",9,"Tipologia",$A132,"Viaggio",$A$131)),0,GETPIVOTDATA("Somma di DARE",'Pivot PP Visa'!$A$3,"Mese",9,"Tipologia",$A132,"Viaggio",$A$131))
-IF(ISERROR(GETPIVOTDATA("Somma di AVERE",'Pivot PP Visa'!$A$3,"Mese",9,"Tipologia",$A132,"Viaggio",$A$131)),0,GETPIVOTDATA("Somma di AVERE",'Pivot PP Visa'!$A$3,"Mese",9,"Tipologia",$A132,"Viaggio",$A$131))
+IF(ISERROR(GETPIVOTDATA("Somma di DARE",'Pivot Revolut'!$A$3,"Mese",9,"Tipologia",$A132,"Viaggio",$A$131)),0,GETPIVOTDATA("Somma di DARE",'Pivot Revolut'!$A$3,"Mese",9,"Tipologia",$A132,"Viaggio",$A$131))
-IF(ISERROR(GETPIVOTDATA("Somma di AVERE",'Pivot Revolut'!$A$3,"Mese",9,"Tipologia",$A132,"Viaggio",$A$131)),0,GETPIVOTDATA("Somma di AVERE",'Pivot Revolut'!$A$3,"Mese",9,"Tipologia",$A132,"Viaggio",$A$131))
+IF(ISERROR(GETPIVOTDATA("Somma di DARE",'Pivot RakBank EUR'!$A$3,"Mese",9,"Tipologia",$A132,"Viaggio",$A$131)),0,GETPIVOTDATA("Somma di DARE",'Pivot RakBank EUR'!$A$3,"Mese",9,"Tipologia",$A132,"Viaggio",$A$131))
-IF(ISERROR(GETPIVOTDATA("Somma di AVERE",'Pivot RakBank EUR'!$A$3,"Mese",9,"Tipologia",$A132,"Viaggio",$A$131)),0,GETPIVOTDATA("Somma di AVERE",'Pivot RakBank EUR'!$A$3,"Mese",9,"Tipologia",$A132,"Viaggio",$A$131))
+IF(ISERROR(GETPIVOTDATA("Somma di DARE EUR",'Pivot RakBank AED'!$A$3,"Mese",9,"Tipologia",$A132,"Viaggio",$A$131)),0,GETPIVOTDATA("Somma di DARE EUR",'Pivot RakBank AED'!$A$3,"Mese",9,"Tipologia",$A132,"Viaggio",$A$131))
-IF(ISERROR(GETPIVOTDATA("Somma di AVERE EUR",'Pivot RakBank AED'!$A$3,"Mese",9,"Tipologia",$A132,"Viaggio",$A$131)),0,GETPIVOTDATA("Somma di AVERE EUR",'Pivot RakBank AED'!$A$3,"Mese",9,"Tipologia",$A132,"Viaggio",$A$131))</f>
        <v>0</v>
      </c>
      <c r="L132" s="270">
        <f>IF(ISERROR(GETPIVOTDATA("Somma di DARE",'Pivot Fineco Sa'!$A$3,"Mese",10,"Tipologia",$A132,"Viaggio",$A$131)),0,GETPIVOTDATA("Somma di DARE",'Pivot Fineco Sa'!$A$3,"Mese",10,"Tipologia",$A132,"Viaggio",$A$131))
+IF(ISERROR(GETPIVOTDATA("Somma di DARE",'Pivot Fineco St'!$A$3,"Mese",10,"Tipologia",$A132,"Viaggio",$A$131)),0,GETPIVOTDATA("Somma di DARE",'Pivot Fineco St'!$A$3,"Mese",10,"Tipologia",$A132,"Viaggio",$A$131))
+IF(Contanti!$AO39='Conto Economico'!$A$131,Contanti!$AL39)
+IF(ISERROR(GETPIVOTDATA("Somma di DARE",'Pivot BBVA'!$A$3,"Mese",10,"Tipologia",$A132,"Viaggio",$A$131)),0,GETPIVOTDATA("Somma di DARE",'Pivot BBVA'!$A$3,"Mese",10,"Tipologia",$A132,"Viaggio",$A$131))
+IF(ISERROR(GETPIVOTDATA("Somma di DARE",'Pivot Amex'!$A$3,"Mese",10,"Tipologia",$A132,"Viaggio",$A$131)),0,GETPIVOTDATA("Somma di DARE",'Pivot Amex'!$A$3,"Mese",10,"Tipologia",$A132,"Viaggio",$A$131))
-IF(ISERROR(GETPIVOTDATA("Somma di AVERE",'Pivot Amex'!$A$3,"Mese",10,"Tipologia",$A132,"Viaggio",$A$131)),0,GETPIVOTDATA("Somma di AVERE",'Pivot Amex'!$A$3,"Mese",10,"Tipologia",$A132,"Viaggio",$A$131))
-IF(ISERROR(GETPIVOTDATA("Somma di AVERE",'Pivot BBVA'!$A$3,"Mese",10,"Tipologia",$A132,"Viaggio",$A$131)),0,GETPIVOTDATA("Somma di AVERE",'Pivot BBVA'!$A$3,"Mese",10,"Tipologia",$A132,"Viaggio",$A$131))
-IF(ISERROR(GETPIVOTDATA("Somma di AVERE",'Pivot Fineco St'!$A$3,"Mese",10,"Tipologia",$A132,"Viaggio",$A$131)),0,GETPIVOTDATA("Somma di AVERE",'Pivot Fineco St'!$A$3,"Mese",10,"Tipologia",$A132,"Viaggio",$A$131))
-IF(ISERROR(GETPIVOTDATA("Somma di AVERE",'Pivot Fineco Sa'!$A$3,"Mese",10,"Tipologia",$A132,"Viaggio",$A$131)),0,GETPIVOTDATA("Somma di AVERE",'Pivot Fineco Sa'!$A$3,"Mese",10,"Tipologia",$A132,"Viaggio",$A$131))
+IF(ISERROR(GETPIVOTDATA("Somma di DARE",'Pivot PP Visa'!$A$3,"Mese",10,"Tipologia",$A132,"Viaggio",$A$131)),0,GETPIVOTDATA("Somma di DARE",'Pivot PP Visa'!$A$3,"Mese",10,"Tipologia",$A132,"Viaggio",$A$131))
-IF(ISERROR(GETPIVOTDATA("Somma di AVERE",'Pivot PP Visa'!$A$3,"Mese",10,"Tipologia",$A132,"Viaggio",$A$131)),0,GETPIVOTDATA("Somma di AVERE",'Pivot PP Visa'!$A$3,"Mese",10,"Tipologia",$A132,"Viaggio",$A$131))
+IF(ISERROR(GETPIVOTDATA("Somma di DARE",'Pivot Revolut'!$A$3,"Mese",10,"Tipologia",$A132,"Viaggio",$A$131)),0,GETPIVOTDATA("Somma di DARE",'Pivot Revolut'!$A$3,"Mese",10,"Tipologia",$A132,"Viaggio",$A$131))
-IF(ISERROR(GETPIVOTDATA("Somma di AVERE",'Pivot Revolut'!$A$3,"Mese",10,"Tipologia",$A132,"Viaggio",$A$131)),0,GETPIVOTDATA("Somma di AVERE",'Pivot Revolut'!$A$3,"Mese",10,"Tipologia",$A132,"Viaggio",$A$131))
+IF(ISERROR(GETPIVOTDATA("Somma di DARE",'Pivot RakBank EUR'!$A$3,"Mese",10,"Tipologia",$A132,"Viaggio",$A$131)),0,GETPIVOTDATA("Somma di DARE",'Pivot RakBank EUR'!$A$3,"Mese",10,"Tipologia",$A132,"Viaggio",$A$131))
-IF(ISERROR(GETPIVOTDATA("Somma di AVERE",'Pivot RakBank EUR'!$A$3,"Mese",10,"Tipologia",$A132,"Viaggio",$A$131)),0,GETPIVOTDATA("Somma di AVERE",'Pivot RakBank EUR'!$A$3,"Mese",10,"Tipologia",$A132,"Viaggio",$A$131))
+IF(ISERROR(GETPIVOTDATA("Somma di DARE EUR",'Pivot RakBank AED'!$A$3,"Mese",10,"Tipologia",$A132,"Viaggio",$A$131)),0,GETPIVOTDATA("Somma di DARE EUR",'Pivot RakBank AED'!$A$3,"Mese",10,"Tipologia",$A132,"Viaggio",$A$131))
-IF(ISERROR(GETPIVOTDATA("Somma di AVERE EUR",'Pivot RakBank AED'!$A$3,"Mese",10,"Tipologia",$A132,"Viaggio",$A$131)),0,GETPIVOTDATA("Somma di AVERE EUR",'Pivot RakBank AED'!$A$3,"Mese",10,"Tipologia",$A132,"Viaggio",$A$131))</f>
        <v>0</v>
      </c>
      <c r="M132" s="270">
        <f>IF(ISERROR(GETPIVOTDATA("Somma di DARE",'Pivot Fineco Sa'!$A$3,"Mese",11,"Tipologia",$A132,"Viaggio",$A$131)),0,GETPIVOTDATA("Somma di DARE",'Pivot Fineco Sa'!$A$3,"Mese",11,"Tipologia",$A132,"Viaggio",$A$131))
+IF(ISERROR(GETPIVOTDATA("Somma di DARE",'Pivot Fineco St'!$A$3,"Mese",11,"Tipologia",$A132,"Viaggio",$A$131)),0,GETPIVOTDATA("Somma di DARE",'Pivot Fineco St'!$A$3,"Mese",11,"Tipologia",$A132,"Viaggio",$A$131))
+IF(Contanti!$AS39='Conto Economico'!$A$131,Contanti!$AP39)
+IF(ISERROR(GETPIVOTDATA("Somma di DARE",'Pivot BBVA'!$A$3,"Mese",11,"Tipologia",$A132,"Viaggio",$A$131)),0,GETPIVOTDATA("Somma di DARE",'Pivot BBVA'!$A$3,"Mese",11,"Tipologia",$A132,"Viaggio",$A$131))
+IF(ISERROR(GETPIVOTDATA("Somma di DARE",'Pivot Amex'!$A$3,"Mese",11,"Tipologia",$A132,"Viaggio",$A$131)),0,GETPIVOTDATA("Somma di DARE",'Pivot Amex'!$A$3,"Mese",11,"Tipologia",$A132,"Viaggio",$A$131))
-IF(ISERROR(GETPIVOTDATA("Somma di AVERE",'Pivot Amex'!$A$3,"Mese",11,"Tipologia",$A132,"Viaggio",$A$131)),0,GETPIVOTDATA("Somma di AVERE",'Pivot Amex'!$A$3,"Mese",11,"Tipologia",$A132,"Viaggio",$A$131))
-IF(ISERROR(GETPIVOTDATA("Somma di AVERE",'Pivot BBVA'!$A$3,"Mese",11,"Tipologia",$A132,"Viaggio",$A$131)),0,GETPIVOTDATA("Somma di AVERE",'Pivot BBVA'!$A$3,"Mese",11,"Tipologia",$A132,"Viaggio",$A$131))
-IF(ISERROR(GETPIVOTDATA("Somma di AVERE",'Pivot Fineco St'!$A$3,"Mese",11,"Tipologia",$A132,"Viaggio",$A$131)),0,GETPIVOTDATA("Somma di AVERE",'Pivot Fineco St'!$A$3,"Mese",11,"Tipologia",$A132,"Viaggio",$A$131))
-IF(ISERROR(GETPIVOTDATA("Somma di AVERE",'Pivot Fineco Sa'!$A$3,"Mese",11,"Tipologia",$A132,"Viaggio",$A$131)),0,GETPIVOTDATA("Somma di AVERE",'Pivot Fineco Sa'!$A$3,"Mese",11,"Tipologia",$A132,"Viaggio",$A$131))
+IF(ISERROR(GETPIVOTDATA("Somma di DARE",'Pivot PP Visa'!$A$3,"Mese",11,"Tipologia",$A132,"Viaggio",$A$131)),0,GETPIVOTDATA("Somma di DARE",'Pivot PP Visa'!$A$3,"Mese",11,"Tipologia",$A132,"Viaggio",$A$131))
-IF(ISERROR(GETPIVOTDATA("Somma di AVERE",'Pivot PP Visa'!$A$3,"Mese",11,"Tipologia",$A132,"Viaggio",$A$131)),0,GETPIVOTDATA("Somma di AVERE",'Pivot PP Visa'!$A$3,"Mese",11,"Tipologia",$A132,"Viaggio",$A$131))
+IF(ISERROR(GETPIVOTDATA("Somma di DARE",'Pivot Revolut'!$A$3,"Mese",11,"Tipologia",$A132,"Viaggio",$A$131)),0,GETPIVOTDATA("Somma di DARE",'Pivot Revolut'!$A$3,"Mese",11,"Tipologia",$A132,"Viaggio",$A$131))
-IF(ISERROR(GETPIVOTDATA("Somma di AVERE",'Pivot Revolut'!$A$3,"Mese",11,"Tipologia",$A132,"Viaggio",$A$131)),0,GETPIVOTDATA("Somma di AVERE",'Pivot Revolut'!$A$3,"Mese",11,"Tipologia",$A132,"Viaggio",$A$131))
+IF(ISERROR(GETPIVOTDATA("Somma di DARE",'Pivot RakBank EUR'!$A$3,"Mese",11,"Tipologia",$A132,"Viaggio",$A$131)),0,GETPIVOTDATA("Somma di DARE",'Pivot RakBank EUR'!$A$3,"Mese",11,"Tipologia",$A132,"Viaggio",$A$131))
-IF(ISERROR(GETPIVOTDATA("Somma di AVERE",'Pivot RakBank EUR'!$A$3,"Mese",11,"Tipologia",$A132,"Viaggio",$A$131)),0,GETPIVOTDATA("Somma di AVERE",'Pivot RakBank EUR'!$A$3,"Mese",11,"Tipologia",$A132,"Viaggio",$A$131))
+IF(ISERROR(GETPIVOTDATA("Somma di DARE EUR",'Pivot RakBank AED'!$A$3,"Mese",11,"Tipologia",$A132,"Viaggio",$A$131)),0,GETPIVOTDATA("Somma di DARE EUR",'Pivot RakBank AED'!$A$3,"Mese",11,"Tipologia",$A132,"Viaggio",$A$131))
-IF(ISERROR(GETPIVOTDATA("Somma di AVERE EUR",'Pivot RakBank AED'!$A$3,"Mese",11,"Tipologia",$A132,"Viaggio",$A$131)),0,GETPIVOTDATA("Somma di AVERE EUR",'Pivot RakBank AED'!$A$3,"Mese",11,"Tipologia",$A132,"Viaggio",$A$131))</f>
        <v>0</v>
      </c>
      <c r="N132" s="270">
        <f>IF(ISERROR(GETPIVOTDATA("Somma di DARE",'Pivot Fineco Sa'!$A$3,"Mese",12,"Tipologia",$A132,"Viaggio",$A$131)),0,GETPIVOTDATA("Somma di DARE",'Pivot Fineco Sa'!$A$3,"Mese",12,"Tipologia",$A132,"Viaggio",$A$131))
+IF(ISERROR(GETPIVOTDATA("Somma di DARE",'Pivot Fineco St'!$A$3,"Mese",12,"Tipologia",$A132,"Viaggio",$A$131)),0,GETPIVOTDATA("Somma di DARE",'Pivot Fineco St'!$A$3,"Mese",12,"Tipologia",$A132,"Viaggio",$A$131))
+IF(Contanti!$AW39='Conto Economico'!$A$131,Contanti!$AT39)
+IF(ISERROR(GETPIVOTDATA("Somma di DARE",'Pivot BBVA'!$A$3,"Mese",12,"Tipologia",$A132,"Viaggio",$A$131)),0,GETPIVOTDATA("Somma di DARE",'Pivot BBVA'!$A$3,"Mese",12,"Tipologia",$A132,"Viaggio",$A$131))
+IF(ISERROR(GETPIVOTDATA("Somma di DARE",'Pivot Amex'!$A$3,"Mese",12,"Tipologia",$A132,"Viaggio",$A$131)),0,GETPIVOTDATA("Somma di DARE",'Pivot Amex'!$A$3,"Mese",12,"Tipologia",$A132,"Viaggio",$A$131))
-IF(ISERROR(GETPIVOTDATA("Somma di AVERE",'Pivot Amex'!$A$3,"Mese",12,"Tipologia",$A132,"Viaggio",$A$131)),0,GETPIVOTDATA("Somma di AVERE",'Pivot Amex'!$A$3,"Mese",12,"Tipologia",$A132,"Viaggio",$A$131))
-IF(ISERROR(GETPIVOTDATA("Somma di AVERE",'Pivot BBVA'!$A$3,"Mese",12,"Tipologia",$A132,"Viaggio",$A$131)),0,GETPIVOTDATA("Somma di AVERE",'Pivot BBVA'!$A$3,"Mese",12,"Tipologia",$A132,"Viaggio",$A$131))
-IF(ISERROR(GETPIVOTDATA("Somma di AVERE",'Pivot Fineco St'!$A$3,"Mese",12,"Tipologia",$A132,"Viaggio",$A$131)),0,GETPIVOTDATA("Somma di AVERE",'Pivot Fineco St'!$A$3,"Mese",12,"Tipologia",$A132,"Viaggio",$A$131))
-IF(ISERROR(GETPIVOTDATA("Somma di AVERE",'Pivot Fineco Sa'!$A$3,"Mese",12,"Tipologia",$A132,"Viaggio",$A$131)),0,GETPIVOTDATA("Somma di AVERE",'Pivot Fineco Sa'!$A$3,"Mese",12,"Tipologia",$A132,"Viaggio",$A$131))
+IF(ISERROR(GETPIVOTDATA("Somma di DARE",'Pivot PP Visa'!$A$3,"Mese",12,"Tipologia",$A132,"Viaggio",$A$131)),0,GETPIVOTDATA("Somma di DARE",'Pivot PP Visa'!$A$3,"Mese",12,"Tipologia",$A132,"Viaggio",$A$131))
-IF(ISERROR(GETPIVOTDATA("Somma di AVERE",'Pivot PP Visa'!$A$3,"Mese",12,"Tipologia",$A132,"Viaggio",$A$131)),0,GETPIVOTDATA("Somma di AVERE",'Pivot PP Visa'!$A$3,"Mese",12,"Tipologia",$A132,"Viaggio",$A$131))
+IF(ISERROR(GETPIVOTDATA("Somma di DARE",'Pivot Revolut'!$A$3,"Mese",12,"Tipologia",$A132,"Viaggio",$A$131)),0,GETPIVOTDATA("Somma di DARE",'Pivot Revolut'!$A$3,"Mese",12,"Tipologia",$A132,"Viaggio",$A$131))
-IF(ISERROR(GETPIVOTDATA("Somma di AVERE",'Pivot Revolut'!$A$3,"Mese",12,"Tipologia",$A132,"Viaggio",$A$131)),0,GETPIVOTDATA("Somma di AVERE",'Pivot Revolut'!$A$3,"Mese",12,"Tipologia",$A132,"Viaggio",$A$131))
+IF(ISERROR(GETPIVOTDATA("Somma di DARE",'Pivot RakBank EUR'!$A$3,"Mese",12,"Tipologia",$A132,"Viaggio",$A$131)),0,GETPIVOTDATA("Somma di DARE",'Pivot RakBank EUR'!$A$3,"Mese",12,"Tipologia",$A132,"Viaggio",$A$131))
-IF(ISERROR(GETPIVOTDATA("Somma di AVERE",'Pivot RakBank EUR'!$A$3,"Mese",12,"Tipologia",$A132,"Viaggio",$A$131)),0,GETPIVOTDATA("Somma di AVERE",'Pivot RakBank EUR'!$A$3,"Mese",12,"Tipologia",$A132,"Viaggio",$A$131))
+IF(ISERROR(GETPIVOTDATA("Somma di DARE EUR",'Pivot RakBank AED'!$A$3,"Mese",12,"Tipologia",$A132,"Viaggio",$A$131)),0,GETPIVOTDATA("Somma di DARE EUR",'Pivot RakBank AED'!$A$3,"Mese",12,"Tipologia",$A132,"Viaggio",$A$131))
-IF(ISERROR(GETPIVOTDATA("Somma di AVERE EUR",'Pivot RakBank AED'!$A$3,"Mese",12,"Tipologia",$A132,"Viaggio",$A$131)),0,GETPIVOTDATA("Somma di AVERE EUR",'Pivot RakBank AED'!$A$3,"Mese",12,"Tipologia",$A132,"Viaggio",$A$131))</f>
        <v>0</v>
      </c>
      <c r="O132" s="271">
        <f>SUM(C132:N132)</f>
        <v>0</v>
      </c>
      <c r="P132" s="270"/>
    </row>
    <row r="133" spans="1:16" s="131" customFormat="1" ht="14" outlineLevel="1" x14ac:dyDescent="0.2">
      <c r="A133" s="269" t="s">
        <v>111</v>
      </c>
      <c r="B133" s="269"/>
      <c r="C133" s="270">
        <f>IF(ISERROR(GETPIVOTDATA("Somma di DARE",'Pivot Fineco Sa'!$A$3,"Mese",1,"Tipologia",$A133,"Viaggio",$A$131)),0,GETPIVOTDATA("Somma di DARE",'Pivot Fineco Sa'!$A$3,"Mese",1,"Tipologia",$A133,"Viaggio",$A$131))
+IF(ISERROR(GETPIVOTDATA("Somma di DARE",'Pivot Fineco St'!$A$3,"Mese",1,"Tipologia",$A133,"Viaggio",$A$131)),0,GETPIVOTDATA("Somma di DARE",'Pivot Fineco St'!$A$3,"Mese",1,"Tipologia",$A133,"Viaggio",$A$131))
+IF(Contanti!$E40='Conto Economico'!$A$131,Contanti!$B40)
+IF(ISERROR(GETPIVOTDATA("Somma di DARE",'Pivot BBVA'!$A$3,"Mese",1,"Tipologia",$A133,"Viaggio",$A$131)),0,GETPIVOTDATA("Somma di DARE",'Pivot BBVA'!$A$3,"Mese",1,"Tipologia",$A133,"Viaggio",$A$131))
+IF(ISERROR(GETPIVOTDATA("Somma di DARE",'Pivot Amex'!$A$3,"Mese",1,"Tipologia",$A133,"Viaggio",$A$131)),0,GETPIVOTDATA("Somma di DARE",'Pivot Amex'!$A$3,"Mese",1,"Tipologia",$A133,"Viaggio",$A$131))
-IF(ISERROR(GETPIVOTDATA("Somma di AVERE",'Pivot Amex'!$A$3,"Mese",1,"Tipologia",$A133,"Viaggio",$A$131)),0,GETPIVOTDATA("Somma di AVERE",'Pivot Amex'!$A$3,"Mese",1,"Tipologia",$A133,"Viaggio",$A$131))
-IF(ISERROR(GETPIVOTDATA("Somma di AVERE",'Pivot BBVA'!$A$3,"Mese",1,"Tipologia",$A133,"Viaggio",$A$131)),0,GETPIVOTDATA("Somma di AVERE",'Pivot BBVA'!$A$3,"Mese",1,"Tipologia",$A133,"Viaggio",$A$131))
-IF(ISERROR(GETPIVOTDATA("Somma di AVERE",'Pivot Fineco St'!$A$3,"Mese",1,"Tipologia",$A133,"Viaggio",$A$131)),0,GETPIVOTDATA("Somma di AVERE",'Pivot Fineco St'!$A$3,"Mese",1,"Tipologia",$A133,"Viaggio",$A$131))
-IF(ISERROR(GETPIVOTDATA("Somma di AVERE",'Pivot Fineco Sa'!$A$3,"Mese",1,"Tipologia",$A133,"Viaggio",$A$131)),0,GETPIVOTDATA("Somma di AVERE",'Pivot Fineco Sa'!$A$3,"Mese",1,"Tipologia",$A133,"Viaggio",$A$131))
+IF(ISERROR(GETPIVOTDATA("Somma di DARE",'Pivot PP Visa'!$A$3,"Mese",1,"Tipologia",$A133,"Viaggio",$A$131)),0,GETPIVOTDATA("Somma di DARE",'Pivot PP Visa'!$A$3,"Mese",1,"Tipologia",$A133,"Viaggio",$A$131))
-IF(ISERROR(GETPIVOTDATA("Somma di AVERE",'Pivot PP Visa'!$A$3,"Mese",1,"Tipologia",$A133,"Viaggio",$A$131)),0,GETPIVOTDATA("Somma di AVERE",'Pivot PP Visa'!$A$3,"Mese",1,"Tipologia",$A133,"Viaggio",$A$131))
+IF(ISERROR(GETPIVOTDATA("Somma di DARE",'Pivot Revolut'!$A$3,"Mese",1,"Tipologia",$A133,"Viaggio",$A$131)),0,GETPIVOTDATA("Somma di DARE",'Pivot Revolut'!$A$3,"Mese",1,"Tipologia",$A133,"Viaggio",$A$131))
-IF(ISERROR(GETPIVOTDATA("Somma di AVERE",'Pivot Revolut'!$A$3,"Mese",1,"Tipologia",$A133,"Viaggio",$A$131)),0,GETPIVOTDATA("Somma di AVERE",'Pivot Revolut'!$A$3,"Mese",1,"Tipologia",$A133,"Viaggio",$A$131))
+IF(ISERROR(GETPIVOTDATA("Somma di DARE",'Pivot RakBank EUR'!$A$3,"Mese",1,"Tipologia",$A133,"Viaggio",$A$131)),0,GETPIVOTDATA("Somma di DARE",'Pivot RakBank EUR'!$A$3,"Mese",1,"Tipologia",$A133,"Viaggio",$A$131))
-IF(ISERROR(GETPIVOTDATA("Somma di AVERE",'Pivot RakBank EUR'!$A$3,"Mese",1,"Tipologia",$A133,"Viaggio",$A$131)),0,GETPIVOTDATA("Somma di AVERE",'Pivot RakBank EUR'!$A$3,"Mese",1,"Tipologia",$A133,"Viaggio",$A$131))
+IF(ISERROR(GETPIVOTDATA("Somma di DARE EUR",'Pivot RakBank AED'!$A$3,"Mese",1,"Tipologia",$A133,"Viaggio",$A$131)),0,GETPIVOTDATA("Somma di DARE EUR",'Pivot RakBank AED'!$A$3,"Mese",1,"Tipologia",$A133,"Viaggio",$A$131))
-IF(ISERROR(GETPIVOTDATA("Somma di AVERE EUR",'Pivot RakBank AED'!$A$3,"Mese",1,"Tipologia",$A133,"Viaggio",$A$131)),0,GETPIVOTDATA("Somma di AVERE EUR",'Pivot RakBank AED'!$A$3,"Mese",1,"Tipologia",$A133,"Viaggio",$A$131))</f>
        <v>0</v>
      </c>
      <c r="D133" s="270">
        <f>IF(ISERROR(GETPIVOTDATA("Somma di DARE",'Pivot Fineco Sa'!$A$3,"Mese",2,"Tipologia",$A133,"Viaggio",$A$131)),0,GETPIVOTDATA("Somma di DARE",'Pivot Fineco Sa'!$A$3,"Mese",2,"Tipologia",$A133,"Viaggio",$A$131))
+IF(ISERROR(GETPIVOTDATA("Somma di DARE",'Pivot Fineco St'!$A$3,"Mese",2,"Tipologia",$A133,"Viaggio",$A$131)),0,GETPIVOTDATA("Somma di DARE",'Pivot Fineco St'!$A$3,"Mese",2,"Tipologia",$A133,"Viaggio",$A$131))
+IF(Contanti!$I40='Conto Economico'!$A$131,Contanti!$F40)
+IF(ISERROR(GETPIVOTDATA("Somma di DARE",'Pivot BBVA'!$A$3,"Mese",2,"Tipologia",$A133,"Viaggio",$A$131)),0,GETPIVOTDATA("Somma di DARE",'Pivot BBVA'!$A$3,"Mese",2,"Tipologia",$A133,"Viaggio",$A$131))
+IF(ISERROR(GETPIVOTDATA("Somma di DARE",'Pivot Amex'!$A$3,"Mese",2,"Tipologia",$A133,"Viaggio",$A$131)),0,GETPIVOTDATA("Somma di DARE",'Pivot Amex'!$A$3,"Mese",2,"Tipologia",$A133,"Viaggio",$A$131))
-IF(ISERROR(GETPIVOTDATA("Somma di AVERE",'Pivot Amex'!$A$3,"Mese",2,"Tipologia",$A133,"Viaggio",$A$131)),0,GETPIVOTDATA("Somma di AVERE",'Pivot Amex'!$A$3,"Mese",2,"Tipologia",$A133,"Viaggio",$A$131))
-IF(ISERROR(GETPIVOTDATA("Somma di AVERE",'Pivot BBVA'!$A$3,"Mese",2,"Tipologia",$A133,"Viaggio",$A$131)),0,GETPIVOTDATA("Somma di AVERE",'Pivot BBVA'!$A$3,"Mese",2,"Tipologia",$A133,"Viaggio",$A$131))
-IF(ISERROR(GETPIVOTDATA("Somma di AVERE",'Pivot Fineco St'!$A$3,"Mese",2,"Tipologia",$A133,"Viaggio",$A$131)),0,GETPIVOTDATA("Somma di AVERE",'Pivot Fineco St'!$A$3,"Mese",2,"Tipologia",$A133,"Viaggio",$A$131))
-IF(ISERROR(GETPIVOTDATA("Somma di AVERE",'Pivot Fineco Sa'!$A$3,"Mese",2,"Tipologia",$A133,"Viaggio",$A$131)),0,GETPIVOTDATA("Somma di AVERE",'Pivot Fineco Sa'!$A$3,"Mese",2,"Tipologia",$A133,"Viaggio",$A$131))
+IF(ISERROR(GETPIVOTDATA("Somma di DARE",'Pivot PP Visa'!$A$3,"Mese",2,"Tipologia",$A133,"Viaggio",$A$131)),0,GETPIVOTDATA("Somma di DARE",'Pivot PP Visa'!$A$3,"Mese",2,"Tipologia",$A133,"Viaggio",$A$131))
-IF(ISERROR(GETPIVOTDATA("Somma di AVERE",'Pivot PP Visa'!$A$3,"Mese",2,"Tipologia",$A133,"Viaggio",$A$131)),0,GETPIVOTDATA("Somma di AVERE",'Pivot PP Visa'!$A$3,"Mese",2,"Tipologia",$A133,"Viaggio",$A$131))
+IF(ISERROR(GETPIVOTDATA("Somma di DARE",'Pivot Revolut'!$A$3,"Mese",2,"Tipologia",$A133,"Viaggio",$A$131)),0,GETPIVOTDATA("Somma di DARE",'Pivot Revolut'!$A$3,"Mese",2,"Tipologia",$A133,"Viaggio",$A$131))
-IF(ISERROR(GETPIVOTDATA("Somma di AVERE",'Pivot Revolut'!$A$3,"Mese",2,"Tipologia",$A133,"Viaggio",$A$131)),0,GETPIVOTDATA("Somma di AVERE",'Pivot Revolut'!$A$3,"Mese",2,"Tipologia",$A133,"Viaggio",$A$131))
+IF(ISERROR(GETPIVOTDATA("Somma di DARE",'Pivot RakBank EUR'!$A$3,"Mese",2,"Tipologia",$A133,"Viaggio",$A$131)),0,GETPIVOTDATA("Somma di DARE",'Pivot RakBank EUR'!$A$3,"Mese",2,"Tipologia",$A133,"Viaggio",$A$131))
-IF(ISERROR(GETPIVOTDATA("Somma di AVERE",'Pivot RakBank EUR'!$A$3,"Mese",2,"Tipologia",$A133,"Viaggio",$A$131)),0,GETPIVOTDATA("Somma di AVERE",'Pivot RakBank EUR'!$A$3,"Mese",2,"Tipologia",$A133,"Viaggio",$A$131))
+IF(ISERROR(GETPIVOTDATA("Somma di DARE EUR",'Pivot RakBank AED'!$A$3,"Mese",2,"Tipologia",$A133,"Viaggio",$A$131)),0,GETPIVOTDATA("Somma di DARE EUR",'Pivot RakBank AED'!$A$3,"Mese",2,"Tipologia",$A133,"Viaggio",$A$131))
-IF(ISERROR(GETPIVOTDATA("Somma di AVERE EUR",'Pivot RakBank AED'!$A$3,"Mese",2,"Tipologia",$A133,"Viaggio",$A$131)),0,GETPIVOTDATA("Somma di AVERE EUR",'Pivot RakBank AED'!$A$3,"Mese",2,"Tipologia",$A133,"Viaggio",$A$131))</f>
        <v>48.34</v>
      </c>
      <c r="E133" s="270">
        <f>IF(ISERROR(GETPIVOTDATA("Somma di DARE",'Pivot Fineco Sa'!$A$3,"Mese",3,"Tipologia",$A133,"Viaggio",$A$131)),0,GETPIVOTDATA("Somma di DARE",'Pivot Fineco Sa'!$A$3,"Mese",3,"Tipologia",$A133,"Viaggio",$A$131))
+IF(ISERROR(GETPIVOTDATA("Somma di DARE",'Pivot Fineco St'!$A$3,"Mese",3,"Tipologia",$A133,"Viaggio",$A$131)),0,GETPIVOTDATA("Somma di DARE",'Pivot Fineco St'!$A$3,"Mese",3,"Tipologia",$A133,"Viaggio",$A$131))
+IF(Contanti!$M40='Conto Economico'!$A$131,Contanti!$J40)
+IF(ISERROR(GETPIVOTDATA("Somma di DARE",'Pivot BBVA'!$A$3,"Mese",3,"Tipologia",$A133,"Viaggio",$A$131)),0,GETPIVOTDATA("Somma di DARE",'Pivot BBVA'!$A$3,"Mese",3,"Tipologia",$A133,"Viaggio",$A$131))
+IF(ISERROR(GETPIVOTDATA("Somma di DARE",'Pivot Amex'!$A$3,"Mese",3,"Tipologia",$A133,"Viaggio",$A$131)),0,GETPIVOTDATA("Somma di DARE",'Pivot Amex'!$A$3,"Mese",3,"Tipologia",$A133,"Viaggio",$A$131))
-IF(ISERROR(GETPIVOTDATA("Somma di AVERE",'Pivot Amex'!$A$3,"Mese",3,"Tipologia",$A133,"Viaggio",$A$131)),0,GETPIVOTDATA("Somma di AVERE",'Pivot Amex'!$A$3,"Mese",3,"Tipologia",$A133,"Viaggio",$A$131))
-IF(ISERROR(GETPIVOTDATA("Somma di AVERE",'Pivot BBVA'!$A$3,"Mese",3,"Tipologia",$A133,"Viaggio",$A$131)),0,GETPIVOTDATA("Somma di AVERE",'Pivot BBVA'!$A$3,"Mese",3,"Tipologia",$A133,"Viaggio",$A$131))
-IF(ISERROR(GETPIVOTDATA("Somma di AVERE",'Pivot Fineco St'!$A$3,"Mese",3,"Tipologia",$A133,"Viaggio",$A$131)),0,GETPIVOTDATA("Somma di AVERE",'Pivot Fineco St'!$A$3,"Mese",3,"Tipologia",$A133,"Viaggio",$A$131))
-IF(ISERROR(GETPIVOTDATA("Somma di AVERE",'Pivot Fineco Sa'!$A$3,"Mese",3,"Tipologia",$A133,"Viaggio",$A$131)),0,GETPIVOTDATA("Somma di AVERE",'Pivot Fineco Sa'!$A$3,"Mese",3,"Tipologia",$A133,"Viaggio",$A$131))
+IF(ISERROR(GETPIVOTDATA("Somma di DARE",'Pivot PP Visa'!$A$3,"Mese",3,"Tipologia",$A133,"Viaggio",$A$131)),0,GETPIVOTDATA("Somma di DARE",'Pivot PP Visa'!$A$3,"Mese",3,"Tipologia",$A133,"Viaggio",$A$131))
-IF(ISERROR(GETPIVOTDATA("Somma di AVERE",'Pivot PP Visa'!$A$3,"Mese",3,"Tipologia",$A133,"Viaggio",$A$131)),0,GETPIVOTDATA("Somma di AVERE",'Pivot PP Visa'!$A$3,"Mese",3,"Tipologia",$A133,"Viaggio",$A$131))
+IF(ISERROR(GETPIVOTDATA("Somma di DARE",'Pivot Revolut'!$A$3,"Mese",3,"Tipologia",$A133,"Viaggio",$A$131)),0,GETPIVOTDATA("Somma di DARE",'Pivot Revolut'!$A$3,"Mese",3,"Tipologia",$A133,"Viaggio",$A$131))
-IF(ISERROR(GETPIVOTDATA("Somma di AVERE",'Pivot Revolut'!$A$3,"Mese",3,"Tipologia",$A133,"Viaggio",$A$131)),0,GETPIVOTDATA("Somma di AVERE",'Pivot Revolut'!$A$3,"Mese",3,"Tipologia",$A133,"Viaggio",$A$131))
+IF(ISERROR(GETPIVOTDATA("Somma di DARE",'Pivot RakBank EUR'!$A$3,"Mese",3,"Tipologia",$A133,"Viaggio",$A$131)),0,GETPIVOTDATA("Somma di DARE",'Pivot RakBank EUR'!$A$3,"Mese",3,"Tipologia",$A133,"Viaggio",$A$131))
-IF(ISERROR(GETPIVOTDATA("Somma di AVERE",'Pivot RakBank EUR'!$A$3,"Mese",3,"Tipologia",$A133,"Viaggio",$A$131)),0,GETPIVOTDATA("Somma di AVERE",'Pivot RakBank EUR'!$A$3,"Mese",3,"Tipologia",$A133,"Viaggio",$A$131))
+IF(ISERROR(GETPIVOTDATA("Somma di DARE EUR",'Pivot RakBank AED'!$A$3,"Mese",3,"Tipologia",$A133,"Viaggio",$A$131)),0,GETPIVOTDATA("Somma di DARE EUR",'Pivot RakBank AED'!$A$3,"Mese",3,"Tipologia",$A133,"Viaggio",$A$131))
-IF(ISERROR(GETPIVOTDATA("Somma di AVERE EUR",'Pivot RakBank AED'!$A$3,"Mese",3,"Tipologia",$A133,"Viaggio",$A$131)),0,GETPIVOTDATA("Somma di AVERE EUR",'Pivot RakBank AED'!$A$3,"Mese",3,"Tipologia",$A133,"Viaggio",$A$131))</f>
        <v>43.84</v>
      </c>
      <c r="F133" s="270">
        <f>IF(ISERROR(GETPIVOTDATA("Somma di DARE",'Pivot Fineco Sa'!$A$3,"Mese",4,"Tipologia",$A133,"Viaggio",$A$131)),0,GETPIVOTDATA("Somma di DARE",'Pivot Fineco Sa'!$A$3,"Mese",4,"Tipologia",$A133,"Viaggio",$A$131))
+IF(ISERROR(GETPIVOTDATA("Somma di DARE",'Pivot Fineco St'!$A$3,"Mese",4,"Tipologia",$A133,"Viaggio",$A$131)),0,GETPIVOTDATA("Somma di DARE",'Pivot Fineco St'!$A$3,"Mese",4,"Tipologia",$A133,"Viaggio",$A$131))
+IF(Contanti!$Q40='Conto Economico'!$A$131,Contanti!$N40)
+IF(ISERROR(GETPIVOTDATA("Somma di DARE",'Pivot BBVA'!$A$3,"Mese",4,"Tipologia",$A133,"Viaggio",$A$131)),0,GETPIVOTDATA("Somma di DARE",'Pivot BBVA'!$A$3,"Mese",4,"Tipologia",$A133,"Viaggio",$A$131))
+IF(ISERROR(GETPIVOTDATA("Somma di DARE",'Pivot Amex'!$A$3,"Mese",4,"Tipologia",$A133,"Viaggio",$A$131)),0,GETPIVOTDATA("Somma di DARE",'Pivot Amex'!$A$3,"Mese",4,"Tipologia",$A133,"Viaggio",$A$131))
-IF(ISERROR(GETPIVOTDATA("Somma di AVERE",'Pivot Amex'!$A$3,"Mese",4,"Tipologia",$A133,"Viaggio",$A$131)),0,GETPIVOTDATA("Somma di AVERE",'Pivot Amex'!$A$3,"Mese",4,"Tipologia",$A133,"Viaggio",$A$131))
-IF(ISERROR(GETPIVOTDATA("Somma di AVERE",'Pivot BBVA'!$A$3,"Mese",4,"Tipologia",$A133,"Viaggio",$A$131)),0,GETPIVOTDATA("Somma di AVERE",'Pivot BBVA'!$A$3,"Mese",4,"Tipologia",$A133,"Viaggio",$A$131))
-IF(ISERROR(GETPIVOTDATA("Somma di AVERE",'Pivot Fineco St'!$A$3,"Mese",4,"Tipologia",$A133,"Viaggio",$A$131)),0,GETPIVOTDATA("Somma di AVERE",'Pivot Fineco St'!$A$3,"Mese",4,"Tipologia",$A133,"Viaggio",$A$131))
-IF(ISERROR(GETPIVOTDATA("Somma di AVERE",'Pivot Fineco Sa'!$A$3,"Mese",4,"Tipologia",$A133,"Viaggio",$A$131)),0,GETPIVOTDATA("Somma di AVERE",'Pivot Fineco Sa'!$A$3,"Mese",4,"Tipologia",$A133,"Viaggio",$A$131))
+IF(ISERROR(GETPIVOTDATA("Somma di DARE",'Pivot PP Visa'!$A$3,"Mese",4,"Tipologia",$A133,"Viaggio",$A$131)),0,GETPIVOTDATA("Somma di DARE",'Pivot PP Visa'!$A$3,"Mese",4,"Tipologia",$A133,"Viaggio",$A$131))
-IF(ISERROR(GETPIVOTDATA("Somma di AVERE",'Pivot PP Visa'!$A$3,"Mese",4,"Tipologia",$A133,"Viaggio",$A$131)),0,GETPIVOTDATA("Somma di AVERE",'Pivot PP Visa'!$A$3,"Mese",4,"Tipologia",$A133,"Viaggio",$A$131))
+IF(ISERROR(GETPIVOTDATA("Somma di DARE",'Pivot Revolut'!$A$3,"Mese",4,"Tipologia",$A133,"Viaggio",$A$131)),0,GETPIVOTDATA("Somma di DARE",'Pivot Revolut'!$A$3,"Mese",4,"Tipologia",$A133,"Viaggio",$A$131))
-IF(ISERROR(GETPIVOTDATA("Somma di AVERE",'Pivot Revolut'!$A$3,"Mese",4,"Tipologia",$A133,"Viaggio",$A$131)),0,GETPIVOTDATA("Somma di AVERE",'Pivot Revolut'!$A$3,"Mese",4,"Tipologia",$A133,"Viaggio",$A$131))
+IF(ISERROR(GETPIVOTDATA("Somma di DARE",'Pivot RakBank EUR'!$A$3,"Mese",4,"Tipologia",$A133,"Viaggio",$A$131)),0,GETPIVOTDATA("Somma di DARE",'Pivot RakBank EUR'!$A$3,"Mese",4,"Tipologia",$A133,"Viaggio",$A$131))
-IF(ISERROR(GETPIVOTDATA("Somma di AVERE",'Pivot RakBank EUR'!$A$3,"Mese",4,"Tipologia",$A133,"Viaggio",$A$131)),0,GETPIVOTDATA("Somma di AVERE",'Pivot RakBank EUR'!$A$3,"Mese",4,"Tipologia",$A133,"Viaggio",$A$131))
+IF(ISERROR(GETPIVOTDATA("Somma di DARE EUR",'Pivot RakBank AED'!$A$3,"Mese",4,"Tipologia",$A133,"Viaggio",$A$131)),0,GETPIVOTDATA("Somma di DARE EUR",'Pivot RakBank AED'!$A$3,"Mese",4,"Tipologia",$A133,"Viaggio",$A$131))
-IF(ISERROR(GETPIVOTDATA("Somma di AVERE EUR",'Pivot RakBank AED'!$A$3,"Mese",4,"Tipologia",$A133,"Viaggio",$A$131)),0,GETPIVOTDATA("Somma di AVERE EUR",'Pivot RakBank AED'!$A$3,"Mese",4,"Tipologia",$A133,"Viaggio",$A$131))</f>
        <v>9.77</v>
      </c>
      <c r="G133" s="270">
        <f>IF(ISERROR(GETPIVOTDATA("Somma di DARE",'Pivot Fineco Sa'!$A$3,"Mese",5,"Tipologia",$A133,"Viaggio",$A$131)),0,GETPIVOTDATA("Somma di DARE",'Pivot Fineco Sa'!$A$3,"Mese",5,"Tipologia",$A133,"Viaggio",$A$131))
+IF(ISERROR(GETPIVOTDATA("Somma di DARE",'Pivot Fineco St'!$A$3,"Mese",5,"Tipologia",$A133,"Viaggio",$A$131)),0,GETPIVOTDATA("Somma di DARE",'Pivot Fineco St'!$A$3,"Mese",5,"Tipologia",$A133,"Viaggio",$A$131))
+IF(Contanti!$U40='Conto Economico'!$A$131,Contanti!$R40)
+IF(ISERROR(GETPIVOTDATA("Somma di DARE",'Pivot BBVA'!$A$3,"Mese",5,"Tipologia",$A133,"Viaggio",$A$131)),0,GETPIVOTDATA("Somma di DARE",'Pivot BBVA'!$A$3,"Mese",5,"Tipologia",$A133,"Viaggio",$A$131))
+IF(ISERROR(GETPIVOTDATA("Somma di DARE",'Pivot Amex'!$A$3,"Mese",5,"Tipologia",$A133,"Viaggio",$A$131)),0,GETPIVOTDATA("Somma di DARE",'Pivot Amex'!$A$3,"Mese",5,"Tipologia",$A133,"Viaggio",$A$131))
-IF(ISERROR(GETPIVOTDATA("Somma di AVERE",'Pivot Amex'!$A$3,"Mese",5,"Tipologia",$A133,"Viaggio",$A$131)),0,GETPIVOTDATA("Somma di AVERE",'Pivot Amex'!$A$3,"Mese",5,"Tipologia",$A133,"Viaggio",$A$131))
-IF(ISERROR(GETPIVOTDATA("Somma di AVERE",'Pivot BBVA'!$A$3,"Mese",5,"Tipologia",$A133,"Viaggio",$A$131)),0,GETPIVOTDATA("Somma di AVERE",'Pivot BBVA'!$A$3,"Mese",5,"Tipologia",$A133,"Viaggio",$A$131))
-IF(ISERROR(GETPIVOTDATA("Somma di AVERE",'Pivot Fineco St'!$A$3,"Mese",5,"Tipologia",$A133,"Viaggio",$A$131)),0,GETPIVOTDATA("Somma di AVERE",'Pivot Fineco St'!$A$3,"Mese",5,"Tipologia",$A133,"Viaggio",$A$131))
-IF(ISERROR(GETPIVOTDATA("Somma di AVERE",'Pivot Fineco Sa'!$A$3,"Mese",5,"Tipologia",$A133,"Viaggio",$A$131)),0,GETPIVOTDATA("Somma di AVERE",'Pivot Fineco Sa'!$A$3,"Mese",5,"Tipologia",$A133,"Viaggio",$A$131))
+IF(ISERROR(GETPIVOTDATA("Somma di DARE",'Pivot PP Visa'!$A$3,"Mese",5,"Tipologia",$A133,"Viaggio",$A$131)),0,GETPIVOTDATA("Somma di DARE",'Pivot PP Visa'!$A$3,"Mese",5,"Tipologia",$A133,"Viaggio",$A$131))
-IF(ISERROR(GETPIVOTDATA("Somma di AVERE",'Pivot PP Visa'!$A$3,"Mese",5,"Tipologia",$A133,"Viaggio",$A$131)),0,GETPIVOTDATA("Somma di AVERE",'Pivot PP Visa'!$A$3,"Mese",5,"Tipologia",$A133,"Viaggio",$A$131))
+IF(ISERROR(GETPIVOTDATA("Somma di DARE",'Pivot Revolut'!$A$3,"Mese",5,"Tipologia",$A133,"Viaggio",$A$131)),0,GETPIVOTDATA("Somma di DARE",'Pivot Revolut'!$A$3,"Mese",5,"Tipologia",$A133,"Viaggio",$A$131))
-IF(ISERROR(GETPIVOTDATA("Somma di AVERE",'Pivot Revolut'!$A$3,"Mese",5,"Tipologia",$A133,"Viaggio",$A$131)),0,GETPIVOTDATA("Somma di AVERE",'Pivot Revolut'!$A$3,"Mese",5,"Tipologia",$A133,"Viaggio",$A$131))
+IF(ISERROR(GETPIVOTDATA("Somma di DARE",'Pivot RakBank EUR'!$A$3,"Mese",5,"Tipologia",$A133,"Viaggio",$A$131)),0,GETPIVOTDATA("Somma di DARE",'Pivot RakBank EUR'!$A$3,"Mese",5,"Tipologia",$A133,"Viaggio",$A$131))
-IF(ISERROR(GETPIVOTDATA("Somma di AVERE",'Pivot RakBank EUR'!$A$3,"Mese",5,"Tipologia",$A133,"Viaggio",$A$131)),0,GETPIVOTDATA("Somma di AVERE",'Pivot RakBank EUR'!$A$3,"Mese",5,"Tipologia",$A133,"Viaggio",$A$131))
+IF(ISERROR(GETPIVOTDATA("Somma di DARE EUR",'Pivot RakBank AED'!$A$3,"Mese",5,"Tipologia",$A133,"Viaggio",$A$131)),0,GETPIVOTDATA("Somma di DARE EUR",'Pivot RakBank AED'!$A$3,"Mese",5,"Tipologia",$A133,"Viaggio",$A$131))
-IF(ISERROR(GETPIVOTDATA("Somma di AVERE EUR",'Pivot RakBank AED'!$A$3,"Mese",5,"Tipologia",$A133,"Viaggio",$A$131)),0,GETPIVOTDATA("Somma di AVERE EUR",'Pivot RakBank AED'!$A$3,"Mese",5,"Tipologia",$A133,"Viaggio",$A$131))</f>
        <v>0</v>
      </c>
      <c r="H133" s="270">
        <f>IF(ISERROR(GETPIVOTDATA("Somma di DARE",'Pivot Fineco Sa'!$A$3,"Mese",6,"Tipologia",$A133,"Viaggio",$A$131)),0,GETPIVOTDATA("Somma di DARE",'Pivot Fineco Sa'!$A$3,"Mese",6,"Tipologia",$A133,"Viaggio",$A$131))
+IF(ISERROR(GETPIVOTDATA("Somma di DARE",'Pivot Fineco St'!$A$3,"Mese",6,"Tipologia",$A133,"Viaggio",$A$131)),0,GETPIVOTDATA("Somma di DARE",'Pivot Fineco St'!$A$3,"Mese",6,"Tipologia",$A133,"Viaggio",$A$131))
+IF(Contanti!$Y40='Conto Economico'!$A$131,Contanti!$V40)
+IF(ISERROR(GETPIVOTDATA("Somma di DARE",'Pivot BBVA'!$A$3,"Mese",6,"Tipologia",$A133,"Viaggio",$A$131)),0,GETPIVOTDATA("Somma di DARE",'Pivot BBVA'!$A$3,"Mese",6,"Tipologia",$A133,"Viaggio",$A$131))
+IF(ISERROR(GETPIVOTDATA("Somma di DARE",'Pivot Amex'!$A$3,"Mese",6,"Tipologia",$A133,"Viaggio",$A$131)),0,GETPIVOTDATA("Somma di DARE",'Pivot Amex'!$A$3,"Mese",6,"Tipologia",$A133,"Viaggio",$A$131))
-IF(ISERROR(GETPIVOTDATA("Somma di AVERE",'Pivot Amex'!$A$3,"Mese",6,"Tipologia",$A133,"Viaggio",$A$131)),0,GETPIVOTDATA("Somma di AVERE",'Pivot Amex'!$A$3,"Mese",6,"Tipologia",$A133,"Viaggio",$A$131))
-IF(ISERROR(GETPIVOTDATA("Somma di AVERE",'Pivot BBVA'!$A$3,"Mese",6,"Tipologia",$A133,"Viaggio",$A$131)),0,GETPIVOTDATA("Somma di AVERE",'Pivot BBVA'!$A$3,"Mese",6,"Tipologia",$A133,"Viaggio",$A$131))
-IF(ISERROR(GETPIVOTDATA("Somma di AVERE",'Pivot Fineco St'!$A$3,"Mese",6,"Tipologia",$A133,"Viaggio",$A$131)),0,GETPIVOTDATA("Somma di AVERE",'Pivot Fineco St'!$A$3,"Mese",6,"Tipologia",$A133,"Viaggio",$A$131))
-IF(ISERROR(GETPIVOTDATA("Somma di AVERE",'Pivot Fineco Sa'!$A$3,"Mese",6,"Tipologia",$A133,"Viaggio",$A$131)),0,GETPIVOTDATA("Somma di AVERE",'Pivot Fineco Sa'!$A$3,"Mese",6,"Tipologia",$A133,"Viaggio",$A$131))
+IF(ISERROR(GETPIVOTDATA("Somma di DARE",'Pivot PP Visa'!$A$3,"Mese",6,"Tipologia",$A133,"Viaggio",$A$131)),0,GETPIVOTDATA("Somma di DARE",'Pivot PP Visa'!$A$3,"Mese",6,"Tipologia",$A133,"Viaggio",$A$131))
-IF(ISERROR(GETPIVOTDATA("Somma di AVERE",'Pivot PP Visa'!$A$3,"Mese",6,"Tipologia",$A133,"Viaggio",$A$131)),0,GETPIVOTDATA("Somma di AVERE",'Pivot PP Visa'!$A$3,"Mese",6,"Tipologia",$A133,"Viaggio",$A$131))
+IF(ISERROR(GETPIVOTDATA("Somma di DARE",'Pivot Revolut'!$A$3,"Mese",6,"Tipologia",$A133,"Viaggio",$A$131)),0,GETPIVOTDATA("Somma di DARE",'Pivot Revolut'!$A$3,"Mese",6,"Tipologia",$A133,"Viaggio",$A$131))
-IF(ISERROR(GETPIVOTDATA("Somma di AVERE",'Pivot Revolut'!$A$3,"Mese",6,"Tipologia",$A133,"Viaggio",$A$131)),0,GETPIVOTDATA("Somma di AVERE",'Pivot Revolut'!$A$3,"Mese",6,"Tipologia",$A133,"Viaggio",$A$131))
+IF(ISERROR(GETPIVOTDATA("Somma di DARE",'Pivot RakBank EUR'!$A$3,"Mese",6,"Tipologia",$A133,"Viaggio",$A$131)),0,GETPIVOTDATA("Somma di DARE",'Pivot RakBank EUR'!$A$3,"Mese",6,"Tipologia",$A133,"Viaggio",$A$131))
-IF(ISERROR(GETPIVOTDATA("Somma di AVERE",'Pivot RakBank EUR'!$A$3,"Mese",6,"Tipologia",$A133,"Viaggio",$A$131)),0,GETPIVOTDATA("Somma di AVERE",'Pivot RakBank EUR'!$A$3,"Mese",6,"Tipologia",$A133,"Viaggio",$A$131))
+IF(ISERROR(GETPIVOTDATA("Somma di DARE EUR",'Pivot RakBank AED'!$A$3,"Mese",6,"Tipologia",$A133,"Viaggio",$A$131)),0,GETPIVOTDATA("Somma di DARE EUR",'Pivot RakBank AED'!$A$3,"Mese",6,"Tipologia",$A133,"Viaggio",$A$131))
-IF(ISERROR(GETPIVOTDATA("Somma di AVERE EUR",'Pivot RakBank AED'!$A$3,"Mese",6,"Tipologia",$A133,"Viaggio",$A$131)),0,GETPIVOTDATA("Somma di AVERE EUR",'Pivot RakBank AED'!$A$3,"Mese",6,"Tipologia",$A133,"Viaggio",$A$131))</f>
        <v>0</v>
      </c>
      <c r="I133" s="270">
        <f>IF(ISERROR(GETPIVOTDATA("Somma di DARE",'Pivot Fineco Sa'!$A$3,"Mese",7,"Tipologia",$A133,"Viaggio",$A$131)),0,GETPIVOTDATA("Somma di DARE",'Pivot Fineco Sa'!$A$3,"Mese",7,"Tipologia",$A133,"Viaggio",$A$131))
+IF(ISERROR(GETPIVOTDATA("Somma di DARE",'Pivot Fineco St'!$A$3,"Mese",7,"Tipologia",$A133,"Viaggio",$A$131)),0,GETPIVOTDATA("Somma di DARE",'Pivot Fineco St'!$A$3,"Mese",7,"Tipologia",$A133,"Viaggio",$A$131))
+IF(Contanti!$AC40='Conto Economico'!$A$131,Contanti!$Z40)
+IF(ISERROR(GETPIVOTDATA("Somma di DARE",'Pivot BBVA'!$A$3,"Mese",7,"Tipologia",$A133,"Viaggio",$A$131)),0,GETPIVOTDATA("Somma di DARE",'Pivot BBVA'!$A$3,"Mese",7,"Tipologia",$A133,"Viaggio",$A$131))
+IF(ISERROR(GETPIVOTDATA("Somma di DARE",'Pivot Amex'!$A$3,"Mese",7,"Tipologia",$A133,"Viaggio",$A$131)),0,GETPIVOTDATA("Somma di DARE",'Pivot Amex'!$A$3,"Mese",7,"Tipologia",$A133,"Viaggio",$A$131))
-IF(ISERROR(GETPIVOTDATA("Somma di AVERE",'Pivot Amex'!$A$3,"Mese",7,"Tipologia",$A133,"Viaggio",$A$131)),0,GETPIVOTDATA("Somma di AVERE",'Pivot Amex'!$A$3,"Mese",7,"Tipologia",$A133,"Viaggio",$A$131))
-IF(ISERROR(GETPIVOTDATA("Somma di AVERE",'Pivot BBVA'!$A$3,"Mese",7,"Tipologia",$A133,"Viaggio",$A$131)),0,GETPIVOTDATA("Somma di AVERE",'Pivot BBVA'!$A$3,"Mese",7,"Tipologia",$A133,"Viaggio",$A$131))
-IF(ISERROR(GETPIVOTDATA("Somma di AVERE",'Pivot Fineco St'!$A$3,"Mese",7,"Tipologia",$A133,"Viaggio",$A$131)),0,GETPIVOTDATA("Somma di AVERE",'Pivot Fineco St'!$A$3,"Mese",7,"Tipologia",$A133,"Viaggio",$A$131))
-IF(ISERROR(GETPIVOTDATA("Somma di AVERE",'Pivot Fineco Sa'!$A$3,"Mese",7,"Tipologia",$A133,"Viaggio",$A$131)),0,GETPIVOTDATA("Somma di AVERE",'Pivot Fineco Sa'!$A$3,"Mese",7,"Tipologia",$A133,"Viaggio",$A$131))
+IF(ISERROR(GETPIVOTDATA("Somma di DARE",'Pivot PP Visa'!$A$3,"Mese",7,"Tipologia",$A133,"Viaggio",$A$131)),0,GETPIVOTDATA("Somma di DARE",'Pivot PP Visa'!$A$3,"Mese",7,"Tipologia",$A133,"Viaggio",$A$131))
-IF(ISERROR(GETPIVOTDATA("Somma di AVERE",'Pivot PP Visa'!$A$3,"Mese",7,"Tipologia",$A133,"Viaggio",$A$131)),0,GETPIVOTDATA("Somma di AVERE",'Pivot PP Visa'!$A$3,"Mese",7,"Tipologia",$A133,"Viaggio",$A$131))
+IF(ISERROR(GETPIVOTDATA("Somma di DARE",'Pivot Revolut'!$A$3,"Mese",7,"Tipologia",$A133,"Viaggio",$A$131)),0,GETPIVOTDATA("Somma di DARE",'Pivot Revolut'!$A$3,"Mese",7,"Tipologia",$A133,"Viaggio",$A$131))
-IF(ISERROR(GETPIVOTDATA("Somma di AVERE",'Pivot Revolut'!$A$3,"Mese",7,"Tipologia",$A133,"Viaggio",$A$131)),0,GETPIVOTDATA("Somma di AVERE",'Pivot Revolut'!$A$3,"Mese",7,"Tipologia",$A133,"Viaggio",$A$131))
+IF(ISERROR(GETPIVOTDATA("Somma di DARE",'Pivot RakBank EUR'!$A$3,"Mese",7,"Tipologia",$A133,"Viaggio",$A$131)),0,GETPIVOTDATA("Somma di DARE",'Pivot RakBank EUR'!$A$3,"Mese",7,"Tipologia",$A133,"Viaggio",$A$131))
-IF(ISERROR(GETPIVOTDATA("Somma di AVERE",'Pivot RakBank EUR'!$A$3,"Mese",7,"Tipologia",$A133,"Viaggio",$A$131)),0,GETPIVOTDATA("Somma di AVERE",'Pivot RakBank EUR'!$A$3,"Mese",7,"Tipologia",$A133,"Viaggio",$A$131))
+IF(ISERROR(GETPIVOTDATA("Somma di DARE EUR",'Pivot RakBank AED'!$A$3,"Mese",7,"Tipologia",$A133,"Viaggio",$A$131)),0,GETPIVOTDATA("Somma di DARE EUR",'Pivot RakBank AED'!$A$3,"Mese",7,"Tipologia",$A133,"Viaggio",$A$131))
-IF(ISERROR(GETPIVOTDATA("Somma di AVERE EUR",'Pivot RakBank AED'!$A$3,"Mese",7,"Tipologia",$A133,"Viaggio",$A$131)),0,GETPIVOTDATA("Somma di AVERE EUR",'Pivot RakBank AED'!$A$3,"Mese",7,"Tipologia",$A133,"Viaggio",$A$131))</f>
        <v>0</v>
      </c>
      <c r="J133" s="270">
        <f>IF(ISERROR(GETPIVOTDATA("Somma di DARE",'Pivot Fineco Sa'!$A$3,"Mese",8,"Tipologia",$A133,"Viaggio",$A$131)),0,GETPIVOTDATA("Somma di DARE",'Pivot Fineco Sa'!$A$3,"Mese",8,"Tipologia",$A133,"Viaggio",$A$131))
+IF(ISERROR(GETPIVOTDATA("Somma di DARE",'Pivot Fineco St'!$A$3,"Mese",8,"Tipologia",$A133,"Viaggio",$A$131)),0,GETPIVOTDATA("Somma di DARE",'Pivot Fineco St'!$A$3,"Mese",8,"Tipologia",$A133,"Viaggio",$A$131))
+IF(Contanti!$AG40='Conto Economico'!$A$131,Contanti!$AD40)
+IF(ISERROR(GETPIVOTDATA("Somma di DARE",'Pivot BBVA'!$A$3,"Mese",8,"Tipologia",$A133,"Viaggio",$A$131)),0,GETPIVOTDATA("Somma di DARE",'Pivot BBVA'!$A$3,"Mese",8,"Tipologia",$A133,"Viaggio",$A$131))
+IF(ISERROR(GETPIVOTDATA("Somma di DARE",'Pivot Amex'!$A$3,"Mese",8,"Tipologia",$A133,"Viaggio",$A$131)),0,GETPIVOTDATA("Somma di DARE",'Pivot Amex'!$A$3,"Mese",8,"Tipologia",$A133,"Viaggio",$A$131))
-IF(ISERROR(GETPIVOTDATA("Somma di AVERE",'Pivot Amex'!$A$3,"Mese",8,"Tipologia",$A133,"Viaggio",$A$131)),0,GETPIVOTDATA("Somma di AVERE",'Pivot Amex'!$A$3,"Mese",8,"Tipologia",$A133,"Viaggio",$A$131))
-IF(ISERROR(GETPIVOTDATA("Somma di AVERE",'Pivot BBVA'!$A$3,"Mese",8,"Tipologia",$A133,"Viaggio",$A$131)),0,GETPIVOTDATA("Somma di AVERE",'Pivot BBVA'!$A$3,"Mese",8,"Tipologia",$A133,"Viaggio",$A$131))
-IF(ISERROR(GETPIVOTDATA("Somma di AVERE",'Pivot Fineco St'!$A$3,"Mese",8,"Tipologia",$A133,"Viaggio",$A$131)),0,GETPIVOTDATA("Somma di AVERE",'Pivot Fineco St'!$A$3,"Mese",8,"Tipologia",$A133,"Viaggio",$A$131))
-IF(ISERROR(GETPIVOTDATA("Somma di AVERE",'Pivot Fineco Sa'!$A$3,"Mese",8,"Tipologia",$A133,"Viaggio",$A$131)),0,GETPIVOTDATA("Somma di AVERE",'Pivot Fineco Sa'!$A$3,"Mese",8,"Tipologia",$A133,"Viaggio",$A$131))
+IF(ISERROR(GETPIVOTDATA("Somma di DARE",'Pivot PP Visa'!$A$3,"Mese",8,"Tipologia",$A133,"Viaggio",$A$131)),0,GETPIVOTDATA("Somma di DARE",'Pivot PP Visa'!$A$3,"Mese",8,"Tipologia",$A133,"Viaggio",$A$131))
-IF(ISERROR(GETPIVOTDATA("Somma di AVERE",'Pivot PP Visa'!$A$3,"Mese",8,"Tipologia",$A133,"Viaggio",$A$131)),0,GETPIVOTDATA("Somma di AVERE",'Pivot PP Visa'!$A$3,"Mese",8,"Tipologia",$A133,"Viaggio",$A$131))
+IF(ISERROR(GETPIVOTDATA("Somma di DARE",'Pivot Revolut'!$A$3,"Mese",8,"Tipologia",$A133,"Viaggio",$A$131)),0,GETPIVOTDATA("Somma di DARE",'Pivot Revolut'!$A$3,"Mese",8,"Tipologia",$A133,"Viaggio",$A$131))
-IF(ISERROR(GETPIVOTDATA("Somma di AVERE",'Pivot Revolut'!$A$3,"Mese",8,"Tipologia",$A133,"Viaggio",$A$131)),0,GETPIVOTDATA("Somma di AVERE",'Pivot Revolut'!$A$3,"Mese",8,"Tipologia",$A133,"Viaggio",$A$131))
+IF(ISERROR(GETPIVOTDATA("Somma di DARE",'Pivot RakBank EUR'!$A$3,"Mese",8,"Tipologia",$A133,"Viaggio",$A$131)),0,GETPIVOTDATA("Somma di DARE",'Pivot RakBank EUR'!$A$3,"Mese",8,"Tipologia",$A133,"Viaggio",$A$131))
-IF(ISERROR(GETPIVOTDATA("Somma di AVERE",'Pivot RakBank EUR'!$A$3,"Mese",8,"Tipologia",$A133,"Viaggio",$A$131)),0,GETPIVOTDATA("Somma di AVERE",'Pivot RakBank EUR'!$A$3,"Mese",8,"Tipologia",$A133,"Viaggio",$A$131))
+IF(ISERROR(GETPIVOTDATA("Somma di DARE EUR",'Pivot RakBank AED'!$A$3,"Mese",8,"Tipologia",$A133,"Viaggio",$A$131)),0,GETPIVOTDATA("Somma di DARE EUR",'Pivot RakBank AED'!$A$3,"Mese",8,"Tipologia",$A133,"Viaggio",$A$131))
-IF(ISERROR(GETPIVOTDATA("Somma di AVERE EUR",'Pivot RakBank AED'!$A$3,"Mese",8,"Tipologia",$A133,"Viaggio",$A$131)),0,GETPIVOTDATA("Somma di AVERE EUR",'Pivot RakBank AED'!$A$3,"Mese",8,"Tipologia",$A133,"Viaggio",$A$131))</f>
        <v>0</v>
      </c>
      <c r="K133" s="270">
        <f>IF(ISERROR(GETPIVOTDATA("Somma di DARE",'Pivot Fineco Sa'!$A$3,"Mese",9,"Tipologia",$A133,"Viaggio",$A$131)),0,GETPIVOTDATA("Somma di DARE",'Pivot Fineco Sa'!$A$3,"Mese",9,"Tipologia",$A133,"Viaggio",$A$131))
+IF(ISERROR(GETPIVOTDATA("Somma di DARE",'Pivot Fineco St'!$A$3,"Mese",9,"Tipologia",$A133,"Viaggio",$A$131)),0,GETPIVOTDATA("Somma di DARE",'Pivot Fineco St'!$A$3,"Mese",9,"Tipologia",$A133,"Viaggio",$A$131))
+IF(Contanti!$AK40='Conto Economico'!$A$131,Contanti!$AH40)
+IF(ISERROR(GETPIVOTDATA("Somma di DARE",'Pivot BBVA'!$A$3,"Mese",9,"Tipologia",$A133,"Viaggio",$A$131)),0,GETPIVOTDATA("Somma di DARE",'Pivot BBVA'!$A$3,"Mese",9,"Tipologia",$A133,"Viaggio",$A$131))
+IF(ISERROR(GETPIVOTDATA("Somma di DARE",'Pivot Amex'!$A$3,"Mese",9,"Tipologia",$A133,"Viaggio",$A$131)),0,GETPIVOTDATA("Somma di DARE",'Pivot Amex'!$A$3,"Mese",9,"Tipologia",$A133,"Viaggio",$A$131))
-IF(ISERROR(GETPIVOTDATA("Somma di AVERE",'Pivot Amex'!$A$3,"Mese",9,"Tipologia",$A133,"Viaggio",$A$131)),0,GETPIVOTDATA("Somma di AVERE",'Pivot Amex'!$A$3,"Mese",9,"Tipologia",$A133,"Viaggio",$A$131))
-IF(ISERROR(GETPIVOTDATA("Somma di AVERE",'Pivot BBVA'!$A$3,"Mese",9,"Tipologia",$A133,"Viaggio",$A$131)),0,GETPIVOTDATA("Somma di AVERE",'Pivot BBVA'!$A$3,"Mese",9,"Tipologia",$A133,"Viaggio",$A$131))
-IF(ISERROR(GETPIVOTDATA("Somma di AVERE",'Pivot Fineco St'!$A$3,"Mese",9,"Tipologia",$A133,"Viaggio",$A$131)),0,GETPIVOTDATA("Somma di AVERE",'Pivot Fineco St'!$A$3,"Mese",9,"Tipologia",$A133,"Viaggio",$A$131))
-IF(ISERROR(GETPIVOTDATA("Somma di AVERE",'Pivot Fineco Sa'!$A$3,"Mese",9,"Tipologia",$A133,"Viaggio",$A$131)),0,GETPIVOTDATA("Somma di AVERE",'Pivot Fineco Sa'!$A$3,"Mese",9,"Tipologia",$A133,"Viaggio",$A$131))
+IF(ISERROR(GETPIVOTDATA("Somma di DARE",'Pivot PP Visa'!$A$3,"Mese",9,"Tipologia",$A133,"Viaggio",$A$131)),0,GETPIVOTDATA("Somma di DARE",'Pivot PP Visa'!$A$3,"Mese",9,"Tipologia",$A133,"Viaggio",$A$131))
-IF(ISERROR(GETPIVOTDATA("Somma di AVERE",'Pivot PP Visa'!$A$3,"Mese",9,"Tipologia",$A133,"Viaggio",$A$131)),0,GETPIVOTDATA("Somma di AVERE",'Pivot PP Visa'!$A$3,"Mese",9,"Tipologia",$A133,"Viaggio",$A$131))
+IF(ISERROR(GETPIVOTDATA("Somma di DARE",'Pivot Revolut'!$A$3,"Mese",9,"Tipologia",$A133,"Viaggio",$A$131)),0,GETPIVOTDATA("Somma di DARE",'Pivot Revolut'!$A$3,"Mese",9,"Tipologia",$A133,"Viaggio",$A$131))
-IF(ISERROR(GETPIVOTDATA("Somma di AVERE",'Pivot Revolut'!$A$3,"Mese",9,"Tipologia",$A133,"Viaggio",$A$131)),0,GETPIVOTDATA("Somma di AVERE",'Pivot Revolut'!$A$3,"Mese",9,"Tipologia",$A133,"Viaggio",$A$131))
+IF(ISERROR(GETPIVOTDATA("Somma di DARE",'Pivot RakBank EUR'!$A$3,"Mese",9,"Tipologia",$A133,"Viaggio",$A$131)),0,GETPIVOTDATA("Somma di DARE",'Pivot RakBank EUR'!$A$3,"Mese",9,"Tipologia",$A133,"Viaggio",$A$131))
-IF(ISERROR(GETPIVOTDATA("Somma di AVERE",'Pivot RakBank EUR'!$A$3,"Mese",9,"Tipologia",$A133,"Viaggio",$A$131)),0,GETPIVOTDATA("Somma di AVERE",'Pivot RakBank EUR'!$A$3,"Mese",9,"Tipologia",$A133,"Viaggio",$A$131))
+IF(ISERROR(GETPIVOTDATA("Somma di DARE EUR",'Pivot RakBank AED'!$A$3,"Mese",9,"Tipologia",$A133,"Viaggio",$A$131)),0,GETPIVOTDATA("Somma di DARE EUR",'Pivot RakBank AED'!$A$3,"Mese",9,"Tipologia",$A133,"Viaggio",$A$131))
-IF(ISERROR(GETPIVOTDATA("Somma di AVERE EUR",'Pivot RakBank AED'!$A$3,"Mese",9,"Tipologia",$A133,"Viaggio",$A$131)),0,GETPIVOTDATA("Somma di AVERE EUR",'Pivot RakBank AED'!$A$3,"Mese",9,"Tipologia",$A133,"Viaggio",$A$131))</f>
        <v>0</v>
      </c>
      <c r="L133" s="270">
        <f>IF(ISERROR(GETPIVOTDATA("Somma di DARE",'Pivot Fineco Sa'!$A$3,"Mese",10,"Tipologia",$A133,"Viaggio",$A$131)),0,GETPIVOTDATA("Somma di DARE",'Pivot Fineco Sa'!$A$3,"Mese",10,"Tipologia",$A133,"Viaggio",$A$131))
+IF(ISERROR(GETPIVOTDATA("Somma di DARE",'Pivot Fineco St'!$A$3,"Mese",10,"Tipologia",$A133,"Viaggio",$A$131)),0,GETPIVOTDATA("Somma di DARE",'Pivot Fineco St'!$A$3,"Mese",10,"Tipologia",$A133,"Viaggio",$A$131))
+IF(Contanti!$AO40='Conto Economico'!$A$131,Contanti!$AL40)
+IF(ISERROR(GETPIVOTDATA("Somma di DARE",'Pivot BBVA'!$A$3,"Mese",10,"Tipologia",$A133,"Viaggio",$A$131)),0,GETPIVOTDATA("Somma di DARE",'Pivot BBVA'!$A$3,"Mese",10,"Tipologia",$A133,"Viaggio",$A$131))
+IF(ISERROR(GETPIVOTDATA("Somma di DARE",'Pivot Amex'!$A$3,"Mese",10,"Tipologia",$A133,"Viaggio",$A$131)),0,GETPIVOTDATA("Somma di DARE",'Pivot Amex'!$A$3,"Mese",10,"Tipologia",$A133,"Viaggio",$A$131))
-IF(ISERROR(GETPIVOTDATA("Somma di AVERE",'Pivot Amex'!$A$3,"Mese",10,"Tipologia",$A133,"Viaggio",$A$131)),0,GETPIVOTDATA("Somma di AVERE",'Pivot Amex'!$A$3,"Mese",10,"Tipologia",$A133,"Viaggio",$A$131))
-IF(ISERROR(GETPIVOTDATA("Somma di AVERE",'Pivot BBVA'!$A$3,"Mese",10,"Tipologia",$A133,"Viaggio",$A$131)),0,GETPIVOTDATA("Somma di AVERE",'Pivot BBVA'!$A$3,"Mese",10,"Tipologia",$A133,"Viaggio",$A$131))
-IF(ISERROR(GETPIVOTDATA("Somma di AVERE",'Pivot Fineco St'!$A$3,"Mese",10,"Tipologia",$A133,"Viaggio",$A$131)),0,GETPIVOTDATA("Somma di AVERE",'Pivot Fineco St'!$A$3,"Mese",10,"Tipologia",$A133,"Viaggio",$A$131))
-IF(ISERROR(GETPIVOTDATA("Somma di AVERE",'Pivot Fineco Sa'!$A$3,"Mese",10,"Tipologia",$A133,"Viaggio",$A$131)),0,GETPIVOTDATA("Somma di AVERE",'Pivot Fineco Sa'!$A$3,"Mese",10,"Tipologia",$A133,"Viaggio",$A$131))
+IF(ISERROR(GETPIVOTDATA("Somma di DARE",'Pivot PP Visa'!$A$3,"Mese",10,"Tipologia",$A133,"Viaggio",$A$131)),0,GETPIVOTDATA("Somma di DARE",'Pivot PP Visa'!$A$3,"Mese",10,"Tipologia",$A133,"Viaggio",$A$131))
-IF(ISERROR(GETPIVOTDATA("Somma di AVERE",'Pivot PP Visa'!$A$3,"Mese",10,"Tipologia",$A133,"Viaggio",$A$131)),0,GETPIVOTDATA("Somma di AVERE",'Pivot PP Visa'!$A$3,"Mese",10,"Tipologia",$A133,"Viaggio",$A$131))
+IF(ISERROR(GETPIVOTDATA("Somma di DARE",'Pivot Revolut'!$A$3,"Mese",10,"Tipologia",$A133,"Viaggio",$A$131)),0,GETPIVOTDATA("Somma di DARE",'Pivot Revolut'!$A$3,"Mese",10,"Tipologia",$A133,"Viaggio",$A$131))
-IF(ISERROR(GETPIVOTDATA("Somma di AVERE",'Pivot Revolut'!$A$3,"Mese",10,"Tipologia",$A133,"Viaggio",$A$131)),0,GETPIVOTDATA("Somma di AVERE",'Pivot Revolut'!$A$3,"Mese",10,"Tipologia",$A133,"Viaggio",$A$131))
+IF(ISERROR(GETPIVOTDATA("Somma di DARE",'Pivot RakBank EUR'!$A$3,"Mese",10,"Tipologia",$A133,"Viaggio",$A$131)),0,GETPIVOTDATA("Somma di DARE",'Pivot RakBank EUR'!$A$3,"Mese",10,"Tipologia",$A133,"Viaggio",$A$131))
-IF(ISERROR(GETPIVOTDATA("Somma di AVERE",'Pivot RakBank EUR'!$A$3,"Mese",10,"Tipologia",$A133,"Viaggio",$A$131)),0,GETPIVOTDATA("Somma di AVERE",'Pivot RakBank EUR'!$A$3,"Mese",10,"Tipologia",$A133,"Viaggio",$A$131))
+IF(ISERROR(GETPIVOTDATA("Somma di DARE EUR",'Pivot RakBank AED'!$A$3,"Mese",10,"Tipologia",$A133,"Viaggio",$A$131)),0,GETPIVOTDATA("Somma di DARE EUR",'Pivot RakBank AED'!$A$3,"Mese",10,"Tipologia",$A133,"Viaggio",$A$131))
-IF(ISERROR(GETPIVOTDATA("Somma di AVERE EUR",'Pivot RakBank AED'!$A$3,"Mese",10,"Tipologia",$A133,"Viaggio",$A$131)),0,GETPIVOTDATA("Somma di AVERE EUR",'Pivot RakBank AED'!$A$3,"Mese",10,"Tipologia",$A133,"Viaggio",$A$131))</f>
        <v>0</v>
      </c>
      <c r="M133" s="270">
        <f>IF(ISERROR(GETPIVOTDATA("Somma di DARE",'Pivot Fineco Sa'!$A$3,"Mese",11,"Tipologia",$A133,"Viaggio",$A$131)),0,GETPIVOTDATA("Somma di DARE",'Pivot Fineco Sa'!$A$3,"Mese",11,"Tipologia",$A133,"Viaggio",$A$131))
+IF(ISERROR(GETPIVOTDATA("Somma di DARE",'Pivot Fineco St'!$A$3,"Mese",11,"Tipologia",$A133,"Viaggio",$A$131)),0,GETPIVOTDATA("Somma di DARE",'Pivot Fineco St'!$A$3,"Mese",11,"Tipologia",$A133,"Viaggio",$A$131))
+IF(Contanti!$AS40='Conto Economico'!$A$131,Contanti!$AP40)
+IF(ISERROR(GETPIVOTDATA("Somma di DARE",'Pivot BBVA'!$A$3,"Mese",11,"Tipologia",$A133,"Viaggio",$A$131)),0,GETPIVOTDATA("Somma di DARE",'Pivot BBVA'!$A$3,"Mese",11,"Tipologia",$A133,"Viaggio",$A$131))
+IF(ISERROR(GETPIVOTDATA("Somma di DARE",'Pivot Amex'!$A$3,"Mese",11,"Tipologia",$A133,"Viaggio",$A$131)),0,GETPIVOTDATA("Somma di DARE",'Pivot Amex'!$A$3,"Mese",11,"Tipologia",$A133,"Viaggio",$A$131))
-IF(ISERROR(GETPIVOTDATA("Somma di AVERE",'Pivot Amex'!$A$3,"Mese",11,"Tipologia",$A133,"Viaggio",$A$131)),0,GETPIVOTDATA("Somma di AVERE",'Pivot Amex'!$A$3,"Mese",11,"Tipologia",$A133,"Viaggio",$A$131))
-IF(ISERROR(GETPIVOTDATA("Somma di AVERE",'Pivot BBVA'!$A$3,"Mese",11,"Tipologia",$A133,"Viaggio",$A$131)),0,GETPIVOTDATA("Somma di AVERE",'Pivot BBVA'!$A$3,"Mese",11,"Tipologia",$A133,"Viaggio",$A$131))
-IF(ISERROR(GETPIVOTDATA("Somma di AVERE",'Pivot Fineco St'!$A$3,"Mese",11,"Tipologia",$A133,"Viaggio",$A$131)),0,GETPIVOTDATA("Somma di AVERE",'Pivot Fineco St'!$A$3,"Mese",11,"Tipologia",$A133,"Viaggio",$A$131))
-IF(ISERROR(GETPIVOTDATA("Somma di AVERE",'Pivot Fineco Sa'!$A$3,"Mese",11,"Tipologia",$A133,"Viaggio",$A$131)),0,GETPIVOTDATA("Somma di AVERE",'Pivot Fineco Sa'!$A$3,"Mese",11,"Tipologia",$A133,"Viaggio",$A$131))
+IF(ISERROR(GETPIVOTDATA("Somma di DARE",'Pivot PP Visa'!$A$3,"Mese",11,"Tipologia",$A133,"Viaggio",$A$131)),0,GETPIVOTDATA("Somma di DARE",'Pivot PP Visa'!$A$3,"Mese",11,"Tipologia",$A133,"Viaggio",$A$131))
-IF(ISERROR(GETPIVOTDATA("Somma di AVERE",'Pivot PP Visa'!$A$3,"Mese",11,"Tipologia",$A133,"Viaggio",$A$131)),0,GETPIVOTDATA("Somma di AVERE",'Pivot PP Visa'!$A$3,"Mese",11,"Tipologia",$A133,"Viaggio",$A$131))
+IF(ISERROR(GETPIVOTDATA("Somma di DARE",'Pivot Revolut'!$A$3,"Mese",11,"Tipologia",$A133,"Viaggio",$A$131)),0,GETPIVOTDATA("Somma di DARE",'Pivot Revolut'!$A$3,"Mese",11,"Tipologia",$A133,"Viaggio",$A$131))
-IF(ISERROR(GETPIVOTDATA("Somma di AVERE",'Pivot Revolut'!$A$3,"Mese",11,"Tipologia",$A133,"Viaggio",$A$131)),0,GETPIVOTDATA("Somma di AVERE",'Pivot Revolut'!$A$3,"Mese",11,"Tipologia",$A133,"Viaggio",$A$131))
+IF(ISERROR(GETPIVOTDATA("Somma di DARE",'Pivot RakBank EUR'!$A$3,"Mese",11,"Tipologia",$A133,"Viaggio",$A$131)),0,GETPIVOTDATA("Somma di DARE",'Pivot RakBank EUR'!$A$3,"Mese",11,"Tipologia",$A133,"Viaggio",$A$131))
-IF(ISERROR(GETPIVOTDATA("Somma di AVERE",'Pivot RakBank EUR'!$A$3,"Mese",11,"Tipologia",$A133,"Viaggio",$A$131)),0,GETPIVOTDATA("Somma di AVERE",'Pivot RakBank EUR'!$A$3,"Mese",11,"Tipologia",$A133,"Viaggio",$A$131))
+IF(ISERROR(GETPIVOTDATA("Somma di DARE EUR",'Pivot RakBank AED'!$A$3,"Mese",11,"Tipologia",$A133,"Viaggio",$A$131)),0,GETPIVOTDATA("Somma di DARE EUR",'Pivot RakBank AED'!$A$3,"Mese",11,"Tipologia",$A133,"Viaggio",$A$131))
-IF(ISERROR(GETPIVOTDATA("Somma di AVERE EUR",'Pivot RakBank AED'!$A$3,"Mese",11,"Tipologia",$A133,"Viaggio",$A$131)),0,GETPIVOTDATA("Somma di AVERE EUR",'Pivot RakBank AED'!$A$3,"Mese",11,"Tipologia",$A133,"Viaggio",$A$131))</f>
        <v>0</v>
      </c>
      <c r="N133" s="270">
        <f>IF(ISERROR(GETPIVOTDATA("Somma di DARE",'Pivot Fineco Sa'!$A$3,"Mese",12,"Tipologia",$A133,"Viaggio",$A$131)),0,GETPIVOTDATA("Somma di DARE",'Pivot Fineco Sa'!$A$3,"Mese",12,"Tipologia",$A133,"Viaggio",$A$131))
+IF(ISERROR(GETPIVOTDATA("Somma di DARE",'Pivot Fineco St'!$A$3,"Mese",12,"Tipologia",$A133,"Viaggio",$A$131)),0,GETPIVOTDATA("Somma di DARE",'Pivot Fineco St'!$A$3,"Mese",12,"Tipologia",$A133,"Viaggio",$A$131))
+IF(Contanti!$AW40='Conto Economico'!$A$131,Contanti!$AT40)
+IF(ISERROR(GETPIVOTDATA("Somma di DARE",'Pivot BBVA'!$A$3,"Mese",12,"Tipologia",$A133,"Viaggio",$A$131)),0,GETPIVOTDATA("Somma di DARE",'Pivot BBVA'!$A$3,"Mese",12,"Tipologia",$A133,"Viaggio",$A$131))
+IF(ISERROR(GETPIVOTDATA("Somma di DARE",'Pivot Amex'!$A$3,"Mese",12,"Tipologia",$A133,"Viaggio",$A$131)),0,GETPIVOTDATA("Somma di DARE",'Pivot Amex'!$A$3,"Mese",12,"Tipologia",$A133,"Viaggio",$A$131))
-IF(ISERROR(GETPIVOTDATA("Somma di AVERE",'Pivot Amex'!$A$3,"Mese",12,"Tipologia",$A133,"Viaggio",$A$131)),0,GETPIVOTDATA("Somma di AVERE",'Pivot Amex'!$A$3,"Mese",12,"Tipologia",$A133,"Viaggio",$A$131))
-IF(ISERROR(GETPIVOTDATA("Somma di AVERE",'Pivot BBVA'!$A$3,"Mese",12,"Tipologia",$A133,"Viaggio",$A$131)),0,GETPIVOTDATA("Somma di AVERE",'Pivot BBVA'!$A$3,"Mese",12,"Tipologia",$A133,"Viaggio",$A$131))
-IF(ISERROR(GETPIVOTDATA("Somma di AVERE",'Pivot Fineco St'!$A$3,"Mese",12,"Tipologia",$A133,"Viaggio",$A$131)),0,GETPIVOTDATA("Somma di AVERE",'Pivot Fineco St'!$A$3,"Mese",12,"Tipologia",$A133,"Viaggio",$A$131))
-IF(ISERROR(GETPIVOTDATA("Somma di AVERE",'Pivot Fineco Sa'!$A$3,"Mese",12,"Tipologia",$A133,"Viaggio",$A$131)),0,GETPIVOTDATA("Somma di AVERE",'Pivot Fineco Sa'!$A$3,"Mese",12,"Tipologia",$A133,"Viaggio",$A$131))
+IF(ISERROR(GETPIVOTDATA("Somma di DARE",'Pivot PP Visa'!$A$3,"Mese",12,"Tipologia",$A133,"Viaggio",$A$131)),0,GETPIVOTDATA("Somma di DARE",'Pivot PP Visa'!$A$3,"Mese",12,"Tipologia",$A133,"Viaggio",$A$131))
-IF(ISERROR(GETPIVOTDATA("Somma di AVERE",'Pivot PP Visa'!$A$3,"Mese",12,"Tipologia",$A133,"Viaggio",$A$131)),0,GETPIVOTDATA("Somma di AVERE",'Pivot PP Visa'!$A$3,"Mese",12,"Tipologia",$A133,"Viaggio",$A$131))
+IF(ISERROR(GETPIVOTDATA("Somma di DARE",'Pivot Revolut'!$A$3,"Mese",12,"Tipologia",$A133,"Viaggio",$A$131)),0,GETPIVOTDATA("Somma di DARE",'Pivot Revolut'!$A$3,"Mese",12,"Tipologia",$A133,"Viaggio",$A$131))
-IF(ISERROR(GETPIVOTDATA("Somma di AVERE",'Pivot Revolut'!$A$3,"Mese",12,"Tipologia",$A133,"Viaggio",$A$131)),0,GETPIVOTDATA("Somma di AVERE",'Pivot Revolut'!$A$3,"Mese",12,"Tipologia",$A133,"Viaggio",$A$131))
+IF(ISERROR(GETPIVOTDATA("Somma di DARE",'Pivot RakBank EUR'!$A$3,"Mese",12,"Tipologia",$A133,"Viaggio",$A$131)),0,GETPIVOTDATA("Somma di DARE",'Pivot RakBank EUR'!$A$3,"Mese",12,"Tipologia",$A133,"Viaggio",$A$131))
-IF(ISERROR(GETPIVOTDATA("Somma di AVERE",'Pivot RakBank EUR'!$A$3,"Mese",12,"Tipologia",$A133,"Viaggio",$A$131)),0,GETPIVOTDATA("Somma di AVERE",'Pivot RakBank EUR'!$A$3,"Mese",12,"Tipologia",$A133,"Viaggio",$A$131))
+IF(ISERROR(GETPIVOTDATA("Somma di DARE EUR",'Pivot RakBank AED'!$A$3,"Mese",12,"Tipologia",$A133,"Viaggio",$A$131)),0,GETPIVOTDATA("Somma di DARE EUR",'Pivot RakBank AED'!$A$3,"Mese",12,"Tipologia",$A133,"Viaggio",$A$131))
-IF(ISERROR(GETPIVOTDATA("Somma di AVERE EUR",'Pivot RakBank AED'!$A$3,"Mese",12,"Tipologia",$A133,"Viaggio",$A$131)),0,GETPIVOTDATA("Somma di AVERE EUR",'Pivot RakBank AED'!$A$3,"Mese",12,"Tipologia",$A133,"Viaggio",$A$131))</f>
        <v>0</v>
      </c>
      <c r="O133" s="271">
        <f t="shared" ref="O133:O142" si="17">SUM(C133:N133)</f>
        <v>101.95</v>
      </c>
      <c r="P133" s="270"/>
    </row>
    <row r="134" spans="1:16" s="131" customFormat="1" ht="14" outlineLevel="1" x14ac:dyDescent="0.2">
      <c r="A134" s="269" t="s">
        <v>112</v>
      </c>
      <c r="B134" s="269"/>
      <c r="C134" s="270">
        <f>IF(ISERROR(GETPIVOTDATA("Somma di DARE",'Pivot Fineco Sa'!$A$3,"Mese",1,"Tipologia",$A134,"Viaggio",$A$131)),0,GETPIVOTDATA("Somma di DARE",'Pivot Fineco Sa'!$A$3,"Mese",1,"Tipologia",$A134,"Viaggio",$A$131))
+IF(ISERROR(GETPIVOTDATA("Somma di DARE",'Pivot Fineco St'!$A$3,"Mese",1,"Tipologia",$A134,"Viaggio",$A$131)),0,GETPIVOTDATA("Somma di DARE",'Pivot Fineco St'!$A$3,"Mese",1,"Tipologia",$A134,"Viaggio",$A$131))
+IF(Contanti!$E41='Conto Economico'!$A$131,Contanti!$B41)
+IF(ISERROR(GETPIVOTDATA("Somma di DARE",'Pivot BBVA'!$A$3,"Mese",1,"Tipologia",$A134,"Viaggio",$A$131)),0,GETPIVOTDATA("Somma di DARE",'Pivot BBVA'!$A$3,"Mese",1,"Tipologia",$A134,"Viaggio",$A$131))
+IF(ISERROR(GETPIVOTDATA("Somma di DARE",'Pivot Amex'!$A$3,"Mese",1,"Tipologia",$A134,"Viaggio",$A$131)),0,GETPIVOTDATA("Somma di DARE",'Pivot Amex'!$A$3,"Mese",1,"Tipologia",$A134,"Viaggio",$A$131))
-IF(ISERROR(GETPIVOTDATA("Somma di AVERE",'Pivot Amex'!$A$3,"Mese",1,"Tipologia",$A134,"Viaggio",$A$131)),0,GETPIVOTDATA("Somma di AVERE",'Pivot Amex'!$A$3,"Mese",1,"Tipologia",$A134,"Viaggio",$A$131))
-IF(ISERROR(GETPIVOTDATA("Somma di AVERE",'Pivot BBVA'!$A$3,"Mese",1,"Tipologia",$A134,"Viaggio",$A$131)),0,GETPIVOTDATA("Somma di AVERE",'Pivot BBVA'!$A$3,"Mese",1,"Tipologia",$A134,"Viaggio",$A$131))
-IF(ISERROR(GETPIVOTDATA("Somma di AVERE",'Pivot Fineco St'!$A$3,"Mese",1,"Tipologia",$A134,"Viaggio",$A$131)),0,GETPIVOTDATA("Somma di AVERE",'Pivot Fineco St'!$A$3,"Mese",1,"Tipologia",$A134,"Viaggio",$A$131))
-IF(ISERROR(GETPIVOTDATA("Somma di AVERE",'Pivot Fineco Sa'!$A$3,"Mese",1,"Tipologia",$A134,"Viaggio",$A$131)),0,GETPIVOTDATA("Somma di AVERE",'Pivot Fineco Sa'!$A$3,"Mese",1,"Tipologia",$A134,"Viaggio",$A$131))
+IF(ISERROR(GETPIVOTDATA("Somma di DARE",'Pivot PP Visa'!$A$3,"Mese",1,"Tipologia",$A134,"Viaggio",$A$131)),0,GETPIVOTDATA("Somma di DARE",'Pivot PP Visa'!$A$3,"Mese",1,"Tipologia",$A134,"Viaggio",$A$131))
-IF(ISERROR(GETPIVOTDATA("Somma di AVERE",'Pivot PP Visa'!$A$3,"Mese",1,"Tipologia",$A134,"Viaggio",$A$131)),0,GETPIVOTDATA("Somma di AVERE",'Pivot PP Visa'!$A$3,"Mese",1,"Tipologia",$A134,"Viaggio",$A$131))
+IF(ISERROR(GETPIVOTDATA("Somma di DARE",'Pivot Revolut'!$A$3,"Mese",1,"Tipologia",$A134,"Viaggio",$A$131)),0,GETPIVOTDATA("Somma di DARE",'Pivot Revolut'!$A$3,"Mese",1,"Tipologia",$A134,"Viaggio",$A$131))
-IF(ISERROR(GETPIVOTDATA("Somma di AVERE",'Pivot Revolut'!$A$3,"Mese",1,"Tipologia",$A134,"Viaggio",$A$131)),0,GETPIVOTDATA("Somma di AVERE",'Pivot Revolut'!$A$3,"Mese",1,"Tipologia",$A134,"Viaggio",$A$131))
+IF(ISERROR(GETPIVOTDATA("Somma di DARE",'Pivot RakBank EUR'!$A$3,"Mese",1,"Tipologia",$A134,"Viaggio",$A$131)),0,GETPIVOTDATA("Somma di DARE",'Pivot RakBank EUR'!$A$3,"Mese",1,"Tipologia",$A134,"Viaggio",$A$131))
-IF(ISERROR(GETPIVOTDATA("Somma di AVERE",'Pivot RakBank EUR'!$A$3,"Mese",1,"Tipologia",$A134,"Viaggio",$A$131)),0,GETPIVOTDATA("Somma di AVERE",'Pivot RakBank EUR'!$A$3,"Mese",1,"Tipologia",$A134,"Viaggio",$A$131))
+IF(ISERROR(GETPIVOTDATA("Somma di DARE EUR",'Pivot RakBank AED'!$A$3,"Mese",1,"Tipologia",$A134,"Viaggio",$A$131)),0,GETPIVOTDATA("Somma di DARE EUR",'Pivot RakBank AED'!$A$3,"Mese",1,"Tipologia",$A134,"Viaggio",$A$131))
-IF(ISERROR(GETPIVOTDATA("Somma di AVERE EUR",'Pivot RakBank AED'!$A$3,"Mese",1,"Tipologia",$A134,"Viaggio",$A$131)),0,GETPIVOTDATA("Somma di AVERE EUR",'Pivot RakBank AED'!$A$3,"Mese",1,"Tipologia",$A134,"Viaggio",$A$131))</f>
        <v>0</v>
      </c>
      <c r="D134" s="270">
        <f>IF(ISERROR(GETPIVOTDATA("Somma di DARE",'Pivot Fineco Sa'!$A$3,"Mese",2,"Tipologia",$A134,"Viaggio",$A$131)),0,GETPIVOTDATA("Somma di DARE",'Pivot Fineco Sa'!$A$3,"Mese",2,"Tipologia",$A134,"Viaggio",$A$131))
+IF(ISERROR(GETPIVOTDATA("Somma di DARE",'Pivot Fineco St'!$A$3,"Mese",2,"Tipologia",$A134,"Viaggio",$A$131)),0,GETPIVOTDATA("Somma di DARE",'Pivot Fineco St'!$A$3,"Mese",2,"Tipologia",$A134,"Viaggio",$A$131))
+IF(Contanti!$I41='Conto Economico'!$A$131,Contanti!$F41)
+IF(ISERROR(GETPIVOTDATA("Somma di DARE",'Pivot BBVA'!$A$3,"Mese",2,"Tipologia",$A134,"Viaggio",$A$131)),0,GETPIVOTDATA("Somma di DARE",'Pivot BBVA'!$A$3,"Mese",2,"Tipologia",$A134,"Viaggio",$A$131))
+IF(ISERROR(GETPIVOTDATA("Somma di DARE",'Pivot Amex'!$A$3,"Mese",2,"Tipologia",$A134,"Viaggio",$A$131)),0,GETPIVOTDATA("Somma di DARE",'Pivot Amex'!$A$3,"Mese",2,"Tipologia",$A134,"Viaggio",$A$131))
-IF(ISERROR(GETPIVOTDATA("Somma di AVERE",'Pivot Amex'!$A$3,"Mese",2,"Tipologia",$A134,"Viaggio",$A$131)),0,GETPIVOTDATA("Somma di AVERE",'Pivot Amex'!$A$3,"Mese",2,"Tipologia",$A134,"Viaggio",$A$131))
-IF(ISERROR(GETPIVOTDATA("Somma di AVERE",'Pivot BBVA'!$A$3,"Mese",2,"Tipologia",$A134,"Viaggio",$A$131)),0,GETPIVOTDATA("Somma di AVERE",'Pivot BBVA'!$A$3,"Mese",2,"Tipologia",$A134,"Viaggio",$A$131))
-IF(ISERROR(GETPIVOTDATA("Somma di AVERE",'Pivot Fineco St'!$A$3,"Mese",2,"Tipologia",$A134,"Viaggio",$A$131)),0,GETPIVOTDATA("Somma di AVERE",'Pivot Fineco St'!$A$3,"Mese",2,"Tipologia",$A134,"Viaggio",$A$131))
-IF(ISERROR(GETPIVOTDATA("Somma di AVERE",'Pivot Fineco Sa'!$A$3,"Mese",2,"Tipologia",$A134,"Viaggio",$A$131)),0,GETPIVOTDATA("Somma di AVERE",'Pivot Fineco Sa'!$A$3,"Mese",2,"Tipologia",$A134,"Viaggio",$A$131))
+IF(ISERROR(GETPIVOTDATA("Somma di DARE",'Pivot PP Visa'!$A$3,"Mese",2,"Tipologia",$A134,"Viaggio",$A$131)),0,GETPIVOTDATA("Somma di DARE",'Pivot PP Visa'!$A$3,"Mese",2,"Tipologia",$A134,"Viaggio",$A$131))
-IF(ISERROR(GETPIVOTDATA("Somma di AVERE",'Pivot PP Visa'!$A$3,"Mese",2,"Tipologia",$A134,"Viaggio",$A$131)),0,GETPIVOTDATA("Somma di AVERE",'Pivot PP Visa'!$A$3,"Mese",2,"Tipologia",$A134,"Viaggio",$A$131))
+IF(ISERROR(GETPIVOTDATA("Somma di DARE",'Pivot Revolut'!$A$3,"Mese",2,"Tipologia",$A134,"Viaggio",$A$131)),0,GETPIVOTDATA("Somma di DARE",'Pivot Revolut'!$A$3,"Mese",2,"Tipologia",$A134,"Viaggio",$A$131))
-IF(ISERROR(GETPIVOTDATA("Somma di AVERE",'Pivot Revolut'!$A$3,"Mese",2,"Tipologia",$A134,"Viaggio",$A$131)),0,GETPIVOTDATA("Somma di AVERE",'Pivot Revolut'!$A$3,"Mese",2,"Tipologia",$A134,"Viaggio",$A$131))
+IF(ISERROR(GETPIVOTDATA("Somma di DARE",'Pivot RakBank EUR'!$A$3,"Mese",2,"Tipologia",$A134,"Viaggio",$A$131)),0,GETPIVOTDATA("Somma di DARE",'Pivot RakBank EUR'!$A$3,"Mese",2,"Tipologia",$A134,"Viaggio",$A$131))
-IF(ISERROR(GETPIVOTDATA("Somma di AVERE",'Pivot RakBank EUR'!$A$3,"Mese",2,"Tipologia",$A134,"Viaggio",$A$131)),0,GETPIVOTDATA("Somma di AVERE",'Pivot RakBank EUR'!$A$3,"Mese",2,"Tipologia",$A134,"Viaggio",$A$131))
+IF(ISERROR(GETPIVOTDATA("Somma di DARE EUR",'Pivot RakBank AED'!$A$3,"Mese",2,"Tipologia",$A134,"Viaggio",$A$131)),0,GETPIVOTDATA("Somma di DARE EUR",'Pivot RakBank AED'!$A$3,"Mese",2,"Tipologia",$A134,"Viaggio",$A$131))
-IF(ISERROR(GETPIVOTDATA("Somma di AVERE EUR",'Pivot RakBank AED'!$A$3,"Mese",2,"Tipologia",$A134,"Viaggio",$A$131)),0,GETPIVOTDATA("Somma di AVERE EUR",'Pivot RakBank AED'!$A$3,"Mese",2,"Tipologia",$A134,"Viaggio",$A$131))</f>
        <v>30.09</v>
      </c>
      <c r="E134" s="270">
        <f>IF(ISERROR(GETPIVOTDATA("Somma di DARE",'Pivot Fineco Sa'!$A$3,"Mese",3,"Tipologia",$A134,"Viaggio",$A$131)),0,GETPIVOTDATA("Somma di DARE",'Pivot Fineco Sa'!$A$3,"Mese",3,"Tipologia",$A134,"Viaggio",$A$131))
+IF(ISERROR(GETPIVOTDATA("Somma di DARE",'Pivot Fineco St'!$A$3,"Mese",3,"Tipologia",$A134,"Viaggio",$A$131)),0,GETPIVOTDATA("Somma di DARE",'Pivot Fineco St'!$A$3,"Mese",3,"Tipologia",$A134,"Viaggio",$A$131))
+IF(Contanti!$M41='Conto Economico'!$A$131,Contanti!$J41)
+IF(ISERROR(GETPIVOTDATA("Somma di DARE",'Pivot BBVA'!$A$3,"Mese",3,"Tipologia",$A134,"Viaggio",$A$131)),0,GETPIVOTDATA("Somma di DARE",'Pivot BBVA'!$A$3,"Mese",3,"Tipologia",$A134,"Viaggio",$A$131))
+IF(ISERROR(GETPIVOTDATA("Somma di DARE",'Pivot Amex'!$A$3,"Mese",3,"Tipologia",$A134,"Viaggio",$A$131)),0,GETPIVOTDATA("Somma di DARE",'Pivot Amex'!$A$3,"Mese",3,"Tipologia",$A134,"Viaggio",$A$131))
-IF(ISERROR(GETPIVOTDATA("Somma di AVERE",'Pivot Amex'!$A$3,"Mese",3,"Tipologia",$A134,"Viaggio",$A$131)),0,GETPIVOTDATA("Somma di AVERE",'Pivot Amex'!$A$3,"Mese",3,"Tipologia",$A134,"Viaggio",$A$131))
-IF(ISERROR(GETPIVOTDATA("Somma di AVERE",'Pivot BBVA'!$A$3,"Mese",3,"Tipologia",$A134,"Viaggio",$A$131)),0,GETPIVOTDATA("Somma di AVERE",'Pivot BBVA'!$A$3,"Mese",3,"Tipologia",$A134,"Viaggio",$A$131))
-IF(ISERROR(GETPIVOTDATA("Somma di AVERE",'Pivot Fineco St'!$A$3,"Mese",3,"Tipologia",$A134,"Viaggio",$A$131)),0,GETPIVOTDATA("Somma di AVERE",'Pivot Fineco St'!$A$3,"Mese",3,"Tipologia",$A134,"Viaggio",$A$131))
-IF(ISERROR(GETPIVOTDATA("Somma di AVERE",'Pivot Fineco Sa'!$A$3,"Mese",3,"Tipologia",$A134,"Viaggio",$A$131)),0,GETPIVOTDATA("Somma di AVERE",'Pivot Fineco Sa'!$A$3,"Mese",3,"Tipologia",$A134,"Viaggio",$A$131))
+IF(ISERROR(GETPIVOTDATA("Somma di DARE",'Pivot PP Visa'!$A$3,"Mese",3,"Tipologia",$A134,"Viaggio",$A$131)),0,GETPIVOTDATA("Somma di DARE",'Pivot PP Visa'!$A$3,"Mese",3,"Tipologia",$A134,"Viaggio",$A$131))
-IF(ISERROR(GETPIVOTDATA("Somma di AVERE",'Pivot PP Visa'!$A$3,"Mese",3,"Tipologia",$A134,"Viaggio",$A$131)),0,GETPIVOTDATA("Somma di AVERE",'Pivot PP Visa'!$A$3,"Mese",3,"Tipologia",$A134,"Viaggio",$A$131))
+IF(ISERROR(GETPIVOTDATA("Somma di DARE",'Pivot Revolut'!$A$3,"Mese",3,"Tipologia",$A134,"Viaggio",$A$131)),0,GETPIVOTDATA("Somma di DARE",'Pivot Revolut'!$A$3,"Mese",3,"Tipologia",$A134,"Viaggio",$A$131))
-IF(ISERROR(GETPIVOTDATA("Somma di AVERE",'Pivot Revolut'!$A$3,"Mese",3,"Tipologia",$A134,"Viaggio",$A$131)),0,GETPIVOTDATA("Somma di AVERE",'Pivot Revolut'!$A$3,"Mese",3,"Tipologia",$A134,"Viaggio",$A$131))
+IF(ISERROR(GETPIVOTDATA("Somma di DARE",'Pivot RakBank EUR'!$A$3,"Mese",3,"Tipologia",$A134,"Viaggio",$A$131)),0,GETPIVOTDATA("Somma di DARE",'Pivot RakBank EUR'!$A$3,"Mese",3,"Tipologia",$A134,"Viaggio",$A$131))
-IF(ISERROR(GETPIVOTDATA("Somma di AVERE",'Pivot RakBank EUR'!$A$3,"Mese",3,"Tipologia",$A134,"Viaggio",$A$131)),0,GETPIVOTDATA("Somma di AVERE",'Pivot RakBank EUR'!$A$3,"Mese",3,"Tipologia",$A134,"Viaggio",$A$131))
+IF(ISERROR(GETPIVOTDATA("Somma di DARE EUR",'Pivot RakBank AED'!$A$3,"Mese",3,"Tipologia",$A134,"Viaggio",$A$131)),0,GETPIVOTDATA("Somma di DARE EUR",'Pivot RakBank AED'!$A$3,"Mese",3,"Tipologia",$A134,"Viaggio",$A$131))
-IF(ISERROR(GETPIVOTDATA("Somma di AVERE EUR",'Pivot RakBank AED'!$A$3,"Mese",3,"Tipologia",$A134,"Viaggio",$A$131)),0,GETPIVOTDATA("Somma di AVERE EUR",'Pivot RakBank AED'!$A$3,"Mese",3,"Tipologia",$A134,"Viaggio",$A$131))</f>
        <v>0</v>
      </c>
      <c r="F134" s="270">
        <f>IF(ISERROR(GETPIVOTDATA("Somma di DARE",'Pivot Fineco Sa'!$A$3,"Mese",4,"Tipologia",$A134,"Viaggio",$A$131)),0,GETPIVOTDATA("Somma di DARE",'Pivot Fineco Sa'!$A$3,"Mese",4,"Tipologia",$A134,"Viaggio",$A$131))
+IF(ISERROR(GETPIVOTDATA("Somma di DARE",'Pivot Fineco St'!$A$3,"Mese",4,"Tipologia",$A134,"Viaggio",$A$131)),0,GETPIVOTDATA("Somma di DARE",'Pivot Fineco St'!$A$3,"Mese",4,"Tipologia",$A134,"Viaggio",$A$131))
+IF(Contanti!$Q41='Conto Economico'!$A$131,Contanti!$N41)
+IF(ISERROR(GETPIVOTDATA("Somma di DARE",'Pivot BBVA'!$A$3,"Mese",4,"Tipologia",$A134,"Viaggio",$A$131)),0,GETPIVOTDATA("Somma di DARE",'Pivot BBVA'!$A$3,"Mese",4,"Tipologia",$A134,"Viaggio",$A$131))
+IF(ISERROR(GETPIVOTDATA("Somma di DARE",'Pivot Amex'!$A$3,"Mese",4,"Tipologia",$A134,"Viaggio",$A$131)),0,GETPIVOTDATA("Somma di DARE",'Pivot Amex'!$A$3,"Mese",4,"Tipologia",$A134,"Viaggio",$A$131))
-IF(ISERROR(GETPIVOTDATA("Somma di AVERE",'Pivot Amex'!$A$3,"Mese",4,"Tipologia",$A134,"Viaggio",$A$131)),0,GETPIVOTDATA("Somma di AVERE",'Pivot Amex'!$A$3,"Mese",4,"Tipologia",$A134,"Viaggio",$A$131))
-IF(ISERROR(GETPIVOTDATA("Somma di AVERE",'Pivot BBVA'!$A$3,"Mese",4,"Tipologia",$A134,"Viaggio",$A$131)),0,GETPIVOTDATA("Somma di AVERE",'Pivot BBVA'!$A$3,"Mese",4,"Tipologia",$A134,"Viaggio",$A$131))
-IF(ISERROR(GETPIVOTDATA("Somma di AVERE",'Pivot Fineco St'!$A$3,"Mese",4,"Tipologia",$A134,"Viaggio",$A$131)),0,GETPIVOTDATA("Somma di AVERE",'Pivot Fineco St'!$A$3,"Mese",4,"Tipologia",$A134,"Viaggio",$A$131))
-IF(ISERROR(GETPIVOTDATA("Somma di AVERE",'Pivot Fineco Sa'!$A$3,"Mese",4,"Tipologia",$A134,"Viaggio",$A$131)),0,GETPIVOTDATA("Somma di AVERE",'Pivot Fineco Sa'!$A$3,"Mese",4,"Tipologia",$A134,"Viaggio",$A$131))
+IF(ISERROR(GETPIVOTDATA("Somma di DARE",'Pivot PP Visa'!$A$3,"Mese",4,"Tipologia",$A134,"Viaggio",$A$131)),0,GETPIVOTDATA("Somma di DARE",'Pivot PP Visa'!$A$3,"Mese",4,"Tipologia",$A134,"Viaggio",$A$131))
-IF(ISERROR(GETPIVOTDATA("Somma di AVERE",'Pivot PP Visa'!$A$3,"Mese",4,"Tipologia",$A134,"Viaggio",$A$131)),0,GETPIVOTDATA("Somma di AVERE",'Pivot PP Visa'!$A$3,"Mese",4,"Tipologia",$A134,"Viaggio",$A$131))
+IF(ISERROR(GETPIVOTDATA("Somma di DARE",'Pivot Revolut'!$A$3,"Mese",4,"Tipologia",$A134,"Viaggio",$A$131)),0,GETPIVOTDATA("Somma di DARE",'Pivot Revolut'!$A$3,"Mese",4,"Tipologia",$A134,"Viaggio",$A$131))
-IF(ISERROR(GETPIVOTDATA("Somma di AVERE",'Pivot Revolut'!$A$3,"Mese",4,"Tipologia",$A134,"Viaggio",$A$131)),0,GETPIVOTDATA("Somma di AVERE",'Pivot Revolut'!$A$3,"Mese",4,"Tipologia",$A134,"Viaggio",$A$131))
+IF(ISERROR(GETPIVOTDATA("Somma di DARE",'Pivot RakBank EUR'!$A$3,"Mese",4,"Tipologia",$A134,"Viaggio",$A$131)),0,GETPIVOTDATA("Somma di DARE",'Pivot RakBank EUR'!$A$3,"Mese",4,"Tipologia",$A134,"Viaggio",$A$131))
-IF(ISERROR(GETPIVOTDATA("Somma di AVERE",'Pivot RakBank EUR'!$A$3,"Mese",4,"Tipologia",$A134,"Viaggio",$A$131)),0,GETPIVOTDATA("Somma di AVERE",'Pivot RakBank EUR'!$A$3,"Mese",4,"Tipologia",$A134,"Viaggio",$A$131))
+IF(ISERROR(GETPIVOTDATA("Somma di DARE EUR",'Pivot RakBank AED'!$A$3,"Mese",4,"Tipologia",$A134,"Viaggio",$A$131)),0,GETPIVOTDATA("Somma di DARE EUR",'Pivot RakBank AED'!$A$3,"Mese",4,"Tipologia",$A134,"Viaggio",$A$131))
-IF(ISERROR(GETPIVOTDATA("Somma di AVERE EUR",'Pivot RakBank AED'!$A$3,"Mese",4,"Tipologia",$A134,"Viaggio",$A$131)),0,GETPIVOTDATA("Somma di AVERE EUR",'Pivot RakBank AED'!$A$3,"Mese",4,"Tipologia",$A134,"Viaggio",$A$131))</f>
        <v>0</v>
      </c>
      <c r="G134" s="270">
        <f>IF(ISERROR(GETPIVOTDATA("Somma di DARE",'Pivot Fineco Sa'!$A$3,"Mese",5,"Tipologia",$A134,"Viaggio",$A$131)),0,GETPIVOTDATA("Somma di DARE",'Pivot Fineco Sa'!$A$3,"Mese",5,"Tipologia",$A134,"Viaggio",$A$131))
+IF(ISERROR(GETPIVOTDATA("Somma di DARE",'Pivot Fineco St'!$A$3,"Mese",5,"Tipologia",$A134,"Viaggio",$A$131)),0,GETPIVOTDATA("Somma di DARE",'Pivot Fineco St'!$A$3,"Mese",5,"Tipologia",$A134,"Viaggio",$A$131))
+IF(Contanti!$U41='Conto Economico'!$A$131,Contanti!$R41)
+IF(ISERROR(GETPIVOTDATA("Somma di DARE",'Pivot BBVA'!$A$3,"Mese",5,"Tipologia",$A134,"Viaggio",$A$131)),0,GETPIVOTDATA("Somma di DARE",'Pivot BBVA'!$A$3,"Mese",5,"Tipologia",$A134,"Viaggio",$A$131))
+IF(ISERROR(GETPIVOTDATA("Somma di DARE",'Pivot Amex'!$A$3,"Mese",5,"Tipologia",$A134,"Viaggio",$A$131)),0,GETPIVOTDATA("Somma di DARE",'Pivot Amex'!$A$3,"Mese",5,"Tipologia",$A134,"Viaggio",$A$131))
-IF(ISERROR(GETPIVOTDATA("Somma di AVERE",'Pivot Amex'!$A$3,"Mese",5,"Tipologia",$A134,"Viaggio",$A$131)),0,GETPIVOTDATA("Somma di AVERE",'Pivot Amex'!$A$3,"Mese",5,"Tipologia",$A134,"Viaggio",$A$131))
-IF(ISERROR(GETPIVOTDATA("Somma di AVERE",'Pivot BBVA'!$A$3,"Mese",5,"Tipologia",$A134,"Viaggio",$A$131)),0,GETPIVOTDATA("Somma di AVERE",'Pivot BBVA'!$A$3,"Mese",5,"Tipologia",$A134,"Viaggio",$A$131))
-IF(ISERROR(GETPIVOTDATA("Somma di AVERE",'Pivot Fineco St'!$A$3,"Mese",5,"Tipologia",$A134,"Viaggio",$A$131)),0,GETPIVOTDATA("Somma di AVERE",'Pivot Fineco St'!$A$3,"Mese",5,"Tipologia",$A134,"Viaggio",$A$131))
-IF(ISERROR(GETPIVOTDATA("Somma di AVERE",'Pivot Fineco Sa'!$A$3,"Mese",5,"Tipologia",$A134,"Viaggio",$A$131)),0,GETPIVOTDATA("Somma di AVERE",'Pivot Fineco Sa'!$A$3,"Mese",5,"Tipologia",$A134,"Viaggio",$A$131))
+IF(ISERROR(GETPIVOTDATA("Somma di DARE",'Pivot PP Visa'!$A$3,"Mese",5,"Tipologia",$A134,"Viaggio",$A$131)),0,GETPIVOTDATA("Somma di DARE",'Pivot PP Visa'!$A$3,"Mese",5,"Tipologia",$A134,"Viaggio",$A$131))
-IF(ISERROR(GETPIVOTDATA("Somma di AVERE",'Pivot PP Visa'!$A$3,"Mese",5,"Tipologia",$A134,"Viaggio",$A$131)),0,GETPIVOTDATA("Somma di AVERE",'Pivot PP Visa'!$A$3,"Mese",5,"Tipologia",$A134,"Viaggio",$A$131))
+IF(ISERROR(GETPIVOTDATA("Somma di DARE",'Pivot Revolut'!$A$3,"Mese",5,"Tipologia",$A134,"Viaggio",$A$131)),0,GETPIVOTDATA("Somma di DARE",'Pivot Revolut'!$A$3,"Mese",5,"Tipologia",$A134,"Viaggio",$A$131))
-IF(ISERROR(GETPIVOTDATA("Somma di AVERE",'Pivot Revolut'!$A$3,"Mese",5,"Tipologia",$A134,"Viaggio",$A$131)),0,GETPIVOTDATA("Somma di AVERE",'Pivot Revolut'!$A$3,"Mese",5,"Tipologia",$A134,"Viaggio",$A$131))
+IF(ISERROR(GETPIVOTDATA("Somma di DARE",'Pivot RakBank EUR'!$A$3,"Mese",5,"Tipologia",$A134,"Viaggio",$A$131)),0,GETPIVOTDATA("Somma di DARE",'Pivot RakBank EUR'!$A$3,"Mese",5,"Tipologia",$A134,"Viaggio",$A$131))
-IF(ISERROR(GETPIVOTDATA("Somma di AVERE",'Pivot RakBank EUR'!$A$3,"Mese",5,"Tipologia",$A134,"Viaggio",$A$131)),0,GETPIVOTDATA("Somma di AVERE",'Pivot RakBank EUR'!$A$3,"Mese",5,"Tipologia",$A134,"Viaggio",$A$131))
+IF(ISERROR(GETPIVOTDATA("Somma di DARE EUR",'Pivot RakBank AED'!$A$3,"Mese",5,"Tipologia",$A134,"Viaggio",$A$131)),0,GETPIVOTDATA("Somma di DARE EUR",'Pivot RakBank AED'!$A$3,"Mese",5,"Tipologia",$A134,"Viaggio",$A$131))
-IF(ISERROR(GETPIVOTDATA("Somma di AVERE EUR",'Pivot RakBank AED'!$A$3,"Mese",5,"Tipologia",$A134,"Viaggio",$A$131)),0,GETPIVOTDATA("Somma di AVERE EUR",'Pivot RakBank AED'!$A$3,"Mese",5,"Tipologia",$A134,"Viaggio",$A$131))</f>
        <v>0</v>
      </c>
      <c r="H134" s="270">
        <f>IF(ISERROR(GETPIVOTDATA("Somma di DARE",'Pivot Fineco Sa'!$A$3,"Mese",6,"Tipologia",$A134,"Viaggio",$A$131)),0,GETPIVOTDATA("Somma di DARE",'Pivot Fineco Sa'!$A$3,"Mese",6,"Tipologia",$A134,"Viaggio",$A$131))
+IF(ISERROR(GETPIVOTDATA("Somma di DARE",'Pivot Fineco St'!$A$3,"Mese",6,"Tipologia",$A134,"Viaggio",$A$131)),0,GETPIVOTDATA("Somma di DARE",'Pivot Fineco St'!$A$3,"Mese",6,"Tipologia",$A134,"Viaggio",$A$131))
+IF(Contanti!$Y41='Conto Economico'!$A$131,Contanti!$V41)
+IF(ISERROR(GETPIVOTDATA("Somma di DARE",'Pivot BBVA'!$A$3,"Mese",6,"Tipologia",$A134,"Viaggio",$A$131)),0,GETPIVOTDATA("Somma di DARE",'Pivot BBVA'!$A$3,"Mese",6,"Tipologia",$A134,"Viaggio",$A$131))
+IF(ISERROR(GETPIVOTDATA("Somma di DARE",'Pivot Amex'!$A$3,"Mese",6,"Tipologia",$A134,"Viaggio",$A$131)),0,GETPIVOTDATA("Somma di DARE",'Pivot Amex'!$A$3,"Mese",6,"Tipologia",$A134,"Viaggio",$A$131))
-IF(ISERROR(GETPIVOTDATA("Somma di AVERE",'Pivot Amex'!$A$3,"Mese",6,"Tipologia",$A134,"Viaggio",$A$131)),0,GETPIVOTDATA("Somma di AVERE",'Pivot Amex'!$A$3,"Mese",6,"Tipologia",$A134,"Viaggio",$A$131))
-IF(ISERROR(GETPIVOTDATA("Somma di AVERE",'Pivot BBVA'!$A$3,"Mese",6,"Tipologia",$A134,"Viaggio",$A$131)),0,GETPIVOTDATA("Somma di AVERE",'Pivot BBVA'!$A$3,"Mese",6,"Tipologia",$A134,"Viaggio",$A$131))
-IF(ISERROR(GETPIVOTDATA("Somma di AVERE",'Pivot Fineco St'!$A$3,"Mese",6,"Tipologia",$A134,"Viaggio",$A$131)),0,GETPIVOTDATA("Somma di AVERE",'Pivot Fineco St'!$A$3,"Mese",6,"Tipologia",$A134,"Viaggio",$A$131))
-IF(ISERROR(GETPIVOTDATA("Somma di AVERE",'Pivot Fineco Sa'!$A$3,"Mese",6,"Tipologia",$A134,"Viaggio",$A$131)),0,GETPIVOTDATA("Somma di AVERE",'Pivot Fineco Sa'!$A$3,"Mese",6,"Tipologia",$A134,"Viaggio",$A$131))
+IF(ISERROR(GETPIVOTDATA("Somma di DARE",'Pivot PP Visa'!$A$3,"Mese",6,"Tipologia",$A134,"Viaggio",$A$131)),0,GETPIVOTDATA("Somma di DARE",'Pivot PP Visa'!$A$3,"Mese",6,"Tipologia",$A134,"Viaggio",$A$131))
-IF(ISERROR(GETPIVOTDATA("Somma di AVERE",'Pivot PP Visa'!$A$3,"Mese",6,"Tipologia",$A134,"Viaggio",$A$131)),0,GETPIVOTDATA("Somma di AVERE",'Pivot PP Visa'!$A$3,"Mese",6,"Tipologia",$A134,"Viaggio",$A$131))
+IF(ISERROR(GETPIVOTDATA("Somma di DARE",'Pivot Revolut'!$A$3,"Mese",6,"Tipologia",$A134,"Viaggio",$A$131)),0,GETPIVOTDATA("Somma di DARE",'Pivot Revolut'!$A$3,"Mese",6,"Tipologia",$A134,"Viaggio",$A$131))
-IF(ISERROR(GETPIVOTDATA("Somma di AVERE",'Pivot Revolut'!$A$3,"Mese",6,"Tipologia",$A134,"Viaggio",$A$131)),0,GETPIVOTDATA("Somma di AVERE",'Pivot Revolut'!$A$3,"Mese",6,"Tipologia",$A134,"Viaggio",$A$131))
+IF(ISERROR(GETPIVOTDATA("Somma di DARE",'Pivot RakBank EUR'!$A$3,"Mese",6,"Tipologia",$A134,"Viaggio",$A$131)),0,GETPIVOTDATA("Somma di DARE",'Pivot RakBank EUR'!$A$3,"Mese",6,"Tipologia",$A134,"Viaggio",$A$131))
-IF(ISERROR(GETPIVOTDATA("Somma di AVERE",'Pivot RakBank EUR'!$A$3,"Mese",6,"Tipologia",$A134,"Viaggio",$A$131)),0,GETPIVOTDATA("Somma di AVERE",'Pivot RakBank EUR'!$A$3,"Mese",6,"Tipologia",$A134,"Viaggio",$A$131))
+IF(ISERROR(GETPIVOTDATA("Somma di DARE EUR",'Pivot RakBank AED'!$A$3,"Mese",6,"Tipologia",$A134,"Viaggio",$A$131)),0,GETPIVOTDATA("Somma di DARE EUR",'Pivot RakBank AED'!$A$3,"Mese",6,"Tipologia",$A134,"Viaggio",$A$131))
-IF(ISERROR(GETPIVOTDATA("Somma di AVERE EUR",'Pivot RakBank AED'!$A$3,"Mese",6,"Tipologia",$A134,"Viaggio",$A$131)),0,GETPIVOTDATA("Somma di AVERE EUR",'Pivot RakBank AED'!$A$3,"Mese",6,"Tipologia",$A134,"Viaggio",$A$131))</f>
        <v>0</v>
      </c>
      <c r="I134" s="270">
        <f>IF(ISERROR(GETPIVOTDATA("Somma di DARE",'Pivot Fineco Sa'!$A$3,"Mese",7,"Tipologia",$A134,"Viaggio",$A$131)),0,GETPIVOTDATA("Somma di DARE",'Pivot Fineco Sa'!$A$3,"Mese",7,"Tipologia",$A134,"Viaggio",$A$131))
+IF(ISERROR(GETPIVOTDATA("Somma di DARE",'Pivot Fineco St'!$A$3,"Mese",7,"Tipologia",$A134,"Viaggio",$A$131)),0,GETPIVOTDATA("Somma di DARE",'Pivot Fineco St'!$A$3,"Mese",7,"Tipologia",$A134,"Viaggio",$A$131))
+IF(Contanti!$AC41='Conto Economico'!$A$131,Contanti!$Z41)
+IF(ISERROR(GETPIVOTDATA("Somma di DARE",'Pivot BBVA'!$A$3,"Mese",7,"Tipologia",$A134,"Viaggio",$A$131)),0,GETPIVOTDATA("Somma di DARE",'Pivot BBVA'!$A$3,"Mese",7,"Tipologia",$A134,"Viaggio",$A$131))
+IF(ISERROR(GETPIVOTDATA("Somma di DARE",'Pivot Amex'!$A$3,"Mese",7,"Tipologia",$A134,"Viaggio",$A$131)),0,GETPIVOTDATA("Somma di DARE",'Pivot Amex'!$A$3,"Mese",7,"Tipologia",$A134,"Viaggio",$A$131))
-IF(ISERROR(GETPIVOTDATA("Somma di AVERE",'Pivot Amex'!$A$3,"Mese",7,"Tipologia",$A134,"Viaggio",$A$131)),0,GETPIVOTDATA("Somma di AVERE",'Pivot Amex'!$A$3,"Mese",7,"Tipologia",$A134,"Viaggio",$A$131))
-IF(ISERROR(GETPIVOTDATA("Somma di AVERE",'Pivot BBVA'!$A$3,"Mese",7,"Tipologia",$A134,"Viaggio",$A$131)),0,GETPIVOTDATA("Somma di AVERE",'Pivot BBVA'!$A$3,"Mese",7,"Tipologia",$A134,"Viaggio",$A$131))
-IF(ISERROR(GETPIVOTDATA("Somma di AVERE",'Pivot Fineco St'!$A$3,"Mese",7,"Tipologia",$A134,"Viaggio",$A$131)),0,GETPIVOTDATA("Somma di AVERE",'Pivot Fineco St'!$A$3,"Mese",7,"Tipologia",$A134,"Viaggio",$A$131))
-IF(ISERROR(GETPIVOTDATA("Somma di AVERE",'Pivot Fineco Sa'!$A$3,"Mese",7,"Tipologia",$A134,"Viaggio",$A$131)),0,GETPIVOTDATA("Somma di AVERE",'Pivot Fineco Sa'!$A$3,"Mese",7,"Tipologia",$A134,"Viaggio",$A$131))
+IF(ISERROR(GETPIVOTDATA("Somma di DARE",'Pivot PP Visa'!$A$3,"Mese",7,"Tipologia",$A134,"Viaggio",$A$131)),0,GETPIVOTDATA("Somma di DARE",'Pivot PP Visa'!$A$3,"Mese",7,"Tipologia",$A134,"Viaggio",$A$131))
-IF(ISERROR(GETPIVOTDATA("Somma di AVERE",'Pivot PP Visa'!$A$3,"Mese",7,"Tipologia",$A134,"Viaggio",$A$131)),0,GETPIVOTDATA("Somma di AVERE",'Pivot PP Visa'!$A$3,"Mese",7,"Tipologia",$A134,"Viaggio",$A$131))
+IF(ISERROR(GETPIVOTDATA("Somma di DARE",'Pivot Revolut'!$A$3,"Mese",7,"Tipologia",$A134,"Viaggio",$A$131)),0,GETPIVOTDATA("Somma di DARE",'Pivot Revolut'!$A$3,"Mese",7,"Tipologia",$A134,"Viaggio",$A$131))
-IF(ISERROR(GETPIVOTDATA("Somma di AVERE",'Pivot Revolut'!$A$3,"Mese",7,"Tipologia",$A134,"Viaggio",$A$131)),0,GETPIVOTDATA("Somma di AVERE",'Pivot Revolut'!$A$3,"Mese",7,"Tipologia",$A134,"Viaggio",$A$131))
+IF(ISERROR(GETPIVOTDATA("Somma di DARE",'Pivot RakBank EUR'!$A$3,"Mese",7,"Tipologia",$A134,"Viaggio",$A$131)),0,GETPIVOTDATA("Somma di DARE",'Pivot RakBank EUR'!$A$3,"Mese",7,"Tipologia",$A134,"Viaggio",$A$131))
-IF(ISERROR(GETPIVOTDATA("Somma di AVERE",'Pivot RakBank EUR'!$A$3,"Mese",7,"Tipologia",$A134,"Viaggio",$A$131)),0,GETPIVOTDATA("Somma di AVERE",'Pivot RakBank EUR'!$A$3,"Mese",7,"Tipologia",$A134,"Viaggio",$A$131))
+IF(ISERROR(GETPIVOTDATA("Somma di DARE EUR",'Pivot RakBank AED'!$A$3,"Mese",7,"Tipologia",$A134,"Viaggio",$A$131)),0,GETPIVOTDATA("Somma di DARE EUR",'Pivot RakBank AED'!$A$3,"Mese",7,"Tipologia",$A134,"Viaggio",$A$131))
-IF(ISERROR(GETPIVOTDATA("Somma di AVERE EUR",'Pivot RakBank AED'!$A$3,"Mese",7,"Tipologia",$A134,"Viaggio",$A$131)),0,GETPIVOTDATA("Somma di AVERE EUR",'Pivot RakBank AED'!$A$3,"Mese",7,"Tipologia",$A134,"Viaggio",$A$131))</f>
        <v>0</v>
      </c>
      <c r="J134" s="270">
        <f>IF(ISERROR(GETPIVOTDATA("Somma di DARE",'Pivot Fineco Sa'!$A$3,"Mese",8,"Tipologia",$A134,"Viaggio",$A$131)),0,GETPIVOTDATA("Somma di DARE",'Pivot Fineco Sa'!$A$3,"Mese",8,"Tipologia",$A134,"Viaggio",$A$131))
+IF(ISERROR(GETPIVOTDATA("Somma di DARE",'Pivot Fineco St'!$A$3,"Mese",8,"Tipologia",$A134,"Viaggio",$A$131)),0,GETPIVOTDATA("Somma di DARE",'Pivot Fineco St'!$A$3,"Mese",8,"Tipologia",$A134,"Viaggio",$A$131))
+IF(Contanti!$AG41='Conto Economico'!$A$131,Contanti!$AD41)
+IF(ISERROR(GETPIVOTDATA("Somma di DARE",'Pivot BBVA'!$A$3,"Mese",8,"Tipologia",$A134,"Viaggio",$A$131)),0,GETPIVOTDATA("Somma di DARE",'Pivot BBVA'!$A$3,"Mese",8,"Tipologia",$A134,"Viaggio",$A$131))
+IF(ISERROR(GETPIVOTDATA("Somma di DARE",'Pivot Amex'!$A$3,"Mese",8,"Tipologia",$A134,"Viaggio",$A$131)),0,GETPIVOTDATA("Somma di DARE",'Pivot Amex'!$A$3,"Mese",8,"Tipologia",$A134,"Viaggio",$A$131))
-IF(ISERROR(GETPIVOTDATA("Somma di AVERE",'Pivot Amex'!$A$3,"Mese",8,"Tipologia",$A134,"Viaggio",$A$131)),0,GETPIVOTDATA("Somma di AVERE",'Pivot Amex'!$A$3,"Mese",8,"Tipologia",$A134,"Viaggio",$A$131))
-IF(ISERROR(GETPIVOTDATA("Somma di AVERE",'Pivot BBVA'!$A$3,"Mese",8,"Tipologia",$A134,"Viaggio",$A$131)),0,GETPIVOTDATA("Somma di AVERE",'Pivot BBVA'!$A$3,"Mese",8,"Tipologia",$A134,"Viaggio",$A$131))
-IF(ISERROR(GETPIVOTDATA("Somma di AVERE",'Pivot Fineco St'!$A$3,"Mese",8,"Tipologia",$A134,"Viaggio",$A$131)),0,GETPIVOTDATA("Somma di AVERE",'Pivot Fineco St'!$A$3,"Mese",8,"Tipologia",$A134,"Viaggio",$A$131))
-IF(ISERROR(GETPIVOTDATA("Somma di AVERE",'Pivot Fineco Sa'!$A$3,"Mese",8,"Tipologia",$A134,"Viaggio",$A$131)),0,GETPIVOTDATA("Somma di AVERE",'Pivot Fineco Sa'!$A$3,"Mese",8,"Tipologia",$A134,"Viaggio",$A$131))
+IF(ISERROR(GETPIVOTDATA("Somma di DARE",'Pivot PP Visa'!$A$3,"Mese",8,"Tipologia",$A134,"Viaggio",$A$131)),0,GETPIVOTDATA("Somma di DARE",'Pivot PP Visa'!$A$3,"Mese",8,"Tipologia",$A134,"Viaggio",$A$131))
-IF(ISERROR(GETPIVOTDATA("Somma di AVERE",'Pivot PP Visa'!$A$3,"Mese",8,"Tipologia",$A134,"Viaggio",$A$131)),0,GETPIVOTDATA("Somma di AVERE",'Pivot PP Visa'!$A$3,"Mese",8,"Tipologia",$A134,"Viaggio",$A$131))
+IF(ISERROR(GETPIVOTDATA("Somma di DARE",'Pivot Revolut'!$A$3,"Mese",8,"Tipologia",$A134,"Viaggio",$A$131)),0,GETPIVOTDATA("Somma di DARE",'Pivot Revolut'!$A$3,"Mese",8,"Tipologia",$A134,"Viaggio",$A$131))
-IF(ISERROR(GETPIVOTDATA("Somma di AVERE",'Pivot Revolut'!$A$3,"Mese",8,"Tipologia",$A134,"Viaggio",$A$131)),0,GETPIVOTDATA("Somma di AVERE",'Pivot Revolut'!$A$3,"Mese",8,"Tipologia",$A134,"Viaggio",$A$131))
+IF(ISERROR(GETPIVOTDATA("Somma di DARE",'Pivot RakBank EUR'!$A$3,"Mese",8,"Tipologia",$A134,"Viaggio",$A$131)),0,GETPIVOTDATA("Somma di DARE",'Pivot RakBank EUR'!$A$3,"Mese",8,"Tipologia",$A134,"Viaggio",$A$131))
-IF(ISERROR(GETPIVOTDATA("Somma di AVERE",'Pivot RakBank EUR'!$A$3,"Mese",8,"Tipologia",$A134,"Viaggio",$A$131)),0,GETPIVOTDATA("Somma di AVERE",'Pivot RakBank EUR'!$A$3,"Mese",8,"Tipologia",$A134,"Viaggio",$A$131))
+IF(ISERROR(GETPIVOTDATA("Somma di DARE EUR",'Pivot RakBank AED'!$A$3,"Mese",8,"Tipologia",$A134,"Viaggio",$A$131)),0,GETPIVOTDATA("Somma di DARE EUR",'Pivot RakBank AED'!$A$3,"Mese",8,"Tipologia",$A134,"Viaggio",$A$131))
-IF(ISERROR(GETPIVOTDATA("Somma di AVERE EUR",'Pivot RakBank AED'!$A$3,"Mese",8,"Tipologia",$A134,"Viaggio",$A$131)),0,GETPIVOTDATA("Somma di AVERE EUR",'Pivot RakBank AED'!$A$3,"Mese",8,"Tipologia",$A134,"Viaggio",$A$131))</f>
        <v>0</v>
      </c>
      <c r="K134" s="270">
        <f>IF(ISERROR(GETPIVOTDATA("Somma di DARE",'Pivot Fineco Sa'!$A$3,"Mese",9,"Tipologia",$A134,"Viaggio",$A$131)),0,GETPIVOTDATA("Somma di DARE",'Pivot Fineco Sa'!$A$3,"Mese",9,"Tipologia",$A134,"Viaggio",$A$131))
+IF(ISERROR(GETPIVOTDATA("Somma di DARE",'Pivot Fineco St'!$A$3,"Mese",9,"Tipologia",$A134,"Viaggio",$A$131)),0,GETPIVOTDATA("Somma di DARE",'Pivot Fineco St'!$A$3,"Mese",9,"Tipologia",$A134,"Viaggio",$A$131))
+IF(Contanti!$AK41='Conto Economico'!$A$131,Contanti!$AH41)
+IF(ISERROR(GETPIVOTDATA("Somma di DARE",'Pivot BBVA'!$A$3,"Mese",9,"Tipologia",$A134,"Viaggio",$A$131)),0,GETPIVOTDATA("Somma di DARE",'Pivot BBVA'!$A$3,"Mese",9,"Tipologia",$A134,"Viaggio",$A$131))
+IF(ISERROR(GETPIVOTDATA("Somma di DARE",'Pivot Amex'!$A$3,"Mese",9,"Tipologia",$A134,"Viaggio",$A$131)),0,GETPIVOTDATA("Somma di DARE",'Pivot Amex'!$A$3,"Mese",9,"Tipologia",$A134,"Viaggio",$A$131))
-IF(ISERROR(GETPIVOTDATA("Somma di AVERE",'Pivot Amex'!$A$3,"Mese",9,"Tipologia",$A134,"Viaggio",$A$131)),0,GETPIVOTDATA("Somma di AVERE",'Pivot Amex'!$A$3,"Mese",9,"Tipologia",$A134,"Viaggio",$A$131))
-IF(ISERROR(GETPIVOTDATA("Somma di AVERE",'Pivot BBVA'!$A$3,"Mese",9,"Tipologia",$A134,"Viaggio",$A$131)),0,GETPIVOTDATA("Somma di AVERE",'Pivot BBVA'!$A$3,"Mese",9,"Tipologia",$A134,"Viaggio",$A$131))
-IF(ISERROR(GETPIVOTDATA("Somma di AVERE",'Pivot Fineco St'!$A$3,"Mese",9,"Tipologia",$A134,"Viaggio",$A$131)),0,GETPIVOTDATA("Somma di AVERE",'Pivot Fineco St'!$A$3,"Mese",9,"Tipologia",$A134,"Viaggio",$A$131))
-IF(ISERROR(GETPIVOTDATA("Somma di AVERE",'Pivot Fineco Sa'!$A$3,"Mese",9,"Tipologia",$A134,"Viaggio",$A$131)),0,GETPIVOTDATA("Somma di AVERE",'Pivot Fineco Sa'!$A$3,"Mese",9,"Tipologia",$A134,"Viaggio",$A$131))
+IF(ISERROR(GETPIVOTDATA("Somma di DARE",'Pivot PP Visa'!$A$3,"Mese",9,"Tipologia",$A134,"Viaggio",$A$131)),0,GETPIVOTDATA("Somma di DARE",'Pivot PP Visa'!$A$3,"Mese",9,"Tipologia",$A134,"Viaggio",$A$131))
-IF(ISERROR(GETPIVOTDATA("Somma di AVERE",'Pivot PP Visa'!$A$3,"Mese",9,"Tipologia",$A134,"Viaggio",$A$131)),0,GETPIVOTDATA("Somma di AVERE",'Pivot PP Visa'!$A$3,"Mese",9,"Tipologia",$A134,"Viaggio",$A$131))
+IF(ISERROR(GETPIVOTDATA("Somma di DARE",'Pivot Revolut'!$A$3,"Mese",9,"Tipologia",$A134,"Viaggio",$A$131)),0,GETPIVOTDATA("Somma di DARE",'Pivot Revolut'!$A$3,"Mese",9,"Tipologia",$A134,"Viaggio",$A$131))
-IF(ISERROR(GETPIVOTDATA("Somma di AVERE",'Pivot Revolut'!$A$3,"Mese",9,"Tipologia",$A134,"Viaggio",$A$131)),0,GETPIVOTDATA("Somma di AVERE",'Pivot Revolut'!$A$3,"Mese",9,"Tipologia",$A134,"Viaggio",$A$131))
+IF(ISERROR(GETPIVOTDATA("Somma di DARE",'Pivot RakBank EUR'!$A$3,"Mese",9,"Tipologia",$A134,"Viaggio",$A$131)),0,GETPIVOTDATA("Somma di DARE",'Pivot RakBank EUR'!$A$3,"Mese",9,"Tipologia",$A134,"Viaggio",$A$131))
-IF(ISERROR(GETPIVOTDATA("Somma di AVERE",'Pivot RakBank EUR'!$A$3,"Mese",9,"Tipologia",$A134,"Viaggio",$A$131)),0,GETPIVOTDATA("Somma di AVERE",'Pivot RakBank EUR'!$A$3,"Mese",9,"Tipologia",$A134,"Viaggio",$A$131))
+IF(ISERROR(GETPIVOTDATA("Somma di DARE EUR",'Pivot RakBank AED'!$A$3,"Mese",9,"Tipologia",$A134,"Viaggio",$A$131)),0,GETPIVOTDATA("Somma di DARE EUR",'Pivot RakBank AED'!$A$3,"Mese",9,"Tipologia",$A134,"Viaggio",$A$131))
-IF(ISERROR(GETPIVOTDATA("Somma di AVERE EUR",'Pivot RakBank AED'!$A$3,"Mese",9,"Tipologia",$A134,"Viaggio",$A$131)),0,GETPIVOTDATA("Somma di AVERE EUR",'Pivot RakBank AED'!$A$3,"Mese",9,"Tipologia",$A134,"Viaggio",$A$131))</f>
        <v>0</v>
      </c>
      <c r="L134" s="270">
        <f>IF(ISERROR(GETPIVOTDATA("Somma di DARE",'Pivot Fineco Sa'!$A$3,"Mese",10,"Tipologia",$A134,"Viaggio",$A$131)),0,GETPIVOTDATA("Somma di DARE",'Pivot Fineco Sa'!$A$3,"Mese",10,"Tipologia",$A134,"Viaggio",$A$131))
+IF(ISERROR(GETPIVOTDATA("Somma di DARE",'Pivot Fineco St'!$A$3,"Mese",10,"Tipologia",$A134,"Viaggio",$A$131)),0,GETPIVOTDATA("Somma di DARE",'Pivot Fineco St'!$A$3,"Mese",10,"Tipologia",$A134,"Viaggio",$A$131))
+IF(Contanti!$AO41='Conto Economico'!$A$131,Contanti!$AL41)
+IF(ISERROR(GETPIVOTDATA("Somma di DARE",'Pivot BBVA'!$A$3,"Mese",10,"Tipologia",$A134,"Viaggio",$A$131)),0,GETPIVOTDATA("Somma di DARE",'Pivot BBVA'!$A$3,"Mese",10,"Tipologia",$A134,"Viaggio",$A$131))
+IF(ISERROR(GETPIVOTDATA("Somma di DARE",'Pivot Amex'!$A$3,"Mese",10,"Tipologia",$A134,"Viaggio",$A$131)),0,GETPIVOTDATA("Somma di DARE",'Pivot Amex'!$A$3,"Mese",10,"Tipologia",$A134,"Viaggio",$A$131))
-IF(ISERROR(GETPIVOTDATA("Somma di AVERE",'Pivot Amex'!$A$3,"Mese",10,"Tipologia",$A134,"Viaggio",$A$131)),0,GETPIVOTDATA("Somma di AVERE",'Pivot Amex'!$A$3,"Mese",10,"Tipologia",$A134,"Viaggio",$A$131))
-IF(ISERROR(GETPIVOTDATA("Somma di AVERE",'Pivot BBVA'!$A$3,"Mese",10,"Tipologia",$A134,"Viaggio",$A$131)),0,GETPIVOTDATA("Somma di AVERE",'Pivot BBVA'!$A$3,"Mese",10,"Tipologia",$A134,"Viaggio",$A$131))
-IF(ISERROR(GETPIVOTDATA("Somma di AVERE",'Pivot Fineco St'!$A$3,"Mese",10,"Tipologia",$A134,"Viaggio",$A$131)),0,GETPIVOTDATA("Somma di AVERE",'Pivot Fineco St'!$A$3,"Mese",10,"Tipologia",$A134,"Viaggio",$A$131))
-IF(ISERROR(GETPIVOTDATA("Somma di AVERE",'Pivot Fineco Sa'!$A$3,"Mese",10,"Tipologia",$A134,"Viaggio",$A$131)),0,GETPIVOTDATA("Somma di AVERE",'Pivot Fineco Sa'!$A$3,"Mese",10,"Tipologia",$A134,"Viaggio",$A$131))
+IF(ISERROR(GETPIVOTDATA("Somma di DARE",'Pivot PP Visa'!$A$3,"Mese",10,"Tipologia",$A134,"Viaggio",$A$131)),0,GETPIVOTDATA("Somma di DARE",'Pivot PP Visa'!$A$3,"Mese",10,"Tipologia",$A134,"Viaggio",$A$131))
-IF(ISERROR(GETPIVOTDATA("Somma di AVERE",'Pivot PP Visa'!$A$3,"Mese",10,"Tipologia",$A134,"Viaggio",$A$131)),0,GETPIVOTDATA("Somma di AVERE",'Pivot PP Visa'!$A$3,"Mese",10,"Tipologia",$A134,"Viaggio",$A$131))
+IF(ISERROR(GETPIVOTDATA("Somma di DARE",'Pivot Revolut'!$A$3,"Mese",10,"Tipologia",$A134,"Viaggio",$A$131)),0,GETPIVOTDATA("Somma di DARE",'Pivot Revolut'!$A$3,"Mese",10,"Tipologia",$A134,"Viaggio",$A$131))
-IF(ISERROR(GETPIVOTDATA("Somma di AVERE",'Pivot Revolut'!$A$3,"Mese",10,"Tipologia",$A134,"Viaggio",$A$131)),0,GETPIVOTDATA("Somma di AVERE",'Pivot Revolut'!$A$3,"Mese",10,"Tipologia",$A134,"Viaggio",$A$131))
+IF(ISERROR(GETPIVOTDATA("Somma di DARE",'Pivot RakBank EUR'!$A$3,"Mese",10,"Tipologia",$A134,"Viaggio",$A$131)),0,GETPIVOTDATA("Somma di DARE",'Pivot RakBank EUR'!$A$3,"Mese",10,"Tipologia",$A134,"Viaggio",$A$131))
-IF(ISERROR(GETPIVOTDATA("Somma di AVERE",'Pivot RakBank EUR'!$A$3,"Mese",10,"Tipologia",$A134,"Viaggio",$A$131)),0,GETPIVOTDATA("Somma di AVERE",'Pivot RakBank EUR'!$A$3,"Mese",10,"Tipologia",$A134,"Viaggio",$A$131))
+IF(ISERROR(GETPIVOTDATA("Somma di DARE EUR",'Pivot RakBank AED'!$A$3,"Mese",10,"Tipologia",$A134,"Viaggio",$A$131)),0,GETPIVOTDATA("Somma di DARE EUR",'Pivot RakBank AED'!$A$3,"Mese",10,"Tipologia",$A134,"Viaggio",$A$131))
-IF(ISERROR(GETPIVOTDATA("Somma di AVERE EUR",'Pivot RakBank AED'!$A$3,"Mese",10,"Tipologia",$A134,"Viaggio",$A$131)),0,GETPIVOTDATA("Somma di AVERE EUR",'Pivot RakBank AED'!$A$3,"Mese",10,"Tipologia",$A134,"Viaggio",$A$131))</f>
        <v>0</v>
      </c>
      <c r="M134" s="270">
        <f>IF(ISERROR(GETPIVOTDATA("Somma di DARE",'Pivot Fineco Sa'!$A$3,"Mese",11,"Tipologia",$A134,"Viaggio",$A$131)),0,GETPIVOTDATA("Somma di DARE",'Pivot Fineco Sa'!$A$3,"Mese",11,"Tipologia",$A134,"Viaggio",$A$131))
+IF(ISERROR(GETPIVOTDATA("Somma di DARE",'Pivot Fineco St'!$A$3,"Mese",11,"Tipologia",$A134,"Viaggio",$A$131)),0,GETPIVOTDATA("Somma di DARE",'Pivot Fineco St'!$A$3,"Mese",11,"Tipologia",$A134,"Viaggio",$A$131))
+IF(Contanti!$AS41='Conto Economico'!$A$131,Contanti!$AP41)
+IF(ISERROR(GETPIVOTDATA("Somma di DARE",'Pivot BBVA'!$A$3,"Mese",11,"Tipologia",$A134,"Viaggio",$A$131)),0,GETPIVOTDATA("Somma di DARE",'Pivot BBVA'!$A$3,"Mese",11,"Tipologia",$A134,"Viaggio",$A$131))
+IF(ISERROR(GETPIVOTDATA("Somma di DARE",'Pivot Amex'!$A$3,"Mese",11,"Tipologia",$A134,"Viaggio",$A$131)),0,GETPIVOTDATA("Somma di DARE",'Pivot Amex'!$A$3,"Mese",11,"Tipologia",$A134,"Viaggio",$A$131))
-IF(ISERROR(GETPIVOTDATA("Somma di AVERE",'Pivot Amex'!$A$3,"Mese",11,"Tipologia",$A134,"Viaggio",$A$131)),0,GETPIVOTDATA("Somma di AVERE",'Pivot Amex'!$A$3,"Mese",11,"Tipologia",$A134,"Viaggio",$A$131))
-IF(ISERROR(GETPIVOTDATA("Somma di AVERE",'Pivot BBVA'!$A$3,"Mese",11,"Tipologia",$A134,"Viaggio",$A$131)),0,GETPIVOTDATA("Somma di AVERE",'Pivot BBVA'!$A$3,"Mese",11,"Tipologia",$A134,"Viaggio",$A$131))
-IF(ISERROR(GETPIVOTDATA("Somma di AVERE",'Pivot Fineco St'!$A$3,"Mese",11,"Tipologia",$A134,"Viaggio",$A$131)),0,GETPIVOTDATA("Somma di AVERE",'Pivot Fineco St'!$A$3,"Mese",11,"Tipologia",$A134,"Viaggio",$A$131))
-IF(ISERROR(GETPIVOTDATA("Somma di AVERE",'Pivot Fineco Sa'!$A$3,"Mese",11,"Tipologia",$A134,"Viaggio",$A$131)),0,GETPIVOTDATA("Somma di AVERE",'Pivot Fineco Sa'!$A$3,"Mese",11,"Tipologia",$A134,"Viaggio",$A$131))
+IF(ISERROR(GETPIVOTDATA("Somma di DARE",'Pivot PP Visa'!$A$3,"Mese",11,"Tipologia",$A134,"Viaggio",$A$131)),0,GETPIVOTDATA("Somma di DARE",'Pivot PP Visa'!$A$3,"Mese",11,"Tipologia",$A134,"Viaggio",$A$131))
-IF(ISERROR(GETPIVOTDATA("Somma di AVERE",'Pivot PP Visa'!$A$3,"Mese",11,"Tipologia",$A134,"Viaggio",$A$131)),0,GETPIVOTDATA("Somma di AVERE",'Pivot PP Visa'!$A$3,"Mese",11,"Tipologia",$A134,"Viaggio",$A$131))
+IF(ISERROR(GETPIVOTDATA("Somma di DARE",'Pivot Revolut'!$A$3,"Mese",11,"Tipologia",$A134,"Viaggio",$A$131)),0,GETPIVOTDATA("Somma di DARE",'Pivot Revolut'!$A$3,"Mese",11,"Tipologia",$A134,"Viaggio",$A$131))
-IF(ISERROR(GETPIVOTDATA("Somma di AVERE",'Pivot Revolut'!$A$3,"Mese",11,"Tipologia",$A134,"Viaggio",$A$131)),0,GETPIVOTDATA("Somma di AVERE",'Pivot Revolut'!$A$3,"Mese",11,"Tipologia",$A134,"Viaggio",$A$131))
+IF(ISERROR(GETPIVOTDATA("Somma di DARE",'Pivot RakBank EUR'!$A$3,"Mese",11,"Tipologia",$A134,"Viaggio",$A$131)),0,GETPIVOTDATA("Somma di DARE",'Pivot RakBank EUR'!$A$3,"Mese",11,"Tipologia",$A134,"Viaggio",$A$131))
-IF(ISERROR(GETPIVOTDATA("Somma di AVERE",'Pivot RakBank EUR'!$A$3,"Mese",11,"Tipologia",$A134,"Viaggio",$A$131)),0,GETPIVOTDATA("Somma di AVERE",'Pivot RakBank EUR'!$A$3,"Mese",11,"Tipologia",$A134,"Viaggio",$A$131))
+IF(ISERROR(GETPIVOTDATA("Somma di DARE EUR",'Pivot RakBank AED'!$A$3,"Mese",11,"Tipologia",$A134,"Viaggio",$A$131)),0,GETPIVOTDATA("Somma di DARE EUR",'Pivot RakBank AED'!$A$3,"Mese",11,"Tipologia",$A134,"Viaggio",$A$131))
-IF(ISERROR(GETPIVOTDATA("Somma di AVERE EUR",'Pivot RakBank AED'!$A$3,"Mese",11,"Tipologia",$A134,"Viaggio",$A$131)),0,GETPIVOTDATA("Somma di AVERE EUR",'Pivot RakBank AED'!$A$3,"Mese",11,"Tipologia",$A134,"Viaggio",$A$131))</f>
        <v>0</v>
      </c>
      <c r="N134" s="270">
        <f>IF(ISERROR(GETPIVOTDATA("Somma di DARE",'Pivot Fineco Sa'!$A$3,"Mese",12,"Tipologia",$A134,"Viaggio",$A$131)),0,GETPIVOTDATA("Somma di DARE",'Pivot Fineco Sa'!$A$3,"Mese",12,"Tipologia",$A134,"Viaggio",$A$131))
+IF(ISERROR(GETPIVOTDATA("Somma di DARE",'Pivot Fineco St'!$A$3,"Mese",12,"Tipologia",$A134,"Viaggio",$A$131)),0,GETPIVOTDATA("Somma di DARE",'Pivot Fineco St'!$A$3,"Mese",12,"Tipologia",$A134,"Viaggio",$A$131))
+IF(Contanti!$AW41='Conto Economico'!$A$131,Contanti!$AT41)
+IF(ISERROR(GETPIVOTDATA("Somma di DARE",'Pivot BBVA'!$A$3,"Mese",12,"Tipologia",$A134,"Viaggio",$A$131)),0,GETPIVOTDATA("Somma di DARE",'Pivot BBVA'!$A$3,"Mese",12,"Tipologia",$A134,"Viaggio",$A$131))
+IF(ISERROR(GETPIVOTDATA("Somma di DARE",'Pivot Amex'!$A$3,"Mese",12,"Tipologia",$A134,"Viaggio",$A$131)),0,GETPIVOTDATA("Somma di DARE",'Pivot Amex'!$A$3,"Mese",12,"Tipologia",$A134,"Viaggio",$A$131))
-IF(ISERROR(GETPIVOTDATA("Somma di AVERE",'Pivot Amex'!$A$3,"Mese",12,"Tipologia",$A134,"Viaggio",$A$131)),0,GETPIVOTDATA("Somma di AVERE",'Pivot Amex'!$A$3,"Mese",12,"Tipologia",$A134,"Viaggio",$A$131))
-IF(ISERROR(GETPIVOTDATA("Somma di AVERE",'Pivot BBVA'!$A$3,"Mese",12,"Tipologia",$A134,"Viaggio",$A$131)),0,GETPIVOTDATA("Somma di AVERE",'Pivot BBVA'!$A$3,"Mese",12,"Tipologia",$A134,"Viaggio",$A$131))
-IF(ISERROR(GETPIVOTDATA("Somma di AVERE",'Pivot Fineco St'!$A$3,"Mese",12,"Tipologia",$A134,"Viaggio",$A$131)),0,GETPIVOTDATA("Somma di AVERE",'Pivot Fineco St'!$A$3,"Mese",12,"Tipologia",$A134,"Viaggio",$A$131))
-IF(ISERROR(GETPIVOTDATA("Somma di AVERE",'Pivot Fineco Sa'!$A$3,"Mese",12,"Tipologia",$A134,"Viaggio",$A$131)),0,GETPIVOTDATA("Somma di AVERE",'Pivot Fineco Sa'!$A$3,"Mese",12,"Tipologia",$A134,"Viaggio",$A$131))
+IF(ISERROR(GETPIVOTDATA("Somma di DARE",'Pivot PP Visa'!$A$3,"Mese",12,"Tipologia",$A134,"Viaggio",$A$131)),0,GETPIVOTDATA("Somma di DARE",'Pivot PP Visa'!$A$3,"Mese",12,"Tipologia",$A134,"Viaggio",$A$131))
-IF(ISERROR(GETPIVOTDATA("Somma di AVERE",'Pivot PP Visa'!$A$3,"Mese",12,"Tipologia",$A134,"Viaggio",$A$131)),0,GETPIVOTDATA("Somma di AVERE",'Pivot PP Visa'!$A$3,"Mese",12,"Tipologia",$A134,"Viaggio",$A$131))
+IF(ISERROR(GETPIVOTDATA("Somma di DARE",'Pivot Revolut'!$A$3,"Mese",12,"Tipologia",$A134,"Viaggio",$A$131)),0,GETPIVOTDATA("Somma di DARE",'Pivot Revolut'!$A$3,"Mese",12,"Tipologia",$A134,"Viaggio",$A$131))
-IF(ISERROR(GETPIVOTDATA("Somma di AVERE",'Pivot Revolut'!$A$3,"Mese",12,"Tipologia",$A134,"Viaggio",$A$131)),0,GETPIVOTDATA("Somma di AVERE",'Pivot Revolut'!$A$3,"Mese",12,"Tipologia",$A134,"Viaggio",$A$131))
+IF(ISERROR(GETPIVOTDATA("Somma di DARE",'Pivot RakBank EUR'!$A$3,"Mese",12,"Tipologia",$A134,"Viaggio",$A$131)),0,GETPIVOTDATA("Somma di DARE",'Pivot RakBank EUR'!$A$3,"Mese",12,"Tipologia",$A134,"Viaggio",$A$131))
-IF(ISERROR(GETPIVOTDATA("Somma di AVERE",'Pivot RakBank EUR'!$A$3,"Mese",12,"Tipologia",$A134,"Viaggio",$A$131)),0,GETPIVOTDATA("Somma di AVERE",'Pivot RakBank EUR'!$A$3,"Mese",12,"Tipologia",$A134,"Viaggio",$A$131))
+IF(ISERROR(GETPIVOTDATA("Somma di DARE EUR",'Pivot RakBank AED'!$A$3,"Mese",12,"Tipologia",$A134,"Viaggio",$A$131)),0,GETPIVOTDATA("Somma di DARE EUR",'Pivot RakBank AED'!$A$3,"Mese",12,"Tipologia",$A134,"Viaggio",$A$131))
-IF(ISERROR(GETPIVOTDATA("Somma di AVERE EUR",'Pivot RakBank AED'!$A$3,"Mese",12,"Tipologia",$A134,"Viaggio",$A$131)),0,GETPIVOTDATA("Somma di AVERE EUR",'Pivot RakBank AED'!$A$3,"Mese",12,"Tipologia",$A134,"Viaggio",$A$131))</f>
        <v>0</v>
      </c>
      <c r="O134" s="271">
        <f t="shared" si="17"/>
        <v>30.09</v>
      </c>
      <c r="P134" s="270"/>
    </row>
    <row r="135" spans="1:16" s="131" customFormat="1" ht="14" outlineLevel="1" x14ac:dyDescent="0.2">
      <c r="A135" s="269" t="s">
        <v>113</v>
      </c>
      <c r="B135" s="269"/>
      <c r="C135" s="270">
        <f>IF(ISERROR(GETPIVOTDATA("Somma di DARE",'Pivot Fineco Sa'!$A$3,"Mese",1,"Tipologia",$A135,"Viaggio",$A$131)),0,GETPIVOTDATA("Somma di DARE",'Pivot Fineco Sa'!$A$3,"Mese",1,"Tipologia",$A135,"Viaggio",$A$131))
+IF(ISERROR(GETPIVOTDATA("Somma di DARE",'Pivot Fineco St'!$A$3,"Mese",1,"Tipologia",$A135,"Viaggio",$A$131)),0,GETPIVOTDATA("Somma di DARE",'Pivot Fineco St'!$A$3,"Mese",1,"Tipologia",$A135,"Viaggio",$A$131))
+IF(Contanti!$E42='Conto Economico'!$A$131,Contanti!$B42)
+IF(ISERROR(GETPIVOTDATA("Somma di DARE",'Pivot BBVA'!$A$3,"Mese",1,"Tipologia",$A135,"Viaggio",$A$131)),0,GETPIVOTDATA("Somma di DARE",'Pivot BBVA'!$A$3,"Mese",1,"Tipologia",$A135,"Viaggio",$A$131))
+IF(ISERROR(GETPIVOTDATA("Somma di DARE",'Pivot Amex'!$A$3,"Mese",1,"Tipologia",$A135,"Viaggio",$A$131)),0,GETPIVOTDATA("Somma di DARE",'Pivot Amex'!$A$3,"Mese",1,"Tipologia",$A135,"Viaggio",$A$131))
-IF(ISERROR(GETPIVOTDATA("Somma di AVERE",'Pivot Amex'!$A$3,"Mese",1,"Tipologia",$A135,"Viaggio",$A$131)),0,GETPIVOTDATA("Somma di AVERE",'Pivot Amex'!$A$3,"Mese",1,"Tipologia",$A135,"Viaggio",$A$131))
-IF(ISERROR(GETPIVOTDATA("Somma di AVERE",'Pivot BBVA'!$A$3,"Mese",1,"Tipologia",$A135,"Viaggio",$A$131)),0,GETPIVOTDATA("Somma di AVERE",'Pivot BBVA'!$A$3,"Mese",1,"Tipologia",$A135,"Viaggio",$A$131))
-IF(ISERROR(GETPIVOTDATA("Somma di AVERE",'Pivot Fineco St'!$A$3,"Mese",1,"Tipologia",$A135,"Viaggio",$A$131)),0,GETPIVOTDATA("Somma di AVERE",'Pivot Fineco St'!$A$3,"Mese",1,"Tipologia",$A135,"Viaggio",$A$131))
-IF(ISERROR(GETPIVOTDATA("Somma di AVERE",'Pivot Fineco Sa'!$A$3,"Mese",1,"Tipologia",$A135,"Viaggio",$A$131)),0,GETPIVOTDATA("Somma di AVERE",'Pivot Fineco Sa'!$A$3,"Mese",1,"Tipologia",$A135,"Viaggio",$A$131))
+IF(ISERROR(GETPIVOTDATA("Somma di DARE",'Pivot PP Visa'!$A$3,"Mese",1,"Tipologia",$A135,"Viaggio",$A$131)),0,GETPIVOTDATA("Somma di DARE",'Pivot PP Visa'!$A$3,"Mese",1,"Tipologia",$A135,"Viaggio",$A$131))
-IF(ISERROR(GETPIVOTDATA("Somma di AVERE",'Pivot PP Visa'!$A$3,"Mese",1,"Tipologia",$A135,"Viaggio",$A$131)),0,GETPIVOTDATA("Somma di AVERE",'Pivot PP Visa'!$A$3,"Mese",1,"Tipologia",$A135,"Viaggio",$A$131))
+IF(ISERROR(GETPIVOTDATA("Somma di DARE",'Pivot Revolut'!$A$3,"Mese",1,"Tipologia",$A135,"Viaggio",$A$131)),0,GETPIVOTDATA("Somma di DARE",'Pivot Revolut'!$A$3,"Mese",1,"Tipologia",$A135,"Viaggio",$A$131))
-IF(ISERROR(GETPIVOTDATA("Somma di AVERE",'Pivot Revolut'!$A$3,"Mese",1,"Tipologia",$A135,"Viaggio",$A$131)),0,GETPIVOTDATA("Somma di AVERE",'Pivot Revolut'!$A$3,"Mese",1,"Tipologia",$A135,"Viaggio",$A$131))
+IF(ISERROR(GETPIVOTDATA("Somma di DARE",'Pivot RakBank EUR'!$A$3,"Mese",1,"Tipologia",$A135,"Viaggio",$A$131)),0,GETPIVOTDATA("Somma di DARE",'Pivot RakBank EUR'!$A$3,"Mese",1,"Tipologia",$A135,"Viaggio",$A$131))
-IF(ISERROR(GETPIVOTDATA("Somma di AVERE",'Pivot RakBank EUR'!$A$3,"Mese",1,"Tipologia",$A135,"Viaggio",$A$131)),0,GETPIVOTDATA("Somma di AVERE",'Pivot RakBank EUR'!$A$3,"Mese",1,"Tipologia",$A135,"Viaggio",$A$131))
+IF(ISERROR(GETPIVOTDATA("Somma di DARE EUR",'Pivot RakBank AED'!$A$3,"Mese",1,"Tipologia",$A135,"Viaggio",$A$131)),0,GETPIVOTDATA("Somma di DARE EUR",'Pivot RakBank AED'!$A$3,"Mese",1,"Tipologia",$A135,"Viaggio",$A$131))
-IF(ISERROR(GETPIVOTDATA("Somma di AVERE EUR",'Pivot RakBank AED'!$A$3,"Mese",1,"Tipologia",$A135,"Viaggio",$A$131)),0,GETPIVOTDATA("Somma di AVERE EUR",'Pivot RakBank AED'!$A$3,"Mese",1,"Tipologia",$A135,"Viaggio",$A$131))</f>
        <v>0</v>
      </c>
      <c r="D135" s="270">
        <f>IF(ISERROR(GETPIVOTDATA("Somma di DARE",'Pivot Fineco Sa'!$A$3,"Mese",2,"Tipologia",$A135,"Viaggio",$A$131)),0,GETPIVOTDATA("Somma di DARE",'Pivot Fineco Sa'!$A$3,"Mese",2,"Tipologia",$A135,"Viaggio",$A$131))
+IF(ISERROR(GETPIVOTDATA("Somma di DARE",'Pivot Fineco St'!$A$3,"Mese",2,"Tipologia",$A135,"Viaggio",$A$131)),0,GETPIVOTDATA("Somma di DARE",'Pivot Fineco St'!$A$3,"Mese",2,"Tipologia",$A135,"Viaggio",$A$131))
+IF(Contanti!$I42='Conto Economico'!$A$131,Contanti!$F42)
+IF(ISERROR(GETPIVOTDATA("Somma di DARE",'Pivot BBVA'!$A$3,"Mese",2,"Tipologia",$A135,"Viaggio",$A$131)),0,GETPIVOTDATA("Somma di DARE",'Pivot BBVA'!$A$3,"Mese",2,"Tipologia",$A135,"Viaggio",$A$131))
+IF(ISERROR(GETPIVOTDATA("Somma di DARE",'Pivot Amex'!$A$3,"Mese",2,"Tipologia",$A135,"Viaggio",$A$131)),0,GETPIVOTDATA("Somma di DARE",'Pivot Amex'!$A$3,"Mese",2,"Tipologia",$A135,"Viaggio",$A$131))
-IF(ISERROR(GETPIVOTDATA("Somma di AVERE",'Pivot Amex'!$A$3,"Mese",2,"Tipologia",$A135,"Viaggio",$A$131)),0,GETPIVOTDATA("Somma di AVERE",'Pivot Amex'!$A$3,"Mese",2,"Tipologia",$A135,"Viaggio",$A$131))
-IF(ISERROR(GETPIVOTDATA("Somma di AVERE",'Pivot BBVA'!$A$3,"Mese",2,"Tipologia",$A135,"Viaggio",$A$131)),0,GETPIVOTDATA("Somma di AVERE",'Pivot BBVA'!$A$3,"Mese",2,"Tipologia",$A135,"Viaggio",$A$131))
-IF(ISERROR(GETPIVOTDATA("Somma di AVERE",'Pivot Fineco St'!$A$3,"Mese",2,"Tipologia",$A135,"Viaggio",$A$131)),0,GETPIVOTDATA("Somma di AVERE",'Pivot Fineco St'!$A$3,"Mese",2,"Tipologia",$A135,"Viaggio",$A$131))
-IF(ISERROR(GETPIVOTDATA("Somma di AVERE",'Pivot Fineco Sa'!$A$3,"Mese",2,"Tipologia",$A135,"Viaggio",$A$131)),0,GETPIVOTDATA("Somma di AVERE",'Pivot Fineco Sa'!$A$3,"Mese",2,"Tipologia",$A135,"Viaggio",$A$131))
+IF(ISERROR(GETPIVOTDATA("Somma di DARE",'Pivot PP Visa'!$A$3,"Mese",2,"Tipologia",$A135,"Viaggio",$A$131)),0,GETPIVOTDATA("Somma di DARE",'Pivot PP Visa'!$A$3,"Mese",2,"Tipologia",$A135,"Viaggio",$A$131))
-IF(ISERROR(GETPIVOTDATA("Somma di AVERE",'Pivot PP Visa'!$A$3,"Mese",2,"Tipologia",$A135,"Viaggio",$A$131)),0,GETPIVOTDATA("Somma di AVERE",'Pivot PP Visa'!$A$3,"Mese",2,"Tipologia",$A135,"Viaggio",$A$131))
+IF(ISERROR(GETPIVOTDATA("Somma di DARE",'Pivot Revolut'!$A$3,"Mese",2,"Tipologia",$A135,"Viaggio",$A$131)),0,GETPIVOTDATA("Somma di DARE",'Pivot Revolut'!$A$3,"Mese",2,"Tipologia",$A135,"Viaggio",$A$131))
-IF(ISERROR(GETPIVOTDATA("Somma di AVERE",'Pivot Revolut'!$A$3,"Mese",2,"Tipologia",$A135,"Viaggio",$A$131)),0,GETPIVOTDATA("Somma di AVERE",'Pivot Revolut'!$A$3,"Mese",2,"Tipologia",$A135,"Viaggio",$A$131))
+IF(ISERROR(GETPIVOTDATA("Somma di DARE",'Pivot RakBank EUR'!$A$3,"Mese",2,"Tipologia",$A135,"Viaggio",$A$131)),0,GETPIVOTDATA("Somma di DARE",'Pivot RakBank EUR'!$A$3,"Mese",2,"Tipologia",$A135,"Viaggio",$A$131))
-IF(ISERROR(GETPIVOTDATA("Somma di AVERE",'Pivot RakBank EUR'!$A$3,"Mese",2,"Tipologia",$A135,"Viaggio",$A$131)),0,GETPIVOTDATA("Somma di AVERE",'Pivot RakBank EUR'!$A$3,"Mese",2,"Tipologia",$A135,"Viaggio",$A$131))
+IF(ISERROR(GETPIVOTDATA("Somma di DARE EUR",'Pivot RakBank AED'!$A$3,"Mese",2,"Tipologia",$A135,"Viaggio",$A$131)),0,GETPIVOTDATA("Somma di DARE EUR",'Pivot RakBank AED'!$A$3,"Mese",2,"Tipologia",$A135,"Viaggio",$A$131))
-IF(ISERROR(GETPIVOTDATA("Somma di AVERE EUR",'Pivot RakBank AED'!$A$3,"Mese",2,"Tipologia",$A135,"Viaggio",$A$131)),0,GETPIVOTDATA("Somma di AVERE EUR",'Pivot RakBank AED'!$A$3,"Mese",2,"Tipologia",$A135,"Viaggio",$A$131))</f>
        <v>30.032201834862384</v>
      </c>
      <c r="E135" s="270">
        <f>IF(ISERROR(GETPIVOTDATA("Somma di DARE",'Pivot Fineco Sa'!$A$3,"Mese",3,"Tipologia",$A135,"Viaggio",$A$131)),0,GETPIVOTDATA("Somma di DARE",'Pivot Fineco Sa'!$A$3,"Mese",3,"Tipologia",$A135,"Viaggio",$A$131))
+IF(ISERROR(GETPIVOTDATA("Somma di DARE",'Pivot Fineco St'!$A$3,"Mese",3,"Tipologia",$A135,"Viaggio",$A$131)),0,GETPIVOTDATA("Somma di DARE",'Pivot Fineco St'!$A$3,"Mese",3,"Tipologia",$A135,"Viaggio",$A$131))
+IF(Contanti!$M42='Conto Economico'!$A$131,Contanti!$J42)
+IF(ISERROR(GETPIVOTDATA("Somma di DARE",'Pivot BBVA'!$A$3,"Mese",3,"Tipologia",$A135,"Viaggio",$A$131)),0,GETPIVOTDATA("Somma di DARE",'Pivot BBVA'!$A$3,"Mese",3,"Tipologia",$A135,"Viaggio",$A$131))
+IF(ISERROR(GETPIVOTDATA("Somma di DARE",'Pivot Amex'!$A$3,"Mese",3,"Tipologia",$A135,"Viaggio",$A$131)),0,GETPIVOTDATA("Somma di DARE",'Pivot Amex'!$A$3,"Mese",3,"Tipologia",$A135,"Viaggio",$A$131))
-IF(ISERROR(GETPIVOTDATA("Somma di AVERE",'Pivot Amex'!$A$3,"Mese",3,"Tipologia",$A135,"Viaggio",$A$131)),0,GETPIVOTDATA("Somma di AVERE",'Pivot Amex'!$A$3,"Mese",3,"Tipologia",$A135,"Viaggio",$A$131))
-IF(ISERROR(GETPIVOTDATA("Somma di AVERE",'Pivot BBVA'!$A$3,"Mese",3,"Tipologia",$A135,"Viaggio",$A$131)),0,GETPIVOTDATA("Somma di AVERE",'Pivot BBVA'!$A$3,"Mese",3,"Tipologia",$A135,"Viaggio",$A$131))
-IF(ISERROR(GETPIVOTDATA("Somma di AVERE",'Pivot Fineco St'!$A$3,"Mese",3,"Tipologia",$A135,"Viaggio",$A$131)),0,GETPIVOTDATA("Somma di AVERE",'Pivot Fineco St'!$A$3,"Mese",3,"Tipologia",$A135,"Viaggio",$A$131))
-IF(ISERROR(GETPIVOTDATA("Somma di AVERE",'Pivot Fineco Sa'!$A$3,"Mese",3,"Tipologia",$A135,"Viaggio",$A$131)),0,GETPIVOTDATA("Somma di AVERE",'Pivot Fineco Sa'!$A$3,"Mese",3,"Tipologia",$A135,"Viaggio",$A$131))
+IF(ISERROR(GETPIVOTDATA("Somma di DARE",'Pivot PP Visa'!$A$3,"Mese",3,"Tipologia",$A135,"Viaggio",$A$131)),0,GETPIVOTDATA("Somma di DARE",'Pivot PP Visa'!$A$3,"Mese",3,"Tipologia",$A135,"Viaggio",$A$131))
-IF(ISERROR(GETPIVOTDATA("Somma di AVERE",'Pivot PP Visa'!$A$3,"Mese",3,"Tipologia",$A135,"Viaggio",$A$131)),0,GETPIVOTDATA("Somma di AVERE",'Pivot PP Visa'!$A$3,"Mese",3,"Tipologia",$A135,"Viaggio",$A$131))
+IF(ISERROR(GETPIVOTDATA("Somma di DARE",'Pivot Revolut'!$A$3,"Mese",3,"Tipologia",$A135,"Viaggio",$A$131)),0,GETPIVOTDATA("Somma di DARE",'Pivot Revolut'!$A$3,"Mese",3,"Tipologia",$A135,"Viaggio",$A$131))
-IF(ISERROR(GETPIVOTDATA("Somma di AVERE",'Pivot Revolut'!$A$3,"Mese",3,"Tipologia",$A135,"Viaggio",$A$131)),0,GETPIVOTDATA("Somma di AVERE",'Pivot Revolut'!$A$3,"Mese",3,"Tipologia",$A135,"Viaggio",$A$131))
+IF(ISERROR(GETPIVOTDATA("Somma di DARE",'Pivot RakBank EUR'!$A$3,"Mese",3,"Tipologia",$A135,"Viaggio",$A$131)),0,GETPIVOTDATA("Somma di DARE",'Pivot RakBank EUR'!$A$3,"Mese",3,"Tipologia",$A135,"Viaggio",$A$131))
-IF(ISERROR(GETPIVOTDATA("Somma di AVERE",'Pivot RakBank EUR'!$A$3,"Mese",3,"Tipologia",$A135,"Viaggio",$A$131)),0,GETPIVOTDATA("Somma di AVERE",'Pivot RakBank EUR'!$A$3,"Mese",3,"Tipologia",$A135,"Viaggio",$A$131))
+IF(ISERROR(GETPIVOTDATA("Somma di DARE EUR",'Pivot RakBank AED'!$A$3,"Mese",3,"Tipologia",$A135,"Viaggio",$A$131)),0,GETPIVOTDATA("Somma di DARE EUR",'Pivot RakBank AED'!$A$3,"Mese",3,"Tipologia",$A135,"Viaggio",$A$131))
-IF(ISERROR(GETPIVOTDATA("Somma di AVERE EUR",'Pivot RakBank AED'!$A$3,"Mese",3,"Tipologia",$A135,"Viaggio",$A$131)),0,GETPIVOTDATA("Somma di AVERE EUR",'Pivot RakBank AED'!$A$3,"Mese",3,"Tipologia",$A135,"Viaggio",$A$131))</f>
        <v>0</v>
      </c>
      <c r="F135" s="270">
        <f>IF(ISERROR(GETPIVOTDATA("Somma di DARE",'Pivot Fineco Sa'!$A$3,"Mese",4,"Tipologia",$A135,"Viaggio",$A$131)),0,GETPIVOTDATA("Somma di DARE",'Pivot Fineco Sa'!$A$3,"Mese",4,"Tipologia",$A135,"Viaggio",$A$131))
+IF(ISERROR(GETPIVOTDATA("Somma di DARE",'Pivot Fineco St'!$A$3,"Mese",4,"Tipologia",$A135,"Viaggio",$A$131)),0,GETPIVOTDATA("Somma di DARE",'Pivot Fineco St'!$A$3,"Mese",4,"Tipologia",$A135,"Viaggio",$A$131))
+IF(Contanti!$Q42='Conto Economico'!$A$131,Contanti!$N42)
+IF(ISERROR(GETPIVOTDATA("Somma di DARE",'Pivot BBVA'!$A$3,"Mese",4,"Tipologia",$A135,"Viaggio",$A$131)),0,GETPIVOTDATA("Somma di DARE",'Pivot BBVA'!$A$3,"Mese",4,"Tipologia",$A135,"Viaggio",$A$131))
+IF(ISERROR(GETPIVOTDATA("Somma di DARE",'Pivot Amex'!$A$3,"Mese",4,"Tipologia",$A135,"Viaggio",$A$131)),0,GETPIVOTDATA("Somma di DARE",'Pivot Amex'!$A$3,"Mese",4,"Tipologia",$A135,"Viaggio",$A$131))
-IF(ISERROR(GETPIVOTDATA("Somma di AVERE",'Pivot Amex'!$A$3,"Mese",4,"Tipologia",$A135,"Viaggio",$A$131)),0,GETPIVOTDATA("Somma di AVERE",'Pivot Amex'!$A$3,"Mese",4,"Tipologia",$A135,"Viaggio",$A$131))
-IF(ISERROR(GETPIVOTDATA("Somma di AVERE",'Pivot BBVA'!$A$3,"Mese",4,"Tipologia",$A135,"Viaggio",$A$131)),0,GETPIVOTDATA("Somma di AVERE",'Pivot BBVA'!$A$3,"Mese",4,"Tipologia",$A135,"Viaggio",$A$131))
-IF(ISERROR(GETPIVOTDATA("Somma di AVERE",'Pivot Fineco St'!$A$3,"Mese",4,"Tipologia",$A135,"Viaggio",$A$131)),0,GETPIVOTDATA("Somma di AVERE",'Pivot Fineco St'!$A$3,"Mese",4,"Tipologia",$A135,"Viaggio",$A$131))
-IF(ISERROR(GETPIVOTDATA("Somma di AVERE",'Pivot Fineco Sa'!$A$3,"Mese",4,"Tipologia",$A135,"Viaggio",$A$131)),0,GETPIVOTDATA("Somma di AVERE",'Pivot Fineco Sa'!$A$3,"Mese",4,"Tipologia",$A135,"Viaggio",$A$131))
+IF(ISERROR(GETPIVOTDATA("Somma di DARE",'Pivot PP Visa'!$A$3,"Mese",4,"Tipologia",$A135,"Viaggio",$A$131)),0,GETPIVOTDATA("Somma di DARE",'Pivot PP Visa'!$A$3,"Mese",4,"Tipologia",$A135,"Viaggio",$A$131))
-IF(ISERROR(GETPIVOTDATA("Somma di AVERE",'Pivot PP Visa'!$A$3,"Mese",4,"Tipologia",$A135,"Viaggio",$A$131)),0,GETPIVOTDATA("Somma di AVERE",'Pivot PP Visa'!$A$3,"Mese",4,"Tipologia",$A135,"Viaggio",$A$131))
+IF(ISERROR(GETPIVOTDATA("Somma di DARE",'Pivot Revolut'!$A$3,"Mese",4,"Tipologia",$A135,"Viaggio",$A$131)),0,GETPIVOTDATA("Somma di DARE",'Pivot Revolut'!$A$3,"Mese",4,"Tipologia",$A135,"Viaggio",$A$131))
-IF(ISERROR(GETPIVOTDATA("Somma di AVERE",'Pivot Revolut'!$A$3,"Mese",4,"Tipologia",$A135,"Viaggio",$A$131)),0,GETPIVOTDATA("Somma di AVERE",'Pivot Revolut'!$A$3,"Mese",4,"Tipologia",$A135,"Viaggio",$A$131))
+IF(ISERROR(GETPIVOTDATA("Somma di DARE",'Pivot RakBank EUR'!$A$3,"Mese",4,"Tipologia",$A135,"Viaggio",$A$131)),0,GETPIVOTDATA("Somma di DARE",'Pivot RakBank EUR'!$A$3,"Mese",4,"Tipologia",$A135,"Viaggio",$A$131))
-IF(ISERROR(GETPIVOTDATA("Somma di AVERE",'Pivot RakBank EUR'!$A$3,"Mese",4,"Tipologia",$A135,"Viaggio",$A$131)),0,GETPIVOTDATA("Somma di AVERE",'Pivot RakBank EUR'!$A$3,"Mese",4,"Tipologia",$A135,"Viaggio",$A$131))
+IF(ISERROR(GETPIVOTDATA("Somma di DARE EUR",'Pivot RakBank AED'!$A$3,"Mese",4,"Tipologia",$A135,"Viaggio",$A$131)),0,GETPIVOTDATA("Somma di DARE EUR",'Pivot RakBank AED'!$A$3,"Mese",4,"Tipologia",$A135,"Viaggio",$A$131))
-IF(ISERROR(GETPIVOTDATA("Somma di AVERE EUR",'Pivot RakBank AED'!$A$3,"Mese",4,"Tipologia",$A135,"Viaggio",$A$131)),0,GETPIVOTDATA("Somma di AVERE EUR",'Pivot RakBank AED'!$A$3,"Mese",4,"Tipologia",$A135,"Viaggio",$A$131))</f>
        <v>0</v>
      </c>
      <c r="G135" s="270">
        <f>IF(ISERROR(GETPIVOTDATA("Somma di DARE",'Pivot Fineco Sa'!$A$3,"Mese",5,"Tipologia",$A135,"Viaggio",$A$131)),0,GETPIVOTDATA("Somma di DARE",'Pivot Fineco Sa'!$A$3,"Mese",5,"Tipologia",$A135,"Viaggio",$A$131))
+IF(ISERROR(GETPIVOTDATA("Somma di DARE",'Pivot Fineco St'!$A$3,"Mese",5,"Tipologia",$A135,"Viaggio",$A$131)),0,GETPIVOTDATA("Somma di DARE",'Pivot Fineco St'!$A$3,"Mese",5,"Tipologia",$A135,"Viaggio",$A$131))
+IF(Contanti!$U42='Conto Economico'!$A$131,Contanti!$R42)
+IF(ISERROR(GETPIVOTDATA("Somma di DARE",'Pivot BBVA'!$A$3,"Mese",5,"Tipologia",$A135,"Viaggio",$A$131)),0,GETPIVOTDATA("Somma di DARE",'Pivot BBVA'!$A$3,"Mese",5,"Tipologia",$A135,"Viaggio",$A$131))
+IF(ISERROR(GETPIVOTDATA("Somma di DARE",'Pivot Amex'!$A$3,"Mese",5,"Tipologia",$A135,"Viaggio",$A$131)),0,GETPIVOTDATA("Somma di DARE",'Pivot Amex'!$A$3,"Mese",5,"Tipologia",$A135,"Viaggio",$A$131))
-IF(ISERROR(GETPIVOTDATA("Somma di AVERE",'Pivot Amex'!$A$3,"Mese",5,"Tipologia",$A135,"Viaggio",$A$131)),0,GETPIVOTDATA("Somma di AVERE",'Pivot Amex'!$A$3,"Mese",5,"Tipologia",$A135,"Viaggio",$A$131))
-IF(ISERROR(GETPIVOTDATA("Somma di AVERE",'Pivot BBVA'!$A$3,"Mese",5,"Tipologia",$A135,"Viaggio",$A$131)),0,GETPIVOTDATA("Somma di AVERE",'Pivot BBVA'!$A$3,"Mese",5,"Tipologia",$A135,"Viaggio",$A$131))
-IF(ISERROR(GETPIVOTDATA("Somma di AVERE",'Pivot Fineco St'!$A$3,"Mese",5,"Tipologia",$A135,"Viaggio",$A$131)),0,GETPIVOTDATA("Somma di AVERE",'Pivot Fineco St'!$A$3,"Mese",5,"Tipologia",$A135,"Viaggio",$A$131))
-IF(ISERROR(GETPIVOTDATA("Somma di AVERE",'Pivot Fineco Sa'!$A$3,"Mese",5,"Tipologia",$A135,"Viaggio",$A$131)),0,GETPIVOTDATA("Somma di AVERE",'Pivot Fineco Sa'!$A$3,"Mese",5,"Tipologia",$A135,"Viaggio",$A$131))
+IF(ISERROR(GETPIVOTDATA("Somma di DARE",'Pivot PP Visa'!$A$3,"Mese",5,"Tipologia",$A135,"Viaggio",$A$131)),0,GETPIVOTDATA("Somma di DARE",'Pivot PP Visa'!$A$3,"Mese",5,"Tipologia",$A135,"Viaggio",$A$131))
-IF(ISERROR(GETPIVOTDATA("Somma di AVERE",'Pivot PP Visa'!$A$3,"Mese",5,"Tipologia",$A135,"Viaggio",$A$131)),0,GETPIVOTDATA("Somma di AVERE",'Pivot PP Visa'!$A$3,"Mese",5,"Tipologia",$A135,"Viaggio",$A$131))
+IF(ISERROR(GETPIVOTDATA("Somma di DARE",'Pivot Revolut'!$A$3,"Mese",5,"Tipologia",$A135,"Viaggio",$A$131)),0,GETPIVOTDATA("Somma di DARE",'Pivot Revolut'!$A$3,"Mese",5,"Tipologia",$A135,"Viaggio",$A$131))
-IF(ISERROR(GETPIVOTDATA("Somma di AVERE",'Pivot Revolut'!$A$3,"Mese",5,"Tipologia",$A135,"Viaggio",$A$131)),0,GETPIVOTDATA("Somma di AVERE",'Pivot Revolut'!$A$3,"Mese",5,"Tipologia",$A135,"Viaggio",$A$131))
+IF(ISERROR(GETPIVOTDATA("Somma di DARE",'Pivot RakBank EUR'!$A$3,"Mese",5,"Tipologia",$A135,"Viaggio",$A$131)),0,GETPIVOTDATA("Somma di DARE",'Pivot RakBank EUR'!$A$3,"Mese",5,"Tipologia",$A135,"Viaggio",$A$131))
-IF(ISERROR(GETPIVOTDATA("Somma di AVERE",'Pivot RakBank EUR'!$A$3,"Mese",5,"Tipologia",$A135,"Viaggio",$A$131)),0,GETPIVOTDATA("Somma di AVERE",'Pivot RakBank EUR'!$A$3,"Mese",5,"Tipologia",$A135,"Viaggio",$A$131))
+IF(ISERROR(GETPIVOTDATA("Somma di DARE EUR",'Pivot RakBank AED'!$A$3,"Mese",5,"Tipologia",$A135,"Viaggio",$A$131)),0,GETPIVOTDATA("Somma di DARE EUR",'Pivot RakBank AED'!$A$3,"Mese",5,"Tipologia",$A135,"Viaggio",$A$131))
-IF(ISERROR(GETPIVOTDATA("Somma di AVERE EUR",'Pivot RakBank AED'!$A$3,"Mese",5,"Tipologia",$A135,"Viaggio",$A$131)),0,GETPIVOTDATA("Somma di AVERE EUR",'Pivot RakBank AED'!$A$3,"Mese",5,"Tipologia",$A135,"Viaggio",$A$131))</f>
        <v>0</v>
      </c>
      <c r="H135" s="270">
        <f>IF(ISERROR(GETPIVOTDATA("Somma di DARE",'Pivot Fineco Sa'!$A$3,"Mese",6,"Tipologia",$A135,"Viaggio",$A$131)),0,GETPIVOTDATA("Somma di DARE",'Pivot Fineco Sa'!$A$3,"Mese",6,"Tipologia",$A135,"Viaggio",$A$131))
+IF(ISERROR(GETPIVOTDATA("Somma di DARE",'Pivot Fineco St'!$A$3,"Mese",6,"Tipologia",$A135,"Viaggio",$A$131)),0,GETPIVOTDATA("Somma di DARE",'Pivot Fineco St'!$A$3,"Mese",6,"Tipologia",$A135,"Viaggio",$A$131))
+IF(Contanti!$Y42='Conto Economico'!$A$131,Contanti!$V42)
+IF(ISERROR(GETPIVOTDATA("Somma di DARE",'Pivot BBVA'!$A$3,"Mese",6,"Tipologia",$A135,"Viaggio",$A$131)),0,GETPIVOTDATA("Somma di DARE",'Pivot BBVA'!$A$3,"Mese",6,"Tipologia",$A135,"Viaggio",$A$131))
+IF(ISERROR(GETPIVOTDATA("Somma di DARE",'Pivot Amex'!$A$3,"Mese",6,"Tipologia",$A135,"Viaggio",$A$131)),0,GETPIVOTDATA("Somma di DARE",'Pivot Amex'!$A$3,"Mese",6,"Tipologia",$A135,"Viaggio",$A$131))
-IF(ISERROR(GETPIVOTDATA("Somma di AVERE",'Pivot Amex'!$A$3,"Mese",6,"Tipologia",$A135,"Viaggio",$A$131)),0,GETPIVOTDATA("Somma di AVERE",'Pivot Amex'!$A$3,"Mese",6,"Tipologia",$A135,"Viaggio",$A$131))
-IF(ISERROR(GETPIVOTDATA("Somma di AVERE",'Pivot BBVA'!$A$3,"Mese",6,"Tipologia",$A135,"Viaggio",$A$131)),0,GETPIVOTDATA("Somma di AVERE",'Pivot BBVA'!$A$3,"Mese",6,"Tipologia",$A135,"Viaggio",$A$131))
-IF(ISERROR(GETPIVOTDATA("Somma di AVERE",'Pivot Fineco St'!$A$3,"Mese",6,"Tipologia",$A135,"Viaggio",$A$131)),0,GETPIVOTDATA("Somma di AVERE",'Pivot Fineco St'!$A$3,"Mese",6,"Tipologia",$A135,"Viaggio",$A$131))
-IF(ISERROR(GETPIVOTDATA("Somma di AVERE",'Pivot Fineco Sa'!$A$3,"Mese",6,"Tipologia",$A135,"Viaggio",$A$131)),0,GETPIVOTDATA("Somma di AVERE",'Pivot Fineco Sa'!$A$3,"Mese",6,"Tipologia",$A135,"Viaggio",$A$131))
+IF(ISERROR(GETPIVOTDATA("Somma di DARE",'Pivot PP Visa'!$A$3,"Mese",6,"Tipologia",$A135,"Viaggio",$A$131)),0,GETPIVOTDATA("Somma di DARE",'Pivot PP Visa'!$A$3,"Mese",6,"Tipologia",$A135,"Viaggio",$A$131))
-IF(ISERROR(GETPIVOTDATA("Somma di AVERE",'Pivot PP Visa'!$A$3,"Mese",6,"Tipologia",$A135,"Viaggio",$A$131)),0,GETPIVOTDATA("Somma di AVERE",'Pivot PP Visa'!$A$3,"Mese",6,"Tipologia",$A135,"Viaggio",$A$131))
+IF(ISERROR(GETPIVOTDATA("Somma di DARE",'Pivot Revolut'!$A$3,"Mese",6,"Tipologia",$A135,"Viaggio",$A$131)),0,GETPIVOTDATA("Somma di DARE",'Pivot Revolut'!$A$3,"Mese",6,"Tipologia",$A135,"Viaggio",$A$131))
-IF(ISERROR(GETPIVOTDATA("Somma di AVERE",'Pivot Revolut'!$A$3,"Mese",6,"Tipologia",$A135,"Viaggio",$A$131)),0,GETPIVOTDATA("Somma di AVERE",'Pivot Revolut'!$A$3,"Mese",6,"Tipologia",$A135,"Viaggio",$A$131))
+IF(ISERROR(GETPIVOTDATA("Somma di DARE",'Pivot RakBank EUR'!$A$3,"Mese",6,"Tipologia",$A135,"Viaggio",$A$131)),0,GETPIVOTDATA("Somma di DARE",'Pivot RakBank EUR'!$A$3,"Mese",6,"Tipologia",$A135,"Viaggio",$A$131))
-IF(ISERROR(GETPIVOTDATA("Somma di AVERE",'Pivot RakBank EUR'!$A$3,"Mese",6,"Tipologia",$A135,"Viaggio",$A$131)),0,GETPIVOTDATA("Somma di AVERE",'Pivot RakBank EUR'!$A$3,"Mese",6,"Tipologia",$A135,"Viaggio",$A$131))
+IF(ISERROR(GETPIVOTDATA("Somma di DARE EUR",'Pivot RakBank AED'!$A$3,"Mese",6,"Tipologia",$A135,"Viaggio",$A$131)),0,GETPIVOTDATA("Somma di DARE EUR",'Pivot RakBank AED'!$A$3,"Mese",6,"Tipologia",$A135,"Viaggio",$A$131))
-IF(ISERROR(GETPIVOTDATA("Somma di AVERE EUR",'Pivot RakBank AED'!$A$3,"Mese",6,"Tipologia",$A135,"Viaggio",$A$131)),0,GETPIVOTDATA("Somma di AVERE EUR",'Pivot RakBank AED'!$A$3,"Mese",6,"Tipologia",$A135,"Viaggio",$A$131))</f>
        <v>0</v>
      </c>
      <c r="I135" s="270">
        <f>IF(ISERROR(GETPIVOTDATA("Somma di DARE",'Pivot Fineco Sa'!$A$3,"Mese",7,"Tipologia",$A135,"Viaggio",$A$131)),0,GETPIVOTDATA("Somma di DARE",'Pivot Fineco Sa'!$A$3,"Mese",7,"Tipologia",$A135,"Viaggio",$A$131))
+IF(ISERROR(GETPIVOTDATA("Somma di DARE",'Pivot Fineco St'!$A$3,"Mese",7,"Tipologia",$A135,"Viaggio",$A$131)),0,GETPIVOTDATA("Somma di DARE",'Pivot Fineco St'!$A$3,"Mese",7,"Tipologia",$A135,"Viaggio",$A$131))
+IF(Contanti!$AC42='Conto Economico'!$A$131,Contanti!$Z42)
+IF(ISERROR(GETPIVOTDATA("Somma di DARE",'Pivot BBVA'!$A$3,"Mese",7,"Tipologia",$A135,"Viaggio",$A$131)),0,GETPIVOTDATA("Somma di DARE",'Pivot BBVA'!$A$3,"Mese",7,"Tipologia",$A135,"Viaggio",$A$131))
+IF(ISERROR(GETPIVOTDATA("Somma di DARE",'Pivot Amex'!$A$3,"Mese",7,"Tipologia",$A135,"Viaggio",$A$131)),0,GETPIVOTDATA("Somma di DARE",'Pivot Amex'!$A$3,"Mese",7,"Tipologia",$A135,"Viaggio",$A$131))
-IF(ISERROR(GETPIVOTDATA("Somma di AVERE",'Pivot Amex'!$A$3,"Mese",7,"Tipologia",$A135,"Viaggio",$A$131)),0,GETPIVOTDATA("Somma di AVERE",'Pivot Amex'!$A$3,"Mese",7,"Tipologia",$A135,"Viaggio",$A$131))
-IF(ISERROR(GETPIVOTDATA("Somma di AVERE",'Pivot BBVA'!$A$3,"Mese",7,"Tipologia",$A135,"Viaggio",$A$131)),0,GETPIVOTDATA("Somma di AVERE",'Pivot BBVA'!$A$3,"Mese",7,"Tipologia",$A135,"Viaggio",$A$131))
-IF(ISERROR(GETPIVOTDATA("Somma di AVERE",'Pivot Fineco St'!$A$3,"Mese",7,"Tipologia",$A135,"Viaggio",$A$131)),0,GETPIVOTDATA("Somma di AVERE",'Pivot Fineco St'!$A$3,"Mese",7,"Tipologia",$A135,"Viaggio",$A$131))
-IF(ISERROR(GETPIVOTDATA("Somma di AVERE",'Pivot Fineco Sa'!$A$3,"Mese",7,"Tipologia",$A135,"Viaggio",$A$131)),0,GETPIVOTDATA("Somma di AVERE",'Pivot Fineco Sa'!$A$3,"Mese",7,"Tipologia",$A135,"Viaggio",$A$131))
+IF(ISERROR(GETPIVOTDATA("Somma di DARE",'Pivot PP Visa'!$A$3,"Mese",7,"Tipologia",$A135,"Viaggio",$A$131)),0,GETPIVOTDATA("Somma di DARE",'Pivot PP Visa'!$A$3,"Mese",7,"Tipologia",$A135,"Viaggio",$A$131))
-IF(ISERROR(GETPIVOTDATA("Somma di AVERE",'Pivot PP Visa'!$A$3,"Mese",7,"Tipologia",$A135,"Viaggio",$A$131)),0,GETPIVOTDATA("Somma di AVERE",'Pivot PP Visa'!$A$3,"Mese",7,"Tipologia",$A135,"Viaggio",$A$131))
+IF(ISERROR(GETPIVOTDATA("Somma di DARE",'Pivot Revolut'!$A$3,"Mese",7,"Tipologia",$A135,"Viaggio",$A$131)),0,GETPIVOTDATA("Somma di DARE",'Pivot Revolut'!$A$3,"Mese",7,"Tipologia",$A135,"Viaggio",$A$131))
-IF(ISERROR(GETPIVOTDATA("Somma di AVERE",'Pivot Revolut'!$A$3,"Mese",7,"Tipologia",$A135,"Viaggio",$A$131)),0,GETPIVOTDATA("Somma di AVERE",'Pivot Revolut'!$A$3,"Mese",7,"Tipologia",$A135,"Viaggio",$A$131))
+IF(ISERROR(GETPIVOTDATA("Somma di DARE",'Pivot RakBank EUR'!$A$3,"Mese",7,"Tipologia",$A135,"Viaggio",$A$131)),0,GETPIVOTDATA("Somma di DARE",'Pivot RakBank EUR'!$A$3,"Mese",7,"Tipologia",$A135,"Viaggio",$A$131))
-IF(ISERROR(GETPIVOTDATA("Somma di AVERE",'Pivot RakBank EUR'!$A$3,"Mese",7,"Tipologia",$A135,"Viaggio",$A$131)),0,GETPIVOTDATA("Somma di AVERE",'Pivot RakBank EUR'!$A$3,"Mese",7,"Tipologia",$A135,"Viaggio",$A$131))
+IF(ISERROR(GETPIVOTDATA("Somma di DARE EUR",'Pivot RakBank AED'!$A$3,"Mese",7,"Tipologia",$A135,"Viaggio",$A$131)),0,GETPIVOTDATA("Somma di DARE EUR",'Pivot RakBank AED'!$A$3,"Mese",7,"Tipologia",$A135,"Viaggio",$A$131))
-IF(ISERROR(GETPIVOTDATA("Somma di AVERE EUR",'Pivot RakBank AED'!$A$3,"Mese",7,"Tipologia",$A135,"Viaggio",$A$131)),0,GETPIVOTDATA("Somma di AVERE EUR",'Pivot RakBank AED'!$A$3,"Mese",7,"Tipologia",$A135,"Viaggio",$A$131))</f>
        <v>0</v>
      </c>
      <c r="J135" s="270">
        <f>IF(ISERROR(GETPIVOTDATA("Somma di DARE",'Pivot Fineco Sa'!$A$3,"Mese",8,"Tipologia",$A135,"Viaggio",$A$131)),0,GETPIVOTDATA("Somma di DARE",'Pivot Fineco Sa'!$A$3,"Mese",8,"Tipologia",$A135,"Viaggio",$A$131))
+IF(ISERROR(GETPIVOTDATA("Somma di DARE",'Pivot Fineco St'!$A$3,"Mese",8,"Tipologia",$A135,"Viaggio",$A$131)),0,GETPIVOTDATA("Somma di DARE",'Pivot Fineco St'!$A$3,"Mese",8,"Tipologia",$A135,"Viaggio",$A$131))
+IF(Contanti!$AG42='Conto Economico'!$A$131,Contanti!$AD42)
+IF(ISERROR(GETPIVOTDATA("Somma di DARE",'Pivot BBVA'!$A$3,"Mese",8,"Tipologia",$A135,"Viaggio",$A$131)),0,GETPIVOTDATA("Somma di DARE",'Pivot BBVA'!$A$3,"Mese",8,"Tipologia",$A135,"Viaggio",$A$131))
+IF(ISERROR(GETPIVOTDATA("Somma di DARE",'Pivot Amex'!$A$3,"Mese",8,"Tipologia",$A135,"Viaggio",$A$131)),0,GETPIVOTDATA("Somma di DARE",'Pivot Amex'!$A$3,"Mese",8,"Tipologia",$A135,"Viaggio",$A$131))
-IF(ISERROR(GETPIVOTDATA("Somma di AVERE",'Pivot Amex'!$A$3,"Mese",8,"Tipologia",$A135,"Viaggio",$A$131)),0,GETPIVOTDATA("Somma di AVERE",'Pivot Amex'!$A$3,"Mese",8,"Tipologia",$A135,"Viaggio",$A$131))
-IF(ISERROR(GETPIVOTDATA("Somma di AVERE",'Pivot BBVA'!$A$3,"Mese",8,"Tipologia",$A135,"Viaggio",$A$131)),0,GETPIVOTDATA("Somma di AVERE",'Pivot BBVA'!$A$3,"Mese",8,"Tipologia",$A135,"Viaggio",$A$131))
-IF(ISERROR(GETPIVOTDATA("Somma di AVERE",'Pivot Fineco St'!$A$3,"Mese",8,"Tipologia",$A135,"Viaggio",$A$131)),0,GETPIVOTDATA("Somma di AVERE",'Pivot Fineco St'!$A$3,"Mese",8,"Tipologia",$A135,"Viaggio",$A$131))
-IF(ISERROR(GETPIVOTDATA("Somma di AVERE",'Pivot Fineco Sa'!$A$3,"Mese",8,"Tipologia",$A135,"Viaggio",$A$131)),0,GETPIVOTDATA("Somma di AVERE",'Pivot Fineco Sa'!$A$3,"Mese",8,"Tipologia",$A135,"Viaggio",$A$131))
+IF(ISERROR(GETPIVOTDATA("Somma di DARE",'Pivot PP Visa'!$A$3,"Mese",8,"Tipologia",$A135,"Viaggio",$A$131)),0,GETPIVOTDATA("Somma di DARE",'Pivot PP Visa'!$A$3,"Mese",8,"Tipologia",$A135,"Viaggio",$A$131))
-IF(ISERROR(GETPIVOTDATA("Somma di AVERE",'Pivot PP Visa'!$A$3,"Mese",8,"Tipologia",$A135,"Viaggio",$A$131)),0,GETPIVOTDATA("Somma di AVERE",'Pivot PP Visa'!$A$3,"Mese",8,"Tipologia",$A135,"Viaggio",$A$131))
+IF(ISERROR(GETPIVOTDATA("Somma di DARE",'Pivot Revolut'!$A$3,"Mese",8,"Tipologia",$A135,"Viaggio",$A$131)),0,GETPIVOTDATA("Somma di DARE",'Pivot Revolut'!$A$3,"Mese",8,"Tipologia",$A135,"Viaggio",$A$131))
-IF(ISERROR(GETPIVOTDATA("Somma di AVERE",'Pivot Revolut'!$A$3,"Mese",8,"Tipologia",$A135,"Viaggio",$A$131)),0,GETPIVOTDATA("Somma di AVERE",'Pivot Revolut'!$A$3,"Mese",8,"Tipologia",$A135,"Viaggio",$A$131))
+IF(ISERROR(GETPIVOTDATA("Somma di DARE",'Pivot RakBank EUR'!$A$3,"Mese",8,"Tipologia",$A135,"Viaggio",$A$131)),0,GETPIVOTDATA("Somma di DARE",'Pivot RakBank EUR'!$A$3,"Mese",8,"Tipologia",$A135,"Viaggio",$A$131))
-IF(ISERROR(GETPIVOTDATA("Somma di AVERE",'Pivot RakBank EUR'!$A$3,"Mese",8,"Tipologia",$A135,"Viaggio",$A$131)),0,GETPIVOTDATA("Somma di AVERE",'Pivot RakBank EUR'!$A$3,"Mese",8,"Tipologia",$A135,"Viaggio",$A$131))
+IF(ISERROR(GETPIVOTDATA("Somma di DARE EUR",'Pivot RakBank AED'!$A$3,"Mese",8,"Tipologia",$A135,"Viaggio",$A$131)),0,GETPIVOTDATA("Somma di DARE EUR",'Pivot RakBank AED'!$A$3,"Mese",8,"Tipologia",$A135,"Viaggio",$A$131))
-IF(ISERROR(GETPIVOTDATA("Somma di AVERE EUR",'Pivot RakBank AED'!$A$3,"Mese",8,"Tipologia",$A135,"Viaggio",$A$131)),0,GETPIVOTDATA("Somma di AVERE EUR",'Pivot RakBank AED'!$A$3,"Mese",8,"Tipologia",$A135,"Viaggio",$A$131))</f>
        <v>0</v>
      </c>
      <c r="K135" s="270">
        <f>IF(ISERROR(GETPIVOTDATA("Somma di DARE",'Pivot Fineco Sa'!$A$3,"Mese",9,"Tipologia",$A135,"Viaggio",$A$131)),0,GETPIVOTDATA("Somma di DARE",'Pivot Fineco Sa'!$A$3,"Mese",9,"Tipologia",$A135,"Viaggio",$A$131))
+IF(ISERROR(GETPIVOTDATA("Somma di DARE",'Pivot Fineco St'!$A$3,"Mese",9,"Tipologia",$A135,"Viaggio",$A$131)),0,GETPIVOTDATA("Somma di DARE",'Pivot Fineco St'!$A$3,"Mese",9,"Tipologia",$A135,"Viaggio",$A$131))
+IF(Contanti!$AK42='Conto Economico'!$A$131,Contanti!$AH42)
+IF(ISERROR(GETPIVOTDATA("Somma di DARE",'Pivot BBVA'!$A$3,"Mese",9,"Tipologia",$A135,"Viaggio",$A$131)),0,GETPIVOTDATA("Somma di DARE",'Pivot BBVA'!$A$3,"Mese",9,"Tipologia",$A135,"Viaggio",$A$131))
+IF(ISERROR(GETPIVOTDATA("Somma di DARE",'Pivot Amex'!$A$3,"Mese",9,"Tipologia",$A135,"Viaggio",$A$131)),0,GETPIVOTDATA("Somma di DARE",'Pivot Amex'!$A$3,"Mese",9,"Tipologia",$A135,"Viaggio",$A$131))
-IF(ISERROR(GETPIVOTDATA("Somma di AVERE",'Pivot Amex'!$A$3,"Mese",9,"Tipologia",$A135,"Viaggio",$A$131)),0,GETPIVOTDATA("Somma di AVERE",'Pivot Amex'!$A$3,"Mese",9,"Tipologia",$A135,"Viaggio",$A$131))
-IF(ISERROR(GETPIVOTDATA("Somma di AVERE",'Pivot BBVA'!$A$3,"Mese",9,"Tipologia",$A135,"Viaggio",$A$131)),0,GETPIVOTDATA("Somma di AVERE",'Pivot BBVA'!$A$3,"Mese",9,"Tipologia",$A135,"Viaggio",$A$131))
-IF(ISERROR(GETPIVOTDATA("Somma di AVERE",'Pivot Fineco St'!$A$3,"Mese",9,"Tipologia",$A135,"Viaggio",$A$131)),0,GETPIVOTDATA("Somma di AVERE",'Pivot Fineco St'!$A$3,"Mese",9,"Tipologia",$A135,"Viaggio",$A$131))
-IF(ISERROR(GETPIVOTDATA("Somma di AVERE",'Pivot Fineco Sa'!$A$3,"Mese",9,"Tipologia",$A135,"Viaggio",$A$131)),0,GETPIVOTDATA("Somma di AVERE",'Pivot Fineco Sa'!$A$3,"Mese",9,"Tipologia",$A135,"Viaggio",$A$131))
+IF(ISERROR(GETPIVOTDATA("Somma di DARE",'Pivot PP Visa'!$A$3,"Mese",9,"Tipologia",$A135,"Viaggio",$A$131)),0,GETPIVOTDATA("Somma di DARE",'Pivot PP Visa'!$A$3,"Mese",9,"Tipologia",$A135,"Viaggio",$A$131))
-IF(ISERROR(GETPIVOTDATA("Somma di AVERE",'Pivot PP Visa'!$A$3,"Mese",9,"Tipologia",$A135,"Viaggio",$A$131)),0,GETPIVOTDATA("Somma di AVERE",'Pivot PP Visa'!$A$3,"Mese",9,"Tipologia",$A135,"Viaggio",$A$131))
+IF(ISERROR(GETPIVOTDATA("Somma di DARE",'Pivot Revolut'!$A$3,"Mese",9,"Tipologia",$A135,"Viaggio",$A$131)),0,GETPIVOTDATA("Somma di DARE",'Pivot Revolut'!$A$3,"Mese",9,"Tipologia",$A135,"Viaggio",$A$131))
-IF(ISERROR(GETPIVOTDATA("Somma di AVERE",'Pivot Revolut'!$A$3,"Mese",9,"Tipologia",$A135,"Viaggio",$A$131)),0,GETPIVOTDATA("Somma di AVERE",'Pivot Revolut'!$A$3,"Mese",9,"Tipologia",$A135,"Viaggio",$A$131))
+IF(ISERROR(GETPIVOTDATA("Somma di DARE",'Pivot RakBank EUR'!$A$3,"Mese",9,"Tipologia",$A135,"Viaggio",$A$131)),0,GETPIVOTDATA("Somma di DARE",'Pivot RakBank EUR'!$A$3,"Mese",9,"Tipologia",$A135,"Viaggio",$A$131))
-IF(ISERROR(GETPIVOTDATA("Somma di AVERE",'Pivot RakBank EUR'!$A$3,"Mese",9,"Tipologia",$A135,"Viaggio",$A$131)),0,GETPIVOTDATA("Somma di AVERE",'Pivot RakBank EUR'!$A$3,"Mese",9,"Tipologia",$A135,"Viaggio",$A$131))
+IF(ISERROR(GETPIVOTDATA("Somma di DARE EUR",'Pivot RakBank AED'!$A$3,"Mese",9,"Tipologia",$A135,"Viaggio",$A$131)),0,GETPIVOTDATA("Somma di DARE EUR",'Pivot RakBank AED'!$A$3,"Mese",9,"Tipologia",$A135,"Viaggio",$A$131))
-IF(ISERROR(GETPIVOTDATA("Somma di AVERE EUR",'Pivot RakBank AED'!$A$3,"Mese",9,"Tipologia",$A135,"Viaggio",$A$131)),0,GETPIVOTDATA("Somma di AVERE EUR",'Pivot RakBank AED'!$A$3,"Mese",9,"Tipologia",$A135,"Viaggio",$A$131))</f>
        <v>0</v>
      </c>
      <c r="L135" s="270">
        <f>IF(ISERROR(GETPIVOTDATA("Somma di DARE",'Pivot Fineco Sa'!$A$3,"Mese",10,"Tipologia",$A135,"Viaggio",$A$131)),0,GETPIVOTDATA("Somma di DARE",'Pivot Fineco Sa'!$A$3,"Mese",10,"Tipologia",$A135,"Viaggio",$A$131))
+IF(ISERROR(GETPIVOTDATA("Somma di DARE",'Pivot Fineco St'!$A$3,"Mese",10,"Tipologia",$A135,"Viaggio",$A$131)),0,GETPIVOTDATA("Somma di DARE",'Pivot Fineco St'!$A$3,"Mese",10,"Tipologia",$A135,"Viaggio",$A$131))
+IF(Contanti!$AO42='Conto Economico'!$A$131,Contanti!$AL42)
+IF(ISERROR(GETPIVOTDATA("Somma di DARE",'Pivot BBVA'!$A$3,"Mese",10,"Tipologia",$A135,"Viaggio",$A$131)),0,GETPIVOTDATA("Somma di DARE",'Pivot BBVA'!$A$3,"Mese",10,"Tipologia",$A135,"Viaggio",$A$131))
+IF(ISERROR(GETPIVOTDATA("Somma di DARE",'Pivot Amex'!$A$3,"Mese",10,"Tipologia",$A135,"Viaggio",$A$131)),0,GETPIVOTDATA("Somma di DARE",'Pivot Amex'!$A$3,"Mese",10,"Tipologia",$A135,"Viaggio",$A$131))
-IF(ISERROR(GETPIVOTDATA("Somma di AVERE",'Pivot Amex'!$A$3,"Mese",10,"Tipologia",$A135,"Viaggio",$A$131)),0,GETPIVOTDATA("Somma di AVERE",'Pivot Amex'!$A$3,"Mese",10,"Tipologia",$A135,"Viaggio",$A$131))
-IF(ISERROR(GETPIVOTDATA("Somma di AVERE",'Pivot BBVA'!$A$3,"Mese",10,"Tipologia",$A135,"Viaggio",$A$131)),0,GETPIVOTDATA("Somma di AVERE",'Pivot BBVA'!$A$3,"Mese",10,"Tipologia",$A135,"Viaggio",$A$131))
-IF(ISERROR(GETPIVOTDATA("Somma di AVERE",'Pivot Fineco St'!$A$3,"Mese",10,"Tipologia",$A135,"Viaggio",$A$131)),0,GETPIVOTDATA("Somma di AVERE",'Pivot Fineco St'!$A$3,"Mese",10,"Tipologia",$A135,"Viaggio",$A$131))
-IF(ISERROR(GETPIVOTDATA("Somma di AVERE",'Pivot Fineco Sa'!$A$3,"Mese",10,"Tipologia",$A135,"Viaggio",$A$131)),0,GETPIVOTDATA("Somma di AVERE",'Pivot Fineco Sa'!$A$3,"Mese",10,"Tipologia",$A135,"Viaggio",$A$131))
+IF(ISERROR(GETPIVOTDATA("Somma di DARE",'Pivot PP Visa'!$A$3,"Mese",10,"Tipologia",$A135,"Viaggio",$A$131)),0,GETPIVOTDATA("Somma di DARE",'Pivot PP Visa'!$A$3,"Mese",10,"Tipologia",$A135,"Viaggio",$A$131))
-IF(ISERROR(GETPIVOTDATA("Somma di AVERE",'Pivot PP Visa'!$A$3,"Mese",10,"Tipologia",$A135,"Viaggio",$A$131)),0,GETPIVOTDATA("Somma di AVERE",'Pivot PP Visa'!$A$3,"Mese",10,"Tipologia",$A135,"Viaggio",$A$131))
+IF(ISERROR(GETPIVOTDATA("Somma di DARE",'Pivot Revolut'!$A$3,"Mese",10,"Tipologia",$A135,"Viaggio",$A$131)),0,GETPIVOTDATA("Somma di DARE",'Pivot Revolut'!$A$3,"Mese",10,"Tipologia",$A135,"Viaggio",$A$131))
-IF(ISERROR(GETPIVOTDATA("Somma di AVERE",'Pivot Revolut'!$A$3,"Mese",10,"Tipologia",$A135,"Viaggio",$A$131)),0,GETPIVOTDATA("Somma di AVERE",'Pivot Revolut'!$A$3,"Mese",10,"Tipologia",$A135,"Viaggio",$A$131))
+IF(ISERROR(GETPIVOTDATA("Somma di DARE",'Pivot RakBank EUR'!$A$3,"Mese",10,"Tipologia",$A135,"Viaggio",$A$131)),0,GETPIVOTDATA("Somma di DARE",'Pivot RakBank EUR'!$A$3,"Mese",10,"Tipologia",$A135,"Viaggio",$A$131))
-IF(ISERROR(GETPIVOTDATA("Somma di AVERE",'Pivot RakBank EUR'!$A$3,"Mese",10,"Tipologia",$A135,"Viaggio",$A$131)),0,GETPIVOTDATA("Somma di AVERE",'Pivot RakBank EUR'!$A$3,"Mese",10,"Tipologia",$A135,"Viaggio",$A$131))
+IF(ISERROR(GETPIVOTDATA("Somma di DARE EUR",'Pivot RakBank AED'!$A$3,"Mese",10,"Tipologia",$A135,"Viaggio",$A$131)),0,GETPIVOTDATA("Somma di DARE EUR",'Pivot RakBank AED'!$A$3,"Mese",10,"Tipologia",$A135,"Viaggio",$A$131))
-IF(ISERROR(GETPIVOTDATA("Somma di AVERE EUR",'Pivot RakBank AED'!$A$3,"Mese",10,"Tipologia",$A135,"Viaggio",$A$131)),0,GETPIVOTDATA("Somma di AVERE EUR",'Pivot RakBank AED'!$A$3,"Mese",10,"Tipologia",$A135,"Viaggio",$A$131))</f>
        <v>0</v>
      </c>
      <c r="M135" s="270">
        <f>IF(ISERROR(GETPIVOTDATA("Somma di DARE",'Pivot Fineco Sa'!$A$3,"Mese",11,"Tipologia",$A135,"Viaggio",$A$131)),0,GETPIVOTDATA("Somma di DARE",'Pivot Fineco Sa'!$A$3,"Mese",11,"Tipologia",$A135,"Viaggio",$A$131))
+IF(ISERROR(GETPIVOTDATA("Somma di DARE",'Pivot Fineco St'!$A$3,"Mese",11,"Tipologia",$A135,"Viaggio",$A$131)),0,GETPIVOTDATA("Somma di DARE",'Pivot Fineco St'!$A$3,"Mese",11,"Tipologia",$A135,"Viaggio",$A$131))
+IF(Contanti!$AS42='Conto Economico'!$A$131,Contanti!$AP42)
+IF(ISERROR(GETPIVOTDATA("Somma di DARE",'Pivot BBVA'!$A$3,"Mese",11,"Tipologia",$A135,"Viaggio",$A$131)),0,GETPIVOTDATA("Somma di DARE",'Pivot BBVA'!$A$3,"Mese",11,"Tipologia",$A135,"Viaggio",$A$131))
+IF(ISERROR(GETPIVOTDATA("Somma di DARE",'Pivot Amex'!$A$3,"Mese",11,"Tipologia",$A135,"Viaggio",$A$131)),0,GETPIVOTDATA("Somma di DARE",'Pivot Amex'!$A$3,"Mese",11,"Tipologia",$A135,"Viaggio",$A$131))
-IF(ISERROR(GETPIVOTDATA("Somma di AVERE",'Pivot Amex'!$A$3,"Mese",11,"Tipologia",$A135,"Viaggio",$A$131)),0,GETPIVOTDATA("Somma di AVERE",'Pivot Amex'!$A$3,"Mese",11,"Tipologia",$A135,"Viaggio",$A$131))
-IF(ISERROR(GETPIVOTDATA("Somma di AVERE",'Pivot BBVA'!$A$3,"Mese",11,"Tipologia",$A135,"Viaggio",$A$131)),0,GETPIVOTDATA("Somma di AVERE",'Pivot BBVA'!$A$3,"Mese",11,"Tipologia",$A135,"Viaggio",$A$131))
-IF(ISERROR(GETPIVOTDATA("Somma di AVERE",'Pivot Fineco St'!$A$3,"Mese",11,"Tipologia",$A135,"Viaggio",$A$131)),0,GETPIVOTDATA("Somma di AVERE",'Pivot Fineco St'!$A$3,"Mese",11,"Tipologia",$A135,"Viaggio",$A$131))
-IF(ISERROR(GETPIVOTDATA("Somma di AVERE",'Pivot Fineco Sa'!$A$3,"Mese",11,"Tipologia",$A135,"Viaggio",$A$131)),0,GETPIVOTDATA("Somma di AVERE",'Pivot Fineco Sa'!$A$3,"Mese",11,"Tipologia",$A135,"Viaggio",$A$131))
+IF(ISERROR(GETPIVOTDATA("Somma di DARE",'Pivot PP Visa'!$A$3,"Mese",11,"Tipologia",$A135,"Viaggio",$A$131)),0,GETPIVOTDATA("Somma di DARE",'Pivot PP Visa'!$A$3,"Mese",11,"Tipologia",$A135,"Viaggio",$A$131))
-IF(ISERROR(GETPIVOTDATA("Somma di AVERE",'Pivot PP Visa'!$A$3,"Mese",11,"Tipologia",$A135,"Viaggio",$A$131)),0,GETPIVOTDATA("Somma di AVERE",'Pivot PP Visa'!$A$3,"Mese",11,"Tipologia",$A135,"Viaggio",$A$131))
+IF(ISERROR(GETPIVOTDATA("Somma di DARE",'Pivot Revolut'!$A$3,"Mese",11,"Tipologia",$A135,"Viaggio",$A$131)),0,GETPIVOTDATA("Somma di DARE",'Pivot Revolut'!$A$3,"Mese",11,"Tipologia",$A135,"Viaggio",$A$131))
-IF(ISERROR(GETPIVOTDATA("Somma di AVERE",'Pivot Revolut'!$A$3,"Mese",11,"Tipologia",$A135,"Viaggio",$A$131)),0,GETPIVOTDATA("Somma di AVERE",'Pivot Revolut'!$A$3,"Mese",11,"Tipologia",$A135,"Viaggio",$A$131))
+IF(ISERROR(GETPIVOTDATA("Somma di DARE",'Pivot RakBank EUR'!$A$3,"Mese",11,"Tipologia",$A135,"Viaggio",$A$131)),0,GETPIVOTDATA("Somma di DARE",'Pivot RakBank EUR'!$A$3,"Mese",11,"Tipologia",$A135,"Viaggio",$A$131))
-IF(ISERROR(GETPIVOTDATA("Somma di AVERE",'Pivot RakBank EUR'!$A$3,"Mese",11,"Tipologia",$A135,"Viaggio",$A$131)),0,GETPIVOTDATA("Somma di AVERE",'Pivot RakBank EUR'!$A$3,"Mese",11,"Tipologia",$A135,"Viaggio",$A$131))
+IF(ISERROR(GETPIVOTDATA("Somma di DARE EUR",'Pivot RakBank AED'!$A$3,"Mese",11,"Tipologia",$A135,"Viaggio",$A$131)),0,GETPIVOTDATA("Somma di DARE EUR",'Pivot RakBank AED'!$A$3,"Mese",11,"Tipologia",$A135,"Viaggio",$A$131))
-IF(ISERROR(GETPIVOTDATA("Somma di AVERE EUR",'Pivot RakBank AED'!$A$3,"Mese",11,"Tipologia",$A135,"Viaggio",$A$131)),0,GETPIVOTDATA("Somma di AVERE EUR",'Pivot RakBank AED'!$A$3,"Mese",11,"Tipologia",$A135,"Viaggio",$A$131))</f>
        <v>0</v>
      </c>
      <c r="N135" s="270">
        <f>IF(ISERROR(GETPIVOTDATA("Somma di DARE",'Pivot Fineco Sa'!$A$3,"Mese",12,"Tipologia",$A135,"Viaggio",$A$131)),0,GETPIVOTDATA("Somma di DARE",'Pivot Fineco Sa'!$A$3,"Mese",12,"Tipologia",$A135,"Viaggio",$A$131))
+IF(ISERROR(GETPIVOTDATA("Somma di DARE",'Pivot Fineco St'!$A$3,"Mese",12,"Tipologia",$A135,"Viaggio",$A$131)),0,GETPIVOTDATA("Somma di DARE",'Pivot Fineco St'!$A$3,"Mese",12,"Tipologia",$A135,"Viaggio",$A$131))
+IF(Contanti!$AW42='Conto Economico'!$A$131,Contanti!$AT42)
+IF(ISERROR(GETPIVOTDATA("Somma di DARE",'Pivot BBVA'!$A$3,"Mese",12,"Tipologia",$A135,"Viaggio",$A$131)),0,GETPIVOTDATA("Somma di DARE",'Pivot BBVA'!$A$3,"Mese",12,"Tipologia",$A135,"Viaggio",$A$131))
+IF(ISERROR(GETPIVOTDATA("Somma di DARE",'Pivot Amex'!$A$3,"Mese",12,"Tipologia",$A135,"Viaggio",$A$131)),0,GETPIVOTDATA("Somma di DARE",'Pivot Amex'!$A$3,"Mese",12,"Tipologia",$A135,"Viaggio",$A$131))
-IF(ISERROR(GETPIVOTDATA("Somma di AVERE",'Pivot Amex'!$A$3,"Mese",12,"Tipologia",$A135,"Viaggio",$A$131)),0,GETPIVOTDATA("Somma di AVERE",'Pivot Amex'!$A$3,"Mese",12,"Tipologia",$A135,"Viaggio",$A$131))
-IF(ISERROR(GETPIVOTDATA("Somma di AVERE",'Pivot BBVA'!$A$3,"Mese",12,"Tipologia",$A135,"Viaggio",$A$131)),0,GETPIVOTDATA("Somma di AVERE",'Pivot BBVA'!$A$3,"Mese",12,"Tipologia",$A135,"Viaggio",$A$131))
-IF(ISERROR(GETPIVOTDATA("Somma di AVERE",'Pivot Fineco St'!$A$3,"Mese",12,"Tipologia",$A135,"Viaggio",$A$131)),0,GETPIVOTDATA("Somma di AVERE",'Pivot Fineco St'!$A$3,"Mese",12,"Tipologia",$A135,"Viaggio",$A$131))
-IF(ISERROR(GETPIVOTDATA("Somma di AVERE",'Pivot Fineco Sa'!$A$3,"Mese",12,"Tipologia",$A135,"Viaggio",$A$131)),0,GETPIVOTDATA("Somma di AVERE",'Pivot Fineco Sa'!$A$3,"Mese",12,"Tipologia",$A135,"Viaggio",$A$131))
+IF(ISERROR(GETPIVOTDATA("Somma di DARE",'Pivot PP Visa'!$A$3,"Mese",12,"Tipologia",$A135,"Viaggio",$A$131)),0,GETPIVOTDATA("Somma di DARE",'Pivot PP Visa'!$A$3,"Mese",12,"Tipologia",$A135,"Viaggio",$A$131))
-IF(ISERROR(GETPIVOTDATA("Somma di AVERE",'Pivot PP Visa'!$A$3,"Mese",12,"Tipologia",$A135,"Viaggio",$A$131)),0,GETPIVOTDATA("Somma di AVERE",'Pivot PP Visa'!$A$3,"Mese",12,"Tipologia",$A135,"Viaggio",$A$131))
+IF(ISERROR(GETPIVOTDATA("Somma di DARE",'Pivot Revolut'!$A$3,"Mese",12,"Tipologia",$A135,"Viaggio",$A$131)),0,GETPIVOTDATA("Somma di DARE",'Pivot Revolut'!$A$3,"Mese",12,"Tipologia",$A135,"Viaggio",$A$131))
-IF(ISERROR(GETPIVOTDATA("Somma di AVERE",'Pivot Revolut'!$A$3,"Mese",12,"Tipologia",$A135,"Viaggio",$A$131)),0,GETPIVOTDATA("Somma di AVERE",'Pivot Revolut'!$A$3,"Mese",12,"Tipologia",$A135,"Viaggio",$A$131))
+IF(ISERROR(GETPIVOTDATA("Somma di DARE",'Pivot RakBank EUR'!$A$3,"Mese",12,"Tipologia",$A135,"Viaggio",$A$131)),0,GETPIVOTDATA("Somma di DARE",'Pivot RakBank EUR'!$A$3,"Mese",12,"Tipologia",$A135,"Viaggio",$A$131))
-IF(ISERROR(GETPIVOTDATA("Somma di AVERE",'Pivot RakBank EUR'!$A$3,"Mese",12,"Tipologia",$A135,"Viaggio",$A$131)),0,GETPIVOTDATA("Somma di AVERE",'Pivot RakBank EUR'!$A$3,"Mese",12,"Tipologia",$A135,"Viaggio",$A$131))
+IF(ISERROR(GETPIVOTDATA("Somma di DARE EUR",'Pivot RakBank AED'!$A$3,"Mese",12,"Tipologia",$A135,"Viaggio",$A$131)),0,GETPIVOTDATA("Somma di DARE EUR",'Pivot RakBank AED'!$A$3,"Mese",12,"Tipologia",$A135,"Viaggio",$A$131))
-IF(ISERROR(GETPIVOTDATA("Somma di AVERE EUR",'Pivot RakBank AED'!$A$3,"Mese",12,"Tipologia",$A135,"Viaggio",$A$131)),0,GETPIVOTDATA("Somma di AVERE EUR",'Pivot RakBank AED'!$A$3,"Mese",12,"Tipologia",$A135,"Viaggio",$A$131))</f>
        <v>0</v>
      </c>
      <c r="O135" s="271">
        <f t="shared" si="17"/>
        <v>30.032201834862384</v>
      </c>
      <c r="P135" s="270"/>
    </row>
    <row r="136" spans="1:16" s="131" customFormat="1" ht="14" outlineLevel="1" x14ac:dyDescent="0.2">
      <c r="A136" s="269" t="s">
        <v>177</v>
      </c>
      <c r="B136" s="269"/>
      <c r="C136" s="270">
        <f>IF(ISERROR(GETPIVOTDATA("Somma di DARE",'Pivot Fineco Sa'!$A$3,"Mese",1,"Tipologia",$A136,"Viaggio",$A$131)),0,GETPIVOTDATA("Somma di DARE",'Pivot Fineco Sa'!$A$3,"Mese",1,"Tipologia",$A136,"Viaggio",$A$131))
+IF(ISERROR(GETPIVOTDATA("Somma di DARE",'Pivot Fineco St'!$A$3,"Mese",1,"Tipologia",$A136,"Viaggio",$A$131)),0,GETPIVOTDATA("Somma di DARE",'Pivot Fineco St'!$A$3,"Mese",1,"Tipologia",$A136,"Viaggio",$A$131))
+IF(Contanti!$E43='Conto Economico'!$A$131,Contanti!$B43)
+IF(ISERROR(GETPIVOTDATA("Somma di DARE",'Pivot BBVA'!$A$3,"Mese",1,"Tipologia",$A136,"Viaggio",$A$131)),0,GETPIVOTDATA("Somma di DARE",'Pivot BBVA'!$A$3,"Mese",1,"Tipologia",$A136,"Viaggio",$A$131))
+IF(ISERROR(GETPIVOTDATA("Somma di DARE",'Pivot Amex'!$A$3,"Mese",1,"Tipologia",$A136,"Viaggio",$A$131)),0,GETPIVOTDATA("Somma di DARE",'Pivot Amex'!$A$3,"Mese",1,"Tipologia",$A136,"Viaggio",$A$131))
-IF(ISERROR(GETPIVOTDATA("Somma di AVERE",'Pivot Amex'!$A$3,"Mese",1,"Tipologia",$A136,"Viaggio",$A$131)),0,GETPIVOTDATA("Somma di AVERE",'Pivot Amex'!$A$3,"Mese",1,"Tipologia",$A136,"Viaggio",$A$131))
-IF(ISERROR(GETPIVOTDATA("Somma di AVERE",'Pivot BBVA'!$A$3,"Mese",1,"Tipologia",$A136,"Viaggio",$A$131)),0,GETPIVOTDATA("Somma di AVERE",'Pivot BBVA'!$A$3,"Mese",1,"Tipologia",$A136,"Viaggio",$A$131))
-IF(ISERROR(GETPIVOTDATA("Somma di AVERE",'Pivot Fineco St'!$A$3,"Mese",1,"Tipologia",$A136,"Viaggio",$A$131)),0,GETPIVOTDATA("Somma di AVERE",'Pivot Fineco St'!$A$3,"Mese",1,"Tipologia",$A136,"Viaggio",$A$131))
-IF(ISERROR(GETPIVOTDATA("Somma di AVERE",'Pivot Fineco Sa'!$A$3,"Mese",1,"Tipologia",$A136,"Viaggio",$A$131)),0,GETPIVOTDATA("Somma di AVERE",'Pivot Fineco Sa'!$A$3,"Mese",1,"Tipologia",$A136,"Viaggio",$A$131))
+IF(ISERROR(GETPIVOTDATA("Somma di DARE",'Pivot PP Visa'!$A$3,"Mese",1,"Tipologia",$A136,"Viaggio",$A$131)),0,GETPIVOTDATA("Somma di DARE",'Pivot PP Visa'!$A$3,"Mese",1,"Tipologia",$A136,"Viaggio",$A$131))
-IF(ISERROR(GETPIVOTDATA("Somma di AVERE",'Pivot PP Visa'!$A$3,"Mese",1,"Tipologia",$A136,"Viaggio",$A$131)),0,GETPIVOTDATA("Somma di AVERE",'Pivot PP Visa'!$A$3,"Mese",1,"Tipologia",$A136,"Viaggio",$A$131))
+IF(ISERROR(GETPIVOTDATA("Somma di DARE",'Pivot Revolut'!$A$3,"Mese",1,"Tipologia",$A136,"Viaggio",$A$131)),0,GETPIVOTDATA("Somma di DARE",'Pivot Revolut'!$A$3,"Mese",1,"Tipologia",$A136,"Viaggio",$A$131))
-IF(ISERROR(GETPIVOTDATA("Somma di AVERE",'Pivot Revolut'!$A$3,"Mese",1,"Tipologia",$A136,"Viaggio",$A$131)),0,GETPIVOTDATA("Somma di AVERE",'Pivot Revolut'!$A$3,"Mese",1,"Tipologia",$A136,"Viaggio",$A$131))
+IF(ISERROR(GETPIVOTDATA("Somma di DARE",'Pivot RakBank EUR'!$A$3,"Mese",1,"Tipologia",$A136,"Viaggio",$A$131)),0,GETPIVOTDATA("Somma di DARE",'Pivot RakBank EUR'!$A$3,"Mese",1,"Tipologia",$A136,"Viaggio",$A$131))
-IF(ISERROR(GETPIVOTDATA("Somma di AVERE",'Pivot RakBank EUR'!$A$3,"Mese",1,"Tipologia",$A136,"Viaggio",$A$131)),0,GETPIVOTDATA("Somma di AVERE",'Pivot RakBank EUR'!$A$3,"Mese",1,"Tipologia",$A136,"Viaggio",$A$131))
+IF(ISERROR(GETPIVOTDATA("Somma di DARE EUR",'Pivot RakBank AED'!$A$3,"Mese",1,"Tipologia",$A136,"Viaggio",$A$131)),0,GETPIVOTDATA("Somma di DARE EUR",'Pivot RakBank AED'!$A$3,"Mese",1,"Tipologia",$A136,"Viaggio",$A$131))
-IF(ISERROR(GETPIVOTDATA("Somma di AVERE EUR",'Pivot RakBank AED'!$A$3,"Mese",1,"Tipologia",$A136,"Viaggio",$A$131)),0,GETPIVOTDATA("Somma di AVERE EUR",'Pivot RakBank AED'!$A$3,"Mese",1,"Tipologia",$A136,"Viaggio",$A$131))</f>
        <v>0</v>
      </c>
      <c r="D136" s="270">
        <f>IF(ISERROR(GETPIVOTDATA("Somma di DARE",'Pivot Fineco Sa'!$A$3,"Mese",2,"Tipologia",$A136,"Viaggio",$A$131)),0,GETPIVOTDATA("Somma di DARE",'Pivot Fineco Sa'!$A$3,"Mese",2,"Tipologia",$A136,"Viaggio",$A$131))
+IF(ISERROR(GETPIVOTDATA("Somma di DARE",'Pivot Fineco St'!$A$3,"Mese",2,"Tipologia",$A136,"Viaggio",$A$131)),0,GETPIVOTDATA("Somma di DARE",'Pivot Fineco St'!$A$3,"Mese",2,"Tipologia",$A136,"Viaggio",$A$131))
+IF(Contanti!$I43='Conto Economico'!$A$131,Contanti!$F43)
+IF(ISERROR(GETPIVOTDATA("Somma di DARE",'Pivot BBVA'!$A$3,"Mese",2,"Tipologia",$A136,"Viaggio",$A$131)),0,GETPIVOTDATA("Somma di DARE",'Pivot BBVA'!$A$3,"Mese",2,"Tipologia",$A136,"Viaggio",$A$131))
+IF(ISERROR(GETPIVOTDATA("Somma di DARE",'Pivot Amex'!$A$3,"Mese",2,"Tipologia",$A136,"Viaggio",$A$131)),0,GETPIVOTDATA("Somma di DARE",'Pivot Amex'!$A$3,"Mese",2,"Tipologia",$A136,"Viaggio",$A$131))
-IF(ISERROR(GETPIVOTDATA("Somma di AVERE",'Pivot Amex'!$A$3,"Mese",2,"Tipologia",$A136,"Viaggio",$A$131)),0,GETPIVOTDATA("Somma di AVERE",'Pivot Amex'!$A$3,"Mese",2,"Tipologia",$A136,"Viaggio",$A$131))
-IF(ISERROR(GETPIVOTDATA("Somma di AVERE",'Pivot BBVA'!$A$3,"Mese",2,"Tipologia",$A136,"Viaggio",$A$131)),0,GETPIVOTDATA("Somma di AVERE",'Pivot BBVA'!$A$3,"Mese",2,"Tipologia",$A136,"Viaggio",$A$131))
-IF(ISERROR(GETPIVOTDATA("Somma di AVERE",'Pivot Fineco St'!$A$3,"Mese",2,"Tipologia",$A136,"Viaggio",$A$131)),0,GETPIVOTDATA("Somma di AVERE",'Pivot Fineco St'!$A$3,"Mese",2,"Tipologia",$A136,"Viaggio",$A$131))
-IF(ISERROR(GETPIVOTDATA("Somma di AVERE",'Pivot Fineco Sa'!$A$3,"Mese",2,"Tipologia",$A136,"Viaggio",$A$131)),0,GETPIVOTDATA("Somma di AVERE",'Pivot Fineco Sa'!$A$3,"Mese",2,"Tipologia",$A136,"Viaggio",$A$131))
+IF(ISERROR(GETPIVOTDATA("Somma di DARE",'Pivot PP Visa'!$A$3,"Mese",2,"Tipologia",$A136,"Viaggio",$A$131)),0,GETPIVOTDATA("Somma di DARE",'Pivot PP Visa'!$A$3,"Mese",2,"Tipologia",$A136,"Viaggio",$A$131))
-IF(ISERROR(GETPIVOTDATA("Somma di AVERE",'Pivot PP Visa'!$A$3,"Mese",2,"Tipologia",$A136,"Viaggio",$A$131)),0,GETPIVOTDATA("Somma di AVERE",'Pivot PP Visa'!$A$3,"Mese",2,"Tipologia",$A136,"Viaggio",$A$131))
+IF(ISERROR(GETPIVOTDATA("Somma di DARE",'Pivot Revolut'!$A$3,"Mese",2,"Tipologia",$A136,"Viaggio",$A$131)),0,GETPIVOTDATA("Somma di DARE",'Pivot Revolut'!$A$3,"Mese",2,"Tipologia",$A136,"Viaggio",$A$131))
-IF(ISERROR(GETPIVOTDATA("Somma di AVERE",'Pivot Revolut'!$A$3,"Mese",2,"Tipologia",$A136,"Viaggio",$A$131)),0,GETPIVOTDATA("Somma di AVERE",'Pivot Revolut'!$A$3,"Mese",2,"Tipologia",$A136,"Viaggio",$A$131))
+IF(ISERROR(GETPIVOTDATA("Somma di DARE",'Pivot RakBank EUR'!$A$3,"Mese",2,"Tipologia",$A136,"Viaggio",$A$131)),0,GETPIVOTDATA("Somma di DARE",'Pivot RakBank EUR'!$A$3,"Mese",2,"Tipologia",$A136,"Viaggio",$A$131))
-IF(ISERROR(GETPIVOTDATA("Somma di AVERE",'Pivot RakBank EUR'!$A$3,"Mese",2,"Tipologia",$A136,"Viaggio",$A$131)),0,GETPIVOTDATA("Somma di AVERE",'Pivot RakBank EUR'!$A$3,"Mese",2,"Tipologia",$A136,"Viaggio",$A$131))
+IF(ISERROR(GETPIVOTDATA("Somma di DARE EUR",'Pivot RakBank AED'!$A$3,"Mese",2,"Tipologia",$A136,"Viaggio",$A$131)),0,GETPIVOTDATA("Somma di DARE EUR",'Pivot RakBank AED'!$A$3,"Mese",2,"Tipologia",$A136,"Viaggio",$A$131))
-IF(ISERROR(GETPIVOTDATA("Somma di AVERE EUR",'Pivot RakBank AED'!$A$3,"Mese",2,"Tipologia",$A136,"Viaggio",$A$131)),0,GETPIVOTDATA("Somma di AVERE EUR",'Pivot RakBank AED'!$A$3,"Mese",2,"Tipologia",$A136,"Viaggio",$A$131))</f>
        <v>0</v>
      </c>
      <c r="E136" s="270">
        <f>IF(ISERROR(GETPIVOTDATA("Somma di DARE",'Pivot Fineco Sa'!$A$3,"Mese",3,"Tipologia",$A136,"Viaggio",$A$131)),0,GETPIVOTDATA("Somma di DARE",'Pivot Fineco Sa'!$A$3,"Mese",3,"Tipologia",$A136,"Viaggio",$A$131))
+IF(ISERROR(GETPIVOTDATA("Somma di DARE",'Pivot Fineco St'!$A$3,"Mese",3,"Tipologia",$A136,"Viaggio",$A$131)),0,GETPIVOTDATA("Somma di DARE",'Pivot Fineco St'!$A$3,"Mese",3,"Tipologia",$A136,"Viaggio",$A$131))
+IF(Contanti!$M43='Conto Economico'!$A$131,Contanti!$J43)
+IF(ISERROR(GETPIVOTDATA("Somma di DARE",'Pivot BBVA'!$A$3,"Mese",3,"Tipologia",$A136,"Viaggio",$A$131)),0,GETPIVOTDATA("Somma di DARE",'Pivot BBVA'!$A$3,"Mese",3,"Tipologia",$A136,"Viaggio",$A$131))
+IF(ISERROR(GETPIVOTDATA("Somma di DARE",'Pivot Amex'!$A$3,"Mese",3,"Tipologia",$A136,"Viaggio",$A$131)),0,GETPIVOTDATA("Somma di DARE",'Pivot Amex'!$A$3,"Mese",3,"Tipologia",$A136,"Viaggio",$A$131))
-IF(ISERROR(GETPIVOTDATA("Somma di AVERE",'Pivot Amex'!$A$3,"Mese",3,"Tipologia",$A136,"Viaggio",$A$131)),0,GETPIVOTDATA("Somma di AVERE",'Pivot Amex'!$A$3,"Mese",3,"Tipologia",$A136,"Viaggio",$A$131))
-IF(ISERROR(GETPIVOTDATA("Somma di AVERE",'Pivot BBVA'!$A$3,"Mese",3,"Tipologia",$A136,"Viaggio",$A$131)),0,GETPIVOTDATA("Somma di AVERE",'Pivot BBVA'!$A$3,"Mese",3,"Tipologia",$A136,"Viaggio",$A$131))
-IF(ISERROR(GETPIVOTDATA("Somma di AVERE",'Pivot Fineco St'!$A$3,"Mese",3,"Tipologia",$A136,"Viaggio",$A$131)),0,GETPIVOTDATA("Somma di AVERE",'Pivot Fineco St'!$A$3,"Mese",3,"Tipologia",$A136,"Viaggio",$A$131))
-IF(ISERROR(GETPIVOTDATA("Somma di AVERE",'Pivot Fineco Sa'!$A$3,"Mese",3,"Tipologia",$A136,"Viaggio",$A$131)),0,GETPIVOTDATA("Somma di AVERE",'Pivot Fineco Sa'!$A$3,"Mese",3,"Tipologia",$A136,"Viaggio",$A$131))
+IF(ISERROR(GETPIVOTDATA("Somma di DARE",'Pivot PP Visa'!$A$3,"Mese",3,"Tipologia",$A136,"Viaggio",$A$131)),0,GETPIVOTDATA("Somma di DARE",'Pivot PP Visa'!$A$3,"Mese",3,"Tipologia",$A136,"Viaggio",$A$131))
-IF(ISERROR(GETPIVOTDATA("Somma di AVERE",'Pivot PP Visa'!$A$3,"Mese",3,"Tipologia",$A136,"Viaggio",$A$131)),0,GETPIVOTDATA("Somma di AVERE",'Pivot PP Visa'!$A$3,"Mese",3,"Tipologia",$A136,"Viaggio",$A$131))
+IF(ISERROR(GETPIVOTDATA("Somma di DARE",'Pivot Revolut'!$A$3,"Mese",3,"Tipologia",$A136,"Viaggio",$A$131)),0,GETPIVOTDATA("Somma di DARE",'Pivot Revolut'!$A$3,"Mese",3,"Tipologia",$A136,"Viaggio",$A$131))
-IF(ISERROR(GETPIVOTDATA("Somma di AVERE",'Pivot Revolut'!$A$3,"Mese",3,"Tipologia",$A136,"Viaggio",$A$131)),0,GETPIVOTDATA("Somma di AVERE",'Pivot Revolut'!$A$3,"Mese",3,"Tipologia",$A136,"Viaggio",$A$131))
+IF(ISERROR(GETPIVOTDATA("Somma di DARE",'Pivot RakBank EUR'!$A$3,"Mese",3,"Tipologia",$A136,"Viaggio",$A$131)),0,GETPIVOTDATA("Somma di DARE",'Pivot RakBank EUR'!$A$3,"Mese",3,"Tipologia",$A136,"Viaggio",$A$131))
-IF(ISERROR(GETPIVOTDATA("Somma di AVERE",'Pivot RakBank EUR'!$A$3,"Mese",3,"Tipologia",$A136,"Viaggio",$A$131)),0,GETPIVOTDATA("Somma di AVERE",'Pivot RakBank EUR'!$A$3,"Mese",3,"Tipologia",$A136,"Viaggio",$A$131))
+IF(ISERROR(GETPIVOTDATA("Somma di DARE EUR",'Pivot RakBank AED'!$A$3,"Mese",3,"Tipologia",$A136,"Viaggio",$A$131)),0,GETPIVOTDATA("Somma di DARE EUR",'Pivot RakBank AED'!$A$3,"Mese",3,"Tipologia",$A136,"Viaggio",$A$131))
-IF(ISERROR(GETPIVOTDATA("Somma di AVERE EUR",'Pivot RakBank AED'!$A$3,"Mese",3,"Tipologia",$A136,"Viaggio",$A$131)),0,GETPIVOTDATA("Somma di AVERE EUR",'Pivot RakBank AED'!$A$3,"Mese",3,"Tipologia",$A136,"Viaggio",$A$131))</f>
        <v>0</v>
      </c>
      <c r="F136" s="270">
        <f>IF(ISERROR(GETPIVOTDATA("Somma di DARE",'Pivot Fineco Sa'!$A$3,"Mese",4,"Tipologia",$A136,"Viaggio",$A$131)),0,GETPIVOTDATA("Somma di DARE",'Pivot Fineco Sa'!$A$3,"Mese",4,"Tipologia",$A136,"Viaggio",$A$131))
+IF(ISERROR(GETPIVOTDATA("Somma di DARE",'Pivot Fineco St'!$A$3,"Mese",4,"Tipologia",$A136,"Viaggio",$A$131)),0,GETPIVOTDATA("Somma di DARE",'Pivot Fineco St'!$A$3,"Mese",4,"Tipologia",$A136,"Viaggio",$A$131))
+IF(Contanti!$Q43='Conto Economico'!$A$131,Contanti!$N43)
+IF(ISERROR(GETPIVOTDATA("Somma di DARE",'Pivot BBVA'!$A$3,"Mese",4,"Tipologia",$A136,"Viaggio",$A$131)),0,GETPIVOTDATA("Somma di DARE",'Pivot BBVA'!$A$3,"Mese",4,"Tipologia",$A136,"Viaggio",$A$131))
+IF(ISERROR(GETPIVOTDATA("Somma di DARE",'Pivot Amex'!$A$3,"Mese",4,"Tipologia",$A136,"Viaggio",$A$131)),0,GETPIVOTDATA("Somma di DARE",'Pivot Amex'!$A$3,"Mese",4,"Tipologia",$A136,"Viaggio",$A$131))
-IF(ISERROR(GETPIVOTDATA("Somma di AVERE",'Pivot Amex'!$A$3,"Mese",4,"Tipologia",$A136,"Viaggio",$A$131)),0,GETPIVOTDATA("Somma di AVERE",'Pivot Amex'!$A$3,"Mese",4,"Tipologia",$A136,"Viaggio",$A$131))
-IF(ISERROR(GETPIVOTDATA("Somma di AVERE",'Pivot BBVA'!$A$3,"Mese",4,"Tipologia",$A136,"Viaggio",$A$131)),0,GETPIVOTDATA("Somma di AVERE",'Pivot BBVA'!$A$3,"Mese",4,"Tipologia",$A136,"Viaggio",$A$131))
-IF(ISERROR(GETPIVOTDATA("Somma di AVERE",'Pivot Fineco St'!$A$3,"Mese",4,"Tipologia",$A136,"Viaggio",$A$131)),0,GETPIVOTDATA("Somma di AVERE",'Pivot Fineco St'!$A$3,"Mese",4,"Tipologia",$A136,"Viaggio",$A$131))
-IF(ISERROR(GETPIVOTDATA("Somma di AVERE",'Pivot Fineco Sa'!$A$3,"Mese",4,"Tipologia",$A136,"Viaggio",$A$131)),0,GETPIVOTDATA("Somma di AVERE",'Pivot Fineco Sa'!$A$3,"Mese",4,"Tipologia",$A136,"Viaggio",$A$131))
+IF(ISERROR(GETPIVOTDATA("Somma di DARE",'Pivot PP Visa'!$A$3,"Mese",4,"Tipologia",$A136,"Viaggio",$A$131)),0,GETPIVOTDATA("Somma di DARE",'Pivot PP Visa'!$A$3,"Mese",4,"Tipologia",$A136,"Viaggio",$A$131))
-IF(ISERROR(GETPIVOTDATA("Somma di AVERE",'Pivot PP Visa'!$A$3,"Mese",4,"Tipologia",$A136,"Viaggio",$A$131)),0,GETPIVOTDATA("Somma di AVERE",'Pivot PP Visa'!$A$3,"Mese",4,"Tipologia",$A136,"Viaggio",$A$131))
+IF(ISERROR(GETPIVOTDATA("Somma di DARE",'Pivot Revolut'!$A$3,"Mese",4,"Tipologia",$A136,"Viaggio",$A$131)),0,GETPIVOTDATA("Somma di DARE",'Pivot Revolut'!$A$3,"Mese",4,"Tipologia",$A136,"Viaggio",$A$131))
-IF(ISERROR(GETPIVOTDATA("Somma di AVERE",'Pivot Revolut'!$A$3,"Mese",4,"Tipologia",$A136,"Viaggio",$A$131)),0,GETPIVOTDATA("Somma di AVERE",'Pivot Revolut'!$A$3,"Mese",4,"Tipologia",$A136,"Viaggio",$A$131))
+IF(ISERROR(GETPIVOTDATA("Somma di DARE",'Pivot RakBank EUR'!$A$3,"Mese",4,"Tipologia",$A136,"Viaggio",$A$131)),0,GETPIVOTDATA("Somma di DARE",'Pivot RakBank EUR'!$A$3,"Mese",4,"Tipologia",$A136,"Viaggio",$A$131))
-IF(ISERROR(GETPIVOTDATA("Somma di AVERE",'Pivot RakBank EUR'!$A$3,"Mese",4,"Tipologia",$A136,"Viaggio",$A$131)),0,GETPIVOTDATA("Somma di AVERE",'Pivot RakBank EUR'!$A$3,"Mese",4,"Tipologia",$A136,"Viaggio",$A$131))
+IF(ISERROR(GETPIVOTDATA("Somma di DARE EUR",'Pivot RakBank AED'!$A$3,"Mese",4,"Tipologia",$A136,"Viaggio",$A$131)),0,GETPIVOTDATA("Somma di DARE EUR",'Pivot RakBank AED'!$A$3,"Mese",4,"Tipologia",$A136,"Viaggio",$A$131))
-IF(ISERROR(GETPIVOTDATA("Somma di AVERE EUR",'Pivot RakBank AED'!$A$3,"Mese",4,"Tipologia",$A136,"Viaggio",$A$131)),0,GETPIVOTDATA("Somma di AVERE EUR",'Pivot RakBank AED'!$A$3,"Mese",4,"Tipologia",$A136,"Viaggio",$A$131))</f>
        <v>0</v>
      </c>
      <c r="G136" s="270">
        <f>IF(ISERROR(GETPIVOTDATA("Somma di DARE",'Pivot Fineco Sa'!$A$3,"Mese",5,"Tipologia",$A136,"Viaggio",$A$131)),0,GETPIVOTDATA("Somma di DARE",'Pivot Fineco Sa'!$A$3,"Mese",5,"Tipologia",$A136,"Viaggio",$A$131))
+IF(ISERROR(GETPIVOTDATA("Somma di DARE",'Pivot Fineco St'!$A$3,"Mese",5,"Tipologia",$A136,"Viaggio",$A$131)),0,GETPIVOTDATA("Somma di DARE",'Pivot Fineco St'!$A$3,"Mese",5,"Tipologia",$A136,"Viaggio",$A$131))
+IF(Contanti!$U43='Conto Economico'!$A$131,Contanti!$R43)
+IF(ISERROR(GETPIVOTDATA("Somma di DARE",'Pivot BBVA'!$A$3,"Mese",5,"Tipologia",$A136,"Viaggio",$A$131)),0,GETPIVOTDATA("Somma di DARE",'Pivot BBVA'!$A$3,"Mese",5,"Tipologia",$A136,"Viaggio",$A$131))
+IF(ISERROR(GETPIVOTDATA("Somma di DARE",'Pivot Amex'!$A$3,"Mese",5,"Tipologia",$A136,"Viaggio",$A$131)),0,GETPIVOTDATA("Somma di DARE",'Pivot Amex'!$A$3,"Mese",5,"Tipologia",$A136,"Viaggio",$A$131))
-IF(ISERROR(GETPIVOTDATA("Somma di AVERE",'Pivot Amex'!$A$3,"Mese",5,"Tipologia",$A136,"Viaggio",$A$131)),0,GETPIVOTDATA("Somma di AVERE",'Pivot Amex'!$A$3,"Mese",5,"Tipologia",$A136,"Viaggio",$A$131))
-IF(ISERROR(GETPIVOTDATA("Somma di AVERE",'Pivot BBVA'!$A$3,"Mese",5,"Tipologia",$A136,"Viaggio",$A$131)),0,GETPIVOTDATA("Somma di AVERE",'Pivot BBVA'!$A$3,"Mese",5,"Tipologia",$A136,"Viaggio",$A$131))
-IF(ISERROR(GETPIVOTDATA("Somma di AVERE",'Pivot Fineco St'!$A$3,"Mese",5,"Tipologia",$A136,"Viaggio",$A$131)),0,GETPIVOTDATA("Somma di AVERE",'Pivot Fineco St'!$A$3,"Mese",5,"Tipologia",$A136,"Viaggio",$A$131))
-IF(ISERROR(GETPIVOTDATA("Somma di AVERE",'Pivot Fineco Sa'!$A$3,"Mese",5,"Tipologia",$A136,"Viaggio",$A$131)),0,GETPIVOTDATA("Somma di AVERE",'Pivot Fineco Sa'!$A$3,"Mese",5,"Tipologia",$A136,"Viaggio",$A$131))
+IF(ISERROR(GETPIVOTDATA("Somma di DARE",'Pivot PP Visa'!$A$3,"Mese",5,"Tipologia",$A136,"Viaggio",$A$131)),0,GETPIVOTDATA("Somma di DARE",'Pivot PP Visa'!$A$3,"Mese",5,"Tipologia",$A136,"Viaggio",$A$131))
-IF(ISERROR(GETPIVOTDATA("Somma di AVERE",'Pivot PP Visa'!$A$3,"Mese",5,"Tipologia",$A136,"Viaggio",$A$131)),0,GETPIVOTDATA("Somma di AVERE",'Pivot PP Visa'!$A$3,"Mese",5,"Tipologia",$A136,"Viaggio",$A$131))
+IF(ISERROR(GETPIVOTDATA("Somma di DARE",'Pivot Revolut'!$A$3,"Mese",5,"Tipologia",$A136,"Viaggio",$A$131)),0,GETPIVOTDATA("Somma di DARE",'Pivot Revolut'!$A$3,"Mese",5,"Tipologia",$A136,"Viaggio",$A$131))
-IF(ISERROR(GETPIVOTDATA("Somma di AVERE",'Pivot Revolut'!$A$3,"Mese",5,"Tipologia",$A136,"Viaggio",$A$131)),0,GETPIVOTDATA("Somma di AVERE",'Pivot Revolut'!$A$3,"Mese",5,"Tipologia",$A136,"Viaggio",$A$131))
+IF(ISERROR(GETPIVOTDATA("Somma di DARE",'Pivot RakBank EUR'!$A$3,"Mese",5,"Tipologia",$A136,"Viaggio",$A$131)),0,GETPIVOTDATA("Somma di DARE",'Pivot RakBank EUR'!$A$3,"Mese",5,"Tipologia",$A136,"Viaggio",$A$131))
-IF(ISERROR(GETPIVOTDATA("Somma di AVERE",'Pivot RakBank EUR'!$A$3,"Mese",5,"Tipologia",$A136,"Viaggio",$A$131)),0,GETPIVOTDATA("Somma di AVERE",'Pivot RakBank EUR'!$A$3,"Mese",5,"Tipologia",$A136,"Viaggio",$A$131))
+IF(ISERROR(GETPIVOTDATA("Somma di DARE EUR",'Pivot RakBank AED'!$A$3,"Mese",5,"Tipologia",$A136,"Viaggio",$A$131)),0,GETPIVOTDATA("Somma di DARE EUR",'Pivot RakBank AED'!$A$3,"Mese",5,"Tipologia",$A136,"Viaggio",$A$131))
-IF(ISERROR(GETPIVOTDATA("Somma di AVERE EUR",'Pivot RakBank AED'!$A$3,"Mese",5,"Tipologia",$A136,"Viaggio",$A$131)),0,GETPIVOTDATA("Somma di AVERE EUR",'Pivot RakBank AED'!$A$3,"Mese",5,"Tipologia",$A136,"Viaggio",$A$131))</f>
        <v>0</v>
      </c>
      <c r="H136" s="270">
        <f>IF(ISERROR(GETPIVOTDATA("Somma di DARE",'Pivot Fineco Sa'!$A$3,"Mese",6,"Tipologia",$A136,"Viaggio",$A$131)),0,GETPIVOTDATA("Somma di DARE",'Pivot Fineco Sa'!$A$3,"Mese",6,"Tipologia",$A136,"Viaggio",$A$131))
+IF(ISERROR(GETPIVOTDATA("Somma di DARE",'Pivot Fineco St'!$A$3,"Mese",6,"Tipologia",$A136,"Viaggio",$A$131)),0,GETPIVOTDATA("Somma di DARE",'Pivot Fineco St'!$A$3,"Mese",6,"Tipologia",$A136,"Viaggio",$A$131))
+IF(Contanti!$Y43='Conto Economico'!$A$131,Contanti!$V43)
+IF(ISERROR(GETPIVOTDATA("Somma di DARE",'Pivot BBVA'!$A$3,"Mese",6,"Tipologia",$A136,"Viaggio",$A$131)),0,GETPIVOTDATA("Somma di DARE",'Pivot BBVA'!$A$3,"Mese",6,"Tipologia",$A136,"Viaggio",$A$131))
+IF(ISERROR(GETPIVOTDATA("Somma di DARE",'Pivot Amex'!$A$3,"Mese",6,"Tipologia",$A136,"Viaggio",$A$131)),0,GETPIVOTDATA("Somma di DARE",'Pivot Amex'!$A$3,"Mese",6,"Tipologia",$A136,"Viaggio",$A$131))
-IF(ISERROR(GETPIVOTDATA("Somma di AVERE",'Pivot Amex'!$A$3,"Mese",6,"Tipologia",$A136,"Viaggio",$A$131)),0,GETPIVOTDATA("Somma di AVERE",'Pivot Amex'!$A$3,"Mese",6,"Tipologia",$A136,"Viaggio",$A$131))
-IF(ISERROR(GETPIVOTDATA("Somma di AVERE",'Pivot BBVA'!$A$3,"Mese",6,"Tipologia",$A136,"Viaggio",$A$131)),0,GETPIVOTDATA("Somma di AVERE",'Pivot BBVA'!$A$3,"Mese",6,"Tipologia",$A136,"Viaggio",$A$131))
-IF(ISERROR(GETPIVOTDATA("Somma di AVERE",'Pivot Fineco St'!$A$3,"Mese",6,"Tipologia",$A136,"Viaggio",$A$131)),0,GETPIVOTDATA("Somma di AVERE",'Pivot Fineco St'!$A$3,"Mese",6,"Tipologia",$A136,"Viaggio",$A$131))
-IF(ISERROR(GETPIVOTDATA("Somma di AVERE",'Pivot Fineco Sa'!$A$3,"Mese",6,"Tipologia",$A136,"Viaggio",$A$131)),0,GETPIVOTDATA("Somma di AVERE",'Pivot Fineco Sa'!$A$3,"Mese",6,"Tipologia",$A136,"Viaggio",$A$131))
+IF(ISERROR(GETPIVOTDATA("Somma di DARE",'Pivot PP Visa'!$A$3,"Mese",6,"Tipologia",$A136,"Viaggio",$A$131)),0,GETPIVOTDATA("Somma di DARE",'Pivot PP Visa'!$A$3,"Mese",6,"Tipologia",$A136,"Viaggio",$A$131))
-IF(ISERROR(GETPIVOTDATA("Somma di AVERE",'Pivot PP Visa'!$A$3,"Mese",6,"Tipologia",$A136,"Viaggio",$A$131)),0,GETPIVOTDATA("Somma di AVERE",'Pivot PP Visa'!$A$3,"Mese",6,"Tipologia",$A136,"Viaggio",$A$131))
+IF(ISERROR(GETPIVOTDATA("Somma di DARE",'Pivot Revolut'!$A$3,"Mese",6,"Tipologia",$A136,"Viaggio",$A$131)),0,GETPIVOTDATA("Somma di DARE",'Pivot Revolut'!$A$3,"Mese",6,"Tipologia",$A136,"Viaggio",$A$131))
-IF(ISERROR(GETPIVOTDATA("Somma di AVERE",'Pivot Revolut'!$A$3,"Mese",6,"Tipologia",$A136,"Viaggio",$A$131)),0,GETPIVOTDATA("Somma di AVERE",'Pivot Revolut'!$A$3,"Mese",6,"Tipologia",$A136,"Viaggio",$A$131))
+IF(ISERROR(GETPIVOTDATA("Somma di DARE",'Pivot RakBank EUR'!$A$3,"Mese",6,"Tipologia",$A136,"Viaggio",$A$131)),0,GETPIVOTDATA("Somma di DARE",'Pivot RakBank EUR'!$A$3,"Mese",6,"Tipologia",$A136,"Viaggio",$A$131))
-IF(ISERROR(GETPIVOTDATA("Somma di AVERE",'Pivot RakBank EUR'!$A$3,"Mese",6,"Tipologia",$A136,"Viaggio",$A$131)),0,GETPIVOTDATA("Somma di AVERE",'Pivot RakBank EUR'!$A$3,"Mese",6,"Tipologia",$A136,"Viaggio",$A$131))
+IF(ISERROR(GETPIVOTDATA("Somma di DARE EUR",'Pivot RakBank AED'!$A$3,"Mese",6,"Tipologia",$A136,"Viaggio",$A$131)),0,GETPIVOTDATA("Somma di DARE EUR",'Pivot RakBank AED'!$A$3,"Mese",6,"Tipologia",$A136,"Viaggio",$A$131))
-IF(ISERROR(GETPIVOTDATA("Somma di AVERE EUR",'Pivot RakBank AED'!$A$3,"Mese",6,"Tipologia",$A136,"Viaggio",$A$131)),0,GETPIVOTDATA("Somma di AVERE EUR",'Pivot RakBank AED'!$A$3,"Mese",6,"Tipologia",$A136,"Viaggio",$A$131))</f>
        <v>0</v>
      </c>
      <c r="I136" s="270">
        <f>IF(ISERROR(GETPIVOTDATA("Somma di DARE",'Pivot Fineco Sa'!$A$3,"Mese",7,"Tipologia",$A136,"Viaggio",$A$131)),0,GETPIVOTDATA("Somma di DARE",'Pivot Fineco Sa'!$A$3,"Mese",7,"Tipologia",$A136,"Viaggio",$A$131))
+IF(ISERROR(GETPIVOTDATA("Somma di DARE",'Pivot Fineco St'!$A$3,"Mese",7,"Tipologia",$A136,"Viaggio",$A$131)),0,GETPIVOTDATA("Somma di DARE",'Pivot Fineco St'!$A$3,"Mese",7,"Tipologia",$A136,"Viaggio",$A$131))
+IF(Contanti!$AC43='Conto Economico'!$A$131,Contanti!$Z43)
+IF(ISERROR(GETPIVOTDATA("Somma di DARE",'Pivot BBVA'!$A$3,"Mese",7,"Tipologia",$A136,"Viaggio",$A$131)),0,GETPIVOTDATA("Somma di DARE",'Pivot BBVA'!$A$3,"Mese",7,"Tipologia",$A136,"Viaggio",$A$131))
+IF(ISERROR(GETPIVOTDATA("Somma di DARE",'Pivot Amex'!$A$3,"Mese",7,"Tipologia",$A136,"Viaggio",$A$131)),0,GETPIVOTDATA("Somma di DARE",'Pivot Amex'!$A$3,"Mese",7,"Tipologia",$A136,"Viaggio",$A$131))
-IF(ISERROR(GETPIVOTDATA("Somma di AVERE",'Pivot Amex'!$A$3,"Mese",7,"Tipologia",$A136,"Viaggio",$A$131)),0,GETPIVOTDATA("Somma di AVERE",'Pivot Amex'!$A$3,"Mese",7,"Tipologia",$A136,"Viaggio",$A$131))
-IF(ISERROR(GETPIVOTDATA("Somma di AVERE",'Pivot BBVA'!$A$3,"Mese",7,"Tipologia",$A136,"Viaggio",$A$131)),0,GETPIVOTDATA("Somma di AVERE",'Pivot BBVA'!$A$3,"Mese",7,"Tipologia",$A136,"Viaggio",$A$131))
-IF(ISERROR(GETPIVOTDATA("Somma di AVERE",'Pivot Fineco St'!$A$3,"Mese",7,"Tipologia",$A136,"Viaggio",$A$131)),0,GETPIVOTDATA("Somma di AVERE",'Pivot Fineco St'!$A$3,"Mese",7,"Tipologia",$A136,"Viaggio",$A$131))
-IF(ISERROR(GETPIVOTDATA("Somma di AVERE",'Pivot Fineco Sa'!$A$3,"Mese",7,"Tipologia",$A136,"Viaggio",$A$131)),0,GETPIVOTDATA("Somma di AVERE",'Pivot Fineco Sa'!$A$3,"Mese",7,"Tipologia",$A136,"Viaggio",$A$131))
+IF(ISERROR(GETPIVOTDATA("Somma di DARE",'Pivot PP Visa'!$A$3,"Mese",7,"Tipologia",$A136,"Viaggio",$A$131)),0,GETPIVOTDATA("Somma di DARE",'Pivot PP Visa'!$A$3,"Mese",7,"Tipologia",$A136,"Viaggio",$A$131))
-IF(ISERROR(GETPIVOTDATA("Somma di AVERE",'Pivot PP Visa'!$A$3,"Mese",7,"Tipologia",$A136,"Viaggio",$A$131)),0,GETPIVOTDATA("Somma di AVERE",'Pivot PP Visa'!$A$3,"Mese",7,"Tipologia",$A136,"Viaggio",$A$131))
+IF(ISERROR(GETPIVOTDATA("Somma di DARE",'Pivot Revolut'!$A$3,"Mese",7,"Tipologia",$A136,"Viaggio",$A$131)),0,GETPIVOTDATA("Somma di DARE",'Pivot Revolut'!$A$3,"Mese",7,"Tipologia",$A136,"Viaggio",$A$131))
-IF(ISERROR(GETPIVOTDATA("Somma di AVERE",'Pivot Revolut'!$A$3,"Mese",7,"Tipologia",$A136,"Viaggio",$A$131)),0,GETPIVOTDATA("Somma di AVERE",'Pivot Revolut'!$A$3,"Mese",7,"Tipologia",$A136,"Viaggio",$A$131))
+IF(ISERROR(GETPIVOTDATA("Somma di DARE",'Pivot RakBank EUR'!$A$3,"Mese",7,"Tipologia",$A136,"Viaggio",$A$131)),0,GETPIVOTDATA("Somma di DARE",'Pivot RakBank EUR'!$A$3,"Mese",7,"Tipologia",$A136,"Viaggio",$A$131))
-IF(ISERROR(GETPIVOTDATA("Somma di AVERE",'Pivot RakBank EUR'!$A$3,"Mese",7,"Tipologia",$A136,"Viaggio",$A$131)),0,GETPIVOTDATA("Somma di AVERE",'Pivot RakBank EUR'!$A$3,"Mese",7,"Tipologia",$A136,"Viaggio",$A$131))
+IF(ISERROR(GETPIVOTDATA("Somma di DARE EUR",'Pivot RakBank AED'!$A$3,"Mese",7,"Tipologia",$A136,"Viaggio",$A$131)),0,GETPIVOTDATA("Somma di DARE EUR",'Pivot RakBank AED'!$A$3,"Mese",7,"Tipologia",$A136,"Viaggio",$A$131))
-IF(ISERROR(GETPIVOTDATA("Somma di AVERE EUR",'Pivot RakBank AED'!$A$3,"Mese",7,"Tipologia",$A136,"Viaggio",$A$131)),0,GETPIVOTDATA("Somma di AVERE EUR",'Pivot RakBank AED'!$A$3,"Mese",7,"Tipologia",$A136,"Viaggio",$A$131))</f>
        <v>0</v>
      </c>
      <c r="J136" s="270">
        <f>IF(ISERROR(GETPIVOTDATA("Somma di DARE",'Pivot Fineco Sa'!$A$3,"Mese",8,"Tipologia",$A136,"Viaggio",$A$131)),0,GETPIVOTDATA("Somma di DARE",'Pivot Fineco Sa'!$A$3,"Mese",8,"Tipologia",$A136,"Viaggio",$A$131))
+IF(ISERROR(GETPIVOTDATA("Somma di DARE",'Pivot Fineco St'!$A$3,"Mese",8,"Tipologia",$A136,"Viaggio",$A$131)),0,GETPIVOTDATA("Somma di DARE",'Pivot Fineco St'!$A$3,"Mese",8,"Tipologia",$A136,"Viaggio",$A$131))
+IF(Contanti!$AG43='Conto Economico'!$A$131,Contanti!$AD43)
+IF(ISERROR(GETPIVOTDATA("Somma di DARE",'Pivot BBVA'!$A$3,"Mese",8,"Tipologia",$A136,"Viaggio",$A$131)),0,GETPIVOTDATA("Somma di DARE",'Pivot BBVA'!$A$3,"Mese",8,"Tipologia",$A136,"Viaggio",$A$131))
+IF(ISERROR(GETPIVOTDATA("Somma di DARE",'Pivot Amex'!$A$3,"Mese",8,"Tipologia",$A136,"Viaggio",$A$131)),0,GETPIVOTDATA("Somma di DARE",'Pivot Amex'!$A$3,"Mese",8,"Tipologia",$A136,"Viaggio",$A$131))
-IF(ISERROR(GETPIVOTDATA("Somma di AVERE",'Pivot Amex'!$A$3,"Mese",8,"Tipologia",$A136,"Viaggio",$A$131)),0,GETPIVOTDATA("Somma di AVERE",'Pivot Amex'!$A$3,"Mese",8,"Tipologia",$A136,"Viaggio",$A$131))
-IF(ISERROR(GETPIVOTDATA("Somma di AVERE",'Pivot BBVA'!$A$3,"Mese",8,"Tipologia",$A136,"Viaggio",$A$131)),0,GETPIVOTDATA("Somma di AVERE",'Pivot BBVA'!$A$3,"Mese",8,"Tipologia",$A136,"Viaggio",$A$131))
-IF(ISERROR(GETPIVOTDATA("Somma di AVERE",'Pivot Fineco St'!$A$3,"Mese",8,"Tipologia",$A136,"Viaggio",$A$131)),0,GETPIVOTDATA("Somma di AVERE",'Pivot Fineco St'!$A$3,"Mese",8,"Tipologia",$A136,"Viaggio",$A$131))
-IF(ISERROR(GETPIVOTDATA("Somma di AVERE",'Pivot Fineco Sa'!$A$3,"Mese",8,"Tipologia",$A136,"Viaggio",$A$131)),0,GETPIVOTDATA("Somma di AVERE",'Pivot Fineco Sa'!$A$3,"Mese",8,"Tipologia",$A136,"Viaggio",$A$131))
+IF(ISERROR(GETPIVOTDATA("Somma di DARE",'Pivot PP Visa'!$A$3,"Mese",8,"Tipologia",$A136,"Viaggio",$A$131)),0,GETPIVOTDATA("Somma di DARE",'Pivot PP Visa'!$A$3,"Mese",8,"Tipologia",$A136,"Viaggio",$A$131))
-IF(ISERROR(GETPIVOTDATA("Somma di AVERE",'Pivot PP Visa'!$A$3,"Mese",8,"Tipologia",$A136,"Viaggio",$A$131)),0,GETPIVOTDATA("Somma di AVERE",'Pivot PP Visa'!$A$3,"Mese",8,"Tipologia",$A136,"Viaggio",$A$131))
+IF(ISERROR(GETPIVOTDATA("Somma di DARE",'Pivot Revolut'!$A$3,"Mese",8,"Tipologia",$A136,"Viaggio",$A$131)),0,GETPIVOTDATA("Somma di DARE",'Pivot Revolut'!$A$3,"Mese",8,"Tipologia",$A136,"Viaggio",$A$131))
-IF(ISERROR(GETPIVOTDATA("Somma di AVERE",'Pivot Revolut'!$A$3,"Mese",8,"Tipologia",$A136,"Viaggio",$A$131)),0,GETPIVOTDATA("Somma di AVERE",'Pivot Revolut'!$A$3,"Mese",8,"Tipologia",$A136,"Viaggio",$A$131))
+IF(ISERROR(GETPIVOTDATA("Somma di DARE",'Pivot RakBank EUR'!$A$3,"Mese",8,"Tipologia",$A136,"Viaggio",$A$131)),0,GETPIVOTDATA("Somma di DARE",'Pivot RakBank EUR'!$A$3,"Mese",8,"Tipologia",$A136,"Viaggio",$A$131))
-IF(ISERROR(GETPIVOTDATA("Somma di AVERE",'Pivot RakBank EUR'!$A$3,"Mese",8,"Tipologia",$A136,"Viaggio",$A$131)),0,GETPIVOTDATA("Somma di AVERE",'Pivot RakBank EUR'!$A$3,"Mese",8,"Tipologia",$A136,"Viaggio",$A$131))
+IF(ISERROR(GETPIVOTDATA("Somma di DARE EUR",'Pivot RakBank AED'!$A$3,"Mese",8,"Tipologia",$A136,"Viaggio",$A$131)),0,GETPIVOTDATA("Somma di DARE EUR",'Pivot RakBank AED'!$A$3,"Mese",8,"Tipologia",$A136,"Viaggio",$A$131))
-IF(ISERROR(GETPIVOTDATA("Somma di AVERE EUR",'Pivot RakBank AED'!$A$3,"Mese",8,"Tipologia",$A136,"Viaggio",$A$131)),0,GETPIVOTDATA("Somma di AVERE EUR",'Pivot RakBank AED'!$A$3,"Mese",8,"Tipologia",$A136,"Viaggio",$A$131))</f>
        <v>0</v>
      </c>
      <c r="K136" s="270">
        <f>IF(ISERROR(GETPIVOTDATA("Somma di DARE",'Pivot Fineco Sa'!$A$3,"Mese",9,"Tipologia",$A136,"Viaggio",$A$131)),0,GETPIVOTDATA("Somma di DARE",'Pivot Fineco Sa'!$A$3,"Mese",9,"Tipologia",$A136,"Viaggio",$A$131))
+IF(ISERROR(GETPIVOTDATA("Somma di DARE",'Pivot Fineco St'!$A$3,"Mese",9,"Tipologia",$A136,"Viaggio",$A$131)),0,GETPIVOTDATA("Somma di DARE",'Pivot Fineco St'!$A$3,"Mese",9,"Tipologia",$A136,"Viaggio",$A$131))
+IF(Contanti!$AK43='Conto Economico'!$A$131,Contanti!$AH43)
+IF(ISERROR(GETPIVOTDATA("Somma di DARE",'Pivot BBVA'!$A$3,"Mese",9,"Tipologia",$A136,"Viaggio",$A$131)),0,GETPIVOTDATA("Somma di DARE",'Pivot BBVA'!$A$3,"Mese",9,"Tipologia",$A136,"Viaggio",$A$131))
+IF(ISERROR(GETPIVOTDATA("Somma di DARE",'Pivot Amex'!$A$3,"Mese",9,"Tipologia",$A136,"Viaggio",$A$131)),0,GETPIVOTDATA("Somma di DARE",'Pivot Amex'!$A$3,"Mese",9,"Tipologia",$A136,"Viaggio",$A$131))
-IF(ISERROR(GETPIVOTDATA("Somma di AVERE",'Pivot Amex'!$A$3,"Mese",9,"Tipologia",$A136,"Viaggio",$A$131)),0,GETPIVOTDATA("Somma di AVERE",'Pivot Amex'!$A$3,"Mese",9,"Tipologia",$A136,"Viaggio",$A$131))
-IF(ISERROR(GETPIVOTDATA("Somma di AVERE",'Pivot BBVA'!$A$3,"Mese",9,"Tipologia",$A136,"Viaggio",$A$131)),0,GETPIVOTDATA("Somma di AVERE",'Pivot BBVA'!$A$3,"Mese",9,"Tipologia",$A136,"Viaggio",$A$131))
-IF(ISERROR(GETPIVOTDATA("Somma di AVERE",'Pivot Fineco St'!$A$3,"Mese",9,"Tipologia",$A136,"Viaggio",$A$131)),0,GETPIVOTDATA("Somma di AVERE",'Pivot Fineco St'!$A$3,"Mese",9,"Tipologia",$A136,"Viaggio",$A$131))
-IF(ISERROR(GETPIVOTDATA("Somma di AVERE",'Pivot Fineco Sa'!$A$3,"Mese",9,"Tipologia",$A136,"Viaggio",$A$131)),0,GETPIVOTDATA("Somma di AVERE",'Pivot Fineco Sa'!$A$3,"Mese",9,"Tipologia",$A136,"Viaggio",$A$131))
+IF(ISERROR(GETPIVOTDATA("Somma di DARE",'Pivot PP Visa'!$A$3,"Mese",9,"Tipologia",$A136,"Viaggio",$A$131)),0,GETPIVOTDATA("Somma di DARE",'Pivot PP Visa'!$A$3,"Mese",9,"Tipologia",$A136,"Viaggio",$A$131))
-IF(ISERROR(GETPIVOTDATA("Somma di AVERE",'Pivot PP Visa'!$A$3,"Mese",9,"Tipologia",$A136,"Viaggio",$A$131)),0,GETPIVOTDATA("Somma di AVERE",'Pivot PP Visa'!$A$3,"Mese",9,"Tipologia",$A136,"Viaggio",$A$131))
+IF(ISERROR(GETPIVOTDATA("Somma di DARE",'Pivot Revolut'!$A$3,"Mese",9,"Tipologia",$A136,"Viaggio",$A$131)),0,GETPIVOTDATA("Somma di DARE",'Pivot Revolut'!$A$3,"Mese",9,"Tipologia",$A136,"Viaggio",$A$131))
-IF(ISERROR(GETPIVOTDATA("Somma di AVERE",'Pivot Revolut'!$A$3,"Mese",9,"Tipologia",$A136,"Viaggio",$A$131)),0,GETPIVOTDATA("Somma di AVERE",'Pivot Revolut'!$A$3,"Mese",9,"Tipologia",$A136,"Viaggio",$A$131))
+IF(ISERROR(GETPIVOTDATA("Somma di DARE",'Pivot RakBank EUR'!$A$3,"Mese",9,"Tipologia",$A136,"Viaggio",$A$131)),0,GETPIVOTDATA("Somma di DARE",'Pivot RakBank EUR'!$A$3,"Mese",9,"Tipologia",$A136,"Viaggio",$A$131))
-IF(ISERROR(GETPIVOTDATA("Somma di AVERE",'Pivot RakBank EUR'!$A$3,"Mese",9,"Tipologia",$A136,"Viaggio",$A$131)),0,GETPIVOTDATA("Somma di AVERE",'Pivot RakBank EUR'!$A$3,"Mese",9,"Tipologia",$A136,"Viaggio",$A$131))
+IF(ISERROR(GETPIVOTDATA("Somma di DARE EUR",'Pivot RakBank AED'!$A$3,"Mese",9,"Tipologia",$A136,"Viaggio",$A$131)),0,GETPIVOTDATA("Somma di DARE EUR",'Pivot RakBank AED'!$A$3,"Mese",9,"Tipologia",$A136,"Viaggio",$A$131))
-IF(ISERROR(GETPIVOTDATA("Somma di AVERE EUR",'Pivot RakBank AED'!$A$3,"Mese",9,"Tipologia",$A136,"Viaggio",$A$131)),0,GETPIVOTDATA("Somma di AVERE EUR",'Pivot RakBank AED'!$A$3,"Mese",9,"Tipologia",$A136,"Viaggio",$A$131))</f>
        <v>0</v>
      </c>
      <c r="L136" s="270">
        <f>IF(ISERROR(GETPIVOTDATA("Somma di DARE",'Pivot Fineco Sa'!$A$3,"Mese",10,"Tipologia",$A136,"Viaggio",$A$131)),0,GETPIVOTDATA("Somma di DARE",'Pivot Fineco Sa'!$A$3,"Mese",10,"Tipologia",$A136,"Viaggio",$A$131))
+IF(ISERROR(GETPIVOTDATA("Somma di DARE",'Pivot Fineco St'!$A$3,"Mese",10,"Tipologia",$A136,"Viaggio",$A$131)),0,GETPIVOTDATA("Somma di DARE",'Pivot Fineco St'!$A$3,"Mese",10,"Tipologia",$A136,"Viaggio",$A$131))
+IF(Contanti!$AO43='Conto Economico'!$A$131,Contanti!$AL43)
+IF(ISERROR(GETPIVOTDATA("Somma di DARE",'Pivot BBVA'!$A$3,"Mese",10,"Tipologia",$A136,"Viaggio",$A$131)),0,GETPIVOTDATA("Somma di DARE",'Pivot BBVA'!$A$3,"Mese",10,"Tipologia",$A136,"Viaggio",$A$131))
+IF(ISERROR(GETPIVOTDATA("Somma di DARE",'Pivot Amex'!$A$3,"Mese",10,"Tipologia",$A136,"Viaggio",$A$131)),0,GETPIVOTDATA("Somma di DARE",'Pivot Amex'!$A$3,"Mese",10,"Tipologia",$A136,"Viaggio",$A$131))
-IF(ISERROR(GETPIVOTDATA("Somma di AVERE",'Pivot Amex'!$A$3,"Mese",10,"Tipologia",$A136,"Viaggio",$A$131)),0,GETPIVOTDATA("Somma di AVERE",'Pivot Amex'!$A$3,"Mese",10,"Tipologia",$A136,"Viaggio",$A$131))
-IF(ISERROR(GETPIVOTDATA("Somma di AVERE",'Pivot BBVA'!$A$3,"Mese",10,"Tipologia",$A136,"Viaggio",$A$131)),0,GETPIVOTDATA("Somma di AVERE",'Pivot BBVA'!$A$3,"Mese",10,"Tipologia",$A136,"Viaggio",$A$131))
-IF(ISERROR(GETPIVOTDATA("Somma di AVERE",'Pivot Fineco St'!$A$3,"Mese",10,"Tipologia",$A136,"Viaggio",$A$131)),0,GETPIVOTDATA("Somma di AVERE",'Pivot Fineco St'!$A$3,"Mese",10,"Tipologia",$A136,"Viaggio",$A$131))
-IF(ISERROR(GETPIVOTDATA("Somma di AVERE",'Pivot Fineco Sa'!$A$3,"Mese",10,"Tipologia",$A136,"Viaggio",$A$131)),0,GETPIVOTDATA("Somma di AVERE",'Pivot Fineco Sa'!$A$3,"Mese",10,"Tipologia",$A136,"Viaggio",$A$131))
+IF(ISERROR(GETPIVOTDATA("Somma di DARE",'Pivot PP Visa'!$A$3,"Mese",10,"Tipologia",$A136,"Viaggio",$A$131)),0,GETPIVOTDATA("Somma di DARE",'Pivot PP Visa'!$A$3,"Mese",10,"Tipologia",$A136,"Viaggio",$A$131))
-IF(ISERROR(GETPIVOTDATA("Somma di AVERE",'Pivot PP Visa'!$A$3,"Mese",10,"Tipologia",$A136,"Viaggio",$A$131)),0,GETPIVOTDATA("Somma di AVERE",'Pivot PP Visa'!$A$3,"Mese",10,"Tipologia",$A136,"Viaggio",$A$131))
+IF(ISERROR(GETPIVOTDATA("Somma di DARE",'Pivot Revolut'!$A$3,"Mese",10,"Tipologia",$A136,"Viaggio",$A$131)),0,GETPIVOTDATA("Somma di DARE",'Pivot Revolut'!$A$3,"Mese",10,"Tipologia",$A136,"Viaggio",$A$131))
-IF(ISERROR(GETPIVOTDATA("Somma di AVERE",'Pivot Revolut'!$A$3,"Mese",10,"Tipologia",$A136,"Viaggio",$A$131)),0,GETPIVOTDATA("Somma di AVERE",'Pivot Revolut'!$A$3,"Mese",10,"Tipologia",$A136,"Viaggio",$A$131))
+IF(ISERROR(GETPIVOTDATA("Somma di DARE",'Pivot RakBank EUR'!$A$3,"Mese",10,"Tipologia",$A136,"Viaggio",$A$131)),0,GETPIVOTDATA("Somma di DARE",'Pivot RakBank EUR'!$A$3,"Mese",10,"Tipologia",$A136,"Viaggio",$A$131))
-IF(ISERROR(GETPIVOTDATA("Somma di AVERE",'Pivot RakBank EUR'!$A$3,"Mese",10,"Tipologia",$A136,"Viaggio",$A$131)),0,GETPIVOTDATA("Somma di AVERE",'Pivot RakBank EUR'!$A$3,"Mese",10,"Tipologia",$A136,"Viaggio",$A$131))
+IF(ISERROR(GETPIVOTDATA("Somma di DARE EUR",'Pivot RakBank AED'!$A$3,"Mese",10,"Tipologia",$A136,"Viaggio",$A$131)),0,GETPIVOTDATA("Somma di DARE EUR",'Pivot RakBank AED'!$A$3,"Mese",10,"Tipologia",$A136,"Viaggio",$A$131))
-IF(ISERROR(GETPIVOTDATA("Somma di AVERE EUR",'Pivot RakBank AED'!$A$3,"Mese",10,"Tipologia",$A136,"Viaggio",$A$131)),0,GETPIVOTDATA("Somma di AVERE EUR",'Pivot RakBank AED'!$A$3,"Mese",10,"Tipologia",$A136,"Viaggio",$A$131))</f>
        <v>0</v>
      </c>
      <c r="M136" s="270">
        <f>IF(ISERROR(GETPIVOTDATA("Somma di DARE",'Pivot Fineco Sa'!$A$3,"Mese",11,"Tipologia",$A136,"Viaggio",$A$131)),0,GETPIVOTDATA("Somma di DARE",'Pivot Fineco Sa'!$A$3,"Mese",11,"Tipologia",$A136,"Viaggio",$A$131))
+IF(ISERROR(GETPIVOTDATA("Somma di DARE",'Pivot Fineco St'!$A$3,"Mese",11,"Tipologia",$A136,"Viaggio",$A$131)),0,GETPIVOTDATA("Somma di DARE",'Pivot Fineco St'!$A$3,"Mese",11,"Tipologia",$A136,"Viaggio",$A$131))
+IF(Contanti!$AS43='Conto Economico'!$A$131,Contanti!$AP43)
+IF(ISERROR(GETPIVOTDATA("Somma di DARE",'Pivot BBVA'!$A$3,"Mese",11,"Tipologia",$A136,"Viaggio",$A$131)),0,GETPIVOTDATA("Somma di DARE",'Pivot BBVA'!$A$3,"Mese",11,"Tipologia",$A136,"Viaggio",$A$131))
+IF(ISERROR(GETPIVOTDATA("Somma di DARE",'Pivot Amex'!$A$3,"Mese",11,"Tipologia",$A136,"Viaggio",$A$131)),0,GETPIVOTDATA("Somma di DARE",'Pivot Amex'!$A$3,"Mese",11,"Tipologia",$A136,"Viaggio",$A$131))
-IF(ISERROR(GETPIVOTDATA("Somma di AVERE",'Pivot Amex'!$A$3,"Mese",11,"Tipologia",$A136,"Viaggio",$A$131)),0,GETPIVOTDATA("Somma di AVERE",'Pivot Amex'!$A$3,"Mese",11,"Tipologia",$A136,"Viaggio",$A$131))
-IF(ISERROR(GETPIVOTDATA("Somma di AVERE",'Pivot BBVA'!$A$3,"Mese",11,"Tipologia",$A136,"Viaggio",$A$131)),0,GETPIVOTDATA("Somma di AVERE",'Pivot BBVA'!$A$3,"Mese",11,"Tipologia",$A136,"Viaggio",$A$131))
-IF(ISERROR(GETPIVOTDATA("Somma di AVERE",'Pivot Fineco St'!$A$3,"Mese",11,"Tipologia",$A136,"Viaggio",$A$131)),0,GETPIVOTDATA("Somma di AVERE",'Pivot Fineco St'!$A$3,"Mese",11,"Tipologia",$A136,"Viaggio",$A$131))
-IF(ISERROR(GETPIVOTDATA("Somma di AVERE",'Pivot Fineco Sa'!$A$3,"Mese",11,"Tipologia",$A136,"Viaggio",$A$131)),0,GETPIVOTDATA("Somma di AVERE",'Pivot Fineco Sa'!$A$3,"Mese",11,"Tipologia",$A136,"Viaggio",$A$131))
+IF(ISERROR(GETPIVOTDATA("Somma di DARE",'Pivot PP Visa'!$A$3,"Mese",11,"Tipologia",$A136,"Viaggio",$A$131)),0,GETPIVOTDATA("Somma di DARE",'Pivot PP Visa'!$A$3,"Mese",11,"Tipologia",$A136,"Viaggio",$A$131))
-IF(ISERROR(GETPIVOTDATA("Somma di AVERE",'Pivot PP Visa'!$A$3,"Mese",11,"Tipologia",$A136,"Viaggio",$A$131)),0,GETPIVOTDATA("Somma di AVERE",'Pivot PP Visa'!$A$3,"Mese",11,"Tipologia",$A136,"Viaggio",$A$131))
+IF(ISERROR(GETPIVOTDATA("Somma di DARE",'Pivot Revolut'!$A$3,"Mese",11,"Tipologia",$A136,"Viaggio",$A$131)),0,GETPIVOTDATA("Somma di DARE",'Pivot Revolut'!$A$3,"Mese",11,"Tipologia",$A136,"Viaggio",$A$131))
-IF(ISERROR(GETPIVOTDATA("Somma di AVERE",'Pivot Revolut'!$A$3,"Mese",11,"Tipologia",$A136,"Viaggio",$A$131)),0,GETPIVOTDATA("Somma di AVERE",'Pivot Revolut'!$A$3,"Mese",11,"Tipologia",$A136,"Viaggio",$A$131))
+IF(ISERROR(GETPIVOTDATA("Somma di DARE",'Pivot RakBank EUR'!$A$3,"Mese",11,"Tipologia",$A136,"Viaggio",$A$131)),0,GETPIVOTDATA("Somma di DARE",'Pivot RakBank EUR'!$A$3,"Mese",11,"Tipologia",$A136,"Viaggio",$A$131))
-IF(ISERROR(GETPIVOTDATA("Somma di AVERE",'Pivot RakBank EUR'!$A$3,"Mese",11,"Tipologia",$A136,"Viaggio",$A$131)),0,GETPIVOTDATA("Somma di AVERE",'Pivot RakBank EUR'!$A$3,"Mese",11,"Tipologia",$A136,"Viaggio",$A$131))
+IF(ISERROR(GETPIVOTDATA("Somma di DARE EUR",'Pivot RakBank AED'!$A$3,"Mese",11,"Tipologia",$A136,"Viaggio",$A$131)),0,GETPIVOTDATA("Somma di DARE EUR",'Pivot RakBank AED'!$A$3,"Mese",11,"Tipologia",$A136,"Viaggio",$A$131))
-IF(ISERROR(GETPIVOTDATA("Somma di AVERE EUR",'Pivot RakBank AED'!$A$3,"Mese",11,"Tipologia",$A136,"Viaggio",$A$131)),0,GETPIVOTDATA("Somma di AVERE EUR",'Pivot RakBank AED'!$A$3,"Mese",11,"Tipologia",$A136,"Viaggio",$A$131))</f>
        <v>0</v>
      </c>
      <c r="N136" s="270">
        <f>IF(ISERROR(GETPIVOTDATA("Somma di DARE",'Pivot Fineco Sa'!$A$3,"Mese",12,"Tipologia",$A136,"Viaggio",$A$131)),0,GETPIVOTDATA("Somma di DARE",'Pivot Fineco Sa'!$A$3,"Mese",12,"Tipologia",$A136,"Viaggio",$A$131))
+IF(ISERROR(GETPIVOTDATA("Somma di DARE",'Pivot Fineco St'!$A$3,"Mese",12,"Tipologia",$A136,"Viaggio",$A$131)),0,GETPIVOTDATA("Somma di DARE",'Pivot Fineco St'!$A$3,"Mese",12,"Tipologia",$A136,"Viaggio",$A$131))
+IF(Contanti!$AW43='Conto Economico'!$A$131,Contanti!$AT43)
+IF(ISERROR(GETPIVOTDATA("Somma di DARE",'Pivot BBVA'!$A$3,"Mese",12,"Tipologia",$A136,"Viaggio",$A$131)),0,GETPIVOTDATA("Somma di DARE",'Pivot BBVA'!$A$3,"Mese",12,"Tipologia",$A136,"Viaggio",$A$131))
+IF(ISERROR(GETPIVOTDATA("Somma di DARE",'Pivot Amex'!$A$3,"Mese",12,"Tipologia",$A136,"Viaggio",$A$131)),0,GETPIVOTDATA("Somma di DARE",'Pivot Amex'!$A$3,"Mese",12,"Tipologia",$A136,"Viaggio",$A$131))
-IF(ISERROR(GETPIVOTDATA("Somma di AVERE",'Pivot Amex'!$A$3,"Mese",12,"Tipologia",$A136,"Viaggio",$A$131)),0,GETPIVOTDATA("Somma di AVERE",'Pivot Amex'!$A$3,"Mese",12,"Tipologia",$A136,"Viaggio",$A$131))
-IF(ISERROR(GETPIVOTDATA("Somma di AVERE",'Pivot BBVA'!$A$3,"Mese",12,"Tipologia",$A136,"Viaggio",$A$131)),0,GETPIVOTDATA("Somma di AVERE",'Pivot BBVA'!$A$3,"Mese",12,"Tipologia",$A136,"Viaggio",$A$131))
-IF(ISERROR(GETPIVOTDATA("Somma di AVERE",'Pivot Fineco St'!$A$3,"Mese",12,"Tipologia",$A136,"Viaggio",$A$131)),0,GETPIVOTDATA("Somma di AVERE",'Pivot Fineco St'!$A$3,"Mese",12,"Tipologia",$A136,"Viaggio",$A$131))
-IF(ISERROR(GETPIVOTDATA("Somma di AVERE",'Pivot Fineco Sa'!$A$3,"Mese",12,"Tipologia",$A136,"Viaggio",$A$131)),0,GETPIVOTDATA("Somma di AVERE",'Pivot Fineco Sa'!$A$3,"Mese",12,"Tipologia",$A136,"Viaggio",$A$131))
+IF(ISERROR(GETPIVOTDATA("Somma di DARE",'Pivot PP Visa'!$A$3,"Mese",12,"Tipologia",$A136,"Viaggio",$A$131)),0,GETPIVOTDATA("Somma di DARE",'Pivot PP Visa'!$A$3,"Mese",12,"Tipologia",$A136,"Viaggio",$A$131))
-IF(ISERROR(GETPIVOTDATA("Somma di AVERE",'Pivot PP Visa'!$A$3,"Mese",12,"Tipologia",$A136,"Viaggio",$A$131)),0,GETPIVOTDATA("Somma di AVERE",'Pivot PP Visa'!$A$3,"Mese",12,"Tipologia",$A136,"Viaggio",$A$131))
+IF(ISERROR(GETPIVOTDATA("Somma di DARE",'Pivot Revolut'!$A$3,"Mese",12,"Tipologia",$A136,"Viaggio",$A$131)),0,GETPIVOTDATA("Somma di DARE",'Pivot Revolut'!$A$3,"Mese",12,"Tipologia",$A136,"Viaggio",$A$131))
-IF(ISERROR(GETPIVOTDATA("Somma di AVERE",'Pivot Revolut'!$A$3,"Mese",12,"Tipologia",$A136,"Viaggio",$A$131)),0,GETPIVOTDATA("Somma di AVERE",'Pivot Revolut'!$A$3,"Mese",12,"Tipologia",$A136,"Viaggio",$A$131))
+IF(ISERROR(GETPIVOTDATA("Somma di DARE",'Pivot RakBank EUR'!$A$3,"Mese",12,"Tipologia",$A136,"Viaggio",$A$131)),0,GETPIVOTDATA("Somma di DARE",'Pivot RakBank EUR'!$A$3,"Mese",12,"Tipologia",$A136,"Viaggio",$A$131))
-IF(ISERROR(GETPIVOTDATA("Somma di AVERE",'Pivot RakBank EUR'!$A$3,"Mese",12,"Tipologia",$A136,"Viaggio",$A$131)),0,GETPIVOTDATA("Somma di AVERE",'Pivot RakBank EUR'!$A$3,"Mese",12,"Tipologia",$A136,"Viaggio",$A$131))
+IF(ISERROR(GETPIVOTDATA("Somma di DARE EUR",'Pivot RakBank AED'!$A$3,"Mese",12,"Tipologia",$A136,"Viaggio",$A$131)),0,GETPIVOTDATA("Somma di DARE EUR",'Pivot RakBank AED'!$A$3,"Mese",12,"Tipologia",$A136,"Viaggio",$A$131))
-IF(ISERROR(GETPIVOTDATA("Somma di AVERE EUR",'Pivot RakBank AED'!$A$3,"Mese",12,"Tipologia",$A136,"Viaggio",$A$131)),0,GETPIVOTDATA("Somma di AVERE EUR",'Pivot RakBank AED'!$A$3,"Mese",12,"Tipologia",$A136,"Viaggio",$A$131))</f>
        <v>0</v>
      </c>
      <c r="O136" s="271">
        <f t="shared" si="17"/>
        <v>0</v>
      </c>
      <c r="P136" s="270"/>
    </row>
    <row r="137" spans="1:16" s="131" customFormat="1" ht="14" outlineLevel="1" x14ac:dyDescent="0.2">
      <c r="A137" s="269" t="s">
        <v>99</v>
      </c>
      <c r="B137" s="269"/>
      <c r="C137" s="270">
        <f>IF(ISERROR(GETPIVOTDATA("Somma di DARE",'Pivot Fineco Sa'!$A$3,"Mese",1,"Tipologia",$A137,"Viaggio",$A$131)),0,GETPIVOTDATA("Somma di DARE",'Pivot Fineco Sa'!$A$3,"Mese",1,"Tipologia",$A137,"Viaggio",$A$131))
+IF(ISERROR(GETPIVOTDATA("Somma di DARE",'Pivot Fineco St'!$A$3,"Mese",1,"Tipologia",$A137,"Viaggio",$A$131)),0,GETPIVOTDATA("Somma di DARE",'Pivot Fineco St'!$A$3,"Mese",1,"Tipologia",$A137,"Viaggio",$A$131))
+IF(Contanti!$E44='Conto Economico'!$A$131,Contanti!$B44)
+IF(ISERROR(GETPIVOTDATA("Somma di DARE",'Pivot BBVA'!$A$3,"Mese",1,"Tipologia",$A137,"Viaggio",$A$131)),0,GETPIVOTDATA("Somma di DARE",'Pivot BBVA'!$A$3,"Mese",1,"Tipologia",$A137,"Viaggio",$A$131))
+IF(ISERROR(GETPIVOTDATA("Somma di DARE",'Pivot Amex'!$A$3,"Mese",1,"Tipologia",$A137,"Viaggio",$A$131)),0,GETPIVOTDATA("Somma di DARE",'Pivot Amex'!$A$3,"Mese",1,"Tipologia",$A137,"Viaggio",$A$131))
-IF(ISERROR(GETPIVOTDATA("Somma di AVERE",'Pivot Amex'!$A$3,"Mese",1,"Tipologia",$A137,"Viaggio",$A$131)),0,GETPIVOTDATA("Somma di AVERE",'Pivot Amex'!$A$3,"Mese",1,"Tipologia",$A137,"Viaggio",$A$131))
-IF(ISERROR(GETPIVOTDATA("Somma di AVERE",'Pivot BBVA'!$A$3,"Mese",1,"Tipologia",$A137,"Viaggio",$A$131)),0,GETPIVOTDATA("Somma di AVERE",'Pivot BBVA'!$A$3,"Mese",1,"Tipologia",$A137,"Viaggio",$A$131))
-IF(ISERROR(GETPIVOTDATA("Somma di AVERE",'Pivot Fineco St'!$A$3,"Mese",1,"Tipologia",$A137,"Viaggio",$A$131)),0,GETPIVOTDATA("Somma di AVERE",'Pivot Fineco St'!$A$3,"Mese",1,"Tipologia",$A137,"Viaggio",$A$131))
-IF(ISERROR(GETPIVOTDATA("Somma di AVERE",'Pivot Fineco Sa'!$A$3,"Mese",1,"Tipologia",$A137,"Viaggio",$A$131)),0,GETPIVOTDATA("Somma di AVERE",'Pivot Fineco Sa'!$A$3,"Mese",1,"Tipologia",$A137,"Viaggio",$A$131))
+IF(ISERROR(GETPIVOTDATA("Somma di DARE",'Pivot PP Visa'!$A$3,"Mese",1,"Tipologia",$A137,"Viaggio",$A$131)),0,GETPIVOTDATA("Somma di DARE",'Pivot PP Visa'!$A$3,"Mese",1,"Tipologia",$A137,"Viaggio",$A$131))
-IF(ISERROR(GETPIVOTDATA("Somma di AVERE",'Pivot PP Visa'!$A$3,"Mese",1,"Tipologia",$A137,"Viaggio",$A$131)),0,GETPIVOTDATA("Somma di AVERE",'Pivot PP Visa'!$A$3,"Mese",1,"Tipologia",$A137,"Viaggio",$A$131))
+IF(ISERROR(GETPIVOTDATA("Somma di DARE",'Pivot Revolut'!$A$3,"Mese",1,"Tipologia",$A137,"Viaggio",$A$131)),0,GETPIVOTDATA("Somma di DARE",'Pivot Revolut'!$A$3,"Mese",1,"Tipologia",$A137,"Viaggio",$A$131))
-IF(ISERROR(GETPIVOTDATA("Somma di AVERE",'Pivot Revolut'!$A$3,"Mese",1,"Tipologia",$A137,"Viaggio",$A$131)),0,GETPIVOTDATA("Somma di AVERE",'Pivot Revolut'!$A$3,"Mese",1,"Tipologia",$A137,"Viaggio",$A$131))
+IF(ISERROR(GETPIVOTDATA("Somma di DARE",'Pivot RakBank EUR'!$A$3,"Mese",1,"Tipologia",$A137,"Viaggio",$A$131)),0,GETPIVOTDATA("Somma di DARE",'Pivot RakBank EUR'!$A$3,"Mese",1,"Tipologia",$A137,"Viaggio",$A$131))
-IF(ISERROR(GETPIVOTDATA("Somma di AVERE",'Pivot RakBank EUR'!$A$3,"Mese",1,"Tipologia",$A137,"Viaggio",$A$131)),0,GETPIVOTDATA("Somma di AVERE",'Pivot RakBank EUR'!$A$3,"Mese",1,"Tipologia",$A137,"Viaggio",$A$131))
+IF(ISERROR(GETPIVOTDATA("Somma di DARE EUR",'Pivot RakBank AED'!$A$3,"Mese",1,"Tipologia",$A137,"Viaggio",$A$131)),0,GETPIVOTDATA("Somma di DARE EUR",'Pivot RakBank AED'!$A$3,"Mese",1,"Tipologia",$A137,"Viaggio",$A$131))
-IF(ISERROR(GETPIVOTDATA("Somma di AVERE EUR",'Pivot RakBank AED'!$A$3,"Mese",1,"Tipologia",$A137,"Viaggio",$A$131)),0,GETPIVOTDATA("Somma di AVERE EUR",'Pivot RakBank AED'!$A$3,"Mese",1,"Tipologia",$A137,"Viaggio",$A$131))</f>
        <v>0</v>
      </c>
      <c r="D137" s="270">
        <f>IF(ISERROR(GETPIVOTDATA("Somma di DARE",'Pivot Fineco Sa'!$A$3,"Mese",2,"Tipologia",$A137,"Viaggio",$A$131)),0,GETPIVOTDATA("Somma di DARE",'Pivot Fineco Sa'!$A$3,"Mese",2,"Tipologia",$A137,"Viaggio",$A$131))
+IF(ISERROR(GETPIVOTDATA("Somma di DARE",'Pivot Fineco St'!$A$3,"Mese",2,"Tipologia",$A137,"Viaggio",$A$131)),0,GETPIVOTDATA("Somma di DARE",'Pivot Fineco St'!$A$3,"Mese",2,"Tipologia",$A137,"Viaggio",$A$131))
+IF(Contanti!$I44='Conto Economico'!$A$131,Contanti!$F44)
+IF(ISERROR(GETPIVOTDATA("Somma di DARE",'Pivot BBVA'!$A$3,"Mese",2,"Tipologia",$A137,"Viaggio",$A$131)),0,GETPIVOTDATA("Somma di DARE",'Pivot BBVA'!$A$3,"Mese",2,"Tipologia",$A137,"Viaggio",$A$131))
+IF(ISERROR(GETPIVOTDATA("Somma di DARE",'Pivot Amex'!$A$3,"Mese",2,"Tipologia",$A137,"Viaggio",$A$131)),0,GETPIVOTDATA("Somma di DARE",'Pivot Amex'!$A$3,"Mese",2,"Tipologia",$A137,"Viaggio",$A$131))
-IF(ISERROR(GETPIVOTDATA("Somma di AVERE",'Pivot Amex'!$A$3,"Mese",2,"Tipologia",$A137,"Viaggio",$A$131)),0,GETPIVOTDATA("Somma di AVERE",'Pivot Amex'!$A$3,"Mese",2,"Tipologia",$A137,"Viaggio",$A$131))
-IF(ISERROR(GETPIVOTDATA("Somma di AVERE",'Pivot BBVA'!$A$3,"Mese",2,"Tipologia",$A137,"Viaggio",$A$131)),0,GETPIVOTDATA("Somma di AVERE",'Pivot BBVA'!$A$3,"Mese",2,"Tipologia",$A137,"Viaggio",$A$131))
-IF(ISERROR(GETPIVOTDATA("Somma di AVERE",'Pivot Fineco St'!$A$3,"Mese",2,"Tipologia",$A137,"Viaggio",$A$131)),0,GETPIVOTDATA("Somma di AVERE",'Pivot Fineco St'!$A$3,"Mese",2,"Tipologia",$A137,"Viaggio",$A$131))
-IF(ISERROR(GETPIVOTDATA("Somma di AVERE",'Pivot Fineco Sa'!$A$3,"Mese",2,"Tipologia",$A137,"Viaggio",$A$131)),0,GETPIVOTDATA("Somma di AVERE",'Pivot Fineco Sa'!$A$3,"Mese",2,"Tipologia",$A137,"Viaggio",$A$131))
+IF(ISERROR(GETPIVOTDATA("Somma di DARE",'Pivot PP Visa'!$A$3,"Mese",2,"Tipologia",$A137,"Viaggio",$A$131)),0,GETPIVOTDATA("Somma di DARE",'Pivot PP Visa'!$A$3,"Mese",2,"Tipologia",$A137,"Viaggio",$A$131))
-IF(ISERROR(GETPIVOTDATA("Somma di AVERE",'Pivot PP Visa'!$A$3,"Mese",2,"Tipologia",$A137,"Viaggio",$A$131)),0,GETPIVOTDATA("Somma di AVERE",'Pivot PP Visa'!$A$3,"Mese",2,"Tipologia",$A137,"Viaggio",$A$131))
+IF(ISERROR(GETPIVOTDATA("Somma di DARE",'Pivot Revolut'!$A$3,"Mese",2,"Tipologia",$A137,"Viaggio",$A$131)),0,GETPIVOTDATA("Somma di DARE",'Pivot Revolut'!$A$3,"Mese",2,"Tipologia",$A137,"Viaggio",$A$131))
-IF(ISERROR(GETPIVOTDATA("Somma di AVERE",'Pivot Revolut'!$A$3,"Mese",2,"Tipologia",$A137,"Viaggio",$A$131)),0,GETPIVOTDATA("Somma di AVERE",'Pivot Revolut'!$A$3,"Mese",2,"Tipologia",$A137,"Viaggio",$A$131))
+IF(ISERROR(GETPIVOTDATA("Somma di DARE",'Pivot RakBank EUR'!$A$3,"Mese",2,"Tipologia",$A137,"Viaggio",$A$131)),0,GETPIVOTDATA("Somma di DARE",'Pivot RakBank EUR'!$A$3,"Mese",2,"Tipologia",$A137,"Viaggio",$A$131))
-IF(ISERROR(GETPIVOTDATA("Somma di AVERE",'Pivot RakBank EUR'!$A$3,"Mese",2,"Tipologia",$A137,"Viaggio",$A$131)),0,GETPIVOTDATA("Somma di AVERE",'Pivot RakBank EUR'!$A$3,"Mese",2,"Tipologia",$A137,"Viaggio",$A$131))
+IF(ISERROR(GETPIVOTDATA("Somma di DARE EUR",'Pivot RakBank AED'!$A$3,"Mese",2,"Tipologia",$A137,"Viaggio",$A$131)),0,GETPIVOTDATA("Somma di DARE EUR",'Pivot RakBank AED'!$A$3,"Mese",2,"Tipologia",$A137,"Viaggio",$A$131))
-IF(ISERROR(GETPIVOTDATA("Somma di AVERE EUR",'Pivot RakBank AED'!$A$3,"Mese",2,"Tipologia",$A137,"Viaggio",$A$131)),0,GETPIVOTDATA("Somma di AVERE EUR",'Pivot RakBank AED'!$A$3,"Mese",2,"Tipologia",$A137,"Viaggio",$A$131))</f>
        <v>0</v>
      </c>
      <c r="E137" s="270">
        <f>IF(ISERROR(GETPIVOTDATA("Somma di DARE",'Pivot Fineco Sa'!$A$3,"Mese",3,"Tipologia",$A137,"Viaggio",$A$131)),0,GETPIVOTDATA("Somma di DARE",'Pivot Fineco Sa'!$A$3,"Mese",3,"Tipologia",$A137,"Viaggio",$A$131))
+IF(ISERROR(GETPIVOTDATA("Somma di DARE",'Pivot Fineco St'!$A$3,"Mese",3,"Tipologia",$A137,"Viaggio",$A$131)),0,GETPIVOTDATA("Somma di DARE",'Pivot Fineco St'!$A$3,"Mese",3,"Tipologia",$A137,"Viaggio",$A$131))
+IF(Contanti!$M44='Conto Economico'!$A$131,Contanti!$J44)
+IF(ISERROR(GETPIVOTDATA("Somma di DARE",'Pivot BBVA'!$A$3,"Mese",3,"Tipologia",$A137,"Viaggio",$A$131)),0,GETPIVOTDATA("Somma di DARE",'Pivot BBVA'!$A$3,"Mese",3,"Tipologia",$A137,"Viaggio",$A$131))
+IF(ISERROR(GETPIVOTDATA("Somma di DARE",'Pivot Amex'!$A$3,"Mese",3,"Tipologia",$A137,"Viaggio",$A$131)),0,GETPIVOTDATA("Somma di DARE",'Pivot Amex'!$A$3,"Mese",3,"Tipologia",$A137,"Viaggio",$A$131))
-IF(ISERROR(GETPIVOTDATA("Somma di AVERE",'Pivot Amex'!$A$3,"Mese",3,"Tipologia",$A137,"Viaggio",$A$131)),0,GETPIVOTDATA("Somma di AVERE",'Pivot Amex'!$A$3,"Mese",3,"Tipologia",$A137,"Viaggio",$A$131))
-IF(ISERROR(GETPIVOTDATA("Somma di AVERE",'Pivot BBVA'!$A$3,"Mese",3,"Tipologia",$A137,"Viaggio",$A$131)),0,GETPIVOTDATA("Somma di AVERE",'Pivot BBVA'!$A$3,"Mese",3,"Tipologia",$A137,"Viaggio",$A$131))
-IF(ISERROR(GETPIVOTDATA("Somma di AVERE",'Pivot Fineco St'!$A$3,"Mese",3,"Tipologia",$A137,"Viaggio",$A$131)),0,GETPIVOTDATA("Somma di AVERE",'Pivot Fineco St'!$A$3,"Mese",3,"Tipologia",$A137,"Viaggio",$A$131))
-IF(ISERROR(GETPIVOTDATA("Somma di AVERE",'Pivot Fineco Sa'!$A$3,"Mese",3,"Tipologia",$A137,"Viaggio",$A$131)),0,GETPIVOTDATA("Somma di AVERE",'Pivot Fineco Sa'!$A$3,"Mese",3,"Tipologia",$A137,"Viaggio",$A$131))
+IF(ISERROR(GETPIVOTDATA("Somma di DARE",'Pivot PP Visa'!$A$3,"Mese",3,"Tipologia",$A137,"Viaggio",$A$131)),0,GETPIVOTDATA("Somma di DARE",'Pivot PP Visa'!$A$3,"Mese",3,"Tipologia",$A137,"Viaggio",$A$131))
-IF(ISERROR(GETPIVOTDATA("Somma di AVERE",'Pivot PP Visa'!$A$3,"Mese",3,"Tipologia",$A137,"Viaggio",$A$131)),0,GETPIVOTDATA("Somma di AVERE",'Pivot PP Visa'!$A$3,"Mese",3,"Tipologia",$A137,"Viaggio",$A$131))
+IF(ISERROR(GETPIVOTDATA("Somma di DARE",'Pivot Revolut'!$A$3,"Mese",3,"Tipologia",$A137,"Viaggio",$A$131)),0,GETPIVOTDATA("Somma di DARE",'Pivot Revolut'!$A$3,"Mese",3,"Tipologia",$A137,"Viaggio",$A$131))
-IF(ISERROR(GETPIVOTDATA("Somma di AVERE",'Pivot Revolut'!$A$3,"Mese",3,"Tipologia",$A137,"Viaggio",$A$131)),0,GETPIVOTDATA("Somma di AVERE",'Pivot Revolut'!$A$3,"Mese",3,"Tipologia",$A137,"Viaggio",$A$131))
+IF(ISERROR(GETPIVOTDATA("Somma di DARE",'Pivot RakBank EUR'!$A$3,"Mese",3,"Tipologia",$A137,"Viaggio",$A$131)),0,GETPIVOTDATA("Somma di DARE",'Pivot RakBank EUR'!$A$3,"Mese",3,"Tipologia",$A137,"Viaggio",$A$131))
-IF(ISERROR(GETPIVOTDATA("Somma di AVERE",'Pivot RakBank EUR'!$A$3,"Mese",3,"Tipologia",$A137,"Viaggio",$A$131)),0,GETPIVOTDATA("Somma di AVERE",'Pivot RakBank EUR'!$A$3,"Mese",3,"Tipologia",$A137,"Viaggio",$A$131))
+IF(ISERROR(GETPIVOTDATA("Somma di DARE EUR",'Pivot RakBank AED'!$A$3,"Mese",3,"Tipologia",$A137,"Viaggio",$A$131)),0,GETPIVOTDATA("Somma di DARE EUR",'Pivot RakBank AED'!$A$3,"Mese",3,"Tipologia",$A137,"Viaggio",$A$131))
-IF(ISERROR(GETPIVOTDATA("Somma di AVERE EUR",'Pivot RakBank AED'!$A$3,"Mese",3,"Tipologia",$A137,"Viaggio",$A$131)),0,GETPIVOTDATA("Somma di AVERE EUR",'Pivot RakBank AED'!$A$3,"Mese",3,"Tipologia",$A137,"Viaggio",$A$131))</f>
        <v>0</v>
      </c>
      <c r="F137" s="270">
        <f>IF(ISERROR(GETPIVOTDATA("Somma di DARE",'Pivot Fineco Sa'!$A$3,"Mese",4,"Tipologia",$A137,"Viaggio",$A$131)),0,GETPIVOTDATA("Somma di DARE",'Pivot Fineco Sa'!$A$3,"Mese",4,"Tipologia",$A137,"Viaggio",$A$131))
+IF(ISERROR(GETPIVOTDATA("Somma di DARE",'Pivot Fineco St'!$A$3,"Mese",4,"Tipologia",$A137,"Viaggio",$A$131)),0,GETPIVOTDATA("Somma di DARE",'Pivot Fineco St'!$A$3,"Mese",4,"Tipologia",$A137,"Viaggio",$A$131))
+IF(Contanti!$Q44='Conto Economico'!$A$131,Contanti!$N44)
+IF(ISERROR(GETPIVOTDATA("Somma di DARE",'Pivot BBVA'!$A$3,"Mese",4,"Tipologia",$A137,"Viaggio",$A$131)),0,GETPIVOTDATA("Somma di DARE",'Pivot BBVA'!$A$3,"Mese",4,"Tipologia",$A137,"Viaggio",$A$131))
+IF(ISERROR(GETPIVOTDATA("Somma di DARE",'Pivot Amex'!$A$3,"Mese",4,"Tipologia",$A137,"Viaggio",$A$131)),0,GETPIVOTDATA("Somma di DARE",'Pivot Amex'!$A$3,"Mese",4,"Tipologia",$A137,"Viaggio",$A$131))
-IF(ISERROR(GETPIVOTDATA("Somma di AVERE",'Pivot Amex'!$A$3,"Mese",4,"Tipologia",$A137,"Viaggio",$A$131)),0,GETPIVOTDATA("Somma di AVERE",'Pivot Amex'!$A$3,"Mese",4,"Tipologia",$A137,"Viaggio",$A$131))
-IF(ISERROR(GETPIVOTDATA("Somma di AVERE",'Pivot BBVA'!$A$3,"Mese",4,"Tipologia",$A137,"Viaggio",$A$131)),0,GETPIVOTDATA("Somma di AVERE",'Pivot BBVA'!$A$3,"Mese",4,"Tipologia",$A137,"Viaggio",$A$131))
-IF(ISERROR(GETPIVOTDATA("Somma di AVERE",'Pivot Fineco St'!$A$3,"Mese",4,"Tipologia",$A137,"Viaggio",$A$131)),0,GETPIVOTDATA("Somma di AVERE",'Pivot Fineco St'!$A$3,"Mese",4,"Tipologia",$A137,"Viaggio",$A$131))
-IF(ISERROR(GETPIVOTDATA("Somma di AVERE",'Pivot Fineco Sa'!$A$3,"Mese",4,"Tipologia",$A137,"Viaggio",$A$131)),0,GETPIVOTDATA("Somma di AVERE",'Pivot Fineco Sa'!$A$3,"Mese",4,"Tipologia",$A137,"Viaggio",$A$131))
+IF(ISERROR(GETPIVOTDATA("Somma di DARE",'Pivot PP Visa'!$A$3,"Mese",4,"Tipologia",$A137,"Viaggio",$A$131)),0,GETPIVOTDATA("Somma di DARE",'Pivot PP Visa'!$A$3,"Mese",4,"Tipologia",$A137,"Viaggio",$A$131))
-IF(ISERROR(GETPIVOTDATA("Somma di AVERE",'Pivot PP Visa'!$A$3,"Mese",4,"Tipologia",$A137,"Viaggio",$A$131)),0,GETPIVOTDATA("Somma di AVERE",'Pivot PP Visa'!$A$3,"Mese",4,"Tipologia",$A137,"Viaggio",$A$131))
+IF(ISERROR(GETPIVOTDATA("Somma di DARE",'Pivot Revolut'!$A$3,"Mese",4,"Tipologia",$A137,"Viaggio",$A$131)),0,GETPIVOTDATA("Somma di DARE",'Pivot Revolut'!$A$3,"Mese",4,"Tipologia",$A137,"Viaggio",$A$131))
-IF(ISERROR(GETPIVOTDATA("Somma di AVERE",'Pivot Revolut'!$A$3,"Mese",4,"Tipologia",$A137,"Viaggio",$A$131)),0,GETPIVOTDATA("Somma di AVERE",'Pivot Revolut'!$A$3,"Mese",4,"Tipologia",$A137,"Viaggio",$A$131))
+IF(ISERROR(GETPIVOTDATA("Somma di DARE",'Pivot RakBank EUR'!$A$3,"Mese",4,"Tipologia",$A137,"Viaggio",$A$131)),0,GETPIVOTDATA("Somma di DARE",'Pivot RakBank EUR'!$A$3,"Mese",4,"Tipologia",$A137,"Viaggio",$A$131))
-IF(ISERROR(GETPIVOTDATA("Somma di AVERE",'Pivot RakBank EUR'!$A$3,"Mese",4,"Tipologia",$A137,"Viaggio",$A$131)),0,GETPIVOTDATA("Somma di AVERE",'Pivot RakBank EUR'!$A$3,"Mese",4,"Tipologia",$A137,"Viaggio",$A$131))
+IF(ISERROR(GETPIVOTDATA("Somma di DARE EUR",'Pivot RakBank AED'!$A$3,"Mese",4,"Tipologia",$A137,"Viaggio",$A$131)),0,GETPIVOTDATA("Somma di DARE EUR",'Pivot RakBank AED'!$A$3,"Mese",4,"Tipologia",$A137,"Viaggio",$A$131))
-IF(ISERROR(GETPIVOTDATA("Somma di AVERE EUR",'Pivot RakBank AED'!$A$3,"Mese",4,"Tipologia",$A137,"Viaggio",$A$131)),0,GETPIVOTDATA("Somma di AVERE EUR",'Pivot RakBank AED'!$A$3,"Mese",4,"Tipologia",$A137,"Viaggio",$A$131))</f>
        <v>0</v>
      </c>
      <c r="G137" s="270">
        <f>IF(ISERROR(GETPIVOTDATA("Somma di DARE",'Pivot Fineco Sa'!$A$3,"Mese",5,"Tipologia",$A137,"Viaggio",$A$131)),0,GETPIVOTDATA("Somma di DARE",'Pivot Fineco Sa'!$A$3,"Mese",5,"Tipologia",$A137,"Viaggio",$A$131))
+IF(ISERROR(GETPIVOTDATA("Somma di DARE",'Pivot Fineco St'!$A$3,"Mese",5,"Tipologia",$A137,"Viaggio",$A$131)),0,GETPIVOTDATA("Somma di DARE",'Pivot Fineco St'!$A$3,"Mese",5,"Tipologia",$A137,"Viaggio",$A$131))
+IF(Contanti!$U44='Conto Economico'!$A$131,Contanti!$R44)
+IF(ISERROR(GETPIVOTDATA("Somma di DARE",'Pivot BBVA'!$A$3,"Mese",5,"Tipologia",$A137,"Viaggio",$A$131)),0,GETPIVOTDATA("Somma di DARE",'Pivot BBVA'!$A$3,"Mese",5,"Tipologia",$A137,"Viaggio",$A$131))
+IF(ISERROR(GETPIVOTDATA("Somma di DARE",'Pivot Amex'!$A$3,"Mese",5,"Tipologia",$A137,"Viaggio",$A$131)),0,GETPIVOTDATA("Somma di DARE",'Pivot Amex'!$A$3,"Mese",5,"Tipologia",$A137,"Viaggio",$A$131))
-IF(ISERROR(GETPIVOTDATA("Somma di AVERE",'Pivot Amex'!$A$3,"Mese",5,"Tipologia",$A137,"Viaggio",$A$131)),0,GETPIVOTDATA("Somma di AVERE",'Pivot Amex'!$A$3,"Mese",5,"Tipologia",$A137,"Viaggio",$A$131))
-IF(ISERROR(GETPIVOTDATA("Somma di AVERE",'Pivot BBVA'!$A$3,"Mese",5,"Tipologia",$A137,"Viaggio",$A$131)),0,GETPIVOTDATA("Somma di AVERE",'Pivot BBVA'!$A$3,"Mese",5,"Tipologia",$A137,"Viaggio",$A$131))
-IF(ISERROR(GETPIVOTDATA("Somma di AVERE",'Pivot Fineco St'!$A$3,"Mese",5,"Tipologia",$A137,"Viaggio",$A$131)),0,GETPIVOTDATA("Somma di AVERE",'Pivot Fineco St'!$A$3,"Mese",5,"Tipologia",$A137,"Viaggio",$A$131))
-IF(ISERROR(GETPIVOTDATA("Somma di AVERE",'Pivot Fineco Sa'!$A$3,"Mese",5,"Tipologia",$A137,"Viaggio",$A$131)),0,GETPIVOTDATA("Somma di AVERE",'Pivot Fineco Sa'!$A$3,"Mese",5,"Tipologia",$A137,"Viaggio",$A$131))
+IF(ISERROR(GETPIVOTDATA("Somma di DARE",'Pivot PP Visa'!$A$3,"Mese",5,"Tipologia",$A137,"Viaggio",$A$131)),0,GETPIVOTDATA("Somma di DARE",'Pivot PP Visa'!$A$3,"Mese",5,"Tipologia",$A137,"Viaggio",$A$131))
-IF(ISERROR(GETPIVOTDATA("Somma di AVERE",'Pivot PP Visa'!$A$3,"Mese",5,"Tipologia",$A137,"Viaggio",$A$131)),0,GETPIVOTDATA("Somma di AVERE",'Pivot PP Visa'!$A$3,"Mese",5,"Tipologia",$A137,"Viaggio",$A$131))
+IF(ISERROR(GETPIVOTDATA("Somma di DARE",'Pivot Revolut'!$A$3,"Mese",5,"Tipologia",$A137,"Viaggio",$A$131)),0,GETPIVOTDATA("Somma di DARE",'Pivot Revolut'!$A$3,"Mese",5,"Tipologia",$A137,"Viaggio",$A$131))
-IF(ISERROR(GETPIVOTDATA("Somma di AVERE",'Pivot Revolut'!$A$3,"Mese",5,"Tipologia",$A137,"Viaggio",$A$131)),0,GETPIVOTDATA("Somma di AVERE",'Pivot Revolut'!$A$3,"Mese",5,"Tipologia",$A137,"Viaggio",$A$131))
+IF(ISERROR(GETPIVOTDATA("Somma di DARE",'Pivot RakBank EUR'!$A$3,"Mese",5,"Tipologia",$A137,"Viaggio",$A$131)),0,GETPIVOTDATA("Somma di DARE",'Pivot RakBank EUR'!$A$3,"Mese",5,"Tipologia",$A137,"Viaggio",$A$131))
-IF(ISERROR(GETPIVOTDATA("Somma di AVERE",'Pivot RakBank EUR'!$A$3,"Mese",5,"Tipologia",$A137,"Viaggio",$A$131)),0,GETPIVOTDATA("Somma di AVERE",'Pivot RakBank EUR'!$A$3,"Mese",5,"Tipologia",$A137,"Viaggio",$A$131))
+IF(ISERROR(GETPIVOTDATA("Somma di DARE EUR",'Pivot RakBank AED'!$A$3,"Mese",5,"Tipologia",$A137,"Viaggio",$A$131)),0,GETPIVOTDATA("Somma di DARE EUR",'Pivot RakBank AED'!$A$3,"Mese",5,"Tipologia",$A137,"Viaggio",$A$131))
-IF(ISERROR(GETPIVOTDATA("Somma di AVERE EUR",'Pivot RakBank AED'!$A$3,"Mese",5,"Tipologia",$A137,"Viaggio",$A$131)),0,GETPIVOTDATA("Somma di AVERE EUR",'Pivot RakBank AED'!$A$3,"Mese",5,"Tipologia",$A137,"Viaggio",$A$131))</f>
        <v>0</v>
      </c>
      <c r="H137" s="270">
        <f>IF(ISERROR(GETPIVOTDATA("Somma di DARE",'Pivot Fineco Sa'!$A$3,"Mese",6,"Tipologia",$A137,"Viaggio",$A$131)),0,GETPIVOTDATA("Somma di DARE",'Pivot Fineco Sa'!$A$3,"Mese",6,"Tipologia",$A137,"Viaggio",$A$131))
+IF(ISERROR(GETPIVOTDATA("Somma di DARE",'Pivot Fineco St'!$A$3,"Mese",6,"Tipologia",$A137,"Viaggio",$A$131)),0,GETPIVOTDATA("Somma di DARE",'Pivot Fineco St'!$A$3,"Mese",6,"Tipologia",$A137,"Viaggio",$A$131))
+IF(Contanti!$Y44='Conto Economico'!$A$131,Contanti!$V44)
+IF(ISERROR(GETPIVOTDATA("Somma di DARE",'Pivot BBVA'!$A$3,"Mese",6,"Tipologia",$A137,"Viaggio",$A$131)),0,GETPIVOTDATA("Somma di DARE",'Pivot BBVA'!$A$3,"Mese",6,"Tipologia",$A137,"Viaggio",$A$131))
+IF(ISERROR(GETPIVOTDATA("Somma di DARE",'Pivot Amex'!$A$3,"Mese",6,"Tipologia",$A137,"Viaggio",$A$131)),0,GETPIVOTDATA("Somma di DARE",'Pivot Amex'!$A$3,"Mese",6,"Tipologia",$A137,"Viaggio",$A$131))
-IF(ISERROR(GETPIVOTDATA("Somma di AVERE",'Pivot Amex'!$A$3,"Mese",6,"Tipologia",$A137,"Viaggio",$A$131)),0,GETPIVOTDATA("Somma di AVERE",'Pivot Amex'!$A$3,"Mese",6,"Tipologia",$A137,"Viaggio",$A$131))
-IF(ISERROR(GETPIVOTDATA("Somma di AVERE",'Pivot BBVA'!$A$3,"Mese",6,"Tipologia",$A137,"Viaggio",$A$131)),0,GETPIVOTDATA("Somma di AVERE",'Pivot BBVA'!$A$3,"Mese",6,"Tipologia",$A137,"Viaggio",$A$131))
-IF(ISERROR(GETPIVOTDATA("Somma di AVERE",'Pivot Fineco St'!$A$3,"Mese",6,"Tipologia",$A137,"Viaggio",$A$131)),0,GETPIVOTDATA("Somma di AVERE",'Pivot Fineco St'!$A$3,"Mese",6,"Tipologia",$A137,"Viaggio",$A$131))
-IF(ISERROR(GETPIVOTDATA("Somma di AVERE",'Pivot Fineco Sa'!$A$3,"Mese",6,"Tipologia",$A137,"Viaggio",$A$131)),0,GETPIVOTDATA("Somma di AVERE",'Pivot Fineco Sa'!$A$3,"Mese",6,"Tipologia",$A137,"Viaggio",$A$131))
+IF(ISERROR(GETPIVOTDATA("Somma di DARE",'Pivot PP Visa'!$A$3,"Mese",6,"Tipologia",$A137,"Viaggio",$A$131)),0,GETPIVOTDATA("Somma di DARE",'Pivot PP Visa'!$A$3,"Mese",6,"Tipologia",$A137,"Viaggio",$A$131))
-IF(ISERROR(GETPIVOTDATA("Somma di AVERE",'Pivot PP Visa'!$A$3,"Mese",6,"Tipologia",$A137,"Viaggio",$A$131)),0,GETPIVOTDATA("Somma di AVERE",'Pivot PP Visa'!$A$3,"Mese",6,"Tipologia",$A137,"Viaggio",$A$131))
+IF(ISERROR(GETPIVOTDATA("Somma di DARE",'Pivot Revolut'!$A$3,"Mese",6,"Tipologia",$A137,"Viaggio",$A$131)),0,GETPIVOTDATA("Somma di DARE",'Pivot Revolut'!$A$3,"Mese",6,"Tipologia",$A137,"Viaggio",$A$131))
-IF(ISERROR(GETPIVOTDATA("Somma di AVERE",'Pivot Revolut'!$A$3,"Mese",6,"Tipologia",$A137,"Viaggio",$A$131)),0,GETPIVOTDATA("Somma di AVERE",'Pivot Revolut'!$A$3,"Mese",6,"Tipologia",$A137,"Viaggio",$A$131))
+IF(ISERROR(GETPIVOTDATA("Somma di DARE",'Pivot RakBank EUR'!$A$3,"Mese",6,"Tipologia",$A137,"Viaggio",$A$131)),0,GETPIVOTDATA("Somma di DARE",'Pivot RakBank EUR'!$A$3,"Mese",6,"Tipologia",$A137,"Viaggio",$A$131))
-IF(ISERROR(GETPIVOTDATA("Somma di AVERE",'Pivot RakBank EUR'!$A$3,"Mese",6,"Tipologia",$A137,"Viaggio",$A$131)),0,GETPIVOTDATA("Somma di AVERE",'Pivot RakBank EUR'!$A$3,"Mese",6,"Tipologia",$A137,"Viaggio",$A$131))
+IF(ISERROR(GETPIVOTDATA("Somma di DARE EUR",'Pivot RakBank AED'!$A$3,"Mese",6,"Tipologia",$A137,"Viaggio",$A$131)),0,GETPIVOTDATA("Somma di DARE EUR",'Pivot RakBank AED'!$A$3,"Mese",6,"Tipologia",$A137,"Viaggio",$A$131))
-IF(ISERROR(GETPIVOTDATA("Somma di AVERE EUR",'Pivot RakBank AED'!$A$3,"Mese",6,"Tipologia",$A137,"Viaggio",$A$131)),0,GETPIVOTDATA("Somma di AVERE EUR",'Pivot RakBank AED'!$A$3,"Mese",6,"Tipologia",$A137,"Viaggio",$A$131))</f>
        <v>0</v>
      </c>
      <c r="I137" s="270">
        <f>IF(ISERROR(GETPIVOTDATA("Somma di DARE",'Pivot Fineco Sa'!$A$3,"Mese",7,"Tipologia",$A137,"Viaggio",$A$131)),0,GETPIVOTDATA("Somma di DARE",'Pivot Fineco Sa'!$A$3,"Mese",7,"Tipologia",$A137,"Viaggio",$A$131))
+IF(ISERROR(GETPIVOTDATA("Somma di DARE",'Pivot Fineco St'!$A$3,"Mese",7,"Tipologia",$A137,"Viaggio",$A$131)),0,GETPIVOTDATA("Somma di DARE",'Pivot Fineco St'!$A$3,"Mese",7,"Tipologia",$A137,"Viaggio",$A$131))
+IF(Contanti!$AC44='Conto Economico'!$A$131,Contanti!$Z44)
+IF(ISERROR(GETPIVOTDATA("Somma di DARE",'Pivot BBVA'!$A$3,"Mese",7,"Tipologia",$A137,"Viaggio",$A$131)),0,GETPIVOTDATA("Somma di DARE",'Pivot BBVA'!$A$3,"Mese",7,"Tipologia",$A137,"Viaggio",$A$131))
+IF(ISERROR(GETPIVOTDATA("Somma di DARE",'Pivot Amex'!$A$3,"Mese",7,"Tipologia",$A137,"Viaggio",$A$131)),0,GETPIVOTDATA("Somma di DARE",'Pivot Amex'!$A$3,"Mese",7,"Tipologia",$A137,"Viaggio",$A$131))
-IF(ISERROR(GETPIVOTDATA("Somma di AVERE",'Pivot Amex'!$A$3,"Mese",7,"Tipologia",$A137,"Viaggio",$A$131)),0,GETPIVOTDATA("Somma di AVERE",'Pivot Amex'!$A$3,"Mese",7,"Tipologia",$A137,"Viaggio",$A$131))
-IF(ISERROR(GETPIVOTDATA("Somma di AVERE",'Pivot BBVA'!$A$3,"Mese",7,"Tipologia",$A137,"Viaggio",$A$131)),0,GETPIVOTDATA("Somma di AVERE",'Pivot BBVA'!$A$3,"Mese",7,"Tipologia",$A137,"Viaggio",$A$131))
-IF(ISERROR(GETPIVOTDATA("Somma di AVERE",'Pivot Fineco St'!$A$3,"Mese",7,"Tipologia",$A137,"Viaggio",$A$131)),0,GETPIVOTDATA("Somma di AVERE",'Pivot Fineco St'!$A$3,"Mese",7,"Tipologia",$A137,"Viaggio",$A$131))
-IF(ISERROR(GETPIVOTDATA("Somma di AVERE",'Pivot Fineco Sa'!$A$3,"Mese",7,"Tipologia",$A137,"Viaggio",$A$131)),0,GETPIVOTDATA("Somma di AVERE",'Pivot Fineco Sa'!$A$3,"Mese",7,"Tipologia",$A137,"Viaggio",$A$131))
+IF(ISERROR(GETPIVOTDATA("Somma di DARE",'Pivot PP Visa'!$A$3,"Mese",7,"Tipologia",$A137,"Viaggio",$A$131)),0,GETPIVOTDATA("Somma di DARE",'Pivot PP Visa'!$A$3,"Mese",7,"Tipologia",$A137,"Viaggio",$A$131))
-IF(ISERROR(GETPIVOTDATA("Somma di AVERE",'Pivot PP Visa'!$A$3,"Mese",7,"Tipologia",$A137,"Viaggio",$A$131)),0,GETPIVOTDATA("Somma di AVERE",'Pivot PP Visa'!$A$3,"Mese",7,"Tipologia",$A137,"Viaggio",$A$131))
+IF(ISERROR(GETPIVOTDATA("Somma di DARE",'Pivot Revolut'!$A$3,"Mese",7,"Tipologia",$A137,"Viaggio",$A$131)),0,GETPIVOTDATA("Somma di DARE",'Pivot Revolut'!$A$3,"Mese",7,"Tipologia",$A137,"Viaggio",$A$131))
-IF(ISERROR(GETPIVOTDATA("Somma di AVERE",'Pivot Revolut'!$A$3,"Mese",7,"Tipologia",$A137,"Viaggio",$A$131)),0,GETPIVOTDATA("Somma di AVERE",'Pivot Revolut'!$A$3,"Mese",7,"Tipologia",$A137,"Viaggio",$A$131))
+IF(ISERROR(GETPIVOTDATA("Somma di DARE",'Pivot RakBank EUR'!$A$3,"Mese",7,"Tipologia",$A137,"Viaggio",$A$131)),0,GETPIVOTDATA("Somma di DARE",'Pivot RakBank EUR'!$A$3,"Mese",7,"Tipologia",$A137,"Viaggio",$A$131))
-IF(ISERROR(GETPIVOTDATA("Somma di AVERE",'Pivot RakBank EUR'!$A$3,"Mese",7,"Tipologia",$A137,"Viaggio",$A$131)),0,GETPIVOTDATA("Somma di AVERE",'Pivot RakBank EUR'!$A$3,"Mese",7,"Tipologia",$A137,"Viaggio",$A$131))
+IF(ISERROR(GETPIVOTDATA("Somma di DARE EUR",'Pivot RakBank AED'!$A$3,"Mese",7,"Tipologia",$A137,"Viaggio",$A$131)),0,GETPIVOTDATA("Somma di DARE EUR",'Pivot RakBank AED'!$A$3,"Mese",7,"Tipologia",$A137,"Viaggio",$A$131))
-IF(ISERROR(GETPIVOTDATA("Somma di AVERE EUR",'Pivot RakBank AED'!$A$3,"Mese",7,"Tipologia",$A137,"Viaggio",$A$131)),0,GETPIVOTDATA("Somma di AVERE EUR",'Pivot RakBank AED'!$A$3,"Mese",7,"Tipologia",$A137,"Viaggio",$A$131))</f>
        <v>0</v>
      </c>
      <c r="J137" s="270">
        <f>IF(ISERROR(GETPIVOTDATA("Somma di DARE",'Pivot Fineco Sa'!$A$3,"Mese",8,"Tipologia",$A137,"Viaggio",$A$131)),0,GETPIVOTDATA("Somma di DARE",'Pivot Fineco Sa'!$A$3,"Mese",8,"Tipologia",$A137,"Viaggio",$A$131))
+IF(ISERROR(GETPIVOTDATA("Somma di DARE",'Pivot Fineco St'!$A$3,"Mese",8,"Tipologia",$A137,"Viaggio",$A$131)),0,GETPIVOTDATA("Somma di DARE",'Pivot Fineco St'!$A$3,"Mese",8,"Tipologia",$A137,"Viaggio",$A$131))
+IF(Contanti!$AG44='Conto Economico'!$A$131,Contanti!$AD44)
+IF(ISERROR(GETPIVOTDATA("Somma di DARE",'Pivot BBVA'!$A$3,"Mese",8,"Tipologia",$A137,"Viaggio",$A$131)),0,GETPIVOTDATA("Somma di DARE",'Pivot BBVA'!$A$3,"Mese",8,"Tipologia",$A137,"Viaggio",$A$131))
+IF(ISERROR(GETPIVOTDATA("Somma di DARE",'Pivot Amex'!$A$3,"Mese",8,"Tipologia",$A137,"Viaggio",$A$131)),0,GETPIVOTDATA("Somma di DARE",'Pivot Amex'!$A$3,"Mese",8,"Tipologia",$A137,"Viaggio",$A$131))
-IF(ISERROR(GETPIVOTDATA("Somma di AVERE",'Pivot Amex'!$A$3,"Mese",8,"Tipologia",$A137,"Viaggio",$A$131)),0,GETPIVOTDATA("Somma di AVERE",'Pivot Amex'!$A$3,"Mese",8,"Tipologia",$A137,"Viaggio",$A$131))
-IF(ISERROR(GETPIVOTDATA("Somma di AVERE",'Pivot BBVA'!$A$3,"Mese",8,"Tipologia",$A137,"Viaggio",$A$131)),0,GETPIVOTDATA("Somma di AVERE",'Pivot BBVA'!$A$3,"Mese",8,"Tipologia",$A137,"Viaggio",$A$131))
-IF(ISERROR(GETPIVOTDATA("Somma di AVERE",'Pivot Fineco St'!$A$3,"Mese",8,"Tipologia",$A137,"Viaggio",$A$131)),0,GETPIVOTDATA("Somma di AVERE",'Pivot Fineco St'!$A$3,"Mese",8,"Tipologia",$A137,"Viaggio",$A$131))
-IF(ISERROR(GETPIVOTDATA("Somma di AVERE",'Pivot Fineco Sa'!$A$3,"Mese",8,"Tipologia",$A137,"Viaggio",$A$131)),0,GETPIVOTDATA("Somma di AVERE",'Pivot Fineco Sa'!$A$3,"Mese",8,"Tipologia",$A137,"Viaggio",$A$131))
+IF(ISERROR(GETPIVOTDATA("Somma di DARE",'Pivot PP Visa'!$A$3,"Mese",8,"Tipologia",$A137,"Viaggio",$A$131)),0,GETPIVOTDATA("Somma di DARE",'Pivot PP Visa'!$A$3,"Mese",8,"Tipologia",$A137,"Viaggio",$A$131))
-IF(ISERROR(GETPIVOTDATA("Somma di AVERE",'Pivot PP Visa'!$A$3,"Mese",8,"Tipologia",$A137,"Viaggio",$A$131)),0,GETPIVOTDATA("Somma di AVERE",'Pivot PP Visa'!$A$3,"Mese",8,"Tipologia",$A137,"Viaggio",$A$131))
+IF(ISERROR(GETPIVOTDATA("Somma di DARE",'Pivot Revolut'!$A$3,"Mese",8,"Tipologia",$A137,"Viaggio",$A$131)),0,GETPIVOTDATA("Somma di DARE",'Pivot Revolut'!$A$3,"Mese",8,"Tipologia",$A137,"Viaggio",$A$131))
-IF(ISERROR(GETPIVOTDATA("Somma di AVERE",'Pivot Revolut'!$A$3,"Mese",8,"Tipologia",$A137,"Viaggio",$A$131)),0,GETPIVOTDATA("Somma di AVERE",'Pivot Revolut'!$A$3,"Mese",8,"Tipologia",$A137,"Viaggio",$A$131))
+IF(ISERROR(GETPIVOTDATA("Somma di DARE",'Pivot RakBank EUR'!$A$3,"Mese",8,"Tipologia",$A137,"Viaggio",$A$131)),0,GETPIVOTDATA("Somma di DARE",'Pivot RakBank EUR'!$A$3,"Mese",8,"Tipologia",$A137,"Viaggio",$A$131))
-IF(ISERROR(GETPIVOTDATA("Somma di AVERE",'Pivot RakBank EUR'!$A$3,"Mese",8,"Tipologia",$A137,"Viaggio",$A$131)),0,GETPIVOTDATA("Somma di AVERE",'Pivot RakBank EUR'!$A$3,"Mese",8,"Tipologia",$A137,"Viaggio",$A$131))
+IF(ISERROR(GETPIVOTDATA("Somma di DARE EUR",'Pivot RakBank AED'!$A$3,"Mese",8,"Tipologia",$A137,"Viaggio",$A$131)),0,GETPIVOTDATA("Somma di DARE EUR",'Pivot RakBank AED'!$A$3,"Mese",8,"Tipologia",$A137,"Viaggio",$A$131))
-IF(ISERROR(GETPIVOTDATA("Somma di AVERE EUR",'Pivot RakBank AED'!$A$3,"Mese",8,"Tipologia",$A137,"Viaggio",$A$131)),0,GETPIVOTDATA("Somma di AVERE EUR",'Pivot RakBank AED'!$A$3,"Mese",8,"Tipologia",$A137,"Viaggio",$A$131))</f>
        <v>0</v>
      </c>
      <c r="K137" s="270">
        <f>IF(ISERROR(GETPIVOTDATA("Somma di DARE",'Pivot Fineco Sa'!$A$3,"Mese",9,"Tipologia",$A137,"Viaggio",$A$131)),0,GETPIVOTDATA("Somma di DARE",'Pivot Fineco Sa'!$A$3,"Mese",9,"Tipologia",$A137,"Viaggio",$A$131))
+IF(ISERROR(GETPIVOTDATA("Somma di DARE",'Pivot Fineco St'!$A$3,"Mese",9,"Tipologia",$A137,"Viaggio",$A$131)),0,GETPIVOTDATA("Somma di DARE",'Pivot Fineco St'!$A$3,"Mese",9,"Tipologia",$A137,"Viaggio",$A$131))
+IF(Contanti!$AK44='Conto Economico'!$A$131,Contanti!$AH44)
+IF(ISERROR(GETPIVOTDATA("Somma di DARE",'Pivot BBVA'!$A$3,"Mese",9,"Tipologia",$A137,"Viaggio",$A$131)),0,GETPIVOTDATA("Somma di DARE",'Pivot BBVA'!$A$3,"Mese",9,"Tipologia",$A137,"Viaggio",$A$131))
+IF(ISERROR(GETPIVOTDATA("Somma di DARE",'Pivot Amex'!$A$3,"Mese",9,"Tipologia",$A137,"Viaggio",$A$131)),0,GETPIVOTDATA("Somma di DARE",'Pivot Amex'!$A$3,"Mese",9,"Tipologia",$A137,"Viaggio",$A$131))
-IF(ISERROR(GETPIVOTDATA("Somma di AVERE",'Pivot Amex'!$A$3,"Mese",9,"Tipologia",$A137,"Viaggio",$A$131)),0,GETPIVOTDATA("Somma di AVERE",'Pivot Amex'!$A$3,"Mese",9,"Tipologia",$A137,"Viaggio",$A$131))
-IF(ISERROR(GETPIVOTDATA("Somma di AVERE",'Pivot BBVA'!$A$3,"Mese",9,"Tipologia",$A137,"Viaggio",$A$131)),0,GETPIVOTDATA("Somma di AVERE",'Pivot BBVA'!$A$3,"Mese",9,"Tipologia",$A137,"Viaggio",$A$131))
-IF(ISERROR(GETPIVOTDATA("Somma di AVERE",'Pivot Fineco St'!$A$3,"Mese",9,"Tipologia",$A137,"Viaggio",$A$131)),0,GETPIVOTDATA("Somma di AVERE",'Pivot Fineco St'!$A$3,"Mese",9,"Tipologia",$A137,"Viaggio",$A$131))
-IF(ISERROR(GETPIVOTDATA("Somma di AVERE",'Pivot Fineco Sa'!$A$3,"Mese",9,"Tipologia",$A137,"Viaggio",$A$131)),0,GETPIVOTDATA("Somma di AVERE",'Pivot Fineco Sa'!$A$3,"Mese",9,"Tipologia",$A137,"Viaggio",$A$131))
+IF(ISERROR(GETPIVOTDATA("Somma di DARE",'Pivot PP Visa'!$A$3,"Mese",9,"Tipologia",$A137,"Viaggio",$A$131)),0,GETPIVOTDATA("Somma di DARE",'Pivot PP Visa'!$A$3,"Mese",9,"Tipologia",$A137,"Viaggio",$A$131))
-IF(ISERROR(GETPIVOTDATA("Somma di AVERE",'Pivot PP Visa'!$A$3,"Mese",9,"Tipologia",$A137,"Viaggio",$A$131)),0,GETPIVOTDATA("Somma di AVERE",'Pivot PP Visa'!$A$3,"Mese",9,"Tipologia",$A137,"Viaggio",$A$131))
+IF(ISERROR(GETPIVOTDATA("Somma di DARE",'Pivot Revolut'!$A$3,"Mese",9,"Tipologia",$A137,"Viaggio",$A$131)),0,GETPIVOTDATA("Somma di DARE",'Pivot Revolut'!$A$3,"Mese",9,"Tipologia",$A137,"Viaggio",$A$131))
-IF(ISERROR(GETPIVOTDATA("Somma di AVERE",'Pivot Revolut'!$A$3,"Mese",9,"Tipologia",$A137,"Viaggio",$A$131)),0,GETPIVOTDATA("Somma di AVERE",'Pivot Revolut'!$A$3,"Mese",9,"Tipologia",$A137,"Viaggio",$A$131))
+IF(ISERROR(GETPIVOTDATA("Somma di DARE",'Pivot RakBank EUR'!$A$3,"Mese",9,"Tipologia",$A137,"Viaggio",$A$131)),0,GETPIVOTDATA("Somma di DARE",'Pivot RakBank EUR'!$A$3,"Mese",9,"Tipologia",$A137,"Viaggio",$A$131))
-IF(ISERROR(GETPIVOTDATA("Somma di AVERE",'Pivot RakBank EUR'!$A$3,"Mese",9,"Tipologia",$A137,"Viaggio",$A$131)),0,GETPIVOTDATA("Somma di AVERE",'Pivot RakBank EUR'!$A$3,"Mese",9,"Tipologia",$A137,"Viaggio",$A$131))
+IF(ISERROR(GETPIVOTDATA("Somma di DARE EUR",'Pivot RakBank AED'!$A$3,"Mese",9,"Tipologia",$A137,"Viaggio",$A$131)),0,GETPIVOTDATA("Somma di DARE EUR",'Pivot RakBank AED'!$A$3,"Mese",9,"Tipologia",$A137,"Viaggio",$A$131))
-IF(ISERROR(GETPIVOTDATA("Somma di AVERE EUR",'Pivot RakBank AED'!$A$3,"Mese",9,"Tipologia",$A137,"Viaggio",$A$131)),0,GETPIVOTDATA("Somma di AVERE EUR",'Pivot RakBank AED'!$A$3,"Mese",9,"Tipologia",$A137,"Viaggio",$A$131))</f>
        <v>0</v>
      </c>
      <c r="L137" s="270">
        <f>IF(ISERROR(GETPIVOTDATA("Somma di DARE",'Pivot Fineco Sa'!$A$3,"Mese",10,"Tipologia",$A137,"Viaggio",$A$131)),0,GETPIVOTDATA("Somma di DARE",'Pivot Fineco Sa'!$A$3,"Mese",10,"Tipologia",$A137,"Viaggio",$A$131))
+IF(ISERROR(GETPIVOTDATA("Somma di DARE",'Pivot Fineco St'!$A$3,"Mese",10,"Tipologia",$A137,"Viaggio",$A$131)),0,GETPIVOTDATA("Somma di DARE",'Pivot Fineco St'!$A$3,"Mese",10,"Tipologia",$A137,"Viaggio",$A$131))
+IF(Contanti!$AO44='Conto Economico'!$A$131,Contanti!$AL44)
+IF(ISERROR(GETPIVOTDATA("Somma di DARE",'Pivot BBVA'!$A$3,"Mese",10,"Tipologia",$A137,"Viaggio",$A$131)),0,GETPIVOTDATA("Somma di DARE",'Pivot BBVA'!$A$3,"Mese",10,"Tipologia",$A137,"Viaggio",$A$131))
+IF(ISERROR(GETPIVOTDATA("Somma di DARE",'Pivot Amex'!$A$3,"Mese",10,"Tipologia",$A137,"Viaggio",$A$131)),0,GETPIVOTDATA("Somma di DARE",'Pivot Amex'!$A$3,"Mese",10,"Tipologia",$A137,"Viaggio",$A$131))
-IF(ISERROR(GETPIVOTDATA("Somma di AVERE",'Pivot Amex'!$A$3,"Mese",10,"Tipologia",$A137,"Viaggio",$A$131)),0,GETPIVOTDATA("Somma di AVERE",'Pivot Amex'!$A$3,"Mese",10,"Tipologia",$A137,"Viaggio",$A$131))
-IF(ISERROR(GETPIVOTDATA("Somma di AVERE",'Pivot BBVA'!$A$3,"Mese",10,"Tipologia",$A137,"Viaggio",$A$131)),0,GETPIVOTDATA("Somma di AVERE",'Pivot BBVA'!$A$3,"Mese",10,"Tipologia",$A137,"Viaggio",$A$131))
-IF(ISERROR(GETPIVOTDATA("Somma di AVERE",'Pivot Fineco St'!$A$3,"Mese",10,"Tipologia",$A137,"Viaggio",$A$131)),0,GETPIVOTDATA("Somma di AVERE",'Pivot Fineco St'!$A$3,"Mese",10,"Tipologia",$A137,"Viaggio",$A$131))
-IF(ISERROR(GETPIVOTDATA("Somma di AVERE",'Pivot Fineco Sa'!$A$3,"Mese",10,"Tipologia",$A137,"Viaggio",$A$131)),0,GETPIVOTDATA("Somma di AVERE",'Pivot Fineco Sa'!$A$3,"Mese",10,"Tipologia",$A137,"Viaggio",$A$131))
+IF(ISERROR(GETPIVOTDATA("Somma di DARE",'Pivot PP Visa'!$A$3,"Mese",10,"Tipologia",$A137,"Viaggio",$A$131)),0,GETPIVOTDATA("Somma di DARE",'Pivot PP Visa'!$A$3,"Mese",10,"Tipologia",$A137,"Viaggio",$A$131))
-IF(ISERROR(GETPIVOTDATA("Somma di AVERE",'Pivot PP Visa'!$A$3,"Mese",10,"Tipologia",$A137,"Viaggio",$A$131)),0,GETPIVOTDATA("Somma di AVERE",'Pivot PP Visa'!$A$3,"Mese",10,"Tipologia",$A137,"Viaggio",$A$131))
+IF(ISERROR(GETPIVOTDATA("Somma di DARE",'Pivot Revolut'!$A$3,"Mese",10,"Tipologia",$A137,"Viaggio",$A$131)),0,GETPIVOTDATA("Somma di DARE",'Pivot Revolut'!$A$3,"Mese",10,"Tipologia",$A137,"Viaggio",$A$131))
-IF(ISERROR(GETPIVOTDATA("Somma di AVERE",'Pivot Revolut'!$A$3,"Mese",10,"Tipologia",$A137,"Viaggio",$A$131)),0,GETPIVOTDATA("Somma di AVERE",'Pivot Revolut'!$A$3,"Mese",10,"Tipologia",$A137,"Viaggio",$A$131))
+IF(ISERROR(GETPIVOTDATA("Somma di DARE",'Pivot RakBank EUR'!$A$3,"Mese",10,"Tipologia",$A137,"Viaggio",$A$131)),0,GETPIVOTDATA("Somma di DARE",'Pivot RakBank EUR'!$A$3,"Mese",10,"Tipologia",$A137,"Viaggio",$A$131))
-IF(ISERROR(GETPIVOTDATA("Somma di AVERE",'Pivot RakBank EUR'!$A$3,"Mese",10,"Tipologia",$A137,"Viaggio",$A$131)),0,GETPIVOTDATA("Somma di AVERE",'Pivot RakBank EUR'!$A$3,"Mese",10,"Tipologia",$A137,"Viaggio",$A$131))
+IF(ISERROR(GETPIVOTDATA("Somma di DARE EUR",'Pivot RakBank AED'!$A$3,"Mese",10,"Tipologia",$A137,"Viaggio",$A$131)),0,GETPIVOTDATA("Somma di DARE EUR",'Pivot RakBank AED'!$A$3,"Mese",10,"Tipologia",$A137,"Viaggio",$A$131))
-IF(ISERROR(GETPIVOTDATA("Somma di AVERE EUR",'Pivot RakBank AED'!$A$3,"Mese",10,"Tipologia",$A137,"Viaggio",$A$131)),0,GETPIVOTDATA("Somma di AVERE EUR",'Pivot RakBank AED'!$A$3,"Mese",10,"Tipologia",$A137,"Viaggio",$A$131))</f>
        <v>0</v>
      </c>
      <c r="M137" s="270">
        <f>IF(ISERROR(GETPIVOTDATA("Somma di DARE",'Pivot Fineco Sa'!$A$3,"Mese",11,"Tipologia",$A137,"Viaggio",$A$131)),0,GETPIVOTDATA("Somma di DARE",'Pivot Fineco Sa'!$A$3,"Mese",11,"Tipologia",$A137,"Viaggio",$A$131))
+IF(ISERROR(GETPIVOTDATA("Somma di DARE",'Pivot Fineco St'!$A$3,"Mese",11,"Tipologia",$A137,"Viaggio",$A$131)),0,GETPIVOTDATA("Somma di DARE",'Pivot Fineco St'!$A$3,"Mese",11,"Tipologia",$A137,"Viaggio",$A$131))
+IF(Contanti!$AS44='Conto Economico'!$A$131,Contanti!$AP44)
+IF(ISERROR(GETPIVOTDATA("Somma di DARE",'Pivot BBVA'!$A$3,"Mese",11,"Tipologia",$A137,"Viaggio",$A$131)),0,GETPIVOTDATA("Somma di DARE",'Pivot BBVA'!$A$3,"Mese",11,"Tipologia",$A137,"Viaggio",$A$131))
+IF(ISERROR(GETPIVOTDATA("Somma di DARE",'Pivot Amex'!$A$3,"Mese",11,"Tipologia",$A137,"Viaggio",$A$131)),0,GETPIVOTDATA("Somma di DARE",'Pivot Amex'!$A$3,"Mese",11,"Tipologia",$A137,"Viaggio",$A$131))
-IF(ISERROR(GETPIVOTDATA("Somma di AVERE",'Pivot Amex'!$A$3,"Mese",11,"Tipologia",$A137,"Viaggio",$A$131)),0,GETPIVOTDATA("Somma di AVERE",'Pivot Amex'!$A$3,"Mese",11,"Tipologia",$A137,"Viaggio",$A$131))
-IF(ISERROR(GETPIVOTDATA("Somma di AVERE",'Pivot BBVA'!$A$3,"Mese",11,"Tipologia",$A137,"Viaggio",$A$131)),0,GETPIVOTDATA("Somma di AVERE",'Pivot BBVA'!$A$3,"Mese",11,"Tipologia",$A137,"Viaggio",$A$131))
-IF(ISERROR(GETPIVOTDATA("Somma di AVERE",'Pivot Fineco St'!$A$3,"Mese",11,"Tipologia",$A137,"Viaggio",$A$131)),0,GETPIVOTDATA("Somma di AVERE",'Pivot Fineco St'!$A$3,"Mese",11,"Tipologia",$A137,"Viaggio",$A$131))
-IF(ISERROR(GETPIVOTDATA("Somma di AVERE",'Pivot Fineco Sa'!$A$3,"Mese",11,"Tipologia",$A137,"Viaggio",$A$131)),0,GETPIVOTDATA("Somma di AVERE",'Pivot Fineco Sa'!$A$3,"Mese",11,"Tipologia",$A137,"Viaggio",$A$131))
+IF(ISERROR(GETPIVOTDATA("Somma di DARE",'Pivot PP Visa'!$A$3,"Mese",11,"Tipologia",$A137,"Viaggio",$A$131)),0,GETPIVOTDATA("Somma di DARE",'Pivot PP Visa'!$A$3,"Mese",11,"Tipologia",$A137,"Viaggio",$A$131))
-IF(ISERROR(GETPIVOTDATA("Somma di AVERE",'Pivot PP Visa'!$A$3,"Mese",11,"Tipologia",$A137,"Viaggio",$A$131)),0,GETPIVOTDATA("Somma di AVERE",'Pivot PP Visa'!$A$3,"Mese",11,"Tipologia",$A137,"Viaggio",$A$131))
+IF(ISERROR(GETPIVOTDATA("Somma di DARE",'Pivot Revolut'!$A$3,"Mese",11,"Tipologia",$A137,"Viaggio",$A$131)),0,GETPIVOTDATA("Somma di DARE",'Pivot Revolut'!$A$3,"Mese",11,"Tipologia",$A137,"Viaggio",$A$131))
-IF(ISERROR(GETPIVOTDATA("Somma di AVERE",'Pivot Revolut'!$A$3,"Mese",11,"Tipologia",$A137,"Viaggio",$A$131)),0,GETPIVOTDATA("Somma di AVERE",'Pivot Revolut'!$A$3,"Mese",11,"Tipologia",$A137,"Viaggio",$A$131))
+IF(ISERROR(GETPIVOTDATA("Somma di DARE",'Pivot RakBank EUR'!$A$3,"Mese",11,"Tipologia",$A137,"Viaggio",$A$131)),0,GETPIVOTDATA("Somma di DARE",'Pivot RakBank EUR'!$A$3,"Mese",11,"Tipologia",$A137,"Viaggio",$A$131))
-IF(ISERROR(GETPIVOTDATA("Somma di AVERE",'Pivot RakBank EUR'!$A$3,"Mese",11,"Tipologia",$A137,"Viaggio",$A$131)),0,GETPIVOTDATA("Somma di AVERE",'Pivot RakBank EUR'!$A$3,"Mese",11,"Tipologia",$A137,"Viaggio",$A$131))
+IF(ISERROR(GETPIVOTDATA("Somma di DARE EUR",'Pivot RakBank AED'!$A$3,"Mese",11,"Tipologia",$A137,"Viaggio",$A$131)),0,GETPIVOTDATA("Somma di DARE EUR",'Pivot RakBank AED'!$A$3,"Mese",11,"Tipologia",$A137,"Viaggio",$A$131))
-IF(ISERROR(GETPIVOTDATA("Somma di AVERE EUR",'Pivot RakBank AED'!$A$3,"Mese",11,"Tipologia",$A137,"Viaggio",$A$131)),0,GETPIVOTDATA("Somma di AVERE EUR",'Pivot RakBank AED'!$A$3,"Mese",11,"Tipologia",$A137,"Viaggio",$A$131))</f>
        <v>0</v>
      </c>
      <c r="N137" s="270">
        <f>IF(ISERROR(GETPIVOTDATA("Somma di DARE",'Pivot Fineco Sa'!$A$3,"Mese",12,"Tipologia",$A137,"Viaggio",$A$131)),0,GETPIVOTDATA("Somma di DARE",'Pivot Fineco Sa'!$A$3,"Mese",12,"Tipologia",$A137,"Viaggio",$A$131))
+IF(ISERROR(GETPIVOTDATA("Somma di DARE",'Pivot Fineco St'!$A$3,"Mese",12,"Tipologia",$A137,"Viaggio",$A$131)),0,GETPIVOTDATA("Somma di DARE",'Pivot Fineco St'!$A$3,"Mese",12,"Tipologia",$A137,"Viaggio",$A$131))
+IF(Contanti!$AW44='Conto Economico'!$A$131,Contanti!$AT44)
+IF(ISERROR(GETPIVOTDATA("Somma di DARE",'Pivot BBVA'!$A$3,"Mese",12,"Tipologia",$A137,"Viaggio",$A$131)),0,GETPIVOTDATA("Somma di DARE",'Pivot BBVA'!$A$3,"Mese",12,"Tipologia",$A137,"Viaggio",$A$131))
+IF(ISERROR(GETPIVOTDATA("Somma di DARE",'Pivot Amex'!$A$3,"Mese",12,"Tipologia",$A137,"Viaggio",$A$131)),0,GETPIVOTDATA("Somma di DARE",'Pivot Amex'!$A$3,"Mese",12,"Tipologia",$A137,"Viaggio",$A$131))
-IF(ISERROR(GETPIVOTDATA("Somma di AVERE",'Pivot Amex'!$A$3,"Mese",12,"Tipologia",$A137,"Viaggio",$A$131)),0,GETPIVOTDATA("Somma di AVERE",'Pivot Amex'!$A$3,"Mese",12,"Tipologia",$A137,"Viaggio",$A$131))
-IF(ISERROR(GETPIVOTDATA("Somma di AVERE",'Pivot BBVA'!$A$3,"Mese",12,"Tipologia",$A137,"Viaggio",$A$131)),0,GETPIVOTDATA("Somma di AVERE",'Pivot BBVA'!$A$3,"Mese",12,"Tipologia",$A137,"Viaggio",$A$131))
-IF(ISERROR(GETPIVOTDATA("Somma di AVERE",'Pivot Fineco St'!$A$3,"Mese",12,"Tipologia",$A137,"Viaggio",$A$131)),0,GETPIVOTDATA("Somma di AVERE",'Pivot Fineco St'!$A$3,"Mese",12,"Tipologia",$A137,"Viaggio",$A$131))
-IF(ISERROR(GETPIVOTDATA("Somma di AVERE",'Pivot Fineco Sa'!$A$3,"Mese",12,"Tipologia",$A137,"Viaggio",$A$131)),0,GETPIVOTDATA("Somma di AVERE",'Pivot Fineco Sa'!$A$3,"Mese",12,"Tipologia",$A137,"Viaggio",$A$131))
+IF(ISERROR(GETPIVOTDATA("Somma di DARE",'Pivot PP Visa'!$A$3,"Mese",12,"Tipologia",$A137,"Viaggio",$A$131)),0,GETPIVOTDATA("Somma di DARE",'Pivot PP Visa'!$A$3,"Mese",12,"Tipologia",$A137,"Viaggio",$A$131))
-IF(ISERROR(GETPIVOTDATA("Somma di AVERE",'Pivot PP Visa'!$A$3,"Mese",12,"Tipologia",$A137,"Viaggio",$A$131)),0,GETPIVOTDATA("Somma di AVERE",'Pivot PP Visa'!$A$3,"Mese",12,"Tipologia",$A137,"Viaggio",$A$131))
+IF(ISERROR(GETPIVOTDATA("Somma di DARE",'Pivot Revolut'!$A$3,"Mese",12,"Tipologia",$A137,"Viaggio",$A$131)),0,GETPIVOTDATA("Somma di DARE",'Pivot Revolut'!$A$3,"Mese",12,"Tipologia",$A137,"Viaggio",$A$131))
-IF(ISERROR(GETPIVOTDATA("Somma di AVERE",'Pivot Revolut'!$A$3,"Mese",12,"Tipologia",$A137,"Viaggio",$A$131)),0,GETPIVOTDATA("Somma di AVERE",'Pivot Revolut'!$A$3,"Mese",12,"Tipologia",$A137,"Viaggio",$A$131))
+IF(ISERROR(GETPIVOTDATA("Somma di DARE",'Pivot RakBank EUR'!$A$3,"Mese",12,"Tipologia",$A137,"Viaggio",$A$131)),0,GETPIVOTDATA("Somma di DARE",'Pivot RakBank EUR'!$A$3,"Mese",12,"Tipologia",$A137,"Viaggio",$A$131))
-IF(ISERROR(GETPIVOTDATA("Somma di AVERE",'Pivot RakBank EUR'!$A$3,"Mese",12,"Tipologia",$A137,"Viaggio",$A$131)),0,GETPIVOTDATA("Somma di AVERE",'Pivot RakBank EUR'!$A$3,"Mese",12,"Tipologia",$A137,"Viaggio",$A$131))
+IF(ISERROR(GETPIVOTDATA("Somma di DARE EUR",'Pivot RakBank AED'!$A$3,"Mese",12,"Tipologia",$A137,"Viaggio",$A$131)),0,GETPIVOTDATA("Somma di DARE EUR",'Pivot RakBank AED'!$A$3,"Mese",12,"Tipologia",$A137,"Viaggio",$A$131))
-IF(ISERROR(GETPIVOTDATA("Somma di AVERE EUR",'Pivot RakBank AED'!$A$3,"Mese",12,"Tipologia",$A137,"Viaggio",$A$131)),0,GETPIVOTDATA("Somma di AVERE EUR",'Pivot RakBank AED'!$A$3,"Mese",12,"Tipologia",$A137,"Viaggio",$A$131))</f>
        <v>0</v>
      </c>
      <c r="O137" s="271">
        <f t="shared" si="17"/>
        <v>0</v>
      </c>
      <c r="P137" s="270"/>
    </row>
    <row r="138" spans="1:16" s="131" customFormat="1" ht="14" outlineLevel="1" x14ac:dyDescent="0.2">
      <c r="A138" s="269" t="s">
        <v>243</v>
      </c>
      <c r="B138" s="269"/>
      <c r="C138" s="270">
        <f>IF(ISERROR(GETPIVOTDATA("Somma di DARE",'Pivot Fineco Sa'!$A$3,"Mese",1,"Tipologia",$A138,"Viaggio",$A$131)),0,GETPIVOTDATA("Somma di DARE",'Pivot Fineco Sa'!$A$3,"Mese",1,"Tipologia",$A138,"Viaggio",$A$131))
+IF(ISERROR(GETPIVOTDATA("Somma di DARE",'Pivot Fineco St'!$A$3,"Mese",1,"Tipologia",$A138,"Viaggio",$A$131)),0,GETPIVOTDATA("Somma di DARE",'Pivot Fineco St'!$A$3,"Mese",1,"Tipologia",$A138,"Viaggio",$A$131))
+IF(Contanti!$E45='Conto Economico'!$A$131,Contanti!$B45)
+IF(ISERROR(GETPIVOTDATA("Somma di DARE",'Pivot BBVA'!$A$3,"Mese",1,"Tipologia",$A138,"Viaggio",$A$131)),0,GETPIVOTDATA("Somma di DARE",'Pivot BBVA'!$A$3,"Mese",1,"Tipologia",$A138,"Viaggio",$A$131))
+IF(ISERROR(GETPIVOTDATA("Somma di DARE",'Pivot Amex'!$A$3,"Mese",1,"Tipologia",$A138,"Viaggio",$A$131)),0,GETPIVOTDATA("Somma di DARE",'Pivot Amex'!$A$3,"Mese",1,"Tipologia",$A138,"Viaggio",$A$131))
-IF(ISERROR(GETPIVOTDATA("Somma di AVERE",'Pivot Amex'!$A$3,"Mese",1,"Tipologia",$A138,"Viaggio",$A$131)),0,GETPIVOTDATA("Somma di AVERE",'Pivot Amex'!$A$3,"Mese",1,"Tipologia",$A138,"Viaggio",$A$131))
-IF(ISERROR(GETPIVOTDATA("Somma di AVERE",'Pivot BBVA'!$A$3,"Mese",1,"Tipologia",$A138,"Viaggio",$A$131)),0,GETPIVOTDATA("Somma di AVERE",'Pivot BBVA'!$A$3,"Mese",1,"Tipologia",$A138,"Viaggio",$A$131))
-IF(ISERROR(GETPIVOTDATA("Somma di AVERE",'Pivot Fineco St'!$A$3,"Mese",1,"Tipologia",$A138,"Viaggio",$A$131)),0,GETPIVOTDATA("Somma di AVERE",'Pivot Fineco St'!$A$3,"Mese",1,"Tipologia",$A138,"Viaggio",$A$131))
-IF(ISERROR(GETPIVOTDATA("Somma di AVERE",'Pivot Fineco Sa'!$A$3,"Mese",1,"Tipologia",$A138,"Viaggio",$A$131)),0,GETPIVOTDATA("Somma di AVERE",'Pivot Fineco Sa'!$A$3,"Mese",1,"Tipologia",$A138,"Viaggio",$A$131))
+IF(ISERROR(GETPIVOTDATA("Somma di DARE",'Pivot PP Visa'!$A$3,"Mese",1,"Tipologia",$A138,"Viaggio",$A$131)),0,GETPIVOTDATA("Somma di DARE",'Pivot PP Visa'!$A$3,"Mese",1,"Tipologia",$A138,"Viaggio",$A$131))
-IF(ISERROR(GETPIVOTDATA("Somma di AVERE",'Pivot PP Visa'!$A$3,"Mese",1,"Tipologia",$A138,"Viaggio",$A$131)),0,GETPIVOTDATA("Somma di AVERE",'Pivot PP Visa'!$A$3,"Mese",1,"Tipologia",$A138,"Viaggio",$A$131))
+IF(ISERROR(GETPIVOTDATA("Somma di DARE",'Pivot Revolut'!$A$3,"Mese",1,"Tipologia",$A138,"Viaggio",$A$131)),0,GETPIVOTDATA("Somma di DARE",'Pivot Revolut'!$A$3,"Mese",1,"Tipologia",$A138,"Viaggio",$A$131))
-IF(ISERROR(GETPIVOTDATA("Somma di AVERE",'Pivot Revolut'!$A$3,"Mese",1,"Tipologia",$A138,"Viaggio",$A$131)),0,GETPIVOTDATA("Somma di AVERE",'Pivot Revolut'!$A$3,"Mese",1,"Tipologia",$A138,"Viaggio",$A$131))
+IF(ISERROR(GETPIVOTDATA("Somma di DARE",'Pivot RakBank EUR'!$A$3,"Mese",1,"Tipologia",$A138,"Viaggio",$A$131)),0,GETPIVOTDATA("Somma di DARE",'Pivot RakBank EUR'!$A$3,"Mese",1,"Tipologia",$A138,"Viaggio",$A$131))
-IF(ISERROR(GETPIVOTDATA("Somma di AVERE",'Pivot RakBank EUR'!$A$3,"Mese",1,"Tipologia",$A138,"Viaggio",$A$131)),0,GETPIVOTDATA("Somma di AVERE",'Pivot RakBank EUR'!$A$3,"Mese",1,"Tipologia",$A138,"Viaggio",$A$131))
+IF(ISERROR(GETPIVOTDATA("Somma di DARE EUR",'Pivot RakBank AED'!$A$3,"Mese",1,"Tipologia",$A138,"Viaggio",$A$131)),0,GETPIVOTDATA("Somma di DARE EUR",'Pivot RakBank AED'!$A$3,"Mese",1,"Tipologia",$A138,"Viaggio",$A$131))
-IF(ISERROR(GETPIVOTDATA("Somma di AVERE EUR",'Pivot RakBank AED'!$A$3,"Mese",1,"Tipologia",$A138,"Viaggio",$A$131)),0,GETPIVOTDATA("Somma di AVERE EUR",'Pivot RakBank AED'!$A$3,"Mese",1,"Tipologia",$A138,"Viaggio",$A$131))</f>
        <v>0</v>
      </c>
      <c r="D138" s="270">
        <f>IF(ISERROR(GETPIVOTDATA("Somma di DARE",'Pivot Fineco Sa'!$A$3,"Mese",2,"Tipologia",$A138,"Viaggio",$A$131)),0,GETPIVOTDATA("Somma di DARE",'Pivot Fineco Sa'!$A$3,"Mese",2,"Tipologia",$A138,"Viaggio",$A$131))
+IF(ISERROR(GETPIVOTDATA("Somma di DARE",'Pivot Fineco St'!$A$3,"Mese",2,"Tipologia",$A138,"Viaggio",$A$131)),0,GETPIVOTDATA("Somma di DARE",'Pivot Fineco St'!$A$3,"Mese",2,"Tipologia",$A138,"Viaggio",$A$131))
+IF(Contanti!$I45='Conto Economico'!$A$131,Contanti!$F45)
+IF(ISERROR(GETPIVOTDATA("Somma di DARE",'Pivot BBVA'!$A$3,"Mese",2,"Tipologia",$A138,"Viaggio",$A$131)),0,GETPIVOTDATA("Somma di DARE",'Pivot BBVA'!$A$3,"Mese",2,"Tipologia",$A138,"Viaggio",$A$131))
+IF(ISERROR(GETPIVOTDATA("Somma di DARE",'Pivot Amex'!$A$3,"Mese",2,"Tipologia",$A138,"Viaggio",$A$131)),0,GETPIVOTDATA("Somma di DARE",'Pivot Amex'!$A$3,"Mese",2,"Tipologia",$A138,"Viaggio",$A$131))
-IF(ISERROR(GETPIVOTDATA("Somma di AVERE",'Pivot Amex'!$A$3,"Mese",2,"Tipologia",$A138,"Viaggio",$A$131)),0,GETPIVOTDATA("Somma di AVERE",'Pivot Amex'!$A$3,"Mese",2,"Tipologia",$A138,"Viaggio",$A$131))
-IF(ISERROR(GETPIVOTDATA("Somma di AVERE",'Pivot BBVA'!$A$3,"Mese",2,"Tipologia",$A138,"Viaggio",$A$131)),0,GETPIVOTDATA("Somma di AVERE",'Pivot BBVA'!$A$3,"Mese",2,"Tipologia",$A138,"Viaggio",$A$131))
-IF(ISERROR(GETPIVOTDATA("Somma di AVERE",'Pivot Fineco St'!$A$3,"Mese",2,"Tipologia",$A138,"Viaggio",$A$131)),0,GETPIVOTDATA("Somma di AVERE",'Pivot Fineco St'!$A$3,"Mese",2,"Tipologia",$A138,"Viaggio",$A$131))
-IF(ISERROR(GETPIVOTDATA("Somma di AVERE",'Pivot Fineco Sa'!$A$3,"Mese",2,"Tipologia",$A138,"Viaggio",$A$131)),0,GETPIVOTDATA("Somma di AVERE",'Pivot Fineco Sa'!$A$3,"Mese",2,"Tipologia",$A138,"Viaggio",$A$131))
+IF(ISERROR(GETPIVOTDATA("Somma di DARE",'Pivot PP Visa'!$A$3,"Mese",2,"Tipologia",$A138,"Viaggio",$A$131)),0,GETPIVOTDATA("Somma di DARE",'Pivot PP Visa'!$A$3,"Mese",2,"Tipologia",$A138,"Viaggio",$A$131))
-IF(ISERROR(GETPIVOTDATA("Somma di AVERE",'Pivot PP Visa'!$A$3,"Mese",2,"Tipologia",$A138,"Viaggio",$A$131)),0,GETPIVOTDATA("Somma di AVERE",'Pivot PP Visa'!$A$3,"Mese",2,"Tipologia",$A138,"Viaggio",$A$131))
+IF(ISERROR(GETPIVOTDATA("Somma di DARE",'Pivot Revolut'!$A$3,"Mese",2,"Tipologia",$A138,"Viaggio",$A$131)),0,GETPIVOTDATA("Somma di DARE",'Pivot Revolut'!$A$3,"Mese",2,"Tipologia",$A138,"Viaggio",$A$131))
-IF(ISERROR(GETPIVOTDATA("Somma di AVERE",'Pivot Revolut'!$A$3,"Mese",2,"Tipologia",$A138,"Viaggio",$A$131)),0,GETPIVOTDATA("Somma di AVERE",'Pivot Revolut'!$A$3,"Mese",2,"Tipologia",$A138,"Viaggio",$A$131))
+IF(ISERROR(GETPIVOTDATA("Somma di DARE",'Pivot RakBank EUR'!$A$3,"Mese",2,"Tipologia",$A138,"Viaggio",$A$131)),0,GETPIVOTDATA("Somma di DARE",'Pivot RakBank EUR'!$A$3,"Mese",2,"Tipologia",$A138,"Viaggio",$A$131))
-IF(ISERROR(GETPIVOTDATA("Somma di AVERE",'Pivot RakBank EUR'!$A$3,"Mese",2,"Tipologia",$A138,"Viaggio",$A$131)),0,GETPIVOTDATA("Somma di AVERE",'Pivot RakBank EUR'!$A$3,"Mese",2,"Tipologia",$A138,"Viaggio",$A$131))
+IF(ISERROR(GETPIVOTDATA("Somma di DARE EUR",'Pivot RakBank AED'!$A$3,"Mese",2,"Tipologia",$A138,"Viaggio",$A$131)),0,GETPIVOTDATA("Somma di DARE EUR",'Pivot RakBank AED'!$A$3,"Mese",2,"Tipologia",$A138,"Viaggio",$A$131))
-IF(ISERROR(GETPIVOTDATA("Somma di AVERE EUR",'Pivot RakBank AED'!$A$3,"Mese",2,"Tipologia",$A138,"Viaggio",$A$131)),0,GETPIVOTDATA("Somma di AVERE EUR",'Pivot RakBank AED'!$A$3,"Mese",2,"Tipologia",$A138,"Viaggio",$A$131))</f>
        <v>278.08000000000004</v>
      </c>
      <c r="E138" s="270">
        <f>IF(ISERROR(GETPIVOTDATA("Somma di DARE",'Pivot Fineco Sa'!$A$3,"Mese",3,"Tipologia",$A138,"Viaggio",$A$131)),0,GETPIVOTDATA("Somma di DARE",'Pivot Fineco Sa'!$A$3,"Mese",3,"Tipologia",$A138,"Viaggio",$A$131))
+IF(ISERROR(GETPIVOTDATA("Somma di DARE",'Pivot Fineco St'!$A$3,"Mese",3,"Tipologia",$A138,"Viaggio",$A$131)),0,GETPIVOTDATA("Somma di DARE",'Pivot Fineco St'!$A$3,"Mese",3,"Tipologia",$A138,"Viaggio",$A$131))
+IF(Contanti!$M45='Conto Economico'!$A$131,Contanti!$J45)
+IF(ISERROR(GETPIVOTDATA("Somma di DARE",'Pivot BBVA'!$A$3,"Mese",3,"Tipologia",$A138,"Viaggio",$A$131)),0,GETPIVOTDATA("Somma di DARE",'Pivot BBVA'!$A$3,"Mese",3,"Tipologia",$A138,"Viaggio",$A$131))
+IF(ISERROR(GETPIVOTDATA("Somma di DARE",'Pivot Amex'!$A$3,"Mese",3,"Tipologia",$A138,"Viaggio",$A$131)),0,GETPIVOTDATA("Somma di DARE",'Pivot Amex'!$A$3,"Mese",3,"Tipologia",$A138,"Viaggio",$A$131))
-IF(ISERROR(GETPIVOTDATA("Somma di AVERE",'Pivot Amex'!$A$3,"Mese",3,"Tipologia",$A138,"Viaggio",$A$131)),0,GETPIVOTDATA("Somma di AVERE",'Pivot Amex'!$A$3,"Mese",3,"Tipologia",$A138,"Viaggio",$A$131))
-IF(ISERROR(GETPIVOTDATA("Somma di AVERE",'Pivot BBVA'!$A$3,"Mese",3,"Tipologia",$A138,"Viaggio",$A$131)),0,GETPIVOTDATA("Somma di AVERE",'Pivot BBVA'!$A$3,"Mese",3,"Tipologia",$A138,"Viaggio",$A$131))
-IF(ISERROR(GETPIVOTDATA("Somma di AVERE",'Pivot Fineco St'!$A$3,"Mese",3,"Tipologia",$A138,"Viaggio",$A$131)),0,GETPIVOTDATA("Somma di AVERE",'Pivot Fineco St'!$A$3,"Mese",3,"Tipologia",$A138,"Viaggio",$A$131))
-IF(ISERROR(GETPIVOTDATA("Somma di AVERE",'Pivot Fineco Sa'!$A$3,"Mese",3,"Tipologia",$A138,"Viaggio",$A$131)),0,GETPIVOTDATA("Somma di AVERE",'Pivot Fineco Sa'!$A$3,"Mese",3,"Tipologia",$A138,"Viaggio",$A$131))
+IF(ISERROR(GETPIVOTDATA("Somma di DARE",'Pivot PP Visa'!$A$3,"Mese",3,"Tipologia",$A138,"Viaggio",$A$131)),0,GETPIVOTDATA("Somma di DARE",'Pivot PP Visa'!$A$3,"Mese",3,"Tipologia",$A138,"Viaggio",$A$131))
-IF(ISERROR(GETPIVOTDATA("Somma di AVERE",'Pivot PP Visa'!$A$3,"Mese",3,"Tipologia",$A138,"Viaggio",$A$131)),0,GETPIVOTDATA("Somma di AVERE",'Pivot PP Visa'!$A$3,"Mese",3,"Tipologia",$A138,"Viaggio",$A$131))
+IF(ISERROR(GETPIVOTDATA("Somma di DARE",'Pivot Revolut'!$A$3,"Mese",3,"Tipologia",$A138,"Viaggio",$A$131)),0,GETPIVOTDATA("Somma di DARE",'Pivot Revolut'!$A$3,"Mese",3,"Tipologia",$A138,"Viaggio",$A$131))
-IF(ISERROR(GETPIVOTDATA("Somma di AVERE",'Pivot Revolut'!$A$3,"Mese",3,"Tipologia",$A138,"Viaggio",$A$131)),0,GETPIVOTDATA("Somma di AVERE",'Pivot Revolut'!$A$3,"Mese",3,"Tipologia",$A138,"Viaggio",$A$131))
+IF(ISERROR(GETPIVOTDATA("Somma di DARE",'Pivot RakBank EUR'!$A$3,"Mese",3,"Tipologia",$A138,"Viaggio",$A$131)),0,GETPIVOTDATA("Somma di DARE",'Pivot RakBank EUR'!$A$3,"Mese",3,"Tipologia",$A138,"Viaggio",$A$131))
-IF(ISERROR(GETPIVOTDATA("Somma di AVERE",'Pivot RakBank EUR'!$A$3,"Mese",3,"Tipologia",$A138,"Viaggio",$A$131)),0,GETPIVOTDATA("Somma di AVERE",'Pivot RakBank EUR'!$A$3,"Mese",3,"Tipologia",$A138,"Viaggio",$A$131))
+IF(ISERROR(GETPIVOTDATA("Somma di DARE EUR",'Pivot RakBank AED'!$A$3,"Mese",3,"Tipologia",$A138,"Viaggio",$A$131)),0,GETPIVOTDATA("Somma di DARE EUR",'Pivot RakBank AED'!$A$3,"Mese",3,"Tipologia",$A138,"Viaggio",$A$131))
-IF(ISERROR(GETPIVOTDATA("Somma di AVERE EUR",'Pivot RakBank AED'!$A$3,"Mese",3,"Tipologia",$A138,"Viaggio",$A$131)),0,GETPIVOTDATA("Somma di AVERE EUR",'Pivot RakBank AED'!$A$3,"Mese",3,"Tipologia",$A138,"Viaggio",$A$131))</f>
        <v>0</v>
      </c>
      <c r="F138" s="270">
        <f>IF(ISERROR(GETPIVOTDATA("Somma di DARE",'Pivot Fineco Sa'!$A$3,"Mese",4,"Tipologia",$A138,"Viaggio",$A$131)),0,GETPIVOTDATA("Somma di DARE",'Pivot Fineco Sa'!$A$3,"Mese",4,"Tipologia",$A138,"Viaggio",$A$131))
+IF(ISERROR(GETPIVOTDATA("Somma di DARE",'Pivot Fineco St'!$A$3,"Mese",4,"Tipologia",$A138,"Viaggio",$A$131)),0,GETPIVOTDATA("Somma di DARE",'Pivot Fineco St'!$A$3,"Mese",4,"Tipologia",$A138,"Viaggio",$A$131))
+IF(Contanti!$Q45='Conto Economico'!$A$131,Contanti!$N45)
+IF(ISERROR(GETPIVOTDATA("Somma di DARE",'Pivot BBVA'!$A$3,"Mese",4,"Tipologia",$A138,"Viaggio",$A$131)),0,GETPIVOTDATA("Somma di DARE",'Pivot BBVA'!$A$3,"Mese",4,"Tipologia",$A138,"Viaggio",$A$131))
+IF(ISERROR(GETPIVOTDATA("Somma di DARE",'Pivot Amex'!$A$3,"Mese",4,"Tipologia",$A138,"Viaggio",$A$131)),0,GETPIVOTDATA("Somma di DARE",'Pivot Amex'!$A$3,"Mese",4,"Tipologia",$A138,"Viaggio",$A$131))
-IF(ISERROR(GETPIVOTDATA("Somma di AVERE",'Pivot Amex'!$A$3,"Mese",4,"Tipologia",$A138,"Viaggio",$A$131)),0,GETPIVOTDATA("Somma di AVERE",'Pivot Amex'!$A$3,"Mese",4,"Tipologia",$A138,"Viaggio",$A$131))
-IF(ISERROR(GETPIVOTDATA("Somma di AVERE",'Pivot BBVA'!$A$3,"Mese",4,"Tipologia",$A138,"Viaggio",$A$131)),0,GETPIVOTDATA("Somma di AVERE",'Pivot BBVA'!$A$3,"Mese",4,"Tipologia",$A138,"Viaggio",$A$131))
-IF(ISERROR(GETPIVOTDATA("Somma di AVERE",'Pivot Fineco St'!$A$3,"Mese",4,"Tipologia",$A138,"Viaggio",$A$131)),0,GETPIVOTDATA("Somma di AVERE",'Pivot Fineco St'!$A$3,"Mese",4,"Tipologia",$A138,"Viaggio",$A$131))
-IF(ISERROR(GETPIVOTDATA("Somma di AVERE",'Pivot Fineco Sa'!$A$3,"Mese",4,"Tipologia",$A138,"Viaggio",$A$131)),0,GETPIVOTDATA("Somma di AVERE",'Pivot Fineco Sa'!$A$3,"Mese",4,"Tipologia",$A138,"Viaggio",$A$131))
+IF(ISERROR(GETPIVOTDATA("Somma di DARE",'Pivot PP Visa'!$A$3,"Mese",4,"Tipologia",$A138,"Viaggio",$A$131)),0,GETPIVOTDATA("Somma di DARE",'Pivot PP Visa'!$A$3,"Mese",4,"Tipologia",$A138,"Viaggio",$A$131))
-IF(ISERROR(GETPIVOTDATA("Somma di AVERE",'Pivot PP Visa'!$A$3,"Mese",4,"Tipologia",$A138,"Viaggio",$A$131)),0,GETPIVOTDATA("Somma di AVERE",'Pivot PP Visa'!$A$3,"Mese",4,"Tipologia",$A138,"Viaggio",$A$131))
+IF(ISERROR(GETPIVOTDATA("Somma di DARE",'Pivot Revolut'!$A$3,"Mese",4,"Tipologia",$A138,"Viaggio",$A$131)),0,GETPIVOTDATA("Somma di DARE",'Pivot Revolut'!$A$3,"Mese",4,"Tipologia",$A138,"Viaggio",$A$131))
-IF(ISERROR(GETPIVOTDATA("Somma di AVERE",'Pivot Revolut'!$A$3,"Mese",4,"Tipologia",$A138,"Viaggio",$A$131)),0,GETPIVOTDATA("Somma di AVERE",'Pivot Revolut'!$A$3,"Mese",4,"Tipologia",$A138,"Viaggio",$A$131))
+IF(ISERROR(GETPIVOTDATA("Somma di DARE",'Pivot RakBank EUR'!$A$3,"Mese",4,"Tipologia",$A138,"Viaggio",$A$131)),0,GETPIVOTDATA("Somma di DARE",'Pivot RakBank EUR'!$A$3,"Mese",4,"Tipologia",$A138,"Viaggio",$A$131))
-IF(ISERROR(GETPIVOTDATA("Somma di AVERE",'Pivot RakBank EUR'!$A$3,"Mese",4,"Tipologia",$A138,"Viaggio",$A$131)),0,GETPIVOTDATA("Somma di AVERE",'Pivot RakBank EUR'!$A$3,"Mese",4,"Tipologia",$A138,"Viaggio",$A$131))
+IF(ISERROR(GETPIVOTDATA("Somma di DARE EUR",'Pivot RakBank AED'!$A$3,"Mese",4,"Tipologia",$A138,"Viaggio",$A$131)),0,GETPIVOTDATA("Somma di DARE EUR",'Pivot RakBank AED'!$A$3,"Mese",4,"Tipologia",$A138,"Viaggio",$A$131))
-IF(ISERROR(GETPIVOTDATA("Somma di AVERE EUR",'Pivot RakBank AED'!$A$3,"Mese",4,"Tipologia",$A138,"Viaggio",$A$131)),0,GETPIVOTDATA("Somma di AVERE EUR",'Pivot RakBank AED'!$A$3,"Mese",4,"Tipologia",$A138,"Viaggio",$A$131))</f>
        <v>0</v>
      </c>
      <c r="G138" s="270">
        <f>IF(ISERROR(GETPIVOTDATA("Somma di DARE",'Pivot Fineco Sa'!$A$3,"Mese",5,"Tipologia",$A138,"Viaggio",$A$131)),0,GETPIVOTDATA("Somma di DARE",'Pivot Fineco Sa'!$A$3,"Mese",5,"Tipologia",$A138,"Viaggio",$A$131))
+IF(ISERROR(GETPIVOTDATA("Somma di DARE",'Pivot Fineco St'!$A$3,"Mese",5,"Tipologia",$A138,"Viaggio",$A$131)),0,GETPIVOTDATA("Somma di DARE",'Pivot Fineco St'!$A$3,"Mese",5,"Tipologia",$A138,"Viaggio",$A$131))
+IF(Contanti!$U45='Conto Economico'!$A$131,Contanti!$R45)
+IF(ISERROR(GETPIVOTDATA("Somma di DARE",'Pivot BBVA'!$A$3,"Mese",5,"Tipologia",$A138,"Viaggio",$A$131)),0,GETPIVOTDATA("Somma di DARE",'Pivot BBVA'!$A$3,"Mese",5,"Tipologia",$A138,"Viaggio",$A$131))
+IF(ISERROR(GETPIVOTDATA("Somma di DARE",'Pivot Amex'!$A$3,"Mese",5,"Tipologia",$A138,"Viaggio",$A$131)),0,GETPIVOTDATA("Somma di DARE",'Pivot Amex'!$A$3,"Mese",5,"Tipologia",$A138,"Viaggio",$A$131))
-IF(ISERROR(GETPIVOTDATA("Somma di AVERE",'Pivot Amex'!$A$3,"Mese",5,"Tipologia",$A138,"Viaggio",$A$131)),0,GETPIVOTDATA("Somma di AVERE",'Pivot Amex'!$A$3,"Mese",5,"Tipologia",$A138,"Viaggio",$A$131))
-IF(ISERROR(GETPIVOTDATA("Somma di AVERE",'Pivot BBVA'!$A$3,"Mese",5,"Tipologia",$A138,"Viaggio",$A$131)),0,GETPIVOTDATA("Somma di AVERE",'Pivot BBVA'!$A$3,"Mese",5,"Tipologia",$A138,"Viaggio",$A$131))
-IF(ISERROR(GETPIVOTDATA("Somma di AVERE",'Pivot Fineco St'!$A$3,"Mese",5,"Tipologia",$A138,"Viaggio",$A$131)),0,GETPIVOTDATA("Somma di AVERE",'Pivot Fineco St'!$A$3,"Mese",5,"Tipologia",$A138,"Viaggio",$A$131))
-IF(ISERROR(GETPIVOTDATA("Somma di AVERE",'Pivot Fineco Sa'!$A$3,"Mese",5,"Tipologia",$A138,"Viaggio",$A$131)),0,GETPIVOTDATA("Somma di AVERE",'Pivot Fineco Sa'!$A$3,"Mese",5,"Tipologia",$A138,"Viaggio",$A$131))
+IF(ISERROR(GETPIVOTDATA("Somma di DARE",'Pivot PP Visa'!$A$3,"Mese",5,"Tipologia",$A138,"Viaggio",$A$131)),0,GETPIVOTDATA("Somma di DARE",'Pivot PP Visa'!$A$3,"Mese",5,"Tipologia",$A138,"Viaggio",$A$131))
-IF(ISERROR(GETPIVOTDATA("Somma di AVERE",'Pivot PP Visa'!$A$3,"Mese",5,"Tipologia",$A138,"Viaggio",$A$131)),0,GETPIVOTDATA("Somma di AVERE",'Pivot PP Visa'!$A$3,"Mese",5,"Tipologia",$A138,"Viaggio",$A$131))
+IF(ISERROR(GETPIVOTDATA("Somma di DARE",'Pivot Revolut'!$A$3,"Mese",5,"Tipologia",$A138,"Viaggio",$A$131)),0,GETPIVOTDATA("Somma di DARE",'Pivot Revolut'!$A$3,"Mese",5,"Tipologia",$A138,"Viaggio",$A$131))
-IF(ISERROR(GETPIVOTDATA("Somma di AVERE",'Pivot Revolut'!$A$3,"Mese",5,"Tipologia",$A138,"Viaggio",$A$131)),0,GETPIVOTDATA("Somma di AVERE",'Pivot Revolut'!$A$3,"Mese",5,"Tipologia",$A138,"Viaggio",$A$131))
+IF(ISERROR(GETPIVOTDATA("Somma di DARE",'Pivot RakBank EUR'!$A$3,"Mese",5,"Tipologia",$A138,"Viaggio",$A$131)),0,GETPIVOTDATA("Somma di DARE",'Pivot RakBank EUR'!$A$3,"Mese",5,"Tipologia",$A138,"Viaggio",$A$131))
-IF(ISERROR(GETPIVOTDATA("Somma di AVERE",'Pivot RakBank EUR'!$A$3,"Mese",5,"Tipologia",$A138,"Viaggio",$A$131)),0,GETPIVOTDATA("Somma di AVERE",'Pivot RakBank EUR'!$A$3,"Mese",5,"Tipologia",$A138,"Viaggio",$A$131))
+IF(ISERROR(GETPIVOTDATA("Somma di DARE EUR",'Pivot RakBank AED'!$A$3,"Mese",5,"Tipologia",$A138,"Viaggio",$A$131)),0,GETPIVOTDATA("Somma di DARE EUR",'Pivot RakBank AED'!$A$3,"Mese",5,"Tipologia",$A138,"Viaggio",$A$131))
-IF(ISERROR(GETPIVOTDATA("Somma di AVERE EUR",'Pivot RakBank AED'!$A$3,"Mese",5,"Tipologia",$A138,"Viaggio",$A$131)),0,GETPIVOTDATA("Somma di AVERE EUR",'Pivot RakBank AED'!$A$3,"Mese",5,"Tipologia",$A138,"Viaggio",$A$131))</f>
        <v>0</v>
      </c>
      <c r="H138" s="270">
        <f>IF(ISERROR(GETPIVOTDATA("Somma di DARE",'Pivot Fineco Sa'!$A$3,"Mese",6,"Tipologia",$A138,"Viaggio",$A$131)),0,GETPIVOTDATA("Somma di DARE",'Pivot Fineco Sa'!$A$3,"Mese",6,"Tipologia",$A138,"Viaggio",$A$131))
+IF(ISERROR(GETPIVOTDATA("Somma di DARE",'Pivot Fineco St'!$A$3,"Mese",6,"Tipologia",$A138,"Viaggio",$A$131)),0,GETPIVOTDATA("Somma di DARE",'Pivot Fineco St'!$A$3,"Mese",6,"Tipologia",$A138,"Viaggio",$A$131))
+IF(Contanti!$Y45='Conto Economico'!$A$131,Contanti!$V45)
+IF(ISERROR(GETPIVOTDATA("Somma di DARE",'Pivot BBVA'!$A$3,"Mese",6,"Tipologia",$A138,"Viaggio",$A$131)),0,GETPIVOTDATA("Somma di DARE",'Pivot BBVA'!$A$3,"Mese",6,"Tipologia",$A138,"Viaggio",$A$131))
+IF(ISERROR(GETPIVOTDATA("Somma di DARE",'Pivot Amex'!$A$3,"Mese",6,"Tipologia",$A138,"Viaggio",$A$131)),0,GETPIVOTDATA("Somma di DARE",'Pivot Amex'!$A$3,"Mese",6,"Tipologia",$A138,"Viaggio",$A$131))
-IF(ISERROR(GETPIVOTDATA("Somma di AVERE",'Pivot Amex'!$A$3,"Mese",6,"Tipologia",$A138,"Viaggio",$A$131)),0,GETPIVOTDATA("Somma di AVERE",'Pivot Amex'!$A$3,"Mese",6,"Tipologia",$A138,"Viaggio",$A$131))
-IF(ISERROR(GETPIVOTDATA("Somma di AVERE",'Pivot BBVA'!$A$3,"Mese",6,"Tipologia",$A138,"Viaggio",$A$131)),0,GETPIVOTDATA("Somma di AVERE",'Pivot BBVA'!$A$3,"Mese",6,"Tipologia",$A138,"Viaggio",$A$131))
-IF(ISERROR(GETPIVOTDATA("Somma di AVERE",'Pivot Fineco St'!$A$3,"Mese",6,"Tipologia",$A138,"Viaggio",$A$131)),0,GETPIVOTDATA("Somma di AVERE",'Pivot Fineco St'!$A$3,"Mese",6,"Tipologia",$A138,"Viaggio",$A$131))
-IF(ISERROR(GETPIVOTDATA("Somma di AVERE",'Pivot Fineco Sa'!$A$3,"Mese",6,"Tipologia",$A138,"Viaggio",$A$131)),0,GETPIVOTDATA("Somma di AVERE",'Pivot Fineco Sa'!$A$3,"Mese",6,"Tipologia",$A138,"Viaggio",$A$131))
+IF(ISERROR(GETPIVOTDATA("Somma di DARE",'Pivot PP Visa'!$A$3,"Mese",6,"Tipologia",$A138,"Viaggio",$A$131)),0,GETPIVOTDATA("Somma di DARE",'Pivot PP Visa'!$A$3,"Mese",6,"Tipologia",$A138,"Viaggio",$A$131))
-IF(ISERROR(GETPIVOTDATA("Somma di AVERE",'Pivot PP Visa'!$A$3,"Mese",6,"Tipologia",$A138,"Viaggio",$A$131)),0,GETPIVOTDATA("Somma di AVERE",'Pivot PP Visa'!$A$3,"Mese",6,"Tipologia",$A138,"Viaggio",$A$131))
+IF(ISERROR(GETPIVOTDATA("Somma di DARE",'Pivot Revolut'!$A$3,"Mese",6,"Tipologia",$A138,"Viaggio",$A$131)),0,GETPIVOTDATA("Somma di DARE",'Pivot Revolut'!$A$3,"Mese",6,"Tipologia",$A138,"Viaggio",$A$131))
-IF(ISERROR(GETPIVOTDATA("Somma di AVERE",'Pivot Revolut'!$A$3,"Mese",6,"Tipologia",$A138,"Viaggio",$A$131)),0,GETPIVOTDATA("Somma di AVERE",'Pivot Revolut'!$A$3,"Mese",6,"Tipologia",$A138,"Viaggio",$A$131))
+IF(ISERROR(GETPIVOTDATA("Somma di DARE",'Pivot RakBank EUR'!$A$3,"Mese",6,"Tipologia",$A138,"Viaggio",$A$131)),0,GETPIVOTDATA("Somma di DARE",'Pivot RakBank EUR'!$A$3,"Mese",6,"Tipologia",$A138,"Viaggio",$A$131))
-IF(ISERROR(GETPIVOTDATA("Somma di AVERE",'Pivot RakBank EUR'!$A$3,"Mese",6,"Tipologia",$A138,"Viaggio",$A$131)),0,GETPIVOTDATA("Somma di AVERE",'Pivot RakBank EUR'!$A$3,"Mese",6,"Tipologia",$A138,"Viaggio",$A$131))
+IF(ISERROR(GETPIVOTDATA("Somma di DARE EUR",'Pivot RakBank AED'!$A$3,"Mese",6,"Tipologia",$A138,"Viaggio",$A$131)),0,GETPIVOTDATA("Somma di DARE EUR",'Pivot RakBank AED'!$A$3,"Mese",6,"Tipologia",$A138,"Viaggio",$A$131))
-IF(ISERROR(GETPIVOTDATA("Somma di AVERE EUR",'Pivot RakBank AED'!$A$3,"Mese",6,"Tipologia",$A138,"Viaggio",$A$131)),0,GETPIVOTDATA("Somma di AVERE EUR",'Pivot RakBank AED'!$A$3,"Mese",6,"Tipologia",$A138,"Viaggio",$A$131))</f>
        <v>0</v>
      </c>
      <c r="I138" s="270">
        <f>IF(ISERROR(GETPIVOTDATA("Somma di DARE",'Pivot Fineco Sa'!$A$3,"Mese",7,"Tipologia",$A138,"Viaggio",$A$131)),0,GETPIVOTDATA("Somma di DARE",'Pivot Fineco Sa'!$A$3,"Mese",7,"Tipologia",$A138,"Viaggio",$A$131))
+IF(ISERROR(GETPIVOTDATA("Somma di DARE",'Pivot Fineco St'!$A$3,"Mese",7,"Tipologia",$A138,"Viaggio",$A$131)),0,GETPIVOTDATA("Somma di DARE",'Pivot Fineco St'!$A$3,"Mese",7,"Tipologia",$A138,"Viaggio",$A$131))
+IF(Contanti!$AC45='Conto Economico'!$A$131,Contanti!$Z45)
+IF(ISERROR(GETPIVOTDATA("Somma di DARE",'Pivot BBVA'!$A$3,"Mese",7,"Tipologia",$A138,"Viaggio",$A$131)),0,GETPIVOTDATA("Somma di DARE",'Pivot BBVA'!$A$3,"Mese",7,"Tipologia",$A138,"Viaggio",$A$131))
+IF(ISERROR(GETPIVOTDATA("Somma di DARE",'Pivot Amex'!$A$3,"Mese",7,"Tipologia",$A138,"Viaggio",$A$131)),0,GETPIVOTDATA("Somma di DARE",'Pivot Amex'!$A$3,"Mese",7,"Tipologia",$A138,"Viaggio",$A$131))
-IF(ISERROR(GETPIVOTDATA("Somma di AVERE",'Pivot Amex'!$A$3,"Mese",7,"Tipologia",$A138,"Viaggio",$A$131)),0,GETPIVOTDATA("Somma di AVERE",'Pivot Amex'!$A$3,"Mese",7,"Tipologia",$A138,"Viaggio",$A$131))
-IF(ISERROR(GETPIVOTDATA("Somma di AVERE",'Pivot BBVA'!$A$3,"Mese",7,"Tipologia",$A138,"Viaggio",$A$131)),0,GETPIVOTDATA("Somma di AVERE",'Pivot BBVA'!$A$3,"Mese",7,"Tipologia",$A138,"Viaggio",$A$131))
-IF(ISERROR(GETPIVOTDATA("Somma di AVERE",'Pivot Fineco St'!$A$3,"Mese",7,"Tipologia",$A138,"Viaggio",$A$131)),0,GETPIVOTDATA("Somma di AVERE",'Pivot Fineco St'!$A$3,"Mese",7,"Tipologia",$A138,"Viaggio",$A$131))
-IF(ISERROR(GETPIVOTDATA("Somma di AVERE",'Pivot Fineco Sa'!$A$3,"Mese",7,"Tipologia",$A138,"Viaggio",$A$131)),0,GETPIVOTDATA("Somma di AVERE",'Pivot Fineco Sa'!$A$3,"Mese",7,"Tipologia",$A138,"Viaggio",$A$131))
+IF(ISERROR(GETPIVOTDATA("Somma di DARE",'Pivot PP Visa'!$A$3,"Mese",7,"Tipologia",$A138,"Viaggio",$A$131)),0,GETPIVOTDATA("Somma di DARE",'Pivot PP Visa'!$A$3,"Mese",7,"Tipologia",$A138,"Viaggio",$A$131))
-IF(ISERROR(GETPIVOTDATA("Somma di AVERE",'Pivot PP Visa'!$A$3,"Mese",7,"Tipologia",$A138,"Viaggio",$A$131)),0,GETPIVOTDATA("Somma di AVERE",'Pivot PP Visa'!$A$3,"Mese",7,"Tipologia",$A138,"Viaggio",$A$131))
+IF(ISERROR(GETPIVOTDATA("Somma di DARE",'Pivot Revolut'!$A$3,"Mese",7,"Tipologia",$A138,"Viaggio",$A$131)),0,GETPIVOTDATA("Somma di DARE",'Pivot Revolut'!$A$3,"Mese",7,"Tipologia",$A138,"Viaggio",$A$131))
-IF(ISERROR(GETPIVOTDATA("Somma di AVERE",'Pivot Revolut'!$A$3,"Mese",7,"Tipologia",$A138,"Viaggio",$A$131)),0,GETPIVOTDATA("Somma di AVERE",'Pivot Revolut'!$A$3,"Mese",7,"Tipologia",$A138,"Viaggio",$A$131))
+IF(ISERROR(GETPIVOTDATA("Somma di DARE",'Pivot RakBank EUR'!$A$3,"Mese",7,"Tipologia",$A138,"Viaggio",$A$131)),0,GETPIVOTDATA("Somma di DARE",'Pivot RakBank EUR'!$A$3,"Mese",7,"Tipologia",$A138,"Viaggio",$A$131))
-IF(ISERROR(GETPIVOTDATA("Somma di AVERE",'Pivot RakBank EUR'!$A$3,"Mese",7,"Tipologia",$A138,"Viaggio",$A$131)),0,GETPIVOTDATA("Somma di AVERE",'Pivot RakBank EUR'!$A$3,"Mese",7,"Tipologia",$A138,"Viaggio",$A$131))
+IF(ISERROR(GETPIVOTDATA("Somma di DARE EUR",'Pivot RakBank AED'!$A$3,"Mese",7,"Tipologia",$A138,"Viaggio",$A$131)),0,GETPIVOTDATA("Somma di DARE EUR",'Pivot RakBank AED'!$A$3,"Mese",7,"Tipologia",$A138,"Viaggio",$A$131))
-IF(ISERROR(GETPIVOTDATA("Somma di AVERE EUR",'Pivot RakBank AED'!$A$3,"Mese",7,"Tipologia",$A138,"Viaggio",$A$131)),0,GETPIVOTDATA("Somma di AVERE EUR",'Pivot RakBank AED'!$A$3,"Mese",7,"Tipologia",$A138,"Viaggio",$A$131))</f>
        <v>0</v>
      </c>
      <c r="J138" s="270">
        <f>IF(ISERROR(GETPIVOTDATA("Somma di DARE",'Pivot Fineco Sa'!$A$3,"Mese",8,"Tipologia",$A138,"Viaggio",$A$131)),0,GETPIVOTDATA("Somma di DARE",'Pivot Fineco Sa'!$A$3,"Mese",8,"Tipologia",$A138,"Viaggio",$A$131))
+IF(ISERROR(GETPIVOTDATA("Somma di DARE",'Pivot Fineco St'!$A$3,"Mese",8,"Tipologia",$A138,"Viaggio",$A$131)),0,GETPIVOTDATA("Somma di DARE",'Pivot Fineco St'!$A$3,"Mese",8,"Tipologia",$A138,"Viaggio",$A$131))
+IF(Contanti!$AG45='Conto Economico'!$A$131,Contanti!$AD45)
+IF(ISERROR(GETPIVOTDATA("Somma di DARE",'Pivot BBVA'!$A$3,"Mese",8,"Tipologia",$A138,"Viaggio",$A$131)),0,GETPIVOTDATA("Somma di DARE",'Pivot BBVA'!$A$3,"Mese",8,"Tipologia",$A138,"Viaggio",$A$131))
+IF(ISERROR(GETPIVOTDATA("Somma di DARE",'Pivot Amex'!$A$3,"Mese",8,"Tipologia",$A138,"Viaggio",$A$131)),0,GETPIVOTDATA("Somma di DARE",'Pivot Amex'!$A$3,"Mese",8,"Tipologia",$A138,"Viaggio",$A$131))
-IF(ISERROR(GETPIVOTDATA("Somma di AVERE",'Pivot Amex'!$A$3,"Mese",8,"Tipologia",$A138,"Viaggio",$A$131)),0,GETPIVOTDATA("Somma di AVERE",'Pivot Amex'!$A$3,"Mese",8,"Tipologia",$A138,"Viaggio",$A$131))
-IF(ISERROR(GETPIVOTDATA("Somma di AVERE",'Pivot BBVA'!$A$3,"Mese",8,"Tipologia",$A138,"Viaggio",$A$131)),0,GETPIVOTDATA("Somma di AVERE",'Pivot BBVA'!$A$3,"Mese",8,"Tipologia",$A138,"Viaggio",$A$131))
-IF(ISERROR(GETPIVOTDATA("Somma di AVERE",'Pivot Fineco St'!$A$3,"Mese",8,"Tipologia",$A138,"Viaggio",$A$131)),0,GETPIVOTDATA("Somma di AVERE",'Pivot Fineco St'!$A$3,"Mese",8,"Tipologia",$A138,"Viaggio",$A$131))
-IF(ISERROR(GETPIVOTDATA("Somma di AVERE",'Pivot Fineco Sa'!$A$3,"Mese",8,"Tipologia",$A138,"Viaggio",$A$131)),0,GETPIVOTDATA("Somma di AVERE",'Pivot Fineco Sa'!$A$3,"Mese",8,"Tipologia",$A138,"Viaggio",$A$131))
+IF(ISERROR(GETPIVOTDATA("Somma di DARE",'Pivot PP Visa'!$A$3,"Mese",8,"Tipologia",$A138,"Viaggio",$A$131)),0,GETPIVOTDATA("Somma di DARE",'Pivot PP Visa'!$A$3,"Mese",8,"Tipologia",$A138,"Viaggio",$A$131))
-IF(ISERROR(GETPIVOTDATA("Somma di AVERE",'Pivot PP Visa'!$A$3,"Mese",8,"Tipologia",$A138,"Viaggio",$A$131)),0,GETPIVOTDATA("Somma di AVERE",'Pivot PP Visa'!$A$3,"Mese",8,"Tipologia",$A138,"Viaggio",$A$131))
+IF(ISERROR(GETPIVOTDATA("Somma di DARE",'Pivot Revolut'!$A$3,"Mese",8,"Tipologia",$A138,"Viaggio",$A$131)),0,GETPIVOTDATA("Somma di DARE",'Pivot Revolut'!$A$3,"Mese",8,"Tipologia",$A138,"Viaggio",$A$131))
-IF(ISERROR(GETPIVOTDATA("Somma di AVERE",'Pivot Revolut'!$A$3,"Mese",8,"Tipologia",$A138,"Viaggio",$A$131)),0,GETPIVOTDATA("Somma di AVERE",'Pivot Revolut'!$A$3,"Mese",8,"Tipologia",$A138,"Viaggio",$A$131))
+IF(ISERROR(GETPIVOTDATA("Somma di DARE",'Pivot RakBank EUR'!$A$3,"Mese",8,"Tipologia",$A138,"Viaggio",$A$131)),0,GETPIVOTDATA("Somma di DARE",'Pivot RakBank EUR'!$A$3,"Mese",8,"Tipologia",$A138,"Viaggio",$A$131))
-IF(ISERROR(GETPIVOTDATA("Somma di AVERE",'Pivot RakBank EUR'!$A$3,"Mese",8,"Tipologia",$A138,"Viaggio",$A$131)),0,GETPIVOTDATA("Somma di AVERE",'Pivot RakBank EUR'!$A$3,"Mese",8,"Tipologia",$A138,"Viaggio",$A$131))
+IF(ISERROR(GETPIVOTDATA("Somma di DARE EUR",'Pivot RakBank AED'!$A$3,"Mese",8,"Tipologia",$A138,"Viaggio",$A$131)),0,GETPIVOTDATA("Somma di DARE EUR",'Pivot RakBank AED'!$A$3,"Mese",8,"Tipologia",$A138,"Viaggio",$A$131))
-IF(ISERROR(GETPIVOTDATA("Somma di AVERE EUR",'Pivot RakBank AED'!$A$3,"Mese",8,"Tipologia",$A138,"Viaggio",$A$131)),0,GETPIVOTDATA("Somma di AVERE EUR",'Pivot RakBank AED'!$A$3,"Mese",8,"Tipologia",$A138,"Viaggio",$A$131))</f>
        <v>0</v>
      </c>
      <c r="K138" s="270">
        <f>IF(ISERROR(GETPIVOTDATA("Somma di DARE",'Pivot Fineco Sa'!$A$3,"Mese",9,"Tipologia",$A138,"Viaggio",$A$131)),0,GETPIVOTDATA("Somma di DARE",'Pivot Fineco Sa'!$A$3,"Mese",9,"Tipologia",$A138,"Viaggio",$A$131))
+IF(ISERROR(GETPIVOTDATA("Somma di DARE",'Pivot Fineco St'!$A$3,"Mese",9,"Tipologia",$A138,"Viaggio",$A$131)),0,GETPIVOTDATA("Somma di DARE",'Pivot Fineco St'!$A$3,"Mese",9,"Tipologia",$A138,"Viaggio",$A$131))
+IF(Contanti!$AK45='Conto Economico'!$A$131,Contanti!$AH45)
+IF(ISERROR(GETPIVOTDATA("Somma di DARE",'Pivot BBVA'!$A$3,"Mese",9,"Tipologia",$A138,"Viaggio",$A$131)),0,GETPIVOTDATA("Somma di DARE",'Pivot BBVA'!$A$3,"Mese",9,"Tipologia",$A138,"Viaggio",$A$131))
+IF(ISERROR(GETPIVOTDATA("Somma di DARE",'Pivot Amex'!$A$3,"Mese",9,"Tipologia",$A138,"Viaggio",$A$131)),0,GETPIVOTDATA("Somma di DARE",'Pivot Amex'!$A$3,"Mese",9,"Tipologia",$A138,"Viaggio",$A$131))
-IF(ISERROR(GETPIVOTDATA("Somma di AVERE",'Pivot Amex'!$A$3,"Mese",9,"Tipologia",$A138,"Viaggio",$A$131)),0,GETPIVOTDATA("Somma di AVERE",'Pivot Amex'!$A$3,"Mese",9,"Tipologia",$A138,"Viaggio",$A$131))
-IF(ISERROR(GETPIVOTDATA("Somma di AVERE",'Pivot BBVA'!$A$3,"Mese",9,"Tipologia",$A138,"Viaggio",$A$131)),0,GETPIVOTDATA("Somma di AVERE",'Pivot BBVA'!$A$3,"Mese",9,"Tipologia",$A138,"Viaggio",$A$131))
-IF(ISERROR(GETPIVOTDATA("Somma di AVERE",'Pivot Fineco St'!$A$3,"Mese",9,"Tipologia",$A138,"Viaggio",$A$131)),0,GETPIVOTDATA("Somma di AVERE",'Pivot Fineco St'!$A$3,"Mese",9,"Tipologia",$A138,"Viaggio",$A$131))
-IF(ISERROR(GETPIVOTDATA("Somma di AVERE",'Pivot Fineco Sa'!$A$3,"Mese",9,"Tipologia",$A138,"Viaggio",$A$131)),0,GETPIVOTDATA("Somma di AVERE",'Pivot Fineco Sa'!$A$3,"Mese",9,"Tipologia",$A138,"Viaggio",$A$131))
+IF(ISERROR(GETPIVOTDATA("Somma di DARE",'Pivot PP Visa'!$A$3,"Mese",9,"Tipologia",$A138,"Viaggio",$A$131)),0,GETPIVOTDATA("Somma di DARE",'Pivot PP Visa'!$A$3,"Mese",9,"Tipologia",$A138,"Viaggio",$A$131))
-IF(ISERROR(GETPIVOTDATA("Somma di AVERE",'Pivot PP Visa'!$A$3,"Mese",9,"Tipologia",$A138,"Viaggio",$A$131)),0,GETPIVOTDATA("Somma di AVERE",'Pivot PP Visa'!$A$3,"Mese",9,"Tipologia",$A138,"Viaggio",$A$131))
+IF(ISERROR(GETPIVOTDATA("Somma di DARE",'Pivot Revolut'!$A$3,"Mese",9,"Tipologia",$A138,"Viaggio",$A$131)),0,GETPIVOTDATA("Somma di DARE",'Pivot Revolut'!$A$3,"Mese",9,"Tipologia",$A138,"Viaggio",$A$131))
-IF(ISERROR(GETPIVOTDATA("Somma di AVERE",'Pivot Revolut'!$A$3,"Mese",9,"Tipologia",$A138,"Viaggio",$A$131)),0,GETPIVOTDATA("Somma di AVERE",'Pivot Revolut'!$A$3,"Mese",9,"Tipologia",$A138,"Viaggio",$A$131))
+IF(ISERROR(GETPIVOTDATA("Somma di DARE",'Pivot RakBank EUR'!$A$3,"Mese",9,"Tipologia",$A138,"Viaggio",$A$131)),0,GETPIVOTDATA("Somma di DARE",'Pivot RakBank EUR'!$A$3,"Mese",9,"Tipologia",$A138,"Viaggio",$A$131))
-IF(ISERROR(GETPIVOTDATA("Somma di AVERE",'Pivot RakBank EUR'!$A$3,"Mese",9,"Tipologia",$A138,"Viaggio",$A$131)),0,GETPIVOTDATA("Somma di AVERE",'Pivot RakBank EUR'!$A$3,"Mese",9,"Tipologia",$A138,"Viaggio",$A$131))
+IF(ISERROR(GETPIVOTDATA("Somma di DARE EUR",'Pivot RakBank AED'!$A$3,"Mese",9,"Tipologia",$A138,"Viaggio",$A$131)),0,GETPIVOTDATA("Somma di DARE EUR",'Pivot RakBank AED'!$A$3,"Mese",9,"Tipologia",$A138,"Viaggio",$A$131))
-IF(ISERROR(GETPIVOTDATA("Somma di AVERE EUR",'Pivot RakBank AED'!$A$3,"Mese",9,"Tipologia",$A138,"Viaggio",$A$131)),0,GETPIVOTDATA("Somma di AVERE EUR",'Pivot RakBank AED'!$A$3,"Mese",9,"Tipologia",$A138,"Viaggio",$A$131))</f>
        <v>0</v>
      </c>
      <c r="L138" s="270">
        <f>IF(ISERROR(GETPIVOTDATA("Somma di DARE",'Pivot Fineco Sa'!$A$3,"Mese",10,"Tipologia",$A138,"Viaggio",$A$131)),0,GETPIVOTDATA("Somma di DARE",'Pivot Fineco Sa'!$A$3,"Mese",10,"Tipologia",$A138,"Viaggio",$A$131))
+IF(ISERROR(GETPIVOTDATA("Somma di DARE",'Pivot Fineco St'!$A$3,"Mese",10,"Tipologia",$A138,"Viaggio",$A$131)),0,GETPIVOTDATA("Somma di DARE",'Pivot Fineco St'!$A$3,"Mese",10,"Tipologia",$A138,"Viaggio",$A$131))
+IF(Contanti!$AO45='Conto Economico'!$A$131,Contanti!$AL45)
+IF(ISERROR(GETPIVOTDATA("Somma di DARE",'Pivot BBVA'!$A$3,"Mese",10,"Tipologia",$A138,"Viaggio",$A$131)),0,GETPIVOTDATA("Somma di DARE",'Pivot BBVA'!$A$3,"Mese",10,"Tipologia",$A138,"Viaggio",$A$131))
+IF(ISERROR(GETPIVOTDATA("Somma di DARE",'Pivot Amex'!$A$3,"Mese",10,"Tipologia",$A138,"Viaggio",$A$131)),0,GETPIVOTDATA("Somma di DARE",'Pivot Amex'!$A$3,"Mese",10,"Tipologia",$A138,"Viaggio",$A$131))
-IF(ISERROR(GETPIVOTDATA("Somma di AVERE",'Pivot Amex'!$A$3,"Mese",10,"Tipologia",$A138,"Viaggio",$A$131)),0,GETPIVOTDATA("Somma di AVERE",'Pivot Amex'!$A$3,"Mese",10,"Tipologia",$A138,"Viaggio",$A$131))
-IF(ISERROR(GETPIVOTDATA("Somma di AVERE",'Pivot BBVA'!$A$3,"Mese",10,"Tipologia",$A138,"Viaggio",$A$131)),0,GETPIVOTDATA("Somma di AVERE",'Pivot BBVA'!$A$3,"Mese",10,"Tipologia",$A138,"Viaggio",$A$131))
-IF(ISERROR(GETPIVOTDATA("Somma di AVERE",'Pivot Fineco St'!$A$3,"Mese",10,"Tipologia",$A138,"Viaggio",$A$131)),0,GETPIVOTDATA("Somma di AVERE",'Pivot Fineco St'!$A$3,"Mese",10,"Tipologia",$A138,"Viaggio",$A$131))
-IF(ISERROR(GETPIVOTDATA("Somma di AVERE",'Pivot Fineco Sa'!$A$3,"Mese",10,"Tipologia",$A138,"Viaggio",$A$131)),0,GETPIVOTDATA("Somma di AVERE",'Pivot Fineco Sa'!$A$3,"Mese",10,"Tipologia",$A138,"Viaggio",$A$131))
+IF(ISERROR(GETPIVOTDATA("Somma di DARE",'Pivot PP Visa'!$A$3,"Mese",10,"Tipologia",$A138,"Viaggio",$A$131)),0,GETPIVOTDATA("Somma di DARE",'Pivot PP Visa'!$A$3,"Mese",10,"Tipologia",$A138,"Viaggio",$A$131))
-IF(ISERROR(GETPIVOTDATA("Somma di AVERE",'Pivot PP Visa'!$A$3,"Mese",10,"Tipologia",$A138,"Viaggio",$A$131)),0,GETPIVOTDATA("Somma di AVERE",'Pivot PP Visa'!$A$3,"Mese",10,"Tipologia",$A138,"Viaggio",$A$131))
+IF(ISERROR(GETPIVOTDATA("Somma di DARE",'Pivot Revolut'!$A$3,"Mese",10,"Tipologia",$A138,"Viaggio",$A$131)),0,GETPIVOTDATA("Somma di DARE",'Pivot Revolut'!$A$3,"Mese",10,"Tipologia",$A138,"Viaggio",$A$131))
-IF(ISERROR(GETPIVOTDATA("Somma di AVERE",'Pivot Revolut'!$A$3,"Mese",10,"Tipologia",$A138,"Viaggio",$A$131)),0,GETPIVOTDATA("Somma di AVERE",'Pivot Revolut'!$A$3,"Mese",10,"Tipologia",$A138,"Viaggio",$A$131))
+IF(ISERROR(GETPIVOTDATA("Somma di DARE",'Pivot RakBank EUR'!$A$3,"Mese",10,"Tipologia",$A138,"Viaggio",$A$131)),0,GETPIVOTDATA("Somma di DARE",'Pivot RakBank EUR'!$A$3,"Mese",10,"Tipologia",$A138,"Viaggio",$A$131))
-IF(ISERROR(GETPIVOTDATA("Somma di AVERE",'Pivot RakBank EUR'!$A$3,"Mese",10,"Tipologia",$A138,"Viaggio",$A$131)),0,GETPIVOTDATA("Somma di AVERE",'Pivot RakBank EUR'!$A$3,"Mese",10,"Tipologia",$A138,"Viaggio",$A$131))
+IF(ISERROR(GETPIVOTDATA("Somma di DARE EUR",'Pivot RakBank AED'!$A$3,"Mese",10,"Tipologia",$A138,"Viaggio",$A$131)),0,GETPIVOTDATA("Somma di DARE EUR",'Pivot RakBank AED'!$A$3,"Mese",10,"Tipologia",$A138,"Viaggio",$A$131))
-IF(ISERROR(GETPIVOTDATA("Somma di AVERE EUR",'Pivot RakBank AED'!$A$3,"Mese",10,"Tipologia",$A138,"Viaggio",$A$131)),0,GETPIVOTDATA("Somma di AVERE EUR",'Pivot RakBank AED'!$A$3,"Mese",10,"Tipologia",$A138,"Viaggio",$A$131))</f>
        <v>0</v>
      </c>
      <c r="M138" s="270">
        <f>IF(ISERROR(GETPIVOTDATA("Somma di DARE",'Pivot Fineco Sa'!$A$3,"Mese",11,"Tipologia",$A138,"Viaggio",$A$131)),0,GETPIVOTDATA("Somma di DARE",'Pivot Fineco Sa'!$A$3,"Mese",11,"Tipologia",$A138,"Viaggio",$A$131))
+IF(ISERROR(GETPIVOTDATA("Somma di DARE",'Pivot Fineco St'!$A$3,"Mese",11,"Tipologia",$A138,"Viaggio",$A$131)),0,GETPIVOTDATA("Somma di DARE",'Pivot Fineco St'!$A$3,"Mese",11,"Tipologia",$A138,"Viaggio",$A$131))
+IF(Contanti!$AS45='Conto Economico'!$A$131,Contanti!$AP45)
+IF(ISERROR(GETPIVOTDATA("Somma di DARE",'Pivot BBVA'!$A$3,"Mese",11,"Tipologia",$A138,"Viaggio",$A$131)),0,GETPIVOTDATA("Somma di DARE",'Pivot BBVA'!$A$3,"Mese",11,"Tipologia",$A138,"Viaggio",$A$131))
+IF(ISERROR(GETPIVOTDATA("Somma di DARE",'Pivot Amex'!$A$3,"Mese",11,"Tipologia",$A138,"Viaggio",$A$131)),0,GETPIVOTDATA("Somma di DARE",'Pivot Amex'!$A$3,"Mese",11,"Tipologia",$A138,"Viaggio",$A$131))
-IF(ISERROR(GETPIVOTDATA("Somma di AVERE",'Pivot Amex'!$A$3,"Mese",11,"Tipologia",$A138,"Viaggio",$A$131)),0,GETPIVOTDATA("Somma di AVERE",'Pivot Amex'!$A$3,"Mese",11,"Tipologia",$A138,"Viaggio",$A$131))
-IF(ISERROR(GETPIVOTDATA("Somma di AVERE",'Pivot BBVA'!$A$3,"Mese",11,"Tipologia",$A138,"Viaggio",$A$131)),0,GETPIVOTDATA("Somma di AVERE",'Pivot BBVA'!$A$3,"Mese",11,"Tipologia",$A138,"Viaggio",$A$131))
-IF(ISERROR(GETPIVOTDATA("Somma di AVERE",'Pivot Fineco St'!$A$3,"Mese",11,"Tipologia",$A138,"Viaggio",$A$131)),0,GETPIVOTDATA("Somma di AVERE",'Pivot Fineco St'!$A$3,"Mese",11,"Tipologia",$A138,"Viaggio",$A$131))
-IF(ISERROR(GETPIVOTDATA("Somma di AVERE",'Pivot Fineco Sa'!$A$3,"Mese",11,"Tipologia",$A138,"Viaggio",$A$131)),0,GETPIVOTDATA("Somma di AVERE",'Pivot Fineco Sa'!$A$3,"Mese",11,"Tipologia",$A138,"Viaggio",$A$131))
+IF(ISERROR(GETPIVOTDATA("Somma di DARE",'Pivot PP Visa'!$A$3,"Mese",11,"Tipologia",$A138,"Viaggio",$A$131)),0,GETPIVOTDATA("Somma di DARE",'Pivot PP Visa'!$A$3,"Mese",11,"Tipologia",$A138,"Viaggio",$A$131))
-IF(ISERROR(GETPIVOTDATA("Somma di AVERE",'Pivot PP Visa'!$A$3,"Mese",11,"Tipologia",$A138,"Viaggio",$A$131)),0,GETPIVOTDATA("Somma di AVERE",'Pivot PP Visa'!$A$3,"Mese",11,"Tipologia",$A138,"Viaggio",$A$131))
+IF(ISERROR(GETPIVOTDATA("Somma di DARE",'Pivot Revolut'!$A$3,"Mese",11,"Tipologia",$A138,"Viaggio",$A$131)),0,GETPIVOTDATA("Somma di DARE",'Pivot Revolut'!$A$3,"Mese",11,"Tipologia",$A138,"Viaggio",$A$131))
-IF(ISERROR(GETPIVOTDATA("Somma di AVERE",'Pivot Revolut'!$A$3,"Mese",11,"Tipologia",$A138,"Viaggio",$A$131)),0,GETPIVOTDATA("Somma di AVERE",'Pivot Revolut'!$A$3,"Mese",11,"Tipologia",$A138,"Viaggio",$A$131))
+IF(ISERROR(GETPIVOTDATA("Somma di DARE",'Pivot RakBank EUR'!$A$3,"Mese",11,"Tipologia",$A138,"Viaggio",$A$131)),0,GETPIVOTDATA("Somma di DARE",'Pivot RakBank EUR'!$A$3,"Mese",11,"Tipologia",$A138,"Viaggio",$A$131))
-IF(ISERROR(GETPIVOTDATA("Somma di AVERE",'Pivot RakBank EUR'!$A$3,"Mese",11,"Tipologia",$A138,"Viaggio",$A$131)),0,GETPIVOTDATA("Somma di AVERE",'Pivot RakBank EUR'!$A$3,"Mese",11,"Tipologia",$A138,"Viaggio",$A$131))
+IF(ISERROR(GETPIVOTDATA("Somma di DARE EUR",'Pivot RakBank AED'!$A$3,"Mese",11,"Tipologia",$A138,"Viaggio",$A$131)),0,GETPIVOTDATA("Somma di DARE EUR",'Pivot RakBank AED'!$A$3,"Mese",11,"Tipologia",$A138,"Viaggio",$A$131))
-IF(ISERROR(GETPIVOTDATA("Somma di AVERE EUR",'Pivot RakBank AED'!$A$3,"Mese",11,"Tipologia",$A138,"Viaggio",$A$131)),0,GETPIVOTDATA("Somma di AVERE EUR",'Pivot RakBank AED'!$A$3,"Mese",11,"Tipologia",$A138,"Viaggio",$A$131))</f>
        <v>0</v>
      </c>
      <c r="N138" s="270">
        <f>IF(ISERROR(GETPIVOTDATA("Somma di DARE",'Pivot Fineco Sa'!$A$3,"Mese",12,"Tipologia",$A138,"Viaggio",$A$131)),0,GETPIVOTDATA("Somma di DARE",'Pivot Fineco Sa'!$A$3,"Mese",12,"Tipologia",$A138,"Viaggio",$A$131))
+IF(ISERROR(GETPIVOTDATA("Somma di DARE",'Pivot Fineco St'!$A$3,"Mese",12,"Tipologia",$A138,"Viaggio",$A$131)),0,GETPIVOTDATA("Somma di DARE",'Pivot Fineco St'!$A$3,"Mese",12,"Tipologia",$A138,"Viaggio",$A$131))
+IF(Contanti!$AW45='Conto Economico'!$A$131,Contanti!$AT45)
+IF(ISERROR(GETPIVOTDATA("Somma di DARE",'Pivot BBVA'!$A$3,"Mese",12,"Tipologia",$A138,"Viaggio",$A$131)),0,GETPIVOTDATA("Somma di DARE",'Pivot BBVA'!$A$3,"Mese",12,"Tipologia",$A138,"Viaggio",$A$131))
+IF(ISERROR(GETPIVOTDATA("Somma di DARE",'Pivot Amex'!$A$3,"Mese",12,"Tipologia",$A138,"Viaggio",$A$131)),0,GETPIVOTDATA("Somma di DARE",'Pivot Amex'!$A$3,"Mese",12,"Tipologia",$A138,"Viaggio",$A$131))
-IF(ISERROR(GETPIVOTDATA("Somma di AVERE",'Pivot Amex'!$A$3,"Mese",12,"Tipologia",$A138,"Viaggio",$A$131)),0,GETPIVOTDATA("Somma di AVERE",'Pivot Amex'!$A$3,"Mese",12,"Tipologia",$A138,"Viaggio",$A$131))
-IF(ISERROR(GETPIVOTDATA("Somma di AVERE",'Pivot BBVA'!$A$3,"Mese",12,"Tipologia",$A138,"Viaggio",$A$131)),0,GETPIVOTDATA("Somma di AVERE",'Pivot BBVA'!$A$3,"Mese",12,"Tipologia",$A138,"Viaggio",$A$131))
-IF(ISERROR(GETPIVOTDATA("Somma di AVERE",'Pivot Fineco St'!$A$3,"Mese",12,"Tipologia",$A138,"Viaggio",$A$131)),0,GETPIVOTDATA("Somma di AVERE",'Pivot Fineco St'!$A$3,"Mese",12,"Tipologia",$A138,"Viaggio",$A$131))
-IF(ISERROR(GETPIVOTDATA("Somma di AVERE",'Pivot Fineco Sa'!$A$3,"Mese",12,"Tipologia",$A138,"Viaggio",$A$131)),0,GETPIVOTDATA("Somma di AVERE",'Pivot Fineco Sa'!$A$3,"Mese",12,"Tipologia",$A138,"Viaggio",$A$131))
+IF(ISERROR(GETPIVOTDATA("Somma di DARE",'Pivot PP Visa'!$A$3,"Mese",12,"Tipologia",$A138,"Viaggio",$A$131)),0,GETPIVOTDATA("Somma di DARE",'Pivot PP Visa'!$A$3,"Mese",12,"Tipologia",$A138,"Viaggio",$A$131))
-IF(ISERROR(GETPIVOTDATA("Somma di AVERE",'Pivot PP Visa'!$A$3,"Mese",12,"Tipologia",$A138,"Viaggio",$A$131)),0,GETPIVOTDATA("Somma di AVERE",'Pivot PP Visa'!$A$3,"Mese",12,"Tipologia",$A138,"Viaggio",$A$131))
+IF(ISERROR(GETPIVOTDATA("Somma di DARE",'Pivot Revolut'!$A$3,"Mese",12,"Tipologia",$A138,"Viaggio",$A$131)),0,GETPIVOTDATA("Somma di DARE",'Pivot Revolut'!$A$3,"Mese",12,"Tipologia",$A138,"Viaggio",$A$131))
-IF(ISERROR(GETPIVOTDATA("Somma di AVERE",'Pivot Revolut'!$A$3,"Mese",12,"Tipologia",$A138,"Viaggio",$A$131)),0,GETPIVOTDATA("Somma di AVERE",'Pivot Revolut'!$A$3,"Mese",12,"Tipologia",$A138,"Viaggio",$A$131))
+IF(ISERROR(GETPIVOTDATA("Somma di DARE",'Pivot RakBank EUR'!$A$3,"Mese",12,"Tipologia",$A138,"Viaggio",$A$131)),0,GETPIVOTDATA("Somma di DARE",'Pivot RakBank EUR'!$A$3,"Mese",12,"Tipologia",$A138,"Viaggio",$A$131))
-IF(ISERROR(GETPIVOTDATA("Somma di AVERE",'Pivot RakBank EUR'!$A$3,"Mese",12,"Tipologia",$A138,"Viaggio",$A$131)),0,GETPIVOTDATA("Somma di AVERE",'Pivot RakBank EUR'!$A$3,"Mese",12,"Tipologia",$A138,"Viaggio",$A$131))
+IF(ISERROR(GETPIVOTDATA("Somma di DARE EUR",'Pivot RakBank AED'!$A$3,"Mese",12,"Tipologia",$A138,"Viaggio",$A$131)),0,GETPIVOTDATA("Somma di DARE EUR",'Pivot RakBank AED'!$A$3,"Mese",12,"Tipologia",$A138,"Viaggio",$A$131))
-IF(ISERROR(GETPIVOTDATA("Somma di AVERE EUR",'Pivot RakBank AED'!$A$3,"Mese",12,"Tipologia",$A138,"Viaggio",$A$131)),0,GETPIVOTDATA("Somma di AVERE EUR",'Pivot RakBank AED'!$A$3,"Mese",12,"Tipologia",$A138,"Viaggio",$A$131))</f>
        <v>0</v>
      </c>
      <c r="O138" s="271">
        <f t="shared" si="17"/>
        <v>278.08000000000004</v>
      </c>
      <c r="P138" s="270"/>
    </row>
    <row r="139" spans="1:16" s="131" customFormat="1" ht="14" outlineLevel="1" x14ac:dyDescent="0.2">
      <c r="A139" s="269" t="s">
        <v>170</v>
      </c>
      <c r="B139" s="269"/>
      <c r="C139" s="270">
        <f>IF(ISERROR(GETPIVOTDATA("Somma di DARE",'Pivot Fineco Sa'!$A$3,"Mese",1,"Tipologia",$A139,"Viaggio",$A$131)),0,GETPIVOTDATA("Somma di DARE",'Pivot Fineco Sa'!$A$3,"Mese",1,"Tipologia",$A139,"Viaggio",$A$131))
+IF(ISERROR(GETPIVOTDATA("Somma di DARE",'Pivot Fineco St'!$A$3,"Mese",1,"Tipologia",$A139,"Viaggio",$A$131)),0,GETPIVOTDATA("Somma di DARE",'Pivot Fineco St'!$A$3,"Mese",1,"Tipologia",$A139,"Viaggio",$A$131))
+IF(Contanti!$E46='Conto Economico'!$A$131,Contanti!$B46)
+IF(ISERROR(GETPIVOTDATA("Somma di DARE",'Pivot BBVA'!$A$3,"Mese",1,"Tipologia",$A139,"Viaggio",$A$131)),0,GETPIVOTDATA("Somma di DARE",'Pivot BBVA'!$A$3,"Mese",1,"Tipologia",$A139,"Viaggio",$A$131))
+IF(ISERROR(GETPIVOTDATA("Somma di DARE",'Pivot Amex'!$A$3,"Mese",1,"Tipologia",$A139,"Viaggio",$A$131)),0,GETPIVOTDATA("Somma di DARE",'Pivot Amex'!$A$3,"Mese",1,"Tipologia",$A139,"Viaggio",$A$131))
-IF(ISERROR(GETPIVOTDATA("Somma di AVERE",'Pivot Amex'!$A$3,"Mese",1,"Tipologia",$A139,"Viaggio",$A$131)),0,GETPIVOTDATA("Somma di AVERE",'Pivot Amex'!$A$3,"Mese",1,"Tipologia",$A139,"Viaggio",$A$131))
-IF(ISERROR(GETPIVOTDATA("Somma di AVERE",'Pivot BBVA'!$A$3,"Mese",1,"Tipologia",$A139,"Viaggio",$A$131)),0,GETPIVOTDATA("Somma di AVERE",'Pivot BBVA'!$A$3,"Mese",1,"Tipologia",$A139,"Viaggio",$A$131))
-IF(ISERROR(GETPIVOTDATA("Somma di AVERE",'Pivot Fineco St'!$A$3,"Mese",1,"Tipologia",$A139,"Viaggio",$A$131)),0,GETPIVOTDATA("Somma di AVERE",'Pivot Fineco St'!$A$3,"Mese",1,"Tipologia",$A139,"Viaggio",$A$131))
-IF(ISERROR(GETPIVOTDATA("Somma di AVERE",'Pivot Fineco Sa'!$A$3,"Mese",1,"Tipologia",$A139,"Viaggio",$A$131)),0,GETPIVOTDATA("Somma di AVERE",'Pivot Fineco Sa'!$A$3,"Mese",1,"Tipologia",$A139,"Viaggio",$A$131))
+IF(ISERROR(GETPIVOTDATA("Somma di DARE",'Pivot PP Visa'!$A$3,"Mese",1,"Tipologia",$A139,"Viaggio",$A$131)),0,GETPIVOTDATA("Somma di DARE",'Pivot PP Visa'!$A$3,"Mese",1,"Tipologia",$A139,"Viaggio",$A$131))
-IF(ISERROR(GETPIVOTDATA("Somma di AVERE",'Pivot PP Visa'!$A$3,"Mese",1,"Tipologia",$A139,"Viaggio",$A$131)),0,GETPIVOTDATA("Somma di AVERE",'Pivot PP Visa'!$A$3,"Mese",1,"Tipologia",$A139,"Viaggio",$A$131))
+IF(ISERROR(GETPIVOTDATA("Somma di DARE",'Pivot Revolut'!$A$3,"Mese",1,"Tipologia",$A139,"Viaggio",$A$131)),0,GETPIVOTDATA("Somma di DARE",'Pivot Revolut'!$A$3,"Mese",1,"Tipologia",$A139,"Viaggio",$A$131))
-IF(ISERROR(GETPIVOTDATA("Somma di AVERE",'Pivot Revolut'!$A$3,"Mese",1,"Tipologia",$A139,"Viaggio",$A$131)),0,GETPIVOTDATA("Somma di AVERE",'Pivot Revolut'!$A$3,"Mese",1,"Tipologia",$A139,"Viaggio",$A$131))
+IF(ISERROR(GETPIVOTDATA("Somma di DARE",'Pivot RakBank EUR'!$A$3,"Mese",1,"Tipologia",$A139,"Viaggio",$A$131)),0,GETPIVOTDATA("Somma di DARE",'Pivot RakBank EUR'!$A$3,"Mese",1,"Tipologia",$A139,"Viaggio",$A$131))
-IF(ISERROR(GETPIVOTDATA("Somma di AVERE",'Pivot RakBank EUR'!$A$3,"Mese",1,"Tipologia",$A139,"Viaggio",$A$131)),0,GETPIVOTDATA("Somma di AVERE",'Pivot RakBank EUR'!$A$3,"Mese",1,"Tipologia",$A139,"Viaggio",$A$131))
+IF(ISERROR(GETPIVOTDATA("Somma di DARE EUR",'Pivot RakBank AED'!$A$3,"Mese",1,"Tipologia",$A139,"Viaggio",$A$131)),0,GETPIVOTDATA("Somma di DARE EUR",'Pivot RakBank AED'!$A$3,"Mese",1,"Tipologia",$A139,"Viaggio",$A$131))
-IF(ISERROR(GETPIVOTDATA("Somma di AVERE EUR",'Pivot RakBank AED'!$A$3,"Mese",1,"Tipologia",$A139,"Viaggio",$A$131)),0,GETPIVOTDATA("Somma di AVERE EUR",'Pivot RakBank AED'!$A$3,"Mese",1,"Tipologia",$A139,"Viaggio",$A$131))</f>
        <v>0</v>
      </c>
      <c r="D139" s="270">
        <f>IF(ISERROR(GETPIVOTDATA("Somma di DARE",'Pivot Fineco Sa'!$A$3,"Mese",2,"Tipologia",$A139,"Viaggio",$A$131)),0,GETPIVOTDATA("Somma di DARE",'Pivot Fineco Sa'!$A$3,"Mese",2,"Tipologia",$A139,"Viaggio",$A$131))
+IF(ISERROR(GETPIVOTDATA("Somma di DARE",'Pivot Fineco St'!$A$3,"Mese",2,"Tipologia",$A139,"Viaggio",$A$131)),0,GETPIVOTDATA("Somma di DARE",'Pivot Fineco St'!$A$3,"Mese",2,"Tipologia",$A139,"Viaggio",$A$131))
+IF(Contanti!$I46='Conto Economico'!$A$131,Contanti!$F46)
+IF(ISERROR(GETPIVOTDATA("Somma di DARE",'Pivot BBVA'!$A$3,"Mese",2,"Tipologia",$A139,"Viaggio",$A$131)),0,GETPIVOTDATA("Somma di DARE",'Pivot BBVA'!$A$3,"Mese",2,"Tipologia",$A139,"Viaggio",$A$131))
+IF(ISERROR(GETPIVOTDATA("Somma di DARE",'Pivot Amex'!$A$3,"Mese",2,"Tipologia",$A139,"Viaggio",$A$131)),0,GETPIVOTDATA("Somma di DARE",'Pivot Amex'!$A$3,"Mese",2,"Tipologia",$A139,"Viaggio",$A$131))
-IF(ISERROR(GETPIVOTDATA("Somma di AVERE",'Pivot Amex'!$A$3,"Mese",2,"Tipologia",$A139,"Viaggio",$A$131)),0,GETPIVOTDATA("Somma di AVERE",'Pivot Amex'!$A$3,"Mese",2,"Tipologia",$A139,"Viaggio",$A$131))
-IF(ISERROR(GETPIVOTDATA("Somma di AVERE",'Pivot BBVA'!$A$3,"Mese",2,"Tipologia",$A139,"Viaggio",$A$131)),0,GETPIVOTDATA("Somma di AVERE",'Pivot BBVA'!$A$3,"Mese",2,"Tipologia",$A139,"Viaggio",$A$131))
-IF(ISERROR(GETPIVOTDATA("Somma di AVERE",'Pivot Fineco St'!$A$3,"Mese",2,"Tipologia",$A139,"Viaggio",$A$131)),0,GETPIVOTDATA("Somma di AVERE",'Pivot Fineco St'!$A$3,"Mese",2,"Tipologia",$A139,"Viaggio",$A$131))
-IF(ISERROR(GETPIVOTDATA("Somma di AVERE",'Pivot Fineco Sa'!$A$3,"Mese",2,"Tipologia",$A139,"Viaggio",$A$131)),0,GETPIVOTDATA("Somma di AVERE",'Pivot Fineco Sa'!$A$3,"Mese",2,"Tipologia",$A139,"Viaggio",$A$131))
+IF(ISERROR(GETPIVOTDATA("Somma di DARE",'Pivot PP Visa'!$A$3,"Mese",2,"Tipologia",$A139,"Viaggio",$A$131)),0,GETPIVOTDATA("Somma di DARE",'Pivot PP Visa'!$A$3,"Mese",2,"Tipologia",$A139,"Viaggio",$A$131))
-IF(ISERROR(GETPIVOTDATA("Somma di AVERE",'Pivot PP Visa'!$A$3,"Mese",2,"Tipologia",$A139,"Viaggio",$A$131)),0,GETPIVOTDATA("Somma di AVERE",'Pivot PP Visa'!$A$3,"Mese",2,"Tipologia",$A139,"Viaggio",$A$131))
+IF(ISERROR(GETPIVOTDATA("Somma di DARE",'Pivot Revolut'!$A$3,"Mese",2,"Tipologia",$A139,"Viaggio",$A$131)),0,GETPIVOTDATA("Somma di DARE",'Pivot Revolut'!$A$3,"Mese",2,"Tipologia",$A139,"Viaggio",$A$131))
-IF(ISERROR(GETPIVOTDATA("Somma di AVERE",'Pivot Revolut'!$A$3,"Mese",2,"Tipologia",$A139,"Viaggio",$A$131)),0,GETPIVOTDATA("Somma di AVERE",'Pivot Revolut'!$A$3,"Mese",2,"Tipologia",$A139,"Viaggio",$A$131))
+IF(ISERROR(GETPIVOTDATA("Somma di DARE",'Pivot RakBank EUR'!$A$3,"Mese",2,"Tipologia",$A139,"Viaggio",$A$131)),0,GETPIVOTDATA("Somma di DARE",'Pivot RakBank EUR'!$A$3,"Mese",2,"Tipologia",$A139,"Viaggio",$A$131))
-IF(ISERROR(GETPIVOTDATA("Somma di AVERE",'Pivot RakBank EUR'!$A$3,"Mese",2,"Tipologia",$A139,"Viaggio",$A$131)),0,GETPIVOTDATA("Somma di AVERE",'Pivot RakBank EUR'!$A$3,"Mese",2,"Tipologia",$A139,"Viaggio",$A$131))
+IF(ISERROR(GETPIVOTDATA("Somma di DARE EUR",'Pivot RakBank AED'!$A$3,"Mese",2,"Tipologia",$A139,"Viaggio",$A$131)),0,GETPIVOTDATA("Somma di DARE EUR",'Pivot RakBank AED'!$A$3,"Mese",2,"Tipologia",$A139,"Viaggio",$A$131))
-IF(ISERROR(GETPIVOTDATA("Somma di AVERE EUR",'Pivot RakBank AED'!$A$3,"Mese",2,"Tipologia",$A139,"Viaggio",$A$131)),0,GETPIVOTDATA("Somma di AVERE EUR",'Pivot RakBank AED'!$A$3,"Mese",2,"Tipologia",$A139,"Viaggio",$A$131))</f>
        <v>182.2</v>
      </c>
      <c r="E139" s="270">
        <f>IF(ISERROR(GETPIVOTDATA("Somma di DARE",'Pivot Fineco Sa'!$A$3,"Mese",3,"Tipologia",$A139,"Viaggio",$A$131)),0,GETPIVOTDATA("Somma di DARE",'Pivot Fineco Sa'!$A$3,"Mese",3,"Tipologia",$A139,"Viaggio",$A$131))
+IF(ISERROR(GETPIVOTDATA("Somma di DARE",'Pivot Fineco St'!$A$3,"Mese",3,"Tipologia",$A139,"Viaggio",$A$131)),0,GETPIVOTDATA("Somma di DARE",'Pivot Fineco St'!$A$3,"Mese",3,"Tipologia",$A139,"Viaggio",$A$131))
+IF(Contanti!$M46='Conto Economico'!$A$131,Contanti!$J46)
+IF(ISERROR(GETPIVOTDATA("Somma di DARE",'Pivot BBVA'!$A$3,"Mese",3,"Tipologia",$A139,"Viaggio",$A$131)),0,GETPIVOTDATA("Somma di DARE",'Pivot BBVA'!$A$3,"Mese",3,"Tipologia",$A139,"Viaggio",$A$131))
+IF(ISERROR(GETPIVOTDATA("Somma di DARE",'Pivot Amex'!$A$3,"Mese",3,"Tipologia",$A139,"Viaggio",$A$131)),0,GETPIVOTDATA("Somma di DARE",'Pivot Amex'!$A$3,"Mese",3,"Tipologia",$A139,"Viaggio",$A$131))
-IF(ISERROR(GETPIVOTDATA("Somma di AVERE",'Pivot Amex'!$A$3,"Mese",3,"Tipologia",$A139,"Viaggio",$A$131)),0,GETPIVOTDATA("Somma di AVERE",'Pivot Amex'!$A$3,"Mese",3,"Tipologia",$A139,"Viaggio",$A$131))
-IF(ISERROR(GETPIVOTDATA("Somma di AVERE",'Pivot BBVA'!$A$3,"Mese",3,"Tipologia",$A139,"Viaggio",$A$131)),0,GETPIVOTDATA("Somma di AVERE",'Pivot BBVA'!$A$3,"Mese",3,"Tipologia",$A139,"Viaggio",$A$131))
-IF(ISERROR(GETPIVOTDATA("Somma di AVERE",'Pivot Fineco St'!$A$3,"Mese",3,"Tipologia",$A139,"Viaggio",$A$131)),0,GETPIVOTDATA("Somma di AVERE",'Pivot Fineco St'!$A$3,"Mese",3,"Tipologia",$A139,"Viaggio",$A$131))
-IF(ISERROR(GETPIVOTDATA("Somma di AVERE",'Pivot Fineco Sa'!$A$3,"Mese",3,"Tipologia",$A139,"Viaggio",$A$131)),0,GETPIVOTDATA("Somma di AVERE",'Pivot Fineco Sa'!$A$3,"Mese",3,"Tipologia",$A139,"Viaggio",$A$131))
+IF(ISERROR(GETPIVOTDATA("Somma di DARE",'Pivot PP Visa'!$A$3,"Mese",3,"Tipologia",$A139,"Viaggio",$A$131)),0,GETPIVOTDATA("Somma di DARE",'Pivot PP Visa'!$A$3,"Mese",3,"Tipologia",$A139,"Viaggio",$A$131))
-IF(ISERROR(GETPIVOTDATA("Somma di AVERE",'Pivot PP Visa'!$A$3,"Mese",3,"Tipologia",$A139,"Viaggio",$A$131)),0,GETPIVOTDATA("Somma di AVERE",'Pivot PP Visa'!$A$3,"Mese",3,"Tipologia",$A139,"Viaggio",$A$131))
+IF(ISERROR(GETPIVOTDATA("Somma di DARE",'Pivot Revolut'!$A$3,"Mese",3,"Tipologia",$A139,"Viaggio",$A$131)),0,GETPIVOTDATA("Somma di DARE",'Pivot Revolut'!$A$3,"Mese",3,"Tipologia",$A139,"Viaggio",$A$131))
-IF(ISERROR(GETPIVOTDATA("Somma di AVERE",'Pivot Revolut'!$A$3,"Mese",3,"Tipologia",$A139,"Viaggio",$A$131)),0,GETPIVOTDATA("Somma di AVERE",'Pivot Revolut'!$A$3,"Mese",3,"Tipologia",$A139,"Viaggio",$A$131))
+IF(ISERROR(GETPIVOTDATA("Somma di DARE",'Pivot RakBank EUR'!$A$3,"Mese",3,"Tipologia",$A139,"Viaggio",$A$131)),0,GETPIVOTDATA("Somma di DARE",'Pivot RakBank EUR'!$A$3,"Mese",3,"Tipologia",$A139,"Viaggio",$A$131))
-IF(ISERROR(GETPIVOTDATA("Somma di AVERE",'Pivot RakBank EUR'!$A$3,"Mese",3,"Tipologia",$A139,"Viaggio",$A$131)),0,GETPIVOTDATA("Somma di AVERE",'Pivot RakBank EUR'!$A$3,"Mese",3,"Tipologia",$A139,"Viaggio",$A$131))
+IF(ISERROR(GETPIVOTDATA("Somma di DARE EUR",'Pivot RakBank AED'!$A$3,"Mese",3,"Tipologia",$A139,"Viaggio",$A$131)),0,GETPIVOTDATA("Somma di DARE EUR",'Pivot RakBank AED'!$A$3,"Mese",3,"Tipologia",$A139,"Viaggio",$A$131))
-IF(ISERROR(GETPIVOTDATA("Somma di AVERE EUR",'Pivot RakBank AED'!$A$3,"Mese",3,"Tipologia",$A139,"Viaggio",$A$131)),0,GETPIVOTDATA("Somma di AVERE EUR",'Pivot RakBank AED'!$A$3,"Mese",3,"Tipologia",$A139,"Viaggio",$A$131))</f>
        <v>0</v>
      </c>
      <c r="F139" s="270">
        <f>IF(ISERROR(GETPIVOTDATA("Somma di DARE",'Pivot Fineco Sa'!$A$3,"Mese",4,"Tipologia",$A139,"Viaggio",$A$131)),0,GETPIVOTDATA("Somma di DARE",'Pivot Fineco Sa'!$A$3,"Mese",4,"Tipologia",$A139,"Viaggio",$A$131))
+IF(ISERROR(GETPIVOTDATA("Somma di DARE",'Pivot Fineco St'!$A$3,"Mese",4,"Tipologia",$A139,"Viaggio",$A$131)),0,GETPIVOTDATA("Somma di DARE",'Pivot Fineco St'!$A$3,"Mese",4,"Tipologia",$A139,"Viaggio",$A$131))
+IF(Contanti!$Q46='Conto Economico'!$A$131,Contanti!$N46)
+IF(ISERROR(GETPIVOTDATA("Somma di DARE",'Pivot BBVA'!$A$3,"Mese",4,"Tipologia",$A139,"Viaggio",$A$131)),0,GETPIVOTDATA("Somma di DARE",'Pivot BBVA'!$A$3,"Mese",4,"Tipologia",$A139,"Viaggio",$A$131))
+IF(ISERROR(GETPIVOTDATA("Somma di DARE",'Pivot Amex'!$A$3,"Mese",4,"Tipologia",$A139,"Viaggio",$A$131)),0,GETPIVOTDATA("Somma di DARE",'Pivot Amex'!$A$3,"Mese",4,"Tipologia",$A139,"Viaggio",$A$131))
-IF(ISERROR(GETPIVOTDATA("Somma di AVERE",'Pivot Amex'!$A$3,"Mese",4,"Tipologia",$A139,"Viaggio",$A$131)),0,GETPIVOTDATA("Somma di AVERE",'Pivot Amex'!$A$3,"Mese",4,"Tipologia",$A139,"Viaggio",$A$131))
-IF(ISERROR(GETPIVOTDATA("Somma di AVERE",'Pivot BBVA'!$A$3,"Mese",4,"Tipologia",$A139,"Viaggio",$A$131)),0,GETPIVOTDATA("Somma di AVERE",'Pivot BBVA'!$A$3,"Mese",4,"Tipologia",$A139,"Viaggio",$A$131))
-IF(ISERROR(GETPIVOTDATA("Somma di AVERE",'Pivot Fineco St'!$A$3,"Mese",4,"Tipologia",$A139,"Viaggio",$A$131)),0,GETPIVOTDATA("Somma di AVERE",'Pivot Fineco St'!$A$3,"Mese",4,"Tipologia",$A139,"Viaggio",$A$131))
-IF(ISERROR(GETPIVOTDATA("Somma di AVERE",'Pivot Fineco Sa'!$A$3,"Mese",4,"Tipologia",$A139,"Viaggio",$A$131)),0,GETPIVOTDATA("Somma di AVERE",'Pivot Fineco Sa'!$A$3,"Mese",4,"Tipologia",$A139,"Viaggio",$A$131))
+IF(ISERROR(GETPIVOTDATA("Somma di DARE",'Pivot PP Visa'!$A$3,"Mese",4,"Tipologia",$A139,"Viaggio",$A$131)),0,GETPIVOTDATA("Somma di DARE",'Pivot PP Visa'!$A$3,"Mese",4,"Tipologia",$A139,"Viaggio",$A$131))
-IF(ISERROR(GETPIVOTDATA("Somma di AVERE",'Pivot PP Visa'!$A$3,"Mese",4,"Tipologia",$A139,"Viaggio",$A$131)),0,GETPIVOTDATA("Somma di AVERE",'Pivot PP Visa'!$A$3,"Mese",4,"Tipologia",$A139,"Viaggio",$A$131))
+IF(ISERROR(GETPIVOTDATA("Somma di DARE",'Pivot Revolut'!$A$3,"Mese",4,"Tipologia",$A139,"Viaggio",$A$131)),0,GETPIVOTDATA("Somma di DARE",'Pivot Revolut'!$A$3,"Mese",4,"Tipologia",$A139,"Viaggio",$A$131))
-IF(ISERROR(GETPIVOTDATA("Somma di AVERE",'Pivot Revolut'!$A$3,"Mese",4,"Tipologia",$A139,"Viaggio",$A$131)),0,GETPIVOTDATA("Somma di AVERE",'Pivot Revolut'!$A$3,"Mese",4,"Tipologia",$A139,"Viaggio",$A$131))
+IF(ISERROR(GETPIVOTDATA("Somma di DARE",'Pivot RakBank EUR'!$A$3,"Mese",4,"Tipologia",$A139,"Viaggio",$A$131)),0,GETPIVOTDATA("Somma di DARE",'Pivot RakBank EUR'!$A$3,"Mese",4,"Tipologia",$A139,"Viaggio",$A$131))
-IF(ISERROR(GETPIVOTDATA("Somma di AVERE",'Pivot RakBank EUR'!$A$3,"Mese",4,"Tipologia",$A139,"Viaggio",$A$131)),0,GETPIVOTDATA("Somma di AVERE",'Pivot RakBank EUR'!$A$3,"Mese",4,"Tipologia",$A139,"Viaggio",$A$131))
+IF(ISERROR(GETPIVOTDATA("Somma di DARE EUR",'Pivot RakBank AED'!$A$3,"Mese",4,"Tipologia",$A139,"Viaggio",$A$131)),0,GETPIVOTDATA("Somma di DARE EUR",'Pivot RakBank AED'!$A$3,"Mese",4,"Tipologia",$A139,"Viaggio",$A$131))
-IF(ISERROR(GETPIVOTDATA("Somma di AVERE EUR",'Pivot RakBank AED'!$A$3,"Mese",4,"Tipologia",$A139,"Viaggio",$A$131)),0,GETPIVOTDATA("Somma di AVERE EUR",'Pivot RakBank AED'!$A$3,"Mese",4,"Tipologia",$A139,"Viaggio",$A$131))</f>
        <v>0</v>
      </c>
      <c r="G139" s="270">
        <f>IF(ISERROR(GETPIVOTDATA("Somma di DARE",'Pivot Fineco Sa'!$A$3,"Mese",5,"Tipologia",$A139,"Viaggio",$A$131)),0,GETPIVOTDATA("Somma di DARE",'Pivot Fineco Sa'!$A$3,"Mese",5,"Tipologia",$A139,"Viaggio",$A$131))
+IF(ISERROR(GETPIVOTDATA("Somma di DARE",'Pivot Fineco St'!$A$3,"Mese",5,"Tipologia",$A139,"Viaggio",$A$131)),0,GETPIVOTDATA("Somma di DARE",'Pivot Fineco St'!$A$3,"Mese",5,"Tipologia",$A139,"Viaggio",$A$131))
+IF(Contanti!$U46='Conto Economico'!$A$131,Contanti!$R46)
+IF(ISERROR(GETPIVOTDATA("Somma di DARE",'Pivot BBVA'!$A$3,"Mese",5,"Tipologia",$A139,"Viaggio",$A$131)),0,GETPIVOTDATA("Somma di DARE",'Pivot BBVA'!$A$3,"Mese",5,"Tipologia",$A139,"Viaggio",$A$131))
+IF(ISERROR(GETPIVOTDATA("Somma di DARE",'Pivot Amex'!$A$3,"Mese",5,"Tipologia",$A139,"Viaggio",$A$131)),0,GETPIVOTDATA("Somma di DARE",'Pivot Amex'!$A$3,"Mese",5,"Tipologia",$A139,"Viaggio",$A$131))
-IF(ISERROR(GETPIVOTDATA("Somma di AVERE",'Pivot Amex'!$A$3,"Mese",5,"Tipologia",$A139,"Viaggio",$A$131)),0,GETPIVOTDATA("Somma di AVERE",'Pivot Amex'!$A$3,"Mese",5,"Tipologia",$A139,"Viaggio",$A$131))
-IF(ISERROR(GETPIVOTDATA("Somma di AVERE",'Pivot BBVA'!$A$3,"Mese",5,"Tipologia",$A139,"Viaggio",$A$131)),0,GETPIVOTDATA("Somma di AVERE",'Pivot BBVA'!$A$3,"Mese",5,"Tipologia",$A139,"Viaggio",$A$131))
-IF(ISERROR(GETPIVOTDATA("Somma di AVERE",'Pivot Fineco St'!$A$3,"Mese",5,"Tipologia",$A139,"Viaggio",$A$131)),0,GETPIVOTDATA("Somma di AVERE",'Pivot Fineco St'!$A$3,"Mese",5,"Tipologia",$A139,"Viaggio",$A$131))
-IF(ISERROR(GETPIVOTDATA("Somma di AVERE",'Pivot Fineco Sa'!$A$3,"Mese",5,"Tipologia",$A139,"Viaggio",$A$131)),0,GETPIVOTDATA("Somma di AVERE",'Pivot Fineco Sa'!$A$3,"Mese",5,"Tipologia",$A139,"Viaggio",$A$131))
+IF(ISERROR(GETPIVOTDATA("Somma di DARE",'Pivot PP Visa'!$A$3,"Mese",5,"Tipologia",$A139,"Viaggio",$A$131)),0,GETPIVOTDATA("Somma di DARE",'Pivot PP Visa'!$A$3,"Mese",5,"Tipologia",$A139,"Viaggio",$A$131))
-IF(ISERROR(GETPIVOTDATA("Somma di AVERE",'Pivot PP Visa'!$A$3,"Mese",5,"Tipologia",$A139,"Viaggio",$A$131)),0,GETPIVOTDATA("Somma di AVERE",'Pivot PP Visa'!$A$3,"Mese",5,"Tipologia",$A139,"Viaggio",$A$131))
+IF(ISERROR(GETPIVOTDATA("Somma di DARE",'Pivot Revolut'!$A$3,"Mese",5,"Tipologia",$A139,"Viaggio",$A$131)),0,GETPIVOTDATA("Somma di DARE",'Pivot Revolut'!$A$3,"Mese",5,"Tipologia",$A139,"Viaggio",$A$131))
-IF(ISERROR(GETPIVOTDATA("Somma di AVERE",'Pivot Revolut'!$A$3,"Mese",5,"Tipologia",$A139,"Viaggio",$A$131)),0,GETPIVOTDATA("Somma di AVERE",'Pivot Revolut'!$A$3,"Mese",5,"Tipologia",$A139,"Viaggio",$A$131))
+IF(ISERROR(GETPIVOTDATA("Somma di DARE",'Pivot RakBank EUR'!$A$3,"Mese",5,"Tipologia",$A139,"Viaggio",$A$131)),0,GETPIVOTDATA("Somma di DARE",'Pivot RakBank EUR'!$A$3,"Mese",5,"Tipologia",$A139,"Viaggio",$A$131))
-IF(ISERROR(GETPIVOTDATA("Somma di AVERE",'Pivot RakBank EUR'!$A$3,"Mese",5,"Tipologia",$A139,"Viaggio",$A$131)),0,GETPIVOTDATA("Somma di AVERE",'Pivot RakBank EUR'!$A$3,"Mese",5,"Tipologia",$A139,"Viaggio",$A$131))
+IF(ISERROR(GETPIVOTDATA("Somma di DARE EUR",'Pivot RakBank AED'!$A$3,"Mese",5,"Tipologia",$A139,"Viaggio",$A$131)),0,GETPIVOTDATA("Somma di DARE EUR",'Pivot RakBank AED'!$A$3,"Mese",5,"Tipologia",$A139,"Viaggio",$A$131))
-IF(ISERROR(GETPIVOTDATA("Somma di AVERE EUR",'Pivot RakBank AED'!$A$3,"Mese",5,"Tipologia",$A139,"Viaggio",$A$131)),0,GETPIVOTDATA("Somma di AVERE EUR",'Pivot RakBank AED'!$A$3,"Mese",5,"Tipologia",$A139,"Viaggio",$A$131))</f>
        <v>0</v>
      </c>
      <c r="H139" s="270">
        <f>IF(ISERROR(GETPIVOTDATA("Somma di DARE",'Pivot Fineco Sa'!$A$3,"Mese",6,"Tipologia",$A139,"Viaggio",$A$131)),0,GETPIVOTDATA("Somma di DARE",'Pivot Fineco Sa'!$A$3,"Mese",6,"Tipologia",$A139,"Viaggio",$A$131))
+IF(ISERROR(GETPIVOTDATA("Somma di DARE",'Pivot Fineco St'!$A$3,"Mese",6,"Tipologia",$A139,"Viaggio",$A$131)),0,GETPIVOTDATA("Somma di DARE",'Pivot Fineco St'!$A$3,"Mese",6,"Tipologia",$A139,"Viaggio",$A$131))
+IF(Contanti!$Y46='Conto Economico'!$A$131,Contanti!$V46)
+IF(ISERROR(GETPIVOTDATA("Somma di DARE",'Pivot BBVA'!$A$3,"Mese",6,"Tipologia",$A139,"Viaggio",$A$131)),0,GETPIVOTDATA("Somma di DARE",'Pivot BBVA'!$A$3,"Mese",6,"Tipologia",$A139,"Viaggio",$A$131))
+IF(ISERROR(GETPIVOTDATA("Somma di DARE",'Pivot Amex'!$A$3,"Mese",6,"Tipologia",$A139,"Viaggio",$A$131)),0,GETPIVOTDATA("Somma di DARE",'Pivot Amex'!$A$3,"Mese",6,"Tipologia",$A139,"Viaggio",$A$131))
-IF(ISERROR(GETPIVOTDATA("Somma di AVERE",'Pivot Amex'!$A$3,"Mese",6,"Tipologia",$A139,"Viaggio",$A$131)),0,GETPIVOTDATA("Somma di AVERE",'Pivot Amex'!$A$3,"Mese",6,"Tipologia",$A139,"Viaggio",$A$131))
-IF(ISERROR(GETPIVOTDATA("Somma di AVERE",'Pivot BBVA'!$A$3,"Mese",6,"Tipologia",$A139,"Viaggio",$A$131)),0,GETPIVOTDATA("Somma di AVERE",'Pivot BBVA'!$A$3,"Mese",6,"Tipologia",$A139,"Viaggio",$A$131))
-IF(ISERROR(GETPIVOTDATA("Somma di AVERE",'Pivot Fineco St'!$A$3,"Mese",6,"Tipologia",$A139,"Viaggio",$A$131)),0,GETPIVOTDATA("Somma di AVERE",'Pivot Fineco St'!$A$3,"Mese",6,"Tipologia",$A139,"Viaggio",$A$131))
-IF(ISERROR(GETPIVOTDATA("Somma di AVERE",'Pivot Fineco Sa'!$A$3,"Mese",6,"Tipologia",$A139,"Viaggio",$A$131)),0,GETPIVOTDATA("Somma di AVERE",'Pivot Fineco Sa'!$A$3,"Mese",6,"Tipologia",$A139,"Viaggio",$A$131))
+IF(ISERROR(GETPIVOTDATA("Somma di DARE",'Pivot PP Visa'!$A$3,"Mese",6,"Tipologia",$A139,"Viaggio",$A$131)),0,GETPIVOTDATA("Somma di DARE",'Pivot PP Visa'!$A$3,"Mese",6,"Tipologia",$A139,"Viaggio",$A$131))
-IF(ISERROR(GETPIVOTDATA("Somma di AVERE",'Pivot PP Visa'!$A$3,"Mese",6,"Tipologia",$A139,"Viaggio",$A$131)),0,GETPIVOTDATA("Somma di AVERE",'Pivot PP Visa'!$A$3,"Mese",6,"Tipologia",$A139,"Viaggio",$A$131))
+IF(ISERROR(GETPIVOTDATA("Somma di DARE",'Pivot Revolut'!$A$3,"Mese",6,"Tipologia",$A139,"Viaggio",$A$131)),0,GETPIVOTDATA("Somma di DARE",'Pivot Revolut'!$A$3,"Mese",6,"Tipologia",$A139,"Viaggio",$A$131))
-IF(ISERROR(GETPIVOTDATA("Somma di AVERE",'Pivot Revolut'!$A$3,"Mese",6,"Tipologia",$A139,"Viaggio",$A$131)),0,GETPIVOTDATA("Somma di AVERE",'Pivot Revolut'!$A$3,"Mese",6,"Tipologia",$A139,"Viaggio",$A$131))
+IF(ISERROR(GETPIVOTDATA("Somma di DARE",'Pivot RakBank EUR'!$A$3,"Mese",6,"Tipologia",$A139,"Viaggio",$A$131)),0,GETPIVOTDATA("Somma di DARE",'Pivot RakBank EUR'!$A$3,"Mese",6,"Tipologia",$A139,"Viaggio",$A$131))
-IF(ISERROR(GETPIVOTDATA("Somma di AVERE",'Pivot RakBank EUR'!$A$3,"Mese",6,"Tipologia",$A139,"Viaggio",$A$131)),0,GETPIVOTDATA("Somma di AVERE",'Pivot RakBank EUR'!$A$3,"Mese",6,"Tipologia",$A139,"Viaggio",$A$131))
+IF(ISERROR(GETPIVOTDATA("Somma di DARE EUR",'Pivot RakBank AED'!$A$3,"Mese",6,"Tipologia",$A139,"Viaggio",$A$131)),0,GETPIVOTDATA("Somma di DARE EUR",'Pivot RakBank AED'!$A$3,"Mese",6,"Tipologia",$A139,"Viaggio",$A$131))
-IF(ISERROR(GETPIVOTDATA("Somma di AVERE EUR",'Pivot RakBank AED'!$A$3,"Mese",6,"Tipologia",$A139,"Viaggio",$A$131)),0,GETPIVOTDATA("Somma di AVERE EUR",'Pivot RakBank AED'!$A$3,"Mese",6,"Tipologia",$A139,"Viaggio",$A$131))</f>
        <v>0</v>
      </c>
      <c r="I139" s="270">
        <f>IF(ISERROR(GETPIVOTDATA("Somma di DARE",'Pivot Fineco Sa'!$A$3,"Mese",7,"Tipologia",$A139,"Viaggio",$A$131)),0,GETPIVOTDATA("Somma di DARE",'Pivot Fineco Sa'!$A$3,"Mese",7,"Tipologia",$A139,"Viaggio",$A$131))
+IF(ISERROR(GETPIVOTDATA("Somma di DARE",'Pivot Fineco St'!$A$3,"Mese",7,"Tipologia",$A139,"Viaggio",$A$131)),0,GETPIVOTDATA("Somma di DARE",'Pivot Fineco St'!$A$3,"Mese",7,"Tipologia",$A139,"Viaggio",$A$131))
+IF(Contanti!$AC46='Conto Economico'!$A$131,Contanti!$Z46)
+IF(ISERROR(GETPIVOTDATA("Somma di DARE",'Pivot BBVA'!$A$3,"Mese",7,"Tipologia",$A139,"Viaggio",$A$131)),0,GETPIVOTDATA("Somma di DARE",'Pivot BBVA'!$A$3,"Mese",7,"Tipologia",$A139,"Viaggio",$A$131))
+IF(ISERROR(GETPIVOTDATA("Somma di DARE",'Pivot Amex'!$A$3,"Mese",7,"Tipologia",$A139,"Viaggio",$A$131)),0,GETPIVOTDATA("Somma di DARE",'Pivot Amex'!$A$3,"Mese",7,"Tipologia",$A139,"Viaggio",$A$131))
-IF(ISERROR(GETPIVOTDATA("Somma di AVERE",'Pivot Amex'!$A$3,"Mese",7,"Tipologia",$A139,"Viaggio",$A$131)),0,GETPIVOTDATA("Somma di AVERE",'Pivot Amex'!$A$3,"Mese",7,"Tipologia",$A139,"Viaggio",$A$131))
-IF(ISERROR(GETPIVOTDATA("Somma di AVERE",'Pivot BBVA'!$A$3,"Mese",7,"Tipologia",$A139,"Viaggio",$A$131)),0,GETPIVOTDATA("Somma di AVERE",'Pivot BBVA'!$A$3,"Mese",7,"Tipologia",$A139,"Viaggio",$A$131))
-IF(ISERROR(GETPIVOTDATA("Somma di AVERE",'Pivot Fineco St'!$A$3,"Mese",7,"Tipologia",$A139,"Viaggio",$A$131)),0,GETPIVOTDATA("Somma di AVERE",'Pivot Fineco St'!$A$3,"Mese",7,"Tipologia",$A139,"Viaggio",$A$131))
-IF(ISERROR(GETPIVOTDATA("Somma di AVERE",'Pivot Fineco Sa'!$A$3,"Mese",7,"Tipologia",$A139,"Viaggio",$A$131)),0,GETPIVOTDATA("Somma di AVERE",'Pivot Fineco Sa'!$A$3,"Mese",7,"Tipologia",$A139,"Viaggio",$A$131))
+IF(ISERROR(GETPIVOTDATA("Somma di DARE",'Pivot PP Visa'!$A$3,"Mese",7,"Tipologia",$A139,"Viaggio",$A$131)),0,GETPIVOTDATA("Somma di DARE",'Pivot PP Visa'!$A$3,"Mese",7,"Tipologia",$A139,"Viaggio",$A$131))
-IF(ISERROR(GETPIVOTDATA("Somma di AVERE",'Pivot PP Visa'!$A$3,"Mese",7,"Tipologia",$A139,"Viaggio",$A$131)),0,GETPIVOTDATA("Somma di AVERE",'Pivot PP Visa'!$A$3,"Mese",7,"Tipologia",$A139,"Viaggio",$A$131))
+IF(ISERROR(GETPIVOTDATA("Somma di DARE",'Pivot Revolut'!$A$3,"Mese",7,"Tipologia",$A139,"Viaggio",$A$131)),0,GETPIVOTDATA("Somma di DARE",'Pivot Revolut'!$A$3,"Mese",7,"Tipologia",$A139,"Viaggio",$A$131))
-IF(ISERROR(GETPIVOTDATA("Somma di AVERE",'Pivot Revolut'!$A$3,"Mese",7,"Tipologia",$A139,"Viaggio",$A$131)),0,GETPIVOTDATA("Somma di AVERE",'Pivot Revolut'!$A$3,"Mese",7,"Tipologia",$A139,"Viaggio",$A$131))
+IF(ISERROR(GETPIVOTDATA("Somma di DARE",'Pivot RakBank EUR'!$A$3,"Mese",7,"Tipologia",$A139,"Viaggio",$A$131)),0,GETPIVOTDATA("Somma di DARE",'Pivot RakBank EUR'!$A$3,"Mese",7,"Tipologia",$A139,"Viaggio",$A$131))
-IF(ISERROR(GETPIVOTDATA("Somma di AVERE",'Pivot RakBank EUR'!$A$3,"Mese",7,"Tipologia",$A139,"Viaggio",$A$131)),0,GETPIVOTDATA("Somma di AVERE",'Pivot RakBank EUR'!$A$3,"Mese",7,"Tipologia",$A139,"Viaggio",$A$131))
+IF(ISERROR(GETPIVOTDATA("Somma di DARE EUR",'Pivot RakBank AED'!$A$3,"Mese",7,"Tipologia",$A139,"Viaggio",$A$131)),0,GETPIVOTDATA("Somma di DARE EUR",'Pivot RakBank AED'!$A$3,"Mese",7,"Tipologia",$A139,"Viaggio",$A$131))
-IF(ISERROR(GETPIVOTDATA("Somma di AVERE EUR",'Pivot RakBank AED'!$A$3,"Mese",7,"Tipologia",$A139,"Viaggio",$A$131)),0,GETPIVOTDATA("Somma di AVERE EUR",'Pivot RakBank AED'!$A$3,"Mese",7,"Tipologia",$A139,"Viaggio",$A$131))</f>
        <v>0</v>
      </c>
      <c r="J139" s="270">
        <f>IF(ISERROR(GETPIVOTDATA("Somma di DARE",'Pivot Fineco Sa'!$A$3,"Mese",8,"Tipologia",$A139,"Viaggio",$A$131)),0,GETPIVOTDATA("Somma di DARE",'Pivot Fineco Sa'!$A$3,"Mese",8,"Tipologia",$A139,"Viaggio",$A$131))
+IF(ISERROR(GETPIVOTDATA("Somma di DARE",'Pivot Fineco St'!$A$3,"Mese",8,"Tipologia",$A139,"Viaggio",$A$131)),0,GETPIVOTDATA("Somma di DARE",'Pivot Fineco St'!$A$3,"Mese",8,"Tipologia",$A139,"Viaggio",$A$131))
+IF(Contanti!$AG46='Conto Economico'!$A$131,Contanti!$AD46)
+IF(ISERROR(GETPIVOTDATA("Somma di DARE",'Pivot BBVA'!$A$3,"Mese",8,"Tipologia",$A139,"Viaggio",$A$131)),0,GETPIVOTDATA("Somma di DARE",'Pivot BBVA'!$A$3,"Mese",8,"Tipologia",$A139,"Viaggio",$A$131))
+IF(ISERROR(GETPIVOTDATA("Somma di DARE",'Pivot Amex'!$A$3,"Mese",8,"Tipologia",$A139,"Viaggio",$A$131)),0,GETPIVOTDATA("Somma di DARE",'Pivot Amex'!$A$3,"Mese",8,"Tipologia",$A139,"Viaggio",$A$131))
-IF(ISERROR(GETPIVOTDATA("Somma di AVERE",'Pivot Amex'!$A$3,"Mese",8,"Tipologia",$A139,"Viaggio",$A$131)),0,GETPIVOTDATA("Somma di AVERE",'Pivot Amex'!$A$3,"Mese",8,"Tipologia",$A139,"Viaggio",$A$131))
-IF(ISERROR(GETPIVOTDATA("Somma di AVERE",'Pivot BBVA'!$A$3,"Mese",8,"Tipologia",$A139,"Viaggio",$A$131)),0,GETPIVOTDATA("Somma di AVERE",'Pivot BBVA'!$A$3,"Mese",8,"Tipologia",$A139,"Viaggio",$A$131))
-IF(ISERROR(GETPIVOTDATA("Somma di AVERE",'Pivot Fineco St'!$A$3,"Mese",8,"Tipologia",$A139,"Viaggio",$A$131)),0,GETPIVOTDATA("Somma di AVERE",'Pivot Fineco St'!$A$3,"Mese",8,"Tipologia",$A139,"Viaggio",$A$131))
-IF(ISERROR(GETPIVOTDATA("Somma di AVERE",'Pivot Fineco Sa'!$A$3,"Mese",8,"Tipologia",$A139,"Viaggio",$A$131)),0,GETPIVOTDATA("Somma di AVERE",'Pivot Fineco Sa'!$A$3,"Mese",8,"Tipologia",$A139,"Viaggio",$A$131))
+IF(ISERROR(GETPIVOTDATA("Somma di DARE",'Pivot PP Visa'!$A$3,"Mese",8,"Tipologia",$A139,"Viaggio",$A$131)),0,GETPIVOTDATA("Somma di DARE",'Pivot PP Visa'!$A$3,"Mese",8,"Tipologia",$A139,"Viaggio",$A$131))
-IF(ISERROR(GETPIVOTDATA("Somma di AVERE",'Pivot PP Visa'!$A$3,"Mese",8,"Tipologia",$A139,"Viaggio",$A$131)),0,GETPIVOTDATA("Somma di AVERE",'Pivot PP Visa'!$A$3,"Mese",8,"Tipologia",$A139,"Viaggio",$A$131))
+IF(ISERROR(GETPIVOTDATA("Somma di DARE",'Pivot Revolut'!$A$3,"Mese",8,"Tipologia",$A139,"Viaggio",$A$131)),0,GETPIVOTDATA("Somma di DARE",'Pivot Revolut'!$A$3,"Mese",8,"Tipologia",$A139,"Viaggio",$A$131))
-IF(ISERROR(GETPIVOTDATA("Somma di AVERE",'Pivot Revolut'!$A$3,"Mese",8,"Tipologia",$A139,"Viaggio",$A$131)),0,GETPIVOTDATA("Somma di AVERE",'Pivot Revolut'!$A$3,"Mese",8,"Tipologia",$A139,"Viaggio",$A$131))
+IF(ISERROR(GETPIVOTDATA("Somma di DARE",'Pivot RakBank EUR'!$A$3,"Mese",8,"Tipologia",$A139,"Viaggio",$A$131)),0,GETPIVOTDATA("Somma di DARE",'Pivot RakBank EUR'!$A$3,"Mese",8,"Tipologia",$A139,"Viaggio",$A$131))
-IF(ISERROR(GETPIVOTDATA("Somma di AVERE",'Pivot RakBank EUR'!$A$3,"Mese",8,"Tipologia",$A139,"Viaggio",$A$131)),0,GETPIVOTDATA("Somma di AVERE",'Pivot RakBank EUR'!$A$3,"Mese",8,"Tipologia",$A139,"Viaggio",$A$131))
+IF(ISERROR(GETPIVOTDATA("Somma di DARE EUR",'Pivot RakBank AED'!$A$3,"Mese",8,"Tipologia",$A139,"Viaggio",$A$131)),0,GETPIVOTDATA("Somma di DARE EUR",'Pivot RakBank AED'!$A$3,"Mese",8,"Tipologia",$A139,"Viaggio",$A$131))
-IF(ISERROR(GETPIVOTDATA("Somma di AVERE EUR",'Pivot RakBank AED'!$A$3,"Mese",8,"Tipologia",$A139,"Viaggio",$A$131)),0,GETPIVOTDATA("Somma di AVERE EUR",'Pivot RakBank AED'!$A$3,"Mese",8,"Tipologia",$A139,"Viaggio",$A$131))</f>
        <v>0</v>
      </c>
      <c r="K139" s="270">
        <f>IF(ISERROR(GETPIVOTDATA("Somma di DARE",'Pivot Fineco Sa'!$A$3,"Mese",9,"Tipologia",$A139,"Viaggio",$A$131)),0,GETPIVOTDATA("Somma di DARE",'Pivot Fineco Sa'!$A$3,"Mese",9,"Tipologia",$A139,"Viaggio",$A$131))
+IF(ISERROR(GETPIVOTDATA("Somma di DARE",'Pivot Fineco St'!$A$3,"Mese",9,"Tipologia",$A139,"Viaggio",$A$131)),0,GETPIVOTDATA("Somma di DARE",'Pivot Fineco St'!$A$3,"Mese",9,"Tipologia",$A139,"Viaggio",$A$131))
+IF(Contanti!$AK46='Conto Economico'!$A$131,Contanti!$AH46)
+IF(ISERROR(GETPIVOTDATA("Somma di DARE",'Pivot BBVA'!$A$3,"Mese",9,"Tipologia",$A139,"Viaggio",$A$131)),0,GETPIVOTDATA("Somma di DARE",'Pivot BBVA'!$A$3,"Mese",9,"Tipologia",$A139,"Viaggio",$A$131))
+IF(ISERROR(GETPIVOTDATA("Somma di DARE",'Pivot Amex'!$A$3,"Mese",9,"Tipologia",$A139,"Viaggio",$A$131)),0,GETPIVOTDATA("Somma di DARE",'Pivot Amex'!$A$3,"Mese",9,"Tipologia",$A139,"Viaggio",$A$131))
-IF(ISERROR(GETPIVOTDATA("Somma di AVERE",'Pivot Amex'!$A$3,"Mese",9,"Tipologia",$A139,"Viaggio",$A$131)),0,GETPIVOTDATA("Somma di AVERE",'Pivot Amex'!$A$3,"Mese",9,"Tipologia",$A139,"Viaggio",$A$131))
-IF(ISERROR(GETPIVOTDATA("Somma di AVERE",'Pivot BBVA'!$A$3,"Mese",9,"Tipologia",$A139,"Viaggio",$A$131)),0,GETPIVOTDATA("Somma di AVERE",'Pivot BBVA'!$A$3,"Mese",9,"Tipologia",$A139,"Viaggio",$A$131))
-IF(ISERROR(GETPIVOTDATA("Somma di AVERE",'Pivot Fineco St'!$A$3,"Mese",9,"Tipologia",$A139,"Viaggio",$A$131)),0,GETPIVOTDATA("Somma di AVERE",'Pivot Fineco St'!$A$3,"Mese",9,"Tipologia",$A139,"Viaggio",$A$131))
-IF(ISERROR(GETPIVOTDATA("Somma di AVERE",'Pivot Fineco Sa'!$A$3,"Mese",9,"Tipologia",$A139,"Viaggio",$A$131)),0,GETPIVOTDATA("Somma di AVERE",'Pivot Fineco Sa'!$A$3,"Mese",9,"Tipologia",$A139,"Viaggio",$A$131))
+IF(ISERROR(GETPIVOTDATA("Somma di DARE",'Pivot PP Visa'!$A$3,"Mese",9,"Tipologia",$A139,"Viaggio",$A$131)),0,GETPIVOTDATA("Somma di DARE",'Pivot PP Visa'!$A$3,"Mese",9,"Tipologia",$A139,"Viaggio",$A$131))
-IF(ISERROR(GETPIVOTDATA("Somma di AVERE",'Pivot PP Visa'!$A$3,"Mese",9,"Tipologia",$A139,"Viaggio",$A$131)),0,GETPIVOTDATA("Somma di AVERE",'Pivot PP Visa'!$A$3,"Mese",9,"Tipologia",$A139,"Viaggio",$A$131))
+IF(ISERROR(GETPIVOTDATA("Somma di DARE",'Pivot Revolut'!$A$3,"Mese",9,"Tipologia",$A139,"Viaggio",$A$131)),0,GETPIVOTDATA("Somma di DARE",'Pivot Revolut'!$A$3,"Mese",9,"Tipologia",$A139,"Viaggio",$A$131))
-IF(ISERROR(GETPIVOTDATA("Somma di AVERE",'Pivot Revolut'!$A$3,"Mese",9,"Tipologia",$A139,"Viaggio",$A$131)),0,GETPIVOTDATA("Somma di AVERE",'Pivot Revolut'!$A$3,"Mese",9,"Tipologia",$A139,"Viaggio",$A$131))
+IF(ISERROR(GETPIVOTDATA("Somma di DARE",'Pivot RakBank EUR'!$A$3,"Mese",9,"Tipologia",$A139,"Viaggio",$A$131)),0,GETPIVOTDATA("Somma di DARE",'Pivot RakBank EUR'!$A$3,"Mese",9,"Tipologia",$A139,"Viaggio",$A$131))
-IF(ISERROR(GETPIVOTDATA("Somma di AVERE",'Pivot RakBank EUR'!$A$3,"Mese",9,"Tipologia",$A139,"Viaggio",$A$131)),0,GETPIVOTDATA("Somma di AVERE",'Pivot RakBank EUR'!$A$3,"Mese",9,"Tipologia",$A139,"Viaggio",$A$131))
+IF(ISERROR(GETPIVOTDATA("Somma di DARE EUR",'Pivot RakBank AED'!$A$3,"Mese",9,"Tipologia",$A139,"Viaggio",$A$131)),0,GETPIVOTDATA("Somma di DARE EUR",'Pivot RakBank AED'!$A$3,"Mese",9,"Tipologia",$A139,"Viaggio",$A$131))
-IF(ISERROR(GETPIVOTDATA("Somma di AVERE EUR",'Pivot RakBank AED'!$A$3,"Mese",9,"Tipologia",$A139,"Viaggio",$A$131)),0,GETPIVOTDATA("Somma di AVERE EUR",'Pivot RakBank AED'!$A$3,"Mese",9,"Tipologia",$A139,"Viaggio",$A$131))</f>
        <v>0</v>
      </c>
      <c r="L139" s="270">
        <f>IF(ISERROR(GETPIVOTDATA("Somma di DARE",'Pivot Fineco Sa'!$A$3,"Mese",10,"Tipologia",$A139,"Viaggio",$A$131)),0,GETPIVOTDATA("Somma di DARE",'Pivot Fineco Sa'!$A$3,"Mese",10,"Tipologia",$A139,"Viaggio",$A$131))
+IF(ISERROR(GETPIVOTDATA("Somma di DARE",'Pivot Fineco St'!$A$3,"Mese",10,"Tipologia",$A139,"Viaggio",$A$131)),0,GETPIVOTDATA("Somma di DARE",'Pivot Fineco St'!$A$3,"Mese",10,"Tipologia",$A139,"Viaggio",$A$131))
+IF(Contanti!$AO46='Conto Economico'!$A$131,Contanti!$AL46)
+IF(ISERROR(GETPIVOTDATA("Somma di DARE",'Pivot BBVA'!$A$3,"Mese",10,"Tipologia",$A139,"Viaggio",$A$131)),0,GETPIVOTDATA("Somma di DARE",'Pivot BBVA'!$A$3,"Mese",10,"Tipologia",$A139,"Viaggio",$A$131))
+IF(ISERROR(GETPIVOTDATA("Somma di DARE",'Pivot Amex'!$A$3,"Mese",10,"Tipologia",$A139,"Viaggio",$A$131)),0,GETPIVOTDATA("Somma di DARE",'Pivot Amex'!$A$3,"Mese",10,"Tipologia",$A139,"Viaggio",$A$131))
-IF(ISERROR(GETPIVOTDATA("Somma di AVERE",'Pivot Amex'!$A$3,"Mese",10,"Tipologia",$A139,"Viaggio",$A$131)),0,GETPIVOTDATA("Somma di AVERE",'Pivot Amex'!$A$3,"Mese",10,"Tipologia",$A139,"Viaggio",$A$131))
-IF(ISERROR(GETPIVOTDATA("Somma di AVERE",'Pivot BBVA'!$A$3,"Mese",10,"Tipologia",$A139,"Viaggio",$A$131)),0,GETPIVOTDATA("Somma di AVERE",'Pivot BBVA'!$A$3,"Mese",10,"Tipologia",$A139,"Viaggio",$A$131))
-IF(ISERROR(GETPIVOTDATA("Somma di AVERE",'Pivot Fineco St'!$A$3,"Mese",10,"Tipologia",$A139,"Viaggio",$A$131)),0,GETPIVOTDATA("Somma di AVERE",'Pivot Fineco St'!$A$3,"Mese",10,"Tipologia",$A139,"Viaggio",$A$131))
-IF(ISERROR(GETPIVOTDATA("Somma di AVERE",'Pivot Fineco Sa'!$A$3,"Mese",10,"Tipologia",$A139,"Viaggio",$A$131)),0,GETPIVOTDATA("Somma di AVERE",'Pivot Fineco Sa'!$A$3,"Mese",10,"Tipologia",$A139,"Viaggio",$A$131))
+IF(ISERROR(GETPIVOTDATA("Somma di DARE",'Pivot PP Visa'!$A$3,"Mese",10,"Tipologia",$A139,"Viaggio",$A$131)),0,GETPIVOTDATA("Somma di DARE",'Pivot PP Visa'!$A$3,"Mese",10,"Tipologia",$A139,"Viaggio",$A$131))
-IF(ISERROR(GETPIVOTDATA("Somma di AVERE",'Pivot PP Visa'!$A$3,"Mese",10,"Tipologia",$A139,"Viaggio",$A$131)),0,GETPIVOTDATA("Somma di AVERE",'Pivot PP Visa'!$A$3,"Mese",10,"Tipologia",$A139,"Viaggio",$A$131))
+IF(ISERROR(GETPIVOTDATA("Somma di DARE",'Pivot Revolut'!$A$3,"Mese",10,"Tipologia",$A139,"Viaggio",$A$131)),0,GETPIVOTDATA("Somma di DARE",'Pivot Revolut'!$A$3,"Mese",10,"Tipologia",$A139,"Viaggio",$A$131))
-IF(ISERROR(GETPIVOTDATA("Somma di AVERE",'Pivot Revolut'!$A$3,"Mese",10,"Tipologia",$A139,"Viaggio",$A$131)),0,GETPIVOTDATA("Somma di AVERE",'Pivot Revolut'!$A$3,"Mese",10,"Tipologia",$A139,"Viaggio",$A$131))
+IF(ISERROR(GETPIVOTDATA("Somma di DARE",'Pivot RakBank EUR'!$A$3,"Mese",10,"Tipologia",$A139,"Viaggio",$A$131)),0,GETPIVOTDATA("Somma di DARE",'Pivot RakBank EUR'!$A$3,"Mese",10,"Tipologia",$A139,"Viaggio",$A$131))
-IF(ISERROR(GETPIVOTDATA("Somma di AVERE",'Pivot RakBank EUR'!$A$3,"Mese",10,"Tipologia",$A139,"Viaggio",$A$131)),0,GETPIVOTDATA("Somma di AVERE",'Pivot RakBank EUR'!$A$3,"Mese",10,"Tipologia",$A139,"Viaggio",$A$131))
+IF(ISERROR(GETPIVOTDATA("Somma di DARE EUR",'Pivot RakBank AED'!$A$3,"Mese",10,"Tipologia",$A139,"Viaggio",$A$131)),0,GETPIVOTDATA("Somma di DARE EUR",'Pivot RakBank AED'!$A$3,"Mese",10,"Tipologia",$A139,"Viaggio",$A$131))
-IF(ISERROR(GETPIVOTDATA("Somma di AVERE EUR",'Pivot RakBank AED'!$A$3,"Mese",10,"Tipologia",$A139,"Viaggio",$A$131)),0,GETPIVOTDATA("Somma di AVERE EUR",'Pivot RakBank AED'!$A$3,"Mese",10,"Tipologia",$A139,"Viaggio",$A$131))</f>
        <v>0</v>
      </c>
      <c r="M139" s="270">
        <f>IF(ISERROR(GETPIVOTDATA("Somma di DARE",'Pivot Fineco Sa'!$A$3,"Mese",11,"Tipologia",$A139,"Viaggio",$A$131)),0,GETPIVOTDATA("Somma di DARE",'Pivot Fineco Sa'!$A$3,"Mese",11,"Tipologia",$A139,"Viaggio",$A$131))
+IF(ISERROR(GETPIVOTDATA("Somma di DARE",'Pivot Fineco St'!$A$3,"Mese",11,"Tipologia",$A139,"Viaggio",$A$131)),0,GETPIVOTDATA("Somma di DARE",'Pivot Fineco St'!$A$3,"Mese",11,"Tipologia",$A139,"Viaggio",$A$131))
+IF(Contanti!$AS46='Conto Economico'!$A$131,Contanti!$AP46)
+IF(ISERROR(GETPIVOTDATA("Somma di DARE",'Pivot BBVA'!$A$3,"Mese",11,"Tipologia",$A139,"Viaggio",$A$131)),0,GETPIVOTDATA("Somma di DARE",'Pivot BBVA'!$A$3,"Mese",11,"Tipologia",$A139,"Viaggio",$A$131))
+IF(ISERROR(GETPIVOTDATA("Somma di DARE",'Pivot Amex'!$A$3,"Mese",11,"Tipologia",$A139,"Viaggio",$A$131)),0,GETPIVOTDATA("Somma di DARE",'Pivot Amex'!$A$3,"Mese",11,"Tipologia",$A139,"Viaggio",$A$131))
-IF(ISERROR(GETPIVOTDATA("Somma di AVERE",'Pivot Amex'!$A$3,"Mese",11,"Tipologia",$A139,"Viaggio",$A$131)),0,GETPIVOTDATA("Somma di AVERE",'Pivot Amex'!$A$3,"Mese",11,"Tipologia",$A139,"Viaggio",$A$131))
-IF(ISERROR(GETPIVOTDATA("Somma di AVERE",'Pivot BBVA'!$A$3,"Mese",11,"Tipologia",$A139,"Viaggio",$A$131)),0,GETPIVOTDATA("Somma di AVERE",'Pivot BBVA'!$A$3,"Mese",11,"Tipologia",$A139,"Viaggio",$A$131))
-IF(ISERROR(GETPIVOTDATA("Somma di AVERE",'Pivot Fineco St'!$A$3,"Mese",11,"Tipologia",$A139,"Viaggio",$A$131)),0,GETPIVOTDATA("Somma di AVERE",'Pivot Fineco St'!$A$3,"Mese",11,"Tipologia",$A139,"Viaggio",$A$131))
-IF(ISERROR(GETPIVOTDATA("Somma di AVERE",'Pivot Fineco Sa'!$A$3,"Mese",11,"Tipologia",$A139,"Viaggio",$A$131)),0,GETPIVOTDATA("Somma di AVERE",'Pivot Fineco Sa'!$A$3,"Mese",11,"Tipologia",$A139,"Viaggio",$A$131))
+IF(ISERROR(GETPIVOTDATA("Somma di DARE",'Pivot PP Visa'!$A$3,"Mese",11,"Tipologia",$A139,"Viaggio",$A$131)),0,GETPIVOTDATA("Somma di DARE",'Pivot PP Visa'!$A$3,"Mese",11,"Tipologia",$A139,"Viaggio",$A$131))
-IF(ISERROR(GETPIVOTDATA("Somma di AVERE",'Pivot PP Visa'!$A$3,"Mese",11,"Tipologia",$A139,"Viaggio",$A$131)),0,GETPIVOTDATA("Somma di AVERE",'Pivot PP Visa'!$A$3,"Mese",11,"Tipologia",$A139,"Viaggio",$A$131))
+IF(ISERROR(GETPIVOTDATA("Somma di DARE",'Pivot Revolut'!$A$3,"Mese",11,"Tipologia",$A139,"Viaggio",$A$131)),0,GETPIVOTDATA("Somma di DARE",'Pivot Revolut'!$A$3,"Mese",11,"Tipologia",$A139,"Viaggio",$A$131))
-IF(ISERROR(GETPIVOTDATA("Somma di AVERE",'Pivot Revolut'!$A$3,"Mese",11,"Tipologia",$A139,"Viaggio",$A$131)),0,GETPIVOTDATA("Somma di AVERE",'Pivot Revolut'!$A$3,"Mese",11,"Tipologia",$A139,"Viaggio",$A$131))
+IF(ISERROR(GETPIVOTDATA("Somma di DARE",'Pivot RakBank EUR'!$A$3,"Mese",11,"Tipologia",$A139,"Viaggio",$A$131)),0,GETPIVOTDATA("Somma di DARE",'Pivot RakBank EUR'!$A$3,"Mese",11,"Tipologia",$A139,"Viaggio",$A$131))
-IF(ISERROR(GETPIVOTDATA("Somma di AVERE",'Pivot RakBank EUR'!$A$3,"Mese",11,"Tipologia",$A139,"Viaggio",$A$131)),0,GETPIVOTDATA("Somma di AVERE",'Pivot RakBank EUR'!$A$3,"Mese",11,"Tipologia",$A139,"Viaggio",$A$131))
+IF(ISERROR(GETPIVOTDATA("Somma di DARE EUR",'Pivot RakBank AED'!$A$3,"Mese",11,"Tipologia",$A139,"Viaggio",$A$131)),0,GETPIVOTDATA("Somma di DARE EUR",'Pivot RakBank AED'!$A$3,"Mese",11,"Tipologia",$A139,"Viaggio",$A$131))
-IF(ISERROR(GETPIVOTDATA("Somma di AVERE EUR",'Pivot RakBank AED'!$A$3,"Mese",11,"Tipologia",$A139,"Viaggio",$A$131)),0,GETPIVOTDATA("Somma di AVERE EUR",'Pivot RakBank AED'!$A$3,"Mese",11,"Tipologia",$A139,"Viaggio",$A$131))</f>
        <v>0</v>
      </c>
      <c r="N139" s="270">
        <f>IF(ISERROR(GETPIVOTDATA("Somma di DARE",'Pivot Fineco Sa'!$A$3,"Mese",12,"Tipologia",$A139,"Viaggio",$A$131)),0,GETPIVOTDATA("Somma di DARE",'Pivot Fineco Sa'!$A$3,"Mese",12,"Tipologia",$A139,"Viaggio",$A$131))
+IF(ISERROR(GETPIVOTDATA("Somma di DARE",'Pivot Fineco St'!$A$3,"Mese",12,"Tipologia",$A139,"Viaggio",$A$131)),0,GETPIVOTDATA("Somma di DARE",'Pivot Fineco St'!$A$3,"Mese",12,"Tipologia",$A139,"Viaggio",$A$131))
+IF(Contanti!$AW46='Conto Economico'!$A$131,Contanti!$AT46)
+IF(ISERROR(GETPIVOTDATA("Somma di DARE",'Pivot BBVA'!$A$3,"Mese",12,"Tipologia",$A139,"Viaggio",$A$131)),0,GETPIVOTDATA("Somma di DARE",'Pivot BBVA'!$A$3,"Mese",12,"Tipologia",$A139,"Viaggio",$A$131))
+IF(ISERROR(GETPIVOTDATA("Somma di DARE",'Pivot Amex'!$A$3,"Mese",12,"Tipologia",$A139,"Viaggio",$A$131)),0,GETPIVOTDATA("Somma di DARE",'Pivot Amex'!$A$3,"Mese",12,"Tipologia",$A139,"Viaggio",$A$131))
-IF(ISERROR(GETPIVOTDATA("Somma di AVERE",'Pivot Amex'!$A$3,"Mese",12,"Tipologia",$A139,"Viaggio",$A$131)),0,GETPIVOTDATA("Somma di AVERE",'Pivot Amex'!$A$3,"Mese",12,"Tipologia",$A139,"Viaggio",$A$131))
-IF(ISERROR(GETPIVOTDATA("Somma di AVERE",'Pivot BBVA'!$A$3,"Mese",12,"Tipologia",$A139,"Viaggio",$A$131)),0,GETPIVOTDATA("Somma di AVERE",'Pivot BBVA'!$A$3,"Mese",12,"Tipologia",$A139,"Viaggio",$A$131))
-IF(ISERROR(GETPIVOTDATA("Somma di AVERE",'Pivot Fineco St'!$A$3,"Mese",12,"Tipologia",$A139,"Viaggio",$A$131)),0,GETPIVOTDATA("Somma di AVERE",'Pivot Fineco St'!$A$3,"Mese",12,"Tipologia",$A139,"Viaggio",$A$131))
-IF(ISERROR(GETPIVOTDATA("Somma di AVERE",'Pivot Fineco Sa'!$A$3,"Mese",12,"Tipologia",$A139,"Viaggio",$A$131)),0,GETPIVOTDATA("Somma di AVERE",'Pivot Fineco Sa'!$A$3,"Mese",12,"Tipologia",$A139,"Viaggio",$A$131))
+IF(ISERROR(GETPIVOTDATA("Somma di DARE",'Pivot PP Visa'!$A$3,"Mese",12,"Tipologia",$A139,"Viaggio",$A$131)),0,GETPIVOTDATA("Somma di DARE",'Pivot PP Visa'!$A$3,"Mese",12,"Tipologia",$A139,"Viaggio",$A$131))
-IF(ISERROR(GETPIVOTDATA("Somma di AVERE",'Pivot PP Visa'!$A$3,"Mese",12,"Tipologia",$A139,"Viaggio",$A$131)),0,GETPIVOTDATA("Somma di AVERE",'Pivot PP Visa'!$A$3,"Mese",12,"Tipologia",$A139,"Viaggio",$A$131))
+IF(ISERROR(GETPIVOTDATA("Somma di DARE",'Pivot Revolut'!$A$3,"Mese",12,"Tipologia",$A139,"Viaggio",$A$131)),0,GETPIVOTDATA("Somma di DARE",'Pivot Revolut'!$A$3,"Mese",12,"Tipologia",$A139,"Viaggio",$A$131))
-IF(ISERROR(GETPIVOTDATA("Somma di AVERE",'Pivot Revolut'!$A$3,"Mese",12,"Tipologia",$A139,"Viaggio",$A$131)),0,GETPIVOTDATA("Somma di AVERE",'Pivot Revolut'!$A$3,"Mese",12,"Tipologia",$A139,"Viaggio",$A$131))
+IF(ISERROR(GETPIVOTDATA("Somma di DARE",'Pivot RakBank EUR'!$A$3,"Mese",12,"Tipologia",$A139,"Viaggio",$A$131)),0,GETPIVOTDATA("Somma di DARE",'Pivot RakBank EUR'!$A$3,"Mese",12,"Tipologia",$A139,"Viaggio",$A$131))
-IF(ISERROR(GETPIVOTDATA("Somma di AVERE",'Pivot RakBank EUR'!$A$3,"Mese",12,"Tipologia",$A139,"Viaggio",$A$131)),0,GETPIVOTDATA("Somma di AVERE",'Pivot RakBank EUR'!$A$3,"Mese",12,"Tipologia",$A139,"Viaggio",$A$131))
+IF(ISERROR(GETPIVOTDATA("Somma di DARE EUR",'Pivot RakBank AED'!$A$3,"Mese",12,"Tipologia",$A139,"Viaggio",$A$131)),0,GETPIVOTDATA("Somma di DARE EUR",'Pivot RakBank AED'!$A$3,"Mese",12,"Tipologia",$A139,"Viaggio",$A$131))
-IF(ISERROR(GETPIVOTDATA("Somma di AVERE EUR",'Pivot RakBank AED'!$A$3,"Mese",12,"Tipologia",$A139,"Viaggio",$A$131)),0,GETPIVOTDATA("Somma di AVERE EUR",'Pivot RakBank AED'!$A$3,"Mese",12,"Tipologia",$A139,"Viaggio",$A$131))</f>
        <v>0</v>
      </c>
      <c r="O139" s="271">
        <f t="shared" si="17"/>
        <v>182.2</v>
      </c>
      <c r="P139" s="270"/>
    </row>
    <row r="140" spans="1:16" s="131" customFormat="1" ht="14" outlineLevel="1" x14ac:dyDescent="0.2">
      <c r="A140" s="269" t="s">
        <v>101</v>
      </c>
      <c r="B140" s="269"/>
      <c r="C140" s="270">
        <f>IF(ISERROR(GETPIVOTDATA("Somma di DARE",'Pivot Fineco Sa'!$A$3,"Mese",1,"Tipologia",$A140,"Viaggio",$A$131)),0,GETPIVOTDATA("Somma di DARE",'Pivot Fineco Sa'!$A$3,"Mese",1,"Tipologia",$A140,"Viaggio",$A$131))
+IF(ISERROR(GETPIVOTDATA("Somma di DARE",'Pivot Fineco St'!$A$3,"Mese",1,"Tipologia",$A140,"Viaggio",$A$131)),0,GETPIVOTDATA("Somma di DARE",'Pivot Fineco St'!$A$3,"Mese",1,"Tipologia",$A140,"Viaggio",$A$131))
+IF(Contanti!$E47='Conto Economico'!$A$131,Contanti!$B47)
+IF(ISERROR(GETPIVOTDATA("Somma di DARE",'Pivot BBVA'!$A$3,"Mese",1,"Tipologia",$A140,"Viaggio",$A$131)),0,GETPIVOTDATA("Somma di DARE",'Pivot BBVA'!$A$3,"Mese",1,"Tipologia",$A140,"Viaggio",$A$131))
+IF(ISERROR(GETPIVOTDATA("Somma di DARE",'Pivot Amex'!$A$3,"Mese",1,"Tipologia",$A140,"Viaggio",$A$131)),0,GETPIVOTDATA("Somma di DARE",'Pivot Amex'!$A$3,"Mese",1,"Tipologia",$A140,"Viaggio",$A$131))
-IF(ISERROR(GETPIVOTDATA("Somma di AVERE",'Pivot Amex'!$A$3,"Mese",1,"Tipologia",$A140,"Viaggio",$A$131)),0,GETPIVOTDATA("Somma di AVERE",'Pivot Amex'!$A$3,"Mese",1,"Tipologia",$A140,"Viaggio",$A$131))
-IF(ISERROR(GETPIVOTDATA("Somma di AVERE",'Pivot BBVA'!$A$3,"Mese",1,"Tipologia",$A140,"Viaggio",$A$131)),0,GETPIVOTDATA("Somma di AVERE",'Pivot BBVA'!$A$3,"Mese",1,"Tipologia",$A140,"Viaggio",$A$131))
-IF(ISERROR(GETPIVOTDATA("Somma di AVERE",'Pivot Fineco St'!$A$3,"Mese",1,"Tipologia",$A140,"Viaggio",$A$131)),0,GETPIVOTDATA("Somma di AVERE",'Pivot Fineco St'!$A$3,"Mese",1,"Tipologia",$A140,"Viaggio",$A$131))
-IF(ISERROR(GETPIVOTDATA("Somma di AVERE",'Pivot Fineco Sa'!$A$3,"Mese",1,"Tipologia",$A140,"Viaggio",$A$131)),0,GETPIVOTDATA("Somma di AVERE",'Pivot Fineco Sa'!$A$3,"Mese",1,"Tipologia",$A140,"Viaggio",$A$131))
+IF(ISERROR(GETPIVOTDATA("Somma di DARE",'Pivot PP Visa'!$A$3,"Mese",1,"Tipologia",$A140,"Viaggio",$A$131)),0,GETPIVOTDATA("Somma di DARE",'Pivot PP Visa'!$A$3,"Mese",1,"Tipologia",$A140,"Viaggio",$A$131))
-IF(ISERROR(GETPIVOTDATA("Somma di AVERE",'Pivot PP Visa'!$A$3,"Mese",1,"Tipologia",$A140,"Viaggio",$A$131)),0,GETPIVOTDATA("Somma di AVERE",'Pivot PP Visa'!$A$3,"Mese",1,"Tipologia",$A140,"Viaggio",$A$131))
+IF(ISERROR(GETPIVOTDATA("Somma di DARE",'Pivot Revolut'!$A$3,"Mese",1,"Tipologia",$A140,"Viaggio",$A$131)),0,GETPIVOTDATA("Somma di DARE",'Pivot Revolut'!$A$3,"Mese",1,"Tipologia",$A140,"Viaggio",$A$131))
-IF(ISERROR(GETPIVOTDATA("Somma di AVERE",'Pivot Revolut'!$A$3,"Mese",1,"Tipologia",$A140,"Viaggio",$A$131)),0,GETPIVOTDATA("Somma di AVERE",'Pivot Revolut'!$A$3,"Mese",1,"Tipologia",$A140,"Viaggio",$A$131))
+IF(ISERROR(GETPIVOTDATA("Somma di DARE",'Pivot RakBank EUR'!$A$3,"Mese",1,"Tipologia",$A140,"Viaggio",$A$131)),0,GETPIVOTDATA("Somma di DARE",'Pivot RakBank EUR'!$A$3,"Mese",1,"Tipologia",$A140,"Viaggio",$A$131))
-IF(ISERROR(GETPIVOTDATA("Somma di AVERE",'Pivot RakBank EUR'!$A$3,"Mese",1,"Tipologia",$A140,"Viaggio",$A$131)),0,GETPIVOTDATA("Somma di AVERE",'Pivot RakBank EUR'!$A$3,"Mese",1,"Tipologia",$A140,"Viaggio",$A$131))
+IF(ISERROR(GETPIVOTDATA("Somma di DARE EUR",'Pivot RakBank AED'!$A$3,"Mese",1,"Tipologia",$A140,"Viaggio",$A$131)),0,GETPIVOTDATA("Somma di DARE EUR",'Pivot RakBank AED'!$A$3,"Mese",1,"Tipologia",$A140,"Viaggio",$A$131))
-IF(ISERROR(GETPIVOTDATA("Somma di AVERE EUR",'Pivot RakBank AED'!$A$3,"Mese",1,"Tipologia",$A140,"Viaggio",$A$131)),0,GETPIVOTDATA("Somma di AVERE EUR",'Pivot RakBank AED'!$A$3,"Mese",1,"Tipologia",$A140,"Viaggio",$A$131))</f>
        <v>0</v>
      </c>
      <c r="D140" s="270">
        <f>IF(ISERROR(GETPIVOTDATA("Somma di DARE",'Pivot Fineco Sa'!$A$3,"Mese",2,"Tipologia",$A140,"Viaggio",$A$131)),0,GETPIVOTDATA("Somma di DARE",'Pivot Fineco Sa'!$A$3,"Mese",2,"Tipologia",$A140,"Viaggio",$A$131))
+IF(ISERROR(GETPIVOTDATA("Somma di DARE",'Pivot Fineco St'!$A$3,"Mese",2,"Tipologia",$A140,"Viaggio",$A$131)),0,GETPIVOTDATA("Somma di DARE",'Pivot Fineco St'!$A$3,"Mese",2,"Tipologia",$A140,"Viaggio",$A$131))
+IF(Contanti!$I47='Conto Economico'!$A$131,Contanti!$F47)
+IF(ISERROR(GETPIVOTDATA("Somma di DARE",'Pivot BBVA'!$A$3,"Mese",2,"Tipologia",$A140,"Viaggio",$A$131)),0,GETPIVOTDATA("Somma di DARE",'Pivot BBVA'!$A$3,"Mese",2,"Tipologia",$A140,"Viaggio",$A$131))
+IF(ISERROR(GETPIVOTDATA("Somma di DARE",'Pivot Amex'!$A$3,"Mese",2,"Tipologia",$A140,"Viaggio",$A$131)),0,GETPIVOTDATA("Somma di DARE",'Pivot Amex'!$A$3,"Mese",2,"Tipologia",$A140,"Viaggio",$A$131))
-IF(ISERROR(GETPIVOTDATA("Somma di AVERE",'Pivot Amex'!$A$3,"Mese",2,"Tipologia",$A140,"Viaggio",$A$131)),0,GETPIVOTDATA("Somma di AVERE",'Pivot Amex'!$A$3,"Mese",2,"Tipologia",$A140,"Viaggio",$A$131))
-IF(ISERROR(GETPIVOTDATA("Somma di AVERE",'Pivot BBVA'!$A$3,"Mese",2,"Tipologia",$A140,"Viaggio",$A$131)),0,GETPIVOTDATA("Somma di AVERE",'Pivot BBVA'!$A$3,"Mese",2,"Tipologia",$A140,"Viaggio",$A$131))
-IF(ISERROR(GETPIVOTDATA("Somma di AVERE",'Pivot Fineco St'!$A$3,"Mese",2,"Tipologia",$A140,"Viaggio",$A$131)),0,GETPIVOTDATA("Somma di AVERE",'Pivot Fineco St'!$A$3,"Mese",2,"Tipologia",$A140,"Viaggio",$A$131))
-IF(ISERROR(GETPIVOTDATA("Somma di AVERE",'Pivot Fineco Sa'!$A$3,"Mese",2,"Tipologia",$A140,"Viaggio",$A$131)),0,GETPIVOTDATA("Somma di AVERE",'Pivot Fineco Sa'!$A$3,"Mese",2,"Tipologia",$A140,"Viaggio",$A$131))
+IF(ISERROR(GETPIVOTDATA("Somma di DARE",'Pivot PP Visa'!$A$3,"Mese",2,"Tipologia",$A140,"Viaggio",$A$131)),0,GETPIVOTDATA("Somma di DARE",'Pivot PP Visa'!$A$3,"Mese",2,"Tipologia",$A140,"Viaggio",$A$131))
-IF(ISERROR(GETPIVOTDATA("Somma di AVERE",'Pivot PP Visa'!$A$3,"Mese",2,"Tipologia",$A140,"Viaggio",$A$131)),0,GETPIVOTDATA("Somma di AVERE",'Pivot PP Visa'!$A$3,"Mese",2,"Tipologia",$A140,"Viaggio",$A$131))
+IF(ISERROR(GETPIVOTDATA("Somma di DARE",'Pivot Revolut'!$A$3,"Mese",2,"Tipologia",$A140,"Viaggio",$A$131)),0,GETPIVOTDATA("Somma di DARE",'Pivot Revolut'!$A$3,"Mese",2,"Tipologia",$A140,"Viaggio",$A$131))
-IF(ISERROR(GETPIVOTDATA("Somma di AVERE",'Pivot Revolut'!$A$3,"Mese",2,"Tipologia",$A140,"Viaggio",$A$131)),0,GETPIVOTDATA("Somma di AVERE",'Pivot Revolut'!$A$3,"Mese",2,"Tipologia",$A140,"Viaggio",$A$131))
+IF(ISERROR(GETPIVOTDATA("Somma di DARE",'Pivot RakBank EUR'!$A$3,"Mese",2,"Tipologia",$A140,"Viaggio",$A$131)),0,GETPIVOTDATA("Somma di DARE",'Pivot RakBank EUR'!$A$3,"Mese",2,"Tipologia",$A140,"Viaggio",$A$131))
-IF(ISERROR(GETPIVOTDATA("Somma di AVERE",'Pivot RakBank EUR'!$A$3,"Mese",2,"Tipologia",$A140,"Viaggio",$A$131)),0,GETPIVOTDATA("Somma di AVERE",'Pivot RakBank EUR'!$A$3,"Mese",2,"Tipologia",$A140,"Viaggio",$A$131))
+IF(ISERROR(GETPIVOTDATA("Somma di DARE EUR",'Pivot RakBank AED'!$A$3,"Mese",2,"Tipologia",$A140,"Viaggio",$A$131)),0,GETPIVOTDATA("Somma di DARE EUR",'Pivot RakBank AED'!$A$3,"Mese",2,"Tipologia",$A140,"Viaggio",$A$131))
-IF(ISERROR(GETPIVOTDATA("Somma di AVERE EUR",'Pivot RakBank AED'!$A$3,"Mese",2,"Tipologia",$A140,"Viaggio",$A$131)),0,GETPIVOTDATA("Somma di AVERE EUR",'Pivot RakBank AED'!$A$3,"Mese",2,"Tipologia",$A140,"Viaggio",$A$131))</f>
        <v>360</v>
      </c>
      <c r="E140" s="270">
        <f>IF(ISERROR(GETPIVOTDATA("Somma di DARE",'Pivot Fineco Sa'!$A$3,"Mese",3,"Tipologia",$A140,"Viaggio",$A$131)),0,GETPIVOTDATA("Somma di DARE",'Pivot Fineco Sa'!$A$3,"Mese",3,"Tipologia",$A140,"Viaggio",$A$131))
+IF(ISERROR(GETPIVOTDATA("Somma di DARE",'Pivot Fineco St'!$A$3,"Mese",3,"Tipologia",$A140,"Viaggio",$A$131)),0,GETPIVOTDATA("Somma di DARE",'Pivot Fineco St'!$A$3,"Mese",3,"Tipologia",$A140,"Viaggio",$A$131))
+IF(Contanti!$M47='Conto Economico'!$A$131,Contanti!$J47)
+IF(ISERROR(GETPIVOTDATA("Somma di DARE",'Pivot BBVA'!$A$3,"Mese",3,"Tipologia",$A140,"Viaggio",$A$131)),0,GETPIVOTDATA("Somma di DARE",'Pivot BBVA'!$A$3,"Mese",3,"Tipologia",$A140,"Viaggio",$A$131))
+IF(ISERROR(GETPIVOTDATA("Somma di DARE",'Pivot Amex'!$A$3,"Mese",3,"Tipologia",$A140,"Viaggio",$A$131)),0,GETPIVOTDATA("Somma di DARE",'Pivot Amex'!$A$3,"Mese",3,"Tipologia",$A140,"Viaggio",$A$131))
-IF(ISERROR(GETPIVOTDATA("Somma di AVERE",'Pivot Amex'!$A$3,"Mese",3,"Tipologia",$A140,"Viaggio",$A$131)),0,GETPIVOTDATA("Somma di AVERE",'Pivot Amex'!$A$3,"Mese",3,"Tipologia",$A140,"Viaggio",$A$131))
-IF(ISERROR(GETPIVOTDATA("Somma di AVERE",'Pivot BBVA'!$A$3,"Mese",3,"Tipologia",$A140,"Viaggio",$A$131)),0,GETPIVOTDATA("Somma di AVERE",'Pivot BBVA'!$A$3,"Mese",3,"Tipologia",$A140,"Viaggio",$A$131))
-IF(ISERROR(GETPIVOTDATA("Somma di AVERE",'Pivot Fineco St'!$A$3,"Mese",3,"Tipologia",$A140,"Viaggio",$A$131)),0,GETPIVOTDATA("Somma di AVERE",'Pivot Fineco St'!$A$3,"Mese",3,"Tipologia",$A140,"Viaggio",$A$131))
-IF(ISERROR(GETPIVOTDATA("Somma di AVERE",'Pivot Fineco Sa'!$A$3,"Mese",3,"Tipologia",$A140,"Viaggio",$A$131)),0,GETPIVOTDATA("Somma di AVERE",'Pivot Fineco Sa'!$A$3,"Mese",3,"Tipologia",$A140,"Viaggio",$A$131))
+IF(ISERROR(GETPIVOTDATA("Somma di DARE",'Pivot PP Visa'!$A$3,"Mese",3,"Tipologia",$A140,"Viaggio",$A$131)),0,GETPIVOTDATA("Somma di DARE",'Pivot PP Visa'!$A$3,"Mese",3,"Tipologia",$A140,"Viaggio",$A$131))
-IF(ISERROR(GETPIVOTDATA("Somma di AVERE",'Pivot PP Visa'!$A$3,"Mese",3,"Tipologia",$A140,"Viaggio",$A$131)),0,GETPIVOTDATA("Somma di AVERE",'Pivot PP Visa'!$A$3,"Mese",3,"Tipologia",$A140,"Viaggio",$A$131))
+IF(ISERROR(GETPIVOTDATA("Somma di DARE",'Pivot Revolut'!$A$3,"Mese",3,"Tipologia",$A140,"Viaggio",$A$131)),0,GETPIVOTDATA("Somma di DARE",'Pivot Revolut'!$A$3,"Mese",3,"Tipologia",$A140,"Viaggio",$A$131))
-IF(ISERROR(GETPIVOTDATA("Somma di AVERE",'Pivot Revolut'!$A$3,"Mese",3,"Tipologia",$A140,"Viaggio",$A$131)),0,GETPIVOTDATA("Somma di AVERE",'Pivot Revolut'!$A$3,"Mese",3,"Tipologia",$A140,"Viaggio",$A$131))
+IF(ISERROR(GETPIVOTDATA("Somma di DARE",'Pivot RakBank EUR'!$A$3,"Mese",3,"Tipologia",$A140,"Viaggio",$A$131)),0,GETPIVOTDATA("Somma di DARE",'Pivot RakBank EUR'!$A$3,"Mese",3,"Tipologia",$A140,"Viaggio",$A$131))
-IF(ISERROR(GETPIVOTDATA("Somma di AVERE",'Pivot RakBank EUR'!$A$3,"Mese",3,"Tipologia",$A140,"Viaggio",$A$131)),0,GETPIVOTDATA("Somma di AVERE",'Pivot RakBank EUR'!$A$3,"Mese",3,"Tipologia",$A140,"Viaggio",$A$131))
+IF(ISERROR(GETPIVOTDATA("Somma di DARE EUR",'Pivot RakBank AED'!$A$3,"Mese",3,"Tipologia",$A140,"Viaggio",$A$131)),0,GETPIVOTDATA("Somma di DARE EUR",'Pivot RakBank AED'!$A$3,"Mese",3,"Tipologia",$A140,"Viaggio",$A$131))
-IF(ISERROR(GETPIVOTDATA("Somma di AVERE EUR",'Pivot RakBank AED'!$A$3,"Mese",3,"Tipologia",$A140,"Viaggio",$A$131)),0,GETPIVOTDATA("Somma di AVERE EUR",'Pivot RakBank AED'!$A$3,"Mese",3,"Tipologia",$A140,"Viaggio",$A$131))</f>
        <v>0</v>
      </c>
      <c r="F140" s="270">
        <f>IF(ISERROR(GETPIVOTDATA("Somma di DARE",'Pivot Fineco Sa'!$A$3,"Mese",4,"Tipologia",$A140,"Viaggio",$A$131)),0,GETPIVOTDATA("Somma di DARE",'Pivot Fineco Sa'!$A$3,"Mese",4,"Tipologia",$A140,"Viaggio",$A$131))
+IF(ISERROR(GETPIVOTDATA("Somma di DARE",'Pivot Fineco St'!$A$3,"Mese",4,"Tipologia",$A140,"Viaggio",$A$131)),0,GETPIVOTDATA("Somma di DARE",'Pivot Fineco St'!$A$3,"Mese",4,"Tipologia",$A140,"Viaggio",$A$131))
+IF(Contanti!$Q47='Conto Economico'!$A$131,Contanti!$N47)
+IF(ISERROR(GETPIVOTDATA("Somma di DARE",'Pivot BBVA'!$A$3,"Mese",4,"Tipologia",$A140,"Viaggio",$A$131)),0,GETPIVOTDATA("Somma di DARE",'Pivot BBVA'!$A$3,"Mese",4,"Tipologia",$A140,"Viaggio",$A$131))
+IF(ISERROR(GETPIVOTDATA("Somma di DARE",'Pivot Amex'!$A$3,"Mese",4,"Tipologia",$A140,"Viaggio",$A$131)),0,GETPIVOTDATA("Somma di DARE",'Pivot Amex'!$A$3,"Mese",4,"Tipologia",$A140,"Viaggio",$A$131))
-IF(ISERROR(GETPIVOTDATA("Somma di AVERE",'Pivot Amex'!$A$3,"Mese",4,"Tipologia",$A140,"Viaggio",$A$131)),0,GETPIVOTDATA("Somma di AVERE",'Pivot Amex'!$A$3,"Mese",4,"Tipologia",$A140,"Viaggio",$A$131))
-IF(ISERROR(GETPIVOTDATA("Somma di AVERE",'Pivot BBVA'!$A$3,"Mese",4,"Tipologia",$A140,"Viaggio",$A$131)),0,GETPIVOTDATA("Somma di AVERE",'Pivot BBVA'!$A$3,"Mese",4,"Tipologia",$A140,"Viaggio",$A$131))
-IF(ISERROR(GETPIVOTDATA("Somma di AVERE",'Pivot Fineco St'!$A$3,"Mese",4,"Tipologia",$A140,"Viaggio",$A$131)),0,GETPIVOTDATA("Somma di AVERE",'Pivot Fineco St'!$A$3,"Mese",4,"Tipologia",$A140,"Viaggio",$A$131))
-IF(ISERROR(GETPIVOTDATA("Somma di AVERE",'Pivot Fineco Sa'!$A$3,"Mese",4,"Tipologia",$A140,"Viaggio",$A$131)),0,GETPIVOTDATA("Somma di AVERE",'Pivot Fineco Sa'!$A$3,"Mese",4,"Tipologia",$A140,"Viaggio",$A$131))
+IF(ISERROR(GETPIVOTDATA("Somma di DARE",'Pivot PP Visa'!$A$3,"Mese",4,"Tipologia",$A140,"Viaggio",$A$131)),0,GETPIVOTDATA("Somma di DARE",'Pivot PP Visa'!$A$3,"Mese",4,"Tipologia",$A140,"Viaggio",$A$131))
-IF(ISERROR(GETPIVOTDATA("Somma di AVERE",'Pivot PP Visa'!$A$3,"Mese",4,"Tipologia",$A140,"Viaggio",$A$131)),0,GETPIVOTDATA("Somma di AVERE",'Pivot PP Visa'!$A$3,"Mese",4,"Tipologia",$A140,"Viaggio",$A$131))
+IF(ISERROR(GETPIVOTDATA("Somma di DARE",'Pivot Revolut'!$A$3,"Mese",4,"Tipologia",$A140,"Viaggio",$A$131)),0,GETPIVOTDATA("Somma di DARE",'Pivot Revolut'!$A$3,"Mese",4,"Tipologia",$A140,"Viaggio",$A$131))
-IF(ISERROR(GETPIVOTDATA("Somma di AVERE",'Pivot Revolut'!$A$3,"Mese",4,"Tipologia",$A140,"Viaggio",$A$131)),0,GETPIVOTDATA("Somma di AVERE",'Pivot Revolut'!$A$3,"Mese",4,"Tipologia",$A140,"Viaggio",$A$131))
+IF(ISERROR(GETPIVOTDATA("Somma di DARE",'Pivot RakBank EUR'!$A$3,"Mese",4,"Tipologia",$A140,"Viaggio",$A$131)),0,GETPIVOTDATA("Somma di DARE",'Pivot RakBank EUR'!$A$3,"Mese",4,"Tipologia",$A140,"Viaggio",$A$131))
-IF(ISERROR(GETPIVOTDATA("Somma di AVERE",'Pivot RakBank EUR'!$A$3,"Mese",4,"Tipologia",$A140,"Viaggio",$A$131)),0,GETPIVOTDATA("Somma di AVERE",'Pivot RakBank EUR'!$A$3,"Mese",4,"Tipologia",$A140,"Viaggio",$A$131))
+IF(ISERROR(GETPIVOTDATA("Somma di DARE EUR",'Pivot RakBank AED'!$A$3,"Mese",4,"Tipologia",$A140,"Viaggio",$A$131)),0,GETPIVOTDATA("Somma di DARE EUR",'Pivot RakBank AED'!$A$3,"Mese",4,"Tipologia",$A140,"Viaggio",$A$131))
-IF(ISERROR(GETPIVOTDATA("Somma di AVERE EUR",'Pivot RakBank AED'!$A$3,"Mese",4,"Tipologia",$A140,"Viaggio",$A$131)),0,GETPIVOTDATA("Somma di AVERE EUR",'Pivot RakBank AED'!$A$3,"Mese",4,"Tipologia",$A140,"Viaggio",$A$131))</f>
        <v>0</v>
      </c>
      <c r="G140" s="270">
        <f>IF(ISERROR(GETPIVOTDATA("Somma di DARE",'Pivot Fineco Sa'!$A$3,"Mese",5,"Tipologia",$A140,"Viaggio",$A$131)),0,GETPIVOTDATA("Somma di DARE",'Pivot Fineco Sa'!$A$3,"Mese",5,"Tipologia",$A140,"Viaggio",$A$131))
+IF(ISERROR(GETPIVOTDATA("Somma di DARE",'Pivot Fineco St'!$A$3,"Mese",5,"Tipologia",$A140,"Viaggio",$A$131)),0,GETPIVOTDATA("Somma di DARE",'Pivot Fineco St'!$A$3,"Mese",5,"Tipologia",$A140,"Viaggio",$A$131))
+IF(Contanti!$U47='Conto Economico'!$A$131,Contanti!$R47)
+IF(ISERROR(GETPIVOTDATA("Somma di DARE",'Pivot BBVA'!$A$3,"Mese",5,"Tipologia",$A140,"Viaggio",$A$131)),0,GETPIVOTDATA("Somma di DARE",'Pivot BBVA'!$A$3,"Mese",5,"Tipologia",$A140,"Viaggio",$A$131))
+IF(ISERROR(GETPIVOTDATA("Somma di DARE",'Pivot Amex'!$A$3,"Mese",5,"Tipologia",$A140,"Viaggio",$A$131)),0,GETPIVOTDATA("Somma di DARE",'Pivot Amex'!$A$3,"Mese",5,"Tipologia",$A140,"Viaggio",$A$131))
-IF(ISERROR(GETPIVOTDATA("Somma di AVERE",'Pivot Amex'!$A$3,"Mese",5,"Tipologia",$A140,"Viaggio",$A$131)),0,GETPIVOTDATA("Somma di AVERE",'Pivot Amex'!$A$3,"Mese",5,"Tipologia",$A140,"Viaggio",$A$131))
-IF(ISERROR(GETPIVOTDATA("Somma di AVERE",'Pivot BBVA'!$A$3,"Mese",5,"Tipologia",$A140,"Viaggio",$A$131)),0,GETPIVOTDATA("Somma di AVERE",'Pivot BBVA'!$A$3,"Mese",5,"Tipologia",$A140,"Viaggio",$A$131))
-IF(ISERROR(GETPIVOTDATA("Somma di AVERE",'Pivot Fineco St'!$A$3,"Mese",5,"Tipologia",$A140,"Viaggio",$A$131)),0,GETPIVOTDATA("Somma di AVERE",'Pivot Fineco St'!$A$3,"Mese",5,"Tipologia",$A140,"Viaggio",$A$131))
-IF(ISERROR(GETPIVOTDATA("Somma di AVERE",'Pivot Fineco Sa'!$A$3,"Mese",5,"Tipologia",$A140,"Viaggio",$A$131)),0,GETPIVOTDATA("Somma di AVERE",'Pivot Fineco Sa'!$A$3,"Mese",5,"Tipologia",$A140,"Viaggio",$A$131))
+IF(ISERROR(GETPIVOTDATA("Somma di DARE",'Pivot PP Visa'!$A$3,"Mese",5,"Tipologia",$A140,"Viaggio",$A$131)),0,GETPIVOTDATA("Somma di DARE",'Pivot PP Visa'!$A$3,"Mese",5,"Tipologia",$A140,"Viaggio",$A$131))
-IF(ISERROR(GETPIVOTDATA("Somma di AVERE",'Pivot PP Visa'!$A$3,"Mese",5,"Tipologia",$A140,"Viaggio",$A$131)),0,GETPIVOTDATA("Somma di AVERE",'Pivot PP Visa'!$A$3,"Mese",5,"Tipologia",$A140,"Viaggio",$A$131))
+IF(ISERROR(GETPIVOTDATA("Somma di DARE",'Pivot Revolut'!$A$3,"Mese",5,"Tipologia",$A140,"Viaggio",$A$131)),0,GETPIVOTDATA("Somma di DARE",'Pivot Revolut'!$A$3,"Mese",5,"Tipologia",$A140,"Viaggio",$A$131))
-IF(ISERROR(GETPIVOTDATA("Somma di AVERE",'Pivot Revolut'!$A$3,"Mese",5,"Tipologia",$A140,"Viaggio",$A$131)),0,GETPIVOTDATA("Somma di AVERE",'Pivot Revolut'!$A$3,"Mese",5,"Tipologia",$A140,"Viaggio",$A$131))
+IF(ISERROR(GETPIVOTDATA("Somma di DARE",'Pivot RakBank EUR'!$A$3,"Mese",5,"Tipologia",$A140,"Viaggio",$A$131)),0,GETPIVOTDATA("Somma di DARE",'Pivot RakBank EUR'!$A$3,"Mese",5,"Tipologia",$A140,"Viaggio",$A$131))
-IF(ISERROR(GETPIVOTDATA("Somma di AVERE",'Pivot RakBank EUR'!$A$3,"Mese",5,"Tipologia",$A140,"Viaggio",$A$131)),0,GETPIVOTDATA("Somma di AVERE",'Pivot RakBank EUR'!$A$3,"Mese",5,"Tipologia",$A140,"Viaggio",$A$131))
+IF(ISERROR(GETPIVOTDATA("Somma di DARE EUR",'Pivot RakBank AED'!$A$3,"Mese",5,"Tipologia",$A140,"Viaggio",$A$131)),0,GETPIVOTDATA("Somma di DARE EUR",'Pivot RakBank AED'!$A$3,"Mese",5,"Tipologia",$A140,"Viaggio",$A$131))
-IF(ISERROR(GETPIVOTDATA("Somma di AVERE EUR",'Pivot RakBank AED'!$A$3,"Mese",5,"Tipologia",$A140,"Viaggio",$A$131)),0,GETPIVOTDATA("Somma di AVERE EUR",'Pivot RakBank AED'!$A$3,"Mese",5,"Tipologia",$A140,"Viaggio",$A$131))</f>
        <v>0</v>
      </c>
      <c r="H140" s="270">
        <f>IF(ISERROR(GETPIVOTDATA("Somma di DARE",'Pivot Fineco Sa'!$A$3,"Mese",6,"Tipologia",$A140,"Viaggio",$A$131)),0,GETPIVOTDATA("Somma di DARE",'Pivot Fineco Sa'!$A$3,"Mese",6,"Tipologia",$A140,"Viaggio",$A$131))
+IF(ISERROR(GETPIVOTDATA("Somma di DARE",'Pivot Fineco St'!$A$3,"Mese",6,"Tipologia",$A140,"Viaggio",$A$131)),0,GETPIVOTDATA("Somma di DARE",'Pivot Fineco St'!$A$3,"Mese",6,"Tipologia",$A140,"Viaggio",$A$131))
+IF(Contanti!$Y47='Conto Economico'!$A$131,Contanti!$V47)
+IF(ISERROR(GETPIVOTDATA("Somma di DARE",'Pivot BBVA'!$A$3,"Mese",6,"Tipologia",$A140,"Viaggio",$A$131)),0,GETPIVOTDATA("Somma di DARE",'Pivot BBVA'!$A$3,"Mese",6,"Tipologia",$A140,"Viaggio",$A$131))
+IF(ISERROR(GETPIVOTDATA("Somma di DARE",'Pivot Amex'!$A$3,"Mese",6,"Tipologia",$A140,"Viaggio",$A$131)),0,GETPIVOTDATA("Somma di DARE",'Pivot Amex'!$A$3,"Mese",6,"Tipologia",$A140,"Viaggio",$A$131))
-IF(ISERROR(GETPIVOTDATA("Somma di AVERE",'Pivot Amex'!$A$3,"Mese",6,"Tipologia",$A140,"Viaggio",$A$131)),0,GETPIVOTDATA("Somma di AVERE",'Pivot Amex'!$A$3,"Mese",6,"Tipologia",$A140,"Viaggio",$A$131))
-IF(ISERROR(GETPIVOTDATA("Somma di AVERE",'Pivot BBVA'!$A$3,"Mese",6,"Tipologia",$A140,"Viaggio",$A$131)),0,GETPIVOTDATA("Somma di AVERE",'Pivot BBVA'!$A$3,"Mese",6,"Tipologia",$A140,"Viaggio",$A$131))
-IF(ISERROR(GETPIVOTDATA("Somma di AVERE",'Pivot Fineco St'!$A$3,"Mese",6,"Tipologia",$A140,"Viaggio",$A$131)),0,GETPIVOTDATA("Somma di AVERE",'Pivot Fineco St'!$A$3,"Mese",6,"Tipologia",$A140,"Viaggio",$A$131))
-IF(ISERROR(GETPIVOTDATA("Somma di AVERE",'Pivot Fineco Sa'!$A$3,"Mese",6,"Tipologia",$A140,"Viaggio",$A$131)),0,GETPIVOTDATA("Somma di AVERE",'Pivot Fineco Sa'!$A$3,"Mese",6,"Tipologia",$A140,"Viaggio",$A$131))
+IF(ISERROR(GETPIVOTDATA("Somma di DARE",'Pivot PP Visa'!$A$3,"Mese",6,"Tipologia",$A140,"Viaggio",$A$131)),0,GETPIVOTDATA("Somma di DARE",'Pivot PP Visa'!$A$3,"Mese",6,"Tipologia",$A140,"Viaggio",$A$131))
-IF(ISERROR(GETPIVOTDATA("Somma di AVERE",'Pivot PP Visa'!$A$3,"Mese",6,"Tipologia",$A140,"Viaggio",$A$131)),0,GETPIVOTDATA("Somma di AVERE",'Pivot PP Visa'!$A$3,"Mese",6,"Tipologia",$A140,"Viaggio",$A$131))
+IF(ISERROR(GETPIVOTDATA("Somma di DARE",'Pivot Revolut'!$A$3,"Mese",6,"Tipologia",$A140,"Viaggio",$A$131)),0,GETPIVOTDATA("Somma di DARE",'Pivot Revolut'!$A$3,"Mese",6,"Tipologia",$A140,"Viaggio",$A$131))
-IF(ISERROR(GETPIVOTDATA("Somma di AVERE",'Pivot Revolut'!$A$3,"Mese",6,"Tipologia",$A140,"Viaggio",$A$131)),0,GETPIVOTDATA("Somma di AVERE",'Pivot Revolut'!$A$3,"Mese",6,"Tipologia",$A140,"Viaggio",$A$131))
+IF(ISERROR(GETPIVOTDATA("Somma di DARE",'Pivot RakBank EUR'!$A$3,"Mese",6,"Tipologia",$A140,"Viaggio",$A$131)),0,GETPIVOTDATA("Somma di DARE",'Pivot RakBank EUR'!$A$3,"Mese",6,"Tipologia",$A140,"Viaggio",$A$131))
-IF(ISERROR(GETPIVOTDATA("Somma di AVERE",'Pivot RakBank EUR'!$A$3,"Mese",6,"Tipologia",$A140,"Viaggio",$A$131)),0,GETPIVOTDATA("Somma di AVERE",'Pivot RakBank EUR'!$A$3,"Mese",6,"Tipologia",$A140,"Viaggio",$A$131))
+IF(ISERROR(GETPIVOTDATA("Somma di DARE EUR",'Pivot RakBank AED'!$A$3,"Mese",6,"Tipologia",$A140,"Viaggio",$A$131)),0,GETPIVOTDATA("Somma di DARE EUR",'Pivot RakBank AED'!$A$3,"Mese",6,"Tipologia",$A140,"Viaggio",$A$131))
-IF(ISERROR(GETPIVOTDATA("Somma di AVERE EUR",'Pivot RakBank AED'!$A$3,"Mese",6,"Tipologia",$A140,"Viaggio",$A$131)),0,GETPIVOTDATA("Somma di AVERE EUR",'Pivot RakBank AED'!$A$3,"Mese",6,"Tipologia",$A140,"Viaggio",$A$131))</f>
        <v>0</v>
      </c>
      <c r="I140" s="270">
        <f>IF(ISERROR(GETPIVOTDATA("Somma di DARE",'Pivot Fineco Sa'!$A$3,"Mese",7,"Tipologia",$A140,"Viaggio",$A$131)),0,GETPIVOTDATA("Somma di DARE",'Pivot Fineco Sa'!$A$3,"Mese",7,"Tipologia",$A140,"Viaggio",$A$131))
+IF(ISERROR(GETPIVOTDATA("Somma di DARE",'Pivot Fineco St'!$A$3,"Mese",7,"Tipologia",$A140,"Viaggio",$A$131)),0,GETPIVOTDATA("Somma di DARE",'Pivot Fineco St'!$A$3,"Mese",7,"Tipologia",$A140,"Viaggio",$A$131))
+IF(Contanti!$AC47='Conto Economico'!$A$131,Contanti!$Z47)
+IF(ISERROR(GETPIVOTDATA("Somma di DARE",'Pivot BBVA'!$A$3,"Mese",7,"Tipologia",$A140,"Viaggio",$A$131)),0,GETPIVOTDATA("Somma di DARE",'Pivot BBVA'!$A$3,"Mese",7,"Tipologia",$A140,"Viaggio",$A$131))
+IF(ISERROR(GETPIVOTDATA("Somma di DARE",'Pivot Amex'!$A$3,"Mese",7,"Tipologia",$A140,"Viaggio",$A$131)),0,GETPIVOTDATA("Somma di DARE",'Pivot Amex'!$A$3,"Mese",7,"Tipologia",$A140,"Viaggio",$A$131))
-IF(ISERROR(GETPIVOTDATA("Somma di AVERE",'Pivot Amex'!$A$3,"Mese",7,"Tipologia",$A140,"Viaggio",$A$131)),0,GETPIVOTDATA("Somma di AVERE",'Pivot Amex'!$A$3,"Mese",7,"Tipologia",$A140,"Viaggio",$A$131))
-IF(ISERROR(GETPIVOTDATA("Somma di AVERE",'Pivot BBVA'!$A$3,"Mese",7,"Tipologia",$A140,"Viaggio",$A$131)),0,GETPIVOTDATA("Somma di AVERE",'Pivot BBVA'!$A$3,"Mese",7,"Tipologia",$A140,"Viaggio",$A$131))
-IF(ISERROR(GETPIVOTDATA("Somma di AVERE",'Pivot Fineco St'!$A$3,"Mese",7,"Tipologia",$A140,"Viaggio",$A$131)),0,GETPIVOTDATA("Somma di AVERE",'Pivot Fineco St'!$A$3,"Mese",7,"Tipologia",$A140,"Viaggio",$A$131))
-IF(ISERROR(GETPIVOTDATA("Somma di AVERE",'Pivot Fineco Sa'!$A$3,"Mese",7,"Tipologia",$A140,"Viaggio",$A$131)),0,GETPIVOTDATA("Somma di AVERE",'Pivot Fineco Sa'!$A$3,"Mese",7,"Tipologia",$A140,"Viaggio",$A$131))
+IF(ISERROR(GETPIVOTDATA("Somma di DARE",'Pivot PP Visa'!$A$3,"Mese",7,"Tipologia",$A140,"Viaggio",$A$131)),0,GETPIVOTDATA("Somma di DARE",'Pivot PP Visa'!$A$3,"Mese",7,"Tipologia",$A140,"Viaggio",$A$131))
-IF(ISERROR(GETPIVOTDATA("Somma di AVERE",'Pivot PP Visa'!$A$3,"Mese",7,"Tipologia",$A140,"Viaggio",$A$131)),0,GETPIVOTDATA("Somma di AVERE",'Pivot PP Visa'!$A$3,"Mese",7,"Tipologia",$A140,"Viaggio",$A$131))
+IF(ISERROR(GETPIVOTDATA("Somma di DARE",'Pivot Revolut'!$A$3,"Mese",7,"Tipologia",$A140,"Viaggio",$A$131)),0,GETPIVOTDATA("Somma di DARE",'Pivot Revolut'!$A$3,"Mese",7,"Tipologia",$A140,"Viaggio",$A$131))
-IF(ISERROR(GETPIVOTDATA("Somma di AVERE",'Pivot Revolut'!$A$3,"Mese",7,"Tipologia",$A140,"Viaggio",$A$131)),0,GETPIVOTDATA("Somma di AVERE",'Pivot Revolut'!$A$3,"Mese",7,"Tipologia",$A140,"Viaggio",$A$131))
+IF(ISERROR(GETPIVOTDATA("Somma di DARE",'Pivot RakBank EUR'!$A$3,"Mese",7,"Tipologia",$A140,"Viaggio",$A$131)),0,GETPIVOTDATA("Somma di DARE",'Pivot RakBank EUR'!$A$3,"Mese",7,"Tipologia",$A140,"Viaggio",$A$131))
-IF(ISERROR(GETPIVOTDATA("Somma di AVERE",'Pivot RakBank EUR'!$A$3,"Mese",7,"Tipologia",$A140,"Viaggio",$A$131)),0,GETPIVOTDATA("Somma di AVERE",'Pivot RakBank EUR'!$A$3,"Mese",7,"Tipologia",$A140,"Viaggio",$A$131))
+IF(ISERROR(GETPIVOTDATA("Somma di DARE EUR",'Pivot RakBank AED'!$A$3,"Mese",7,"Tipologia",$A140,"Viaggio",$A$131)),0,GETPIVOTDATA("Somma di DARE EUR",'Pivot RakBank AED'!$A$3,"Mese",7,"Tipologia",$A140,"Viaggio",$A$131))
-IF(ISERROR(GETPIVOTDATA("Somma di AVERE EUR",'Pivot RakBank AED'!$A$3,"Mese",7,"Tipologia",$A140,"Viaggio",$A$131)),0,GETPIVOTDATA("Somma di AVERE EUR",'Pivot RakBank AED'!$A$3,"Mese",7,"Tipologia",$A140,"Viaggio",$A$131))</f>
        <v>0</v>
      </c>
      <c r="J140" s="270">
        <f>IF(ISERROR(GETPIVOTDATA("Somma di DARE",'Pivot Fineco Sa'!$A$3,"Mese",8,"Tipologia",$A140,"Viaggio",$A$131)),0,GETPIVOTDATA("Somma di DARE",'Pivot Fineco Sa'!$A$3,"Mese",8,"Tipologia",$A140,"Viaggio",$A$131))
+IF(ISERROR(GETPIVOTDATA("Somma di DARE",'Pivot Fineco St'!$A$3,"Mese",8,"Tipologia",$A140,"Viaggio",$A$131)),0,GETPIVOTDATA("Somma di DARE",'Pivot Fineco St'!$A$3,"Mese",8,"Tipologia",$A140,"Viaggio",$A$131))
+IF(Contanti!$AG47='Conto Economico'!$A$131,Contanti!$AD47)
+IF(ISERROR(GETPIVOTDATA("Somma di DARE",'Pivot BBVA'!$A$3,"Mese",8,"Tipologia",$A140,"Viaggio",$A$131)),0,GETPIVOTDATA("Somma di DARE",'Pivot BBVA'!$A$3,"Mese",8,"Tipologia",$A140,"Viaggio",$A$131))
+IF(ISERROR(GETPIVOTDATA("Somma di DARE",'Pivot Amex'!$A$3,"Mese",8,"Tipologia",$A140,"Viaggio",$A$131)),0,GETPIVOTDATA("Somma di DARE",'Pivot Amex'!$A$3,"Mese",8,"Tipologia",$A140,"Viaggio",$A$131))
-IF(ISERROR(GETPIVOTDATA("Somma di AVERE",'Pivot Amex'!$A$3,"Mese",8,"Tipologia",$A140,"Viaggio",$A$131)),0,GETPIVOTDATA("Somma di AVERE",'Pivot Amex'!$A$3,"Mese",8,"Tipologia",$A140,"Viaggio",$A$131))
-IF(ISERROR(GETPIVOTDATA("Somma di AVERE",'Pivot BBVA'!$A$3,"Mese",8,"Tipologia",$A140,"Viaggio",$A$131)),0,GETPIVOTDATA("Somma di AVERE",'Pivot BBVA'!$A$3,"Mese",8,"Tipologia",$A140,"Viaggio",$A$131))
-IF(ISERROR(GETPIVOTDATA("Somma di AVERE",'Pivot Fineco St'!$A$3,"Mese",8,"Tipologia",$A140,"Viaggio",$A$131)),0,GETPIVOTDATA("Somma di AVERE",'Pivot Fineco St'!$A$3,"Mese",8,"Tipologia",$A140,"Viaggio",$A$131))
-IF(ISERROR(GETPIVOTDATA("Somma di AVERE",'Pivot Fineco Sa'!$A$3,"Mese",8,"Tipologia",$A140,"Viaggio",$A$131)),0,GETPIVOTDATA("Somma di AVERE",'Pivot Fineco Sa'!$A$3,"Mese",8,"Tipologia",$A140,"Viaggio",$A$131))
+IF(ISERROR(GETPIVOTDATA("Somma di DARE",'Pivot PP Visa'!$A$3,"Mese",8,"Tipologia",$A140,"Viaggio",$A$131)),0,GETPIVOTDATA("Somma di DARE",'Pivot PP Visa'!$A$3,"Mese",8,"Tipologia",$A140,"Viaggio",$A$131))
-IF(ISERROR(GETPIVOTDATA("Somma di AVERE",'Pivot PP Visa'!$A$3,"Mese",8,"Tipologia",$A140,"Viaggio",$A$131)),0,GETPIVOTDATA("Somma di AVERE",'Pivot PP Visa'!$A$3,"Mese",8,"Tipologia",$A140,"Viaggio",$A$131))
+IF(ISERROR(GETPIVOTDATA("Somma di DARE",'Pivot Revolut'!$A$3,"Mese",8,"Tipologia",$A140,"Viaggio",$A$131)),0,GETPIVOTDATA("Somma di DARE",'Pivot Revolut'!$A$3,"Mese",8,"Tipologia",$A140,"Viaggio",$A$131))
-IF(ISERROR(GETPIVOTDATA("Somma di AVERE",'Pivot Revolut'!$A$3,"Mese",8,"Tipologia",$A140,"Viaggio",$A$131)),0,GETPIVOTDATA("Somma di AVERE",'Pivot Revolut'!$A$3,"Mese",8,"Tipologia",$A140,"Viaggio",$A$131))
+IF(ISERROR(GETPIVOTDATA("Somma di DARE",'Pivot RakBank EUR'!$A$3,"Mese",8,"Tipologia",$A140,"Viaggio",$A$131)),0,GETPIVOTDATA("Somma di DARE",'Pivot RakBank EUR'!$A$3,"Mese",8,"Tipologia",$A140,"Viaggio",$A$131))
-IF(ISERROR(GETPIVOTDATA("Somma di AVERE",'Pivot RakBank EUR'!$A$3,"Mese",8,"Tipologia",$A140,"Viaggio",$A$131)),0,GETPIVOTDATA("Somma di AVERE",'Pivot RakBank EUR'!$A$3,"Mese",8,"Tipologia",$A140,"Viaggio",$A$131))
+IF(ISERROR(GETPIVOTDATA("Somma di DARE EUR",'Pivot RakBank AED'!$A$3,"Mese",8,"Tipologia",$A140,"Viaggio",$A$131)),0,GETPIVOTDATA("Somma di DARE EUR",'Pivot RakBank AED'!$A$3,"Mese",8,"Tipologia",$A140,"Viaggio",$A$131))
-IF(ISERROR(GETPIVOTDATA("Somma di AVERE EUR",'Pivot RakBank AED'!$A$3,"Mese",8,"Tipologia",$A140,"Viaggio",$A$131)),0,GETPIVOTDATA("Somma di AVERE EUR",'Pivot RakBank AED'!$A$3,"Mese",8,"Tipologia",$A140,"Viaggio",$A$131))</f>
        <v>0</v>
      </c>
      <c r="K140" s="270">
        <f>IF(ISERROR(GETPIVOTDATA("Somma di DARE",'Pivot Fineco Sa'!$A$3,"Mese",9,"Tipologia",$A140,"Viaggio",$A$131)),0,GETPIVOTDATA("Somma di DARE",'Pivot Fineco Sa'!$A$3,"Mese",9,"Tipologia",$A140,"Viaggio",$A$131))
+IF(ISERROR(GETPIVOTDATA("Somma di DARE",'Pivot Fineco St'!$A$3,"Mese",9,"Tipologia",$A140,"Viaggio",$A$131)),0,GETPIVOTDATA("Somma di DARE",'Pivot Fineco St'!$A$3,"Mese",9,"Tipologia",$A140,"Viaggio",$A$131))
+IF(Contanti!$AK47='Conto Economico'!$A$131,Contanti!$AH47)
+IF(ISERROR(GETPIVOTDATA("Somma di DARE",'Pivot BBVA'!$A$3,"Mese",9,"Tipologia",$A140,"Viaggio",$A$131)),0,GETPIVOTDATA("Somma di DARE",'Pivot BBVA'!$A$3,"Mese",9,"Tipologia",$A140,"Viaggio",$A$131))
+IF(ISERROR(GETPIVOTDATA("Somma di DARE",'Pivot Amex'!$A$3,"Mese",9,"Tipologia",$A140,"Viaggio",$A$131)),0,GETPIVOTDATA("Somma di DARE",'Pivot Amex'!$A$3,"Mese",9,"Tipologia",$A140,"Viaggio",$A$131))
-IF(ISERROR(GETPIVOTDATA("Somma di AVERE",'Pivot Amex'!$A$3,"Mese",9,"Tipologia",$A140,"Viaggio",$A$131)),0,GETPIVOTDATA("Somma di AVERE",'Pivot Amex'!$A$3,"Mese",9,"Tipologia",$A140,"Viaggio",$A$131))
-IF(ISERROR(GETPIVOTDATA("Somma di AVERE",'Pivot BBVA'!$A$3,"Mese",9,"Tipologia",$A140,"Viaggio",$A$131)),0,GETPIVOTDATA("Somma di AVERE",'Pivot BBVA'!$A$3,"Mese",9,"Tipologia",$A140,"Viaggio",$A$131))
-IF(ISERROR(GETPIVOTDATA("Somma di AVERE",'Pivot Fineco St'!$A$3,"Mese",9,"Tipologia",$A140,"Viaggio",$A$131)),0,GETPIVOTDATA("Somma di AVERE",'Pivot Fineco St'!$A$3,"Mese",9,"Tipologia",$A140,"Viaggio",$A$131))
-IF(ISERROR(GETPIVOTDATA("Somma di AVERE",'Pivot Fineco Sa'!$A$3,"Mese",9,"Tipologia",$A140,"Viaggio",$A$131)),0,GETPIVOTDATA("Somma di AVERE",'Pivot Fineco Sa'!$A$3,"Mese",9,"Tipologia",$A140,"Viaggio",$A$131))
+IF(ISERROR(GETPIVOTDATA("Somma di DARE",'Pivot PP Visa'!$A$3,"Mese",9,"Tipologia",$A140,"Viaggio",$A$131)),0,GETPIVOTDATA("Somma di DARE",'Pivot PP Visa'!$A$3,"Mese",9,"Tipologia",$A140,"Viaggio",$A$131))
-IF(ISERROR(GETPIVOTDATA("Somma di AVERE",'Pivot PP Visa'!$A$3,"Mese",9,"Tipologia",$A140,"Viaggio",$A$131)),0,GETPIVOTDATA("Somma di AVERE",'Pivot PP Visa'!$A$3,"Mese",9,"Tipologia",$A140,"Viaggio",$A$131))
+IF(ISERROR(GETPIVOTDATA("Somma di DARE",'Pivot Revolut'!$A$3,"Mese",9,"Tipologia",$A140,"Viaggio",$A$131)),0,GETPIVOTDATA("Somma di DARE",'Pivot Revolut'!$A$3,"Mese",9,"Tipologia",$A140,"Viaggio",$A$131))
-IF(ISERROR(GETPIVOTDATA("Somma di AVERE",'Pivot Revolut'!$A$3,"Mese",9,"Tipologia",$A140,"Viaggio",$A$131)),0,GETPIVOTDATA("Somma di AVERE",'Pivot Revolut'!$A$3,"Mese",9,"Tipologia",$A140,"Viaggio",$A$131))
+IF(ISERROR(GETPIVOTDATA("Somma di DARE",'Pivot RakBank EUR'!$A$3,"Mese",9,"Tipologia",$A140,"Viaggio",$A$131)),0,GETPIVOTDATA("Somma di DARE",'Pivot RakBank EUR'!$A$3,"Mese",9,"Tipologia",$A140,"Viaggio",$A$131))
-IF(ISERROR(GETPIVOTDATA("Somma di AVERE",'Pivot RakBank EUR'!$A$3,"Mese",9,"Tipologia",$A140,"Viaggio",$A$131)),0,GETPIVOTDATA("Somma di AVERE",'Pivot RakBank EUR'!$A$3,"Mese",9,"Tipologia",$A140,"Viaggio",$A$131))
+IF(ISERROR(GETPIVOTDATA("Somma di DARE EUR",'Pivot RakBank AED'!$A$3,"Mese",9,"Tipologia",$A140,"Viaggio",$A$131)),0,GETPIVOTDATA("Somma di DARE EUR",'Pivot RakBank AED'!$A$3,"Mese",9,"Tipologia",$A140,"Viaggio",$A$131))
-IF(ISERROR(GETPIVOTDATA("Somma di AVERE EUR",'Pivot RakBank AED'!$A$3,"Mese",9,"Tipologia",$A140,"Viaggio",$A$131)),0,GETPIVOTDATA("Somma di AVERE EUR",'Pivot RakBank AED'!$A$3,"Mese",9,"Tipologia",$A140,"Viaggio",$A$131))</f>
        <v>0</v>
      </c>
      <c r="L140" s="270">
        <f>IF(ISERROR(GETPIVOTDATA("Somma di DARE",'Pivot Fineco Sa'!$A$3,"Mese",10,"Tipologia",$A140,"Viaggio",$A$131)),0,GETPIVOTDATA("Somma di DARE",'Pivot Fineco Sa'!$A$3,"Mese",10,"Tipologia",$A140,"Viaggio",$A$131))
+IF(ISERROR(GETPIVOTDATA("Somma di DARE",'Pivot Fineco St'!$A$3,"Mese",10,"Tipologia",$A140,"Viaggio",$A$131)),0,GETPIVOTDATA("Somma di DARE",'Pivot Fineco St'!$A$3,"Mese",10,"Tipologia",$A140,"Viaggio",$A$131))
+IF(Contanti!$AO47='Conto Economico'!$A$131,Contanti!$AL47)
+IF(ISERROR(GETPIVOTDATA("Somma di DARE",'Pivot BBVA'!$A$3,"Mese",10,"Tipologia",$A140,"Viaggio",$A$131)),0,GETPIVOTDATA("Somma di DARE",'Pivot BBVA'!$A$3,"Mese",10,"Tipologia",$A140,"Viaggio",$A$131))
+IF(ISERROR(GETPIVOTDATA("Somma di DARE",'Pivot Amex'!$A$3,"Mese",10,"Tipologia",$A140,"Viaggio",$A$131)),0,GETPIVOTDATA("Somma di DARE",'Pivot Amex'!$A$3,"Mese",10,"Tipologia",$A140,"Viaggio",$A$131))
-IF(ISERROR(GETPIVOTDATA("Somma di AVERE",'Pivot Amex'!$A$3,"Mese",10,"Tipologia",$A140,"Viaggio",$A$131)),0,GETPIVOTDATA("Somma di AVERE",'Pivot Amex'!$A$3,"Mese",10,"Tipologia",$A140,"Viaggio",$A$131))
-IF(ISERROR(GETPIVOTDATA("Somma di AVERE",'Pivot BBVA'!$A$3,"Mese",10,"Tipologia",$A140,"Viaggio",$A$131)),0,GETPIVOTDATA("Somma di AVERE",'Pivot BBVA'!$A$3,"Mese",10,"Tipologia",$A140,"Viaggio",$A$131))
-IF(ISERROR(GETPIVOTDATA("Somma di AVERE",'Pivot Fineco St'!$A$3,"Mese",10,"Tipologia",$A140,"Viaggio",$A$131)),0,GETPIVOTDATA("Somma di AVERE",'Pivot Fineco St'!$A$3,"Mese",10,"Tipologia",$A140,"Viaggio",$A$131))
-IF(ISERROR(GETPIVOTDATA("Somma di AVERE",'Pivot Fineco Sa'!$A$3,"Mese",10,"Tipologia",$A140,"Viaggio",$A$131)),0,GETPIVOTDATA("Somma di AVERE",'Pivot Fineco Sa'!$A$3,"Mese",10,"Tipologia",$A140,"Viaggio",$A$131))
+IF(ISERROR(GETPIVOTDATA("Somma di DARE",'Pivot PP Visa'!$A$3,"Mese",10,"Tipologia",$A140,"Viaggio",$A$131)),0,GETPIVOTDATA("Somma di DARE",'Pivot PP Visa'!$A$3,"Mese",10,"Tipologia",$A140,"Viaggio",$A$131))
-IF(ISERROR(GETPIVOTDATA("Somma di AVERE",'Pivot PP Visa'!$A$3,"Mese",10,"Tipologia",$A140,"Viaggio",$A$131)),0,GETPIVOTDATA("Somma di AVERE",'Pivot PP Visa'!$A$3,"Mese",10,"Tipologia",$A140,"Viaggio",$A$131))
+IF(ISERROR(GETPIVOTDATA("Somma di DARE",'Pivot Revolut'!$A$3,"Mese",10,"Tipologia",$A140,"Viaggio",$A$131)),0,GETPIVOTDATA("Somma di DARE",'Pivot Revolut'!$A$3,"Mese",10,"Tipologia",$A140,"Viaggio",$A$131))
-IF(ISERROR(GETPIVOTDATA("Somma di AVERE",'Pivot Revolut'!$A$3,"Mese",10,"Tipologia",$A140,"Viaggio",$A$131)),0,GETPIVOTDATA("Somma di AVERE",'Pivot Revolut'!$A$3,"Mese",10,"Tipologia",$A140,"Viaggio",$A$131))
+IF(ISERROR(GETPIVOTDATA("Somma di DARE",'Pivot RakBank EUR'!$A$3,"Mese",10,"Tipologia",$A140,"Viaggio",$A$131)),0,GETPIVOTDATA("Somma di DARE",'Pivot RakBank EUR'!$A$3,"Mese",10,"Tipologia",$A140,"Viaggio",$A$131))
-IF(ISERROR(GETPIVOTDATA("Somma di AVERE",'Pivot RakBank EUR'!$A$3,"Mese",10,"Tipologia",$A140,"Viaggio",$A$131)),0,GETPIVOTDATA("Somma di AVERE",'Pivot RakBank EUR'!$A$3,"Mese",10,"Tipologia",$A140,"Viaggio",$A$131))
+IF(ISERROR(GETPIVOTDATA("Somma di DARE EUR",'Pivot RakBank AED'!$A$3,"Mese",10,"Tipologia",$A140,"Viaggio",$A$131)),0,GETPIVOTDATA("Somma di DARE EUR",'Pivot RakBank AED'!$A$3,"Mese",10,"Tipologia",$A140,"Viaggio",$A$131))
-IF(ISERROR(GETPIVOTDATA("Somma di AVERE EUR",'Pivot RakBank AED'!$A$3,"Mese",10,"Tipologia",$A140,"Viaggio",$A$131)),0,GETPIVOTDATA("Somma di AVERE EUR",'Pivot RakBank AED'!$A$3,"Mese",10,"Tipologia",$A140,"Viaggio",$A$131))</f>
        <v>0</v>
      </c>
      <c r="M140" s="270">
        <f>IF(ISERROR(GETPIVOTDATA("Somma di DARE",'Pivot Fineco Sa'!$A$3,"Mese",11,"Tipologia",$A140,"Viaggio",$A$131)),0,GETPIVOTDATA("Somma di DARE",'Pivot Fineco Sa'!$A$3,"Mese",11,"Tipologia",$A140,"Viaggio",$A$131))
+IF(ISERROR(GETPIVOTDATA("Somma di DARE",'Pivot Fineco St'!$A$3,"Mese",11,"Tipologia",$A140,"Viaggio",$A$131)),0,GETPIVOTDATA("Somma di DARE",'Pivot Fineco St'!$A$3,"Mese",11,"Tipologia",$A140,"Viaggio",$A$131))
+IF(Contanti!$AS47='Conto Economico'!$A$131,Contanti!$AP47)
+IF(ISERROR(GETPIVOTDATA("Somma di DARE",'Pivot BBVA'!$A$3,"Mese",11,"Tipologia",$A140,"Viaggio",$A$131)),0,GETPIVOTDATA("Somma di DARE",'Pivot BBVA'!$A$3,"Mese",11,"Tipologia",$A140,"Viaggio",$A$131))
+IF(ISERROR(GETPIVOTDATA("Somma di DARE",'Pivot Amex'!$A$3,"Mese",11,"Tipologia",$A140,"Viaggio",$A$131)),0,GETPIVOTDATA("Somma di DARE",'Pivot Amex'!$A$3,"Mese",11,"Tipologia",$A140,"Viaggio",$A$131))
-IF(ISERROR(GETPIVOTDATA("Somma di AVERE",'Pivot Amex'!$A$3,"Mese",11,"Tipologia",$A140,"Viaggio",$A$131)),0,GETPIVOTDATA("Somma di AVERE",'Pivot Amex'!$A$3,"Mese",11,"Tipologia",$A140,"Viaggio",$A$131))
-IF(ISERROR(GETPIVOTDATA("Somma di AVERE",'Pivot BBVA'!$A$3,"Mese",11,"Tipologia",$A140,"Viaggio",$A$131)),0,GETPIVOTDATA("Somma di AVERE",'Pivot BBVA'!$A$3,"Mese",11,"Tipologia",$A140,"Viaggio",$A$131))
-IF(ISERROR(GETPIVOTDATA("Somma di AVERE",'Pivot Fineco St'!$A$3,"Mese",11,"Tipologia",$A140,"Viaggio",$A$131)),0,GETPIVOTDATA("Somma di AVERE",'Pivot Fineco St'!$A$3,"Mese",11,"Tipologia",$A140,"Viaggio",$A$131))
-IF(ISERROR(GETPIVOTDATA("Somma di AVERE",'Pivot Fineco Sa'!$A$3,"Mese",11,"Tipologia",$A140,"Viaggio",$A$131)),0,GETPIVOTDATA("Somma di AVERE",'Pivot Fineco Sa'!$A$3,"Mese",11,"Tipologia",$A140,"Viaggio",$A$131))
+IF(ISERROR(GETPIVOTDATA("Somma di DARE",'Pivot PP Visa'!$A$3,"Mese",11,"Tipologia",$A140,"Viaggio",$A$131)),0,GETPIVOTDATA("Somma di DARE",'Pivot PP Visa'!$A$3,"Mese",11,"Tipologia",$A140,"Viaggio",$A$131))
-IF(ISERROR(GETPIVOTDATA("Somma di AVERE",'Pivot PP Visa'!$A$3,"Mese",11,"Tipologia",$A140,"Viaggio",$A$131)),0,GETPIVOTDATA("Somma di AVERE",'Pivot PP Visa'!$A$3,"Mese",11,"Tipologia",$A140,"Viaggio",$A$131))
+IF(ISERROR(GETPIVOTDATA("Somma di DARE",'Pivot Revolut'!$A$3,"Mese",11,"Tipologia",$A140,"Viaggio",$A$131)),0,GETPIVOTDATA("Somma di DARE",'Pivot Revolut'!$A$3,"Mese",11,"Tipologia",$A140,"Viaggio",$A$131))
-IF(ISERROR(GETPIVOTDATA("Somma di AVERE",'Pivot Revolut'!$A$3,"Mese",11,"Tipologia",$A140,"Viaggio",$A$131)),0,GETPIVOTDATA("Somma di AVERE",'Pivot Revolut'!$A$3,"Mese",11,"Tipologia",$A140,"Viaggio",$A$131))
+IF(ISERROR(GETPIVOTDATA("Somma di DARE",'Pivot RakBank EUR'!$A$3,"Mese",11,"Tipologia",$A140,"Viaggio",$A$131)),0,GETPIVOTDATA("Somma di DARE",'Pivot RakBank EUR'!$A$3,"Mese",11,"Tipologia",$A140,"Viaggio",$A$131))
-IF(ISERROR(GETPIVOTDATA("Somma di AVERE",'Pivot RakBank EUR'!$A$3,"Mese",11,"Tipologia",$A140,"Viaggio",$A$131)),0,GETPIVOTDATA("Somma di AVERE",'Pivot RakBank EUR'!$A$3,"Mese",11,"Tipologia",$A140,"Viaggio",$A$131))
+IF(ISERROR(GETPIVOTDATA("Somma di DARE EUR",'Pivot RakBank AED'!$A$3,"Mese",11,"Tipologia",$A140,"Viaggio",$A$131)),0,GETPIVOTDATA("Somma di DARE EUR",'Pivot RakBank AED'!$A$3,"Mese",11,"Tipologia",$A140,"Viaggio",$A$131))
-IF(ISERROR(GETPIVOTDATA("Somma di AVERE EUR",'Pivot RakBank AED'!$A$3,"Mese",11,"Tipologia",$A140,"Viaggio",$A$131)),0,GETPIVOTDATA("Somma di AVERE EUR",'Pivot RakBank AED'!$A$3,"Mese",11,"Tipologia",$A140,"Viaggio",$A$131))</f>
        <v>0</v>
      </c>
      <c r="N140" s="270">
        <f>IF(ISERROR(GETPIVOTDATA("Somma di DARE",'Pivot Fineco Sa'!$A$3,"Mese",12,"Tipologia",$A140,"Viaggio",$A$131)),0,GETPIVOTDATA("Somma di DARE",'Pivot Fineco Sa'!$A$3,"Mese",12,"Tipologia",$A140,"Viaggio",$A$131))
+IF(ISERROR(GETPIVOTDATA("Somma di DARE",'Pivot Fineco St'!$A$3,"Mese",12,"Tipologia",$A140,"Viaggio",$A$131)),0,GETPIVOTDATA("Somma di DARE",'Pivot Fineco St'!$A$3,"Mese",12,"Tipologia",$A140,"Viaggio",$A$131))
+IF(Contanti!$AW47='Conto Economico'!$A$131,Contanti!$AT47)
+IF(ISERROR(GETPIVOTDATA("Somma di DARE",'Pivot BBVA'!$A$3,"Mese",12,"Tipologia",$A140,"Viaggio",$A$131)),0,GETPIVOTDATA("Somma di DARE",'Pivot BBVA'!$A$3,"Mese",12,"Tipologia",$A140,"Viaggio",$A$131))
+IF(ISERROR(GETPIVOTDATA("Somma di DARE",'Pivot Amex'!$A$3,"Mese",12,"Tipologia",$A140,"Viaggio",$A$131)),0,GETPIVOTDATA("Somma di DARE",'Pivot Amex'!$A$3,"Mese",12,"Tipologia",$A140,"Viaggio",$A$131))
-IF(ISERROR(GETPIVOTDATA("Somma di AVERE",'Pivot Amex'!$A$3,"Mese",12,"Tipologia",$A140,"Viaggio",$A$131)),0,GETPIVOTDATA("Somma di AVERE",'Pivot Amex'!$A$3,"Mese",12,"Tipologia",$A140,"Viaggio",$A$131))
-IF(ISERROR(GETPIVOTDATA("Somma di AVERE",'Pivot BBVA'!$A$3,"Mese",12,"Tipologia",$A140,"Viaggio",$A$131)),0,GETPIVOTDATA("Somma di AVERE",'Pivot BBVA'!$A$3,"Mese",12,"Tipologia",$A140,"Viaggio",$A$131))
-IF(ISERROR(GETPIVOTDATA("Somma di AVERE",'Pivot Fineco St'!$A$3,"Mese",12,"Tipologia",$A140,"Viaggio",$A$131)),0,GETPIVOTDATA("Somma di AVERE",'Pivot Fineco St'!$A$3,"Mese",12,"Tipologia",$A140,"Viaggio",$A$131))
-IF(ISERROR(GETPIVOTDATA("Somma di AVERE",'Pivot Fineco Sa'!$A$3,"Mese",12,"Tipologia",$A140,"Viaggio",$A$131)),0,GETPIVOTDATA("Somma di AVERE",'Pivot Fineco Sa'!$A$3,"Mese",12,"Tipologia",$A140,"Viaggio",$A$131))
+IF(ISERROR(GETPIVOTDATA("Somma di DARE",'Pivot PP Visa'!$A$3,"Mese",12,"Tipologia",$A140,"Viaggio",$A$131)),0,GETPIVOTDATA("Somma di DARE",'Pivot PP Visa'!$A$3,"Mese",12,"Tipologia",$A140,"Viaggio",$A$131))
-IF(ISERROR(GETPIVOTDATA("Somma di AVERE",'Pivot PP Visa'!$A$3,"Mese",12,"Tipologia",$A140,"Viaggio",$A$131)),0,GETPIVOTDATA("Somma di AVERE",'Pivot PP Visa'!$A$3,"Mese",12,"Tipologia",$A140,"Viaggio",$A$131))
+IF(ISERROR(GETPIVOTDATA("Somma di DARE",'Pivot Revolut'!$A$3,"Mese",12,"Tipologia",$A140,"Viaggio",$A$131)),0,GETPIVOTDATA("Somma di DARE",'Pivot Revolut'!$A$3,"Mese",12,"Tipologia",$A140,"Viaggio",$A$131))
-IF(ISERROR(GETPIVOTDATA("Somma di AVERE",'Pivot Revolut'!$A$3,"Mese",12,"Tipologia",$A140,"Viaggio",$A$131)),0,GETPIVOTDATA("Somma di AVERE",'Pivot Revolut'!$A$3,"Mese",12,"Tipologia",$A140,"Viaggio",$A$131))
+IF(ISERROR(GETPIVOTDATA("Somma di DARE",'Pivot RakBank EUR'!$A$3,"Mese",12,"Tipologia",$A140,"Viaggio",$A$131)),0,GETPIVOTDATA("Somma di DARE",'Pivot RakBank EUR'!$A$3,"Mese",12,"Tipologia",$A140,"Viaggio",$A$131))
-IF(ISERROR(GETPIVOTDATA("Somma di AVERE",'Pivot RakBank EUR'!$A$3,"Mese",12,"Tipologia",$A140,"Viaggio",$A$131)),0,GETPIVOTDATA("Somma di AVERE",'Pivot RakBank EUR'!$A$3,"Mese",12,"Tipologia",$A140,"Viaggio",$A$131))
+IF(ISERROR(GETPIVOTDATA("Somma di DARE EUR",'Pivot RakBank AED'!$A$3,"Mese",12,"Tipologia",$A140,"Viaggio",$A$131)),0,GETPIVOTDATA("Somma di DARE EUR",'Pivot RakBank AED'!$A$3,"Mese",12,"Tipologia",$A140,"Viaggio",$A$131))
-IF(ISERROR(GETPIVOTDATA("Somma di AVERE EUR",'Pivot RakBank AED'!$A$3,"Mese",12,"Tipologia",$A140,"Viaggio",$A$131)),0,GETPIVOTDATA("Somma di AVERE EUR",'Pivot RakBank AED'!$A$3,"Mese",12,"Tipologia",$A140,"Viaggio",$A$131))</f>
        <v>0</v>
      </c>
      <c r="O140" s="271">
        <f t="shared" si="17"/>
        <v>360</v>
      </c>
      <c r="P140" s="270"/>
    </row>
    <row r="141" spans="1:16" s="131" customFormat="1" ht="14" outlineLevel="1" x14ac:dyDescent="0.2">
      <c r="A141" s="269" t="s">
        <v>103</v>
      </c>
      <c r="B141" s="269"/>
      <c r="C141" s="270">
        <f>IF(ISERROR(GETPIVOTDATA("Somma di DARE",'Pivot Fineco Sa'!$A$3,"Mese",1,"Tipologia",$A141,"Viaggio",$A$131)),0,GETPIVOTDATA("Somma di DARE",'Pivot Fineco Sa'!$A$3,"Mese",1,"Tipologia",$A141,"Viaggio",$A$131))
+IF(ISERROR(GETPIVOTDATA("Somma di DARE",'Pivot Fineco St'!$A$3,"Mese",1,"Tipologia",$A141,"Viaggio",$A$131)),0,GETPIVOTDATA("Somma di DARE",'Pivot Fineco St'!$A$3,"Mese",1,"Tipologia",$A141,"Viaggio",$A$131))
+IF(Contanti!$E48='Conto Economico'!$A$131,Contanti!$B48)
+IF(ISERROR(GETPIVOTDATA("Somma di DARE",'Pivot BBVA'!$A$3,"Mese",1,"Tipologia",$A141,"Viaggio",$A$131)),0,GETPIVOTDATA("Somma di DARE",'Pivot BBVA'!$A$3,"Mese",1,"Tipologia",$A141,"Viaggio",$A$131))
+IF(ISERROR(GETPIVOTDATA("Somma di DARE",'Pivot Amex'!$A$3,"Mese",1,"Tipologia",$A141,"Viaggio",$A$131)),0,GETPIVOTDATA("Somma di DARE",'Pivot Amex'!$A$3,"Mese",1,"Tipologia",$A141,"Viaggio",$A$131))
-IF(ISERROR(GETPIVOTDATA("Somma di AVERE",'Pivot Amex'!$A$3,"Mese",1,"Tipologia",$A141,"Viaggio",$A$131)),0,GETPIVOTDATA("Somma di AVERE",'Pivot Amex'!$A$3,"Mese",1,"Tipologia",$A141,"Viaggio",$A$131))
-IF(ISERROR(GETPIVOTDATA("Somma di AVERE",'Pivot BBVA'!$A$3,"Mese",1,"Tipologia",$A141,"Viaggio",$A$131)),0,GETPIVOTDATA("Somma di AVERE",'Pivot BBVA'!$A$3,"Mese",1,"Tipologia",$A141,"Viaggio",$A$131))
-IF(ISERROR(GETPIVOTDATA("Somma di AVERE",'Pivot Fineco St'!$A$3,"Mese",1,"Tipologia",$A141,"Viaggio",$A$131)),0,GETPIVOTDATA("Somma di AVERE",'Pivot Fineco St'!$A$3,"Mese",1,"Tipologia",$A141,"Viaggio",$A$131))
-IF(ISERROR(GETPIVOTDATA("Somma di AVERE",'Pivot Fineco Sa'!$A$3,"Mese",1,"Tipologia",$A141,"Viaggio",$A$131)),0,GETPIVOTDATA("Somma di AVERE",'Pivot Fineco Sa'!$A$3,"Mese",1,"Tipologia",$A141,"Viaggio",$A$131))
+IF(ISERROR(GETPIVOTDATA("Somma di DARE",'Pivot PP Visa'!$A$3,"Mese",1,"Tipologia",$A141,"Viaggio",$A$131)),0,GETPIVOTDATA("Somma di DARE",'Pivot PP Visa'!$A$3,"Mese",1,"Tipologia",$A141,"Viaggio",$A$131))
-IF(ISERROR(GETPIVOTDATA("Somma di AVERE",'Pivot PP Visa'!$A$3,"Mese",1,"Tipologia",$A141,"Viaggio",$A$131)),0,GETPIVOTDATA("Somma di AVERE",'Pivot PP Visa'!$A$3,"Mese",1,"Tipologia",$A141,"Viaggio",$A$131))
+IF(ISERROR(GETPIVOTDATA("Somma di DARE",'Pivot Revolut'!$A$3,"Mese",1,"Tipologia",$A141,"Viaggio",$A$131)),0,GETPIVOTDATA("Somma di DARE",'Pivot Revolut'!$A$3,"Mese",1,"Tipologia",$A141,"Viaggio",$A$131))
-IF(ISERROR(GETPIVOTDATA("Somma di AVERE",'Pivot Revolut'!$A$3,"Mese",1,"Tipologia",$A141,"Viaggio",$A$131)),0,GETPIVOTDATA("Somma di AVERE",'Pivot Revolut'!$A$3,"Mese",1,"Tipologia",$A141,"Viaggio",$A$131))
+IF(ISERROR(GETPIVOTDATA("Somma di DARE",'Pivot RakBank EUR'!$A$3,"Mese",1,"Tipologia",$A141,"Viaggio",$A$131)),0,GETPIVOTDATA("Somma di DARE",'Pivot RakBank EUR'!$A$3,"Mese",1,"Tipologia",$A141,"Viaggio",$A$131))
-IF(ISERROR(GETPIVOTDATA("Somma di AVERE",'Pivot RakBank EUR'!$A$3,"Mese",1,"Tipologia",$A141,"Viaggio",$A$131)),0,GETPIVOTDATA("Somma di AVERE",'Pivot RakBank EUR'!$A$3,"Mese",1,"Tipologia",$A141,"Viaggio",$A$131))
+IF(ISERROR(GETPIVOTDATA("Somma di DARE EUR",'Pivot RakBank AED'!$A$3,"Mese",1,"Tipologia",$A141,"Viaggio",$A$131)),0,GETPIVOTDATA("Somma di DARE EUR",'Pivot RakBank AED'!$A$3,"Mese",1,"Tipologia",$A141,"Viaggio",$A$131))
-IF(ISERROR(GETPIVOTDATA("Somma di AVERE EUR",'Pivot RakBank AED'!$A$3,"Mese",1,"Tipologia",$A141,"Viaggio",$A$131)),0,GETPIVOTDATA("Somma di AVERE EUR",'Pivot RakBank AED'!$A$3,"Mese",1,"Tipologia",$A141,"Viaggio",$A$131))</f>
        <v>0</v>
      </c>
      <c r="D141" s="270">
        <f>IF(ISERROR(GETPIVOTDATA("Somma di DARE",'Pivot Fineco Sa'!$A$3,"Mese",2,"Tipologia",$A141,"Viaggio",$A$131)),0,GETPIVOTDATA("Somma di DARE",'Pivot Fineco Sa'!$A$3,"Mese",2,"Tipologia",$A141,"Viaggio",$A$131))
+IF(ISERROR(GETPIVOTDATA("Somma di DARE",'Pivot Fineco St'!$A$3,"Mese",2,"Tipologia",$A141,"Viaggio",$A$131)),0,GETPIVOTDATA("Somma di DARE",'Pivot Fineco St'!$A$3,"Mese",2,"Tipologia",$A141,"Viaggio",$A$131))
+IF(Contanti!$I48='Conto Economico'!$A$131,Contanti!$F48)
+IF(ISERROR(GETPIVOTDATA("Somma di DARE",'Pivot BBVA'!$A$3,"Mese",2,"Tipologia",$A141,"Viaggio",$A$131)),0,GETPIVOTDATA("Somma di DARE",'Pivot BBVA'!$A$3,"Mese",2,"Tipologia",$A141,"Viaggio",$A$131))
+IF(ISERROR(GETPIVOTDATA("Somma di DARE",'Pivot Amex'!$A$3,"Mese",2,"Tipologia",$A141,"Viaggio",$A$131)),0,GETPIVOTDATA("Somma di DARE",'Pivot Amex'!$A$3,"Mese",2,"Tipologia",$A141,"Viaggio",$A$131))
-IF(ISERROR(GETPIVOTDATA("Somma di AVERE",'Pivot Amex'!$A$3,"Mese",2,"Tipologia",$A141,"Viaggio",$A$131)),0,GETPIVOTDATA("Somma di AVERE",'Pivot Amex'!$A$3,"Mese",2,"Tipologia",$A141,"Viaggio",$A$131))
-IF(ISERROR(GETPIVOTDATA("Somma di AVERE",'Pivot BBVA'!$A$3,"Mese",2,"Tipologia",$A141,"Viaggio",$A$131)),0,GETPIVOTDATA("Somma di AVERE",'Pivot BBVA'!$A$3,"Mese",2,"Tipologia",$A141,"Viaggio",$A$131))
-IF(ISERROR(GETPIVOTDATA("Somma di AVERE",'Pivot Fineco St'!$A$3,"Mese",2,"Tipologia",$A141,"Viaggio",$A$131)),0,GETPIVOTDATA("Somma di AVERE",'Pivot Fineco St'!$A$3,"Mese",2,"Tipologia",$A141,"Viaggio",$A$131))
-IF(ISERROR(GETPIVOTDATA("Somma di AVERE",'Pivot Fineco Sa'!$A$3,"Mese",2,"Tipologia",$A141,"Viaggio",$A$131)),0,GETPIVOTDATA("Somma di AVERE",'Pivot Fineco Sa'!$A$3,"Mese",2,"Tipologia",$A141,"Viaggio",$A$131))
+IF(ISERROR(GETPIVOTDATA("Somma di DARE",'Pivot PP Visa'!$A$3,"Mese",2,"Tipologia",$A141,"Viaggio",$A$131)),0,GETPIVOTDATA("Somma di DARE",'Pivot PP Visa'!$A$3,"Mese",2,"Tipologia",$A141,"Viaggio",$A$131))
-IF(ISERROR(GETPIVOTDATA("Somma di AVERE",'Pivot PP Visa'!$A$3,"Mese",2,"Tipologia",$A141,"Viaggio",$A$131)),0,GETPIVOTDATA("Somma di AVERE",'Pivot PP Visa'!$A$3,"Mese",2,"Tipologia",$A141,"Viaggio",$A$131))
+IF(ISERROR(GETPIVOTDATA("Somma di DARE",'Pivot Revolut'!$A$3,"Mese",2,"Tipologia",$A141,"Viaggio",$A$131)),0,GETPIVOTDATA("Somma di DARE",'Pivot Revolut'!$A$3,"Mese",2,"Tipologia",$A141,"Viaggio",$A$131))
-IF(ISERROR(GETPIVOTDATA("Somma di AVERE",'Pivot Revolut'!$A$3,"Mese",2,"Tipologia",$A141,"Viaggio",$A$131)),0,GETPIVOTDATA("Somma di AVERE",'Pivot Revolut'!$A$3,"Mese",2,"Tipologia",$A141,"Viaggio",$A$131))
+IF(ISERROR(GETPIVOTDATA("Somma di DARE",'Pivot RakBank EUR'!$A$3,"Mese",2,"Tipologia",$A141,"Viaggio",$A$131)),0,GETPIVOTDATA("Somma di DARE",'Pivot RakBank EUR'!$A$3,"Mese",2,"Tipologia",$A141,"Viaggio",$A$131))
-IF(ISERROR(GETPIVOTDATA("Somma di AVERE",'Pivot RakBank EUR'!$A$3,"Mese",2,"Tipologia",$A141,"Viaggio",$A$131)),0,GETPIVOTDATA("Somma di AVERE",'Pivot RakBank EUR'!$A$3,"Mese",2,"Tipologia",$A141,"Viaggio",$A$131))
+IF(ISERROR(GETPIVOTDATA("Somma di DARE EUR",'Pivot RakBank AED'!$A$3,"Mese",2,"Tipologia",$A141,"Viaggio",$A$131)),0,GETPIVOTDATA("Somma di DARE EUR",'Pivot RakBank AED'!$A$3,"Mese",2,"Tipologia",$A141,"Viaggio",$A$131))
-IF(ISERROR(GETPIVOTDATA("Somma di AVERE EUR",'Pivot RakBank AED'!$A$3,"Mese",2,"Tipologia",$A141,"Viaggio",$A$131)),0,GETPIVOTDATA("Somma di AVERE EUR",'Pivot RakBank AED'!$A$3,"Mese",2,"Tipologia",$A141,"Viaggio",$A$131))</f>
        <v>0</v>
      </c>
      <c r="E141" s="270">
        <f>IF(ISERROR(GETPIVOTDATA("Somma di DARE",'Pivot Fineco Sa'!$A$3,"Mese",3,"Tipologia",$A141,"Viaggio",$A$131)),0,GETPIVOTDATA("Somma di DARE",'Pivot Fineco Sa'!$A$3,"Mese",3,"Tipologia",$A141,"Viaggio",$A$131))
+IF(ISERROR(GETPIVOTDATA("Somma di DARE",'Pivot Fineco St'!$A$3,"Mese",3,"Tipologia",$A141,"Viaggio",$A$131)),0,GETPIVOTDATA("Somma di DARE",'Pivot Fineco St'!$A$3,"Mese",3,"Tipologia",$A141,"Viaggio",$A$131))
+IF(Contanti!$M48='Conto Economico'!$A$131,Contanti!$J48)
+IF(ISERROR(GETPIVOTDATA("Somma di DARE",'Pivot BBVA'!$A$3,"Mese",3,"Tipologia",$A141,"Viaggio",$A$131)),0,GETPIVOTDATA("Somma di DARE",'Pivot BBVA'!$A$3,"Mese",3,"Tipologia",$A141,"Viaggio",$A$131))
+IF(ISERROR(GETPIVOTDATA("Somma di DARE",'Pivot Amex'!$A$3,"Mese",3,"Tipologia",$A141,"Viaggio",$A$131)),0,GETPIVOTDATA("Somma di DARE",'Pivot Amex'!$A$3,"Mese",3,"Tipologia",$A141,"Viaggio",$A$131))
-IF(ISERROR(GETPIVOTDATA("Somma di AVERE",'Pivot Amex'!$A$3,"Mese",3,"Tipologia",$A141,"Viaggio",$A$131)),0,GETPIVOTDATA("Somma di AVERE",'Pivot Amex'!$A$3,"Mese",3,"Tipologia",$A141,"Viaggio",$A$131))
-IF(ISERROR(GETPIVOTDATA("Somma di AVERE",'Pivot BBVA'!$A$3,"Mese",3,"Tipologia",$A141,"Viaggio",$A$131)),0,GETPIVOTDATA("Somma di AVERE",'Pivot BBVA'!$A$3,"Mese",3,"Tipologia",$A141,"Viaggio",$A$131))
-IF(ISERROR(GETPIVOTDATA("Somma di AVERE",'Pivot Fineco St'!$A$3,"Mese",3,"Tipologia",$A141,"Viaggio",$A$131)),0,GETPIVOTDATA("Somma di AVERE",'Pivot Fineco St'!$A$3,"Mese",3,"Tipologia",$A141,"Viaggio",$A$131))
-IF(ISERROR(GETPIVOTDATA("Somma di AVERE",'Pivot Fineco Sa'!$A$3,"Mese",3,"Tipologia",$A141,"Viaggio",$A$131)),0,GETPIVOTDATA("Somma di AVERE",'Pivot Fineco Sa'!$A$3,"Mese",3,"Tipologia",$A141,"Viaggio",$A$131))
+IF(ISERROR(GETPIVOTDATA("Somma di DARE",'Pivot PP Visa'!$A$3,"Mese",3,"Tipologia",$A141,"Viaggio",$A$131)),0,GETPIVOTDATA("Somma di DARE",'Pivot PP Visa'!$A$3,"Mese",3,"Tipologia",$A141,"Viaggio",$A$131))
-IF(ISERROR(GETPIVOTDATA("Somma di AVERE",'Pivot PP Visa'!$A$3,"Mese",3,"Tipologia",$A141,"Viaggio",$A$131)),0,GETPIVOTDATA("Somma di AVERE",'Pivot PP Visa'!$A$3,"Mese",3,"Tipologia",$A141,"Viaggio",$A$131))
+IF(ISERROR(GETPIVOTDATA("Somma di DARE",'Pivot Revolut'!$A$3,"Mese",3,"Tipologia",$A141,"Viaggio",$A$131)),0,GETPIVOTDATA("Somma di DARE",'Pivot Revolut'!$A$3,"Mese",3,"Tipologia",$A141,"Viaggio",$A$131))
-IF(ISERROR(GETPIVOTDATA("Somma di AVERE",'Pivot Revolut'!$A$3,"Mese",3,"Tipologia",$A141,"Viaggio",$A$131)),0,GETPIVOTDATA("Somma di AVERE",'Pivot Revolut'!$A$3,"Mese",3,"Tipologia",$A141,"Viaggio",$A$131))
+IF(ISERROR(GETPIVOTDATA("Somma di DARE",'Pivot RakBank EUR'!$A$3,"Mese",3,"Tipologia",$A141,"Viaggio",$A$131)),0,GETPIVOTDATA("Somma di DARE",'Pivot RakBank EUR'!$A$3,"Mese",3,"Tipologia",$A141,"Viaggio",$A$131))
-IF(ISERROR(GETPIVOTDATA("Somma di AVERE",'Pivot RakBank EUR'!$A$3,"Mese",3,"Tipologia",$A141,"Viaggio",$A$131)),0,GETPIVOTDATA("Somma di AVERE",'Pivot RakBank EUR'!$A$3,"Mese",3,"Tipologia",$A141,"Viaggio",$A$131))
+IF(ISERROR(GETPIVOTDATA("Somma di DARE EUR",'Pivot RakBank AED'!$A$3,"Mese",3,"Tipologia",$A141,"Viaggio",$A$131)),0,GETPIVOTDATA("Somma di DARE EUR",'Pivot RakBank AED'!$A$3,"Mese",3,"Tipologia",$A141,"Viaggio",$A$131))
-IF(ISERROR(GETPIVOTDATA("Somma di AVERE EUR",'Pivot RakBank AED'!$A$3,"Mese",3,"Tipologia",$A141,"Viaggio",$A$131)),0,GETPIVOTDATA("Somma di AVERE EUR",'Pivot RakBank AED'!$A$3,"Mese",3,"Tipologia",$A141,"Viaggio",$A$131))</f>
        <v>0</v>
      </c>
      <c r="F141" s="270">
        <f>IF(ISERROR(GETPIVOTDATA("Somma di DARE",'Pivot Fineco Sa'!$A$3,"Mese",4,"Tipologia",$A141,"Viaggio",$A$131)),0,GETPIVOTDATA("Somma di DARE",'Pivot Fineco Sa'!$A$3,"Mese",4,"Tipologia",$A141,"Viaggio",$A$131))
+IF(ISERROR(GETPIVOTDATA("Somma di DARE",'Pivot Fineco St'!$A$3,"Mese",4,"Tipologia",$A141,"Viaggio",$A$131)),0,GETPIVOTDATA("Somma di DARE",'Pivot Fineco St'!$A$3,"Mese",4,"Tipologia",$A141,"Viaggio",$A$131))
+IF(Contanti!$Q48='Conto Economico'!$A$131,Contanti!$N48)
+IF(ISERROR(GETPIVOTDATA("Somma di DARE",'Pivot BBVA'!$A$3,"Mese",4,"Tipologia",$A141,"Viaggio",$A$131)),0,GETPIVOTDATA("Somma di DARE",'Pivot BBVA'!$A$3,"Mese",4,"Tipologia",$A141,"Viaggio",$A$131))
+IF(ISERROR(GETPIVOTDATA("Somma di DARE",'Pivot Amex'!$A$3,"Mese",4,"Tipologia",$A141,"Viaggio",$A$131)),0,GETPIVOTDATA("Somma di DARE",'Pivot Amex'!$A$3,"Mese",4,"Tipologia",$A141,"Viaggio",$A$131))
-IF(ISERROR(GETPIVOTDATA("Somma di AVERE",'Pivot Amex'!$A$3,"Mese",4,"Tipologia",$A141,"Viaggio",$A$131)),0,GETPIVOTDATA("Somma di AVERE",'Pivot Amex'!$A$3,"Mese",4,"Tipologia",$A141,"Viaggio",$A$131))
-IF(ISERROR(GETPIVOTDATA("Somma di AVERE",'Pivot BBVA'!$A$3,"Mese",4,"Tipologia",$A141,"Viaggio",$A$131)),0,GETPIVOTDATA("Somma di AVERE",'Pivot BBVA'!$A$3,"Mese",4,"Tipologia",$A141,"Viaggio",$A$131))
-IF(ISERROR(GETPIVOTDATA("Somma di AVERE",'Pivot Fineco St'!$A$3,"Mese",4,"Tipologia",$A141,"Viaggio",$A$131)),0,GETPIVOTDATA("Somma di AVERE",'Pivot Fineco St'!$A$3,"Mese",4,"Tipologia",$A141,"Viaggio",$A$131))
-IF(ISERROR(GETPIVOTDATA("Somma di AVERE",'Pivot Fineco Sa'!$A$3,"Mese",4,"Tipologia",$A141,"Viaggio",$A$131)),0,GETPIVOTDATA("Somma di AVERE",'Pivot Fineco Sa'!$A$3,"Mese",4,"Tipologia",$A141,"Viaggio",$A$131))
+IF(ISERROR(GETPIVOTDATA("Somma di DARE",'Pivot PP Visa'!$A$3,"Mese",4,"Tipologia",$A141,"Viaggio",$A$131)),0,GETPIVOTDATA("Somma di DARE",'Pivot PP Visa'!$A$3,"Mese",4,"Tipologia",$A141,"Viaggio",$A$131))
-IF(ISERROR(GETPIVOTDATA("Somma di AVERE",'Pivot PP Visa'!$A$3,"Mese",4,"Tipologia",$A141,"Viaggio",$A$131)),0,GETPIVOTDATA("Somma di AVERE",'Pivot PP Visa'!$A$3,"Mese",4,"Tipologia",$A141,"Viaggio",$A$131))
+IF(ISERROR(GETPIVOTDATA("Somma di DARE",'Pivot Revolut'!$A$3,"Mese",4,"Tipologia",$A141,"Viaggio",$A$131)),0,GETPIVOTDATA("Somma di DARE",'Pivot Revolut'!$A$3,"Mese",4,"Tipologia",$A141,"Viaggio",$A$131))
-IF(ISERROR(GETPIVOTDATA("Somma di AVERE",'Pivot Revolut'!$A$3,"Mese",4,"Tipologia",$A141,"Viaggio",$A$131)),0,GETPIVOTDATA("Somma di AVERE",'Pivot Revolut'!$A$3,"Mese",4,"Tipologia",$A141,"Viaggio",$A$131))
+IF(ISERROR(GETPIVOTDATA("Somma di DARE",'Pivot RakBank EUR'!$A$3,"Mese",4,"Tipologia",$A141,"Viaggio",$A$131)),0,GETPIVOTDATA("Somma di DARE",'Pivot RakBank EUR'!$A$3,"Mese",4,"Tipologia",$A141,"Viaggio",$A$131))
-IF(ISERROR(GETPIVOTDATA("Somma di AVERE",'Pivot RakBank EUR'!$A$3,"Mese",4,"Tipologia",$A141,"Viaggio",$A$131)),0,GETPIVOTDATA("Somma di AVERE",'Pivot RakBank EUR'!$A$3,"Mese",4,"Tipologia",$A141,"Viaggio",$A$131))
+IF(ISERROR(GETPIVOTDATA("Somma di DARE EUR",'Pivot RakBank AED'!$A$3,"Mese",4,"Tipologia",$A141,"Viaggio",$A$131)),0,GETPIVOTDATA("Somma di DARE EUR",'Pivot RakBank AED'!$A$3,"Mese",4,"Tipologia",$A141,"Viaggio",$A$131))
-IF(ISERROR(GETPIVOTDATA("Somma di AVERE EUR",'Pivot RakBank AED'!$A$3,"Mese",4,"Tipologia",$A141,"Viaggio",$A$131)),0,GETPIVOTDATA("Somma di AVERE EUR",'Pivot RakBank AED'!$A$3,"Mese",4,"Tipologia",$A141,"Viaggio",$A$131))</f>
        <v>0</v>
      </c>
      <c r="G141" s="270">
        <f>IF(ISERROR(GETPIVOTDATA("Somma di DARE",'Pivot Fineco Sa'!$A$3,"Mese",5,"Tipologia",$A141,"Viaggio",$A$131)),0,GETPIVOTDATA("Somma di DARE",'Pivot Fineco Sa'!$A$3,"Mese",5,"Tipologia",$A141,"Viaggio",$A$131))
+IF(ISERROR(GETPIVOTDATA("Somma di DARE",'Pivot Fineco St'!$A$3,"Mese",5,"Tipologia",$A141,"Viaggio",$A$131)),0,GETPIVOTDATA("Somma di DARE",'Pivot Fineco St'!$A$3,"Mese",5,"Tipologia",$A141,"Viaggio",$A$131))
+IF(Contanti!$U48='Conto Economico'!$A$131,Contanti!$R48)
+IF(ISERROR(GETPIVOTDATA("Somma di DARE",'Pivot BBVA'!$A$3,"Mese",5,"Tipologia",$A141,"Viaggio",$A$131)),0,GETPIVOTDATA("Somma di DARE",'Pivot BBVA'!$A$3,"Mese",5,"Tipologia",$A141,"Viaggio",$A$131))
+IF(ISERROR(GETPIVOTDATA("Somma di DARE",'Pivot Amex'!$A$3,"Mese",5,"Tipologia",$A141,"Viaggio",$A$131)),0,GETPIVOTDATA("Somma di DARE",'Pivot Amex'!$A$3,"Mese",5,"Tipologia",$A141,"Viaggio",$A$131))
-IF(ISERROR(GETPIVOTDATA("Somma di AVERE",'Pivot Amex'!$A$3,"Mese",5,"Tipologia",$A141,"Viaggio",$A$131)),0,GETPIVOTDATA("Somma di AVERE",'Pivot Amex'!$A$3,"Mese",5,"Tipologia",$A141,"Viaggio",$A$131))
-IF(ISERROR(GETPIVOTDATA("Somma di AVERE",'Pivot BBVA'!$A$3,"Mese",5,"Tipologia",$A141,"Viaggio",$A$131)),0,GETPIVOTDATA("Somma di AVERE",'Pivot BBVA'!$A$3,"Mese",5,"Tipologia",$A141,"Viaggio",$A$131))
-IF(ISERROR(GETPIVOTDATA("Somma di AVERE",'Pivot Fineco St'!$A$3,"Mese",5,"Tipologia",$A141,"Viaggio",$A$131)),0,GETPIVOTDATA("Somma di AVERE",'Pivot Fineco St'!$A$3,"Mese",5,"Tipologia",$A141,"Viaggio",$A$131))
-IF(ISERROR(GETPIVOTDATA("Somma di AVERE",'Pivot Fineco Sa'!$A$3,"Mese",5,"Tipologia",$A141,"Viaggio",$A$131)),0,GETPIVOTDATA("Somma di AVERE",'Pivot Fineco Sa'!$A$3,"Mese",5,"Tipologia",$A141,"Viaggio",$A$131))
+IF(ISERROR(GETPIVOTDATA("Somma di DARE",'Pivot PP Visa'!$A$3,"Mese",5,"Tipologia",$A141,"Viaggio",$A$131)),0,GETPIVOTDATA("Somma di DARE",'Pivot PP Visa'!$A$3,"Mese",5,"Tipologia",$A141,"Viaggio",$A$131))
-IF(ISERROR(GETPIVOTDATA("Somma di AVERE",'Pivot PP Visa'!$A$3,"Mese",5,"Tipologia",$A141,"Viaggio",$A$131)),0,GETPIVOTDATA("Somma di AVERE",'Pivot PP Visa'!$A$3,"Mese",5,"Tipologia",$A141,"Viaggio",$A$131))
+IF(ISERROR(GETPIVOTDATA("Somma di DARE",'Pivot Revolut'!$A$3,"Mese",5,"Tipologia",$A141,"Viaggio",$A$131)),0,GETPIVOTDATA("Somma di DARE",'Pivot Revolut'!$A$3,"Mese",5,"Tipologia",$A141,"Viaggio",$A$131))
-IF(ISERROR(GETPIVOTDATA("Somma di AVERE",'Pivot Revolut'!$A$3,"Mese",5,"Tipologia",$A141,"Viaggio",$A$131)),0,GETPIVOTDATA("Somma di AVERE",'Pivot Revolut'!$A$3,"Mese",5,"Tipologia",$A141,"Viaggio",$A$131))
+IF(ISERROR(GETPIVOTDATA("Somma di DARE",'Pivot RakBank EUR'!$A$3,"Mese",5,"Tipologia",$A141,"Viaggio",$A$131)),0,GETPIVOTDATA("Somma di DARE",'Pivot RakBank EUR'!$A$3,"Mese",5,"Tipologia",$A141,"Viaggio",$A$131))
-IF(ISERROR(GETPIVOTDATA("Somma di AVERE",'Pivot RakBank EUR'!$A$3,"Mese",5,"Tipologia",$A141,"Viaggio",$A$131)),0,GETPIVOTDATA("Somma di AVERE",'Pivot RakBank EUR'!$A$3,"Mese",5,"Tipologia",$A141,"Viaggio",$A$131))
+IF(ISERROR(GETPIVOTDATA("Somma di DARE EUR",'Pivot RakBank AED'!$A$3,"Mese",5,"Tipologia",$A141,"Viaggio",$A$131)),0,GETPIVOTDATA("Somma di DARE EUR",'Pivot RakBank AED'!$A$3,"Mese",5,"Tipologia",$A141,"Viaggio",$A$131))
-IF(ISERROR(GETPIVOTDATA("Somma di AVERE EUR",'Pivot RakBank AED'!$A$3,"Mese",5,"Tipologia",$A141,"Viaggio",$A$131)),0,GETPIVOTDATA("Somma di AVERE EUR",'Pivot RakBank AED'!$A$3,"Mese",5,"Tipologia",$A141,"Viaggio",$A$131))</f>
        <v>0</v>
      </c>
      <c r="H141" s="270">
        <f>IF(ISERROR(GETPIVOTDATA("Somma di DARE",'Pivot Fineco Sa'!$A$3,"Mese",6,"Tipologia",$A141,"Viaggio",$A$131)),0,GETPIVOTDATA("Somma di DARE",'Pivot Fineco Sa'!$A$3,"Mese",6,"Tipologia",$A141,"Viaggio",$A$131))
+IF(ISERROR(GETPIVOTDATA("Somma di DARE",'Pivot Fineco St'!$A$3,"Mese",6,"Tipologia",$A141,"Viaggio",$A$131)),0,GETPIVOTDATA("Somma di DARE",'Pivot Fineco St'!$A$3,"Mese",6,"Tipologia",$A141,"Viaggio",$A$131))
+IF(Contanti!$Y48='Conto Economico'!$A$131,Contanti!$V48)
+IF(ISERROR(GETPIVOTDATA("Somma di DARE",'Pivot BBVA'!$A$3,"Mese",6,"Tipologia",$A141,"Viaggio",$A$131)),0,GETPIVOTDATA("Somma di DARE",'Pivot BBVA'!$A$3,"Mese",6,"Tipologia",$A141,"Viaggio",$A$131))
+IF(ISERROR(GETPIVOTDATA("Somma di DARE",'Pivot Amex'!$A$3,"Mese",6,"Tipologia",$A141,"Viaggio",$A$131)),0,GETPIVOTDATA("Somma di DARE",'Pivot Amex'!$A$3,"Mese",6,"Tipologia",$A141,"Viaggio",$A$131))
-IF(ISERROR(GETPIVOTDATA("Somma di AVERE",'Pivot Amex'!$A$3,"Mese",6,"Tipologia",$A141,"Viaggio",$A$131)),0,GETPIVOTDATA("Somma di AVERE",'Pivot Amex'!$A$3,"Mese",6,"Tipologia",$A141,"Viaggio",$A$131))
-IF(ISERROR(GETPIVOTDATA("Somma di AVERE",'Pivot BBVA'!$A$3,"Mese",6,"Tipologia",$A141,"Viaggio",$A$131)),0,GETPIVOTDATA("Somma di AVERE",'Pivot BBVA'!$A$3,"Mese",6,"Tipologia",$A141,"Viaggio",$A$131))
-IF(ISERROR(GETPIVOTDATA("Somma di AVERE",'Pivot Fineco St'!$A$3,"Mese",6,"Tipologia",$A141,"Viaggio",$A$131)),0,GETPIVOTDATA("Somma di AVERE",'Pivot Fineco St'!$A$3,"Mese",6,"Tipologia",$A141,"Viaggio",$A$131))
-IF(ISERROR(GETPIVOTDATA("Somma di AVERE",'Pivot Fineco Sa'!$A$3,"Mese",6,"Tipologia",$A141,"Viaggio",$A$131)),0,GETPIVOTDATA("Somma di AVERE",'Pivot Fineco Sa'!$A$3,"Mese",6,"Tipologia",$A141,"Viaggio",$A$131))
+IF(ISERROR(GETPIVOTDATA("Somma di DARE",'Pivot PP Visa'!$A$3,"Mese",6,"Tipologia",$A141,"Viaggio",$A$131)),0,GETPIVOTDATA("Somma di DARE",'Pivot PP Visa'!$A$3,"Mese",6,"Tipologia",$A141,"Viaggio",$A$131))
-IF(ISERROR(GETPIVOTDATA("Somma di AVERE",'Pivot PP Visa'!$A$3,"Mese",6,"Tipologia",$A141,"Viaggio",$A$131)),0,GETPIVOTDATA("Somma di AVERE",'Pivot PP Visa'!$A$3,"Mese",6,"Tipologia",$A141,"Viaggio",$A$131))
+IF(ISERROR(GETPIVOTDATA("Somma di DARE",'Pivot Revolut'!$A$3,"Mese",6,"Tipologia",$A141,"Viaggio",$A$131)),0,GETPIVOTDATA("Somma di DARE",'Pivot Revolut'!$A$3,"Mese",6,"Tipologia",$A141,"Viaggio",$A$131))
-IF(ISERROR(GETPIVOTDATA("Somma di AVERE",'Pivot Revolut'!$A$3,"Mese",6,"Tipologia",$A141,"Viaggio",$A$131)),0,GETPIVOTDATA("Somma di AVERE",'Pivot Revolut'!$A$3,"Mese",6,"Tipologia",$A141,"Viaggio",$A$131))
+IF(ISERROR(GETPIVOTDATA("Somma di DARE",'Pivot RakBank EUR'!$A$3,"Mese",6,"Tipologia",$A141,"Viaggio",$A$131)),0,GETPIVOTDATA("Somma di DARE",'Pivot RakBank EUR'!$A$3,"Mese",6,"Tipologia",$A141,"Viaggio",$A$131))
-IF(ISERROR(GETPIVOTDATA("Somma di AVERE",'Pivot RakBank EUR'!$A$3,"Mese",6,"Tipologia",$A141,"Viaggio",$A$131)),0,GETPIVOTDATA("Somma di AVERE",'Pivot RakBank EUR'!$A$3,"Mese",6,"Tipologia",$A141,"Viaggio",$A$131))
+IF(ISERROR(GETPIVOTDATA("Somma di DARE EUR",'Pivot RakBank AED'!$A$3,"Mese",6,"Tipologia",$A141,"Viaggio",$A$131)),0,GETPIVOTDATA("Somma di DARE EUR",'Pivot RakBank AED'!$A$3,"Mese",6,"Tipologia",$A141,"Viaggio",$A$131))
-IF(ISERROR(GETPIVOTDATA("Somma di AVERE EUR",'Pivot RakBank AED'!$A$3,"Mese",6,"Tipologia",$A141,"Viaggio",$A$131)),0,GETPIVOTDATA("Somma di AVERE EUR",'Pivot RakBank AED'!$A$3,"Mese",6,"Tipologia",$A141,"Viaggio",$A$131))</f>
        <v>0</v>
      </c>
      <c r="I141" s="270">
        <f>IF(ISERROR(GETPIVOTDATA("Somma di DARE",'Pivot Fineco Sa'!$A$3,"Mese",7,"Tipologia",$A141,"Viaggio",$A$131)),0,GETPIVOTDATA("Somma di DARE",'Pivot Fineco Sa'!$A$3,"Mese",7,"Tipologia",$A141,"Viaggio",$A$131))
+IF(ISERROR(GETPIVOTDATA("Somma di DARE",'Pivot Fineco St'!$A$3,"Mese",7,"Tipologia",$A141,"Viaggio",$A$131)),0,GETPIVOTDATA("Somma di DARE",'Pivot Fineco St'!$A$3,"Mese",7,"Tipologia",$A141,"Viaggio",$A$131))
+IF(Contanti!$AC48='Conto Economico'!$A$131,Contanti!$Z48)
+IF(ISERROR(GETPIVOTDATA("Somma di DARE",'Pivot BBVA'!$A$3,"Mese",7,"Tipologia",$A141,"Viaggio",$A$131)),0,GETPIVOTDATA("Somma di DARE",'Pivot BBVA'!$A$3,"Mese",7,"Tipologia",$A141,"Viaggio",$A$131))
+IF(ISERROR(GETPIVOTDATA("Somma di DARE",'Pivot Amex'!$A$3,"Mese",7,"Tipologia",$A141,"Viaggio",$A$131)),0,GETPIVOTDATA("Somma di DARE",'Pivot Amex'!$A$3,"Mese",7,"Tipologia",$A141,"Viaggio",$A$131))
-IF(ISERROR(GETPIVOTDATA("Somma di AVERE",'Pivot Amex'!$A$3,"Mese",7,"Tipologia",$A141,"Viaggio",$A$131)),0,GETPIVOTDATA("Somma di AVERE",'Pivot Amex'!$A$3,"Mese",7,"Tipologia",$A141,"Viaggio",$A$131))
-IF(ISERROR(GETPIVOTDATA("Somma di AVERE",'Pivot BBVA'!$A$3,"Mese",7,"Tipologia",$A141,"Viaggio",$A$131)),0,GETPIVOTDATA("Somma di AVERE",'Pivot BBVA'!$A$3,"Mese",7,"Tipologia",$A141,"Viaggio",$A$131))
-IF(ISERROR(GETPIVOTDATA("Somma di AVERE",'Pivot Fineco St'!$A$3,"Mese",7,"Tipologia",$A141,"Viaggio",$A$131)),0,GETPIVOTDATA("Somma di AVERE",'Pivot Fineco St'!$A$3,"Mese",7,"Tipologia",$A141,"Viaggio",$A$131))
-IF(ISERROR(GETPIVOTDATA("Somma di AVERE",'Pivot Fineco Sa'!$A$3,"Mese",7,"Tipologia",$A141,"Viaggio",$A$131)),0,GETPIVOTDATA("Somma di AVERE",'Pivot Fineco Sa'!$A$3,"Mese",7,"Tipologia",$A141,"Viaggio",$A$131))
+IF(ISERROR(GETPIVOTDATA("Somma di DARE",'Pivot PP Visa'!$A$3,"Mese",7,"Tipologia",$A141,"Viaggio",$A$131)),0,GETPIVOTDATA("Somma di DARE",'Pivot PP Visa'!$A$3,"Mese",7,"Tipologia",$A141,"Viaggio",$A$131))
-IF(ISERROR(GETPIVOTDATA("Somma di AVERE",'Pivot PP Visa'!$A$3,"Mese",7,"Tipologia",$A141,"Viaggio",$A$131)),0,GETPIVOTDATA("Somma di AVERE",'Pivot PP Visa'!$A$3,"Mese",7,"Tipologia",$A141,"Viaggio",$A$131))
+IF(ISERROR(GETPIVOTDATA("Somma di DARE",'Pivot Revolut'!$A$3,"Mese",7,"Tipologia",$A141,"Viaggio",$A$131)),0,GETPIVOTDATA("Somma di DARE",'Pivot Revolut'!$A$3,"Mese",7,"Tipologia",$A141,"Viaggio",$A$131))
-IF(ISERROR(GETPIVOTDATA("Somma di AVERE",'Pivot Revolut'!$A$3,"Mese",7,"Tipologia",$A141,"Viaggio",$A$131)),0,GETPIVOTDATA("Somma di AVERE",'Pivot Revolut'!$A$3,"Mese",7,"Tipologia",$A141,"Viaggio",$A$131))
+IF(ISERROR(GETPIVOTDATA("Somma di DARE",'Pivot RakBank EUR'!$A$3,"Mese",7,"Tipologia",$A141,"Viaggio",$A$131)),0,GETPIVOTDATA("Somma di DARE",'Pivot RakBank EUR'!$A$3,"Mese",7,"Tipologia",$A141,"Viaggio",$A$131))
-IF(ISERROR(GETPIVOTDATA("Somma di AVERE",'Pivot RakBank EUR'!$A$3,"Mese",7,"Tipologia",$A141,"Viaggio",$A$131)),0,GETPIVOTDATA("Somma di AVERE",'Pivot RakBank EUR'!$A$3,"Mese",7,"Tipologia",$A141,"Viaggio",$A$131))
+IF(ISERROR(GETPIVOTDATA("Somma di DARE EUR",'Pivot RakBank AED'!$A$3,"Mese",7,"Tipologia",$A141,"Viaggio",$A$131)),0,GETPIVOTDATA("Somma di DARE EUR",'Pivot RakBank AED'!$A$3,"Mese",7,"Tipologia",$A141,"Viaggio",$A$131))
-IF(ISERROR(GETPIVOTDATA("Somma di AVERE EUR",'Pivot RakBank AED'!$A$3,"Mese",7,"Tipologia",$A141,"Viaggio",$A$131)),0,GETPIVOTDATA("Somma di AVERE EUR",'Pivot RakBank AED'!$A$3,"Mese",7,"Tipologia",$A141,"Viaggio",$A$131))</f>
        <v>0</v>
      </c>
      <c r="J141" s="270">
        <f>IF(ISERROR(GETPIVOTDATA("Somma di DARE",'Pivot Fineco Sa'!$A$3,"Mese",8,"Tipologia",$A141,"Viaggio",$A$131)),0,GETPIVOTDATA("Somma di DARE",'Pivot Fineco Sa'!$A$3,"Mese",8,"Tipologia",$A141,"Viaggio",$A$131))
+IF(ISERROR(GETPIVOTDATA("Somma di DARE",'Pivot Fineco St'!$A$3,"Mese",8,"Tipologia",$A141,"Viaggio",$A$131)),0,GETPIVOTDATA("Somma di DARE",'Pivot Fineco St'!$A$3,"Mese",8,"Tipologia",$A141,"Viaggio",$A$131))
+IF(Contanti!$AG48='Conto Economico'!$A$131,Contanti!$AD48)
+IF(ISERROR(GETPIVOTDATA("Somma di DARE",'Pivot BBVA'!$A$3,"Mese",8,"Tipologia",$A141,"Viaggio",$A$131)),0,GETPIVOTDATA("Somma di DARE",'Pivot BBVA'!$A$3,"Mese",8,"Tipologia",$A141,"Viaggio",$A$131))
+IF(ISERROR(GETPIVOTDATA("Somma di DARE",'Pivot Amex'!$A$3,"Mese",8,"Tipologia",$A141,"Viaggio",$A$131)),0,GETPIVOTDATA("Somma di DARE",'Pivot Amex'!$A$3,"Mese",8,"Tipologia",$A141,"Viaggio",$A$131))
-IF(ISERROR(GETPIVOTDATA("Somma di AVERE",'Pivot Amex'!$A$3,"Mese",8,"Tipologia",$A141,"Viaggio",$A$131)),0,GETPIVOTDATA("Somma di AVERE",'Pivot Amex'!$A$3,"Mese",8,"Tipologia",$A141,"Viaggio",$A$131))
-IF(ISERROR(GETPIVOTDATA("Somma di AVERE",'Pivot BBVA'!$A$3,"Mese",8,"Tipologia",$A141,"Viaggio",$A$131)),0,GETPIVOTDATA("Somma di AVERE",'Pivot BBVA'!$A$3,"Mese",8,"Tipologia",$A141,"Viaggio",$A$131))
-IF(ISERROR(GETPIVOTDATA("Somma di AVERE",'Pivot Fineco St'!$A$3,"Mese",8,"Tipologia",$A141,"Viaggio",$A$131)),0,GETPIVOTDATA("Somma di AVERE",'Pivot Fineco St'!$A$3,"Mese",8,"Tipologia",$A141,"Viaggio",$A$131))
-IF(ISERROR(GETPIVOTDATA("Somma di AVERE",'Pivot Fineco Sa'!$A$3,"Mese",8,"Tipologia",$A141,"Viaggio",$A$131)),0,GETPIVOTDATA("Somma di AVERE",'Pivot Fineco Sa'!$A$3,"Mese",8,"Tipologia",$A141,"Viaggio",$A$131))
+IF(ISERROR(GETPIVOTDATA("Somma di DARE",'Pivot PP Visa'!$A$3,"Mese",8,"Tipologia",$A141,"Viaggio",$A$131)),0,GETPIVOTDATA("Somma di DARE",'Pivot PP Visa'!$A$3,"Mese",8,"Tipologia",$A141,"Viaggio",$A$131))
-IF(ISERROR(GETPIVOTDATA("Somma di AVERE",'Pivot PP Visa'!$A$3,"Mese",8,"Tipologia",$A141,"Viaggio",$A$131)),0,GETPIVOTDATA("Somma di AVERE",'Pivot PP Visa'!$A$3,"Mese",8,"Tipologia",$A141,"Viaggio",$A$131))
+IF(ISERROR(GETPIVOTDATA("Somma di DARE",'Pivot Revolut'!$A$3,"Mese",8,"Tipologia",$A141,"Viaggio",$A$131)),0,GETPIVOTDATA("Somma di DARE",'Pivot Revolut'!$A$3,"Mese",8,"Tipologia",$A141,"Viaggio",$A$131))
-IF(ISERROR(GETPIVOTDATA("Somma di AVERE",'Pivot Revolut'!$A$3,"Mese",8,"Tipologia",$A141,"Viaggio",$A$131)),0,GETPIVOTDATA("Somma di AVERE",'Pivot Revolut'!$A$3,"Mese",8,"Tipologia",$A141,"Viaggio",$A$131))
+IF(ISERROR(GETPIVOTDATA("Somma di DARE",'Pivot RakBank EUR'!$A$3,"Mese",8,"Tipologia",$A141,"Viaggio",$A$131)),0,GETPIVOTDATA("Somma di DARE",'Pivot RakBank EUR'!$A$3,"Mese",8,"Tipologia",$A141,"Viaggio",$A$131))
-IF(ISERROR(GETPIVOTDATA("Somma di AVERE",'Pivot RakBank EUR'!$A$3,"Mese",8,"Tipologia",$A141,"Viaggio",$A$131)),0,GETPIVOTDATA("Somma di AVERE",'Pivot RakBank EUR'!$A$3,"Mese",8,"Tipologia",$A141,"Viaggio",$A$131))
+IF(ISERROR(GETPIVOTDATA("Somma di DARE EUR",'Pivot RakBank AED'!$A$3,"Mese",8,"Tipologia",$A141,"Viaggio",$A$131)),0,GETPIVOTDATA("Somma di DARE EUR",'Pivot RakBank AED'!$A$3,"Mese",8,"Tipologia",$A141,"Viaggio",$A$131))
-IF(ISERROR(GETPIVOTDATA("Somma di AVERE EUR",'Pivot RakBank AED'!$A$3,"Mese",8,"Tipologia",$A141,"Viaggio",$A$131)),0,GETPIVOTDATA("Somma di AVERE EUR",'Pivot RakBank AED'!$A$3,"Mese",8,"Tipologia",$A141,"Viaggio",$A$131))</f>
        <v>0</v>
      </c>
      <c r="K141" s="270">
        <f>IF(ISERROR(GETPIVOTDATA("Somma di DARE",'Pivot Fineco Sa'!$A$3,"Mese",9,"Tipologia",$A141,"Viaggio",$A$131)),0,GETPIVOTDATA("Somma di DARE",'Pivot Fineco Sa'!$A$3,"Mese",9,"Tipologia",$A141,"Viaggio",$A$131))
+IF(ISERROR(GETPIVOTDATA("Somma di DARE",'Pivot Fineco St'!$A$3,"Mese",9,"Tipologia",$A141,"Viaggio",$A$131)),0,GETPIVOTDATA("Somma di DARE",'Pivot Fineco St'!$A$3,"Mese",9,"Tipologia",$A141,"Viaggio",$A$131))
+IF(Contanti!$AK48='Conto Economico'!$A$131,Contanti!$AH48)
+IF(ISERROR(GETPIVOTDATA("Somma di DARE",'Pivot BBVA'!$A$3,"Mese",9,"Tipologia",$A141,"Viaggio",$A$131)),0,GETPIVOTDATA("Somma di DARE",'Pivot BBVA'!$A$3,"Mese",9,"Tipologia",$A141,"Viaggio",$A$131))
+IF(ISERROR(GETPIVOTDATA("Somma di DARE",'Pivot Amex'!$A$3,"Mese",9,"Tipologia",$A141,"Viaggio",$A$131)),0,GETPIVOTDATA("Somma di DARE",'Pivot Amex'!$A$3,"Mese",9,"Tipologia",$A141,"Viaggio",$A$131))
-IF(ISERROR(GETPIVOTDATA("Somma di AVERE",'Pivot Amex'!$A$3,"Mese",9,"Tipologia",$A141,"Viaggio",$A$131)),0,GETPIVOTDATA("Somma di AVERE",'Pivot Amex'!$A$3,"Mese",9,"Tipologia",$A141,"Viaggio",$A$131))
-IF(ISERROR(GETPIVOTDATA("Somma di AVERE",'Pivot BBVA'!$A$3,"Mese",9,"Tipologia",$A141,"Viaggio",$A$131)),0,GETPIVOTDATA("Somma di AVERE",'Pivot BBVA'!$A$3,"Mese",9,"Tipologia",$A141,"Viaggio",$A$131))
-IF(ISERROR(GETPIVOTDATA("Somma di AVERE",'Pivot Fineco St'!$A$3,"Mese",9,"Tipologia",$A141,"Viaggio",$A$131)),0,GETPIVOTDATA("Somma di AVERE",'Pivot Fineco St'!$A$3,"Mese",9,"Tipologia",$A141,"Viaggio",$A$131))
-IF(ISERROR(GETPIVOTDATA("Somma di AVERE",'Pivot Fineco Sa'!$A$3,"Mese",9,"Tipologia",$A141,"Viaggio",$A$131)),0,GETPIVOTDATA("Somma di AVERE",'Pivot Fineco Sa'!$A$3,"Mese",9,"Tipologia",$A141,"Viaggio",$A$131))
+IF(ISERROR(GETPIVOTDATA("Somma di DARE",'Pivot PP Visa'!$A$3,"Mese",9,"Tipologia",$A141,"Viaggio",$A$131)),0,GETPIVOTDATA("Somma di DARE",'Pivot PP Visa'!$A$3,"Mese",9,"Tipologia",$A141,"Viaggio",$A$131))
-IF(ISERROR(GETPIVOTDATA("Somma di AVERE",'Pivot PP Visa'!$A$3,"Mese",9,"Tipologia",$A141,"Viaggio",$A$131)),0,GETPIVOTDATA("Somma di AVERE",'Pivot PP Visa'!$A$3,"Mese",9,"Tipologia",$A141,"Viaggio",$A$131))
+IF(ISERROR(GETPIVOTDATA("Somma di DARE",'Pivot Revolut'!$A$3,"Mese",9,"Tipologia",$A141,"Viaggio",$A$131)),0,GETPIVOTDATA("Somma di DARE",'Pivot Revolut'!$A$3,"Mese",9,"Tipologia",$A141,"Viaggio",$A$131))
-IF(ISERROR(GETPIVOTDATA("Somma di AVERE",'Pivot Revolut'!$A$3,"Mese",9,"Tipologia",$A141,"Viaggio",$A$131)),0,GETPIVOTDATA("Somma di AVERE",'Pivot Revolut'!$A$3,"Mese",9,"Tipologia",$A141,"Viaggio",$A$131))
+IF(ISERROR(GETPIVOTDATA("Somma di DARE",'Pivot RakBank EUR'!$A$3,"Mese",9,"Tipologia",$A141,"Viaggio",$A$131)),0,GETPIVOTDATA("Somma di DARE",'Pivot RakBank EUR'!$A$3,"Mese",9,"Tipologia",$A141,"Viaggio",$A$131))
-IF(ISERROR(GETPIVOTDATA("Somma di AVERE",'Pivot RakBank EUR'!$A$3,"Mese",9,"Tipologia",$A141,"Viaggio",$A$131)),0,GETPIVOTDATA("Somma di AVERE",'Pivot RakBank EUR'!$A$3,"Mese",9,"Tipologia",$A141,"Viaggio",$A$131))
+IF(ISERROR(GETPIVOTDATA("Somma di DARE EUR",'Pivot RakBank AED'!$A$3,"Mese",9,"Tipologia",$A141,"Viaggio",$A$131)),0,GETPIVOTDATA("Somma di DARE EUR",'Pivot RakBank AED'!$A$3,"Mese",9,"Tipologia",$A141,"Viaggio",$A$131))
-IF(ISERROR(GETPIVOTDATA("Somma di AVERE EUR",'Pivot RakBank AED'!$A$3,"Mese",9,"Tipologia",$A141,"Viaggio",$A$131)),0,GETPIVOTDATA("Somma di AVERE EUR",'Pivot RakBank AED'!$A$3,"Mese",9,"Tipologia",$A141,"Viaggio",$A$131))</f>
        <v>0</v>
      </c>
      <c r="L141" s="270">
        <f>IF(ISERROR(GETPIVOTDATA("Somma di DARE",'Pivot Fineco Sa'!$A$3,"Mese",10,"Tipologia",$A141,"Viaggio",$A$131)),0,GETPIVOTDATA("Somma di DARE",'Pivot Fineco Sa'!$A$3,"Mese",10,"Tipologia",$A141,"Viaggio",$A$131))
+IF(ISERROR(GETPIVOTDATA("Somma di DARE",'Pivot Fineco St'!$A$3,"Mese",10,"Tipologia",$A141,"Viaggio",$A$131)),0,GETPIVOTDATA("Somma di DARE",'Pivot Fineco St'!$A$3,"Mese",10,"Tipologia",$A141,"Viaggio",$A$131))
+IF(Contanti!$AO48='Conto Economico'!$A$131,Contanti!$AL48)
+IF(ISERROR(GETPIVOTDATA("Somma di DARE",'Pivot BBVA'!$A$3,"Mese",10,"Tipologia",$A141,"Viaggio",$A$131)),0,GETPIVOTDATA("Somma di DARE",'Pivot BBVA'!$A$3,"Mese",10,"Tipologia",$A141,"Viaggio",$A$131))
+IF(ISERROR(GETPIVOTDATA("Somma di DARE",'Pivot Amex'!$A$3,"Mese",10,"Tipologia",$A141,"Viaggio",$A$131)),0,GETPIVOTDATA("Somma di DARE",'Pivot Amex'!$A$3,"Mese",10,"Tipologia",$A141,"Viaggio",$A$131))
-IF(ISERROR(GETPIVOTDATA("Somma di AVERE",'Pivot Amex'!$A$3,"Mese",10,"Tipologia",$A141,"Viaggio",$A$131)),0,GETPIVOTDATA("Somma di AVERE",'Pivot Amex'!$A$3,"Mese",10,"Tipologia",$A141,"Viaggio",$A$131))
-IF(ISERROR(GETPIVOTDATA("Somma di AVERE",'Pivot BBVA'!$A$3,"Mese",10,"Tipologia",$A141,"Viaggio",$A$131)),0,GETPIVOTDATA("Somma di AVERE",'Pivot BBVA'!$A$3,"Mese",10,"Tipologia",$A141,"Viaggio",$A$131))
-IF(ISERROR(GETPIVOTDATA("Somma di AVERE",'Pivot Fineco St'!$A$3,"Mese",10,"Tipologia",$A141,"Viaggio",$A$131)),0,GETPIVOTDATA("Somma di AVERE",'Pivot Fineco St'!$A$3,"Mese",10,"Tipologia",$A141,"Viaggio",$A$131))
-IF(ISERROR(GETPIVOTDATA("Somma di AVERE",'Pivot Fineco Sa'!$A$3,"Mese",10,"Tipologia",$A141,"Viaggio",$A$131)),0,GETPIVOTDATA("Somma di AVERE",'Pivot Fineco Sa'!$A$3,"Mese",10,"Tipologia",$A141,"Viaggio",$A$131))
+IF(ISERROR(GETPIVOTDATA("Somma di DARE",'Pivot PP Visa'!$A$3,"Mese",10,"Tipologia",$A141,"Viaggio",$A$131)),0,GETPIVOTDATA("Somma di DARE",'Pivot PP Visa'!$A$3,"Mese",10,"Tipologia",$A141,"Viaggio",$A$131))
-IF(ISERROR(GETPIVOTDATA("Somma di AVERE",'Pivot PP Visa'!$A$3,"Mese",10,"Tipologia",$A141,"Viaggio",$A$131)),0,GETPIVOTDATA("Somma di AVERE",'Pivot PP Visa'!$A$3,"Mese",10,"Tipologia",$A141,"Viaggio",$A$131))
+IF(ISERROR(GETPIVOTDATA("Somma di DARE",'Pivot Revolut'!$A$3,"Mese",10,"Tipologia",$A141,"Viaggio",$A$131)),0,GETPIVOTDATA("Somma di DARE",'Pivot Revolut'!$A$3,"Mese",10,"Tipologia",$A141,"Viaggio",$A$131))
-IF(ISERROR(GETPIVOTDATA("Somma di AVERE",'Pivot Revolut'!$A$3,"Mese",10,"Tipologia",$A141,"Viaggio",$A$131)),0,GETPIVOTDATA("Somma di AVERE",'Pivot Revolut'!$A$3,"Mese",10,"Tipologia",$A141,"Viaggio",$A$131))
+IF(ISERROR(GETPIVOTDATA("Somma di DARE",'Pivot RakBank EUR'!$A$3,"Mese",10,"Tipologia",$A141,"Viaggio",$A$131)),0,GETPIVOTDATA("Somma di DARE",'Pivot RakBank EUR'!$A$3,"Mese",10,"Tipologia",$A141,"Viaggio",$A$131))
-IF(ISERROR(GETPIVOTDATA("Somma di AVERE",'Pivot RakBank EUR'!$A$3,"Mese",10,"Tipologia",$A141,"Viaggio",$A$131)),0,GETPIVOTDATA("Somma di AVERE",'Pivot RakBank EUR'!$A$3,"Mese",10,"Tipologia",$A141,"Viaggio",$A$131))
+IF(ISERROR(GETPIVOTDATA("Somma di DARE EUR",'Pivot RakBank AED'!$A$3,"Mese",10,"Tipologia",$A141,"Viaggio",$A$131)),0,GETPIVOTDATA("Somma di DARE EUR",'Pivot RakBank AED'!$A$3,"Mese",10,"Tipologia",$A141,"Viaggio",$A$131))
-IF(ISERROR(GETPIVOTDATA("Somma di AVERE EUR",'Pivot RakBank AED'!$A$3,"Mese",10,"Tipologia",$A141,"Viaggio",$A$131)),0,GETPIVOTDATA("Somma di AVERE EUR",'Pivot RakBank AED'!$A$3,"Mese",10,"Tipologia",$A141,"Viaggio",$A$131))</f>
        <v>0</v>
      </c>
      <c r="M141" s="270">
        <f>IF(ISERROR(GETPIVOTDATA("Somma di DARE",'Pivot Fineco Sa'!$A$3,"Mese",11,"Tipologia",$A141,"Viaggio",$A$131)),0,GETPIVOTDATA("Somma di DARE",'Pivot Fineco Sa'!$A$3,"Mese",11,"Tipologia",$A141,"Viaggio",$A$131))
+IF(ISERROR(GETPIVOTDATA("Somma di DARE",'Pivot Fineco St'!$A$3,"Mese",11,"Tipologia",$A141,"Viaggio",$A$131)),0,GETPIVOTDATA("Somma di DARE",'Pivot Fineco St'!$A$3,"Mese",11,"Tipologia",$A141,"Viaggio",$A$131))
+IF(Contanti!$AS48='Conto Economico'!$A$131,Contanti!$AP48)
+IF(ISERROR(GETPIVOTDATA("Somma di DARE",'Pivot BBVA'!$A$3,"Mese",11,"Tipologia",$A141,"Viaggio",$A$131)),0,GETPIVOTDATA("Somma di DARE",'Pivot BBVA'!$A$3,"Mese",11,"Tipologia",$A141,"Viaggio",$A$131))
+IF(ISERROR(GETPIVOTDATA("Somma di DARE",'Pivot Amex'!$A$3,"Mese",11,"Tipologia",$A141,"Viaggio",$A$131)),0,GETPIVOTDATA("Somma di DARE",'Pivot Amex'!$A$3,"Mese",11,"Tipologia",$A141,"Viaggio",$A$131))
-IF(ISERROR(GETPIVOTDATA("Somma di AVERE",'Pivot Amex'!$A$3,"Mese",11,"Tipologia",$A141,"Viaggio",$A$131)),0,GETPIVOTDATA("Somma di AVERE",'Pivot Amex'!$A$3,"Mese",11,"Tipologia",$A141,"Viaggio",$A$131))
-IF(ISERROR(GETPIVOTDATA("Somma di AVERE",'Pivot BBVA'!$A$3,"Mese",11,"Tipologia",$A141,"Viaggio",$A$131)),0,GETPIVOTDATA("Somma di AVERE",'Pivot BBVA'!$A$3,"Mese",11,"Tipologia",$A141,"Viaggio",$A$131))
-IF(ISERROR(GETPIVOTDATA("Somma di AVERE",'Pivot Fineco St'!$A$3,"Mese",11,"Tipologia",$A141,"Viaggio",$A$131)),0,GETPIVOTDATA("Somma di AVERE",'Pivot Fineco St'!$A$3,"Mese",11,"Tipologia",$A141,"Viaggio",$A$131))
-IF(ISERROR(GETPIVOTDATA("Somma di AVERE",'Pivot Fineco Sa'!$A$3,"Mese",11,"Tipologia",$A141,"Viaggio",$A$131)),0,GETPIVOTDATA("Somma di AVERE",'Pivot Fineco Sa'!$A$3,"Mese",11,"Tipologia",$A141,"Viaggio",$A$131))
+IF(ISERROR(GETPIVOTDATA("Somma di DARE",'Pivot PP Visa'!$A$3,"Mese",11,"Tipologia",$A141,"Viaggio",$A$131)),0,GETPIVOTDATA("Somma di DARE",'Pivot PP Visa'!$A$3,"Mese",11,"Tipologia",$A141,"Viaggio",$A$131))
-IF(ISERROR(GETPIVOTDATA("Somma di AVERE",'Pivot PP Visa'!$A$3,"Mese",11,"Tipologia",$A141,"Viaggio",$A$131)),0,GETPIVOTDATA("Somma di AVERE",'Pivot PP Visa'!$A$3,"Mese",11,"Tipologia",$A141,"Viaggio",$A$131))
+IF(ISERROR(GETPIVOTDATA("Somma di DARE",'Pivot Revolut'!$A$3,"Mese",11,"Tipologia",$A141,"Viaggio",$A$131)),0,GETPIVOTDATA("Somma di DARE",'Pivot Revolut'!$A$3,"Mese",11,"Tipologia",$A141,"Viaggio",$A$131))
-IF(ISERROR(GETPIVOTDATA("Somma di AVERE",'Pivot Revolut'!$A$3,"Mese",11,"Tipologia",$A141,"Viaggio",$A$131)),0,GETPIVOTDATA("Somma di AVERE",'Pivot Revolut'!$A$3,"Mese",11,"Tipologia",$A141,"Viaggio",$A$131))
+IF(ISERROR(GETPIVOTDATA("Somma di DARE",'Pivot RakBank EUR'!$A$3,"Mese",11,"Tipologia",$A141,"Viaggio",$A$131)),0,GETPIVOTDATA("Somma di DARE",'Pivot RakBank EUR'!$A$3,"Mese",11,"Tipologia",$A141,"Viaggio",$A$131))
-IF(ISERROR(GETPIVOTDATA("Somma di AVERE",'Pivot RakBank EUR'!$A$3,"Mese",11,"Tipologia",$A141,"Viaggio",$A$131)),0,GETPIVOTDATA("Somma di AVERE",'Pivot RakBank EUR'!$A$3,"Mese",11,"Tipologia",$A141,"Viaggio",$A$131))
+IF(ISERROR(GETPIVOTDATA("Somma di DARE EUR",'Pivot RakBank AED'!$A$3,"Mese",11,"Tipologia",$A141,"Viaggio",$A$131)),0,GETPIVOTDATA("Somma di DARE EUR",'Pivot RakBank AED'!$A$3,"Mese",11,"Tipologia",$A141,"Viaggio",$A$131))
-IF(ISERROR(GETPIVOTDATA("Somma di AVERE EUR",'Pivot RakBank AED'!$A$3,"Mese",11,"Tipologia",$A141,"Viaggio",$A$131)),0,GETPIVOTDATA("Somma di AVERE EUR",'Pivot RakBank AED'!$A$3,"Mese",11,"Tipologia",$A141,"Viaggio",$A$131))</f>
        <v>0</v>
      </c>
      <c r="N141" s="270">
        <f>IF(ISERROR(GETPIVOTDATA("Somma di DARE",'Pivot Fineco Sa'!$A$3,"Mese",12,"Tipologia",$A141,"Viaggio",$A$131)),0,GETPIVOTDATA("Somma di DARE",'Pivot Fineco Sa'!$A$3,"Mese",12,"Tipologia",$A141,"Viaggio",$A$131))
+IF(ISERROR(GETPIVOTDATA("Somma di DARE",'Pivot Fineco St'!$A$3,"Mese",12,"Tipologia",$A141,"Viaggio",$A$131)),0,GETPIVOTDATA("Somma di DARE",'Pivot Fineco St'!$A$3,"Mese",12,"Tipologia",$A141,"Viaggio",$A$131))
+IF(Contanti!$AW48='Conto Economico'!$A$131,Contanti!$AT48)
+IF(ISERROR(GETPIVOTDATA("Somma di DARE",'Pivot BBVA'!$A$3,"Mese",12,"Tipologia",$A141,"Viaggio",$A$131)),0,GETPIVOTDATA("Somma di DARE",'Pivot BBVA'!$A$3,"Mese",12,"Tipologia",$A141,"Viaggio",$A$131))
+IF(ISERROR(GETPIVOTDATA("Somma di DARE",'Pivot Amex'!$A$3,"Mese",12,"Tipologia",$A141,"Viaggio",$A$131)),0,GETPIVOTDATA("Somma di DARE",'Pivot Amex'!$A$3,"Mese",12,"Tipologia",$A141,"Viaggio",$A$131))
-IF(ISERROR(GETPIVOTDATA("Somma di AVERE",'Pivot Amex'!$A$3,"Mese",12,"Tipologia",$A141,"Viaggio",$A$131)),0,GETPIVOTDATA("Somma di AVERE",'Pivot Amex'!$A$3,"Mese",12,"Tipologia",$A141,"Viaggio",$A$131))
-IF(ISERROR(GETPIVOTDATA("Somma di AVERE",'Pivot BBVA'!$A$3,"Mese",12,"Tipologia",$A141,"Viaggio",$A$131)),0,GETPIVOTDATA("Somma di AVERE",'Pivot BBVA'!$A$3,"Mese",12,"Tipologia",$A141,"Viaggio",$A$131))
-IF(ISERROR(GETPIVOTDATA("Somma di AVERE",'Pivot Fineco St'!$A$3,"Mese",12,"Tipologia",$A141,"Viaggio",$A$131)),0,GETPIVOTDATA("Somma di AVERE",'Pivot Fineco St'!$A$3,"Mese",12,"Tipologia",$A141,"Viaggio",$A$131))
-IF(ISERROR(GETPIVOTDATA("Somma di AVERE",'Pivot Fineco Sa'!$A$3,"Mese",12,"Tipologia",$A141,"Viaggio",$A$131)),0,GETPIVOTDATA("Somma di AVERE",'Pivot Fineco Sa'!$A$3,"Mese",12,"Tipologia",$A141,"Viaggio",$A$131))
+IF(ISERROR(GETPIVOTDATA("Somma di DARE",'Pivot PP Visa'!$A$3,"Mese",12,"Tipologia",$A141,"Viaggio",$A$131)),0,GETPIVOTDATA("Somma di DARE",'Pivot PP Visa'!$A$3,"Mese",12,"Tipologia",$A141,"Viaggio",$A$131))
-IF(ISERROR(GETPIVOTDATA("Somma di AVERE",'Pivot PP Visa'!$A$3,"Mese",12,"Tipologia",$A141,"Viaggio",$A$131)),0,GETPIVOTDATA("Somma di AVERE",'Pivot PP Visa'!$A$3,"Mese",12,"Tipologia",$A141,"Viaggio",$A$131))
+IF(ISERROR(GETPIVOTDATA("Somma di DARE",'Pivot Revolut'!$A$3,"Mese",12,"Tipologia",$A141,"Viaggio",$A$131)),0,GETPIVOTDATA("Somma di DARE",'Pivot Revolut'!$A$3,"Mese",12,"Tipologia",$A141,"Viaggio",$A$131))
-IF(ISERROR(GETPIVOTDATA("Somma di AVERE",'Pivot Revolut'!$A$3,"Mese",12,"Tipologia",$A141,"Viaggio",$A$131)),0,GETPIVOTDATA("Somma di AVERE",'Pivot Revolut'!$A$3,"Mese",12,"Tipologia",$A141,"Viaggio",$A$131))
+IF(ISERROR(GETPIVOTDATA("Somma di DARE",'Pivot RakBank EUR'!$A$3,"Mese",12,"Tipologia",$A141,"Viaggio",$A$131)),0,GETPIVOTDATA("Somma di DARE",'Pivot RakBank EUR'!$A$3,"Mese",12,"Tipologia",$A141,"Viaggio",$A$131))
-IF(ISERROR(GETPIVOTDATA("Somma di AVERE",'Pivot RakBank EUR'!$A$3,"Mese",12,"Tipologia",$A141,"Viaggio",$A$131)),0,GETPIVOTDATA("Somma di AVERE",'Pivot RakBank EUR'!$A$3,"Mese",12,"Tipologia",$A141,"Viaggio",$A$131))
+IF(ISERROR(GETPIVOTDATA("Somma di DARE EUR",'Pivot RakBank AED'!$A$3,"Mese",12,"Tipologia",$A141,"Viaggio",$A$131)),0,GETPIVOTDATA("Somma di DARE EUR",'Pivot RakBank AED'!$A$3,"Mese",12,"Tipologia",$A141,"Viaggio",$A$131))
-IF(ISERROR(GETPIVOTDATA("Somma di AVERE EUR",'Pivot RakBank AED'!$A$3,"Mese",12,"Tipologia",$A141,"Viaggio",$A$131)),0,GETPIVOTDATA("Somma di AVERE EUR",'Pivot RakBank AED'!$A$3,"Mese",12,"Tipologia",$A141,"Viaggio",$A$131))</f>
        <v>0</v>
      </c>
      <c r="O141" s="271">
        <f t="shared" si="17"/>
        <v>0</v>
      </c>
      <c r="P141" s="270"/>
    </row>
    <row r="142" spans="1:16" s="131" customFormat="1" ht="14" outlineLevel="1" x14ac:dyDescent="0.2">
      <c r="A142" s="269" t="s">
        <v>102</v>
      </c>
      <c r="B142" s="269"/>
      <c r="C142" s="270">
        <f>IF(ISERROR(GETPIVOTDATA("Somma di DARE",'Pivot Fineco Sa'!$A$3,"Mese",1,"Tipologia",$A142,"Viaggio",$A$131)),0,GETPIVOTDATA("Somma di DARE",'Pivot Fineco Sa'!$A$3,"Mese",1,"Tipologia",$A142,"Viaggio",$A$131))
+IF(ISERROR(GETPIVOTDATA("Somma di DARE",'Pivot Fineco St'!$A$3,"Mese",1,"Tipologia",$A142,"Viaggio",$A$131)),0,GETPIVOTDATA("Somma di DARE",'Pivot Fineco St'!$A$3,"Mese",1,"Tipologia",$A142,"Viaggio",$A$131))
+IF(Contanti!$E49='Conto Economico'!$A$131,Contanti!$B49)
+IF(ISERROR(GETPIVOTDATA("Somma di DARE",'Pivot BBVA'!$A$3,"Mese",1,"Tipologia",$A142,"Viaggio",$A$131)),0,GETPIVOTDATA("Somma di DARE",'Pivot BBVA'!$A$3,"Mese",1,"Tipologia",$A142,"Viaggio",$A$131))
+IF(ISERROR(GETPIVOTDATA("Somma di DARE",'Pivot Amex'!$A$3,"Mese",1,"Tipologia",$A142,"Viaggio",$A$131)),0,GETPIVOTDATA("Somma di DARE",'Pivot Amex'!$A$3,"Mese",1,"Tipologia",$A142,"Viaggio",$A$131))
-IF(ISERROR(GETPIVOTDATA("Somma di AVERE",'Pivot Amex'!$A$3,"Mese",1,"Tipologia",$A142,"Viaggio",$A$131)),0,GETPIVOTDATA("Somma di AVERE",'Pivot Amex'!$A$3,"Mese",1,"Tipologia",$A142,"Viaggio",$A$131))
-IF(ISERROR(GETPIVOTDATA("Somma di AVERE",'Pivot BBVA'!$A$3,"Mese",1,"Tipologia",$A142,"Viaggio",$A$131)),0,GETPIVOTDATA("Somma di AVERE",'Pivot BBVA'!$A$3,"Mese",1,"Tipologia",$A142,"Viaggio",$A$131))
-IF(ISERROR(GETPIVOTDATA("Somma di AVERE",'Pivot Fineco St'!$A$3,"Mese",1,"Tipologia",$A142,"Viaggio",$A$131)),0,GETPIVOTDATA("Somma di AVERE",'Pivot Fineco St'!$A$3,"Mese",1,"Tipologia",$A142,"Viaggio",$A$131))
-IF(ISERROR(GETPIVOTDATA("Somma di AVERE",'Pivot Fineco Sa'!$A$3,"Mese",1,"Tipologia",$A142,"Viaggio",$A$131)),0,GETPIVOTDATA("Somma di AVERE",'Pivot Fineco Sa'!$A$3,"Mese",1,"Tipologia",$A142,"Viaggio",$A$131))
+IF(ISERROR(GETPIVOTDATA("Somma di DARE",'Pivot PP Visa'!$A$3,"Mese",1,"Tipologia",$A142,"Viaggio",$A$131)),0,GETPIVOTDATA("Somma di DARE",'Pivot PP Visa'!$A$3,"Mese",1,"Tipologia",$A142,"Viaggio",$A$131))
-IF(ISERROR(GETPIVOTDATA("Somma di AVERE",'Pivot PP Visa'!$A$3,"Mese",1,"Tipologia",$A142,"Viaggio",$A$131)),0,GETPIVOTDATA("Somma di AVERE",'Pivot PP Visa'!$A$3,"Mese",1,"Tipologia",$A142,"Viaggio",$A$131))
+IF(ISERROR(GETPIVOTDATA("Somma di DARE",'Pivot Revolut'!$A$3,"Mese",1,"Tipologia",$A142,"Viaggio",$A$131)),0,GETPIVOTDATA("Somma di DARE",'Pivot Revolut'!$A$3,"Mese",1,"Tipologia",$A142,"Viaggio",$A$131))
-IF(ISERROR(GETPIVOTDATA("Somma di AVERE",'Pivot Revolut'!$A$3,"Mese",1,"Tipologia",$A142,"Viaggio",$A$131)),0,GETPIVOTDATA("Somma di AVERE",'Pivot Revolut'!$A$3,"Mese",1,"Tipologia",$A142,"Viaggio",$A$131))
+IF(ISERROR(GETPIVOTDATA("Somma di DARE",'Pivot RakBank EUR'!$A$3,"Mese",1,"Tipologia",$A142,"Viaggio",$A$131)),0,GETPIVOTDATA("Somma di DARE",'Pivot RakBank EUR'!$A$3,"Mese",1,"Tipologia",$A142,"Viaggio",$A$131))
-IF(ISERROR(GETPIVOTDATA("Somma di AVERE",'Pivot RakBank EUR'!$A$3,"Mese",1,"Tipologia",$A142,"Viaggio",$A$131)),0,GETPIVOTDATA("Somma di AVERE",'Pivot RakBank EUR'!$A$3,"Mese",1,"Tipologia",$A142,"Viaggio",$A$131))
+IF(ISERROR(GETPIVOTDATA("Somma di DARE EUR",'Pivot RakBank AED'!$A$3,"Mese",1,"Tipologia",$A142,"Viaggio",$A$131)),0,GETPIVOTDATA("Somma di DARE EUR",'Pivot RakBank AED'!$A$3,"Mese",1,"Tipologia",$A142,"Viaggio",$A$131))
-IF(ISERROR(GETPIVOTDATA("Somma di AVERE EUR",'Pivot RakBank AED'!$A$3,"Mese",1,"Tipologia",$A142,"Viaggio",$A$131)),0,GETPIVOTDATA("Somma di AVERE EUR",'Pivot RakBank AED'!$A$3,"Mese",1,"Tipologia",$A142,"Viaggio",$A$131))</f>
        <v>0</v>
      </c>
      <c r="D142" s="270">
        <f>IF(ISERROR(GETPIVOTDATA("Somma di DARE",'Pivot Fineco Sa'!$A$3,"Mese",2,"Tipologia",$A142,"Viaggio",$A$131)),0,GETPIVOTDATA("Somma di DARE",'Pivot Fineco Sa'!$A$3,"Mese",2,"Tipologia",$A142,"Viaggio",$A$131))
+IF(ISERROR(GETPIVOTDATA("Somma di DARE",'Pivot Fineco St'!$A$3,"Mese",2,"Tipologia",$A142,"Viaggio",$A$131)),0,GETPIVOTDATA("Somma di DARE",'Pivot Fineco St'!$A$3,"Mese",2,"Tipologia",$A142,"Viaggio",$A$131))
+IF(Contanti!$I49='Conto Economico'!$A$131,Contanti!$F49)
+IF(ISERROR(GETPIVOTDATA("Somma di DARE",'Pivot BBVA'!$A$3,"Mese",2,"Tipologia",$A142,"Viaggio",$A$131)),0,GETPIVOTDATA("Somma di DARE",'Pivot BBVA'!$A$3,"Mese",2,"Tipologia",$A142,"Viaggio",$A$131))
+IF(ISERROR(GETPIVOTDATA("Somma di DARE",'Pivot Amex'!$A$3,"Mese",2,"Tipologia",$A142,"Viaggio",$A$131)),0,GETPIVOTDATA("Somma di DARE",'Pivot Amex'!$A$3,"Mese",2,"Tipologia",$A142,"Viaggio",$A$131))
-IF(ISERROR(GETPIVOTDATA("Somma di AVERE",'Pivot Amex'!$A$3,"Mese",2,"Tipologia",$A142,"Viaggio",$A$131)),0,GETPIVOTDATA("Somma di AVERE",'Pivot Amex'!$A$3,"Mese",2,"Tipologia",$A142,"Viaggio",$A$131))
-IF(ISERROR(GETPIVOTDATA("Somma di AVERE",'Pivot BBVA'!$A$3,"Mese",2,"Tipologia",$A142,"Viaggio",$A$131)),0,GETPIVOTDATA("Somma di AVERE",'Pivot BBVA'!$A$3,"Mese",2,"Tipologia",$A142,"Viaggio",$A$131))
-IF(ISERROR(GETPIVOTDATA("Somma di AVERE",'Pivot Fineco St'!$A$3,"Mese",2,"Tipologia",$A142,"Viaggio",$A$131)),0,GETPIVOTDATA("Somma di AVERE",'Pivot Fineco St'!$A$3,"Mese",2,"Tipologia",$A142,"Viaggio",$A$131))
-IF(ISERROR(GETPIVOTDATA("Somma di AVERE",'Pivot Fineco Sa'!$A$3,"Mese",2,"Tipologia",$A142,"Viaggio",$A$131)),0,GETPIVOTDATA("Somma di AVERE",'Pivot Fineco Sa'!$A$3,"Mese",2,"Tipologia",$A142,"Viaggio",$A$131))
+IF(ISERROR(GETPIVOTDATA("Somma di DARE",'Pivot PP Visa'!$A$3,"Mese",2,"Tipologia",$A142,"Viaggio",$A$131)),0,GETPIVOTDATA("Somma di DARE",'Pivot PP Visa'!$A$3,"Mese",2,"Tipologia",$A142,"Viaggio",$A$131))
-IF(ISERROR(GETPIVOTDATA("Somma di AVERE",'Pivot PP Visa'!$A$3,"Mese",2,"Tipologia",$A142,"Viaggio",$A$131)),0,GETPIVOTDATA("Somma di AVERE",'Pivot PP Visa'!$A$3,"Mese",2,"Tipologia",$A142,"Viaggio",$A$131))
+IF(ISERROR(GETPIVOTDATA("Somma di DARE",'Pivot Revolut'!$A$3,"Mese",2,"Tipologia",$A142,"Viaggio",$A$131)),0,GETPIVOTDATA("Somma di DARE",'Pivot Revolut'!$A$3,"Mese",2,"Tipologia",$A142,"Viaggio",$A$131))
-IF(ISERROR(GETPIVOTDATA("Somma di AVERE",'Pivot Revolut'!$A$3,"Mese",2,"Tipologia",$A142,"Viaggio",$A$131)),0,GETPIVOTDATA("Somma di AVERE",'Pivot Revolut'!$A$3,"Mese",2,"Tipologia",$A142,"Viaggio",$A$131))
+IF(ISERROR(GETPIVOTDATA("Somma di DARE",'Pivot RakBank EUR'!$A$3,"Mese",2,"Tipologia",$A142,"Viaggio",$A$131)),0,GETPIVOTDATA("Somma di DARE",'Pivot RakBank EUR'!$A$3,"Mese",2,"Tipologia",$A142,"Viaggio",$A$131))
-IF(ISERROR(GETPIVOTDATA("Somma di AVERE",'Pivot RakBank EUR'!$A$3,"Mese",2,"Tipologia",$A142,"Viaggio",$A$131)),0,GETPIVOTDATA("Somma di AVERE",'Pivot RakBank EUR'!$A$3,"Mese",2,"Tipologia",$A142,"Viaggio",$A$131))
+IF(ISERROR(GETPIVOTDATA("Somma di DARE EUR",'Pivot RakBank AED'!$A$3,"Mese",2,"Tipologia",$A142,"Viaggio",$A$131)),0,GETPIVOTDATA("Somma di DARE EUR",'Pivot RakBank AED'!$A$3,"Mese",2,"Tipologia",$A142,"Viaggio",$A$131))
-IF(ISERROR(GETPIVOTDATA("Somma di AVERE EUR",'Pivot RakBank AED'!$A$3,"Mese",2,"Tipologia",$A142,"Viaggio",$A$131)),0,GETPIVOTDATA("Somma di AVERE EUR",'Pivot RakBank AED'!$A$3,"Mese",2,"Tipologia",$A142,"Viaggio",$A$131))</f>
        <v>23.299999999999997</v>
      </c>
      <c r="E142" s="270">
        <f>IF(ISERROR(GETPIVOTDATA("Somma di DARE",'Pivot Fineco Sa'!$A$3,"Mese",3,"Tipologia",$A142,"Viaggio",$A$131)),0,GETPIVOTDATA("Somma di DARE",'Pivot Fineco Sa'!$A$3,"Mese",3,"Tipologia",$A142,"Viaggio",$A$131))
+IF(ISERROR(GETPIVOTDATA("Somma di DARE",'Pivot Fineco St'!$A$3,"Mese",3,"Tipologia",$A142,"Viaggio",$A$131)),0,GETPIVOTDATA("Somma di DARE",'Pivot Fineco St'!$A$3,"Mese",3,"Tipologia",$A142,"Viaggio",$A$131))
+IF(Contanti!$M49='Conto Economico'!$A$131,Contanti!$J49)
+IF(ISERROR(GETPIVOTDATA("Somma di DARE",'Pivot BBVA'!$A$3,"Mese",3,"Tipologia",$A142,"Viaggio",$A$131)),0,GETPIVOTDATA("Somma di DARE",'Pivot BBVA'!$A$3,"Mese",3,"Tipologia",$A142,"Viaggio",$A$131))
+IF(ISERROR(GETPIVOTDATA("Somma di DARE",'Pivot Amex'!$A$3,"Mese",3,"Tipologia",$A142,"Viaggio",$A$131)),0,GETPIVOTDATA("Somma di DARE",'Pivot Amex'!$A$3,"Mese",3,"Tipologia",$A142,"Viaggio",$A$131))
-IF(ISERROR(GETPIVOTDATA("Somma di AVERE",'Pivot Amex'!$A$3,"Mese",3,"Tipologia",$A142,"Viaggio",$A$131)),0,GETPIVOTDATA("Somma di AVERE",'Pivot Amex'!$A$3,"Mese",3,"Tipologia",$A142,"Viaggio",$A$131))
-IF(ISERROR(GETPIVOTDATA("Somma di AVERE",'Pivot BBVA'!$A$3,"Mese",3,"Tipologia",$A142,"Viaggio",$A$131)),0,GETPIVOTDATA("Somma di AVERE",'Pivot BBVA'!$A$3,"Mese",3,"Tipologia",$A142,"Viaggio",$A$131))
-IF(ISERROR(GETPIVOTDATA("Somma di AVERE",'Pivot Fineco St'!$A$3,"Mese",3,"Tipologia",$A142,"Viaggio",$A$131)),0,GETPIVOTDATA("Somma di AVERE",'Pivot Fineco St'!$A$3,"Mese",3,"Tipologia",$A142,"Viaggio",$A$131))
-IF(ISERROR(GETPIVOTDATA("Somma di AVERE",'Pivot Fineco Sa'!$A$3,"Mese",3,"Tipologia",$A142,"Viaggio",$A$131)),0,GETPIVOTDATA("Somma di AVERE",'Pivot Fineco Sa'!$A$3,"Mese",3,"Tipologia",$A142,"Viaggio",$A$131))
+IF(ISERROR(GETPIVOTDATA("Somma di DARE",'Pivot PP Visa'!$A$3,"Mese",3,"Tipologia",$A142,"Viaggio",$A$131)),0,GETPIVOTDATA("Somma di DARE",'Pivot PP Visa'!$A$3,"Mese",3,"Tipologia",$A142,"Viaggio",$A$131))
-IF(ISERROR(GETPIVOTDATA("Somma di AVERE",'Pivot PP Visa'!$A$3,"Mese",3,"Tipologia",$A142,"Viaggio",$A$131)),0,GETPIVOTDATA("Somma di AVERE",'Pivot PP Visa'!$A$3,"Mese",3,"Tipologia",$A142,"Viaggio",$A$131))
+IF(ISERROR(GETPIVOTDATA("Somma di DARE",'Pivot Revolut'!$A$3,"Mese",3,"Tipologia",$A142,"Viaggio",$A$131)),0,GETPIVOTDATA("Somma di DARE",'Pivot Revolut'!$A$3,"Mese",3,"Tipologia",$A142,"Viaggio",$A$131))
-IF(ISERROR(GETPIVOTDATA("Somma di AVERE",'Pivot Revolut'!$A$3,"Mese",3,"Tipologia",$A142,"Viaggio",$A$131)),0,GETPIVOTDATA("Somma di AVERE",'Pivot Revolut'!$A$3,"Mese",3,"Tipologia",$A142,"Viaggio",$A$131))
+IF(ISERROR(GETPIVOTDATA("Somma di DARE",'Pivot RakBank EUR'!$A$3,"Mese",3,"Tipologia",$A142,"Viaggio",$A$131)),0,GETPIVOTDATA("Somma di DARE",'Pivot RakBank EUR'!$A$3,"Mese",3,"Tipologia",$A142,"Viaggio",$A$131))
-IF(ISERROR(GETPIVOTDATA("Somma di AVERE",'Pivot RakBank EUR'!$A$3,"Mese",3,"Tipologia",$A142,"Viaggio",$A$131)),0,GETPIVOTDATA("Somma di AVERE",'Pivot RakBank EUR'!$A$3,"Mese",3,"Tipologia",$A142,"Viaggio",$A$131))
+IF(ISERROR(GETPIVOTDATA("Somma di DARE EUR",'Pivot RakBank AED'!$A$3,"Mese",3,"Tipologia",$A142,"Viaggio",$A$131)),0,GETPIVOTDATA("Somma di DARE EUR",'Pivot RakBank AED'!$A$3,"Mese",3,"Tipologia",$A142,"Viaggio",$A$131))
-IF(ISERROR(GETPIVOTDATA("Somma di AVERE EUR",'Pivot RakBank AED'!$A$3,"Mese",3,"Tipologia",$A142,"Viaggio",$A$131)),0,GETPIVOTDATA("Somma di AVERE EUR",'Pivot RakBank AED'!$A$3,"Mese",3,"Tipologia",$A142,"Viaggio",$A$131))</f>
        <v>0</v>
      </c>
      <c r="F142" s="270">
        <f>IF(ISERROR(GETPIVOTDATA("Somma di DARE",'Pivot Fineco Sa'!$A$3,"Mese",4,"Tipologia",$A142,"Viaggio",$A$131)),0,GETPIVOTDATA("Somma di DARE",'Pivot Fineco Sa'!$A$3,"Mese",4,"Tipologia",$A142,"Viaggio",$A$131))
+IF(ISERROR(GETPIVOTDATA("Somma di DARE",'Pivot Fineco St'!$A$3,"Mese",4,"Tipologia",$A142,"Viaggio",$A$131)),0,GETPIVOTDATA("Somma di DARE",'Pivot Fineco St'!$A$3,"Mese",4,"Tipologia",$A142,"Viaggio",$A$131))
+IF(Contanti!$Q49='Conto Economico'!$A$131,Contanti!$N49)
+IF(ISERROR(GETPIVOTDATA("Somma di DARE",'Pivot BBVA'!$A$3,"Mese",4,"Tipologia",$A142,"Viaggio",$A$131)),0,GETPIVOTDATA("Somma di DARE",'Pivot BBVA'!$A$3,"Mese",4,"Tipologia",$A142,"Viaggio",$A$131))
+IF(ISERROR(GETPIVOTDATA("Somma di DARE",'Pivot Amex'!$A$3,"Mese",4,"Tipologia",$A142,"Viaggio",$A$131)),0,GETPIVOTDATA("Somma di DARE",'Pivot Amex'!$A$3,"Mese",4,"Tipologia",$A142,"Viaggio",$A$131))
-IF(ISERROR(GETPIVOTDATA("Somma di AVERE",'Pivot Amex'!$A$3,"Mese",4,"Tipologia",$A142,"Viaggio",$A$131)),0,GETPIVOTDATA("Somma di AVERE",'Pivot Amex'!$A$3,"Mese",4,"Tipologia",$A142,"Viaggio",$A$131))
-IF(ISERROR(GETPIVOTDATA("Somma di AVERE",'Pivot BBVA'!$A$3,"Mese",4,"Tipologia",$A142,"Viaggio",$A$131)),0,GETPIVOTDATA("Somma di AVERE",'Pivot BBVA'!$A$3,"Mese",4,"Tipologia",$A142,"Viaggio",$A$131))
-IF(ISERROR(GETPIVOTDATA("Somma di AVERE",'Pivot Fineco St'!$A$3,"Mese",4,"Tipologia",$A142,"Viaggio",$A$131)),0,GETPIVOTDATA("Somma di AVERE",'Pivot Fineco St'!$A$3,"Mese",4,"Tipologia",$A142,"Viaggio",$A$131))
-IF(ISERROR(GETPIVOTDATA("Somma di AVERE",'Pivot Fineco Sa'!$A$3,"Mese",4,"Tipologia",$A142,"Viaggio",$A$131)),0,GETPIVOTDATA("Somma di AVERE",'Pivot Fineco Sa'!$A$3,"Mese",4,"Tipologia",$A142,"Viaggio",$A$131))
+IF(ISERROR(GETPIVOTDATA("Somma di DARE",'Pivot PP Visa'!$A$3,"Mese",4,"Tipologia",$A142,"Viaggio",$A$131)),0,GETPIVOTDATA("Somma di DARE",'Pivot PP Visa'!$A$3,"Mese",4,"Tipologia",$A142,"Viaggio",$A$131))
-IF(ISERROR(GETPIVOTDATA("Somma di AVERE",'Pivot PP Visa'!$A$3,"Mese",4,"Tipologia",$A142,"Viaggio",$A$131)),0,GETPIVOTDATA("Somma di AVERE",'Pivot PP Visa'!$A$3,"Mese",4,"Tipologia",$A142,"Viaggio",$A$131))
+IF(ISERROR(GETPIVOTDATA("Somma di DARE",'Pivot Revolut'!$A$3,"Mese",4,"Tipologia",$A142,"Viaggio",$A$131)),0,GETPIVOTDATA("Somma di DARE",'Pivot Revolut'!$A$3,"Mese",4,"Tipologia",$A142,"Viaggio",$A$131))
-IF(ISERROR(GETPIVOTDATA("Somma di AVERE",'Pivot Revolut'!$A$3,"Mese",4,"Tipologia",$A142,"Viaggio",$A$131)),0,GETPIVOTDATA("Somma di AVERE",'Pivot Revolut'!$A$3,"Mese",4,"Tipologia",$A142,"Viaggio",$A$131))
+IF(ISERROR(GETPIVOTDATA("Somma di DARE",'Pivot RakBank EUR'!$A$3,"Mese",4,"Tipologia",$A142,"Viaggio",$A$131)),0,GETPIVOTDATA("Somma di DARE",'Pivot RakBank EUR'!$A$3,"Mese",4,"Tipologia",$A142,"Viaggio",$A$131))
-IF(ISERROR(GETPIVOTDATA("Somma di AVERE",'Pivot RakBank EUR'!$A$3,"Mese",4,"Tipologia",$A142,"Viaggio",$A$131)),0,GETPIVOTDATA("Somma di AVERE",'Pivot RakBank EUR'!$A$3,"Mese",4,"Tipologia",$A142,"Viaggio",$A$131))
+IF(ISERROR(GETPIVOTDATA("Somma di DARE EUR",'Pivot RakBank AED'!$A$3,"Mese",4,"Tipologia",$A142,"Viaggio",$A$131)),0,GETPIVOTDATA("Somma di DARE EUR",'Pivot RakBank AED'!$A$3,"Mese",4,"Tipologia",$A142,"Viaggio",$A$131))
-IF(ISERROR(GETPIVOTDATA("Somma di AVERE EUR",'Pivot RakBank AED'!$A$3,"Mese",4,"Tipologia",$A142,"Viaggio",$A$131)),0,GETPIVOTDATA("Somma di AVERE EUR",'Pivot RakBank AED'!$A$3,"Mese",4,"Tipologia",$A142,"Viaggio",$A$131))</f>
        <v>0</v>
      </c>
      <c r="G142" s="270">
        <f>IF(ISERROR(GETPIVOTDATA("Somma di DARE",'Pivot Fineco Sa'!$A$3,"Mese",5,"Tipologia",$A142,"Viaggio",$A$131)),0,GETPIVOTDATA("Somma di DARE",'Pivot Fineco Sa'!$A$3,"Mese",5,"Tipologia",$A142,"Viaggio",$A$131))
+IF(ISERROR(GETPIVOTDATA("Somma di DARE",'Pivot Fineco St'!$A$3,"Mese",5,"Tipologia",$A142,"Viaggio",$A$131)),0,GETPIVOTDATA("Somma di DARE",'Pivot Fineco St'!$A$3,"Mese",5,"Tipologia",$A142,"Viaggio",$A$131))
+IF(Contanti!$U49='Conto Economico'!$A$131,Contanti!$R49)
+IF(ISERROR(GETPIVOTDATA("Somma di DARE",'Pivot BBVA'!$A$3,"Mese",5,"Tipologia",$A142,"Viaggio",$A$131)),0,GETPIVOTDATA("Somma di DARE",'Pivot BBVA'!$A$3,"Mese",5,"Tipologia",$A142,"Viaggio",$A$131))
+IF(ISERROR(GETPIVOTDATA("Somma di DARE",'Pivot Amex'!$A$3,"Mese",5,"Tipologia",$A142,"Viaggio",$A$131)),0,GETPIVOTDATA("Somma di DARE",'Pivot Amex'!$A$3,"Mese",5,"Tipologia",$A142,"Viaggio",$A$131))
-IF(ISERROR(GETPIVOTDATA("Somma di AVERE",'Pivot Amex'!$A$3,"Mese",5,"Tipologia",$A142,"Viaggio",$A$131)),0,GETPIVOTDATA("Somma di AVERE",'Pivot Amex'!$A$3,"Mese",5,"Tipologia",$A142,"Viaggio",$A$131))
-IF(ISERROR(GETPIVOTDATA("Somma di AVERE",'Pivot BBVA'!$A$3,"Mese",5,"Tipologia",$A142,"Viaggio",$A$131)),0,GETPIVOTDATA("Somma di AVERE",'Pivot BBVA'!$A$3,"Mese",5,"Tipologia",$A142,"Viaggio",$A$131))
-IF(ISERROR(GETPIVOTDATA("Somma di AVERE",'Pivot Fineco St'!$A$3,"Mese",5,"Tipologia",$A142,"Viaggio",$A$131)),0,GETPIVOTDATA("Somma di AVERE",'Pivot Fineco St'!$A$3,"Mese",5,"Tipologia",$A142,"Viaggio",$A$131))
-IF(ISERROR(GETPIVOTDATA("Somma di AVERE",'Pivot Fineco Sa'!$A$3,"Mese",5,"Tipologia",$A142,"Viaggio",$A$131)),0,GETPIVOTDATA("Somma di AVERE",'Pivot Fineco Sa'!$A$3,"Mese",5,"Tipologia",$A142,"Viaggio",$A$131))
+IF(ISERROR(GETPIVOTDATA("Somma di DARE",'Pivot PP Visa'!$A$3,"Mese",5,"Tipologia",$A142,"Viaggio",$A$131)),0,GETPIVOTDATA("Somma di DARE",'Pivot PP Visa'!$A$3,"Mese",5,"Tipologia",$A142,"Viaggio",$A$131))
-IF(ISERROR(GETPIVOTDATA("Somma di AVERE",'Pivot PP Visa'!$A$3,"Mese",5,"Tipologia",$A142,"Viaggio",$A$131)),0,GETPIVOTDATA("Somma di AVERE",'Pivot PP Visa'!$A$3,"Mese",5,"Tipologia",$A142,"Viaggio",$A$131))
+IF(ISERROR(GETPIVOTDATA("Somma di DARE",'Pivot Revolut'!$A$3,"Mese",5,"Tipologia",$A142,"Viaggio",$A$131)),0,GETPIVOTDATA("Somma di DARE",'Pivot Revolut'!$A$3,"Mese",5,"Tipologia",$A142,"Viaggio",$A$131))
-IF(ISERROR(GETPIVOTDATA("Somma di AVERE",'Pivot Revolut'!$A$3,"Mese",5,"Tipologia",$A142,"Viaggio",$A$131)),0,GETPIVOTDATA("Somma di AVERE",'Pivot Revolut'!$A$3,"Mese",5,"Tipologia",$A142,"Viaggio",$A$131))
+IF(ISERROR(GETPIVOTDATA("Somma di DARE",'Pivot RakBank EUR'!$A$3,"Mese",5,"Tipologia",$A142,"Viaggio",$A$131)),0,GETPIVOTDATA("Somma di DARE",'Pivot RakBank EUR'!$A$3,"Mese",5,"Tipologia",$A142,"Viaggio",$A$131))
-IF(ISERROR(GETPIVOTDATA("Somma di AVERE",'Pivot RakBank EUR'!$A$3,"Mese",5,"Tipologia",$A142,"Viaggio",$A$131)),0,GETPIVOTDATA("Somma di AVERE",'Pivot RakBank EUR'!$A$3,"Mese",5,"Tipologia",$A142,"Viaggio",$A$131))
+IF(ISERROR(GETPIVOTDATA("Somma di DARE EUR",'Pivot RakBank AED'!$A$3,"Mese",5,"Tipologia",$A142,"Viaggio",$A$131)),0,GETPIVOTDATA("Somma di DARE EUR",'Pivot RakBank AED'!$A$3,"Mese",5,"Tipologia",$A142,"Viaggio",$A$131))
-IF(ISERROR(GETPIVOTDATA("Somma di AVERE EUR",'Pivot RakBank AED'!$A$3,"Mese",5,"Tipologia",$A142,"Viaggio",$A$131)),0,GETPIVOTDATA("Somma di AVERE EUR",'Pivot RakBank AED'!$A$3,"Mese",5,"Tipologia",$A142,"Viaggio",$A$131))</f>
        <v>0</v>
      </c>
      <c r="H142" s="270">
        <f>IF(ISERROR(GETPIVOTDATA("Somma di DARE",'Pivot Fineco Sa'!$A$3,"Mese",6,"Tipologia",$A142,"Viaggio",$A$131)),0,GETPIVOTDATA("Somma di DARE",'Pivot Fineco Sa'!$A$3,"Mese",6,"Tipologia",$A142,"Viaggio",$A$131))
+IF(ISERROR(GETPIVOTDATA("Somma di DARE",'Pivot Fineco St'!$A$3,"Mese",6,"Tipologia",$A142,"Viaggio",$A$131)),0,GETPIVOTDATA("Somma di DARE",'Pivot Fineco St'!$A$3,"Mese",6,"Tipologia",$A142,"Viaggio",$A$131))
+IF(Contanti!$Y49='Conto Economico'!$A$131,Contanti!$V49)
+IF(ISERROR(GETPIVOTDATA("Somma di DARE",'Pivot BBVA'!$A$3,"Mese",6,"Tipologia",$A142,"Viaggio",$A$131)),0,GETPIVOTDATA("Somma di DARE",'Pivot BBVA'!$A$3,"Mese",6,"Tipologia",$A142,"Viaggio",$A$131))
+IF(ISERROR(GETPIVOTDATA("Somma di DARE",'Pivot Amex'!$A$3,"Mese",6,"Tipologia",$A142,"Viaggio",$A$131)),0,GETPIVOTDATA("Somma di DARE",'Pivot Amex'!$A$3,"Mese",6,"Tipologia",$A142,"Viaggio",$A$131))
-IF(ISERROR(GETPIVOTDATA("Somma di AVERE",'Pivot Amex'!$A$3,"Mese",6,"Tipologia",$A142,"Viaggio",$A$131)),0,GETPIVOTDATA("Somma di AVERE",'Pivot Amex'!$A$3,"Mese",6,"Tipologia",$A142,"Viaggio",$A$131))
-IF(ISERROR(GETPIVOTDATA("Somma di AVERE",'Pivot BBVA'!$A$3,"Mese",6,"Tipologia",$A142,"Viaggio",$A$131)),0,GETPIVOTDATA("Somma di AVERE",'Pivot BBVA'!$A$3,"Mese",6,"Tipologia",$A142,"Viaggio",$A$131))
-IF(ISERROR(GETPIVOTDATA("Somma di AVERE",'Pivot Fineco St'!$A$3,"Mese",6,"Tipologia",$A142,"Viaggio",$A$131)),0,GETPIVOTDATA("Somma di AVERE",'Pivot Fineco St'!$A$3,"Mese",6,"Tipologia",$A142,"Viaggio",$A$131))
-IF(ISERROR(GETPIVOTDATA("Somma di AVERE",'Pivot Fineco Sa'!$A$3,"Mese",6,"Tipologia",$A142,"Viaggio",$A$131)),0,GETPIVOTDATA("Somma di AVERE",'Pivot Fineco Sa'!$A$3,"Mese",6,"Tipologia",$A142,"Viaggio",$A$131))
+IF(ISERROR(GETPIVOTDATA("Somma di DARE",'Pivot PP Visa'!$A$3,"Mese",6,"Tipologia",$A142,"Viaggio",$A$131)),0,GETPIVOTDATA("Somma di DARE",'Pivot PP Visa'!$A$3,"Mese",6,"Tipologia",$A142,"Viaggio",$A$131))
-IF(ISERROR(GETPIVOTDATA("Somma di AVERE",'Pivot PP Visa'!$A$3,"Mese",6,"Tipologia",$A142,"Viaggio",$A$131)),0,GETPIVOTDATA("Somma di AVERE",'Pivot PP Visa'!$A$3,"Mese",6,"Tipologia",$A142,"Viaggio",$A$131))
+IF(ISERROR(GETPIVOTDATA("Somma di DARE",'Pivot Revolut'!$A$3,"Mese",6,"Tipologia",$A142,"Viaggio",$A$131)),0,GETPIVOTDATA("Somma di DARE",'Pivot Revolut'!$A$3,"Mese",6,"Tipologia",$A142,"Viaggio",$A$131))
-IF(ISERROR(GETPIVOTDATA("Somma di AVERE",'Pivot Revolut'!$A$3,"Mese",6,"Tipologia",$A142,"Viaggio",$A$131)),0,GETPIVOTDATA("Somma di AVERE",'Pivot Revolut'!$A$3,"Mese",6,"Tipologia",$A142,"Viaggio",$A$131))
+IF(ISERROR(GETPIVOTDATA("Somma di DARE",'Pivot RakBank EUR'!$A$3,"Mese",6,"Tipologia",$A142,"Viaggio",$A$131)),0,GETPIVOTDATA("Somma di DARE",'Pivot RakBank EUR'!$A$3,"Mese",6,"Tipologia",$A142,"Viaggio",$A$131))
-IF(ISERROR(GETPIVOTDATA("Somma di AVERE",'Pivot RakBank EUR'!$A$3,"Mese",6,"Tipologia",$A142,"Viaggio",$A$131)),0,GETPIVOTDATA("Somma di AVERE",'Pivot RakBank EUR'!$A$3,"Mese",6,"Tipologia",$A142,"Viaggio",$A$131))
+IF(ISERROR(GETPIVOTDATA("Somma di DARE EUR",'Pivot RakBank AED'!$A$3,"Mese",6,"Tipologia",$A142,"Viaggio",$A$131)),0,GETPIVOTDATA("Somma di DARE EUR",'Pivot RakBank AED'!$A$3,"Mese",6,"Tipologia",$A142,"Viaggio",$A$131))
-IF(ISERROR(GETPIVOTDATA("Somma di AVERE EUR",'Pivot RakBank AED'!$A$3,"Mese",6,"Tipologia",$A142,"Viaggio",$A$131)),0,GETPIVOTDATA("Somma di AVERE EUR",'Pivot RakBank AED'!$A$3,"Mese",6,"Tipologia",$A142,"Viaggio",$A$131))</f>
        <v>0</v>
      </c>
      <c r="I142" s="270">
        <f>IF(ISERROR(GETPIVOTDATA("Somma di DARE",'Pivot Fineco Sa'!$A$3,"Mese",7,"Tipologia",$A142,"Viaggio",$A$131)),0,GETPIVOTDATA("Somma di DARE",'Pivot Fineco Sa'!$A$3,"Mese",7,"Tipologia",$A142,"Viaggio",$A$131))
+IF(ISERROR(GETPIVOTDATA("Somma di DARE",'Pivot Fineco St'!$A$3,"Mese",7,"Tipologia",$A142,"Viaggio",$A$131)),0,GETPIVOTDATA("Somma di DARE",'Pivot Fineco St'!$A$3,"Mese",7,"Tipologia",$A142,"Viaggio",$A$131))
+IF(Contanti!$AC49='Conto Economico'!$A$131,Contanti!$Z49)
+IF(ISERROR(GETPIVOTDATA("Somma di DARE",'Pivot BBVA'!$A$3,"Mese",7,"Tipologia",$A142,"Viaggio",$A$131)),0,GETPIVOTDATA("Somma di DARE",'Pivot BBVA'!$A$3,"Mese",7,"Tipologia",$A142,"Viaggio",$A$131))
+IF(ISERROR(GETPIVOTDATA("Somma di DARE",'Pivot Amex'!$A$3,"Mese",7,"Tipologia",$A142,"Viaggio",$A$131)),0,GETPIVOTDATA("Somma di DARE",'Pivot Amex'!$A$3,"Mese",7,"Tipologia",$A142,"Viaggio",$A$131))
-IF(ISERROR(GETPIVOTDATA("Somma di AVERE",'Pivot Amex'!$A$3,"Mese",7,"Tipologia",$A142,"Viaggio",$A$131)),0,GETPIVOTDATA("Somma di AVERE",'Pivot Amex'!$A$3,"Mese",7,"Tipologia",$A142,"Viaggio",$A$131))
-IF(ISERROR(GETPIVOTDATA("Somma di AVERE",'Pivot BBVA'!$A$3,"Mese",7,"Tipologia",$A142,"Viaggio",$A$131)),0,GETPIVOTDATA("Somma di AVERE",'Pivot BBVA'!$A$3,"Mese",7,"Tipologia",$A142,"Viaggio",$A$131))
-IF(ISERROR(GETPIVOTDATA("Somma di AVERE",'Pivot Fineco St'!$A$3,"Mese",7,"Tipologia",$A142,"Viaggio",$A$131)),0,GETPIVOTDATA("Somma di AVERE",'Pivot Fineco St'!$A$3,"Mese",7,"Tipologia",$A142,"Viaggio",$A$131))
-IF(ISERROR(GETPIVOTDATA("Somma di AVERE",'Pivot Fineco Sa'!$A$3,"Mese",7,"Tipologia",$A142,"Viaggio",$A$131)),0,GETPIVOTDATA("Somma di AVERE",'Pivot Fineco Sa'!$A$3,"Mese",7,"Tipologia",$A142,"Viaggio",$A$131))
+IF(ISERROR(GETPIVOTDATA("Somma di DARE",'Pivot PP Visa'!$A$3,"Mese",7,"Tipologia",$A142,"Viaggio",$A$131)),0,GETPIVOTDATA("Somma di DARE",'Pivot PP Visa'!$A$3,"Mese",7,"Tipologia",$A142,"Viaggio",$A$131))
-IF(ISERROR(GETPIVOTDATA("Somma di AVERE",'Pivot PP Visa'!$A$3,"Mese",7,"Tipologia",$A142,"Viaggio",$A$131)),0,GETPIVOTDATA("Somma di AVERE",'Pivot PP Visa'!$A$3,"Mese",7,"Tipologia",$A142,"Viaggio",$A$131))
+IF(ISERROR(GETPIVOTDATA("Somma di DARE",'Pivot Revolut'!$A$3,"Mese",7,"Tipologia",$A142,"Viaggio",$A$131)),0,GETPIVOTDATA("Somma di DARE",'Pivot Revolut'!$A$3,"Mese",7,"Tipologia",$A142,"Viaggio",$A$131))
-IF(ISERROR(GETPIVOTDATA("Somma di AVERE",'Pivot Revolut'!$A$3,"Mese",7,"Tipologia",$A142,"Viaggio",$A$131)),0,GETPIVOTDATA("Somma di AVERE",'Pivot Revolut'!$A$3,"Mese",7,"Tipologia",$A142,"Viaggio",$A$131))
+IF(ISERROR(GETPIVOTDATA("Somma di DARE",'Pivot RakBank EUR'!$A$3,"Mese",7,"Tipologia",$A142,"Viaggio",$A$131)),0,GETPIVOTDATA("Somma di DARE",'Pivot RakBank EUR'!$A$3,"Mese",7,"Tipologia",$A142,"Viaggio",$A$131))
-IF(ISERROR(GETPIVOTDATA("Somma di AVERE",'Pivot RakBank EUR'!$A$3,"Mese",7,"Tipologia",$A142,"Viaggio",$A$131)),0,GETPIVOTDATA("Somma di AVERE",'Pivot RakBank EUR'!$A$3,"Mese",7,"Tipologia",$A142,"Viaggio",$A$131))
+IF(ISERROR(GETPIVOTDATA("Somma di DARE EUR",'Pivot RakBank AED'!$A$3,"Mese",7,"Tipologia",$A142,"Viaggio",$A$131)),0,GETPIVOTDATA("Somma di DARE EUR",'Pivot RakBank AED'!$A$3,"Mese",7,"Tipologia",$A142,"Viaggio",$A$131))
-IF(ISERROR(GETPIVOTDATA("Somma di AVERE EUR",'Pivot RakBank AED'!$A$3,"Mese",7,"Tipologia",$A142,"Viaggio",$A$131)),0,GETPIVOTDATA("Somma di AVERE EUR",'Pivot RakBank AED'!$A$3,"Mese",7,"Tipologia",$A142,"Viaggio",$A$131))</f>
        <v>0</v>
      </c>
      <c r="J142" s="270">
        <f>IF(ISERROR(GETPIVOTDATA("Somma di DARE",'Pivot Fineco Sa'!$A$3,"Mese",8,"Tipologia",$A142,"Viaggio",$A$131)),0,GETPIVOTDATA("Somma di DARE",'Pivot Fineco Sa'!$A$3,"Mese",8,"Tipologia",$A142,"Viaggio",$A$131))
+IF(ISERROR(GETPIVOTDATA("Somma di DARE",'Pivot Fineco St'!$A$3,"Mese",8,"Tipologia",$A142,"Viaggio",$A$131)),0,GETPIVOTDATA("Somma di DARE",'Pivot Fineco St'!$A$3,"Mese",8,"Tipologia",$A142,"Viaggio",$A$131))
+IF(Contanti!$AG49='Conto Economico'!$A$131,Contanti!$AD49)
+IF(ISERROR(GETPIVOTDATA("Somma di DARE",'Pivot BBVA'!$A$3,"Mese",8,"Tipologia",$A142,"Viaggio",$A$131)),0,GETPIVOTDATA("Somma di DARE",'Pivot BBVA'!$A$3,"Mese",8,"Tipologia",$A142,"Viaggio",$A$131))
+IF(ISERROR(GETPIVOTDATA("Somma di DARE",'Pivot Amex'!$A$3,"Mese",8,"Tipologia",$A142,"Viaggio",$A$131)),0,GETPIVOTDATA("Somma di DARE",'Pivot Amex'!$A$3,"Mese",8,"Tipologia",$A142,"Viaggio",$A$131))
-IF(ISERROR(GETPIVOTDATA("Somma di AVERE",'Pivot Amex'!$A$3,"Mese",8,"Tipologia",$A142,"Viaggio",$A$131)),0,GETPIVOTDATA("Somma di AVERE",'Pivot Amex'!$A$3,"Mese",8,"Tipologia",$A142,"Viaggio",$A$131))
-IF(ISERROR(GETPIVOTDATA("Somma di AVERE",'Pivot BBVA'!$A$3,"Mese",8,"Tipologia",$A142,"Viaggio",$A$131)),0,GETPIVOTDATA("Somma di AVERE",'Pivot BBVA'!$A$3,"Mese",8,"Tipologia",$A142,"Viaggio",$A$131))
-IF(ISERROR(GETPIVOTDATA("Somma di AVERE",'Pivot Fineco St'!$A$3,"Mese",8,"Tipologia",$A142,"Viaggio",$A$131)),0,GETPIVOTDATA("Somma di AVERE",'Pivot Fineco St'!$A$3,"Mese",8,"Tipologia",$A142,"Viaggio",$A$131))
-IF(ISERROR(GETPIVOTDATA("Somma di AVERE",'Pivot Fineco Sa'!$A$3,"Mese",8,"Tipologia",$A142,"Viaggio",$A$131)),0,GETPIVOTDATA("Somma di AVERE",'Pivot Fineco Sa'!$A$3,"Mese",8,"Tipologia",$A142,"Viaggio",$A$131))
+IF(ISERROR(GETPIVOTDATA("Somma di DARE",'Pivot PP Visa'!$A$3,"Mese",8,"Tipologia",$A142,"Viaggio",$A$131)),0,GETPIVOTDATA("Somma di DARE",'Pivot PP Visa'!$A$3,"Mese",8,"Tipologia",$A142,"Viaggio",$A$131))
-IF(ISERROR(GETPIVOTDATA("Somma di AVERE",'Pivot PP Visa'!$A$3,"Mese",8,"Tipologia",$A142,"Viaggio",$A$131)),0,GETPIVOTDATA("Somma di AVERE",'Pivot PP Visa'!$A$3,"Mese",8,"Tipologia",$A142,"Viaggio",$A$131))
+IF(ISERROR(GETPIVOTDATA("Somma di DARE",'Pivot Revolut'!$A$3,"Mese",8,"Tipologia",$A142,"Viaggio",$A$131)),0,GETPIVOTDATA("Somma di DARE",'Pivot Revolut'!$A$3,"Mese",8,"Tipologia",$A142,"Viaggio",$A$131))
-IF(ISERROR(GETPIVOTDATA("Somma di AVERE",'Pivot Revolut'!$A$3,"Mese",8,"Tipologia",$A142,"Viaggio",$A$131)),0,GETPIVOTDATA("Somma di AVERE",'Pivot Revolut'!$A$3,"Mese",8,"Tipologia",$A142,"Viaggio",$A$131))
+IF(ISERROR(GETPIVOTDATA("Somma di DARE",'Pivot RakBank EUR'!$A$3,"Mese",8,"Tipologia",$A142,"Viaggio",$A$131)),0,GETPIVOTDATA("Somma di DARE",'Pivot RakBank EUR'!$A$3,"Mese",8,"Tipologia",$A142,"Viaggio",$A$131))
-IF(ISERROR(GETPIVOTDATA("Somma di AVERE",'Pivot RakBank EUR'!$A$3,"Mese",8,"Tipologia",$A142,"Viaggio",$A$131)),0,GETPIVOTDATA("Somma di AVERE",'Pivot RakBank EUR'!$A$3,"Mese",8,"Tipologia",$A142,"Viaggio",$A$131))
+IF(ISERROR(GETPIVOTDATA("Somma di DARE EUR",'Pivot RakBank AED'!$A$3,"Mese",8,"Tipologia",$A142,"Viaggio",$A$131)),0,GETPIVOTDATA("Somma di DARE EUR",'Pivot RakBank AED'!$A$3,"Mese",8,"Tipologia",$A142,"Viaggio",$A$131))
-IF(ISERROR(GETPIVOTDATA("Somma di AVERE EUR",'Pivot RakBank AED'!$A$3,"Mese",8,"Tipologia",$A142,"Viaggio",$A$131)),0,GETPIVOTDATA("Somma di AVERE EUR",'Pivot RakBank AED'!$A$3,"Mese",8,"Tipologia",$A142,"Viaggio",$A$131))</f>
        <v>0</v>
      </c>
      <c r="K142" s="270">
        <f>IF(ISERROR(GETPIVOTDATA("Somma di DARE",'Pivot Fineco Sa'!$A$3,"Mese",9,"Tipologia",$A142,"Viaggio",$A$131)),0,GETPIVOTDATA("Somma di DARE",'Pivot Fineco Sa'!$A$3,"Mese",9,"Tipologia",$A142,"Viaggio",$A$131))
+IF(ISERROR(GETPIVOTDATA("Somma di DARE",'Pivot Fineco St'!$A$3,"Mese",9,"Tipologia",$A142,"Viaggio",$A$131)),0,GETPIVOTDATA("Somma di DARE",'Pivot Fineco St'!$A$3,"Mese",9,"Tipologia",$A142,"Viaggio",$A$131))
+IF(Contanti!$AK49='Conto Economico'!$A$131,Contanti!$AH49)
+IF(ISERROR(GETPIVOTDATA("Somma di DARE",'Pivot BBVA'!$A$3,"Mese",9,"Tipologia",$A142,"Viaggio",$A$131)),0,GETPIVOTDATA("Somma di DARE",'Pivot BBVA'!$A$3,"Mese",9,"Tipologia",$A142,"Viaggio",$A$131))
+IF(ISERROR(GETPIVOTDATA("Somma di DARE",'Pivot Amex'!$A$3,"Mese",9,"Tipologia",$A142,"Viaggio",$A$131)),0,GETPIVOTDATA("Somma di DARE",'Pivot Amex'!$A$3,"Mese",9,"Tipologia",$A142,"Viaggio",$A$131))
-IF(ISERROR(GETPIVOTDATA("Somma di AVERE",'Pivot Amex'!$A$3,"Mese",9,"Tipologia",$A142,"Viaggio",$A$131)),0,GETPIVOTDATA("Somma di AVERE",'Pivot Amex'!$A$3,"Mese",9,"Tipologia",$A142,"Viaggio",$A$131))
-IF(ISERROR(GETPIVOTDATA("Somma di AVERE",'Pivot BBVA'!$A$3,"Mese",9,"Tipologia",$A142,"Viaggio",$A$131)),0,GETPIVOTDATA("Somma di AVERE",'Pivot BBVA'!$A$3,"Mese",9,"Tipologia",$A142,"Viaggio",$A$131))
-IF(ISERROR(GETPIVOTDATA("Somma di AVERE",'Pivot Fineco St'!$A$3,"Mese",9,"Tipologia",$A142,"Viaggio",$A$131)),0,GETPIVOTDATA("Somma di AVERE",'Pivot Fineco St'!$A$3,"Mese",9,"Tipologia",$A142,"Viaggio",$A$131))
-IF(ISERROR(GETPIVOTDATA("Somma di AVERE",'Pivot Fineco Sa'!$A$3,"Mese",9,"Tipologia",$A142,"Viaggio",$A$131)),0,GETPIVOTDATA("Somma di AVERE",'Pivot Fineco Sa'!$A$3,"Mese",9,"Tipologia",$A142,"Viaggio",$A$131))
+IF(ISERROR(GETPIVOTDATA("Somma di DARE",'Pivot PP Visa'!$A$3,"Mese",9,"Tipologia",$A142,"Viaggio",$A$131)),0,GETPIVOTDATA("Somma di DARE",'Pivot PP Visa'!$A$3,"Mese",9,"Tipologia",$A142,"Viaggio",$A$131))
-IF(ISERROR(GETPIVOTDATA("Somma di AVERE",'Pivot PP Visa'!$A$3,"Mese",9,"Tipologia",$A142,"Viaggio",$A$131)),0,GETPIVOTDATA("Somma di AVERE",'Pivot PP Visa'!$A$3,"Mese",9,"Tipologia",$A142,"Viaggio",$A$131))
+IF(ISERROR(GETPIVOTDATA("Somma di DARE",'Pivot Revolut'!$A$3,"Mese",9,"Tipologia",$A142,"Viaggio",$A$131)),0,GETPIVOTDATA("Somma di DARE",'Pivot Revolut'!$A$3,"Mese",9,"Tipologia",$A142,"Viaggio",$A$131))
-IF(ISERROR(GETPIVOTDATA("Somma di AVERE",'Pivot Revolut'!$A$3,"Mese",9,"Tipologia",$A142,"Viaggio",$A$131)),0,GETPIVOTDATA("Somma di AVERE",'Pivot Revolut'!$A$3,"Mese",9,"Tipologia",$A142,"Viaggio",$A$131))
+IF(ISERROR(GETPIVOTDATA("Somma di DARE",'Pivot RakBank EUR'!$A$3,"Mese",9,"Tipologia",$A142,"Viaggio",$A$131)),0,GETPIVOTDATA("Somma di DARE",'Pivot RakBank EUR'!$A$3,"Mese",9,"Tipologia",$A142,"Viaggio",$A$131))
-IF(ISERROR(GETPIVOTDATA("Somma di AVERE",'Pivot RakBank EUR'!$A$3,"Mese",9,"Tipologia",$A142,"Viaggio",$A$131)),0,GETPIVOTDATA("Somma di AVERE",'Pivot RakBank EUR'!$A$3,"Mese",9,"Tipologia",$A142,"Viaggio",$A$131))
+IF(ISERROR(GETPIVOTDATA("Somma di DARE EUR",'Pivot RakBank AED'!$A$3,"Mese",9,"Tipologia",$A142,"Viaggio",$A$131)),0,GETPIVOTDATA("Somma di DARE EUR",'Pivot RakBank AED'!$A$3,"Mese",9,"Tipologia",$A142,"Viaggio",$A$131))
-IF(ISERROR(GETPIVOTDATA("Somma di AVERE EUR",'Pivot RakBank AED'!$A$3,"Mese",9,"Tipologia",$A142,"Viaggio",$A$131)),0,GETPIVOTDATA("Somma di AVERE EUR",'Pivot RakBank AED'!$A$3,"Mese",9,"Tipologia",$A142,"Viaggio",$A$131))</f>
        <v>0</v>
      </c>
      <c r="L142" s="270">
        <f>IF(ISERROR(GETPIVOTDATA("Somma di DARE",'Pivot Fineco Sa'!$A$3,"Mese",10,"Tipologia",$A142,"Viaggio",$A$131)),0,GETPIVOTDATA("Somma di DARE",'Pivot Fineco Sa'!$A$3,"Mese",10,"Tipologia",$A142,"Viaggio",$A$131))
+IF(ISERROR(GETPIVOTDATA("Somma di DARE",'Pivot Fineco St'!$A$3,"Mese",10,"Tipologia",$A142,"Viaggio",$A$131)),0,GETPIVOTDATA("Somma di DARE",'Pivot Fineco St'!$A$3,"Mese",10,"Tipologia",$A142,"Viaggio",$A$131))
+IF(Contanti!$AO49='Conto Economico'!$A$131,Contanti!$AL49)
+IF(ISERROR(GETPIVOTDATA("Somma di DARE",'Pivot BBVA'!$A$3,"Mese",10,"Tipologia",$A142,"Viaggio",$A$131)),0,GETPIVOTDATA("Somma di DARE",'Pivot BBVA'!$A$3,"Mese",10,"Tipologia",$A142,"Viaggio",$A$131))
+IF(ISERROR(GETPIVOTDATA("Somma di DARE",'Pivot Amex'!$A$3,"Mese",10,"Tipologia",$A142,"Viaggio",$A$131)),0,GETPIVOTDATA("Somma di DARE",'Pivot Amex'!$A$3,"Mese",10,"Tipologia",$A142,"Viaggio",$A$131))
-IF(ISERROR(GETPIVOTDATA("Somma di AVERE",'Pivot Amex'!$A$3,"Mese",10,"Tipologia",$A142,"Viaggio",$A$131)),0,GETPIVOTDATA("Somma di AVERE",'Pivot Amex'!$A$3,"Mese",10,"Tipologia",$A142,"Viaggio",$A$131))
-IF(ISERROR(GETPIVOTDATA("Somma di AVERE",'Pivot BBVA'!$A$3,"Mese",10,"Tipologia",$A142,"Viaggio",$A$131)),0,GETPIVOTDATA("Somma di AVERE",'Pivot BBVA'!$A$3,"Mese",10,"Tipologia",$A142,"Viaggio",$A$131))
-IF(ISERROR(GETPIVOTDATA("Somma di AVERE",'Pivot Fineco St'!$A$3,"Mese",10,"Tipologia",$A142,"Viaggio",$A$131)),0,GETPIVOTDATA("Somma di AVERE",'Pivot Fineco St'!$A$3,"Mese",10,"Tipologia",$A142,"Viaggio",$A$131))
-IF(ISERROR(GETPIVOTDATA("Somma di AVERE",'Pivot Fineco Sa'!$A$3,"Mese",10,"Tipologia",$A142,"Viaggio",$A$131)),0,GETPIVOTDATA("Somma di AVERE",'Pivot Fineco Sa'!$A$3,"Mese",10,"Tipologia",$A142,"Viaggio",$A$131))
+IF(ISERROR(GETPIVOTDATA("Somma di DARE",'Pivot PP Visa'!$A$3,"Mese",10,"Tipologia",$A142,"Viaggio",$A$131)),0,GETPIVOTDATA("Somma di DARE",'Pivot PP Visa'!$A$3,"Mese",10,"Tipologia",$A142,"Viaggio",$A$131))
-IF(ISERROR(GETPIVOTDATA("Somma di AVERE",'Pivot PP Visa'!$A$3,"Mese",10,"Tipologia",$A142,"Viaggio",$A$131)),0,GETPIVOTDATA("Somma di AVERE",'Pivot PP Visa'!$A$3,"Mese",10,"Tipologia",$A142,"Viaggio",$A$131))
+IF(ISERROR(GETPIVOTDATA("Somma di DARE",'Pivot Revolut'!$A$3,"Mese",10,"Tipologia",$A142,"Viaggio",$A$131)),0,GETPIVOTDATA("Somma di DARE",'Pivot Revolut'!$A$3,"Mese",10,"Tipologia",$A142,"Viaggio",$A$131))
-IF(ISERROR(GETPIVOTDATA("Somma di AVERE",'Pivot Revolut'!$A$3,"Mese",10,"Tipologia",$A142,"Viaggio",$A$131)),0,GETPIVOTDATA("Somma di AVERE",'Pivot Revolut'!$A$3,"Mese",10,"Tipologia",$A142,"Viaggio",$A$131))
+IF(ISERROR(GETPIVOTDATA("Somma di DARE",'Pivot RakBank EUR'!$A$3,"Mese",10,"Tipologia",$A142,"Viaggio",$A$131)),0,GETPIVOTDATA("Somma di DARE",'Pivot RakBank EUR'!$A$3,"Mese",10,"Tipologia",$A142,"Viaggio",$A$131))
-IF(ISERROR(GETPIVOTDATA("Somma di AVERE",'Pivot RakBank EUR'!$A$3,"Mese",10,"Tipologia",$A142,"Viaggio",$A$131)),0,GETPIVOTDATA("Somma di AVERE",'Pivot RakBank EUR'!$A$3,"Mese",10,"Tipologia",$A142,"Viaggio",$A$131))
+IF(ISERROR(GETPIVOTDATA("Somma di DARE EUR",'Pivot RakBank AED'!$A$3,"Mese",10,"Tipologia",$A142,"Viaggio",$A$131)),0,GETPIVOTDATA("Somma di DARE EUR",'Pivot RakBank AED'!$A$3,"Mese",10,"Tipologia",$A142,"Viaggio",$A$131))
-IF(ISERROR(GETPIVOTDATA("Somma di AVERE EUR",'Pivot RakBank AED'!$A$3,"Mese",10,"Tipologia",$A142,"Viaggio",$A$131)),0,GETPIVOTDATA("Somma di AVERE EUR",'Pivot RakBank AED'!$A$3,"Mese",10,"Tipologia",$A142,"Viaggio",$A$131))</f>
        <v>0</v>
      </c>
      <c r="M142" s="270">
        <f>IF(ISERROR(GETPIVOTDATA("Somma di DARE",'Pivot Fineco Sa'!$A$3,"Mese",11,"Tipologia",$A142,"Viaggio",$A$131)),0,GETPIVOTDATA("Somma di DARE",'Pivot Fineco Sa'!$A$3,"Mese",11,"Tipologia",$A142,"Viaggio",$A$131))
+IF(ISERROR(GETPIVOTDATA("Somma di DARE",'Pivot Fineco St'!$A$3,"Mese",11,"Tipologia",$A142,"Viaggio",$A$131)),0,GETPIVOTDATA("Somma di DARE",'Pivot Fineco St'!$A$3,"Mese",11,"Tipologia",$A142,"Viaggio",$A$131))
+IF(Contanti!$AS49='Conto Economico'!$A$131,Contanti!$AP49)
+IF(ISERROR(GETPIVOTDATA("Somma di DARE",'Pivot BBVA'!$A$3,"Mese",11,"Tipologia",$A142,"Viaggio",$A$131)),0,GETPIVOTDATA("Somma di DARE",'Pivot BBVA'!$A$3,"Mese",11,"Tipologia",$A142,"Viaggio",$A$131))
+IF(ISERROR(GETPIVOTDATA("Somma di DARE",'Pivot Amex'!$A$3,"Mese",11,"Tipologia",$A142,"Viaggio",$A$131)),0,GETPIVOTDATA("Somma di DARE",'Pivot Amex'!$A$3,"Mese",11,"Tipologia",$A142,"Viaggio",$A$131))
-IF(ISERROR(GETPIVOTDATA("Somma di AVERE",'Pivot Amex'!$A$3,"Mese",11,"Tipologia",$A142,"Viaggio",$A$131)),0,GETPIVOTDATA("Somma di AVERE",'Pivot Amex'!$A$3,"Mese",11,"Tipologia",$A142,"Viaggio",$A$131))
-IF(ISERROR(GETPIVOTDATA("Somma di AVERE",'Pivot BBVA'!$A$3,"Mese",11,"Tipologia",$A142,"Viaggio",$A$131)),0,GETPIVOTDATA("Somma di AVERE",'Pivot BBVA'!$A$3,"Mese",11,"Tipologia",$A142,"Viaggio",$A$131))
-IF(ISERROR(GETPIVOTDATA("Somma di AVERE",'Pivot Fineco St'!$A$3,"Mese",11,"Tipologia",$A142,"Viaggio",$A$131)),0,GETPIVOTDATA("Somma di AVERE",'Pivot Fineco St'!$A$3,"Mese",11,"Tipologia",$A142,"Viaggio",$A$131))
-IF(ISERROR(GETPIVOTDATA("Somma di AVERE",'Pivot Fineco Sa'!$A$3,"Mese",11,"Tipologia",$A142,"Viaggio",$A$131)),0,GETPIVOTDATA("Somma di AVERE",'Pivot Fineco Sa'!$A$3,"Mese",11,"Tipologia",$A142,"Viaggio",$A$131))
+IF(ISERROR(GETPIVOTDATA("Somma di DARE",'Pivot PP Visa'!$A$3,"Mese",11,"Tipologia",$A142,"Viaggio",$A$131)),0,GETPIVOTDATA("Somma di DARE",'Pivot PP Visa'!$A$3,"Mese",11,"Tipologia",$A142,"Viaggio",$A$131))
-IF(ISERROR(GETPIVOTDATA("Somma di AVERE",'Pivot PP Visa'!$A$3,"Mese",11,"Tipologia",$A142,"Viaggio",$A$131)),0,GETPIVOTDATA("Somma di AVERE",'Pivot PP Visa'!$A$3,"Mese",11,"Tipologia",$A142,"Viaggio",$A$131))
+IF(ISERROR(GETPIVOTDATA("Somma di DARE",'Pivot Revolut'!$A$3,"Mese",11,"Tipologia",$A142,"Viaggio",$A$131)),0,GETPIVOTDATA("Somma di DARE",'Pivot Revolut'!$A$3,"Mese",11,"Tipologia",$A142,"Viaggio",$A$131))
-IF(ISERROR(GETPIVOTDATA("Somma di AVERE",'Pivot Revolut'!$A$3,"Mese",11,"Tipologia",$A142,"Viaggio",$A$131)),0,GETPIVOTDATA("Somma di AVERE",'Pivot Revolut'!$A$3,"Mese",11,"Tipologia",$A142,"Viaggio",$A$131))
+IF(ISERROR(GETPIVOTDATA("Somma di DARE",'Pivot RakBank EUR'!$A$3,"Mese",11,"Tipologia",$A142,"Viaggio",$A$131)),0,GETPIVOTDATA("Somma di DARE",'Pivot RakBank EUR'!$A$3,"Mese",11,"Tipologia",$A142,"Viaggio",$A$131))
-IF(ISERROR(GETPIVOTDATA("Somma di AVERE",'Pivot RakBank EUR'!$A$3,"Mese",11,"Tipologia",$A142,"Viaggio",$A$131)),0,GETPIVOTDATA("Somma di AVERE",'Pivot RakBank EUR'!$A$3,"Mese",11,"Tipologia",$A142,"Viaggio",$A$131))
+IF(ISERROR(GETPIVOTDATA("Somma di DARE EUR",'Pivot RakBank AED'!$A$3,"Mese",11,"Tipologia",$A142,"Viaggio",$A$131)),0,GETPIVOTDATA("Somma di DARE EUR",'Pivot RakBank AED'!$A$3,"Mese",11,"Tipologia",$A142,"Viaggio",$A$131))
-IF(ISERROR(GETPIVOTDATA("Somma di AVERE EUR",'Pivot RakBank AED'!$A$3,"Mese",11,"Tipologia",$A142,"Viaggio",$A$131)),0,GETPIVOTDATA("Somma di AVERE EUR",'Pivot RakBank AED'!$A$3,"Mese",11,"Tipologia",$A142,"Viaggio",$A$131))</f>
        <v>0</v>
      </c>
      <c r="N142" s="270">
        <f>IF(ISERROR(GETPIVOTDATA("Somma di DARE",'Pivot Fineco Sa'!$A$3,"Mese",12,"Tipologia",$A142,"Viaggio",$A$131)),0,GETPIVOTDATA("Somma di DARE",'Pivot Fineco Sa'!$A$3,"Mese",12,"Tipologia",$A142,"Viaggio",$A$131))
+IF(ISERROR(GETPIVOTDATA("Somma di DARE",'Pivot Fineco St'!$A$3,"Mese",12,"Tipologia",$A142,"Viaggio",$A$131)),0,GETPIVOTDATA("Somma di DARE",'Pivot Fineco St'!$A$3,"Mese",12,"Tipologia",$A142,"Viaggio",$A$131))
+IF(Contanti!$AW49='Conto Economico'!$A$131,Contanti!$AT49)
+IF(ISERROR(GETPIVOTDATA("Somma di DARE",'Pivot BBVA'!$A$3,"Mese",12,"Tipologia",$A142,"Viaggio",$A$131)),0,GETPIVOTDATA("Somma di DARE",'Pivot BBVA'!$A$3,"Mese",12,"Tipologia",$A142,"Viaggio",$A$131))
+IF(ISERROR(GETPIVOTDATA("Somma di DARE",'Pivot Amex'!$A$3,"Mese",12,"Tipologia",$A142,"Viaggio",$A$131)),0,GETPIVOTDATA("Somma di DARE",'Pivot Amex'!$A$3,"Mese",12,"Tipologia",$A142,"Viaggio",$A$131))
-IF(ISERROR(GETPIVOTDATA("Somma di AVERE",'Pivot Amex'!$A$3,"Mese",12,"Tipologia",$A142,"Viaggio",$A$131)),0,GETPIVOTDATA("Somma di AVERE",'Pivot Amex'!$A$3,"Mese",12,"Tipologia",$A142,"Viaggio",$A$131))
-IF(ISERROR(GETPIVOTDATA("Somma di AVERE",'Pivot BBVA'!$A$3,"Mese",12,"Tipologia",$A142,"Viaggio",$A$131)),0,GETPIVOTDATA("Somma di AVERE",'Pivot BBVA'!$A$3,"Mese",12,"Tipologia",$A142,"Viaggio",$A$131))
-IF(ISERROR(GETPIVOTDATA("Somma di AVERE",'Pivot Fineco St'!$A$3,"Mese",12,"Tipologia",$A142,"Viaggio",$A$131)),0,GETPIVOTDATA("Somma di AVERE",'Pivot Fineco St'!$A$3,"Mese",12,"Tipologia",$A142,"Viaggio",$A$131))
-IF(ISERROR(GETPIVOTDATA("Somma di AVERE",'Pivot Fineco Sa'!$A$3,"Mese",12,"Tipologia",$A142,"Viaggio",$A$131)),0,GETPIVOTDATA("Somma di AVERE",'Pivot Fineco Sa'!$A$3,"Mese",12,"Tipologia",$A142,"Viaggio",$A$131))
+IF(ISERROR(GETPIVOTDATA("Somma di DARE",'Pivot PP Visa'!$A$3,"Mese",12,"Tipologia",$A142,"Viaggio",$A$131)),0,GETPIVOTDATA("Somma di DARE",'Pivot PP Visa'!$A$3,"Mese",12,"Tipologia",$A142,"Viaggio",$A$131))
-IF(ISERROR(GETPIVOTDATA("Somma di AVERE",'Pivot PP Visa'!$A$3,"Mese",12,"Tipologia",$A142,"Viaggio",$A$131)),0,GETPIVOTDATA("Somma di AVERE",'Pivot PP Visa'!$A$3,"Mese",12,"Tipologia",$A142,"Viaggio",$A$131))
+IF(ISERROR(GETPIVOTDATA("Somma di DARE",'Pivot Revolut'!$A$3,"Mese",12,"Tipologia",$A142,"Viaggio",$A$131)),0,GETPIVOTDATA("Somma di DARE",'Pivot Revolut'!$A$3,"Mese",12,"Tipologia",$A142,"Viaggio",$A$131))
-IF(ISERROR(GETPIVOTDATA("Somma di AVERE",'Pivot Revolut'!$A$3,"Mese",12,"Tipologia",$A142,"Viaggio",$A$131)),0,GETPIVOTDATA("Somma di AVERE",'Pivot Revolut'!$A$3,"Mese",12,"Tipologia",$A142,"Viaggio",$A$131))
+IF(ISERROR(GETPIVOTDATA("Somma di DARE",'Pivot RakBank EUR'!$A$3,"Mese",12,"Tipologia",$A142,"Viaggio",$A$131)),0,GETPIVOTDATA("Somma di DARE",'Pivot RakBank EUR'!$A$3,"Mese",12,"Tipologia",$A142,"Viaggio",$A$131))
-IF(ISERROR(GETPIVOTDATA("Somma di AVERE",'Pivot RakBank EUR'!$A$3,"Mese",12,"Tipologia",$A142,"Viaggio",$A$131)),0,GETPIVOTDATA("Somma di AVERE",'Pivot RakBank EUR'!$A$3,"Mese",12,"Tipologia",$A142,"Viaggio",$A$131))
+IF(ISERROR(GETPIVOTDATA("Somma di DARE EUR",'Pivot RakBank AED'!$A$3,"Mese",12,"Tipologia",$A142,"Viaggio",$A$131)),0,GETPIVOTDATA("Somma di DARE EUR",'Pivot RakBank AED'!$A$3,"Mese",12,"Tipologia",$A142,"Viaggio",$A$131))
-IF(ISERROR(GETPIVOTDATA("Somma di AVERE EUR",'Pivot RakBank AED'!$A$3,"Mese",12,"Tipologia",$A142,"Viaggio",$A$131)),0,GETPIVOTDATA("Somma di AVERE EUR",'Pivot RakBank AED'!$A$3,"Mese",12,"Tipologia",$A142,"Viaggio",$A$131))</f>
        <v>0</v>
      </c>
      <c r="O142" s="271">
        <f t="shared" si="17"/>
        <v>23.299999999999997</v>
      </c>
      <c r="P142" s="270"/>
    </row>
    <row r="143" spans="1:16" s="131" customFormat="1" ht="14" outlineLevel="1" x14ac:dyDescent="0.2">
      <c r="A143" s="272"/>
      <c r="B143" s="272"/>
      <c r="C143" s="273"/>
      <c r="D143" s="273"/>
      <c r="E143" s="273"/>
      <c r="F143" s="273"/>
      <c r="G143" s="273"/>
      <c r="H143" s="273"/>
      <c r="I143" s="273"/>
      <c r="J143" s="273"/>
      <c r="K143" s="273"/>
      <c r="L143" s="273"/>
      <c r="M143" s="273"/>
      <c r="N143" s="273"/>
      <c r="O143" s="274"/>
      <c r="P143" s="270"/>
    </row>
    <row r="144" spans="1:16" s="268" customFormat="1" ht="14" outlineLevel="1" x14ac:dyDescent="0.2">
      <c r="A144" s="265" t="s">
        <v>759</v>
      </c>
      <c r="B144" s="265"/>
      <c r="C144" s="266">
        <f>SUM(C145:C155)</f>
        <v>0</v>
      </c>
      <c r="D144" s="266">
        <f t="shared" ref="D144:N144" si="18">SUM(D145:D155)</f>
        <v>0</v>
      </c>
      <c r="E144" s="266">
        <f t="shared" si="18"/>
        <v>0</v>
      </c>
      <c r="F144" s="266">
        <f t="shared" si="18"/>
        <v>23.84</v>
      </c>
      <c r="G144" s="266">
        <f t="shared" si="18"/>
        <v>410.81333333333333</v>
      </c>
      <c r="H144" s="266">
        <f t="shared" si="18"/>
        <v>0</v>
      </c>
      <c r="I144" s="266">
        <f t="shared" si="18"/>
        <v>0</v>
      </c>
      <c r="J144" s="266">
        <f t="shared" si="18"/>
        <v>0</v>
      </c>
      <c r="K144" s="266">
        <f t="shared" si="18"/>
        <v>0</v>
      </c>
      <c r="L144" s="266">
        <f t="shared" si="18"/>
        <v>0</v>
      </c>
      <c r="M144" s="266">
        <f t="shared" si="18"/>
        <v>0</v>
      </c>
      <c r="N144" s="266">
        <f t="shared" si="18"/>
        <v>0</v>
      </c>
      <c r="O144" s="267">
        <f t="shared" ref="O144:O155" si="19">SUM(C144:N144)</f>
        <v>434.65333333333331</v>
      </c>
      <c r="P144" s="266"/>
    </row>
    <row r="145" spans="1:16" s="131" customFormat="1" ht="14" outlineLevel="1" x14ac:dyDescent="0.2">
      <c r="A145" s="269" t="s">
        <v>100</v>
      </c>
      <c r="B145" s="270"/>
      <c r="C145" s="270">
        <f>IF(ISERROR(GETPIVOTDATA("Somma di DARE",'Pivot Fineco Sa'!$A$3,"Mese",1,"Tipologia",$A145,"Viaggio",$A$144)),0,GETPIVOTDATA("Somma di DARE",'Pivot Fineco Sa'!$A$3,"Mese",1,"Tipologia",$A145,"Viaggio",$A$144))
+IF(ISERROR(GETPIVOTDATA("Somma di DARE",'Pivot Fineco St'!$A$3,"Mese",1,"Tipologia",$A145,"Viaggio",$A$144)),0,GETPIVOTDATA("Somma di DARE",'Pivot Fineco St'!$A$3,"Mese",1,"Tipologia",$A145,"Viaggio",$A$144))
+IF(Contanti!$E39='Conto Economico'!$A$144,Contanti!$B39)
+IF(ISERROR(GETPIVOTDATA("Somma di DARE",'Pivot BBVA'!$A$3,"Mese",1,"Tipologia",$A145,"Viaggio",$A$144)),0,GETPIVOTDATA("Somma di DARE",'Pivot BBVA'!$A$3,"Mese",1,"Tipologia",$A145,"Viaggio",$A$144))
+IF(ISERROR(GETPIVOTDATA("Somma di DARE",'Pivot Amex'!$A$3,"Mese",1,"Tipologia",$A145,"Viaggio",$A$144)),0,GETPIVOTDATA("Somma di DARE",'Pivot Amex'!$A$3,"Mese",1,"Tipologia",$A145,"Viaggio",$A$144))
-IF(ISERROR(GETPIVOTDATA("Somma di AVERE",'Pivot Amex'!$A$3,"Mese",1,"Tipologia",$A145,"Viaggio",$A$144)),0,GETPIVOTDATA("Somma di AVERE",'Pivot Amex'!$A$3,"Mese",1,"Tipologia",$A145,"Viaggio",$A$144))
-IF(ISERROR(GETPIVOTDATA("Somma di AVERE",'Pivot BBVA'!$A$3,"Mese",1,"Tipologia",$A145,"Viaggio",$A$144)),0,GETPIVOTDATA("Somma di AVERE",'Pivot BBVA'!$A$3,"Mese",1,"Tipologia",$A145,"Viaggio",$A$144))
-IF(ISERROR(GETPIVOTDATA("Somma di AVERE",'Pivot Fineco St'!$A$3,"Mese",1,"Tipologia",$A145,"Viaggio",$A$144)),0,GETPIVOTDATA("Somma di AVERE",'Pivot Fineco St'!$A$3,"Mese",1,"Tipologia",$A145,"Viaggio",$A$144))
-IF(ISERROR(GETPIVOTDATA("Somma di AVERE",'Pivot Fineco Sa'!$A$3,"Mese",1,"Tipologia",$A145,"Viaggio",$A$144)),0,GETPIVOTDATA("Somma di AVERE",'Pivot Fineco Sa'!$A$3,"Mese",1,"Tipologia",$A145,"Viaggio",$A$144))
+IF(ISERROR(GETPIVOTDATA("Somma di DARE",'Pivot PP Visa'!$A$3,"Mese",1,"Tipologia",$A145,"Viaggio",$A$144)),0,GETPIVOTDATA("Somma di DARE",'Pivot PP Visa'!$A$3,"Mese",1,"Tipologia",$A145,"Viaggio",$A$144))
-IF(ISERROR(GETPIVOTDATA("Somma di AVERE",'Pivot PP Visa'!$A$3,"Mese",1,"Tipologia",$A145,"Viaggio",$A$144)),0,GETPIVOTDATA("Somma di AVERE",'Pivot PP Visa'!$A$3,"Mese",1,"Tipologia",$A145,"Viaggio",$A$144))
+IF(ISERROR(GETPIVOTDATA("Somma di DARE",'Pivot Revolut'!$A$3,"Mese",1,"Tipologia",$A145,"Viaggio",$A$144)),0,GETPIVOTDATA("Somma di DARE",'Pivot Revolut'!$A$3,"Mese",1,"Tipologia",$A145,"Viaggio",$A$144))
-IF(ISERROR(GETPIVOTDATA("Somma di AVERE",'Pivot Revolut'!$A$3,"Mese",1,"Tipologia",$A145,"Viaggio",$A$144)),0,GETPIVOTDATA("Somma di AVERE",'Pivot Revolut'!$A$3,"Mese",1,"Tipologia",$A145,"Viaggio",$A$144))
+IF(ISERROR(GETPIVOTDATA("Somma di DARE",'Pivot RakBank EUR'!$A$3,"Mese",1,"Tipologia",$A145,"Viaggio",$A$144)),0,GETPIVOTDATA("Somma di DARE",'Pivot RakBank EUR'!$A$3,"Mese",1,"Tipologia",$A145,"Viaggio",$A$144))
-IF(ISERROR(GETPIVOTDATA("Somma di AVERE",'Pivot RakBank EUR'!$A$3,"Mese",1,"Tipologia",$A145,"Viaggio",$A$144)),0,GETPIVOTDATA("Somma di AVERE",'Pivot RakBank EUR'!$A$3,"Mese",1,"Tipologia",$A145,"Viaggio",$A$144))
+IF(ISERROR(GETPIVOTDATA("Somma di DARE EUR",'Pivot RakBank AED'!$A$3,"Mese",1,"Tipologia",$A145,"Viaggio",$A$144)),0,GETPIVOTDATA("Somma di DARE EUR",'Pivot RakBank AED'!$A$3,"Mese",1,"Tipologia",$A145,"Viaggio",$A$144))
-IF(ISERROR(GETPIVOTDATA("Somma di AVERE EUR",'Pivot RakBank AED'!$A$3,"Mese",1,"Tipologia",$A145,"Viaggio",$A$144)),0,GETPIVOTDATA("Somma di AVERE EUR",'Pivot RakBank AED'!$A$3,"Mese",1,"Tipologia",$A145,"Viaggio",$A$144))</f>
        <v>0</v>
      </c>
      <c r="D145" s="270">
        <f>IF(ISERROR(GETPIVOTDATA("Somma di DARE",'Pivot Fineco Sa'!$A$3,"Mese",2,"Tipologia",$A145,"Viaggio",$A$144)),0,GETPIVOTDATA("Somma di DARE",'Pivot Fineco Sa'!$A$3,"Mese",2,"Tipologia",$A145,"Viaggio",$A$144))
+IF(ISERROR(GETPIVOTDATA("Somma di DARE",'Pivot Fineco St'!$A$3,"Mese",2,"Tipologia",$A145,"Viaggio",$A$144)),0,GETPIVOTDATA("Somma di DARE",'Pivot Fineco St'!$A$3,"Mese",2,"Tipologia",$A145,"Viaggio",$A$144))
+IF(Contanti!$I39='Conto Economico'!$A$144,Contanti!$F39)
+IF(ISERROR(GETPIVOTDATA("Somma di DARE",'Pivot BBVA'!$A$3,"Mese",2,"Tipologia",$A145,"Viaggio",$A$144)),0,GETPIVOTDATA("Somma di DARE",'Pivot BBVA'!$A$3,"Mese",2,"Tipologia",$A145,"Viaggio",$A$144))
+IF(ISERROR(GETPIVOTDATA("Somma di DARE",'Pivot Amex'!$A$3,"Mese",2,"Tipologia",$A145,"Viaggio",$A$144)),0,GETPIVOTDATA("Somma di DARE",'Pivot Amex'!$A$3,"Mese",2,"Tipologia",$A145,"Viaggio",$A$144))
-IF(ISERROR(GETPIVOTDATA("Somma di AVERE",'Pivot Amex'!$A$3,"Mese",2,"Tipologia",$A145,"Viaggio",$A$144)),0,GETPIVOTDATA("Somma di AVERE",'Pivot Amex'!$A$3,"Mese",2,"Tipologia",$A145,"Viaggio",$A$144))
-IF(ISERROR(GETPIVOTDATA("Somma di AVERE",'Pivot BBVA'!$A$3,"Mese",2,"Tipologia",$A145,"Viaggio",$A$144)),0,GETPIVOTDATA("Somma di AVERE",'Pivot BBVA'!$A$3,"Mese",2,"Tipologia",$A145,"Viaggio",$A$144))
-IF(ISERROR(GETPIVOTDATA("Somma di AVERE",'Pivot Fineco St'!$A$3,"Mese",2,"Tipologia",$A145,"Viaggio",$A$144)),0,GETPIVOTDATA("Somma di AVERE",'Pivot Fineco St'!$A$3,"Mese",2,"Tipologia",$A145,"Viaggio",$A$144))
-IF(ISERROR(GETPIVOTDATA("Somma di AVERE",'Pivot Fineco Sa'!$A$3,"Mese",2,"Tipologia",$A145,"Viaggio",$A$144)),0,GETPIVOTDATA("Somma di AVERE",'Pivot Fineco Sa'!$A$3,"Mese",2,"Tipologia",$A145,"Viaggio",$A$144))
+IF(ISERROR(GETPIVOTDATA("Somma di DARE",'Pivot PP Visa'!$A$3,"Mese",2,"Tipologia",$A145,"Viaggio",$A$144)),0,GETPIVOTDATA("Somma di DARE",'Pivot PP Visa'!$A$3,"Mese",2,"Tipologia",$A145,"Viaggio",$A$144))
-IF(ISERROR(GETPIVOTDATA("Somma di AVERE",'Pivot PP Visa'!$A$3,"Mese",2,"Tipologia",$A145,"Viaggio",$A$144)),0,GETPIVOTDATA("Somma di AVERE",'Pivot PP Visa'!$A$3,"Mese",2,"Tipologia",$A145,"Viaggio",$A$144))
+IF(ISERROR(GETPIVOTDATA("Somma di DARE",'Pivot Revolut'!$A$3,"Mese",2,"Tipologia",$A145,"Viaggio",$A$144)),0,GETPIVOTDATA("Somma di DARE",'Pivot Revolut'!$A$3,"Mese",2,"Tipologia",$A145,"Viaggio",$A$144))
-IF(ISERROR(GETPIVOTDATA("Somma di AVERE",'Pivot Revolut'!$A$3,"Mese",2,"Tipologia",$A145,"Viaggio",$A$144)),0,GETPIVOTDATA("Somma di AVERE",'Pivot Revolut'!$A$3,"Mese",2,"Tipologia",$A145,"Viaggio",$A$144))
+IF(ISERROR(GETPIVOTDATA("Somma di DARE",'Pivot RakBank EUR'!$A$3,"Mese",2,"Tipologia",$A145,"Viaggio",$A$144)),0,GETPIVOTDATA("Somma di DARE",'Pivot RakBank EUR'!$A$3,"Mese",2,"Tipologia",$A145,"Viaggio",$A$144))
-IF(ISERROR(GETPIVOTDATA("Somma di AVERE",'Pivot RakBank EUR'!$A$3,"Mese",2,"Tipologia",$A145,"Viaggio",$A$144)),0,GETPIVOTDATA("Somma di AVERE",'Pivot RakBank EUR'!$A$3,"Mese",2,"Tipologia",$A145,"Viaggio",$A$144))
+IF(ISERROR(GETPIVOTDATA("Somma di DARE EUR",'Pivot RakBank AED'!$A$3,"Mese",2,"Tipologia",$A145,"Viaggio",$A$144)),0,GETPIVOTDATA("Somma di DARE EUR",'Pivot RakBank AED'!$A$3,"Mese",2,"Tipologia",$A145,"Viaggio",$A$144))
-IF(ISERROR(GETPIVOTDATA("Somma di AVERE EUR",'Pivot RakBank AED'!$A$3,"Mese",2,"Tipologia",$A145,"Viaggio",$A$144)),0,GETPIVOTDATA("Somma di AVERE EUR",'Pivot RakBank AED'!$A$3,"Mese",2,"Tipologia",$A145,"Viaggio",$A$144))</f>
        <v>0</v>
      </c>
      <c r="E145" s="270">
        <f>IF(ISERROR(GETPIVOTDATA("Somma di DARE",'Pivot Fineco Sa'!$A$3,"Mese",3,"Tipologia",$A145,"Viaggio",$A$144)),0,GETPIVOTDATA("Somma di DARE",'Pivot Fineco Sa'!$A$3,"Mese",3,"Tipologia",$A145,"Viaggio",$A$144))
+IF(ISERROR(GETPIVOTDATA("Somma di DARE",'Pivot Fineco St'!$A$3,"Mese",3,"Tipologia",$A145,"Viaggio",$A$144)),0,GETPIVOTDATA("Somma di DARE",'Pivot Fineco St'!$A$3,"Mese",3,"Tipologia",$A145,"Viaggio",$A$144))
+IF(Contanti!$M39='Conto Economico'!$A$144,Contanti!$J39)
+IF(ISERROR(GETPIVOTDATA("Somma di DARE",'Pivot BBVA'!$A$3,"Mese",3,"Tipologia",$A145,"Viaggio",$A$144)),0,GETPIVOTDATA("Somma di DARE",'Pivot BBVA'!$A$3,"Mese",3,"Tipologia",$A145,"Viaggio",$A$144))
+IF(ISERROR(GETPIVOTDATA("Somma di DARE",'Pivot Amex'!$A$3,"Mese",3,"Tipologia",$A145,"Viaggio",$A$144)),0,GETPIVOTDATA("Somma di DARE",'Pivot Amex'!$A$3,"Mese",3,"Tipologia",$A145,"Viaggio",$A$144))
-IF(ISERROR(GETPIVOTDATA("Somma di AVERE",'Pivot Amex'!$A$3,"Mese",3,"Tipologia",$A145,"Viaggio",$A$144)),0,GETPIVOTDATA("Somma di AVERE",'Pivot Amex'!$A$3,"Mese",3,"Tipologia",$A145,"Viaggio",$A$144))
-IF(ISERROR(GETPIVOTDATA("Somma di AVERE",'Pivot BBVA'!$A$3,"Mese",3,"Tipologia",$A145,"Viaggio",$A$144)),0,GETPIVOTDATA("Somma di AVERE",'Pivot BBVA'!$A$3,"Mese",3,"Tipologia",$A145,"Viaggio",$A$144))
-IF(ISERROR(GETPIVOTDATA("Somma di AVERE",'Pivot Fineco St'!$A$3,"Mese",3,"Tipologia",$A145,"Viaggio",$A$144)),0,GETPIVOTDATA("Somma di AVERE",'Pivot Fineco St'!$A$3,"Mese",3,"Tipologia",$A145,"Viaggio",$A$144))
-IF(ISERROR(GETPIVOTDATA("Somma di AVERE",'Pivot Fineco Sa'!$A$3,"Mese",3,"Tipologia",$A145,"Viaggio",$A$144)),0,GETPIVOTDATA("Somma di AVERE",'Pivot Fineco Sa'!$A$3,"Mese",3,"Tipologia",$A145,"Viaggio",$A$144))
+IF(ISERROR(GETPIVOTDATA("Somma di DARE",'Pivot PP Visa'!$A$3,"Mese",3,"Tipologia",$A145,"Viaggio",$A$144)),0,GETPIVOTDATA("Somma di DARE",'Pivot PP Visa'!$A$3,"Mese",3,"Tipologia",$A145,"Viaggio",$A$144))
-IF(ISERROR(GETPIVOTDATA("Somma di AVERE",'Pivot PP Visa'!$A$3,"Mese",3,"Tipologia",$A145,"Viaggio",$A$144)),0,GETPIVOTDATA("Somma di AVERE",'Pivot PP Visa'!$A$3,"Mese",3,"Tipologia",$A145,"Viaggio",$A$144))
+IF(ISERROR(GETPIVOTDATA("Somma di DARE",'Pivot Revolut'!$A$3,"Mese",3,"Tipologia",$A145,"Viaggio",$A$144)),0,GETPIVOTDATA("Somma di DARE",'Pivot Revolut'!$A$3,"Mese",3,"Tipologia",$A145,"Viaggio",$A$144))
-IF(ISERROR(GETPIVOTDATA("Somma di AVERE",'Pivot Revolut'!$A$3,"Mese",3,"Tipologia",$A145,"Viaggio",$A$144)),0,GETPIVOTDATA("Somma di AVERE",'Pivot Revolut'!$A$3,"Mese",3,"Tipologia",$A145,"Viaggio",$A$144))
+IF(ISERROR(GETPIVOTDATA("Somma di DARE",'Pivot RakBank EUR'!$A$3,"Mese",3,"Tipologia",$A145,"Viaggio",$A$144)),0,GETPIVOTDATA("Somma di DARE",'Pivot RakBank EUR'!$A$3,"Mese",3,"Tipologia",$A145,"Viaggio",$A$144))
-IF(ISERROR(GETPIVOTDATA("Somma di AVERE",'Pivot RakBank EUR'!$A$3,"Mese",3,"Tipologia",$A145,"Viaggio",$A$144)),0,GETPIVOTDATA("Somma di AVERE",'Pivot RakBank EUR'!$A$3,"Mese",3,"Tipologia",$A145,"Viaggio",$A$144))
+IF(ISERROR(GETPIVOTDATA("Somma di DARE EUR",'Pivot RakBank AED'!$A$3,"Mese",3,"Tipologia",$A145,"Viaggio",$A$144)),0,GETPIVOTDATA("Somma di DARE EUR",'Pivot RakBank AED'!$A$3,"Mese",3,"Tipologia",$A145,"Viaggio",$A$144))
-IF(ISERROR(GETPIVOTDATA("Somma di AVERE EUR",'Pivot RakBank AED'!$A$3,"Mese",3,"Tipologia",$A145,"Viaggio",$A$144)),0,GETPIVOTDATA("Somma di AVERE EUR",'Pivot RakBank AED'!$A$3,"Mese",3,"Tipologia",$A145,"Viaggio",$A$144))</f>
        <v>0</v>
      </c>
      <c r="F145" s="270">
        <f>IF(ISERROR(GETPIVOTDATA("Somma di DARE",'Pivot Fineco Sa'!$A$3,"Mese",4,"Tipologia",$A145,"Viaggio",$A$144)),0,GETPIVOTDATA("Somma di DARE",'Pivot Fineco Sa'!$A$3,"Mese",4,"Tipologia",$A145,"Viaggio",$A$144))
+IF(ISERROR(GETPIVOTDATA("Somma di DARE",'Pivot Fineco St'!$A$3,"Mese",4,"Tipologia",$A145,"Viaggio",$A$144)),0,GETPIVOTDATA("Somma di DARE",'Pivot Fineco St'!$A$3,"Mese",4,"Tipologia",$A145,"Viaggio",$A$144))
+IF(Contanti!$Q39='Conto Economico'!$A$144,Contanti!$N39)
+IF(ISERROR(GETPIVOTDATA("Somma di DARE",'Pivot BBVA'!$A$3,"Mese",4,"Tipologia",$A145,"Viaggio",$A$144)),0,GETPIVOTDATA("Somma di DARE",'Pivot BBVA'!$A$3,"Mese",4,"Tipologia",$A145,"Viaggio",$A$144))
+IF(ISERROR(GETPIVOTDATA("Somma di DARE",'Pivot Amex'!$A$3,"Mese",4,"Tipologia",$A145,"Viaggio",$A$144)),0,GETPIVOTDATA("Somma di DARE",'Pivot Amex'!$A$3,"Mese",4,"Tipologia",$A145,"Viaggio",$A$144))
-IF(ISERROR(GETPIVOTDATA("Somma di AVERE",'Pivot Amex'!$A$3,"Mese",4,"Tipologia",$A145,"Viaggio",$A$144)),0,GETPIVOTDATA("Somma di AVERE",'Pivot Amex'!$A$3,"Mese",4,"Tipologia",$A145,"Viaggio",$A$144))
-IF(ISERROR(GETPIVOTDATA("Somma di AVERE",'Pivot BBVA'!$A$3,"Mese",4,"Tipologia",$A145,"Viaggio",$A$144)),0,GETPIVOTDATA("Somma di AVERE",'Pivot BBVA'!$A$3,"Mese",4,"Tipologia",$A145,"Viaggio",$A$144))
-IF(ISERROR(GETPIVOTDATA("Somma di AVERE",'Pivot Fineco St'!$A$3,"Mese",4,"Tipologia",$A145,"Viaggio",$A$144)),0,GETPIVOTDATA("Somma di AVERE",'Pivot Fineco St'!$A$3,"Mese",4,"Tipologia",$A145,"Viaggio",$A$144))
-IF(ISERROR(GETPIVOTDATA("Somma di AVERE",'Pivot Fineco Sa'!$A$3,"Mese",4,"Tipologia",$A145,"Viaggio",$A$144)),0,GETPIVOTDATA("Somma di AVERE",'Pivot Fineco Sa'!$A$3,"Mese",4,"Tipologia",$A145,"Viaggio",$A$144))
+IF(ISERROR(GETPIVOTDATA("Somma di DARE",'Pivot PP Visa'!$A$3,"Mese",4,"Tipologia",$A145,"Viaggio",$A$144)),0,GETPIVOTDATA("Somma di DARE",'Pivot PP Visa'!$A$3,"Mese",4,"Tipologia",$A145,"Viaggio",$A$144))
-IF(ISERROR(GETPIVOTDATA("Somma di AVERE",'Pivot PP Visa'!$A$3,"Mese",4,"Tipologia",$A145,"Viaggio",$A$144)),0,GETPIVOTDATA("Somma di AVERE",'Pivot PP Visa'!$A$3,"Mese",4,"Tipologia",$A145,"Viaggio",$A$144))
+IF(ISERROR(GETPIVOTDATA("Somma di DARE",'Pivot Revolut'!$A$3,"Mese",4,"Tipologia",$A145,"Viaggio",$A$144)),0,GETPIVOTDATA("Somma di DARE",'Pivot Revolut'!$A$3,"Mese",4,"Tipologia",$A145,"Viaggio",$A$144))
-IF(ISERROR(GETPIVOTDATA("Somma di AVERE",'Pivot Revolut'!$A$3,"Mese",4,"Tipologia",$A145,"Viaggio",$A$144)),0,GETPIVOTDATA("Somma di AVERE",'Pivot Revolut'!$A$3,"Mese",4,"Tipologia",$A145,"Viaggio",$A$144))
+IF(ISERROR(GETPIVOTDATA("Somma di DARE",'Pivot RakBank EUR'!$A$3,"Mese",4,"Tipologia",$A145,"Viaggio",$A$144)),0,GETPIVOTDATA("Somma di DARE",'Pivot RakBank EUR'!$A$3,"Mese",4,"Tipologia",$A145,"Viaggio",$A$144))
-IF(ISERROR(GETPIVOTDATA("Somma di AVERE",'Pivot RakBank EUR'!$A$3,"Mese",4,"Tipologia",$A145,"Viaggio",$A$144)),0,GETPIVOTDATA("Somma di AVERE",'Pivot RakBank EUR'!$A$3,"Mese",4,"Tipologia",$A145,"Viaggio",$A$144))
+IF(ISERROR(GETPIVOTDATA("Somma di DARE EUR",'Pivot RakBank AED'!$A$3,"Mese",4,"Tipologia",$A145,"Viaggio",$A$144)),0,GETPIVOTDATA("Somma di DARE EUR",'Pivot RakBank AED'!$A$3,"Mese",4,"Tipologia",$A145,"Viaggio",$A$144))
-IF(ISERROR(GETPIVOTDATA("Somma di AVERE EUR",'Pivot RakBank AED'!$A$3,"Mese",4,"Tipologia",$A145,"Viaggio",$A$144)),0,GETPIVOTDATA("Somma di AVERE EUR",'Pivot RakBank AED'!$A$3,"Mese",4,"Tipologia",$A145,"Viaggio",$A$144))</f>
        <v>23.84</v>
      </c>
      <c r="G145" s="270">
        <f>IF(ISERROR(GETPIVOTDATA("Somma di DARE",'Pivot Fineco Sa'!$A$3,"Mese",5,"Tipologia",$A145,"Viaggio",$A$144)),0,GETPIVOTDATA("Somma di DARE",'Pivot Fineco Sa'!$A$3,"Mese",5,"Tipologia",$A145,"Viaggio",$A$144))
+IF(ISERROR(GETPIVOTDATA("Somma di DARE",'Pivot Fineco St'!$A$3,"Mese",5,"Tipologia",$A145,"Viaggio",$A$144)),0,GETPIVOTDATA("Somma di DARE",'Pivot Fineco St'!$A$3,"Mese",5,"Tipologia",$A145,"Viaggio",$A$144))
+IF(Contanti!$U39='Conto Economico'!$A$144,Contanti!$R39)
+IF(ISERROR(GETPIVOTDATA("Somma di DARE",'Pivot BBVA'!$A$3,"Mese",5,"Tipologia",$A145,"Viaggio",$A$144)),0,GETPIVOTDATA("Somma di DARE",'Pivot BBVA'!$A$3,"Mese",5,"Tipologia",$A145,"Viaggio",$A$144))
+IF(ISERROR(GETPIVOTDATA("Somma di DARE",'Pivot Amex'!$A$3,"Mese",5,"Tipologia",$A145,"Viaggio",$A$144)),0,GETPIVOTDATA("Somma di DARE",'Pivot Amex'!$A$3,"Mese",5,"Tipologia",$A145,"Viaggio",$A$144))
-IF(ISERROR(GETPIVOTDATA("Somma di AVERE",'Pivot Amex'!$A$3,"Mese",5,"Tipologia",$A145,"Viaggio",$A$144)),0,GETPIVOTDATA("Somma di AVERE",'Pivot Amex'!$A$3,"Mese",5,"Tipologia",$A145,"Viaggio",$A$144))
-IF(ISERROR(GETPIVOTDATA("Somma di AVERE",'Pivot BBVA'!$A$3,"Mese",5,"Tipologia",$A145,"Viaggio",$A$144)),0,GETPIVOTDATA("Somma di AVERE",'Pivot BBVA'!$A$3,"Mese",5,"Tipologia",$A145,"Viaggio",$A$144))
-IF(ISERROR(GETPIVOTDATA("Somma di AVERE",'Pivot Fineco St'!$A$3,"Mese",5,"Tipologia",$A145,"Viaggio",$A$144)),0,GETPIVOTDATA("Somma di AVERE",'Pivot Fineco St'!$A$3,"Mese",5,"Tipologia",$A145,"Viaggio",$A$144))
-IF(ISERROR(GETPIVOTDATA("Somma di AVERE",'Pivot Fineco Sa'!$A$3,"Mese",5,"Tipologia",$A145,"Viaggio",$A$144)),0,GETPIVOTDATA("Somma di AVERE",'Pivot Fineco Sa'!$A$3,"Mese",5,"Tipologia",$A145,"Viaggio",$A$144))
+IF(ISERROR(GETPIVOTDATA("Somma di DARE",'Pivot PP Visa'!$A$3,"Mese",5,"Tipologia",$A145,"Viaggio",$A$144)),0,GETPIVOTDATA("Somma di DARE",'Pivot PP Visa'!$A$3,"Mese",5,"Tipologia",$A145,"Viaggio",$A$144))
-IF(ISERROR(GETPIVOTDATA("Somma di AVERE",'Pivot PP Visa'!$A$3,"Mese",5,"Tipologia",$A145,"Viaggio",$A$144)),0,GETPIVOTDATA("Somma di AVERE",'Pivot PP Visa'!$A$3,"Mese",5,"Tipologia",$A145,"Viaggio",$A$144))
+IF(ISERROR(GETPIVOTDATA("Somma di DARE",'Pivot Revolut'!$A$3,"Mese",5,"Tipologia",$A145,"Viaggio",$A$144)),0,GETPIVOTDATA("Somma di DARE",'Pivot Revolut'!$A$3,"Mese",5,"Tipologia",$A145,"Viaggio",$A$144))
-IF(ISERROR(GETPIVOTDATA("Somma di AVERE",'Pivot Revolut'!$A$3,"Mese",5,"Tipologia",$A145,"Viaggio",$A$144)),0,GETPIVOTDATA("Somma di AVERE",'Pivot Revolut'!$A$3,"Mese",5,"Tipologia",$A145,"Viaggio",$A$144))
+IF(ISERROR(GETPIVOTDATA("Somma di DARE",'Pivot RakBank EUR'!$A$3,"Mese",5,"Tipologia",$A145,"Viaggio",$A$144)),0,GETPIVOTDATA("Somma di DARE",'Pivot RakBank EUR'!$A$3,"Mese",5,"Tipologia",$A145,"Viaggio",$A$144))
-IF(ISERROR(GETPIVOTDATA("Somma di AVERE",'Pivot RakBank EUR'!$A$3,"Mese",5,"Tipologia",$A145,"Viaggio",$A$144)),0,GETPIVOTDATA("Somma di AVERE",'Pivot RakBank EUR'!$A$3,"Mese",5,"Tipologia",$A145,"Viaggio",$A$144))
+IF(ISERROR(GETPIVOTDATA("Somma di DARE EUR",'Pivot RakBank AED'!$A$3,"Mese",5,"Tipologia",$A145,"Viaggio",$A$144)),0,GETPIVOTDATA("Somma di DARE EUR",'Pivot RakBank AED'!$A$3,"Mese",5,"Tipologia",$A145,"Viaggio",$A$144))
-IF(ISERROR(GETPIVOTDATA("Somma di AVERE EUR",'Pivot RakBank AED'!$A$3,"Mese",5,"Tipologia",$A145,"Viaggio",$A$144)),0,GETPIVOTDATA("Somma di AVERE EUR",'Pivot RakBank AED'!$A$3,"Mese",5,"Tipologia",$A145,"Viaggio",$A$144))</f>
        <v>0</v>
      </c>
      <c r="H145" s="270">
        <f>IF(ISERROR(GETPIVOTDATA("Somma di DARE",'Pivot Fineco Sa'!$A$3,"Mese",6,"Tipologia",$A145,"Viaggio",$A$144)),0,GETPIVOTDATA("Somma di DARE",'Pivot Fineco Sa'!$A$3,"Mese",6,"Tipologia",$A145,"Viaggio",$A$144))
+IF(ISERROR(GETPIVOTDATA("Somma di DARE",'Pivot Fineco St'!$A$3,"Mese",6,"Tipologia",$A145,"Viaggio",$A$144)),0,GETPIVOTDATA("Somma di DARE",'Pivot Fineco St'!$A$3,"Mese",6,"Tipologia",$A145,"Viaggio",$A$144))
+IF(Contanti!$Y39='Conto Economico'!$A$144,Contanti!$V39)
+IF(ISERROR(GETPIVOTDATA("Somma di DARE",'Pivot BBVA'!$A$3,"Mese",6,"Tipologia",$A145,"Viaggio",$A$144)),0,GETPIVOTDATA("Somma di DARE",'Pivot BBVA'!$A$3,"Mese",6,"Tipologia",$A145,"Viaggio",$A$144))
+IF(ISERROR(GETPIVOTDATA("Somma di DARE",'Pivot Amex'!$A$3,"Mese",6,"Tipologia",$A145,"Viaggio",$A$144)),0,GETPIVOTDATA("Somma di DARE",'Pivot Amex'!$A$3,"Mese",6,"Tipologia",$A145,"Viaggio",$A$144))
-IF(ISERROR(GETPIVOTDATA("Somma di AVERE",'Pivot Amex'!$A$3,"Mese",6,"Tipologia",$A145,"Viaggio",$A$144)),0,GETPIVOTDATA("Somma di AVERE",'Pivot Amex'!$A$3,"Mese",6,"Tipologia",$A145,"Viaggio",$A$144))
-IF(ISERROR(GETPIVOTDATA("Somma di AVERE",'Pivot BBVA'!$A$3,"Mese",6,"Tipologia",$A145,"Viaggio",$A$144)),0,GETPIVOTDATA("Somma di AVERE",'Pivot BBVA'!$A$3,"Mese",6,"Tipologia",$A145,"Viaggio",$A$144))
-IF(ISERROR(GETPIVOTDATA("Somma di AVERE",'Pivot Fineco St'!$A$3,"Mese",6,"Tipologia",$A145,"Viaggio",$A$144)),0,GETPIVOTDATA("Somma di AVERE",'Pivot Fineco St'!$A$3,"Mese",6,"Tipologia",$A145,"Viaggio",$A$144))
-IF(ISERROR(GETPIVOTDATA("Somma di AVERE",'Pivot Fineco Sa'!$A$3,"Mese",6,"Tipologia",$A145,"Viaggio",$A$144)),0,GETPIVOTDATA("Somma di AVERE",'Pivot Fineco Sa'!$A$3,"Mese",6,"Tipologia",$A145,"Viaggio",$A$144))
+IF(ISERROR(GETPIVOTDATA("Somma di DARE",'Pivot PP Visa'!$A$3,"Mese",6,"Tipologia",$A145,"Viaggio",$A$144)),0,GETPIVOTDATA("Somma di DARE",'Pivot PP Visa'!$A$3,"Mese",6,"Tipologia",$A145,"Viaggio",$A$144))
-IF(ISERROR(GETPIVOTDATA("Somma di AVERE",'Pivot PP Visa'!$A$3,"Mese",6,"Tipologia",$A145,"Viaggio",$A$144)),0,GETPIVOTDATA("Somma di AVERE",'Pivot PP Visa'!$A$3,"Mese",6,"Tipologia",$A145,"Viaggio",$A$144))
+IF(ISERROR(GETPIVOTDATA("Somma di DARE",'Pivot Revolut'!$A$3,"Mese",6,"Tipologia",$A145,"Viaggio",$A$144)),0,GETPIVOTDATA("Somma di DARE",'Pivot Revolut'!$A$3,"Mese",6,"Tipologia",$A145,"Viaggio",$A$144))
-IF(ISERROR(GETPIVOTDATA("Somma di AVERE",'Pivot Revolut'!$A$3,"Mese",6,"Tipologia",$A145,"Viaggio",$A$144)),0,GETPIVOTDATA("Somma di AVERE",'Pivot Revolut'!$A$3,"Mese",6,"Tipologia",$A145,"Viaggio",$A$144))
+IF(ISERROR(GETPIVOTDATA("Somma di DARE",'Pivot RakBank EUR'!$A$3,"Mese",6,"Tipologia",$A145,"Viaggio",$A$144)),0,GETPIVOTDATA("Somma di DARE",'Pivot RakBank EUR'!$A$3,"Mese",6,"Tipologia",$A145,"Viaggio",$A$144))
-IF(ISERROR(GETPIVOTDATA("Somma di AVERE",'Pivot RakBank EUR'!$A$3,"Mese",6,"Tipologia",$A145,"Viaggio",$A$144)),0,GETPIVOTDATA("Somma di AVERE",'Pivot RakBank EUR'!$A$3,"Mese",6,"Tipologia",$A145,"Viaggio",$A$144))
+IF(ISERROR(GETPIVOTDATA("Somma di DARE EUR",'Pivot RakBank AED'!$A$3,"Mese",6,"Tipologia",$A145,"Viaggio",$A$144)),0,GETPIVOTDATA("Somma di DARE EUR",'Pivot RakBank AED'!$A$3,"Mese",6,"Tipologia",$A145,"Viaggio",$A$144))
-IF(ISERROR(GETPIVOTDATA("Somma di AVERE EUR",'Pivot RakBank AED'!$A$3,"Mese",6,"Tipologia",$A145,"Viaggio",$A$144)),0,GETPIVOTDATA("Somma di AVERE EUR",'Pivot RakBank AED'!$A$3,"Mese",6,"Tipologia",$A145,"Viaggio",$A$144))</f>
        <v>0</v>
      </c>
      <c r="I145" s="270">
        <f>IF(ISERROR(GETPIVOTDATA("Somma di DARE",'Pivot Fineco Sa'!$A$3,"Mese",7,"Tipologia",$A145,"Viaggio",$A$144)),0,GETPIVOTDATA("Somma di DARE",'Pivot Fineco Sa'!$A$3,"Mese",7,"Tipologia",$A145,"Viaggio",$A$144))
+IF(ISERROR(GETPIVOTDATA("Somma di DARE",'Pivot Fineco St'!$A$3,"Mese",7,"Tipologia",$A145,"Viaggio",$A$144)),0,GETPIVOTDATA("Somma di DARE",'Pivot Fineco St'!$A$3,"Mese",7,"Tipologia",$A145,"Viaggio",$A$144))
+IF(Contanti!$AC39='Conto Economico'!$A$144,Contanti!$Z39)
+IF(ISERROR(GETPIVOTDATA("Somma di DARE",'Pivot BBVA'!$A$3,"Mese",7,"Tipologia",$A145,"Viaggio",$A$144)),0,GETPIVOTDATA("Somma di DARE",'Pivot BBVA'!$A$3,"Mese",7,"Tipologia",$A145,"Viaggio",$A$144))
+IF(ISERROR(GETPIVOTDATA("Somma di DARE",'Pivot Amex'!$A$3,"Mese",7,"Tipologia",$A145,"Viaggio",$A$144)),0,GETPIVOTDATA("Somma di DARE",'Pivot Amex'!$A$3,"Mese",7,"Tipologia",$A145,"Viaggio",$A$144))
-IF(ISERROR(GETPIVOTDATA("Somma di AVERE",'Pivot Amex'!$A$3,"Mese",7,"Tipologia",$A145,"Viaggio",$A$144)),0,GETPIVOTDATA("Somma di AVERE",'Pivot Amex'!$A$3,"Mese",7,"Tipologia",$A145,"Viaggio",$A$144))
-IF(ISERROR(GETPIVOTDATA("Somma di AVERE",'Pivot BBVA'!$A$3,"Mese",7,"Tipologia",$A145,"Viaggio",$A$144)),0,GETPIVOTDATA("Somma di AVERE",'Pivot BBVA'!$A$3,"Mese",7,"Tipologia",$A145,"Viaggio",$A$144))
-IF(ISERROR(GETPIVOTDATA("Somma di AVERE",'Pivot Fineco St'!$A$3,"Mese",7,"Tipologia",$A145,"Viaggio",$A$144)),0,GETPIVOTDATA("Somma di AVERE",'Pivot Fineco St'!$A$3,"Mese",7,"Tipologia",$A145,"Viaggio",$A$144))
-IF(ISERROR(GETPIVOTDATA("Somma di AVERE",'Pivot Fineco Sa'!$A$3,"Mese",7,"Tipologia",$A145,"Viaggio",$A$144)),0,GETPIVOTDATA("Somma di AVERE",'Pivot Fineco Sa'!$A$3,"Mese",7,"Tipologia",$A145,"Viaggio",$A$144))
+IF(ISERROR(GETPIVOTDATA("Somma di DARE",'Pivot PP Visa'!$A$3,"Mese",7,"Tipologia",$A145,"Viaggio",$A$144)),0,GETPIVOTDATA("Somma di DARE",'Pivot PP Visa'!$A$3,"Mese",7,"Tipologia",$A145,"Viaggio",$A$144))
-IF(ISERROR(GETPIVOTDATA("Somma di AVERE",'Pivot PP Visa'!$A$3,"Mese",7,"Tipologia",$A145,"Viaggio",$A$144)),0,GETPIVOTDATA("Somma di AVERE",'Pivot PP Visa'!$A$3,"Mese",7,"Tipologia",$A145,"Viaggio",$A$144))
+IF(ISERROR(GETPIVOTDATA("Somma di DARE",'Pivot Revolut'!$A$3,"Mese",7,"Tipologia",$A145,"Viaggio",$A$144)),0,GETPIVOTDATA("Somma di DARE",'Pivot Revolut'!$A$3,"Mese",7,"Tipologia",$A145,"Viaggio",$A$144))
-IF(ISERROR(GETPIVOTDATA("Somma di AVERE",'Pivot Revolut'!$A$3,"Mese",7,"Tipologia",$A145,"Viaggio",$A$144)),0,GETPIVOTDATA("Somma di AVERE",'Pivot Revolut'!$A$3,"Mese",7,"Tipologia",$A145,"Viaggio",$A$144))
+IF(ISERROR(GETPIVOTDATA("Somma di DARE",'Pivot RakBank EUR'!$A$3,"Mese",7,"Tipologia",$A145,"Viaggio",$A$144)),0,GETPIVOTDATA("Somma di DARE",'Pivot RakBank EUR'!$A$3,"Mese",7,"Tipologia",$A145,"Viaggio",$A$144))
-IF(ISERROR(GETPIVOTDATA("Somma di AVERE",'Pivot RakBank EUR'!$A$3,"Mese",7,"Tipologia",$A145,"Viaggio",$A$144)),0,GETPIVOTDATA("Somma di AVERE",'Pivot RakBank EUR'!$A$3,"Mese",7,"Tipologia",$A145,"Viaggio",$A$144))
+IF(ISERROR(GETPIVOTDATA("Somma di DARE EUR",'Pivot RakBank AED'!$A$3,"Mese",7,"Tipologia",$A145,"Viaggio",$A$144)),0,GETPIVOTDATA("Somma di DARE EUR",'Pivot RakBank AED'!$A$3,"Mese",7,"Tipologia",$A145,"Viaggio",$A$144))
-IF(ISERROR(GETPIVOTDATA("Somma di AVERE EUR",'Pivot RakBank AED'!$A$3,"Mese",7,"Tipologia",$A145,"Viaggio",$A$144)),0,GETPIVOTDATA("Somma di AVERE EUR",'Pivot RakBank AED'!$A$3,"Mese",7,"Tipologia",$A145,"Viaggio",$A$144))</f>
        <v>0</v>
      </c>
      <c r="J145" s="270">
        <f>IF(ISERROR(GETPIVOTDATA("Somma di DARE",'Pivot Fineco Sa'!$A$3,"Mese",8,"Tipologia",$A145,"Viaggio",$A$144)),0,GETPIVOTDATA("Somma di DARE",'Pivot Fineco Sa'!$A$3,"Mese",8,"Tipologia",$A145,"Viaggio",$A$144))
+IF(ISERROR(GETPIVOTDATA("Somma di DARE",'Pivot Fineco St'!$A$3,"Mese",8,"Tipologia",$A145,"Viaggio",$A$144)),0,GETPIVOTDATA("Somma di DARE",'Pivot Fineco St'!$A$3,"Mese",8,"Tipologia",$A145,"Viaggio",$A$144))
+IF(Contanti!$AG39='Conto Economico'!$A$144,Contanti!$AD39)
+IF(ISERROR(GETPIVOTDATA("Somma di DARE",'Pivot BBVA'!$A$3,"Mese",8,"Tipologia",$A145,"Viaggio",$A$144)),0,GETPIVOTDATA("Somma di DARE",'Pivot BBVA'!$A$3,"Mese",8,"Tipologia",$A145,"Viaggio",$A$144))
+IF(ISERROR(GETPIVOTDATA("Somma di DARE",'Pivot Amex'!$A$3,"Mese",8,"Tipologia",$A145,"Viaggio",$A$144)),0,GETPIVOTDATA("Somma di DARE",'Pivot Amex'!$A$3,"Mese",8,"Tipologia",$A145,"Viaggio",$A$144))
-IF(ISERROR(GETPIVOTDATA("Somma di AVERE",'Pivot Amex'!$A$3,"Mese",8,"Tipologia",$A145,"Viaggio",$A$144)),0,GETPIVOTDATA("Somma di AVERE",'Pivot Amex'!$A$3,"Mese",8,"Tipologia",$A145,"Viaggio",$A$144))
-IF(ISERROR(GETPIVOTDATA("Somma di AVERE",'Pivot BBVA'!$A$3,"Mese",8,"Tipologia",$A145,"Viaggio",$A$144)),0,GETPIVOTDATA("Somma di AVERE",'Pivot BBVA'!$A$3,"Mese",8,"Tipologia",$A145,"Viaggio",$A$144))
-IF(ISERROR(GETPIVOTDATA("Somma di AVERE",'Pivot Fineco St'!$A$3,"Mese",8,"Tipologia",$A145,"Viaggio",$A$144)),0,GETPIVOTDATA("Somma di AVERE",'Pivot Fineco St'!$A$3,"Mese",8,"Tipologia",$A145,"Viaggio",$A$144))
-IF(ISERROR(GETPIVOTDATA("Somma di AVERE",'Pivot Fineco Sa'!$A$3,"Mese",8,"Tipologia",$A145,"Viaggio",$A$144)),0,GETPIVOTDATA("Somma di AVERE",'Pivot Fineco Sa'!$A$3,"Mese",8,"Tipologia",$A145,"Viaggio",$A$144))
+IF(ISERROR(GETPIVOTDATA("Somma di DARE",'Pivot PP Visa'!$A$3,"Mese",8,"Tipologia",$A145,"Viaggio",$A$144)),0,GETPIVOTDATA("Somma di DARE",'Pivot PP Visa'!$A$3,"Mese",8,"Tipologia",$A145,"Viaggio",$A$144))
-IF(ISERROR(GETPIVOTDATA("Somma di AVERE",'Pivot PP Visa'!$A$3,"Mese",8,"Tipologia",$A145,"Viaggio",$A$144)),0,GETPIVOTDATA("Somma di AVERE",'Pivot PP Visa'!$A$3,"Mese",8,"Tipologia",$A145,"Viaggio",$A$144))
+IF(ISERROR(GETPIVOTDATA("Somma di DARE",'Pivot Revolut'!$A$3,"Mese",8,"Tipologia",$A145,"Viaggio",$A$144)),0,GETPIVOTDATA("Somma di DARE",'Pivot Revolut'!$A$3,"Mese",8,"Tipologia",$A145,"Viaggio",$A$144))
-IF(ISERROR(GETPIVOTDATA("Somma di AVERE",'Pivot Revolut'!$A$3,"Mese",8,"Tipologia",$A145,"Viaggio",$A$144)),0,GETPIVOTDATA("Somma di AVERE",'Pivot Revolut'!$A$3,"Mese",8,"Tipologia",$A145,"Viaggio",$A$144))
+IF(ISERROR(GETPIVOTDATA("Somma di DARE",'Pivot RakBank EUR'!$A$3,"Mese",8,"Tipologia",$A145,"Viaggio",$A$144)),0,GETPIVOTDATA("Somma di DARE",'Pivot RakBank EUR'!$A$3,"Mese",8,"Tipologia",$A145,"Viaggio",$A$144))
-IF(ISERROR(GETPIVOTDATA("Somma di AVERE",'Pivot RakBank EUR'!$A$3,"Mese",8,"Tipologia",$A145,"Viaggio",$A$144)),0,GETPIVOTDATA("Somma di AVERE",'Pivot RakBank EUR'!$A$3,"Mese",8,"Tipologia",$A145,"Viaggio",$A$144))
+IF(ISERROR(GETPIVOTDATA("Somma di DARE EUR",'Pivot RakBank AED'!$A$3,"Mese",8,"Tipologia",$A145,"Viaggio",$A$144)),0,GETPIVOTDATA("Somma di DARE EUR",'Pivot RakBank AED'!$A$3,"Mese",8,"Tipologia",$A145,"Viaggio",$A$144))
-IF(ISERROR(GETPIVOTDATA("Somma di AVERE EUR",'Pivot RakBank AED'!$A$3,"Mese",8,"Tipologia",$A145,"Viaggio",$A$144)),0,GETPIVOTDATA("Somma di AVERE EUR",'Pivot RakBank AED'!$A$3,"Mese",8,"Tipologia",$A145,"Viaggio",$A$144))</f>
        <v>0</v>
      </c>
      <c r="K145" s="270">
        <f>IF(ISERROR(GETPIVOTDATA("Somma di DARE",'Pivot Fineco Sa'!$A$3,"Mese",9,"Tipologia",$A145,"Viaggio",$A$144)),0,GETPIVOTDATA("Somma di DARE",'Pivot Fineco Sa'!$A$3,"Mese",9,"Tipologia",$A145,"Viaggio",$A$144))
+IF(ISERROR(GETPIVOTDATA("Somma di DARE",'Pivot Fineco St'!$A$3,"Mese",9,"Tipologia",$A145,"Viaggio",$A$144)),0,GETPIVOTDATA("Somma di DARE",'Pivot Fineco St'!$A$3,"Mese",9,"Tipologia",$A145,"Viaggio",$A$144))
+IF(Contanti!$AK39='Conto Economico'!$A$144,Contanti!$AH39)
+IF(ISERROR(GETPIVOTDATA("Somma di DARE",'Pivot BBVA'!$A$3,"Mese",9,"Tipologia",$A145,"Viaggio",$A$144)),0,GETPIVOTDATA("Somma di DARE",'Pivot BBVA'!$A$3,"Mese",9,"Tipologia",$A145,"Viaggio",$A$144))
+IF(ISERROR(GETPIVOTDATA("Somma di DARE",'Pivot Amex'!$A$3,"Mese",9,"Tipologia",$A145,"Viaggio",$A$144)),0,GETPIVOTDATA("Somma di DARE",'Pivot Amex'!$A$3,"Mese",9,"Tipologia",$A145,"Viaggio",$A$144))
-IF(ISERROR(GETPIVOTDATA("Somma di AVERE",'Pivot Amex'!$A$3,"Mese",9,"Tipologia",$A145,"Viaggio",$A$144)),0,GETPIVOTDATA("Somma di AVERE",'Pivot Amex'!$A$3,"Mese",9,"Tipologia",$A145,"Viaggio",$A$144))
-IF(ISERROR(GETPIVOTDATA("Somma di AVERE",'Pivot BBVA'!$A$3,"Mese",9,"Tipologia",$A145,"Viaggio",$A$144)),0,GETPIVOTDATA("Somma di AVERE",'Pivot BBVA'!$A$3,"Mese",9,"Tipologia",$A145,"Viaggio",$A$144))
-IF(ISERROR(GETPIVOTDATA("Somma di AVERE",'Pivot Fineco St'!$A$3,"Mese",9,"Tipologia",$A145,"Viaggio",$A$144)),0,GETPIVOTDATA("Somma di AVERE",'Pivot Fineco St'!$A$3,"Mese",9,"Tipologia",$A145,"Viaggio",$A$144))
-IF(ISERROR(GETPIVOTDATA("Somma di AVERE",'Pivot Fineco Sa'!$A$3,"Mese",9,"Tipologia",$A145,"Viaggio",$A$144)),0,GETPIVOTDATA("Somma di AVERE",'Pivot Fineco Sa'!$A$3,"Mese",9,"Tipologia",$A145,"Viaggio",$A$144))
+IF(ISERROR(GETPIVOTDATA("Somma di DARE",'Pivot PP Visa'!$A$3,"Mese",9,"Tipologia",$A145,"Viaggio",$A$144)),0,GETPIVOTDATA("Somma di DARE",'Pivot PP Visa'!$A$3,"Mese",9,"Tipologia",$A145,"Viaggio",$A$144))
-IF(ISERROR(GETPIVOTDATA("Somma di AVERE",'Pivot PP Visa'!$A$3,"Mese",9,"Tipologia",$A145,"Viaggio",$A$144)),0,GETPIVOTDATA("Somma di AVERE",'Pivot PP Visa'!$A$3,"Mese",9,"Tipologia",$A145,"Viaggio",$A$144))
+IF(ISERROR(GETPIVOTDATA("Somma di DARE",'Pivot Revolut'!$A$3,"Mese",9,"Tipologia",$A145,"Viaggio",$A$144)),0,GETPIVOTDATA("Somma di DARE",'Pivot Revolut'!$A$3,"Mese",9,"Tipologia",$A145,"Viaggio",$A$144))
-IF(ISERROR(GETPIVOTDATA("Somma di AVERE",'Pivot Revolut'!$A$3,"Mese",9,"Tipologia",$A145,"Viaggio",$A$144)),0,GETPIVOTDATA("Somma di AVERE",'Pivot Revolut'!$A$3,"Mese",9,"Tipologia",$A145,"Viaggio",$A$144))
+IF(ISERROR(GETPIVOTDATA("Somma di DARE",'Pivot RakBank EUR'!$A$3,"Mese",9,"Tipologia",$A145,"Viaggio",$A$144)),0,GETPIVOTDATA("Somma di DARE",'Pivot RakBank EUR'!$A$3,"Mese",9,"Tipologia",$A145,"Viaggio",$A$144))
-IF(ISERROR(GETPIVOTDATA("Somma di AVERE",'Pivot RakBank EUR'!$A$3,"Mese",9,"Tipologia",$A145,"Viaggio",$A$144)),0,GETPIVOTDATA("Somma di AVERE",'Pivot RakBank EUR'!$A$3,"Mese",9,"Tipologia",$A145,"Viaggio",$A$144))
+IF(ISERROR(GETPIVOTDATA("Somma di DARE EUR",'Pivot RakBank AED'!$A$3,"Mese",9,"Tipologia",$A145,"Viaggio",$A$144)),0,GETPIVOTDATA("Somma di DARE EUR",'Pivot RakBank AED'!$A$3,"Mese",9,"Tipologia",$A145,"Viaggio",$A$144))
-IF(ISERROR(GETPIVOTDATA("Somma di AVERE EUR",'Pivot RakBank AED'!$A$3,"Mese",9,"Tipologia",$A145,"Viaggio",$A$144)),0,GETPIVOTDATA("Somma di AVERE EUR",'Pivot RakBank AED'!$A$3,"Mese",9,"Tipologia",$A145,"Viaggio",$A$144))</f>
        <v>0</v>
      </c>
      <c r="L145" s="270">
        <f>IF(ISERROR(GETPIVOTDATA("Somma di DARE",'Pivot Fineco Sa'!$A$3,"Mese",10,"Tipologia",$A145,"Viaggio",$A$144)),0,GETPIVOTDATA("Somma di DARE",'Pivot Fineco Sa'!$A$3,"Mese",10,"Tipologia",$A145,"Viaggio",$A$144))
+IF(ISERROR(GETPIVOTDATA("Somma di DARE",'Pivot Fineco St'!$A$3,"Mese",10,"Tipologia",$A145,"Viaggio",$A$144)),0,GETPIVOTDATA("Somma di DARE",'Pivot Fineco St'!$A$3,"Mese",10,"Tipologia",$A145,"Viaggio",$A$144))
+IF(Contanti!$AO39='Conto Economico'!$A$144,Contanti!$AL39)
+IF(ISERROR(GETPIVOTDATA("Somma di DARE",'Pivot BBVA'!$A$3,"Mese",10,"Tipologia",$A145,"Viaggio",$A$144)),0,GETPIVOTDATA("Somma di DARE",'Pivot BBVA'!$A$3,"Mese",10,"Tipologia",$A145,"Viaggio",$A$144))
+IF(ISERROR(GETPIVOTDATA("Somma di DARE",'Pivot Amex'!$A$3,"Mese",10,"Tipologia",$A145,"Viaggio",$A$144)),0,GETPIVOTDATA("Somma di DARE",'Pivot Amex'!$A$3,"Mese",10,"Tipologia",$A145,"Viaggio",$A$144))
-IF(ISERROR(GETPIVOTDATA("Somma di AVERE",'Pivot Amex'!$A$3,"Mese",10,"Tipologia",$A145,"Viaggio",$A$144)),0,GETPIVOTDATA("Somma di AVERE",'Pivot Amex'!$A$3,"Mese",10,"Tipologia",$A145,"Viaggio",$A$144))
-IF(ISERROR(GETPIVOTDATA("Somma di AVERE",'Pivot BBVA'!$A$3,"Mese",10,"Tipologia",$A145,"Viaggio",$A$144)),0,GETPIVOTDATA("Somma di AVERE",'Pivot BBVA'!$A$3,"Mese",10,"Tipologia",$A145,"Viaggio",$A$144))
-IF(ISERROR(GETPIVOTDATA("Somma di AVERE",'Pivot Fineco St'!$A$3,"Mese",10,"Tipologia",$A145,"Viaggio",$A$144)),0,GETPIVOTDATA("Somma di AVERE",'Pivot Fineco St'!$A$3,"Mese",10,"Tipologia",$A145,"Viaggio",$A$144))
-IF(ISERROR(GETPIVOTDATA("Somma di AVERE",'Pivot Fineco Sa'!$A$3,"Mese",10,"Tipologia",$A145,"Viaggio",$A$144)),0,GETPIVOTDATA("Somma di AVERE",'Pivot Fineco Sa'!$A$3,"Mese",10,"Tipologia",$A145,"Viaggio",$A$144))
+IF(ISERROR(GETPIVOTDATA("Somma di DARE",'Pivot PP Visa'!$A$3,"Mese",10,"Tipologia",$A145,"Viaggio",$A$144)),0,GETPIVOTDATA("Somma di DARE",'Pivot PP Visa'!$A$3,"Mese",10,"Tipologia",$A145,"Viaggio",$A$144))
-IF(ISERROR(GETPIVOTDATA("Somma di AVERE",'Pivot PP Visa'!$A$3,"Mese",10,"Tipologia",$A145,"Viaggio",$A$144)),0,GETPIVOTDATA("Somma di AVERE",'Pivot PP Visa'!$A$3,"Mese",10,"Tipologia",$A145,"Viaggio",$A$144))
+IF(ISERROR(GETPIVOTDATA("Somma di DARE",'Pivot Revolut'!$A$3,"Mese",10,"Tipologia",$A145,"Viaggio",$A$144)),0,GETPIVOTDATA("Somma di DARE",'Pivot Revolut'!$A$3,"Mese",10,"Tipologia",$A145,"Viaggio",$A$144))
-IF(ISERROR(GETPIVOTDATA("Somma di AVERE",'Pivot Revolut'!$A$3,"Mese",10,"Tipologia",$A145,"Viaggio",$A$144)),0,GETPIVOTDATA("Somma di AVERE",'Pivot Revolut'!$A$3,"Mese",10,"Tipologia",$A145,"Viaggio",$A$144))
+IF(ISERROR(GETPIVOTDATA("Somma di DARE",'Pivot RakBank EUR'!$A$3,"Mese",10,"Tipologia",$A145,"Viaggio",$A$144)),0,GETPIVOTDATA("Somma di DARE",'Pivot RakBank EUR'!$A$3,"Mese",10,"Tipologia",$A145,"Viaggio",$A$144))
-IF(ISERROR(GETPIVOTDATA("Somma di AVERE",'Pivot RakBank EUR'!$A$3,"Mese",10,"Tipologia",$A145,"Viaggio",$A$144)),0,GETPIVOTDATA("Somma di AVERE",'Pivot RakBank EUR'!$A$3,"Mese",10,"Tipologia",$A145,"Viaggio",$A$144))
+IF(ISERROR(GETPIVOTDATA("Somma di DARE EUR",'Pivot RakBank AED'!$A$3,"Mese",10,"Tipologia",$A145,"Viaggio",$A$144)),0,GETPIVOTDATA("Somma di DARE EUR",'Pivot RakBank AED'!$A$3,"Mese",10,"Tipologia",$A145,"Viaggio",$A$144))
-IF(ISERROR(GETPIVOTDATA("Somma di AVERE EUR",'Pivot RakBank AED'!$A$3,"Mese",10,"Tipologia",$A145,"Viaggio",$A$144)),0,GETPIVOTDATA("Somma di AVERE EUR",'Pivot RakBank AED'!$A$3,"Mese",10,"Tipologia",$A145,"Viaggio",$A$144))</f>
        <v>0</v>
      </c>
      <c r="M145" s="270">
        <f>IF(ISERROR(GETPIVOTDATA("Somma di DARE",'Pivot Fineco Sa'!$A$3,"Mese",11,"Tipologia",$A145,"Viaggio",$A$144)),0,GETPIVOTDATA("Somma di DARE",'Pivot Fineco Sa'!$A$3,"Mese",11,"Tipologia",$A145,"Viaggio",$A$144))
+IF(ISERROR(GETPIVOTDATA("Somma di DARE",'Pivot Fineco St'!$A$3,"Mese",11,"Tipologia",$A145,"Viaggio",$A$144)),0,GETPIVOTDATA("Somma di DARE",'Pivot Fineco St'!$A$3,"Mese",11,"Tipologia",$A145,"Viaggio",$A$144))
+IF(Contanti!$AS39='Conto Economico'!$A$144,Contanti!$AP39)
+IF(ISERROR(GETPIVOTDATA("Somma di DARE",'Pivot BBVA'!$A$3,"Mese",11,"Tipologia",$A145,"Viaggio",$A$144)),0,GETPIVOTDATA("Somma di DARE",'Pivot BBVA'!$A$3,"Mese",11,"Tipologia",$A145,"Viaggio",$A$144))
+IF(ISERROR(GETPIVOTDATA("Somma di DARE",'Pivot Amex'!$A$3,"Mese",11,"Tipologia",$A145,"Viaggio",$A$144)),0,GETPIVOTDATA("Somma di DARE",'Pivot Amex'!$A$3,"Mese",11,"Tipologia",$A145,"Viaggio",$A$144))
-IF(ISERROR(GETPIVOTDATA("Somma di AVERE",'Pivot Amex'!$A$3,"Mese",11,"Tipologia",$A145,"Viaggio",$A$144)),0,GETPIVOTDATA("Somma di AVERE",'Pivot Amex'!$A$3,"Mese",11,"Tipologia",$A145,"Viaggio",$A$144))
-IF(ISERROR(GETPIVOTDATA("Somma di AVERE",'Pivot BBVA'!$A$3,"Mese",11,"Tipologia",$A145,"Viaggio",$A$144)),0,GETPIVOTDATA("Somma di AVERE",'Pivot BBVA'!$A$3,"Mese",11,"Tipologia",$A145,"Viaggio",$A$144))
-IF(ISERROR(GETPIVOTDATA("Somma di AVERE",'Pivot Fineco St'!$A$3,"Mese",11,"Tipologia",$A145,"Viaggio",$A$144)),0,GETPIVOTDATA("Somma di AVERE",'Pivot Fineco St'!$A$3,"Mese",11,"Tipologia",$A145,"Viaggio",$A$144))
-IF(ISERROR(GETPIVOTDATA("Somma di AVERE",'Pivot Fineco Sa'!$A$3,"Mese",11,"Tipologia",$A145,"Viaggio",$A$144)),0,GETPIVOTDATA("Somma di AVERE",'Pivot Fineco Sa'!$A$3,"Mese",11,"Tipologia",$A145,"Viaggio",$A$144))
+IF(ISERROR(GETPIVOTDATA("Somma di DARE",'Pivot PP Visa'!$A$3,"Mese",11,"Tipologia",$A145,"Viaggio",$A$144)),0,GETPIVOTDATA("Somma di DARE",'Pivot PP Visa'!$A$3,"Mese",11,"Tipologia",$A145,"Viaggio",$A$144))
-IF(ISERROR(GETPIVOTDATA("Somma di AVERE",'Pivot PP Visa'!$A$3,"Mese",11,"Tipologia",$A145,"Viaggio",$A$144)),0,GETPIVOTDATA("Somma di AVERE",'Pivot PP Visa'!$A$3,"Mese",11,"Tipologia",$A145,"Viaggio",$A$144))
+IF(ISERROR(GETPIVOTDATA("Somma di DARE",'Pivot Revolut'!$A$3,"Mese",11,"Tipologia",$A145,"Viaggio",$A$144)),0,GETPIVOTDATA("Somma di DARE",'Pivot Revolut'!$A$3,"Mese",11,"Tipologia",$A145,"Viaggio",$A$144))
-IF(ISERROR(GETPIVOTDATA("Somma di AVERE",'Pivot Revolut'!$A$3,"Mese",11,"Tipologia",$A145,"Viaggio",$A$144)),0,GETPIVOTDATA("Somma di AVERE",'Pivot Revolut'!$A$3,"Mese",11,"Tipologia",$A145,"Viaggio",$A$144))
+IF(ISERROR(GETPIVOTDATA("Somma di DARE",'Pivot RakBank EUR'!$A$3,"Mese",11,"Tipologia",$A145,"Viaggio",$A$144)),0,GETPIVOTDATA("Somma di DARE",'Pivot RakBank EUR'!$A$3,"Mese",11,"Tipologia",$A145,"Viaggio",$A$144))
-IF(ISERROR(GETPIVOTDATA("Somma di AVERE",'Pivot RakBank EUR'!$A$3,"Mese",11,"Tipologia",$A145,"Viaggio",$A$144)),0,GETPIVOTDATA("Somma di AVERE",'Pivot RakBank EUR'!$A$3,"Mese",11,"Tipologia",$A145,"Viaggio",$A$144))
+IF(ISERROR(GETPIVOTDATA("Somma di DARE EUR",'Pivot RakBank AED'!$A$3,"Mese",11,"Tipologia",$A145,"Viaggio",$A$144)),0,GETPIVOTDATA("Somma di DARE EUR",'Pivot RakBank AED'!$A$3,"Mese",11,"Tipologia",$A145,"Viaggio",$A$144))
-IF(ISERROR(GETPIVOTDATA("Somma di AVERE EUR",'Pivot RakBank AED'!$A$3,"Mese",11,"Tipologia",$A145,"Viaggio",$A$144)),0,GETPIVOTDATA("Somma di AVERE EUR",'Pivot RakBank AED'!$A$3,"Mese",11,"Tipologia",$A145,"Viaggio",$A$144))</f>
        <v>0</v>
      </c>
      <c r="N145" s="270">
        <f>IF(ISERROR(GETPIVOTDATA("Somma di DARE",'Pivot Fineco Sa'!$A$3,"Mese",12,"Tipologia",$A145,"Viaggio",$A$144)),0,GETPIVOTDATA("Somma di DARE",'Pivot Fineco Sa'!$A$3,"Mese",12,"Tipologia",$A145,"Viaggio",$A$144))
+IF(ISERROR(GETPIVOTDATA("Somma di DARE",'Pivot Fineco St'!$A$3,"Mese",12,"Tipologia",$A145,"Viaggio",$A$144)),0,GETPIVOTDATA("Somma di DARE",'Pivot Fineco St'!$A$3,"Mese",12,"Tipologia",$A145,"Viaggio",$A$144))
+IF(Contanti!$AW39='Conto Economico'!$A$144,Contanti!$AT39)
+IF(ISERROR(GETPIVOTDATA("Somma di DARE",'Pivot BBVA'!$A$3,"Mese",12,"Tipologia",$A145,"Viaggio",$A$144)),0,GETPIVOTDATA("Somma di DARE",'Pivot BBVA'!$A$3,"Mese",12,"Tipologia",$A145,"Viaggio",$A$144))
+IF(ISERROR(GETPIVOTDATA("Somma di DARE",'Pivot Amex'!$A$3,"Mese",12,"Tipologia",$A145,"Viaggio",$A$144)),0,GETPIVOTDATA("Somma di DARE",'Pivot Amex'!$A$3,"Mese",12,"Tipologia",$A145,"Viaggio",$A$144))
-IF(ISERROR(GETPIVOTDATA("Somma di AVERE",'Pivot Amex'!$A$3,"Mese",12,"Tipologia",$A145,"Viaggio",$A$144)),0,GETPIVOTDATA("Somma di AVERE",'Pivot Amex'!$A$3,"Mese",12,"Tipologia",$A145,"Viaggio",$A$144))
-IF(ISERROR(GETPIVOTDATA("Somma di AVERE",'Pivot BBVA'!$A$3,"Mese",12,"Tipologia",$A145,"Viaggio",$A$144)),0,GETPIVOTDATA("Somma di AVERE",'Pivot BBVA'!$A$3,"Mese",12,"Tipologia",$A145,"Viaggio",$A$144))
-IF(ISERROR(GETPIVOTDATA("Somma di AVERE",'Pivot Fineco St'!$A$3,"Mese",12,"Tipologia",$A145,"Viaggio",$A$144)),0,GETPIVOTDATA("Somma di AVERE",'Pivot Fineco St'!$A$3,"Mese",12,"Tipologia",$A145,"Viaggio",$A$144))
-IF(ISERROR(GETPIVOTDATA("Somma di AVERE",'Pivot Fineco Sa'!$A$3,"Mese",12,"Tipologia",$A145,"Viaggio",$A$144)),0,GETPIVOTDATA("Somma di AVERE",'Pivot Fineco Sa'!$A$3,"Mese",12,"Tipologia",$A145,"Viaggio",$A$144))
+IF(ISERROR(GETPIVOTDATA("Somma di DARE",'Pivot PP Visa'!$A$3,"Mese",12,"Tipologia",$A145,"Viaggio",$A$144)),0,GETPIVOTDATA("Somma di DARE",'Pivot PP Visa'!$A$3,"Mese",12,"Tipologia",$A145,"Viaggio",$A$144))
-IF(ISERROR(GETPIVOTDATA("Somma di AVERE",'Pivot PP Visa'!$A$3,"Mese",12,"Tipologia",$A145,"Viaggio",$A$144)),0,GETPIVOTDATA("Somma di AVERE",'Pivot PP Visa'!$A$3,"Mese",12,"Tipologia",$A145,"Viaggio",$A$144))
+IF(ISERROR(GETPIVOTDATA("Somma di DARE",'Pivot Revolut'!$A$3,"Mese",12,"Tipologia",$A145,"Viaggio",$A$144)),0,GETPIVOTDATA("Somma di DARE",'Pivot Revolut'!$A$3,"Mese",12,"Tipologia",$A145,"Viaggio",$A$144))
-IF(ISERROR(GETPIVOTDATA("Somma di AVERE",'Pivot Revolut'!$A$3,"Mese",12,"Tipologia",$A145,"Viaggio",$A$144)),0,GETPIVOTDATA("Somma di AVERE",'Pivot Revolut'!$A$3,"Mese",12,"Tipologia",$A145,"Viaggio",$A$144))
+IF(ISERROR(GETPIVOTDATA("Somma di DARE",'Pivot RakBank EUR'!$A$3,"Mese",12,"Tipologia",$A145,"Viaggio",$A$144)),0,GETPIVOTDATA("Somma di DARE",'Pivot RakBank EUR'!$A$3,"Mese",12,"Tipologia",$A145,"Viaggio",$A$144))
-IF(ISERROR(GETPIVOTDATA("Somma di AVERE",'Pivot RakBank EUR'!$A$3,"Mese",12,"Tipologia",$A145,"Viaggio",$A$144)),0,GETPIVOTDATA("Somma di AVERE",'Pivot RakBank EUR'!$A$3,"Mese",12,"Tipologia",$A145,"Viaggio",$A$144))
+IF(ISERROR(GETPIVOTDATA("Somma di DARE EUR",'Pivot RakBank AED'!$A$3,"Mese",12,"Tipologia",$A145,"Viaggio",$A$144)),0,GETPIVOTDATA("Somma di DARE EUR",'Pivot RakBank AED'!$A$3,"Mese",12,"Tipologia",$A145,"Viaggio",$A$144))
-IF(ISERROR(GETPIVOTDATA("Somma di AVERE EUR",'Pivot RakBank AED'!$A$3,"Mese",12,"Tipologia",$A145,"Viaggio",$A$144)),0,GETPIVOTDATA("Somma di AVERE EUR",'Pivot RakBank AED'!$A$3,"Mese",12,"Tipologia",$A145,"Viaggio",$A$144))</f>
        <v>0</v>
      </c>
      <c r="O145" s="271">
        <f t="shared" si="19"/>
        <v>23.84</v>
      </c>
      <c r="P145" s="270"/>
    </row>
    <row r="146" spans="1:16" s="131" customFormat="1" ht="14" outlineLevel="1" x14ac:dyDescent="0.2">
      <c r="A146" s="269" t="s">
        <v>111</v>
      </c>
      <c r="B146" s="269"/>
      <c r="C146" s="270">
        <f>IF(ISERROR(GETPIVOTDATA("Somma di DARE",'Pivot Fineco Sa'!$A$3,"Mese",1,"Tipologia",$A146,"Viaggio",$A$144)),0,GETPIVOTDATA("Somma di DARE",'Pivot Fineco Sa'!$A$3,"Mese",1,"Tipologia",$A146,"Viaggio",$A$144))
+IF(ISERROR(GETPIVOTDATA("Somma di DARE",'Pivot Fineco St'!$A$3,"Mese",1,"Tipologia",$A146,"Viaggio",$A$144)),0,GETPIVOTDATA("Somma di DARE",'Pivot Fineco St'!$A$3,"Mese",1,"Tipologia",$A146,"Viaggio",$A$144))
+IF(Contanti!$E40='Conto Economico'!$A$144,Contanti!$B40)
+IF(ISERROR(GETPIVOTDATA("Somma di DARE",'Pivot BBVA'!$A$3,"Mese",1,"Tipologia",$A146,"Viaggio",$A$144)),0,GETPIVOTDATA("Somma di DARE",'Pivot BBVA'!$A$3,"Mese",1,"Tipologia",$A146,"Viaggio",$A$144))
+IF(ISERROR(GETPIVOTDATA("Somma di DARE",'Pivot Amex'!$A$3,"Mese",1,"Tipologia",$A146,"Viaggio",$A$144)),0,GETPIVOTDATA("Somma di DARE",'Pivot Amex'!$A$3,"Mese",1,"Tipologia",$A146,"Viaggio",$A$144))
-IF(ISERROR(GETPIVOTDATA("Somma di AVERE",'Pivot Amex'!$A$3,"Mese",1,"Tipologia",$A146,"Viaggio",$A$144)),0,GETPIVOTDATA("Somma di AVERE",'Pivot Amex'!$A$3,"Mese",1,"Tipologia",$A146,"Viaggio",$A$144))
-IF(ISERROR(GETPIVOTDATA("Somma di AVERE",'Pivot BBVA'!$A$3,"Mese",1,"Tipologia",$A146,"Viaggio",$A$144)),0,GETPIVOTDATA("Somma di AVERE",'Pivot BBVA'!$A$3,"Mese",1,"Tipologia",$A146,"Viaggio",$A$144))
-IF(ISERROR(GETPIVOTDATA("Somma di AVERE",'Pivot Fineco St'!$A$3,"Mese",1,"Tipologia",$A146,"Viaggio",$A$144)),0,GETPIVOTDATA("Somma di AVERE",'Pivot Fineco St'!$A$3,"Mese",1,"Tipologia",$A146,"Viaggio",$A$144))
-IF(ISERROR(GETPIVOTDATA("Somma di AVERE",'Pivot Fineco Sa'!$A$3,"Mese",1,"Tipologia",$A146,"Viaggio",$A$144)),0,GETPIVOTDATA("Somma di AVERE",'Pivot Fineco Sa'!$A$3,"Mese",1,"Tipologia",$A146,"Viaggio",$A$144))
+IF(ISERROR(GETPIVOTDATA("Somma di DARE",'Pivot PP Visa'!$A$3,"Mese",1,"Tipologia",$A146,"Viaggio",$A$144)),0,GETPIVOTDATA("Somma di DARE",'Pivot PP Visa'!$A$3,"Mese",1,"Tipologia",$A146,"Viaggio",$A$144))
-IF(ISERROR(GETPIVOTDATA("Somma di AVERE",'Pivot PP Visa'!$A$3,"Mese",1,"Tipologia",$A146,"Viaggio",$A$144)),0,GETPIVOTDATA("Somma di AVERE",'Pivot PP Visa'!$A$3,"Mese",1,"Tipologia",$A146,"Viaggio",$A$144))
+IF(ISERROR(GETPIVOTDATA("Somma di DARE",'Pivot Revolut'!$A$3,"Mese",1,"Tipologia",$A146,"Viaggio",$A$144)),0,GETPIVOTDATA("Somma di DARE",'Pivot Revolut'!$A$3,"Mese",1,"Tipologia",$A146,"Viaggio",$A$144))
-IF(ISERROR(GETPIVOTDATA("Somma di AVERE",'Pivot Revolut'!$A$3,"Mese",1,"Tipologia",$A146,"Viaggio",$A$144)),0,GETPIVOTDATA("Somma di AVERE",'Pivot Revolut'!$A$3,"Mese",1,"Tipologia",$A146,"Viaggio",$A$144))
+IF(ISERROR(GETPIVOTDATA("Somma di DARE",'Pivot RakBank EUR'!$A$3,"Mese",1,"Tipologia",$A146,"Viaggio",$A$144)),0,GETPIVOTDATA("Somma di DARE",'Pivot RakBank EUR'!$A$3,"Mese",1,"Tipologia",$A146,"Viaggio",$A$144))
-IF(ISERROR(GETPIVOTDATA("Somma di AVERE",'Pivot RakBank EUR'!$A$3,"Mese",1,"Tipologia",$A146,"Viaggio",$A$144)),0,GETPIVOTDATA("Somma di AVERE",'Pivot RakBank EUR'!$A$3,"Mese",1,"Tipologia",$A146,"Viaggio",$A$144))
+IF(ISERROR(GETPIVOTDATA("Somma di DARE EUR",'Pivot RakBank AED'!$A$3,"Mese",1,"Tipologia",$A146,"Viaggio",$A$144)),0,GETPIVOTDATA("Somma di DARE EUR",'Pivot RakBank AED'!$A$3,"Mese",1,"Tipologia",$A146,"Viaggio",$A$144))
-IF(ISERROR(GETPIVOTDATA("Somma di AVERE EUR",'Pivot RakBank AED'!$A$3,"Mese",1,"Tipologia",$A146,"Viaggio",$A$144)),0,GETPIVOTDATA("Somma di AVERE EUR",'Pivot RakBank AED'!$A$3,"Mese",1,"Tipologia",$A146,"Viaggio",$A$144))</f>
        <v>0</v>
      </c>
      <c r="D146" s="270">
        <f>IF(ISERROR(GETPIVOTDATA("Somma di DARE",'Pivot Fineco Sa'!$A$3,"Mese",2,"Tipologia",$A146,"Viaggio",$A$144)),0,GETPIVOTDATA("Somma di DARE",'Pivot Fineco Sa'!$A$3,"Mese",2,"Tipologia",$A146,"Viaggio",$A$144))
+IF(ISERROR(GETPIVOTDATA("Somma di DARE",'Pivot Fineco St'!$A$3,"Mese",2,"Tipologia",$A146,"Viaggio",$A$144)),0,GETPIVOTDATA("Somma di DARE",'Pivot Fineco St'!$A$3,"Mese",2,"Tipologia",$A146,"Viaggio",$A$144))
+IF(Contanti!$I40='Conto Economico'!$A$144,Contanti!$F40)
+IF(ISERROR(GETPIVOTDATA("Somma di DARE",'Pivot BBVA'!$A$3,"Mese",2,"Tipologia",$A146,"Viaggio",$A$144)),0,GETPIVOTDATA("Somma di DARE",'Pivot BBVA'!$A$3,"Mese",2,"Tipologia",$A146,"Viaggio",$A$144))
+IF(ISERROR(GETPIVOTDATA("Somma di DARE",'Pivot Amex'!$A$3,"Mese",2,"Tipologia",$A146,"Viaggio",$A$144)),0,GETPIVOTDATA("Somma di DARE",'Pivot Amex'!$A$3,"Mese",2,"Tipologia",$A146,"Viaggio",$A$144))
-IF(ISERROR(GETPIVOTDATA("Somma di AVERE",'Pivot Amex'!$A$3,"Mese",2,"Tipologia",$A146,"Viaggio",$A$144)),0,GETPIVOTDATA("Somma di AVERE",'Pivot Amex'!$A$3,"Mese",2,"Tipologia",$A146,"Viaggio",$A$144))
-IF(ISERROR(GETPIVOTDATA("Somma di AVERE",'Pivot BBVA'!$A$3,"Mese",2,"Tipologia",$A146,"Viaggio",$A$144)),0,GETPIVOTDATA("Somma di AVERE",'Pivot BBVA'!$A$3,"Mese",2,"Tipologia",$A146,"Viaggio",$A$144))
-IF(ISERROR(GETPIVOTDATA("Somma di AVERE",'Pivot Fineco St'!$A$3,"Mese",2,"Tipologia",$A146,"Viaggio",$A$144)),0,GETPIVOTDATA("Somma di AVERE",'Pivot Fineco St'!$A$3,"Mese",2,"Tipologia",$A146,"Viaggio",$A$144))
-IF(ISERROR(GETPIVOTDATA("Somma di AVERE",'Pivot Fineco Sa'!$A$3,"Mese",2,"Tipologia",$A146,"Viaggio",$A$144)),0,GETPIVOTDATA("Somma di AVERE",'Pivot Fineco Sa'!$A$3,"Mese",2,"Tipologia",$A146,"Viaggio",$A$144))
+IF(ISERROR(GETPIVOTDATA("Somma di DARE",'Pivot PP Visa'!$A$3,"Mese",2,"Tipologia",$A146,"Viaggio",$A$144)),0,GETPIVOTDATA("Somma di DARE",'Pivot PP Visa'!$A$3,"Mese",2,"Tipologia",$A146,"Viaggio",$A$144))
-IF(ISERROR(GETPIVOTDATA("Somma di AVERE",'Pivot PP Visa'!$A$3,"Mese",2,"Tipologia",$A146,"Viaggio",$A$144)),0,GETPIVOTDATA("Somma di AVERE",'Pivot PP Visa'!$A$3,"Mese",2,"Tipologia",$A146,"Viaggio",$A$144))
+IF(ISERROR(GETPIVOTDATA("Somma di DARE",'Pivot Revolut'!$A$3,"Mese",2,"Tipologia",$A146,"Viaggio",$A$144)),0,GETPIVOTDATA("Somma di DARE",'Pivot Revolut'!$A$3,"Mese",2,"Tipologia",$A146,"Viaggio",$A$144))
-IF(ISERROR(GETPIVOTDATA("Somma di AVERE",'Pivot Revolut'!$A$3,"Mese",2,"Tipologia",$A146,"Viaggio",$A$144)),0,GETPIVOTDATA("Somma di AVERE",'Pivot Revolut'!$A$3,"Mese",2,"Tipologia",$A146,"Viaggio",$A$144))
+IF(ISERROR(GETPIVOTDATA("Somma di DARE",'Pivot RakBank EUR'!$A$3,"Mese",2,"Tipologia",$A146,"Viaggio",$A$144)),0,GETPIVOTDATA("Somma di DARE",'Pivot RakBank EUR'!$A$3,"Mese",2,"Tipologia",$A146,"Viaggio",$A$144))
-IF(ISERROR(GETPIVOTDATA("Somma di AVERE",'Pivot RakBank EUR'!$A$3,"Mese",2,"Tipologia",$A146,"Viaggio",$A$144)),0,GETPIVOTDATA("Somma di AVERE",'Pivot RakBank EUR'!$A$3,"Mese",2,"Tipologia",$A146,"Viaggio",$A$144))
+IF(ISERROR(GETPIVOTDATA("Somma di DARE EUR",'Pivot RakBank AED'!$A$3,"Mese",2,"Tipologia",$A146,"Viaggio",$A$144)),0,GETPIVOTDATA("Somma di DARE EUR",'Pivot RakBank AED'!$A$3,"Mese",2,"Tipologia",$A146,"Viaggio",$A$144))
-IF(ISERROR(GETPIVOTDATA("Somma di AVERE EUR",'Pivot RakBank AED'!$A$3,"Mese",2,"Tipologia",$A146,"Viaggio",$A$144)),0,GETPIVOTDATA("Somma di AVERE EUR",'Pivot RakBank AED'!$A$3,"Mese",2,"Tipologia",$A146,"Viaggio",$A$144))</f>
        <v>0</v>
      </c>
      <c r="E146" s="270">
        <f>IF(ISERROR(GETPIVOTDATA("Somma di DARE",'Pivot Fineco Sa'!$A$3,"Mese",3,"Tipologia",$A146,"Viaggio",$A$144)),0,GETPIVOTDATA("Somma di DARE",'Pivot Fineco Sa'!$A$3,"Mese",3,"Tipologia",$A146,"Viaggio",$A$144))
+IF(ISERROR(GETPIVOTDATA("Somma di DARE",'Pivot Fineco St'!$A$3,"Mese",3,"Tipologia",$A146,"Viaggio",$A$144)),0,GETPIVOTDATA("Somma di DARE",'Pivot Fineco St'!$A$3,"Mese",3,"Tipologia",$A146,"Viaggio",$A$144))
+IF(Contanti!$M40='Conto Economico'!$A$144,Contanti!$J40)
+IF(ISERROR(GETPIVOTDATA("Somma di DARE",'Pivot BBVA'!$A$3,"Mese",3,"Tipologia",$A146,"Viaggio",$A$144)),0,GETPIVOTDATA("Somma di DARE",'Pivot BBVA'!$A$3,"Mese",3,"Tipologia",$A146,"Viaggio",$A$144))
+IF(ISERROR(GETPIVOTDATA("Somma di DARE",'Pivot Amex'!$A$3,"Mese",3,"Tipologia",$A146,"Viaggio",$A$144)),0,GETPIVOTDATA("Somma di DARE",'Pivot Amex'!$A$3,"Mese",3,"Tipologia",$A146,"Viaggio",$A$144))
-IF(ISERROR(GETPIVOTDATA("Somma di AVERE",'Pivot Amex'!$A$3,"Mese",3,"Tipologia",$A146,"Viaggio",$A$144)),0,GETPIVOTDATA("Somma di AVERE",'Pivot Amex'!$A$3,"Mese",3,"Tipologia",$A146,"Viaggio",$A$144))
-IF(ISERROR(GETPIVOTDATA("Somma di AVERE",'Pivot BBVA'!$A$3,"Mese",3,"Tipologia",$A146,"Viaggio",$A$144)),0,GETPIVOTDATA("Somma di AVERE",'Pivot BBVA'!$A$3,"Mese",3,"Tipologia",$A146,"Viaggio",$A$144))
-IF(ISERROR(GETPIVOTDATA("Somma di AVERE",'Pivot Fineco St'!$A$3,"Mese",3,"Tipologia",$A146,"Viaggio",$A$144)),0,GETPIVOTDATA("Somma di AVERE",'Pivot Fineco St'!$A$3,"Mese",3,"Tipologia",$A146,"Viaggio",$A$144))
-IF(ISERROR(GETPIVOTDATA("Somma di AVERE",'Pivot Fineco Sa'!$A$3,"Mese",3,"Tipologia",$A146,"Viaggio",$A$144)),0,GETPIVOTDATA("Somma di AVERE",'Pivot Fineco Sa'!$A$3,"Mese",3,"Tipologia",$A146,"Viaggio",$A$144))
+IF(ISERROR(GETPIVOTDATA("Somma di DARE",'Pivot PP Visa'!$A$3,"Mese",3,"Tipologia",$A146,"Viaggio",$A$144)),0,GETPIVOTDATA("Somma di DARE",'Pivot PP Visa'!$A$3,"Mese",3,"Tipologia",$A146,"Viaggio",$A$144))
-IF(ISERROR(GETPIVOTDATA("Somma di AVERE",'Pivot PP Visa'!$A$3,"Mese",3,"Tipologia",$A146,"Viaggio",$A$144)),0,GETPIVOTDATA("Somma di AVERE",'Pivot PP Visa'!$A$3,"Mese",3,"Tipologia",$A146,"Viaggio",$A$144))
+IF(ISERROR(GETPIVOTDATA("Somma di DARE",'Pivot Revolut'!$A$3,"Mese",3,"Tipologia",$A146,"Viaggio",$A$144)),0,GETPIVOTDATA("Somma di DARE",'Pivot Revolut'!$A$3,"Mese",3,"Tipologia",$A146,"Viaggio",$A$144))
-IF(ISERROR(GETPIVOTDATA("Somma di AVERE",'Pivot Revolut'!$A$3,"Mese",3,"Tipologia",$A146,"Viaggio",$A$144)),0,GETPIVOTDATA("Somma di AVERE",'Pivot Revolut'!$A$3,"Mese",3,"Tipologia",$A146,"Viaggio",$A$144))
+IF(ISERROR(GETPIVOTDATA("Somma di DARE",'Pivot RakBank EUR'!$A$3,"Mese",3,"Tipologia",$A146,"Viaggio",$A$144)),0,GETPIVOTDATA("Somma di DARE",'Pivot RakBank EUR'!$A$3,"Mese",3,"Tipologia",$A146,"Viaggio",$A$144))
-IF(ISERROR(GETPIVOTDATA("Somma di AVERE",'Pivot RakBank EUR'!$A$3,"Mese",3,"Tipologia",$A146,"Viaggio",$A$144)),0,GETPIVOTDATA("Somma di AVERE",'Pivot RakBank EUR'!$A$3,"Mese",3,"Tipologia",$A146,"Viaggio",$A$144))
+IF(ISERROR(GETPIVOTDATA("Somma di DARE EUR",'Pivot RakBank AED'!$A$3,"Mese",3,"Tipologia",$A146,"Viaggio",$A$144)),0,GETPIVOTDATA("Somma di DARE EUR",'Pivot RakBank AED'!$A$3,"Mese",3,"Tipologia",$A146,"Viaggio",$A$144))
-IF(ISERROR(GETPIVOTDATA("Somma di AVERE EUR",'Pivot RakBank AED'!$A$3,"Mese",3,"Tipologia",$A146,"Viaggio",$A$144)),0,GETPIVOTDATA("Somma di AVERE EUR",'Pivot RakBank AED'!$A$3,"Mese",3,"Tipologia",$A146,"Viaggio",$A$144))</f>
        <v>0</v>
      </c>
      <c r="F146" s="270">
        <f>IF(ISERROR(GETPIVOTDATA("Somma di DARE",'Pivot Fineco Sa'!$A$3,"Mese",4,"Tipologia",$A146,"Viaggio",$A$144)),0,GETPIVOTDATA("Somma di DARE",'Pivot Fineco Sa'!$A$3,"Mese",4,"Tipologia",$A146,"Viaggio",$A$144))
+IF(ISERROR(GETPIVOTDATA("Somma di DARE",'Pivot Fineco St'!$A$3,"Mese",4,"Tipologia",$A146,"Viaggio",$A$144)),0,GETPIVOTDATA("Somma di DARE",'Pivot Fineco St'!$A$3,"Mese",4,"Tipologia",$A146,"Viaggio",$A$144))
+IF(Contanti!$Q40='Conto Economico'!$A$144,Contanti!$N40)
+IF(ISERROR(GETPIVOTDATA("Somma di DARE",'Pivot BBVA'!$A$3,"Mese",4,"Tipologia",$A146,"Viaggio",$A$144)),0,GETPIVOTDATA("Somma di DARE",'Pivot BBVA'!$A$3,"Mese",4,"Tipologia",$A146,"Viaggio",$A$144))
+IF(ISERROR(GETPIVOTDATA("Somma di DARE",'Pivot Amex'!$A$3,"Mese",4,"Tipologia",$A146,"Viaggio",$A$144)),0,GETPIVOTDATA("Somma di DARE",'Pivot Amex'!$A$3,"Mese",4,"Tipologia",$A146,"Viaggio",$A$144))
-IF(ISERROR(GETPIVOTDATA("Somma di AVERE",'Pivot Amex'!$A$3,"Mese",4,"Tipologia",$A146,"Viaggio",$A$144)),0,GETPIVOTDATA("Somma di AVERE",'Pivot Amex'!$A$3,"Mese",4,"Tipologia",$A146,"Viaggio",$A$144))
-IF(ISERROR(GETPIVOTDATA("Somma di AVERE",'Pivot BBVA'!$A$3,"Mese",4,"Tipologia",$A146,"Viaggio",$A$144)),0,GETPIVOTDATA("Somma di AVERE",'Pivot BBVA'!$A$3,"Mese",4,"Tipologia",$A146,"Viaggio",$A$144))
-IF(ISERROR(GETPIVOTDATA("Somma di AVERE",'Pivot Fineco St'!$A$3,"Mese",4,"Tipologia",$A146,"Viaggio",$A$144)),0,GETPIVOTDATA("Somma di AVERE",'Pivot Fineco St'!$A$3,"Mese",4,"Tipologia",$A146,"Viaggio",$A$144))
-IF(ISERROR(GETPIVOTDATA("Somma di AVERE",'Pivot Fineco Sa'!$A$3,"Mese",4,"Tipologia",$A146,"Viaggio",$A$144)),0,GETPIVOTDATA("Somma di AVERE",'Pivot Fineco Sa'!$A$3,"Mese",4,"Tipologia",$A146,"Viaggio",$A$144))
+IF(ISERROR(GETPIVOTDATA("Somma di DARE",'Pivot PP Visa'!$A$3,"Mese",4,"Tipologia",$A146,"Viaggio",$A$144)),0,GETPIVOTDATA("Somma di DARE",'Pivot PP Visa'!$A$3,"Mese",4,"Tipologia",$A146,"Viaggio",$A$144))
-IF(ISERROR(GETPIVOTDATA("Somma di AVERE",'Pivot PP Visa'!$A$3,"Mese",4,"Tipologia",$A146,"Viaggio",$A$144)),0,GETPIVOTDATA("Somma di AVERE",'Pivot PP Visa'!$A$3,"Mese",4,"Tipologia",$A146,"Viaggio",$A$144))
+IF(ISERROR(GETPIVOTDATA("Somma di DARE",'Pivot Revolut'!$A$3,"Mese",4,"Tipologia",$A146,"Viaggio",$A$144)),0,GETPIVOTDATA("Somma di DARE",'Pivot Revolut'!$A$3,"Mese",4,"Tipologia",$A146,"Viaggio",$A$144))
-IF(ISERROR(GETPIVOTDATA("Somma di AVERE",'Pivot Revolut'!$A$3,"Mese",4,"Tipologia",$A146,"Viaggio",$A$144)),0,GETPIVOTDATA("Somma di AVERE",'Pivot Revolut'!$A$3,"Mese",4,"Tipologia",$A146,"Viaggio",$A$144))
+IF(ISERROR(GETPIVOTDATA("Somma di DARE",'Pivot RakBank EUR'!$A$3,"Mese",4,"Tipologia",$A146,"Viaggio",$A$144)),0,GETPIVOTDATA("Somma di DARE",'Pivot RakBank EUR'!$A$3,"Mese",4,"Tipologia",$A146,"Viaggio",$A$144))
-IF(ISERROR(GETPIVOTDATA("Somma di AVERE",'Pivot RakBank EUR'!$A$3,"Mese",4,"Tipologia",$A146,"Viaggio",$A$144)),0,GETPIVOTDATA("Somma di AVERE",'Pivot RakBank EUR'!$A$3,"Mese",4,"Tipologia",$A146,"Viaggio",$A$144))
+IF(ISERROR(GETPIVOTDATA("Somma di DARE EUR",'Pivot RakBank AED'!$A$3,"Mese",4,"Tipologia",$A146,"Viaggio",$A$144)),0,GETPIVOTDATA("Somma di DARE EUR",'Pivot RakBank AED'!$A$3,"Mese",4,"Tipologia",$A146,"Viaggio",$A$144))
-IF(ISERROR(GETPIVOTDATA("Somma di AVERE EUR",'Pivot RakBank AED'!$A$3,"Mese",4,"Tipologia",$A146,"Viaggio",$A$144)),0,GETPIVOTDATA("Somma di AVERE EUR",'Pivot RakBank AED'!$A$3,"Mese",4,"Tipologia",$A146,"Viaggio",$A$144))</f>
        <v>0</v>
      </c>
      <c r="G146" s="270">
        <f>IF(ISERROR(GETPIVOTDATA("Somma di DARE",'Pivot Fineco Sa'!$A$3,"Mese",5,"Tipologia",$A146,"Viaggio",$A$144)),0,GETPIVOTDATA("Somma di DARE",'Pivot Fineco Sa'!$A$3,"Mese",5,"Tipologia",$A146,"Viaggio",$A$144))
+IF(ISERROR(GETPIVOTDATA("Somma di DARE",'Pivot Fineco St'!$A$3,"Mese",5,"Tipologia",$A146,"Viaggio",$A$144)),0,GETPIVOTDATA("Somma di DARE",'Pivot Fineco St'!$A$3,"Mese",5,"Tipologia",$A146,"Viaggio",$A$144))
+IF(Contanti!$U40='Conto Economico'!$A$144,Contanti!$R40)
+IF(ISERROR(GETPIVOTDATA("Somma di DARE",'Pivot BBVA'!$A$3,"Mese",5,"Tipologia",$A146,"Viaggio",$A$144)),0,GETPIVOTDATA("Somma di DARE",'Pivot BBVA'!$A$3,"Mese",5,"Tipologia",$A146,"Viaggio",$A$144))
+IF(ISERROR(GETPIVOTDATA("Somma di DARE",'Pivot Amex'!$A$3,"Mese",5,"Tipologia",$A146,"Viaggio",$A$144)),0,GETPIVOTDATA("Somma di DARE",'Pivot Amex'!$A$3,"Mese",5,"Tipologia",$A146,"Viaggio",$A$144))
-IF(ISERROR(GETPIVOTDATA("Somma di AVERE",'Pivot Amex'!$A$3,"Mese",5,"Tipologia",$A146,"Viaggio",$A$144)),0,GETPIVOTDATA("Somma di AVERE",'Pivot Amex'!$A$3,"Mese",5,"Tipologia",$A146,"Viaggio",$A$144))
-IF(ISERROR(GETPIVOTDATA("Somma di AVERE",'Pivot BBVA'!$A$3,"Mese",5,"Tipologia",$A146,"Viaggio",$A$144)),0,GETPIVOTDATA("Somma di AVERE",'Pivot BBVA'!$A$3,"Mese",5,"Tipologia",$A146,"Viaggio",$A$144))
-IF(ISERROR(GETPIVOTDATA("Somma di AVERE",'Pivot Fineco St'!$A$3,"Mese",5,"Tipologia",$A146,"Viaggio",$A$144)),0,GETPIVOTDATA("Somma di AVERE",'Pivot Fineco St'!$A$3,"Mese",5,"Tipologia",$A146,"Viaggio",$A$144))
-IF(ISERROR(GETPIVOTDATA("Somma di AVERE",'Pivot Fineco Sa'!$A$3,"Mese",5,"Tipologia",$A146,"Viaggio",$A$144)),0,GETPIVOTDATA("Somma di AVERE",'Pivot Fineco Sa'!$A$3,"Mese",5,"Tipologia",$A146,"Viaggio",$A$144))
+IF(ISERROR(GETPIVOTDATA("Somma di DARE",'Pivot PP Visa'!$A$3,"Mese",5,"Tipologia",$A146,"Viaggio",$A$144)),0,GETPIVOTDATA("Somma di DARE",'Pivot PP Visa'!$A$3,"Mese",5,"Tipologia",$A146,"Viaggio",$A$144))
-IF(ISERROR(GETPIVOTDATA("Somma di AVERE",'Pivot PP Visa'!$A$3,"Mese",5,"Tipologia",$A146,"Viaggio",$A$144)),0,GETPIVOTDATA("Somma di AVERE",'Pivot PP Visa'!$A$3,"Mese",5,"Tipologia",$A146,"Viaggio",$A$144))
+IF(ISERROR(GETPIVOTDATA("Somma di DARE",'Pivot Revolut'!$A$3,"Mese",5,"Tipologia",$A146,"Viaggio",$A$144)),0,GETPIVOTDATA("Somma di DARE",'Pivot Revolut'!$A$3,"Mese",5,"Tipologia",$A146,"Viaggio",$A$144))
-IF(ISERROR(GETPIVOTDATA("Somma di AVERE",'Pivot Revolut'!$A$3,"Mese",5,"Tipologia",$A146,"Viaggio",$A$144)),0,GETPIVOTDATA("Somma di AVERE",'Pivot Revolut'!$A$3,"Mese",5,"Tipologia",$A146,"Viaggio",$A$144))
+IF(ISERROR(GETPIVOTDATA("Somma di DARE",'Pivot RakBank EUR'!$A$3,"Mese",5,"Tipologia",$A146,"Viaggio",$A$144)),0,GETPIVOTDATA("Somma di DARE",'Pivot RakBank EUR'!$A$3,"Mese",5,"Tipologia",$A146,"Viaggio",$A$144))
-IF(ISERROR(GETPIVOTDATA("Somma di AVERE",'Pivot RakBank EUR'!$A$3,"Mese",5,"Tipologia",$A146,"Viaggio",$A$144)),0,GETPIVOTDATA("Somma di AVERE",'Pivot RakBank EUR'!$A$3,"Mese",5,"Tipologia",$A146,"Viaggio",$A$144))
+IF(ISERROR(GETPIVOTDATA("Somma di DARE EUR",'Pivot RakBank AED'!$A$3,"Mese",5,"Tipologia",$A146,"Viaggio",$A$144)),0,GETPIVOTDATA("Somma di DARE EUR",'Pivot RakBank AED'!$A$3,"Mese",5,"Tipologia",$A146,"Viaggio",$A$144))
-IF(ISERROR(GETPIVOTDATA("Somma di AVERE EUR",'Pivot RakBank AED'!$A$3,"Mese",5,"Tipologia",$A146,"Viaggio",$A$144)),0,GETPIVOTDATA("Somma di AVERE EUR",'Pivot RakBank AED'!$A$3,"Mese",5,"Tipologia",$A146,"Viaggio",$A$144))</f>
        <v>0</v>
      </c>
      <c r="H146" s="270">
        <f>IF(ISERROR(GETPIVOTDATA("Somma di DARE",'Pivot Fineco Sa'!$A$3,"Mese",6,"Tipologia",$A146,"Viaggio",$A$144)),0,GETPIVOTDATA("Somma di DARE",'Pivot Fineco Sa'!$A$3,"Mese",6,"Tipologia",$A146,"Viaggio",$A$144))
+IF(ISERROR(GETPIVOTDATA("Somma di DARE",'Pivot Fineco St'!$A$3,"Mese",6,"Tipologia",$A146,"Viaggio",$A$144)),0,GETPIVOTDATA("Somma di DARE",'Pivot Fineco St'!$A$3,"Mese",6,"Tipologia",$A146,"Viaggio",$A$144))
+IF(Contanti!$Y40='Conto Economico'!$A$144,Contanti!$V40)
+IF(ISERROR(GETPIVOTDATA("Somma di DARE",'Pivot BBVA'!$A$3,"Mese",6,"Tipologia",$A146,"Viaggio",$A$144)),0,GETPIVOTDATA("Somma di DARE",'Pivot BBVA'!$A$3,"Mese",6,"Tipologia",$A146,"Viaggio",$A$144))
+IF(ISERROR(GETPIVOTDATA("Somma di DARE",'Pivot Amex'!$A$3,"Mese",6,"Tipologia",$A146,"Viaggio",$A$144)),0,GETPIVOTDATA("Somma di DARE",'Pivot Amex'!$A$3,"Mese",6,"Tipologia",$A146,"Viaggio",$A$144))
-IF(ISERROR(GETPIVOTDATA("Somma di AVERE",'Pivot Amex'!$A$3,"Mese",6,"Tipologia",$A146,"Viaggio",$A$144)),0,GETPIVOTDATA("Somma di AVERE",'Pivot Amex'!$A$3,"Mese",6,"Tipologia",$A146,"Viaggio",$A$144))
-IF(ISERROR(GETPIVOTDATA("Somma di AVERE",'Pivot BBVA'!$A$3,"Mese",6,"Tipologia",$A146,"Viaggio",$A$144)),0,GETPIVOTDATA("Somma di AVERE",'Pivot BBVA'!$A$3,"Mese",6,"Tipologia",$A146,"Viaggio",$A$144))
-IF(ISERROR(GETPIVOTDATA("Somma di AVERE",'Pivot Fineco St'!$A$3,"Mese",6,"Tipologia",$A146,"Viaggio",$A$144)),0,GETPIVOTDATA("Somma di AVERE",'Pivot Fineco St'!$A$3,"Mese",6,"Tipologia",$A146,"Viaggio",$A$144))
-IF(ISERROR(GETPIVOTDATA("Somma di AVERE",'Pivot Fineco Sa'!$A$3,"Mese",6,"Tipologia",$A146,"Viaggio",$A$144)),0,GETPIVOTDATA("Somma di AVERE",'Pivot Fineco Sa'!$A$3,"Mese",6,"Tipologia",$A146,"Viaggio",$A$144))
+IF(ISERROR(GETPIVOTDATA("Somma di DARE",'Pivot PP Visa'!$A$3,"Mese",6,"Tipologia",$A146,"Viaggio",$A$144)),0,GETPIVOTDATA("Somma di DARE",'Pivot PP Visa'!$A$3,"Mese",6,"Tipologia",$A146,"Viaggio",$A$144))
-IF(ISERROR(GETPIVOTDATA("Somma di AVERE",'Pivot PP Visa'!$A$3,"Mese",6,"Tipologia",$A146,"Viaggio",$A$144)),0,GETPIVOTDATA("Somma di AVERE",'Pivot PP Visa'!$A$3,"Mese",6,"Tipologia",$A146,"Viaggio",$A$144))
+IF(ISERROR(GETPIVOTDATA("Somma di DARE",'Pivot Revolut'!$A$3,"Mese",6,"Tipologia",$A146,"Viaggio",$A$144)),0,GETPIVOTDATA("Somma di DARE",'Pivot Revolut'!$A$3,"Mese",6,"Tipologia",$A146,"Viaggio",$A$144))
-IF(ISERROR(GETPIVOTDATA("Somma di AVERE",'Pivot Revolut'!$A$3,"Mese",6,"Tipologia",$A146,"Viaggio",$A$144)),0,GETPIVOTDATA("Somma di AVERE",'Pivot Revolut'!$A$3,"Mese",6,"Tipologia",$A146,"Viaggio",$A$144))
+IF(ISERROR(GETPIVOTDATA("Somma di DARE",'Pivot RakBank EUR'!$A$3,"Mese",6,"Tipologia",$A146,"Viaggio",$A$144)),0,GETPIVOTDATA("Somma di DARE",'Pivot RakBank EUR'!$A$3,"Mese",6,"Tipologia",$A146,"Viaggio",$A$144))
-IF(ISERROR(GETPIVOTDATA("Somma di AVERE",'Pivot RakBank EUR'!$A$3,"Mese",6,"Tipologia",$A146,"Viaggio",$A$144)),0,GETPIVOTDATA("Somma di AVERE",'Pivot RakBank EUR'!$A$3,"Mese",6,"Tipologia",$A146,"Viaggio",$A$144))
+IF(ISERROR(GETPIVOTDATA("Somma di DARE EUR",'Pivot RakBank AED'!$A$3,"Mese",6,"Tipologia",$A146,"Viaggio",$A$144)),0,GETPIVOTDATA("Somma di DARE EUR",'Pivot RakBank AED'!$A$3,"Mese",6,"Tipologia",$A146,"Viaggio",$A$144))
-IF(ISERROR(GETPIVOTDATA("Somma di AVERE EUR",'Pivot RakBank AED'!$A$3,"Mese",6,"Tipologia",$A146,"Viaggio",$A$144)),0,GETPIVOTDATA("Somma di AVERE EUR",'Pivot RakBank AED'!$A$3,"Mese",6,"Tipologia",$A146,"Viaggio",$A$144))</f>
        <v>0</v>
      </c>
      <c r="I146" s="270">
        <f>IF(ISERROR(GETPIVOTDATA("Somma di DARE",'Pivot Fineco Sa'!$A$3,"Mese",7,"Tipologia",$A146,"Viaggio",$A$144)),0,GETPIVOTDATA("Somma di DARE",'Pivot Fineco Sa'!$A$3,"Mese",7,"Tipologia",$A146,"Viaggio",$A$144))
+IF(ISERROR(GETPIVOTDATA("Somma di DARE",'Pivot Fineco St'!$A$3,"Mese",7,"Tipologia",$A146,"Viaggio",$A$144)),0,GETPIVOTDATA("Somma di DARE",'Pivot Fineco St'!$A$3,"Mese",7,"Tipologia",$A146,"Viaggio",$A$144))
+IF(Contanti!$AC40='Conto Economico'!$A$144,Contanti!$Z40)
+IF(ISERROR(GETPIVOTDATA("Somma di DARE",'Pivot BBVA'!$A$3,"Mese",7,"Tipologia",$A146,"Viaggio",$A$144)),0,GETPIVOTDATA("Somma di DARE",'Pivot BBVA'!$A$3,"Mese",7,"Tipologia",$A146,"Viaggio",$A$144))
+IF(ISERROR(GETPIVOTDATA("Somma di DARE",'Pivot Amex'!$A$3,"Mese",7,"Tipologia",$A146,"Viaggio",$A$144)),0,GETPIVOTDATA("Somma di DARE",'Pivot Amex'!$A$3,"Mese",7,"Tipologia",$A146,"Viaggio",$A$144))
-IF(ISERROR(GETPIVOTDATA("Somma di AVERE",'Pivot Amex'!$A$3,"Mese",7,"Tipologia",$A146,"Viaggio",$A$144)),0,GETPIVOTDATA("Somma di AVERE",'Pivot Amex'!$A$3,"Mese",7,"Tipologia",$A146,"Viaggio",$A$144))
-IF(ISERROR(GETPIVOTDATA("Somma di AVERE",'Pivot BBVA'!$A$3,"Mese",7,"Tipologia",$A146,"Viaggio",$A$144)),0,GETPIVOTDATA("Somma di AVERE",'Pivot BBVA'!$A$3,"Mese",7,"Tipologia",$A146,"Viaggio",$A$144))
-IF(ISERROR(GETPIVOTDATA("Somma di AVERE",'Pivot Fineco St'!$A$3,"Mese",7,"Tipologia",$A146,"Viaggio",$A$144)),0,GETPIVOTDATA("Somma di AVERE",'Pivot Fineco St'!$A$3,"Mese",7,"Tipologia",$A146,"Viaggio",$A$144))
-IF(ISERROR(GETPIVOTDATA("Somma di AVERE",'Pivot Fineco Sa'!$A$3,"Mese",7,"Tipologia",$A146,"Viaggio",$A$144)),0,GETPIVOTDATA("Somma di AVERE",'Pivot Fineco Sa'!$A$3,"Mese",7,"Tipologia",$A146,"Viaggio",$A$144))
+IF(ISERROR(GETPIVOTDATA("Somma di DARE",'Pivot PP Visa'!$A$3,"Mese",7,"Tipologia",$A146,"Viaggio",$A$144)),0,GETPIVOTDATA("Somma di DARE",'Pivot PP Visa'!$A$3,"Mese",7,"Tipologia",$A146,"Viaggio",$A$144))
-IF(ISERROR(GETPIVOTDATA("Somma di AVERE",'Pivot PP Visa'!$A$3,"Mese",7,"Tipologia",$A146,"Viaggio",$A$144)),0,GETPIVOTDATA("Somma di AVERE",'Pivot PP Visa'!$A$3,"Mese",7,"Tipologia",$A146,"Viaggio",$A$144))
+IF(ISERROR(GETPIVOTDATA("Somma di DARE",'Pivot Revolut'!$A$3,"Mese",7,"Tipologia",$A146,"Viaggio",$A$144)),0,GETPIVOTDATA("Somma di DARE",'Pivot Revolut'!$A$3,"Mese",7,"Tipologia",$A146,"Viaggio",$A$144))
-IF(ISERROR(GETPIVOTDATA("Somma di AVERE",'Pivot Revolut'!$A$3,"Mese",7,"Tipologia",$A146,"Viaggio",$A$144)),0,GETPIVOTDATA("Somma di AVERE",'Pivot Revolut'!$A$3,"Mese",7,"Tipologia",$A146,"Viaggio",$A$144))
+IF(ISERROR(GETPIVOTDATA("Somma di DARE",'Pivot RakBank EUR'!$A$3,"Mese",7,"Tipologia",$A146,"Viaggio",$A$144)),0,GETPIVOTDATA("Somma di DARE",'Pivot RakBank EUR'!$A$3,"Mese",7,"Tipologia",$A146,"Viaggio",$A$144))
-IF(ISERROR(GETPIVOTDATA("Somma di AVERE",'Pivot RakBank EUR'!$A$3,"Mese",7,"Tipologia",$A146,"Viaggio",$A$144)),0,GETPIVOTDATA("Somma di AVERE",'Pivot RakBank EUR'!$A$3,"Mese",7,"Tipologia",$A146,"Viaggio",$A$144))
+IF(ISERROR(GETPIVOTDATA("Somma di DARE EUR",'Pivot RakBank AED'!$A$3,"Mese",7,"Tipologia",$A146,"Viaggio",$A$144)),0,GETPIVOTDATA("Somma di DARE EUR",'Pivot RakBank AED'!$A$3,"Mese",7,"Tipologia",$A146,"Viaggio",$A$144))
-IF(ISERROR(GETPIVOTDATA("Somma di AVERE EUR",'Pivot RakBank AED'!$A$3,"Mese",7,"Tipologia",$A146,"Viaggio",$A$144)),0,GETPIVOTDATA("Somma di AVERE EUR",'Pivot RakBank AED'!$A$3,"Mese",7,"Tipologia",$A146,"Viaggio",$A$144))</f>
        <v>0</v>
      </c>
      <c r="J146" s="270">
        <f>IF(ISERROR(GETPIVOTDATA("Somma di DARE",'Pivot Fineco Sa'!$A$3,"Mese",8,"Tipologia",$A146,"Viaggio",$A$144)),0,GETPIVOTDATA("Somma di DARE",'Pivot Fineco Sa'!$A$3,"Mese",8,"Tipologia",$A146,"Viaggio",$A$144))
+IF(ISERROR(GETPIVOTDATA("Somma di DARE",'Pivot Fineco St'!$A$3,"Mese",8,"Tipologia",$A146,"Viaggio",$A$144)),0,GETPIVOTDATA("Somma di DARE",'Pivot Fineco St'!$A$3,"Mese",8,"Tipologia",$A146,"Viaggio",$A$144))
+IF(Contanti!$AG40='Conto Economico'!$A$144,Contanti!$AD40)
+IF(ISERROR(GETPIVOTDATA("Somma di DARE",'Pivot BBVA'!$A$3,"Mese",8,"Tipologia",$A146,"Viaggio",$A$144)),0,GETPIVOTDATA("Somma di DARE",'Pivot BBVA'!$A$3,"Mese",8,"Tipologia",$A146,"Viaggio",$A$144))
+IF(ISERROR(GETPIVOTDATA("Somma di DARE",'Pivot Amex'!$A$3,"Mese",8,"Tipologia",$A146,"Viaggio",$A$144)),0,GETPIVOTDATA("Somma di DARE",'Pivot Amex'!$A$3,"Mese",8,"Tipologia",$A146,"Viaggio",$A$144))
-IF(ISERROR(GETPIVOTDATA("Somma di AVERE",'Pivot Amex'!$A$3,"Mese",8,"Tipologia",$A146,"Viaggio",$A$144)),0,GETPIVOTDATA("Somma di AVERE",'Pivot Amex'!$A$3,"Mese",8,"Tipologia",$A146,"Viaggio",$A$144))
-IF(ISERROR(GETPIVOTDATA("Somma di AVERE",'Pivot BBVA'!$A$3,"Mese",8,"Tipologia",$A146,"Viaggio",$A$144)),0,GETPIVOTDATA("Somma di AVERE",'Pivot BBVA'!$A$3,"Mese",8,"Tipologia",$A146,"Viaggio",$A$144))
-IF(ISERROR(GETPIVOTDATA("Somma di AVERE",'Pivot Fineco St'!$A$3,"Mese",8,"Tipologia",$A146,"Viaggio",$A$144)),0,GETPIVOTDATA("Somma di AVERE",'Pivot Fineco St'!$A$3,"Mese",8,"Tipologia",$A146,"Viaggio",$A$144))
-IF(ISERROR(GETPIVOTDATA("Somma di AVERE",'Pivot Fineco Sa'!$A$3,"Mese",8,"Tipologia",$A146,"Viaggio",$A$144)),0,GETPIVOTDATA("Somma di AVERE",'Pivot Fineco Sa'!$A$3,"Mese",8,"Tipologia",$A146,"Viaggio",$A$144))
+IF(ISERROR(GETPIVOTDATA("Somma di DARE",'Pivot PP Visa'!$A$3,"Mese",8,"Tipologia",$A146,"Viaggio",$A$144)),0,GETPIVOTDATA("Somma di DARE",'Pivot PP Visa'!$A$3,"Mese",8,"Tipologia",$A146,"Viaggio",$A$144))
-IF(ISERROR(GETPIVOTDATA("Somma di AVERE",'Pivot PP Visa'!$A$3,"Mese",8,"Tipologia",$A146,"Viaggio",$A$144)),0,GETPIVOTDATA("Somma di AVERE",'Pivot PP Visa'!$A$3,"Mese",8,"Tipologia",$A146,"Viaggio",$A$144))
+IF(ISERROR(GETPIVOTDATA("Somma di DARE",'Pivot Revolut'!$A$3,"Mese",8,"Tipologia",$A146,"Viaggio",$A$144)),0,GETPIVOTDATA("Somma di DARE",'Pivot Revolut'!$A$3,"Mese",8,"Tipologia",$A146,"Viaggio",$A$144))
-IF(ISERROR(GETPIVOTDATA("Somma di AVERE",'Pivot Revolut'!$A$3,"Mese",8,"Tipologia",$A146,"Viaggio",$A$144)),0,GETPIVOTDATA("Somma di AVERE",'Pivot Revolut'!$A$3,"Mese",8,"Tipologia",$A146,"Viaggio",$A$144))
+IF(ISERROR(GETPIVOTDATA("Somma di DARE",'Pivot RakBank EUR'!$A$3,"Mese",8,"Tipologia",$A146,"Viaggio",$A$144)),0,GETPIVOTDATA("Somma di DARE",'Pivot RakBank EUR'!$A$3,"Mese",8,"Tipologia",$A146,"Viaggio",$A$144))
-IF(ISERROR(GETPIVOTDATA("Somma di AVERE",'Pivot RakBank EUR'!$A$3,"Mese",8,"Tipologia",$A146,"Viaggio",$A$144)),0,GETPIVOTDATA("Somma di AVERE",'Pivot RakBank EUR'!$A$3,"Mese",8,"Tipologia",$A146,"Viaggio",$A$144))
+IF(ISERROR(GETPIVOTDATA("Somma di DARE EUR",'Pivot RakBank AED'!$A$3,"Mese",8,"Tipologia",$A146,"Viaggio",$A$144)),0,GETPIVOTDATA("Somma di DARE EUR",'Pivot RakBank AED'!$A$3,"Mese",8,"Tipologia",$A146,"Viaggio",$A$144))
-IF(ISERROR(GETPIVOTDATA("Somma di AVERE EUR",'Pivot RakBank AED'!$A$3,"Mese",8,"Tipologia",$A146,"Viaggio",$A$144)),0,GETPIVOTDATA("Somma di AVERE EUR",'Pivot RakBank AED'!$A$3,"Mese",8,"Tipologia",$A146,"Viaggio",$A$144))</f>
        <v>0</v>
      </c>
      <c r="K146" s="270">
        <f>IF(ISERROR(GETPIVOTDATA("Somma di DARE",'Pivot Fineco Sa'!$A$3,"Mese",9,"Tipologia",$A146,"Viaggio",$A$144)),0,GETPIVOTDATA("Somma di DARE",'Pivot Fineco Sa'!$A$3,"Mese",9,"Tipologia",$A146,"Viaggio",$A$144))
+IF(ISERROR(GETPIVOTDATA("Somma di DARE",'Pivot Fineco St'!$A$3,"Mese",9,"Tipologia",$A146,"Viaggio",$A$144)),0,GETPIVOTDATA("Somma di DARE",'Pivot Fineco St'!$A$3,"Mese",9,"Tipologia",$A146,"Viaggio",$A$144))
+IF(Contanti!$AK40='Conto Economico'!$A$144,Contanti!$AH40)
+IF(ISERROR(GETPIVOTDATA("Somma di DARE",'Pivot BBVA'!$A$3,"Mese",9,"Tipologia",$A146,"Viaggio",$A$144)),0,GETPIVOTDATA("Somma di DARE",'Pivot BBVA'!$A$3,"Mese",9,"Tipologia",$A146,"Viaggio",$A$144))
+IF(ISERROR(GETPIVOTDATA("Somma di DARE",'Pivot Amex'!$A$3,"Mese",9,"Tipologia",$A146,"Viaggio",$A$144)),0,GETPIVOTDATA("Somma di DARE",'Pivot Amex'!$A$3,"Mese",9,"Tipologia",$A146,"Viaggio",$A$144))
-IF(ISERROR(GETPIVOTDATA("Somma di AVERE",'Pivot Amex'!$A$3,"Mese",9,"Tipologia",$A146,"Viaggio",$A$144)),0,GETPIVOTDATA("Somma di AVERE",'Pivot Amex'!$A$3,"Mese",9,"Tipologia",$A146,"Viaggio",$A$144))
-IF(ISERROR(GETPIVOTDATA("Somma di AVERE",'Pivot BBVA'!$A$3,"Mese",9,"Tipologia",$A146,"Viaggio",$A$144)),0,GETPIVOTDATA("Somma di AVERE",'Pivot BBVA'!$A$3,"Mese",9,"Tipologia",$A146,"Viaggio",$A$144))
-IF(ISERROR(GETPIVOTDATA("Somma di AVERE",'Pivot Fineco St'!$A$3,"Mese",9,"Tipologia",$A146,"Viaggio",$A$144)),0,GETPIVOTDATA("Somma di AVERE",'Pivot Fineco St'!$A$3,"Mese",9,"Tipologia",$A146,"Viaggio",$A$144))
-IF(ISERROR(GETPIVOTDATA("Somma di AVERE",'Pivot Fineco Sa'!$A$3,"Mese",9,"Tipologia",$A146,"Viaggio",$A$144)),0,GETPIVOTDATA("Somma di AVERE",'Pivot Fineco Sa'!$A$3,"Mese",9,"Tipologia",$A146,"Viaggio",$A$144))
+IF(ISERROR(GETPIVOTDATA("Somma di DARE",'Pivot PP Visa'!$A$3,"Mese",9,"Tipologia",$A146,"Viaggio",$A$144)),0,GETPIVOTDATA("Somma di DARE",'Pivot PP Visa'!$A$3,"Mese",9,"Tipologia",$A146,"Viaggio",$A$144))
-IF(ISERROR(GETPIVOTDATA("Somma di AVERE",'Pivot PP Visa'!$A$3,"Mese",9,"Tipologia",$A146,"Viaggio",$A$144)),0,GETPIVOTDATA("Somma di AVERE",'Pivot PP Visa'!$A$3,"Mese",9,"Tipologia",$A146,"Viaggio",$A$144))
+IF(ISERROR(GETPIVOTDATA("Somma di DARE",'Pivot Revolut'!$A$3,"Mese",9,"Tipologia",$A146,"Viaggio",$A$144)),0,GETPIVOTDATA("Somma di DARE",'Pivot Revolut'!$A$3,"Mese",9,"Tipologia",$A146,"Viaggio",$A$144))
-IF(ISERROR(GETPIVOTDATA("Somma di AVERE",'Pivot Revolut'!$A$3,"Mese",9,"Tipologia",$A146,"Viaggio",$A$144)),0,GETPIVOTDATA("Somma di AVERE",'Pivot Revolut'!$A$3,"Mese",9,"Tipologia",$A146,"Viaggio",$A$144))
+IF(ISERROR(GETPIVOTDATA("Somma di DARE",'Pivot RakBank EUR'!$A$3,"Mese",9,"Tipologia",$A146,"Viaggio",$A$144)),0,GETPIVOTDATA("Somma di DARE",'Pivot RakBank EUR'!$A$3,"Mese",9,"Tipologia",$A146,"Viaggio",$A$144))
-IF(ISERROR(GETPIVOTDATA("Somma di AVERE",'Pivot RakBank EUR'!$A$3,"Mese",9,"Tipologia",$A146,"Viaggio",$A$144)),0,GETPIVOTDATA("Somma di AVERE",'Pivot RakBank EUR'!$A$3,"Mese",9,"Tipologia",$A146,"Viaggio",$A$144))
+IF(ISERROR(GETPIVOTDATA("Somma di DARE EUR",'Pivot RakBank AED'!$A$3,"Mese",9,"Tipologia",$A146,"Viaggio",$A$144)),0,GETPIVOTDATA("Somma di DARE EUR",'Pivot RakBank AED'!$A$3,"Mese",9,"Tipologia",$A146,"Viaggio",$A$144))
-IF(ISERROR(GETPIVOTDATA("Somma di AVERE EUR",'Pivot RakBank AED'!$A$3,"Mese",9,"Tipologia",$A146,"Viaggio",$A$144)),0,GETPIVOTDATA("Somma di AVERE EUR",'Pivot RakBank AED'!$A$3,"Mese",9,"Tipologia",$A146,"Viaggio",$A$144))</f>
        <v>0</v>
      </c>
      <c r="L146" s="270">
        <f>IF(ISERROR(GETPIVOTDATA("Somma di DARE",'Pivot Fineco Sa'!$A$3,"Mese",10,"Tipologia",$A146,"Viaggio",$A$144)),0,GETPIVOTDATA("Somma di DARE",'Pivot Fineco Sa'!$A$3,"Mese",10,"Tipologia",$A146,"Viaggio",$A$144))
+IF(ISERROR(GETPIVOTDATA("Somma di DARE",'Pivot Fineco St'!$A$3,"Mese",10,"Tipologia",$A146,"Viaggio",$A$144)),0,GETPIVOTDATA("Somma di DARE",'Pivot Fineco St'!$A$3,"Mese",10,"Tipologia",$A146,"Viaggio",$A$144))
+IF(Contanti!$AO40='Conto Economico'!$A$144,Contanti!$AL40)
+IF(ISERROR(GETPIVOTDATA("Somma di DARE",'Pivot BBVA'!$A$3,"Mese",10,"Tipologia",$A146,"Viaggio",$A$144)),0,GETPIVOTDATA("Somma di DARE",'Pivot BBVA'!$A$3,"Mese",10,"Tipologia",$A146,"Viaggio",$A$144))
+IF(ISERROR(GETPIVOTDATA("Somma di DARE",'Pivot Amex'!$A$3,"Mese",10,"Tipologia",$A146,"Viaggio",$A$144)),0,GETPIVOTDATA("Somma di DARE",'Pivot Amex'!$A$3,"Mese",10,"Tipologia",$A146,"Viaggio",$A$144))
-IF(ISERROR(GETPIVOTDATA("Somma di AVERE",'Pivot Amex'!$A$3,"Mese",10,"Tipologia",$A146,"Viaggio",$A$144)),0,GETPIVOTDATA("Somma di AVERE",'Pivot Amex'!$A$3,"Mese",10,"Tipologia",$A146,"Viaggio",$A$144))
-IF(ISERROR(GETPIVOTDATA("Somma di AVERE",'Pivot BBVA'!$A$3,"Mese",10,"Tipologia",$A146,"Viaggio",$A$144)),0,GETPIVOTDATA("Somma di AVERE",'Pivot BBVA'!$A$3,"Mese",10,"Tipologia",$A146,"Viaggio",$A$144))
-IF(ISERROR(GETPIVOTDATA("Somma di AVERE",'Pivot Fineco St'!$A$3,"Mese",10,"Tipologia",$A146,"Viaggio",$A$144)),0,GETPIVOTDATA("Somma di AVERE",'Pivot Fineco St'!$A$3,"Mese",10,"Tipologia",$A146,"Viaggio",$A$144))
-IF(ISERROR(GETPIVOTDATA("Somma di AVERE",'Pivot Fineco Sa'!$A$3,"Mese",10,"Tipologia",$A146,"Viaggio",$A$144)),0,GETPIVOTDATA("Somma di AVERE",'Pivot Fineco Sa'!$A$3,"Mese",10,"Tipologia",$A146,"Viaggio",$A$144))
+IF(ISERROR(GETPIVOTDATA("Somma di DARE",'Pivot PP Visa'!$A$3,"Mese",10,"Tipologia",$A146,"Viaggio",$A$144)),0,GETPIVOTDATA("Somma di DARE",'Pivot PP Visa'!$A$3,"Mese",10,"Tipologia",$A146,"Viaggio",$A$144))
-IF(ISERROR(GETPIVOTDATA("Somma di AVERE",'Pivot PP Visa'!$A$3,"Mese",10,"Tipologia",$A146,"Viaggio",$A$144)),0,GETPIVOTDATA("Somma di AVERE",'Pivot PP Visa'!$A$3,"Mese",10,"Tipologia",$A146,"Viaggio",$A$144))
+IF(ISERROR(GETPIVOTDATA("Somma di DARE",'Pivot Revolut'!$A$3,"Mese",10,"Tipologia",$A146,"Viaggio",$A$144)),0,GETPIVOTDATA("Somma di DARE",'Pivot Revolut'!$A$3,"Mese",10,"Tipologia",$A146,"Viaggio",$A$144))
-IF(ISERROR(GETPIVOTDATA("Somma di AVERE",'Pivot Revolut'!$A$3,"Mese",10,"Tipologia",$A146,"Viaggio",$A$144)),0,GETPIVOTDATA("Somma di AVERE",'Pivot Revolut'!$A$3,"Mese",10,"Tipologia",$A146,"Viaggio",$A$144))
+IF(ISERROR(GETPIVOTDATA("Somma di DARE",'Pivot RakBank EUR'!$A$3,"Mese",10,"Tipologia",$A146,"Viaggio",$A$144)),0,GETPIVOTDATA("Somma di DARE",'Pivot RakBank EUR'!$A$3,"Mese",10,"Tipologia",$A146,"Viaggio",$A$144))
-IF(ISERROR(GETPIVOTDATA("Somma di AVERE",'Pivot RakBank EUR'!$A$3,"Mese",10,"Tipologia",$A146,"Viaggio",$A$144)),0,GETPIVOTDATA("Somma di AVERE",'Pivot RakBank EUR'!$A$3,"Mese",10,"Tipologia",$A146,"Viaggio",$A$144))
+IF(ISERROR(GETPIVOTDATA("Somma di DARE EUR",'Pivot RakBank AED'!$A$3,"Mese",10,"Tipologia",$A146,"Viaggio",$A$144)),0,GETPIVOTDATA("Somma di DARE EUR",'Pivot RakBank AED'!$A$3,"Mese",10,"Tipologia",$A146,"Viaggio",$A$144))
-IF(ISERROR(GETPIVOTDATA("Somma di AVERE EUR",'Pivot RakBank AED'!$A$3,"Mese",10,"Tipologia",$A146,"Viaggio",$A$144)),0,GETPIVOTDATA("Somma di AVERE EUR",'Pivot RakBank AED'!$A$3,"Mese",10,"Tipologia",$A146,"Viaggio",$A$144))</f>
        <v>0</v>
      </c>
      <c r="M146" s="270">
        <f>IF(ISERROR(GETPIVOTDATA("Somma di DARE",'Pivot Fineco Sa'!$A$3,"Mese",11,"Tipologia",$A146,"Viaggio",$A$144)),0,GETPIVOTDATA("Somma di DARE",'Pivot Fineco Sa'!$A$3,"Mese",11,"Tipologia",$A146,"Viaggio",$A$144))
+IF(ISERROR(GETPIVOTDATA("Somma di DARE",'Pivot Fineco St'!$A$3,"Mese",11,"Tipologia",$A146,"Viaggio",$A$144)),0,GETPIVOTDATA("Somma di DARE",'Pivot Fineco St'!$A$3,"Mese",11,"Tipologia",$A146,"Viaggio",$A$144))
+IF(Contanti!$AS40='Conto Economico'!$A$144,Contanti!$AP40)
+IF(ISERROR(GETPIVOTDATA("Somma di DARE",'Pivot BBVA'!$A$3,"Mese",11,"Tipologia",$A146,"Viaggio",$A$144)),0,GETPIVOTDATA("Somma di DARE",'Pivot BBVA'!$A$3,"Mese",11,"Tipologia",$A146,"Viaggio",$A$144))
+IF(ISERROR(GETPIVOTDATA("Somma di DARE",'Pivot Amex'!$A$3,"Mese",11,"Tipologia",$A146,"Viaggio",$A$144)),0,GETPIVOTDATA("Somma di DARE",'Pivot Amex'!$A$3,"Mese",11,"Tipologia",$A146,"Viaggio",$A$144))
-IF(ISERROR(GETPIVOTDATA("Somma di AVERE",'Pivot Amex'!$A$3,"Mese",11,"Tipologia",$A146,"Viaggio",$A$144)),0,GETPIVOTDATA("Somma di AVERE",'Pivot Amex'!$A$3,"Mese",11,"Tipologia",$A146,"Viaggio",$A$144))
-IF(ISERROR(GETPIVOTDATA("Somma di AVERE",'Pivot BBVA'!$A$3,"Mese",11,"Tipologia",$A146,"Viaggio",$A$144)),0,GETPIVOTDATA("Somma di AVERE",'Pivot BBVA'!$A$3,"Mese",11,"Tipologia",$A146,"Viaggio",$A$144))
-IF(ISERROR(GETPIVOTDATA("Somma di AVERE",'Pivot Fineco St'!$A$3,"Mese",11,"Tipologia",$A146,"Viaggio",$A$144)),0,GETPIVOTDATA("Somma di AVERE",'Pivot Fineco St'!$A$3,"Mese",11,"Tipologia",$A146,"Viaggio",$A$144))
-IF(ISERROR(GETPIVOTDATA("Somma di AVERE",'Pivot Fineco Sa'!$A$3,"Mese",11,"Tipologia",$A146,"Viaggio",$A$144)),0,GETPIVOTDATA("Somma di AVERE",'Pivot Fineco Sa'!$A$3,"Mese",11,"Tipologia",$A146,"Viaggio",$A$144))
+IF(ISERROR(GETPIVOTDATA("Somma di DARE",'Pivot PP Visa'!$A$3,"Mese",11,"Tipologia",$A146,"Viaggio",$A$144)),0,GETPIVOTDATA("Somma di DARE",'Pivot PP Visa'!$A$3,"Mese",11,"Tipologia",$A146,"Viaggio",$A$144))
-IF(ISERROR(GETPIVOTDATA("Somma di AVERE",'Pivot PP Visa'!$A$3,"Mese",11,"Tipologia",$A146,"Viaggio",$A$144)),0,GETPIVOTDATA("Somma di AVERE",'Pivot PP Visa'!$A$3,"Mese",11,"Tipologia",$A146,"Viaggio",$A$144))
+IF(ISERROR(GETPIVOTDATA("Somma di DARE",'Pivot Revolut'!$A$3,"Mese",11,"Tipologia",$A146,"Viaggio",$A$144)),0,GETPIVOTDATA("Somma di DARE",'Pivot Revolut'!$A$3,"Mese",11,"Tipologia",$A146,"Viaggio",$A$144))
-IF(ISERROR(GETPIVOTDATA("Somma di AVERE",'Pivot Revolut'!$A$3,"Mese",11,"Tipologia",$A146,"Viaggio",$A$144)),0,GETPIVOTDATA("Somma di AVERE",'Pivot Revolut'!$A$3,"Mese",11,"Tipologia",$A146,"Viaggio",$A$144))
+IF(ISERROR(GETPIVOTDATA("Somma di DARE",'Pivot RakBank EUR'!$A$3,"Mese",11,"Tipologia",$A146,"Viaggio",$A$144)),0,GETPIVOTDATA("Somma di DARE",'Pivot RakBank EUR'!$A$3,"Mese",11,"Tipologia",$A146,"Viaggio",$A$144))
-IF(ISERROR(GETPIVOTDATA("Somma di AVERE",'Pivot RakBank EUR'!$A$3,"Mese",11,"Tipologia",$A146,"Viaggio",$A$144)),0,GETPIVOTDATA("Somma di AVERE",'Pivot RakBank EUR'!$A$3,"Mese",11,"Tipologia",$A146,"Viaggio",$A$144))
+IF(ISERROR(GETPIVOTDATA("Somma di DARE EUR",'Pivot RakBank AED'!$A$3,"Mese",11,"Tipologia",$A146,"Viaggio",$A$144)),0,GETPIVOTDATA("Somma di DARE EUR",'Pivot RakBank AED'!$A$3,"Mese",11,"Tipologia",$A146,"Viaggio",$A$144))
-IF(ISERROR(GETPIVOTDATA("Somma di AVERE EUR",'Pivot RakBank AED'!$A$3,"Mese",11,"Tipologia",$A146,"Viaggio",$A$144)),0,GETPIVOTDATA("Somma di AVERE EUR",'Pivot RakBank AED'!$A$3,"Mese",11,"Tipologia",$A146,"Viaggio",$A$144))</f>
        <v>0</v>
      </c>
      <c r="N146" s="270">
        <f>IF(ISERROR(GETPIVOTDATA("Somma di DARE",'Pivot Fineco Sa'!$A$3,"Mese",12,"Tipologia",$A146,"Viaggio",$A$144)),0,GETPIVOTDATA("Somma di DARE",'Pivot Fineco Sa'!$A$3,"Mese",12,"Tipologia",$A146,"Viaggio",$A$144))
+IF(ISERROR(GETPIVOTDATA("Somma di DARE",'Pivot Fineco St'!$A$3,"Mese",12,"Tipologia",$A146,"Viaggio",$A$144)),0,GETPIVOTDATA("Somma di DARE",'Pivot Fineco St'!$A$3,"Mese",12,"Tipologia",$A146,"Viaggio",$A$144))
+IF(Contanti!$AW40='Conto Economico'!$A$144,Contanti!$AT40)
+IF(ISERROR(GETPIVOTDATA("Somma di DARE",'Pivot BBVA'!$A$3,"Mese",12,"Tipologia",$A146,"Viaggio",$A$144)),0,GETPIVOTDATA("Somma di DARE",'Pivot BBVA'!$A$3,"Mese",12,"Tipologia",$A146,"Viaggio",$A$144))
+IF(ISERROR(GETPIVOTDATA("Somma di DARE",'Pivot Amex'!$A$3,"Mese",12,"Tipologia",$A146,"Viaggio",$A$144)),0,GETPIVOTDATA("Somma di DARE",'Pivot Amex'!$A$3,"Mese",12,"Tipologia",$A146,"Viaggio",$A$144))
-IF(ISERROR(GETPIVOTDATA("Somma di AVERE",'Pivot Amex'!$A$3,"Mese",12,"Tipologia",$A146,"Viaggio",$A$144)),0,GETPIVOTDATA("Somma di AVERE",'Pivot Amex'!$A$3,"Mese",12,"Tipologia",$A146,"Viaggio",$A$144))
-IF(ISERROR(GETPIVOTDATA("Somma di AVERE",'Pivot BBVA'!$A$3,"Mese",12,"Tipologia",$A146,"Viaggio",$A$144)),0,GETPIVOTDATA("Somma di AVERE",'Pivot BBVA'!$A$3,"Mese",12,"Tipologia",$A146,"Viaggio",$A$144))
-IF(ISERROR(GETPIVOTDATA("Somma di AVERE",'Pivot Fineco St'!$A$3,"Mese",12,"Tipologia",$A146,"Viaggio",$A$144)),0,GETPIVOTDATA("Somma di AVERE",'Pivot Fineco St'!$A$3,"Mese",12,"Tipologia",$A146,"Viaggio",$A$144))
-IF(ISERROR(GETPIVOTDATA("Somma di AVERE",'Pivot Fineco Sa'!$A$3,"Mese",12,"Tipologia",$A146,"Viaggio",$A$144)),0,GETPIVOTDATA("Somma di AVERE",'Pivot Fineco Sa'!$A$3,"Mese",12,"Tipologia",$A146,"Viaggio",$A$144))
+IF(ISERROR(GETPIVOTDATA("Somma di DARE",'Pivot PP Visa'!$A$3,"Mese",12,"Tipologia",$A146,"Viaggio",$A$144)),0,GETPIVOTDATA("Somma di DARE",'Pivot PP Visa'!$A$3,"Mese",12,"Tipologia",$A146,"Viaggio",$A$144))
-IF(ISERROR(GETPIVOTDATA("Somma di AVERE",'Pivot PP Visa'!$A$3,"Mese",12,"Tipologia",$A146,"Viaggio",$A$144)),0,GETPIVOTDATA("Somma di AVERE",'Pivot PP Visa'!$A$3,"Mese",12,"Tipologia",$A146,"Viaggio",$A$144))
+IF(ISERROR(GETPIVOTDATA("Somma di DARE",'Pivot Revolut'!$A$3,"Mese",12,"Tipologia",$A146,"Viaggio",$A$144)),0,GETPIVOTDATA("Somma di DARE",'Pivot Revolut'!$A$3,"Mese",12,"Tipologia",$A146,"Viaggio",$A$144))
-IF(ISERROR(GETPIVOTDATA("Somma di AVERE",'Pivot Revolut'!$A$3,"Mese",12,"Tipologia",$A146,"Viaggio",$A$144)),0,GETPIVOTDATA("Somma di AVERE",'Pivot Revolut'!$A$3,"Mese",12,"Tipologia",$A146,"Viaggio",$A$144))
+IF(ISERROR(GETPIVOTDATA("Somma di DARE",'Pivot RakBank EUR'!$A$3,"Mese",12,"Tipologia",$A146,"Viaggio",$A$144)),0,GETPIVOTDATA("Somma di DARE",'Pivot RakBank EUR'!$A$3,"Mese",12,"Tipologia",$A146,"Viaggio",$A$144))
-IF(ISERROR(GETPIVOTDATA("Somma di AVERE",'Pivot RakBank EUR'!$A$3,"Mese",12,"Tipologia",$A146,"Viaggio",$A$144)),0,GETPIVOTDATA("Somma di AVERE",'Pivot RakBank EUR'!$A$3,"Mese",12,"Tipologia",$A146,"Viaggio",$A$144))
+IF(ISERROR(GETPIVOTDATA("Somma di DARE EUR",'Pivot RakBank AED'!$A$3,"Mese",12,"Tipologia",$A146,"Viaggio",$A$144)),0,GETPIVOTDATA("Somma di DARE EUR",'Pivot RakBank AED'!$A$3,"Mese",12,"Tipologia",$A146,"Viaggio",$A$144))
-IF(ISERROR(GETPIVOTDATA("Somma di AVERE EUR",'Pivot RakBank AED'!$A$3,"Mese",12,"Tipologia",$A146,"Viaggio",$A$144)),0,GETPIVOTDATA("Somma di AVERE EUR",'Pivot RakBank AED'!$A$3,"Mese",12,"Tipologia",$A146,"Viaggio",$A$144))</f>
        <v>0</v>
      </c>
      <c r="O146" s="271">
        <f t="shared" si="19"/>
        <v>0</v>
      </c>
      <c r="P146" s="270"/>
    </row>
    <row r="147" spans="1:16" s="131" customFormat="1" ht="14" outlineLevel="1" x14ac:dyDescent="0.2">
      <c r="A147" s="269" t="s">
        <v>112</v>
      </c>
      <c r="B147" s="269"/>
      <c r="C147" s="270">
        <f>IF(ISERROR(GETPIVOTDATA("Somma di DARE",'Pivot Fineco Sa'!$A$3,"Mese",1,"Tipologia",$A147,"Viaggio",$A$144)),0,GETPIVOTDATA("Somma di DARE",'Pivot Fineco Sa'!$A$3,"Mese",1,"Tipologia",$A147,"Viaggio",$A$144))
+IF(ISERROR(GETPIVOTDATA("Somma di DARE",'Pivot Fineco St'!$A$3,"Mese",1,"Tipologia",$A147,"Viaggio",$A$144)),0,GETPIVOTDATA("Somma di DARE",'Pivot Fineco St'!$A$3,"Mese",1,"Tipologia",$A147,"Viaggio",$A$144))
+IF(Contanti!$E41='Conto Economico'!$A$144,Contanti!$B41)
+IF(ISERROR(GETPIVOTDATA("Somma di DARE",'Pivot BBVA'!$A$3,"Mese",1,"Tipologia",$A147,"Viaggio",$A$144)),0,GETPIVOTDATA("Somma di DARE",'Pivot BBVA'!$A$3,"Mese",1,"Tipologia",$A147,"Viaggio",$A$144))
+IF(ISERROR(GETPIVOTDATA("Somma di DARE",'Pivot Amex'!$A$3,"Mese",1,"Tipologia",$A147,"Viaggio",$A$144)),0,GETPIVOTDATA("Somma di DARE",'Pivot Amex'!$A$3,"Mese",1,"Tipologia",$A147,"Viaggio",$A$144))
-IF(ISERROR(GETPIVOTDATA("Somma di AVERE",'Pivot Amex'!$A$3,"Mese",1,"Tipologia",$A147,"Viaggio",$A$144)),0,GETPIVOTDATA("Somma di AVERE",'Pivot Amex'!$A$3,"Mese",1,"Tipologia",$A147,"Viaggio",$A$144))
-IF(ISERROR(GETPIVOTDATA("Somma di AVERE",'Pivot BBVA'!$A$3,"Mese",1,"Tipologia",$A147,"Viaggio",$A$144)),0,GETPIVOTDATA("Somma di AVERE",'Pivot BBVA'!$A$3,"Mese",1,"Tipologia",$A147,"Viaggio",$A$144))
-IF(ISERROR(GETPIVOTDATA("Somma di AVERE",'Pivot Fineco St'!$A$3,"Mese",1,"Tipologia",$A147,"Viaggio",$A$144)),0,GETPIVOTDATA("Somma di AVERE",'Pivot Fineco St'!$A$3,"Mese",1,"Tipologia",$A147,"Viaggio",$A$144))
-IF(ISERROR(GETPIVOTDATA("Somma di AVERE",'Pivot Fineco Sa'!$A$3,"Mese",1,"Tipologia",$A147,"Viaggio",$A$144)),0,GETPIVOTDATA("Somma di AVERE",'Pivot Fineco Sa'!$A$3,"Mese",1,"Tipologia",$A147,"Viaggio",$A$144))
+IF(ISERROR(GETPIVOTDATA("Somma di DARE",'Pivot PP Visa'!$A$3,"Mese",1,"Tipologia",$A147,"Viaggio",$A$144)),0,GETPIVOTDATA("Somma di DARE",'Pivot PP Visa'!$A$3,"Mese",1,"Tipologia",$A147,"Viaggio",$A$144))
-IF(ISERROR(GETPIVOTDATA("Somma di AVERE",'Pivot PP Visa'!$A$3,"Mese",1,"Tipologia",$A147,"Viaggio",$A$144)),0,GETPIVOTDATA("Somma di AVERE",'Pivot PP Visa'!$A$3,"Mese",1,"Tipologia",$A147,"Viaggio",$A$144))
+IF(ISERROR(GETPIVOTDATA("Somma di DARE",'Pivot Revolut'!$A$3,"Mese",1,"Tipologia",$A147,"Viaggio",$A$144)),0,GETPIVOTDATA("Somma di DARE",'Pivot Revolut'!$A$3,"Mese",1,"Tipologia",$A147,"Viaggio",$A$144))
-IF(ISERROR(GETPIVOTDATA("Somma di AVERE",'Pivot Revolut'!$A$3,"Mese",1,"Tipologia",$A147,"Viaggio",$A$144)),0,GETPIVOTDATA("Somma di AVERE",'Pivot Revolut'!$A$3,"Mese",1,"Tipologia",$A147,"Viaggio",$A$144))
+IF(ISERROR(GETPIVOTDATA("Somma di DARE",'Pivot RakBank EUR'!$A$3,"Mese",1,"Tipologia",$A147,"Viaggio",$A$144)),0,GETPIVOTDATA("Somma di DARE",'Pivot RakBank EUR'!$A$3,"Mese",1,"Tipologia",$A147,"Viaggio",$A$144))
-IF(ISERROR(GETPIVOTDATA("Somma di AVERE",'Pivot RakBank EUR'!$A$3,"Mese",1,"Tipologia",$A147,"Viaggio",$A$144)),0,GETPIVOTDATA("Somma di AVERE",'Pivot RakBank EUR'!$A$3,"Mese",1,"Tipologia",$A147,"Viaggio",$A$144))
+IF(ISERROR(GETPIVOTDATA("Somma di DARE EUR",'Pivot RakBank AED'!$A$3,"Mese",1,"Tipologia",$A147,"Viaggio",$A$144)),0,GETPIVOTDATA("Somma di DARE EUR",'Pivot RakBank AED'!$A$3,"Mese",1,"Tipologia",$A147,"Viaggio",$A$144))
-IF(ISERROR(GETPIVOTDATA("Somma di AVERE EUR",'Pivot RakBank AED'!$A$3,"Mese",1,"Tipologia",$A147,"Viaggio",$A$144)),0,GETPIVOTDATA("Somma di AVERE EUR",'Pivot RakBank AED'!$A$3,"Mese",1,"Tipologia",$A147,"Viaggio",$A$144))</f>
        <v>0</v>
      </c>
      <c r="D147" s="270">
        <f>IF(ISERROR(GETPIVOTDATA("Somma di DARE",'Pivot Fineco Sa'!$A$3,"Mese",2,"Tipologia",$A147,"Viaggio",$A$144)),0,GETPIVOTDATA("Somma di DARE",'Pivot Fineco Sa'!$A$3,"Mese",2,"Tipologia",$A147,"Viaggio",$A$144))
+IF(ISERROR(GETPIVOTDATA("Somma di DARE",'Pivot Fineco St'!$A$3,"Mese",2,"Tipologia",$A147,"Viaggio",$A$144)),0,GETPIVOTDATA("Somma di DARE",'Pivot Fineco St'!$A$3,"Mese",2,"Tipologia",$A147,"Viaggio",$A$144))
+IF(Contanti!$I41='Conto Economico'!$A$144,Contanti!$F41)
+IF(ISERROR(GETPIVOTDATA("Somma di DARE",'Pivot BBVA'!$A$3,"Mese",2,"Tipologia",$A147,"Viaggio",$A$144)),0,GETPIVOTDATA("Somma di DARE",'Pivot BBVA'!$A$3,"Mese",2,"Tipologia",$A147,"Viaggio",$A$144))
+IF(ISERROR(GETPIVOTDATA("Somma di DARE",'Pivot Amex'!$A$3,"Mese",2,"Tipologia",$A147,"Viaggio",$A$144)),0,GETPIVOTDATA("Somma di DARE",'Pivot Amex'!$A$3,"Mese",2,"Tipologia",$A147,"Viaggio",$A$144))
-IF(ISERROR(GETPIVOTDATA("Somma di AVERE",'Pivot Amex'!$A$3,"Mese",2,"Tipologia",$A147,"Viaggio",$A$144)),0,GETPIVOTDATA("Somma di AVERE",'Pivot Amex'!$A$3,"Mese",2,"Tipologia",$A147,"Viaggio",$A$144))
-IF(ISERROR(GETPIVOTDATA("Somma di AVERE",'Pivot BBVA'!$A$3,"Mese",2,"Tipologia",$A147,"Viaggio",$A$144)),0,GETPIVOTDATA("Somma di AVERE",'Pivot BBVA'!$A$3,"Mese",2,"Tipologia",$A147,"Viaggio",$A$144))
-IF(ISERROR(GETPIVOTDATA("Somma di AVERE",'Pivot Fineco St'!$A$3,"Mese",2,"Tipologia",$A147,"Viaggio",$A$144)),0,GETPIVOTDATA("Somma di AVERE",'Pivot Fineco St'!$A$3,"Mese",2,"Tipologia",$A147,"Viaggio",$A$144))
-IF(ISERROR(GETPIVOTDATA("Somma di AVERE",'Pivot Fineco Sa'!$A$3,"Mese",2,"Tipologia",$A147,"Viaggio",$A$144)),0,GETPIVOTDATA("Somma di AVERE",'Pivot Fineco Sa'!$A$3,"Mese",2,"Tipologia",$A147,"Viaggio",$A$144))
+IF(ISERROR(GETPIVOTDATA("Somma di DARE",'Pivot PP Visa'!$A$3,"Mese",2,"Tipologia",$A147,"Viaggio",$A$144)),0,GETPIVOTDATA("Somma di DARE",'Pivot PP Visa'!$A$3,"Mese",2,"Tipologia",$A147,"Viaggio",$A$144))
-IF(ISERROR(GETPIVOTDATA("Somma di AVERE",'Pivot PP Visa'!$A$3,"Mese",2,"Tipologia",$A147,"Viaggio",$A$144)),0,GETPIVOTDATA("Somma di AVERE",'Pivot PP Visa'!$A$3,"Mese",2,"Tipologia",$A147,"Viaggio",$A$144))
+IF(ISERROR(GETPIVOTDATA("Somma di DARE",'Pivot Revolut'!$A$3,"Mese",2,"Tipologia",$A147,"Viaggio",$A$144)),0,GETPIVOTDATA("Somma di DARE",'Pivot Revolut'!$A$3,"Mese",2,"Tipologia",$A147,"Viaggio",$A$144))
-IF(ISERROR(GETPIVOTDATA("Somma di AVERE",'Pivot Revolut'!$A$3,"Mese",2,"Tipologia",$A147,"Viaggio",$A$144)),0,GETPIVOTDATA("Somma di AVERE",'Pivot Revolut'!$A$3,"Mese",2,"Tipologia",$A147,"Viaggio",$A$144))
+IF(ISERROR(GETPIVOTDATA("Somma di DARE",'Pivot RakBank EUR'!$A$3,"Mese",2,"Tipologia",$A147,"Viaggio",$A$144)),0,GETPIVOTDATA("Somma di DARE",'Pivot RakBank EUR'!$A$3,"Mese",2,"Tipologia",$A147,"Viaggio",$A$144))
-IF(ISERROR(GETPIVOTDATA("Somma di AVERE",'Pivot RakBank EUR'!$A$3,"Mese",2,"Tipologia",$A147,"Viaggio",$A$144)),0,GETPIVOTDATA("Somma di AVERE",'Pivot RakBank EUR'!$A$3,"Mese",2,"Tipologia",$A147,"Viaggio",$A$144))
+IF(ISERROR(GETPIVOTDATA("Somma di DARE EUR",'Pivot RakBank AED'!$A$3,"Mese",2,"Tipologia",$A147,"Viaggio",$A$144)),0,GETPIVOTDATA("Somma di DARE EUR",'Pivot RakBank AED'!$A$3,"Mese",2,"Tipologia",$A147,"Viaggio",$A$144))
-IF(ISERROR(GETPIVOTDATA("Somma di AVERE EUR",'Pivot RakBank AED'!$A$3,"Mese",2,"Tipologia",$A147,"Viaggio",$A$144)),0,GETPIVOTDATA("Somma di AVERE EUR",'Pivot RakBank AED'!$A$3,"Mese",2,"Tipologia",$A147,"Viaggio",$A$144))</f>
        <v>0</v>
      </c>
      <c r="E147" s="270">
        <f>IF(ISERROR(GETPIVOTDATA("Somma di DARE",'Pivot Fineco Sa'!$A$3,"Mese",3,"Tipologia",$A147,"Viaggio",$A$144)),0,GETPIVOTDATA("Somma di DARE",'Pivot Fineco Sa'!$A$3,"Mese",3,"Tipologia",$A147,"Viaggio",$A$144))
+IF(ISERROR(GETPIVOTDATA("Somma di DARE",'Pivot Fineco St'!$A$3,"Mese",3,"Tipologia",$A147,"Viaggio",$A$144)),0,GETPIVOTDATA("Somma di DARE",'Pivot Fineco St'!$A$3,"Mese",3,"Tipologia",$A147,"Viaggio",$A$144))
+IF(Contanti!$M41='Conto Economico'!$A$144,Contanti!$J41)
+IF(ISERROR(GETPIVOTDATA("Somma di DARE",'Pivot BBVA'!$A$3,"Mese",3,"Tipologia",$A147,"Viaggio",$A$144)),0,GETPIVOTDATA("Somma di DARE",'Pivot BBVA'!$A$3,"Mese",3,"Tipologia",$A147,"Viaggio",$A$144))
+IF(ISERROR(GETPIVOTDATA("Somma di DARE",'Pivot Amex'!$A$3,"Mese",3,"Tipologia",$A147,"Viaggio",$A$144)),0,GETPIVOTDATA("Somma di DARE",'Pivot Amex'!$A$3,"Mese",3,"Tipologia",$A147,"Viaggio",$A$144))
-IF(ISERROR(GETPIVOTDATA("Somma di AVERE",'Pivot Amex'!$A$3,"Mese",3,"Tipologia",$A147,"Viaggio",$A$144)),0,GETPIVOTDATA("Somma di AVERE",'Pivot Amex'!$A$3,"Mese",3,"Tipologia",$A147,"Viaggio",$A$144))
-IF(ISERROR(GETPIVOTDATA("Somma di AVERE",'Pivot BBVA'!$A$3,"Mese",3,"Tipologia",$A147,"Viaggio",$A$144)),0,GETPIVOTDATA("Somma di AVERE",'Pivot BBVA'!$A$3,"Mese",3,"Tipologia",$A147,"Viaggio",$A$144))
-IF(ISERROR(GETPIVOTDATA("Somma di AVERE",'Pivot Fineco St'!$A$3,"Mese",3,"Tipologia",$A147,"Viaggio",$A$144)),0,GETPIVOTDATA("Somma di AVERE",'Pivot Fineco St'!$A$3,"Mese",3,"Tipologia",$A147,"Viaggio",$A$144))
-IF(ISERROR(GETPIVOTDATA("Somma di AVERE",'Pivot Fineco Sa'!$A$3,"Mese",3,"Tipologia",$A147,"Viaggio",$A$144)),0,GETPIVOTDATA("Somma di AVERE",'Pivot Fineco Sa'!$A$3,"Mese",3,"Tipologia",$A147,"Viaggio",$A$144))
+IF(ISERROR(GETPIVOTDATA("Somma di DARE",'Pivot PP Visa'!$A$3,"Mese",3,"Tipologia",$A147,"Viaggio",$A$144)),0,GETPIVOTDATA("Somma di DARE",'Pivot PP Visa'!$A$3,"Mese",3,"Tipologia",$A147,"Viaggio",$A$144))
-IF(ISERROR(GETPIVOTDATA("Somma di AVERE",'Pivot PP Visa'!$A$3,"Mese",3,"Tipologia",$A147,"Viaggio",$A$144)),0,GETPIVOTDATA("Somma di AVERE",'Pivot PP Visa'!$A$3,"Mese",3,"Tipologia",$A147,"Viaggio",$A$144))
+IF(ISERROR(GETPIVOTDATA("Somma di DARE",'Pivot Revolut'!$A$3,"Mese",3,"Tipologia",$A147,"Viaggio",$A$144)),0,GETPIVOTDATA("Somma di DARE",'Pivot Revolut'!$A$3,"Mese",3,"Tipologia",$A147,"Viaggio",$A$144))
-IF(ISERROR(GETPIVOTDATA("Somma di AVERE",'Pivot Revolut'!$A$3,"Mese",3,"Tipologia",$A147,"Viaggio",$A$144)),0,GETPIVOTDATA("Somma di AVERE",'Pivot Revolut'!$A$3,"Mese",3,"Tipologia",$A147,"Viaggio",$A$144))
+IF(ISERROR(GETPIVOTDATA("Somma di DARE",'Pivot RakBank EUR'!$A$3,"Mese",3,"Tipologia",$A147,"Viaggio",$A$144)),0,GETPIVOTDATA("Somma di DARE",'Pivot RakBank EUR'!$A$3,"Mese",3,"Tipologia",$A147,"Viaggio",$A$144))
-IF(ISERROR(GETPIVOTDATA("Somma di AVERE",'Pivot RakBank EUR'!$A$3,"Mese",3,"Tipologia",$A147,"Viaggio",$A$144)),0,GETPIVOTDATA("Somma di AVERE",'Pivot RakBank EUR'!$A$3,"Mese",3,"Tipologia",$A147,"Viaggio",$A$144))
+IF(ISERROR(GETPIVOTDATA("Somma di DARE EUR",'Pivot RakBank AED'!$A$3,"Mese",3,"Tipologia",$A147,"Viaggio",$A$144)),0,GETPIVOTDATA("Somma di DARE EUR",'Pivot RakBank AED'!$A$3,"Mese",3,"Tipologia",$A147,"Viaggio",$A$144))
-IF(ISERROR(GETPIVOTDATA("Somma di AVERE EUR",'Pivot RakBank AED'!$A$3,"Mese",3,"Tipologia",$A147,"Viaggio",$A$144)),0,GETPIVOTDATA("Somma di AVERE EUR",'Pivot RakBank AED'!$A$3,"Mese",3,"Tipologia",$A147,"Viaggio",$A$144))</f>
        <v>0</v>
      </c>
      <c r="F147" s="270">
        <f>IF(ISERROR(GETPIVOTDATA("Somma di DARE",'Pivot Fineco Sa'!$A$3,"Mese",4,"Tipologia",$A147,"Viaggio",$A$144)),0,GETPIVOTDATA("Somma di DARE",'Pivot Fineco Sa'!$A$3,"Mese",4,"Tipologia",$A147,"Viaggio",$A$144))
+IF(ISERROR(GETPIVOTDATA("Somma di DARE",'Pivot Fineco St'!$A$3,"Mese",4,"Tipologia",$A147,"Viaggio",$A$144)),0,GETPIVOTDATA("Somma di DARE",'Pivot Fineco St'!$A$3,"Mese",4,"Tipologia",$A147,"Viaggio",$A$144))
+IF(Contanti!$Q41='Conto Economico'!$A$144,Contanti!$N41)
+IF(ISERROR(GETPIVOTDATA("Somma di DARE",'Pivot BBVA'!$A$3,"Mese",4,"Tipologia",$A147,"Viaggio",$A$144)),0,GETPIVOTDATA("Somma di DARE",'Pivot BBVA'!$A$3,"Mese",4,"Tipologia",$A147,"Viaggio",$A$144))
+IF(ISERROR(GETPIVOTDATA("Somma di DARE",'Pivot Amex'!$A$3,"Mese",4,"Tipologia",$A147,"Viaggio",$A$144)),0,GETPIVOTDATA("Somma di DARE",'Pivot Amex'!$A$3,"Mese",4,"Tipologia",$A147,"Viaggio",$A$144))
-IF(ISERROR(GETPIVOTDATA("Somma di AVERE",'Pivot Amex'!$A$3,"Mese",4,"Tipologia",$A147,"Viaggio",$A$144)),0,GETPIVOTDATA("Somma di AVERE",'Pivot Amex'!$A$3,"Mese",4,"Tipologia",$A147,"Viaggio",$A$144))
-IF(ISERROR(GETPIVOTDATA("Somma di AVERE",'Pivot BBVA'!$A$3,"Mese",4,"Tipologia",$A147,"Viaggio",$A$144)),0,GETPIVOTDATA("Somma di AVERE",'Pivot BBVA'!$A$3,"Mese",4,"Tipologia",$A147,"Viaggio",$A$144))
-IF(ISERROR(GETPIVOTDATA("Somma di AVERE",'Pivot Fineco St'!$A$3,"Mese",4,"Tipologia",$A147,"Viaggio",$A$144)),0,GETPIVOTDATA("Somma di AVERE",'Pivot Fineco St'!$A$3,"Mese",4,"Tipologia",$A147,"Viaggio",$A$144))
-IF(ISERROR(GETPIVOTDATA("Somma di AVERE",'Pivot Fineco Sa'!$A$3,"Mese",4,"Tipologia",$A147,"Viaggio",$A$144)),0,GETPIVOTDATA("Somma di AVERE",'Pivot Fineco Sa'!$A$3,"Mese",4,"Tipologia",$A147,"Viaggio",$A$144))
+IF(ISERROR(GETPIVOTDATA("Somma di DARE",'Pivot PP Visa'!$A$3,"Mese",4,"Tipologia",$A147,"Viaggio",$A$144)),0,GETPIVOTDATA("Somma di DARE",'Pivot PP Visa'!$A$3,"Mese",4,"Tipologia",$A147,"Viaggio",$A$144))
-IF(ISERROR(GETPIVOTDATA("Somma di AVERE",'Pivot PP Visa'!$A$3,"Mese",4,"Tipologia",$A147,"Viaggio",$A$144)),0,GETPIVOTDATA("Somma di AVERE",'Pivot PP Visa'!$A$3,"Mese",4,"Tipologia",$A147,"Viaggio",$A$144))
+IF(ISERROR(GETPIVOTDATA("Somma di DARE",'Pivot Revolut'!$A$3,"Mese",4,"Tipologia",$A147,"Viaggio",$A$144)),0,GETPIVOTDATA("Somma di DARE",'Pivot Revolut'!$A$3,"Mese",4,"Tipologia",$A147,"Viaggio",$A$144))
-IF(ISERROR(GETPIVOTDATA("Somma di AVERE",'Pivot Revolut'!$A$3,"Mese",4,"Tipologia",$A147,"Viaggio",$A$144)),0,GETPIVOTDATA("Somma di AVERE",'Pivot Revolut'!$A$3,"Mese",4,"Tipologia",$A147,"Viaggio",$A$144))
+IF(ISERROR(GETPIVOTDATA("Somma di DARE",'Pivot RakBank EUR'!$A$3,"Mese",4,"Tipologia",$A147,"Viaggio",$A$144)),0,GETPIVOTDATA("Somma di DARE",'Pivot RakBank EUR'!$A$3,"Mese",4,"Tipologia",$A147,"Viaggio",$A$144))
-IF(ISERROR(GETPIVOTDATA("Somma di AVERE",'Pivot RakBank EUR'!$A$3,"Mese",4,"Tipologia",$A147,"Viaggio",$A$144)),0,GETPIVOTDATA("Somma di AVERE",'Pivot RakBank EUR'!$A$3,"Mese",4,"Tipologia",$A147,"Viaggio",$A$144))
+IF(ISERROR(GETPIVOTDATA("Somma di DARE EUR",'Pivot RakBank AED'!$A$3,"Mese",4,"Tipologia",$A147,"Viaggio",$A$144)),0,GETPIVOTDATA("Somma di DARE EUR",'Pivot RakBank AED'!$A$3,"Mese",4,"Tipologia",$A147,"Viaggio",$A$144))
-IF(ISERROR(GETPIVOTDATA("Somma di AVERE EUR",'Pivot RakBank AED'!$A$3,"Mese",4,"Tipologia",$A147,"Viaggio",$A$144)),0,GETPIVOTDATA("Somma di AVERE EUR",'Pivot RakBank AED'!$A$3,"Mese",4,"Tipologia",$A147,"Viaggio",$A$144))</f>
        <v>0</v>
      </c>
      <c r="G147" s="270">
        <f>IF(ISERROR(GETPIVOTDATA("Somma di DARE",'Pivot Fineco Sa'!$A$3,"Mese",5,"Tipologia",$A147,"Viaggio",$A$144)),0,GETPIVOTDATA("Somma di DARE",'Pivot Fineco Sa'!$A$3,"Mese",5,"Tipologia",$A147,"Viaggio",$A$144))
+IF(ISERROR(GETPIVOTDATA("Somma di DARE",'Pivot Fineco St'!$A$3,"Mese",5,"Tipologia",$A147,"Viaggio",$A$144)),0,GETPIVOTDATA("Somma di DARE",'Pivot Fineco St'!$A$3,"Mese",5,"Tipologia",$A147,"Viaggio",$A$144))
+IF(Contanti!$U41='Conto Economico'!$A$144,Contanti!$R41)
+IF(ISERROR(GETPIVOTDATA("Somma di DARE",'Pivot BBVA'!$A$3,"Mese",5,"Tipologia",$A147,"Viaggio",$A$144)),0,GETPIVOTDATA("Somma di DARE",'Pivot BBVA'!$A$3,"Mese",5,"Tipologia",$A147,"Viaggio",$A$144))
+IF(ISERROR(GETPIVOTDATA("Somma di DARE",'Pivot Amex'!$A$3,"Mese",5,"Tipologia",$A147,"Viaggio",$A$144)),0,GETPIVOTDATA("Somma di DARE",'Pivot Amex'!$A$3,"Mese",5,"Tipologia",$A147,"Viaggio",$A$144))
-IF(ISERROR(GETPIVOTDATA("Somma di AVERE",'Pivot Amex'!$A$3,"Mese",5,"Tipologia",$A147,"Viaggio",$A$144)),0,GETPIVOTDATA("Somma di AVERE",'Pivot Amex'!$A$3,"Mese",5,"Tipologia",$A147,"Viaggio",$A$144))
-IF(ISERROR(GETPIVOTDATA("Somma di AVERE",'Pivot BBVA'!$A$3,"Mese",5,"Tipologia",$A147,"Viaggio",$A$144)),0,GETPIVOTDATA("Somma di AVERE",'Pivot BBVA'!$A$3,"Mese",5,"Tipologia",$A147,"Viaggio",$A$144))
-IF(ISERROR(GETPIVOTDATA("Somma di AVERE",'Pivot Fineco St'!$A$3,"Mese",5,"Tipologia",$A147,"Viaggio",$A$144)),0,GETPIVOTDATA("Somma di AVERE",'Pivot Fineco St'!$A$3,"Mese",5,"Tipologia",$A147,"Viaggio",$A$144))
-IF(ISERROR(GETPIVOTDATA("Somma di AVERE",'Pivot Fineco Sa'!$A$3,"Mese",5,"Tipologia",$A147,"Viaggio",$A$144)),0,GETPIVOTDATA("Somma di AVERE",'Pivot Fineco Sa'!$A$3,"Mese",5,"Tipologia",$A147,"Viaggio",$A$144))
+IF(ISERROR(GETPIVOTDATA("Somma di DARE",'Pivot PP Visa'!$A$3,"Mese",5,"Tipologia",$A147,"Viaggio",$A$144)),0,GETPIVOTDATA("Somma di DARE",'Pivot PP Visa'!$A$3,"Mese",5,"Tipologia",$A147,"Viaggio",$A$144))
-IF(ISERROR(GETPIVOTDATA("Somma di AVERE",'Pivot PP Visa'!$A$3,"Mese",5,"Tipologia",$A147,"Viaggio",$A$144)),0,GETPIVOTDATA("Somma di AVERE",'Pivot PP Visa'!$A$3,"Mese",5,"Tipologia",$A147,"Viaggio",$A$144))
+IF(ISERROR(GETPIVOTDATA("Somma di DARE",'Pivot Revolut'!$A$3,"Mese",5,"Tipologia",$A147,"Viaggio",$A$144)),0,GETPIVOTDATA("Somma di DARE",'Pivot Revolut'!$A$3,"Mese",5,"Tipologia",$A147,"Viaggio",$A$144))
-IF(ISERROR(GETPIVOTDATA("Somma di AVERE",'Pivot Revolut'!$A$3,"Mese",5,"Tipologia",$A147,"Viaggio",$A$144)),0,GETPIVOTDATA("Somma di AVERE",'Pivot Revolut'!$A$3,"Mese",5,"Tipologia",$A147,"Viaggio",$A$144))
+IF(ISERROR(GETPIVOTDATA("Somma di DARE",'Pivot RakBank EUR'!$A$3,"Mese",5,"Tipologia",$A147,"Viaggio",$A$144)),0,GETPIVOTDATA("Somma di DARE",'Pivot RakBank EUR'!$A$3,"Mese",5,"Tipologia",$A147,"Viaggio",$A$144))
-IF(ISERROR(GETPIVOTDATA("Somma di AVERE",'Pivot RakBank EUR'!$A$3,"Mese",5,"Tipologia",$A147,"Viaggio",$A$144)),0,GETPIVOTDATA("Somma di AVERE",'Pivot RakBank EUR'!$A$3,"Mese",5,"Tipologia",$A147,"Viaggio",$A$144))
+IF(ISERROR(GETPIVOTDATA("Somma di DARE EUR",'Pivot RakBank AED'!$A$3,"Mese",5,"Tipologia",$A147,"Viaggio",$A$144)),0,GETPIVOTDATA("Somma di DARE EUR",'Pivot RakBank AED'!$A$3,"Mese",5,"Tipologia",$A147,"Viaggio",$A$144))
-IF(ISERROR(GETPIVOTDATA("Somma di AVERE EUR",'Pivot RakBank AED'!$A$3,"Mese",5,"Tipologia",$A147,"Viaggio",$A$144)),0,GETPIVOTDATA("Somma di AVERE EUR",'Pivot RakBank AED'!$A$3,"Mese",5,"Tipologia",$A147,"Viaggio",$A$144))</f>
        <v>0</v>
      </c>
      <c r="H147" s="270">
        <f>IF(ISERROR(GETPIVOTDATA("Somma di DARE",'Pivot Fineco Sa'!$A$3,"Mese",6,"Tipologia",$A147,"Viaggio",$A$144)),0,GETPIVOTDATA("Somma di DARE",'Pivot Fineco Sa'!$A$3,"Mese",6,"Tipologia",$A147,"Viaggio",$A$144))
+IF(ISERROR(GETPIVOTDATA("Somma di DARE",'Pivot Fineco St'!$A$3,"Mese",6,"Tipologia",$A147,"Viaggio",$A$144)),0,GETPIVOTDATA("Somma di DARE",'Pivot Fineco St'!$A$3,"Mese",6,"Tipologia",$A147,"Viaggio",$A$144))
+IF(Contanti!$Y41='Conto Economico'!$A$144,Contanti!$V41)
+IF(ISERROR(GETPIVOTDATA("Somma di DARE",'Pivot BBVA'!$A$3,"Mese",6,"Tipologia",$A147,"Viaggio",$A$144)),0,GETPIVOTDATA("Somma di DARE",'Pivot BBVA'!$A$3,"Mese",6,"Tipologia",$A147,"Viaggio",$A$144))
+IF(ISERROR(GETPIVOTDATA("Somma di DARE",'Pivot Amex'!$A$3,"Mese",6,"Tipologia",$A147,"Viaggio",$A$144)),0,GETPIVOTDATA("Somma di DARE",'Pivot Amex'!$A$3,"Mese",6,"Tipologia",$A147,"Viaggio",$A$144))
-IF(ISERROR(GETPIVOTDATA("Somma di AVERE",'Pivot Amex'!$A$3,"Mese",6,"Tipologia",$A147,"Viaggio",$A$144)),0,GETPIVOTDATA("Somma di AVERE",'Pivot Amex'!$A$3,"Mese",6,"Tipologia",$A147,"Viaggio",$A$144))
-IF(ISERROR(GETPIVOTDATA("Somma di AVERE",'Pivot BBVA'!$A$3,"Mese",6,"Tipologia",$A147,"Viaggio",$A$144)),0,GETPIVOTDATA("Somma di AVERE",'Pivot BBVA'!$A$3,"Mese",6,"Tipologia",$A147,"Viaggio",$A$144))
-IF(ISERROR(GETPIVOTDATA("Somma di AVERE",'Pivot Fineco St'!$A$3,"Mese",6,"Tipologia",$A147,"Viaggio",$A$144)),0,GETPIVOTDATA("Somma di AVERE",'Pivot Fineco St'!$A$3,"Mese",6,"Tipologia",$A147,"Viaggio",$A$144))
-IF(ISERROR(GETPIVOTDATA("Somma di AVERE",'Pivot Fineco Sa'!$A$3,"Mese",6,"Tipologia",$A147,"Viaggio",$A$144)),0,GETPIVOTDATA("Somma di AVERE",'Pivot Fineco Sa'!$A$3,"Mese",6,"Tipologia",$A147,"Viaggio",$A$144))
+IF(ISERROR(GETPIVOTDATA("Somma di DARE",'Pivot PP Visa'!$A$3,"Mese",6,"Tipologia",$A147,"Viaggio",$A$144)),0,GETPIVOTDATA("Somma di DARE",'Pivot PP Visa'!$A$3,"Mese",6,"Tipologia",$A147,"Viaggio",$A$144))
-IF(ISERROR(GETPIVOTDATA("Somma di AVERE",'Pivot PP Visa'!$A$3,"Mese",6,"Tipologia",$A147,"Viaggio",$A$144)),0,GETPIVOTDATA("Somma di AVERE",'Pivot PP Visa'!$A$3,"Mese",6,"Tipologia",$A147,"Viaggio",$A$144))
+IF(ISERROR(GETPIVOTDATA("Somma di DARE",'Pivot Revolut'!$A$3,"Mese",6,"Tipologia",$A147,"Viaggio",$A$144)),0,GETPIVOTDATA("Somma di DARE",'Pivot Revolut'!$A$3,"Mese",6,"Tipologia",$A147,"Viaggio",$A$144))
-IF(ISERROR(GETPIVOTDATA("Somma di AVERE",'Pivot Revolut'!$A$3,"Mese",6,"Tipologia",$A147,"Viaggio",$A$144)),0,GETPIVOTDATA("Somma di AVERE",'Pivot Revolut'!$A$3,"Mese",6,"Tipologia",$A147,"Viaggio",$A$144))
+IF(ISERROR(GETPIVOTDATA("Somma di DARE",'Pivot RakBank EUR'!$A$3,"Mese",6,"Tipologia",$A147,"Viaggio",$A$144)),0,GETPIVOTDATA("Somma di DARE",'Pivot RakBank EUR'!$A$3,"Mese",6,"Tipologia",$A147,"Viaggio",$A$144))
-IF(ISERROR(GETPIVOTDATA("Somma di AVERE",'Pivot RakBank EUR'!$A$3,"Mese",6,"Tipologia",$A147,"Viaggio",$A$144)),0,GETPIVOTDATA("Somma di AVERE",'Pivot RakBank EUR'!$A$3,"Mese",6,"Tipologia",$A147,"Viaggio",$A$144))
+IF(ISERROR(GETPIVOTDATA("Somma di DARE EUR",'Pivot RakBank AED'!$A$3,"Mese",6,"Tipologia",$A147,"Viaggio",$A$144)),0,GETPIVOTDATA("Somma di DARE EUR",'Pivot RakBank AED'!$A$3,"Mese",6,"Tipologia",$A147,"Viaggio",$A$144))
-IF(ISERROR(GETPIVOTDATA("Somma di AVERE EUR",'Pivot RakBank AED'!$A$3,"Mese",6,"Tipologia",$A147,"Viaggio",$A$144)),0,GETPIVOTDATA("Somma di AVERE EUR",'Pivot RakBank AED'!$A$3,"Mese",6,"Tipologia",$A147,"Viaggio",$A$144))</f>
        <v>0</v>
      </c>
      <c r="I147" s="270">
        <f>IF(ISERROR(GETPIVOTDATA("Somma di DARE",'Pivot Fineco Sa'!$A$3,"Mese",7,"Tipologia",$A147,"Viaggio",$A$144)),0,GETPIVOTDATA("Somma di DARE",'Pivot Fineco Sa'!$A$3,"Mese",7,"Tipologia",$A147,"Viaggio",$A$144))
+IF(ISERROR(GETPIVOTDATA("Somma di DARE",'Pivot Fineco St'!$A$3,"Mese",7,"Tipologia",$A147,"Viaggio",$A$144)),0,GETPIVOTDATA("Somma di DARE",'Pivot Fineco St'!$A$3,"Mese",7,"Tipologia",$A147,"Viaggio",$A$144))
+IF(Contanti!$AC41='Conto Economico'!$A$144,Contanti!$Z41)
+IF(ISERROR(GETPIVOTDATA("Somma di DARE",'Pivot BBVA'!$A$3,"Mese",7,"Tipologia",$A147,"Viaggio",$A$144)),0,GETPIVOTDATA("Somma di DARE",'Pivot BBVA'!$A$3,"Mese",7,"Tipologia",$A147,"Viaggio",$A$144))
+IF(ISERROR(GETPIVOTDATA("Somma di DARE",'Pivot Amex'!$A$3,"Mese",7,"Tipologia",$A147,"Viaggio",$A$144)),0,GETPIVOTDATA("Somma di DARE",'Pivot Amex'!$A$3,"Mese",7,"Tipologia",$A147,"Viaggio",$A$144))
-IF(ISERROR(GETPIVOTDATA("Somma di AVERE",'Pivot Amex'!$A$3,"Mese",7,"Tipologia",$A147,"Viaggio",$A$144)),0,GETPIVOTDATA("Somma di AVERE",'Pivot Amex'!$A$3,"Mese",7,"Tipologia",$A147,"Viaggio",$A$144))
-IF(ISERROR(GETPIVOTDATA("Somma di AVERE",'Pivot BBVA'!$A$3,"Mese",7,"Tipologia",$A147,"Viaggio",$A$144)),0,GETPIVOTDATA("Somma di AVERE",'Pivot BBVA'!$A$3,"Mese",7,"Tipologia",$A147,"Viaggio",$A$144))
-IF(ISERROR(GETPIVOTDATA("Somma di AVERE",'Pivot Fineco St'!$A$3,"Mese",7,"Tipologia",$A147,"Viaggio",$A$144)),0,GETPIVOTDATA("Somma di AVERE",'Pivot Fineco St'!$A$3,"Mese",7,"Tipologia",$A147,"Viaggio",$A$144))
-IF(ISERROR(GETPIVOTDATA("Somma di AVERE",'Pivot Fineco Sa'!$A$3,"Mese",7,"Tipologia",$A147,"Viaggio",$A$144)),0,GETPIVOTDATA("Somma di AVERE",'Pivot Fineco Sa'!$A$3,"Mese",7,"Tipologia",$A147,"Viaggio",$A$144))
+IF(ISERROR(GETPIVOTDATA("Somma di DARE",'Pivot PP Visa'!$A$3,"Mese",7,"Tipologia",$A147,"Viaggio",$A$144)),0,GETPIVOTDATA("Somma di DARE",'Pivot PP Visa'!$A$3,"Mese",7,"Tipologia",$A147,"Viaggio",$A$144))
-IF(ISERROR(GETPIVOTDATA("Somma di AVERE",'Pivot PP Visa'!$A$3,"Mese",7,"Tipologia",$A147,"Viaggio",$A$144)),0,GETPIVOTDATA("Somma di AVERE",'Pivot PP Visa'!$A$3,"Mese",7,"Tipologia",$A147,"Viaggio",$A$144))
+IF(ISERROR(GETPIVOTDATA("Somma di DARE",'Pivot Revolut'!$A$3,"Mese",7,"Tipologia",$A147,"Viaggio",$A$144)),0,GETPIVOTDATA("Somma di DARE",'Pivot Revolut'!$A$3,"Mese",7,"Tipologia",$A147,"Viaggio",$A$144))
-IF(ISERROR(GETPIVOTDATA("Somma di AVERE",'Pivot Revolut'!$A$3,"Mese",7,"Tipologia",$A147,"Viaggio",$A$144)),0,GETPIVOTDATA("Somma di AVERE",'Pivot Revolut'!$A$3,"Mese",7,"Tipologia",$A147,"Viaggio",$A$144))
+IF(ISERROR(GETPIVOTDATA("Somma di DARE",'Pivot RakBank EUR'!$A$3,"Mese",7,"Tipologia",$A147,"Viaggio",$A$144)),0,GETPIVOTDATA("Somma di DARE",'Pivot RakBank EUR'!$A$3,"Mese",7,"Tipologia",$A147,"Viaggio",$A$144))
-IF(ISERROR(GETPIVOTDATA("Somma di AVERE",'Pivot RakBank EUR'!$A$3,"Mese",7,"Tipologia",$A147,"Viaggio",$A$144)),0,GETPIVOTDATA("Somma di AVERE",'Pivot RakBank EUR'!$A$3,"Mese",7,"Tipologia",$A147,"Viaggio",$A$144))
+IF(ISERROR(GETPIVOTDATA("Somma di DARE EUR",'Pivot RakBank AED'!$A$3,"Mese",7,"Tipologia",$A147,"Viaggio",$A$144)),0,GETPIVOTDATA("Somma di DARE EUR",'Pivot RakBank AED'!$A$3,"Mese",7,"Tipologia",$A147,"Viaggio",$A$144))
-IF(ISERROR(GETPIVOTDATA("Somma di AVERE EUR",'Pivot RakBank AED'!$A$3,"Mese",7,"Tipologia",$A147,"Viaggio",$A$144)),0,GETPIVOTDATA("Somma di AVERE EUR",'Pivot RakBank AED'!$A$3,"Mese",7,"Tipologia",$A147,"Viaggio",$A$144))</f>
        <v>0</v>
      </c>
      <c r="J147" s="270">
        <f>IF(ISERROR(GETPIVOTDATA("Somma di DARE",'Pivot Fineco Sa'!$A$3,"Mese",8,"Tipologia",$A147,"Viaggio",$A$144)),0,GETPIVOTDATA("Somma di DARE",'Pivot Fineco Sa'!$A$3,"Mese",8,"Tipologia",$A147,"Viaggio",$A$144))
+IF(ISERROR(GETPIVOTDATA("Somma di DARE",'Pivot Fineco St'!$A$3,"Mese",8,"Tipologia",$A147,"Viaggio",$A$144)),0,GETPIVOTDATA("Somma di DARE",'Pivot Fineco St'!$A$3,"Mese",8,"Tipologia",$A147,"Viaggio",$A$144))
+IF(Contanti!$AG41='Conto Economico'!$A$144,Contanti!$AD41)
+IF(ISERROR(GETPIVOTDATA("Somma di DARE",'Pivot BBVA'!$A$3,"Mese",8,"Tipologia",$A147,"Viaggio",$A$144)),0,GETPIVOTDATA("Somma di DARE",'Pivot BBVA'!$A$3,"Mese",8,"Tipologia",$A147,"Viaggio",$A$144))
+IF(ISERROR(GETPIVOTDATA("Somma di DARE",'Pivot Amex'!$A$3,"Mese",8,"Tipologia",$A147,"Viaggio",$A$144)),0,GETPIVOTDATA("Somma di DARE",'Pivot Amex'!$A$3,"Mese",8,"Tipologia",$A147,"Viaggio",$A$144))
-IF(ISERROR(GETPIVOTDATA("Somma di AVERE",'Pivot Amex'!$A$3,"Mese",8,"Tipologia",$A147,"Viaggio",$A$144)),0,GETPIVOTDATA("Somma di AVERE",'Pivot Amex'!$A$3,"Mese",8,"Tipologia",$A147,"Viaggio",$A$144))
-IF(ISERROR(GETPIVOTDATA("Somma di AVERE",'Pivot BBVA'!$A$3,"Mese",8,"Tipologia",$A147,"Viaggio",$A$144)),0,GETPIVOTDATA("Somma di AVERE",'Pivot BBVA'!$A$3,"Mese",8,"Tipologia",$A147,"Viaggio",$A$144))
-IF(ISERROR(GETPIVOTDATA("Somma di AVERE",'Pivot Fineco St'!$A$3,"Mese",8,"Tipologia",$A147,"Viaggio",$A$144)),0,GETPIVOTDATA("Somma di AVERE",'Pivot Fineco St'!$A$3,"Mese",8,"Tipologia",$A147,"Viaggio",$A$144))
-IF(ISERROR(GETPIVOTDATA("Somma di AVERE",'Pivot Fineco Sa'!$A$3,"Mese",8,"Tipologia",$A147,"Viaggio",$A$144)),0,GETPIVOTDATA("Somma di AVERE",'Pivot Fineco Sa'!$A$3,"Mese",8,"Tipologia",$A147,"Viaggio",$A$144))
+IF(ISERROR(GETPIVOTDATA("Somma di DARE",'Pivot PP Visa'!$A$3,"Mese",8,"Tipologia",$A147,"Viaggio",$A$144)),0,GETPIVOTDATA("Somma di DARE",'Pivot PP Visa'!$A$3,"Mese",8,"Tipologia",$A147,"Viaggio",$A$144))
-IF(ISERROR(GETPIVOTDATA("Somma di AVERE",'Pivot PP Visa'!$A$3,"Mese",8,"Tipologia",$A147,"Viaggio",$A$144)),0,GETPIVOTDATA("Somma di AVERE",'Pivot PP Visa'!$A$3,"Mese",8,"Tipologia",$A147,"Viaggio",$A$144))
+IF(ISERROR(GETPIVOTDATA("Somma di DARE",'Pivot Revolut'!$A$3,"Mese",8,"Tipologia",$A147,"Viaggio",$A$144)),0,GETPIVOTDATA("Somma di DARE",'Pivot Revolut'!$A$3,"Mese",8,"Tipologia",$A147,"Viaggio",$A$144))
-IF(ISERROR(GETPIVOTDATA("Somma di AVERE",'Pivot Revolut'!$A$3,"Mese",8,"Tipologia",$A147,"Viaggio",$A$144)),0,GETPIVOTDATA("Somma di AVERE",'Pivot Revolut'!$A$3,"Mese",8,"Tipologia",$A147,"Viaggio",$A$144))
+IF(ISERROR(GETPIVOTDATA("Somma di DARE",'Pivot RakBank EUR'!$A$3,"Mese",8,"Tipologia",$A147,"Viaggio",$A$144)),0,GETPIVOTDATA("Somma di DARE",'Pivot RakBank EUR'!$A$3,"Mese",8,"Tipologia",$A147,"Viaggio",$A$144))
-IF(ISERROR(GETPIVOTDATA("Somma di AVERE",'Pivot RakBank EUR'!$A$3,"Mese",8,"Tipologia",$A147,"Viaggio",$A$144)),0,GETPIVOTDATA("Somma di AVERE",'Pivot RakBank EUR'!$A$3,"Mese",8,"Tipologia",$A147,"Viaggio",$A$144))
+IF(ISERROR(GETPIVOTDATA("Somma di DARE EUR",'Pivot RakBank AED'!$A$3,"Mese",8,"Tipologia",$A147,"Viaggio",$A$144)),0,GETPIVOTDATA("Somma di DARE EUR",'Pivot RakBank AED'!$A$3,"Mese",8,"Tipologia",$A147,"Viaggio",$A$144))
-IF(ISERROR(GETPIVOTDATA("Somma di AVERE EUR",'Pivot RakBank AED'!$A$3,"Mese",8,"Tipologia",$A147,"Viaggio",$A$144)),0,GETPIVOTDATA("Somma di AVERE EUR",'Pivot RakBank AED'!$A$3,"Mese",8,"Tipologia",$A147,"Viaggio",$A$144))</f>
        <v>0</v>
      </c>
      <c r="K147" s="270">
        <f>IF(ISERROR(GETPIVOTDATA("Somma di DARE",'Pivot Fineco Sa'!$A$3,"Mese",9,"Tipologia",$A147,"Viaggio",$A$144)),0,GETPIVOTDATA("Somma di DARE",'Pivot Fineco Sa'!$A$3,"Mese",9,"Tipologia",$A147,"Viaggio",$A$144))
+IF(ISERROR(GETPIVOTDATA("Somma di DARE",'Pivot Fineco St'!$A$3,"Mese",9,"Tipologia",$A147,"Viaggio",$A$144)),0,GETPIVOTDATA("Somma di DARE",'Pivot Fineco St'!$A$3,"Mese",9,"Tipologia",$A147,"Viaggio",$A$144))
+IF(Contanti!$AK41='Conto Economico'!$A$144,Contanti!$AH41)
+IF(ISERROR(GETPIVOTDATA("Somma di DARE",'Pivot BBVA'!$A$3,"Mese",9,"Tipologia",$A147,"Viaggio",$A$144)),0,GETPIVOTDATA("Somma di DARE",'Pivot BBVA'!$A$3,"Mese",9,"Tipologia",$A147,"Viaggio",$A$144))
+IF(ISERROR(GETPIVOTDATA("Somma di DARE",'Pivot Amex'!$A$3,"Mese",9,"Tipologia",$A147,"Viaggio",$A$144)),0,GETPIVOTDATA("Somma di DARE",'Pivot Amex'!$A$3,"Mese",9,"Tipologia",$A147,"Viaggio",$A$144))
-IF(ISERROR(GETPIVOTDATA("Somma di AVERE",'Pivot Amex'!$A$3,"Mese",9,"Tipologia",$A147,"Viaggio",$A$144)),0,GETPIVOTDATA("Somma di AVERE",'Pivot Amex'!$A$3,"Mese",9,"Tipologia",$A147,"Viaggio",$A$144))
-IF(ISERROR(GETPIVOTDATA("Somma di AVERE",'Pivot BBVA'!$A$3,"Mese",9,"Tipologia",$A147,"Viaggio",$A$144)),0,GETPIVOTDATA("Somma di AVERE",'Pivot BBVA'!$A$3,"Mese",9,"Tipologia",$A147,"Viaggio",$A$144))
-IF(ISERROR(GETPIVOTDATA("Somma di AVERE",'Pivot Fineco St'!$A$3,"Mese",9,"Tipologia",$A147,"Viaggio",$A$144)),0,GETPIVOTDATA("Somma di AVERE",'Pivot Fineco St'!$A$3,"Mese",9,"Tipologia",$A147,"Viaggio",$A$144))
-IF(ISERROR(GETPIVOTDATA("Somma di AVERE",'Pivot Fineco Sa'!$A$3,"Mese",9,"Tipologia",$A147,"Viaggio",$A$144)),0,GETPIVOTDATA("Somma di AVERE",'Pivot Fineco Sa'!$A$3,"Mese",9,"Tipologia",$A147,"Viaggio",$A$144))
+IF(ISERROR(GETPIVOTDATA("Somma di DARE",'Pivot PP Visa'!$A$3,"Mese",9,"Tipologia",$A147,"Viaggio",$A$144)),0,GETPIVOTDATA("Somma di DARE",'Pivot PP Visa'!$A$3,"Mese",9,"Tipologia",$A147,"Viaggio",$A$144))
-IF(ISERROR(GETPIVOTDATA("Somma di AVERE",'Pivot PP Visa'!$A$3,"Mese",9,"Tipologia",$A147,"Viaggio",$A$144)),0,GETPIVOTDATA("Somma di AVERE",'Pivot PP Visa'!$A$3,"Mese",9,"Tipologia",$A147,"Viaggio",$A$144))
+IF(ISERROR(GETPIVOTDATA("Somma di DARE",'Pivot Revolut'!$A$3,"Mese",9,"Tipologia",$A147,"Viaggio",$A$144)),0,GETPIVOTDATA("Somma di DARE",'Pivot Revolut'!$A$3,"Mese",9,"Tipologia",$A147,"Viaggio",$A$144))
-IF(ISERROR(GETPIVOTDATA("Somma di AVERE",'Pivot Revolut'!$A$3,"Mese",9,"Tipologia",$A147,"Viaggio",$A$144)),0,GETPIVOTDATA("Somma di AVERE",'Pivot Revolut'!$A$3,"Mese",9,"Tipologia",$A147,"Viaggio",$A$144))
+IF(ISERROR(GETPIVOTDATA("Somma di DARE",'Pivot RakBank EUR'!$A$3,"Mese",9,"Tipologia",$A147,"Viaggio",$A$144)),0,GETPIVOTDATA("Somma di DARE",'Pivot RakBank EUR'!$A$3,"Mese",9,"Tipologia",$A147,"Viaggio",$A$144))
-IF(ISERROR(GETPIVOTDATA("Somma di AVERE",'Pivot RakBank EUR'!$A$3,"Mese",9,"Tipologia",$A147,"Viaggio",$A$144)),0,GETPIVOTDATA("Somma di AVERE",'Pivot RakBank EUR'!$A$3,"Mese",9,"Tipologia",$A147,"Viaggio",$A$144))
+IF(ISERROR(GETPIVOTDATA("Somma di DARE EUR",'Pivot RakBank AED'!$A$3,"Mese",9,"Tipologia",$A147,"Viaggio",$A$144)),0,GETPIVOTDATA("Somma di DARE EUR",'Pivot RakBank AED'!$A$3,"Mese",9,"Tipologia",$A147,"Viaggio",$A$144))
-IF(ISERROR(GETPIVOTDATA("Somma di AVERE EUR",'Pivot RakBank AED'!$A$3,"Mese",9,"Tipologia",$A147,"Viaggio",$A$144)),0,GETPIVOTDATA("Somma di AVERE EUR",'Pivot RakBank AED'!$A$3,"Mese",9,"Tipologia",$A147,"Viaggio",$A$144))</f>
        <v>0</v>
      </c>
      <c r="L147" s="270">
        <f>IF(ISERROR(GETPIVOTDATA("Somma di DARE",'Pivot Fineco Sa'!$A$3,"Mese",10,"Tipologia",$A147,"Viaggio",$A$144)),0,GETPIVOTDATA("Somma di DARE",'Pivot Fineco Sa'!$A$3,"Mese",10,"Tipologia",$A147,"Viaggio",$A$144))
+IF(ISERROR(GETPIVOTDATA("Somma di DARE",'Pivot Fineco St'!$A$3,"Mese",10,"Tipologia",$A147,"Viaggio",$A$144)),0,GETPIVOTDATA("Somma di DARE",'Pivot Fineco St'!$A$3,"Mese",10,"Tipologia",$A147,"Viaggio",$A$144))
+IF(Contanti!$AO41='Conto Economico'!$A$144,Contanti!$AL41)
+IF(ISERROR(GETPIVOTDATA("Somma di DARE",'Pivot BBVA'!$A$3,"Mese",10,"Tipologia",$A147,"Viaggio",$A$144)),0,GETPIVOTDATA("Somma di DARE",'Pivot BBVA'!$A$3,"Mese",10,"Tipologia",$A147,"Viaggio",$A$144))
+IF(ISERROR(GETPIVOTDATA("Somma di DARE",'Pivot Amex'!$A$3,"Mese",10,"Tipologia",$A147,"Viaggio",$A$144)),0,GETPIVOTDATA("Somma di DARE",'Pivot Amex'!$A$3,"Mese",10,"Tipologia",$A147,"Viaggio",$A$144))
-IF(ISERROR(GETPIVOTDATA("Somma di AVERE",'Pivot Amex'!$A$3,"Mese",10,"Tipologia",$A147,"Viaggio",$A$144)),0,GETPIVOTDATA("Somma di AVERE",'Pivot Amex'!$A$3,"Mese",10,"Tipologia",$A147,"Viaggio",$A$144))
-IF(ISERROR(GETPIVOTDATA("Somma di AVERE",'Pivot BBVA'!$A$3,"Mese",10,"Tipologia",$A147,"Viaggio",$A$144)),0,GETPIVOTDATA("Somma di AVERE",'Pivot BBVA'!$A$3,"Mese",10,"Tipologia",$A147,"Viaggio",$A$144))
-IF(ISERROR(GETPIVOTDATA("Somma di AVERE",'Pivot Fineco St'!$A$3,"Mese",10,"Tipologia",$A147,"Viaggio",$A$144)),0,GETPIVOTDATA("Somma di AVERE",'Pivot Fineco St'!$A$3,"Mese",10,"Tipologia",$A147,"Viaggio",$A$144))
-IF(ISERROR(GETPIVOTDATA("Somma di AVERE",'Pivot Fineco Sa'!$A$3,"Mese",10,"Tipologia",$A147,"Viaggio",$A$144)),0,GETPIVOTDATA("Somma di AVERE",'Pivot Fineco Sa'!$A$3,"Mese",10,"Tipologia",$A147,"Viaggio",$A$144))
+IF(ISERROR(GETPIVOTDATA("Somma di DARE",'Pivot PP Visa'!$A$3,"Mese",10,"Tipologia",$A147,"Viaggio",$A$144)),0,GETPIVOTDATA("Somma di DARE",'Pivot PP Visa'!$A$3,"Mese",10,"Tipologia",$A147,"Viaggio",$A$144))
-IF(ISERROR(GETPIVOTDATA("Somma di AVERE",'Pivot PP Visa'!$A$3,"Mese",10,"Tipologia",$A147,"Viaggio",$A$144)),0,GETPIVOTDATA("Somma di AVERE",'Pivot PP Visa'!$A$3,"Mese",10,"Tipologia",$A147,"Viaggio",$A$144))
+IF(ISERROR(GETPIVOTDATA("Somma di DARE",'Pivot Revolut'!$A$3,"Mese",10,"Tipologia",$A147,"Viaggio",$A$144)),0,GETPIVOTDATA("Somma di DARE",'Pivot Revolut'!$A$3,"Mese",10,"Tipologia",$A147,"Viaggio",$A$144))
-IF(ISERROR(GETPIVOTDATA("Somma di AVERE",'Pivot Revolut'!$A$3,"Mese",10,"Tipologia",$A147,"Viaggio",$A$144)),0,GETPIVOTDATA("Somma di AVERE",'Pivot Revolut'!$A$3,"Mese",10,"Tipologia",$A147,"Viaggio",$A$144))
+IF(ISERROR(GETPIVOTDATA("Somma di DARE",'Pivot RakBank EUR'!$A$3,"Mese",10,"Tipologia",$A147,"Viaggio",$A$144)),0,GETPIVOTDATA("Somma di DARE",'Pivot RakBank EUR'!$A$3,"Mese",10,"Tipologia",$A147,"Viaggio",$A$144))
-IF(ISERROR(GETPIVOTDATA("Somma di AVERE",'Pivot RakBank EUR'!$A$3,"Mese",10,"Tipologia",$A147,"Viaggio",$A$144)),0,GETPIVOTDATA("Somma di AVERE",'Pivot RakBank EUR'!$A$3,"Mese",10,"Tipologia",$A147,"Viaggio",$A$144))
+IF(ISERROR(GETPIVOTDATA("Somma di DARE EUR",'Pivot RakBank AED'!$A$3,"Mese",10,"Tipologia",$A147,"Viaggio",$A$144)),0,GETPIVOTDATA("Somma di DARE EUR",'Pivot RakBank AED'!$A$3,"Mese",10,"Tipologia",$A147,"Viaggio",$A$144))
-IF(ISERROR(GETPIVOTDATA("Somma di AVERE EUR",'Pivot RakBank AED'!$A$3,"Mese",10,"Tipologia",$A147,"Viaggio",$A$144)),0,GETPIVOTDATA("Somma di AVERE EUR",'Pivot RakBank AED'!$A$3,"Mese",10,"Tipologia",$A147,"Viaggio",$A$144))</f>
        <v>0</v>
      </c>
      <c r="M147" s="270">
        <f>IF(ISERROR(GETPIVOTDATA("Somma di DARE",'Pivot Fineco Sa'!$A$3,"Mese",11,"Tipologia",$A147,"Viaggio",$A$144)),0,GETPIVOTDATA("Somma di DARE",'Pivot Fineco Sa'!$A$3,"Mese",11,"Tipologia",$A147,"Viaggio",$A$144))
+IF(ISERROR(GETPIVOTDATA("Somma di DARE",'Pivot Fineco St'!$A$3,"Mese",11,"Tipologia",$A147,"Viaggio",$A$144)),0,GETPIVOTDATA("Somma di DARE",'Pivot Fineco St'!$A$3,"Mese",11,"Tipologia",$A147,"Viaggio",$A$144))
+IF(Contanti!$AS41='Conto Economico'!$A$144,Contanti!$AP41)
+IF(ISERROR(GETPIVOTDATA("Somma di DARE",'Pivot BBVA'!$A$3,"Mese",11,"Tipologia",$A147,"Viaggio",$A$144)),0,GETPIVOTDATA("Somma di DARE",'Pivot BBVA'!$A$3,"Mese",11,"Tipologia",$A147,"Viaggio",$A$144))
+IF(ISERROR(GETPIVOTDATA("Somma di DARE",'Pivot Amex'!$A$3,"Mese",11,"Tipologia",$A147,"Viaggio",$A$144)),0,GETPIVOTDATA("Somma di DARE",'Pivot Amex'!$A$3,"Mese",11,"Tipologia",$A147,"Viaggio",$A$144))
-IF(ISERROR(GETPIVOTDATA("Somma di AVERE",'Pivot Amex'!$A$3,"Mese",11,"Tipologia",$A147,"Viaggio",$A$144)),0,GETPIVOTDATA("Somma di AVERE",'Pivot Amex'!$A$3,"Mese",11,"Tipologia",$A147,"Viaggio",$A$144))
-IF(ISERROR(GETPIVOTDATA("Somma di AVERE",'Pivot BBVA'!$A$3,"Mese",11,"Tipologia",$A147,"Viaggio",$A$144)),0,GETPIVOTDATA("Somma di AVERE",'Pivot BBVA'!$A$3,"Mese",11,"Tipologia",$A147,"Viaggio",$A$144))
-IF(ISERROR(GETPIVOTDATA("Somma di AVERE",'Pivot Fineco St'!$A$3,"Mese",11,"Tipologia",$A147,"Viaggio",$A$144)),0,GETPIVOTDATA("Somma di AVERE",'Pivot Fineco St'!$A$3,"Mese",11,"Tipologia",$A147,"Viaggio",$A$144))
-IF(ISERROR(GETPIVOTDATA("Somma di AVERE",'Pivot Fineco Sa'!$A$3,"Mese",11,"Tipologia",$A147,"Viaggio",$A$144)),0,GETPIVOTDATA("Somma di AVERE",'Pivot Fineco Sa'!$A$3,"Mese",11,"Tipologia",$A147,"Viaggio",$A$144))
+IF(ISERROR(GETPIVOTDATA("Somma di DARE",'Pivot PP Visa'!$A$3,"Mese",11,"Tipologia",$A147,"Viaggio",$A$144)),0,GETPIVOTDATA("Somma di DARE",'Pivot PP Visa'!$A$3,"Mese",11,"Tipologia",$A147,"Viaggio",$A$144))
-IF(ISERROR(GETPIVOTDATA("Somma di AVERE",'Pivot PP Visa'!$A$3,"Mese",11,"Tipologia",$A147,"Viaggio",$A$144)),0,GETPIVOTDATA("Somma di AVERE",'Pivot PP Visa'!$A$3,"Mese",11,"Tipologia",$A147,"Viaggio",$A$144))
+IF(ISERROR(GETPIVOTDATA("Somma di DARE",'Pivot Revolut'!$A$3,"Mese",11,"Tipologia",$A147,"Viaggio",$A$144)),0,GETPIVOTDATA("Somma di DARE",'Pivot Revolut'!$A$3,"Mese",11,"Tipologia",$A147,"Viaggio",$A$144))
-IF(ISERROR(GETPIVOTDATA("Somma di AVERE",'Pivot Revolut'!$A$3,"Mese",11,"Tipologia",$A147,"Viaggio",$A$144)),0,GETPIVOTDATA("Somma di AVERE",'Pivot Revolut'!$A$3,"Mese",11,"Tipologia",$A147,"Viaggio",$A$144))
+IF(ISERROR(GETPIVOTDATA("Somma di DARE",'Pivot RakBank EUR'!$A$3,"Mese",11,"Tipologia",$A147,"Viaggio",$A$144)),0,GETPIVOTDATA("Somma di DARE",'Pivot RakBank EUR'!$A$3,"Mese",11,"Tipologia",$A147,"Viaggio",$A$144))
-IF(ISERROR(GETPIVOTDATA("Somma di AVERE",'Pivot RakBank EUR'!$A$3,"Mese",11,"Tipologia",$A147,"Viaggio",$A$144)),0,GETPIVOTDATA("Somma di AVERE",'Pivot RakBank EUR'!$A$3,"Mese",11,"Tipologia",$A147,"Viaggio",$A$144))
+IF(ISERROR(GETPIVOTDATA("Somma di DARE EUR",'Pivot RakBank AED'!$A$3,"Mese",11,"Tipologia",$A147,"Viaggio",$A$144)),0,GETPIVOTDATA("Somma di DARE EUR",'Pivot RakBank AED'!$A$3,"Mese",11,"Tipologia",$A147,"Viaggio",$A$144))
-IF(ISERROR(GETPIVOTDATA("Somma di AVERE EUR",'Pivot RakBank AED'!$A$3,"Mese",11,"Tipologia",$A147,"Viaggio",$A$144)),0,GETPIVOTDATA("Somma di AVERE EUR",'Pivot RakBank AED'!$A$3,"Mese",11,"Tipologia",$A147,"Viaggio",$A$144))</f>
        <v>0</v>
      </c>
      <c r="N147" s="270">
        <f>IF(ISERROR(GETPIVOTDATA("Somma di DARE",'Pivot Fineco Sa'!$A$3,"Mese",12,"Tipologia",$A147,"Viaggio",$A$144)),0,GETPIVOTDATA("Somma di DARE",'Pivot Fineco Sa'!$A$3,"Mese",12,"Tipologia",$A147,"Viaggio",$A$144))
+IF(ISERROR(GETPIVOTDATA("Somma di DARE",'Pivot Fineco St'!$A$3,"Mese",12,"Tipologia",$A147,"Viaggio",$A$144)),0,GETPIVOTDATA("Somma di DARE",'Pivot Fineco St'!$A$3,"Mese",12,"Tipologia",$A147,"Viaggio",$A$144))
+IF(Contanti!$AW41='Conto Economico'!$A$144,Contanti!$AT41)
+IF(ISERROR(GETPIVOTDATA("Somma di DARE",'Pivot BBVA'!$A$3,"Mese",12,"Tipologia",$A147,"Viaggio",$A$144)),0,GETPIVOTDATA("Somma di DARE",'Pivot BBVA'!$A$3,"Mese",12,"Tipologia",$A147,"Viaggio",$A$144))
+IF(ISERROR(GETPIVOTDATA("Somma di DARE",'Pivot Amex'!$A$3,"Mese",12,"Tipologia",$A147,"Viaggio",$A$144)),0,GETPIVOTDATA("Somma di DARE",'Pivot Amex'!$A$3,"Mese",12,"Tipologia",$A147,"Viaggio",$A$144))
-IF(ISERROR(GETPIVOTDATA("Somma di AVERE",'Pivot Amex'!$A$3,"Mese",12,"Tipologia",$A147,"Viaggio",$A$144)),0,GETPIVOTDATA("Somma di AVERE",'Pivot Amex'!$A$3,"Mese",12,"Tipologia",$A147,"Viaggio",$A$144))
-IF(ISERROR(GETPIVOTDATA("Somma di AVERE",'Pivot BBVA'!$A$3,"Mese",12,"Tipologia",$A147,"Viaggio",$A$144)),0,GETPIVOTDATA("Somma di AVERE",'Pivot BBVA'!$A$3,"Mese",12,"Tipologia",$A147,"Viaggio",$A$144))
-IF(ISERROR(GETPIVOTDATA("Somma di AVERE",'Pivot Fineco St'!$A$3,"Mese",12,"Tipologia",$A147,"Viaggio",$A$144)),0,GETPIVOTDATA("Somma di AVERE",'Pivot Fineco St'!$A$3,"Mese",12,"Tipologia",$A147,"Viaggio",$A$144))
-IF(ISERROR(GETPIVOTDATA("Somma di AVERE",'Pivot Fineco Sa'!$A$3,"Mese",12,"Tipologia",$A147,"Viaggio",$A$144)),0,GETPIVOTDATA("Somma di AVERE",'Pivot Fineco Sa'!$A$3,"Mese",12,"Tipologia",$A147,"Viaggio",$A$144))
+IF(ISERROR(GETPIVOTDATA("Somma di DARE",'Pivot PP Visa'!$A$3,"Mese",12,"Tipologia",$A147,"Viaggio",$A$144)),0,GETPIVOTDATA("Somma di DARE",'Pivot PP Visa'!$A$3,"Mese",12,"Tipologia",$A147,"Viaggio",$A$144))
-IF(ISERROR(GETPIVOTDATA("Somma di AVERE",'Pivot PP Visa'!$A$3,"Mese",12,"Tipologia",$A147,"Viaggio",$A$144)),0,GETPIVOTDATA("Somma di AVERE",'Pivot PP Visa'!$A$3,"Mese",12,"Tipologia",$A147,"Viaggio",$A$144))
+IF(ISERROR(GETPIVOTDATA("Somma di DARE",'Pivot Revolut'!$A$3,"Mese",12,"Tipologia",$A147,"Viaggio",$A$144)),0,GETPIVOTDATA("Somma di DARE",'Pivot Revolut'!$A$3,"Mese",12,"Tipologia",$A147,"Viaggio",$A$144))
-IF(ISERROR(GETPIVOTDATA("Somma di AVERE",'Pivot Revolut'!$A$3,"Mese",12,"Tipologia",$A147,"Viaggio",$A$144)),0,GETPIVOTDATA("Somma di AVERE",'Pivot Revolut'!$A$3,"Mese",12,"Tipologia",$A147,"Viaggio",$A$144))
+IF(ISERROR(GETPIVOTDATA("Somma di DARE",'Pivot RakBank EUR'!$A$3,"Mese",12,"Tipologia",$A147,"Viaggio",$A$144)),0,GETPIVOTDATA("Somma di DARE",'Pivot RakBank EUR'!$A$3,"Mese",12,"Tipologia",$A147,"Viaggio",$A$144))
-IF(ISERROR(GETPIVOTDATA("Somma di AVERE",'Pivot RakBank EUR'!$A$3,"Mese",12,"Tipologia",$A147,"Viaggio",$A$144)),0,GETPIVOTDATA("Somma di AVERE",'Pivot RakBank EUR'!$A$3,"Mese",12,"Tipologia",$A147,"Viaggio",$A$144))
+IF(ISERROR(GETPIVOTDATA("Somma di DARE EUR",'Pivot RakBank AED'!$A$3,"Mese",12,"Tipologia",$A147,"Viaggio",$A$144)),0,GETPIVOTDATA("Somma di DARE EUR",'Pivot RakBank AED'!$A$3,"Mese",12,"Tipologia",$A147,"Viaggio",$A$144))
-IF(ISERROR(GETPIVOTDATA("Somma di AVERE EUR",'Pivot RakBank AED'!$A$3,"Mese",12,"Tipologia",$A147,"Viaggio",$A$144)),0,GETPIVOTDATA("Somma di AVERE EUR",'Pivot RakBank AED'!$A$3,"Mese",12,"Tipologia",$A147,"Viaggio",$A$144))</f>
        <v>0</v>
      </c>
      <c r="O147" s="271">
        <f t="shared" si="19"/>
        <v>0</v>
      </c>
      <c r="P147" s="270"/>
    </row>
    <row r="148" spans="1:16" s="131" customFormat="1" ht="14" outlineLevel="1" x14ac:dyDescent="0.2">
      <c r="A148" s="269" t="s">
        <v>113</v>
      </c>
      <c r="B148" s="269"/>
      <c r="C148" s="270">
        <f>IF(ISERROR(GETPIVOTDATA("Somma di DARE",'Pivot Fineco Sa'!$A$3,"Mese",1,"Tipologia",$A148,"Viaggio",$A$144)),0,GETPIVOTDATA("Somma di DARE",'Pivot Fineco Sa'!$A$3,"Mese",1,"Tipologia",$A148,"Viaggio",$A$144))
+IF(ISERROR(GETPIVOTDATA("Somma di DARE",'Pivot Fineco St'!$A$3,"Mese",1,"Tipologia",$A148,"Viaggio",$A$144)),0,GETPIVOTDATA("Somma di DARE",'Pivot Fineco St'!$A$3,"Mese",1,"Tipologia",$A148,"Viaggio",$A$144))
+IF(Contanti!$E42='Conto Economico'!$A$144,Contanti!$B42)
+IF(ISERROR(GETPIVOTDATA("Somma di DARE",'Pivot BBVA'!$A$3,"Mese",1,"Tipologia",$A148,"Viaggio",$A$144)),0,GETPIVOTDATA("Somma di DARE",'Pivot BBVA'!$A$3,"Mese",1,"Tipologia",$A148,"Viaggio",$A$144))
+IF(ISERROR(GETPIVOTDATA("Somma di DARE",'Pivot Amex'!$A$3,"Mese",1,"Tipologia",$A148,"Viaggio",$A$144)),0,GETPIVOTDATA("Somma di DARE",'Pivot Amex'!$A$3,"Mese",1,"Tipologia",$A148,"Viaggio",$A$144))
-IF(ISERROR(GETPIVOTDATA("Somma di AVERE",'Pivot Amex'!$A$3,"Mese",1,"Tipologia",$A148,"Viaggio",$A$144)),0,GETPIVOTDATA("Somma di AVERE",'Pivot Amex'!$A$3,"Mese",1,"Tipologia",$A148,"Viaggio",$A$144))
-IF(ISERROR(GETPIVOTDATA("Somma di AVERE",'Pivot BBVA'!$A$3,"Mese",1,"Tipologia",$A148,"Viaggio",$A$144)),0,GETPIVOTDATA("Somma di AVERE",'Pivot BBVA'!$A$3,"Mese",1,"Tipologia",$A148,"Viaggio",$A$144))
-IF(ISERROR(GETPIVOTDATA("Somma di AVERE",'Pivot Fineco St'!$A$3,"Mese",1,"Tipologia",$A148,"Viaggio",$A$144)),0,GETPIVOTDATA("Somma di AVERE",'Pivot Fineco St'!$A$3,"Mese",1,"Tipologia",$A148,"Viaggio",$A$144))
-IF(ISERROR(GETPIVOTDATA("Somma di AVERE",'Pivot Fineco Sa'!$A$3,"Mese",1,"Tipologia",$A148,"Viaggio",$A$144)),0,GETPIVOTDATA("Somma di AVERE",'Pivot Fineco Sa'!$A$3,"Mese",1,"Tipologia",$A148,"Viaggio",$A$144))
+IF(ISERROR(GETPIVOTDATA("Somma di DARE",'Pivot PP Visa'!$A$3,"Mese",1,"Tipologia",$A148,"Viaggio",$A$144)),0,GETPIVOTDATA("Somma di DARE",'Pivot PP Visa'!$A$3,"Mese",1,"Tipologia",$A148,"Viaggio",$A$144))
-IF(ISERROR(GETPIVOTDATA("Somma di AVERE",'Pivot PP Visa'!$A$3,"Mese",1,"Tipologia",$A148,"Viaggio",$A$144)),0,GETPIVOTDATA("Somma di AVERE",'Pivot PP Visa'!$A$3,"Mese",1,"Tipologia",$A148,"Viaggio",$A$144))
+IF(ISERROR(GETPIVOTDATA("Somma di DARE",'Pivot Revolut'!$A$3,"Mese",1,"Tipologia",$A148,"Viaggio",$A$144)),0,GETPIVOTDATA("Somma di DARE",'Pivot Revolut'!$A$3,"Mese",1,"Tipologia",$A148,"Viaggio",$A$144))
-IF(ISERROR(GETPIVOTDATA("Somma di AVERE",'Pivot Revolut'!$A$3,"Mese",1,"Tipologia",$A148,"Viaggio",$A$144)),0,GETPIVOTDATA("Somma di AVERE",'Pivot Revolut'!$A$3,"Mese",1,"Tipologia",$A148,"Viaggio",$A$144))
+IF(ISERROR(GETPIVOTDATA("Somma di DARE",'Pivot RakBank EUR'!$A$3,"Mese",1,"Tipologia",$A148,"Viaggio",$A$144)),0,GETPIVOTDATA("Somma di DARE",'Pivot RakBank EUR'!$A$3,"Mese",1,"Tipologia",$A148,"Viaggio",$A$144))
-IF(ISERROR(GETPIVOTDATA("Somma di AVERE",'Pivot RakBank EUR'!$A$3,"Mese",1,"Tipologia",$A148,"Viaggio",$A$144)),0,GETPIVOTDATA("Somma di AVERE",'Pivot RakBank EUR'!$A$3,"Mese",1,"Tipologia",$A148,"Viaggio",$A$144))
+IF(ISERROR(GETPIVOTDATA("Somma di DARE EUR",'Pivot RakBank AED'!$A$3,"Mese",1,"Tipologia",$A148,"Viaggio",$A$144)),0,GETPIVOTDATA("Somma di DARE EUR",'Pivot RakBank AED'!$A$3,"Mese",1,"Tipologia",$A148,"Viaggio",$A$144))
-IF(ISERROR(GETPIVOTDATA("Somma di AVERE EUR",'Pivot RakBank AED'!$A$3,"Mese",1,"Tipologia",$A148,"Viaggio",$A$144)),0,GETPIVOTDATA("Somma di AVERE EUR",'Pivot RakBank AED'!$A$3,"Mese",1,"Tipologia",$A148,"Viaggio",$A$144))</f>
        <v>0</v>
      </c>
      <c r="D148" s="270">
        <f>IF(ISERROR(GETPIVOTDATA("Somma di DARE",'Pivot Fineco Sa'!$A$3,"Mese",2,"Tipologia",$A148,"Viaggio",$A$144)),0,GETPIVOTDATA("Somma di DARE",'Pivot Fineco Sa'!$A$3,"Mese",2,"Tipologia",$A148,"Viaggio",$A$144))
+IF(ISERROR(GETPIVOTDATA("Somma di DARE",'Pivot Fineco St'!$A$3,"Mese",2,"Tipologia",$A148,"Viaggio",$A$144)),0,GETPIVOTDATA("Somma di DARE",'Pivot Fineco St'!$A$3,"Mese",2,"Tipologia",$A148,"Viaggio",$A$144))
+IF(Contanti!$I42='Conto Economico'!$A$144,Contanti!$F42)
+IF(ISERROR(GETPIVOTDATA("Somma di DARE",'Pivot BBVA'!$A$3,"Mese",2,"Tipologia",$A148,"Viaggio",$A$144)),0,GETPIVOTDATA("Somma di DARE",'Pivot BBVA'!$A$3,"Mese",2,"Tipologia",$A148,"Viaggio",$A$144))
+IF(ISERROR(GETPIVOTDATA("Somma di DARE",'Pivot Amex'!$A$3,"Mese",2,"Tipologia",$A148,"Viaggio",$A$144)),0,GETPIVOTDATA("Somma di DARE",'Pivot Amex'!$A$3,"Mese",2,"Tipologia",$A148,"Viaggio",$A$144))
-IF(ISERROR(GETPIVOTDATA("Somma di AVERE",'Pivot Amex'!$A$3,"Mese",2,"Tipologia",$A148,"Viaggio",$A$144)),0,GETPIVOTDATA("Somma di AVERE",'Pivot Amex'!$A$3,"Mese",2,"Tipologia",$A148,"Viaggio",$A$144))
-IF(ISERROR(GETPIVOTDATA("Somma di AVERE",'Pivot BBVA'!$A$3,"Mese",2,"Tipologia",$A148,"Viaggio",$A$144)),0,GETPIVOTDATA("Somma di AVERE",'Pivot BBVA'!$A$3,"Mese",2,"Tipologia",$A148,"Viaggio",$A$144))
-IF(ISERROR(GETPIVOTDATA("Somma di AVERE",'Pivot Fineco St'!$A$3,"Mese",2,"Tipologia",$A148,"Viaggio",$A$144)),0,GETPIVOTDATA("Somma di AVERE",'Pivot Fineco St'!$A$3,"Mese",2,"Tipologia",$A148,"Viaggio",$A$144))
-IF(ISERROR(GETPIVOTDATA("Somma di AVERE",'Pivot Fineco Sa'!$A$3,"Mese",2,"Tipologia",$A148,"Viaggio",$A$144)),0,GETPIVOTDATA("Somma di AVERE",'Pivot Fineco Sa'!$A$3,"Mese",2,"Tipologia",$A148,"Viaggio",$A$144))
+IF(ISERROR(GETPIVOTDATA("Somma di DARE",'Pivot PP Visa'!$A$3,"Mese",2,"Tipologia",$A148,"Viaggio",$A$144)),0,GETPIVOTDATA("Somma di DARE",'Pivot PP Visa'!$A$3,"Mese",2,"Tipologia",$A148,"Viaggio",$A$144))
-IF(ISERROR(GETPIVOTDATA("Somma di AVERE",'Pivot PP Visa'!$A$3,"Mese",2,"Tipologia",$A148,"Viaggio",$A$144)),0,GETPIVOTDATA("Somma di AVERE",'Pivot PP Visa'!$A$3,"Mese",2,"Tipologia",$A148,"Viaggio",$A$144))
+IF(ISERROR(GETPIVOTDATA("Somma di DARE",'Pivot Revolut'!$A$3,"Mese",2,"Tipologia",$A148,"Viaggio",$A$144)),0,GETPIVOTDATA("Somma di DARE",'Pivot Revolut'!$A$3,"Mese",2,"Tipologia",$A148,"Viaggio",$A$144))
-IF(ISERROR(GETPIVOTDATA("Somma di AVERE",'Pivot Revolut'!$A$3,"Mese",2,"Tipologia",$A148,"Viaggio",$A$144)),0,GETPIVOTDATA("Somma di AVERE",'Pivot Revolut'!$A$3,"Mese",2,"Tipologia",$A148,"Viaggio",$A$144))
+IF(ISERROR(GETPIVOTDATA("Somma di DARE",'Pivot RakBank EUR'!$A$3,"Mese",2,"Tipologia",$A148,"Viaggio",$A$144)),0,GETPIVOTDATA("Somma di DARE",'Pivot RakBank EUR'!$A$3,"Mese",2,"Tipologia",$A148,"Viaggio",$A$144))
-IF(ISERROR(GETPIVOTDATA("Somma di AVERE",'Pivot RakBank EUR'!$A$3,"Mese",2,"Tipologia",$A148,"Viaggio",$A$144)),0,GETPIVOTDATA("Somma di AVERE",'Pivot RakBank EUR'!$A$3,"Mese",2,"Tipologia",$A148,"Viaggio",$A$144))
+IF(ISERROR(GETPIVOTDATA("Somma di DARE EUR",'Pivot RakBank AED'!$A$3,"Mese",2,"Tipologia",$A148,"Viaggio",$A$144)),0,GETPIVOTDATA("Somma di DARE EUR",'Pivot RakBank AED'!$A$3,"Mese",2,"Tipologia",$A148,"Viaggio",$A$144))
-IF(ISERROR(GETPIVOTDATA("Somma di AVERE EUR",'Pivot RakBank AED'!$A$3,"Mese",2,"Tipologia",$A148,"Viaggio",$A$144)),0,GETPIVOTDATA("Somma di AVERE EUR",'Pivot RakBank AED'!$A$3,"Mese",2,"Tipologia",$A148,"Viaggio",$A$144))</f>
        <v>0</v>
      </c>
      <c r="E148" s="270">
        <f>IF(ISERROR(GETPIVOTDATA("Somma di DARE",'Pivot Fineco Sa'!$A$3,"Mese",3,"Tipologia",$A148,"Viaggio",$A$144)),0,GETPIVOTDATA("Somma di DARE",'Pivot Fineco Sa'!$A$3,"Mese",3,"Tipologia",$A148,"Viaggio",$A$144))
+IF(ISERROR(GETPIVOTDATA("Somma di DARE",'Pivot Fineco St'!$A$3,"Mese",3,"Tipologia",$A148,"Viaggio",$A$144)),0,GETPIVOTDATA("Somma di DARE",'Pivot Fineco St'!$A$3,"Mese",3,"Tipologia",$A148,"Viaggio",$A$144))
+IF(Contanti!$M42='Conto Economico'!$A$144,Contanti!$J42)
+IF(ISERROR(GETPIVOTDATA("Somma di DARE",'Pivot BBVA'!$A$3,"Mese",3,"Tipologia",$A148,"Viaggio",$A$144)),0,GETPIVOTDATA("Somma di DARE",'Pivot BBVA'!$A$3,"Mese",3,"Tipologia",$A148,"Viaggio",$A$144))
+IF(ISERROR(GETPIVOTDATA("Somma di DARE",'Pivot Amex'!$A$3,"Mese",3,"Tipologia",$A148,"Viaggio",$A$144)),0,GETPIVOTDATA("Somma di DARE",'Pivot Amex'!$A$3,"Mese",3,"Tipologia",$A148,"Viaggio",$A$144))
-IF(ISERROR(GETPIVOTDATA("Somma di AVERE",'Pivot Amex'!$A$3,"Mese",3,"Tipologia",$A148,"Viaggio",$A$144)),0,GETPIVOTDATA("Somma di AVERE",'Pivot Amex'!$A$3,"Mese",3,"Tipologia",$A148,"Viaggio",$A$144))
-IF(ISERROR(GETPIVOTDATA("Somma di AVERE",'Pivot BBVA'!$A$3,"Mese",3,"Tipologia",$A148,"Viaggio",$A$144)),0,GETPIVOTDATA("Somma di AVERE",'Pivot BBVA'!$A$3,"Mese",3,"Tipologia",$A148,"Viaggio",$A$144))
-IF(ISERROR(GETPIVOTDATA("Somma di AVERE",'Pivot Fineco St'!$A$3,"Mese",3,"Tipologia",$A148,"Viaggio",$A$144)),0,GETPIVOTDATA("Somma di AVERE",'Pivot Fineco St'!$A$3,"Mese",3,"Tipologia",$A148,"Viaggio",$A$144))
-IF(ISERROR(GETPIVOTDATA("Somma di AVERE",'Pivot Fineco Sa'!$A$3,"Mese",3,"Tipologia",$A148,"Viaggio",$A$144)),0,GETPIVOTDATA("Somma di AVERE",'Pivot Fineco Sa'!$A$3,"Mese",3,"Tipologia",$A148,"Viaggio",$A$144))
+IF(ISERROR(GETPIVOTDATA("Somma di DARE",'Pivot PP Visa'!$A$3,"Mese",3,"Tipologia",$A148,"Viaggio",$A$144)),0,GETPIVOTDATA("Somma di DARE",'Pivot PP Visa'!$A$3,"Mese",3,"Tipologia",$A148,"Viaggio",$A$144))
-IF(ISERROR(GETPIVOTDATA("Somma di AVERE",'Pivot PP Visa'!$A$3,"Mese",3,"Tipologia",$A148,"Viaggio",$A$144)),0,GETPIVOTDATA("Somma di AVERE",'Pivot PP Visa'!$A$3,"Mese",3,"Tipologia",$A148,"Viaggio",$A$144))
+IF(ISERROR(GETPIVOTDATA("Somma di DARE",'Pivot Revolut'!$A$3,"Mese",3,"Tipologia",$A148,"Viaggio",$A$144)),0,GETPIVOTDATA("Somma di DARE",'Pivot Revolut'!$A$3,"Mese",3,"Tipologia",$A148,"Viaggio",$A$144))
-IF(ISERROR(GETPIVOTDATA("Somma di AVERE",'Pivot Revolut'!$A$3,"Mese",3,"Tipologia",$A148,"Viaggio",$A$144)),0,GETPIVOTDATA("Somma di AVERE",'Pivot Revolut'!$A$3,"Mese",3,"Tipologia",$A148,"Viaggio",$A$144))
+IF(ISERROR(GETPIVOTDATA("Somma di DARE",'Pivot RakBank EUR'!$A$3,"Mese",3,"Tipologia",$A148,"Viaggio",$A$144)),0,GETPIVOTDATA("Somma di DARE",'Pivot RakBank EUR'!$A$3,"Mese",3,"Tipologia",$A148,"Viaggio",$A$144))
-IF(ISERROR(GETPIVOTDATA("Somma di AVERE",'Pivot RakBank EUR'!$A$3,"Mese",3,"Tipologia",$A148,"Viaggio",$A$144)),0,GETPIVOTDATA("Somma di AVERE",'Pivot RakBank EUR'!$A$3,"Mese",3,"Tipologia",$A148,"Viaggio",$A$144))
+IF(ISERROR(GETPIVOTDATA("Somma di DARE EUR",'Pivot RakBank AED'!$A$3,"Mese",3,"Tipologia",$A148,"Viaggio",$A$144)),0,GETPIVOTDATA("Somma di DARE EUR",'Pivot RakBank AED'!$A$3,"Mese",3,"Tipologia",$A148,"Viaggio",$A$144))
-IF(ISERROR(GETPIVOTDATA("Somma di AVERE EUR",'Pivot RakBank AED'!$A$3,"Mese",3,"Tipologia",$A148,"Viaggio",$A$144)),0,GETPIVOTDATA("Somma di AVERE EUR",'Pivot RakBank AED'!$A$3,"Mese",3,"Tipologia",$A148,"Viaggio",$A$144))</f>
        <v>0</v>
      </c>
      <c r="F148" s="270">
        <f>IF(ISERROR(GETPIVOTDATA("Somma di DARE",'Pivot Fineco Sa'!$A$3,"Mese",4,"Tipologia",$A148,"Viaggio",$A$144)),0,GETPIVOTDATA("Somma di DARE",'Pivot Fineco Sa'!$A$3,"Mese",4,"Tipologia",$A148,"Viaggio",$A$144))
+IF(ISERROR(GETPIVOTDATA("Somma di DARE",'Pivot Fineco St'!$A$3,"Mese",4,"Tipologia",$A148,"Viaggio",$A$144)),0,GETPIVOTDATA("Somma di DARE",'Pivot Fineco St'!$A$3,"Mese",4,"Tipologia",$A148,"Viaggio",$A$144))
+IF(Contanti!$Q42='Conto Economico'!$A$144,Contanti!$N42)
+IF(ISERROR(GETPIVOTDATA("Somma di DARE",'Pivot BBVA'!$A$3,"Mese",4,"Tipologia",$A148,"Viaggio",$A$144)),0,GETPIVOTDATA("Somma di DARE",'Pivot BBVA'!$A$3,"Mese",4,"Tipologia",$A148,"Viaggio",$A$144))
+IF(ISERROR(GETPIVOTDATA("Somma di DARE",'Pivot Amex'!$A$3,"Mese",4,"Tipologia",$A148,"Viaggio",$A$144)),0,GETPIVOTDATA("Somma di DARE",'Pivot Amex'!$A$3,"Mese",4,"Tipologia",$A148,"Viaggio",$A$144))
-IF(ISERROR(GETPIVOTDATA("Somma di AVERE",'Pivot Amex'!$A$3,"Mese",4,"Tipologia",$A148,"Viaggio",$A$144)),0,GETPIVOTDATA("Somma di AVERE",'Pivot Amex'!$A$3,"Mese",4,"Tipologia",$A148,"Viaggio",$A$144))
-IF(ISERROR(GETPIVOTDATA("Somma di AVERE",'Pivot BBVA'!$A$3,"Mese",4,"Tipologia",$A148,"Viaggio",$A$144)),0,GETPIVOTDATA("Somma di AVERE",'Pivot BBVA'!$A$3,"Mese",4,"Tipologia",$A148,"Viaggio",$A$144))
-IF(ISERROR(GETPIVOTDATA("Somma di AVERE",'Pivot Fineco St'!$A$3,"Mese",4,"Tipologia",$A148,"Viaggio",$A$144)),0,GETPIVOTDATA("Somma di AVERE",'Pivot Fineco St'!$A$3,"Mese",4,"Tipologia",$A148,"Viaggio",$A$144))
-IF(ISERROR(GETPIVOTDATA("Somma di AVERE",'Pivot Fineco Sa'!$A$3,"Mese",4,"Tipologia",$A148,"Viaggio",$A$144)),0,GETPIVOTDATA("Somma di AVERE",'Pivot Fineco Sa'!$A$3,"Mese",4,"Tipologia",$A148,"Viaggio",$A$144))
+IF(ISERROR(GETPIVOTDATA("Somma di DARE",'Pivot PP Visa'!$A$3,"Mese",4,"Tipologia",$A148,"Viaggio",$A$144)),0,GETPIVOTDATA("Somma di DARE",'Pivot PP Visa'!$A$3,"Mese",4,"Tipologia",$A148,"Viaggio",$A$144))
-IF(ISERROR(GETPIVOTDATA("Somma di AVERE",'Pivot PP Visa'!$A$3,"Mese",4,"Tipologia",$A148,"Viaggio",$A$144)),0,GETPIVOTDATA("Somma di AVERE",'Pivot PP Visa'!$A$3,"Mese",4,"Tipologia",$A148,"Viaggio",$A$144))
+IF(ISERROR(GETPIVOTDATA("Somma di DARE",'Pivot Revolut'!$A$3,"Mese",4,"Tipologia",$A148,"Viaggio",$A$144)),0,GETPIVOTDATA("Somma di DARE",'Pivot Revolut'!$A$3,"Mese",4,"Tipologia",$A148,"Viaggio",$A$144))
-IF(ISERROR(GETPIVOTDATA("Somma di AVERE",'Pivot Revolut'!$A$3,"Mese",4,"Tipologia",$A148,"Viaggio",$A$144)),0,GETPIVOTDATA("Somma di AVERE",'Pivot Revolut'!$A$3,"Mese",4,"Tipologia",$A148,"Viaggio",$A$144))
+IF(ISERROR(GETPIVOTDATA("Somma di DARE",'Pivot RakBank EUR'!$A$3,"Mese",4,"Tipologia",$A148,"Viaggio",$A$144)),0,GETPIVOTDATA("Somma di DARE",'Pivot RakBank EUR'!$A$3,"Mese",4,"Tipologia",$A148,"Viaggio",$A$144))
-IF(ISERROR(GETPIVOTDATA("Somma di AVERE",'Pivot RakBank EUR'!$A$3,"Mese",4,"Tipologia",$A148,"Viaggio",$A$144)),0,GETPIVOTDATA("Somma di AVERE",'Pivot RakBank EUR'!$A$3,"Mese",4,"Tipologia",$A148,"Viaggio",$A$144))
+IF(ISERROR(GETPIVOTDATA("Somma di DARE EUR",'Pivot RakBank AED'!$A$3,"Mese",4,"Tipologia",$A148,"Viaggio",$A$144)),0,GETPIVOTDATA("Somma di DARE EUR",'Pivot RakBank AED'!$A$3,"Mese",4,"Tipologia",$A148,"Viaggio",$A$144))
-IF(ISERROR(GETPIVOTDATA("Somma di AVERE EUR",'Pivot RakBank AED'!$A$3,"Mese",4,"Tipologia",$A148,"Viaggio",$A$144)),0,GETPIVOTDATA("Somma di AVERE EUR",'Pivot RakBank AED'!$A$3,"Mese",4,"Tipologia",$A148,"Viaggio",$A$144))</f>
        <v>0</v>
      </c>
      <c r="G148" s="270">
        <f>IF(ISERROR(GETPIVOTDATA("Somma di DARE",'Pivot Fineco Sa'!$A$3,"Mese",5,"Tipologia",$A148,"Viaggio",$A$144)),0,GETPIVOTDATA("Somma di DARE",'Pivot Fineco Sa'!$A$3,"Mese",5,"Tipologia",$A148,"Viaggio",$A$144))
+IF(ISERROR(GETPIVOTDATA("Somma di DARE",'Pivot Fineco St'!$A$3,"Mese",5,"Tipologia",$A148,"Viaggio",$A$144)),0,GETPIVOTDATA("Somma di DARE",'Pivot Fineco St'!$A$3,"Mese",5,"Tipologia",$A148,"Viaggio",$A$144))
+IF(Contanti!$U42='Conto Economico'!$A$144,Contanti!$R42)
+IF(ISERROR(GETPIVOTDATA("Somma di DARE",'Pivot BBVA'!$A$3,"Mese",5,"Tipologia",$A148,"Viaggio",$A$144)),0,GETPIVOTDATA("Somma di DARE",'Pivot BBVA'!$A$3,"Mese",5,"Tipologia",$A148,"Viaggio",$A$144))
+IF(ISERROR(GETPIVOTDATA("Somma di DARE",'Pivot Amex'!$A$3,"Mese",5,"Tipologia",$A148,"Viaggio",$A$144)),0,GETPIVOTDATA("Somma di DARE",'Pivot Amex'!$A$3,"Mese",5,"Tipologia",$A148,"Viaggio",$A$144))
-IF(ISERROR(GETPIVOTDATA("Somma di AVERE",'Pivot Amex'!$A$3,"Mese",5,"Tipologia",$A148,"Viaggio",$A$144)),0,GETPIVOTDATA("Somma di AVERE",'Pivot Amex'!$A$3,"Mese",5,"Tipologia",$A148,"Viaggio",$A$144))
-IF(ISERROR(GETPIVOTDATA("Somma di AVERE",'Pivot BBVA'!$A$3,"Mese",5,"Tipologia",$A148,"Viaggio",$A$144)),0,GETPIVOTDATA("Somma di AVERE",'Pivot BBVA'!$A$3,"Mese",5,"Tipologia",$A148,"Viaggio",$A$144))
-IF(ISERROR(GETPIVOTDATA("Somma di AVERE",'Pivot Fineco St'!$A$3,"Mese",5,"Tipologia",$A148,"Viaggio",$A$144)),0,GETPIVOTDATA("Somma di AVERE",'Pivot Fineco St'!$A$3,"Mese",5,"Tipologia",$A148,"Viaggio",$A$144))
-IF(ISERROR(GETPIVOTDATA("Somma di AVERE",'Pivot Fineco Sa'!$A$3,"Mese",5,"Tipologia",$A148,"Viaggio",$A$144)),0,GETPIVOTDATA("Somma di AVERE",'Pivot Fineco Sa'!$A$3,"Mese",5,"Tipologia",$A148,"Viaggio",$A$144))
+IF(ISERROR(GETPIVOTDATA("Somma di DARE",'Pivot PP Visa'!$A$3,"Mese",5,"Tipologia",$A148,"Viaggio",$A$144)),0,GETPIVOTDATA("Somma di DARE",'Pivot PP Visa'!$A$3,"Mese",5,"Tipologia",$A148,"Viaggio",$A$144))
-IF(ISERROR(GETPIVOTDATA("Somma di AVERE",'Pivot PP Visa'!$A$3,"Mese",5,"Tipologia",$A148,"Viaggio",$A$144)),0,GETPIVOTDATA("Somma di AVERE",'Pivot PP Visa'!$A$3,"Mese",5,"Tipologia",$A148,"Viaggio",$A$144))
+IF(ISERROR(GETPIVOTDATA("Somma di DARE",'Pivot Revolut'!$A$3,"Mese",5,"Tipologia",$A148,"Viaggio",$A$144)),0,GETPIVOTDATA("Somma di DARE",'Pivot Revolut'!$A$3,"Mese",5,"Tipologia",$A148,"Viaggio",$A$144))
-IF(ISERROR(GETPIVOTDATA("Somma di AVERE",'Pivot Revolut'!$A$3,"Mese",5,"Tipologia",$A148,"Viaggio",$A$144)),0,GETPIVOTDATA("Somma di AVERE",'Pivot Revolut'!$A$3,"Mese",5,"Tipologia",$A148,"Viaggio",$A$144))
+IF(ISERROR(GETPIVOTDATA("Somma di DARE",'Pivot RakBank EUR'!$A$3,"Mese",5,"Tipologia",$A148,"Viaggio",$A$144)),0,GETPIVOTDATA("Somma di DARE",'Pivot RakBank EUR'!$A$3,"Mese",5,"Tipologia",$A148,"Viaggio",$A$144))
-IF(ISERROR(GETPIVOTDATA("Somma di AVERE",'Pivot RakBank EUR'!$A$3,"Mese",5,"Tipologia",$A148,"Viaggio",$A$144)),0,GETPIVOTDATA("Somma di AVERE",'Pivot RakBank EUR'!$A$3,"Mese",5,"Tipologia",$A148,"Viaggio",$A$144))
+IF(ISERROR(GETPIVOTDATA("Somma di DARE EUR",'Pivot RakBank AED'!$A$3,"Mese",5,"Tipologia",$A148,"Viaggio",$A$144)),0,GETPIVOTDATA("Somma di DARE EUR",'Pivot RakBank AED'!$A$3,"Mese",5,"Tipologia",$A148,"Viaggio",$A$144))
-IF(ISERROR(GETPIVOTDATA("Somma di AVERE EUR",'Pivot RakBank AED'!$A$3,"Mese",5,"Tipologia",$A148,"Viaggio",$A$144)),0,GETPIVOTDATA("Somma di AVERE EUR",'Pivot RakBank AED'!$A$3,"Mese",5,"Tipologia",$A148,"Viaggio",$A$144))</f>
        <v>13.096666666666668</v>
      </c>
      <c r="H148" s="270">
        <f>IF(ISERROR(GETPIVOTDATA("Somma di DARE",'Pivot Fineco Sa'!$A$3,"Mese",6,"Tipologia",$A148,"Viaggio",$A$144)),0,GETPIVOTDATA("Somma di DARE",'Pivot Fineco Sa'!$A$3,"Mese",6,"Tipologia",$A148,"Viaggio",$A$144))
+IF(ISERROR(GETPIVOTDATA("Somma di DARE",'Pivot Fineco St'!$A$3,"Mese",6,"Tipologia",$A148,"Viaggio",$A$144)),0,GETPIVOTDATA("Somma di DARE",'Pivot Fineco St'!$A$3,"Mese",6,"Tipologia",$A148,"Viaggio",$A$144))
+IF(Contanti!$Y42='Conto Economico'!$A$144,Contanti!$V42)
+IF(ISERROR(GETPIVOTDATA("Somma di DARE",'Pivot BBVA'!$A$3,"Mese",6,"Tipologia",$A148,"Viaggio",$A$144)),0,GETPIVOTDATA("Somma di DARE",'Pivot BBVA'!$A$3,"Mese",6,"Tipologia",$A148,"Viaggio",$A$144))
+IF(ISERROR(GETPIVOTDATA("Somma di DARE",'Pivot Amex'!$A$3,"Mese",6,"Tipologia",$A148,"Viaggio",$A$144)),0,GETPIVOTDATA("Somma di DARE",'Pivot Amex'!$A$3,"Mese",6,"Tipologia",$A148,"Viaggio",$A$144))
-IF(ISERROR(GETPIVOTDATA("Somma di AVERE",'Pivot Amex'!$A$3,"Mese",6,"Tipologia",$A148,"Viaggio",$A$144)),0,GETPIVOTDATA("Somma di AVERE",'Pivot Amex'!$A$3,"Mese",6,"Tipologia",$A148,"Viaggio",$A$144))
-IF(ISERROR(GETPIVOTDATA("Somma di AVERE",'Pivot BBVA'!$A$3,"Mese",6,"Tipologia",$A148,"Viaggio",$A$144)),0,GETPIVOTDATA("Somma di AVERE",'Pivot BBVA'!$A$3,"Mese",6,"Tipologia",$A148,"Viaggio",$A$144))
-IF(ISERROR(GETPIVOTDATA("Somma di AVERE",'Pivot Fineco St'!$A$3,"Mese",6,"Tipologia",$A148,"Viaggio",$A$144)),0,GETPIVOTDATA("Somma di AVERE",'Pivot Fineco St'!$A$3,"Mese",6,"Tipologia",$A148,"Viaggio",$A$144))
-IF(ISERROR(GETPIVOTDATA("Somma di AVERE",'Pivot Fineco Sa'!$A$3,"Mese",6,"Tipologia",$A148,"Viaggio",$A$144)),0,GETPIVOTDATA("Somma di AVERE",'Pivot Fineco Sa'!$A$3,"Mese",6,"Tipologia",$A148,"Viaggio",$A$144))
+IF(ISERROR(GETPIVOTDATA("Somma di DARE",'Pivot PP Visa'!$A$3,"Mese",6,"Tipologia",$A148,"Viaggio",$A$144)),0,GETPIVOTDATA("Somma di DARE",'Pivot PP Visa'!$A$3,"Mese",6,"Tipologia",$A148,"Viaggio",$A$144))
-IF(ISERROR(GETPIVOTDATA("Somma di AVERE",'Pivot PP Visa'!$A$3,"Mese",6,"Tipologia",$A148,"Viaggio",$A$144)),0,GETPIVOTDATA("Somma di AVERE",'Pivot PP Visa'!$A$3,"Mese",6,"Tipologia",$A148,"Viaggio",$A$144))
+IF(ISERROR(GETPIVOTDATA("Somma di DARE",'Pivot Revolut'!$A$3,"Mese",6,"Tipologia",$A148,"Viaggio",$A$144)),0,GETPIVOTDATA("Somma di DARE",'Pivot Revolut'!$A$3,"Mese",6,"Tipologia",$A148,"Viaggio",$A$144))
-IF(ISERROR(GETPIVOTDATA("Somma di AVERE",'Pivot Revolut'!$A$3,"Mese",6,"Tipologia",$A148,"Viaggio",$A$144)),0,GETPIVOTDATA("Somma di AVERE",'Pivot Revolut'!$A$3,"Mese",6,"Tipologia",$A148,"Viaggio",$A$144))
+IF(ISERROR(GETPIVOTDATA("Somma di DARE",'Pivot RakBank EUR'!$A$3,"Mese",6,"Tipologia",$A148,"Viaggio",$A$144)),0,GETPIVOTDATA("Somma di DARE",'Pivot RakBank EUR'!$A$3,"Mese",6,"Tipologia",$A148,"Viaggio",$A$144))
-IF(ISERROR(GETPIVOTDATA("Somma di AVERE",'Pivot RakBank EUR'!$A$3,"Mese",6,"Tipologia",$A148,"Viaggio",$A$144)),0,GETPIVOTDATA("Somma di AVERE",'Pivot RakBank EUR'!$A$3,"Mese",6,"Tipologia",$A148,"Viaggio",$A$144))
+IF(ISERROR(GETPIVOTDATA("Somma di DARE EUR",'Pivot RakBank AED'!$A$3,"Mese",6,"Tipologia",$A148,"Viaggio",$A$144)),0,GETPIVOTDATA("Somma di DARE EUR",'Pivot RakBank AED'!$A$3,"Mese",6,"Tipologia",$A148,"Viaggio",$A$144))
-IF(ISERROR(GETPIVOTDATA("Somma di AVERE EUR",'Pivot RakBank AED'!$A$3,"Mese",6,"Tipologia",$A148,"Viaggio",$A$144)),0,GETPIVOTDATA("Somma di AVERE EUR",'Pivot RakBank AED'!$A$3,"Mese",6,"Tipologia",$A148,"Viaggio",$A$144))</f>
        <v>0</v>
      </c>
      <c r="I148" s="270">
        <f>IF(ISERROR(GETPIVOTDATA("Somma di DARE",'Pivot Fineco Sa'!$A$3,"Mese",7,"Tipologia",$A148,"Viaggio",$A$144)),0,GETPIVOTDATA("Somma di DARE",'Pivot Fineco Sa'!$A$3,"Mese",7,"Tipologia",$A148,"Viaggio",$A$144))
+IF(ISERROR(GETPIVOTDATA("Somma di DARE",'Pivot Fineco St'!$A$3,"Mese",7,"Tipologia",$A148,"Viaggio",$A$144)),0,GETPIVOTDATA("Somma di DARE",'Pivot Fineco St'!$A$3,"Mese",7,"Tipologia",$A148,"Viaggio",$A$144))
+IF(Contanti!$AC42='Conto Economico'!$A$144,Contanti!$Z42)
+IF(ISERROR(GETPIVOTDATA("Somma di DARE",'Pivot BBVA'!$A$3,"Mese",7,"Tipologia",$A148,"Viaggio",$A$144)),0,GETPIVOTDATA("Somma di DARE",'Pivot BBVA'!$A$3,"Mese",7,"Tipologia",$A148,"Viaggio",$A$144))
+IF(ISERROR(GETPIVOTDATA("Somma di DARE",'Pivot Amex'!$A$3,"Mese",7,"Tipologia",$A148,"Viaggio",$A$144)),0,GETPIVOTDATA("Somma di DARE",'Pivot Amex'!$A$3,"Mese",7,"Tipologia",$A148,"Viaggio",$A$144))
-IF(ISERROR(GETPIVOTDATA("Somma di AVERE",'Pivot Amex'!$A$3,"Mese",7,"Tipologia",$A148,"Viaggio",$A$144)),0,GETPIVOTDATA("Somma di AVERE",'Pivot Amex'!$A$3,"Mese",7,"Tipologia",$A148,"Viaggio",$A$144))
-IF(ISERROR(GETPIVOTDATA("Somma di AVERE",'Pivot BBVA'!$A$3,"Mese",7,"Tipologia",$A148,"Viaggio",$A$144)),0,GETPIVOTDATA("Somma di AVERE",'Pivot BBVA'!$A$3,"Mese",7,"Tipologia",$A148,"Viaggio",$A$144))
-IF(ISERROR(GETPIVOTDATA("Somma di AVERE",'Pivot Fineco St'!$A$3,"Mese",7,"Tipologia",$A148,"Viaggio",$A$144)),0,GETPIVOTDATA("Somma di AVERE",'Pivot Fineco St'!$A$3,"Mese",7,"Tipologia",$A148,"Viaggio",$A$144))
-IF(ISERROR(GETPIVOTDATA("Somma di AVERE",'Pivot Fineco Sa'!$A$3,"Mese",7,"Tipologia",$A148,"Viaggio",$A$144)),0,GETPIVOTDATA("Somma di AVERE",'Pivot Fineco Sa'!$A$3,"Mese",7,"Tipologia",$A148,"Viaggio",$A$144))
+IF(ISERROR(GETPIVOTDATA("Somma di DARE",'Pivot PP Visa'!$A$3,"Mese",7,"Tipologia",$A148,"Viaggio",$A$144)),0,GETPIVOTDATA("Somma di DARE",'Pivot PP Visa'!$A$3,"Mese",7,"Tipologia",$A148,"Viaggio",$A$144))
-IF(ISERROR(GETPIVOTDATA("Somma di AVERE",'Pivot PP Visa'!$A$3,"Mese",7,"Tipologia",$A148,"Viaggio",$A$144)),0,GETPIVOTDATA("Somma di AVERE",'Pivot PP Visa'!$A$3,"Mese",7,"Tipologia",$A148,"Viaggio",$A$144))
+IF(ISERROR(GETPIVOTDATA("Somma di DARE",'Pivot Revolut'!$A$3,"Mese",7,"Tipologia",$A148,"Viaggio",$A$144)),0,GETPIVOTDATA("Somma di DARE",'Pivot Revolut'!$A$3,"Mese",7,"Tipologia",$A148,"Viaggio",$A$144))
-IF(ISERROR(GETPIVOTDATA("Somma di AVERE",'Pivot Revolut'!$A$3,"Mese",7,"Tipologia",$A148,"Viaggio",$A$144)),0,GETPIVOTDATA("Somma di AVERE",'Pivot Revolut'!$A$3,"Mese",7,"Tipologia",$A148,"Viaggio",$A$144))
+IF(ISERROR(GETPIVOTDATA("Somma di DARE",'Pivot RakBank EUR'!$A$3,"Mese",7,"Tipologia",$A148,"Viaggio",$A$144)),0,GETPIVOTDATA("Somma di DARE",'Pivot RakBank EUR'!$A$3,"Mese",7,"Tipologia",$A148,"Viaggio",$A$144))
-IF(ISERROR(GETPIVOTDATA("Somma di AVERE",'Pivot RakBank EUR'!$A$3,"Mese",7,"Tipologia",$A148,"Viaggio",$A$144)),0,GETPIVOTDATA("Somma di AVERE",'Pivot RakBank EUR'!$A$3,"Mese",7,"Tipologia",$A148,"Viaggio",$A$144))
+IF(ISERROR(GETPIVOTDATA("Somma di DARE EUR",'Pivot RakBank AED'!$A$3,"Mese",7,"Tipologia",$A148,"Viaggio",$A$144)),0,GETPIVOTDATA("Somma di DARE EUR",'Pivot RakBank AED'!$A$3,"Mese",7,"Tipologia",$A148,"Viaggio",$A$144))
-IF(ISERROR(GETPIVOTDATA("Somma di AVERE EUR",'Pivot RakBank AED'!$A$3,"Mese",7,"Tipologia",$A148,"Viaggio",$A$144)),0,GETPIVOTDATA("Somma di AVERE EUR",'Pivot RakBank AED'!$A$3,"Mese",7,"Tipologia",$A148,"Viaggio",$A$144))</f>
        <v>0</v>
      </c>
      <c r="J148" s="270">
        <f>IF(ISERROR(GETPIVOTDATA("Somma di DARE",'Pivot Fineco Sa'!$A$3,"Mese",8,"Tipologia",$A148,"Viaggio",$A$144)),0,GETPIVOTDATA("Somma di DARE",'Pivot Fineco Sa'!$A$3,"Mese",8,"Tipologia",$A148,"Viaggio",$A$144))
+IF(ISERROR(GETPIVOTDATA("Somma di DARE",'Pivot Fineco St'!$A$3,"Mese",8,"Tipologia",$A148,"Viaggio",$A$144)),0,GETPIVOTDATA("Somma di DARE",'Pivot Fineco St'!$A$3,"Mese",8,"Tipologia",$A148,"Viaggio",$A$144))
+IF(Contanti!$AG42='Conto Economico'!$A$144,Contanti!$AD42)
+IF(ISERROR(GETPIVOTDATA("Somma di DARE",'Pivot BBVA'!$A$3,"Mese",8,"Tipologia",$A148,"Viaggio",$A$144)),0,GETPIVOTDATA("Somma di DARE",'Pivot BBVA'!$A$3,"Mese",8,"Tipologia",$A148,"Viaggio",$A$144))
+IF(ISERROR(GETPIVOTDATA("Somma di DARE",'Pivot Amex'!$A$3,"Mese",8,"Tipologia",$A148,"Viaggio",$A$144)),0,GETPIVOTDATA("Somma di DARE",'Pivot Amex'!$A$3,"Mese",8,"Tipologia",$A148,"Viaggio",$A$144))
-IF(ISERROR(GETPIVOTDATA("Somma di AVERE",'Pivot Amex'!$A$3,"Mese",8,"Tipologia",$A148,"Viaggio",$A$144)),0,GETPIVOTDATA("Somma di AVERE",'Pivot Amex'!$A$3,"Mese",8,"Tipologia",$A148,"Viaggio",$A$144))
-IF(ISERROR(GETPIVOTDATA("Somma di AVERE",'Pivot BBVA'!$A$3,"Mese",8,"Tipologia",$A148,"Viaggio",$A$144)),0,GETPIVOTDATA("Somma di AVERE",'Pivot BBVA'!$A$3,"Mese",8,"Tipologia",$A148,"Viaggio",$A$144))
-IF(ISERROR(GETPIVOTDATA("Somma di AVERE",'Pivot Fineco St'!$A$3,"Mese",8,"Tipologia",$A148,"Viaggio",$A$144)),0,GETPIVOTDATA("Somma di AVERE",'Pivot Fineco St'!$A$3,"Mese",8,"Tipologia",$A148,"Viaggio",$A$144))
-IF(ISERROR(GETPIVOTDATA("Somma di AVERE",'Pivot Fineco Sa'!$A$3,"Mese",8,"Tipologia",$A148,"Viaggio",$A$144)),0,GETPIVOTDATA("Somma di AVERE",'Pivot Fineco Sa'!$A$3,"Mese",8,"Tipologia",$A148,"Viaggio",$A$144))
+IF(ISERROR(GETPIVOTDATA("Somma di DARE",'Pivot PP Visa'!$A$3,"Mese",8,"Tipologia",$A148,"Viaggio",$A$144)),0,GETPIVOTDATA("Somma di DARE",'Pivot PP Visa'!$A$3,"Mese",8,"Tipologia",$A148,"Viaggio",$A$144))
-IF(ISERROR(GETPIVOTDATA("Somma di AVERE",'Pivot PP Visa'!$A$3,"Mese",8,"Tipologia",$A148,"Viaggio",$A$144)),0,GETPIVOTDATA("Somma di AVERE",'Pivot PP Visa'!$A$3,"Mese",8,"Tipologia",$A148,"Viaggio",$A$144))
+IF(ISERROR(GETPIVOTDATA("Somma di DARE",'Pivot Revolut'!$A$3,"Mese",8,"Tipologia",$A148,"Viaggio",$A$144)),0,GETPIVOTDATA("Somma di DARE",'Pivot Revolut'!$A$3,"Mese",8,"Tipologia",$A148,"Viaggio",$A$144))
-IF(ISERROR(GETPIVOTDATA("Somma di AVERE",'Pivot Revolut'!$A$3,"Mese",8,"Tipologia",$A148,"Viaggio",$A$144)),0,GETPIVOTDATA("Somma di AVERE",'Pivot Revolut'!$A$3,"Mese",8,"Tipologia",$A148,"Viaggio",$A$144))
+IF(ISERROR(GETPIVOTDATA("Somma di DARE",'Pivot RakBank EUR'!$A$3,"Mese",8,"Tipologia",$A148,"Viaggio",$A$144)),0,GETPIVOTDATA("Somma di DARE",'Pivot RakBank EUR'!$A$3,"Mese",8,"Tipologia",$A148,"Viaggio",$A$144))
-IF(ISERROR(GETPIVOTDATA("Somma di AVERE",'Pivot RakBank EUR'!$A$3,"Mese",8,"Tipologia",$A148,"Viaggio",$A$144)),0,GETPIVOTDATA("Somma di AVERE",'Pivot RakBank EUR'!$A$3,"Mese",8,"Tipologia",$A148,"Viaggio",$A$144))
+IF(ISERROR(GETPIVOTDATA("Somma di DARE EUR",'Pivot RakBank AED'!$A$3,"Mese",8,"Tipologia",$A148,"Viaggio",$A$144)),0,GETPIVOTDATA("Somma di DARE EUR",'Pivot RakBank AED'!$A$3,"Mese",8,"Tipologia",$A148,"Viaggio",$A$144))
-IF(ISERROR(GETPIVOTDATA("Somma di AVERE EUR",'Pivot RakBank AED'!$A$3,"Mese",8,"Tipologia",$A148,"Viaggio",$A$144)),0,GETPIVOTDATA("Somma di AVERE EUR",'Pivot RakBank AED'!$A$3,"Mese",8,"Tipologia",$A148,"Viaggio",$A$144))</f>
        <v>0</v>
      </c>
      <c r="K148" s="270">
        <f>IF(ISERROR(GETPIVOTDATA("Somma di DARE",'Pivot Fineco Sa'!$A$3,"Mese",9,"Tipologia",$A148,"Viaggio",$A$144)),0,GETPIVOTDATA("Somma di DARE",'Pivot Fineco Sa'!$A$3,"Mese",9,"Tipologia",$A148,"Viaggio",$A$144))
+IF(ISERROR(GETPIVOTDATA("Somma di DARE",'Pivot Fineco St'!$A$3,"Mese",9,"Tipologia",$A148,"Viaggio",$A$144)),0,GETPIVOTDATA("Somma di DARE",'Pivot Fineco St'!$A$3,"Mese",9,"Tipologia",$A148,"Viaggio",$A$144))
+IF(Contanti!$AK42='Conto Economico'!$A$144,Contanti!$AH42)
+IF(ISERROR(GETPIVOTDATA("Somma di DARE",'Pivot BBVA'!$A$3,"Mese",9,"Tipologia",$A148,"Viaggio",$A$144)),0,GETPIVOTDATA("Somma di DARE",'Pivot BBVA'!$A$3,"Mese",9,"Tipologia",$A148,"Viaggio",$A$144))
+IF(ISERROR(GETPIVOTDATA("Somma di DARE",'Pivot Amex'!$A$3,"Mese",9,"Tipologia",$A148,"Viaggio",$A$144)),0,GETPIVOTDATA("Somma di DARE",'Pivot Amex'!$A$3,"Mese",9,"Tipologia",$A148,"Viaggio",$A$144))
-IF(ISERROR(GETPIVOTDATA("Somma di AVERE",'Pivot Amex'!$A$3,"Mese",9,"Tipologia",$A148,"Viaggio",$A$144)),0,GETPIVOTDATA("Somma di AVERE",'Pivot Amex'!$A$3,"Mese",9,"Tipologia",$A148,"Viaggio",$A$144))
-IF(ISERROR(GETPIVOTDATA("Somma di AVERE",'Pivot BBVA'!$A$3,"Mese",9,"Tipologia",$A148,"Viaggio",$A$144)),0,GETPIVOTDATA("Somma di AVERE",'Pivot BBVA'!$A$3,"Mese",9,"Tipologia",$A148,"Viaggio",$A$144))
-IF(ISERROR(GETPIVOTDATA("Somma di AVERE",'Pivot Fineco St'!$A$3,"Mese",9,"Tipologia",$A148,"Viaggio",$A$144)),0,GETPIVOTDATA("Somma di AVERE",'Pivot Fineco St'!$A$3,"Mese",9,"Tipologia",$A148,"Viaggio",$A$144))
-IF(ISERROR(GETPIVOTDATA("Somma di AVERE",'Pivot Fineco Sa'!$A$3,"Mese",9,"Tipologia",$A148,"Viaggio",$A$144)),0,GETPIVOTDATA("Somma di AVERE",'Pivot Fineco Sa'!$A$3,"Mese",9,"Tipologia",$A148,"Viaggio",$A$144))
+IF(ISERROR(GETPIVOTDATA("Somma di DARE",'Pivot PP Visa'!$A$3,"Mese",9,"Tipologia",$A148,"Viaggio",$A$144)),0,GETPIVOTDATA("Somma di DARE",'Pivot PP Visa'!$A$3,"Mese",9,"Tipologia",$A148,"Viaggio",$A$144))
-IF(ISERROR(GETPIVOTDATA("Somma di AVERE",'Pivot PP Visa'!$A$3,"Mese",9,"Tipologia",$A148,"Viaggio",$A$144)),0,GETPIVOTDATA("Somma di AVERE",'Pivot PP Visa'!$A$3,"Mese",9,"Tipologia",$A148,"Viaggio",$A$144))
+IF(ISERROR(GETPIVOTDATA("Somma di DARE",'Pivot Revolut'!$A$3,"Mese",9,"Tipologia",$A148,"Viaggio",$A$144)),0,GETPIVOTDATA("Somma di DARE",'Pivot Revolut'!$A$3,"Mese",9,"Tipologia",$A148,"Viaggio",$A$144))
-IF(ISERROR(GETPIVOTDATA("Somma di AVERE",'Pivot Revolut'!$A$3,"Mese",9,"Tipologia",$A148,"Viaggio",$A$144)),0,GETPIVOTDATA("Somma di AVERE",'Pivot Revolut'!$A$3,"Mese",9,"Tipologia",$A148,"Viaggio",$A$144))
+IF(ISERROR(GETPIVOTDATA("Somma di DARE",'Pivot RakBank EUR'!$A$3,"Mese",9,"Tipologia",$A148,"Viaggio",$A$144)),0,GETPIVOTDATA("Somma di DARE",'Pivot RakBank EUR'!$A$3,"Mese",9,"Tipologia",$A148,"Viaggio",$A$144))
-IF(ISERROR(GETPIVOTDATA("Somma di AVERE",'Pivot RakBank EUR'!$A$3,"Mese",9,"Tipologia",$A148,"Viaggio",$A$144)),0,GETPIVOTDATA("Somma di AVERE",'Pivot RakBank EUR'!$A$3,"Mese",9,"Tipologia",$A148,"Viaggio",$A$144))
+IF(ISERROR(GETPIVOTDATA("Somma di DARE EUR",'Pivot RakBank AED'!$A$3,"Mese",9,"Tipologia",$A148,"Viaggio",$A$144)),0,GETPIVOTDATA("Somma di DARE EUR",'Pivot RakBank AED'!$A$3,"Mese",9,"Tipologia",$A148,"Viaggio",$A$144))
-IF(ISERROR(GETPIVOTDATA("Somma di AVERE EUR",'Pivot RakBank AED'!$A$3,"Mese",9,"Tipologia",$A148,"Viaggio",$A$144)),0,GETPIVOTDATA("Somma di AVERE EUR",'Pivot RakBank AED'!$A$3,"Mese",9,"Tipologia",$A148,"Viaggio",$A$144))</f>
        <v>0</v>
      </c>
      <c r="L148" s="270">
        <f>IF(ISERROR(GETPIVOTDATA("Somma di DARE",'Pivot Fineco Sa'!$A$3,"Mese",10,"Tipologia",$A148,"Viaggio",$A$144)),0,GETPIVOTDATA("Somma di DARE",'Pivot Fineco Sa'!$A$3,"Mese",10,"Tipologia",$A148,"Viaggio",$A$144))
+IF(ISERROR(GETPIVOTDATA("Somma di DARE",'Pivot Fineco St'!$A$3,"Mese",10,"Tipologia",$A148,"Viaggio",$A$144)),0,GETPIVOTDATA("Somma di DARE",'Pivot Fineco St'!$A$3,"Mese",10,"Tipologia",$A148,"Viaggio",$A$144))
+IF(Contanti!$AO42='Conto Economico'!$A$144,Contanti!$AL42)
+IF(ISERROR(GETPIVOTDATA("Somma di DARE",'Pivot BBVA'!$A$3,"Mese",10,"Tipologia",$A148,"Viaggio",$A$144)),0,GETPIVOTDATA("Somma di DARE",'Pivot BBVA'!$A$3,"Mese",10,"Tipologia",$A148,"Viaggio",$A$144))
+IF(ISERROR(GETPIVOTDATA("Somma di DARE",'Pivot Amex'!$A$3,"Mese",10,"Tipologia",$A148,"Viaggio",$A$144)),0,GETPIVOTDATA("Somma di DARE",'Pivot Amex'!$A$3,"Mese",10,"Tipologia",$A148,"Viaggio",$A$144))
-IF(ISERROR(GETPIVOTDATA("Somma di AVERE",'Pivot Amex'!$A$3,"Mese",10,"Tipologia",$A148,"Viaggio",$A$144)),0,GETPIVOTDATA("Somma di AVERE",'Pivot Amex'!$A$3,"Mese",10,"Tipologia",$A148,"Viaggio",$A$144))
-IF(ISERROR(GETPIVOTDATA("Somma di AVERE",'Pivot BBVA'!$A$3,"Mese",10,"Tipologia",$A148,"Viaggio",$A$144)),0,GETPIVOTDATA("Somma di AVERE",'Pivot BBVA'!$A$3,"Mese",10,"Tipologia",$A148,"Viaggio",$A$144))
-IF(ISERROR(GETPIVOTDATA("Somma di AVERE",'Pivot Fineco St'!$A$3,"Mese",10,"Tipologia",$A148,"Viaggio",$A$144)),0,GETPIVOTDATA("Somma di AVERE",'Pivot Fineco St'!$A$3,"Mese",10,"Tipologia",$A148,"Viaggio",$A$144))
-IF(ISERROR(GETPIVOTDATA("Somma di AVERE",'Pivot Fineco Sa'!$A$3,"Mese",10,"Tipologia",$A148,"Viaggio",$A$144)),0,GETPIVOTDATA("Somma di AVERE",'Pivot Fineco Sa'!$A$3,"Mese",10,"Tipologia",$A148,"Viaggio",$A$144))
+IF(ISERROR(GETPIVOTDATA("Somma di DARE",'Pivot PP Visa'!$A$3,"Mese",10,"Tipologia",$A148,"Viaggio",$A$144)),0,GETPIVOTDATA("Somma di DARE",'Pivot PP Visa'!$A$3,"Mese",10,"Tipologia",$A148,"Viaggio",$A$144))
-IF(ISERROR(GETPIVOTDATA("Somma di AVERE",'Pivot PP Visa'!$A$3,"Mese",10,"Tipologia",$A148,"Viaggio",$A$144)),0,GETPIVOTDATA("Somma di AVERE",'Pivot PP Visa'!$A$3,"Mese",10,"Tipologia",$A148,"Viaggio",$A$144))
+IF(ISERROR(GETPIVOTDATA("Somma di DARE",'Pivot Revolut'!$A$3,"Mese",10,"Tipologia",$A148,"Viaggio",$A$144)),0,GETPIVOTDATA("Somma di DARE",'Pivot Revolut'!$A$3,"Mese",10,"Tipologia",$A148,"Viaggio",$A$144))
-IF(ISERROR(GETPIVOTDATA("Somma di AVERE",'Pivot Revolut'!$A$3,"Mese",10,"Tipologia",$A148,"Viaggio",$A$144)),0,GETPIVOTDATA("Somma di AVERE",'Pivot Revolut'!$A$3,"Mese",10,"Tipologia",$A148,"Viaggio",$A$144))
+IF(ISERROR(GETPIVOTDATA("Somma di DARE",'Pivot RakBank EUR'!$A$3,"Mese",10,"Tipologia",$A148,"Viaggio",$A$144)),0,GETPIVOTDATA("Somma di DARE",'Pivot RakBank EUR'!$A$3,"Mese",10,"Tipologia",$A148,"Viaggio",$A$144))
-IF(ISERROR(GETPIVOTDATA("Somma di AVERE",'Pivot RakBank EUR'!$A$3,"Mese",10,"Tipologia",$A148,"Viaggio",$A$144)),0,GETPIVOTDATA("Somma di AVERE",'Pivot RakBank EUR'!$A$3,"Mese",10,"Tipologia",$A148,"Viaggio",$A$144))
+IF(ISERROR(GETPIVOTDATA("Somma di DARE EUR",'Pivot RakBank AED'!$A$3,"Mese",10,"Tipologia",$A148,"Viaggio",$A$144)),0,GETPIVOTDATA("Somma di DARE EUR",'Pivot RakBank AED'!$A$3,"Mese",10,"Tipologia",$A148,"Viaggio",$A$144))
-IF(ISERROR(GETPIVOTDATA("Somma di AVERE EUR",'Pivot RakBank AED'!$A$3,"Mese",10,"Tipologia",$A148,"Viaggio",$A$144)),0,GETPIVOTDATA("Somma di AVERE EUR",'Pivot RakBank AED'!$A$3,"Mese",10,"Tipologia",$A148,"Viaggio",$A$144))</f>
        <v>0</v>
      </c>
      <c r="M148" s="270">
        <f>IF(ISERROR(GETPIVOTDATA("Somma di DARE",'Pivot Fineco Sa'!$A$3,"Mese",11,"Tipologia",$A148,"Viaggio",$A$144)),0,GETPIVOTDATA("Somma di DARE",'Pivot Fineco Sa'!$A$3,"Mese",11,"Tipologia",$A148,"Viaggio",$A$144))
+IF(ISERROR(GETPIVOTDATA("Somma di DARE",'Pivot Fineco St'!$A$3,"Mese",11,"Tipologia",$A148,"Viaggio",$A$144)),0,GETPIVOTDATA("Somma di DARE",'Pivot Fineco St'!$A$3,"Mese",11,"Tipologia",$A148,"Viaggio",$A$144))
+IF(Contanti!$AS42='Conto Economico'!$A$144,Contanti!$AP42)
+IF(ISERROR(GETPIVOTDATA("Somma di DARE",'Pivot BBVA'!$A$3,"Mese",11,"Tipologia",$A148,"Viaggio",$A$144)),0,GETPIVOTDATA("Somma di DARE",'Pivot BBVA'!$A$3,"Mese",11,"Tipologia",$A148,"Viaggio",$A$144))
+IF(ISERROR(GETPIVOTDATA("Somma di DARE",'Pivot Amex'!$A$3,"Mese",11,"Tipologia",$A148,"Viaggio",$A$144)),0,GETPIVOTDATA("Somma di DARE",'Pivot Amex'!$A$3,"Mese",11,"Tipologia",$A148,"Viaggio",$A$144))
-IF(ISERROR(GETPIVOTDATA("Somma di AVERE",'Pivot Amex'!$A$3,"Mese",11,"Tipologia",$A148,"Viaggio",$A$144)),0,GETPIVOTDATA("Somma di AVERE",'Pivot Amex'!$A$3,"Mese",11,"Tipologia",$A148,"Viaggio",$A$144))
-IF(ISERROR(GETPIVOTDATA("Somma di AVERE",'Pivot BBVA'!$A$3,"Mese",11,"Tipologia",$A148,"Viaggio",$A$144)),0,GETPIVOTDATA("Somma di AVERE",'Pivot BBVA'!$A$3,"Mese",11,"Tipologia",$A148,"Viaggio",$A$144))
-IF(ISERROR(GETPIVOTDATA("Somma di AVERE",'Pivot Fineco St'!$A$3,"Mese",11,"Tipologia",$A148,"Viaggio",$A$144)),0,GETPIVOTDATA("Somma di AVERE",'Pivot Fineco St'!$A$3,"Mese",11,"Tipologia",$A148,"Viaggio",$A$144))
-IF(ISERROR(GETPIVOTDATA("Somma di AVERE",'Pivot Fineco Sa'!$A$3,"Mese",11,"Tipologia",$A148,"Viaggio",$A$144)),0,GETPIVOTDATA("Somma di AVERE",'Pivot Fineco Sa'!$A$3,"Mese",11,"Tipologia",$A148,"Viaggio",$A$144))
+IF(ISERROR(GETPIVOTDATA("Somma di DARE",'Pivot PP Visa'!$A$3,"Mese",11,"Tipologia",$A148,"Viaggio",$A$144)),0,GETPIVOTDATA("Somma di DARE",'Pivot PP Visa'!$A$3,"Mese",11,"Tipologia",$A148,"Viaggio",$A$144))
-IF(ISERROR(GETPIVOTDATA("Somma di AVERE",'Pivot PP Visa'!$A$3,"Mese",11,"Tipologia",$A148,"Viaggio",$A$144)),0,GETPIVOTDATA("Somma di AVERE",'Pivot PP Visa'!$A$3,"Mese",11,"Tipologia",$A148,"Viaggio",$A$144))
+IF(ISERROR(GETPIVOTDATA("Somma di DARE",'Pivot Revolut'!$A$3,"Mese",11,"Tipologia",$A148,"Viaggio",$A$144)),0,GETPIVOTDATA("Somma di DARE",'Pivot Revolut'!$A$3,"Mese",11,"Tipologia",$A148,"Viaggio",$A$144))
-IF(ISERROR(GETPIVOTDATA("Somma di AVERE",'Pivot Revolut'!$A$3,"Mese",11,"Tipologia",$A148,"Viaggio",$A$144)),0,GETPIVOTDATA("Somma di AVERE",'Pivot Revolut'!$A$3,"Mese",11,"Tipologia",$A148,"Viaggio",$A$144))
+IF(ISERROR(GETPIVOTDATA("Somma di DARE",'Pivot RakBank EUR'!$A$3,"Mese",11,"Tipologia",$A148,"Viaggio",$A$144)),0,GETPIVOTDATA("Somma di DARE",'Pivot RakBank EUR'!$A$3,"Mese",11,"Tipologia",$A148,"Viaggio",$A$144))
-IF(ISERROR(GETPIVOTDATA("Somma di AVERE",'Pivot RakBank EUR'!$A$3,"Mese",11,"Tipologia",$A148,"Viaggio",$A$144)),0,GETPIVOTDATA("Somma di AVERE",'Pivot RakBank EUR'!$A$3,"Mese",11,"Tipologia",$A148,"Viaggio",$A$144))
+IF(ISERROR(GETPIVOTDATA("Somma di DARE EUR",'Pivot RakBank AED'!$A$3,"Mese",11,"Tipologia",$A148,"Viaggio",$A$144)),0,GETPIVOTDATA("Somma di DARE EUR",'Pivot RakBank AED'!$A$3,"Mese",11,"Tipologia",$A148,"Viaggio",$A$144))
-IF(ISERROR(GETPIVOTDATA("Somma di AVERE EUR",'Pivot RakBank AED'!$A$3,"Mese",11,"Tipologia",$A148,"Viaggio",$A$144)),0,GETPIVOTDATA("Somma di AVERE EUR",'Pivot RakBank AED'!$A$3,"Mese",11,"Tipologia",$A148,"Viaggio",$A$144))</f>
        <v>0</v>
      </c>
      <c r="N148" s="270">
        <f>IF(ISERROR(GETPIVOTDATA("Somma di DARE",'Pivot Fineco Sa'!$A$3,"Mese",12,"Tipologia",$A148,"Viaggio",$A$144)),0,GETPIVOTDATA("Somma di DARE",'Pivot Fineco Sa'!$A$3,"Mese",12,"Tipologia",$A148,"Viaggio",$A$144))
+IF(ISERROR(GETPIVOTDATA("Somma di DARE",'Pivot Fineco St'!$A$3,"Mese",12,"Tipologia",$A148,"Viaggio",$A$144)),0,GETPIVOTDATA("Somma di DARE",'Pivot Fineco St'!$A$3,"Mese",12,"Tipologia",$A148,"Viaggio",$A$144))
+IF(Contanti!$AW42='Conto Economico'!$A$144,Contanti!$AT42)
+IF(ISERROR(GETPIVOTDATA("Somma di DARE",'Pivot BBVA'!$A$3,"Mese",12,"Tipologia",$A148,"Viaggio",$A$144)),0,GETPIVOTDATA("Somma di DARE",'Pivot BBVA'!$A$3,"Mese",12,"Tipologia",$A148,"Viaggio",$A$144))
+IF(ISERROR(GETPIVOTDATA("Somma di DARE",'Pivot Amex'!$A$3,"Mese",12,"Tipologia",$A148,"Viaggio",$A$144)),0,GETPIVOTDATA("Somma di DARE",'Pivot Amex'!$A$3,"Mese",12,"Tipologia",$A148,"Viaggio",$A$144))
-IF(ISERROR(GETPIVOTDATA("Somma di AVERE",'Pivot Amex'!$A$3,"Mese",12,"Tipologia",$A148,"Viaggio",$A$144)),0,GETPIVOTDATA("Somma di AVERE",'Pivot Amex'!$A$3,"Mese",12,"Tipologia",$A148,"Viaggio",$A$144))
-IF(ISERROR(GETPIVOTDATA("Somma di AVERE",'Pivot BBVA'!$A$3,"Mese",12,"Tipologia",$A148,"Viaggio",$A$144)),0,GETPIVOTDATA("Somma di AVERE",'Pivot BBVA'!$A$3,"Mese",12,"Tipologia",$A148,"Viaggio",$A$144))
-IF(ISERROR(GETPIVOTDATA("Somma di AVERE",'Pivot Fineco St'!$A$3,"Mese",12,"Tipologia",$A148,"Viaggio",$A$144)),0,GETPIVOTDATA("Somma di AVERE",'Pivot Fineco St'!$A$3,"Mese",12,"Tipologia",$A148,"Viaggio",$A$144))
-IF(ISERROR(GETPIVOTDATA("Somma di AVERE",'Pivot Fineco Sa'!$A$3,"Mese",12,"Tipologia",$A148,"Viaggio",$A$144)),0,GETPIVOTDATA("Somma di AVERE",'Pivot Fineco Sa'!$A$3,"Mese",12,"Tipologia",$A148,"Viaggio",$A$144))
+IF(ISERROR(GETPIVOTDATA("Somma di DARE",'Pivot PP Visa'!$A$3,"Mese",12,"Tipologia",$A148,"Viaggio",$A$144)),0,GETPIVOTDATA("Somma di DARE",'Pivot PP Visa'!$A$3,"Mese",12,"Tipologia",$A148,"Viaggio",$A$144))
-IF(ISERROR(GETPIVOTDATA("Somma di AVERE",'Pivot PP Visa'!$A$3,"Mese",12,"Tipologia",$A148,"Viaggio",$A$144)),0,GETPIVOTDATA("Somma di AVERE",'Pivot PP Visa'!$A$3,"Mese",12,"Tipologia",$A148,"Viaggio",$A$144))
+IF(ISERROR(GETPIVOTDATA("Somma di DARE",'Pivot Revolut'!$A$3,"Mese",12,"Tipologia",$A148,"Viaggio",$A$144)),0,GETPIVOTDATA("Somma di DARE",'Pivot Revolut'!$A$3,"Mese",12,"Tipologia",$A148,"Viaggio",$A$144))
-IF(ISERROR(GETPIVOTDATA("Somma di AVERE",'Pivot Revolut'!$A$3,"Mese",12,"Tipologia",$A148,"Viaggio",$A$144)),0,GETPIVOTDATA("Somma di AVERE",'Pivot Revolut'!$A$3,"Mese",12,"Tipologia",$A148,"Viaggio",$A$144))
+IF(ISERROR(GETPIVOTDATA("Somma di DARE",'Pivot RakBank EUR'!$A$3,"Mese",12,"Tipologia",$A148,"Viaggio",$A$144)),0,GETPIVOTDATA("Somma di DARE",'Pivot RakBank EUR'!$A$3,"Mese",12,"Tipologia",$A148,"Viaggio",$A$144))
-IF(ISERROR(GETPIVOTDATA("Somma di AVERE",'Pivot RakBank EUR'!$A$3,"Mese",12,"Tipologia",$A148,"Viaggio",$A$144)),0,GETPIVOTDATA("Somma di AVERE",'Pivot RakBank EUR'!$A$3,"Mese",12,"Tipologia",$A148,"Viaggio",$A$144))
+IF(ISERROR(GETPIVOTDATA("Somma di DARE EUR",'Pivot RakBank AED'!$A$3,"Mese",12,"Tipologia",$A148,"Viaggio",$A$144)),0,GETPIVOTDATA("Somma di DARE EUR",'Pivot RakBank AED'!$A$3,"Mese",12,"Tipologia",$A148,"Viaggio",$A$144))
-IF(ISERROR(GETPIVOTDATA("Somma di AVERE EUR",'Pivot RakBank AED'!$A$3,"Mese",12,"Tipologia",$A148,"Viaggio",$A$144)),0,GETPIVOTDATA("Somma di AVERE EUR",'Pivot RakBank AED'!$A$3,"Mese",12,"Tipologia",$A148,"Viaggio",$A$144))</f>
        <v>0</v>
      </c>
      <c r="O148" s="271">
        <f t="shared" si="19"/>
        <v>13.096666666666668</v>
      </c>
      <c r="P148" s="270"/>
    </row>
    <row r="149" spans="1:16" s="131" customFormat="1" ht="14" outlineLevel="1" x14ac:dyDescent="0.2">
      <c r="A149" s="269" t="s">
        <v>177</v>
      </c>
      <c r="B149" s="269"/>
      <c r="C149" s="270">
        <f>IF(ISERROR(GETPIVOTDATA("Somma di DARE",'Pivot Fineco Sa'!$A$3,"Mese",1,"Tipologia",$A149,"Viaggio",$A$144)),0,GETPIVOTDATA("Somma di DARE",'Pivot Fineco Sa'!$A$3,"Mese",1,"Tipologia",$A149,"Viaggio",$A$144))
+IF(ISERROR(GETPIVOTDATA("Somma di DARE",'Pivot Fineco St'!$A$3,"Mese",1,"Tipologia",$A149,"Viaggio",$A$144)),0,GETPIVOTDATA("Somma di DARE",'Pivot Fineco St'!$A$3,"Mese",1,"Tipologia",$A149,"Viaggio",$A$144))
+IF(Contanti!$E43='Conto Economico'!$A$144,Contanti!$B43)
+IF(ISERROR(GETPIVOTDATA("Somma di DARE",'Pivot BBVA'!$A$3,"Mese",1,"Tipologia",$A149,"Viaggio",$A$144)),0,GETPIVOTDATA("Somma di DARE",'Pivot BBVA'!$A$3,"Mese",1,"Tipologia",$A149,"Viaggio",$A$144))
+IF(ISERROR(GETPIVOTDATA("Somma di DARE",'Pivot Amex'!$A$3,"Mese",1,"Tipologia",$A149,"Viaggio",$A$144)),0,GETPIVOTDATA("Somma di DARE",'Pivot Amex'!$A$3,"Mese",1,"Tipologia",$A149,"Viaggio",$A$144))
-IF(ISERROR(GETPIVOTDATA("Somma di AVERE",'Pivot Amex'!$A$3,"Mese",1,"Tipologia",$A149,"Viaggio",$A$144)),0,GETPIVOTDATA("Somma di AVERE",'Pivot Amex'!$A$3,"Mese",1,"Tipologia",$A149,"Viaggio",$A$144))
-IF(ISERROR(GETPIVOTDATA("Somma di AVERE",'Pivot BBVA'!$A$3,"Mese",1,"Tipologia",$A149,"Viaggio",$A$144)),0,GETPIVOTDATA("Somma di AVERE",'Pivot BBVA'!$A$3,"Mese",1,"Tipologia",$A149,"Viaggio",$A$144))
-IF(ISERROR(GETPIVOTDATA("Somma di AVERE",'Pivot Fineco St'!$A$3,"Mese",1,"Tipologia",$A149,"Viaggio",$A$144)),0,GETPIVOTDATA("Somma di AVERE",'Pivot Fineco St'!$A$3,"Mese",1,"Tipologia",$A149,"Viaggio",$A$144))
-IF(ISERROR(GETPIVOTDATA("Somma di AVERE",'Pivot Fineco Sa'!$A$3,"Mese",1,"Tipologia",$A149,"Viaggio",$A$144)),0,GETPIVOTDATA("Somma di AVERE",'Pivot Fineco Sa'!$A$3,"Mese",1,"Tipologia",$A149,"Viaggio",$A$144))
+IF(ISERROR(GETPIVOTDATA("Somma di DARE",'Pivot PP Visa'!$A$3,"Mese",1,"Tipologia",$A149,"Viaggio",$A$144)),0,GETPIVOTDATA("Somma di DARE",'Pivot PP Visa'!$A$3,"Mese",1,"Tipologia",$A149,"Viaggio",$A$144))
-IF(ISERROR(GETPIVOTDATA("Somma di AVERE",'Pivot PP Visa'!$A$3,"Mese",1,"Tipologia",$A149,"Viaggio",$A$144)),0,GETPIVOTDATA("Somma di AVERE",'Pivot PP Visa'!$A$3,"Mese",1,"Tipologia",$A149,"Viaggio",$A$144))
+IF(ISERROR(GETPIVOTDATA("Somma di DARE",'Pivot Revolut'!$A$3,"Mese",1,"Tipologia",$A149,"Viaggio",$A$144)),0,GETPIVOTDATA("Somma di DARE",'Pivot Revolut'!$A$3,"Mese",1,"Tipologia",$A149,"Viaggio",$A$144))
-IF(ISERROR(GETPIVOTDATA("Somma di AVERE",'Pivot Revolut'!$A$3,"Mese",1,"Tipologia",$A149,"Viaggio",$A$144)),0,GETPIVOTDATA("Somma di AVERE",'Pivot Revolut'!$A$3,"Mese",1,"Tipologia",$A149,"Viaggio",$A$144))
+IF(ISERROR(GETPIVOTDATA("Somma di DARE",'Pivot RakBank EUR'!$A$3,"Mese",1,"Tipologia",$A149,"Viaggio",$A$144)),0,GETPIVOTDATA("Somma di DARE",'Pivot RakBank EUR'!$A$3,"Mese",1,"Tipologia",$A149,"Viaggio",$A$144))
-IF(ISERROR(GETPIVOTDATA("Somma di AVERE",'Pivot RakBank EUR'!$A$3,"Mese",1,"Tipologia",$A149,"Viaggio",$A$144)),0,GETPIVOTDATA("Somma di AVERE",'Pivot RakBank EUR'!$A$3,"Mese",1,"Tipologia",$A149,"Viaggio",$A$144))
+IF(ISERROR(GETPIVOTDATA("Somma di DARE EUR",'Pivot RakBank AED'!$A$3,"Mese",1,"Tipologia",$A149,"Viaggio",$A$144)),0,GETPIVOTDATA("Somma di DARE EUR",'Pivot RakBank AED'!$A$3,"Mese",1,"Tipologia",$A149,"Viaggio",$A$144))
-IF(ISERROR(GETPIVOTDATA("Somma di AVERE EUR",'Pivot RakBank AED'!$A$3,"Mese",1,"Tipologia",$A149,"Viaggio",$A$144)),0,GETPIVOTDATA("Somma di AVERE EUR",'Pivot RakBank AED'!$A$3,"Mese",1,"Tipologia",$A149,"Viaggio",$A$144))</f>
        <v>0</v>
      </c>
      <c r="D149" s="270">
        <f>IF(ISERROR(GETPIVOTDATA("Somma di DARE",'Pivot Fineco Sa'!$A$3,"Mese",2,"Tipologia",$A149,"Viaggio",$A$144)),0,GETPIVOTDATA("Somma di DARE",'Pivot Fineco Sa'!$A$3,"Mese",2,"Tipologia",$A149,"Viaggio",$A$144))
+IF(ISERROR(GETPIVOTDATA("Somma di DARE",'Pivot Fineco St'!$A$3,"Mese",2,"Tipologia",$A149,"Viaggio",$A$144)),0,GETPIVOTDATA("Somma di DARE",'Pivot Fineco St'!$A$3,"Mese",2,"Tipologia",$A149,"Viaggio",$A$144))
+IF(Contanti!$I43='Conto Economico'!$A$144,Contanti!$F43)
+IF(ISERROR(GETPIVOTDATA("Somma di DARE",'Pivot BBVA'!$A$3,"Mese",2,"Tipologia",$A149,"Viaggio",$A$144)),0,GETPIVOTDATA("Somma di DARE",'Pivot BBVA'!$A$3,"Mese",2,"Tipologia",$A149,"Viaggio",$A$144))
+IF(ISERROR(GETPIVOTDATA("Somma di DARE",'Pivot Amex'!$A$3,"Mese",2,"Tipologia",$A149,"Viaggio",$A$144)),0,GETPIVOTDATA("Somma di DARE",'Pivot Amex'!$A$3,"Mese",2,"Tipologia",$A149,"Viaggio",$A$144))
-IF(ISERROR(GETPIVOTDATA("Somma di AVERE",'Pivot Amex'!$A$3,"Mese",2,"Tipologia",$A149,"Viaggio",$A$144)),0,GETPIVOTDATA("Somma di AVERE",'Pivot Amex'!$A$3,"Mese",2,"Tipologia",$A149,"Viaggio",$A$144))
-IF(ISERROR(GETPIVOTDATA("Somma di AVERE",'Pivot BBVA'!$A$3,"Mese",2,"Tipologia",$A149,"Viaggio",$A$144)),0,GETPIVOTDATA("Somma di AVERE",'Pivot BBVA'!$A$3,"Mese",2,"Tipologia",$A149,"Viaggio",$A$144))
-IF(ISERROR(GETPIVOTDATA("Somma di AVERE",'Pivot Fineco St'!$A$3,"Mese",2,"Tipologia",$A149,"Viaggio",$A$144)),0,GETPIVOTDATA("Somma di AVERE",'Pivot Fineco St'!$A$3,"Mese",2,"Tipologia",$A149,"Viaggio",$A$144))
-IF(ISERROR(GETPIVOTDATA("Somma di AVERE",'Pivot Fineco Sa'!$A$3,"Mese",2,"Tipologia",$A149,"Viaggio",$A$144)),0,GETPIVOTDATA("Somma di AVERE",'Pivot Fineco Sa'!$A$3,"Mese",2,"Tipologia",$A149,"Viaggio",$A$144))
+IF(ISERROR(GETPIVOTDATA("Somma di DARE",'Pivot PP Visa'!$A$3,"Mese",2,"Tipologia",$A149,"Viaggio",$A$144)),0,GETPIVOTDATA("Somma di DARE",'Pivot PP Visa'!$A$3,"Mese",2,"Tipologia",$A149,"Viaggio",$A$144))
-IF(ISERROR(GETPIVOTDATA("Somma di AVERE",'Pivot PP Visa'!$A$3,"Mese",2,"Tipologia",$A149,"Viaggio",$A$144)),0,GETPIVOTDATA("Somma di AVERE",'Pivot PP Visa'!$A$3,"Mese",2,"Tipologia",$A149,"Viaggio",$A$144))
+IF(ISERROR(GETPIVOTDATA("Somma di DARE",'Pivot Revolut'!$A$3,"Mese",2,"Tipologia",$A149,"Viaggio",$A$144)),0,GETPIVOTDATA("Somma di DARE",'Pivot Revolut'!$A$3,"Mese",2,"Tipologia",$A149,"Viaggio",$A$144))
-IF(ISERROR(GETPIVOTDATA("Somma di AVERE",'Pivot Revolut'!$A$3,"Mese",2,"Tipologia",$A149,"Viaggio",$A$144)),0,GETPIVOTDATA("Somma di AVERE",'Pivot Revolut'!$A$3,"Mese",2,"Tipologia",$A149,"Viaggio",$A$144))
+IF(ISERROR(GETPIVOTDATA("Somma di DARE",'Pivot RakBank EUR'!$A$3,"Mese",2,"Tipologia",$A149,"Viaggio",$A$144)),0,GETPIVOTDATA("Somma di DARE",'Pivot RakBank EUR'!$A$3,"Mese",2,"Tipologia",$A149,"Viaggio",$A$144))
-IF(ISERROR(GETPIVOTDATA("Somma di AVERE",'Pivot RakBank EUR'!$A$3,"Mese",2,"Tipologia",$A149,"Viaggio",$A$144)),0,GETPIVOTDATA("Somma di AVERE",'Pivot RakBank EUR'!$A$3,"Mese",2,"Tipologia",$A149,"Viaggio",$A$144))
+IF(ISERROR(GETPIVOTDATA("Somma di DARE EUR",'Pivot RakBank AED'!$A$3,"Mese",2,"Tipologia",$A149,"Viaggio",$A$144)),0,GETPIVOTDATA("Somma di DARE EUR",'Pivot RakBank AED'!$A$3,"Mese",2,"Tipologia",$A149,"Viaggio",$A$144))
-IF(ISERROR(GETPIVOTDATA("Somma di AVERE EUR",'Pivot RakBank AED'!$A$3,"Mese",2,"Tipologia",$A149,"Viaggio",$A$144)),0,GETPIVOTDATA("Somma di AVERE EUR",'Pivot RakBank AED'!$A$3,"Mese",2,"Tipologia",$A149,"Viaggio",$A$144))</f>
        <v>0</v>
      </c>
      <c r="E149" s="270">
        <f>IF(ISERROR(GETPIVOTDATA("Somma di DARE",'Pivot Fineco Sa'!$A$3,"Mese",3,"Tipologia",$A149,"Viaggio",$A$144)),0,GETPIVOTDATA("Somma di DARE",'Pivot Fineco Sa'!$A$3,"Mese",3,"Tipologia",$A149,"Viaggio",$A$144))
+IF(ISERROR(GETPIVOTDATA("Somma di DARE",'Pivot Fineco St'!$A$3,"Mese",3,"Tipologia",$A149,"Viaggio",$A$144)),0,GETPIVOTDATA("Somma di DARE",'Pivot Fineco St'!$A$3,"Mese",3,"Tipologia",$A149,"Viaggio",$A$144))
+IF(Contanti!$M43='Conto Economico'!$A$144,Contanti!$J43)
+IF(ISERROR(GETPIVOTDATA("Somma di DARE",'Pivot BBVA'!$A$3,"Mese",3,"Tipologia",$A149,"Viaggio",$A$144)),0,GETPIVOTDATA("Somma di DARE",'Pivot BBVA'!$A$3,"Mese",3,"Tipologia",$A149,"Viaggio",$A$144))
+IF(ISERROR(GETPIVOTDATA("Somma di DARE",'Pivot Amex'!$A$3,"Mese",3,"Tipologia",$A149,"Viaggio",$A$144)),0,GETPIVOTDATA("Somma di DARE",'Pivot Amex'!$A$3,"Mese",3,"Tipologia",$A149,"Viaggio",$A$144))
-IF(ISERROR(GETPIVOTDATA("Somma di AVERE",'Pivot Amex'!$A$3,"Mese",3,"Tipologia",$A149,"Viaggio",$A$144)),0,GETPIVOTDATA("Somma di AVERE",'Pivot Amex'!$A$3,"Mese",3,"Tipologia",$A149,"Viaggio",$A$144))
-IF(ISERROR(GETPIVOTDATA("Somma di AVERE",'Pivot BBVA'!$A$3,"Mese",3,"Tipologia",$A149,"Viaggio",$A$144)),0,GETPIVOTDATA("Somma di AVERE",'Pivot BBVA'!$A$3,"Mese",3,"Tipologia",$A149,"Viaggio",$A$144))
-IF(ISERROR(GETPIVOTDATA("Somma di AVERE",'Pivot Fineco St'!$A$3,"Mese",3,"Tipologia",$A149,"Viaggio",$A$144)),0,GETPIVOTDATA("Somma di AVERE",'Pivot Fineco St'!$A$3,"Mese",3,"Tipologia",$A149,"Viaggio",$A$144))
-IF(ISERROR(GETPIVOTDATA("Somma di AVERE",'Pivot Fineco Sa'!$A$3,"Mese",3,"Tipologia",$A149,"Viaggio",$A$144)),0,GETPIVOTDATA("Somma di AVERE",'Pivot Fineco Sa'!$A$3,"Mese",3,"Tipologia",$A149,"Viaggio",$A$144))
+IF(ISERROR(GETPIVOTDATA("Somma di DARE",'Pivot PP Visa'!$A$3,"Mese",3,"Tipologia",$A149,"Viaggio",$A$144)),0,GETPIVOTDATA("Somma di DARE",'Pivot PP Visa'!$A$3,"Mese",3,"Tipologia",$A149,"Viaggio",$A$144))
-IF(ISERROR(GETPIVOTDATA("Somma di AVERE",'Pivot PP Visa'!$A$3,"Mese",3,"Tipologia",$A149,"Viaggio",$A$144)),0,GETPIVOTDATA("Somma di AVERE",'Pivot PP Visa'!$A$3,"Mese",3,"Tipologia",$A149,"Viaggio",$A$144))
+IF(ISERROR(GETPIVOTDATA("Somma di DARE",'Pivot Revolut'!$A$3,"Mese",3,"Tipologia",$A149,"Viaggio",$A$144)),0,GETPIVOTDATA("Somma di DARE",'Pivot Revolut'!$A$3,"Mese",3,"Tipologia",$A149,"Viaggio",$A$144))
-IF(ISERROR(GETPIVOTDATA("Somma di AVERE",'Pivot Revolut'!$A$3,"Mese",3,"Tipologia",$A149,"Viaggio",$A$144)),0,GETPIVOTDATA("Somma di AVERE",'Pivot Revolut'!$A$3,"Mese",3,"Tipologia",$A149,"Viaggio",$A$144))
+IF(ISERROR(GETPIVOTDATA("Somma di DARE",'Pivot RakBank EUR'!$A$3,"Mese",3,"Tipologia",$A149,"Viaggio",$A$144)),0,GETPIVOTDATA("Somma di DARE",'Pivot RakBank EUR'!$A$3,"Mese",3,"Tipologia",$A149,"Viaggio",$A$144))
-IF(ISERROR(GETPIVOTDATA("Somma di AVERE",'Pivot RakBank EUR'!$A$3,"Mese",3,"Tipologia",$A149,"Viaggio",$A$144)),0,GETPIVOTDATA("Somma di AVERE",'Pivot RakBank EUR'!$A$3,"Mese",3,"Tipologia",$A149,"Viaggio",$A$144))
+IF(ISERROR(GETPIVOTDATA("Somma di DARE EUR",'Pivot RakBank AED'!$A$3,"Mese",3,"Tipologia",$A149,"Viaggio",$A$144)),0,GETPIVOTDATA("Somma di DARE EUR",'Pivot RakBank AED'!$A$3,"Mese",3,"Tipologia",$A149,"Viaggio",$A$144))
-IF(ISERROR(GETPIVOTDATA("Somma di AVERE EUR",'Pivot RakBank AED'!$A$3,"Mese",3,"Tipologia",$A149,"Viaggio",$A$144)),0,GETPIVOTDATA("Somma di AVERE EUR",'Pivot RakBank AED'!$A$3,"Mese",3,"Tipologia",$A149,"Viaggio",$A$144))</f>
        <v>0</v>
      </c>
      <c r="F149" s="270">
        <f>IF(ISERROR(GETPIVOTDATA("Somma di DARE",'Pivot Fineco Sa'!$A$3,"Mese",4,"Tipologia",$A149,"Viaggio",$A$144)),0,GETPIVOTDATA("Somma di DARE",'Pivot Fineco Sa'!$A$3,"Mese",4,"Tipologia",$A149,"Viaggio",$A$144))
+IF(ISERROR(GETPIVOTDATA("Somma di DARE",'Pivot Fineco St'!$A$3,"Mese",4,"Tipologia",$A149,"Viaggio",$A$144)),0,GETPIVOTDATA("Somma di DARE",'Pivot Fineco St'!$A$3,"Mese",4,"Tipologia",$A149,"Viaggio",$A$144))
+IF(Contanti!$Q43='Conto Economico'!$A$144,Contanti!$N43)
+IF(ISERROR(GETPIVOTDATA("Somma di DARE",'Pivot BBVA'!$A$3,"Mese",4,"Tipologia",$A149,"Viaggio",$A$144)),0,GETPIVOTDATA("Somma di DARE",'Pivot BBVA'!$A$3,"Mese",4,"Tipologia",$A149,"Viaggio",$A$144))
+IF(ISERROR(GETPIVOTDATA("Somma di DARE",'Pivot Amex'!$A$3,"Mese",4,"Tipologia",$A149,"Viaggio",$A$144)),0,GETPIVOTDATA("Somma di DARE",'Pivot Amex'!$A$3,"Mese",4,"Tipologia",$A149,"Viaggio",$A$144))
-IF(ISERROR(GETPIVOTDATA("Somma di AVERE",'Pivot Amex'!$A$3,"Mese",4,"Tipologia",$A149,"Viaggio",$A$144)),0,GETPIVOTDATA("Somma di AVERE",'Pivot Amex'!$A$3,"Mese",4,"Tipologia",$A149,"Viaggio",$A$144))
-IF(ISERROR(GETPIVOTDATA("Somma di AVERE",'Pivot BBVA'!$A$3,"Mese",4,"Tipologia",$A149,"Viaggio",$A$144)),0,GETPIVOTDATA("Somma di AVERE",'Pivot BBVA'!$A$3,"Mese",4,"Tipologia",$A149,"Viaggio",$A$144))
-IF(ISERROR(GETPIVOTDATA("Somma di AVERE",'Pivot Fineco St'!$A$3,"Mese",4,"Tipologia",$A149,"Viaggio",$A$144)),0,GETPIVOTDATA("Somma di AVERE",'Pivot Fineco St'!$A$3,"Mese",4,"Tipologia",$A149,"Viaggio",$A$144))
-IF(ISERROR(GETPIVOTDATA("Somma di AVERE",'Pivot Fineco Sa'!$A$3,"Mese",4,"Tipologia",$A149,"Viaggio",$A$144)),0,GETPIVOTDATA("Somma di AVERE",'Pivot Fineco Sa'!$A$3,"Mese",4,"Tipologia",$A149,"Viaggio",$A$144))
+IF(ISERROR(GETPIVOTDATA("Somma di DARE",'Pivot PP Visa'!$A$3,"Mese",4,"Tipologia",$A149,"Viaggio",$A$144)),0,GETPIVOTDATA("Somma di DARE",'Pivot PP Visa'!$A$3,"Mese",4,"Tipologia",$A149,"Viaggio",$A$144))
-IF(ISERROR(GETPIVOTDATA("Somma di AVERE",'Pivot PP Visa'!$A$3,"Mese",4,"Tipologia",$A149,"Viaggio",$A$144)),0,GETPIVOTDATA("Somma di AVERE",'Pivot PP Visa'!$A$3,"Mese",4,"Tipologia",$A149,"Viaggio",$A$144))
+IF(ISERROR(GETPIVOTDATA("Somma di DARE",'Pivot Revolut'!$A$3,"Mese",4,"Tipologia",$A149,"Viaggio",$A$144)),0,GETPIVOTDATA("Somma di DARE",'Pivot Revolut'!$A$3,"Mese",4,"Tipologia",$A149,"Viaggio",$A$144))
-IF(ISERROR(GETPIVOTDATA("Somma di AVERE",'Pivot Revolut'!$A$3,"Mese",4,"Tipologia",$A149,"Viaggio",$A$144)),0,GETPIVOTDATA("Somma di AVERE",'Pivot Revolut'!$A$3,"Mese",4,"Tipologia",$A149,"Viaggio",$A$144))
+IF(ISERROR(GETPIVOTDATA("Somma di DARE",'Pivot RakBank EUR'!$A$3,"Mese",4,"Tipologia",$A149,"Viaggio",$A$144)),0,GETPIVOTDATA("Somma di DARE",'Pivot RakBank EUR'!$A$3,"Mese",4,"Tipologia",$A149,"Viaggio",$A$144))
-IF(ISERROR(GETPIVOTDATA("Somma di AVERE",'Pivot RakBank EUR'!$A$3,"Mese",4,"Tipologia",$A149,"Viaggio",$A$144)),0,GETPIVOTDATA("Somma di AVERE",'Pivot RakBank EUR'!$A$3,"Mese",4,"Tipologia",$A149,"Viaggio",$A$144))
+IF(ISERROR(GETPIVOTDATA("Somma di DARE EUR",'Pivot RakBank AED'!$A$3,"Mese",4,"Tipologia",$A149,"Viaggio",$A$144)),0,GETPIVOTDATA("Somma di DARE EUR",'Pivot RakBank AED'!$A$3,"Mese",4,"Tipologia",$A149,"Viaggio",$A$144))
-IF(ISERROR(GETPIVOTDATA("Somma di AVERE EUR",'Pivot RakBank AED'!$A$3,"Mese",4,"Tipologia",$A149,"Viaggio",$A$144)),0,GETPIVOTDATA("Somma di AVERE EUR",'Pivot RakBank AED'!$A$3,"Mese",4,"Tipologia",$A149,"Viaggio",$A$144))</f>
        <v>0</v>
      </c>
      <c r="G149" s="270">
        <f>IF(ISERROR(GETPIVOTDATA("Somma di DARE",'Pivot Fineco Sa'!$A$3,"Mese",5,"Tipologia",$A149,"Viaggio",$A$144)),0,GETPIVOTDATA("Somma di DARE",'Pivot Fineco Sa'!$A$3,"Mese",5,"Tipologia",$A149,"Viaggio",$A$144))
+IF(ISERROR(GETPIVOTDATA("Somma di DARE",'Pivot Fineco St'!$A$3,"Mese",5,"Tipologia",$A149,"Viaggio",$A$144)),0,GETPIVOTDATA("Somma di DARE",'Pivot Fineco St'!$A$3,"Mese",5,"Tipologia",$A149,"Viaggio",$A$144))
+IF(Contanti!$U43='Conto Economico'!$A$144,Contanti!$R43)
+IF(ISERROR(GETPIVOTDATA("Somma di DARE",'Pivot BBVA'!$A$3,"Mese",5,"Tipologia",$A149,"Viaggio",$A$144)),0,GETPIVOTDATA("Somma di DARE",'Pivot BBVA'!$A$3,"Mese",5,"Tipologia",$A149,"Viaggio",$A$144))
+IF(ISERROR(GETPIVOTDATA("Somma di DARE",'Pivot Amex'!$A$3,"Mese",5,"Tipologia",$A149,"Viaggio",$A$144)),0,GETPIVOTDATA("Somma di DARE",'Pivot Amex'!$A$3,"Mese",5,"Tipologia",$A149,"Viaggio",$A$144))
-IF(ISERROR(GETPIVOTDATA("Somma di AVERE",'Pivot Amex'!$A$3,"Mese",5,"Tipologia",$A149,"Viaggio",$A$144)),0,GETPIVOTDATA("Somma di AVERE",'Pivot Amex'!$A$3,"Mese",5,"Tipologia",$A149,"Viaggio",$A$144))
-IF(ISERROR(GETPIVOTDATA("Somma di AVERE",'Pivot BBVA'!$A$3,"Mese",5,"Tipologia",$A149,"Viaggio",$A$144)),0,GETPIVOTDATA("Somma di AVERE",'Pivot BBVA'!$A$3,"Mese",5,"Tipologia",$A149,"Viaggio",$A$144))
-IF(ISERROR(GETPIVOTDATA("Somma di AVERE",'Pivot Fineco St'!$A$3,"Mese",5,"Tipologia",$A149,"Viaggio",$A$144)),0,GETPIVOTDATA("Somma di AVERE",'Pivot Fineco St'!$A$3,"Mese",5,"Tipologia",$A149,"Viaggio",$A$144))
-IF(ISERROR(GETPIVOTDATA("Somma di AVERE",'Pivot Fineco Sa'!$A$3,"Mese",5,"Tipologia",$A149,"Viaggio",$A$144)),0,GETPIVOTDATA("Somma di AVERE",'Pivot Fineco Sa'!$A$3,"Mese",5,"Tipologia",$A149,"Viaggio",$A$144))
+IF(ISERROR(GETPIVOTDATA("Somma di DARE",'Pivot PP Visa'!$A$3,"Mese",5,"Tipologia",$A149,"Viaggio",$A$144)),0,GETPIVOTDATA("Somma di DARE",'Pivot PP Visa'!$A$3,"Mese",5,"Tipologia",$A149,"Viaggio",$A$144))
-IF(ISERROR(GETPIVOTDATA("Somma di AVERE",'Pivot PP Visa'!$A$3,"Mese",5,"Tipologia",$A149,"Viaggio",$A$144)),0,GETPIVOTDATA("Somma di AVERE",'Pivot PP Visa'!$A$3,"Mese",5,"Tipologia",$A149,"Viaggio",$A$144))
+IF(ISERROR(GETPIVOTDATA("Somma di DARE",'Pivot Revolut'!$A$3,"Mese",5,"Tipologia",$A149,"Viaggio",$A$144)),0,GETPIVOTDATA("Somma di DARE",'Pivot Revolut'!$A$3,"Mese",5,"Tipologia",$A149,"Viaggio",$A$144))
-IF(ISERROR(GETPIVOTDATA("Somma di AVERE",'Pivot Revolut'!$A$3,"Mese",5,"Tipologia",$A149,"Viaggio",$A$144)),0,GETPIVOTDATA("Somma di AVERE",'Pivot Revolut'!$A$3,"Mese",5,"Tipologia",$A149,"Viaggio",$A$144))
+IF(ISERROR(GETPIVOTDATA("Somma di DARE",'Pivot RakBank EUR'!$A$3,"Mese",5,"Tipologia",$A149,"Viaggio",$A$144)),0,GETPIVOTDATA("Somma di DARE",'Pivot RakBank EUR'!$A$3,"Mese",5,"Tipologia",$A149,"Viaggio",$A$144))
-IF(ISERROR(GETPIVOTDATA("Somma di AVERE",'Pivot RakBank EUR'!$A$3,"Mese",5,"Tipologia",$A149,"Viaggio",$A$144)),0,GETPIVOTDATA("Somma di AVERE",'Pivot RakBank EUR'!$A$3,"Mese",5,"Tipologia",$A149,"Viaggio",$A$144))
+IF(ISERROR(GETPIVOTDATA("Somma di DARE EUR",'Pivot RakBank AED'!$A$3,"Mese",5,"Tipologia",$A149,"Viaggio",$A$144)),0,GETPIVOTDATA("Somma di DARE EUR",'Pivot RakBank AED'!$A$3,"Mese",5,"Tipologia",$A149,"Viaggio",$A$144))
-IF(ISERROR(GETPIVOTDATA("Somma di AVERE EUR",'Pivot RakBank AED'!$A$3,"Mese",5,"Tipologia",$A149,"Viaggio",$A$144)),0,GETPIVOTDATA("Somma di AVERE EUR",'Pivot RakBank AED'!$A$3,"Mese",5,"Tipologia",$A149,"Viaggio",$A$144))</f>
        <v>0</v>
      </c>
      <c r="H149" s="270">
        <f>IF(ISERROR(GETPIVOTDATA("Somma di DARE",'Pivot Fineco Sa'!$A$3,"Mese",6,"Tipologia",$A149,"Viaggio",$A$144)),0,GETPIVOTDATA("Somma di DARE",'Pivot Fineco Sa'!$A$3,"Mese",6,"Tipologia",$A149,"Viaggio",$A$144))
+IF(ISERROR(GETPIVOTDATA("Somma di DARE",'Pivot Fineco St'!$A$3,"Mese",6,"Tipologia",$A149,"Viaggio",$A$144)),0,GETPIVOTDATA("Somma di DARE",'Pivot Fineco St'!$A$3,"Mese",6,"Tipologia",$A149,"Viaggio",$A$144))
+IF(Contanti!$Y43='Conto Economico'!$A$144,Contanti!$V43)
+IF(ISERROR(GETPIVOTDATA("Somma di DARE",'Pivot BBVA'!$A$3,"Mese",6,"Tipologia",$A149,"Viaggio",$A$144)),0,GETPIVOTDATA("Somma di DARE",'Pivot BBVA'!$A$3,"Mese",6,"Tipologia",$A149,"Viaggio",$A$144))
+IF(ISERROR(GETPIVOTDATA("Somma di DARE",'Pivot Amex'!$A$3,"Mese",6,"Tipologia",$A149,"Viaggio",$A$144)),0,GETPIVOTDATA("Somma di DARE",'Pivot Amex'!$A$3,"Mese",6,"Tipologia",$A149,"Viaggio",$A$144))
-IF(ISERROR(GETPIVOTDATA("Somma di AVERE",'Pivot Amex'!$A$3,"Mese",6,"Tipologia",$A149,"Viaggio",$A$144)),0,GETPIVOTDATA("Somma di AVERE",'Pivot Amex'!$A$3,"Mese",6,"Tipologia",$A149,"Viaggio",$A$144))
-IF(ISERROR(GETPIVOTDATA("Somma di AVERE",'Pivot BBVA'!$A$3,"Mese",6,"Tipologia",$A149,"Viaggio",$A$144)),0,GETPIVOTDATA("Somma di AVERE",'Pivot BBVA'!$A$3,"Mese",6,"Tipologia",$A149,"Viaggio",$A$144))
-IF(ISERROR(GETPIVOTDATA("Somma di AVERE",'Pivot Fineco St'!$A$3,"Mese",6,"Tipologia",$A149,"Viaggio",$A$144)),0,GETPIVOTDATA("Somma di AVERE",'Pivot Fineco St'!$A$3,"Mese",6,"Tipologia",$A149,"Viaggio",$A$144))
-IF(ISERROR(GETPIVOTDATA("Somma di AVERE",'Pivot Fineco Sa'!$A$3,"Mese",6,"Tipologia",$A149,"Viaggio",$A$144)),0,GETPIVOTDATA("Somma di AVERE",'Pivot Fineco Sa'!$A$3,"Mese",6,"Tipologia",$A149,"Viaggio",$A$144))
+IF(ISERROR(GETPIVOTDATA("Somma di DARE",'Pivot PP Visa'!$A$3,"Mese",6,"Tipologia",$A149,"Viaggio",$A$144)),0,GETPIVOTDATA("Somma di DARE",'Pivot PP Visa'!$A$3,"Mese",6,"Tipologia",$A149,"Viaggio",$A$144))
-IF(ISERROR(GETPIVOTDATA("Somma di AVERE",'Pivot PP Visa'!$A$3,"Mese",6,"Tipologia",$A149,"Viaggio",$A$144)),0,GETPIVOTDATA("Somma di AVERE",'Pivot PP Visa'!$A$3,"Mese",6,"Tipologia",$A149,"Viaggio",$A$144))
+IF(ISERROR(GETPIVOTDATA("Somma di DARE",'Pivot Revolut'!$A$3,"Mese",6,"Tipologia",$A149,"Viaggio",$A$144)),0,GETPIVOTDATA("Somma di DARE",'Pivot Revolut'!$A$3,"Mese",6,"Tipologia",$A149,"Viaggio",$A$144))
-IF(ISERROR(GETPIVOTDATA("Somma di AVERE",'Pivot Revolut'!$A$3,"Mese",6,"Tipologia",$A149,"Viaggio",$A$144)),0,GETPIVOTDATA("Somma di AVERE",'Pivot Revolut'!$A$3,"Mese",6,"Tipologia",$A149,"Viaggio",$A$144))
+IF(ISERROR(GETPIVOTDATA("Somma di DARE",'Pivot RakBank EUR'!$A$3,"Mese",6,"Tipologia",$A149,"Viaggio",$A$144)),0,GETPIVOTDATA("Somma di DARE",'Pivot RakBank EUR'!$A$3,"Mese",6,"Tipologia",$A149,"Viaggio",$A$144))
-IF(ISERROR(GETPIVOTDATA("Somma di AVERE",'Pivot RakBank EUR'!$A$3,"Mese",6,"Tipologia",$A149,"Viaggio",$A$144)),0,GETPIVOTDATA("Somma di AVERE",'Pivot RakBank EUR'!$A$3,"Mese",6,"Tipologia",$A149,"Viaggio",$A$144))
+IF(ISERROR(GETPIVOTDATA("Somma di DARE EUR",'Pivot RakBank AED'!$A$3,"Mese",6,"Tipologia",$A149,"Viaggio",$A$144)),0,GETPIVOTDATA("Somma di DARE EUR",'Pivot RakBank AED'!$A$3,"Mese",6,"Tipologia",$A149,"Viaggio",$A$144))
-IF(ISERROR(GETPIVOTDATA("Somma di AVERE EUR",'Pivot RakBank AED'!$A$3,"Mese",6,"Tipologia",$A149,"Viaggio",$A$144)),0,GETPIVOTDATA("Somma di AVERE EUR",'Pivot RakBank AED'!$A$3,"Mese",6,"Tipologia",$A149,"Viaggio",$A$144))</f>
        <v>0</v>
      </c>
      <c r="I149" s="270">
        <f>IF(ISERROR(GETPIVOTDATA("Somma di DARE",'Pivot Fineco Sa'!$A$3,"Mese",7,"Tipologia",$A149,"Viaggio",$A$144)),0,GETPIVOTDATA("Somma di DARE",'Pivot Fineco Sa'!$A$3,"Mese",7,"Tipologia",$A149,"Viaggio",$A$144))
+IF(ISERROR(GETPIVOTDATA("Somma di DARE",'Pivot Fineco St'!$A$3,"Mese",7,"Tipologia",$A149,"Viaggio",$A$144)),0,GETPIVOTDATA("Somma di DARE",'Pivot Fineco St'!$A$3,"Mese",7,"Tipologia",$A149,"Viaggio",$A$144))
+IF(Contanti!$AC43='Conto Economico'!$A$144,Contanti!$Z43)
+IF(ISERROR(GETPIVOTDATA("Somma di DARE",'Pivot BBVA'!$A$3,"Mese",7,"Tipologia",$A149,"Viaggio",$A$144)),0,GETPIVOTDATA("Somma di DARE",'Pivot BBVA'!$A$3,"Mese",7,"Tipologia",$A149,"Viaggio",$A$144))
+IF(ISERROR(GETPIVOTDATA("Somma di DARE",'Pivot Amex'!$A$3,"Mese",7,"Tipologia",$A149,"Viaggio",$A$144)),0,GETPIVOTDATA("Somma di DARE",'Pivot Amex'!$A$3,"Mese",7,"Tipologia",$A149,"Viaggio",$A$144))
-IF(ISERROR(GETPIVOTDATA("Somma di AVERE",'Pivot Amex'!$A$3,"Mese",7,"Tipologia",$A149,"Viaggio",$A$144)),0,GETPIVOTDATA("Somma di AVERE",'Pivot Amex'!$A$3,"Mese",7,"Tipologia",$A149,"Viaggio",$A$144))
-IF(ISERROR(GETPIVOTDATA("Somma di AVERE",'Pivot BBVA'!$A$3,"Mese",7,"Tipologia",$A149,"Viaggio",$A$144)),0,GETPIVOTDATA("Somma di AVERE",'Pivot BBVA'!$A$3,"Mese",7,"Tipologia",$A149,"Viaggio",$A$144))
-IF(ISERROR(GETPIVOTDATA("Somma di AVERE",'Pivot Fineco St'!$A$3,"Mese",7,"Tipologia",$A149,"Viaggio",$A$144)),0,GETPIVOTDATA("Somma di AVERE",'Pivot Fineco St'!$A$3,"Mese",7,"Tipologia",$A149,"Viaggio",$A$144))
-IF(ISERROR(GETPIVOTDATA("Somma di AVERE",'Pivot Fineco Sa'!$A$3,"Mese",7,"Tipologia",$A149,"Viaggio",$A$144)),0,GETPIVOTDATA("Somma di AVERE",'Pivot Fineco Sa'!$A$3,"Mese",7,"Tipologia",$A149,"Viaggio",$A$144))
+IF(ISERROR(GETPIVOTDATA("Somma di DARE",'Pivot PP Visa'!$A$3,"Mese",7,"Tipologia",$A149,"Viaggio",$A$144)),0,GETPIVOTDATA("Somma di DARE",'Pivot PP Visa'!$A$3,"Mese",7,"Tipologia",$A149,"Viaggio",$A$144))
-IF(ISERROR(GETPIVOTDATA("Somma di AVERE",'Pivot PP Visa'!$A$3,"Mese",7,"Tipologia",$A149,"Viaggio",$A$144)),0,GETPIVOTDATA("Somma di AVERE",'Pivot PP Visa'!$A$3,"Mese",7,"Tipologia",$A149,"Viaggio",$A$144))
+IF(ISERROR(GETPIVOTDATA("Somma di DARE",'Pivot Revolut'!$A$3,"Mese",7,"Tipologia",$A149,"Viaggio",$A$144)),0,GETPIVOTDATA("Somma di DARE",'Pivot Revolut'!$A$3,"Mese",7,"Tipologia",$A149,"Viaggio",$A$144))
-IF(ISERROR(GETPIVOTDATA("Somma di AVERE",'Pivot Revolut'!$A$3,"Mese",7,"Tipologia",$A149,"Viaggio",$A$144)),0,GETPIVOTDATA("Somma di AVERE",'Pivot Revolut'!$A$3,"Mese",7,"Tipologia",$A149,"Viaggio",$A$144))
+IF(ISERROR(GETPIVOTDATA("Somma di DARE",'Pivot RakBank EUR'!$A$3,"Mese",7,"Tipologia",$A149,"Viaggio",$A$144)),0,GETPIVOTDATA("Somma di DARE",'Pivot RakBank EUR'!$A$3,"Mese",7,"Tipologia",$A149,"Viaggio",$A$144))
-IF(ISERROR(GETPIVOTDATA("Somma di AVERE",'Pivot RakBank EUR'!$A$3,"Mese",7,"Tipologia",$A149,"Viaggio",$A$144)),0,GETPIVOTDATA("Somma di AVERE",'Pivot RakBank EUR'!$A$3,"Mese",7,"Tipologia",$A149,"Viaggio",$A$144))
+IF(ISERROR(GETPIVOTDATA("Somma di DARE EUR",'Pivot RakBank AED'!$A$3,"Mese",7,"Tipologia",$A149,"Viaggio",$A$144)),0,GETPIVOTDATA("Somma di DARE EUR",'Pivot RakBank AED'!$A$3,"Mese",7,"Tipologia",$A149,"Viaggio",$A$144))
-IF(ISERROR(GETPIVOTDATA("Somma di AVERE EUR",'Pivot RakBank AED'!$A$3,"Mese",7,"Tipologia",$A149,"Viaggio",$A$144)),0,GETPIVOTDATA("Somma di AVERE EUR",'Pivot RakBank AED'!$A$3,"Mese",7,"Tipologia",$A149,"Viaggio",$A$144))</f>
        <v>0</v>
      </c>
      <c r="J149" s="270">
        <f>IF(ISERROR(GETPIVOTDATA("Somma di DARE",'Pivot Fineco Sa'!$A$3,"Mese",8,"Tipologia",$A149,"Viaggio",$A$144)),0,GETPIVOTDATA("Somma di DARE",'Pivot Fineco Sa'!$A$3,"Mese",8,"Tipologia",$A149,"Viaggio",$A$144))
+IF(ISERROR(GETPIVOTDATA("Somma di DARE",'Pivot Fineco St'!$A$3,"Mese",8,"Tipologia",$A149,"Viaggio",$A$144)),0,GETPIVOTDATA("Somma di DARE",'Pivot Fineco St'!$A$3,"Mese",8,"Tipologia",$A149,"Viaggio",$A$144))
+IF(Contanti!$AG43='Conto Economico'!$A$144,Contanti!$AD43)
+IF(ISERROR(GETPIVOTDATA("Somma di DARE",'Pivot BBVA'!$A$3,"Mese",8,"Tipologia",$A149,"Viaggio",$A$144)),0,GETPIVOTDATA("Somma di DARE",'Pivot BBVA'!$A$3,"Mese",8,"Tipologia",$A149,"Viaggio",$A$144))
+IF(ISERROR(GETPIVOTDATA("Somma di DARE",'Pivot Amex'!$A$3,"Mese",8,"Tipologia",$A149,"Viaggio",$A$144)),0,GETPIVOTDATA("Somma di DARE",'Pivot Amex'!$A$3,"Mese",8,"Tipologia",$A149,"Viaggio",$A$144))
-IF(ISERROR(GETPIVOTDATA("Somma di AVERE",'Pivot Amex'!$A$3,"Mese",8,"Tipologia",$A149,"Viaggio",$A$144)),0,GETPIVOTDATA("Somma di AVERE",'Pivot Amex'!$A$3,"Mese",8,"Tipologia",$A149,"Viaggio",$A$144))
-IF(ISERROR(GETPIVOTDATA("Somma di AVERE",'Pivot BBVA'!$A$3,"Mese",8,"Tipologia",$A149,"Viaggio",$A$144)),0,GETPIVOTDATA("Somma di AVERE",'Pivot BBVA'!$A$3,"Mese",8,"Tipologia",$A149,"Viaggio",$A$144))
-IF(ISERROR(GETPIVOTDATA("Somma di AVERE",'Pivot Fineco St'!$A$3,"Mese",8,"Tipologia",$A149,"Viaggio",$A$144)),0,GETPIVOTDATA("Somma di AVERE",'Pivot Fineco St'!$A$3,"Mese",8,"Tipologia",$A149,"Viaggio",$A$144))
-IF(ISERROR(GETPIVOTDATA("Somma di AVERE",'Pivot Fineco Sa'!$A$3,"Mese",8,"Tipologia",$A149,"Viaggio",$A$144)),0,GETPIVOTDATA("Somma di AVERE",'Pivot Fineco Sa'!$A$3,"Mese",8,"Tipologia",$A149,"Viaggio",$A$144))
+IF(ISERROR(GETPIVOTDATA("Somma di DARE",'Pivot PP Visa'!$A$3,"Mese",8,"Tipologia",$A149,"Viaggio",$A$144)),0,GETPIVOTDATA("Somma di DARE",'Pivot PP Visa'!$A$3,"Mese",8,"Tipologia",$A149,"Viaggio",$A$144))
-IF(ISERROR(GETPIVOTDATA("Somma di AVERE",'Pivot PP Visa'!$A$3,"Mese",8,"Tipologia",$A149,"Viaggio",$A$144)),0,GETPIVOTDATA("Somma di AVERE",'Pivot PP Visa'!$A$3,"Mese",8,"Tipologia",$A149,"Viaggio",$A$144))
+IF(ISERROR(GETPIVOTDATA("Somma di DARE",'Pivot Revolut'!$A$3,"Mese",8,"Tipologia",$A149,"Viaggio",$A$144)),0,GETPIVOTDATA("Somma di DARE",'Pivot Revolut'!$A$3,"Mese",8,"Tipologia",$A149,"Viaggio",$A$144))
-IF(ISERROR(GETPIVOTDATA("Somma di AVERE",'Pivot Revolut'!$A$3,"Mese",8,"Tipologia",$A149,"Viaggio",$A$144)),0,GETPIVOTDATA("Somma di AVERE",'Pivot Revolut'!$A$3,"Mese",8,"Tipologia",$A149,"Viaggio",$A$144))
+IF(ISERROR(GETPIVOTDATA("Somma di DARE",'Pivot RakBank EUR'!$A$3,"Mese",8,"Tipologia",$A149,"Viaggio",$A$144)),0,GETPIVOTDATA("Somma di DARE",'Pivot RakBank EUR'!$A$3,"Mese",8,"Tipologia",$A149,"Viaggio",$A$144))
-IF(ISERROR(GETPIVOTDATA("Somma di AVERE",'Pivot RakBank EUR'!$A$3,"Mese",8,"Tipologia",$A149,"Viaggio",$A$144)),0,GETPIVOTDATA("Somma di AVERE",'Pivot RakBank EUR'!$A$3,"Mese",8,"Tipologia",$A149,"Viaggio",$A$144))
+IF(ISERROR(GETPIVOTDATA("Somma di DARE EUR",'Pivot RakBank AED'!$A$3,"Mese",8,"Tipologia",$A149,"Viaggio",$A$144)),0,GETPIVOTDATA("Somma di DARE EUR",'Pivot RakBank AED'!$A$3,"Mese",8,"Tipologia",$A149,"Viaggio",$A$144))
-IF(ISERROR(GETPIVOTDATA("Somma di AVERE EUR",'Pivot RakBank AED'!$A$3,"Mese",8,"Tipologia",$A149,"Viaggio",$A$144)),0,GETPIVOTDATA("Somma di AVERE EUR",'Pivot RakBank AED'!$A$3,"Mese",8,"Tipologia",$A149,"Viaggio",$A$144))</f>
        <v>0</v>
      </c>
      <c r="K149" s="270">
        <f>IF(ISERROR(GETPIVOTDATA("Somma di DARE",'Pivot Fineco Sa'!$A$3,"Mese",9,"Tipologia",$A149,"Viaggio",$A$144)),0,GETPIVOTDATA("Somma di DARE",'Pivot Fineco Sa'!$A$3,"Mese",9,"Tipologia",$A149,"Viaggio",$A$144))
+IF(ISERROR(GETPIVOTDATA("Somma di DARE",'Pivot Fineco St'!$A$3,"Mese",9,"Tipologia",$A149,"Viaggio",$A$144)),0,GETPIVOTDATA("Somma di DARE",'Pivot Fineco St'!$A$3,"Mese",9,"Tipologia",$A149,"Viaggio",$A$144))
+IF(Contanti!$AK43='Conto Economico'!$A$144,Contanti!$AH43)
+IF(ISERROR(GETPIVOTDATA("Somma di DARE",'Pivot BBVA'!$A$3,"Mese",9,"Tipologia",$A149,"Viaggio",$A$144)),0,GETPIVOTDATA("Somma di DARE",'Pivot BBVA'!$A$3,"Mese",9,"Tipologia",$A149,"Viaggio",$A$144))
+IF(ISERROR(GETPIVOTDATA("Somma di DARE",'Pivot Amex'!$A$3,"Mese",9,"Tipologia",$A149,"Viaggio",$A$144)),0,GETPIVOTDATA("Somma di DARE",'Pivot Amex'!$A$3,"Mese",9,"Tipologia",$A149,"Viaggio",$A$144))
-IF(ISERROR(GETPIVOTDATA("Somma di AVERE",'Pivot Amex'!$A$3,"Mese",9,"Tipologia",$A149,"Viaggio",$A$144)),0,GETPIVOTDATA("Somma di AVERE",'Pivot Amex'!$A$3,"Mese",9,"Tipologia",$A149,"Viaggio",$A$144))
-IF(ISERROR(GETPIVOTDATA("Somma di AVERE",'Pivot BBVA'!$A$3,"Mese",9,"Tipologia",$A149,"Viaggio",$A$144)),0,GETPIVOTDATA("Somma di AVERE",'Pivot BBVA'!$A$3,"Mese",9,"Tipologia",$A149,"Viaggio",$A$144))
-IF(ISERROR(GETPIVOTDATA("Somma di AVERE",'Pivot Fineco St'!$A$3,"Mese",9,"Tipologia",$A149,"Viaggio",$A$144)),0,GETPIVOTDATA("Somma di AVERE",'Pivot Fineco St'!$A$3,"Mese",9,"Tipologia",$A149,"Viaggio",$A$144))
-IF(ISERROR(GETPIVOTDATA("Somma di AVERE",'Pivot Fineco Sa'!$A$3,"Mese",9,"Tipologia",$A149,"Viaggio",$A$144)),0,GETPIVOTDATA("Somma di AVERE",'Pivot Fineco Sa'!$A$3,"Mese",9,"Tipologia",$A149,"Viaggio",$A$144))
+IF(ISERROR(GETPIVOTDATA("Somma di DARE",'Pivot PP Visa'!$A$3,"Mese",9,"Tipologia",$A149,"Viaggio",$A$144)),0,GETPIVOTDATA("Somma di DARE",'Pivot PP Visa'!$A$3,"Mese",9,"Tipologia",$A149,"Viaggio",$A$144))
-IF(ISERROR(GETPIVOTDATA("Somma di AVERE",'Pivot PP Visa'!$A$3,"Mese",9,"Tipologia",$A149,"Viaggio",$A$144)),0,GETPIVOTDATA("Somma di AVERE",'Pivot PP Visa'!$A$3,"Mese",9,"Tipologia",$A149,"Viaggio",$A$144))
+IF(ISERROR(GETPIVOTDATA("Somma di DARE",'Pivot Revolut'!$A$3,"Mese",9,"Tipologia",$A149,"Viaggio",$A$144)),0,GETPIVOTDATA("Somma di DARE",'Pivot Revolut'!$A$3,"Mese",9,"Tipologia",$A149,"Viaggio",$A$144))
-IF(ISERROR(GETPIVOTDATA("Somma di AVERE",'Pivot Revolut'!$A$3,"Mese",9,"Tipologia",$A149,"Viaggio",$A$144)),0,GETPIVOTDATA("Somma di AVERE",'Pivot Revolut'!$A$3,"Mese",9,"Tipologia",$A149,"Viaggio",$A$144))
+IF(ISERROR(GETPIVOTDATA("Somma di DARE",'Pivot RakBank EUR'!$A$3,"Mese",9,"Tipologia",$A149,"Viaggio",$A$144)),0,GETPIVOTDATA("Somma di DARE",'Pivot RakBank EUR'!$A$3,"Mese",9,"Tipologia",$A149,"Viaggio",$A$144))
-IF(ISERROR(GETPIVOTDATA("Somma di AVERE",'Pivot RakBank EUR'!$A$3,"Mese",9,"Tipologia",$A149,"Viaggio",$A$144)),0,GETPIVOTDATA("Somma di AVERE",'Pivot RakBank EUR'!$A$3,"Mese",9,"Tipologia",$A149,"Viaggio",$A$144))
+IF(ISERROR(GETPIVOTDATA("Somma di DARE EUR",'Pivot RakBank AED'!$A$3,"Mese",9,"Tipologia",$A149,"Viaggio",$A$144)),0,GETPIVOTDATA("Somma di DARE EUR",'Pivot RakBank AED'!$A$3,"Mese",9,"Tipologia",$A149,"Viaggio",$A$144))
-IF(ISERROR(GETPIVOTDATA("Somma di AVERE EUR",'Pivot RakBank AED'!$A$3,"Mese",9,"Tipologia",$A149,"Viaggio",$A$144)),0,GETPIVOTDATA("Somma di AVERE EUR",'Pivot RakBank AED'!$A$3,"Mese",9,"Tipologia",$A149,"Viaggio",$A$144))</f>
        <v>0</v>
      </c>
      <c r="L149" s="270">
        <f>IF(ISERROR(GETPIVOTDATA("Somma di DARE",'Pivot Fineco Sa'!$A$3,"Mese",10,"Tipologia",$A149,"Viaggio",$A$144)),0,GETPIVOTDATA("Somma di DARE",'Pivot Fineco Sa'!$A$3,"Mese",10,"Tipologia",$A149,"Viaggio",$A$144))
+IF(ISERROR(GETPIVOTDATA("Somma di DARE",'Pivot Fineco St'!$A$3,"Mese",10,"Tipologia",$A149,"Viaggio",$A$144)),0,GETPIVOTDATA("Somma di DARE",'Pivot Fineco St'!$A$3,"Mese",10,"Tipologia",$A149,"Viaggio",$A$144))
+IF(Contanti!$AO43='Conto Economico'!$A$144,Contanti!$AL43)
+IF(ISERROR(GETPIVOTDATA("Somma di DARE",'Pivot BBVA'!$A$3,"Mese",10,"Tipologia",$A149,"Viaggio",$A$144)),0,GETPIVOTDATA("Somma di DARE",'Pivot BBVA'!$A$3,"Mese",10,"Tipologia",$A149,"Viaggio",$A$144))
+IF(ISERROR(GETPIVOTDATA("Somma di DARE",'Pivot Amex'!$A$3,"Mese",10,"Tipologia",$A149,"Viaggio",$A$144)),0,GETPIVOTDATA("Somma di DARE",'Pivot Amex'!$A$3,"Mese",10,"Tipologia",$A149,"Viaggio",$A$144))
-IF(ISERROR(GETPIVOTDATA("Somma di AVERE",'Pivot Amex'!$A$3,"Mese",10,"Tipologia",$A149,"Viaggio",$A$144)),0,GETPIVOTDATA("Somma di AVERE",'Pivot Amex'!$A$3,"Mese",10,"Tipologia",$A149,"Viaggio",$A$144))
-IF(ISERROR(GETPIVOTDATA("Somma di AVERE",'Pivot BBVA'!$A$3,"Mese",10,"Tipologia",$A149,"Viaggio",$A$144)),0,GETPIVOTDATA("Somma di AVERE",'Pivot BBVA'!$A$3,"Mese",10,"Tipologia",$A149,"Viaggio",$A$144))
-IF(ISERROR(GETPIVOTDATA("Somma di AVERE",'Pivot Fineco St'!$A$3,"Mese",10,"Tipologia",$A149,"Viaggio",$A$144)),0,GETPIVOTDATA("Somma di AVERE",'Pivot Fineco St'!$A$3,"Mese",10,"Tipologia",$A149,"Viaggio",$A$144))
-IF(ISERROR(GETPIVOTDATA("Somma di AVERE",'Pivot Fineco Sa'!$A$3,"Mese",10,"Tipologia",$A149,"Viaggio",$A$144)),0,GETPIVOTDATA("Somma di AVERE",'Pivot Fineco Sa'!$A$3,"Mese",10,"Tipologia",$A149,"Viaggio",$A$144))
+IF(ISERROR(GETPIVOTDATA("Somma di DARE",'Pivot PP Visa'!$A$3,"Mese",10,"Tipologia",$A149,"Viaggio",$A$144)),0,GETPIVOTDATA("Somma di DARE",'Pivot PP Visa'!$A$3,"Mese",10,"Tipologia",$A149,"Viaggio",$A$144))
-IF(ISERROR(GETPIVOTDATA("Somma di AVERE",'Pivot PP Visa'!$A$3,"Mese",10,"Tipologia",$A149,"Viaggio",$A$144)),0,GETPIVOTDATA("Somma di AVERE",'Pivot PP Visa'!$A$3,"Mese",10,"Tipologia",$A149,"Viaggio",$A$144))
+IF(ISERROR(GETPIVOTDATA("Somma di DARE",'Pivot Revolut'!$A$3,"Mese",10,"Tipologia",$A149,"Viaggio",$A$144)),0,GETPIVOTDATA("Somma di DARE",'Pivot Revolut'!$A$3,"Mese",10,"Tipologia",$A149,"Viaggio",$A$144))
-IF(ISERROR(GETPIVOTDATA("Somma di AVERE",'Pivot Revolut'!$A$3,"Mese",10,"Tipologia",$A149,"Viaggio",$A$144)),0,GETPIVOTDATA("Somma di AVERE",'Pivot Revolut'!$A$3,"Mese",10,"Tipologia",$A149,"Viaggio",$A$144))
+IF(ISERROR(GETPIVOTDATA("Somma di DARE",'Pivot RakBank EUR'!$A$3,"Mese",10,"Tipologia",$A149,"Viaggio",$A$144)),0,GETPIVOTDATA("Somma di DARE",'Pivot RakBank EUR'!$A$3,"Mese",10,"Tipologia",$A149,"Viaggio",$A$144))
-IF(ISERROR(GETPIVOTDATA("Somma di AVERE",'Pivot RakBank EUR'!$A$3,"Mese",10,"Tipologia",$A149,"Viaggio",$A$144)),0,GETPIVOTDATA("Somma di AVERE",'Pivot RakBank EUR'!$A$3,"Mese",10,"Tipologia",$A149,"Viaggio",$A$144))
+IF(ISERROR(GETPIVOTDATA("Somma di DARE EUR",'Pivot RakBank AED'!$A$3,"Mese",10,"Tipologia",$A149,"Viaggio",$A$144)),0,GETPIVOTDATA("Somma di DARE EUR",'Pivot RakBank AED'!$A$3,"Mese",10,"Tipologia",$A149,"Viaggio",$A$144))
-IF(ISERROR(GETPIVOTDATA("Somma di AVERE EUR",'Pivot RakBank AED'!$A$3,"Mese",10,"Tipologia",$A149,"Viaggio",$A$144)),0,GETPIVOTDATA("Somma di AVERE EUR",'Pivot RakBank AED'!$A$3,"Mese",10,"Tipologia",$A149,"Viaggio",$A$144))</f>
        <v>0</v>
      </c>
      <c r="M149" s="270">
        <f>IF(ISERROR(GETPIVOTDATA("Somma di DARE",'Pivot Fineco Sa'!$A$3,"Mese",11,"Tipologia",$A149,"Viaggio",$A$144)),0,GETPIVOTDATA("Somma di DARE",'Pivot Fineco Sa'!$A$3,"Mese",11,"Tipologia",$A149,"Viaggio",$A$144))
+IF(ISERROR(GETPIVOTDATA("Somma di DARE",'Pivot Fineco St'!$A$3,"Mese",11,"Tipologia",$A149,"Viaggio",$A$144)),0,GETPIVOTDATA("Somma di DARE",'Pivot Fineco St'!$A$3,"Mese",11,"Tipologia",$A149,"Viaggio",$A$144))
+IF(Contanti!$AS43='Conto Economico'!$A$144,Contanti!$AP43)
+IF(ISERROR(GETPIVOTDATA("Somma di DARE",'Pivot BBVA'!$A$3,"Mese",11,"Tipologia",$A149,"Viaggio",$A$144)),0,GETPIVOTDATA("Somma di DARE",'Pivot BBVA'!$A$3,"Mese",11,"Tipologia",$A149,"Viaggio",$A$144))
+IF(ISERROR(GETPIVOTDATA("Somma di DARE",'Pivot Amex'!$A$3,"Mese",11,"Tipologia",$A149,"Viaggio",$A$144)),0,GETPIVOTDATA("Somma di DARE",'Pivot Amex'!$A$3,"Mese",11,"Tipologia",$A149,"Viaggio",$A$144))
-IF(ISERROR(GETPIVOTDATA("Somma di AVERE",'Pivot Amex'!$A$3,"Mese",11,"Tipologia",$A149,"Viaggio",$A$144)),0,GETPIVOTDATA("Somma di AVERE",'Pivot Amex'!$A$3,"Mese",11,"Tipologia",$A149,"Viaggio",$A$144))
-IF(ISERROR(GETPIVOTDATA("Somma di AVERE",'Pivot BBVA'!$A$3,"Mese",11,"Tipologia",$A149,"Viaggio",$A$144)),0,GETPIVOTDATA("Somma di AVERE",'Pivot BBVA'!$A$3,"Mese",11,"Tipologia",$A149,"Viaggio",$A$144))
-IF(ISERROR(GETPIVOTDATA("Somma di AVERE",'Pivot Fineco St'!$A$3,"Mese",11,"Tipologia",$A149,"Viaggio",$A$144)),0,GETPIVOTDATA("Somma di AVERE",'Pivot Fineco St'!$A$3,"Mese",11,"Tipologia",$A149,"Viaggio",$A$144))
-IF(ISERROR(GETPIVOTDATA("Somma di AVERE",'Pivot Fineco Sa'!$A$3,"Mese",11,"Tipologia",$A149,"Viaggio",$A$144)),0,GETPIVOTDATA("Somma di AVERE",'Pivot Fineco Sa'!$A$3,"Mese",11,"Tipologia",$A149,"Viaggio",$A$144))
+IF(ISERROR(GETPIVOTDATA("Somma di DARE",'Pivot PP Visa'!$A$3,"Mese",11,"Tipologia",$A149,"Viaggio",$A$144)),0,GETPIVOTDATA("Somma di DARE",'Pivot PP Visa'!$A$3,"Mese",11,"Tipologia",$A149,"Viaggio",$A$144))
-IF(ISERROR(GETPIVOTDATA("Somma di AVERE",'Pivot PP Visa'!$A$3,"Mese",11,"Tipologia",$A149,"Viaggio",$A$144)),0,GETPIVOTDATA("Somma di AVERE",'Pivot PP Visa'!$A$3,"Mese",11,"Tipologia",$A149,"Viaggio",$A$144))
+IF(ISERROR(GETPIVOTDATA("Somma di DARE",'Pivot Revolut'!$A$3,"Mese",11,"Tipologia",$A149,"Viaggio",$A$144)),0,GETPIVOTDATA("Somma di DARE",'Pivot Revolut'!$A$3,"Mese",11,"Tipologia",$A149,"Viaggio",$A$144))
-IF(ISERROR(GETPIVOTDATA("Somma di AVERE",'Pivot Revolut'!$A$3,"Mese",11,"Tipologia",$A149,"Viaggio",$A$144)),0,GETPIVOTDATA("Somma di AVERE",'Pivot Revolut'!$A$3,"Mese",11,"Tipologia",$A149,"Viaggio",$A$144))
+IF(ISERROR(GETPIVOTDATA("Somma di DARE",'Pivot RakBank EUR'!$A$3,"Mese",11,"Tipologia",$A149,"Viaggio",$A$144)),0,GETPIVOTDATA("Somma di DARE",'Pivot RakBank EUR'!$A$3,"Mese",11,"Tipologia",$A149,"Viaggio",$A$144))
-IF(ISERROR(GETPIVOTDATA("Somma di AVERE",'Pivot RakBank EUR'!$A$3,"Mese",11,"Tipologia",$A149,"Viaggio",$A$144)),0,GETPIVOTDATA("Somma di AVERE",'Pivot RakBank EUR'!$A$3,"Mese",11,"Tipologia",$A149,"Viaggio",$A$144))
+IF(ISERROR(GETPIVOTDATA("Somma di DARE EUR",'Pivot RakBank AED'!$A$3,"Mese",11,"Tipologia",$A149,"Viaggio",$A$144)),0,GETPIVOTDATA("Somma di DARE EUR",'Pivot RakBank AED'!$A$3,"Mese",11,"Tipologia",$A149,"Viaggio",$A$144))
-IF(ISERROR(GETPIVOTDATA("Somma di AVERE EUR",'Pivot RakBank AED'!$A$3,"Mese",11,"Tipologia",$A149,"Viaggio",$A$144)),0,GETPIVOTDATA("Somma di AVERE EUR",'Pivot RakBank AED'!$A$3,"Mese",11,"Tipologia",$A149,"Viaggio",$A$144))</f>
        <v>0</v>
      </c>
      <c r="N149" s="270">
        <f>IF(ISERROR(GETPIVOTDATA("Somma di DARE",'Pivot Fineco Sa'!$A$3,"Mese",12,"Tipologia",$A149,"Viaggio",$A$144)),0,GETPIVOTDATA("Somma di DARE",'Pivot Fineco Sa'!$A$3,"Mese",12,"Tipologia",$A149,"Viaggio",$A$144))
+IF(ISERROR(GETPIVOTDATA("Somma di DARE",'Pivot Fineco St'!$A$3,"Mese",12,"Tipologia",$A149,"Viaggio",$A$144)),0,GETPIVOTDATA("Somma di DARE",'Pivot Fineco St'!$A$3,"Mese",12,"Tipologia",$A149,"Viaggio",$A$144))
+IF(Contanti!$AW43='Conto Economico'!$A$144,Contanti!$AT43)
+IF(ISERROR(GETPIVOTDATA("Somma di DARE",'Pivot BBVA'!$A$3,"Mese",12,"Tipologia",$A149,"Viaggio",$A$144)),0,GETPIVOTDATA("Somma di DARE",'Pivot BBVA'!$A$3,"Mese",12,"Tipologia",$A149,"Viaggio",$A$144))
+IF(ISERROR(GETPIVOTDATA("Somma di DARE",'Pivot Amex'!$A$3,"Mese",12,"Tipologia",$A149,"Viaggio",$A$144)),0,GETPIVOTDATA("Somma di DARE",'Pivot Amex'!$A$3,"Mese",12,"Tipologia",$A149,"Viaggio",$A$144))
-IF(ISERROR(GETPIVOTDATA("Somma di AVERE",'Pivot Amex'!$A$3,"Mese",12,"Tipologia",$A149,"Viaggio",$A$144)),0,GETPIVOTDATA("Somma di AVERE",'Pivot Amex'!$A$3,"Mese",12,"Tipologia",$A149,"Viaggio",$A$144))
-IF(ISERROR(GETPIVOTDATA("Somma di AVERE",'Pivot BBVA'!$A$3,"Mese",12,"Tipologia",$A149,"Viaggio",$A$144)),0,GETPIVOTDATA("Somma di AVERE",'Pivot BBVA'!$A$3,"Mese",12,"Tipologia",$A149,"Viaggio",$A$144))
-IF(ISERROR(GETPIVOTDATA("Somma di AVERE",'Pivot Fineco St'!$A$3,"Mese",12,"Tipologia",$A149,"Viaggio",$A$144)),0,GETPIVOTDATA("Somma di AVERE",'Pivot Fineco St'!$A$3,"Mese",12,"Tipologia",$A149,"Viaggio",$A$144))
-IF(ISERROR(GETPIVOTDATA("Somma di AVERE",'Pivot Fineco Sa'!$A$3,"Mese",12,"Tipologia",$A149,"Viaggio",$A$144)),0,GETPIVOTDATA("Somma di AVERE",'Pivot Fineco Sa'!$A$3,"Mese",12,"Tipologia",$A149,"Viaggio",$A$144))
+IF(ISERROR(GETPIVOTDATA("Somma di DARE",'Pivot PP Visa'!$A$3,"Mese",12,"Tipologia",$A149,"Viaggio",$A$144)),0,GETPIVOTDATA("Somma di DARE",'Pivot PP Visa'!$A$3,"Mese",12,"Tipologia",$A149,"Viaggio",$A$144))
-IF(ISERROR(GETPIVOTDATA("Somma di AVERE",'Pivot PP Visa'!$A$3,"Mese",12,"Tipologia",$A149,"Viaggio",$A$144)),0,GETPIVOTDATA("Somma di AVERE",'Pivot PP Visa'!$A$3,"Mese",12,"Tipologia",$A149,"Viaggio",$A$144))
+IF(ISERROR(GETPIVOTDATA("Somma di DARE",'Pivot Revolut'!$A$3,"Mese",12,"Tipologia",$A149,"Viaggio",$A$144)),0,GETPIVOTDATA("Somma di DARE",'Pivot Revolut'!$A$3,"Mese",12,"Tipologia",$A149,"Viaggio",$A$144))
-IF(ISERROR(GETPIVOTDATA("Somma di AVERE",'Pivot Revolut'!$A$3,"Mese",12,"Tipologia",$A149,"Viaggio",$A$144)),0,GETPIVOTDATA("Somma di AVERE",'Pivot Revolut'!$A$3,"Mese",12,"Tipologia",$A149,"Viaggio",$A$144))
+IF(ISERROR(GETPIVOTDATA("Somma di DARE",'Pivot RakBank EUR'!$A$3,"Mese",12,"Tipologia",$A149,"Viaggio",$A$144)),0,GETPIVOTDATA("Somma di DARE",'Pivot RakBank EUR'!$A$3,"Mese",12,"Tipologia",$A149,"Viaggio",$A$144))
-IF(ISERROR(GETPIVOTDATA("Somma di AVERE",'Pivot RakBank EUR'!$A$3,"Mese",12,"Tipologia",$A149,"Viaggio",$A$144)),0,GETPIVOTDATA("Somma di AVERE",'Pivot RakBank EUR'!$A$3,"Mese",12,"Tipologia",$A149,"Viaggio",$A$144))
+IF(ISERROR(GETPIVOTDATA("Somma di DARE EUR",'Pivot RakBank AED'!$A$3,"Mese",12,"Tipologia",$A149,"Viaggio",$A$144)),0,GETPIVOTDATA("Somma di DARE EUR",'Pivot RakBank AED'!$A$3,"Mese",12,"Tipologia",$A149,"Viaggio",$A$144))
-IF(ISERROR(GETPIVOTDATA("Somma di AVERE EUR",'Pivot RakBank AED'!$A$3,"Mese",12,"Tipologia",$A149,"Viaggio",$A$144)),0,GETPIVOTDATA("Somma di AVERE EUR",'Pivot RakBank AED'!$A$3,"Mese",12,"Tipologia",$A149,"Viaggio",$A$144))</f>
        <v>0</v>
      </c>
      <c r="O149" s="271">
        <f t="shared" si="19"/>
        <v>0</v>
      </c>
      <c r="P149" s="270"/>
    </row>
    <row r="150" spans="1:16" s="131" customFormat="1" ht="14" outlineLevel="1" x14ac:dyDescent="0.2">
      <c r="A150" s="269" t="s">
        <v>99</v>
      </c>
      <c r="B150" s="269"/>
      <c r="C150" s="270">
        <f>IF(ISERROR(GETPIVOTDATA("Somma di DARE",'Pivot Fineco Sa'!$A$3,"Mese",1,"Tipologia",$A150,"Viaggio",$A$144)),0,GETPIVOTDATA("Somma di DARE",'Pivot Fineco Sa'!$A$3,"Mese",1,"Tipologia",$A150,"Viaggio",$A$144))
+IF(ISERROR(GETPIVOTDATA("Somma di DARE",'Pivot Fineco St'!$A$3,"Mese",1,"Tipologia",$A150,"Viaggio",$A$144)),0,GETPIVOTDATA("Somma di DARE",'Pivot Fineco St'!$A$3,"Mese",1,"Tipologia",$A150,"Viaggio",$A$144))
+IF(Contanti!$E44='Conto Economico'!$A$144,Contanti!$B44)
+IF(ISERROR(GETPIVOTDATA("Somma di DARE",'Pivot BBVA'!$A$3,"Mese",1,"Tipologia",$A150,"Viaggio",$A$144)),0,GETPIVOTDATA("Somma di DARE",'Pivot BBVA'!$A$3,"Mese",1,"Tipologia",$A150,"Viaggio",$A$144))
+IF(ISERROR(GETPIVOTDATA("Somma di DARE",'Pivot Amex'!$A$3,"Mese",1,"Tipologia",$A150,"Viaggio",$A$144)),0,GETPIVOTDATA("Somma di DARE",'Pivot Amex'!$A$3,"Mese",1,"Tipologia",$A150,"Viaggio",$A$144))
-IF(ISERROR(GETPIVOTDATA("Somma di AVERE",'Pivot Amex'!$A$3,"Mese",1,"Tipologia",$A150,"Viaggio",$A$144)),0,GETPIVOTDATA("Somma di AVERE",'Pivot Amex'!$A$3,"Mese",1,"Tipologia",$A150,"Viaggio",$A$144))
-IF(ISERROR(GETPIVOTDATA("Somma di AVERE",'Pivot BBVA'!$A$3,"Mese",1,"Tipologia",$A150,"Viaggio",$A$144)),0,GETPIVOTDATA("Somma di AVERE",'Pivot BBVA'!$A$3,"Mese",1,"Tipologia",$A150,"Viaggio",$A$144))
-IF(ISERROR(GETPIVOTDATA("Somma di AVERE",'Pivot Fineco St'!$A$3,"Mese",1,"Tipologia",$A150,"Viaggio",$A$144)),0,GETPIVOTDATA("Somma di AVERE",'Pivot Fineco St'!$A$3,"Mese",1,"Tipologia",$A150,"Viaggio",$A$144))
-IF(ISERROR(GETPIVOTDATA("Somma di AVERE",'Pivot Fineco Sa'!$A$3,"Mese",1,"Tipologia",$A150,"Viaggio",$A$144)),0,GETPIVOTDATA("Somma di AVERE",'Pivot Fineco Sa'!$A$3,"Mese",1,"Tipologia",$A150,"Viaggio",$A$144))
+IF(ISERROR(GETPIVOTDATA("Somma di DARE",'Pivot PP Visa'!$A$3,"Mese",1,"Tipologia",$A150,"Viaggio",$A$144)),0,GETPIVOTDATA("Somma di DARE",'Pivot PP Visa'!$A$3,"Mese",1,"Tipologia",$A150,"Viaggio",$A$144))
-IF(ISERROR(GETPIVOTDATA("Somma di AVERE",'Pivot PP Visa'!$A$3,"Mese",1,"Tipologia",$A150,"Viaggio",$A$144)),0,GETPIVOTDATA("Somma di AVERE",'Pivot PP Visa'!$A$3,"Mese",1,"Tipologia",$A150,"Viaggio",$A$144))
+IF(ISERROR(GETPIVOTDATA("Somma di DARE",'Pivot Revolut'!$A$3,"Mese",1,"Tipologia",$A150,"Viaggio",$A$144)),0,GETPIVOTDATA("Somma di DARE",'Pivot Revolut'!$A$3,"Mese",1,"Tipologia",$A150,"Viaggio",$A$144))
-IF(ISERROR(GETPIVOTDATA("Somma di AVERE",'Pivot Revolut'!$A$3,"Mese",1,"Tipologia",$A150,"Viaggio",$A$144)),0,GETPIVOTDATA("Somma di AVERE",'Pivot Revolut'!$A$3,"Mese",1,"Tipologia",$A150,"Viaggio",$A$144))
+IF(ISERROR(GETPIVOTDATA("Somma di DARE",'Pivot RakBank EUR'!$A$3,"Mese",1,"Tipologia",$A150,"Viaggio",$A$144)),0,GETPIVOTDATA("Somma di DARE",'Pivot RakBank EUR'!$A$3,"Mese",1,"Tipologia",$A150,"Viaggio",$A$144))
-IF(ISERROR(GETPIVOTDATA("Somma di AVERE",'Pivot RakBank EUR'!$A$3,"Mese",1,"Tipologia",$A150,"Viaggio",$A$144)),0,GETPIVOTDATA("Somma di AVERE",'Pivot RakBank EUR'!$A$3,"Mese",1,"Tipologia",$A150,"Viaggio",$A$144))
+IF(ISERROR(GETPIVOTDATA("Somma di DARE EUR",'Pivot RakBank AED'!$A$3,"Mese",1,"Tipologia",$A150,"Viaggio",$A$144)),0,GETPIVOTDATA("Somma di DARE EUR",'Pivot RakBank AED'!$A$3,"Mese",1,"Tipologia",$A150,"Viaggio",$A$144))
-IF(ISERROR(GETPIVOTDATA("Somma di AVERE EUR",'Pivot RakBank AED'!$A$3,"Mese",1,"Tipologia",$A150,"Viaggio",$A$144)),0,GETPIVOTDATA("Somma di AVERE EUR",'Pivot RakBank AED'!$A$3,"Mese",1,"Tipologia",$A150,"Viaggio",$A$144))</f>
        <v>0</v>
      </c>
      <c r="D150" s="270">
        <f>IF(ISERROR(GETPIVOTDATA("Somma di DARE",'Pivot Fineco Sa'!$A$3,"Mese",2,"Tipologia",$A150,"Viaggio",$A$144)),0,GETPIVOTDATA("Somma di DARE",'Pivot Fineco Sa'!$A$3,"Mese",2,"Tipologia",$A150,"Viaggio",$A$144))
+IF(ISERROR(GETPIVOTDATA("Somma di DARE",'Pivot Fineco St'!$A$3,"Mese",2,"Tipologia",$A150,"Viaggio",$A$144)),0,GETPIVOTDATA("Somma di DARE",'Pivot Fineco St'!$A$3,"Mese",2,"Tipologia",$A150,"Viaggio",$A$144))
+IF(Contanti!$I44='Conto Economico'!$A$144,Contanti!$F44)
+IF(ISERROR(GETPIVOTDATA("Somma di DARE",'Pivot BBVA'!$A$3,"Mese",2,"Tipologia",$A150,"Viaggio",$A$144)),0,GETPIVOTDATA("Somma di DARE",'Pivot BBVA'!$A$3,"Mese",2,"Tipologia",$A150,"Viaggio",$A$144))
+IF(ISERROR(GETPIVOTDATA("Somma di DARE",'Pivot Amex'!$A$3,"Mese",2,"Tipologia",$A150,"Viaggio",$A$144)),0,GETPIVOTDATA("Somma di DARE",'Pivot Amex'!$A$3,"Mese",2,"Tipologia",$A150,"Viaggio",$A$144))
-IF(ISERROR(GETPIVOTDATA("Somma di AVERE",'Pivot Amex'!$A$3,"Mese",2,"Tipologia",$A150,"Viaggio",$A$144)),0,GETPIVOTDATA("Somma di AVERE",'Pivot Amex'!$A$3,"Mese",2,"Tipologia",$A150,"Viaggio",$A$144))
-IF(ISERROR(GETPIVOTDATA("Somma di AVERE",'Pivot BBVA'!$A$3,"Mese",2,"Tipologia",$A150,"Viaggio",$A$144)),0,GETPIVOTDATA("Somma di AVERE",'Pivot BBVA'!$A$3,"Mese",2,"Tipologia",$A150,"Viaggio",$A$144))
-IF(ISERROR(GETPIVOTDATA("Somma di AVERE",'Pivot Fineco St'!$A$3,"Mese",2,"Tipologia",$A150,"Viaggio",$A$144)),0,GETPIVOTDATA("Somma di AVERE",'Pivot Fineco St'!$A$3,"Mese",2,"Tipologia",$A150,"Viaggio",$A$144))
-IF(ISERROR(GETPIVOTDATA("Somma di AVERE",'Pivot Fineco Sa'!$A$3,"Mese",2,"Tipologia",$A150,"Viaggio",$A$144)),0,GETPIVOTDATA("Somma di AVERE",'Pivot Fineco Sa'!$A$3,"Mese",2,"Tipologia",$A150,"Viaggio",$A$144))
+IF(ISERROR(GETPIVOTDATA("Somma di DARE",'Pivot PP Visa'!$A$3,"Mese",2,"Tipologia",$A150,"Viaggio",$A$144)),0,GETPIVOTDATA("Somma di DARE",'Pivot PP Visa'!$A$3,"Mese",2,"Tipologia",$A150,"Viaggio",$A$144))
-IF(ISERROR(GETPIVOTDATA("Somma di AVERE",'Pivot PP Visa'!$A$3,"Mese",2,"Tipologia",$A150,"Viaggio",$A$144)),0,GETPIVOTDATA("Somma di AVERE",'Pivot PP Visa'!$A$3,"Mese",2,"Tipologia",$A150,"Viaggio",$A$144))
+IF(ISERROR(GETPIVOTDATA("Somma di DARE",'Pivot Revolut'!$A$3,"Mese",2,"Tipologia",$A150,"Viaggio",$A$144)),0,GETPIVOTDATA("Somma di DARE",'Pivot Revolut'!$A$3,"Mese",2,"Tipologia",$A150,"Viaggio",$A$144))
-IF(ISERROR(GETPIVOTDATA("Somma di AVERE",'Pivot Revolut'!$A$3,"Mese",2,"Tipologia",$A150,"Viaggio",$A$144)),0,GETPIVOTDATA("Somma di AVERE",'Pivot Revolut'!$A$3,"Mese",2,"Tipologia",$A150,"Viaggio",$A$144))
+IF(ISERROR(GETPIVOTDATA("Somma di DARE",'Pivot RakBank EUR'!$A$3,"Mese",2,"Tipologia",$A150,"Viaggio",$A$144)),0,GETPIVOTDATA("Somma di DARE",'Pivot RakBank EUR'!$A$3,"Mese",2,"Tipologia",$A150,"Viaggio",$A$144))
-IF(ISERROR(GETPIVOTDATA("Somma di AVERE",'Pivot RakBank EUR'!$A$3,"Mese",2,"Tipologia",$A150,"Viaggio",$A$144)),0,GETPIVOTDATA("Somma di AVERE",'Pivot RakBank EUR'!$A$3,"Mese",2,"Tipologia",$A150,"Viaggio",$A$144))
+IF(ISERROR(GETPIVOTDATA("Somma di DARE EUR",'Pivot RakBank AED'!$A$3,"Mese",2,"Tipologia",$A150,"Viaggio",$A$144)),0,GETPIVOTDATA("Somma di DARE EUR",'Pivot RakBank AED'!$A$3,"Mese",2,"Tipologia",$A150,"Viaggio",$A$144))
-IF(ISERROR(GETPIVOTDATA("Somma di AVERE EUR",'Pivot RakBank AED'!$A$3,"Mese",2,"Tipologia",$A150,"Viaggio",$A$144)),0,GETPIVOTDATA("Somma di AVERE EUR",'Pivot RakBank AED'!$A$3,"Mese",2,"Tipologia",$A150,"Viaggio",$A$144))</f>
        <v>0</v>
      </c>
      <c r="E150" s="270">
        <f>IF(ISERROR(GETPIVOTDATA("Somma di DARE",'Pivot Fineco Sa'!$A$3,"Mese",3,"Tipologia",$A150,"Viaggio",$A$144)),0,GETPIVOTDATA("Somma di DARE",'Pivot Fineco Sa'!$A$3,"Mese",3,"Tipologia",$A150,"Viaggio",$A$144))
+IF(ISERROR(GETPIVOTDATA("Somma di DARE",'Pivot Fineco St'!$A$3,"Mese",3,"Tipologia",$A150,"Viaggio",$A$144)),0,GETPIVOTDATA("Somma di DARE",'Pivot Fineco St'!$A$3,"Mese",3,"Tipologia",$A150,"Viaggio",$A$144))
+IF(Contanti!$M44='Conto Economico'!$A$144,Contanti!$J44)
+IF(ISERROR(GETPIVOTDATA("Somma di DARE",'Pivot BBVA'!$A$3,"Mese",3,"Tipologia",$A150,"Viaggio",$A$144)),0,GETPIVOTDATA("Somma di DARE",'Pivot BBVA'!$A$3,"Mese",3,"Tipologia",$A150,"Viaggio",$A$144))
+IF(ISERROR(GETPIVOTDATA("Somma di DARE",'Pivot Amex'!$A$3,"Mese",3,"Tipologia",$A150,"Viaggio",$A$144)),0,GETPIVOTDATA("Somma di DARE",'Pivot Amex'!$A$3,"Mese",3,"Tipologia",$A150,"Viaggio",$A$144))
-IF(ISERROR(GETPIVOTDATA("Somma di AVERE",'Pivot Amex'!$A$3,"Mese",3,"Tipologia",$A150,"Viaggio",$A$144)),0,GETPIVOTDATA("Somma di AVERE",'Pivot Amex'!$A$3,"Mese",3,"Tipologia",$A150,"Viaggio",$A$144))
-IF(ISERROR(GETPIVOTDATA("Somma di AVERE",'Pivot BBVA'!$A$3,"Mese",3,"Tipologia",$A150,"Viaggio",$A$144)),0,GETPIVOTDATA("Somma di AVERE",'Pivot BBVA'!$A$3,"Mese",3,"Tipologia",$A150,"Viaggio",$A$144))
-IF(ISERROR(GETPIVOTDATA("Somma di AVERE",'Pivot Fineco St'!$A$3,"Mese",3,"Tipologia",$A150,"Viaggio",$A$144)),0,GETPIVOTDATA("Somma di AVERE",'Pivot Fineco St'!$A$3,"Mese",3,"Tipologia",$A150,"Viaggio",$A$144))
-IF(ISERROR(GETPIVOTDATA("Somma di AVERE",'Pivot Fineco Sa'!$A$3,"Mese",3,"Tipologia",$A150,"Viaggio",$A$144)),0,GETPIVOTDATA("Somma di AVERE",'Pivot Fineco Sa'!$A$3,"Mese",3,"Tipologia",$A150,"Viaggio",$A$144))
+IF(ISERROR(GETPIVOTDATA("Somma di DARE",'Pivot PP Visa'!$A$3,"Mese",3,"Tipologia",$A150,"Viaggio",$A$144)),0,GETPIVOTDATA("Somma di DARE",'Pivot PP Visa'!$A$3,"Mese",3,"Tipologia",$A150,"Viaggio",$A$144))
-IF(ISERROR(GETPIVOTDATA("Somma di AVERE",'Pivot PP Visa'!$A$3,"Mese",3,"Tipologia",$A150,"Viaggio",$A$144)),0,GETPIVOTDATA("Somma di AVERE",'Pivot PP Visa'!$A$3,"Mese",3,"Tipologia",$A150,"Viaggio",$A$144))
+IF(ISERROR(GETPIVOTDATA("Somma di DARE",'Pivot Revolut'!$A$3,"Mese",3,"Tipologia",$A150,"Viaggio",$A$144)),0,GETPIVOTDATA("Somma di DARE",'Pivot Revolut'!$A$3,"Mese",3,"Tipologia",$A150,"Viaggio",$A$144))
-IF(ISERROR(GETPIVOTDATA("Somma di AVERE",'Pivot Revolut'!$A$3,"Mese",3,"Tipologia",$A150,"Viaggio",$A$144)),0,GETPIVOTDATA("Somma di AVERE",'Pivot Revolut'!$A$3,"Mese",3,"Tipologia",$A150,"Viaggio",$A$144))
+IF(ISERROR(GETPIVOTDATA("Somma di DARE",'Pivot RakBank EUR'!$A$3,"Mese",3,"Tipologia",$A150,"Viaggio",$A$144)),0,GETPIVOTDATA("Somma di DARE",'Pivot RakBank EUR'!$A$3,"Mese",3,"Tipologia",$A150,"Viaggio",$A$144))
-IF(ISERROR(GETPIVOTDATA("Somma di AVERE",'Pivot RakBank EUR'!$A$3,"Mese",3,"Tipologia",$A150,"Viaggio",$A$144)),0,GETPIVOTDATA("Somma di AVERE",'Pivot RakBank EUR'!$A$3,"Mese",3,"Tipologia",$A150,"Viaggio",$A$144))
+IF(ISERROR(GETPIVOTDATA("Somma di DARE EUR",'Pivot RakBank AED'!$A$3,"Mese",3,"Tipologia",$A150,"Viaggio",$A$144)),0,GETPIVOTDATA("Somma di DARE EUR",'Pivot RakBank AED'!$A$3,"Mese",3,"Tipologia",$A150,"Viaggio",$A$144))
-IF(ISERROR(GETPIVOTDATA("Somma di AVERE EUR",'Pivot RakBank AED'!$A$3,"Mese",3,"Tipologia",$A150,"Viaggio",$A$144)),0,GETPIVOTDATA("Somma di AVERE EUR",'Pivot RakBank AED'!$A$3,"Mese",3,"Tipologia",$A150,"Viaggio",$A$144))</f>
        <v>0</v>
      </c>
      <c r="F150" s="270">
        <f>IF(ISERROR(GETPIVOTDATA("Somma di DARE",'Pivot Fineco Sa'!$A$3,"Mese",4,"Tipologia",$A150,"Viaggio",$A$144)),0,GETPIVOTDATA("Somma di DARE",'Pivot Fineco Sa'!$A$3,"Mese",4,"Tipologia",$A150,"Viaggio",$A$144))
+IF(ISERROR(GETPIVOTDATA("Somma di DARE",'Pivot Fineco St'!$A$3,"Mese",4,"Tipologia",$A150,"Viaggio",$A$144)),0,GETPIVOTDATA("Somma di DARE",'Pivot Fineco St'!$A$3,"Mese",4,"Tipologia",$A150,"Viaggio",$A$144))
+IF(Contanti!$Q44='Conto Economico'!$A$144,Contanti!$N44)
+IF(ISERROR(GETPIVOTDATA("Somma di DARE",'Pivot BBVA'!$A$3,"Mese",4,"Tipologia",$A150,"Viaggio",$A$144)),0,GETPIVOTDATA("Somma di DARE",'Pivot BBVA'!$A$3,"Mese",4,"Tipologia",$A150,"Viaggio",$A$144))
+IF(ISERROR(GETPIVOTDATA("Somma di DARE",'Pivot Amex'!$A$3,"Mese",4,"Tipologia",$A150,"Viaggio",$A$144)),0,GETPIVOTDATA("Somma di DARE",'Pivot Amex'!$A$3,"Mese",4,"Tipologia",$A150,"Viaggio",$A$144))
-IF(ISERROR(GETPIVOTDATA("Somma di AVERE",'Pivot Amex'!$A$3,"Mese",4,"Tipologia",$A150,"Viaggio",$A$144)),0,GETPIVOTDATA("Somma di AVERE",'Pivot Amex'!$A$3,"Mese",4,"Tipologia",$A150,"Viaggio",$A$144))
-IF(ISERROR(GETPIVOTDATA("Somma di AVERE",'Pivot BBVA'!$A$3,"Mese",4,"Tipologia",$A150,"Viaggio",$A$144)),0,GETPIVOTDATA("Somma di AVERE",'Pivot BBVA'!$A$3,"Mese",4,"Tipologia",$A150,"Viaggio",$A$144))
-IF(ISERROR(GETPIVOTDATA("Somma di AVERE",'Pivot Fineco St'!$A$3,"Mese",4,"Tipologia",$A150,"Viaggio",$A$144)),0,GETPIVOTDATA("Somma di AVERE",'Pivot Fineco St'!$A$3,"Mese",4,"Tipologia",$A150,"Viaggio",$A$144))
-IF(ISERROR(GETPIVOTDATA("Somma di AVERE",'Pivot Fineco Sa'!$A$3,"Mese",4,"Tipologia",$A150,"Viaggio",$A$144)),0,GETPIVOTDATA("Somma di AVERE",'Pivot Fineco Sa'!$A$3,"Mese",4,"Tipologia",$A150,"Viaggio",$A$144))
+IF(ISERROR(GETPIVOTDATA("Somma di DARE",'Pivot PP Visa'!$A$3,"Mese",4,"Tipologia",$A150,"Viaggio",$A$144)),0,GETPIVOTDATA("Somma di DARE",'Pivot PP Visa'!$A$3,"Mese",4,"Tipologia",$A150,"Viaggio",$A$144))
-IF(ISERROR(GETPIVOTDATA("Somma di AVERE",'Pivot PP Visa'!$A$3,"Mese",4,"Tipologia",$A150,"Viaggio",$A$144)),0,GETPIVOTDATA("Somma di AVERE",'Pivot PP Visa'!$A$3,"Mese",4,"Tipologia",$A150,"Viaggio",$A$144))
+IF(ISERROR(GETPIVOTDATA("Somma di DARE",'Pivot Revolut'!$A$3,"Mese",4,"Tipologia",$A150,"Viaggio",$A$144)),0,GETPIVOTDATA("Somma di DARE",'Pivot Revolut'!$A$3,"Mese",4,"Tipologia",$A150,"Viaggio",$A$144))
-IF(ISERROR(GETPIVOTDATA("Somma di AVERE",'Pivot Revolut'!$A$3,"Mese",4,"Tipologia",$A150,"Viaggio",$A$144)),0,GETPIVOTDATA("Somma di AVERE",'Pivot Revolut'!$A$3,"Mese",4,"Tipologia",$A150,"Viaggio",$A$144))
+IF(ISERROR(GETPIVOTDATA("Somma di DARE",'Pivot RakBank EUR'!$A$3,"Mese",4,"Tipologia",$A150,"Viaggio",$A$144)),0,GETPIVOTDATA("Somma di DARE",'Pivot RakBank EUR'!$A$3,"Mese",4,"Tipologia",$A150,"Viaggio",$A$144))
-IF(ISERROR(GETPIVOTDATA("Somma di AVERE",'Pivot RakBank EUR'!$A$3,"Mese",4,"Tipologia",$A150,"Viaggio",$A$144)),0,GETPIVOTDATA("Somma di AVERE",'Pivot RakBank EUR'!$A$3,"Mese",4,"Tipologia",$A150,"Viaggio",$A$144))
+IF(ISERROR(GETPIVOTDATA("Somma di DARE EUR",'Pivot RakBank AED'!$A$3,"Mese",4,"Tipologia",$A150,"Viaggio",$A$144)),0,GETPIVOTDATA("Somma di DARE EUR",'Pivot RakBank AED'!$A$3,"Mese",4,"Tipologia",$A150,"Viaggio",$A$144))
-IF(ISERROR(GETPIVOTDATA("Somma di AVERE EUR",'Pivot RakBank AED'!$A$3,"Mese",4,"Tipologia",$A150,"Viaggio",$A$144)),0,GETPIVOTDATA("Somma di AVERE EUR",'Pivot RakBank AED'!$A$3,"Mese",4,"Tipologia",$A150,"Viaggio",$A$144))</f>
        <v>0</v>
      </c>
      <c r="G150" s="270">
        <f>IF(ISERROR(GETPIVOTDATA("Somma di DARE",'Pivot Fineco Sa'!$A$3,"Mese",5,"Tipologia",$A150,"Viaggio",$A$144)),0,GETPIVOTDATA("Somma di DARE",'Pivot Fineco Sa'!$A$3,"Mese",5,"Tipologia",$A150,"Viaggio",$A$144))
+IF(ISERROR(GETPIVOTDATA("Somma di DARE",'Pivot Fineco St'!$A$3,"Mese",5,"Tipologia",$A150,"Viaggio",$A$144)),0,GETPIVOTDATA("Somma di DARE",'Pivot Fineco St'!$A$3,"Mese",5,"Tipologia",$A150,"Viaggio",$A$144))
+IF(Contanti!$U44='Conto Economico'!$A$144,Contanti!$R44)
+IF(ISERROR(GETPIVOTDATA("Somma di DARE",'Pivot BBVA'!$A$3,"Mese",5,"Tipologia",$A150,"Viaggio",$A$144)),0,GETPIVOTDATA("Somma di DARE",'Pivot BBVA'!$A$3,"Mese",5,"Tipologia",$A150,"Viaggio",$A$144))
+IF(ISERROR(GETPIVOTDATA("Somma di DARE",'Pivot Amex'!$A$3,"Mese",5,"Tipologia",$A150,"Viaggio",$A$144)),0,GETPIVOTDATA("Somma di DARE",'Pivot Amex'!$A$3,"Mese",5,"Tipologia",$A150,"Viaggio",$A$144))
-IF(ISERROR(GETPIVOTDATA("Somma di AVERE",'Pivot Amex'!$A$3,"Mese",5,"Tipologia",$A150,"Viaggio",$A$144)),0,GETPIVOTDATA("Somma di AVERE",'Pivot Amex'!$A$3,"Mese",5,"Tipologia",$A150,"Viaggio",$A$144))
-IF(ISERROR(GETPIVOTDATA("Somma di AVERE",'Pivot BBVA'!$A$3,"Mese",5,"Tipologia",$A150,"Viaggio",$A$144)),0,GETPIVOTDATA("Somma di AVERE",'Pivot BBVA'!$A$3,"Mese",5,"Tipologia",$A150,"Viaggio",$A$144))
-IF(ISERROR(GETPIVOTDATA("Somma di AVERE",'Pivot Fineco St'!$A$3,"Mese",5,"Tipologia",$A150,"Viaggio",$A$144)),0,GETPIVOTDATA("Somma di AVERE",'Pivot Fineco St'!$A$3,"Mese",5,"Tipologia",$A150,"Viaggio",$A$144))
-IF(ISERROR(GETPIVOTDATA("Somma di AVERE",'Pivot Fineco Sa'!$A$3,"Mese",5,"Tipologia",$A150,"Viaggio",$A$144)),0,GETPIVOTDATA("Somma di AVERE",'Pivot Fineco Sa'!$A$3,"Mese",5,"Tipologia",$A150,"Viaggio",$A$144))
+IF(ISERROR(GETPIVOTDATA("Somma di DARE",'Pivot PP Visa'!$A$3,"Mese",5,"Tipologia",$A150,"Viaggio",$A$144)),0,GETPIVOTDATA("Somma di DARE",'Pivot PP Visa'!$A$3,"Mese",5,"Tipologia",$A150,"Viaggio",$A$144))
-IF(ISERROR(GETPIVOTDATA("Somma di AVERE",'Pivot PP Visa'!$A$3,"Mese",5,"Tipologia",$A150,"Viaggio",$A$144)),0,GETPIVOTDATA("Somma di AVERE",'Pivot PP Visa'!$A$3,"Mese",5,"Tipologia",$A150,"Viaggio",$A$144))
+IF(ISERROR(GETPIVOTDATA("Somma di DARE",'Pivot Revolut'!$A$3,"Mese",5,"Tipologia",$A150,"Viaggio",$A$144)),0,GETPIVOTDATA("Somma di DARE",'Pivot Revolut'!$A$3,"Mese",5,"Tipologia",$A150,"Viaggio",$A$144))
-IF(ISERROR(GETPIVOTDATA("Somma di AVERE",'Pivot Revolut'!$A$3,"Mese",5,"Tipologia",$A150,"Viaggio",$A$144)),0,GETPIVOTDATA("Somma di AVERE",'Pivot Revolut'!$A$3,"Mese",5,"Tipologia",$A150,"Viaggio",$A$144))
+IF(ISERROR(GETPIVOTDATA("Somma di DARE",'Pivot RakBank EUR'!$A$3,"Mese",5,"Tipologia",$A150,"Viaggio",$A$144)),0,GETPIVOTDATA("Somma di DARE",'Pivot RakBank EUR'!$A$3,"Mese",5,"Tipologia",$A150,"Viaggio",$A$144))
-IF(ISERROR(GETPIVOTDATA("Somma di AVERE",'Pivot RakBank EUR'!$A$3,"Mese",5,"Tipologia",$A150,"Viaggio",$A$144)),0,GETPIVOTDATA("Somma di AVERE",'Pivot RakBank EUR'!$A$3,"Mese",5,"Tipologia",$A150,"Viaggio",$A$144))
+IF(ISERROR(GETPIVOTDATA("Somma di DARE EUR",'Pivot RakBank AED'!$A$3,"Mese",5,"Tipologia",$A150,"Viaggio",$A$144)),0,GETPIVOTDATA("Somma di DARE EUR",'Pivot RakBank AED'!$A$3,"Mese",5,"Tipologia",$A150,"Viaggio",$A$144))
-IF(ISERROR(GETPIVOTDATA("Somma di AVERE EUR",'Pivot RakBank AED'!$A$3,"Mese",5,"Tipologia",$A150,"Viaggio",$A$144)),0,GETPIVOTDATA("Somma di AVERE EUR",'Pivot RakBank AED'!$A$3,"Mese",5,"Tipologia",$A150,"Viaggio",$A$144))</f>
        <v>276.89999999999998</v>
      </c>
      <c r="H150" s="270">
        <f>IF(ISERROR(GETPIVOTDATA("Somma di DARE",'Pivot Fineco Sa'!$A$3,"Mese",6,"Tipologia",$A150,"Viaggio",$A$144)),0,GETPIVOTDATA("Somma di DARE",'Pivot Fineco Sa'!$A$3,"Mese",6,"Tipologia",$A150,"Viaggio",$A$144))
+IF(ISERROR(GETPIVOTDATA("Somma di DARE",'Pivot Fineco St'!$A$3,"Mese",6,"Tipologia",$A150,"Viaggio",$A$144)),0,GETPIVOTDATA("Somma di DARE",'Pivot Fineco St'!$A$3,"Mese",6,"Tipologia",$A150,"Viaggio",$A$144))
+IF(Contanti!$Y44='Conto Economico'!$A$144,Contanti!$V44)
+IF(ISERROR(GETPIVOTDATA("Somma di DARE",'Pivot BBVA'!$A$3,"Mese",6,"Tipologia",$A150,"Viaggio",$A$144)),0,GETPIVOTDATA("Somma di DARE",'Pivot BBVA'!$A$3,"Mese",6,"Tipologia",$A150,"Viaggio",$A$144))
+IF(ISERROR(GETPIVOTDATA("Somma di DARE",'Pivot Amex'!$A$3,"Mese",6,"Tipologia",$A150,"Viaggio",$A$144)),0,GETPIVOTDATA("Somma di DARE",'Pivot Amex'!$A$3,"Mese",6,"Tipologia",$A150,"Viaggio",$A$144))
-IF(ISERROR(GETPIVOTDATA("Somma di AVERE",'Pivot Amex'!$A$3,"Mese",6,"Tipologia",$A150,"Viaggio",$A$144)),0,GETPIVOTDATA("Somma di AVERE",'Pivot Amex'!$A$3,"Mese",6,"Tipologia",$A150,"Viaggio",$A$144))
-IF(ISERROR(GETPIVOTDATA("Somma di AVERE",'Pivot BBVA'!$A$3,"Mese",6,"Tipologia",$A150,"Viaggio",$A$144)),0,GETPIVOTDATA("Somma di AVERE",'Pivot BBVA'!$A$3,"Mese",6,"Tipologia",$A150,"Viaggio",$A$144))
-IF(ISERROR(GETPIVOTDATA("Somma di AVERE",'Pivot Fineco St'!$A$3,"Mese",6,"Tipologia",$A150,"Viaggio",$A$144)),0,GETPIVOTDATA("Somma di AVERE",'Pivot Fineco St'!$A$3,"Mese",6,"Tipologia",$A150,"Viaggio",$A$144))
-IF(ISERROR(GETPIVOTDATA("Somma di AVERE",'Pivot Fineco Sa'!$A$3,"Mese",6,"Tipologia",$A150,"Viaggio",$A$144)),0,GETPIVOTDATA("Somma di AVERE",'Pivot Fineco Sa'!$A$3,"Mese",6,"Tipologia",$A150,"Viaggio",$A$144))
+IF(ISERROR(GETPIVOTDATA("Somma di DARE",'Pivot PP Visa'!$A$3,"Mese",6,"Tipologia",$A150,"Viaggio",$A$144)),0,GETPIVOTDATA("Somma di DARE",'Pivot PP Visa'!$A$3,"Mese",6,"Tipologia",$A150,"Viaggio",$A$144))
-IF(ISERROR(GETPIVOTDATA("Somma di AVERE",'Pivot PP Visa'!$A$3,"Mese",6,"Tipologia",$A150,"Viaggio",$A$144)),0,GETPIVOTDATA("Somma di AVERE",'Pivot PP Visa'!$A$3,"Mese",6,"Tipologia",$A150,"Viaggio",$A$144))
+IF(ISERROR(GETPIVOTDATA("Somma di DARE",'Pivot Revolut'!$A$3,"Mese",6,"Tipologia",$A150,"Viaggio",$A$144)),0,GETPIVOTDATA("Somma di DARE",'Pivot Revolut'!$A$3,"Mese",6,"Tipologia",$A150,"Viaggio",$A$144))
-IF(ISERROR(GETPIVOTDATA("Somma di AVERE",'Pivot Revolut'!$A$3,"Mese",6,"Tipologia",$A150,"Viaggio",$A$144)),0,GETPIVOTDATA("Somma di AVERE",'Pivot Revolut'!$A$3,"Mese",6,"Tipologia",$A150,"Viaggio",$A$144))
+IF(ISERROR(GETPIVOTDATA("Somma di DARE",'Pivot RakBank EUR'!$A$3,"Mese",6,"Tipologia",$A150,"Viaggio",$A$144)),0,GETPIVOTDATA("Somma di DARE",'Pivot RakBank EUR'!$A$3,"Mese",6,"Tipologia",$A150,"Viaggio",$A$144))
-IF(ISERROR(GETPIVOTDATA("Somma di AVERE",'Pivot RakBank EUR'!$A$3,"Mese",6,"Tipologia",$A150,"Viaggio",$A$144)),0,GETPIVOTDATA("Somma di AVERE",'Pivot RakBank EUR'!$A$3,"Mese",6,"Tipologia",$A150,"Viaggio",$A$144))
+IF(ISERROR(GETPIVOTDATA("Somma di DARE EUR",'Pivot RakBank AED'!$A$3,"Mese",6,"Tipologia",$A150,"Viaggio",$A$144)),0,GETPIVOTDATA("Somma di DARE EUR",'Pivot RakBank AED'!$A$3,"Mese",6,"Tipologia",$A150,"Viaggio",$A$144))
-IF(ISERROR(GETPIVOTDATA("Somma di AVERE EUR",'Pivot RakBank AED'!$A$3,"Mese",6,"Tipologia",$A150,"Viaggio",$A$144)),0,GETPIVOTDATA("Somma di AVERE EUR",'Pivot RakBank AED'!$A$3,"Mese",6,"Tipologia",$A150,"Viaggio",$A$144))</f>
        <v>0</v>
      </c>
      <c r="I150" s="270">
        <f>IF(ISERROR(GETPIVOTDATA("Somma di DARE",'Pivot Fineco Sa'!$A$3,"Mese",7,"Tipologia",$A150,"Viaggio",$A$144)),0,GETPIVOTDATA("Somma di DARE",'Pivot Fineco Sa'!$A$3,"Mese",7,"Tipologia",$A150,"Viaggio",$A$144))
+IF(ISERROR(GETPIVOTDATA("Somma di DARE",'Pivot Fineco St'!$A$3,"Mese",7,"Tipologia",$A150,"Viaggio",$A$144)),0,GETPIVOTDATA("Somma di DARE",'Pivot Fineco St'!$A$3,"Mese",7,"Tipologia",$A150,"Viaggio",$A$144))
+IF(Contanti!$AC44='Conto Economico'!$A$144,Contanti!$Z44)
+IF(ISERROR(GETPIVOTDATA("Somma di DARE",'Pivot BBVA'!$A$3,"Mese",7,"Tipologia",$A150,"Viaggio",$A$144)),0,GETPIVOTDATA("Somma di DARE",'Pivot BBVA'!$A$3,"Mese",7,"Tipologia",$A150,"Viaggio",$A$144))
+IF(ISERROR(GETPIVOTDATA("Somma di DARE",'Pivot Amex'!$A$3,"Mese",7,"Tipologia",$A150,"Viaggio",$A$144)),0,GETPIVOTDATA("Somma di DARE",'Pivot Amex'!$A$3,"Mese",7,"Tipologia",$A150,"Viaggio",$A$144))
-IF(ISERROR(GETPIVOTDATA("Somma di AVERE",'Pivot Amex'!$A$3,"Mese",7,"Tipologia",$A150,"Viaggio",$A$144)),0,GETPIVOTDATA("Somma di AVERE",'Pivot Amex'!$A$3,"Mese",7,"Tipologia",$A150,"Viaggio",$A$144))
-IF(ISERROR(GETPIVOTDATA("Somma di AVERE",'Pivot BBVA'!$A$3,"Mese",7,"Tipologia",$A150,"Viaggio",$A$144)),0,GETPIVOTDATA("Somma di AVERE",'Pivot BBVA'!$A$3,"Mese",7,"Tipologia",$A150,"Viaggio",$A$144))
-IF(ISERROR(GETPIVOTDATA("Somma di AVERE",'Pivot Fineco St'!$A$3,"Mese",7,"Tipologia",$A150,"Viaggio",$A$144)),0,GETPIVOTDATA("Somma di AVERE",'Pivot Fineco St'!$A$3,"Mese",7,"Tipologia",$A150,"Viaggio",$A$144))
-IF(ISERROR(GETPIVOTDATA("Somma di AVERE",'Pivot Fineco Sa'!$A$3,"Mese",7,"Tipologia",$A150,"Viaggio",$A$144)),0,GETPIVOTDATA("Somma di AVERE",'Pivot Fineco Sa'!$A$3,"Mese",7,"Tipologia",$A150,"Viaggio",$A$144))
+IF(ISERROR(GETPIVOTDATA("Somma di DARE",'Pivot PP Visa'!$A$3,"Mese",7,"Tipologia",$A150,"Viaggio",$A$144)),0,GETPIVOTDATA("Somma di DARE",'Pivot PP Visa'!$A$3,"Mese",7,"Tipologia",$A150,"Viaggio",$A$144))
-IF(ISERROR(GETPIVOTDATA("Somma di AVERE",'Pivot PP Visa'!$A$3,"Mese",7,"Tipologia",$A150,"Viaggio",$A$144)),0,GETPIVOTDATA("Somma di AVERE",'Pivot PP Visa'!$A$3,"Mese",7,"Tipologia",$A150,"Viaggio",$A$144))
+IF(ISERROR(GETPIVOTDATA("Somma di DARE",'Pivot Revolut'!$A$3,"Mese",7,"Tipologia",$A150,"Viaggio",$A$144)),0,GETPIVOTDATA("Somma di DARE",'Pivot Revolut'!$A$3,"Mese",7,"Tipologia",$A150,"Viaggio",$A$144))
-IF(ISERROR(GETPIVOTDATA("Somma di AVERE",'Pivot Revolut'!$A$3,"Mese",7,"Tipologia",$A150,"Viaggio",$A$144)),0,GETPIVOTDATA("Somma di AVERE",'Pivot Revolut'!$A$3,"Mese",7,"Tipologia",$A150,"Viaggio",$A$144))
+IF(ISERROR(GETPIVOTDATA("Somma di DARE",'Pivot RakBank EUR'!$A$3,"Mese",7,"Tipologia",$A150,"Viaggio",$A$144)),0,GETPIVOTDATA("Somma di DARE",'Pivot RakBank EUR'!$A$3,"Mese",7,"Tipologia",$A150,"Viaggio",$A$144))
-IF(ISERROR(GETPIVOTDATA("Somma di AVERE",'Pivot RakBank EUR'!$A$3,"Mese",7,"Tipologia",$A150,"Viaggio",$A$144)),0,GETPIVOTDATA("Somma di AVERE",'Pivot RakBank EUR'!$A$3,"Mese",7,"Tipologia",$A150,"Viaggio",$A$144))
+IF(ISERROR(GETPIVOTDATA("Somma di DARE EUR",'Pivot RakBank AED'!$A$3,"Mese",7,"Tipologia",$A150,"Viaggio",$A$144)),0,GETPIVOTDATA("Somma di DARE EUR",'Pivot RakBank AED'!$A$3,"Mese",7,"Tipologia",$A150,"Viaggio",$A$144))
-IF(ISERROR(GETPIVOTDATA("Somma di AVERE EUR",'Pivot RakBank AED'!$A$3,"Mese",7,"Tipologia",$A150,"Viaggio",$A$144)),0,GETPIVOTDATA("Somma di AVERE EUR",'Pivot RakBank AED'!$A$3,"Mese",7,"Tipologia",$A150,"Viaggio",$A$144))</f>
        <v>0</v>
      </c>
      <c r="J150" s="270">
        <f>IF(ISERROR(GETPIVOTDATA("Somma di DARE",'Pivot Fineco Sa'!$A$3,"Mese",8,"Tipologia",$A150,"Viaggio",$A$144)),0,GETPIVOTDATA("Somma di DARE",'Pivot Fineco Sa'!$A$3,"Mese",8,"Tipologia",$A150,"Viaggio",$A$144))
+IF(ISERROR(GETPIVOTDATA("Somma di DARE",'Pivot Fineco St'!$A$3,"Mese",8,"Tipologia",$A150,"Viaggio",$A$144)),0,GETPIVOTDATA("Somma di DARE",'Pivot Fineco St'!$A$3,"Mese",8,"Tipologia",$A150,"Viaggio",$A$144))
+IF(Contanti!$AG44='Conto Economico'!$A$144,Contanti!$AD44)
+IF(ISERROR(GETPIVOTDATA("Somma di DARE",'Pivot BBVA'!$A$3,"Mese",8,"Tipologia",$A150,"Viaggio",$A$144)),0,GETPIVOTDATA("Somma di DARE",'Pivot BBVA'!$A$3,"Mese",8,"Tipologia",$A150,"Viaggio",$A$144))
+IF(ISERROR(GETPIVOTDATA("Somma di DARE",'Pivot Amex'!$A$3,"Mese",8,"Tipologia",$A150,"Viaggio",$A$144)),0,GETPIVOTDATA("Somma di DARE",'Pivot Amex'!$A$3,"Mese",8,"Tipologia",$A150,"Viaggio",$A$144))
-IF(ISERROR(GETPIVOTDATA("Somma di AVERE",'Pivot Amex'!$A$3,"Mese",8,"Tipologia",$A150,"Viaggio",$A$144)),0,GETPIVOTDATA("Somma di AVERE",'Pivot Amex'!$A$3,"Mese",8,"Tipologia",$A150,"Viaggio",$A$144))
-IF(ISERROR(GETPIVOTDATA("Somma di AVERE",'Pivot BBVA'!$A$3,"Mese",8,"Tipologia",$A150,"Viaggio",$A$144)),0,GETPIVOTDATA("Somma di AVERE",'Pivot BBVA'!$A$3,"Mese",8,"Tipologia",$A150,"Viaggio",$A$144))
-IF(ISERROR(GETPIVOTDATA("Somma di AVERE",'Pivot Fineco St'!$A$3,"Mese",8,"Tipologia",$A150,"Viaggio",$A$144)),0,GETPIVOTDATA("Somma di AVERE",'Pivot Fineco St'!$A$3,"Mese",8,"Tipologia",$A150,"Viaggio",$A$144))
-IF(ISERROR(GETPIVOTDATA("Somma di AVERE",'Pivot Fineco Sa'!$A$3,"Mese",8,"Tipologia",$A150,"Viaggio",$A$144)),0,GETPIVOTDATA("Somma di AVERE",'Pivot Fineco Sa'!$A$3,"Mese",8,"Tipologia",$A150,"Viaggio",$A$144))
+IF(ISERROR(GETPIVOTDATA("Somma di DARE",'Pivot PP Visa'!$A$3,"Mese",8,"Tipologia",$A150,"Viaggio",$A$144)),0,GETPIVOTDATA("Somma di DARE",'Pivot PP Visa'!$A$3,"Mese",8,"Tipologia",$A150,"Viaggio",$A$144))
-IF(ISERROR(GETPIVOTDATA("Somma di AVERE",'Pivot PP Visa'!$A$3,"Mese",8,"Tipologia",$A150,"Viaggio",$A$144)),0,GETPIVOTDATA("Somma di AVERE",'Pivot PP Visa'!$A$3,"Mese",8,"Tipologia",$A150,"Viaggio",$A$144))
+IF(ISERROR(GETPIVOTDATA("Somma di DARE",'Pivot Revolut'!$A$3,"Mese",8,"Tipologia",$A150,"Viaggio",$A$144)),0,GETPIVOTDATA("Somma di DARE",'Pivot Revolut'!$A$3,"Mese",8,"Tipologia",$A150,"Viaggio",$A$144))
-IF(ISERROR(GETPIVOTDATA("Somma di AVERE",'Pivot Revolut'!$A$3,"Mese",8,"Tipologia",$A150,"Viaggio",$A$144)),0,GETPIVOTDATA("Somma di AVERE",'Pivot Revolut'!$A$3,"Mese",8,"Tipologia",$A150,"Viaggio",$A$144))
+IF(ISERROR(GETPIVOTDATA("Somma di DARE",'Pivot RakBank EUR'!$A$3,"Mese",8,"Tipologia",$A150,"Viaggio",$A$144)),0,GETPIVOTDATA("Somma di DARE",'Pivot RakBank EUR'!$A$3,"Mese",8,"Tipologia",$A150,"Viaggio",$A$144))
-IF(ISERROR(GETPIVOTDATA("Somma di AVERE",'Pivot RakBank EUR'!$A$3,"Mese",8,"Tipologia",$A150,"Viaggio",$A$144)),0,GETPIVOTDATA("Somma di AVERE",'Pivot RakBank EUR'!$A$3,"Mese",8,"Tipologia",$A150,"Viaggio",$A$144))
+IF(ISERROR(GETPIVOTDATA("Somma di DARE EUR",'Pivot RakBank AED'!$A$3,"Mese",8,"Tipologia",$A150,"Viaggio",$A$144)),0,GETPIVOTDATA("Somma di DARE EUR",'Pivot RakBank AED'!$A$3,"Mese",8,"Tipologia",$A150,"Viaggio",$A$144))
-IF(ISERROR(GETPIVOTDATA("Somma di AVERE EUR",'Pivot RakBank AED'!$A$3,"Mese",8,"Tipologia",$A150,"Viaggio",$A$144)),0,GETPIVOTDATA("Somma di AVERE EUR",'Pivot RakBank AED'!$A$3,"Mese",8,"Tipologia",$A150,"Viaggio",$A$144))</f>
        <v>0</v>
      </c>
      <c r="K150" s="270">
        <f>IF(ISERROR(GETPIVOTDATA("Somma di DARE",'Pivot Fineco Sa'!$A$3,"Mese",9,"Tipologia",$A150,"Viaggio",$A$144)),0,GETPIVOTDATA("Somma di DARE",'Pivot Fineco Sa'!$A$3,"Mese",9,"Tipologia",$A150,"Viaggio",$A$144))
+IF(ISERROR(GETPIVOTDATA("Somma di DARE",'Pivot Fineco St'!$A$3,"Mese",9,"Tipologia",$A150,"Viaggio",$A$144)),0,GETPIVOTDATA("Somma di DARE",'Pivot Fineco St'!$A$3,"Mese",9,"Tipologia",$A150,"Viaggio",$A$144))
+IF(Contanti!$AK44='Conto Economico'!$A$144,Contanti!$AH44)
+IF(ISERROR(GETPIVOTDATA("Somma di DARE",'Pivot BBVA'!$A$3,"Mese",9,"Tipologia",$A150,"Viaggio",$A$144)),0,GETPIVOTDATA("Somma di DARE",'Pivot BBVA'!$A$3,"Mese",9,"Tipologia",$A150,"Viaggio",$A$144))
+IF(ISERROR(GETPIVOTDATA("Somma di DARE",'Pivot Amex'!$A$3,"Mese",9,"Tipologia",$A150,"Viaggio",$A$144)),0,GETPIVOTDATA("Somma di DARE",'Pivot Amex'!$A$3,"Mese",9,"Tipologia",$A150,"Viaggio",$A$144))
-IF(ISERROR(GETPIVOTDATA("Somma di AVERE",'Pivot Amex'!$A$3,"Mese",9,"Tipologia",$A150,"Viaggio",$A$144)),0,GETPIVOTDATA("Somma di AVERE",'Pivot Amex'!$A$3,"Mese",9,"Tipologia",$A150,"Viaggio",$A$144))
-IF(ISERROR(GETPIVOTDATA("Somma di AVERE",'Pivot BBVA'!$A$3,"Mese",9,"Tipologia",$A150,"Viaggio",$A$144)),0,GETPIVOTDATA("Somma di AVERE",'Pivot BBVA'!$A$3,"Mese",9,"Tipologia",$A150,"Viaggio",$A$144))
-IF(ISERROR(GETPIVOTDATA("Somma di AVERE",'Pivot Fineco St'!$A$3,"Mese",9,"Tipologia",$A150,"Viaggio",$A$144)),0,GETPIVOTDATA("Somma di AVERE",'Pivot Fineco St'!$A$3,"Mese",9,"Tipologia",$A150,"Viaggio",$A$144))
-IF(ISERROR(GETPIVOTDATA("Somma di AVERE",'Pivot Fineco Sa'!$A$3,"Mese",9,"Tipologia",$A150,"Viaggio",$A$144)),0,GETPIVOTDATA("Somma di AVERE",'Pivot Fineco Sa'!$A$3,"Mese",9,"Tipologia",$A150,"Viaggio",$A$144))
+IF(ISERROR(GETPIVOTDATA("Somma di DARE",'Pivot PP Visa'!$A$3,"Mese",9,"Tipologia",$A150,"Viaggio",$A$144)),0,GETPIVOTDATA("Somma di DARE",'Pivot PP Visa'!$A$3,"Mese",9,"Tipologia",$A150,"Viaggio",$A$144))
-IF(ISERROR(GETPIVOTDATA("Somma di AVERE",'Pivot PP Visa'!$A$3,"Mese",9,"Tipologia",$A150,"Viaggio",$A$144)),0,GETPIVOTDATA("Somma di AVERE",'Pivot PP Visa'!$A$3,"Mese",9,"Tipologia",$A150,"Viaggio",$A$144))
+IF(ISERROR(GETPIVOTDATA("Somma di DARE",'Pivot Revolut'!$A$3,"Mese",9,"Tipologia",$A150,"Viaggio",$A$144)),0,GETPIVOTDATA("Somma di DARE",'Pivot Revolut'!$A$3,"Mese",9,"Tipologia",$A150,"Viaggio",$A$144))
-IF(ISERROR(GETPIVOTDATA("Somma di AVERE",'Pivot Revolut'!$A$3,"Mese",9,"Tipologia",$A150,"Viaggio",$A$144)),0,GETPIVOTDATA("Somma di AVERE",'Pivot Revolut'!$A$3,"Mese",9,"Tipologia",$A150,"Viaggio",$A$144))
+IF(ISERROR(GETPIVOTDATA("Somma di DARE",'Pivot RakBank EUR'!$A$3,"Mese",9,"Tipologia",$A150,"Viaggio",$A$144)),0,GETPIVOTDATA("Somma di DARE",'Pivot RakBank EUR'!$A$3,"Mese",9,"Tipologia",$A150,"Viaggio",$A$144))
-IF(ISERROR(GETPIVOTDATA("Somma di AVERE",'Pivot RakBank EUR'!$A$3,"Mese",9,"Tipologia",$A150,"Viaggio",$A$144)),0,GETPIVOTDATA("Somma di AVERE",'Pivot RakBank EUR'!$A$3,"Mese",9,"Tipologia",$A150,"Viaggio",$A$144))
+IF(ISERROR(GETPIVOTDATA("Somma di DARE EUR",'Pivot RakBank AED'!$A$3,"Mese",9,"Tipologia",$A150,"Viaggio",$A$144)),0,GETPIVOTDATA("Somma di DARE EUR",'Pivot RakBank AED'!$A$3,"Mese",9,"Tipologia",$A150,"Viaggio",$A$144))
-IF(ISERROR(GETPIVOTDATA("Somma di AVERE EUR",'Pivot RakBank AED'!$A$3,"Mese",9,"Tipologia",$A150,"Viaggio",$A$144)),0,GETPIVOTDATA("Somma di AVERE EUR",'Pivot RakBank AED'!$A$3,"Mese",9,"Tipologia",$A150,"Viaggio",$A$144))</f>
        <v>0</v>
      </c>
      <c r="L150" s="270">
        <f>IF(ISERROR(GETPIVOTDATA("Somma di DARE",'Pivot Fineco Sa'!$A$3,"Mese",10,"Tipologia",$A150,"Viaggio",$A$144)),0,GETPIVOTDATA("Somma di DARE",'Pivot Fineco Sa'!$A$3,"Mese",10,"Tipologia",$A150,"Viaggio",$A$144))
+IF(ISERROR(GETPIVOTDATA("Somma di DARE",'Pivot Fineco St'!$A$3,"Mese",10,"Tipologia",$A150,"Viaggio",$A$144)),0,GETPIVOTDATA("Somma di DARE",'Pivot Fineco St'!$A$3,"Mese",10,"Tipologia",$A150,"Viaggio",$A$144))
+IF(Contanti!$AO44='Conto Economico'!$A$144,Contanti!$AL44)
+IF(ISERROR(GETPIVOTDATA("Somma di DARE",'Pivot BBVA'!$A$3,"Mese",10,"Tipologia",$A150,"Viaggio",$A$144)),0,GETPIVOTDATA("Somma di DARE",'Pivot BBVA'!$A$3,"Mese",10,"Tipologia",$A150,"Viaggio",$A$144))
+IF(ISERROR(GETPIVOTDATA("Somma di DARE",'Pivot Amex'!$A$3,"Mese",10,"Tipologia",$A150,"Viaggio",$A$144)),0,GETPIVOTDATA("Somma di DARE",'Pivot Amex'!$A$3,"Mese",10,"Tipologia",$A150,"Viaggio",$A$144))
-IF(ISERROR(GETPIVOTDATA("Somma di AVERE",'Pivot Amex'!$A$3,"Mese",10,"Tipologia",$A150,"Viaggio",$A$144)),0,GETPIVOTDATA("Somma di AVERE",'Pivot Amex'!$A$3,"Mese",10,"Tipologia",$A150,"Viaggio",$A$144))
-IF(ISERROR(GETPIVOTDATA("Somma di AVERE",'Pivot BBVA'!$A$3,"Mese",10,"Tipologia",$A150,"Viaggio",$A$144)),0,GETPIVOTDATA("Somma di AVERE",'Pivot BBVA'!$A$3,"Mese",10,"Tipologia",$A150,"Viaggio",$A$144))
-IF(ISERROR(GETPIVOTDATA("Somma di AVERE",'Pivot Fineco St'!$A$3,"Mese",10,"Tipologia",$A150,"Viaggio",$A$144)),0,GETPIVOTDATA("Somma di AVERE",'Pivot Fineco St'!$A$3,"Mese",10,"Tipologia",$A150,"Viaggio",$A$144))
-IF(ISERROR(GETPIVOTDATA("Somma di AVERE",'Pivot Fineco Sa'!$A$3,"Mese",10,"Tipologia",$A150,"Viaggio",$A$144)),0,GETPIVOTDATA("Somma di AVERE",'Pivot Fineco Sa'!$A$3,"Mese",10,"Tipologia",$A150,"Viaggio",$A$144))
+IF(ISERROR(GETPIVOTDATA("Somma di DARE",'Pivot PP Visa'!$A$3,"Mese",10,"Tipologia",$A150,"Viaggio",$A$144)),0,GETPIVOTDATA("Somma di DARE",'Pivot PP Visa'!$A$3,"Mese",10,"Tipologia",$A150,"Viaggio",$A$144))
-IF(ISERROR(GETPIVOTDATA("Somma di AVERE",'Pivot PP Visa'!$A$3,"Mese",10,"Tipologia",$A150,"Viaggio",$A$144)),0,GETPIVOTDATA("Somma di AVERE",'Pivot PP Visa'!$A$3,"Mese",10,"Tipologia",$A150,"Viaggio",$A$144))
+IF(ISERROR(GETPIVOTDATA("Somma di DARE",'Pivot Revolut'!$A$3,"Mese",10,"Tipologia",$A150,"Viaggio",$A$144)),0,GETPIVOTDATA("Somma di DARE",'Pivot Revolut'!$A$3,"Mese",10,"Tipologia",$A150,"Viaggio",$A$144))
-IF(ISERROR(GETPIVOTDATA("Somma di AVERE",'Pivot Revolut'!$A$3,"Mese",10,"Tipologia",$A150,"Viaggio",$A$144)),0,GETPIVOTDATA("Somma di AVERE",'Pivot Revolut'!$A$3,"Mese",10,"Tipologia",$A150,"Viaggio",$A$144))
+IF(ISERROR(GETPIVOTDATA("Somma di DARE",'Pivot RakBank EUR'!$A$3,"Mese",10,"Tipologia",$A150,"Viaggio",$A$144)),0,GETPIVOTDATA("Somma di DARE",'Pivot RakBank EUR'!$A$3,"Mese",10,"Tipologia",$A150,"Viaggio",$A$144))
-IF(ISERROR(GETPIVOTDATA("Somma di AVERE",'Pivot RakBank EUR'!$A$3,"Mese",10,"Tipologia",$A150,"Viaggio",$A$144)),0,GETPIVOTDATA("Somma di AVERE",'Pivot RakBank EUR'!$A$3,"Mese",10,"Tipologia",$A150,"Viaggio",$A$144))
+IF(ISERROR(GETPIVOTDATA("Somma di DARE EUR",'Pivot RakBank AED'!$A$3,"Mese",10,"Tipologia",$A150,"Viaggio",$A$144)),0,GETPIVOTDATA("Somma di DARE EUR",'Pivot RakBank AED'!$A$3,"Mese",10,"Tipologia",$A150,"Viaggio",$A$144))
-IF(ISERROR(GETPIVOTDATA("Somma di AVERE EUR",'Pivot RakBank AED'!$A$3,"Mese",10,"Tipologia",$A150,"Viaggio",$A$144)),0,GETPIVOTDATA("Somma di AVERE EUR",'Pivot RakBank AED'!$A$3,"Mese",10,"Tipologia",$A150,"Viaggio",$A$144))</f>
        <v>0</v>
      </c>
      <c r="M150" s="270">
        <f>IF(ISERROR(GETPIVOTDATA("Somma di DARE",'Pivot Fineco Sa'!$A$3,"Mese",11,"Tipologia",$A150,"Viaggio",$A$144)),0,GETPIVOTDATA("Somma di DARE",'Pivot Fineco Sa'!$A$3,"Mese",11,"Tipologia",$A150,"Viaggio",$A$144))
+IF(ISERROR(GETPIVOTDATA("Somma di DARE",'Pivot Fineco St'!$A$3,"Mese",11,"Tipologia",$A150,"Viaggio",$A$144)),0,GETPIVOTDATA("Somma di DARE",'Pivot Fineco St'!$A$3,"Mese",11,"Tipologia",$A150,"Viaggio",$A$144))
+IF(Contanti!$AS44='Conto Economico'!$A$144,Contanti!$AP44)
+IF(ISERROR(GETPIVOTDATA("Somma di DARE",'Pivot BBVA'!$A$3,"Mese",11,"Tipologia",$A150,"Viaggio",$A$144)),0,GETPIVOTDATA("Somma di DARE",'Pivot BBVA'!$A$3,"Mese",11,"Tipologia",$A150,"Viaggio",$A$144))
+IF(ISERROR(GETPIVOTDATA("Somma di DARE",'Pivot Amex'!$A$3,"Mese",11,"Tipologia",$A150,"Viaggio",$A$144)),0,GETPIVOTDATA("Somma di DARE",'Pivot Amex'!$A$3,"Mese",11,"Tipologia",$A150,"Viaggio",$A$144))
-IF(ISERROR(GETPIVOTDATA("Somma di AVERE",'Pivot Amex'!$A$3,"Mese",11,"Tipologia",$A150,"Viaggio",$A$144)),0,GETPIVOTDATA("Somma di AVERE",'Pivot Amex'!$A$3,"Mese",11,"Tipologia",$A150,"Viaggio",$A$144))
-IF(ISERROR(GETPIVOTDATA("Somma di AVERE",'Pivot BBVA'!$A$3,"Mese",11,"Tipologia",$A150,"Viaggio",$A$144)),0,GETPIVOTDATA("Somma di AVERE",'Pivot BBVA'!$A$3,"Mese",11,"Tipologia",$A150,"Viaggio",$A$144))
-IF(ISERROR(GETPIVOTDATA("Somma di AVERE",'Pivot Fineco St'!$A$3,"Mese",11,"Tipologia",$A150,"Viaggio",$A$144)),0,GETPIVOTDATA("Somma di AVERE",'Pivot Fineco St'!$A$3,"Mese",11,"Tipologia",$A150,"Viaggio",$A$144))
-IF(ISERROR(GETPIVOTDATA("Somma di AVERE",'Pivot Fineco Sa'!$A$3,"Mese",11,"Tipologia",$A150,"Viaggio",$A$144)),0,GETPIVOTDATA("Somma di AVERE",'Pivot Fineco Sa'!$A$3,"Mese",11,"Tipologia",$A150,"Viaggio",$A$144))
+IF(ISERROR(GETPIVOTDATA("Somma di DARE",'Pivot PP Visa'!$A$3,"Mese",11,"Tipologia",$A150,"Viaggio",$A$144)),0,GETPIVOTDATA("Somma di DARE",'Pivot PP Visa'!$A$3,"Mese",11,"Tipologia",$A150,"Viaggio",$A$144))
-IF(ISERROR(GETPIVOTDATA("Somma di AVERE",'Pivot PP Visa'!$A$3,"Mese",11,"Tipologia",$A150,"Viaggio",$A$144)),0,GETPIVOTDATA("Somma di AVERE",'Pivot PP Visa'!$A$3,"Mese",11,"Tipologia",$A150,"Viaggio",$A$144))
+IF(ISERROR(GETPIVOTDATA("Somma di DARE",'Pivot Revolut'!$A$3,"Mese",11,"Tipologia",$A150,"Viaggio",$A$144)),0,GETPIVOTDATA("Somma di DARE",'Pivot Revolut'!$A$3,"Mese",11,"Tipologia",$A150,"Viaggio",$A$144))
-IF(ISERROR(GETPIVOTDATA("Somma di AVERE",'Pivot Revolut'!$A$3,"Mese",11,"Tipologia",$A150,"Viaggio",$A$144)),0,GETPIVOTDATA("Somma di AVERE",'Pivot Revolut'!$A$3,"Mese",11,"Tipologia",$A150,"Viaggio",$A$144))
+IF(ISERROR(GETPIVOTDATA("Somma di DARE",'Pivot RakBank EUR'!$A$3,"Mese",11,"Tipologia",$A150,"Viaggio",$A$144)),0,GETPIVOTDATA("Somma di DARE",'Pivot RakBank EUR'!$A$3,"Mese",11,"Tipologia",$A150,"Viaggio",$A$144))
-IF(ISERROR(GETPIVOTDATA("Somma di AVERE",'Pivot RakBank EUR'!$A$3,"Mese",11,"Tipologia",$A150,"Viaggio",$A$144)),0,GETPIVOTDATA("Somma di AVERE",'Pivot RakBank EUR'!$A$3,"Mese",11,"Tipologia",$A150,"Viaggio",$A$144))
+IF(ISERROR(GETPIVOTDATA("Somma di DARE EUR",'Pivot RakBank AED'!$A$3,"Mese",11,"Tipologia",$A150,"Viaggio",$A$144)),0,GETPIVOTDATA("Somma di DARE EUR",'Pivot RakBank AED'!$A$3,"Mese",11,"Tipologia",$A150,"Viaggio",$A$144))
-IF(ISERROR(GETPIVOTDATA("Somma di AVERE EUR",'Pivot RakBank AED'!$A$3,"Mese",11,"Tipologia",$A150,"Viaggio",$A$144)),0,GETPIVOTDATA("Somma di AVERE EUR",'Pivot RakBank AED'!$A$3,"Mese",11,"Tipologia",$A150,"Viaggio",$A$144))</f>
        <v>0</v>
      </c>
      <c r="N150" s="270">
        <f>IF(ISERROR(GETPIVOTDATA("Somma di DARE",'Pivot Fineco Sa'!$A$3,"Mese",12,"Tipologia",$A150,"Viaggio",$A$144)),0,GETPIVOTDATA("Somma di DARE",'Pivot Fineco Sa'!$A$3,"Mese",12,"Tipologia",$A150,"Viaggio",$A$144))
+IF(ISERROR(GETPIVOTDATA("Somma di DARE",'Pivot Fineco St'!$A$3,"Mese",12,"Tipologia",$A150,"Viaggio",$A$144)),0,GETPIVOTDATA("Somma di DARE",'Pivot Fineco St'!$A$3,"Mese",12,"Tipologia",$A150,"Viaggio",$A$144))
+IF(Contanti!$AW44='Conto Economico'!$A$144,Contanti!$AT44)
+IF(ISERROR(GETPIVOTDATA("Somma di DARE",'Pivot BBVA'!$A$3,"Mese",12,"Tipologia",$A150,"Viaggio",$A$144)),0,GETPIVOTDATA("Somma di DARE",'Pivot BBVA'!$A$3,"Mese",12,"Tipologia",$A150,"Viaggio",$A$144))
+IF(ISERROR(GETPIVOTDATA("Somma di DARE",'Pivot Amex'!$A$3,"Mese",12,"Tipologia",$A150,"Viaggio",$A$144)),0,GETPIVOTDATA("Somma di DARE",'Pivot Amex'!$A$3,"Mese",12,"Tipologia",$A150,"Viaggio",$A$144))
-IF(ISERROR(GETPIVOTDATA("Somma di AVERE",'Pivot Amex'!$A$3,"Mese",12,"Tipologia",$A150,"Viaggio",$A$144)),0,GETPIVOTDATA("Somma di AVERE",'Pivot Amex'!$A$3,"Mese",12,"Tipologia",$A150,"Viaggio",$A$144))
-IF(ISERROR(GETPIVOTDATA("Somma di AVERE",'Pivot BBVA'!$A$3,"Mese",12,"Tipologia",$A150,"Viaggio",$A$144)),0,GETPIVOTDATA("Somma di AVERE",'Pivot BBVA'!$A$3,"Mese",12,"Tipologia",$A150,"Viaggio",$A$144))
-IF(ISERROR(GETPIVOTDATA("Somma di AVERE",'Pivot Fineco St'!$A$3,"Mese",12,"Tipologia",$A150,"Viaggio",$A$144)),0,GETPIVOTDATA("Somma di AVERE",'Pivot Fineco St'!$A$3,"Mese",12,"Tipologia",$A150,"Viaggio",$A$144))
-IF(ISERROR(GETPIVOTDATA("Somma di AVERE",'Pivot Fineco Sa'!$A$3,"Mese",12,"Tipologia",$A150,"Viaggio",$A$144)),0,GETPIVOTDATA("Somma di AVERE",'Pivot Fineco Sa'!$A$3,"Mese",12,"Tipologia",$A150,"Viaggio",$A$144))
+IF(ISERROR(GETPIVOTDATA("Somma di DARE",'Pivot PP Visa'!$A$3,"Mese",12,"Tipologia",$A150,"Viaggio",$A$144)),0,GETPIVOTDATA("Somma di DARE",'Pivot PP Visa'!$A$3,"Mese",12,"Tipologia",$A150,"Viaggio",$A$144))
-IF(ISERROR(GETPIVOTDATA("Somma di AVERE",'Pivot PP Visa'!$A$3,"Mese",12,"Tipologia",$A150,"Viaggio",$A$144)),0,GETPIVOTDATA("Somma di AVERE",'Pivot PP Visa'!$A$3,"Mese",12,"Tipologia",$A150,"Viaggio",$A$144))
+IF(ISERROR(GETPIVOTDATA("Somma di DARE",'Pivot Revolut'!$A$3,"Mese",12,"Tipologia",$A150,"Viaggio",$A$144)),0,GETPIVOTDATA("Somma di DARE",'Pivot Revolut'!$A$3,"Mese",12,"Tipologia",$A150,"Viaggio",$A$144))
-IF(ISERROR(GETPIVOTDATA("Somma di AVERE",'Pivot Revolut'!$A$3,"Mese",12,"Tipologia",$A150,"Viaggio",$A$144)),0,GETPIVOTDATA("Somma di AVERE",'Pivot Revolut'!$A$3,"Mese",12,"Tipologia",$A150,"Viaggio",$A$144))
+IF(ISERROR(GETPIVOTDATA("Somma di DARE",'Pivot RakBank EUR'!$A$3,"Mese",12,"Tipologia",$A150,"Viaggio",$A$144)),0,GETPIVOTDATA("Somma di DARE",'Pivot RakBank EUR'!$A$3,"Mese",12,"Tipologia",$A150,"Viaggio",$A$144))
-IF(ISERROR(GETPIVOTDATA("Somma di AVERE",'Pivot RakBank EUR'!$A$3,"Mese",12,"Tipologia",$A150,"Viaggio",$A$144)),0,GETPIVOTDATA("Somma di AVERE",'Pivot RakBank EUR'!$A$3,"Mese",12,"Tipologia",$A150,"Viaggio",$A$144))
+IF(ISERROR(GETPIVOTDATA("Somma di DARE EUR",'Pivot RakBank AED'!$A$3,"Mese",12,"Tipologia",$A150,"Viaggio",$A$144)),0,GETPIVOTDATA("Somma di DARE EUR",'Pivot RakBank AED'!$A$3,"Mese",12,"Tipologia",$A150,"Viaggio",$A$144))
-IF(ISERROR(GETPIVOTDATA("Somma di AVERE EUR",'Pivot RakBank AED'!$A$3,"Mese",12,"Tipologia",$A150,"Viaggio",$A$144)),0,GETPIVOTDATA("Somma di AVERE EUR",'Pivot RakBank AED'!$A$3,"Mese",12,"Tipologia",$A150,"Viaggio",$A$144))</f>
        <v>0</v>
      </c>
      <c r="O150" s="271">
        <f t="shared" si="19"/>
        <v>276.89999999999998</v>
      </c>
      <c r="P150" s="270"/>
    </row>
    <row r="151" spans="1:16" s="131" customFormat="1" ht="14" outlineLevel="1" x14ac:dyDescent="0.2">
      <c r="A151" s="269" t="s">
        <v>243</v>
      </c>
      <c r="B151" s="269"/>
      <c r="C151" s="270">
        <f>IF(ISERROR(GETPIVOTDATA("Somma di DARE",'Pivot Fineco Sa'!$A$3,"Mese",1,"Tipologia",$A151,"Viaggio",$A$144)),0,GETPIVOTDATA("Somma di DARE",'Pivot Fineco Sa'!$A$3,"Mese",1,"Tipologia",$A151,"Viaggio",$A$144))
+IF(ISERROR(GETPIVOTDATA("Somma di DARE",'Pivot Fineco St'!$A$3,"Mese",1,"Tipologia",$A151,"Viaggio",$A$144)),0,GETPIVOTDATA("Somma di DARE",'Pivot Fineco St'!$A$3,"Mese",1,"Tipologia",$A151,"Viaggio",$A$144))
+IF(Contanti!$E45='Conto Economico'!$A$144,Contanti!$B45)
+IF(ISERROR(GETPIVOTDATA("Somma di DARE",'Pivot BBVA'!$A$3,"Mese",1,"Tipologia",$A151,"Viaggio",$A$144)),0,GETPIVOTDATA("Somma di DARE",'Pivot BBVA'!$A$3,"Mese",1,"Tipologia",$A151,"Viaggio",$A$144))
+IF(ISERROR(GETPIVOTDATA("Somma di DARE",'Pivot Amex'!$A$3,"Mese",1,"Tipologia",$A151,"Viaggio",$A$144)),0,GETPIVOTDATA("Somma di DARE",'Pivot Amex'!$A$3,"Mese",1,"Tipologia",$A151,"Viaggio",$A$144))
-IF(ISERROR(GETPIVOTDATA("Somma di AVERE",'Pivot Amex'!$A$3,"Mese",1,"Tipologia",$A151,"Viaggio",$A$144)),0,GETPIVOTDATA("Somma di AVERE",'Pivot Amex'!$A$3,"Mese",1,"Tipologia",$A151,"Viaggio",$A$144))
-IF(ISERROR(GETPIVOTDATA("Somma di AVERE",'Pivot BBVA'!$A$3,"Mese",1,"Tipologia",$A151,"Viaggio",$A$144)),0,GETPIVOTDATA("Somma di AVERE",'Pivot BBVA'!$A$3,"Mese",1,"Tipologia",$A151,"Viaggio",$A$144))
-IF(ISERROR(GETPIVOTDATA("Somma di AVERE",'Pivot Fineco St'!$A$3,"Mese",1,"Tipologia",$A151,"Viaggio",$A$144)),0,GETPIVOTDATA("Somma di AVERE",'Pivot Fineco St'!$A$3,"Mese",1,"Tipologia",$A151,"Viaggio",$A$144))
-IF(ISERROR(GETPIVOTDATA("Somma di AVERE",'Pivot Fineco Sa'!$A$3,"Mese",1,"Tipologia",$A151,"Viaggio",$A$144)),0,GETPIVOTDATA("Somma di AVERE",'Pivot Fineco Sa'!$A$3,"Mese",1,"Tipologia",$A151,"Viaggio",$A$144))
+IF(ISERROR(GETPIVOTDATA("Somma di DARE",'Pivot PP Visa'!$A$3,"Mese",1,"Tipologia",$A151,"Viaggio",$A$144)),0,GETPIVOTDATA("Somma di DARE",'Pivot PP Visa'!$A$3,"Mese",1,"Tipologia",$A151,"Viaggio",$A$144))
-IF(ISERROR(GETPIVOTDATA("Somma di AVERE",'Pivot PP Visa'!$A$3,"Mese",1,"Tipologia",$A151,"Viaggio",$A$144)),0,GETPIVOTDATA("Somma di AVERE",'Pivot PP Visa'!$A$3,"Mese",1,"Tipologia",$A151,"Viaggio",$A$144))
+IF(ISERROR(GETPIVOTDATA("Somma di DARE",'Pivot Revolut'!$A$3,"Mese",1,"Tipologia",$A151,"Viaggio",$A$144)),0,GETPIVOTDATA("Somma di DARE",'Pivot Revolut'!$A$3,"Mese",1,"Tipologia",$A151,"Viaggio",$A$144))
-IF(ISERROR(GETPIVOTDATA("Somma di AVERE",'Pivot Revolut'!$A$3,"Mese",1,"Tipologia",$A151,"Viaggio",$A$144)),0,GETPIVOTDATA("Somma di AVERE",'Pivot Revolut'!$A$3,"Mese",1,"Tipologia",$A151,"Viaggio",$A$144))
+IF(ISERROR(GETPIVOTDATA("Somma di DARE",'Pivot RakBank EUR'!$A$3,"Mese",1,"Tipologia",$A151,"Viaggio",$A$144)),0,GETPIVOTDATA("Somma di DARE",'Pivot RakBank EUR'!$A$3,"Mese",1,"Tipologia",$A151,"Viaggio",$A$144))
-IF(ISERROR(GETPIVOTDATA("Somma di AVERE",'Pivot RakBank EUR'!$A$3,"Mese",1,"Tipologia",$A151,"Viaggio",$A$144)),0,GETPIVOTDATA("Somma di AVERE",'Pivot RakBank EUR'!$A$3,"Mese",1,"Tipologia",$A151,"Viaggio",$A$144))
+IF(ISERROR(GETPIVOTDATA("Somma di DARE EUR",'Pivot RakBank AED'!$A$3,"Mese",1,"Tipologia",$A151,"Viaggio",$A$144)),0,GETPIVOTDATA("Somma di DARE EUR",'Pivot RakBank AED'!$A$3,"Mese",1,"Tipologia",$A151,"Viaggio",$A$144))
-IF(ISERROR(GETPIVOTDATA("Somma di AVERE EUR",'Pivot RakBank AED'!$A$3,"Mese",1,"Tipologia",$A151,"Viaggio",$A$144)),0,GETPIVOTDATA("Somma di AVERE EUR",'Pivot RakBank AED'!$A$3,"Mese",1,"Tipologia",$A151,"Viaggio",$A$144))</f>
        <v>0</v>
      </c>
      <c r="D151" s="270">
        <f>IF(ISERROR(GETPIVOTDATA("Somma di DARE",'Pivot Fineco Sa'!$A$3,"Mese",2,"Tipologia",$A151,"Viaggio",$A$144)),0,GETPIVOTDATA("Somma di DARE",'Pivot Fineco Sa'!$A$3,"Mese",2,"Tipologia",$A151,"Viaggio",$A$144))
+IF(ISERROR(GETPIVOTDATA("Somma di DARE",'Pivot Fineco St'!$A$3,"Mese",2,"Tipologia",$A151,"Viaggio",$A$144)),0,GETPIVOTDATA("Somma di DARE",'Pivot Fineco St'!$A$3,"Mese",2,"Tipologia",$A151,"Viaggio",$A$144))
+IF(Contanti!$I45='Conto Economico'!$A$144,Contanti!$F45)
+IF(ISERROR(GETPIVOTDATA("Somma di DARE",'Pivot BBVA'!$A$3,"Mese",2,"Tipologia",$A151,"Viaggio",$A$144)),0,GETPIVOTDATA("Somma di DARE",'Pivot BBVA'!$A$3,"Mese",2,"Tipologia",$A151,"Viaggio",$A$144))
+IF(ISERROR(GETPIVOTDATA("Somma di DARE",'Pivot Amex'!$A$3,"Mese",2,"Tipologia",$A151,"Viaggio",$A$144)),0,GETPIVOTDATA("Somma di DARE",'Pivot Amex'!$A$3,"Mese",2,"Tipologia",$A151,"Viaggio",$A$144))
-IF(ISERROR(GETPIVOTDATA("Somma di AVERE",'Pivot Amex'!$A$3,"Mese",2,"Tipologia",$A151,"Viaggio",$A$144)),0,GETPIVOTDATA("Somma di AVERE",'Pivot Amex'!$A$3,"Mese",2,"Tipologia",$A151,"Viaggio",$A$144))
-IF(ISERROR(GETPIVOTDATA("Somma di AVERE",'Pivot BBVA'!$A$3,"Mese",2,"Tipologia",$A151,"Viaggio",$A$144)),0,GETPIVOTDATA("Somma di AVERE",'Pivot BBVA'!$A$3,"Mese",2,"Tipologia",$A151,"Viaggio",$A$144))
-IF(ISERROR(GETPIVOTDATA("Somma di AVERE",'Pivot Fineco St'!$A$3,"Mese",2,"Tipologia",$A151,"Viaggio",$A$144)),0,GETPIVOTDATA("Somma di AVERE",'Pivot Fineco St'!$A$3,"Mese",2,"Tipologia",$A151,"Viaggio",$A$144))
-IF(ISERROR(GETPIVOTDATA("Somma di AVERE",'Pivot Fineco Sa'!$A$3,"Mese",2,"Tipologia",$A151,"Viaggio",$A$144)),0,GETPIVOTDATA("Somma di AVERE",'Pivot Fineco Sa'!$A$3,"Mese",2,"Tipologia",$A151,"Viaggio",$A$144))
+IF(ISERROR(GETPIVOTDATA("Somma di DARE",'Pivot PP Visa'!$A$3,"Mese",2,"Tipologia",$A151,"Viaggio",$A$144)),0,GETPIVOTDATA("Somma di DARE",'Pivot PP Visa'!$A$3,"Mese",2,"Tipologia",$A151,"Viaggio",$A$144))
-IF(ISERROR(GETPIVOTDATA("Somma di AVERE",'Pivot PP Visa'!$A$3,"Mese",2,"Tipologia",$A151,"Viaggio",$A$144)),0,GETPIVOTDATA("Somma di AVERE",'Pivot PP Visa'!$A$3,"Mese",2,"Tipologia",$A151,"Viaggio",$A$144))
+IF(ISERROR(GETPIVOTDATA("Somma di DARE",'Pivot Revolut'!$A$3,"Mese",2,"Tipologia",$A151,"Viaggio",$A$144)),0,GETPIVOTDATA("Somma di DARE",'Pivot Revolut'!$A$3,"Mese",2,"Tipologia",$A151,"Viaggio",$A$144))
-IF(ISERROR(GETPIVOTDATA("Somma di AVERE",'Pivot Revolut'!$A$3,"Mese",2,"Tipologia",$A151,"Viaggio",$A$144)),0,GETPIVOTDATA("Somma di AVERE",'Pivot Revolut'!$A$3,"Mese",2,"Tipologia",$A151,"Viaggio",$A$144))
+IF(ISERROR(GETPIVOTDATA("Somma di DARE",'Pivot RakBank EUR'!$A$3,"Mese",2,"Tipologia",$A151,"Viaggio",$A$144)),0,GETPIVOTDATA("Somma di DARE",'Pivot RakBank EUR'!$A$3,"Mese",2,"Tipologia",$A151,"Viaggio",$A$144))
-IF(ISERROR(GETPIVOTDATA("Somma di AVERE",'Pivot RakBank EUR'!$A$3,"Mese",2,"Tipologia",$A151,"Viaggio",$A$144)),0,GETPIVOTDATA("Somma di AVERE",'Pivot RakBank EUR'!$A$3,"Mese",2,"Tipologia",$A151,"Viaggio",$A$144))
+IF(ISERROR(GETPIVOTDATA("Somma di DARE EUR",'Pivot RakBank AED'!$A$3,"Mese",2,"Tipologia",$A151,"Viaggio",$A$144)),0,GETPIVOTDATA("Somma di DARE EUR",'Pivot RakBank AED'!$A$3,"Mese",2,"Tipologia",$A151,"Viaggio",$A$144))
-IF(ISERROR(GETPIVOTDATA("Somma di AVERE EUR",'Pivot RakBank AED'!$A$3,"Mese",2,"Tipologia",$A151,"Viaggio",$A$144)),0,GETPIVOTDATA("Somma di AVERE EUR",'Pivot RakBank AED'!$A$3,"Mese",2,"Tipologia",$A151,"Viaggio",$A$144))</f>
        <v>0</v>
      </c>
      <c r="E151" s="270">
        <f>IF(ISERROR(GETPIVOTDATA("Somma di DARE",'Pivot Fineco Sa'!$A$3,"Mese",3,"Tipologia",$A151,"Viaggio",$A$144)),0,GETPIVOTDATA("Somma di DARE",'Pivot Fineco Sa'!$A$3,"Mese",3,"Tipologia",$A151,"Viaggio",$A$144))
+IF(ISERROR(GETPIVOTDATA("Somma di DARE",'Pivot Fineco St'!$A$3,"Mese",3,"Tipologia",$A151,"Viaggio",$A$144)),0,GETPIVOTDATA("Somma di DARE",'Pivot Fineco St'!$A$3,"Mese",3,"Tipologia",$A151,"Viaggio",$A$144))
+IF(Contanti!$M45='Conto Economico'!$A$144,Contanti!$J45)
+IF(ISERROR(GETPIVOTDATA("Somma di DARE",'Pivot BBVA'!$A$3,"Mese",3,"Tipologia",$A151,"Viaggio",$A$144)),0,GETPIVOTDATA("Somma di DARE",'Pivot BBVA'!$A$3,"Mese",3,"Tipologia",$A151,"Viaggio",$A$144))
+IF(ISERROR(GETPIVOTDATA("Somma di DARE",'Pivot Amex'!$A$3,"Mese",3,"Tipologia",$A151,"Viaggio",$A$144)),0,GETPIVOTDATA("Somma di DARE",'Pivot Amex'!$A$3,"Mese",3,"Tipologia",$A151,"Viaggio",$A$144))
-IF(ISERROR(GETPIVOTDATA("Somma di AVERE",'Pivot Amex'!$A$3,"Mese",3,"Tipologia",$A151,"Viaggio",$A$144)),0,GETPIVOTDATA("Somma di AVERE",'Pivot Amex'!$A$3,"Mese",3,"Tipologia",$A151,"Viaggio",$A$144))
-IF(ISERROR(GETPIVOTDATA("Somma di AVERE",'Pivot BBVA'!$A$3,"Mese",3,"Tipologia",$A151,"Viaggio",$A$144)),0,GETPIVOTDATA("Somma di AVERE",'Pivot BBVA'!$A$3,"Mese",3,"Tipologia",$A151,"Viaggio",$A$144))
-IF(ISERROR(GETPIVOTDATA("Somma di AVERE",'Pivot Fineco St'!$A$3,"Mese",3,"Tipologia",$A151,"Viaggio",$A$144)),0,GETPIVOTDATA("Somma di AVERE",'Pivot Fineco St'!$A$3,"Mese",3,"Tipologia",$A151,"Viaggio",$A$144))
-IF(ISERROR(GETPIVOTDATA("Somma di AVERE",'Pivot Fineco Sa'!$A$3,"Mese",3,"Tipologia",$A151,"Viaggio",$A$144)),0,GETPIVOTDATA("Somma di AVERE",'Pivot Fineco Sa'!$A$3,"Mese",3,"Tipologia",$A151,"Viaggio",$A$144))
+IF(ISERROR(GETPIVOTDATA("Somma di DARE",'Pivot PP Visa'!$A$3,"Mese",3,"Tipologia",$A151,"Viaggio",$A$144)),0,GETPIVOTDATA("Somma di DARE",'Pivot PP Visa'!$A$3,"Mese",3,"Tipologia",$A151,"Viaggio",$A$144))
-IF(ISERROR(GETPIVOTDATA("Somma di AVERE",'Pivot PP Visa'!$A$3,"Mese",3,"Tipologia",$A151,"Viaggio",$A$144)),0,GETPIVOTDATA("Somma di AVERE",'Pivot PP Visa'!$A$3,"Mese",3,"Tipologia",$A151,"Viaggio",$A$144))
+IF(ISERROR(GETPIVOTDATA("Somma di DARE",'Pivot Revolut'!$A$3,"Mese",3,"Tipologia",$A151,"Viaggio",$A$144)),0,GETPIVOTDATA("Somma di DARE",'Pivot Revolut'!$A$3,"Mese",3,"Tipologia",$A151,"Viaggio",$A$144))
-IF(ISERROR(GETPIVOTDATA("Somma di AVERE",'Pivot Revolut'!$A$3,"Mese",3,"Tipologia",$A151,"Viaggio",$A$144)),0,GETPIVOTDATA("Somma di AVERE",'Pivot Revolut'!$A$3,"Mese",3,"Tipologia",$A151,"Viaggio",$A$144))
+IF(ISERROR(GETPIVOTDATA("Somma di DARE",'Pivot RakBank EUR'!$A$3,"Mese",3,"Tipologia",$A151,"Viaggio",$A$144)),0,GETPIVOTDATA("Somma di DARE",'Pivot RakBank EUR'!$A$3,"Mese",3,"Tipologia",$A151,"Viaggio",$A$144))
-IF(ISERROR(GETPIVOTDATA("Somma di AVERE",'Pivot RakBank EUR'!$A$3,"Mese",3,"Tipologia",$A151,"Viaggio",$A$144)),0,GETPIVOTDATA("Somma di AVERE",'Pivot RakBank EUR'!$A$3,"Mese",3,"Tipologia",$A151,"Viaggio",$A$144))
+IF(ISERROR(GETPIVOTDATA("Somma di DARE EUR",'Pivot RakBank AED'!$A$3,"Mese",3,"Tipologia",$A151,"Viaggio",$A$144)),0,GETPIVOTDATA("Somma di DARE EUR",'Pivot RakBank AED'!$A$3,"Mese",3,"Tipologia",$A151,"Viaggio",$A$144))
-IF(ISERROR(GETPIVOTDATA("Somma di AVERE EUR",'Pivot RakBank AED'!$A$3,"Mese",3,"Tipologia",$A151,"Viaggio",$A$144)),0,GETPIVOTDATA("Somma di AVERE EUR",'Pivot RakBank AED'!$A$3,"Mese",3,"Tipologia",$A151,"Viaggio",$A$144))</f>
        <v>0</v>
      </c>
      <c r="F151" s="270">
        <f>IF(ISERROR(GETPIVOTDATA("Somma di DARE",'Pivot Fineco Sa'!$A$3,"Mese",4,"Tipologia",$A151,"Viaggio",$A$144)),0,GETPIVOTDATA("Somma di DARE",'Pivot Fineco Sa'!$A$3,"Mese",4,"Tipologia",$A151,"Viaggio",$A$144))
+IF(ISERROR(GETPIVOTDATA("Somma di DARE",'Pivot Fineco St'!$A$3,"Mese",4,"Tipologia",$A151,"Viaggio",$A$144)),0,GETPIVOTDATA("Somma di DARE",'Pivot Fineco St'!$A$3,"Mese",4,"Tipologia",$A151,"Viaggio",$A$144))
+IF(Contanti!$Q45='Conto Economico'!$A$144,Contanti!$N45)
+IF(ISERROR(GETPIVOTDATA("Somma di DARE",'Pivot BBVA'!$A$3,"Mese",4,"Tipologia",$A151,"Viaggio",$A$144)),0,GETPIVOTDATA("Somma di DARE",'Pivot BBVA'!$A$3,"Mese",4,"Tipologia",$A151,"Viaggio",$A$144))
+IF(ISERROR(GETPIVOTDATA("Somma di DARE",'Pivot Amex'!$A$3,"Mese",4,"Tipologia",$A151,"Viaggio",$A$144)),0,GETPIVOTDATA("Somma di DARE",'Pivot Amex'!$A$3,"Mese",4,"Tipologia",$A151,"Viaggio",$A$144))
-IF(ISERROR(GETPIVOTDATA("Somma di AVERE",'Pivot Amex'!$A$3,"Mese",4,"Tipologia",$A151,"Viaggio",$A$144)),0,GETPIVOTDATA("Somma di AVERE",'Pivot Amex'!$A$3,"Mese",4,"Tipologia",$A151,"Viaggio",$A$144))
-IF(ISERROR(GETPIVOTDATA("Somma di AVERE",'Pivot BBVA'!$A$3,"Mese",4,"Tipologia",$A151,"Viaggio",$A$144)),0,GETPIVOTDATA("Somma di AVERE",'Pivot BBVA'!$A$3,"Mese",4,"Tipologia",$A151,"Viaggio",$A$144))
-IF(ISERROR(GETPIVOTDATA("Somma di AVERE",'Pivot Fineco St'!$A$3,"Mese",4,"Tipologia",$A151,"Viaggio",$A$144)),0,GETPIVOTDATA("Somma di AVERE",'Pivot Fineco St'!$A$3,"Mese",4,"Tipologia",$A151,"Viaggio",$A$144))
-IF(ISERROR(GETPIVOTDATA("Somma di AVERE",'Pivot Fineco Sa'!$A$3,"Mese",4,"Tipologia",$A151,"Viaggio",$A$144)),0,GETPIVOTDATA("Somma di AVERE",'Pivot Fineco Sa'!$A$3,"Mese",4,"Tipologia",$A151,"Viaggio",$A$144))
+IF(ISERROR(GETPIVOTDATA("Somma di DARE",'Pivot PP Visa'!$A$3,"Mese",4,"Tipologia",$A151,"Viaggio",$A$144)),0,GETPIVOTDATA("Somma di DARE",'Pivot PP Visa'!$A$3,"Mese",4,"Tipologia",$A151,"Viaggio",$A$144))
-IF(ISERROR(GETPIVOTDATA("Somma di AVERE",'Pivot PP Visa'!$A$3,"Mese",4,"Tipologia",$A151,"Viaggio",$A$144)),0,GETPIVOTDATA("Somma di AVERE",'Pivot PP Visa'!$A$3,"Mese",4,"Tipologia",$A151,"Viaggio",$A$144))
+IF(ISERROR(GETPIVOTDATA("Somma di DARE",'Pivot Revolut'!$A$3,"Mese",4,"Tipologia",$A151,"Viaggio",$A$144)),0,GETPIVOTDATA("Somma di DARE",'Pivot Revolut'!$A$3,"Mese",4,"Tipologia",$A151,"Viaggio",$A$144))
-IF(ISERROR(GETPIVOTDATA("Somma di AVERE",'Pivot Revolut'!$A$3,"Mese",4,"Tipologia",$A151,"Viaggio",$A$144)),0,GETPIVOTDATA("Somma di AVERE",'Pivot Revolut'!$A$3,"Mese",4,"Tipologia",$A151,"Viaggio",$A$144))
+IF(ISERROR(GETPIVOTDATA("Somma di DARE",'Pivot RakBank EUR'!$A$3,"Mese",4,"Tipologia",$A151,"Viaggio",$A$144)),0,GETPIVOTDATA("Somma di DARE",'Pivot RakBank EUR'!$A$3,"Mese",4,"Tipologia",$A151,"Viaggio",$A$144))
-IF(ISERROR(GETPIVOTDATA("Somma di AVERE",'Pivot RakBank EUR'!$A$3,"Mese",4,"Tipologia",$A151,"Viaggio",$A$144)),0,GETPIVOTDATA("Somma di AVERE",'Pivot RakBank EUR'!$A$3,"Mese",4,"Tipologia",$A151,"Viaggio",$A$144))
+IF(ISERROR(GETPIVOTDATA("Somma di DARE EUR",'Pivot RakBank AED'!$A$3,"Mese",4,"Tipologia",$A151,"Viaggio",$A$144)),0,GETPIVOTDATA("Somma di DARE EUR",'Pivot RakBank AED'!$A$3,"Mese",4,"Tipologia",$A151,"Viaggio",$A$144))
-IF(ISERROR(GETPIVOTDATA("Somma di AVERE EUR",'Pivot RakBank AED'!$A$3,"Mese",4,"Tipologia",$A151,"Viaggio",$A$144)),0,GETPIVOTDATA("Somma di AVERE EUR",'Pivot RakBank AED'!$A$3,"Mese",4,"Tipologia",$A151,"Viaggio",$A$144))</f>
        <v>0</v>
      </c>
      <c r="G151" s="270">
        <f>IF(ISERROR(GETPIVOTDATA("Somma di DARE",'Pivot Fineco Sa'!$A$3,"Mese",5,"Tipologia",$A151,"Viaggio",$A$144)),0,GETPIVOTDATA("Somma di DARE",'Pivot Fineco Sa'!$A$3,"Mese",5,"Tipologia",$A151,"Viaggio",$A$144))
+IF(ISERROR(GETPIVOTDATA("Somma di DARE",'Pivot Fineco St'!$A$3,"Mese",5,"Tipologia",$A151,"Viaggio",$A$144)),0,GETPIVOTDATA("Somma di DARE",'Pivot Fineco St'!$A$3,"Mese",5,"Tipologia",$A151,"Viaggio",$A$144))
+IF(Contanti!$U45='Conto Economico'!$A$144,Contanti!$R45)
+IF(ISERROR(GETPIVOTDATA("Somma di DARE",'Pivot BBVA'!$A$3,"Mese",5,"Tipologia",$A151,"Viaggio",$A$144)),0,GETPIVOTDATA("Somma di DARE",'Pivot BBVA'!$A$3,"Mese",5,"Tipologia",$A151,"Viaggio",$A$144))
+IF(ISERROR(GETPIVOTDATA("Somma di DARE",'Pivot Amex'!$A$3,"Mese",5,"Tipologia",$A151,"Viaggio",$A$144)),0,GETPIVOTDATA("Somma di DARE",'Pivot Amex'!$A$3,"Mese",5,"Tipologia",$A151,"Viaggio",$A$144))
-IF(ISERROR(GETPIVOTDATA("Somma di AVERE",'Pivot Amex'!$A$3,"Mese",5,"Tipologia",$A151,"Viaggio",$A$144)),0,GETPIVOTDATA("Somma di AVERE",'Pivot Amex'!$A$3,"Mese",5,"Tipologia",$A151,"Viaggio",$A$144))
-IF(ISERROR(GETPIVOTDATA("Somma di AVERE",'Pivot BBVA'!$A$3,"Mese",5,"Tipologia",$A151,"Viaggio",$A$144)),0,GETPIVOTDATA("Somma di AVERE",'Pivot BBVA'!$A$3,"Mese",5,"Tipologia",$A151,"Viaggio",$A$144))
-IF(ISERROR(GETPIVOTDATA("Somma di AVERE",'Pivot Fineco St'!$A$3,"Mese",5,"Tipologia",$A151,"Viaggio",$A$144)),0,GETPIVOTDATA("Somma di AVERE",'Pivot Fineco St'!$A$3,"Mese",5,"Tipologia",$A151,"Viaggio",$A$144))
-IF(ISERROR(GETPIVOTDATA("Somma di AVERE",'Pivot Fineco Sa'!$A$3,"Mese",5,"Tipologia",$A151,"Viaggio",$A$144)),0,GETPIVOTDATA("Somma di AVERE",'Pivot Fineco Sa'!$A$3,"Mese",5,"Tipologia",$A151,"Viaggio",$A$144))
+IF(ISERROR(GETPIVOTDATA("Somma di DARE",'Pivot PP Visa'!$A$3,"Mese",5,"Tipologia",$A151,"Viaggio",$A$144)),0,GETPIVOTDATA("Somma di DARE",'Pivot PP Visa'!$A$3,"Mese",5,"Tipologia",$A151,"Viaggio",$A$144))
-IF(ISERROR(GETPIVOTDATA("Somma di AVERE",'Pivot PP Visa'!$A$3,"Mese",5,"Tipologia",$A151,"Viaggio",$A$144)),0,GETPIVOTDATA("Somma di AVERE",'Pivot PP Visa'!$A$3,"Mese",5,"Tipologia",$A151,"Viaggio",$A$144))
+IF(ISERROR(GETPIVOTDATA("Somma di DARE",'Pivot Revolut'!$A$3,"Mese",5,"Tipologia",$A151,"Viaggio",$A$144)),0,GETPIVOTDATA("Somma di DARE",'Pivot Revolut'!$A$3,"Mese",5,"Tipologia",$A151,"Viaggio",$A$144))
-IF(ISERROR(GETPIVOTDATA("Somma di AVERE",'Pivot Revolut'!$A$3,"Mese",5,"Tipologia",$A151,"Viaggio",$A$144)),0,GETPIVOTDATA("Somma di AVERE",'Pivot Revolut'!$A$3,"Mese",5,"Tipologia",$A151,"Viaggio",$A$144))
+IF(ISERROR(GETPIVOTDATA("Somma di DARE",'Pivot RakBank EUR'!$A$3,"Mese",5,"Tipologia",$A151,"Viaggio",$A$144)),0,GETPIVOTDATA("Somma di DARE",'Pivot RakBank EUR'!$A$3,"Mese",5,"Tipologia",$A151,"Viaggio",$A$144))
-IF(ISERROR(GETPIVOTDATA("Somma di AVERE",'Pivot RakBank EUR'!$A$3,"Mese",5,"Tipologia",$A151,"Viaggio",$A$144)),0,GETPIVOTDATA("Somma di AVERE",'Pivot RakBank EUR'!$A$3,"Mese",5,"Tipologia",$A151,"Viaggio",$A$144))
+IF(ISERROR(GETPIVOTDATA("Somma di DARE EUR",'Pivot RakBank AED'!$A$3,"Mese",5,"Tipologia",$A151,"Viaggio",$A$144)),0,GETPIVOTDATA("Somma di DARE EUR",'Pivot RakBank AED'!$A$3,"Mese",5,"Tipologia",$A151,"Viaggio",$A$144))
-IF(ISERROR(GETPIVOTDATA("Somma di AVERE EUR",'Pivot RakBank AED'!$A$3,"Mese",5,"Tipologia",$A151,"Viaggio",$A$144)),0,GETPIVOTDATA("Somma di AVERE EUR",'Pivot RakBank AED'!$A$3,"Mese",5,"Tipologia",$A151,"Viaggio",$A$144))</f>
        <v>120.81666666666668</v>
      </c>
      <c r="H151" s="270">
        <f>IF(ISERROR(GETPIVOTDATA("Somma di DARE",'Pivot Fineco Sa'!$A$3,"Mese",6,"Tipologia",$A151,"Viaggio",$A$144)),0,GETPIVOTDATA("Somma di DARE",'Pivot Fineco Sa'!$A$3,"Mese",6,"Tipologia",$A151,"Viaggio",$A$144))
+IF(ISERROR(GETPIVOTDATA("Somma di DARE",'Pivot Fineco St'!$A$3,"Mese",6,"Tipologia",$A151,"Viaggio",$A$144)),0,GETPIVOTDATA("Somma di DARE",'Pivot Fineco St'!$A$3,"Mese",6,"Tipologia",$A151,"Viaggio",$A$144))
+IF(Contanti!$Y45='Conto Economico'!$A$144,Contanti!$V45)
+IF(ISERROR(GETPIVOTDATA("Somma di DARE",'Pivot BBVA'!$A$3,"Mese",6,"Tipologia",$A151,"Viaggio",$A$144)),0,GETPIVOTDATA("Somma di DARE",'Pivot BBVA'!$A$3,"Mese",6,"Tipologia",$A151,"Viaggio",$A$144))
+IF(ISERROR(GETPIVOTDATA("Somma di DARE",'Pivot Amex'!$A$3,"Mese",6,"Tipologia",$A151,"Viaggio",$A$144)),0,GETPIVOTDATA("Somma di DARE",'Pivot Amex'!$A$3,"Mese",6,"Tipologia",$A151,"Viaggio",$A$144))
-IF(ISERROR(GETPIVOTDATA("Somma di AVERE",'Pivot Amex'!$A$3,"Mese",6,"Tipologia",$A151,"Viaggio",$A$144)),0,GETPIVOTDATA("Somma di AVERE",'Pivot Amex'!$A$3,"Mese",6,"Tipologia",$A151,"Viaggio",$A$144))
-IF(ISERROR(GETPIVOTDATA("Somma di AVERE",'Pivot BBVA'!$A$3,"Mese",6,"Tipologia",$A151,"Viaggio",$A$144)),0,GETPIVOTDATA("Somma di AVERE",'Pivot BBVA'!$A$3,"Mese",6,"Tipologia",$A151,"Viaggio",$A$144))
-IF(ISERROR(GETPIVOTDATA("Somma di AVERE",'Pivot Fineco St'!$A$3,"Mese",6,"Tipologia",$A151,"Viaggio",$A$144)),0,GETPIVOTDATA("Somma di AVERE",'Pivot Fineco St'!$A$3,"Mese",6,"Tipologia",$A151,"Viaggio",$A$144))
-IF(ISERROR(GETPIVOTDATA("Somma di AVERE",'Pivot Fineco Sa'!$A$3,"Mese",6,"Tipologia",$A151,"Viaggio",$A$144)),0,GETPIVOTDATA("Somma di AVERE",'Pivot Fineco Sa'!$A$3,"Mese",6,"Tipologia",$A151,"Viaggio",$A$144))
+IF(ISERROR(GETPIVOTDATA("Somma di DARE",'Pivot PP Visa'!$A$3,"Mese",6,"Tipologia",$A151,"Viaggio",$A$144)),0,GETPIVOTDATA("Somma di DARE",'Pivot PP Visa'!$A$3,"Mese",6,"Tipologia",$A151,"Viaggio",$A$144))
-IF(ISERROR(GETPIVOTDATA("Somma di AVERE",'Pivot PP Visa'!$A$3,"Mese",6,"Tipologia",$A151,"Viaggio",$A$144)),0,GETPIVOTDATA("Somma di AVERE",'Pivot PP Visa'!$A$3,"Mese",6,"Tipologia",$A151,"Viaggio",$A$144))
+IF(ISERROR(GETPIVOTDATA("Somma di DARE",'Pivot Revolut'!$A$3,"Mese",6,"Tipologia",$A151,"Viaggio",$A$144)),0,GETPIVOTDATA("Somma di DARE",'Pivot Revolut'!$A$3,"Mese",6,"Tipologia",$A151,"Viaggio",$A$144))
-IF(ISERROR(GETPIVOTDATA("Somma di AVERE",'Pivot Revolut'!$A$3,"Mese",6,"Tipologia",$A151,"Viaggio",$A$144)),0,GETPIVOTDATA("Somma di AVERE",'Pivot Revolut'!$A$3,"Mese",6,"Tipologia",$A151,"Viaggio",$A$144))
+IF(ISERROR(GETPIVOTDATA("Somma di DARE",'Pivot RakBank EUR'!$A$3,"Mese",6,"Tipologia",$A151,"Viaggio",$A$144)),0,GETPIVOTDATA("Somma di DARE",'Pivot RakBank EUR'!$A$3,"Mese",6,"Tipologia",$A151,"Viaggio",$A$144))
-IF(ISERROR(GETPIVOTDATA("Somma di AVERE",'Pivot RakBank EUR'!$A$3,"Mese",6,"Tipologia",$A151,"Viaggio",$A$144)),0,GETPIVOTDATA("Somma di AVERE",'Pivot RakBank EUR'!$A$3,"Mese",6,"Tipologia",$A151,"Viaggio",$A$144))
+IF(ISERROR(GETPIVOTDATA("Somma di DARE EUR",'Pivot RakBank AED'!$A$3,"Mese",6,"Tipologia",$A151,"Viaggio",$A$144)),0,GETPIVOTDATA("Somma di DARE EUR",'Pivot RakBank AED'!$A$3,"Mese",6,"Tipologia",$A151,"Viaggio",$A$144))
-IF(ISERROR(GETPIVOTDATA("Somma di AVERE EUR",'Pivot RakBank AED'!$A$3,"Mese",6,"Tipologia",$A151,"Viaggio",$A$144)),0,GETPIVOTDATA("Somma di AVERE EUR",'Pivot RakBank AED'!$A$3,"Mese",6,"Tipologia",$A151,"Viaggio",$A$144))</f>
        <v>0</v>
      </c>
      <c r="I151" s="270">
        <f>IF(ISERROR(GETPIVOTDATA("Somma di DARE",'Pivot Fineco Sa'!$A$3,"Mese",7,"Tipologia",$A151,"Viaggio",$A$144)),0,GETPIVOTDATA("Somma di DARE",'Pivot Fineco Sa'!$A$3,"Mese",7,"Tipologia",$A151,"Viaggio",$A$144))
+IF(ISERROR(GETPIVOTDATA("Somma di DARE",'Pivot Fineco St'!$A$3,"Mese",7,"Tipologia",$A151,"Viaggio",$A$144)),0,GETPIVOTDATA("Somma di DARE",'Pivot Fineco St'!$A$3,"Mese",7,"Tipologia",$A151,"Viaggio",$A$144))
+IF(Contanti!$AC45='Conto Economico'!$A$144,Contanti!$Z45)
+IF(ISERROR(GETPIVOTDATA("Somma di DARE",'Pivot BBVA'!$A$3,"Mese",7,"Tipologia",$A151,"Viaggio",$A$144)),0,GETPIVOTDATA("Somma di DARE",'Pivot BBVA'!$A$3,"Mese",7,"Tipologia",$A151,"Viaggio",$A$144))
+IF(ISERROR(GETPIVOTDATA("Somma di DARE",'Pivot Amex'!$A$3,"Mese",7,"Tipologia",$A151,"Viaggio",$A$144)),0,GETPIVOTDATA("Somma di DARE",'Pivot Amex'!$A$3,"Mese",7,"Tipologia",$A151,"Viaggio",$A$144))
-IF(ISERROR(GETPIVOTDATA("Somma di AVERE",'Pivot Amex'!$A$3,"Mese",7,"Tipologia",$A151,"Viaggio",$A$144)),0,GETPIVOTDATA("Somma di AVERE",'Pivot Amex'!$A$3,"Mese",7,"Tipologia",$A151,"Viaggio",$A$144))
-IF(ISERROR(GETPIVOTDATA("Somma di AVERE",'Pivot BBVA'!$A$3,"Mese",7,"Tipologia",$A151,"Viaggio",$A$144)),0,GETPIVOTDATA("Somma di AVERE",'Pivot BBVA'!$A$3,"Mese",7,"Tipologia",$A151,"Viaggio",$A$144))
-IF(ISERROR(GETPIVOTDATA("Somma di AVERE",'Pivot Fineco St'!$A$3,"Mese",7,"Tipologia",$A151,"Viaggio",$A$144)),0,GETPIVOTDATA("Somma di AVERE",'Pivot Fineco St'!$A$3,"Mese",7,"Tipologia",$A151,"Viaggio",$A$144))
-IF(ISERROR(GETPIVOTDATA("Somma di AVERE",'Pivot Fineco Sa'!$A$3,"Mese",7,"Tipologia",$A151,"Viaggio",$A$144)),0,GETPIVOTDATA("Somma di AVERE",'Pivot Fineco Sa'!$A$3,"Mese",7,"Tipologia",$A151,"Viaggio",$A$144))
+IF(ISERROR(GETPIVOTDATA("Somma di DARE",'Pivot PP Visa'!$A$3,"Mese",7,"Tipologia",$A151,"Viaggio",$A$144)),0,GETPIVOTDATA("Somma di DARE",'Pivot PP Visa'!$A$3,"Mese",7,"Tipologia",$A151,"Viaggio",$A$144))
-IF(ISERROR(GETPIVOTDATA("Somma di AVERE",'Pivot PP Visa'!$A$3,"Mese",7,"Tipologia",$A151,"Viaggio",$A$144)),0,GETPIVOTDATA("Somma di AVERE",'Pivot PP Visa'!$A$3,"Mese",7,"Tipologia",$A151,"Viaggio",$A$144))
+IF(ISERROR(GETPIVOTDATA("Somma di DARE",'Pivot Revolut'!$A$3,"Mese",7,"Tipologia",$A151,"Viaggio",$A$144)),0,GETPIVOTDATA("Somma di DARE",'Pivot Revolut'!$A$3,"Mese",7,"Tipologia",$A151,"Viaggio",$A$144))
-IF(ISERROR(GETPIVOTDATA("Somma di AVERE",'Pivot Revolut'!$A$3,"Mese",7,"Tipologia",$A151,"Viaggio",$A$144)),0,GETPIVOTDATA("Somma di AVERE",'Pivot Revolut'!$A$3,"Mese",7,"Tipologia",$A151,"Viaggio",$A$144))
+IF(ISERROR(GETPIVOTDATA("Somma di DARE",'Pivot RakBank EUR'!$A$3,"Mese",7,"Tipologia",$A151,"Viaggio",$A$144)),0,GETPIVOTDATA("Somma di DARE",'Pivot RakBank EUR'!$A$3,"Mese",7,"Tipologia",$A151,"Viaggio",$A$144))
-IF(ISERROR(GETPIVOTDATA("Somma di AVERE",'Pivot RakBank EUR'!$A$3,"Mese",7,"Tipologia",$A151,"Viaggio",$A$144)),0,GETPIVOTDATA("Somma di AVERE",'Pivot RakBank EUR'!$A$3,"Mese",7,"Tipologia",$A151,"Viaggio",$A$144))
+IF(ISERROR(GETPIVOTDATA("Somma di DARE EUR",'Pivot RakBank AED'!$A$3,"Mese",7,"Tipologia",$A151,"Viaggio",$A$144)),0,GETPIVOTDATA("Somma di DARE EUR",'Pivot RakBank AED'!$A$3,"Mese",7,"Tipologia",$A151,"Viaggio",$A$144))
-IF(ISERROR(GETPIVOTDATA("Somma di AVERE EUR",'Pivot RakBank AED'!$A$3,"Mese",7,"Tipologia",$A151,"Viaggio",$A$144)),0,GETPIVOTDATA("Somma di AVERE EUR",'Pivot RakBank AED'!$A$3,"Mese",7,"Tipologia",$A151,"Viaggio",$A$144))</f>
        <v>0</v>
      </c>
      <c r="J151" s="270">
        <f>IF(ISERROR(GETPIVOTDATA("Somma di DARE",'Pivot Fineco Sa'!$A$3,"Mese",8,"Tipologia",$A151,"Viaggio",$A$144)),0,GETPIVOTDATA("Somma di DARE",'Pivot Fineco Sa'!$A$3,"Mese",8,"Tipologia",$A151,"Viaggio",$A$144))
+IF(ISERROR(GETPIVOTDATA("Somma di DARE",'Pivot Fineco St'!$A$3,"Mese",8,"Tipologia",$A151,"Viaggio",$A$144)),0,GETPIVOTDATA("Somma di DARE",'Pivot Fineco St'!$A$3,"Mese",8,"Tipologia",$A151,"Viaggio",$A$144))
+IF(Contanti!$AG45='Conto Economico'!$A$144,Contanti!$AD45)
+IF(ISERROR(GETPIVOTDATA("Somma di DARE",'Pivot BBVA'!$A$3,"Mese",8,"Tipologia",$A151,"Viaggio",$A$144)),0,GETPIVOTDATA("Somma di DARE",'Pivot BBVA'!$A$3,"Mese",8,"Tipologia",$A151,"Viaggio",$A$144))
+IF(ISERROR(GETPIVOTDATA("Somma di DARE",'Pivot Amex'!$A$3,"Mese",8,"Tipologia",$A151,"Viaggio",$A$144)),0,GETPIVOTDATA("Somma di DARE",'Pivot Amex'!$A$3,"Mese",8,"Tipologia",$A151,"Viaggio",$A$144))
-IF(ISERROR(GETPIVOTDATA("Somma di AVERE",'Pivot Amex'!$A$3,"Mese",8,"Tipologia",$A151,"Viaggio",$A$144)),0,GETPIVOTDATA("Somma di AVERE",'Pivot Amex'!$A$3,"Mese",8,"Tipologia",$A151,"Viaggio",$A$144))
-IF(ISERROR(GETPIVOTDATA("Somma di AVERE",'Pivot BBVA'!$A$3,"Mese",8,"Tipologia",$A151,"Viaggio",$A$144)),0,GETPIVOTDATA("Somma di AVERE",'Pivot BBVA'!$A$3,"Mese",8,"Tipologia",$A151,"Viaggio",$A$144))
-IF(ISERROR(GETPIVOTDATA("Somma di AVERE",'Pivot Fineco St'!$A$3,"Mese",8,"Tipologia",$A151,"Viaggio",$A$144)),0,GETPIVOTDATA("Somma di AVERE",'Pivot Fineco St'!$A$3,"Mese",8,"Tipologia",$A151,"Viaggio",$A$144))
-IF(ISERROR(GETPIVOTDATA("Somma di AVERE",'Pivot Fineco Sa'!$A$3,"Mese",8,"Tipologia",$A151,"Viaggio",$A$144)),0,GETPIVOTDATA("Somma di AVERE",'Pivot Fineco Sa'!$A$3,"Mese",8,"Tipologia",$A151,"Viaggio",$A$144))
+IF(ISERROR(GETPIVOTDATA("Somma di DARE",'Pivot PP Visa'!$A$3,"Mese",8,"Tipologia",$A151,"Viaggio",$A$144)),0,GETPIVOTDATA("Somma di DARE",'Pivot PP Visa'!$A$3,"Mese",8,"Tipologia",$A151,"Viaggio",$A$144))
-IF(ISERROR(GETPIVOTDATA("Somma di AVERE",'Pivot PP Visa'!$A$3,"Mese",8,"Tipologia",$A151,"Viaggio",$A$144)),0,GETPIVOTDATA("Somma di AVERE",'Pivot PP Visa'!$A$3,"Mese",8,"Tipologia",$A151,"Viaggio",$A$144))
+IF(ISERROR(GETPIVOTDATA("Somma di DARE",'Pivot Revolut'!$A$3,"Mese",8,"Tipologia",$A151,"Viaggio",$A$144)),0,GETPIVOTDATA("Somma di DARE",'Pivot Revolut'!$A$3,"Mese",8,"Tipologia",$A151,"Viaggio",$A$144))
-IF(ISERROR(GETPIVOTDATA("Somma di AVERE",'Pivot Revolut'!$A$3,"Mese",8,"Tipologia",$A151,"Viaggio",$A$144)),0,GETPIVOTDATA("Somma di AVERE",'Pivot Revolut'!$A$3,"Mese",8,"Tipologia",$A151,"Viaggio",$A$144))
+IF(ISERROR(GETPIVOTDATA("Somma di DARE",'Pivot RakBank EUR'!$A$3,"Mese",8,"Tipologia",$A151,"Viaggio",$A$144)),0,GETPIVOTDATA("Somma di DARE",'Pivot RakBank EUR'!$A$3,"Mese",8,"Tipologia",$A151,"Viaggio",$A$144))
-IF(ISERROR(GETPIVOTDATA("Somma di AVERE",'Pivot RakBank EUR'!$A$3,"Mese",8,"Tipologia",$A151,"Viaggio",$A$144)),0,GETPIVOTDATA("Somma di AVERE",'Pivot RakBank EUR'!$A$3,"Mese",8,"Tipologia",$A151,"Viaggio",$A$144))
+IF(ISERROR(GETPIVOTDATA("Somma di DARE EUR",'Pivot RakBank AED'!$A$3,"Mese",8,"Tipologia",$A151,"Viaggio",$A$144)),0,GETPIVOTDATA("Somma di DARE EUR",'Pivot RakBank AED'!$A$3,"Mese",8,"Tipologia",$A151,"Viaggio",$A$144))
-IF(ISERROR(GETPIVOTDATA("Somma di AVERE EUR",'Pivot RakBank AED'!$A$3,"Mese",8,"Tipologia",$A151,"Viaggio",$A$144)),0,GETPIVOTDATA("Somma di AVERE EUR",'Pivot RakBank AED'!$A$3,"Mese",8,"Tipologia",$A151,"Viaggio",$A$144))</f>
        <v>0</v>
      </c>
      <c r="K151" s="270">
        <f>IF(ISERROR(GETPIVOTDATA("Somma di DARE",'Pivot Fineco Sa'!$A$3,"Mese",9,"Tipologia",$A151,"Viaggio",$A$144)),0,GETPIVOTDATA("Somma di DARE",'Pivot Fineco Sa'!$A$3,"Mese",9,"Tipologia",$A151,"Viaggio",$A$144))
+IF(ISERROR(GETPIVOTDATA("Somma di DARE",'Pivot Fineco St'!$A$3,"Mese",9,"Tipologia",$A151,"Viaggio",$A$144)),0,GETPIVOTDATA("Somma di DARE",'Pivot Fineco St'!$A$3,"Mese",9,"Tipologia",$A151,"Viaggio",$A$144))
+IF(Contanti!$AK45='Conto Economico'!$A$144,Contanti!$AH45)
+IF(ISERROR(GETPIVOTDATA("Somma di DARE",'Pivot BBVA'!$A$3,"Mese",9,"Tipologia",$A151,"Viaggio",$A$144)),0,GETPIVOTDATA("Somma di DARE",'Pivot BBVA'!$A$3,"Mese",9,"Tipologia",$A151,"Viaggio",$A$144))
+IF(ISERROR(GETPIVOTDATA("Somma di DARE",'Pivot Amex'!$A$3,"Mese",9,"Tipologia",$A151,"Viaggio",$A$144)),0,GETPIVOTDATA("Somma di DARE",'Pivot Amex'!$A$3,"Mese",9,"Tipologia",$A151,"Viaggio",$A$144))
-IF(ISERROR(GETPIVOTDATA("Somma di AVERE",'Pivot Amex'!$A$3,"Mese",9,"Tipologia",$A151,"Viaggio",$A$144)),0,GETPIVOTDATA("Somma di AVERE",'Pivot Amex'!$A$3,"Mese",9,"Tipologia",$A151,"Viaggio",$A$144))
-IF(ISERROR(GETPIVOTDATA("Somma di AVERE",'Pivot BBVA'!$A$3,"Mese",9,"Tipologia",$A151,"Viaggio",$A$144)),0,GETPIVOTDATA("Somma di AVERE",'Pivot BBVA'!$A$3,"Mese",9,"Tipologia",$A151,"Viaggio",$A$144))
-IF(ISERROR(GETPIVOTDATA("Somma di AVERE",'Pivot Fineco St'!$A$3,"Mese",9,"Tipologia",$A151,"Viaggio",$A$144)),0,GETPIVOTDATA("Somma di AVERE",'Pivot Fineco St'!$A$3,"Mese",9,"Tipologia",$A151,"Viaggio",$A$144))
-IF(ISERROR(GETPIVOTDATA("Somma di AVERE",'Pivot Fineco Sa'!$A$3,"Mese",9,"Tipologia",$A151,"Viaggio",$A$144)),0,GETPIVOTDATA("Somma di AVERE",'Pivot Fineco Sa'!$A$3,"Mese",9,"Tipologia",$A151,"Viaggio",$A$144))
+IF(ISERROR(GETPIVOTDATA("Somma di DARE",'Pivot PP Visa'!$A$3,"Mese",9,"Tipologia",$A151,"Viaggio",$A$144)),0,GETPIVOTDATA("Somma di DARE",'Pivot PP Visa'!$A$3,"Mese",9,"Tipologia",$A151,"Viaggio",$A$144))
-IF(ISERROR(GETPIVOTDATA("Somma di AVERE",'Pivot PP Visa'!$A$3,"Mese",9,"Tipologia",$A151,"Viaggio",$A$144)),0,GETPIVOTDATA("Somma di AVERE",'Pivot PP Visa'!$A$3,"Mese",9,"Tipologia",$A151,"Viaggio",$A$144))
+IF(ISERROR(GETPIVOTDATA("Somma di DARE",'Pivot Revolut'!$A$3,"Mese",9,"Tipologia",$A151,"Viaggio",$A$144)),0,GETPIVOTDATA("Somma di DARE",'Pivot Revolut'!$A$3,"Mese",9,"Tipologia",$A151,"Viaggio",$A$144))
-IF(ISERROR(GETPIVOTDATA("Somma di AVERE",'Pivot Revolut'!$A$3,"Mese",9,"Tipologia",$A151,"Viaggio",$A$144)),0,GETPIVOTDATA("Somma di AVERE",'Pivot Revolut'!$A$3,"Mese",9,"Tipologia",$A151,"Viaggio",$A$144))
+IF(ISERROR(GETPIVOTDATA("Somma di DARE",'Pivot RakBank EUR'!$A$3,"Mese",9,"Tipologia",$A151,"Viaggio",$A$144)),0,GETPIVOTDATA("Somma di DARE",'Pivot RakBank EUR'!$A$3,"Mese",9,"Tipologia",$A151,"Viaggio",$A$144))
-IF(ISERROR(GETPIVOTDATA("Somma di AVERE",'Pivot RakBank EUR'!$A$3,"Mese",9,"Tipologia",$A151,"Viaggio",$A$144)),0,GETPIVOTDATA("Somma di AVERE",'Pivot RakBank EUR'!$A$3,"Mese",9,"Tipologia",$A151,"Viaggio",$A$144))
+IF(ISERROR(GETPIVOTDATA("Somma di DARE EUR",'Pivot RakBank AED'!$A$3,"Mese",9,"Tipologia",$A151,"Viaggio",$A$144)),0,GETPIVOTDATA("Somma di DARE EUR",'Pivot RakBank AED'!$A$3,"Mese",9,"Tipologia",$A151,"Viaggio",$A$144))
-IF(ISERROR(GETPIVOTDATA("Somma di AVERE EUR",'Pivot RakBank AED'!$A$3,"Mese",9,"Tipologia",$A151,"Viaggio",$A$144)),0,GETPIVOTDATA("Somma di AVERE EUR",'Pivot RakBank AED'!$A$3,"Mese",9,"Tipologia",$A151,"Viaggio",$A$144))</f>
        <v>0</v>
      </c>
      <c r="L151" s="270">
        <f>IF(ISERROR(GETPIVOTDATA("Somma di DARE",'Pivot Fineco Sa'!$A$3,"Mese",10,"Tipologia",$A151,"Viaggio",$A$144)),0,GETPIVOTDATA("Somma di DARE",'Pivot Fineco Sa'!$A$3,"Mese",10,"Tipologia",$A151,"Viaggio",$A$144))
+IF(ISERROR(GETPIVOTDATA("Somma di DARE",'Pivot Fineco St'!$A$3,"Mese",10,"Tipologia",$A151,"Viaggio",$A$144)),0,GETPIVOTDATA("Somma di DARE",'Pivot Fineco St'!$A$3,"Mese",10,"Tipologia",$A151,"Viaggio",$A$144))
+IF(Contanti!$AO45='Conto Economico'!$A$144,Contanti!$AL45)
+IF(ISERROR(GETPIVOTDATA("Somma di DARE",'Pivot BBVA'!$A$3,"Mese",10,"Tipologia",$A151,"Viaggio",$A$144)),0,GETPIVOTDATA("Somma di DARE",'Pivot BBVA'!$A$3,"Mese",10,"Tipologia",$A151,"Viaggio",$A$144))
+IF(ISERROR(GETPIVOTDATA("Somma di DARE",'Pivot Amex'!$A$3,"Mese",10,"Tipologia",$A151,"Viaggio",$A$144)),0,GETPIVOTDATA("Somma di DARE",'Pivot Amex'!$A$3,"Mese",10,"Tipologia",$A151,"Viaggio",$A$144))
-IF(ISERROR(GETPIVOTDATA("Somma di AVERE",'Pivot Amex'!$A$3,"Mese",10,"Tipologia",$A151,"Viaggio",$A$144)),0,GETPIVOTDATA("Somma di AVERE",'Pivot Amex'!$A$3,"Mese",10,"Tipologia",$A151,"Viaggio",$A$144))
-IF(ISERROR(GETPIVOTDATA("Somma di AVERE",'Pivot BBVA'!$A$3,"Mese",10,"Tipologia",$A151,"Viaggio",$A$144)),0,GETPIVOTDATA("Somma di AVERE",'Pivot BBVA'!$A$3,"Mese",10,"Tipologia",$A151,"Viaggio",$A$144))
-IF(ISERROR(GETPIVOTDATA("Somma di AVERE",'Pivot Fineco St'!$A$3,"Mese",10,"Tipologia",$A151,"Viaggio",$A$144)),0,GETPIVOTDATA("Somma di AVERE",'Pivot Fineco St'!$A$3,"Mese",10,"Tipologia",$A151,"Viaggio",$A$144))
-IF(ISERROR(GETPIVOTDATA("Somma di AVERE",'Pivot Fineco Sa'!$A$3,"Mese",10,"Tipologia",$A151,"Viaggio",$A$144)),0,GETPIVOTDATA("Somma di AVERE",'Pivot Fineco Sa'!$A$3,"Mese",10,"Tipologia",$A151,"Viaggio",$A$144))
+IF(ISERROR(GETPIVOTDATA("Somma di DARE",'Pivot PP Visa'!$A$3,"Mese",10,"Tipologia",$A151,"Viaggio",$A$144)),0,GETPIVOTDATA("Somma di DARE",'Pivot PP Visa'!$A$3,"Mese",10,"Tipologia",$A151,"Viaggio",$A$144))
-IF(ISERROR(GETPIVOTDATA("Somma di AVERE",'Pivot PP Visa'!$A$3,"Mese",10,"Tipologia",$A151,"Viaggio",$A$144)),0,GETPIVOTDATA("Somma di AVERE",'Pivot PP Visa'!$A$3,"Mese",10,"Tipologia",$A151,"Viaggio",$A$144))
+IF(ISERROR(GETPIVOTDATA("Somma di DARE",'Pivot Revolut'!$A$3,"Mese",10,"Tipologia",$A151,"Viaggio",$A$144)),0,GETPIVOTDATA("Somma di DARE",'Pivot Revolut'!$A$3,"Mese",10,"Tipologia",$A151,"Viaggio",$A$144))
-IF(ISERROR(GETPIVOTDATA("Somma di AVERE",'Pivot Revolut'!$A$3,"Mese",10,"Tipologia",$A151,"Viaggio",$A$144)),0,GETPIVOTDATA("Somma di AVERE",'Pivot Revolut'!$A$3,"Mese",10,"Tipologia",$A151,"Viaggio",$A$144))
+IF(ISERROR(GETPIVOTDATA("Somma di DARE",'Pivot RakBank EUR'!$A$3,"Mese",10,"Tipologia",$A151,"Viaggio",$A$144)),0,GETPIVOTDATA("Somma di DARE",'Pivot RakBank EUR'!$A$3,"Mese",10,"Tipologia",$A151,"Viaggio",$A$144))
-IF(ISERROR(GETPIVOTDATA("Somma di AVERE",'Pivot RakBank EUR'!$A$3,"Mese",10,"Tipologia",$A151,"Viaggio",$A$144)),0,GETPIVOTDATA("Somma di AVERE",'Pivot RakBank EUR'!$A$3,"Mese",10,"Tipologia",$A151,"Viaggio",$A$144))
+IF(ISERROR(GETPIVOTDATA("Somma di DARE EUR",'Pivot RakBank AED'!$A$3,"Mese",10,"Tipologia",$A151,"Viaggio",$A$144)),0,GETPIVOTDATA("Somma di DARE EUR",'Pivot RakBank AED'!$A$3,"Mese",10,"Tipologia",$A151,"Viaggio",$A$144))
-IF(ISERROR(GETPIVOTDATA("Somma di AVERE EUR",'Pivot RakBank AED'!$A$3,"Mese",10,"Tipologia",$A151,"Viaggio",$A$144)),0,GETPIVOTDATA("Somma di AVERE EUR",'Pivot RakBank AED'!$A$3,"Mese",10,"Tipologia",$A151,"Viaggio",$A$144))</f>
        <v>0</v>
      </c>
      <c r="M151" s="270">
        <f>IF(ISERROR(GETPIVOTDATA("Somma di DARE",'Pivot Fineco Sa'!$A$3,"Mese",11,"Tipologia",$A151,"Viaggio",$A$144)),0,GETPIVOTDATA("Somma di DARE",'Pivot Fineco Sa'!$A$3,"Mese",11,"Tipologia",$A151,"Viaggio",$A$144))
+IF(ISERROR(GETPIVOTDATA("Somma di DARE",'Pivot Fineco St'!$A$3,"Mese",11,"Tipologia",$A151,"Viaggio",$A$144)),0,GETPIVOTDATA("Somma di DARE",'Pivot Fineco St'!$A$3,"Mese",11,"Tipologia",$A151,"Viaggio",$A$144))
+IF(Contanti!$AS45='Conto Economico'!$A$144,Contanti!$AP45)
+IF(ISERROR(GETPIVOTDATA("Somma di DARE",'Pivot BBVA'!$A$3,"Mese",11,"Tipologia",$A151,"Viaggio",$A$144)),0,GETPIVOTDATA("Somma di DARE",'Pivot BBVA'!$A$3,"Mese",11,"Tipologia",$A151,"Viaggio",$A$144))
+IF(ISERROR(GETPIVOTDATA("Somma di DARE",'Pivot Amex'!$A$3,"Mese",11,"Tipologia",$A151,"Viaggio",$A$144)),0,GETPIVOTDATA("Somma di DARE",'Pivot Amex'!$A$3,"Mese",11,"Tipologia",$A151,"Viaggio",$A$144))
-IF(ISERROR(GETPIVOTDATA("Somma di AVERE",'Pivot Amex'!$A$3,"Mese",11,"Tipologia",$A151,"Viaggio",$A$144)),0,GETPIVOTDATA("Somma di AVERE",'Pivot Amex'!$A$3,"Mese",11,"Tipologia",$A151,"Viaggio",$A$144))
-IF(ISERROR(GETPIVOTDATA("Somma di AVERE",'Pivot BBVA'!$A$3,"Mese",11,"Tipologia",$A151,"Viaggio",$A$144)),0,GETPIVOTDATA("Somma di AVERE",'Pivot BBVA'!$A$3,"Mese",11,"Tipologia",$A151,"Viaggio",$A$144))
-IF(ISERROR(GETPIVOTDATA("Somma di AVERE",'Pivot Fineco St'!$A$3,"Mese",11,"Tipologia",$A151,"Viaggio",$A$144)),0,GETPIVOTDATA("Somma di AVERE",'Pivot Fineco St'!$A$3,"Mese",11,"Tipologia",$A151,"Viaggio",$A$144))
-IF(ISERROR(GETPIVOTDATA("Somma di AVERE",'Pivot Fineco Sa'!$A$3,"Mese",11,"Tipologia",$A151,"Viaggio",$A$144)),0,GETPIVOTDATA("Somma di AVERE",'Pivot Fineco Sa'!$A$3,"Mese",11,"Tipologia",$A151,"Viaggio",$A$144))
+IF(ISERROR(GETPIVOTDATA("Somma di DARE",'Pivot PP Visa'!$A$3,"Mese",11,"Tipologia",$A151,"Viaggio",$A$144)),0,GETPIVOTDATA("Somma di DARE",'Pivot PP Visa'!$A$3,"Mese",11,"Tipologia",$A151,"Viaggio",$A$144))
-IF(ISERROR(GETPIVOTDATA("Somma di AVERE",'Pivot PP Visa'!$A$3,"Mese",11,"Tipologia",$A151,"Viaggio",$A$144)),0,GETPIVOTDATA("Somma di AVERE",'Pivot PP Visa'!$A$3,"Mese",11,"Tipologia",$A151,"Viaggio",$A$144))
+IF(ISERROR(GETPIVOTDATA("Somma di DARE",'Pivot Revolut'!$A$3,"Mese",11,"Tipologia",$A151,"Viaggio",$A$144)),0,GETPIVOTDATA("Somma di DARE",'Pivot Revolut'!$A$3,"Mese",11,"Tipologia",$A151,"Viaggio",$A$144))
-IF(ISERROR(GETPIVOTDATA("Somma di AVERE",'Pivot Revolut'!$A$3,"Mese",11,"Tipologia",$A151,"Viaggio",$A$144)),0,GETPIVOTDATA("Somma di AVERE",'Pivot Revolut'!$A$3,"Mese",11,"Tipologia",$A151,"Viaggio",$A$144))
+IF(ISERROR(GETPIVOTDATA("Somma di DARE",'Pivot RakBank EUR'!$A$3,"Mese",11,"Tipologia",$A151,"Viaggio",$A$144)),0,GETPIVOTDATA("Somma di DARE",'Pivot RakBank EUR'!$A$3,"Mese",11,"Tipologia",$A151,"Viaggio",$A$144))
-IF(ISERROR(GETPIVOTDATA("Somma di AVERE",'Pivot RakBank EUR'!$A$3,"Mese",11,"Tipologia",$A151,"Viaggio",$A$144)),0,GETPIVOTDATA("Somma di AVERE",'Pivot RakBank EUR'!$A$3,"Mese",11,"Tipologia",$A151,"Viaggio",$A$144))
+IF(ISERROR(GETPIVOTDATA("Somma di DARE EUR",'Pivot RakBank AED'!$A$3,"Mese",11,"Tipologia",$A151,"Viaggio",$A$144)),0,GETPIVOTDATA("Somma di DARE EUR",'Pivot RakBank AED'!$A$3,"Mese",11,"Tipologia",$A151,"Viaggio",$A$144))
-IF(ISERROR(GETPIVOTDATA("Somma di AVERE EUR",'Pivot RakBank AED'!$A$3,"Mese",11,"Tipologia",$A151,"Viaggio",$A$144)),0,GETPIVOTDATA("Somma di AVERE EUR",'Pivot RakBank AED'!$A$3,"Mese",11,"Tipologia",$A151,"Viaggio",$A$144))</f>
        <v>0</v>
      </c>
      <c r="N151" s="270">
        <f>IF(ISERROR(GETPIVOTDATA("Somma di DARE",'Pivot Fineco Sa'!$A$3,"Mese",12,"Tipologia",$A151,"Viaggio",$A$144)),0,GETPIVOTDATA("Somma di DARE",'Pivot Fineco Sa'!$A$3,"Mese",12,"Tipologia",$A151,"Viaggio",$A$144))
+IF(ISERROR(GETPIVOTDATA("Somma di DARE",'Pivot Fineco St'!$A$3,"Mese",12,"Tipologia",$A151,"Viaggio",$A$144)),0,GETPIVOTDATA("Somma di DARE",'Pivot Fineco St'!$A$3,"Mese",12,"Tipologia",$A151,"Viaggio",$A$144))
+IF(Contanti!$AW45='Conto Economico'!$A$144,Contanti!$AT45)
+IF(ISERROR(GETPIVOTDATA("Somma di DARE",'Pivot BBVA'!$A$3,"Mese",12,"Tipologia",$A151,"Viaggio",$A$144)),0,GETPIVOTDATA("Somma di DARE",'Pivot BBVA'!$A$3,"Mese",12,"Tipologia",$A151,"Viaggio",$A$144))
+IF(ISERROR(GETPIVOTDATA("Somma di DARE",'Pivot Amex'!$A$3,"Mese",12,"Tipologia",$A151,"Viaggio",$A$144)),0,GETPIVOTDATA("Somma di DARE",'Pivot Amex'!$A$3,"Mese",12,"Tipologia",$A151,"Viaggio",$A$144))
-IF(ISERROR(GETPIVOTDATA("Somma di AVERE",'Pivot Amex'!$A$3,"Mese",12,"Tipologia",$A151,"Viaggio",$A$144)),0,GETPIVOTDATA("Somma di AVERE",'Pivot Amex'!$A$3,"Mese",12,"Tipologia",$A151,"Viaggio",$A$144))
-IF(ISERROR(GETPIVOTDATA("Somma di AVERE",'Pivot BBVA'!$A$3,"Mese",12,"Tipologia",$A151,"Viaggio",$A$144)),0,GETPIVOTDATA("Somma di AVERE",'Pivot BBVA'!$A$3,"Mese",12,"Tipologia",$A151,"Viaggio",$A$144))
-IF(ISERROR(GETPIVOTDATA("Somma di AVERE",'Pivot Fineco St'!$A$3,"Mese",12,"Tipologia",$A151,"Viaggio",$A$144)),0,GETPIVOTDATA("Somma di AVERE",'Pivot Fineco St'!$A$3,"Mese",12,"Tipologia",$A151,"Viaggio",$A$144))
-IF(ISERROR(GETPIVOTDATA("Somma di AVERE",'Pivot Fineco Sa'!$A$3,"Mese",12,"Tipologia",$A151,"Viaggio",$A$144)),0,GETPIVOTDATA("Somma di AVERE",'Pivot Fineco Sa'!$A$3,"Mese",12,"Tipologia",$A151,"Viaggio",$A$144))
+IF(ISERROR(GETPIVOTDATA("Somma di DARE",'Pivot PP Visa'!$A$3,"Mese",12,"Tipologia",$A151,"Viaggio",$A$144)),0,GETPIVOTDATA("Somma di DARE",'Pivot PP Visa'!$A$3,"Mese",12,"Tipologia",$A151,"Viaggio",$A$144))
-IF(ISERROR(GETPIVOTDATA("Somma di AVERE",'Pivot PP Visa'!$A$3,"Mese",12,"Tipologia",$A151,"Viaggio",$A$144)),0,GETPIVOTDATA("Somma di AVERE",'Pivot PP Visa'!$A$3,"Mese",12,"Tipologia",$A151,"Viaggio",$A$144))
+IF(ISERROR(GETPIVOTDATA("Somma di DARE",'Pivot Revolut'!$A$3,"Mese",12,"Tipologia",$A151,"Viaggio",$A$144)),0,GETPIVOTDATA("Somma di DARE",'Pivot Revolut'!$A$3,"Mese",12,"Tipologia",$A151,"Viaggio",$A$144))
-IF(ISERROR(GETPIVOTDATA("Somma di AVERE",'Pivot Revolut'!$A$3,"Mese",12,"Tipologia",$A151,"Viaggio",$A$144)),0,GETPIVOTDATA("Somma di AVERE",'Pivot Revolut'!$A$3,"Mese",12,"Tipologia",$A151,"Viaggio",$A$144))
+IF(ISERROR(GETPIVOTDATA("Somma di DARE",'Pivot RakBank EUR'!$A$3,"Mese",12,"Tipologia",$A151,"Viaggio",$A$144)),0,GETPIVOTDATA("Somma di DARE",'Pivot RakBank EUR'!$A$3,"Mese",12,"Tipologia",$A151,"Viaggio",$A$144))
-IF(ISERROR(GETPIVOTDATA("Somma di AVERE",'Pivot RakBank EUR'!$A$3,"Mese",12,"Tipologia",$A151,"Viaggio",$A$144)),0,GETPIVOTDATA("Somma di AVERE",'Pivot RakBank EUR'!$A$3,"Mese",12,"Tipologia",$A151,"Viaggio",$A$144))
+IF(ISERROR(GETPIVOTDATA("Somma di DARE EUR",'Pivot RakBank AED'!$A$3,"Mese",12,"Tipologia",$A151,"Viaggio",$A$144)),0,GETPIVOTDATA("Somma di DARE EUR",'Pivot RakBank AED'!$A$3,"Mese",12,"Tipologia",$A151,"Viaggio",$A$144))
-IF(ISERROR(GETPIVOTDATA("Somma di AVERE EUR",'Pivot RakBank AED'!$A$3,"Mese",12,"Tipologia",$A151,"Viaggio",$A$144)),0,GETPIVOTDATA("Somma di AVERE EUR",'Pivot RakBank AED'!$A$3,"Mese",12,"Tipologia",$A151,"Viaggio",$A$144))</f>
        <v>0</v>
      </c>
      <c r="O151" s="271">
        <f t="shared" si="19"/>
        <v>120.81666666666668</v>
      </c>
      <c r="P151" s="270"/>
    </row>
    <row r="152" spans="1:16" s="131" customFormat="1" ht="14" outlineLevel="1" x14ac:dyDescent="0.2">
      <c r="A152" s="269" t="s">
        <v>170</v>
      </c>
      <c r="B152" s="269"/>
      <c r="C152" s="270">
        <f>IF(ISERROR(GETPIVOTDATA("Somma di DARE",'Pivot Fineco Sa'!$A$3,"Mese",1,"Tipologia",$A152,"Viaggio",$A$144)),0,GETPIVOTDATA("Somma di DARE",'Pivot Fineco Sa'!$A$3,"Mese",1,"Tipologia",$A152,"Viaggio",$A$144))
+IF(ISERROR(GETPIVOTDATA("Somma di DARE",'Pivot Fineco St'!$A$3,"Mese",1,"Tipologia",$A152,"Viaggio",$A$144)),0,GETPIVOTDATA("Somma di DARE",'Pivot Fineco St'!$A$3,"Mese",1,"Tipologia",$A152,"Viaggio",$A$144))
+IF(Contanti!$E46='Conto Economico'!$A$144,Contanti!$B46)
+IF(ISERROR(GETPIVOTDATA("Somma di DARE",'Pivot BBVA'!$A$3,"Mese",1,"Tipologia",$A152,"Viaggio",$A$144)),0,GETPIVOTDATA("Somma di DARE",'Pivot BBVA'!$A$3,"Mese",1,"Tipologia",$A152,"Viaggio",$A$144))
+IF(ISERROR(GETPIVOTDATA("Somma di DARE",'Pivot Amex'!$A$3,"Mese",1,"Tipologia",$A152,"Viaggio",$A$144)),0,GETPIVOTDATA("Somma di DARE",'Pivot Amex'!$A$3,"Mese",1,"Tipologia",$A152,"Viaggio",$A$144))
-IF(ISERROR(GETPIVOTDATA("Somma di AVERE",'Pivot Amex'!$A$3,"Mese",1,"Tipologia",$A152,"Viaggio",$A$144)),0,GETPIVOTDATA("Somma di AVERE",'Pivot Amex'!$A$3,"Mese",1,"Tipologia",$A152,"Viaggio",$A$144))
-IF(ISERROR(GETPIVOTDATA("Somma di AVERE",'Pivot BBVA'!$A$3,"Mese",1,"Tipologia",$A152,"Viaggio",$A$144)),0,GETPIVOTDATA("Somma di AVERE",'Pivot BBVA'!$A$3,"Mese",1,"Tipologia",$A152,"Viaggio",$A$144))
-IF(ISERROR(GETPIVOTDATA("Somma di AVERE",'Pivot Fineco St'!$A$3,"Mese",1,"Tipologia",$A152,"Viaggio",$A$144)),0,GETPIVOTDATA("Somma di AVERE",'Pivot Fineco St'!$A$3,"Mese",1,"Tipologia",$A152,"Viaggio",$A$144))
-IF(ISERROR(GETPIVOTDATA("Somma di AVERE",'Pivot Fineco Sa'!$A$3,"Mese",1,"Tipologia",$A152,"Viaggio",$A$144)),0,GETPIVOTDATA("Somma di AVERE",'Pivot Fineco Sa'!$A$3,"Mese",1,"Tipologia",$A152,"Viaggio",$A$144))
+IF(ISERROR(GETPIVOTDATA("Somma di DARE",'Pivot PP Visa'!$A$3,"Mese",1,"Tipologia",$A152,"Viaggio",$A$144)),0,GETPIVOTDATA("Somma di DARE",'Pivot PP Visa'!$A$3,"Mese",1,"Tipologia",$A152,"Viaggio",$A$144))
-IF(ISERROR(GETPIVOTDATA("Somma di AVERE",'Pivot PP Visa'!$A$3,"Mese",1,"Tipologia",$A152,"Viaggio",$A$144)),0,GETPIVOTDATA("Somma di AVERE",'Pivot PP Visa'!$A$3,"Mese",1,"Tipologia",$A152,"Viaggio",$A$144))
+IF(ISERROR(GETPIVOTDATA("Somma di DARE",'Pivot Revolut'!$A$3,"Mese",1,"Tipologia",$A152,"Viaggio",$A$144)),0,GETPIVOTDATA("Somma di DARE",'Pivot Revolut'!$A$3,"Mese",1,"Tipologia",$A152,"Viaggio",$A$144))
-IF(ISERROR(GETPIVOTDATA("Somma di AVERE",'Pivot Revolut'!$A$3,"Mese",1,"Tipologia",$A152,"Viaggio",$A$144)),0,GETPIVOTDATA("Somma di AVERE",'Pivot Revolut'!$A$3,"Mese",1,"Tipologia",$A152,"Viaggio",$A$144))
+IF(ISERROR(GETPIVOTDATA("Somma di DARE",'Pivot RakBank EUR'!$A$3,"Mese",1,"Tipologia",$A152,"Viaggio",$A$144)),0,GETPIVOTDATA("Somma di DARE",'Pivot RakBank EUR'!$A$3,"Mese",1,"Tipologia",$A152,"Viaggio",$A$144))
-IF(ISERROR(GETPIVOTDATA("Somma di AVERE",'Pivot RakBank EUR'!$A$3,"Mese",1,"Tipologia",$A152,"Viaggio",$A$144)),0,GETPIVOTDATA("Somma di AVERE",'Pivot RakBank EUR'!$A$3,"Mese",1,"Tipologia",$A152,"Viaggio",$A$144))
+IF(ISERROR(GETPIVOTDATA("Somma di DARE EUR",'Pivot RakBank AED'!$A$3,"Mese",1,"Tipologia",$A152,"Viaggio",$A$144)),0,GETPIVOTDATA("Somma di DARE EUR",'Pivot RakBank AED'!$A$3,"Mese",1,"Tipologia",$A152,"Viaggio",$A$144))
-IF(ISERROR(GETPIVOTDATA("Somma di AVERE EUR",'Pivot RakBank AED'!$A$3,"Mese",1,"Tipologia",$A152,"Viaggio",$A$144)),0,GETPIVOTDATA("Somma di AVERE EUR",'Pivot RakBank AED'!$A$3,"Mese",1,"Tipologia",$A152,"Viaggio",$A$144))</f>
        <v>0</v>
      </c>
      <c r="D152" s="270">
        <f>IF(ISERROR(GETPIVOTDATA("Somma di DARE",'Pivot Fineco Sa'!$A$3,"Mese",2,"Tipologia",$A152,"Viaggio",$A$144)),0,GETPIVOTDATA("Somma di DARE",'Pivot Fineco Sa'!$A$3,"Mese",2,"Tipologia",$A152,"Viaggio",$A$144))
+IF(ISERROR(GETPIVOTDATA("Somma di DARE",'Pivot Fineco St'!$A$3,"Mese",2,"Tipologia",$A152,"Viaggio",$A$144)),0,GETPIVOTDATA("Somma di DARE",'Pivot Fineco St'!$A$3,"Mese",2,"Tipologia",$A152,"Viaggio",$A$144))
+IF(Contanti!$I46='Conto Economico'!$A$144,Contanti!$F46)
+IF(ISERROR(GETPIVOTDATA("Somma di DARE",'Pivot BBVA'!$A$3,"Mese",2,"Tipologia",$A152,"Viaggio",$A$144)),0,GETPIVOTDATA("Somma di DARE",'Pivot BBVA'!$A$3,"Mese",2,"Tipologia",$A152,"Viaggio",$A$144))
+IF(ISERROR(GETPIVOTDATA("Somma di DARE",'Pivot Amex'!$A$3,"Mese",2,"Tipologia",$A152,"Viaggio",$A$144)),0,GETPIVOTDATA("Somma di DARE",'Pivot Amex'!$A$3,"Mese",2,"Tipologia",$A152,"Viaggio",$A$144))
-IF(ISERROR(GETPIVOTDATA("Somma di AVERE",'Pivot Amex'!$A$3,"Mese",2,"Tipologia",$A152,"Viaggio",$A$144)),0,GETPIVOTDATA("Somma di AVERE",'Pivot Amex'!$A$3,"Mese",2,"Tipologia",$A152,"Viaggio",$A$144))
-IF(ISERROR(GETPIVOTDATA("Somma di AVERE",'Pivot BBVA'!$A$3,"Mese",2,"Tipologia",$A152,"Viaggio",$A$144)),0,GETPIVOTDATA("Somma di AVERE",'Pivot BBVA'!$A$3,"Mese",2,"Tipologia",$A152,"Viaggio",$A$144))
-IF(ISERROR(GETPIVOTDATA("Somma di AVERE",'Pivot Fineco St'!$A$3,"Mese",2,"Tipologia",$A152,"Viaggio",$A$144)),0,GETPIVOTDATA("Somma di AVERE",'Pivot Fineco St'!$A$3,"Mese",2,"Tipologia",$A152,"Viaggio",$A$144))
-IF(ISERROR(GETPIVOTDATA("Somma di AVERE",'Pivot Fineco Sa'!$A$3,"Mese",2,"Tipologia",$A152,"Viaggio",$A$144)),0,GETPIVOTDATA("Somma di AVERE",'Pivot Fineco Sa'!$A$3,"Mese",2,"Tipologia",$A152,"Viaggio",$A$144))
+IF(ISERROR(GETPIVOTDATA("Somma di DARE",'Pivot PP Visa'!$A$3,"Mese",2,"Tipologia",$A152,"Viaggio",$A$144)),0,GETPIVOTDATA("Somma di DARE",'Pivot PP Visa'!$A$3,"Mese",2,"Tipologia",$A152,"Viaggio",$A$144))
-IF(ISERROR(GETPIVOTDATA("Somma di AVERE",'Pivot PP Visa'!$A$3,"Mese",2,"Tipologia",$A152,"Viaggio",$A$144)),0,GETPIVOTDATA("Somma di AVERE",'Pivot PP Visa'!$A$3,"Mese",2,"Tipologia",$A152,"Viaggio",$A$144))
+IF(ISERROR(GETPIVOTDATA("Somma di DARE",'Pivot Revolut'!$A$3,"Mese",2,"Tipologia",$A152,"Viaggio",$A$144)),0,GETPIVOTDATA("Somma di DARE",'Pivot Revolut'!$A$3,"Mese",2,"Tipologia",$A152,"Viaggio",$A$144))
-IF(ISERROR(GETPIVOTDATA("Somma di AVERE",'Pivot Revolut'!$A$3,"Mese",2,"Tipologia",$A152,"Viaggio",$A$144)),0,GETPIVOTDATA("Somma di AVERE",'Pivot Revolut'!$A$3,"Mese",2,"Tipologia",$A152,"Viaggio",$A$144))
+IF(ISERROR(GETPIVOTDATA("Somma di DARE",'Pivot RakBank EUR'!$A$3,"Mese",2,"Tipologia",$A152,"Viaggio",$A$144)),0,GETPIVOTDATA("Somma di DARE",'Pivot RakBank EUR'!$A$3,"Mese",2,"Tipologia",$A152,"Viaggio",$A$144))
-IF(ISERROR(GETPIVOTDATA("Somma di AVERE",'Pivot RakBank EUR'!$A$3,"Mese",2,"Tipologia",$A152,"Viaggio",$A$144)),0,GETPIVOTDATA("Somma di AVERE",'Pivot RakBank EUR'!$A$3,"Mese",2,"Tipologia",$A152,"Viaggio",$A$144))
+IF(ISERROR(GETPIVOTDATA("Somma di DARE EUR",'Pivot RakBank AED'!$A$3,"Mese",2,"Tipologia",$A152,"Viaggio",$A$144)),0,GETPIVOTDATA("Somma di DARE EUR",'Pivot RakBank AED'!$A$3,"Mese",2,"Tipologia",$A152,"Viaggio",$A$144))
-IF(ISERROR(GETPIVOTDATA("Somma di AVERE EUR",'Pivot RakBank AED'!$A$3,"Mese",2,"Tipologia",$A152,"Viaggio",$A$144)),0,GETPIVOTDATA("Somma di AVERE EUR",'Pivot RakBank AED'!$A$3,"Mese",2,"Tipologia",$A152,"Viaggio",$A$144))</f>
        <v>0</v>
      </c>
      <c r="E152" s="270">
        <f>IF(ISERROR(GETPIVOTDATA("Somma di DARE",'Pivot Fineco Sa'!$A$3,"Mese",3,"Tipologia",$A152,"Viaggio",$A$144)),0,GETPIVOTDATA("Somma di DARE",'Pivot Fineco Sa'!$A$3,"Mese",3,"Tipologia",$A152,"Viaggio",$A$144))
+IF(ISERROR(GETPIVOTDATA("Somma di DARE",'Pivot Fineco St'!$A$3,"Mese",3,"Tipologia",$A152,"Viaggio",$A$144)),0,GETPIVOTDATA("Somma di DARE",'Pivot Fineco St'!$A$3,"Mese",3,"Tipologia",$A152,"Viaggio",$A$144))
+IF(Contanti!$M46='Conto Economico'!$A$144,Contanti!$J46)
+IF(ISERROR(GETPIVOTDATA("Somma di DARE",'Pivot BBVA'!$A$3,"Mese",3,"Tipologia",$A152,"Viaggio",$A$144)),0,GETPIVOTDATA("Somma di DARE",'Pivot BBVA'!$A$3,"Mese",3,"Tipologia",$A152,"Viaggio",$A$144))
+IF(ISERROR(GETPIVOTDATA("Somma di DARE",'Pivot Amex'!$A$3,"Mese",3,"Tipologia",$A152,"Viaggio",$A$144)),0,GETPIVOTDATA("Somma di DARE",'Pivot Amex'!$A$3,"Mese",3,"Tipologia",$A152,"Viaggio",$A$144))
-IF(ISERROR(GETPIVOTDATA("Somma di AVERE",'Pivot Amex'!$A$3,"Mese",3,"Tipologia",$A152,"Viaggio",$A$144)),0,GETPIVOTDATA("Somma di AVERE",'Pivot Amex'!$A$3,"Mese",3,"Tipologia",$A152,"Viaggio",$A$144))
-IF(ISERROR(GETPIVOTDATA("Somma di AVERE",'Pivot BBVA'!$A$3,"Mese",3,"Tipologia",$A152,"Viaggio",$A$144)),0,GETPIVOTDATA("Somma di AVERE",'Pivot BBVA'!$A$3,"Mese",3,"Tipologia",$A152,"Viaggio",$A$144))
-IF(ISERROR(GETPIVOTDATA("Somma di AVERE",'Pivot Fineco St'!$A$3,"Mese",3,"Tipologia",$A152,"Viaggio",$A$144)),0,GETPIVOTDATA("Somma di AVERE",'Pivot Fineco St'!$A$3,"Mese",3,"Tipologia",$A152,"Viaggio",$A$144))
-IF(ISERROR(GETPIVOTDATA("Somma di AVERE",'Pivot Fineco Sa'!$A$3,"Mese",3,"Tipologia",$A152,"Viaggio",$A$144)),0,GETPIVOTDATA("Somma di AVERE",'Pivot Fineco Sa'!$A$3,"Mese",3,"Tipologia",$A152,"Viaggio",$A$144))
+IF(ISERROR(GETPIVOTDATA("Somma di DARE",'Pivot PP Visa'!$A$3,"Mese",3,"Tipologia",$A152,"Viaggio",$A$144)),0,GETPIVOTDATA("Somma di DARE",'Pivot PP Visa'!$A$3,"Mese",3,"Tipologia",$A152,"Viaggio",$A$144))
-IF(ISERROR(GETPIVOTDATA("Somma di AVERE",'Pivot PP Visa'!$A$3,"Mese",3,"Tipologia",$A152,"Viaggio",$A$144)),0,GETPIVOTDATA("Somma di AVERE",'Pivot PP Visa'!$A$3,"Mese",3,"Tipologia",$A152,"Viaggio",$A$144))
+IF(ISERROR(GETPIVOTDATA("Somma di DARE",'Pivot Revolut'!$A$3,"Mese",3,"Tipologia",$A152,"Viaggio",$A$144)),0,GETPIVOTDATA("Somma di DARE",'Pivot Revolut'!$A$3,"Mese",3,"Tipologia",$A152,"Viaggio",$A$144))
-IF(ISERROR(GETPIVOTDATA("Somma di AVERE",'Pivot Revolut'!$A$3,"Mese",3,"Tipologia",$A152,"Viaggio",$A$144)),0,GETPIVOTDATA("Somma di AVERE",'Pivot Revolut'!$A$3,"Mese",3,"Tipologia",$A152,"Viaggio",$A$144))
+IF(ISERROR(GETPIVOTDATA("Somma di DARE",'Pivot RakBank EUR'!$A$3,"Mese",3,"Tipologia",$A152,"Viaggio",$A$144)),0,GETPIVOTDATA("Somma di DARE",'Pivot RakBank EUR'!$A$3,"Mese",3,"Tipologia",$A152,"Viaggio",$A$144))
-IF(ISERROR(GETPIVOTDATA("Somma di AVERE",'Pivot RakBank EUR'!$A$3,"Mese",3,"Tipologia",$A152,"Viaggio",$A$144)),0,GETPIVOTDATA("Somma di AVERE",'Pivot RakBank EUR'!$A$3,"Mese",3,"Tipologia",$A152,"Viaggio",$A$144))
+IF(ISERROR(GETPIVOTDATA("Somma di DARE EUR",'Pivot RakBank AED'!$A$3,"Mese",3,"Tipologia",$A152,"Viaggio",$A$144)),0,GETPIVOTDATA("Somma di DARE EUR",'Pivot RakBank AED'!$A$3,"Mese",3,"Tipologia",$A152,"Viaggio",$A$144))
-IF(ISERROR(GETPIVOTDATA("Somma di AVERE EUR",'Pivot RakBank AED'!$A$3,"Mese",3,"Tipologia",$A152,"Viaggio",$A$144)),0,GETPIVOTDATA("Somma di AVERE EUR",'Pivot RakBank AED'!$A$3,"Mese",3,"Tipologia",$A152,"Viaggio",$A$144))</f>
        <v>0</v>
      </c>
      <c r="F152" s="270">
        <f>IF(ISERROR(GETPIVOTDATA("Somma di DARE",'Pivot Fineco Sa'!$A$3,"Mese",4,"Tipologia",$A152,"Viaggio",$A$144)),0,GETPIVOTDATA("Somma di DARE",'Pivot Fineco Sa'!$A$3,"Mese",4,"Tipologia",$A152,"Viaggio",$A$144))
+IF(ISERROR(GETPIVOTDATA("Somma di DARE",'Pivot Fineco St'!$A$3,"Mese",4,"Tipologia",$A152,"Viaggio",$A$144)),0,GETPIVOTDATA("Somma di DARE",'Pivot Fineco St'!$A$3,"Mese",4,"Tipologia",$A152,"Viaggio",$A$144))
+IF(Contanti!$Q46='Conto Economico'!$A$144,Contanti!$N46)
+IF(ISERROR(GETPIVOTDATA("Somma di DARE",'Pivot BBVA'!$A$3,"Mese",4,"Tipologia",$A152,"Viaggio",$A$144)),0,GETPIVOTDATA("Somma di DARE",'Pivot BBVA'!$A$3,"Mese",4,"Tipologia",$A152,"Viaggio",$A$144))
+IF(ISERROR(GETPIVOTDATA("Somma di DARE",'Pivot Amex'!$A$3,"Mese",4,"Tipologia",$A152,"Viaggio",$A$144)),0,GETPIVOTDATA("Somma di DARE",'Pivot Amex'!$A$3,"Mese",4,"Tipologia",$A152,"Viaggio",$A$144))
-IF(ISERROR(GETPIVOTDATA("Somma di AVERE",'Pivot Amex'!$A$3,"Mese",4,"Tipologia",$A152,"Viaggio",$A$144)),0,GETPIVOTDATA("Somma di AVERE",'Pivot Amex'!$A$3,"Mese",4,"Tipologia",$A152,"Viaggio",$A$144))
-IF(ISERROR(GETPIVOTDATA("Somma di AVERE",'Pivot BBVA'!$A$3,"Mese",4,"Tipologia",$A152,"Viaggio",$A$144)),0,GETPIVOTDATA("Somma di AVERE",'Pivot BBVA'!$A$3,"Mese",4,"Tipologia",$A152,"Viaggio",$A$144))
-IF(ISERROR(GETPIVOTDATA("Somma di AVERE",'Pivot Fineco St'!$A$3,"Mese",4,"Tipologia",$A152,"Viaggio",$A$144)),0,GETPIVOTDATA("Somma di AVERE",'Pivot Fineco St'!$A$3,"Mese",4,"Tipologia",$A152,"Viaggio",$A$144))
-IF(ISERROR(GETPIVOTDATA("Somma di AVERE",'Pivot Fineco Sa'!$A$3,"Mese",4,"Tipologia",$A152,"Viaggio",$A$144)),0,GETPIVOTDATA("Somma di AVERE",'Pivot Fineco Sa'!$A$3,"Mese",4,"Tipologia",$A152,"Viaggio",$A$144))
+IF(ISERROR(GETPIVOTDATA("Somma di DARE",'Pivot PP Visa'!$A$3,"Mese",4,"Tipologia",$A152,"Viaggio",$A$144)),0,GETPIVOTDATA("Somma di DARE",'Pivot PP Visa'!$A$3,"Mese",4,"Tipologia",$A152,"Viaggio",$A$144))
-IF(ISERROR(GETPIVOTDATA("Somma di AVERE",'Pivot PP Visa'!$A$3,"Mese",4,"Tipologia",$A152,"Viaggio",$A$144)),0,GETPIVOTDATA("Somma di AVERE",'Pivot PP Visa'!$A$3,"Mese",4,"Tipologia",$A152,"Viaggio",$A$144))
+IF(ISERROR(GETPIVOTDATA("Somma di DARE",'Pivot Revolut'!$A$3,"Mese",4,"Tipologia",$A152,"Viaggio",$A$144)),0,GETPIVOTDATA("Somma di DARE",'Pivot Revolut'!$A$3,"Mese",4,"Tipologia",$A152,"Viaggio",$A$144))
-IF(ISERROR(GETPIVOTDATA("Somma di AVERE",'Pivot Revolut'!$A$3,"Mese",4,"Tipologia",$A152,"Viaggio",$A$144)),0,GETPIVOTDATA("Somma di AVERE",'Pivot Revolut'!$A$3,"Mese",4,"Tipologia",$A152,"Viaggio",$A$144))
+IF(ISERROR(GETPIVOTDATA("Somma di DARE",'Pivot RakBank EUR'!$A$3,"Mese",4,"Tipologia",$A152,"Viaggio",$A$144)),0,GETPIVOTDATA("Somma di DARE",'Pivot RakBank EUR'!$A$3,"Mese",4,"Tipologia",$A152,"Viaggio",$A$144))
-IF(ISERROR(GETPIVOTDATA("Somma di AVERE",'Pivot RakBank EUR'!$A$3,"Mese",4,"Tipologia",$A152,"Viaggio",$A$144)),0,GETPIVOTDATA("Somma di AVERE",'Pivot RakBank EUR'!$A$3,"Mese",4,"Tipologia",$A152,"Viaggio",$A$144))
+IF(ISERROR(GETPIVOTDATA("Somma di DARE EUR",'Pivot RakBank AED'!$A$3,"Mese",4,"Tipologia",$A152,"Viaggio",$A$144)),0,GETPIVOTDATA("Somma di DARE EUR",'Pivot RakBank AED'!$A$3,"Mese",4,"Tipologia",$A152,"Viaggio",$A$144))
-IF(ISERROR(GETPIVOTDATA("Somma di AVERE EUR",'Pivot RakBank AED'!$A$3,"Mese",4,"Tipologia",$A152,"Viaggio",$A$144)),0,GETPIVOTDATA("Somma di AVERE EUR",'Pivot RakBank AED'!$A$3,"Mese",4,"Tipologia",$A152,"Viaggio",$A$144))</f>
        <v>0</v>
      </c>
      <c r="G152" s="270">
        <f>IF(ISERROR(GETPIVOTDATA("Somma di DARE",'Pivot Fineco Sa'!$A$3,"Mese",5,"Tipologia",$A152,"Viaggio",$A$144)),0,GETPIVOTDATA("Somma di DARE",'Pivot Fineco Sa'!$A$3,"Mese",5,"Tipologia",$A152,"Viaggio",$A$144))
+IF(ISERROR(GETPIVOTDATA("Somma di DARE",'Pivot Fineco St'!$A$3,"Mese",5,"Tipologia",$A152,"Viaggio",$A$144)),0,GETPIVOTDATA("Somma di DARE",'Pivot Fineco St'!$A$3,"Mese",5,"Tipologia",$A152,"Viaggio",$A$144))
+IF(Contanti!$U46='Conto Economico'!$A$144,Contanti!$R46)
+IF(ISERROR(GETPIVOTDATA("Somma di DARE",'Pivot BBVA'!$A$3,"Mese",5,"Tipologia",$A152,"Viaggio",$A$144)),0,GETPIVOTDATA("Somma di DARE",'Pivot BBVA'!$A$3,"Mese",5,"Tipologia",$A152,"Viaggio",$A$144))
+IF(ISERROR(GETPIVOTDATA("Somma di DARE",'Pivot Amex'!$A$3,"Mese",5,"Tipologia",$A152,"Viaggio",$A$144)),0,GETPIVOTDATA("Somma di DARE",'Pivot Amex'!$A$3,"Mese",5,"Tipologia",$A152,"Viaggio",$A$144))
-IF(ISERROR(GETPIVOTDATA("Somma di AVERE",'Pivot Amex'!$A$3,"Mese",5,"Tipologia",$A152,"Viaggio",$A$144)),0,GETPIVOTDATA("Somma di AVERE",'Pivot Amex'!$A$3,"Mese",5,"Tipologia",$A152,"Viaggio",$A$144))
-IF(ISERROR(GETPIVOTDATA("Somma di AVERE",'Pivot BBVA'!$A$3,"Mese",5,"Tipologia",$A152,"Viaggio",$A$144)),0,GETPIVOTDATA("Somma di AVERE",'Pivot BBVA'!$A$3,"Mese",5,"Tipologia",$A152,"Viaggio",$A$144))
-IF(ISERROR(GETPIVOTDATA("Somma di AVERE",'Pivot Fineco St'!$A$3,"Mese",5,"Tipologia",$A152,"Viaggio",$A$144)),0,GETPIVOTDATA("Somma di AVERE",'Pivot Fineco St'!$A$3,"Mese",5,"Tipologia",$A152,"Viaggio",$A$144))
-IF(ISERROR(GETPIVOTDATA("Somma di AVERE",'Pivot Fineco Sa'!$A$3,"Mese",5,"Tipologia",$A152,"Viaggio",$A$144)),0,GETPIVOTDATA("Somma di AVERE",'Pivot Fineco Sa'!$A$3,"Mese",5,"Tipologia",$A152,"Viaggio",$A$144))
+IF(ISERROR(GETPIVOTDATA("Somma di DARE",'Pivot PP Visa'!$A$3,"Mese",5,"Tipologia",$A152,"Viaggio",$A$144)),0,GETPIVOTDATA("Somma di DARE",'Pivot PP Visa'!$A$3,"Mese",5,"Tipologia",$A152,"Viaggio",$A$144))
-IF(ISERROR(GETPIVOTDATA("Somma di AVERE",'Pivot PP Visa'!$A$3,"Mese",5,"Tipologia",$A152,"Viaggio",$A$144)),0,GETPIVOTDATA("Somma di AVERE",'Pivot PP Visa'!$A$3,"Mese",5,"Tipologia",$A152,"Viaggio",$A$144))
+IF(ISERROR(GETPIVOTDATA("Somma di DARE",'Pivot Revolut'!$A$3,"Mese",5,"Tipologia",$A152,"Viaggio",$A$144)),0,GETPIVOTDATA("Somma di DARE",'Pivot Revolut'!$A$3,"Mese",5,"Tipologia",$A152,"Viaggio",$A$144))
-IF(ISERROR(GETPIVOTDATA("Somma di AVERE",'Pivot Revolut'!$A$3,"Mese",5,"Tipologia",$A152,"Viaggio",$A$144)),0,GETPIVOTDATA("Somma di AVERE",'Pivot Revolut'!$A$3,"Mese",5,"Tipologia",$A152,"Viaggio",$A$144))
+IF(ISERROR(GETPIVOTDATA("Somma di DARE",'Pivot RakBank EUR'!$A$3,"Mese",5,"Tipologia",$A152,"Viaggio",$A$144)),0,GETPIVOTDATA("Somma di DARE",'Pivot RakBank EUR'!$A$3,"Mese",5,"Tipologia",$A152,"Viaggio",$A$144))
-IF(ISERROR(GETPIVOTDATA("Somma di AVERE",'Pivot RakBank EUR'!$A$3,"Mese",5,"Tipologia",$A152,"Viaggio",$A$144)),0,GETPIVOTDATA("Somma di AVERE",'Pivot RakBank EUR'!$A$3,"Mese",5,"Tipologia",$A152,"Viaggio",$A$144))
+IF(ISERROR(GETPIVOTDATA("Somma di DARE EUR",'Pivot RakBank AED'!$A$3,"Mese",5,"Tipologia",$A152,"Viaggio",$A$144)),0,GETPIVOTDATA("Somma di DARE EUR",'Pivot RakBank AED'!$A$3,"Mese",5,"Tipologia",$A152,"Viaggio",$A$144))
-IF(ISERROR(GETPIVOTDATA("Somma di AVERE EUR",'Pivot RakBank AED'!$A$3,"Mese",5,"Tipologia",$A152,"Viaggio",$A$144)),0,GETPIVOTDATA("Somma di AVERE EUR",'Pivot RakBank AED'!$A$3,"Mese",5,"Tipologia",$A152,"Viaggio",$A$144))</f>
        <v>0</v>
      </c>
      <c r="H152" s="270">
        <f>IF(ISERROR(GETPIVOTDATA("Somma di DARE",'Pivot Fineco Sa'!$A$3,"Mese",6,"Tipologia",$A152,"Viaggio",$A$144)),0,GETPIVOTDATA("Somma di DARE",'Pivot Fineco Sa'!$A$3,"Mese",6,"Tipologia",$A152,"Viaggio",$A$144))
+IF(ISERROR(GETPIVOTDATA("Somma di DARE",'Pivot Fineco St'!$A$3,"Mese",6,"Tipologia",$A152,"Viaggio",$A$144)),0,GETPIVOTDATA("Somma di DARE",'Pivot Fineco St'!$A$3,"Mese",6,"Tipologia",$A152,"Viaggio",$A$144))
+IF(Contanti!$Y46='Conto Economico'!$A$144,Contanti!$V46)
+IF(ISERROR(GETPIVOTDATA("Somma di DARE",'Pivot BBVA'!$A$3,"Mese",6,"Tipologia",$A152,"Viaggio",$A$144)),0,GETPIVOTDATA("Somma di DARE",'Pivot BBVA'!$A$3,"Mese",6,"Tipologia",$A152,"Viaggio",$A$144))
+IF(ISERROR(GETPIVOTDATA("Somma di DARE",'Pivot Amex'!$A$3,"Mese",6,"Tipologia",$A152,"Viaggio",$A$144)),0,GETPIVOTDATA("Somma di DARE",'Pivot Amex'!$A$3,"Mese",6,"Tipologia",$A152,"Viaggio",$A$144))
-IF(ISERROR(GETPIVOTDATA("Somma di AVERE",'Pivot Amex'!$A$3,"Mese",6,"Tipologia",$A152,"Viaggio",$A$144)),0,GETPIVOTDATA("Somma di AVERE",'Pivot Amex'!$A$3,"Mese",6,"Tipologia",$A152,"Viaggio",$A$144))
-IF(ISERROR(GETPIVOTDATA("Somma di AVERE",'Pivot BBVA'!$A$3,"Mese",6,"Tipologia",$A152,"Viaggio",$A$144)),0,GETPIVOTDATA("Somma di AVERE",'Pivot BBVA'!$A$3,"Mese",6,"Tipologia",$A152,"Viaggio",$A$144))
-IF(ISERROR(GETPIVOTDATA("Somma di AVERE",'Pivot Fineco St'!$A$3,"Mese",6,"Tipologia",$A152,"Viaggio",$A$144)),0,GETPIVOTDATA("Somma di AVERE",'Pivot Fineco St'!$A$3,"Mese",6,"Tipologia",$A152,"Viaggio",$A$144))
-IF(ISERROR(GETPIVOTDATA("Somma di AVERE",'Pivot Fineco Sa'!$A$3,"Mese",6,"Tipologia",$A152,"Viaggio",$A$144)),0,GETPIVOTDATA("Somma di AVERE",'Pivot Fineco Sa'!$A$3,"Mese",6,"Tipologia",$A152,"Viaggio",$A$144))
+IF(ISERROR(GETPIVOTDATA("Somma di DARE",'Pivot PP Visa'!$A$3,"Mese",6,"Tipologia",$A152,"Viaggio",$A$144)),0,GETPIVOTDATA("Somma di DARE",'Pivot PP Visa'!$A$3,"Mese",6,"Tipologia",$A152,"Viaggio",$A$144))
-IF(ISERROR(GETPIVOTDATA("Somma di AVERE",'Pivot PP Visa'!$A$3,"Mese",6,"Tipologia",$A152,"Viaggio",$A$144)),0,GETPIVOTDATA("Somma di AVERE",'Pivot PP Visa'!$A$3,"Mese",6,"Tipologia",$A152,"Viaggio",$A$144))
+IF(ISERROR(GETPIVOTDATA("Somma di DARE",'Pivot Revolut'!$A$3,"Mese",6,"Tipologia",$A152,"Viaggio",$A$144)),0,GETPIVOTDATA("Somma di DARE",'Pivot Revolut'!$A$3,"Mese",6,"Tipologia",$A152,"Viaggio",$A$144))
-IF(ISERROR(GETPIVOTDATA("Somma di AVERE",'Pivot Revolut'!$A$3,"Mese",6,"Tipologia",$A152,"Viaggio",$A$144)),0,GETPIVOTDATA("Somma di AVERE",'Pivot Revolut'!$A$3,"Mese",6,"Tipologia",$A152,"Viaggio",$A$144))
+IF(ISERROR(GETPIVOTDATA("Somma di DARE",'Pivot RakBank EUR'!$A$3,"Mese",6,"Tipologia",$A152,"Viaggio",$A$144)),0,GETPIVOTDATA("Somma di DARE",'Pivot RakBank EUR'!$A$3,"Mese",6,"Tipologia",$A152,"Viaggio",$A$144))
-IF(ISERROR(GETPIVOTDATA("Somma di AVERE",'Pivot RakBank EUR'!$A$3,"Mese",6,"Tipologia",$A152,"Viaggio",$A$144)),0,GETPIVOTDATA("Somma di AVERE",'Pivot RakBank EUR'!$A$3,"Mese",6,"Tipologia",$A152,"Viaggio",$A$144))
+IF(ISERROR(GETPIVOTDATA("Somma di DARE EUR",'Pivot RakBank AED'!$A$3,"Mese",6,"Tipologia",$A152,"Viaggio",$A$144)),0,GETPIVOTDATA("Somma di DARE EUR",'Pivot RakBank AED'!$A$3,"Mese",6,"Tipologia",$A152,"Viaggio",$A$144))
-IF(ISERROR(GETPIVOTDATA("Somma di AVERE EUR",'Pivot RakBank AED'!$A$3,"Mese",6,"Tipologia",$A152,"Viaggio",$A$144)),0,GETPIVOTDATA("Somma di AVERE EUR",'Pivot RakBank AED'!$A$3,"Mese",6,"Tipologia",$A152,"Viaggio",$A$144))</f>
        <v>0</v>
      </c>
      <c r="I152" s="270">
        <f>IF(ISERROR(GETPIVOTDATA("Somma di DARE",'Pivot Fineco Sa'!$A$3,"Mese",7,"Tipologia",$A152,"Viaggio",$A$144)),0,GETPIVOTDATA("Somma di DARE",'Pivot Fineco Sa'!$A$3,"Mese",7,"Tipologia",$A152,"Viaggio",$A$144))
+IF(ISERROR(GETPIVOTDATA("Somma di DARE",'Pivot Fineco St'!$A$3,"Mese",7,"Tipologia",$A152,"Viaggio",$A$144)),0,GETPIVOTDATA("Somma di DARE",'Pivot Fineco St'!$A$3,"Mese",7,"Tipologia",$A152,"Viaggio",$A$144))
+IF(Contanti!$AC46='Conto Economico'!$A$144,Contanti!$Z46)
+IF(ISERROR(GETPIVOTDATA("Somma di DARE",'Pivot BBVA'!$A$3,"Mese",7,"Tipologia",$A152,"Viaggio",$A$144)),0,GETPIVOTDATA("Somma di DARE",'Pivot BBVA'!$A$3,"Mese",7,"Tipologia",$A152,"Viaggio",$A$144))
+IF(ISERROR(GETPIVOTDATA("Somma di DARE",'Pivot Amex'!$A$3,"Mese",7,"Tipologia",$A152,"Viaggio",$A$144)),0,GETPIVOTDATA("Somma di DARE",'Pivot Amex'!$A$3,"Mese",7,"Tipologia",$A152,"Viaggio",$A$144))
-IF(ISERROR(GETPIVOTDATA("Somma di AVERE",'Pivot Amex'!$A$3,"Mese",7,"Tipologia",$A152,"Viaggio",$A$144)),0,GETPIVOTDATA("Somma di AVERE",'Pivot Amex'!$A$3,"Mese",7,"Tipologia",$A152,"Viaggio",$A$144))
-IF(ISERROR(GETPIVOTDATA("Somma di AVERE",'Pivot BBVA'!$A$3,"Mese",7,"Tipologia",$A152,"Viaggio",$A$144)),0,GETPIVOTDATA("Somma di AVERE",'Pivot BBVA'!$A$3,"Mese",7,"Tipologia",$A152,"Viaggio",$A$144))
-IF(ISERROR(GETPIVOTDATA("Somma di AVERE",'Pivot Fineco St'!$A$3,"Mese",7,"Tipologia",$A152,"Viaggio",$A$144)),0,GETPIVOTDATA("Somma di AVERE",'Pivot Fineco St'!$A$3,"Mese",7,"Tipologia",$A152,"Viaggio",$A$144))
-IF(ISERROR(GETPIVOTDATA("Somma di AVERE",'Pivot Fineco Sa'!$A$3,"Mese",7,"Tipologia",$A152,"Viaggio",$A$144)),0,GETPIVOTDATA("Somma di AVERE",'Pivot Fineco Sa'!$A$3,"Mese",7,"Tipologia",$A152,"Viaggio",$A$144))
+IF(ISERROR(GETPIVOTDATA("Somma di DARE",'Pivot PP Visa'!$A$3,"Mese",7,"Tipologia",$A152,"Viaggio",$A$144)),0,GETPIVOTDATA("Somma di DARE",'Pivot PP Visa'!$A$3,"Mese",7,"Tipologia",$A152,"Viaggio",$A$144))
-IF(ISERROR(GETPIVOTDATA("Somma di AVERE",'Pivot PP Visa'!$A$3,"Mese",7,"Tipologia",$A152,"Viaggio",$A$144)),0,GETPIVOTDATA("Somma di AVERE",'Pivot PP Visa'!$A$3,"Mese",7,"Tipologia",$A152,"Viaggio",$A$144))
+IF(ISERROR(GETPIVOTDATA("Somma di DARE",'Pivot Revolut'!$A$3,"Mese",7,"Tipologia",$A152,"Viaggio",$A$144)),0,GETPIVOTDATA("Somma di DARE",'Pivot Revolut'!$A$3,"Mese",7,"Tipologia",$A152,"Viaggio",$A$144))
-IF(ISERROR(GETPIVOTDATA("Somma di AVERE",'Pivot Revolut'!$A$3,"Mese",7,"Tipologia",$A152,"Viaggio",$A$144)),0,GETPIVOTDATA("Somma di AVERE",'Pivot Revolut'!$A$3,"Mese",7,"Tipologia",$A152,"Viaggio",$A$144))
+IF(ISERROR(GETPIVOTDATA("Somma di DARE",'Pivot RakBank EUR'!$A$3,"Mese",7,"Tipologia",$A152,"Viaggio",$A$144)),0,GETPIVOTDATA("Somma di DARE",'Pivot RakBank EUR'!$A$3,"Mese",7,"Tipologia",$A152,"Viaggio",$A$144))
-IF(ISERROR(GETPIVOTDATA("Somma di AVERE",'Pivot RakBank EUR'!$A$3,"Mese",7,"Tipologia",$A152,"Viaggio",$A$144)),0,GETPIVOTDATA("Somma di AVERE",'Pivot RakBank EUR'!$A$3,"Mese",7,"Tipologia",$A152,"Viaggio",$A$144))
+IF(ISERROR(GETPIVOTDATA("Somma di DARE EUR",'Pivot RakBank AED'!$A$3,"Mese",7,"Tipologia",$A152,"Viaggio",$A$144)),0,GETPIVOTDATA("Somma di DARE EUR",'Pivot RakBank AED'!$A$3,"Mese",7,"Tipologia",$A152,"Viaggio",$A$144))
-IF(ISERROR(GETPIVOTDATA("Somma di AVERE EUR",'Pivot RakBank AED'!$A$3,"Mese",7,"Tipologia",$A152,"Viaggio",$A$144)),0,GETPIVOTDATA("Somma di AVERE EUR",'Pivot RakBank AED'!$A$3,"Mese",7,"Tipologia",$A152,"Viaggio",$A$144))</f>
        <v>0</v>
      </c>
      <c r="J152" s="270">
        <f>IF(ISERROR(GETPIVOTDATA("Somma di DARE",'Pivot Fineco Sa'!$A$3,"Mese",8,"Tipologia",$A152,"Viaggio",$A$144)),0,GETPIVOTDATA("Somma di DARE",'Pivot Fineco Sa'!$A$3,"Mese",8,"Tipologia",$A152,"Viaggio",$A$144))
+IF(ISERROR(GETPIVOTDATA("Somma di DARE",'Pivot Fineco St'!$A$3,"Mese",8,"Tipologia",$A152,"Viaggio",$A$144)),0,GETPIVOTDATA("Somma di DARE",'Pivot Fineco St'!$A$3,"Mese",8,"Tipologia",$A152,"Viaggio",$A$144))
+IF(Contanti!$AG46='Conto Economico'!$A$144,Contanti!$AD46)
+IF(ISERROR(GETPIVOTDATA("Somma di DARE",'Pivot BBVA'!$A$3,"Mese",8,"Tipologia",$A152,"Viaggio",$A$144)),0,GETPIVOTDATA("Somma di DARE",'Pivot BBVA'!$A$3,"Mese",8,"Tipologia",$A152,"Viaggio",$A$144))
+IF(ISERROR(GETPIVOTDATA("Somma di DARE",'Pivot Amex'!$A$3,"Mese",8,"Tipologia",$A152,"Viaggio",$A$144)),0,GETPIVOTDATA("Somma di DARE",'Pivot Amex'!$A$3,"Mese",8,"Tipologia",$A152,"Viaggio",$A$144))
-IF(ISERROR(GETPIVOTDATA("Somma di AVERE",'Pivot Amex'!$A$3,"Mese",8,"Tipologia",$A152,"Viaggio",$A$144)),0,GETPIVOTDATA("Somma di AVERE",'Pivot Amex'!$A$3,"Mese",8,"Tipologia",$A152,"Viaggio",$A$144))
-IF(ISERROR(GETPIVOTDATA("Somma di AVERE",'Pivot BBVA'!$A$3,"Mese",8,"Tipologia",$A152,"Viaggio",$A$144)),0,GETPIVOTDATA("Somma di AVERE",'Pivot BBVA'!$A$3,"Mese",8,"Tipologia",$A152,"Viaggio",$A$144))
-IF(ISERROR(GETPIVOTDATA("Somma di AVERE",'Pivot Fineco St'!$A$3,"Mese",8,"Tipologia",$A152,"Viaggio",$A$144)),0,GETPIVOTDATA("Somma di AVERE",'Pivot Fineco St'!$A$3,"Mese",8,"Tipologia",$A152,"Viaggio",$A$144))
-IF(ISERROR(GETPIVOTDATA("Somma di AVERE",'Pivot Fineco Sa'!$A$3,"Mese",8,"Tipologia",$A152,"Viaggio",$A$144)),0,GETPIVOTDATA("Somma di AVERE",'Pivot Fineco Sa'!$A$3,"Mese",8,"Tipologia",$A152,"Viaggio",$A$144))
+IF(ISERROR(GETPIVOTDATA("Somma di DARE",'Pivot PP Visa'!$A$3,"Mese",8,"Tipologia",$A152,"Viaggio",$A$144)),0,GETPIVOTDATA("Somma di DARE",'Pivot PP Visa'!$A$3,"Mese",8,"Tipologia",$A152,"Viaggio",$A$144))
-IF(ISERROR(GETPIVOTDATA("Somma di AVERE",'Pivot PP Visa'!$A$3,"Mese",8,"Tipologia",$A152,"Viaggio",$A$144)),0,GETPIVOTDATA("Somma di AVERE",'Pivot PP Visa'!$A$3,"Mese",8,"Tipologia",$A152,"Viaggio",$A$144))
+IF(ISERROR(GETPIVOTDATA("Somma di DARE",'Pivot Revolut'!$A$3,"Mese",8,"Tipologia",$A152,"Viaggio",$A$144)),0,GETPIVOTDATA("Somma di DARE",'Pivot Revolut'!$A$3,"Mese",8,"Tipologia",$A152,"Viaggio",$A$144))
-IF(ISERROR(GETPIVOTDATA("Somma di AVERE",'Pivot Revolut'!$A$3,"Mese",8,"Tipologia",$A152,"Viaggio",$A$144)),0,GETPIVOTDATA("Somma di AVERE",'Pivot Revolut'!$A$3,"Mese",8,"Tipologia",$A152,"Viaggio",$A$144))
+IF(ISERROR(GETPIVOTDATA("Somma di DARE",'Pivot RakBank EUR'!$A$3,"Mese",8,"Tipologia",$A152,"Viaggio",$A$144)),0,GETPIVOTDATA("Somma di DARE",'Pivot RakBank EUR'!$A$3,"Mese",8,"Tipologia",$A152,"Viaggio",$A$144))
-IF(ISERROR(GETPIVOTDATA("Somma di AVERE",'Pivot RakBank EUR'!$A$3,"Mese",8,"Tipologia",$A152,"Viaggio",$A$144)),0,GETPIVOTDATA("Somma di AVERE",'Pivot RakBank EUR'!$A$3,"Mese",8,"Tipologia",$A152,"Viaggio",$A$144))
+IF(ISERROR(GETPIVOTDATA("Somma di DARE EUR",'Pivot RakBank AED'!$A$3,"Mese",8,"Tipologia",$A152,"Viaggio",$A$144)),0,GETPIVOTDATA("Somma di DARE EUR",'Pivot RakBank AED'!$A$3,"Mese",8,"Tipologia",$A152,"Viaggio",$A$144))
-IF(ISERROR(GETPIVOTDATA("Somma di AVERE EUR",'Pivot RakBank AED'!$A$3,"Mese",8,"Tipologia",$A152,"Viaggio",$A$144)),0,GETPIVOTDATA("Somma di AVERE EUR",'Pivot RakBank AED'!$A$3,"Mese",8,"Tipologia",$A152,"Viaggio",$A$144))</f>
        <v>0</v>
      </c>
      <c r="K152" s="270">
        <f>IF(ISERROR(GETPIVOTDATA("Somma di DARE",'Pivot Fineco Sa'!$A$3,"Mese",9,"Tipologia",$A152,"Viaggio",$A$144)),0,GETPIVOTDATA("Somma di DARE",'Pivot Fineco Sa'!$A$3,"Mese",9,"Tipologia",$A152,"Viaggio",$A$144))
+IF(ISERROR(GETPIVOTDATA("Somma di DARE",'Pivot Fineco St'!$A$3,"Mese",9,"Tipologia",$A152,"Viaggio",$A$144)),0,GETPIVOTDATA("Somma di DARE",'Pivot Fineco St'!$A$3,"Mese",9,"Tipologia",$A152,"Viaggio",$A$144))
+IF(Contanti!$AK46='Conto Economico'!$A$144,Contanti!$AH46)
+IF(ISERROR(GETPIVOTDATA("Somma di DARE",'Pivot BBVA'!$A$3,"Mese",9,"Tipologia",$A152,"Viaggio",$A$144)),0,GETPIVOTDATA("Somma di DARE",'Pivot BBVA'!$A$3,"Mese",9,"Tipologia",$A152,"Viaggio",$A$144))
+IF(ISERROR(GETPIVOTDATA("Somma di DARE",'Pivot Amex'!$A$3,"Mese",9,"Tipologia",$A152,"Viaggio",$A$144)),0,GETPIVOTDATA("Somma di DARE",'Pivot Amex'!$A$3,"Mese",9,"Tipologia",$A152,"Viaggio",$A$144))
-IF(ISERROR(GETPIVOTDATA("Somma di AVERE",'Pivot Amex'!$A$3,"Mese",9,"Tipologia",$A152,"Viaggio",$A$144)),0,GETPIVOTDATA("Somma di AVERE",'Pivot Amex'!$A$3,"Mese",9,"Tipologia",$A152,"Viaggio",$A$144))
-IF(ISERROR(GETPIVOTDATA("Somma di AVERE",'Pivot BBVA'!$A$3,"Mese",9,"Tipologia",$A152,"Viaggio",$A$144)),0,GETPIVOTDATA("Somma di AVERE",'Pivot BBVA'!$A$3,"Mese",9,"Tipologia",$A152,"Viaggio",$A$144))
-IF(ISERROR(GETPIVOTDATA("Somma di AVERE",'Pivot Fineco St'!$A$3,"Mese",9,"Tipologia",$A152,"Viaggio",$A$144)),0,GETPIVOTDATA("Somma di AVERE",'Pivot Fineco St'!$A$3,"Mese",9,"Tipologia",$A152,"Viaggio",$A$144))
-IF(ISERROR(GETPIVOTDATA("Somma di AVERE",'Pivot Fineco Sa'!$A$3,"Mese",9,"Tipologia",$A152,"Viaggio",$A$144)),0,GETPIVOTDATA("Somma di AVERE",'Pivot Fineco Sa'!$A$3,"Mese",9,"Tipologia",$A152,"Viaggio",$A$144))
+IF(ISERROR(GETPIVOTDATA("Somma di DARE",'Pivot PP Visa'!$A$3,"Mese",9,"Tipologia",$A152,"Viaggio",$A$144)),0,GETPIVOTDATA("Somma di DARE",'Pivot PP Visa'!$A$3,"Mese",9,"Tipologia",$A152,"Viaggio",$A$144))
-IF(ISERROR(GETPIVOTDATA("Somma di AVERE",'Pivot PP Visa'!$A$3,"Mese",9,"Tipologia",$A152,"Viaggio",$A$144)),0,GETPIVOTDATA("Somma di AVERE",'Pivot PP Visa'!$A$3,"Mese",9,"Tipologia",$A152,"Viaggio",$A$144))
+IF(ISERROR(GETPIVOTDATA("Somma di DARE",'Pivot Revolut'!$A$3,"Mese",9,"Tipologia",$A152,"Viaggio",$A$144)),0,GETPIVOTDATA("Somma di DARE",'Pivot Revolut'!$A$3,"Mese",9,"Tipologia",$A152,"Viaggio",$A$144))
-IF(ISERROR(GETPIVOTDATA("Somma di AVERE",'Pivot Revolut'!$A$3,"Mese",9,"Tipologia",$A152,"Viaggio",$A$144)),0,GETPIVOTDATA("Somma di AVERE",'Pivot Revolut'!$A$3,"Mese",9,"Tipologia",$A152,"Viaggio",$A$144))
+IF(ISERROR(GETPIVOTDATA("Somma di DARE",'Pivot RakBank EUR'!$A$3,"Mese",9,"Tipologia",$A152,"Viaggio",$A$144)),0,GETPIVOTDATA("Somma di DARE",'Pivot RakBank EUR'!$A$3,"Mese",9,"Tipologia",$A152,"Viaggio",$A$144))
-IF(ISERROR(GETPIVOTDATA("Somma di AVERE",'Pivot RakBank EUR'!$A$3,"Mese",9,"Tipologia",$A152,"Viaggio",$A$144)),0,GETPIVOTDATA("Somma di AVERE",'Pivot RakBank EUR'!$A$3,"Mese",9,"Tipologia",$A152,"Viaggio",$A$144))
+IF(ISERROR(GETPIVOTDATA("Somma di DARE EUR",'Pivot RakBank AED'!$A$3,"Mese",9,"Tipologia",$A152,"Viaggio",$A$144)),0,GETPIVOTDATA("Somma di DARE EUR",'Pivot RakBank AED'!$A$3,"Mese",9,"Tipologia",$A152,"Viaggio",$A$144))
-IF(ISERROR(GETPIVOTDATA("Somma di AVERE EUR",'Pivot RakBank AED'!$A$3,"Mese",9,"Tipologia",$A152,"Viaggio",$A$144)),0,GETPIVOTDATA("Somma di AVERE EUR",'Pivot RakBank AED'!$A$3,"Mese",9,"Tipologia",$A152,"Viaggio",$A$144))</f>
        <v>0</v>
      </c>
      <c r="L152" s="270">
        <f>IF(ISERROR(GETPIVOTDATA("Somma di DARE",'Pivot Fineco Sa'!$A$3,"Mese",10,"Tipologia",$A152,"Viaggio",$A$144)),0,GETPIVOTDATA("Somma di DARE",'Pivot Fineco Sa'!$A$3,"Mese",10,"Tipologia",$A152,"Viaggio",$A$144))
+IF(ISERROR(GETPIVOTDATA("Somma di DARE",'Pivot Fineco St'!$A$3,"Mese",10,"Tipologia",$A152,"Viaggio",$A$144)),0,GETPIVOTDATA("Somma di DARE",'Pivot Fineco St'!$A$3,"Mese",10,"Tipologia",$A152,"Viaggio",$A$144))
+IF(Contanti!$AO46='Conto Economico'!$A$144,Contanti!$AL46)
+IF(ISERROR(GETPIVOTDATA("Somma di DARE",'Pivot BBVA'!$A$3,"Mese",10,"Tipologia",$A152,"Viaggio",$A$144)),0,GETPIVOTDATA("Somma di DARE",'Pivot BBVA'!$A$3,"Mese",10,"Tipologia",$A152,"Viaggio",$A$144))
+IF(ISERROR(GETPIVOTDATA("Somma di DARE",'Pivot Amex'!$A$3,"Mese",10,"Tipologia",$A152,"Viaggio",$A$144)),0,GETPIVOTDATA("Somma di DARE",'Pivot Amex'!$A$3,"Mese",10,"Tipologia",$A152,"Viaggio",$A$144))
-IF(ISERROR(GETPIVOTDATA("Somma di AVERE",'Pivot Amex'!$A$3,"Mese",10,"Tipologia",$A152,"Viaggio",$A$144)),0,GETPIVOTDATA("Somma di AVERE",'Pivot Amex'!$A$3,"Mese",10,"Tipologia",$A152,"Viaggio",$A$144))
-IF(ISERROR(GETPIVOTDATA("Somma di AVERE",'Pivot BBVA'!$A$3,"Mese",10,"Tipologia",$A152,"Viaggio",$A$144)),0,GETPIVOTDATA("Somma di AVERE",'Pivot BBVA'!$A$3,"Mese",10,"Tipologia",$A152,"Viaggio",$A$144))
-IF(ISERROR(GETPIVOTDATA("Somma di AVERE",'Pivot Fineco St'!$A$3,"Mese",10,"Tipologia",$A152,"Viaggio",$A$144)),0,GETPIVOTDATA("Somma di AVERE",'Pivot Fineco St'!$A$3,"Mese",10,"Tipologia",$A152,"Viaggio",$A$144))
-IF(ISERROR(GETPIVOTDATA("Somma di AVERE",'Pivot Fineco Sa'!$A$3,"Mese",10,"Tipologia",$A152,"Viaggio",$A$144)),0,GETPIVOTDATA("Somma di AVERE",'Pivot Fineco Sa'!$A$3,"Mese",10,"Tipologia",$A152,"Viaggio",$A$144))
+IF(ISERROR(GETPIVOTDATA("Somma di DARE",'Pivot PP Visa'!$A$3,"Mese",10,"Tipologia",$A152,"Viaggio",$A$144)),0,GETPIVOTDATA("Somma di DARE",'Pivot PP Visa'!$A$3,"Mese",10,"Tipologia",$A152,"Viaggio",$A$144))
-IF(ISERROR(GETPIVOTDATA("Somma di AVERE",'Pivot PP Visa'!$A$3,"Mese",10,"Tipologia",$A152,"Viaggio",$A$144)),0,GETPIVOTDATA("Somma di AVERE",'Pivot PP Visa'!$A$3,"Mese",10,"Tipologia",$A152,"Viaggio",$A$144))
+IF(ISERROR(GETPIVOTDATA("Somma di DARE",'Pivot Revolut'!$A$3,"Mese",10,"Tipologia",$A152,"Viaggio",$A$144)),0,GETPIVOTDATA("Somma di DARE",'Pivot Revolut'!$A$3,"Mese",10,"Tipologia",$A152,"Viaggio",$A$144))
-IF(ISERROR(GETPIVOTDATA("Somma di AVERE",'Pivot Revolut'!$A$3,"Mese",10,"Tipologia",$A152,"Viaggio",$A$144)),0,GETPIVOTDATA("Somma di AVERE",'Pivot Revolut'!$A$3,"Mese",10,"Tipologia",$A152,"Viaggio",$A$144))
+IF(ISERROR(GETPIVOTDATA("Somma di DARE",'Pivot RakBank EUR'!$A$3,"Mese",10,"Tipologia",$A152,"Viaggio",$A$144)),0,GETPIVOTDATA("Somma di DARE",'Pivot RakBank EUR'!$A$3,"Mese",10,"Tipologia",$A152,"Viaggio",$A$144))
-IF(ISERROR(GETPIVOTDATA("Somma di AVERE",'Pivot RakBank EUR'!$A$3,"Mese",10,"Tipologia",$A152,"Viaggio",$A$144)),0,GETPIVOTDATA("Somma di AVERE",'Pivot RakBank EUR'!$A$3,"Mese",10,"Tipologia",$A152,"Viaggio",$A$144))
+IF(ISERROR(GETPIVOTDATA("Somma di DARE EUR",'Pivot RakBank AED'!$A$3,"Mese",10,"Tipologia",$A152,"Viaggio",$A$144)),0,GETPIVOTDATA("Somma di DARE EUR",'Pivot RakBank AED'!$A$3,"Mese",10,"Tipologia",$A152,"Viaggio",$A$144))
-IF(ISERROR(GETPIVOTDATA("Somma di AVERE EUR",'Pivot RakBank AED'!$A$3,"Mese",10,"Tipologia",$A152,"Viaggio",$A$144)),0,GETPIVOTDATA("Somma di AVERE EUR",'Pivot RakBank AED'!$A$3,"Mese",10,"Tipologia",$A152,"Viaggio",$A$144))</f>
        <v>0</v>
      </c>
      <c r="M152" s="270">
        <f>IF(ISERROR(GETPIVOTDATA("Somma di DARE",'Pivot Fineco Sa'!$A$3,"Mese",11,"Tipologia",$A152,"Viaggio",$A$144)),0,GETPIVOTDATA("Somma di DARE",'Pivot Fineco Sa'!$A$3,"Mese",11,"Tipologia",$A152,"Viaggio",$A$144))
+IF(ISERROR(GETPIVOTDATA("Somma di DARE",'Pivot Fineco St'!$A$3,"Mese",11,"Tipologia",$A152,"Viaggio",$A$144)),0,GETPIVOTDATA("Somma di DARE",'Pivot Fineco St'!$A$3,"Mese",11,"Tipologia",$A152,"Viaggio",$A$144))
+IF(Contanti!$AS46='Conto Economico'!$A$144,Contanti!$AP46)
+IF(ISERROR(GETPIVOTDATA("Somma di DARE",'Pivot BBVA'!$A$3,"Mese",11,"Tipologia",$A152,"Viaggio",$A$144)),0,GETPIVOTDATA("Somma di DARE",'Pivot BBVA'!$A$3,"Mese",11,"Tipologia",$A152,"Viaggio",$A$144))
+IF(ISERROR(GETPIVOTDATA("Somma di DARE",'Pivot Amex'!$A$3,"Mese",11,"Tipologia",$A152,"Viaggio",$A$144)),0,GETPIVOTDATA("Somma di DARE",'Pivot Amex'!$A$3,"Mese",11,"Tipologia",$A152,"Viaggio",$A$144))
-IF(ISERROR(GETPIVOTDATA("Somma di AVERE",'Pivot Amex'!$A$3,"Mese",11,"Tipologia",$A152,"Viaggio",$A$144)),0,GETPIVOTDATA("Somma di AVERE",'Pivot Amex'!$A$3,"Mese",11,"Tipologia",$A152,"Viaggio",$A$144))
-IF(ISERROR(GETPIVOTDATA("Somma di AVERE",'Pivot BBVA'!$A$3,"Mese",11,"Tipologia",$A152,"Viaggio",$A$144)),0,GETPIVOTDATA("Somma di AVERE",'Pivot BBVA'!$A$3,"Mese",11,"Tipologia",$A152,"Viaggio",$A$144))
-IF(ISERROR(GETPIVOTDATA("Somma di AVERE",'Pivot Fineco St'!$A$3,"Mese",11,"Tipologia",$A152,"Viaggio",$A$144)),0,GETPIVOTDATA("Somma di AVERE",'Pivot Fineco St'!$A$3,"Mese",11,"Tipologia",$A152,"Viaggio",$A$144))
-IF(ISERROR(GETPIVOTDATA("Somma di AVERE",'Pivot Fineco Sa'!$A$3,"Mese",11,"Tipologia",$A152,"Viaggio",$A$144)),0,GETPIVOTDATA("Somma di AVERE",'Pivot Fineco Sa'!$A$3,"Mese",11,"Tipologia",$A152,"Viaggio",$A$144))
+IF(ISERROR(GETPIVOTDATA("Somma di DARE",'Pivot PP Visa'!$A$3,"Mese",11,"Tipologia",$A152,"Viaggio",$A$144)),0,GETPIVOTDATA("Somma di DARE",'Pivot PP Visa'!$A$3,"Mese",11,"Tipologia",$A152,"Viaggio",$A$144))
-IF(ISERROR(GETPIVOTDATA("Somma di AVERE",'Pivot PP Visa'!$A$3,"Mese",11,"Tipologia",$A152,"Viaggio",$A$144)),0,GETPIVOTDATA("Somma di AVERE",'Pivot PP Visa'!$A$3,"Mese",11,"Tipologia",$A152,"Viaggio",$A$144))
+IF(ISERROR(GETPIVOTDATA("Somma di DARE",'Pivot Revolut'!$A$3,"Mese",11,"Tipologia",$A152,"Viaggio",$A$144)),0,GETPIVOTDATA("Somma di DARE",'Pivot Revolut'!$A$3,"Mese",11,"Tipologia",$A152,"Viaggio",$A$144))
-IF(ISERROR(GETPIVOTDATA("Somma di AVERE",'Pivot Revolut'!$A$3,"Mese",11,"Tipologia",$A152,"Viaggio",$A$144)),0,GETPIVOTDATA("Somma di AVERE",'Pivot Revolut'!$A$3,"Mese",11,"Tipologia",$A152,"Viaggio",$A$144))
+IF(ISERROR(GETPIVOTDATA("Somma di DARE",'Pivot RakBank EUR'!$A$3,"Mese",11,"Tipologia",$A152,"Viaggio",$A$144)),0,GETPIVOTDATA("Somma di DARE",'Pivot RakBank EUR'!$A$3,"Mese",11,"Tipologia",$A152,"Viaggio",$A$144))
-IF(ISERROR(GETPIVOTDATA("Somma di AVERE",'Pivot RakBank EUR'!$A$3,"Mese",11,"Tipologia",$A152,"Viaggio",$A$144)),0,GETPIVOTDATA("Somma di AVERE",'Pivot RakBank EUR'!$A$3,"Mese",11,"Tipologia",$A152,"Viaggio",$A$144))
+IF(ISERROR(GETPIVOTDATA("Somma di DARE EUR",'Pivot RakBank AED'!$A$3,"Mese",11,"Tipologia",$A152,"Viaggio",$A$144)),0,GETPIVOTDATA("Somma di DARE EUR",'Pivot RakBank AED'!$A$3,"Mese",11,"Tipologia",$A152,"Viaggio",$A$144))
-IF(ISERROR(GETPIVOTDATA("Somma di AVERE EUR",'Pivot RakBank AED'!$A$3,"Mese",11,"Tipologia",$A152,"Viaggio",$A$144)),0,GETPIVOTDATA("Somma di AVERE EUR",'Pivot RakBank AED'!$A$3,"Mese",11,"Tipologia",$A152,"Viaggio",$A$144))</f>
        <v>0</v>
      </c>
      <c r="N152" s="270">
        <f>IF(ISERROR(GETPIVOTDATA("Somma di DARE",'Pivot Fineco Sa'!$A$3,"Mese",12,"Tipologia",$A152,"Viaggio",$A$144)),0,GETPIVOTDATA("Somma di DARE",'Pivot Fineco Sa'!$A$3,"Mese",12,"Tipologia",$A152,"Viaggio",$A$144))
+IF(ISERROR(GETPIVOTDATA("Somma di DARE",'Pivot Fineco St'!$A$3,"Mese",12,"Tipologia",$A152,"Viaggio",$A$144)),0,GETPIVOTDATA("Somma di DARE",'Pivot Fineco St'!$A$3,"Mese",12,"Tipologia",$A152,"Viaggio",$A$144))
+IF(Contanti!$AW46='Conto Economico'!$A$144,Contanti!$AT46)
+IF(ISERROR(GETPIVOTDATA("Somma di DARE",'Pivot BBVA'!$A$3,"Mese",12,"Tipologia",$A152,"Viaggio",$A$144)),0,GETPIVOTDATA("Somma di DARE",'Pivot BBVA'!$A$3,"Mese",12,"Tipologia",$A152,"Viaggio",$A$144))
+IF(ISERROR(GETPIVOTDATA("Somma di DARE",'Pivot Amex'!$A$3,"Mese",12,"Tipologia",$A152,"Viaggio",$A$144)),0,GETPIVOTDATA("Somma di DARE",'Pivot Amex'!$A$3,"Mese",12,"Tipologia",$A152,"Viaggio",$A$144))
-IF(ISERROR(GETPIVOTDATA("Somma di AVERE",'Pivot Amex'!$A$3,"Mese",12,"Tipologia",$A152,"Viaggio",$A$144)),0,GETPIVOTDATA("Somma di AVERE",'Pivot Amex'!$A$3,"Mese",12,"Tipologia",$A152,"Viaggio",$A$144))
-IF(ISERROR(GETPIVOTDATA("Somma di AVERE",'Pivot BBVA'!$A$3,"Mese",12,"Tipologia",$A152,"Viaggio",$A$144)),0,GETPIVOTDATA("Somma di AVERE",'Pivot BBVA'!$A$3,"Mese",12,"Tipologia",$A152,"Viaggio",$A$144))
-IF(ISERROR(GETPIVOTDATA("Somma di AVERE",'Pivot Fineco St'!$A$3,"Mese",12,"Tipologia",$A152,"Viaggio",$A$144)),0,GETPIVOTDATA("Somma di AVERE",'Pivot Fineco St'!$A$3,"Mese",12,"Tipologia",$A152,"Viaggio",$A$144))
-IF(ISERROR(GETPIVOTDATA("Somma di AVERE",'Pivot Fineco Sa'!$A$3,"Mese",12,"Tipologia",$A152,"Viaggio",$A$144)),0,GETPIVOTDATA("Somma di AVERE",'Pivot Fineco Sa'!$A$3,"Mese",12,"Tipologia",$A152,"Viaggio",$A$144))
+IF(ISERROR(GETPIVOTDATA("Somma di DARE",'Pivot PP Visa'!$A$3,"Mese",12,"Tipologia",$A152,"Viaggio",$A$144)),0,GETPIVOTDATA("Somma di DARE",'Pivot PP Visa'!$A$3,"Mese",12,"Tipologia",$A152,"Viaggio",$A$144))
-IF(ISERROR(GETPIVOTDATA("Somma di AVERE",'Pivot PP Visa'!$A$3,"Mese",12,"Tipologia",$A152,"Viaggio",$A$144)),0,GETPIVOTDATA("Somma di AVERE",'Pivot PP Visa'!$A$3,"Mese",12,"Tipologia",$A152,"Viaggio",$A$144))
+IF(ISERROR(GETPIVOTDATA("Somma di DARE",'Pivot Revolut'!$A$3,"Mese",12,"Tipologia",$A152,"Viaggio",$A$144)),0,GETPIVOTDATA("Somma di DARE",'Pivot Revolut'!$A$3,"Mese",12,"Tipologia",$A152,"Viaggio",$A$144))
-IF(ISERROR(GETPIVOTDATA("Somma di AVERE",'Pivot Revolut'!$A$3,"Mese",12,"Tipologia",$A152,"Viaggio",$A$144)),0,GETPIVOTDATA("Somma di AVERE",'Pivot Revolut'!$A$3,"Mese",12,"Tipologia",$A152,"Viaggio",$A$144))
+IF(ISERROR(GETPIVOTDATA("Somma di DARE",'Pivot RakBank EUR'!$A$3,"Mese",12,"Tipologia",$A152,"Viaggio",$A$144)),0,GETPIVOTDATA("Somma di DARE",'Pivot RakBank EUR'!$A$3,"Mese",12,"Tipologia",$A152,"Viaggio",$A$144))
-IF(ISERROR(GETPIVOTDATA("Somma di AVERE",'Pivot RakBank EUR'!$A$3,"Mese",12,"Tipologia",$A152,"Viaggio",$A$144)),0,GETPIVOTDATA("Somma di AVERE",'Pivot RakBank EUR'!$A$3,"Mese",12,"Tipologia",$A152,"Viaggio",$A$144))
+IF(ISERROR(GETPIVOTDATA("Somma di DARE EUR",'Pivot RakBank AED'!$A$3,"Mese",12,"Tipologia",$A152,"Viaggio",$A$144)),0,GETPIVOTDATA("Somma di DARE EUR",'Pivot RakBank AED'!$A$3,"Mese",12,"Tipologia",$A152,"Viaggio",$A$144))
-IF(ISERROR(GETPIVOTDATA("Somma di AVERE EUR",'Pivot RakBank AED'!$A$3,"Mese",12,"Tipologia",$A152,"Viaggio",$A$144)),0,GETPIVOTDATA("Somma di AVERE EUR",'Pivot RakBank AED'!$A$3,"Mese",12,"Tipologia",$A152,"Viaggio",$A$144))</f>
        <v>0</v>
      </c>
      <c r="O152" s="271">
        <f t="shared" si="19"/>
        <v>0</v>
      </c>
      <c r="P152" s="270"/>
    </row>
    <row r="153" spans="1:16" s="131" customFormat="1" ht="14" outlineLevel="1" x14ac:dyDescent="0.2">
      <c r="A153" s="269" t="s">
        <v>101</v>
      </c>
      <c r="B153" s="269"/>
      <c r="C153" s="270">
        <f>IF(ISERROR(GETPIVOTDATA("Somma di DARE",'Pivot Fineco Sa'!$A$3,"Mese",1,"Tipologia",$A153,"Viaggio",$A$144)),0,GETPIVOTDATA("Somma di DARE",'Pivot Fineco Sa'!$A$3,"Mese",1,"Tipologia",$A153,"Viaggio",$A$144))
+IF(ISERROR(GETPIVOTDATA("Somma di DARE",'Pivot Fineco St'!$A$3,"Mese",1,"Tipologia",$A153,"Viaggio",$A$144)),0,GETPIVOTDATA("Somma di DARE",'Pivot Fineco St'!$A$3,"Mese",1,"Tipologia",$A153,"Viaggio",$A$144))
+IF(Contanti!$E47='Conto Economico'!$A$144,Contanti!$B47)
+IF(ISERROR(GETPIVOTDATA("Somma di DARE",'Pivot BBVA'!$A$3,"Mese",1,"Tipologia",$A153,"Viaggio",$A$144)),0,GETPIVOTDATA("Somma di DARE",'Pivot BBVA'!$A$3,"Mese",1,"Tipologia",$A153,"Viaggio",$A$144))
+IF(ISERROR(GETPIVOTDATA("Somma di DARE",'Pivot Amex'!$A$3,"Mese",1,"Tipologia",$A153,"Viaggio",$A$144)),0,GETPIVOTDATA("Somma di DARE",'Pivot Amex'!$A$3,"Mese",1,"Tipologia",$A153,"Viaggio",$A$144))
-IF(ISERROR(GETPIVOTDATA("Somma di AVERE",'Pivot Amex'!$A$3,"Mese",1,"Tipologia",$A153,"Viaggio",$A$144)),0,GETPIVOTDATA("Somma di AVERE",'Pivot Amex'!$A$3,"Mese",1,"Tipologia",$A153,"Viaggio",$A$144))
-IF(ISERROR(GETPIVOTDATA("Somma di AVERE",'Pivot BBVA'!$A$3,"Mese",1,"Tipologia",$A153,"Viaggio",$A$144)),0,GETPIVOTDATA("Somma di AVERE",'Pivot BBVA'!$A$3,"Mese",1,"Tipologia",$A153,"Viaggio",$A$144))
-IF(ISERROR(GETPIVOTDATA("Somma di AVERE",'Pivot Fineco St'!$A$3,"Mese",1,"Tipologia",$A153,"Viaggio",$A$144)),0,GETPIVOTDATA("Somma di AVERE",'Pivot Fineco St'!$A$3,"Mese",1,"Tipologia",$A153,"Viaggio",$A$144))
-IF(ISERROR(GETPIVOTDATA("Somma di AVERE",'Pivot Fineco Sa'!$A$3,"Mese",1,"Tipologia",$A153,"Viaggio",$A$144)),0,GETPIVOTDATA("Somma di AVERE",'Pivot Fineco Sa'!$A$3,"Mese",1,"Tipologia",$A153,"Viaggio",$A$144))
+IF(ISERROR(GETPIVOTDATA("Somma di DARE",'Pivot PP Visa'!$A$3,"Mese",1,"Tipologia",$A153,"Viaggio",$A$144)),0,GETPIVOTDATA("Somma di DARE",'Pivot PP Visa'!$A$3,"Mese",1,"Tipologia",$A153,"Viaggio",$A$144))
-IF(ISERROR(GETPIVOTDATA("Somma di AVERE",'Pivot PP Visa'!$A$3,"Mese",1,"Tipologia",$A153,"Viaggio",$A$144)),0,GETPIVOTDATA("Somma di AVERE",'Pivot PP Visa'!$A$3,"Mese",1,"Tipologia",$A153,"Viaggio",$A$144))
+IF(ISERROR(GETPIVOTDATA("Somma di DARE",'Pivot Revolut'!$A$3,"Mese",1,"Tipologia",$A153,"Viaggio",$A$144)),0,GETPIVOTDATA("Somma di DARE",'Pivot Revolut'!$A$3,"Mese",1,"Tipologia",$A153,"Viaggio",$A$144))
-IF(ISERROR(GETPIVOTDATA("Somma di AVERE",'Pivot Revolut'!$A$3,"Mese",1,"Tipologia",$A153,"Viaggio",$A$144)),0,GETPIVOTDATA("Somma di AVERE",'Pivot Revolut'!$A$3,"Mese",1,"Tipologia",$A153,"Viaggio",$A$144))
+IF(ISERROR(GETPIVOTDATA("Somma di DARE",'Pivot RakBank EUR'!$A$3,"Mese",1,"Tipologia",$A153,"Viaggio",$A$144)),0,GETPIVOTDATA("Somma di DARE",'Pivot RakBank EUR'!$A$3,"Mese",1,"Tipologia",$A153,"Viaggio",$A$144))
-IF(ISERROR(GETPIVOTDATA("Somma di AVERE",'Pivot RakBank EUR'!$A$3,"Mese",1,"Tipologia",$A153,"Viaggio",$A$144)),0,GETPIVOTDATA("Somma di AVERE",'Pivot RakBank EUR'!$A$3,"Mese",1,"Tipologia",$A153,"Viaggio",$A$144))
+IF(ISERROR(GETPIVOTDATA("Somma di DARE EUR",'Pivot RakBank AED'!$A$3,"Mese",1,"Tipologia",$A153,"Viaggio",$A$144)),0,GETPIVOTDATA("Somma di DARE EUR",'Pivot RakBank AED'!$A$3,"Mese",1,"Tipologia",$A153,"Viaggio",$A$144))
-IF(ISERROR(GETPIVOTDATA("Somma di AVERE EUR",'Pivot RakBank AED'!$A$3,"Mese",1,"Tipologia",$A153,"Viaggio",$A$144)),0,GETPIVOTDATA("Somma di AVERE EUR",'Pivot RakBank AED'!$A$3,"Mese",1,"Tipologia",$A153,"Viaggio",$A$144))</f>
        <v>0</v>
      </c>
      <c r="D153" s="270">
        <f>IF(ISERROR(GETPIVOTDATA("Somma di DARE",'Pivot Fineco Sa'!$A$3,"Mese",2,"Tipologia",$A153,"Viaggio",$A$144)),0,GETPIVOTDATA("Somma di DARE",'Pivot Fineco Sa'!$A$3,"Mese",2,"Tipologia",$A153,"Viaggio",$A$144))
+IF(ISERROR(GETPIVOTDATA("Somma di DARE",'Pivot Fineco St'!$A$3,"Mese",2,"Tipologia",$A153,"Viaggio",$A$144)),0,GETPIVOTDATA("Somma di DARE",'Pivot Fineco St'!$A$3,"Mese",2,"Tipologia",$A153,"Viaggio",$A$144))
+IF(Contanti!$I47='Conto Economico'!$A$144,Contanti!$F47)
+IF(ISERROR(GETPIVOTDATA("Somma di DARE",'Pivot BBVA'!$A$3,"Mese",2,"Tipologia",$A153,"Viaggio",$A$144)),0,GETPIVOTDATA("Somma di DARE",'Pivot BBVA'!$A$3,"Mese",2,"Tipologia",$A153,"Viaggio",$A$144))
+IF(ISERROR(GETPIVOTDATA("Somma di DARE",'Pivot Amex'!$A$3,"Mese",2,"Tipologia",$A153,"Viaggio",$A$144)),0,GETPIVOTDATA("Somma di DARE",'Pivot Amex'!$A$3,"Mese",2,"Tipologia",$A153,"Viaggio",$A$144))
-IF(ISERROR(GETPIVOTDATA("Somma di AVERE",'Pivot Amex'!$A$3,"Mese",2,"Tipologia",$A153,"Viaggio",$A$144)),0,GETPIVOTDATA("Somma di AVERE",'Pivot Amex'!$A$3,"Mese",2,"Tipologia",$A153,"Viaggio",$A$144))
-IF(ISERROR(GETPIVOTDATA("Somma di AVERE",'Pivot BBVA'!$A$3,"Mese",2,"Tipologia",$A153,"Viaggio",$A$144)),0,GETPIVOTDATA("Somma di AVERE",'Pivot BBVA'!$A$3,"Mese",2,"Tipologia",$A153,"Viaggio",$A$144))
-IF(ISERROR(GETPIVOTDATA("Somma di AVERE",'Pivot Fineco St'!$A$3,"Mese",2,"Tipologia",$A153,"Viaggio",$A$144)),0,GETPIVOTDATA("Somma di AVERE",'Pivot Fineco St'!$A$3,"Mese",2,"Tipologia",$A153,"Viaggio",$A$144))
-IF(ISERROR(GETPIVOTDATA("Somma di AVERE",'Pivot Fineco Sa'!$A$3,"Mese",2,"Tipologia",$A153,"Viaggio",$A$144)),0,GETPIVOTDATA("Somma di AVERE",'Pivot Fineco Sa'!$A$3,"Mese",2,"Tipologia",$A153,"Viaggio",$A$144))
+IF(ISERROR(GETPIVOTDATA("Somma di DARE",'Pivot PP Visa'!$A$3,"Mese",2,"Tipologia",$A153,"Viaggio",$A$144)),0,GETPIVOTDATA("Somma di DARE",'Pivot PP Visa'!$A$3,"Mese",2,"Tipologia",$A153,"Viaggio",$A$144))
-IF(ISERROR(GETPIVOTDATA("Somma di AVERE",'Pivot PP Visa'!$A$3,"Mese",2,"Tipologia",$A153,"Viaggio",$A$144)),0,GETPIVOTDATA("Somma di AVERE",'Pivot PP Visa'!$A$3,"Mese",2,"Tipologia",$A153,"Viaggio",$A$144))
+IF(ISERROR(GETPIVOTDATA("Somma di DARE",'Pivot Revolut'!$A$3,"Mese",2,"Tipologia",$A153,"Viaggio",$A$144)),0,GETPIVOTDATA("Somma di DARE",'Pivot Revolut'!$A$3,"Mese",2,"Tipologia",$A153,"Viaggio",$A$144))
-IF(ISERROR(GETPIVOTDATA("Somma di AVERE",'Pivot Revolut'!$A$3,"Mese",2,"Tipologia",$A153,"Viaggio",$A$144)),0,GETPIVOTDATA("Somma di AVERE",'Pivot Revolut'!$A$3,"Mese",2,"Tipologia",$A153,"Viaggio",$A$144))
+IF(ISERROR(GETPIVOTDATA("Somma di DARE",'Pivot RakBank EUR'!$A$3,"Mese",2,"Tipologia",$A153,"Viaggio",$A$144)),0,GETPIVOTDATA("Somma di DARE",'Pivot RakBank EUR'!$A$3,"Mese",2,"Tipologia",$A153,"Viaggio",$A$144))
-IF(ISERROR(GETPIVOTDATA("Somma di AVERE",'Pivot RakBank EUR'!$A$3,"Mese",2,"Tipologia",$A153,"Viaggio",$A$144)),0,GETPIVOTDATA("Somma di AVERE",'Pivot RakBank EUR'!$A$3,"Mese",2,"Tipologia",$A153,"Viaggio",$A$144))
+IF(ISERROR(GETPIVOTDATA("Somma di DARE EUR",'Pivot RakBank AED'!$A$3,"Mese",2,"Tipologia",$A153,"Viaggio",$A$144)),0,GETPIVOTDATA("Somma di DARE EUR",'Pivot RakBank AED'!$A$3,"Mese",2,"Tipologia",$A153,"Viaggio",$A$144))
-IF(ISERROR(GETPIVOTDATA("Somma di AVERE EUR",'Pivot RakBank AED'!$A$3,"Mese",2,"Tipologia",$A153,"Viaggio",$A$144)),0,GETPIVOTDATA("Somma di AVERE EUR",'Pivot RakBank AED'!$A$3,"Mese",2,"Tipologia",$A153,"Viaggio",$A$144))</f>
        <v>0</v>
      </c>
      <c r="E153" s="270">
        <f>IF(ISERROR(GETPIVOTDATA("Somma di DARE",'Pivot Fineco Sa'!$A$3,"Mese",3,"Tipologia",$A153,"Viaggio",$A$144)),0,GETPIVOTDATA("Somma di DARE",'Pivot Fineco Sa'!$A$3,"Mese",3,"Tipologia",$A153,"Viaggio",$A$144))
+IF(ISERROR(GETPIVOTDATA("Somma di DARE",'Pivot Fineco St'!$A$3,"Mese",3,"Tipologia",$A153,"Viaggio",$A$144)),0,GETPIVOTDATA("Somma di DARE",'Pivot Fineco St'!$A$3,"Mese",3,"Tipologia",$A153,"Viaggio",$A$144))
+IF(Contanti!$M47='Conto Economico'!$A$144,Contanti!$J47)
+IF(ISERROR(GETPIVOTDATA("Somma di DARE",'Pivot BBVA'!$A$3,"Mese",3,"Tipologia",$A153,"Viaggio",$A$144)),0,GETPIVOTDATA("Somma di DARE",'Pivot BBVA'!$A$3,"Mese",3,"Tipologia",$A153,"Viaggio",$A$144))
+IF(ISERROR(GETPIVOTDATA("Somma di DARE",'Pivot Amex'!$A$3,"Mese",3,"Tipologia",$A153,"Viaggio",$A$144)),0,GETPIVOTDATA("Somma di DARE",'Pivot Amex'!$A$3,"Mese",3,"Tipologia",$A153,"Viaggio",$A$144))
-IF(ISERROR(GETPIVOTDATA("Somma di AVERE",'Pivot Amex'!$A$3,"Mese",3,"Tipologia",$A153,"Viaggio",$A$144)),0,GETPIVOTDATA("Somma di AVERE",'Pivot Amex'!$A$3,"Mese",3,"Tipologia",$A153,"Viaggio",$A$144))
-IF(ISERROR(GETPIVOTDATA("Somma di AVERE",'Pivot BBVA'!$A$3,"Mese",3,"Tipologia",$A153,"Viaggio",$A$144)),0,GETPIVOTDATA("Somma di AVERE",'Pivot BBVA'!$A$3,"Mese",3,"Tipologia",$A153,"Viaggio",$A$144))
-IF(ISERROR(GETPIVOTDATA("Somma di AVERE",'Pivot Fineco St'!$A$3,"Mese",3,"Tipologia",$A153,"Viaggio",$A$144)),0,GETPIVOTDATA("Somma di AVERE",'Pivot Fineco St'!$A$3,"Mese",3,"Tipologia",$A153,"Viaggio",$A$144))
-IF(ISERROR(GETPIVOTDATA("Somma di AVERE",'Pivot Fineco Sa'!$A$3,"Mese",3,"Tipologia",$A153,"Viaggio",$A$144)),0,GETPIVOTDATA("Somma di AVERE",'Pivot Fineco Sa'!$A$3,"Mese",3,"Tipologia",$A153,"Viaggio",$A$144))
+IF(ISERROR(GETPIVOTDATA("Somma di DARE",'Pivot PP Visa'!$A$3,"Mese",3,"Tipologia",$A153,"Viaggio",$A$144)),0,GETPIVOTDATA("Somma di DARE",'Pivot PP Visa'!$A$3,"Mese",3,"Tipologia",$A153,"Viaggio",$A$144))
-IF(ISERROR(GETPIVOTDATA("Somma di AVERE",'Pivot PP Visa'!$A$3,"Mese",3,"Tipologia",$A153,"Viaggio",$A$144)),0,GETPIVOTDATA("Somma di AVERE",'Pivot PP Visa'!$A$3,"Mese",3,"Tipologia",$A153,"Viaggio",$A$144))
+IF(ISERROR(GETPIVOTDATA("Somma di DARE",'Pivot Revolut'!$A$3,"Mese",3,"Tipologia",$A153,"Viaggio",$A$144)),0,GETPIVOTDATA("Somma di DARE",'Pivot Revolut'!$A$3,"Mese",3,"Tipologia",$A153,"Viaggio",$A$144))
-IF(ISERROR(GETPIVOTDATA("Somma di AVERE",'Pivot Revolut'!$A$3,"Mese",3,"Tipologia",$A153,"Viaggio",$A$144)),0,GETPIVOTDATA("Somma di AVERE",'Pivot Revolut'!$A$3,"Mese",3,"Tipologia",$A153,"Viaggio",$A$144))
+IF(ISERROR(GETPIVOTDATA("Somma di DARE",'Pivot RakBank EUR'!$A$3,"Mese",3,"Tipologia",$A153,"Viaggio",$A$144)),0,GETPIVOTDATA("Somma di DARE",'Pivot RakBank EUR'!$A$3,"Mese",3,"Tipologia",$A153,"Viaggio",$A$144))
-IF(ISERROR(GETPIVOTDATA("Somma di AVERE",'Pivot RakBank EUR'!$A$3,"Mese",3,"Tipologia",$A153,"Viaggio",$A$144)),0,GETPIVOTDATA("Somma di AVERE",'Pivot RakBank EUR'!$A$3,"Mese",3,"Tipologia",$A153,"Viaggio",$A$144))
+IF(ISERROR(GETPIVOTDATA("Somma di DARE EUR",'Pivot RakBank AED'!$A$3,"Mese",3,"Tipologia",$A153,"Viaggio",$A$144)),0,GETPIVOTDATA("Somma di DARE EUR",'Pivot RakBank AED'!$A$3,"Mese",3,"Tipologia",$A153,"Viaggio",$A$144))
-IF(ISERROR(GETPIVOTDATA("Somma di AVERE EUR",'Pivot RakBank AED'!$A$3,"Mese",3,"Tipologia",$A153,"Viaggio",$A$144)),0,GETPIVOTDATA("Somma di AVERE EUR",'Pivot RakBank AED'!$A$3,"Mese",3,"Tipologia",$A153,"Viaggio",$A$144))</f>
        <v>0</v>
      </c>
      <c r="F153" s="270">
        <f>IF(ISERROR(GETPIVOTDATA("Somma di DARE",'Pivot Fineco Sa'!$A$3,"Mese",4,"Tipologia",$A153,"Viaggio",$A$144)),0,GETPIVOTDATA("Somma di DARE",'Pivot Fineco Sa'!$A$3,"Mese",4,"Tipologia",$A153,"Viaggio",$A$144))
+IF(ISERROR(GETPIVOTDATA("Somma di DARE",'Pivot Fineco St'!$A$3,"Mese",4,"Tipologia",$A153,"Viaggio",$A$144)),0,GETPIVOTDATA("Somma di DARE",'Pivot Fineco St'!$A$3,"Mese",4,"Tipologia",$A153,"Viaggio",$A$144))
+IF(Contanti!$Q47='Conto Economico'!$A$144,Contanti!$N47)
+IF(ISERROR(GETPIVOTDATA("Somma di DARE",'Pivot BBVA'!$A$3,"Mese",4,"Tipologia",$A153,"Viaggio",$A$144)),0,GETPIVOTDATA("Somma di DARE",'Pivot BBVA'!$A$3,"Mese",4,"Tipologia",$A153,"Viaggio",$A$144))
+IF(ISERROR(GETPIVOTDATA("Somma di DARE",'Pivot Amex'!$A$3,"Mese",4,"Tipologia",$A153,"Viaggio",$A$144)),0,GETPIVOTDATA("Somma di DARE",'Pivot Amex'!$A$3,"Mese",4,"Tipologia",$A153,"Viaggio",$A$144))
-IF(ISERROR(GETPIVOTDATA("Somma di AVERE",'Pivot Amex'!$A$3,"Mese",4,"Tipologia",$A153,"Viaggio",$A$144)),0,GETPIVOTDATA("Somma di AVERE",'Pivot Amex'!$A$3,"Mese",4,"Tipologia",$A153,"Viaggio",$A$144))
-IF(ISERROR(GETPIVOTDATA("Somma di AVERE",'Pivot BBVA'!$A$3,"Mese",4,"Tipologia",$A153,"Viaggio",$A$144)),0,GETPIVOTDATA("Somma di AVERE",'Pivot BBVA'!$A$3,"Mese",4,"Tipologia",$A153,"Viaggio",$A$144))
-IF(ISERROR(GETPIVOTDATA("Somma di AVERE",'Pivot Fineco St'!$A$3,"Mese",4,"Tipologia",$A153,"Viaggio",$A$144)),0,GETPIVOTDATA("Somma di AVERE",'Pivot Fineco St'!$A$3,"Mese",4,"Tipologia",$A153,"Viaggio",$A$144))
-IF(ISERROR(GETPIVOTDATA("Somma di AVERE",'Pivot Fineco Sa'!$A$3,"Mese",4,"Tipologia",$A153,"Viaggio",$A$144)),0,GETPIVOTDATA("Somma di AVERE",'Pivot Fineco Sa'!$A$3,"Mese",4,"Tipologia",$A153,"Viaggio",$A$144))
+IF(ISERROR(GETPIVOTDATA("Somma di DARE",'Pivot PP Visa'!$A$3,"Mese",4,"Tipologia",$A153,"Viaggio",$A$144)),0,GETPIVOTDATA("Somma di DARE",'Pivot PP Visa'!$A$3,"Mese",4,"Tipologia",$A153,"Viaggio",$A$144))
-IF(ISERROR(GETPIVOTDATA("Somma di AVERE",'Pivot PP Visa'!$A$3,"Mese",4,"Tipologia",$A153,"Viaggio",$A$144)),0,GETPIVOTDATA("Somma di AVERE",'Pivot PP Visa'!$A$3,"Mese",4,"Tipologia",$A153,"Viaggio",$A$144))
+IF(ISERROR(GETPIVOTDATA("Somma di DARE",'Pivot Revolut'!$A$3,"Mese",4,"Tipologia",$A153,"Viaggio",$A$144)),0,GETPIVOTDATA("Somma di DARE",'Pivot Revolut'!$A$3,"Mese",4,"Tipologia",$A153,"Viaggio",$A$144))
-IF(ISERROR(GETPIVOTDATA("Somma di AVERE",'Pivot Revolut'!$A$3,"Mese",4,"Tipologia",$A153,"Viaggio",$A$144)),0,GETPIVOTDATA("Somma di AVERE",'Pivot Revolut'!$A$3,"Mese",4,"Tipologia",$A153,"Viaggio",$A$144))
+IF(ISERROR(GETPIVOTDATA("Somma di DARE",'Pivot RakBank EUR'!$A$3,"Mese",4,"Tipologia",$A153,"Viaggio",$A$144)),0,GETPIVOTDATA("Somma di DARE",'Pivot RakBank EUR'!$A$3,"Mese",4,"Tipologia",$A153,"Viaggio",$A$144))
-IF(ISERROR(GETPIVOTDATA("Somma di AVERE",'Pivot RakBank EUR'!$A$3,"Mese",4,"Tipologia",$A153,"Viaggio",$A$144)),0,GETPIVOTDATA("Somma di AVERE",'Pivot RakBank EUR'!$A$3,"Mese",4,"Tipologia",$A153,"Viaggio",$A$144))
+IF(ISERROR(GETPIVOTDATA("Somma di DARE EUR",'Pivot RakBank AED'!$A$3,"Mese",4,"Tipologia",$A153,"Viaggio",$A$144)),0,GETPIVOTDATA("Somma di DARE EUR",'Pivot RakBank AED'!$A$3,"Mese",4,"Tipologia",$A153,"Viaggio",$A$144))
-IF(ISERROR(GETPIVOTDATA("Somma di AVERE EUR",'Pivot RakBank AED'!$A$3,"Mese",4,"Tipologia",$A153,"Viaggio",$A$144)),0,GETPIVOTDATA("Somma di AVERE EUR",'Pivot RakBank AED'!$A$3,"Mese",4,"Tipologia",$A153,"Viaggio",$A$144))</f>
        <v>0</v>
      </c>
      <c r="G153" s="270">
        <f>IF(ISERROR(GETPIVOTDATA("Somma di DARE",'Pivot Fineco Sa'!$A$3,"Mese",5,"Tipologia",$A153,"Viaggio",$A$144)),0,GETPIVOTDATA("Somma di DARE",'Pivot Fineco Sa'!$A$3,"Mese",5,"Tipologia",$A153,"Viaggio",$A$144))
+IF(ISERROR(GETPIVOTDATA("Somma di DARE",'Pivot Fineco St'!$A$3,"Mese",5,"Tipologia",$A153,"Viaggio",$A$144)),0,GETPIVOTDATA("Somma di DARE",'Pivot Fineco St'!$A$3,"Mese",5,"Tipologia",$A153,"Viaggio",$A$144))
+IF(Contanti!$U47='Conto Economico'!$A$144,Contanti!$R47)
+IF(ISERROR(GETPIVOTDATA("Somma di DARE",'Pivot BBVA'!$A$3,"Mese",5,"Tipologia",$A153,"Viaggio",$A$144)),0,GETPIVOTDATA("Somma di DARE",'Pivot BBVA'!$A$3,"Mese",5,"Tipologia",$A153,"Viaggio",$A$144))
+IF(ISERROR(GETPIVOTDATA("Somma di DARE",'Pivot Amex'!$A$3,"Mese",5,"Tipologia",$A153,"Viaggio",$A$144)),0,GETPIVOTDATA("Somma di DARE",'Pivot Amex'!$A$3,"Mese",5,"Tipologia",$A153,"Viaggio",$A$144))
-IF(ISERROR(GETPIVOTDATA("Somma di AVERE",'Pivot Amex'!$A$3,"Mese",5,"Tipologia",$A153,"Viaggio",$A$144)),0,GETPIVOTDATA("Somma di AVERE",'Pivot Amex'!$A$3,"Mese",5,"Tipologia",$A153,"Viaggio",$A$144))
-IF(ISERROR(GETPIVOTDATA("Somma di AVERE",'Pivot BBVA'!$A$3,"Mese",5,"Tipologia",$A153,"Viaggio",$A$144)),0,GETPIVOTDATA("Somma di AVERE",'Pivot BBVA'!$A$3,"Mese",5,"Tipologia",$A153,"Viaggio",$A$144))
-IF(ISERROR(GETPIVOTDATA("Somma di AVERE",'Pivot Fineco St'!$A$3,"Mese",5,"Tipologia",$A153,"Viaggio",$A$144)),0,GETPIVOTDATA("Somma di AVERE",'Pivot Fineco St'!$A$3,"Mese",5,"Tipologia",$A153,"Viaggio",$A$144))
-IF(ISERROR(GETPIVOTDATA("Somma di AVERE",'Pivot Fineco Sa'!$A$3,"Mese",5,"Tipologia",$A153,"Viaggio",$A$144)),0,GETPIVOTDATA("Somma di AVERE",'Pivot Fineco Sa'!$A$3,"Mese",5,"Tipologia",$A153,"Viaggio",$A$144))
+IF(ISERROR(GETPIVOTDATA("Somma di DARE",'Pivot PP Visa'!$A$3,"Mese",5,"Tipologia",$A153,"Viaggio",$A$144)),0,GETPIVOTDATA("Somma di DARE",'Pivot PP Visa'!$A$3,"Mese",5,"Tipologia",$A153,"Viaggio",$A$144))
-IF(ISERROR(GETPIVOTDATA("Somma di AVERE",'Pivot PP Visa'!$A$3,"Mese",5,"Tipologia",$A153,"Viaggio",$A$144)),0,GETPIVOTDATA("Somma di AVERE",'Pivot PP Visa'!$A$3,"Mese",5,"Tipologia",$A153,"Viaggio",$A$144))
+IF(ISERROR(GETPIVOTDATA("Somma di DARE",'Pivot Revolut'!$A$3,"Mese",5,"Tipologia",$A153,"Viaggio",$A$144)),0,GETPIVOTDATA("Somma di DARE",'Pivot Revolut'!$A$3,"Mese",5,"Tipologia",$A153,"Viaggio",$A$144))
-IF(ISERROR(GETPIVOTDATA("Somma di AVERE",'Pivot Revolut'!$A$3,"Mese",5,"Tipologia",$A153,"Viaggio",$A$144)),0,GETPIVOTDATA("Somma di AVERE",'Pivot Revolut'!$A$3,"Mese",5,"Tipologia",$A153,"Viaggio",$A$144))
+IF(ISERROR(GETPIVOTDATA("Somma di DARE",'Pivot RakBank EUR'!$A$3,"Mese",5,"Tipologia",$A153,"Viaggio",$A$144)),0,GETPIVOTDATA("Somma di DARE",'Pivot RakBank EUR'!$A$3,"Mese",5,"Tipologia",$A153,"Viaggio",$A$144))
-IF(ISERROR(GETPIVOTDATA("Somma di AVERE",'Pivot RakBank EUR'!$A$3,"Mese",5,"Tipologia",$A153,"Viaggio",$A$144)),0,GETPIVOTDATA("Somma di AVERE",'Pivot RakBank EUR'!$A$3,"Mese",5,"Tipologia",$A153,"Viaggio",$A$144))
+IF(ISERROR(GETPIVOTDATA("Somma di DARE EUR",'Pivot RakBank AED'!$A$3,"Mese",5,"Tipologia",$A153,"Viaggio",$A$144)),0,GETPIVOTDATA("Somma di DARE EUR",'Pivot RakBank AED'!$A$3,"Mese",5,"Tipologia",$A153,"Viaggio",$A$144))
-IF(ISERROR(GETPIVOTDATA("Somma di AVERE EUR",'Pivot RakBank AED'!$A$3,"Mese",5,"Tipologia",$A153,"Viaggio",$A$144)),0,GETPIVOTDATA("Somma di AVERE EUR",'Pivot RakBank AED'!$A$3,"Mese",5,"Tipologia",$A153,"Viaggio",$A$144))</f>
        <v>0</v>
      </c>
      <c r="H153" s="270">
        <f>IF(ISERROR(GETPIVOTDATA("Somma di DARE",'Pivot Fineco Sa'!$A$3,"Mese",6,"Tipologia",$A153,"Viaggio",$A$144)),0,GETPIVOTDATA("Somma di DARE",'Pivot Fineco Sa'!$A$3,"Mese",6,"Tipologia",$A153,"Viaggio",$A$144))
+IF(ISERROR(GETPIVOTDATA("Somma di DARE",'Pivot Fineco St'!$A$3,"Mese",6,"Tipologia",$A153,"Viaggio",$A$144)),0,GETPIVOTDATA("Somma di DARE",'Pivot Fineco St'!$A$3,"Mese",6,"Tipologia",$A153,"Viaggio",$A$144))
+IF(Contanti!$Y47='Conto Economico'!$A$144,Contanti!$V47)
+IF(ISERROR(GETPIVOTDATA("Somma di DARE",'Pivot BBVA'!$A$3,"Mese",6,"Tipologia",$A153,"Viaggio",$A$144)),0,GETPIVOTDATA("Somma di DARE",'Pivot BBVA'!$A$3,"Mese",6,"Tipologia",$A153,"Viaggio",$A$144))
+IF(ISERROR(GETPIVOTDATA("Somma di DARE",'Pivot Amex'!$A$3,"Mese",6,"Tipologia",$A153,"Viaggio",$A$144)),0,GETPIVOTDATA("Somma di DARE",'Pivot Amex'!$A$3,"Mese",6,"Tipologia",$A153,"Viaggio",$A$144))
-IF(ISERROR(GETPIVOTDATA("Somma di AVERE",'Pivot Amex'!$A$3,"Mese",6,"Tipologia",$A153,"Viaggio",$A$144)),0,GETPIVOTDATA("Somma di AVERE",'Pivot Amex'!$A$3,"Mese",6,"Tipologia",$A153,"Viaggio",$A$144))
-IF(ISERROR(GETPIVOTDATA("Somma di AVERE",'Pivot BBVA'!$A$3,"Mese",6,"Tipologia",$A153,"Viaggio",$A$144)),0,GETPIVOTDATA("Somma di AVERE",'Pivot BBVA'!$A$3,"Mese",6,"Tipologia",$A153,"Viaggio",$A$144))
-IF(ISERROR(GETPIVOTDATA("Somma di AVERE",'Pivot Fineco St'!$A$3,"Mese",6,"Tipologia",$A153,"Viaggio",$A$144)),0,GETPIVOTDATA("Somma di AVERE",'Pivot Fineco St'!$A$3,"Mese",6,"Tipologia",$A153,"Viaggio",$A$144))
-IF(ISERROR(GETPIVOTDATA("Somma di AVERE",'Pivot Fineco Sa'!$A$3,"Mese",6,"Tipologia",$A153,"Viaggio",$A$144)),0,GETPIVOTDATA("Somma di AVERE",'Pivot Fineco Sa'!$A$3,"Mese",6,"Tipologia",$A153,"Viaggio",$A$144))
+IF(ISERROR(GETPIVOTDATA("Somma di DARE",'Pivot PP Visa'!$A$3,"Mese",6,"Tipologia",$A153,"Viaggio",$A$144)),0,GETPIVOTDATA("Somma di DARE",'Pivot PP Visa'!$A$3,"Mese",6,"Tipologia",$A153,"Viaggio",$A$144))
-IF(ISERROR(GETPIVOTDATA("Somma di AVERE",'Pivot PP Visa'!$A$3,"Mese",6,"Tipologia",$A153,"Viaggio",$A$144)),0,GETPIVOTDATA("Somma di AVERE",'Pivot PP Visa'!$A$3,"Mese",6,"Tipologia",$A153,"Viaggio",$A$144))
+IF(ISERROR(GETPIVOTDATA("Somma di DARE",'Pivot Revolut'!$A$3,"Mese",6,"Tipologia",$A153,"Viaggio",$A$144)),0,GETPIVOTDATA("Somma di DARE",'Pivot Revolut'!$A$3,"Mese",6,"Tipologia",$A153,"Viaggio",$A$144))
-IF(ISERROR(GETPIVOTDATA("Somma di AVERE",'Pivot Revolut'!$A$3,"Mese",6,"Tipologia",$A153,"Viaggio",$A$144)),0,GETPIVOTDATA("Somma di AVERE",'Pivot Revolut'!$A$3,"Mese",6,"Tipologia",$A153,"Viaggio",$A$144))
+IF(ISERROR(GETPIVOTDATA("Somma di DARE",'Pivot RakBank EUR'!$A$3,"Mese",6,"Tipologia",$A153,"Viaggio",$A$144)),0,GETPIVOTDATA("Somma di DARE",'Pivot RakBank EUR'!$A$3,"Mese",6,"Tipologia",$A153,"Viaggio",$A$144))
-IF(ISERROR(GETPIVOTDATA("Somma di AVERE",'Pivot RakBank EUR'!$A$3,"Mese",6,"Tipologia",$A153,"Viaggio",$A$144)),0,GETPIVOTDATA("Somma di AVERE",'Pivot RakBank EUR'!$A$3,"Mese",6,"Tipologia",$A153,"Viaggio",$A$144))
+IF(ISERROR(GETPIVOTDATA("Somma di DARE EUR",'Pivot RakBank AED'!$A$3,"Mese",6,"Tipologia",$A153,"Viaggio",$A$144)),0,GETPIVOTDATA("Somma di DARE EUR",'Pivot RakBank AED'!$A$3,"Mese",6,"Tipologia",$A153,"Viaggio",$A$144))
-IF(ISERROR(GETPIVOTDATA("Somma di AVERE EUR",'Pivot RakBank AED'!$A$3,"Mese",6,"Tipologia",$A153,"Viaggio",$A$144)),0,GETPIVOTDATA("Somma di AVERE EUR",'Pivot RakBank AED'!$A$3,"Mese",6,"Tipologia",$A153,"Viaggio",$A$144))</f>
        <v>0</v>
      </c>
      <c r="I153" s="270">
        <f>IF(ISERROR(GETPIVOTDATA("Somma di DARE",'Pivot Fineco Sa'!$A$3,"Mese",7,"Tipologia",$A153,"Viaggio",$A$144)),0,GETPIVOTDATA("Somma di DARE",'Pivot Fineco Sa'!$A$3,"Mese",7,"Tipologia",$A153,"Viaggio",$A$144))
+IF(ISERROR(GETPIVOTDATA("Somma di DARE",'Pivot Fineco St'!$A$3,"Mese",7,"Tipologia",$A153,"Viaggio",$A$144)),0,GETPIVOTDATA("Somma di DARE",'Pivot Fineco St'!$A$3,"Mese",7,"Tipologia",$A153,"Viaggio",$A$144))
+IF(Contanti!$AC47='Conto Economico'!$A$144,Contanti!$Z47)
+IF(ISERROR(GETPIVOTDATA("Somma di DARE",'Pivot BBVA'!$A$3,"Mese",7,"Tipologia",$A153,"Viaggio",$A$144)),0,GETPIVOTDATA("Somma di DARE",'Pivot BBVA'!$A$3,"Mese",7,"Tipologia",$A153,"Viaggio",$A$144))
+IF(ISERROR(GETPIVOTDATA("Somma di DARE",'Pivot Amex'!$A$3,"Mese",7,"Tipologia",$A153,"Viaggio",$A$144)),0,GETPIVOTDATA("Somma di DARE",'Pivot Amex'!$A$3,"Mese",7,"Tipologia",$A153,"Viaggio",$A$144))
-IF(ISERROR(GETPIVOTDATA("Somma di AVERE",'Pivot Amex'!$A$3,"Mese",7,"Tipologia",$A153,"Viaggio",$A$144)),0,GETPIVOTDATA("Somma di AVERE",'Pivot Amex'!$A$3,"Mese",7,"Tipologia",$A153,"Viaggio",$A$144))
-IF(ISERROR(GETPIVOTDATA("Somma di AVERE",'Pivot BBVA'!$A$3,"Mese",7,"Tipologia",$A153,"Viaggio",$A$144)),0,GETPIVOTDATA("Somma di AVERE",'Pivot BBVA'!$A$3,"Mese",7,"Tipologia",$A153,"Viaggio",$A$144))
-IF(ISERROR(GETPIVOTDATA("Somma di AVERE",'Pivot Fineco St'!$A$3,"Mese",7,"Tipologia",$A153,"Viaggio",$A$144)),0,GETPIVOTDATA("Somma di AVERE",'Pivot Fineco St'!$A$3,"Mese",7,"Tipologia",$A153,"Viaggio",$A$144))
-IF(ISERROR(GETPIVOTDATA("Somma di AVERE",'Pivot Fineco Sa'!$A$3,"Mese",7,"Tipologia",$A153,"Viaggio",$A$144)),0,GETPIVOTDATA("Somma di AVERE",'Pivot Fineco Sa'!$A$3,"Mese",7,"Tipologia",$A153,"Viaggio",$A$144))
+IF(ISERROR(GETPIVOTDATA("Somma di DARE",'Pivot PP Visa'!$A$3,"Mese",7,"Tipologia",$A153,"Viaggio",$A$144)),0,GETPIVOTDATA("Somma di DARE",'Pivot PP Visa'!$A$3,"Mese",7,"Tipologia",$A153,"Viaggio",$A$144))
-IF(ISERROR(GETPIVOTDATA("Somma di AVERE",'Pivot PP Visa'!$A$3,"Mese",7,"Tipologia",$A153,"Viaggio",$A$144)),0,GETPIVOTDATA("Somma di AVERE",'Pivot PP Visa'!$A$3,"Mese",7,"Tipologia",$A153,"Viaggio",$A$144))
+IF(ISERROR(GETPIVOTDATA("Somma di DARE",'Pivot Revolut'!$A$3,"Mese",7,"Tipologia",$A153,"Viaggio",$A$144)),0,GETPIVOTDATA("Somma di DARE",'Pivot Revolut'!$A$3,"Mese",7,"Tipologia",$A153,"Viaggio",$A$144))
-IF(ISERROR(GETPIVOTDATA("Somma di AVERE",'Pivot Revolut'!$A$3,"Mese",7,"Tipologia",$A153,"Viaggio",$A$144)),0,GETPIVOTDATA("Somma di AVERE",'Pivot Revolut'!$A$3,"Mese",7,"Tipologia",$A153,"Viaggio",$A$144))
+IF(ISERROR(GETPIVOTDATA("Somma di DARE",'Pivot RakBank EUR'!$A$3,"Mese",7,"Tipologia",$A153,"Viaggio",$A$144)),0,GETPIVOTDATA("Somma di DARE",'Pivot RakBank EUR'!$A$3,"Mese",7,"Tipologia",$A153,"Viaggio",$A$144))
-IF(ISERROR(GETPIVOTDATA("Somma di AVERE",'Pivot RakBank EUR'!$A$3,"Mese",7,"Tipologia",$A153,"Viaggio",$A$144)),0,GETPIVOTDATA("Somma di AVERE",'Pivot RakBank EUR'!$A$3,"Mese",7,"Tipologia",$A153,"Viaggio",$A$144))
+IF(ISERROR(GETPIVOTDATA("Somma di DARE EUR",'Pivot RakBank AED'!$A$3,"Mese",7,"Tipologia",$A153,"Viaggio",$A$144)),0,GETPIVOTDATA("Somma di DARE EUR",'Pivot RakBank AED'!$A$3,"Mese",7,"Tipologia",$A153,"Viaggio",$A$144))
-IF(ISERROR(GETPIVOTDATA("Somma di AVERE EUR",'Pivot RakBank AED'!$A$3,"Mese",7,"Tipologia",$A153,"Viaggio",$A$144)),0,GETPIVOTDATA("Somma di AVERE EUR",'Pivot RakBank AED'!$A$3,"Mese",7,"Tipologia",$A153,"Viaggio",$A$144))</f>
        <v>0</v>
      </c>
      <c r="J153" s="270">
        <f>IF(ISERROR(GETPIVOTDATA("Somma di DARE",'Pivot Fineco Sa'!$A$3,"Mese",8,"Tipologia",$A153,"Viaggio",$A$144)),0,GETPIVOTDATA("Somma di DARE",'Pivot Fineco Sa'!$A$3,"Mese",8,"Tipologia",$A153,"Viaggio",$A$144))
+IF(ISERROR(GETPIVOTDATA("Somma di DARE",'Pivot Fineco St'!$A$3,"Mese",8,"Tipologia",$A153,"Viaggio",$A$144)),0,GETPIVOTDATA("Somma di DARE",'Pivot Fineco St'!$A$3,"Mese",8,"Tipologia",$A153,"Viaggio",$A$144))
+IF(Contanti!$AG47='Conto Economico'!$A$144,Contanti!$AD47)
+IF(ISERROR(GETPIVOTDATA("Somma di DARE",'Pivot BBVA'!$A$3,"Mese",8,"Tipologia",$A153,"Viaggio",$A$144)),0,GETPIVOTDATA("Somma di DARE",'Pivot BBVA'!$A$3,"Mese",8,"Tipologia",$A153,"Viaggio",$A$144))
+IF(ISERROR(GETPIVOTDATA("Somma di DARE",'Pivot Amex'!$A$3,"Mese",8,"Tipologia",$A153,"Viaggio",$A$144)),0,GETPIVOTDATA("Somma di DARE",'Pivot Amex'!$A$3,"Mese",8,"Tipologia",$A153,"Viaggio",$A$144))
-IF(ISERROR(GETPIVOTDATA("Somma di AVERE",'Pivot Amex'!$A$3,"Mese",8,"Tipologia",$A153,"Viaggio",$A$144)),0,GETPIVOTDATA("Somma di AVERE",'Pivot Amex'!$A$3,"Mese",8,"Tipologia",$A153,"Viaggio",$A$144))
-IF(ISERROR(GETPIVOTDATA("Somma di AVERE",'Pivot BBVA'!$A$3,"Mese",8,"Tipologia",$A153,"Viaggio",$A$144)),0,GETPIVOTDATA("Somma di AVERE",'Pivot BBVA'!$A$3,"Mese",8,"Tipologia",$A153,"Viaggio",$A$144))
-IF(ISERROR(GETPIVOTDATA("Somma di AVERE",'Pivot Fineco St'!$A$3,"Mese",8,"Tipologia",$A153,"Viaggio",$A$144)),0,GETPIVOTDATA("Somma di AVERE",'Pivot Fineco St'!$A$3,"Mese",8,"Tipologia",$A153,"Viaggio",$A$144))
-IF(ISERROR(GETPIVOTDATA("Somma di AVERE",'Pivot Fineco Sa'!$A$3,"Mese",8,"Tipologia",$A153,"Viaggio",$A$144)),0,GETPIVOTDATA("Somma di AVERE",'Pivot Fineco Sa'!$A$3,"Mese",8,"Tipologia",$A153,"Viaggio",$A$144))
+IF(ISERROR(GETPIVOTDATA("Somma di DARE",'Pivot PP Visa'!$A$3,"Mese",8,"Tipologia",$A153,"Viaggio",$A$144)),0,GETPIVOTDATA("Somma di DARE",'Pivot PP Visa'!$A$3,"Mese",8,"Tipologia",$A153,"Viaggio",$A$144))
-IF(ISERROR(GETPIVOTDATA("Somma di AVERE",'Pivot PP Visa'!$A$3,"Mese",8,"Tipologia",$A153,"Viaggio",$A$144)),0,GETPIVOTDATA("Somma di AVERE",'Pivot PP Visa'!$A$3,"Mese",8,"Tipologia",$A153,"Viaggio",$A$144))
+IF(ISERROR(GETPIVOTDATA("Somma di DARE",'Pivot Revolut'!$A$3,"Mese",8,"Tipologia",$A153,"Viaggio",$A$144)),0,GETPIVOTDATA("Somma di DARE",'Pivot Revolut'!$A$3,"Mese",8,"Tipologia",$A153,"Viaggio",$A$144))
-IF(ISERROR(GETPIVOTDATA("Somma di AVERE",'Pivot Revolut'!$A$3,"Mese",8,"Tipologia",$A153,"Viaggio",$A$144)),0,GETPIVOTDATA("Somma di AVERE",'Pivot Revolut'!$A$3,"Mese",8,"Tipologia",$A153,"Viaggio",$A$144))
+IF(ISERROR(GETPIVOTDATA("Somma di DARE",'Pivot RakBank EUR'!$A$3,"Mese",8,"Tipologia",$A153,"Viaggio",$A$144)),0,GETPIVOTDATA("Somma di DARE",'Pivot RakBank EUR'!$A$3,"Mese",8,"Tipologia",$A153,"Viaggio",$A$144))
-IF(ISERROR(GETPIVOTDATA("Somma di AVERE",'Pivot RakBank EUR'!$A$3,"Mese",8,"Tipologia",$A153,"Viaggio",$A$144)),0,GETPIVOTDATA("Somma di AVERE",'Pivot RakBank EUR'!$A$3,"Mese",8,"Tipologia",$A153,"Viaggio",$A$144))
+IF(ISERROR(GETPIVOTDATA("Somma di DARE EUR",'Pivot RakBank AED'!$A$3,"Mese",8,"Tipologia",$A153,"Viaggio",$A$144)),0,GETPIVOTDATA("Somma di DARE EUR",'Pivot RakBank AED'!$A$3,"Mese",8,"Tipologia",$A153,"Viaggio",$A$144))
-IF(ISERROR(GETPIVOTDATA("Somma di AVERE EUR",'Pivot RakBank AED'!$A$3,"Mese",8,"Tipologia",$A153,"Viaggio",$A$144)),0,GETPIVOTDATA("Somma di AVERE EUR",'Pivot RakBank AED'!$A$3,"Mese",8,"Tipologia",$A153,"Viaggio",$A$144))</f>
        <v>0</v>
      </c>
      <c r="K153" s="270">
        <f>IF(ISERROR(GETPIVOTDATA("Somma di DARE",'Pivot Fineco Sa'!$A$3,"Mese",9,"Tipologia",$A153,"Viaggio",$A$144)),0,GETPIVOTDATA("Somma di DARE",'Pivot Fineco Sa'!$A$3,"Mese",9,"Tipologia",$A153,"Viaggio",$A$144))
+IF(ISERROR(GETPIVOTDATA("Somma di DARE",'Pivot Fineco St'!$A$3,"Mese",9,"Tipologia",$A153,"Viaggio",$A$144)),0,GETPIVOTDATA("Somma di DARE",'Pivot Fineco St'!$A$3,"Mese",9,"Tipologia",$A153,"Viaggio",$A$144))
+IF(Contanti!$AK47='Conto Economico'!$A$144,Contanti!$AH47)
+IF(ISERROR(GETPIVOTDATA("Somma di DARE",'Pivot BBVA'!$A$3,"Mese",9,"Tipologia",$A153,"Viaggio",$A$144)),0,GETPIVOTDATA("Somma di DARE",'Pivot BBVA'!$A$3,"Mese",9,"Tipologia",$A153,"Viaggio",$A$144))
+IF(ISERROR(GETPIVOTDATA("Somma di DARE",'Pivot Amex'!$A$3,"Mese",9,"Tipologia",$A153,"Viaggio",$A$144)),0,GETPIVOTDATA("Somma di DARE",'Pivot Amex'!$A$3,"Mese",9,"Tipologia",$A153,"Viaggio",$A$144))
-IF(ISERROR(GETPIVOTDATA("Somma di AVERE",'Pivot Amex'!$A$3,"Mese",9,"Tipologia",$A153,"Viaggio",$A$144)),0,GETPIVOTDATA("Somma di AVERE",'Pivot Amex'!$A$3,"Mese",9,"Tipologia",$A153,"Viaggio",$A$144))
-IF(ISERROR(GETPIVOTDATA("Somma di AVERE",'Pivot BBVA'!$A$3,"Mese",9,"Tipologia",$A153,"Viaggio",$A$144)),0,GETPIVOTDATA("Somma di AVERE",'Pivot BBVA'!$A$3,"Mese",9,"Tipologia",$A153,"Viaggio",$A$144))
-IF(ISERROR(GETPIVOTDATA("Somma di AVERE",'Pivot Fineco St'!$A$3,"Mese",9,"Tipologia",$A153,"Viaggio",$A$144)),0,GETPIVOTDATA("Somma di AVERE",'Pivot Fineco St'!$A$3,"Mese",9,"Tipologia",$A153,"Viaggio",$A$144))
-IF(ISERROR(GETPIVOTDATA("Somma di AVERE",'Pivot Fineco Sa'!$A$3,"Mese",9,"Tipologia",$A153,"Viaggio",$A$144)),0,GETPIVOTDATA("Somma di AVERE",'Pivot Fineco Sa'!$A$3,"Mese",9,"Tipologia",$A153,"Viaggio",$A$144))
+IF(ISERROR(GETPIVOTDATA("Somma di DARE",'Pivot PP Visa'!$A$3,"Mese",9,"Tipologia",$A153,"Viaggio",$A$144)),0,GETPIVOTDATA("Somma di DARE",'Pivot PP Visa'!$A$3,"Mese",9,"Tipologia",$A153,"Viaggio",$A$144))
-IF(ISERROR(GETPIVOTDATA("Somma di AVERE",'Pivot PP Visa'!$A$3,"Mese",9,"Tipologia",$A153,"Viaggio",$A$144)),0,GETPIVOTDATA("Somma di AVERE",'Pivot PP Visa'!$A$3,"Mese",9,"Tipologia",$A153,"Viaggio",$A$144))
+IF(ISERROR(GETPIVOTDATA("Somma di DARE",'Pivot Revolut'!$A$3,"Mese",9,"Tipologia",$A153,"Viaggio",$A$144)),0,GETPIVOTDATA("Somma di DARE",'Pivot Revolut'!$A$3,"Mese",9,"Tipologia",$A153,"Viaggio",$A$144))
-IF(ISERROR(GETPIVOTDATA("Somma di AVERE",'Pivot Revolut'!$A$3,"Mese",9,"Tipologia",$A153,"Viaggio",$A$144)),0,GETPIVOTDATA("Somma di AVERE",'Pivot Revolut'!$A$3,"Mese",9,"Tipologia",$A153,"Viaggio",$A$144))
+IF(ISERROR(GETPIVOTDATA("Somma di DARE",'Pivot RakBank EUR'!$A$3,"Mese",9,"Tipologia",$A153,"Viaggio",$A$144)),0,GETPIVOTDATA("Somma di DARE",'Pivot RakBank EUR'!$A$3,"Mese",9,"Tipologia",$A153,"Viaggio",$A$144))
-IF(ISERROR(GETPIVOTDATA("Somma di AVERE",'Pivot RakBank EUR'!$A$3,"Mese",9,"Tipologia",$A153,"Viaggio",$A$144)),0,GETPIVOTDATA("Somma di AVERE",'Pivot RakBank EUR'!$A$3,"Mese",9,"Tipologia",$A153,"Viaggio",$A$144))
+IF(ISERROR(GETPIVOTDATA("Somma di DARE EUR",'Pivot RakBank AED'!$A$3,"Mese",9,"Tipologia",$A153,"Viaggio",$A$144)),0,GETPIVOTDATA("Somma di DARE EUR",'Pivot RakBank AED'!$A$3,"Mese",9,"Tipologia",$A153,"Viaggio",$A$144))
-IF(ISERROR(GETPIVOTDATA("Somma di AVERE EUR",'Pivot RakBank AED'!$A$3,"Mese",9,"Tipologia",$A153,"Viaggio",$A$144)),0,GETPIVOTDATA("Somma di AVERE EUR",'Pivot RakBank AED'!$A$3,"Mese",9,"Tipologia",$A153,"Viaggio",$A$144))</f>
        <v>0</v>
      </c>
      <c r="L153" s="270">
        <f>IF(ISERROR(GETPIVOTDATA("Somma di DARE",'Pivot Fineco Sa'!$A$3,"Mese",10,"Tipologia",$A153,"Viaggio",$A$144)),0,GETPIVOTDATA("Somma di DARE",'Pivot Fineco Sa'!$A$3,"Mese",10,"Tipologia",$A153,"Viaggio",$A$144))
+IF(ISERROR(GETPIVOTDATA("Somma di DARE",'Pivot Fineco St'!$A$3,"Mese",10,"Tipologia",$A153,"Viaggio",$A$144)),0,GETPIVOTDATA("Somma di DARE",'Pivot Fineco St'!$A$3,"Mese",10,"Tipologia",$A153,"Viaggio",$A$144))
+IF(Contanti!$AO47='Conto Economico'!$A$144,Contanti!$AL47)
+IF(ISERROR(GETPIVOTDATA("Somma di DARE",'Pivot BBVA'!$A$3,"Mese",10,"Tipologia",$A153,"Viaggio",$A$144)),0,GETPIVOTDATA("Somma di DARE",'Pivot BBVA'!$A$3,"Mese",10,"Tipologia",$A153,"Viaggio",$A$144))
+IF(ISERROR(GETPIVOTDATA("Somma di DARE",'Pivot Amex'!$A$3,"Mese",10,"Tipologia",$A153,"Viaggio",$A$144)),0,GETPIVOTDATA("Somma di DARE",'Pivot Amex'!$A$3,"Mese",10,"Tipologia",$A153,"Viaggio",$A$144))
-IF(ISERROR(GETPIVOTDATA("Somma di AVERE",'Pivot Amex'!$A$3,"Mese",10,"Tipologia",$A153,"Viaggio",$A$144)),0,GETPIVOTDATA("Somma di AVERE",'Pivot Amex'!$A$3,"Mese",10,"Tipologia",$A153,"Viaggio",$A$144))
-IF(ISERROR(GETPIVOTDATA("Somma di AVERE",'Pivot BBVA'!$A$3,"Mese",10,"Tipologia",$A153,"Viaggio",$A$144)),0,GETPIVOTDATA("Somma di AVERE",'Pivot BBVA'!$A$3,"Mese",10,"Tipologia",$A153,"Viaggio",$A$144))
-IF(ISERROR(GETPIVOTDATA("Somma di AVERE",'Pivot Fineco St'!$A$3,"Mese",10,"Tipologia",$A153,"Viaggio",$A$144)),0,GETPIVOTDATA("Somma di AVERE",'Pivot Fineco St'!$A$3,"Mese",10,"Tipologia",$A153,"Viaggio",$A$144))
-IF(ISERROR(GETPIVOTDATA("Somma di AVERE",'Pivot Fineco Sa'!$A$3,"Mese",10,"Tipologia",$A153,"Viaggio",$A$144)),0,GETPIVOTDATA("Somma di AVERE",'Pivot Fineco Sa'!$A$3,"Mese",10,"Tipologia",$A153,"Viaggio",$A$144))
+IF(ISERROR(GETPIVOTDATA("Somma di DARE",'Pivot PP Visa'!$A$3,"Mese",10,"Tipologia",$A153,"Viaggio",$A$144)),0,GETPIVOTDATA("Somma di DARE",'Pivot PP Visa'!$A$3,"Mese",10,"Tipologia",$A153,"Viaggio",$A$144))
-IF(ISERROR(GETPIVOTDATA("Somma di AVERE",'Pivot PP Visa'!$A$3,"Mese",10,"Tipologia",$A153,"Viaggio",$A$144)),0,GETPIVOTDATA("Somma di AVERE",'Pivot PP Visa'!$A$3,"Mese",10,"Tipologia",$A153,"Viaggio",$A$144))
+IF(ISERROR(GETPIVOTDATA("Somma di DARE",'Pivot Revolut'!$A$3,"Mese",10,"Tipologia",$A153,"Viaggio",$A$144)),0,GETPIVOTDATA("Somma di DARE",'Pivot Revolut'!$A$3,"Mese",10,"Tipologia",$A153,"Viaggio",$A$144))
-IF(ISERROR(GETPIVOTDATA("Somma di AVERE",'Pivot Revolut'!$A$3,"Mese",10,"Tipologia",$A153,"Viaggio",$A$144)),0,GETPIVOTDATA("Somma di AVERE",'Pivot Revolut'!$A$3,"Mese",10,"Tipologia",$A153,"Viaggio",$A$144))
+IF(ISERROR(GETPIVOTDATA("Somma di DARE",'Pivot RakBank EUR'!$A$3,"Mese",10,"Tipologia",$A153,"Viaggio",$A$144)),0,GETPIVOTDATA("Somma di DARE",'Pivot RakBank EUR'!$A$3,"Mese",10,"Tipologia",$A153,"Viaggio",$A$144))
-IF(ISERROR(GETPIVOTDATA("Somma di AVERE",'Pivot RakBank EUR'!$A$3,"Mese",10,"Tipologia",$A153,"Viaggio",$A$144)),0,GETPIVOTDATA("Somma di AVERE",'Pivot RakBank EUR'!$A$3,"Mese",10,"Tipologia",$A153,"Viaggio",$A$144))
+IF(ISERROR(GETPIVOTDATA("Somma di DARE EUR",'Pivot RakBank AED'!$A$3,"Mese",10,"Tipologia",$A153,"Viaggio",$A$144)),0,GETPIVOTDATA("Somma di DARE EUR",'Pivot RakBank AED'!$A$3,"Mese",10,"Tipologia",$A153,"Viaggio",$A$144))
-IF(ISERROR(GETPIVOTDATA("Somma di AVERE EUR",'Pivot RakBank AED'!$A$3,"Mese",10,"Tipologia",$A153,"Viaggio",$A$144)),0,GETPIVOTDATA("Somma di AVERE EUR",'Pivot RakBank AED'!$A$3,"Mese",10,"Tipologia",$A153,"Viaggio",$A$144))</f>
        <v>0</v>
      </c>
      <c r="M153" s="270">
        <f>IF(ISERROR(GETPIVOTDATA("Somma di DARE",'Pivot Fineco Sa'!$A$3,"Mese",11,"Tipologia",$A153,"Viaggio",$A$144)),0,GETPIVOTDATA("Somma di DARE",'Pivot Fineco Sa'!$A$3,"Mese",11,"Tipologia",$A153,"Viaggio",$A$144))
+IF(ISERROR(GETPIVOTDATA("Somma di DARE",'Pivot Fineco St'!$A$3,"Mese",11,"Tipologia",$A153,"Viaggio",$A$144)),0,GETPIVOTDATA("Somma di DARE",'Pivot Fineco St'!$A$3,"Mese",11,"Tipologia",$A153,"Viaggio",$A$144))
+IF(Contanti!$AS47='Conto Economico'!$A$144,Contanti!$AP47)
+IF(ISERROR(GETPIVOTDATA("Somma di DARE",'Pivot BBVA'!$A$3,"Mese",11,"Tipologia",$A153,"Viaggio",$A$144)),0,GETPIVOTDATA("Somma di DARE",'Pivot BBVA'!$A$3,"Mese",11,"Tipologia",$A153,"Viaggio",$A$144))
+IF(ISERROR(GETPIVOTDATA("Somma di DARE",'Pivot Amex'!$A$3,"Mese",11,"Tipologia",$A153,"Viaggio",$A$144)),0,GETPIVOTDATA("Somma di DARE",'Pivot Amex'!$A$3,"Mese",11,"Tipologia",$A153,"Viaggio",$A$144))
-IF(ISERROR(GETPIVOTDATA("Somma di AVERE",'Pivot Amex'!$A$3,"Mese",11,"Tipologia",$A153,"Viaggio",$A$144)),0,GETPIVOTDATA("Somma di AVERE",'Pivot Amex'!$A$3,"Mese",11,"Tipologia",$A153,"Viaggio",$A$144))
-IF(ISERROR(GETPIVOTDATA("Somma di AVERE",'Pivot BBVA'!$A$3,"Mese",11,"Tipologia",$A153,"Viaggio",$A$144)),0,GETPIVOTDATA("Somma di AVERE",'Pivot BBVA'!$A$3,"Mese",11,"Tipologia",$A153,"Viaggio",$A$144))
-IF(ISERROR(GETPIVOTDATA("Somma di AVERE",'Pivot Fineco St'!$A$3,"Mese",11,"Tipologia",$A153,"Viaggio",$A$144)),0,GETPIVOTDATA("Somma di AVERE",'Pivot Fineco St'!$A$3,"Mese",11,"Tipologia",$A153,"Viaggio",$A$144))
-IF(ISERROR(GETPIVOTDATA("Somma di AVERE",'Pivot Fineco Sa'!$A$3,"Mese",11,"Tipologia",$A153,"Viaggio",$A$144)),0,GETPIVOTDATA("Somma di AVERE",'Pivot Fineco Sa'!$A$3,"Mese",11,"Tipologia",$A153,"Viaggio",$A$144))
+IF(ISERROR(GETPIVOTDATA("Somma di DARE",'Pivot PP Visa'!$A$3,"Mese",11,"Tipologia",$A153,"Viaggio",$A$144)),0,GETPIVOTDATA("Somma di DARE",'Pivot PP Visa'!$A$3,"Mese",11,"Tipologia",$A153,"Viaggio",$A$144))
-IF(ISERROR(GETPIVOTDATA("Somma di AVERE",'Pivot PP Visa'!$A$3,"Mese",11,"Tipologia",$A153,"Viaggio",$A$144)),0,GETPIVOTDATA("Somma di AVERE",'Pivot PP Visa'!$A$3,"Mese",11,"Tipologia",$A153,"Viaggio",$A$144))
+IF(ISERROR(GETPIVOTDATA("Somma di DARE",'Pivot Revolut'!$A$3,"Mese",11,"Tipologia",$A153,"Viaggio",$A$144)),0,GETPIVOTDATA("Somma di DARE",'Pivot Revolut'!$A$3,"Mese",11,"Tipologia",$A153,"Viaggio",$A$144))
-IF(ISERROR(GETPIVOTDATA("Somma di AVERE",'Pivot Revolut'!$A$3,"Mese",11,"Tipologia",$A153,"Viaggio",$A$144)),0,GETPIVOTDATA("Somma di AVERE",'Pivot Revolut'!$A$3,"Mese",11,"Tipologia",$A153,"Viaggio",$A$144))
+IF(ISERROR(GETPIVOTDATA("Somma di DARE",'Pivot RakBank EUR'!$A$3,"Mese",11,"Tipologia",$A153,"Viaggio",$A$144)),0,GETPIVOTDATA("Somma di DARE",'Pivot RakBank EUR'!$A$3,"Mese",11,"Tipologia",$A153,"Viaggio",$A$144))
-IF(ISERROR(GETPIVOTDATA("Somma di AVERE",'Pivot RakBank EUR'!$A$3,"Mese",11,"Tipologia",$A153,"Viaggio",$A$144)),0,GETPIVOTDATA("Somma di AVERE",'Pivot RakBank EUR'!$A$3,"Mese",11,"Tipologia",$A153,"Viaggio",$A$144))
+IF(ISERROR(GETPIVOTDATA("Somma di DARE EUR",'Pivot RakBank AED'!$A$3,"Mese",11,"Tipologia",$A153,"Viaggio",$A$144)),0,GETPIVOTDATA("Somma di DARE EUR",'Pivot RakBank AED'!$A$3,"Mese",11,"Tipologia",$A153,"Viaggio",$A$144))
-IF(ISERROR(GETPIVOTDATA("Somma di AVERE EUR",'Pivot RakBank AED'!$A$3,"Mese",11,"Tipologia",$A153,"Viaggio",$A$144)),0,GETPIVOTDATA("Somma di AVERE EUR",'Pivot RakBank AED'!$A$3,"Mese",11,"Tipologia",$A153,"Viaggio",$A$144))</f>
        <v>0</v>
      </c>
      <c r="N153" s="270">
        <f>IF(ISERROR(GETPIVOTDATA("Somma di DARE",'Pivot Fineco Sa'!$A$3,"Mese",12,"Tipologia",$A153,"Viaggio",$A$144)),0,GETPIVOTDATA("Somma di DARE",'Pivot Fineco Sa'!$A$3,"Mese",12,"Tipologia",$A153,"Viaggio",$A$144))
+IF(ISERROR(GETPIVOTDATA("Somma di DARE",'Pivot Fineco St'!$A$3,"Mese",12,"Tipologia",$A153,"Viaggio",$A$144)),0,GETPIVOTDATA("Somma di DARE",'Pivot Fineco St'!$A$3,"Mese",12,"Tipologia",$A153,"Viaggio",$A$144))
+IF(Contanti!$AW47='Conto Economico'!$A$144,Contanti!$AT47)
+IF(ISERROR(GETPIVOTDATA("Somma di DARE",'Pivot BBVA'!$A$3,"Mese",12,"Tipologia",$A153,"Viaggio",$A$144)),0,GETPIVOTDATA("Somma di DARE",'Pivot BBVA'!$A$3,"Mese",12,"Tipologia",$A153,"Viaggio",$A$144))
+IF(ISERROR(GETPIVOTDATA("Somma di DARE",'Pivot Amex'!$A$3,"Mese",12,"Tipologia",$A153,"Viaggio",$A$144)),0,GETPIVOTDATA("Somma di DARE",'Pivot Amex'!$A$3,"Mese",12,"Tipologia",$A153,"Viaggio",$A$144))
-IF(ISERROR(GETPIVOTDATA("Somma di AVERE",'Pivot Amex'!$A$3,"Mese",12,"Tipologia",$A153,"Viaggio",$A$144)),0,GETPIVOTDATA("Somma di AVERE",'Pivot Amex'!$A$3,"Mese",12,"Tipologia",$A153,"Viaggio",$A$144))
-IF(ISERROR(GETPIVOTDATA("Somma di AVERE",'Pivot BBVA'!$A$3,"Mese",12,"Tipologia",$A153,"Viaggio",$A$144)),0,GETPIVOTDATA("Somma di AVERE",'Pivot BBVA'!$A$3,"Mese",12,"Tipologia",$A153,"Viaggio",$A$144))
-IF(ISERROR(GETPIVOTDATA("Somma di AVERE",'Pivot Fineco St'!$A$3,"Mese",12,"Tipologia",$A153,"Viaggio",$A$144)),0,GETPIVOTDATA("Somma di AVERE",'Pivot Fineco St'!$A$3,"Mese",12,"Tipologia",$A153,"Viaggio",$A$144))
-IF(ISERROR(GETPIVOTDATA("Somma di AVERE",'Pivot Fineco Sa'!$A$3,"Mese",12,"Tipologia",$A153,"Viaggio",$A$144)),0,GETPIVOTDATA("Somma di AVERE",'Pivot Fineco Sa'!$A$3,"Mese",12,"Tipologia",$A153,"Viaggio",$A$144))
+IF(ISERROR(GETPIVOTDATA("Somma di DARE",'Pivot PP Visa'!$A$3,"Mese",12,"Tipologia",$A153,"Viaggio",$A$144)),0,GETPIVOTDATA("Somma di DARE",'Pivot PP Visa'!$A$3,"Mese",12,"Tipologia",$A153,"Viaggio",$A$144))
-IF(ISERROR(GETPIVOTDATA("Somma di AVERE",'Pivot PP Visa'!$A$3,"Mese",12,"Tipologia",$A153,"Viaggio",$A$144)),0,GETPIVOTDATA("Somma di AVERE",'Pivot PP Visa'!$A$3,"Mese",12,"Tipologia",$A153,"Viaggio",$A$144))
+IF(ISERROR(GETPIVOTDATA("Somma di DARE",'Pivot Revolut'!$A$3,"Mese",12,"Tipologia",$A153,"Viaggio",$A$144)),0,GETPIVOTDATA("Somma di DARE",'Pivot Revolut'!$A$3,"Mese",12,"Tipologia",$A153,"Viaggio",$A$144))
-IF(ISERROR(GETPIVOTDATA("Somma di AVERE",'Pivot Revolut'!$A$3,"Mese",12,"Tipologia",$A153,"Viaggio",$A$144)),0,GETPIVOTDATA("Somma di AVERE",'Pivot Revolut'!$A$3,"Mese",12,"Tipologia",$A153,"Viaggio",$A$144))
+IF(ISERROR(GETPIVOTDATA("Somma di DARE",'Pivot RakBank EUR'!$A$3,"Mese",12,"Tipologia",$A153,"Viaggio",$A$144)),0,GETPIVOTDATA("Somma di DARE",'Pivot RakBank EUR'!$A$3,"Mese",12,"Tipologia",$A153,"Viaggio",$A$144))
-IF(ISERROR(GETPIVOTDATA("Somma di AVERE",'Pivot RakBank EUR'!$A$3,"Mese",12,"Tipologia",$A153,"Viaggio",$A$144)),0,GETPIVOTDATA("Somma di AVERE",'Pivot RakBank EUR'!$A$3,"Mese",12,"Tipologia",$A153,"Viaggio",$A$144))
+IF(ISERROR(GETPIVOTDATA("Somma di DARE EUR",'Pivot RakBank AED'!$A$3,"Mese",12,"Tipologia",$A153,"Viaggio",$A$144)),0,GETPIVOTDATA("Somma di DARE EUR",'Pivot RakBank AED'!$A$3,"Mese",12,"Tipologia",$A153,"Viaggio",$A$144))
-IF(ISERROR(GETPIVOTDATA("Somma di AVERE EUR",'Pivot RakBank AED'!$A$3,"Mese",12,"Tipologia",$A153,"Viaggio",$A$144)),0,GETPIVOTDATA("Somma di AVERE EUR",'Pivot RakBank AED'!$A$3,"Mese",12,"Tipologia",$A153,"Viaggio",$A$144))</f>
        <v>0</v>
      </c>
      <c r="O153" s="271">
        <f t="shared" si="19"/>
        <v>0</v>
      </c>
      <c r="P153" s="270"/>
    </row>
    <row r="154" spans="1:16" s="131" customFormat="1" ht="14" outlineLevel="1" x14ac:dyDescent="0.2">
      <c r="A154" s="269" t="s">
        <v>103</v>
      </c>
      <c r="B154" s="269"/>
      <c r="C154" s="270">
        <f>IF(ISERROR(GETPIVOTDATA("Somma di DARE",'Pivot Fineco Sa'!$A$3,"Mese",1,"Tipologia",$A154,"Viaggio",$A$144)),0,GETPIVOTDATA("Somma di DARE",'Pivot Fineco Sa'!$A$3,"Mese",1,"Tipologia",$A154,"Viaggio",$A$144))
+IF(ISERROR(GETPIVOTDATA("Somma di DARE",'Pivot Fineco St'!$A$3,"Mese",1,"Tipologia",$A154,"Viaggio",$A$144)),0,GETPIVOTDATA("Somma di DARE",'Pivot Fineco St'!$A$3,"Mese",1,"Tipologia",$A154,"Viaggio",$A$144))
+IF(Contanti!$E48='Conto Economico'!$A$144,Contanti!$B48)
+IF(ISERROR(GETPIVOTDATA("Somma di DARE",'Pivot BBVA'!$A$3,"Mese",1,"Tipologia",$A154,"Viaggio",$A$144)),0,GETPIVOTDATA("Somma di DARE",'Pivot BBVA'!$A$3,"Mese",1,"Tipologia",$A154,"Viaggio",$A$144))
+IF(ISERROR(GETPIVOTDATA("Somma di DARE",'Pivot Amex'!$A$3,"Mese",1,"Tipologia",$A154,"Viaggio",$A$144)),0,GETPIVOTDATA("Somma di DARE",'Pivot Amex'!$A$3,"Mese",1,"Tipologia",$A154,"Viaggio",$A$144))
-IF(ISERROR(GETPIVOTDATA("Somma di AVERE",'Pivot Amex'!$A$3,"Mese",1,"Tipologia",$A154,"Viaggio",$A$144)),0,GETPIVOTDATA("Somma di AVERE",'Pivot Amex'!$A$3,"Mese",1,"Tipologia",$A154,"Viaggio",$A$144))
-IF(ISERROR(GETPIVOTDATA("Somma di AVERE",'Pivot BBVA'!$A$3,"Mese",1,"Tipologia",$A154,"Viaggio",$A$144)),0,GETPIVOTDATA("Somma di AVERE",'Pivot BBVA'!$A$3,"Mese",1,"Tipologia",$A154,"Viaggio",$A$144))
-IF(ISERROR(GETPIVOTDATA("Somma di AVERE",'Pivot Fineco St'!$A$3,"Mese",1,"Tipologia",$A154,"Viaggio",$A$144)),0,GETPIVOTDATA("Somma di AVERE",'Pivot Fineco St'!$A$3,"Mese",1,"Tipologia",$A154,"Viaggio",$A$144))
-IF(ISERROR(GETPIVOTDATA("Somma di AVERE",'Pivot Fineco Sa'!$A$3,"Mese",1,"Tipologia",$A154,"Viaggio",$A$144)),0,GETPIVOTDATA("Somma di AVERE",'Pivot Fineco Sa'!$A$3,"Mese",1,"Tipologia",$A154,"Viaggio",$A$144))
+IF(ISERROR(GETPIVOTDATA("Somma di DARE",'Pivot PP Visa'!$A$3,"Mese",1,"Tipologia",$A154,"Viaggio",$A$144)),0,GETPIVOTDATA("Somma di DARE",'Pivot PP Visa'!$A$3,"Mese",1,"Tipologia",$A154,"Viaggio",$A$144))
-IF(ISERROR(GETPIVOTDATA("Somma di AVERE",'Pivot PP Visa'!$A$3,"Mese",1,"Tipologia",$A154,"Viaggio",$A$144)),0,GETPIVOTDATA("Somma di AVERE",'Pivot PP Visa'!$A$3,"Mese",1,"Tipologia",$A154,"Viaggio",$A$144))
+IF(ISERROR(GETPIVOTDATA("Somma di DARE",'Pivot Revolut'!$A$3,"Mese",1,"Tipologia",$A154,"Viaggio",$A$144)),0,GETPIVOTDATA("Somma di DARE",'Pivot Revolut'!$A$3,"Mese",1,"Tipologia",$A154,"Viaggio",$A$144))
-IF(ISERROR(GETPIVOTDATA("Somma di AVERE",'Pivot Revolut'!$A$3,"Mese",1,"Tipologia",$A154,"Viaggio",$A$144)),0,GETPIVOTDATA("Somma di AVERE",'Pivot Revolut'!$A$3,"Mese",1,"Tipologia",$A154,"Viaggio",$A$144))
+IF(ISERROR(GETPIVOTDATA("Somma di DARE",'Pivot RakBank EUR'!$A$3,"Mese",1,"Tipologia",$A154,"Viaggio",$A$144)),0,GETPIVOTDATA("Somma di DARE",'Pivot RakBank EUR'!$A$3,"Mese",1,"Tipologia",$A154,"Viaggio",$A$144))
-IF(ISERROR(GETPIVOTDATA("Somma di AVERE",'Pivot RakBank EUR'!$A$3,"Mese",1,"Tipologia",$A154,"Viaggio",$A$144)),0,GETPIVOTDATA("Somma di AVERE",'Pivot RakBank EUR'!$A$3,"Mese",1,"Tipologia",$A154,"Viaggio",$A$144))
+IF(ISERROR(GETPIVOTDATA("Somma di DARE EUR",'Pivot RakBank AED'!$A$3,"Mese",1,"Tipologia",$A154,"Viaggio",$A$144)),0,GETPIVOTDATA("Somma di DARE EUR",'Pivot RakBank AED'!$A$3,"Mese",1,"Tipologia",$A154,"Viaggio",$A$144))
-IF(ISERROR(GETPIVOTDATA("Somma di AVERE EUR",'Pivot RakBank AED'!$A$3,"Mese",1,"Tipologia",$A154,"Viaggio",$A$144)),0,GETPIVOTDATA("Somma di AVERE EUR",'Pivot RakBank AED'!$A$3,"Mese",1,"Tipologia",$A154,"Viaggio",$A$144))</f>
        <v>0</v>
      </c>
      <c r="D154" s="270">
        <f>IF(ISERROR(GETPIVOTDATA("Somma di DARE",'Pivot Fineco Sa'!$A$3,"Mese",2,"Tipologia",$A154,"Viaggio",$A$144)),0,GETPIVOTDATA("Somma di DARE",'Pivot Fineco Sa'!$A$3,"Mese",2,"Tipologia",$A154,"Viaggio",$A$144))
+IF(ISERROR(GETPIVOTDATA("Somma di DARE",'Pivot Fineco St'!$A$3,"Mese",2,"Tipologia",$A154,"Viaggio",$A$144)),0,GETPIVOTDATA("Somma di DARE",'Pivot Fineco St'!$A$3,"Mese",2,"Tipologia",$A154,"Viaggio",$A$144))
+IF(Contanti!$I48='Conto Economico'!$A$144,Contanti!$F48)
+IF(ISERROR(GETPIVOTDATA("Somma di DARE",'Pivot BBVA'!$A$3,"Mese",2,"Tipologia",$A154,"Viaggio",$A$144)),0,GETPIVOTDATA("Somma di DARE",'Pivot BBVA'!$A$3,"Mese",2,"Tipologia",$A154,"Viaggio",$A$144))
+IF(ISERROR(GETPIVOTDATA("Somma di DARE",'Pivot Amex'!$A$3,"Mese",2,"Tipologia",$A154,"Viaggio",$A$144)),0,GETPIVOTDATA("Somma di DARE",'Pivot Amex'!$A$3,"Mese",2,"Tipologia",$A154,"Viaggio",$A$144))
-IF(ISERROR(GETPIVOTDATA("Somma di AVERE",'Pivot Amex'!$A$3,"Mese",2,"Tipologia",$A154,"Viaggio",$A$144)),0,GETPIVOTDATA("Somma di AVERE",'Pivot Amex'!$A$3,"Mese",2,"Tipologia",$A154,"Viaggio",$A$144))
-IF(ISERROR(GETPIVOTDATA("Somma di AVERE",'Pivot BBVA'!$A$3,"Mese",2,"Tipologia",$A154,"Viaggio",$A$144)),0,GETPIVOTDATA("Somma di AVERE",'Pivot BBVA'!$A$3,"Mese",2,"Tipologia",$A154,"Viaggio",$A$144))
-IF(ISERROR(GETPIVOTDATA("Somma di AVERE",'Pivot Fineco St'!$A$3,"Mese",2,"Tipologia",$A154,"Viaggio",$A$144)),0,GETPIVOTDATA("Somma di AVERE",'Pivot Fineco St'!$A$3,"Mese",2,"Tipologia",$A154,"Viaggio",$A$144))
-IF(ISERROR(GETPIVOTDATA("Somma di AVERE",'Pivot Fineco Sa'!$A$3,"Mese",2,"Tipologia",$A154,"Viaggio",$A$144)),0,GETPIVOTDATA("Somma di AVERE",'Pivot Fineco Sa'!$A$3,"Mese",2,"Tipologia",$A154,"Viaggio",$A$144))
+IF(ISERROR(GETPIVOTDATA("Somma di DARE",'Pivot PP Visa'!$A$3,"Mese",2,"Tipologia",$A154,"Viaggio",$A$144)),0,GETPIVOTDATA("Somma di DARE",'Pivot PP Visa'!$A$3,"Mese",2,"Tipologia",$A154,"Viaggio",$A$144))
-IF(ISERROR(GETPIVOTDATA("Somma di AVERE",'Pivot PP Visa'!$A$3,"Mese",2,"Tipologia",$A154,"Viaggio",$A$144)),0,GETPIVOTDATA("Somma di AVERE",'Pivot PP Visa'!$A$3,"Mese",2,"Tipologia",$A154,"Viaggio",$A$144))
+IF(ISERROR(GETPIVOTDATA("Somma di DARE",'Pivot Revolut'!$A$3,"Mese",2,"Tipologia",$A154,"Viaggio",$A$144)),0,GETPIVOTDATA("Somma di DARE",'Pivot Revolut'!$A$3,"Mese",2,"Tipologia",$A154,"Viaggio",$A$144))
-IF(ISERROR(GETPIVOTDATA("Somma di AVERE",'Pivot Revolut'!$A$3,"Mese",2,"Tipologia",$A154,"Viaggio",$A$144)),0,GETPIVOTDATA("Somma di AVERE",'Pivot Revolut'!$A$3,"Mese",2,"Tipologia",$A154,"Viaggio",$A$144))
+IF(ISERROR(GETPIVOTDATA("Somma di DARE",'Pivot RakBank EUR'!$A$3,"Mese",2,"Tipologia",$A154,"Viaggio",$A$144)),0,GETPIVOTDATA("Somma di DARE",'Pivot RakBank EUR'!$A$3,"Mese",2,"Tipologia",$A154,"Viaggio",$A$144))
-IF(ISERROR(GETPIVOTDATA("Somma di AVERE",'Pivot RakBank EUR'!$A$3,"Mese",2,"Tipologia",$A154,"Viaggio",$A$144)),0,GETPIVOTDATA("Somma di AVERE",'Pivot RakBank EUR'!$A$3,"Mese",2,"Tipologia",$A154,"Viaggio",$A$144))
+IF(ISERROR(GETPIVOTDATA("Somma di DARE EUR",'Pivot RakBank AED'!$A$3,"Mese",2,"Tipologia",$A154,"Viaggio",$A$144)),0,GETPIVOTDATA("Somma di DARE EUR",'Pivot RakBank AED'!$A$3,"Mese",2,"Tipologia",$A154,"Viaggio",$A$144))
-IF(ISERROR(GETPIVOTDATA("Somma di AVERE EUR",'Pivot RakBank AED'!$A$3,"Mese",2,"Tipologia",$A154,"Viaggio",$A$144)),0,GETPIVOTDATA("Somma di AVERE EUR",'Pivot RakBank AED'!$A$3,"Mese",2,"Tipologia",$A154,"Viaggio",$A$144))</f>
        <v>0</v>
      </c>
      <c r="E154" s="270">
        <f>IF(ISERROR(GETPIVOTDATA("Somma di DARE",'Pivot Fineco Sa'!$A$3,"Mese",3,"Tipologia",$A154,"Viaggio",$A$144)),0,GETPIVOTDATA("Somma di DARE",'Pivot Fineco Sa'!$A$3,"Mese",3,"Tipologia",$A154,"Viaggio",$A$144))
+IF(ISERROR(GETPIVOTDATA("Somma di DARE",'Pivot Fineco St'!$A$3,"Mese",3,"Tipologia",$A154,"Viaggio",$A$144)),0,GETPIVOTDATA("Somma di DARE",'Pivot Fineco St'!$A$3,"Mese",3,"Tipologia",$A154,"Viaggio",$A$144))
+IF(Contanti!$M48='Conto Economico'!$A$144,Contanti!$J48)
+IF(ISERROR(GETPIVOTDATA("Somma di DARE",'Pivot BBVA'!$A$3,"Mese",3,"Tipologia",$A154,"Viaggio",$A$144)),0,GETPIVOTDATA("Somma di DARE",'Pivot BBVA'!$A$3,"Mese",3,"Tipologia",$A154,"Viaggio",$A$144))
+IF(ISERROR(GETPIVOTDATA("Somma di DARE",'Pivot Amex'!$A$3,"Mese",3,"Tipologia",$A154,"Viaggio",$A$144)),0,GETPIVOTDATA("Somma di DARE",'Pivot Amex'!$A$3,"Mese",3,"Tipologia",$A154,"Viaggio",$A$144))
-IF(ISERROR(GETPIVOTDATA("Somma di AVERE",'Pivot Amex'!$A$3,"Mese",3,"Tipologia",$A154,"Viaggio",$A$144)),0,GETPIVOTDATA("Somma di AVERE",'Pivot Amex'!$A$3,"Mese",3,"Tipologia",$A154,"Viaggio",$A$144))
-IF(ISERROR(GETPIVOTDATA("Somma di AVERE",'Pivot BBVA'!$A$3,"Mese",3,"Tipologia",$A154,"Viaggio",$A$144)),0,GETPIVOTDATA("Somma di AVERE",'Pivot BBVA'!$A$3,"Mese",3,"Tipologia",$A154,"Viaggio",$A$144))
-IF(ISERROR(GETPIVOTDATA("Somma di AVERE",'Pivot Fineco St'!$A$3,"Mese",3,"Tipologia",$A154,"Viaggio",$A$144)),0,GETPIVOTDATA("Somma di AVERE",'Pivot Fineco St'!$A$3,"Mese",3,"Tipologia",$A154,"Viaggio",$A$144))
-IF(ISERROR(GETPIVOTDATA("Somma di AVERE",'Pivot Fineco Sa'!$A$3,"Mese",3,"Tipologia",$A154,"Viaggio",$A$144)),0,GETPIVOTDATA("Somma di AVERE",'Pivot Fineco Sa'!$A$3,"Mese",3,"Tipologia",$A154,"Viaggio",$A$144))
+IF(ISERROR(GETPIVOTDATA("Somma di DARE",'Pivot PP Visa'!$A$3,"Mese",3,"Tipologia",$A154,"Viaggio",$A$144)),0,GETPIVOTDATA("Somma di DARE",'Pivot PP Visa'!$A$3,"Mese",3,"Tipologia",$A154,"Viaggio",$A$144))
-IF(ISERROR(GETPIVOTDATA("Somma di AVERE",'Pivot PP Visa'!$A$3,"Mese",3,"Tipologia",$A154,"Viaggio",$A$144)),0,GETPIVOTDATA("Somma di AVERE",'Pivot PP Visa'!$A$3,"Mese",3,"Tipologia",$A154,"Viaggio",$A$144))
+IF(ISERROR(GETPIVOTDATA("Somma di DARE",'Pivot Revolut'!$A$3,"Mese",3,"Tipologia",$A154,"Viaggio",$A$144)),0,GETPIVOTDATA("Somma di DARE",'Pivot Revolut'!$A$3,"Mese",3,"Tipologia",$A154,"Viaggio",$A$144))
-IF(ISERROR(GETPIVOTDATA("Somma di AVERE",'Pivot Revolut'!$A$3,"Mese",3,"Tipologia",$A154,"Viaggio",$A$144)),0,GETPIVOTDATA("Somma di AVERE",'Pivot Revolut'!$A$3,"Mese",3,"Tipologia",$A154,"Viaggio",$A$144))
+IF(ISERROR(GETPIVOTDATA("Somma di DARE",'Pivot RakBank EUR'!$A$3,"Mese",3,"Tipologia",$A154,"Viaggio",$A$144)),0,GETPIVOTDATA("Somma di DARE",'Pivot RakBank EUR'!$A$3,"Mese",3,"Tipologia",$A154,"Viaggio",$A$144))
-IF(ISERROR(GETPIVOTDATA("Somma di AVERE",'Pivot RakBank EUR'!$A$3,"Mese",3,"Tipologia",$A154,"Viaggio",$A$144)),0,GETPIVOTDATA("Somma di AVERE",'Pivot RakBank EUR'!$A$3,"Mese",3,"Tipologia",$A154,"Viaggio",$A$144))
+IF(ISERROR(GETPIVOTDATA("Somma di DARE EUR",'Pivot RakBank AED'!$A$3,"Mese",3,"Tipologia",$A154,"Viaggio",$A$144)),0,GETPIVOTDATA("Somma di DARE EUR",'Pivot RakBank AED'!$A$3,"Mese",3,"Tipologia",$A154,"Viaggio",$A$144))
-IF(ISERROR(GETPIVOTDATA("Somma di AVERE EUR",'Pivot RakBank AED'!$A$3,"Mese",3,"Tipologia",$A154,"Viaggio",$A$144)),0,GETPIVOTDATA("Somma di AVERE EUR",'Pivot RakBank AED'!$A$3,"Mese",3,"Tipologia",$A154,"Viaggio",$A$144))</f>
        <v>0</v>
      </c>
      <c r="F154" s="270">
        <f>IF(ISERROR(GETPIVOTDATA("Somma di DARE",'Pivot Fineco Sa'!$A$3,"Mese",4,"Tipologia",$A154,"Viaggio",$A$144)),0,GETPIVOTDATA("Somma di DARE",'Pivot Fineco Sa'!$A$3,"Mese",4,"Tipologia",$A154,"Viaggio",$A$144))
+IF(ISERROR(GETPIVOTDATA("Somma di DARE",'Pivot Fineco St'!$A$3,"Mese",4,"Tipologia",$A154,"Viaggio",$A$144)),0,GETPIVOTDATA("Somma di DARE",'Pivot Fineco St'!$A$3,"Mese",4,"Tipologia",$A154,"Viaggio",$A$144))
+IF(Contanti!$Q48='Conto Economico'!$A$144,Contanti!$N48)
+IF(ISERROR(GETPIVOTDATA("Somma di DARE",'Pivot BBVA'!$A$3,"Mese",4,"Tipologia",$A154,"Viaggio",$A$144)),0,GETPIVOTDATA("Somma di DARE",'Pivot BBVA'!$A$3,"Mese",4,"Tipologia",$A154,"Viaggio",$A$144))
+IF(ISERROR(GETPIVOTDATA("Somma di DARE",'Pivot Amex'!$A$3,"Mese",4,"Tipologia",$A154,"Viaggio",$A$144)),0,GETPIVOTDATA("Somma di DARE",'Pivot Amex'!$A$3,"Mese",4,"Tipologia",$A154,"Viaggio",$A$144))
-IF(ISERROR(GETPIVOTDATA("Somma di AVERE",'Pivot Amex'!$A$3,"Mese",4,"Tipologia",$A154,"Viaggio",$A$144)),0,GETPIVOTDATA("Somma di AVERE",'Pivot Amex'!$A$3,"Mese",4,"Tipologia",$A154,"Viaggio",$A$144))
-IF(ISERROR(GETPIVOTDATA("Somma di AVERE",'Pivot BBVA'!$A$3,"Mese",4,"Tipologia",$A154,"Viaggio",$A$144)),0,GETPIVOTDATA("Somma di AVERE",'Pivot BBVA'!$A$3,"Mese",4,"Tipologia",$A154,"Viaggio",$A$144))
-IF(ISERROR(GETPIVOTDATA("Somma di AVERE",'Pivot Fineco St'!$A$3,"Mese",4,"Tipologia",$A154,"Viaggio",$A$144)),0,GETPIVOTDATA("Somma di AVERE",'Pivot Fineco St'!$A$3,"Mese",4,"Tipologia",$A154,"Viaggio",$A$144))
-IF(ISERROR(GETPIVOTDATA("Somma di AVERE",'Pivot Fineco Sa'!$A$3,"Mese",4,"Tipologia",$A154,"Viaggio",$A$144)),0,GETPIVOTDATA("Somma di AVERE",'Pivot Fineco Sa'!$A$3,"Mese",4,"Tipologia",$A154,"Viaggio",$A$144))
+IF(ISERROR(GETPIVOTDATA("Somma di DARE",'Pivot PP Visa'!$A$3,"Mese",4,"Tipologia",$A154,"Viaggio",$A$144)),0,GETPIVOTDATA("Somma di DARE",'Pivot PP Visa'!$A$3,"Mese",4,"Tipologia",$A154,"Viaggio",$A$144))
-IF(ISERROR(GETPIVOTDATA("Somma di AVERE",'Pivot PP Visa'!$A$3,"Mese",4,"Tipologia",$A154,"Viaggio",$A$144)),0,GETPIVOTDATA("Somma di AVERE",'Pivot PP Visa'!$A$3,"Mese",4,"Tipologia",$A154,"Viaggio",$A$144))
+IF(ISERROR(GETPIVOTDATA("Somma di DARE",'Pivot Revolut'!$A$3,"Mese",4,"Tipologia",$A154,"Viaggio",$A$144)),0,GETPIVOTDATA("Somma di DARE",'Pivot Revolut'!$A$3,"Mese",4,"Tipologia",$A154,"Viaggio",$A$144))
-IF(ISERROR(GETPIVOTDATA("Somma di AVERE",'Pivot Revolut'!$A$3,"Mese",4,"Tipologia",$A154,"Viaggio",$A$144)),0,GETPIVOTDATA("Somma di AVERE",'Pivot Revolut'!$A$3,"Mese",4,"Tipologia",$A154,"Viaggio",$A$144))
+IF(ISERROR(GETPIVOTDATA("Somma di DARE",'Pivot RakBank EUR'!$A$3,"Mese",4,"Tipologia",$A154,"Viaggio",$A$144)),0,GETPIVOTDATA("Somma di DARE",'Pivot RakBank EUR'!$A$3,"Mese",4,"Tipologia",$A154,"Viaggio",$A$144))
-IF(ISERROR(GETPIVOTDATA("Somma di AVERE",'Pivot RakBank EUR'!$A$3,"Mese",4,"Tipologia",$A154,"Viaggio",$A$144)),0,GETPIVOTDATA("Somma di AVERE",'Pivot RakBank EUR'!$A$3,"Mese",4,"Tipologia",$A154,"Viaggio",$A$144))
+IF(ISERROR(GETPIVOTDATA("Somma di DARE EUR",'Pivot RakBank AED'!$A$3,"Mese",4,"Tipologia",$A154,"Viaggio",$A$144)),0,GETPIVOTDATA("Somma di DARE EUR",'Pivot RakBank AED'!$A$3,"Mese",4,"Tipologia",$A154,"Viaggio",$A$144))
-IF(ISERROR(GETPIVOTDATA("Somma di AVERE EUR",'Pivot RakBank AED'!$A$3,"Mese",4,"Tipologia",$A154,"Viaggio",$A$144)),0,GETPIVOTDATA("Somma di AVERE EUR",'Pivot RakBank AED'!$A$3,"Mese",4,"Tipologia",$A154,"Viaggio",$A$144))</f>
        <v>0</v>
      </c>
      <c r="G154" s="270">
        <f>IF(ISERROR(GETPIVOTDATA("Somma di DARE",'Pivot Fineco Sa'!$A$3,"Mese",5,"Tipologia",$A154,"Viaggio",$A$144)),0,GETPIVOTDATA("Somma di DARE",'Pivot Fineco Sa'!$A$3,"Mese",5,"Tipologia",$A154,"Viaggio",$A$144))
+IF(ISERROR(GETPIVOTDATA("Somma di DARE",'Pivot Fineco St'!$A$3,"Mese",5,"Tipologia",$A154,"Viaggio",$A$144)),0,GETPIVOTDATA("Somma di DARE",'Pivot Fineco St'!$A$3,"Mese",5,"Tipologia",$A154,"Viaggio",$A$144))
+IF(Contanti!$U48='Conto Economico'!$A$144,Contanti!$R48)
+IF(ISERROR(GETPIVOTDATA("Somma di DARE",'Pivot BBVA'!$A$3,"Mese",5,"Tipologia",$A154,"Viaggio",$A$144)),0,GETPIVOTDATA("Somma di DARE",'Pivot BBVA'!$A$3,"Mese",5,"Tipologia",$A154,"Viaggio",$A$144))
+IF(ISERROR(GETPIVOTDATA("Somma di DARE",'Pivot Amex'!$A$3,"Mese",5,"Tipologia",$A154,"Viaggio",$A$144)),0,GETPIVOTDATA("Somma di DARE",'Pivot Amex'!$A$3,"Mese",5,"Tipologia",$A154,"Viaggio",$A$144))
-IF(ISERROR(GETPIVOTDATA("Somma di AVERE",'Pivot Amex'!$A$3,"Mese",5,"Tipologia",$A154,"Viaggio",$A$144)),0,GETPIVOTDATA("Somma di AVERE",'Pivot Amex'!$A$3,"Mese",5,"Tipologia",$A154,"Viaggio",$A$144))
-IF(ISERROR(GETPIVOTDATA("Somma di AVERE",'Pivot BBVA'!$A$3,"Mese",5,"Tipologia",$A154,"Viaggio",$A$144)),0,GETPIVOTDATA("Somma di AVERE",'Pivot BBVA'!$A$3,"Mese",5,"Tipologia",$A154,"Viaggio",$A$144))
-IF(ISERROR(GETPIVOTDATA("Somma di AVERE",'Pivot Fineco St'!$A$3,"Mese",5,"Tipologia",$A154,"Viaggio",$A$144)),0,GETPIVOTDATA("Somma di AVERE",'Pivot Fineco St'!$A$3,"Mese",5,"Tipologia",$A154,"Viaggio",$A$144))
-IF(ISERROR(GETPIVOTDATA("Somma di AVERE",'Pivot Fineco Sa'!$A$3,"Mese",5,"Tipologia",$A154,"Viaggio",$A$144)),0,GETPIVOTDATA("Somma di AVERE",'Pivot Fineco Sa'!$A$3,"Mese",5,"Tipologia",$A154,"Viaggio",$A$144))
+IF(ISERROR(GETPIVOTDATA("Somma di DARE",'Pivot PP Visa'!$A$3,"Mese",5,"Tipologia",$A154,"Viaggio",$A$144)),0,GETPIVOTDATA("Somma di DARE",'Pivot PP Visa'!$A$3,"Mese",5,"Tipologia",$A154,"Viaggio",$A$144))
-IF(ISERROR(GETPIVOTDATA("Somma di AVERE",'Pivot PP Visa'!$A$3,"Mese",5,"Tipologia",$A154,"Viaggio",$A$144)),0,GETPIVOTDATA("Somma di AVERE",'Pivot PP Visa'!$A$3,"Mese",5,"Tipologia",$A154,"Viaggio",$A$144))
+IF(ISERROR(GETPIVOTDATA("Somma di DARE",'Pivot Revolut'!$A$3,"Mese",5,"Tipologia",$A154,"Viaggio",$A$144)),0,GETPIVOTDATA("Somma di DARE",'Pivot Revolut'!$A$3,"Mese",5,"Tipologia",$A154,"Viaggio",$A$144))
-IF(ISERROR(GETPIVOTDATA("Somma di AVERE",'Pivot Revolut'!$A$3,"Mese",5,"Tipologia",$A154,"Viaggio",$A$144)),0,GETPIVOTDATA("Somma di AVERE",'Pivot Revolut'!$A$3,"Mese",5,"Tipologia",$A154,"Viaggio",$A$144))
+IF(ISERROR(GETPIVOTDATA("Somma di DARE",'Pivot RakBank EUR'!$A$3,"Mese",5,"Tipologia",$A154,"Viaggio",$A$144)),0,GETPIVOTDATA("Somma di DARE",'Pivot RakBank EUR'!$A$3,"Mese",5,"Tipologia",$A154,"Viaggio",$A$144))
-IF(ISERROR(GETPIVOTDATA("Somma di AVERE",'Pivot RakBank EUR'!$A$3,"Mese",5,"Tipologia",$A154,"Viaggio",$A$144)),0,GETPIVOTDATA("Somma di AVERE",'Pivot RakBank EUR'!$A$3,"Mese",5,"Tipologia",$A154,"Viaggio",$A$144))
+IF(ISERROR(GETPIVOTDATA("Somma di DARE EUR",'Pivot RakBank AED'!$A$3,"Mese",5,"Tipologia",$A154,"Viaggio",$A$144)),0,GETPIVOTDATA("Somma di DARE EUR",'Pivot RakBank AED'!$A$3,"Mese",5,"Tipologia",$A154,"Viaggio",$A$144))
-IF(ISERROR(GETPIVOTDATA("Somma di AVERE EUR",'Pivot RakBank AED'!$A$3,"Mese",5,"Tipologia",$A154,"Viaggio",$A$144)),0,GETPIVOTDATA("Somma di AVERE EUR",'Pivot RakBank AED'!$A$3,"Mese",5,"Tipologia",$A154,"Viaggio",$A$144))</f>
        <v>0</v>
      </c>
      <c r="H154" s="270">
        <f>IF(ISERROR(GETPIVOTDATA("Somma di DARE",'Pivot Fineco Sa'!$A$3,"Mese",6,"Tipologia",$A154,"Viaggio",$A$144)),0,GETPIVOTDATA("Somma di DARE",'Pivot Fineco Sa'!$A$3,"Mese",6,"Tipologia",$A154,"Viaggio",$A$144))
+IF(ISERROR(GETPIVOTDATA("Somma di DARE",'Pivot Fineco St'!$A$3,"Mese",6,"Tipologia",$A154,"Viaggio",$A$144)),0,GETPIVOTDATA("Somma di DARE",'Pivot Fineco St'!$A$3,"Mese",6,"Tipologia",$A154,"Viaggio",$A$144))
+IF(Contanti!$Y48='Conto Economico'!$A$144,Contanti!$V48)
+IF(ISERROR(GETPIVOTDATA("Somma di DARE",'Pivot BBVA'!$A$3,"Mese",6,"Tipologia",$A154,"Viaggio",$A$144)),0,GETPIVOTDATA("Somma di DARE",'Pivot BBVA'!$A$3,"Mese",6,"Tipologia",$A154,"Viaggio",$A$144))
+IF(ISERROR(GETPIVOTDATA("Somma di DARE",'Pivot Amex'!$A$3,"Mese",6,"Tipologia",$A154,"Viaggio",$A$144)),0,GETPIVOTDATA("Somma di DARE",'Pivot Amex'!$A$3,"Mese",6,"Tipologia",$A154,"Viaggio",$A$144))
-IF(ISERROR(GETPIVOTDATA("Somma di AVERE",'Pivot Amex'!$A$3,"Mese",6,"Tipologia",$A154,"Viaggio",$A$144)),0,GETPIVOTDATA("Somma di AVERE",'Pivot Amex'!$A$3,"Mese",6,"Tipologia",$A154,"Viaggio",$A$144))
-IF(ISERROR(GETPIVOTDATA("Somma di AVERE",'Pivot BBVA'!$A$3,"Mese",6,"Tipologia",$A154,"Viaggio",$A$144)),0,GETPIVOTDATA("Somma di AVERE",'Pivot BBVA'!$A$3,"Mese",6,"Tipologia",$A154,"Viaggio",$A$144))
-IF(ISERROR(GETPIVOTDATA("Somma di AVERE",'Pivot Fineco St'!$A$3,"Mese",6,"Tipologia",$A154,"Viaggio",$A$144)),0,GETPIVOTDATA("Somma di AVERE",'Pivot Fineco St'!$A$3,"Mese",6,"Tipologia",$A154,"Viaggio",$A$144))
-IF(ISERROR(GETPIVOTDATA("Somma di AVERE",'Pivot Fineco Sa'!$A$3,"Mese",6,"Tipologia",$A154,"Viaggio",$A$144)),0,GETPIVOTDATA("Somma di AVERE",'Pivot Fineco Sa'!$A$3,"Mese",6,"Tipologia",$A154,"Viaggio",$A$144))
+IF(ISERROR(GETPIVOTDATA("Somma di DARE",'Pivot PP Visa'!$A$3,"Mese",6,"Tipologia",$A154,"Viaggio",$A$144)),0,GETPIVOTDATA("Somma di DARE",'Pivot PP Visa'!$A$3,"Mese",6,"Tipologia",$A154,"Viaggio",$A$144))
-IF(ISERROR(GETPIVOTDATA("Somma di AVERE",'Pivot PP Visa'!$A$3,"Mese",6,"Tipologia",$A154,"Viaggio",$A$144)),0,GETPIVOTDATA("Somma di AVERE",'Pivot PP Visa'!$A$3,"Mese",6,"Tipologia",$A154,"Viaggio",$A$144))
+IF(ISERROR(GETPIVOTDATA("Somma di DARE",'Pivot Revolut'!$A$3,"Mese",6,"Tipologia",$A154,"Viaggio",$A$144)),0,GETPIVOTDATA("Somma di DARE",'Pivot Revolut'!$A$3,"Mese",6,"Tipologia",$A154,"Viaggio",$A$144))
-IF(ISERROR(GETPIVOTDATA("Somma di AVERE",'Pivot Revolut'!$A$3,"Mese",6,"Tipologia",$A154,"Viaggio",$A$144)),0,GETPIVOTDATA("Somma di AVERE",'Pivot Revolut'!$A$3,"Mese",6,"Tipologia",$A154,"Viaggio",$A$144))
+IF(ISERROR(GETPIVOTDATA("Somma di DARE",'Pivot RakBank EUR'!$A$3,"Mese",6,"Tipologia",$A154,"Viaggio",$A$144)),0,GETPIVOTDATA("Somma di DARE",'Pivot RakBank EUR'!$A$3,"Mese",6,"Tipologia",$A154,"Viaggio",$A$144))
-IF(ISERROR(GETPIVOTDATA("Somma di AVERE",'Pivot RakBank EUR'!$A$3,"Mese",6,"Tipologia",$A154,"Viaggio",$A$144)),0,GETPIVOTDATA("Somma di AVERE",'Pivot RakBank EUR'!$A$3,"Mese",6,"Tipologia",$A154,"Viaggio",$A$144))
+IF(ISERROR(GETPIVOTDATA("Somma di DARE EUR",'Pivot RakBank AED'!$A$3,"Mese",6,"Tipologia",$A154,"Viaggio",$A$144)),0,GETPIVOTDATA("Somma di DARE EUR",'Pivot RakBank AED'!$A$3,"Mese",6,"Tipologia",$A154,"Viaggio",$A$144))
-IF(ISERROR(GETPIVOTDATA("Somma di AVERE EUR",'Pivot RakBank AED'!$A$3,"Mese",6,"Tipologia",$A154,"Viaggio",$A$144)),0,GETPIVOTDATA("Somma di AVERE EUR",'Pivot RakBank AED'!$A$3,"Mese",6,"Tipologia",$A154,"Viaggio",$A$144))</f>
        <v>0</v>
      </c>
      <c r="I154" s="270">
        <f>IF(ISERROR(GETPIVOTDATA("Somma di DARE",'Pivot Fineco Sa'!$A$3,"Mese",7,"Tipologia",$A154,"Viaggio",$A$144)),0,GETPIVOTDATA("Somma di DARE",'Pivot Fineco Sa'!$A$3,"Mese",7,"Tipologia",$A154,"Viaggio",$A$144))
+IF(ISERROR(GETPIVOTDATA("Somma di DARE",'Pivot Fineco St'!$A$3,"Mese",7,"Tipologia",$A154,"Viaggio",$A$144)),0,GETPIVOTDATA("Somma di DARE",'Pivot Fineco St'!$A$3,"Mese",7,"Tipologia",$A154,"Viaggio",$A$144))
+IF(Contanti!$AC48='Conto Economico'!$A$144,Contanti!$Z48)
+IF(ISERROR(GETPIVOTDATA("Somma di DARE",'Pivot BBVA'!$A$3,"Mese",7,"Tipologia",$A154,"Viaggio",$A$144)),0,GETPIVOTDATA("Somma di DARE",'Pivot BBVA'!$A$3,"Mese",7,"Tipologia",$A154,"Viaggio",$A$144))
+IF(ISERROR(GETPIVOTDATA("Somma di DARE",'Pivot Amex'!$A$3,"Mese",7,"Tipologia",$A154,"Viaggio",$A$144)),0,GETPIVOTDATA("Somma di DARE",'Pivot Amex'!$A$3,"Mese",7,"Tipologia",$A154,"Viaggio",$A$144))
-IF(ISERROR(GETPIVOTDATA("Somma di AVERE",'Pivot Amex'!$A$3,"Mese",7,"Tipologia",$A154,"Viaggio",$A$144)),0,GETPIVOTDATA("Somma di AVERE",'Pivot Amex'!$A$3,"Mese",7,"Tipologia",$A154,"Viaggio",$A$144))
-IF(ISERROR(GETPIVOTDATA("Somma di AVERE",'Pivot BBVA'!$A$3,"Mese",7,"Tipologia",$A154,"Viaggio",$A$144)),0,GETPIVOTDATA("Somma di AVERE",'Pivot BBVA'!$A$3,"Mese",7,"Tipologia",$A154,"Viaggio",$A$144))
-IF(ISERROR(GETPIVOTDATA("Somma di AVERE",'Pivot Fineco St'!$A$3,"Mese",7,"Tipologia",$A154,"Viaggio",$A$144)),0,GETPIVOTDATA("Somma di AVERE",'Pivot Fineco St'!$A$3,"Mese",7,"Tipologia",$A154,"Viaggio",$A$144))
-IF(ISERROR(GETPIVOTDATA("Somma di AVERE",'Pivot Fineco Sa'!$A$3,"Mese",7,"Tipologia",$A154,"Viaggio",$A$144)),0,GETPIVOTDATA("Somma di AVERE",'Pivot Fineco Sa'!$A$3,"Mese",7,"Tipologia",$A154,"Viaggio",$A$144))
+IF(ISERROR(GETPIVOTDATA("Somma di DARE",'Pivot PP Visa'!$A$3,"Mese",7,"Tipologia",$A154,"Viaggio",$A$144)),0,GETPIVOTDATA("Somma di DARE",'Pivot PP Visa'!$A$3,"Mese",7,"Tipologia",$A154,"Viaggio",$A$144))
-IF(ISERROR(GETPIVOTDATA("Somma di AVERE",'Pivot PP Visa'!$A$3,"Mese",7,"Tipologia",$A154,"Viaggio",$A$144)),0,GETPIVOTDATA("Somma di AVERE",'Pivot PP Visa'!$A$3,"Mese",7,"Tipologia",$A154,"Viaggio",$A$144))
+IF(ISERROR(GETPIVOTDATA("Somma di DARE",'Pivot Revolut'!$A$3,"Mese",7,"Tipologia",$A154,"Viaggio",$A$144)),0,GETPIVOTDATA("Somma di DARE",'Pivot Revolut'!$A$3,"Mese",7,"Tipologia",$A154,"Viaggio",$A$144))
-IF(ISERROR(GETPIVOTDATA("Somma di AVERE",'Pivot Revolut'!$A$3,"Mese",7,"Tipologia",$A154,"Viaggio",$A$144)),0,GETPIVOTDATA("Somma di AVERE",'Pivot Revolut'!$A$3,"Mese",7,"Tipologia",$A154,"Viaggio",$A$144))
+IF(ISERROR(GETPIVOTDATA("Somma di DARE",'Pivot RakBank EUR'!$A$3,"Mese",7,"Tipologia",$A154,"Viaggio",$A$144)),0,GETPIVOTDATA("Somma di DARE",'Pivot RakBank EUR'!$A$3,"Mese",7,"Tipologia",$A154,"Viaggio",$A$144))
-IF(ISERROR(GETPIVOTDATA("Somma di AVERE",'Pivot RakBank EUR'!$A$3,"Mese",7,"Tipologia",$A154,"Viaggio",$A$144)),0,GETPIVOTDATA("Somma di AVERE",'Pivot RakBank EUR'!$A$3,"Mese",7,"Tipologia",$A154,"Viaggio",$A$144))
+IF(ISERROR(GETPIVOTDATA("Somma di DARE EUR",'Pivot RakBank AED'!$A$3,"Mese",7,"Tipologia",$A154,"Viaggio",$A$144)),0,GETPIVOTDATA("Somma di DARE EUR",'Pivot RakBank AED'!$A$3,"Mese",7,"Tipologia",$A154,"Viaggio",$A$144))
-IF(ISERROR(GETPIVOTDATA("Somma di AVERE EUR",'Pivot RakBank AED'!$A$3,"Mese",7,"Tipologia",$A154,"Viaggio",$A$144)),0,GETPIVOTDATA("Somma di AVERE EUR",'Pivot RakBank AED'!$A$3,"Mese",7,"Tipologia",$A154,"Viaggio",$A$144))</f>
        <v>0</v>
      </c>
      <c r="J154" s="270">
        <f>IF(ISERROR(GETPIVOTDATA("Somma di DARE",'Pivot Fineco Sa'!$A$3,"Mese",8,"Tipologia",$A154,"Viaggio",$A$144)),0,GETPIVOTDATA("Somma di DARE",'Pivot Fineco Sa'!$A$3,"Mese",8,"Tipologia",$A154,"Viaggio",$A$144))
+IF(ISERROR(GETPIVOTDATA("Somma di DARE",'Pivot Fineco St'!$A$3,"Mese",8,"Tipologia",$A154,"Viaggio",$A$144)),0,GETPIVOTDATA("Somma di DARE",'Pivot Fineco St'!$A$3,"Mese",8,"Tipologia",$A154,"Viaggio",$A$144))
+IF(Contanti!$AG48='Conto Economico'!$A$144,Contanti!$AD48)
+IF(ISERROR(GETPIVOTDATA("Somma di DARE",'Pivot BBVA'!$A$3,"Mese",8,"Tipologia",$A154,"Viaggio",$A$144)),0,GETPIVOTDATA("Somma di DARE",'Pivot BBVA'!$A$3,"Mese",8,"Tipologia",$A154,"Viaggio",$A$144))
+IF(ISERROR(GETPIVOTDATA("Somma di DARE",'Pivot Amex'!$A$3,"Mese",8,"Tipologia",$A154,"Viaggio",$A$144)),0,GETPIVOTDATA("Somma di DARE",'Pivot Amex'!$A$3,"Mese",8,"Tipologia",$A154,"Viaggio",$A$144))
-IF(ISERROR(GETPIVOTDATA("Somma di AVERE",'Pivot Amex'!$A$3,"Mese",8,"Tipologia",$A154,"Viaggio",$A$144)),0,GETPIVOTDATA("Somma di AVERE",'Pivot Amex'!$A$3,"Mese",8,"Tipologia",$A154,"Viaggio",$A$144))
-IF(ISERROR(GETPIVOTDATA("Somma di AVERE",'Pivot BBVA'!$A$3,"Mese",8,"Tipologia",$A154,"Viaggio",$A$144)),0,GETPIVOTDATA("Somma di AVERE",'Pivot BBVA'!$A$3,"Mese",8,"Tipologia",$A154,"Viaggio",$A$144))
-IF(ISERROR(GETPIVOTDATA("Somma di AVERE",'Pivot Fineco St'!$A$3,"Mese",8,"Tipologia",$A154,"Viaggio",$A$144)),0,GETPIVOTDATA("Somma di AVERE",'Pivot Fineco St'!$A$3,"Mese",8,"Tipologia",$A154,"Viaggio",$A$144))
-IF(ISERROR(GETPIVOTDATA("Somma di AVERE",'Pivot Fineco Sa'!$A$3,"Mese",8,"Tipologia",$A154,"Viaggio",$A$144)),0,GETPIVOTDATA("Somma di AVERE",'Pivot Fineco Sa'!$A$3,"Mese",8,"Tipologia",$A154,"Viaggio",$A$144))
+IF(ISERROR(GETPIVOTDATA("Somma di DARE",'Pivot PP Visa'!$A$3,"Mese",8,"Tipologia",$A154,"Viaggio",$A$144)),0,GETPIVOTDATA("Somma di DARE",'Pivot PP Visa'!$A$3,"Mese",8,"Tipologia",$A154,"Viaggio",$A$144))
-IF(ISERROR(GETPIVOTDATA("Somma di AVERE",'Pivot PP Visa'!$A$3,"Mese",8,"Tipologia",$A154,"Viaggio",$A$144)),0,GETPIVOTDATA("Somma di AVERE",'Pivot PP Visa'!$A$3,"Mese",8,"Tipologia",$A154,"Viaggio",$A$144))
+IF(ISERROR(GETPIVOTDATA("Somma di DARE",'Pivot Revolut'!$A$3,"Mese",8,"Tipologia",$A154,"Viaggio",$A$144)),0,GETPIVOTDATA("Somma di DARE",'Pivot Revolut'!$A$3,"Mese",8,"Tipologia",$A154,"Viaggio",$A$144))
-IF(ISERROR(GETPIVOTDATA("Somma di AVERE",'Pivot Revolut'!$A$3,"Mese",8,"Tipologia",$A154,"Viaggio",$A$144)),0,GETPIVOTDATA("Somma di AVERE",'Pivot Revolut'!$A$3,"Mese",8,"Tipologia",$A154,"Viaggio",$A$144))
+IF(ISERROR(GETPIVOTDATA("Somma di DARE",'Pivot RakBank EUR'!$A$3,"Mese",8,"Tipologia",$A154,"Viaggio",$A$144)),0,GETPIVOTDATA("Somma di DARE",'Pivot RakBank EUR'!$A$3,"Mese",8,"Tipologia",$A154,"Viaggio",$A$144))
-IF(ISERROR(GETPIVOTDATA("Somma di AVERE",'Pivot RakBank EUR'!$A$3,"Mese",8,"Tipologia",$A154,"Viaggio",$A$144)),0,GETPIVOTDATA("Somma di AVERE",'Pivot RakBank EUR'!$A$3,"Mese",8,"Tipologia",$A154,"Viaggio",$A$144))
+IF(ISERROR(GETPIVOTDATA("Somma di DARE EUR",'Pivot RakBank AED'!$A$3,"Mese",8,"Tipologia",$A154,"Viaggio",$A$144)),0,GETPIVOTDATA("Somma di DARE EUR",'Pivot RakBank AED'!$A$3,"Mese",8,"Tipologia",$A154,"Viaggio",$A$144))
-IF(ISERROR(GETPIVOTDATA("Somma di AVERE EUR",'Pivot RakBank AED'!$A$3,"Mese",8,"Tipologia",$A154,"Viaggio",$A$144)),0,GETPIVOTDATA("Somma di AVERE EUR",'Pivot RakBank AED'!$A$3,"Mese",8,"Tipologia",$A154,"Viaggio",$A$144))</f>
        <v>0</v>
      </c>
      <c r="K154" s="270">
        <f>IF(ISERROR(GETPIVOTDATA("Somma di DARE",'Pivot Fineco Sa'!$A$3,"Mese",9,"Tipologia",$A154,"Viaggio",$A$144)),0,GETPIVOTDATA("Somma di DARE",'Pivot Fineco Sa'!$A$3,"Mese",9,"Tipologia",$A154,"Viaggio",$A$144))
+IF(ISERROR(GETPIVOTDATA("Somma di DARE",'Pivot Fineco St'!$A$3,"Mese",9,"Tipologia",$A154,"Viaggio",$A$144)),0,GETPIVOTDATA("Somma di DARE",'Pivot Fineco St'!$A$3,"Mese",9,"Tipologia",$A154,"Viaggio",$A$144))
+IF(Contanti!$AK48='Conto Economico'!$A$144,Contanti!$AH48)
+IF(ISERROR(GETPIVOTDATA("Somma di DARE",'Pivot BBVA'!$A$3,"Mese",9,"Tipologia",$A154,"Viaggio",$A$144)),0,GETPIVOTDATA("Somma di DARE",'Pivot BBVA'!$A$3,"Mese",9,"Tipologia",$A154,"Viaggio",$A$144))
+IF(ISERROR(GETPIVOTDATA("Somma di DARE",'Pivot Amex'!$A$3,"Mese",9,"Tipologia",$A154,"Viaggio",$A$144)),0,GETPIVOTDATA("Somma di DARE",'Pivot Amex'!$A$3,"Mese",9,"Tipologia",$A154,"Viaggio",$A$144))
-IF(ISERROR(GETPIVOTDATA("Somma di AVERE",'Pivot Amex'!$A$3,"Mese",9,"Tipologia",$A154,"Viaggio",$A$144)),0,GETPIVOTDATA("Somma di AVERE",'Pivot Amex'!$A$3,"Mese",9,"Tipologia",$A154,"Viaggio",$A$144))
-IF(ISERROR(GETPIVOTDATA("Somma di AVERE",'Pivot BBVA'!$A$3,"Mese",9,"Tipologia",$A154,"Viaggio",$A$144)),0,GETPIVOTDATA("Somma di AVERE",'Pivot BBVA'!$A$3,"Mese",9,"Tipologia",$A154,"Viaggio",$A$144))
-IF(ISERROR(GETPIVOTDATA("Somma di AVERE",'Pivot Fineco St'!$A$3,"Mese",9,"Tipologia",$A154,"Viaggio",$A$144)),0,GETPIVOTDATA("Somma di AVERE",'Pivot Fineco St'!$A$3,"Mese",9,"Tipologia",$A154,"Viaggio",$A$144))
-IF(ISERROR(GETPIVOTDATA("Somma di AVERE",'Pivot Fineco Sa'!$A$3,"Mese",9,"Tipologia",$A154,"Viaggio",$A$144)),0,GETPIVOTDATA("Somma di AVERE",'Pivot Fineco Sa'!$A$3,"Mese",9,"Tipologia",$A154,"Viaggio",$A$144))
+IF(ISERROR(GETPIVOTDATA("Somma di DARE",'Pivot PP Visa'!$A$3,"Mese",9,"Tipologia",$A154,"Viaggio",$A$144)),0,GETPIVOTDATA("Somma di DARE",'Pivot PP Visa'!$A$3,"Mese",9,"Tipologia",$A154,"Viaggio",$A$144))
-IF(ISERROR(GETPIVOTDATA("Somma di AVERE",'Pivot PP Visa'!$A$3,"Mese",9,"Tipologia",$A154,"Viaggio",$A$144)),0,GETPIVOTDATA("Somma di AVERE",'Pivot PP Visa'!$A$3,"Mese",9,"Tipologia",$A154,"Viaggio",$A$144))
+IF(ISERROR(GETPIVOTDATA("Somma di DARE",'Pivot Revolut'!$A$3,"Mese",9,"Tipologia",$A154,"Viaggio",$A$144)),0,GETPIVOTDATA("Somma di DARE",'Pivot Revolut'!$A$3,"Mese",9,"Tipologia",$A154,"Viaggio",$A$144))
-IF(ISERROR(GETPIVOTDATA("Somma di AVERE",'Pivot Revolut'!$A$3,"Mese",9,"Tipologia",$A154,"Viaggio",$A$144)),0,GETPIVOTDATA("Somma di AVERE",'Pivot Revolut'!$A$3,"Mese",9,"Tipologia",$A154,"Viaggio",$A$144))
+IF(ISERROR(GETPIVOTDATA("Somma di DARE",'Pivot RakBank EUR'!$A$3,"Mese",9,"Tipologia",$A154,"Viaggio",$A$144)),0,GETPIVOTDATA("Somma di DARE",'Pivot RakBank EUR'!$A$3,"Mese",9,"Tipologia",$A154,"Viaggio",$A$144))
-IF(ISERROR(GETPIVOTDATA("Somma di AVERE",'Pivot RakBank EUR'!$A$3,"Mese",9,"Tipologia",$A154,"Viaggio",$A$144)),0,GETPIVOTDATA("Somma di AVERE",'Pivot RakBank EUR'!$A$3,"Mese",9,"Tipologia",$A154,"Viaggio",$A$144))
+IF(ISERROR(GETPIVOTDATA("Somma di DARE EUR",'Pivot RakBank AED'!$A$3,"Mese",9,"Tipologia",$A154,"Viaggio",$A$144)),0,GETPIVOTDATA("Somma di DARE EUR",'Pivot RakBank AED'!$A$3,"Mese",9,"Tipologia",$A154,"Viaggio",$A$144))
-IF(ISERROR(GETPIVOTDATA("Somma di AVERE EUR",'Pivot RakBank AED'!$A$3,"Mese",9,"Tipologia",$A154,"Viaggio",$A$144)),0,GETPIVOTDATA("Somma di AVERE EUR",'Pivot RakBank AED'!$A$3,"Mese",9,"Tipologia",$A154,"Viaggio",$A$144))</f>
        <v>0</v>
      </c>
      <c r="L154" s="270">
        <f>IF(ISERROR(GETPIVOTDATA("Somma di DARE",'Pivot Fineco Sa'!$A$3,"Mese",10,"Tipologia",$A154,"Viaggio",$A$144)),0,GETPIVOTDATA("Somma di DARE",'Pivot Fineco Sa'!$A$3,"Mese",10,"Tipologia",$A154,"Viaggio",$A$144))
+IF(ISERROR(GETPIVOTDATA("Somma di DARE",'Pivot Fineco St'!$A$3,"Mese",10,"Tipologia",$A154,"Viaggio",$A$144)),0,GETPIVOTDATA("Somma di DARE",'Pivot Fineco St'!$A$3,"Mese",10,"Tipologia",$A154,"Viaggio",$A$144))
+IF(Contanti!$AO48='Conto Economico'!$A$144,Contanti!$AL48)
+IF(ISERROR(GETPIVOTDATA("Somma di DARE",'Pivot BBVA'!$A$3,"Mese",10,"Tipologia",$A154,"Viaggio",$A$144)),0,GETPIVOTDATA("Somma di DARE",'Pivot BBVA'!$A$3,"Mese",10,"Tipologia",$A154,"Viaggio",$A$144))
+IF(ISERROR(GETPIVOTDATA("Somma di DARE",'Pivot Amex'!$A$3,"Mese",10,"Tipologia",$A154,"Viaggio",$A$144)),0,GETPIVOTDATA("Somma di DARE",'Pivot Amex'!$A$3,"Mese",10,"Tipologia",$A154,"Viaggio",$A$144))
-IF(ISERROR(GETPIVOTDATA("Somma di AVERE",'Pivot Amex'!$A$3,"Mese",10,"Tipologia",$A154,"Viaggio",$A$144)),0,GETPIVOTDATA("Somma di AVERE",'Pivot Amex'!$A$3,"Mese",10,"Tipologia",$A154,"Viaggio",$A$144))
-IF(ISERROR(GETPIVOTDATA("Somma di AVERE",'Pivot BBVA'!$A$3,"Mese",10,"Tipologia",$A154,"Viaggio",$A$144)),0,GETPIVOTDATA("Somma di AVERE",'Pivot BBVA'!$A$3,"Mese",10,"Tipologia",$A154,"Viaggio",$A$144))
-IF(ISERROR(GETPIVOTDATA("Somma di AVERE",'Pivot Fineco St'!$A$3,"Mese",10,"Tipologia",$A154,"Viaggio",$A$144)),0,GETPIVOTDATA("Somma di AVERE",'Pivot Fineco St'!$A$3,"Mese",10,"Tipologia",$A154,"Viaggio",$A$144))
-IF(ISERROR(GETPIVOTDATA("Somma di AVERE",'Pivot Fineco Sa'!$A$3,"Mese",10,"Tipologia",$A154,"Viaggio",$A$144)),0,GETPIVOTDATA("Somma di AVERE",'Pivot Fineco Sa'!$A$3,"Mese",10,"Tipologia",$A154,"Viaggio",$A$144))
+IF(ISERROR(GETPIVOTDATA("Somma di DARE",'Pivot PP Visa'!$A$3,"Mese",10,"Tipologia",$A154,"Viaggio",$A$144)),0,GETPIVOTDATA("Somma di DARE",'Pivot PP Visa'!$A$3,"Mese",10,"Tipologia",$A154,"Viaggio",$A$144))
-IF(ISERROR(GETPIVOTDATA("Somma di AVERE",'Pivot PP Visa'!$A$3,"Mese",10,"Tipologia",$A154,"Viaggio",$A$144)),0,GETPIVOTDATA("Somma di AVERE",'Pivot PP Visa'!$A$3,"Mese",10,"Tipologia",$A154,"Viaggio",$A$144))
+IF(ISERROR(GETPIVOTDATA("Somma di DARE",'Pivot Revolut'!$A$3,"Mese",10,"Tipologia",$A154,"Viaggio",$A$144)),0,GETPIVOTDATA("Somma di DARE",'Pivot Revolut'!$A$3,"Mese",10,"Tipologia",$A154,"Viaggio",$A$144))
-IF(ISERROR(GETPIVOTDATA("Somma di AVERE",'Pivot Revolut'!$A$3,"Mese",10,"Tipologia",$A154,"Viaggio",$A$144)),0,GETPIVOTDATA("Somma di AVERE",'Pivot Revolut'!$A$3,"Mese",10,"Tipologia",$A154,"Viaggio",$A$144))
+IF(ISERROR(GETPIVOTDATA("Somma di DARE",'Pivot RakBank EUR'!$A$3,"Mese",10,"Tipologia",$A154,"Viaggio",$A$144)),0,GETPIVOTDATA("Somma di DARE",'Pivot RakBank EUR'!$A$3,"Mese",10,"Tipologia",$A154,"Viaggio",$A$144))
-IF(ISERROR(GETPIVOTDATA("Somma di AVERE",'Pivot RakBank EUR'!$A$3,"Mese",10,"Tipologia",$A154,"Viaggio",$A$144)),0,GETPIVOTDATA("Somma di AVERE",'Pivot RakBank EUR'!$A$3,"Mese",10,"Tipologia",$A154,"Viaggio",$A$144))
+IF(ISERROR(GETPIVOTDATA("Somma di DARE EUR",'Pivot RakBank AED'!$A$3,"Mese",10,"Tipologia",$A154,"Viaggio",$A$144)),0,GETPIVOTDATA("Somma di DARE EUR",'Pivot RakBank AED'!$A$3,"Mese",10,"Tipologia",$A154,"Viaggio",$A$144))
-IF(ISERROR(GETPIVOTDATA("Somma di AVERE EUR",'Pivot RakBank AED'!$A$3,"Mese",10,"Tipologia",$A154,"Viaggio",$A$144)),0,GETPIVOTDATA("Somma di AVERE EUR",'Pivot RakBank AED'!$A$3,"Mese",10,"Tipologia",$A154,"Viaggio",$A$144))</f>
        <v>0</v>
      </c>
      <c r="M154" s="270">
        <f>IF(ISERROR(GETPIVOTDATA("Somma di DARE",'Pivot Fineco Sa'!$A$3,"Mese",11,"Tipologia",$A154,"Viaggio",$A$144)),0,GETPIVOTDATA("Somma di DARE",'Pivot Fineco Sa'!$A$3,"Mese",11,"Tipologia",$A154,"Viaggio",$A$144))
+IF(ISERROR(GETPIVOTDATA("Somma di DARE",'Pivot Fineco St'!$A$3,"Mese",11,"Tipologia",$A154,"Viaggio",$A$144)),0,GETPIVOTDATA("Somma di DARE",'Pivot Fineco St'!$A$3,"Mese",11,"Tipologia",$A154,"Viaggio",$A$144))
+IF(Contanti!$AS48='Conto Economico'!$A$144,Contanti!$AP48)
+IF(ISERROR(GETPIVOTDATA("Somma di DARE",'Pivot BBVA'!$A$3,"Mese",11,"Tipologia",$A154,"Viaggio",$A$144)),0,GETPIVOTDATA("Somma di DARE",'Pivot BBVA'!$A$3,"Mese",11,"Tipologia",$A154,"Viaggio",$A$144))
+IF(ISERROR(GETPIVOTDATA("Somma di DARE",'Pivot Amex'!$A$3,"Mese",11,"Tipologia",$A154,"Viaggio",$A$144)),0,GETPIVOTDATA("Somma di DARE",'Pivot Amex'!$A$3,"Mese",11,"Tipologia",$A154,"Viaggio",$A$144))
-IF(ISERROR(GETPIVOTDATA("Somma di AVERE",'Pivot Amex'!$A$3,"Mese",11,"Tipologia",$A154,"Viaggio",$A$144)),0,GETPIVOTDATA("Somma di AVERE",'Pivot Amex'!$A$3,"Mese",11,"Tipologia",$A154,"Viaggio",$A$144))
-IF(ISERROR(GETPIVOTDATA("Somma di AVERE",'Pivot BBVA'!$A$3,"Mese",11,"Tipologia",$A154,"Viaggio",$A$144)),0,GETPIVOTDATA("Somma di AVERE",'Pivot BBVA'!$A$3,"Mese",11,"Tipologia",$A154,"Viaggio",$A$144))
-IF(ISERROR(GETPIVOTDATA("Somma di AVERE",'Pivot Fineco St'!$A$3,"Mese",11,"Tipologia",$A154,"Viaggio",$A$144)),0,GETPIVOTDATA("Somma di AVERE",'Pivot Fineco St'!$A$3,"Mese",11,"Tipologia",$A154,"Viaggio",$A$144))
-IF(ISERROR(GETPIVOTDATA("Somma di AVERE",'Pivot Fineco Sa'!$A$3,"Mese",11,"Tipologia",$A154,"Viaggio",$A$144)),0,GETPIVOTDATA("Somma di AVERE",'Pivot Fineco Sa'!$A$3,"Mese",11,"Tipologia",$A154,"Viaggio",$A$144))
+IF(ISERROR(GETPIVOTDATA("Somma di DARE",'Pivot PP Visa'!$A$3,"Mese",11,"Tipologia",$A154,"Viaggio",$A$144)),0,GETPIVOTDATA("Somma di DARE",'Pivot PP Visa'!$A$3,"Mese",11,"Tipologia",$A154,"Viaggio",$A$144))
-IF(ISERROR(GETPIVOTDATA("Somma di AVERE",'Pivot PP Visa'!$A$3,"Mese",11,"Tipologia",$A154,"Viaggio",$A$144)),0,GETPIVOTDATA("Somma di AVERE",'Pivot PP Visa'!$A$3,"Mese",11,"Tipologia",$A154,"Viaggio",$A$144))
+IF(ISERROR(GETPIVOTDATA("Somma di DARE",'Pivot Revolut'!$A$3,"Mese",11,"Tipologia",$A154,"Viaggio",$A$144)),0,GETPIVOTDATA("Somma di DARE",'Pivot Revolut'!$A$3,"Mese",11,"Tipologia",$A154,"Viaggio",$A$144))
-IF(ISERROR(GETPIVOTDATA("Somma di AVERE",'Pivot Revolut'!$A$3,"Mese",11,"Tipologia",$A154,"Viaggio",$A$144)),0,GETPIVOTDATA("Somma di AVERE",'Pivot Revolut'!$A$3,"Mese",11,"Tipologia",$A154,"Viaggio",$A$144))
+IF(ISERROR(GETPIVOTDATA("Somma di DARE",'Pivot RakBank EUR'!$A$3,"Mese",11,"Tipologia",$A154,"Viaggio",$A$144)),0,GETPIVOTDATA("Somma di DARE",'Pivot RakBank EUR'!$A$3,"Mese",11,"Tipologia",$A154,"Viaggio",$A$144))
-IF(ISERROR(GETPIVOTDATA("Somma di AVERE",'Pivot RakBank EUR'!$A$3,"Mese",11,"Tipologia",$A154,"Viaggio",$A$144)),0,GETPIVOTDATA("Somma di AVERE",'Pivot RakBank EUR'!$A$3,"Mese",11,"Tipologia",$A154,"Viaggio",$A$144))
+IF(ISERROR(GETPIVOTDATA("Somma di DARE EUR",'Pivot RakBank AED'!$A$3,"Mese",11,"Tipologia",$A154,"Viaggio",$A$144)),0,GETPIVOTDATA("Somma di DARE EUR",'Pivot RakBank AED'!$A$3,"Mese",11,"Tipologia",$A154,"Viaggio",$A$144))
-IF(ISERROR(GETPIVOTDATA("Somma di AVERE EUR",'Pivot RakBank AED'!$A$3,"Mese",11,"Tipologia",$A154,"Viaggio",$A$144)),0,GETPIVOTDATA("Somma di AVERE EUR",'Pivot RakBank AED'!$A$3,"Mese",11,"Tipologia",$A154,"Viaggio",$A$144))</f>
        <v>0</v>
      </c>
      <c r="N154" s="270">
        <f>IF(ISERROR(GETPIVOTDATA("Somma di DARE",'Pivot Fineco Sa'!$A$3,"Mese",12,"Tipologia",$A154,"Viaggio",$A$144)),0,GETPIVOTDATA("Somma di DARE",'Pivot Fineco Sa'!$A$3,"Mese",12,"Tipologia",$A154,"Viaggio",$A$144))
+IF(ISERROR(GETPIVOTDATA("Somma di DARE",'Pivot Fineco St'!$A$3,"Mese",12,"Tipologia",$A154,"Viaggio",$A$144)),0,GETPIVOTDATA("Somma di DARE",'Pivot Fineco St'!$A$3,"Mese",12,"Tipologia",$A154,"Viaggio",$A$144))
+IF(Contanti!$AW48='Conto Economico'!$A$144,Contanti!$AT48)
+IF(ISERROR(GETPIVOTDATA("Somma di DARE",'Pivot BBVA'!$A$3,"Mese",12,"Tipologia",$A154,"Viaggio",$A$144)),0,GETPIVOTDATA("Somma di DARE",'Pivot BBVA'!$A$3,"Mese",12,"Tipologia",$A154,"Viaggio",$A$144))
+IF(ISERROR(GETPIVOTDATA("Somma di DARE",'Pivot Amex'!$A$3,"Mese",12,"Tipologia",$A154,"Viaggio",$A$144)),0,GETPIVOTDATA("Somma di DARE",'Pivot Amex'!$A$3,"Mese",12,"Tipologia",$A154,"Viaggio",$A$144))
-IF(ISERROR(GETPIVOTDATA("Somma di AVERE",'Pivot Amex'!$A$3,"Mese",12,"Tipologia",$A154,"Viaggio",$A$144)),0,GETPIVOTDATA("Somma di AVERE",'Pivot Amex'!$A$3,"Mese",12,"Tipologia",$A154,"Viaggio",$A$144))
-IF(ISERROR(GETPIVOTDATA("Somma di AVERE",'Pivot BBVA'!$A$3,"Mese",12,"Tipologia",$A154,"Viaggio",$A$144)),0,GETPIVOTDATA("Somma di AVERE",'Pivot BBVA'!$A$3,"Mese",12,"Tipologia",$A154,"Viaggio",$A$144))
-IF(ISERROR(GETPIVOTDATA("Somma di AVERE",'Pivot Fineco St'!$A$3,"Mese",12,"Tipologia",$A154,"Viaggio",$A$144)),0,GETPIVOTDATA("Somma di AVERE",'Pivot Fineco St'!$A$3,"Mese",12,"Tipologia",$A154,"Viaggio",$A$144))
-IF(ISERROR(GETPIVOTDATA("Somma di AVERE",'Pivot Fineco Sa'!$A$3,"Mese",12,"Tipologia",$A154,"Viaggio",$A$144)),0,GETPIVOTDATA("Somma di AVERE",'Pivot Fineco Sa'!$A$3,"Mese",12,"Tipologia",$A154,"Viaggio",$A$144))
+IF(ISERROR(GETPIVOTDATA("Somma di DARE",'Pivot PP Visa'!$A$3,"Mese",12,"Tipologia",$A154,"Viaggio",$A$144)),0,GETPIVOTDATA("Somma di DARE",'Pivot PP Visa'!$A$3,"Mese",12,"Tipologia",$A154,"Viaggio",$A$144))
-IF(ISERROR(GETPIVOTDATA("Somma di AVERE",'Pivot PP Visa'!$A$3,"Mese",12,"Tipologia",$A154,"Viaggio",$A$144)),0,GETPIVOTDATA("Somma di AVERE",'Pivot PP Visa'!$A$3,"Mese",12,"Tipologia",$A154,"Viaggio",$A$144))
+IF(ISERROR(GETPIVOTDATA("Somma di DARE",'Pivot Revolut'!$A$3,"Mese",12,"Tipologia",$A154,"Viaggio",$A$144)),0,GETPIVOTDATA("Somma di DARE",'Pivot Revolut'!$A$3,"Mese",12,"Tipologia",$A154,"Viaggio",$A$144))
-IF(ISERROR(GETPIVOTDATA("Somma di AVERE",'Pivot Revolut'!$A$3,"Mese",12,"Tipologia",$A154,"Viaggio",$A$144)),0,GETPIVOTDATA("Somma di AVERE",'Pivot Revolut'!$A$3,"Mese",12,"Tipologia",$A154,"Viaggio",$A$144))
+IF(ISERROR(GETPIVOTDATA("Somma di DARE",'Pivot RakBank EUR'!$A$3,"Mese",12,"Tipologia",$A154,"Viaggio",$A$144)),0,GETPIVOTDATA("Somma di DARE",'Pivot RakBank EUR'!$A$3,"Mese",12,"Tipologia",$A154,"Viaggio",$A$144))
-IF(ISERROR(GETPIVOTDATA("Somma di AVERE",'Pivot RakBank EUR'!$A$3,"Mese",12,"Tipologia",$A154,"Viaggio",$A$144)),0,GETPIVOTDATA("Somma di AVERE",'Pivot RakBank EUR'!$A$3,"Mese",12,"Tipologia",$A154,"Viaggio",$A$144))
+IF(ISERROR(GETPIVOTDATA("Somma di DARE EUR",'Pivot RakBank AED'!$A$3,"Mese",12,"Tipologia",$A154,"Viaggio",$A$144)),0,GETPIVOTDATA("Somma di DARE EUR",'Pivot RakBank AED'!$A$3,"Mese",12,"Tipologia",$A154,"Viaggio",$A$144))
-IF(ISERROR(GETPIVOTDATA("Somma di AVERE EUR",'Pivot RakBank AED'!$A$3,"Mese",12,"Tipologia",$A154,"Viaggio",$A$144)),0,GETPIVOTDATA("Somma di AVERE EUR",'Pivot RakBank AED'!$A$3,"Mese",12,"Tipologia",$A154,"Viaggio",$A$144))</f>
        <v>0</v>
      </c>
      <c r="O154" s="271">
        <f t="shared" si="19"/>
        <v>0</v>
      </c>
      <c r="P154" s="270"/>
    </row>
    <row r="155" spans="1:16" s="131" customFormat="1" ht="14" outlineLevel="1" x14ac:dyDescent="0.2">
      <c r="A155" s="269" t="s">
        <v>102</v>
      </c>
      <c r="B155" s="269"/>
      <c r="C155" s="270">
        <f>IF(ISERROR(GETPIVOTDATA("Somma di DARE",'Pivot Fineco Sa'!$A$3,"Mese",1,"Tipologia",$A155,"Viaggio",$A$144)),0,GETPIVOTDATA("Somma di DARE",'Pivot Fineco Sa'!$A$3,"Mese",1,"Tipologia",$A155,"Viaggio",$A$144))
+IF(ISERROR(GETPIVOTDATA("Somma di DARE",'Pivot Fineco St'!$A$3,"Mese",1,"Tipologia",$A155,"Viaggio",$A$144)),0,GETPIVOTDATA("Somma di DARE",'Pivot Fineco St'!$A$3,"Mese",1,"Tipologia",$A155,"Viaggio",$A$144))
+IF(Contanti!$E49='Conto Economico'!$A$144,Contanti!$B49)
+IF(ISERROR(GETPIVOTDATA("Somma di DARE",'Pivot BBVA'!$A$3,"Mese",1,"Tipologia",$A155,"Viaggio",$A$144)),0,GETPIVOTDATA("Somma di DARE",'Pivot BBVA'!$A$3,"Mese",1,"Tipologia",$A155,"Viaggio",$A$144))
+IF(ISERROR(GETPIVOTDATA("Somma di DARE",'Pivot Amex'!$A$3,"Mese",1,"Tipologia",$A155,"Viaggio",$A$144)),0,GETPIVOTDATA("Somma di DARE",'Pivot Amex'!$A$3,"Mese",1,"Tipologia",$A155,"Viaggio",$A$144))
-IF(ISERROR(GETPIVOTDATA("Somma di AVERE",'Pivot Amex'!$A$3,"Mese",1,"Tipologia",$A155,"Viaggio",$A$144)),0,GETPIVOTDATA("Somma di AVERE",'Pivot Amex'!$A$3,"Mese",1,"Tipologia",$A155,"Viaggio",$A$144))
-IF(ISERROR(GETPIVOTDATA("Somma di AVERE",'Pivot BBVA'!$A$3,"Mese",1,"Tipologia",$A155,"Viaggio",$A$144)),0,GETPIVOTDATA("Somma di AVERE",'Pivot BBVA'!$A$3,"Mese",1,"Tipologia",$A155,"Viaggio",$A$144))
-IF(ISERROR(GETPIVOTDATA("Somma di AVERE",'Pivot Fineco St'!$A$3,"Mese",1,"Tipologia",$A155,"Viaggio",$A$144)),0,GETPIVOTDATA("Somma di AVERE",'Pivot Fineco St'!$A$3,"Mese",1,"Tipologia",$A155,"Viaggio",$A$144))
-IF(ISERROR(GETPIVOTDATA("Somma di AVERE",'Pivot Fineco Sa'!$A$3,"Mese",1,"Tipologia",$A155,"Viaggio",$A$144)),0,GETPIVOTDATA("Somma di AVERE",'Pivot Fineco Sa'!$A$3,"Mese",1,"Tipologia",$A155,"Viaggio",$A$144))
+IF(ISERROR(GETPIVOTDATA("Somma di DARE",'Pivot PP Visa'!$A$3,"Mese",1,"Tipologia",$A155,"Viaggio",$A$144)),0,GETPIVOTDATA("Somma di DARE",'Pivot PP Visa'!$A$3,"Mese",1,"Tipologia",$A155,"Viaggio",$A$144))
-IF(ISERROR(GETPIVOTDATA("Somma di AVERE",'Pivot PP Visa'!$A$3,"Mese",1,"Tipologia",$A155,"Viaggio",$A$144)),0,GETPIVOTDATA("Somma di AVERE",'Pivot PP Visa'!$A$3,"Mese",1,"Tipologia",$A155,"Viaggio",$A$144))
+IF(ISERROR(GETPIVOTDATA("Somma di DARE",'Pivot Revolut'!$A$3,"Mese",1,"Tipologia",$A155,"Viaggio",$A$144)),0,GETPIVOTDATA("Somma di DARE",'Pivot Revolut'!$A$3,"Mese",1,"Tipologia",$A155,"Viaggio",$A$144))
-IF(ISERROR(GETPIVOTDATA("Somma di AVERE",'Pivot Revolut'!$A$3,"Mese",1,"Tipologia",$A155,"Viaggio",$A$144)),0,GETPIVOTDATA("Somma di AVERE",'Pivot Revolut'!$A$3,"Mese",1,"Tipologia",$A155,"Viaggio",$A$144))
+IF(ISERROR(GETPIVOTDATA("Somma di DARE",'Pivot RakBank EUR'!$A$3,"Mese",1,"Tipologia",$A155,"Viaggio",$A$144)),0,GETPIVOTDATA("Somma di DARE",'Pivot RakBank EUR'!$A$3,"Mese",1,"Tipologia",$A155,"Viaggio",$A$144))
-IF(ISERROR(GETPIVOTDATA("Somma di AVERE",'Pivot RakBank EUR'!$A$3,"Mese",1,"Tipologia",$A155,"Viaggio",$A$144)),0,GETPIVOTDATA("Somma di AVERE",'Pivot RakBank EUR'!$A$3,"Mese",1,"Tipologia",$A155,"Viaggio",$A$144))
+IF(ISERROR(GETPIVOTDATA("Somma di DARE EUR",'Pivot RakBank AED'!$A$3,"Mese",1,"Tipologia",$A155,"Viaggio",$A$144)),0,GETPIVOTDATA("Somma di DARE EUR",'Pivot RakBank AED'!$A$3,"Mese",1,"Tipologia",$A155,"Viaggio",$A$144))
-IF(ISERROR(GETPIVOTDATA("Somma di AVERE EUR",'Pivot RakBank AED'!$A$3,"Mese",1,"Tipologia",$A155,"Viaggio",$A$144)),0,GETPIVOTDATA("Somma di AVERE EUR",'Pivot RakBank AED'!$A$3,"Mese",1,"Tipologia",$A155,"Viaggio",$A$144))</f>
        <v>0</v>
      </c>
      <c r="D155" s="270">
        <f>IF(ISERROR(GETPIVOTDATA("Somma di DARE",'Pivot Fineco Sa'!$A$3,"Mese",2,"Tipologia",$A155,"Viaggio",$A$144)),0,GETPIVOTDATA("Somma di DARE",'Pivot Fineco Sa'!$A$3,"Mese",2,"Tipologia",$A155,"Viaggio",$A$144))
+IF(ISERROR(GETPIVOTDATA("Somma di DARE",'Pivot Fineco St'!$A$3,"Mese",2,"Tipologia",$A155,"Viaggio",$A$144)),0,GETPIVOTDATA("Somma di DARE",'Pivot Fineco St'!$A$3,"Mese",2,"Tipologia",$A155,"Viaggio",$A$144))
+IF(Contanti!$I49='Conto Economico'!$A$144,Contanti!$F49)
+IF(ISERROR(GETPIVOTDATA("Somma di DARE",'Pivot BBVA'!$A$3,"Mese",2,"Tipologia",$A155,"Viaggio",$A$144)),0,GETPIVOTDATA("Somma di DARE",'Pivot BBVA'!$A$3,"Mese",2,"Tipologia",$A155,"Viaggio",$A$144))
+IF(ISERROR(GETPIVOTDATA("Somma di DARE",'Pivot Amex'!$A$3,"Mese",2,"Tipologia",$A155,"Viaggio",$A$144)),0,GETPIVOTDATA("Somma di DARE",'Pivot Amex'!$A$3,"Mese",2,"Tipologia",$A155,"Viaggio",$A$144))
-IF(ISERROR(GETPIVOTDATA("Somma di AVERE",'Pivot Amex'!$A$3,"Mese",2,"Tipologia",$A155,"Viaggio",$A$144)),0,GETPIVOTDATA("Somma di AVERE",'Pivot Amex'!$A$3,"Mese",2,"Tipologia",$A155,"Viaggio",$A$144))
-IF(ISERROR(GETPIVOTDATA("Somma di AVERE",'Pivot BBVA'!$A$3,"Mese",2,"Tipologia",$A155,"Viaggio",$A$144)),0,GETPIVOTDATA("Somma di AVERE",'Pivot BBVA'!$A$3,"Mese",2,"Tipologia",$A155,"Viaggio",$A$144))
-IF(ISERROR(GETPIVOTDATA("Somma di AVERE",'Pivot Fineco St'!$A$3,"Mese",2,"Tipologia",$A155,"Viaggio",$A$144)),0,GETPIVOTDATA("Somma di AVERE",'Pivot Fineco St'!$A$3,"Mese",2,"Tipologia",$A155,"Viaggio",$A$144))
-IF(ISERROR(GETPIVOTDATA("Somma di AVERE",'Pivot Fineco Sa'!$A$3,"Mese",2,"Tipologia",$A155,"Viaggio",$A$144)),0,GETPIVOTDATA("Somma di AVERE",'Pivot Fineco Sa'!$A$3,"Mese",2,"Tipologia",$A155,"Viaggio",$A$144))
+IF(ISERROR(GETPIVOTDATA("Somma di DARE",'Pivot PP Visa'!$A$3,"Mese",2,"Tipologia",$A155,"Viaggio",$A$144)),0,GETPIVOTDATA("Somma di DARE",'Pivot PP Visa'!$A$3,"Mese",2,"Tipologia",$A155,"Viaggio",$A$144))
-IF(ISERROR(GETPIVOTDATA("Somma di AVERE",'Pivot PP Visa'!$A$3,"Mese",2,"Tipologia",$A155,"Viaggio",$A$144)),0,GETPIVOTDATA("Somma di AVERE",'Pivot PP Visa'!$A$3,"Mese",2,"Tipologia",$A155,"Viaggio",$A$144))
+IF(ISERROR(GETPIVOTDATA("Somma di DARE",'Pivot Revolut'!$A$3,"Mese",2,"Tipologia",$A155,"Viaggio",$A$144)),0,GETPIVOTDATA("Somma di DARE",'Pivot Revolut'!$A$3,"Mese",2,"Tipologia",$A155,"Viaggio",$A$144))
-IF(ISERROR(GETPIVOTDATA("Somma di AVERE",'Pivot Revolut'!$A$3,"Mese",2,"Tipologia",$A155,"Viaggio",$A$144)),0,GETPIVOTDATA("Somma di AVERE",'Pivot Revolut'!$A$3,"Mese",2,"Tipologia",$A155,"Viaggio",$A$144))
+IF(ISERROR(GETPIVOTDATA("Somma di DARE",'Pivot RakBank EUR'!$A$3,"Mese",2,"Tipologia",$A155,"Viaggio",$A$144)),0,GETPIVOTDATA("Somma di DARE",'Pivot RakBank EUR'!$A$3,"Mese",2,"Tipologia",$A155,"Viaggio",$A$144))
-IF(ISERROR(GETPIVOTDATA("Somma di AVERE",'Pivot RakBank EUR'!$A$3,"Mese",2,"Tipologia",$A155,"Viaggio",$A$144)),0,GETPIVOTDATA("Somma di AVERE",'Pivot RakBank EUR'!$A$3,"Mese",2,"Tipologia",$A155,"Viaggio",$A$144))
+IF(ISERROR(GETPIVOTDATA("Somma di DARE EUR",'Pivot RakBank AED'!$A$3,"Mese",2,"Tipologia",$A155,"Viaggio",$A$144)),0,GETPIVOTDATA("Somma di DARE EUR",'Pivot RakBank AED'!$A$3,"Mese",2,"Tipologia",$A155,"Viaggio",$A$144))
-IF(ISERROR(GETPIVOTDATA("Somma di AVERE EUR",'Pivot RakBank AED'!$A$3,"Mese",2,"Tipologia",$A155,"Viaggio",$A$144)),0,GETPIVOTDATA("Somma di AVERE EUR",'Pivot RakBank AED'!$A$3,"Mese",2,"Tipologia",$A155,"Viaggio",$A$144))</f>
        <v>0</v>
      </c>
      <c r="E155" s="270">
        <f>IF(ISERROR(GETPIVOTDATA("Somma di DARE",'Pivot Fineco Sa'!$A$3,"Mese",3,"Tipologia",$A155,"Viaggio",$A$144)),0,GETPIVOTDATA("Somma di DARE",'Pivot Fineco Sa'!$A$3,"Mese",3,"Tipologia",$A155,"Viaggio",$A$144))
+IF(ISERROR(GETPIVOTDATA("Somma di DARE",'Pivot Fineco St'!$A$3,"Mese",3,"Tipologia",$A155,"Viaggio",$A$144)),0,GETPIVOTDATA("Somma di DARE",'Pivot Fineco St'!$A$3,"Mese",3,"Tipologia",$A155,"Viaggio",$A$144))
+IF(Contanti!$M49='Conto Economico'!$A$144,Contanti!$J49)
+IF(ISERROR(GETPIVOTDATA("Somma di DARE",'Pivot BBVA'!$A$3,"Mese",3,"Tipologia",$A155,"Viaggio",$A$144)),0,GETPIVOTDATA("Somma di DARE",'Pivot BBVA'!$A$3,"Mese",3,"Tipologia",$A155,"Viaggio",$A$144))
+IF(ISERROR(GETPIVOTDATA("Somma di DARE",'Pivot Amex'!$A$3,"Mese",3,"Tipologia",$A155,"Viaggio",$A$144)),0,GETPIVOTDATA("Somma di DARE",'Pivot Amex'!$A$3,"Mese",3,"Tipologia",$A155,"Viaggio",$A$144))
-IF(ISERROR(GETPIVOTDATA("Somma di AVERE",'Pivot Amex'!$A$3,"Mese",3,"Tipologia",$A155,"Viaggio",$A$144)),0,GETPIVOTDATA("Somma di AVERE",'Pivot Amex'!$A$3,"Mese",3,"Tipologia",$A155,"Viaggio",$A$144))
-IF(ISERROR(GETPIVOTDATA("Somma di AVERE",'Pivot BBVA'!$A$3,"Mese",3,"Tipologia",$A155,"Viaggio",$A$144)),0,GETPIVOTDATA("Somma di AVERE",'Pivot BBVA'!$A$3,"Mese",3,"Tipologia",$A155,"Viaggio",$A$144))
-IF(ISERROR(GETPIVOTDATA("Somma di AVERE",'Pivot Fineco St'!$A$3,"Mese",3,"Tipologia",$A155,"Viaggio",$A$144)),0,GETPIVOTDATA("Somma di AVERE",'Pivot Fineco St'!$A$3,"Mese",3,"Tipologia",$A155,"Viaggio",$A$144))
-IF(ISERROR(GETPIVOTDATA("Somma di AVERE",'Pivot Fineco Sa'!$A$3,"Mese",3,"Tipologia",$A155,"Viaggio",$A$144)),0,GETPIVOTDATA("Somma di AVERE",'Pivot Fineco Sa'!$A$3,"Mese",3,"Tipologia",$A155,"Viaggio",$A$144))
+IF(ISERROR(GETPIVOTDATA("Somma di DARE",'Pivot PP Visa'!$A$3,"Mese",3,"Tipologia",$A155,"Viaggio",$A$144)),0,GETPIVOTDATA("Somma di DARE",'Pivot PP Visa'!$A$3,"Mese",3,"Tipologia",$A155,"Viaggio",$A$144))
-IF(ISERROR(GETPIVOTDATA("Somma di AVERE",'Pivot PP Visa'!$A$3,"Mese",3,"Tipologia",$A155,"Viaggio",$A$144)),0,GETPIVOTDATA("Somma di AVERE",'Pivot PP Visa'!$A$3,"Mese",3,"Tipologia",$A155,"Viaggio",$A$144))
+IF(ISERROR(GETPIVOTDATA("Somma di DARE",'Pivot Revolut'!$A$3,"Mese",3,"Tipologia",$A155,"Viaggio",$A$144)),0,GETPIVOTDATA("Somma di DARE",'Pivot Revolut'!$A$3,"Mese",3,"Tipologia",$A155,"Viaggio",$A$144))
-IF(ISERROR(GETPIVOTDATA("Somma di AVERE",'Pivot Revolut'!$A$3,"Mese",3,"Tipologia",$A155,"Viaggio",$A$144)),0,GETPIVOTDATA("Somma di AVERE",'Pivot Revolut'!$A$3,"Mese",3,"Tipologia",$A155,"Viaggio",$A$144))
+IF(ISERROR(GETPIVOTDATA("Somma di DARE",'Pivot RakBank EUR'!$A$3,"Mese",3,"Tipologia",$A155,"Viaggio",$A$144)),0,GETPIVOTDATA("Somma di DARE",'Pivot RakBank EUR'!$A$3,"Mese",3,"Tipologia",$A155,"Viaggio",$A$144))
-IF(ISERROR(GETPIVOTDATA("Somma di AVERE",'Pivot RakBank EUR'!$A$3,"Mese",3,"Tipologia",$A155,"Viaggio",$A$144)),0,GETPIVOTDATA("Somma di AVERE",'Pivot RakBank EUR'!$A$3,"Mese",3,"Tipologia",$A155,"Viaggio",$A$144))
+IF(ISERROR(GETPIVOTDATA("Somma di DARE EUR",'Pivot RakBank AED'!$A$3,"Mese",3,"Tipologia",$A155,"Viaggio",$A$144)),0,GETPIVOTDATA("Somma di DARE EUR",'Pivot RakBank AED'!$A$3,"Mese",3,"Tipologia",$A155,"Viaggio",$A$144))
-IF(ISERROR(GETPIVOTDATA("Somma di AVERE EUR",'Pivot RakBank AED'!$A$3,"Mese",3,"Tipologia",$A155,"Viaggio",$A$144)),0,GETPIVOTDATA("Somma di AVERE EUR",'Pivot RakBank AED'!$A$3,"Mese",3,"Tipologia",$A155,"Viaggio",$A$144))</f>
        <v>0</v>
      </c>
      <c r="F155" s="270">
        <f>IF(ISERROR(GETPIVOTDATA("Somma di DARE",'Pivot Fineco Sa'!$A$3,"Mese",4,"Tipologia",$A155,"Viaggio",$A$144)),0,GETPIVOTDATA("Somma di DARE",'Pivot Fineco Sa'!$A$3,"Mese",4,"Tipologia",$A155,"Viaggio",$A$144))
+IF(ISERROR(GETPIVOTDATA("Somma di DARE",'Pivot Fineco St'!$A$3,"Mese",4,"Tipologia",$A155,"Viaggio",$A$144)),0,GETPIVOTDATA("Somma di DARE",'Pivot Fineco St'!$A$3,"Mese",4,"Tipologia",$A155,"Viaggio",$A$144))
+IF(Contanti!$Q49='Conto Economico'!$A$144,Contanti!$N49)
+IF(ISERROR(GETPIVOTDATA("Somma di DARE",'Pivot BBVA'!$A$3,"Mese",4,"Tipologia",$A155,"Viaggio",$A$144)),0,GETPIVOTDATA("Somma di DARE",'Pivot BBVA'!$A$3,"Mese",4,"Tipologia",$A155,"Viaggio",$A$144))
+IF(ISERROR(GETPIVOTDATA("Somma di DARE",'Pivot Amex'!$A$3,"Mese",4,"Tipologia",$A155,"Viaggio",$A$144)),0,GETPIVOTDATA("Somma di DARE",'Pivot Amex'!$A$3,"Mese",4,"Tipologia",$A155,"Viaggio",$A$144))
-IF(ISERROR(GETPIVOTDATA("Somma di AVERE",'Pivot Amex'!$A$3,"Mese",4,"Tipologia",$A155,"Viaggio",$A$144)),0,GETPIVOTDATA("Somma di AVERE",'Pivot Amex'!$A$3,"Mese",4,"Tipologia",$A155,"Viaggio",$A$144))
-IF(ISERROR(GETPIVOTDATA("Somma di AVERE",'Pivot BBVA'!$A$3,"Mese",4,"Tipologia",$A155,"Viaggio",$A$144)),0,GETPIVOTDATA("Somma di AVERE",'Pivot BBVA'!$A$3,"Mese",4,"Tipologia",$A155,"Viaggio",$A$144))
-IF(ISERROR(GETPIVOTDATA("Somma di AVERE",'Pivot Fineco St'!$A$3,"Mese",4,"Tipologia",$A155,"Viaggio",$A$144)),0,GETPIVOTDATA("Somma di AVERE",'Pivot Fineco St'!$A$3,"Mese",4,"Tipologia",$A155,"Viaggio",$A$144))
-IF(ISERROR(GETPIVOTDATA("Somma di AVERE",'Pivot Fineco Sa'!$A$3,"Mese",4,"Tipologia",$A155,"Viaggio",$A$144)),0,GETPIVOTDATA("Somma di AVERE",'Pivot Fineco Sa'!$A$3,"Mese",4,"Tipologia",$A155,"Viaggio",$A$144))
+IF(ISERROR(GETPIVOTDATA("Somma di DARE",'Pivot PP Visa'!$A$3,"Mese",4,"Tipologia",$A155,"Viaggio",$A$144)),0,GETPIVOTDATA("Somma di DARE",'Pivot PP Visa'!$A$3,"Mese",4,"Tipologia",$A155,"Viaggio",$A$144))
-IF(ISERROR(GETPIVOTDATA("Somma di AVERE",'Pivot PP Visa'!$A$3,"Mese",4,"Tipologia",$A155,"Viaggio",$A$144)),0,GETPIVOTDATA("Somma di AVERE",'Pivot PP Visa'!$A$3,"Mese",4,"Tipologia",$A155,"Viaggio",$A$144))
+IF(ISERROR(GETPIVOTDATA("Somma di DARE",'Pivot Revolut'!$A$3,"Mese",4,"Tipologia",$A155,"Viaggio",$A$144)),0,GETPIVOTDATA("Somma di DARE",'Pivot Revolut'!$A$3,"Mese",4,"Tipologia",$A155,"Viaggio",$A$144))
-IF(ISERROR(GETPIVOTDATA("Somma di AVERE",'Pivot Revolut'!$A$3,"Mese",4,"Tipologia",$A155,"Viaggio",$A$144)),0,GETPIVOTDATA("Somma di AVERE",'Pivot Revolut'!$A$3,"Mese",4,"Tipologia",$A155,"Viaggio",$A$144))
+IF(ISERROR(GETPIVOTDATA("Somma di DARE",'Pivot RakBank EUR'!$A$3,"Mese",4,"Tipologia",$A155,"Viaggio",$A$144)),0,GETPIVOTDATA("Somma di DARE",'Pivot RakBank EUR'!$A$3,"Mese",4,"Tipologia",$A155,"Viaggio",$A$144))
-IF(ISERROR(GETPIVOTDATA("Somma di AVERE",'Pivot RakBank EUR'!$A$3,"Mese",4,"Tipologia",$A155,"Viaggio",$A$144)),0,GETPIVOTDATA("Somma di AVERE",'Pivot RakBank EUR'!$A$3,"Mese",4,"Tipologia",$A155,"Viaggio",$A$144))
+IF(ISERROR(GETPIVOTDATA("Somma di DARE EUR",'Pivot RakBank AED'!$A$3,"Mese",4,"Tipologia",$A155,"Viaggio",$A$144)),0,GETPIVOTDATA("Somma di DARE EUR",'Pivot RakBank AED'!$A$3,"Mese",4,"Tipologia",$A155,"Viaggio",$A$144))
-IF(ISERROR(GETPIVOTDATA("Somma di AVERE EUR",'Pivot RakBank AED'!$A$3,"Mese",4,"Tipologia",$A155,"Viaggio",$A$144)),0,GETPIVOTDATA("Somma di AVERE EUR",'Pivot RakBank AED'!$A$3,"Mese",4,"Tipologia",$A155,"Viaggio",$A$144))</f>
        <v>0</v>
      </c>
      <c r="G155" s="270">
        <f>IF(ISERROR(GETPIVOTDATA("Somma di DARE",'Pivot Fineco Sa'!$A$3,"Mese",5,"Tipologia",$A155,"Viaggio",$A$144)),0,GETPIVOTDATA("Somma di DARE",'Pivot Fineco Sa'!$A$3,"Mese",5,"Tipologia",$A155,"Viaggio",$A$144))
+IF(ISERROR(GETPIVOTDATA("Somma di DARE",'Pivot Fineco St'!$A$3,"Mese",5,"Tipologia",$A155,"Viaggio",$A$144)),0,GETPIVOTDATA("Somma di DARE",'Pivot Fineco St'!$A$3,"Mese",5,"Tipologia",$A155,"Viaggio",$A$144))
+IF(Contanti!$U49='Conto Economico'!$A$144,Contanti!$R49)
+IF(ISERROR(GETPIVOTDATA("Somma di DARE",'Pivot BBVA'!$A$3,"Mese",5,"Tipologia",$A155,"Viaggio",$A$144)),0,GETPIVOTDATA("Somma di DARE",'Pivot BBVA'!$A$3,"Mese",5,"Tipologia",$A155,"Viaggio",$A$144))
+IF(ISERROR(GETPIVOTDATA("Somma di DARE",'Pivot Amex'!$A$3,"Mese",5,"Tipologia",$A155,"Viaggio",$A$144)),0,GETPIVOTDATA("Somma di DARE",'Pivot Amex'!$A$3,"Mese",5,"Tipologia",$A155,"Viaggio",$A$144))
-IF(ISERROR(GETPIVOTDATA("Somma di AVERE",'Pivot Amex'!$A$3,"Mese",5,"Tipologia",$A155,"Viaggio",$A$144)),0,GETPIVOTDATA("Somma di AVERE",'Pivot Amex'!$A$3,"Mese",5,"Tipologia",$A155,"Viaggio",$A$144))
-IF(ISERROR(GETPIVOTDATA("Somma di AVERE",'Pivot BBVA'!$A$3,"Mese",5,"Tipologia",$A155,"Viaggio",$A$144)),0,GETPIVOTDATA("Somma di AVERE",'Pivot BBVA'!$A$3,"Mese",5,"Tipologia",$A155,"Viaggio",$A$144))
-IF(ISERROR(GETPIVOTDATA("Somma di AVERE",'Pivot Fineco St'!$A$3,"Mese",5,"Tipologia",$A155,"Viaggio",$A$144)),0,GETPIVOTDATA("Somma di AVERE",'Pivot Fineco St'!$A$3,"Mese",5,"Tipologia",$A155,"Viaggio",$A$144))
-IF(ISERROR(GETPIVOTDATA("Somma di AVERE",'Pivot Fineco Sa'!$A$3,"Mese",5,"Tipologia",$A155,"Viaggio",$A$144)),0,GETPIVOTDATA("Somma di AVERE",'Pivot Fineco Sa'!$A$3,"Mese",5,"Tipologia",$A155,"Viaggio",$A$144))
+IF(ISERROR(GETPIVOTDATA("Somma di DARE",'Pivot PP Visa'!$A$3,"Mese",5,"Tipologia",$A155,"Viaggio",$A$144)),0,GETPIVOTDATA("Somma di DARE",'Pivot PP Visa'!$A$3,"Mese",5,"Tipologia",$A155,"Viaggio",$A$144))
-IF(ISERROR(GETPIVOTDATA("Somma di AVERE",'Pivot PP Visa'!$A$3,"Mese",5,"Tipologia",$A155,"Viaggio",$A$144)),0,GETPIVOTDATA("Somma di AVERE",'Pivot PP Visa'!$A$3,"Mese",5,"Tipologia",$A155,"Viaggio",$A$144))
+IF(ISERROR(GETPIVOTDATA("Somma di DARE",'Pivot Revolut'!$A$3,"Mese",5,"Tipologia",$A155,"Viaggio",$A$144)),0,GETPIVOTDATA("Somma di DARE",'Pivot Revolut'!$A$3,"Mese",5,"Tipologia",$A155,"Viaggio",$A$144))
-IF(ISERROR(GETPIVOTDATA("Somma di AVERE",'Pivot Revolut'!$A$3,"Mese",5,"Tipologia",$A155,"Viaggio",$A$144)),0,GETPIVOTDATA("Somma di AVERE",'Pivot Revolut'!$A$3,"Mese",5,"Tipologia",$A155,"Viaggio",$A$144))
+IF(ISERROR(GETPIVOTDATA("Somma di DARE",'Pivot RakBank EUR'!$A$3,"Mese",5,"Tipologia",$A155,"Viaggio",$A$144)),0,GETPIVOTDATA("Somma di DARE",'Pivot RakBank EUR'!$A$3,"Mese",5,"Tipologia",$A155,"Viaggio",$A$144))
-IF(ISERROR(GETPIVOTDATA("Somma di AVERE",'Pivot RakBank EUR'!$A$3,"Mese",5,"Tipologia",$A155,"Viaggio",$A$144)),0,GETPIVOTDATA("Somma di AVERE",'Pivot RakBank EUR'!$A$3,"Mese",5,"Tipologia",$A155,"Viaggio",$A$144))
+IF(ISERROR(GETPIVOTDATA("Somma di DARE EUR",'Pivot RakBank AED'!$A$3,"Mese",5,"Tipologia",$A155,"Viaggio",$A$144)),0,GETPIVOTDATA("Somma di DARE EUR",'Pivot RakBank AED'!$A$3,"Mese",5,"Tipologia",$A155,"Viaggio",$A$144))
-IF(ISERROR(GETPIVOTDATA("Somma di AVERE EUR",'Pivot RakBank AED'!$A$3,"Mese",5,"Tipologia",$A155,"Viaggio",$A$144)),0,GETPIVOTDATA("Somma di AVERE EUR",'Pivot RakBank AED'!$A$3,"Mese",5,"Tipologia",$A155,"Viaggio",$A$144))</f>
        <v>0</v>
      </c>
      <c r="H155" s="270">
        <f>IF(ISERROR(GETPIVOTDATA("Somma di DARE",'Pivot Fineco Sa'!$A$3,"Mese",6,"Tipologia",$A155,"Viaggio",$A$144)),0,GETPIVOTDATA("Somma di DARE",'Pivot Fineco Sa'!$A$3,"Mese",6,"Tipologia",$A155,"Viaggio",$A$144))
+IF(ISERROR(GETPIVOTDATA("Somma di DARE",'Pivot Fineco St'!$A$3,"Mese",6,"Tipologia",$A155,"Viaggio",$A$144)),0,GETPIVOTDATA("Somma di DARE",'Pivot Fineco St'!$A$3,"Mese",6,"Tipologia",$A155,"Viaggio",$A$144))
+IF(Contanti!$Y49='Conto Economico'!$A$144,Contanti!$V49)
+IF(ISERROR(GETPIVOTDATA("Somma di DARE",'Pivot BBVA'!$A$3,"Mese",6,"Tipologia",$A155,"Viaggio",$A$144)),0,GETPIVOTDATA("Somma di DARE",'Pivot BBVA'!$A$3,"Mese",6,"Tipologia",$A155,"Viaggio",$A$144))
+IF(ISERROR(GETPIVOTDATA("Somma di DARE",'Pivot Amex'!$A$3,"Mese",6,"Tipologia",$A155,"Viaggio",$A$144)),0,GETPIVOTDATA("Somma di DARE",'Pivot Amex'!$A$3,"Mese",6,"Tipologia",$A155,"Viaggio",$A$144))
-IF(ISERROR(GETPIVOTDATA("Somma di AVERE",'Pivot Amex'!$A$3,"Mese",6,"Tipologia",$A155,"Viaggio",$A$144)),0,GETPIVOTDATA("Somma di AVERE",'Pivot Amex'!$A$3,"Mese",6,"Tipologia",$A155,"Viaggio",$A$144))
-IF(ISERROR(GETPIVOTDATA("Somma di AVERE",'Pivot BBVA'!$A$3,"Mese",6,"Tipologia",$A155,"Viaggio",$A$144)),0,GETPIVOTDATA("Somma di AVERE",'Pivot BBVA'!$A$3,"Mese",6,"Tipologia",$A155,"Viaggio",$A$144))
-IF(ISERROR(GETPIVOTDATA("Somma di AVERE",'Pivot Fineco St'!$A$3,"Mese",6,"Tipologia",$A155,"Viaggio",$A$144)),0,GETPIVOTDATA("Somma di AVERE",'Pivot Fineco St'!$A$3,"Mese",6,"Tipologia",$A155,"Viaggio",$A$144))
-IF(ISERROR(GETPIVOTDATA("Somma di AVERE",'Pivot Fineco Sa'!$A$3,"Mese",6,"Tipologia",$A155,"Viaggio",$A$144)),0,GETPIVOTDATA("Somma di AVERE",'Pivot Fineco Sa'!$A$3,"Mese",6,"Tipologia",$A155,"Viaggio",$A$144))
+IF(ISERROR(GETPIVOTDATA("Somma di DARE",'Pivot PP Visa'!$A$3,"Mese",6,"Tipologia",$A155,"Viaggio",$A$144)),0,GETPIVOTDATA("Somma di DARE",'Pivot PP Visa'!$A$3,"Mese",6,"Tipologia",$A155,"Viaggio",$A$144))
-IF(ISERROR(GETPIVOTDATA("Somma di AVERE",'Pivot PP Visa'!$A$3,"Mese",6,"Tipologia",$A155,"Viaggio",$A$144)),0,GETPIVOTDATA("Somma di AVERE",'Pivot PP Visa'!$A$3,"Mese",6,"Tipologia",$A155,"Viaggio",$A$144))
+IF(ISERROR(GETPIVOTDATA("Somma di DARE",'Pivot Revolut'!$A$3,"Mese",6,"Tipologia",$A155,"Viaggio",$A$144)),0,GETPIVOTDATA("Somma di DARE",'Pivot Revolut'!$A$3,"Mese",6,"Tipologia",$A155,"Viaggio",$A$144))
-IF(ISERROR(GETPIVOTDATA("Somma di AVERE",'Pivot Revolut'!$A$3,"Mese",6,"Tipologia",$A155,"Viaggio",$A$144)),0,GETPIVOTDATA("Somma di AVERE",'Pivot Revolut'!$A$3,"Mese",6,"Tipologia",$A155,"Viaggio",$A$144))
+IF(ISERROR(GETPIVOTDATA("Somma di DARE",'Pivot RakBank EUR'!$A$3,"Mese",6,"Tipologia",$A155,"Viaggio",$A$144)),0,GETPIVOTDATA("Somma di DARE",'Pivot RakBank EUR'!$A$3,"Mese",6,"Tipologia",$A155,"Viaggio",$A$144))
-IF(ISERROR(GETPIVOTDATA("Somma di AVERE",'Pivot RakBank EUR'!$A$3,"Mese",6,"Tipologia",$A155,"Viaggio",$A$144)),0,GETPIVOTDATA("Somma di AVERE",'Pivot RakBank EUR'!$A$3,"Mese",6,"Tipologia",$A155,"Viaggio",$A$144))
+IF(ISERROR(GETPIVOTDATA("Somma di DARE EUR",'Pivot RakBank AED'!$A$3,"Mese",6,"Tipologia",$A155,"Viaggio",$A$144)),0,GETPIVOTDATA("Somma di DARE EUR",'Pivot RakBank AED'!$A$3,"Mese",6,"Tipologia",$A155,"Viaggio",$A$144))
-IF(ISERROR(GETPIVOTDATA("Somma di AVERE EUR",'Pivot RakBank AED'!$A$3,"Mese",6,"Tipologia",$A155,"Viaggio",$A$144)),0,GETPIVOTDATA("Somma di AVERE EUR",'Pivot RakBank AED'!$A$3,"Mese",6,"Tipologia",$A155,"Viaggio",$A$144))</f>
        <v>0</v>
      </c>
      <c r="I155" s="270">
        <f>IF(ISERROR(GETPIVOTDATA("Somma di DARE",'Pivot Fineco Sa'!$A$3,"Mese",7,"Tipologia",$A155,"Viaggio",$A$144)),0,GETPIVOTDATA("Somma di DARE",'Pivot Fineco Sa'!$A$3,"Mese",7,"Tipologia",$A155,"Viaggio",$A$144))
+IF(ISERROR(GETPIVOTDATA("Somma di DARE",'Pivot Fineco St'!$A$3,"Mese",7,"Tipologia",$A155,"Viaggio",$A$144)),0,GETPIVOTDATA("Somma di DARE",'Pivot Fineco St'!$A$3,"Mese",7,"Tipologia",$A155,"Viaggio",$A$144))
+IF(Contanti!$AC49='Conto Economico'!$A$144,Contanti!$Z49)
+IF(ISERROR(GETPIVOTDATA("Somma di DARE",'Pivot BBVA'!$A$3,"Mese",7,"Tipologia",$A155,"Viaggio",$A$144)),0,GETPIVOTDATA("Somma di DARE",'Pivot BBVA'!$A$3,"Mese",7,"Tipologia",$A155,"Viaggio",$A$144))
+IF(ISERROR(GETPIVOTDATA("Somma di DARE",'Pivot Amex'!$A$3,"Mese",7,"Tipologia",$A155,"Viaggio",$A$144)),0,GETPIVOTDATA("Somma di DARE",'Pivot Amex'!$A$3,"Mese",7,"Tipologia",$A155,"Viaggio",$A$144))
-IF(ISERROR(GETPIVOTDATA("Somma di AVERE",'Pivot Amex'!$A$3,"Mese",7,"Tipologia",$A155,"Viaggio",$A$144)),0,GETPIVOTDATA("Somma di AVERE",'Pivot Amex'!$A$3,"Mese",7,"Tipologia",$A155,"Viaggio",$A$144))
-IF(ISERROR(GETPIVOTDATA("Somma di AVERE",'Pivot BBVA'!$A$3,"Mese",7,"Tipologia",$A155,"Viaggio",$A$144)),0,GETPIVOTDATA("Somma di AVERE",'Pivot BBVA'!$A$3,"Mese",7,"Tipologia",$A155,"Viaggio",$A$144))
-IF(ISERROR(GETPIVOTDATA("Somma di AVERE",'Pivot Fineco St'!$A$3,"Mese",7,"Tipologia",$A155,"Viaggio",$A$144)),0,GETPIVOTDATA("Somma di AVERE",'Pivot Fineco St'!$A$3,"Mese",7,"Tipologia",$A155,"Viaggio",$A$144))
-IF(ISERROR(GETPIVOTDATA("Somma di AVERE",'Pivot Fineco Sa'!$A$3,"Mese",7,"Tipologia",$A155,"Viaggio",$A$144)),0,GETPIVOTDATA("Somma di AVERE",'Pivot Fineco Sa'!$A$3,"Mese",7,"Tipologia",$A155,"Viaggio",$A$144))
+IF(ISERROR(GETPIVOTDATA("Somma di DARE",'Pivot PP Visa'!$A$3,"Mese",7,"Tipologia",$A155,"Viaggio",$A$144)),0,GETPIVOTDATA("Somma di DARE",'Pivot PP Visa'!$A$3,"Mese",7,"Tipologia",$A155,"Viaggio",$A$144))
-IF(ISERROR(GETPIVOTDATA("Somma di AVERE",'Pivot PP Visa'!$A$3,"Mese",7,"Tipologia",$A155,"Viaggio",$A$144)),0,GETPIVOTDATA("Somma di AVERE",'Pivot PP Visa'!$A$3,"Mese",7,"Tipologia",$A155,"Viaggio",$A$144))
+IF(ISERROR(GETPIVOTDATA("Somma di DARE",'Pivot Revolut'!$A$3,"Mese",7,"Tipologia",$A155,"Viaggio",$A$144)),0,GETPIVOTDATA("Somma di DARE",'Pivot Revolut'!$A$3,"Mese",7,"Tipologia",$A155,"Viaggio",$A$144))
-IF(ISERROR(GETPIVOTDATA("Somma di AVERE",'Pivot Revolut'!$A$3,"Mese",7,"Tipologia",$A155,"Viaggio",$A$144)),0,GETPIVOTDATA("Somma di AVERE",'Pivot Revolut'!$A$3,"Mese",7,"Tipologia",$A155,"Viaggio",$A$144))
+IF(ISERROR(GETPIVOTDATA("Somma di DARE",'Pivot RakBank EUR'!$A$3,"Mese",7,"Tipologia",$A155,"Viaggio",$A$144)),0,GETPIVOTDATA("Somma di DARE",'Pivot RakBank EUR'!$A$3,"Mese",7,"Tipologia",$A155,"Viaggio",$A$144))
-IF(ISERROR(GETPIVOTDATA("Somma di AVERE",'Pivot RakBank EUR'!$A$3,"Mese",7,"Tipologia",$A155,"Viaggio",$A$144)),0,GETPIVOTDATA("Somma di AVERE",'Pivot RakBank EUR'!$A$3,"Mese",7,"Tipologia",$A155,"Viaggio",$A$144))
+IF(ISERROR(GETPIVOTDATA("Somma di DARE EUR",'Pivot RakBank AED'!$A$3,"Mese",7,"Tipologia",$A155,"Viaggio",$A$144)),0,GETPIVOTDATA("Somma di DARE EUR",'Pivot RakBank AED'!$A$3,"Mese",7,"Tipologia",$A155,"Viaggio",$A$144))
-IF(ISERROR(GETPIVOTDATA("Somma di AVERE EUR",'Pivot RakBank AED'!$A$3,"Mese",7,"Tipologia",$A155,"Viaggio",$A$144)),0,GETPIVOTDATA("Somma di AVERE EUR",'Pivot RakBank AED'!$A$3,"Mese",7,"Tipologia",$A155,"Viaggio",$A$144))</f>
        <v>0</v>
      </c>
      <c r="J155" s="270">
        <f>IF(ISERROR(GETPIVOTDATA("Somma di DARE",'Pivot Fineco Sa'!$A$3,"Mese",8,"Tipologia",$A155,"Viaggio",$A$144)),0,GETPIVOTDATA("Somma di DARE",'Pivot Fineco Sa'!$A$3,"Mese",8,"Tipologia",$A155,"Viaggio",$A$144))
+IF(ISERROR(GETPIVOTDATA("Somma di DARE",'Pivot Fineco St'!$A$3,"Mese",8,"Tipologia",$A155,"Viaggio",$A$144)),0,GETPIVOTDATA("Somma di DARE",'Pivot Fineco St'!$A$3,"Mese",8,"Tipologia",$A155,"Viaggio",$A$144))
+IF(Contanti!$AG49='Conto Economico'!$A$144,Contanti!$AD49)
+IF(ISERROR(GETPIVOTDATA("Somma di DARE",'Pivot BBVA'!$A$3,"Mese",8,"Tipologia",$A155,"Viaggio",$A$144)),0,GETPIVOTDATA("Somma di DARE",'Pivot BBVA'!$A$3,"Mese",8,"Tipologia",$A155,"Viaggio",$A$144))
+IF(ISERROR(GETPIVOTDATA("Somma di DARE",'Pivot Amex'!$A$3,"Mese",8,"Tipologia",$A155,"Viaggio",$A$144)),0,GETPIVOTDATA("Somma di DARE",'Pivot Amex'!$A$3,"Mese",8,"Tipologia",$A155,"Viaggio",$A$144))
-IF(ISERROR(GETPIVOTDATA("Somma di AVERE",'Pivot Amex'!$A$3,"Mese",8,"Tipologia",$A155,"Viaggio",$A$144)),0,GETPIVOTDATA("Somma di AVERE",'Pivot Amex'!$A$3,"Mese",8,"Tipologia",$A155,"Viaggio",$A$144))
-IF(ISERROR(GETPIVOTDATA("Somma di AVERE",'Pivot BBVA'!$A$3,"Mese",8,"Tipologia",$A155,"Viaggio",$A$144)),0,GETPIVOTDATA("Somma di AVERE",'Pivot BBVA'!$A$3,"Mese",8,"Tipologia",$A155,"Viaggio",$A$144))
-IF(ISERROR(GETPIVOTDATA("Somma di AVERE",'Pivot Fineco St'!$A$3,"Mese",8,"Tipologia",$A155,"Viaggio",$A$144)),0,GETPIVOTDATA("Somma di AVERE",'Pivot Fineco St'!$A$3,"Mese",8,"Tipologia",$A155,"Viaggio",$A$144))
-IF(ISERROR(GETPIVOTDATA("Somma di AVERE",'Pivot Fineco Sa'!$A$3,"Mese",8,"Tipologia",$A155,"Viaggio",$A$144)),0,GETPIVOTDATA("Somma di AVERE",'Pivot Fineco Sa'!$A$3,"Mese",8,"Tipologia",$A155,"Viaggio",$A$144))
+IF(ISERROR(GETPIVOTDATA("Somma di DARE",'Pivot PP Visa'!$A$3,"Mese",8,"Tipologia",$A155,"Viaggio",$A$144)),0,GETPIVOTDATA("Somma di DARE",'Pivot PP Visa'!$A$3,"Mese",8,"Tipologia",$A155,"Viaggio",$A$144))
-IF(ISERROR(GETPIVOTDATA("Somma di AVERE",'Pivot PP Visa'!$A$3,"Mese",8,"Tipologia",$A155,"Viaggio",$A$144)),0,GETPIVOTDATA("Somma di AVERE",'Pivot PP Visa'!$A$3,"Mese",8,"Tipologia",$A155,"Viaggio",$A$144))
+IF(ISERROR(GETPIVOTDATA("Somma di DARE",'Pivot Revolut'!$A$3,"Mese",8,"Tipologia",$A155,"Viaggio",$A$144)),0,GETPIVOTDATA("Somma di DARE",'Pivot Revolut'!$A$3,"Mese",8,"Tipologia",$A155,"Viaggio",$A$144))
-IF(ISERROR(GETPIVOTDATA("Somma di AVERE",'Pivot Revolut'!$A$3,"Mese",8,"Tipologia",$A155,"Viaggio",$A$144)),0,GETPIVOTDATA("Somma di AVERE",'Pivot Revolut'!$A$3,"Mese",8,"Tipologia",$A155,"Viaggio",$A$144))
+IF(ISERROR(GETPIVOTDATA("Somma di DARE",'Pivot RakBank EUR'!$A$3,"Mese",8,"Tipologia",$A155,"Viaggio",$A$144)),0,GETPIVOTDATA("Somma di DARE",'Pivot RakBank EUR'!$A$3,"Mese",8,"Tipologia",$A155,"Viaggio",$A$144))
-IF(ISERROR(GETPIVOTDATA("Somma di AVERE",'Pivot RakBank EUR'!$A$3,"Mese",8,"Tipologia",$A155,"Viaggio",$A$144)),0,GETPIVOTDATA("Somma di AVERE",'Pivot RakBank EUR'!$A$3,"Mese",8,"Tipologia",$A155,"Viaggio",$A$144))
+IF(ISERROR(GETPIVOTDATA("Somma di DARE EUR",'Pivot RakBank AED'!$A$3,"Mese",8,"Tipologia",$A155,"Viaggio",$A$144)),0,GETPIVOTDATA("Somma di DARE EUR",'Pivot RakBank AED'!$A$3,"Mese",8,"Tipologia",$A155,"Viaggio",$A$144))
-IF(ISERROR(GETPIVOTDATA("Somma di AVERE EUR",'Pivot RakBank AED'!$A$3,"Mese",8,"Tipologia",$A155,"Viaggio",$A$144)),0,GETPIVOTDATA("Somma di AVERE EUR",'Pivot RakBank AED'!$A$3,"Mese",8,"Tipologia",$A155,"Viaggio",$A$144))</f>
        <v>0</v>
      </c>
      <c r="K155" s="270">
        <f>IF(ISERROR(GETPIVOTDATA("Somma di DARE",'Pivot Fineco Sa'!$A$3,"Mese",9,"Tipologia",$A155,"Viaggio",$A$144)),0,GETPIVOTDATA("Somma di DARE",'Pivot Fineco Sa'!$A$3,"Mese",9,"Tipologia",$A155,"Viaggio",$A$144))
+IF(ISERROR(GETPIVOTDATA("Somma di DARE",'Pivot Fineco St'!$A$3,"Mese",9,"Tipologia",$A155,"Viaggio",$A$144)),0,GETPIVOTDATA("Somma di DARE",'Pivot Fineco St'!$A$3,"Mese",9,"Tipologia",$A155,"Viaggio",$A$144))
+IF(Contanti!$AK49='Conto Economico'!$A$144,Contanti!$AH49)
+IF(ISERROR(GETPIVOTDATA("Somma di DARE",'Pivot BBVA'!$A$3,"Mese",9,"Tipologia",$A155,"Viaggio",$A$144)),0,GETPIVOTDATA("Somma di DARE",'Pivot BBVA'!$A$3,"Mese",9,"Tipologia",$A155,"Viaggio",$A$144))
+IF(ISERROR(GETPIVOTDATA("Somma di DARE",'Pivot Amex'!$A$3,"Mese",9,"Tipologia",$A155,"Viaggio",$A$144)),0,GETPIVOTDATA("Somma di DARE",'Pivot Amex'!$A$3,"Mese",9,"Tipologia",$A155,"Viaggio",$A$144))
-IF(ISERROR(GETPIVOTDATA("Somma di AVERE",'Pivot Amex'!$A$3,"Mese",9,"Tipologia",$A155,"Viaggio",$A$144)),0,GETPIVOTDATA("Somma di AVERE",'Pivot Amex'!$A$3,"Mese",9,"Tipologia",$A155,"Viaggio",$A$144))
-IF(ISERROR(GETPIVOTDATA("Somma di AVERE",'Pivot BBVA'!$A$3,"Mese",9,"Tipologia",$A155,"Viaggio",$A$144)),0,GETPIVOTDATA("Somma di AVERE",'Pivot BBVA'!$A$3,"Mese",9,"Tipologia",$A155,"Viaggio",$A$144))
-IF(ISERROR(GETPIVOTDATA("Somma di AVERE",'Pivot Fineco St'!$A$3,"Mese",9,"Tipologia",$A155,"Viaggio",$A$144)),0,GETPIVOTDATA("Somma di AVERE",'Pivot Fineco St'!$A$3,"Mese",9,"Tipologia",$A155,"Viaggio",$A$144))
-IF(ISERROR(GETPIVOTDATA("Somma di AVERE",'Pivot Fineco Sa'!$A$3,"Mese",9,"Tipologia",$A155,"Viaggio",$A$144)),0,GETPIVOTDATA("Somma di AVERE",'Pivot Fineco Sa'!$A$3,"Mese",9,"Tipologia",$A155,"Viaggio",$A$144))
+IF(ISERROR(GETPIVOTDATA("Somma di DARE",'Pivot PP Visa'!$A$3,"Mese",9,"Tipologia",$A155,"Viaggio",$A$144)),0,GETPIVOTDATA("Somma di DARE",'Pivot PP Visa'!$A$3,"Mese",9,"Tipologia",$A155,"Viaggio",$A$144))
-IF(ISERROR(GETPIVOTDATA("Somma di AVERE",'Pivot PP Visa'!$A$3,"Mese",9,"Tipologia",$A155,"Viaggio",$A$144)),0,GETPIVOTDATA("Somma di AVERE",'Pivot PP Visa'!$A$3,"Mese",9,"Tipologia",$A155,"Viaggio",$A$144))
+IF(ISERROR(GETPIVOTDATA("Somma di DARE",'Pivot Revolut'!$A$3,"Mese",9,"Tipologia",$A155,"Viaggio",$A$144)),0,GETPIVOTDATA("Somma di DARE",'Pivot Revolut'!$A$3,"Mese",9,"Tipologia",$A155,"Viaggio",$A$144))
-IF(ISERROR(GETPIVOTDATA("Somma di AVERE",'Pivot Revolut'!$A$3,"Mese",9,"Tipologia",$A155,"Viaggio",$A$144)),0,GETPIVOTDATA("Somma di AVERE",'Pivot Revolut'!$A$3,"Mese",9,"Tipologia",$A155,"Viaggio",$A$144))
+IF(ISERROR(GETPIVOTDATA("Somma di DARE",'Pivot RakBank EUR'!$A$3,"Mese",9,"Tipologia",$A155,"Viaggio",$A$144)),0,GETPIVOTDATA("Somma di DARE",'Pivot RakBank EUR'!$A$3,"Mese",9,"Tipologia",$A155,"Viaggio",$A$144))
-IF(ISERROR(GETPIVOTDATA("Somma di AVERE",'Pivot RakBank EUR'!$A$3,"Mese",9,"Tipologia",$A155,"Viaggio",$A$144)),0,GETPIVOTDATA("Somma di AVERE",'Pivot RakBank EUR'!$A$3,"Mese",9,"Tipologia",$A155,"Viaggio",$A$144))
+IF(ISERROR(GETPIVOTDATA("Somma di DARE EUR",'Pivot RakBank AED'!$A$3,"Mese",9,"Tipologia",$A155,"Viaggio",$A$144)),0,GETPIVOTDATA("Somma di DARE EUR",'Pivot RakBank AED'!$A$3,"Mese",9,"Tipologia",$A155,"Viaggio",$A$144))
-IF(ISERROR(GETPIVOTDATA("Somma di AVERE EUR",'Pivot RakBank AED'!$A$3,"Mese",9,"Tipologia",$A155,"Viaggio",$A$144)),0,GETPIVOTDATA("Somma di AVERE EUR",'Pivot RakBank AED'!$A$3,"Mese",9,"Tipologia",$A155,"Viaggio",$A$144))</f>
        <v>0</v>
      </c>
      <c r="L155" s="270">
        <f>IF(ISERROR(GETPIVOTDATA("Somma di DARE",'Pivot Fineco Sa'!$A$3,"Mese",10,"Tipologia",$A155,"Viaggio",$A$144)),0,GETPIVOTDATA("Somma di DARE",'Pivot Fineco Sa'!$A$3,"Mese",10,"Tipologia",$A155,"Viaggio",$A$144))
+IF(ISERROR(GETPIVOTDATA("Somma di DARE",'Pivot Fineco St'!$A$3,"Mese",10,"Tipologia",$A155,"Viaggio",$A$144)),0,GETPIVOTDATA("Somma di DARE",'Pivot Fineco St'!$A$3,"Mese",10,"Tipologia",$A155,"Viaggio",$A$144))
+IF(Contanti!$AO49='Conto Economico'!$A$144,Contanti!$AL49)
+IF(ISERROR(GETPIVOTDATA("Somma di DARE",'Pivot BBVA'!$A$3,"Mese",10,"Tipologia",$A155,"Viaggio",$A$144)),0,GETPIVOTDATA("Somma di DARE",'Pivot BBVA'!$A$3,"Mese",10,"Tipologia",$A155,"Viaggio",$A$144))
+IF(ISERROR(GETPIVOTDATA("Somma di DARE",'Pivot Amex'!$A$3,"Mese",10,"Tipologia",$A155,"Viaggio",$A$144)),0,GETPIVOTDATA("Somma di DARE",'Pivot Amex'!$A$3,"Mese",10,"Tipologia",$A155,"Viaggio",$A$144))
-IF(ISERROR(GETPIVOTDATA("Somma di AVERE",'Pivot Amex'!$A$3,"Mese",10,"Tipologia",$A155,"Viaggio",$A$144)),0,GETPIVOTDATA("Somma di AVERE",'Pivot Amex'!$A$3,"Mese",10,"Tipologia",$A155,"Viaggio",$A$144))
-IF(ISERROR(GETPIVOTDATA("Somma di AVERE",'Pivot BBVA'!$A$3,"Mese",10,"Tipologia",$A155,"Viaggio",$A$144)),0,GETPIVOTDATA("Somma di AVERE",'Pivot BBVA'!$A$3,"Mese",10,"Tipologia",$A155,"Viaggio",$A$144))
-IF(ISERROR(GETPIVOTDATA("Somma di AVERE",'Pivot Fineco St'!$A$3,"Mese",10,"Tipologia",$A155,"Viaggio",$A$144)),0,GETPIVOTDATA("Somma di AVERE",'Pivot Fineco St'!$A$3,"Mese",10,"Tipologia",$A155,"Viaggio",$A$144))
-IF(ISERROR(GETPIVOTDATA("Somma di AVERE",'Pivot Fineco Sa'!$A$3,"Mese",10,"Tipologia",$A155,"Viaggio",$A$144)),0,GETPIVOTDATA("Somma di AVERE",'Pivot Fineco Sa'!$A$3,"Mese",10,"Tipologia",$A155,"Viaggio",$A$144))
+IF(ISERROR(GETPIVOTDATA("Somma di DARE",'Pivot PP Visa'!$A$3,"Mese",10,"Tipologia",$A155,"Viaggio",$A$144)),0,GETPIVOTDATA("Somma di DARE",'Pivot PP Visa'!$A$3,"Mese",10,"Tipologia",$A155,"Viaggio",$A$144))
-IF(ISERROR(GETPIVOTDATA("Somma di AVERE",'Pivot PP Visa'!$A$3,"Mese",10,"Tipologia",$A155,"Viaggio",$A$144)),0,GETPIVOTDATA("Somma di AVERE",'Pivot PP Visa'!$A$3,"Mese",10,"Tipologia",$A155,"Viaggio",$A$144))
+IF(ISERROR(GETPIVOTDATA("Somma di DARE",'Pivot Revolut'!$A$3,"Mese",10,"Tipologia",$A155,"Viaggio",$A$144)),0,GETPIVOTDATA("Somma di DARE",'Pivot Revolut'!$A$3,"Mese",10,"Tipologia",$A155,"Viaggio",$A$144))
-IF(ISERROR(GETPIVOTDATA("Somma di AVERE",'Pivot Revolut'!$A$3,"Mese",10,"Tipologia",$A155,"Viaggio",$A$144)),0,GETPIVOTDATA("Somma di AVERE",'Pivot Revolut'!$A$3,"Mese",10,"Tipologia",$A155,"Viaggio",$A$144))
+IF(ISERROR(GETPIVOTDATA("Somma di DARE",'Pivot RakBank EUR'!$A$3,"Mese",10,"Tipologia",$A155,"Viaggio",$A$144)),0,GETPIVOTDATA("Somma di DARE",'Pivot RakBank EUR'!$A$3,"Mese",10,"Tipologia",$A155,"Viaggio",$A$144))
-IF(ISERROR(GETPIVOTDATA("Somma di AVERE",'Pivot RakBank EUR'!$A$3,"Mese",10,"Tipologia",$A155,"Viaggio",$A$144)),0,GETPIVOTDATA("Somma di AVERE",'Pivot RakBank EUR'!$A$3,"Mese",10,"Tipologia",$A155,"Viaggio",$A$144))
+IF(ISERROR(GETPIVOTDATA("Somma di DARE EUR",'Pivot RakBank AED'!$A$3,"Mese",10,"Tipologia",$A155,"Viaggio",$A$144)),0,GETPIVOTDATA("Somma di DARE EUR",'Pivot RakBank AED'!$A$3,"Mese",10,"Tipologia",$A155,"Viaggio",$A$144))
-IF(ISERROR(GETPIVOTDATA("Somma di AVERE EUR",'Pivot RakBank AED'!$A$3,"Mese",10,"Tipologia",$A155,"Viaggio",$A$144)),0,GETPIVOTDATA("Somma di AVERE EUR",'Pivot RakBank AED'!$A$3,"Mese",10,"Tipologia",$A155,"Viaggio",$A$144))</f>
        <v>0</v>
      </c>
      <c r="M155" s="270">
        <f>IF(ISERROR(GETPIVOTDATA("Somma di DARE",'Pivot Fineco Sa'!$A$3,"Mese",11,"Tipologia",$A155,"Viaggio",$A$144)),0,GETPIVOTDATA("Somma di DARE",'Pivot Fineco Sa'!$A$3,"Mese",11,"Tipologia",$A155,"Viaggio",$A$144))
+IF(ISERROR(GETPIVOTDATA("Somma di DARE",'Pivot Fineco St'!$A$3,"Mese",11,"Tipologia",$A155,"Viaggio",$A$144)),0,GETPIVOTDATA("Somma di DARE",'Pivot Fineco St'!$A$3,"Mese",11,"Tipologia",$A155,"Viaggio",$A$144))
+IF(Contanti!$AS49='Conto Economico'!$A$144,Contanti!$AP49)
+IF(ISERROR(GETPIVOTDATA("Somma di DARE",'Pivot BBVA'!$A$3,"Mese",11,"Tipologia",$A155,"Viaggio",$A$144)),0,GETPIVOTDATA("Somma di DARE",'Pivot BBVA'!$A$3,"Mese",11,"Tipologia",$A155,"Viaggio",$A$144))
+IF(ISERROR(GETPIVOTDATA("Somma di DARE",'Pivot Amex'!$A$3,"Mese",11,"Tipologia",$A155,"Viaggio",$A$144)),0,GETPIVOTDATA("Somma di DARE",'Pivot Amex'!$A$3,"Mese",11,"Tipologia",$A155,"Viaggio",$A$144))
-IF(ISERROR(GETPIVOTDATA("Somma di AVERE",'Pivot Amex'!$A$3,"Mese",11,"Tipologia",$A155,"Viaggio",$A$144)),0,GETPIVOTDATA("Somma di AVERE",'Pivot Amex'!$A$3,"Mese",11,"Tipologia",$A155,"Viaggio",$A$144))
-IF(ISERROR(GETPIVOTDATA("Somma di AVERE",'Pivot BBVA'!$A$3,"Mese",11,"Tipologia",$A155,"Viaggio",$A$144)),0,GETPIVOTDATA("Somma di AVERE",'Pivot BBVA'!$A$3,"Mese",11,"Tipologia",$A155,"Viaggio",$A$144))
-IF(ISERROR(GETPIVOTDATA("Somma di AVERE",'Pivot Fineco St'!$A$3,"Mese",11,"Tipologia",$A155,"Viaggio",$A$144)),0,GETPIVOTDATA("Somma di AVERE",'Pivot Fineco St'!$A$3,"Mese",11,"Tipologia",$A155,"Viaggio",$A$144))
-IF(ISERROR(GETPIVOTDATA("Somma di AVERE",'Pivot Fineco Sa'!$A$3,"Mese",11,"Tipologia",$A155,"Viaggio",$A$144)),0,GETPIVOTDATA("Somma di AVERE",'Pivot Fineco Sa'!$A$3,"Mese",11,"Tipologia",$A155,"Viaggio",$A$144))
+IF(ISERROR(GETPIVOTDATA("Somma di DARE",'Pivot PP Visa'!$A$3,"Mese",11,"Tipologia",$A155,"Viaggio",$A$144)),0,GETPIVOTDATA("Somma di DARE",'Pivot PP Visa'!$A$3,"Mese",11,"Tipologia",$A155,"Viaggio",$A$144))
-IF(ISERROR(GETPIVOTDATA("Somma di AVERE",'Pivot PP Visa'!$A$3,"Mese",11,"Tipologia",$A155,"Viaggio",$A$144)),0,GETPIVOTDATA("Somma di AVERE",'Pivot PP Visa'!$A$3,"Mese",11,"Tipologia",$A155,"Viaggio",$A$144))
+IF(ISERROR(GETPIVOTDATA("Somma di DARE",'Pivot Revolut'!$A$3,"Mese",11,"Tipologia",$A155,"Viaggio",$A$144)),0,GETPIVOTDATA("Somma di DARE",'Pivot Revolut'!$A$3,"Mese",11,"Tipologia",$A155,"Viaggio",$A$144))
-IF(ISERROR(GETPIVOTDATA("Somma di AVERE",'Pivot Revolut'!$A$3,"Mese",11,"Tipologia",$A155,"Viaggio",$A$144)),0,GETPIVOTDATA("Somma di AVERE",'Pivot Revolut'!$A$3,"Mese",11,"Tipologia",$A155,"Viaggio",$A$144))
+IF(ISERROR(GETPIVOTDATA("Somma di DARE",'Pivot RakBank EUR'!$A$3,"Mese",11,"Tipologia",$A155,"Viaggio",$A$144)),0,GETPIVOTDATA("Somma di DARE",'Pivot RakBank EUR'!$A$3,"Mese",11,"Tipologia",$A155,"Viaggio",$A$144))
-IF(ISERROR(GETPIVOTDATA("Somma di AVERE",'Pivot RakBank EUR'!$A$3,"Mese",11,"Tipologia",$A155,"Viaggio",$A$144)),0,GETPIVOTDATA("Somma di AVERE",'Pivot RakBank EUR'!$A$3,"Mese",11,"Tipologia",$A155,"Viaggio",$A$144))
+IF(ISERROR(GETPIVOTDATA("Somma di DARE EUR",'Pivot RakBank AED'!$A$3,"Mese",11,"Tipologia",$A155,"Viaggio",$A$144)),0,GETPIVOTDATA("Somma di DARE EUR",'Pivot RakBank AED'!$A$3,"Mese",11,"Tipologia",$A155,"Viaggio",$A$144))
-IF(ISERROR(GETPIVOTDATA("Somma di AVERE EUR",'Pivot RakBank AED'!$A$3,"Mese",11,"Tipologia",$A155,"Viaggio",$A$144)),0,GETPIVOTDATA("Somma di AVERE EUR",'Pivot RakBank AED'!$A$3,"Mese",11,"Tipologia",$A155,"Viaggio",$A$144))</f>
        <v>0</v>
      </c>
      <c r="N155" s="270">
        <f>IF(ISERROR(GETPIVOTDATA("Somma di DARE",'Pivot Fineco Sa'!$A$3,"Mese",12,"Tipologia",$A155,"Viaggio",$A$144)),0,GETPIVOTDATA("Somma di DARE",'Pivot Fineco Sa'!$A$3,"Mese",12,"Tipologia",$A155,"Viaggio",$A$144))
+IF(ISERROR(GETPIVOTDATA("Somma di DARE",'Pivot Fineco St'!$A$3,"Mese",12,"Tipologia",$A155,"Viaggio",$A$144)),0,GETPIVOTDATA("Somma di DARE",'Pivot Fineco St'!$A$3,"Mese",12,"Tipologia",$A155,"Viaggio",$A$144))
+IF(Contanti!$AW49='Conto Economico'!$A$144,Contanti!$AT49)
+IF(ISERROR(GETPIVOTDATA("Somma di DARE",'Pivot BBVA'!$A$3,"Mese",12,"Tipologia",$A155,"Viaggio",$A$144)),0,GETPIVOTDATA("Somma di DARE",'Pivot BBVA'!$A$3,"Mese",12,"Tipologia",$A155,"Viaggio",$A$144))
+IF(ISERROR(GETPIVOTDATA("Somma di DARE",'Pivot Amex'!$A$3,"Mese",12,"Tipologia",$A155,"Viaggio",$A$144)),0,GETPIVOTDATA("Somma di DARE",'Pivot Amex'!$A$3,"Mese",12,"Tipologia",$A155,"Viaggio",$A$144))
-IF(ISERROR(GETPIVOTDATA("Somma di AVERE",'Pivot Amex'!$A$3,"Mese",12,"Tipologia",$A155,"Viaggio",$A$144)),0,GETPIVOTDATA("Somma di AVERE",'Pivot Amex'!$A$3,"Mese",12,"Tipologia",$A155,"Viaggio",$A$144))
-IF(ISERROR(GETPIVOTDATA("Somma di AVERE",'Pivot BBVA'!$A$3,"Mese",12,"Tipologia",$A155,"Viaggio",$A$144)),0,GETPIVOTDATA("Somma di AVERE",'Pivot BBVA'!$A$3,"Mese",12,"Tipologia",$A155,"Viaggio",$A$144))
-IF(ISERROR(GETPIVOTDATA("Somma di AVERE",'Pivot Fineco St'!$A$3,"Mese",12,"Tipologia",$A155,"Viaggio",$A$144)),0,GETPIVOTDATA("Somma di AVERE",'Pivot Fineco St'!$A$3,"Mese",12,"Tipologia",$A155,"Viaggio",$A$144))
-IF(ISERROR(GETPIVOTDATA("Somma di AVERE",'Pivot Fineco Sa'!$A$3,"Mese",12,"Tipologia",$A155,"Viaggio",$A$144)),0,GETPIVOTDATA("Somma di AVERE",'Pivot Fineco Sa'!$A$3,"Mese",12,"Tipologia",$A155,"Viaggio",$A$144))
+IF(ISERROR(GETPIVOTDATA("Somma di DARE",'Pivot PP Visa'!$A$3,"Mese",12,"Tipologia",$A155,"Viaggio",$A$144)),0,GETPIVOTDATA("Somma di DARE",'Pivot PP Visa'!$A$3,"Mese",12,"Tipologia",$A155,"Viaggio",$A$144))
-IF(ISERROR(GETPIVOTDATA("Somma di AVERE",'Pivot PP Visa'!$A$3,"Mese",12,"Tipologia",$A155,"Viaggio",$A$144)),0,GETPIVOTDATA("Somma di AVERE",'Pivot PP Visa'!$A$3,"Mese",12,"Tipologia",$A155,"Viaggio",$A$144))
+IF(ISERROR(GETPIVOTDATA("Somma di DARE",'Pivot Revolut'!$A$3,"Mese",12,"Tipologia",$A155,"Viaggio",$A$144)),0,GETPIVOTDATA("Somma di DARE",'Pivot Revolut'!$A$3,"Mese",12,"Tipologia",$A155,"Viaggio",$A$144))
-IF(ISERROR(GETPIVOTDATA("Somma di AVERE",'Pivot Revolut'!$A$3,"Mese",12,"Tipologia",$A155,"Viaggio",$A$144)),0,GETPIVOTDATA("Somma di AVERE",'Pivot Revolut'!$A$3,"Mese",12,"Tipologia",$A155,"Viaggio",$A$144))
+IF(ISERROR(GETPIVOTDATA("Somma di DARE",'Pivot RakBank EUR'!$A$3,"Mese",12,"Tipologia",$A155,"Viaggio",$A$144)),0,GETPIVOTDATA("Somma di DARE",'Pivot RakBank EUR'!$A$3,"Mese",12,"Tipologia",$A155,"Viaggio",$A$144))
-IF(ISERROR(GETPIVOTDATA("Somma di AVERE",'Pivot RakBank EUR'!$A$3,"Mese",12,"Tipologia",$A155,"Viaggio",$A$144)),0,GETPIVOTDATA("Somma di AVERE",'Pivot RakBank EUR'!$A$3,"Mese",12,"Tipologia",$A155,"Viaggio",$A$144))
+IF(ISERROR(GETPIVOTDATA("Somma di DARE EUR",'Pivot RakBank AED'!$A$3,"Mese",12,"Tipologia",$A155,"Viaggio",$A$144)),0,GETPIVOTDATA("Somma di DARE EUR",'Pivot RakBank AED'!$A$3,"Mese",12,"Tipologia",$A155,"Viaggio",$A$144))
-IF(ISERROR(GETPIVOTDATA("Somma di AVERE EUR",'Pivot RakBank AED'!$A$3,"Mese",12,"Tipologia",$A155,"Viaggio",$A$144)),0,GETPIVOTDATA("Somma di AVERE EUR",'Pivot RakBank AED'!$A$3,"Mese",12,"Tipologia",$A155,"Viaggio",$A$144))</f>
        <v>0</v>
      </c>
      <c r="O155" s="271">
        <f t="shared" si="19"/>
        <v>0</v>
      </c>
      <c r="P155" s="270"/>
    </row>
    <row r="156" spans="1:16" s="131" customFormat="1" ht="14" outlineLevel="1" x14ac:dyDescent="0.2">
      <c r="A156" s="272"/>
      <c r="B156" s="272"/>
      <c r="C156" s="273"/>
      <c r="D156" s="273"/>
      <c r="E156" s="273"/>
      <c r="F156" s="273"/>
      <c r="G156" s="273"/>
      <c r="H156" s="273"/>
      <c r="I156" s="273"/>
      <c r="J156" s="273"/>
      <c r="K156" s="273"/>
      <c r="L156" s="273"/>
      <c r="M156" s="273"/>
      <c r="N156" s="273"/>
      <c r="O156" s="274"/>
      <c r="P156" s="270"/>
    </row>
    <row r="157" spans="1:16" s="268" customFormat="1" ht="14" outlineLevel="1" x14ac:dyDescent="0.2">
      <c r="A157" s="265" t="s">
        <v>532</v>
      </c>
      <c r="B157" s="265"/>
      <c r="C157" s="266">
        <f>SUM(C158:C168)</f>
        <v>0</v>
      </c>
      <c r="D157" s="266">
        <f t="shared" ref="D157:N157" si="20">SUM(D158:D168)</f>
        <v>0</v>
      </c>
      <c r="E157" s="266">
        <f t="shared" si="20"/>
        <v>0</v>
      </c>
      <c r="F157" s="266">
        <f t="shared" si="20"/>
        <v>0</v>
      </c>
      <c r="G157" s="266">
        <f t="shared" si="20"/>
        <v>0</v>
      </c>
      <c r="H157" s="266">
        <f t="shared" si="20"/>
        <v>0</v>
      </c>
      <c r="I157" s="266">
        <f t="shared" si="20"/>
        <v>0</v>
      </c>
      <c r="J157" s="266">
        <f t="shared" si="20"/>
        <v>0</v>
      </c>
      <c r="K157" s="266">
        <f t="shared" si="20"/>
        <v>0</v>
      </c>
      <c r="L157" s="266">
        <f t="shared" si="20"/>
        <v>0</v>
      </c>
      <c r="M157" s="266">
        <f t="shared" si="20"/>
        <v>0</v>
      </c>
      <c r="N157" s="266">
        <f t="shared" si="20"/>
        <v>0</v>
      </c>
      <c r="O157" s="267">
        <f t="shared" ref="O157:O168" si="21">SUM(C157:N157)</f>
        <v>0</v>
      </c>
      <c r="P157" s="266"/>
    </row>
    <row r="158" spans="1:16" s="131" customFormat="1" ht="14" outlineLevel="1" x14ac:dyDescent="0.2">
      <c r="A158" s="269" t="s">
        <v>100</v>
      </c>
      <c r="B158" s="270"/>
      <c r="C158" s="270">
        <f>IF(ISERROR(GETPIVOTDATA("Somma di DARE",'Pivot Fineco Sa'!$A$3,"Mese",1,"Tipologia",$A158,"Viaggio",$A$157)),0,GETPIVOTDATA("Somma di DARE",'Pivot Fineco Sa'!$A$3,"Mese",1,"Tipologia",$A158,"Viaggio",$A$157))
+IF(ISERROR(GETPIVOTDATA("Somma di DARE",'Pivot Fineco St'!$A$3,"Mese",1,"Tipologia",$A158,"Viaggio",$A$157)),0,GETPIVOTDATA("Somma di DARE",'Pivot Fineco St'!$A$3,"Mese",1,"Tipologia",$A158,"Viaggio",$A$157))
+IF(Contanti!$E39='Conto Economico'!$A$157,Contanti!$B39)
+IF(ISERROR(GETPIVOTDATA("Somma di DARE",'Pivot BBVA'!$A$3,"Mese",1,"Tipologia",$A158,"Viaggio",$A$157)),0,GETPIVOTDATA("Somma di DARE",'Pivot BBVA'!$A$3,"Mese",1,"Tipologia",$A158,"Viaggio",$A$157))
+IF(ISERROR(GETPIVOTDATA("Somma di DARE",'Pivot Amex'!$A$3,"Mese",1,"Tipologia",$A158,"Viaggio",$A$157)),0,GETPIVOTDATA("Somma di DARE",'Pivot Amex'!$A$3,"Mese",1,"Tipologia",$A158,"Viaggio",$A$157))
-IF(ISERROR(GETPIVOTDATA("Somma di AVERE",'Pivot Amex'!$A$3,"Mese",1,"Tipologia",$A158,"Viaggio",$A$157)),0,GETPIVOTDATA("Somma di AVERE",'Pivot Amex'!$A$3,"Mese",1,"Tipologia",$A158,"Viaggio",$A$157))
-IF(ISERROR(GETPIVOTDATA("Somma di AVERE",'Pivot BBVA'!$A$3,"Mese",1,"Tipologia",$A158,"Viaggio",$A$157)),0,GETPIVOTDATA("Somma di AVERE",'Pivot BBVA'!$A$3,"Mese",1,"Tipologia",$A158,"Viaggio",$A$157))
-IF(ISERROR(GETPIVOTDATA("Somma di AVERE",'Pivot Fineco St'!$A$3,"Mese",1,"Tipologia",$A158,"Viaggio",$A$157)),0,GETPIVOTDATA("Somma di AVERE",'Pivot Fineco St'!$A$3,"Mese",1,"Tipologia",$A158,"Viaggio",$A$157))
-IF(ISERROR(GETPIVOTDATA("Somma di AVERE",'Pivot Fineco Sa'!$A$3,"Mese",1,"Tipologia",$A158,"Viaggio",$A$157)),0,GETPIVOTDATA("Somma di AVERE",'Pivot Fineco Sa'!$A$3,"Mese",1,"Tipologia",$A158,"Viaggio",$A$157))
+IF(ISERROR(GETPIVOTDATA("Somma di DARE",'Pivot PP Visa'!$A$3,"Mese",1,"Tipologia",$A158,"Viaggio",$A$157)),0,GETPIVOTDATA("Somma di DARE",'Pivot PP Visa'!$A$3,"Mese",1,"Tipologia",$A158,"Viaggio",$A$157))
-IF(ISERROR(GETPIVOTDATA("Somma di AVERE",'Pivot PP Visa'!$A$3,"Mese",1,"Tipologia",$A158,"Viaggio",$A$157)),0,GETPIVOTDATA("Somma di AVERE",'Pivot PP Visa'!$A$3,"Mese",1,"Tipologia",$A158,"Viaggio",$A$157))
+IF(ISERROR(GETPIVOTDATA("Somma di DARE",'Pivot Revolut'!$A$3,"Mese",1,"Tipologia",$A158,"Viaggio",$A$157)),0,GETPIVOTDATA("Somma di DARE",'Pivot Revolut'!$A$3,"Mese",1,"Tipologia",$A158,"Viaggio",$A$157))
-IF(ISERROR(GETPIVOTDATA("Somma di AVERE",'Pivot Revolut'!$A$3,"Mese",1,"Tipologia",$A158,"Viaggio",$A$157)),0,GETPIVOTDATA("Somma di AVERE",'Pivot Revolut'!$A$3,"Mese",1,"Tipologia",$A158,"Viaggio",$A$157))
+IF(ISERROR(GETPIVOTDATA("Somma di DARE",'Pivot RakBank EUR'!$A$3,"Mese",1,"Tipologia",$A158,"Viaggio",$A$157)),0,GETPIVOTDATA("Somma di DARE",'Pivot RakBank EUR'!$A$3,"Mese",1,"Tipologia",$A158,"Viaggio",$A$157))
-IF(ISERROR(GETPIVOTDATA("Somma di AVERE",'Pivot RakBank EUR'!$A$3,"Mese",1,"Tipologia",$A158,"Viaggio",$A$157)),0,GETPIVOTDATA("Somma di AVERE",'Pivot RakBank EUR'!$A$3,"Mese",1,"Tipologia",$A158,"Viaggio",$A$157))
+IF(ISERROR(GETPIVOTDATA("Somma di DARE EUR",'Pivot RakBank AED'!$A$3,"Mese",1,"Tipologia",$A158,"Viaggio",$A$157)),0,GETPIVOTDATA("Somma di DARE EUR",'Pivot RakBank AED'!$A$3,"Mese",1,"Tipologia",$A158,"Viaggio",$A$157))
-IF(ISERROR(GETPIVOTDATA("Somma di AVERE EUR",'Pivot RakBank AED'!$A$3,"Mese",1,"Tipologia",$A158,"Viaggio",$A$157)),0,GETPIVOTDATA("Somma di AVERE EUR",'Pivot RakBank AED'!$A$3,"Mese",1,"Tipologia",$A158,"Viaggio",$A$157))</f>
        <v>0</v>
      </c>
      <c r="D158" s="270">
        <f>IF(ISERROR(GETPIVOTDATA("Somma di DARE",'Pivot Fineco Sa'!$A$3,"Mese",2,"Tipologia",$A158,"Viaggio",$A$157)),0,GETPIVOTDATA("Somma di DARE",'Pivot Fineco Sa'!$A$3,"Mese",2,"Tipologia",$A158,"Viaggio",$A$157))
+IF(ISERROR(GETPIVOTDATA("Somma di DARE",'Pivot Fineco St'!$A$3,"Mese",2,"Tipologia",$A158,"Viaggio",$A$157)),0,GETPIVOTDATA("Somma di DARE",'Pivot Fineco St'!$A$3,"Mese",2,"Tipologia",$A158,"Viaggio",$A$157))
+IF(Contanti!$I39='Conto Economico'!$A$157,Contanti!$F39)
+IF(ISERROR(GETPIVOTDATA("Somma di DARE",'Pivot BBVA'!$A$3,"Mese",2,"Tipologia",$A158,"Viaggio",$A$157)),0,GETPIVOTDATA("Somma di DARE",'Pivot BBVA'!$A$3,"Mese",2,"Tipologia",$A158,"Viaggio",$A$157))
+IF(ISERROR(GETPIVOTDATA("Somma di DARE",'Pivot Amex'!$A$3,"Mese",2,"Tipologia",$A158,"Viaggio",$A$157)),0,GETPIVOTDATA("Somma di DARE",'Pivot Amex'!$A$3,"Mese",2,"Tipologia",$A158,"Viaggio",$A$157))
-IF(ISERROR(GETPIVOTDATA("Somma di AVERE",'Pivot Amex'!$A$3,"Mese",2,"Tipologia",$A158,"Viaggio",$A$157)),0,GETPIVOTDATA("Somma di AVERE",'Pivot Amex'!$A$3,"Mese",2,"Tipologia",$A158,"Viaggio",$A$157))
-IF(ISERROR(GETPIVOTDATA("Somma di AVERE",'Pivot BBVA'!$A$3,"Mese",2,"Tipologia",$A158,"Viaggio",$A$157)),0,GETPIVOTDATA("Somma di AVERE",'Pivot BBVA'!$A$3,"Mese",2,"Tipologia",$A158,"Viaggio",$A$157))
-IF(ISERROR(GETPIVOTDATA("Somma di AVERE",'Pivot Fineco St'!$A$3,"Mese",2,"Tipologia",$A158,"Viaggio",$A$157)),0,GETPIVOTDATA("Somma di AVERE",'Pivot Fineco St'!$A$3,"Mese",2,"Tipologia",$A158,"Viaggio",$A$157))
-IF(ISERROR(GETPIVOTDATA("Somma di AVERE",'Pivot Fineco Sa'!$A$3,"Mese",2,"Tipologia",$A158,"Viaggio",$A$157)),0,GETPIVOTDATA("Somma di AVERE",'Pivot Fineco Sa'!$A$3,"Mese",2,"Tipologia",$A158,"Viaggio",$A$157))
+IF(ISERROR(GETPIVOTDATA("Somma di DARE",'Pivot PP Visa'!$A$3,"Mese",2,"Tipologia",$A158,"Viaggio",$A$157)),0,GETPIVOTDATA("Somma di DARE",'Pivot PP Visa'!$A$3,"Mese",2,"Tipologia",$A158,"Viaggio",$A$157))
-IF(ISERROR(GETPIVOTDATA("Somma di AVERE",'Pivot PP Visa'!$A$3,"Mese",2,"Tipologia",$A158,"Viaggio",$A$157)),0,GETPIVOTDATA("Somma di AVERE",'Pivot PP Visa'!$A$3,"Mese",2,"Tipologia",$A158,"Viaggio",$A$157))
+IF(ISERROR(GETPIVOTDATA("Somma di DARE",'Pivot Revolut'!$A$3,"Mese",2,"Tipologia",$A158,"Viaggio",$A$157)),0,GETPIVOTDATA("Somma di DARE",'Pivot Revolut'!$A$3,"Mese",2,"Tipologia",$A158,"Viaggio",$A$157))
-IF(ISERROR(GETPIVOTDATA("Somma di AVERE",'Pivot Revolut'!$A$3,"Mese",2,"Tipologia",$A158,"Viaggio",$A$157)),0,GETPIVOTDATA("Somma di AVERE",'Pivot Revolut'!$A$3,"Mese",2,"Tipologia",$A158,"Viaggio",$A$157))
+IF(ISERROR(GETPIVOTDATA("Somma di DARE",'Pivot RakBank EUR'!$A$3,"Mese",2,"Tipologia",$A158,"Viaggio",$A$157)),0,GETPIVOTDATA("Somma di DARE",'Pivot RakBank EUR'!$A$3,"Mese",2,"Tipologia",$A158,"Viaggio",$A$157))
-IF(ISERROR(GETPIVOTDATA("Somma di AVERE",'Pivot RakBank EUR'!$A$3,"Mese",2,"Tipologia",$A158,"Viaggio",$A$157)),0,GETPIVOTDATA("Somma di AVERE",'Pivot RakBank EUR'!$A$3,"Mese",2,"Tipologia",$A158,"Viaggio",$A$157))
+IF(ISERROR(GETPIVOTDATA("Somma di DARE EUR",'Pivot RakBank AED'!$A$3,"Mese",2,"Tipologia",$A158,"Viaggio",$A$157)),0,GETPIVOTDATA("Somma di DARE EUR",'Pivot RakBank AED'!$A$3,"Mese",2,"Tipologia",$A158,"Viaggio",$A$157))
-IF(ISERROR(GETPIVOTDATA("Somma di AVERE EUR",'Pivot RakBank AED'!$A$3,"Mese",2,"Tipologia",$A158,"Viaggio",$A$157)),0,GETPIVOTDATA("Somma di AVERE EUR",'Pivot RakBank AED'!$A$3,"Mese",2,"Tipologia",$A158,"Viaggio",$A$157))</f>
        <v>0</v>
      </c>
      <c r="E158" s="270">
        <f>IF(ISERROR(GETPIVOTDATA("Somma di DARE",'Pivot Fineco Sa'!$A$3,"Mese",3,"Tipologia",$A158,"Viaggio",$A$157)),0,GETPIVOTDATA("Somma di DARE",'Pivot Fineco Sa'!$A$3,"Mese",3,"Tipologia",$A158,"Viaggio",$A$157))
+IF(ISERROR(GETPIVOTDATA("Somma di DARE",'Pivot Fineco St'!$A$3,"Mese",3,"Tipologia",$A158,"Viaggio",$A$157)),0,GETPIVOTDATA("Somma di DARE",'Pivot Fineco St'!$A$3,"Mese",3,"Tipologia",$A158,"Viaggio",$A$157))
+IF(Contanti!$M39='Conto Economico'!$A$157,Contanti!$J39)
+IF(ISERROR(GETPIVOTDATA("Somma di DARE",'Pivot BBVA'!$A$3,"Mese",3,"Tipologia",$A158,"Viaggio",$A$157)),0,GETPIVOTDATA("Somma di DARE",'Pivot BBVA'!$A$3,"Mese",3,"Tipologia",$A158,"Viaggio",$A$157))
+IF(ISERROR(GETPIVOTDATA("Somma di DARE",'Pivot Amex'!$A$3,"Mese",3,"Tipologia",$A158,"Viaggio",$A$157)),0,GETPIVOTDATA("Somma di DARE",'Pivot Amex'!$A$3,"Mese",3,"Tipologia",$A158,"Viaggio",$A$157))
-IF(ISERROR(GETPIVOTDATA("Somma di AVERE",'Pivot Amex'!$A$3,"Mese",3,"Tipologia",$A158,"Viaggio",$A$157)),0,GETPIVOTDATA("Somma di AVERE",'Pivot Amex'!$A$3,"Mese",3,"Tipologia",$A158,"Viaggio",$A$157))
-IF(ISERROR(GETPIVOTDATA("Somma di AVERE",'Pivot BBVA'!$A$3,"Mese",3,"Tipologia",$A158,"Viaggio",$A$157)),0,GETPIVOTDATA("Somma di AVERE",'Pivot BBVA'!$A$3,"Mese",3,"Tipologia",$A158,"Viaggio",$A$157))
-IF(ISERROR(GETPIVOTDATA("Somma di AVERE",'Pivot Fineco St'!$A$3,"Mese",3,"Tipologia",$A158,"Viaggio",$A$157)),0,GETPIVOTDATA("Somma di AVERE",'Pivot Fineco St'!$A$3,"Mese",3,"Tipologia",$A158,"Viaggio",$A$157))
-IF(ISERROR(GETPIVOTDATA("Somma di AVERE",'Pivot Fineco Sa'!$A$3,"Mese",3,"Tipologia",$A158,"Viaggio",$A$157)),0,GETPIVOTDATA("Somma di AVERE",'Pivot Fineco Sa'!$A$3,"Mese",3,"Tipologia",$A158,"Viaggio",$A$157))
+IF(ISERROR(GETPIVOTDATA("Somma di DARE",'Pivot PP Visa'!$A$3,"Mese",3,"Tipologia",$A158,"Viaggio",$A$157)),0,GETPIVOTDATA("Somma di DARE",'Pivot PP Visa'!$A$3,"Mese",3,"Tipologia",$A158,"Viaggio",$A$157))
-IF(ISERROR(GETPIVOTDATA("Somma di AVERE",'Pivot PP Visa'!$A$3,"Mese",3,"Tipologia",$A158,"Viaggio",$A$157)),0,GETPIVOTDATA("Somma di AVERE",'Pivot PP Visa'!$A$3,"Mese",3,"Tipologia",$A158,"Viaggio",$A$157))
+IF(ISERROR(GETPIVOTDATA("Somma di DARE",'Pivot Revolut'!$A$3,"Mese",3,"Tipologia",$A158,"Viaggio",$A$157)),0,GETPIVOTDATA("Somma di DARE",'Pivot Revolut'!$A$3,"Mese",3,"Tipologia",$A158,"Viaggio",$A$157))
-IF(ISERROR(GETPIVOTDATA("Somma di AVERE",'Pivot Revolut'!$A$3,"Mese",3,"Tipologia",$A158,"Viaggio",$A$157)),0,GETPIVOTDATA("Somma di AVERE",'Pivot Revolut'!$A$3,"Mese",3,"Tipologia",$A158,"Viaggio",$A$157))
+IF(ISERROR(GETPIVOTDATA("Somma di DARE",'Pivot RakBank EUR'!$A$3,"Mese",3,"Tipologia",$A158,"Viaggio",$A$157)),0,GETPIVOTDATA("Somma di DARE",'Pivot RakBank EUR'!$A$3,"Mese",3,"Tipologia",$A158,"Viaggio",$A$157))
-IF(ISERROR(GETPIVOTDATA("Somma di AVERE",'Pivot RakBank EUR'!$A$3,"Mese",3,"Tipologia",$A158,"Viaggio",$A$157)),0,GETPIVOTDATA("Somma di AVERE",'Pivot RakBank EUR'!$A$3,"Mese",3,"Tipologia",$A158,"Viaggio",$A$157))
+IF(ISERROR(GETPIVOTDATA("Somma di DARE EUR",'Pivot RakBank AED'!$A$3,"Mese",3,"Tipologia",$A158,"Viaggio",$A$157)),0,GETPIVOTDATA("Somma di DARE EUR",'Pivot RakBank AED'!$A$3,"Mese",3,"Tipologia",$A158,"Viaggio",$A$157))
-IF(ISERROR(GETPIVOTDATA("Somma di AVERE EUR",'Pivot RakBank AED'!$A$3,"Mese",3,"Tipologia",$A158,"Viaggio",$A$157)),0,GETPIVOTDATA("Somma di AVERE EUR",'Pivot RakBank AED'!$A$3,"Mese",3,"Tipologia",$A158,"Viaggio",$A$157))</f>
        <v>0</v>
      </c>
      <c r="F158" s="270">
        <f>IF(ISERROR(GETPIVOTDATA("Somma di DARE",'Pivot Fineco Sa'!$A$3,"Mese",4,"Tipologia",$A158,"Viaggio",$A$157)),0,GETPIVOTDATA("Somma di DARE",'Pivot Fineco Sa'!$A$3,"Mese",4,"Tipologia",$A158,"Viaggio",$A$157))
+IF(ISERROR(GETPIVOTDATA("Somma di DARE",'Pivot Fineco St'!$A$3,"Mese",4,"Tipologia",$A158,"Viaggio",$A$157)),0,GETPIVOTDATA("Somma di DARE",'Pivot Fineco St'!$A$3,"Mese",4,"Tipologia",$A158,"Viaggio",$A$157))
+IF(Contanti!$Q39='Conto Economico'!$A$157,Contanti!$N39)
+IF(ISERROR(GETPIVOTDATA("Somma di DARE",'Pivot BBVA'!$A$3,"Mese",4,"Tipologia",$A158,"Viaggio",$A$157)),0,GETPIVOTDATA("Somma di DARE",'Pivot BBVA'!$A$3,"Mese",4,"Tipologia",$A158,"Viaggio",$A$157))
+IF(ISERROR(GETPIVOTDATA("Somma di DARE",'Pivot Amex'!$A$3,"Mese",4,"Tipologia",$A158,"Viaggio",$A$157)),0,GETPIVOTDATA("Somma di DARE",'Pivot Amex'!$A$3,"Mese",4,"Tipologia",$A158,"Viaggio",$A$157))
-IF(ISERROR(GETPIVOTDATA("Somma di AVERE",'Pivot Amex'!$A$3,"Mese",4,"Tipologia",$A158,"Viaggio",$A$157)),0,GETPIVOTDATA("Somma di AVERE",'Pivot Amex'!$A$3,"Mese",4,"Tipologia",$A158,"Viaggio",$A$157))
-IF(ISERROR(GETPIVOTDATA("Somma di AVERE",'Pivot BBVA'!$A$3,"Mese",4,"Tipologia",$A158,"Viaggio",$A$157)),0,GETPIVOTDATA("Somma di AVERE",'Pivot BBVA'!$A$3,"Mese",4,"Tipologia",$A158,"Viaggio",$A$157))
-IF(ISERROR(GETPIVOTDATA("Somma di AVERE",'Pivot Fineco St'!$A$3,"Mese",4,"Tipologia",$A158,"Viaggio",$A$157)),0,GETPIVOTDATA("Somma di AVERE",'Pivot Fineco St'!$A$3,"Mese",4,"Tipologia",$A158,"Viaggio",$A$157))
-IF(ISERROR(GETPIVOTDATA("Somma di AVERE",'Pivot Fineco Sa'!$A$3,"Mese",4,"Tipologia",$A158,"Viaggio",$A$157)),0,GETPIVOTDATA("Somma di AVERE",'Pivot Fineco Sa'!$A$3,"Mese",4,"Tipologia",$A158,"Viaggio",$A$157))
+IF(ISERROR(GETPIVOTDATA("Somma di DARE",'Pivot PP Visa'!$A$3,"Mese",4,"Tipologia",$A158,"Viaggio",$A$157)),0,GETPIVOTDATA("Somma di DARE",'Pivot PP Visa'!$A$3,"Mese",4,"Tipologia",$A158,"Viaggio",$A$157))
-IF(ISERROR(GETPIVOTDATA("Somma di AVERE",'Pivot PP Visa'!$A$3,"Mese",4,"Tipologia",$A158,"Viaggio",$A$157)),0,GETPIVOTDATA("Somma di AVERE",'Pivot PP Visa'!$A$3,"Mese",4,"Tipologia",$A158,"Viaggio",$A$157))
+IF(ISERROR(GETPIVOTDATA("Somma di DARE",'Pivot Revolut'!$A$3,"Mese",4,"Tipologia",$A158,"Viaggio",$A$157)),0,GETPIVOTDATA("Somma di DARE",'Pivot Revolut'!$A$3,"Mese",4,"Tipologia",$A158,"Viaggio",$A$157))
-IF(ISERROR(GETPIVOTDATA("Somma di AVERE",'Pivot Revolut'!$A$3,"Mese",4,"Tipologia",$A158,"Viaggio",$A$157)),0,GETPIVOTDATA("Somma di AVERE",'Pivot Revolut'!$A$3,"Mese",4,"Tipologia",$A158,"Viaggio",$A$157))
+IF(ISERROR(GETPIVOTDATA("Somma di DARE",'Pivot RakBank EUR'!$A$3,"Mese",4,"Tipologia",$A158,"Viaggio",$A$157)),0,GETPIVOTDATA("Somma di DARE",'Pivot RakBank EUR'!$A$3,"Mese",4,"Tipologia",$A158,"Viaggio",$A$157))
-IF(ISERROR(GETPIVOTDATA("Somma di AVERE",'Pivot RakBank EUR'!$A$3,"Mese",4,"Tipologia",$A158,"Viaggio",$A$157)),0,GETPIVOTDATA("Somma di AVERE",'Pivot RakBank EUR'!$A$3,"Mese",4,"Tipologia",$A158,"Viaggio",$A$157))
+IF(ISERROR(GETPIVOTDATA("Somma di DARE EUR",'Pivot RakBank AED'!$A$3,"Mese",4,"Tipologia",$A158,"Viaggio",$A$157)),0,GETPIVOTDATA("Somma di DARE EUR",'Pivot RakBank AED'!$A$3,"Mese",4,"Tipologia",$A158,"Viaggio",$A$157))
-IF(ISERROR(GETPIVOTDATA("Somma di AVERE EUR",'Pivot RakBank AED'!$A$3,"Mese",4,"Tipologia",$A158,"Viaggio",$A$157)),0,GETPIVOTDATA("Somma di AVERE EUR",'Pivot RakBank AED'!$A$3,"Mese",4,"Tipologia",$A158,"Viaggio",$A$157))</f>
        <v>0</v>
      </c>
      <c r="G158" s="270">
        <f>IF(ISERROR(GETPIVOTDATA("Somma di DARE",'Pivot Fineco Sa'!$A$3,"Mese",5,"Tipologia",$A158,"Viaggio",$A$157)),0,GETPIVOTDATA("Somma di DARE",'Pivot Fineco Sa'!$A$3,"Mese",5,"Tipologia",$A158,"Viaggio",$A$157))
+IF(ISERROR(GETPIVOTDATA("Somma di DARE",'Pivot Fineco St'!$A$3,"Mese",5,"Tipologia",$A158,"Viaggio",$A$157)),0,GETPIVOTDATA("Somma di DARE",'Pivot Fineco St'!$A$3,"Mese",5,"Tipologia",$A158,"Viaggio",$A$157))
+IF(Contanti!$U39='Conto Economico'!$A$157,Contanti!$R39)
+IF(ISERROR(GETPIVOTDATA("Somma di DARE",'Pivot BBVA'!$A$3,"Mese",5,"Tipologia",$A158,"Viaggio",$A$157)),0,GETPIVOTDATA("Somma di DARE",'Pivot BBVA'!$A$3,"Mese",5,"Tipologia",$A158,"Viaggio",$A$157))
+IF(ISERROR(GETPIVOTDATA("Somma di DARE",'Pivot Amex'!$A$3,"Mese",5,"Tipologia",$A158,"Viaggio",$A$157)),0,GETPIVOTDATA("Somma di DARE",'Pivot Amex'!$A$3,"Mese",5,"Tipologia",$A158,"Viaggio",$A$157))
-IF(ISERROR(GETPIVOTDATA("Somma di AVERE",'Pivot Amex'!$A$3,"Mese",5,"Tipologia",$A158,"Viaggio",$A$157)),0,GETPIVOTDATA("Somma di AVERE",'Pivot Amex'!$A$3,"Mese",5,"Tipologia",$A158,"Viaggio",$A$157))
-IF(ISERROR(GETPIVOTDATA("Somma di AVERE",'Pivot BBVA'!$A$3,"Mese",5,"Tipologia",$A158,"Viaggio",$A$157)),0,GETPIVOTDATA("Somma di AVERE",'Pivot BBVA'!$A$3,"Mese",5,"Tipologia",$A158,"Viaggio",$A$157))
-IF(ISERROR(GETPIVOTDATA("Somma di AVERE",'Pivot Fineco St'!$A$3,"Mese",5,"Tipologia",$A158,"Viaggio",$A$157)),0,GETPIVOTDATA("Somma di AVERE",'Pivot Fineco St'!$A$3,"Mese",5,"Tipologia",$A158,"Viaggio",$A$157))
-IF(ISERROR(GETPIVOTDATA("Somma di AVERE",'Pivot Fineco Sa'!$A$3,"Mese",5,"Tipologia",$A158,"Viaggio",$A$157)),0,GETPIVOTDATA("Somma di AVERE",'Pivot Fineco Sa'!$A$3,"Mese",5,"Tipologia",$A158,"Viaggio",$A$157))
+IF(ISERROR(GETPIVOTDATA("Somma di DARE",'Pivot PP Visa'!$A$3,"Mese",5,"Tipologia",$A158,"Viaggio",$A$157)),0,GETPIVOTDATA("Somma di DARE",'Pivot PP Visa'!$A$3,"Mese",5,"Tipologia",$A158,"Viaggio",$A$157))
-IF(ISERROR(GETPIVOTDATA("Somma di AVERE",'Pivot PP Visa'!$A$3,"Mese",5,"Tipologia",$A158,"Viaggio",$A$157)),0,GETPIVOTDATA("Somma di AVERE",'Pivot PP Visa'!$A$3,"Mese",5,"Tipologia",$A158,"Viaggio",$A$157))
+IF(ISERROR(GETPIVOTDATA("Somma di DARE",'Pivot Revolut'!$A$3,"Mese",5,"Tipologia",$A158,"Viaggio",$A$157)),0,GETPIVOTDATA("Somma di DARE",'Pivot Revolut'!$A$3,"Mese",5,"Tipologia",$A158,"Viaggio",$A$157))
-IF(ISERROR(GETPIVOTDATA("Somma di AVERE",'Pivot Revolut'!$A$3,"Mese",5,"Tipologia",$A158,"Viaggio",$A$157)),0,GETPIVOTDATA("Somma di AVERE",'Pivot Revolut'!$A$3,"Mese",5,"Tipologia",$A158,"Viaggio",$A$157))
+IF(ISERROR(GETPIVOTDATA("Somma di DARE",'Pivot RakBank EUR'!$A$3,"Mese",5,"Tipologia",$A158,"Viaggio",$A$157)),0,GETPIVOTDATA("Somma di DARE",'Pivot RakBank EUR'!$A$3,"Mese",5,"Tipologia",$A158,"Viaggio",$A$157))
-IF(ISERROR(GETPIVOTDATA("Somma di AVERE",'Pivot RakBank EUR'!$A$3,"Mese",5,"Tipologia",$A158,"Viaggio",$A$157)),0,GETPIVOTDATA("Somma di AVERE",'Pivot RakBank EUR'!$A$3,"Mese",5,"Tipologia",$A158,"Viaggio",$A$157))
+IF(ISERROR(GETPIVOTDATA("Somma di DARE EUR",'Pivot RakBank AED'!$A$3,"Mese",5,"Tipologia",$A158,"Viaggio",$A$157)),0,GETPIVOTDATA("Somma di DARE EUR",'Pivot RakBank AED'!$A$3,"Mese",5,"Tipologia",$A158,"Viaggio",$A$157))
-IF(ISERROR(GETPIVOTDATA("Somma di AVERE EUR",'Pivot RakBank AED'!$A$3,"Mese",5,"Tipologia",$A158,"Viaggio",$A$157)),0,GETPIVOTDATA("Somma di AVERE EUR",'Pivot RakBank AED'!$A$3,"Mese",5,"Tipologia",$A158,"Viaggio",$A$157))</f>
        <v>0</v>
      </c>
      <c r="H158" s="270">
        <f>IF(ISERROR(GETPIVOTDATA("Somma di DARE",'Pivot Fineco Sa'!$A$3,"Mese",6,"Tipologia",$A158,"Viaggio",$A$157)),0,GETPIVOTDATA("Somma di DARE",'Pivot Fineco Sa'!$A$3,"Mese",6,"Tipologia",$A158,"Viaggio",$A$157))
+IF(ISERROR(GETPIVOTDATA("Somma di DARE",'Pivot Fineco St'!$A$3,"Mese",6,"Tipologia",$A158,"Viaggio",$A$157)),0,GETPIVOTDATA("Somma di DARE",'Pivot Fineco St'!$A$3,"Mese",6,"Tipologia",$A158,"Viaggio",$A$157))
+IF(Contanti!$Y39='Conto Economico'!$A$157,Contanti!$V39)
+IF(ISERROR(GETPIVOTDATA("Somma di DARE",'Pivot BBVA'!$A$3,"Mese",6,"Tipologia",$A158,"Viaggio",$A$157)),0,GETPIVOTDATA("Somma di DARE",'Pivot BBVA'!$A$3,"Mese",6,"Tipologia",$A158,"Viaggio",$A$157))
+IF(ISERROR(GETPIVOTDATA("Somma di DARE",'Pivot Amex'!$A$3,"Mese",6,"Tipologia",$A158,"Viaggio",$A$157)),0,GETPIVOTDATA("Somma di DARE",'Pivot Amex'!$A$3,"Mese",6,"Tipologia",$A158,"Viaggio",$A$157))
-IF(ISERROR(GETPIVOTDATA("Somma di AVERE",'Pivot Amex'!$A$3,"Mese",6,"Tipologia",$A158,"Viaggio",$A$157)),0,GETPIVOTDATA("Somma di AVERE",'Pivot Amex'!$A$3,"Mese",6,"Tipologia",$A158,"Viaggio",$A$157))
-IF(ISERROR(GETPIVOTDATA("Somma di AVERE",'Pivot BBVA'!$A$3,"Mese",6,"Tipologia",$A158,"Viaggio",$A$157)),0,GETPIVOTDATA("Somma di AVERE",'Pivot BBVA'!$A$3,"Mese",6,"Tipologia",$A158,"Viaggio",$A$157))
-IF(ISERROR(GETPIVOTDATA("Somma di AVERE",'Pivot Fineco St'!$A$3,"Mese",6,"Tipologia",$A158,"Viaggio",$A$157)),0,GETPIVOTDATA("Somma di AVERE",'Pivot Fineco St'!$A$3,"Mese",6,"Tipologia",$A158,"Viaggio",$A$157))
-IF(ISERROR(GETPIVOTDATA("Somma di AVERE",'Pivot Fineco Sa'!$A$3,"Mese",6,"Tipologia",$A158,"Viaggio",$A$157)),0,GETPIVOTDATA("Somma di AVERE",'Pivot Fineco Sa'!$A$3,"Mese",6,"Tipologia",$A158,"Viaggio",$A$157))
+IF(ISERROR(GETPIVOTDATA("Somma di DARE",'Pivot PP Visa'!$A$3,"Mese",6,"Tipologia",$A158,"Viaggio",$A$157)),0,GETPIVOTDATA("Somma di DARE",'Pivot PP Visa'!$A$3,"Mese",6,"Tipologia",$A158,"Viaggio",$A$157))
-IF(ISERROR(GETPIVOTDATA("Somma di AVERE",'Pivot PP Visa'!$A$3,"Mese",6,"Tipologia",$A158,"Viaggio",$A$157)),0,GETPIVOTDATA("Somma di AVERE",'Pivot PP Visa'!$A$3,"Mese",6,"Tipologia",$A158,"Viaggio",$A$157))
+IF(ISERROR(GETPIVOTDATA("Somma di DARE",'Pivot Revolut'!$A$3,"Mese",6,"Tipologia",$A158,"Viaggio",$A$157)),0,GETPIVOTDATA("Somma di DARE",'Pivot Revolut'!$A$3,"Mese",6,"Tipologia",$A158,"Viaggio",$A$157))
-IF(ISERROR(GETPIVOTDATA("Somma di AVERE",'Pivot Revolut'!$A$3,"Mese",6,"Tipologia",$A158,"Viaggio",$A$157)),0,GETPIVOTDATA("Somma di AVERE",'Pivot Revolut'!$A$3,"Mese",6,"Tipologia",$A158,"Viaggio",$A$157))
+IF(ISERROR(GETPIVOTDATA("Somma di DARE",'Pivot RakBank EUR'!$A$3,"Mese",6,"Tipologia",$A158,"Viaggio",$A$157)),0,GETPIVOTDATA("Somma di DARE",'Pivot RakBank EUR'!$A$3,"Mese",6,"Tipologia",$A158,"Viaggio",$A$157))
-IF(ISERROR(GETPIVOTDATA("Somma di AVERE",'Pivot RakBank EUR'!$A$3,"Mese",6,"Tipologia",$A158,"Viaggio",$A$157)),0,GETPIVOTDATA("Somma di AVERE",'Pivot RakBank EUR'!$A$3,"Mese",6,"Tipologia",$A158,"Viaggio",$A$157))
+IF(ISERROR(GETPIVOTDATA("Somma di DARE EUR",'Pivot RakBank AED'!$A$3,"Mese",6,"Tipologia",$A158,"Viaggio",$A$157)),0,GETPIVOTDATA("Somma di DARE EUR",'Pivot RakBank AED'!$A$3,"Mese",6,"Tipologia",$A158,"Viaggio",$A$157))
-IF(ISERROR(GETPIVOTDATA("Somma di AVERE EUR",'Pivot RakBank AED'!$A$3,"Mese",6,"Tipologia",$A158,"Viaggio",$A$157)),0,GETPIVOTDATA("Somma di AVERE EUR",'Pivot RakBank AED'!$A$3,"Mese",6,"Tipologia",$A158,"Viaggio",$A$157))</f>
        <v>0</v>
      </c>
      <c r="I158" s="270">
        <f>IF(ISERROR(GETPIVOTDATA("Somma di DARE",'Pivot Fineco Sa'!$A$3,"Mese",7,"Tipologia",$A158,"Viaggio",$A$157)),0,GETPIVOTDATA("Somma di DARE",'Pivot Fineco Sa'!$A$3,"Mese",7,"Tipologia",$A158,"Viaggio",$A$157))
+IF(ISERROR(GETPIVOTDATA("Somma di DARE",'Pivot Fineco St'!$A$3,"Mese",7,"Tipologia",$A158,"Viaggio",$A$157)),0,GETPIVOTDATA("Somma di DARE",'Pivot Fineco St'!$A$3,"Mese",7,"Tipologia",$A158,"Viaggio",$A$157))
+IF(Contanti!$AC39='Conto Economico'!$A$157,Contanti!$Z39)
+IF(ISERROR(GETPIVOTDATA("Somma di DARE",'Pivot BBVA'!$A$3,"Mese",7,"Tipologia",$A158,"Viaggio",$A$157)),0,GETPIVOTDATA("Somma di DARE",'Pivot BBVA'!$A$3,"Mese",7,"Tipologia",$A158,"Viaggio",$A$157))
+IF(ISERROR(GETPIVOTDATA("Somma di DARE",'Pivot Amex'!$A$3,"Mese",7,"Tipologia",$A158,"Viaggio",$A$157)),0,GETPIVOTDATA("Somma di DARE",'Pivot Amex'!$A$3,"Mese",7,"Tipologia",$A158,"Viaggio",$A$157))
-IF(ISERROR(GETPIVOTDATA("Somma di AVERE",'Pivot Amex'!$A$3,"Mese",7,"Tipologia",$A158,"Viaggio",$A$157)),0,GETPIVOTDATA("Somma di AVERE",'Pivot Amex'!$A$3,"Mese",7,"Tipologia",$A158,"Viaggio",$A$157))
-IF(ISERROR(GETPIVOTDATA("Somma di AVERE",'Pivot BBVA'!$A$3,"Mese",7,"Tipologia",$A158,"Viaggio",$A$157)),0,GETPIVOTDATA("Somma di AVERE",'Pivot BBVA'!$A$3,"Mese",7,"Tipologia",$A158,"Viaggio",$A$157))
-IF(ISERROR(GETPIVOTDATA("Somma di AVERE",'Pivot Fineco St'!$A$3,"Mese",7,"Tipologia",$A158,"Viaggio",$A$157)),0,GETPIVOTDATA("Somma di AVERE",'Pivot Fineco St'!$A$3,"Mese",7,"Tipologia",$A158,"Viaggio",$A$157))
-IF(ISERROR(GETPIVOTDATA("Somma di AVERE",'Pivot Fineco Sa'!$A$3,"Mese",7,"Tipologia",$A158,"Viaggio",$A$157)),0,GETPIVOTDATA("Somma di AVERE",'Pivot Fineco Sa'!$A$3,"Mese",7,"Tipologia",$A158,"Viaggio",$A$157))
+IF(ISERROR(GETPIVOTDATA("Somma di DARE",'Pivot PP Visa'!$A$3,"Mese",7,"Tipologia",$A158,"Viaggio",$A$157)),0,GETPIVOTDATA("Somma di DARE",'Pivot PP Visa'!$A$3,"Mese",7,"Tipologia",$A158,"Viaggio",$A$157))
-IF(ISERROR(GETPIVOTDATA("Somma di AVERE",'Pivot PP Visa'!$A$3,"Mese",7,"Tipologia",$A158,"Viaggio",$A$157)),0,GETPIVOTDATA("Somma di AVERE",'Pivot PP Visa'!$A$3,"Mese",7,"Tipologia",$A158,"Viaggio",$A$157))
+IF(ISERROR(GETPIVOTDATA("Somma di DARE",'Pivot Revolut'!$A$3,"Mese",7,"Tipologia",$A158,"Viaggio",$A$157)),0,GETPIVOTDATA("Somma di DARE",'Pivot Revolut'!$A$3,"Mese",7,"Tipologia",$A158,"Viaggio",$A$157))
-IF(ISERROR(GETPIVOTDATA("Somma di AVERE",'Pivot Revolut'!$A$3,"Mese",7,"Tipologia",$A158,"Viaggio",$A$157)),0,GETPIVOTDATA("Somma di AVERE",'Pivot Revolut'!$A$3,"Mese",7,"Tipologia",$A158,"Viaggio",$A$157))
+IF(ISERROR(GETPIVOTDATA("Somma di DARE",'Pivot RakBank EUR'!$A$3,"Mese",7,"Tipologia",$A158,"Viaggio",$A$157)),0,GETPIVOTDATA("Somma di DARE",'Pivot RakBank EUR'!$A$3,"Mese",7,"Tipologia",$A158,"Viaggio",$A$157))
-IF(ISERROR(GETPIVOTDATA("Somma di AVERE",'Pivot RakBank EUR'!$A$3,"Mese",7,"Tipologia",$A158,"Viaggio",$A$157)),0,GETPIVOTDATA("Somma di AVERE",'Pivot RakBank EUR'!$A$3,"Mese",7,"Tipologia",$A158,"Viaggio",$A$157))
+IF(ISERROR(GETPIVOTDATA("Somma di DARE EUR",'Pivot RakBank AED'!$A$3,"Mese",7,"Tipologia",$A158,"Viaggio",$A$157)),0,GETPIVOTDATA("Somma di DARE EUR",'Pivot RakBank AED'!$A$3,"Mese",7,"Tipologia",$A158,"Viaggio",$A$157))
-IF(ISERROR(GETPIVOTDATA("Somma di AVERE EUR",'Pivot RakBank AED'!$A$3,"Mese",7,"Tipologia",$A158,"Viaggio",$A$157)),0,GETPIVOTDATA("Somma di AVERE EUR",'Pivot RakBank AED'!$A$3,"Mese",7,"Tipologia",$A158,"Viaggio",$A$157))</f>
        <v>0</v>
      </c>
      <c r="J158" s="270">
        <f>IF(ISERROR(GETPIVOTDATA("Somma di DARE",'Pivot Fineco Sa'!$A$3,"Mese",8,"Tipologia",$A158,"Viaggio",$A$157)),0,GETPIVOTDATA("Somma di DARE",'Pivot Fineco Sa'!$A$3,"Mese",8,"Tipologia",$A158,"Viaggio",$A$157))
+IF(ISERROR(GETPIVOTDATA("Somma di DARE",'Pivot Fineco St'!$A$3,"Mese",8,"Tipologia",$A158,"Viaggio",$A$157)),0,GETPIVOTDATA("Somma di DARE",'Pivot Fineco St'!$A$3,"Mese",8,"Tipologia",$A158,"Viaggio",$A$157))
+IF(Contanti!$AG39='Conto Economico'!$A$157,Contanti!$AD39)
+IF(ISERROR(GETPIVOTDATA("Somma di DARE",'Pivot BBVA'!$A$3,"Mese",8,"Tipologia",$A158,"Viaggio",$A$157)),0,GETPIVOTDATA("Somma di DARE",'Pivot BBVA'!$A$3,"Mese",8,"Tipologia",$A158,"Viaggio",$A$157))
+IF(ISERROR(GETPIVOTDATA("Somma di DARE",'Pivot Amex'!$A$3,"Mese",8,"Tipologia",$A158,"Viaggio",$A$157)),0,GETPIVOTDATA("Somma di DARE",'Pivot Amex'!$A$3,"Mese",8,"Tipologia",$A158,"Viaggio",$A$157))
-IF(ISERROR(GETPIVOTDATA("Somma di AVERE",'Pivot Amex'!$A$3,"Mese",8,"Tipologia",$A158,"Viaggio",$A$157)),0,GETPIVOTDATA("Somma di AVERE",'Pivot Amex'!$A$3,"Mese",8,"Tipologia",$A158,"Viaggio",$A$157))
-IF(ISERROR(GETPIVOTDATA("Somma di AVERE",'Pivot BBVA'!$A$3,"Mese",8,"Tipologia",$A158,"Viaggio",$A$157)),0,GETPIVOTDATA("Somma di AVERE",'Pivot BBVA'!$A$3,"Mese",8,"Tipologia",$A158,"Viaggio",$A$157))
-IF(ISERROR(GETPIVOTDATA("Somma di AVERE",'Pivot Fineco St'!$A$3,"Mese",8,"Tipologia",$A158,"Viaggio",$A$157)),0,GETPIVOTDATA("Somma di AVERE",'Pivot Fineco St'!$A$3,"Mese",8,"Tipologia",$A158,"Viaggio",$A$157))
-IF(ISERROR(GETPIVOTDATA("Somma di AVERE",'Pivot Fineco Sa'!$A$3,"Mese",8,"Tipologia",$A158,"Viaggio",$A$157)),0,GETPIVOTDATA("Somma di AVERE",'Pivot Fineco Sa'!$A$3,"Mese",8,"Tipologia",$A158,"Viaggio",$A$157))
+IF(ISERROR(GETPIVOTDATA("Somma di DARE",'Pivot PP Visa'!$A$3,"Mese",8,"Tipologia",$A158,"Viaggio",$A$157)),0,GETPIVOTDATA("Somma di DARE",'Pivot PP Visa'!$A$3,"Mese",8,"Tipologia",$A158,"Viaggio",$A$157))
-IF(ISERROR(GETPIVOTDATA("Somma di AVERE",'Pivot PP Visa'!$A$3,"Mese",8,"Tipologia",$A158,"Viaggio",$A$157)),0,GETPIVOTDATA("Somma di AVERE",'Pivot PP Visa'!$A$3,"Mese",8,"Tipologia",$A158,"Viaggio",$A$157))
+IF(ISERROR(GETPIVOTDATA("Somma di DARE",'Pivot Revolut'!$A$3,"Mese",8,"Tipologia",$A158,"Viaggio",$A$157)),0,GETPIVOTDATA("Somma di DARE",'Pivot Revolut'!$A$3,"Mese",8,"Tipologia",$A158,"Viaggio",$A$157))
-IF(ISERROR(GETPIVOTDATA("Somma di AVERE",'Pivot Revolut'!$A$3,"Mese",8,"Tipologia",$A158,"Viaggio",$A$157)),0,GETPIVOTDATA("Somma di AVERE",'Pivot Revolut'!$A$3,"Mese",8,"Tipologia",$A158,"Viaggio",$A$157))
+IF(ISERROR(GETPIVOTDATA("Somma di DARE",'Pivot RakBank EUR'!$A$3,"Mese",8,"Tipologia",$A158,"Viaggio",$A$157)),0,GETPIVOTDATA("Somma di DARE",'Pivot RakBank EUR'!$A$3,"Mese",8,"Tipologia",$A158,"Viaggio",$A$157))
-IF(ISERROR(GETPIVOTDATA("Somma di AVERE",'Pivot RakBank EUR'!$A$3,"Mese",8,"Tipologia",$A158,"Viaggio",$A$157)),0,GETPIVOTDATA("Somma di AVERE",'Pivot RakBank EUR'!$A$3,"Mese",8,"Tipologia",$A158,"Viaggio",$A$157))
+IF(ISERROR(GETPIVOTDATA("Somma di DARE EUR",'Pivot RakBank AED'!$A$3,"Mese",8,"Tipologia",$A158,"Viaggio",$A$157)),0,GETPIVOTDATA("Somma di DARE EUR",'Pivot RakBank AED'!$A$3,"Mese",8,"Tipologia",$A158,"Viaggio",$A$157))
-IF(ISERROR(GETPIVOTDATA("Somma di AVERE EUR",'Pivot RakBank AED'!$A$3,"Mese",8,"Tipologia",$A158,"Viaggio",$A$157)),0,GETPIVOTDATA("Somma di AVERE EUR",'Pivot RakBank AED'!$A$3,"Mese",8,"Tipologia",$A158,"Viaggio",$A$157))</f>
        <v>0</v>
      </c>
      <c r="K158" s="270">
        <f>IF(ISERROR(GETPIVOTDATA("Somma di DARE",'Pivot Fineco Sa'!$A$3,"Mese",9,"Tipologia",$A158,"Viaggio",$A$157)),0,GETPIVOTDATA("Somma di DARE",'Pivot Fineco Sa'!$A$3,"Mese",9,"Tipologia",$A158,"Viaggio",$A$157))
+IF(ISERROR(GETPIVOTDATA("Somma di DARE",'Pivot Fineco St'!$A$3,"Mese",9,"Tipologia",$A158,"Viaggio",$A$157)),0,GETPIVOTDATA("Somma di DARE",'Pivot Fineco St'!$A$3,"Mese",9,"Tipologia",$A158,"Viaggio",$A$157))
+IF(Contanti!$AK39='Conto Economico'!$A$157,Contanti!$AH39)
+IF(ISERROR(GETPIVOTDATA("Somma di DARE",'Pivot BBVA'!$A$3,"Mese",9,"Tipologia",$A158,"Viaggio",$A$157)),0,GETPIVOTDATA("Somma di DARE",'Pivot BBVA'!$A$3,"Mese",9,"Tipologia",$A158,"Viaggio",$A$157))
+IF(ISERROR(GETPIVOTDATA("Somma di DARE",'Pivot Amex'!$A$3,"Mese",9,"Tipologia",$A158,"Viaggio",$A$157)),0,GETPIVOTDATA("Somma di DARE",'Pivot Amex'!$A$3,"Mese",9,"Tipologia",$A158,"Viaggio",$A$157))
-IF(ISERROR(GETPIVOTDATA("Somma di AVERE",'Pivot Amex'!$A$3,"Mese",9,"Tipologia",$A158,"Viaggio",$A$157)),0,GETPIVOTDATA("Somma di AVERE",'Pivot Amex'!$A$3,"Mese",9,"Tipologia",$A158,"Viaggio",$A$157))
-IF(ISERROR(GETPIVOTDATA("Somma di AVERE",'Pivot BBVA'!$A$3,"Mese",9,"Tipologia",$A158,"Viaggio",$A$157)),0,GETPIVOTDATA("Somma di AVERE",'Pivot BBVA'!$A$3,"Mese",9,"Tipologia",$A158,"Viaggio",$A$157))
-IF(ISERROR(GETPIVOTDATA("Somma di AVERE",'Pivot Fineco St'!$A$3,"Mese",9,"Tipologia",$A158,"Viaggio",$A$157)),0,GETPIVOTDATA("Somma di AVERE",'Pivot Fineco St'!$A$3,"Mese",9,"Tipologia",$A158,"Viaggio",$A$157))
-IF(ISERROR(GETPIVOTDATA("Somma di AVERE",'Pivot Fineco Sa'!$A$3,"Mese",9,"Tipologia",$A158,"Viaggio",$A$157)),0,GETPIVOTDATA("Somma di AVERE",'Pivot Fineco Sa'!$A$3,"Mese",9,"Tipologia",$A158,"Viaggio",$A$157))
+IF(ISERROR(GETPIVOTDATA("Somma di DARE",'Pivot PP Visa'!$A$3,"Mese",9,"Tipologia",$A158,"Viaggio",$A$157)),0,GETPIVOTDATA("Somma di DARE",'Pivot PP Visa'!$A$3,"Mese",9,"Tipologia",$A158,"Viaggio",$A$157))
-IF(ISERROR(GETPIVOTDATA("Somma di AVERE",'Pivot PP Visa'!$A$3,"Mese",9,"Tipologia",$A158,"Viaggio",$A$157)),0,GETPIVOTDATA("Somma di AVERE",'Pivot PP Visa'!$A$3,"Mese",9,"Tipologia",$A158,"Viaggio",$A$157))
+IF(ISERROR(GETPIVOTDATA("Somma di DARE",'Pivot Revolut'!$A$3,"Mese",9,"Tipologia",$A158,"Viaggio",$A$157)),0,GETPIVOTDATA("Somma di DARE",'Pivot Revolut'!$A$3,"Mese",9,"Tipologia",$A158,"Viaggio",$A$157))
-IF(ISERROR(GETPIVOTDATA("Somma di AVERE",'Pivot Revolut'!$A$3,"Mese",9,"Tipologia",$A158,"Viaggio",$A$157)),0,GETPIVOTDATA("Somma di AVERE",'Pivot Revolut'!$A$3,"Mese",9,"Tipologia",$A158,"Viaggio",$A$157))
+IF(ISERROR(GETPIVOTDATA("Somma di DARE",'Pivot RakBank EUR'!$A$3,"Mese",9,"Tipologia",$A158,"Viaggio",$A$157)),0,GETPIVOTDATA("Somma di DARE",'Pivot RakBank EUR'!$A$3,"Mese",9,"Tipologia",$A158,"Viaggio",$A$157))
-IF(ISERROR(GETPIVOTDATA("Somma di AVERE",'Pivot RakBank EUR'!$A$3,"Mese",9,"Tipologia",$A158,"Viaggio",$A$157)),0,GETPIVOTDATA("Somma di AVERE",'Pivot RakBank EUR'!$A$3,"Mese",9,"Tipologia",$A158,"Viaggio",$A$157))
+IF(ISERROR(GETPIVOTDATA("Somma di DARE EUR",'Pivot RakBank AED'!$A$3,"Mese",9,"Tipologia",$A158,"Viaggio",$A$157)),0,GETPIVOTDATA("Somma di DARE EUR",'Pivot RakBank AED'!$A$3,"Mese",9,"Tipologia",$A158,"Viaggio",$A$157))
-IF(ISERROR(GETPIVOTDATA("Somma di AVERE EUR",'Pivot RakBank AED'!$A$3,"Mese",9,"Tipologia",$A158,"Viaggio",$A$157)),0,GETPIVOTDATA("Somma di AVERE EUR",'Pivot RakBank AED'!$A$3,"Mese",9,"Tipologia",$A158,"Viaggio",$A$157))</f>
        <v>0</v>
      </c>
      <c r="L158" s="270">
        <f>IF(ISERROR(GETPIVOTDATA("Somma di DARE",'Pivot Fineco Sa'!$A$3,"Mese",10,"Tipologia",$A158,"Viaggio",$A$157)),0,GETPIVOTDATA("Somma di DARE",'Pivot Fineco Sa'!$A$3,"Mese",10,"Tipologia",$A158,"Viaggio",$A$157))
+IF(ISERROR(GETPIVOTDATA("Somma di DARE",'Pivot Fineco St'!$A$3,"Mese",10,"Tipologia",$A158,"Viaggio",$A$157)),0,GETPIVOTDATA("Somma di DARE",'Pivot Fineco St'!$A$3,"Mese",10,"Tipologia",$A158,"Viaggio",$A$157))
+IF(Contanti!$AO39='Conto Economico'!$A$157,Contanti!$AL39)
+IF(ISERROR(GETPIVOTDATA("Somma di DARE",'Pivot BBVA'!$A$3,"Mese",10,"Tipologia",$A158,"Viaggio",$A$157)),0,GETPIVOTDATA("Somma di DARE",'Pivot BBVA'!$A$3,"Mese",10,"Tipologia",$A158,"Viaggio",$A$157))
+IF(ISERROR(GETPIVOTDATA("Somma di DARE",'Pivot Amex'!$A$3,"Mese",10,"Tipologia",$A158,"Viaggio",$A$157)),0,GETPIVOTDATA("Somma di DARE",'Pivot Amex'!$A$3,"Mese",10,"Tipologia",$A158,"Viaggio",$A$157))
-IF(ISERROR(GETPIVOTDATA("Somma di AVERE",'Pivot Amex'!$A$3,"Mese",10,"Tipologia",$A158,"Viaggio",$A$157)),0,GETPIVOTDATA("Somma di AVERE",'Pivot Amex'!$A$3,"Mese",10,"Tipologia",$A158,"Viaggio",$A$157))
-IF(ISERROR(GETPIVOTDATA("Somma di AVERE",'Pivot BBVA'!$A$3,"Mese",10,"Tipologia",$A158,"Viaggio",$A$157)),0,GETPIVOTDATA("Somma di AVERE",'Pivot BBVA'!$A$3,"Mese",10,"Tipologia",$A158,"Viaggio",$A$157))
-IF(ISERROR(GETPIVOTDATA("Somma di AVERE",'Pivot Fineco St'!$A$3,"Mese",10,"Tipologia",$A158,"Viaggio",$A$157)),0,GETPIVOTDATA("Somma di AVERE",'Pivot Fineco St'!$A$3,"Mese",10,"Tipologia",$A158,"Viaggio",$A$157))
-IF(ISERROR(GETPIVOTDATA("Somma di AVERE",'Pivot Fineco Sa'!$A$3,"Mese",10,"Tipologia",$A158,"Viaggio",$A$157)),0,GETPIVOTDATA("Somma di AVERE",'Pivot Fineco Sa'!$A$3,"Mese",10,"Tipologia",$A158,"Viaggio",$A$157))
+IF(ISERROR(GETPIVOTDATA("Somma di DARE",'Pivot PP Visa'!$A$3,"Mese",10,"Tipologia",$A158,"Viaggio",$A$157)),0,GETPIVOTDATA("Somma di DARE",'Pivot PP Visa'!$A$3,"Mese",10,"Tipologia",$A158,"Viaggio",$A$157))
-IF(ISERROR(GETPIVOTDATA("Somma di AVERE",'Pivot PP Visa'!$A$3,"Mese",10,"Tipologia",$A158,"Viaggio",$A$157)),0,GETPIVOTDATA("Somma di AVERE",'Pivot PP Visa'!$A$3,"Mese",10,"Tipologia",$A158,"Viaggio",$A$157))
+IF(ISERROR(GETPIVOTDATA("Somma di DARE",'Pivot Revolut'!$A$3,"Mese",10,"Tipologia",$A158,"Viaggio",$A$157)),0,GETPIVOTDATA("Somma di DARE",'Pivot Revolut'!$A$3,"Mese",10,"Tipologia",$A158,"Viaggio",$A$157))
-IF(ISERROR(GETPIVOTDATA("Somma di AVERE",'Pivot Revolut'!$A$3,"Mese",10,"Tipologia",$A158,"Viaggio",$A$157)),0,GETPIVOTDATA("Somma di AVERE",'Pivot Revolut'!$A$3,"Mese",10,"Tipologia",$A158,"Viaggio",$A$157))
+IF(ISERROR(GETPIVOTDATA("Somma di DARE",'Pivot RakBank EUR'!$A$3,"Mese",10,"Tipologia",$A158,"Viaggio",$A$157)),0,GETPIVOTDATA("Somma di DARE",'Pivot RakBank EUR'!$A$3,"Mese",10,"Tipologia",$A158,"Viaggio",$A$157))
-IF(ISERROR(GETPIVOTDATA("Somma di AVERE",'Pivot RakBank EUR'!$A$3,"Mese",10,"Tipologia",$A158,"Viaggio",$A$157)),0,GETPIVOTDATA("Somma di AVERE",'Pivot RakBank EUR'!$A$3,"Mese",10,"Tipologia",$A158,"Viaggio",$A$157))
+IF(ISERROR(GETPIVOTDATA("Somma di DARE EUR",'Pivot RakBank AED'!$A$3,"Mese",10,"Tipologia",$A158,"Viaggio",$A$157)),0,GETPIVOTDATA("Somma di DARE EUR",'Pivot RakBank AED'!$A$3,"Mese",10,"Tipologia",$A158,"Viaggio",$A$157))
-IF(ISERROR(GETPIVOTDATA("Somma di AVERE EUR",'Pivot RakBank AED'!$A$3,"Mese",10,"Tipologia",$A158,"Viaggio",$A$157)),0,GETPIVOTDATA("Somma di AVERE EUR",'Pivot RakBank AED'!$A$3,"Mese",10,"Tipologia",$A158,"Viaggio",$A$157))</f>
        <v>0</v>
      </c>
      <c r="M158" s="270">
        <f>IF(ISERROR(GETPIVOTDATA("Somma di DARE",'Pivot Fineco Sa'!$A$3,"Mese",11,"Tipologia",$A158,"Viaggio",$A$157)),0,GETPIVOTDATA("Somma di DARE",'Pivot Fineco Sa'!$A$3,"Mese",11,"Tipologia",$A158,"Viaggio",$A$157))
+IF(ISERROR(GETPIVOTDATA("Somma di DARE",'Pivot Fineco St'!$A$3,"Mese",11,"Tipologia",$A158,"Viaggio",$A$157)),0,GETPIVOTDATA("Somma di DARE",'Pivot Fineco St'!$A$3,"Mese",11,"Tipologia",$A158,"Viaggio",$A$157))
+IF(Contanti!$AS39='Conto Economico'!$A$157,Contanti!$AP39)
+IF(ISERROR(GETPIVOTDATA("Somma di DARE",'Pivot BBVA'!$A$3,"Mese",11,"Tipologia",$A158,"Viaggio",$A$157)),0,GETPIVOTDATA("Somma di DARE",'Pivot BBVA'!$A$3,"Mese",11,"Tipologia",$A158,"Viaggio",$A$157))
+IF(ISERROR(GETPIVOTDATA("Somma di DARE",'Pivot Amex'!$A$3,"Mese",11,"Tipologia",$A158,"Viaggio",$A$157)),0,GETPIVOTDATA("Somma di DARE",'Pivot Amex'!$A$3,"Mese",11,"Tipologia",$A158,"Viaggio",$A$157))
-IF(ISERROR(GETPIVOTDATA("Somma di AVERE",'Pivot Amex'!$A$3,"Mese",11,"Tipologia",$A158,"Viaggio",$A$157)),0,GETPIVOTDATA("Somma di AVERE",'Pivot Amex'!$A$3,"Mese",11,"Tipologia",$A158,"Viaggio",$A$157))
-IF(ISERROR(GETPIVOTDATA("Somma di AVERE",'Pivot BBVA'!$A$3,"Mese",11,"Tipologia",$A158,"Viaggio",$A$157)),0,GETPIVOTDATA("Somma di AVERE",'Pivot BBVA'!$A$3,"Mese",11,"Tipologia",$A158,"Viaggio",$A$157))
-IF(ISERROR(GETPIVOTDATA("Somma di AVERE",'Pivot Fineco St'!$A$3,"Mese",11,"Tipologia",$A158,"Viaggio",$A$157)),0,GETPIVOTDATA("Somma di AVERE",'Pivot Fineco St'!$A$3,"Mese",11,"Tipologia",$A158,"Viaggio",$A$157))
-IF(ISERROR(GETPIVOTDATA("Somma di AVERE",'Pivot Fineco Sa'!$A$3,"Mese",11,"Tipologia",$A158,"Viaggio",$A$157)),0,GETPIVOTDATA("Somma di AVERE",'Pivot Fineco Sa'!$A$3,"Mese",11,"Tipologia",$A158,"Viaggio",$A$157))
+IF(ISERROR(GETPIVOTDATA("Somma di DARE",'Pivot PP Visa'!$A$3,"Mese",11,"Tipologia",$A158,"Viaggio",$A$157)),0,GETPIVOTDATA("Somma di DARE",'Pivot PP Visa'!$A$3,"Mese",11,"Tipologia",$A158,"Viaggio",$A$157))
-IF(ISERROR(GETPIVOTDATA("Somma di AVERE",'Pivot PP Visa'!$A$3,"Mese",11,"Tipologia",$A158,"Viaggio",$A$157)),0,GETPIVOTDATA("Somma di AVERE",'Pivot PP Visa'!$A$3,"Mese",11,"Tipologia",$A158,"Viaggio",$A$157))
+IF(ISERROR(GETPIVOTDATA("Somma di DARE",'Pivot Revolut'!$A$3,"Mese",11,"Tipologia",$A158,"Viaggio",$A$157)),0,GETPIVOTDATA("Somma di DARE",'Pivot Revolut'!$A$3,"Mese",11,"Tipologia",$A158,"Viaggio",$A$157))
-IF(ISERROR(GETPIVOTDATA("Somma di AVERE",'Pivot Revolut'!$A$3,"Mese",11,"Tipologia",$A158,"Viaggio",$A$157)),0,GETPIVOTDATA("Somma di AVERE",'Pivot Revolut'!$A$3,"Mese",11,"Tipologia",$A158,"Viaggio",$A$157))
+IF(ISERROR(GETPIVOTDATA("Somma di DARE",'Pivot RakBank EUR'!$A$3,"Mese",11,"Tipologia",$A158,"Viaggio",$A$157)),0,GETPIVOTDATA("Somma di DARE",'Pivot RakBank EUR'!$A$3,"Mese",11,"Tipologia",$A158,"Viaggio",$A$157))
-IF(ISERROR(GETPIVOTDATA("Somma di AVERE",'Pivot RakBank EUR'!$A$3,"Mese",11,"Tipologia",$A158,"Viaggio",$A$157)),0,GETPIVOTDATA("Somma di AVERE",'Pivot RakBank EUR'!$A$3,"Mese",11,"Tipologia",$A158,"Viaggio",$A$157))
+IF(ISERROR(GETPIVOTDATA("Somma di DARE EUR",'Pivot RakBank AED'!$A$3,"Mese",11,"Tipologia",$A158,"Viaggio",$A$157)),0,GETPIVOTDATA("Somma di DARE EUR",'Pivot RakBank AED'!$A$3,"Mese",11,"Tipologia",$A158,"Viaggio",$A$157))
-IF(ISERROR(GETPIVOTDATA("Somma di AVERE EUR",'Pivot RakBank AED'!$A$3,"Mese",11,"Tipologia",$A158,"Viaggio",$A$157)),0,GETPIVOTDATA("Somma di AVERE EUR",'Pivot RakBank AED'!$A$3,"Mese",11,"Tipologia",$A158,"Viaggio",$A$157))</f>
        <v>0</v>
      </c>
      <c r="N158" s="270">
        <f>IF(ISERROR(GETPIVOTDATA("Somma di DARE",'Pivot Fineco Sa'!$A$3,"Mese",12,"Tipologia",$A158,"Viaggio",$A$157)),0,GETPIVOTDATA("Somma di DARE",'Pivot Fineco Sa'!$A$3,"Mese",12,"Tipologia",$A158,"Viaggio",$A$157))
+IF(ISERROR(GETPIVOTDATA("Somma di DARE",'Pivot Fineco St'!$A$3,"Mese",12,"Tipologia",$A158,"Viaggio",$A$157)),0,GETPIVOTDATA("Somma di DARE",'Pivot Fineco St'!$A$3,"Mese",12,"Tipologia",$A158,"Viaggio",$A$157))
+IF(Contanti!$AW39='Conto Economico'!$A$157,Contanti!$AT39)
+IF(ISERROR(GETPIVOTDATA("Somma di DARE",'Pivot BBVA'!$A$3,"Mese",12,"Tipologia",$A158,"Viaggio",$A$157)),0,GETPIVOTDATA("Somma di DARE",'Pivot BBVA'!$A$3,"Mese",12,"Tipologia",$A158,"Viaggio",$A$157))
+IF(ISERROR(GETPIVOTDATA("Somma di DARE",'Pivot Amex'!$A$3,"Mese",12,"Tipologia",$A158,"Viaggio",$A$157)),0,GETPIVOTDATA("Somma di DARE",'Pivot Amex'!$A$3,"Mese",12,"Tipologia",$A158,"Viaggio",$A$157))
-IF(ISERROR(GETPIVOTDATA("Somma di AVERE",'Pivot Amex'!$A$3,"Mese",12,"Tipologia",$A158,"Viaggio",$A$157)),0,GETPIVOTDATA("Somma di AVERE",'Pivot Amex'!$A$3,"Mese",12,"Tipologia",$A158,"Viaggio",$A$157))
-IF(ISERROR(GETPIVOTDATA("Somma di AVERE",'Pivot BBVA'!$A$3,"Mese",12,"Tipologia",$A158,"Viaggio",$A$157)),0,GETPIVOTDATA("Somma di AVERE",'Pivot BBVA'!$A$3,"Mese",12,"Tipologia",$A158,"Viaggio",$A$157))
-IF(ISERROR(GETPIVOTDATA("Somma di AVERE",'Pivot Fineco St'!$A$3,"Mese",12,"Tipologia",$A158,"Viaggio",$A$157)),0,GETPIVOTDATA("Somma di AVERE",'Pivot Fineco St'!$A$3,"Mese",12,"Tipologia",$A158,"Viaggio",$A$157))
-IF(ISERROR(GETPIVOTDATA("Somma di AVERE",'Pivot Fineco Sa'!$A$3,"Mese",12,"Tipologia",$A158,"Viaggio",$A$157)),0,GETPIVOTDATA("Somma di AVERE",'Pivot Fineco Sa'!$A$3,"Mese",12,"Tipologia",$A158,"Viaggio",$A$157))
+IF(ISERROR(GETPIVOTDATA("Somma di DARE",'Pivot PP Visa'!$A$3,"Mese",12,"Tipologia",$A158,"Viaggio",$A$157)),0,GETPIVOTDATA("Somma di DARE",'Pivot PP Visa'!$A$3,"Mese",12,"Tipologia",$A158,"Viaggio",$A$157))
-IF(ISERROR(GETPIVOTDATA("Somma di AVERE",'Pivot PP Visa'!$A$3,"Mese",12,"Tipologia",$A158,"Viaggio",$A$157)),0,GETPIVOTDATA("Somma di AVERE",'Pivot PP Visa'!$A$3,"Mese",12,"Tipologia",$A158,"Viaggio",$A$157))
+IF(ISERROR(GETPIVOTDATA("Somma di DARE",'Pivot Revolut'!$A$3,"Mese",12,"Tipologia",$A158,"Viaggio",$A$157)),0,GETPIVOTDATA("Somma di DARE",'Pivot Revolut'!$A$3,"Mese",12,"Tipologia",$A158,"Viaggio",$A$157))
-IF(ISERROR(GETPIVOTDATA("Somma di AVERE",'Pivot Revolut'!$A$3,"Mese",12,"Tipologia",$A158,"Viaggio",$A$157)),0,GETPIVOTDATA("Somma di AVERE",'Pivot Revolut'!$A$3,"Mese",12,"Tipologia",$A158,"Viaggio",$A$157))
+IF(ISERROR(GETPIVOTDATA("Somma di DARE",'Pivot RakBank EUR'!$A$3,"Mese",12,"Tipologia",$A158,"Viaggio",$A$157)),0,GETPIVOTDATA("Somma di DARE",'Pivot RakBank EUR'!$A$3,"Mese",12,"Tipologia",$A158,"Viaggio",$A$157))
-IF(ISERROR(GETPIVOTDATA("Somma di AVERE",'Pivot RakBank EUR'!$A$3,"Mese",12,"Tipologia",$A158,"Viaggio",$A$157)),0,GETPIVOTDATA("Somma di AVERE",'Pivot RakBank EUR'!$A$3,"Mese",12,"Tipologia",$A158,"Viaggio",$A$157))
+IF(ISERROR(GETPIVOTDATA("Somma di DARE EUR",'Pivot RakBank AED'!$A$3,"Mese",12,"Tipologia",$A158,"Viaggio",$A$157)),0,GETPIVOTDATA("Somma di DARE EUR",'Pivot RakBank AED'!$A$3,"Mese",12,"Tipologia",$A158,"Viaggio",$A$157))
-IF(ISERROR(GETPIVOTDATA("Somma di AVERE EUR",'Pivot RakBank AED'!$A$3,"Mese",12,"Tipologia",$A158,"Viaggio",$A$157)),0,GETPIVOTDATA("Somma di AVERE EUR",'Pivot RakBank AED'!$A$3,"Mese",12,"Tipologia",$A158,"Viaggio",$A$157))</f>
        <v>0</v>
      </c>
      <c r="O158" s="271">
        <f t="shared" si="21"/>
        <v>0</v>
      </c>
      <c r="P158" s="270"/>
    </row>
    <row r="159" spans="1:16" s="131" customFormat="1" ht="14" outlineLevel="1" x14ac:dyDescent="0.2">
      <c r="A159" s="269" t="s">
        <v>111</v>
      </c>
      <c r="B159" s="269"/>
      <c r="C159" s="270">
        <f>IF(ISERROR(GETPIVOTDATA("Somma di DARE",'Pivot Fineco Sa'!$A$3,"Mese",1,"Tipologia",$A159,"Viaggio",$A$157)),0,GETPIVOTDATA("Somma di DARE",'Pivot Fineco Sa'!$A$3,"Mese",1,"Tipologia",$A159,"Viaggio",$A$157))
+IF(ISERROR(GETPIVOTDATA("Somma di DARE",'Pivot Fineco St'!$A$3,"Mese",1,"Tipologia",$A159,"Viaggio",$A$157)),0,GETPIVOTDATA("Somma di DARE",'Pivot Fineco St'!$A$3,"Mese",1,"Tipologia",$A159,"Viaggio",$A$157))
+IF(Contanti!$E40='Conto Economico'!$A$157,Contanti!$B40)
+IF(ISERROR(GETPIVOTDATA("Somma di DARE",'Pivot BBVA'!$A$3,"Mese",1,"Tipologia",$A159,"Viaggio",$A$157)),0,GETPIVOTDATA("Somma di DARE",'Pivot BBVA'!$A$3,"Mese",1,"Tipologia",$A159,"Viaggio",$A$157))
+IF(ISERROR(GETPIVOTDATA("Somma di DARE",'Pivot Amex'!$A$3,"Mese",1,"Tipologia",$A159,"Viaggio",$A$157)),0,GETPIVOTDATA("Somma di DARE",'Pivot Amex'!$A$3,"Mese",1,"Tipologia",$A159,"Viaggio",$A$157))
-IF(ISERROR(GETPIVOTDATA("Somma di AVERE",'Pivot Amex'!$A$3,"Mese",1,"Tipologia",$A159,"Viaggio",$A$157)),0,GETPIVOTDATA("Somma di AVERE",'Pivot Amex'!$A$3,"Mese",1,"Tipologia",$A159,"Viaggio",$A$157))
-IF(ISERROR(GETPIVOTDATA("Somma di AVERE",'Pivot BBVA'!$A$3,"Mese",1,"Tipologia",$A159,"Viaggio",$A$157)),0,GETPIVOTDATA("Somma di AVERE",'Pivot BBVA'!$A$3,"Mese",1,"Tipologia",$A159,"Viaggio",$A$157))
-IF(ISERROR(GETPIVOTDATA("Somma di AVERE",'Pivot Fineco St'!$A$3,"Mese",1,"Tipologia",$A159,"Viaggio",$A$157)),0,GETPIVOTDATA("Somma di AVERE",'Pivot Fineco St'!$A$3,"Mese",1,"Tipologia",$A159,"Viaggio",$A$157))
-IF(ISERROR(GETPIVOTDATA("Somma di AVERE",'Pivot Fineco Sa'!$A$3,"Mese",1,"Tipologia",$A159,"Viaggio",$A$157)),0,GETPIVOTDATA("Somma di AVERE",'Pivot Fineco Sa'!$A$3,"Mese",1,"Tipologia",$A159,"Viaggio",$A$157))
+IF(ISERROR(GETPIVOTDATA("Somma di DARE",'Pivot PP Visa'!$A$3,"Mese",1,"Tipologia",$A159,"Viaggio",$A$157)),0,GETPIVOTDATA("Somma di DARE",'Pivot PP Visa'!$A$3,"Mese",1,"Tipologia",$A159,"Viaggio",$A$157))
-IF(ISERROR(GETPIVOTDATA("Somma di AVERE",'Pivot PP Visa'!$A$3,"Mese",1,"Tipologia",$A159,"Viaggio",$A$157)),0,GETPIVOTDATA("Somma di AVERE",'Pivot PP Visa'!$A$3,"Mese",1,"Tipologia",$A159,"Viaggio",$A$157))
+IF(ISERROR(GETPIVOTDATA("Somma di DARE",'Pivot Revolut'!$A$3,"Mese",1,"Tipologia",$A159,"Viaggio",$A$157)),0,GETPIVOTDATA("Somma di DARE",'Pivot Revolut'!$A$3,"Mese",1,"Tipologia",$A159,"Viaggio",$A$157))
-IF(ISERROR(GETPIVOTDATA("Somma di AVERE",'Pivot Revolut'!$A$3,"Mese",1,"Tipologia",$A159,"Viaggio",$A$157)),0,GETPIVOTDATA("Somma di AVERE",'Pivot Revolut'!$A$3,"Mese",1,"Tipologia",$A159,"Viaggio",$A$157))
+IF(ISERROR(GETPIVOTDATA("Somma di DARE",'Pivot RakBank EUR'!$A$3,"Mese",1,"Tipologia",$A159,"Viaggio",$A$157)),0,GETPIVOTDATA("Somma di DARE",'Pivot RakBank EUR'!$A$3,"Mese",1,"Tipologia",$A159,"Viaggio",$A$157))
-IF(ISERROR(GETPIVOTDATA("Somma di AVERE",'Pivot RakBank EUR'!$A$3,"Mese",1,"Tipologia",$A159,"Viaggio",$A$157)),0,GETPIVOTDATA("Somma di AVERE",'Pivot RakBank EUR'!$A$3,"Mese",1,"Tipologia",$A159,"Viaggio",$A$157))
+IF(ISERROR(GETPIVOTDATA("Somma di DARE EUR",'Pivot RakBank AED'!$A$3,"Mese",1,"Tipologia",$A159,"Viaggio",$A$157)),0,GETPIVOTDATA("Somma di DARE EUR",'Pivot RakBank AED'!$A$3,"Mese",1,"Tipologia",$A159,"Viaggio",$A$157))
-IF(ISERROR(GETPIVOTDATA("Somma di AVERE EUR",'Pivot RakBank AED'!$A$3,"Mese",1,"Tipologia",$A159,"Viaggio",$A$157)),0,GETPIVOTDATA("Somma di AVERE EUR",'Pivot RakBank AED'!$A$3,"Mese",1,"Tipologia",$A159,"Viaggio",$A$157))</f>
        <v>0</v>
      </c>
      <c r="D159" s="270">
        <f>IF(ISERROR(GETPIVOTDATA("Somma di DARE",'Pivot Fineco Sa'!$A$3,"Mese",2,"Tipologia",$A159,"Viaggio",$A$157)),0,GETPIVOTDATA("Somma di DARE",'Pivot Fineco Sa'!$A$3,"Mese",2,"Tipologia",$A159,"Viaggio",$A$157))
+IF(ISERROR(GETPIVOTDATA("Somma di DARE",'Pivot Fineco St'!$A$3,"Mese",2,"Tipologia",$A159,"Viaggio",$A$157)),0,GETPIVOTDATA("Somma di DARE",'Pivot Fineco St'!$A$3,"Mese",2,"Tipologia",$A159,"Viaggio",$A$157))
+IF(Contanti!$I40='Conto Economico'!$A$157,Contanti!$F40)
+IF(ISERROR(GETPIVOTDATA("Somma di DARE",'Pivot BBVA'!$A$3,"Mese",2,"Tipologia",$A159,"Viaggio",$A$157)),0,GETPIVOTDATA("Somma di DARE",'Pivot BBVA'!$A$3,"Mese",2,"Tipologia",$A159,"Viaggio",$A$157))
+IF(ISERROR(GETPIVOTDATA("Somma di DARE",'Pivot Amex'!$A$3,"Mese",2,"Tipologia",$A159,"Viaggio",$A$157)),0,GETPIVOTDATA("Somma di DARE",'Pivot Amex'!$A$3,"Mese",2,"Tipologia",$A159,"Viaggio",$A$157))
-IF(ISERROR(GETPIVOTDATA("Somma di AVERE",'Pivot Amex'!$A$3,"Mese",2,"Tipologia",$A159,"Viaggio",$A$157)),0,GETPIVOTDATA("Somma di AVERE",'Pivot Amex'!$A$3,"Mese",2,"Tipologia",$A159,"Viaggio",$A$157))
-IF(ISERROR(GETPIVOTDATA("Somma di AVERE",'Pivot BBVA'!$A$3,"Mese",2,"Tipologia",$A159,"Viaggio",$A$157)),0,GETPIVOTDATA("Somma di AVERE",'Pivot BBVA'!$A$3,"Mese",2,"Tipologia",$A159,"Viaggio",$A$157))
-IF(ISERROR(GETPIVOTDATA("Somma di AVERE",'Pivot Fineco St'!$A$3,"Mese",2,"Tipologia",$A159,"Viaggio",$A$157)),0,GETPIVOTDATA("Somma di AVERE",'Pivot Fineco St'!$A$3,"Mese",2,"Tipologia",$A159,"Viaggio",$A$157))
-IF(ISERROR(GETPIVOTDATA("Somma di AVERE",'Pivot Fineco Sa'!$A$3,"Mese",2,"Tipologia",$A159,"Viaggio",$A$157)),0,GETPIVOTDATA("Somma di AVERE",'Pivot Fineco Sa'!$A$3,"Mese",2,"Tipologia",$A159,"Viaggio",$A$157))
+IF(ISERROR(GETPIVOTDATA("Somma di DARE",'Pivot PP Visa'!$A$3,"Mese",2,"Tipologia",$A159,"Viaggio",$A$157)),0,GETPIVOTDATA("Somma di DARE",'Pivot PP Visa'!$A$3,"Mese",2,"Tipologia",$A159,"Viaggio",$A$157))
-IF(ISERROR(GETPIVOTDATA("Somma di AVERE",'Pivot PP Visa'!$A$3,"Mese",2,"Tipologia",$A159,"Viaggio",$A$157)),0,GETPIVOTDATA("Somma di AVERE",'Pivot PP Visa'!$A$3,"Mese",2,"Tipologia",$A159,"Viaggio",$A$157))
+IF(ISERROR(GETPIVOTDATA("Somma di DARE",'Pivot Revolut'!$A$3,"Mese",2,"Tipologia",$A159,"Viaggio",$A$157)),0,GETPIVOTDATA("Somma di DARE",'Pivot Revolut'!$A$3,"Mese",2,"Tipologia",$A159,"Viaggio",$A$157))
-IF(ISERROR(GETPIVOTDATA("Somma di AVERE",'Pivot Revolut'!$A$3,"Mese",2,"Tipologia",$A159,"Viaggio",$A$157)),0,GETPIVOTDATA("Somma di AVERE",'Pivot Revolut'!$A$3,"Mese",2,"Tipologia",$A159,"Viaggio",$A$157))
+IF(ISERROR(GETPIVOTDATA("Somma di DARE",'Pivot RakBank EUR'!$A$3,"Mese",2,"Tipologia",$A159,"Viaggio",$A$157)),0,GETPIVOTDATA("Somma di DARE",'Pivot RakBank EUR'!$A$3,"Mese",2,"Tipologia",$A159,"Viaggio",$A$157))
-IF(ISERROR(GETPIVOTDATA("Somma di AVERE",'Pivot RakBank EUR'!$A$3,"Mese",2,"Tipologia",$A159,"Viaggio",$A$157)),0,GETPIVOTDATA("Somma di AVERE",'Pivot RakBank EUR'!$A$3,"Mese",2,"Tipologia",$A159,"Viaggio",$A$157))
+IF(ISERROR(GETPIVOTDATA("Somma di DARE EUR",'Pivot RakBank AED'!$A$3,"Mese",2,"Tipologia",$A159,"Viaggio",$A$157)),0,GETPIVOTDATA("Somma di DARE EUR",'Pivot RakBank AED'!$A$3,"Mese",2,"Tipologia",$A159,"Viaggio",$A$157))
-IF(ISERROR(GETPIVOTDATA("Somma di AVERE EUR",'Pivot RakBank AED'!$A$3,"Mese",2,"Tipologia",$A159,"Viaggio",$A$157)),0,GETPIVOTDATA("Somma di AVERE EUR",'Pivot RakBank AED'!$A$3,"Mese",2,"Tipologia",$A159,"Viaggio",$A$157))</f>
        <v>0</v>
      </c>
      <c r="E159" s="270">
        <f>IF(ISERROR(GETPIVOTDATA("Somma di DARE",'Pivot Fineco Sa'!$A$3,"Mese",3,"Tipologia",$A159,"Viaggio",$A$157)),0,GETPIVOTDATA("Somma di DARE",'Pivot Fineco Sa'!$A$3,"Mese",3,"Tipologia",$A159,"Viaggio",$A$157))
+IF(ISERROR(GETPIVOTDATA("Somma di DARE",'Pivot Fineco St'!$A$3,"Mese",3,"Tipologia",$A159,"Viaggio",$A$157)),0,GETPIVOTDATA("Somma di DARE",'Pivot Fineco St'!$A$3,"Mese",3,"Tipologia",$A159,"Viaggio",$A$157))
+IF(Contanti!$M40='Conto Economico'!$A$157,Contanti!$J40)
+IF(ISERROR(GETPIVOTDATA("Somma di DARE",'Pivot BBVA'!$A$3,"Mese",3,"Tipologia",$A159,"Viaggio",$A$157)),0,GETPIVOTDATA("Somma di DARE",'Pivot BBVA'!$A$3,"Mese",3,"Tipologia",$A159,"Viaggio",$A$157))
+IF(ISERROR(GETPIVOTDATA("Somma di DARE",'Pivot Amex'!$A$3,"Mese",3,"Tipologia",$A159,"Viaggio",$A$157)),0,GETPIVOTDATA("Somma di DARE",'Pivot Amex'!$A$3,"Mese",3,"Tipologia",$A159,"Viaggio",$A$157))
-IF(ISERROR(GETPIVOTDATA("Somma di AVERE",'Pivot Amex'!$A$3,"Mese",3,"Tipologia",$A159,"Viaggio",$A$157)),0,GETPIVOTDATA("Somma di AVERE",'Pivot Amex'!$A$3,"Mese",3,"Tipologia",$A159,"Viaggio",$A$157))
-IF(ISERROR(GETPIVOTDATA("Somma di AVERE",'Pivot BBVA'!$A$3,"Mese",3,"Tipologia",$A159,"Viaggio",$A$157)),0,GETPIVOTDATA("Somma di AVERE",'Pivot BBVA'!$A$3,"Mese",3,"Tipologia",$A159,"Viaggio",$A$157))
-IF(ISERROR(GETPIVOTDATA("Somma di AVERE",'Pivot Fineco St'!$A$3,"Mese",3,"Tipologia",$A159,"Viaggio",$A$157)),0,GETPIVOTDATA("Somma di AVERE",'Pivot Fineco St'!$A$3,"Mese",3,"Tipologia",$A159,"Viaggio",$A$157))
-IF(ISERROR(GETPIVOTDATA("Somma di AVERE",'Pivot Fineco Sa'!$A$3,"Mese",3,"Tipologia",$A159,"Viaggio",$A$157)),0,GETPIVOTDATA("Somma di AVERE",'Pivot Fineco Sa'!$A$3,"Mese",3,"Tipologia",$A159,"Viaggio",$A$157))
+IF(ISERROR(GETPIVOTDATA("Somma di DARE",'Pivot PP Visa'!$A$3,"Mese",3,"Tipologia",$A159,"Viaggio",$A$157)),0,GETPIVOTDATA("Somma di DARE",'Pivot PP Visa'!$A$3,"Mese",3,"Tipologia",$A159,"Viaggio",$A$157))
-IF(ISERROR(GETPIVOTDATA("Somma di AVERE",'Pivot PP Visa'!$A$3,"Mese",3,"Tipologia",$A159,"Viaggio",$A$157)),0,GETPIVOTDATA("Somma di AVERE",'Pivot PP Visa'!$A$3,"Mese",3,"Tipologia",$A159,"Viaggio",$A$157))
+IF(ISERROR(GETPIVOTDATA("Somma di DARE",'Pivot Revolut'!$A$3,"Mese",3,"Tipologia",$A159,"Viaggio",$A$157)),0,GETPIVOTDATA("Somma di DARE",'Pivot Revolut'!$A$3,"Mese",3,"Tipologia",$A159,"Viaggio",$A$157))
-IF(ISERROR(GETPIVOTDATA("Somma di AVERE",'Pivot Revolut'!$A$3,"Mese",3,"Tipologia",$A159,"Viaggio",$A$157)),0,GETPIVOTDATA("Somma di AVERE",'Pivot Revolut'!$A$3,"Mese",3,"Tipologia",$A159,"Viaggio",$A$157))
+IF(ISERROR(GETPIVOTDATA("Somma di DARE",'Pivot RakBank EUR'!$A$3,"Mese",3,"Tipologia",$A159,"Viaggio",$A$157)),0,GETPIVOTDATA("Somma di DARE",'Pivot RakBank EUR'!$A$3,"Mese",3,"Tipologia",$A159,"Viaggio",$A$157))
-IF(ISERROR(GETPIVOTDATA("Somma di AVERE",'Pivot RakBank EUR'!$A$3,"Mese",3,"Tipologia",$A159,"Viaggio",$A$157)),0,GETPIVOTDATA("Somma di AVERE",'Pivot RakBank EUR'!$A$3,"Mese",3,"Tipologia",$A159,"Viaggio",$A$157))
+IF(ISERROR(GETPIVOTDATA("Somma di DARE EUR",'Pivot RakBank AED'!$A$3,"Mese",3,"Tipologia",$A159,"Viaggio",$A$157)),0,GETPIVOTDATA("Somma di DARE EUR",'Pivot RakBank AED'!$A$3,"Mese",3,"Tipologia",$A159,"Viaggio",$A$157))
-IF(ISERROR(GETPIVOTDATA("Somma di AVERE EUR",'Pivot RakBank AED'!$A$3,"Mese",3,"Tipologia",$A159,"Viaggio",$A$157)),0,GETPIVOTDATA("Somma di AVERE EUR",'Pivot RakBank AED'!$A$3,"Mese",3,"Tipologia",$A159,"Viaggio",$A$157))</f>
        <v>0</v>
      </c>
      <c r="F159" s="270">
        <f>IF(ISERROR(GETPIVOTDATA("Somma di DARE",'Pivot Fineco Sa'!$A$3,"Mese",4,"Tipologia",$A159,"Viaggio",$A$157)),0,GETPIVOTDATA("Somma di DARE",'Pivot Fineco Sa'!$A$3,"Mese",4,"Tipologia",$A159,"Viaggio",$A$157))
+IF(ISERROR(GETPIVOTDATA("Somma di DARE",'Pivot Fineco St'!$A$3,"Mese",4,"Tipologia",$A159,"Viaggio",$A$157)),0,GETPIVOTDATA("Somma di DARE",'Pivot Fineco St'!$A$3,"Mese",4,"Tipologia",$A159,"Viaggio",$A$157))
+IF(Contanti!$Q40='Conto Economico'!$A$157,Contanti!$N40)
+IF(ISERROR(GETPIVOTDATA("Somma di DARE",'Pivot BBVA'!$A$3,"Mese",4,"Tipologia",$A159,"Viaggio",$A$157)),0,GETPIVOTDATA("Somma di DARE",'Pivot BBVA'!$A$3,"Mese",4,"Tipologia",$A159,"Viaggio",$A$157))
+IF(ISERROR(GETPIVOTDATA("Somma di DARE",'Pivot Amex'!$A$3,"Mese",4,"Tipologia",$A159,"Viaggio",$A$157)),0,GETPIVOTDATA("Somma di DARE",'Pivot Amex'!$A$3,"Mese",4,"Tipologia",$A159,"Viaggio",$A$157))
-IF(ISERROR(GETPIVOTDATA("Somma di AVERE",'Pivot Amex'!$A$3,"Mese",4,"Tipologia",$A159,"Viaggio",$A$157)),0,GETPIVOTDATA("Somma di AVERE",'Pivot Amex'!$A$3,"Mese",4,"Tipologia",$A159,"Viaggio",$A$157))
-IF(ISERROR(GETPIVOTDATA("Somma di AVERE",'Pivot BBVA'!$A$3,"Mese",4,"Tipologia",$A159,"Viaggio",$A$157)),0,GETPIVOTDATA("Somma di AVERE",'Pivot BBVA'!$A$3,"Mese",4,"Tipologia",$A159,"Viaggio",$A$157))
-IF(ISERROR(GETPIVOTDATA("Somma di AVERE",'Pivot Fineco St'!$A$3,"Mese",4,"Tipologia",$A159,"Viaggio",$A$157)),0,GETPIVOTDATA("Somma di AVERE",'Pivot Fineco St'!$A$3,"Mese",4,"Tipologia",$A159,"Viaggio",$A$157))
-IF(ISERROR(GETPIVOTDATA("Somma di AVERE",'Pivot Fineco Sa'!$A$3,"Mese",4,"Tipologia",$A159,"Viaggio",$A$157)),0,GETPIVOTDATA("Somma di AVERE",'Pivot Fineco Sa'!$A$3,"Mese",4,"Tipologia",$A159,"Viaggio",$A$157))
+IF(ISERROR(GETPIVOTDATA("Somma di DARE",'Pivot PP Visa'!$A$3,"Mese",4,"Tipologia",$A159,"Viaggio",$A$157)),0,GETPIVOTDATA("Somma di DARE",'Pivot PP Visa'!$A$3,"Mese",4,"Tipologia",$A159,"Viaggio",$A$157))
-IF(ISERROR(GETPIVOTDATA("Somma di AVERE",'Pivot PP Visa'!$A$3,"Mese",4,"Tipologia",$A159,"Viaggio",$A$157)),0,GETPIVOTDATA("Somma di AVERE",'Pivot PP Visa'!$A$3,"Mese",4,"Tipologia",$A159,"Viaggio",$A$157))
+IF(ISERROR(GETPIVOTDATA("Somma di DARE",'Pivot Revolut'!$A$3,"Mese",4,"Tipologia",$A159,"Viaggio",$A$157)),0,GETPIVOTDATA("Somma di DARE",'Pivot Revolut'!$A$3,"Mese",4,"Tipologia",$A159,"Viaggio",$A$157))
-IF(ISERROR(GETPIVOTDATA("Somma di AVERE",'Pivot Revolut'!$A$3,"Mese",4,"Tipologia",$A159,"Viaggio",$A$157)),0,GETPIVOTDATA("Somma di AVERE",'Pivot Revolut'!$A$3,"Mese",4,"Tipologia",$A159,"Viaggio",$A$157))
+IF(ISERROR(GETPIVOTDATA("Somma di DARE",'Pivot RakBank EUR'!$A$3,"Mese",4,"Tipologia",$A159,"Viaggio",$A$157)),0,GETPIVOTDATA("Somma di DARE",'Pivot RakBank EUR'!$A$3,"Mese",4,"Tipologia",$A159,"Viaggio",$A$157))
-IF(ISERROR(GETPIVOTDATA("Somma di AVERE",'Pivot RakBank EUR'!$A$3,"Mese",4,"Tipologia",$A159,"Viaggio",$A$157)),0,GETPIVOTDATA("Somma di AVERE",'Pivot RakBank EUR'!$A$3,"Mese",4,"Tipologia",$A159,"Viaggio",$A$157))
+IF(ISERROR(GETPIVOTDATA("Somma di DARE EUR",'Pivot RakBank AED'!$A$3,"Mese",4,"Tipologia",$A159,"Viaggio",$A$157)),0,GETPIVOTDATA("Somma di DARE EUR",'Pivot RakBank AED'!$A$3,"Mese",4,"Tipologia",$A159,"Viaggio",$A$157))
-IF(ISERROR(GETPIVOTDATA("Somma di AVERE EUR",'Pivot RakBank AED'!$A$3,"Mese",4,"Tipologia",$A159,"Viaggio",$A$157)),0,GETPIVOTDATA("Somma di AVERE EUR",'Pivot RakBank AED'!$A$3,"Mese",4,"Tipologia",$A159,"Viaggio",$A$157))</f>
        <v>0</v>
      </c>
      <c r="G159" s="270">
        <f>IF(ISERROR(GETPIVOTDATA("Somma di DARE",'Pivot Fineco Sa'!$A$3,"Mese",5,"Tipologia",$A159,"Viaggio",$A$157)),0,GETPIVOTDATA("Somma di DARE",'Pivot Fineco Sa'!$A$3,"Mese",5,"Tipologia",$A159,"Viaggio",$A$157))
+IF(ISERROR(GETPIVOTDATA("Somma di DARE",'Pivot Fineco St'!$A$3,"Mese",5,"Tipologia",$A159,"Viaggio",$A$157)),0,GETPIVOTDATA("Somma di DARE",'Pivot Fineco St'!$A$3,"Mese",5,"Tipologia",$A159,"Viaggio",$A$157))
+IF(Contanti!$U40='Conto Economico'!$A$157,Contanti!$R40)
+IF(ISERROR(GETPIVOTDATA("Somma di DARE",'Pivot BBVA'!$A$3,"Mese",5,"Tipologia",$A159,"Viaggio",$A$157)),0,GETPIVOTDATA("Somma di DARE",'Pivot BBVA'!$A$3,"Mese",5,"Tipologia",$A159,"Viaggio",$A$157))
+IF(ISERROR(GETPIVOTDATA("Somma di DARE",'Pivot Amex'!$A$3,"Mese",5,"Tipologia",$A159,"Viaggio",$A$157)),0,GETPIVOTDATA("Somma di DARE",'Pivot Amex'!$A$3,"Mese",5,"Tipologia",$A159,"Viaggio",$A$157))
-IF(ISERROR(GETPIVOTDATA("Somma di AVERE",'Pivot Amex'!$A$3,"Mese",5,"Tipologia",$A159,"Viaggio",$A$157)),0,GETPIVOTDATA("Somma di AVERE",'Pivot Amex'!$A$3,"Mese",5,"Tipologia",$A159,"Viaggio",$A$157))
-IF(ISERROR(GETPIVOTDATA("Somma di AVERE",'Pivot BBVA'!$A$3,"Mese",5,"Tipologia",$A159,"Viaggio",$A$157)),0,GETPIVOTDATA("Somma di AVERE",'Pivot BBVA'!$A$3,"Mese",5,"Tipologia",$A159,"Viaggio",$A$157))
-IF(ISERROR(GETPIVOTDATA("Somma di AVERE",'Pivot Fineco St'!$A$3,"Mese",5,"Tipologia",$A159,"Viaggio",$A$157)),0,GETPIVOTDATA("Somma di AVERE",'Pivot Fineco St'!$A$3,"Mese",5,"Tipologia",$A159,"Viaggio",$A$157))
-IF(ISERROR(GETPIVOTDATA("Somma di AVERE",'Pivot Fineco Sa'!$A$3,"Mese",5,"Tipologia",$A159,"Viaggio",$A$157)),0,GETPIVOTDATA("Somma di AVERE",'Pivot Fineco Sa'!$A$3,"Mese",5,"Tipologia",$A159,"Viaggio",$A$157))
+IF(ISERROR(GETPIVOTDATA("Somma di DARE",'Pivot PP Visa'!$A$3,"Mese",5,"Tipologia",$A159,"Viaggio",$A$157)),0,GETPIVOTDATA("Somma di DARE",'Pivot PP Visa'!$A$3,"Mese",5,"Tipologia",$A159,"Viaggio",$A$157))
-IF(ISERROR(GETPIVOTDATA("Somma di AVERE",'Pivot PP Visa'!$A$3,"Mese",5,"Tipologia",$A159,"Viaggio",$A$157)),0,GETPIVOTDATA("Somma di AVERE",'Pivot PP Visa'!$A$3,"Mese",5,"Tipologia",$A159,"Viaggio",$A$157))
+IF(ISERROR(GETPIVOTDATA("Somma di DARE",'Pivot Revolut'!$A$3,"Mese",5,"Tipologia",$A159,"Viaggio",$A$157)),0,GETPIVOTDATA("Somma di DARE",'Pivot Revolut'!$A$3,"Mese",5,"Tipologia",$A159,"Viaggio",$A$157))
-IF(ISERROR(GETPIVOTDATA("Somma di AVERE",'Pivot Revolut'!$A$3,"Mese",5,"Tipologia",$A159,"Viaggio",$A$157)),0,GETPIVOTDATA("Somma di AVERE",'Pivot Revolut'!$A$3,"Mese",5,"Tipologia",$A159,"Viaggio",$A$157))
+IF(ISERROR(GETPIVOTDATA("Somma di DARE",'Pivot RakBank EUR'!$A$3,"Mese",5,"Tipologia",$A159,"Viaggio",$A$157)),0,GETPIVOTDATA("Somma di DARE",'Pivot RakBank EUR'!$A$3,"Mese",5,"Tipologia",$A159,"Viaggio",$A$157))
-IF(ISERROR(GETPIVOTDATA("Somma di AVERE",'Pivot RakBank EUR'!$A$3,"Mese",5,"Tipologia",$A159,"Viaggio",$A$157)),0,GETPIVOTDATA("Somma di AVERE",'Pivot RakBank EUR'!$A$3,"Mese",5,"Tipologia",$A159,"Viaggio",$A$157))
+IF(ISERROR(GETPIVOTDATA("Somma di DARE EUR",'Pivot RakBank AED'!$A$3,"Mese",5,"Tipologia",$A159,"Viaggio",$A$157)),0,GETPIVOTDATA("Somma di DARE EUR",'Pivot RakBank AED'!$A$3,"Mese",5,"Tipologia",$A159,"Viaggio",$A$157))
-IF(ISERROR(GETPIVOTDATA("Somma di AVERE EUR",'Pivot RakBank AED'!$A$3,"Mese",5,"Tipologia",$A159,"Viaggio",$A$157)),0,GETPIVOTDATA("Somma di AVERE EUR",'Pivot RakBank AED'!$A$3,"Mese",5,"Tipologia",$A159,"Viaggio",$A$157))</f>
        <v>0</v>
      </c>
      <c r="H159" s="270">
        <f>IF(ISERROR(GETPIVOTDATA("Somma di DARE",'Pivot Fineco Sa'!$A$3,"Mese",6,"Tipologia",$A159,"Viaggio",$A$157)),0,GETPIVOTDATA("Somma di DARE",'Pivot Fineco Sa'!$A$3,"Mese",6,"Tipologia",$A159,"Viaggio",$A$157))
+IF(ISERROR(GETPIVOTDATA("Somma di DARE",'Pivot Fineco St'!$A$3,"Mese",6,"Tipologia",$A159,"Viaggio",$A$157)),0,GETPIVOTDATA("Somma di DARE",'Pivot Fineco St'!$A$3,"Mese",6,"Tipologia",$A159,"Viaggio",$A$157))
+IF(Contanti!$Y40='Conto Economico'!$A$157,Contanti!$V40)
+IF(ISERROR(GETPIVOTDATA("Somma di DARE",'Pivot BBVA'!$A$3,"Mese",6,"Tipologia",$A159,"Viaggio",$A$157)),0,GETPIVOTDATA("Somma di DARE",'Pivot BBVA'!$A$3,"Mese",6,"Tipologia",$A159,"Viaggio",$A$157))
+IF(ISERROR(GETPIVOTDATA("Somma di DARE",'Pivot Amex'!$A$3,"Mese",6,"Tipologia",$A159,"Viaggio",$A$157)),0,GETPIVOTDATA("Somma di DARE",'Pivot Amex'!$A$3,"Mese",6,"Tipologia",$A159,"Viaggio",$A$157))
-IF(ISERROR(GETPIVOTDATA("Somma di AVERE",'Pivot Amex'!$A$3,"Mese",6,"Tipologia",$A159,"Viaggio",$A$157)),0,GETPIVOTDATA("Somma di AVERE",'Pivot Amex'!$A$3,"Mese",6,"Tipologia",$A159,"Viaggio",$A$157))
-IF(ISERROR(GETPIVOTDATA("Somma di AVERE",'Pivot BBVA'!$A$3,"Mese",6,"Tipologia",$A159,"Viaggio",$A$157)),0,GETPIVOTDATA("Somma di AVERE",'Pivot BBVA'!$A$3,"Mese",6,"Tipologia",$A159,"Viaggio",$A$157))
-IF(ISERROR(GETPIVOTDATA("Somma di AVERE",'Pivot Fineco St'!$A$3,"Mese",6,"Tipologia",$A159,"Viaggio",$A$157)),0,GETPIVOTDATA("Somma di AVERE",'Pivot Fineco St'!$A$3,"Mese",6,"Tipologia",$A159,"Viaggio",$A$157))
-IF(ISERROR(GETPIVOTDATA("Somma di AVERE",'Pivot Fineco Sa'!$A$3,"Mese",6,"Tipologia",$A159,"Viaggio",$A$157)),0,GETPIVOTDATA("Somma di AVERE",'Pivot Fineco Sa'!$A$3,"Mese",6,"Tipologia",$A159,"Viaggio",$A$157))
+IF(ISERROR(GETPIVOTDATA("Somma di DARE",'Pivot PP Visa'!$A$3,"Mese",6,"Tipologia",$A159,"Viaggio",$A$157)),0,GETPIVOTDATA("Somma di DARE",'Pivot PP Visa'!$A$3,"Mese",6,"Tipologia",$A159,"Viaggio",$A$157))
-IF(ISERROR(GETPIVOTDATA("Somma di AVERE",'Pivot PP Visa'!$A$3,"Mese",6,"Tipologia",$A159,"Viaggio",$A$157)),0,GETPIVOTDATA("Somma di AVERE",'Pivot PP Visa'!$A$3,"Mese",6,"Tipologia",$A159,"Viaggio",$A$157))
+IF(ISERROR(GETPIVOTDATA("Somma di DARE",'Pivot Revolut'!$A$3,"Mese",6,"Tipologia",$A159,"Viaggio",$A$157)),0,GETPIVOTDATA("Somma di DARE",'Pivot Revolut'!$A$3,"Mese",6,"Tipologia",$A159,"Viaggio",$A$157))
-IF(ISERROR(GETPIVOTDATA("Somma di AVERE",'Pivot Revolut'!$A$3,"Mese",6,"Tipologia",$A159,"Viaggio",$A$157)),0,GETPIVOTDATA("Somma di AVERE",'Pivot Revolut'!$A$3,"Mese",6,"Tipologia",$A159,"Viaggio",$A$157))
+IF(ISERROR(GETPIVOTDATA("Somma di DARE",'Pivot RakBank EUR'!$A$3,"Mese",6,"Tipologia",$A159,"Viaggio",$A$157)),0,GETPIVOTDATA("Somma di DARE",'Pivot RakBank EUR'!$A$3,"Mese",6,"Tipologia",$A159,"Viaggio",$A$157))
-IF(ISERROR(GETPIVOTDATA("Somma di AVERE",'Pivot RakBank EUR'!$A$3,"Mese",6,"Tipologia",$A159,"Viaggio",$A$157)),0,GETPIVOTDATA("Somma di AVERE",'Pivot RakBank EUR'!$A$3,"Mese",6,"Tipologia",$A159,"Viaggio",$A$157))
+IF(ISERROR(GETPIVOTDATA("Somma di DARE EUR",'Pivot RakBank AED'!$A$3,"Mese",6,"Tipologia",$A159,"Viaggio",$A$157)),0,GETPIVOTDATA("Somma di DARE EUR",'Pivot RakBank AED'!$A$3,"Mese",6,"Tipologia",$A159,"Viaggio",$A$157))
-IF(ISERROR(GETPIVOTDATA("Somma di AVERE EUR",'Pivot RakBank AED'!$A$3,"Mese",6,"Tipologia",$A159,"Viaggio",$A$157)),0,GETPIVOTDATA("Somma di AVERE EUR",'Pivot RakBank AED'!$A$3,"Mese",6,"Tipologia",$A159,"Viaggio",$A$157))</f>
        <v>0</v>
      </c>
      <c r="I159" s="270">
        <f>IF(ISERROR(GETPIVOTDATA("Somma di DARE",'Pivot Fineco Sa'!$A$3,"Mese",7,"Tipologia",$A159,"Viaggio",$A$157)),0,GETPIVOTDATA("Somma di DARE",'Pivot Fineco Sa'!$A$3,"Mese",7,"Tipologia",$A159,"Viaggio",$A$157))
+IF(ISERROR(GETPIVOTDATA("Somma di DARE",'Pivot Fineco St'!$A$3,"Mese",7,"Tipologia",$A159,"Viaggio",$A$157)),0,GETPIVOTDATA("Somma di DARE",'Pivot Fineco St'!$A$3,"Mese",7,"Tipologia",$A159,"Viaggio",$A$157))
+IF(Contanti!$AC40='Conto Economico'!$A$157,Contanti!$Z40)
+IF(ISERROR(GETPIVOTDATA("Somma di DARE",'Pivot BBVA'!$A$3,"Mese",7,"Tipologia",$A159,"Viaggio",$A$157)),0,GETPIVOTDATA("Somma di DARE",'Pivot BBVA'!$A$3,"Mese",7,"Tipologia",$A159,"Viaggio",$A$157))
+IF(ISERROR(GETPIVOTDATA("Somma di DARE",'Pivot Amex'!$A$3,"Mese",7,"Tipologia",$A159,"Viaggio",$A$157)),0,GETPIVOTDATA("Somma di DARE",'Pivot Amex'!$A$3,"Mese",7,"Tipologia",$A159,"Viaggio",$A$157))
-IF(ISERROR(GETPIVOTDATA("Somma di AVERE",'Pivot Amex'!$A$3,"Mese",7,"Tipologia",$A159,"Viaggio",$A$157)),0,GETPIVOTDATA("Somma di AVERE",'Pivot Amex'!$A$3,"Mese",7,"Tipologia",$A159,"Viaggio",$A$157))
-IF(ISERROR(GETPIVOTDATA("Somma di AVERE",'Pivot BBVA'!$A$3,"Mese",7,"Tipologia",$A159,"Viaggio",$A$157)),0,GETPIVOTDATA("Somma di AVERE",'Pivot BBVA'!$A$3,"Mese",7,"Tipologia",$A159,"Viaggio",$A$157))
-IF(ISERROR(GETPIVOTDATA("Somma di AVERE",'Pivot Fineco St'!$A$3,"Mese",7,"Tipologia",$A159,"Viaggio",$A$157)),0,GETPIVOTDATA("Somma di AVERE",'Pivot Fineco St'!$A$3,"Mese",7,"Tipologia",$A159,"Viaggio",$A$157))
-IF(ISERROR(GETPIVOTDATA("Somma di AVERE",'Pivot Fineco Sa'!$A$3,"Mese",7,"Tipologia",$A159,"Viaggio",$A$157)),0,GETPIVOTDATA("Somma di AVERE",'Pivot Fineco Sa'!$A$3,"Mese",7,"Tipologia",$A159,"Viaggio",$A$157))
+IF(ISERROR(GETPIVOTDATA("Somma di DARE",'Pivot PP Visa'!$A$3,"Mese",7,"Tipologia",$A159,"Viaggio",$A$157)),0,GETPIVOTDATA("Somma di DARE",'Pivot PP Visa'!$A$3,"Mese",7,"Tipologia",$A159,"Viaggio",$A$157))
-IF(ISERROR(GETPIVOTDATA("Somma di AVERE",'Pivot PP Visa'!$A$3,"Mese",7,"Tipologia",$A159,"Viaggio",$A$157)),0,GETPIVOTDATA("Somma di AVERE",'Pivot PP Visa'!$A$3,"Mese",7,"Tipologia",$A159,"Viaggio",$A$157))
+IF(ISERROR(GETPIVOTDATA("Somma di DARE",'Pivot Revolut'!$A$3,"Mese",7,"Tipologia",$A159,"Viaggio",$A$157)),0,GETPIVOTDATA("Somma di DARE",'Pivot Revolut'!$A$3,"Mese",7,"Tipologia",$A159,"Viaggio",$A$157))
-IF(ISERROR(GETPIVOTDATA("Somma di AVERE",'Pivot Revolut'!$A$3,"Mese",7,"Tipologia",$A159,"Viaggio",$A$157)),0,GETPIVOTDATA("Somma di AVERE",'Pivot Revolut'!$A$3,"Mese",7,"Tipologia",$A159,"Viaggio",$A$157))
+IF(ISERROR(GETPIVOTDATA("Somma di DARE",'Pivot RakBank EUR'!$A$3,"Mese",7,"Tipologia",$A159,"Viaggio",$A$157)),0,GETPIVOTDATA("Somma di DARE",'Pivot RakBank EUR'!$A$3,"Mese",7,"Tipologia",$A159,"Viaggio",$A$157))
-IF(ISERROR(GETPIVOTDATA("Somma di AVERE",'Pivot RakBank EUR'!$A$3,"Mese",7,"Tipologia",$A159,"Viaggio",$A$157)),0,GETPIVOTDATA("Somma di AVERE",'Pivot RakBank EUR'!$A$3,"Mese",7,"Tipologia",$A159,"Viaggio",$A$157))
+IF(ISERROR(GETPIVOTDATA("Somma di DARE EUR",'Pivot RakBank AED'!$A$3,"Mese",7,"Tipologia",$A159,"Viaggio",$A$157)),0,GETPIVOTDATA("Somma di DARE EUR",'Pivot RakBank AED'!$A$3,"Mese",7,"Tipologia",$A159,"Viaggio",$A$157))
-IF(ISERROR(GETPIVOTDATA("Somma di AVERE EUR",'Pivot RakBank AED'!$A$3,"Mese",7,"Tipologia",$A159,"Viaggio",$A$157)),0,GETPIVOTDATA("Somma di AVERE EUR",'Pivot RakBank AED'!$A$3,"Mese",7,"Tipologia",$A159,"Viaggio",$A$157))</f>
        <v>0</v>
      </c>
      <c r="J159" s="270">
        <f>IF(ISERROR(GETPIVOTDATA("Somma di DARE",'Pivot Fineco Sa'!$A$3,"Mese",8,"Tipologia",$A159,"Viaggio",$A$157)),0,GETPIVOTDATA("Somma di DARE",'Pivot Fineco Sa'!$A$3,"Mese",8,"Tipologia",$A159,"Viaggio",$A$157))
+IF(ISERROR(GETPIVOTDATA("Somma di DARE",'Pivot Fineco St'!$A$3,"Mese",8,"Tipologia",$A159,"Viaggio",$A$157)),0,GETPIVOTDATA("Somma di DARE",'Pivot Fineco St'!$A$3,"Mese",8,"Tipologia",$A159,"Viaggio",$A$157))
+IF(Contanti!$AG40='Conto Economico'!$A$157,Contanti!$AD40)
+IF(ISERROR(GETPIVOTDATA("Somma di DARE",'Pivot BBVA'!$A$3,"Mese",8,"Tipologia",$A159,"Viaggio",$A$157)),0,GETPIVOTDATA("Somma di DARE",'Pivot BBVA'!$A$3,"Mese",8,"Tipologia",$A159,"Viaggio",$A$157))
+IF(ISERROR(GETPIVOTDATA("Somma di DARE",'Pivot Amex'!$A$3,"Mese",8,"Tipologia",$A159,"Viaggio",$A$157)),0,GETPIVOTDATA("Somma di DARE",'Pivot Amex'!$A$3,"Mese",8,"Tipologia",$A159,"Viaggio",$A$157))
-IF(ISERROR(GETPIVOTDATA("Somma di AVERE",'Pivot Amex'!$A$3,"Mese",8,"Tipologia",$A159,"Viaggio",$A$157)),0,GETPIVOTDATA("Somma di AVERE",'Pivot Amex'!$A$3,"Mese",8,"Tipologia",$A159,"Viaggio",$A$157))
-IF(ISERROR(GETPIVOTDATA("Somma di AVERE",'Pivot BBVA'!$A$3,"Mese",8,"Tipologia",$A159,"Viaggio",$A$157)),0,GETPIVOTDATA("Somma di AVERE",'Pivot BBVA'!$A$3,"Mese",8,"Tipologia",$A159,"Viaggio",$A$157))
-IF(ISERROR(GETPIVOTDATA("Somma di AVERE",'Pivot Fineco St'!$A$3,"Mese",8,"Tipologia",$A159,"Viaggio",$A$157)),0,GETPIVOTDATA("Somma di AVERE",'Pivot Fineco St'!$A$3,"Mese",8,"Tipologia",$A159,"Viaggio",$A$157))
-IF(ISERROR(GETPIVOTDATA("Somma di AVERE",'Pivot Fineco Sa'!$A$3,"Mese",8,"Tipologia",$A159,"Viaggio",$A$157)),0,GETPIVOTDATA("Somma di AVERE",'Pivot Fineco Sa'!$A$3,"Mese",8,"Tipologia",$A159,"Viaggio",$A$157))
+IF(ISERROR(GETPIVOTDATA("Somma di DARE",'Pivot PP Visa'!$A$3,"Mese",8,"Tipologia",$A159,"Viaggio",$A$157)),0,GETPIVOTDATA("Somma di DARE",'Pivot PP Visa'!$A$3,"Mese",8,"Tipologia",$A159,"Viaggio",$A$157))
-IF(ISERROR(GETPIVOTDATA("Somma di AVERE",'Pivot PP Visa'!$A$3,"Mese",8,"Tipologia",$A159,"Viaggio",$A$157)),0,GETPIVOTDATA("Somma di AVERE",'Pivot PP Visa'!$A$3,"Mese",8,"Tipologia",$A159,"Viaggio",$A$157))
+IF(ISERROR(GETPIVOTDATA("Somma di DARE",'Pivot Revolut'!$A$3,"Mese",8,"Tipologia",$A159,"Viaggio",$A$157)),0,GETPIVOTDATA("Somma di DARE",'Pivot Revolut'!$A$3,"Mese",8,"Tipologia",$A159,"Viaggio",$A$157))
-IF(ISERROR(GETPIVOTDATA("Somma di AVERE",'Pivot Revolut'!$A$3,"Mese",8,"Tipologia",$A159,"Viaggio",$A$157)),0,GETPIVOTDATA("Somma di AVERE",'Pivot Revolut'!$A$3,"Mese",8,"Tipologia",$A159,"Viaggio",$A$157))
+IF(ISERROR(GETPIVOTDATA("Somma di DARE",'Pivot RakBank EUR'!$A$3,"Mese",8,"Tipologia",$A159,"Viaggio",$A$157)),0,GETPIVOTDATA("Somma di DARE",'Pivot RakBank EUR'!$A$3,"Mese",8,"Tipologia",$A159,"Viaggio",$A$157))
-IF(ISERROR(GETPIVOTDATA("Somma di AVERE",'Pivot RakBank EUR'!$A$3,"Mese",8,"Tipologia",$A159,"Viaggio",$A$157)),0,GETPIVOTDATA("Somma di AVERE",'Pivot RakBank EUR'!$A$3,"Mese",8,"Tipologia",$A159,"Viaggio",$A$157))
+IF(ISERROR(GETPIVOTDATA("Somma di DARE EUR",'Pivot RakBank AED'!$A$3,"Mese",8,"Tipologia",$A159,"Viaggio",$A$157)),0,GETPIVOTDATA("Somma di DARE EUR",'Pivot RakBank AED'!$A$3,"Mese",8,"Tipologia",$A159,"Viaggio",$A$157))
-IF(ISERROR(GETPIVOTDATA("Somma di AVERE EUR",'Pivot RakBank AED'!$A$3,"Mese",8,"Tipologia",$A159,"Viaggio",$A$157)),0,GETPIVOTDATA("Somma di AVERE EUR",'Pivot RakBank AED'!$A$3,"Mese",8,"Tipologia",$A159,"Viaggio",$A$157))</f>
        <v>0</v>
      </c>
      <c r="K159" s="270">
        <f>IF(ISERROR(GETPIVOTDATA("Somma di DARE",'Pivot Fineco Sa'!$A$3,"Mese",9,"Tipologia",$A159,"Viaggio",$A$157)),0,GETPIVOTDATA("Somma di DARE",'Pivot Fineco Sa'!$A$3,"Mese",9,"Tipologia",$A159,"Viaggio",$A$157))
+IF(ISERROR(GETPIVOTDATA("Somma di DARE",'Pivot Fineco St'!$A$3,"Mese",9,"Tipologia",$A159,"Viaggio",$A$157)),0,GETPIVOTDATA("Somma di DARE",'Pivot Fineco St'!$A$3,"Mese",9,"Tipologia",$A159,"Viaggio",$A$157))
+IF(Contanti!$AK40='Conto Economico'!$A$157,Contanti!$AH40)
+IF(ISERROR(GETPIVOTDATA("Somma di DARE",'Pivot BBVA'!$A$3,"Mese",9,"Tipologia",$A159,"Viaggio",$A$157)),0,GETPIVOTDATA("Somma di DARE",'Pivot BBVA'!$A$3,"Mese",9,"Tipologia",$A159,"Viaggio",$A$157))
+IF(ISERROR(GETPIVOTDATA("Somma di DARE",'Pivot Amex'!$A$3,"Mese",9,"Tipologia",$A159,"Viaggio",$A$157)),0,GETPIVOTDATA("Somma di DARE",'Pivot Amex'!$A$3,"Mese",9,"Tipologia",$A159,"Viaggio",$A$157))
-IF(ISERROR(GETPIVOTDATA("Somma di AVERE",'Pivot Amex'!$A$3,"Mese",9,"Tipologia",$A159,"Viaggio",$A$157)),0,GETPIVOTDATA("Somma di AVERE",'Pivot Amex'!$A$3,"Mese",9,"Tipologia",$A159,"Viaggio",$A$157))
-IF(ISERROR(GETPIVOTDATA("Somma di AVERE",'Pivot BBVA'!$A$3,"Mese",9,"Tipologia",$A159,"Viaggio",$A$157)),0,GETPIVOTDATA("Somma di AVERE",'Pivot BBVA'!$A$3,"Mese",9,"Tipologia",$A159,"Viaggio",$A$157))
-IF(ISERROR(GETPIVOTDATA("Somma di AVERE",'Pivot Fineco St'!$A$3,"Mese",9,"Tipologia",$A159,"Viaggio",$A$157)),0,GETPIVOTDATA("Somma di AVERE",'Pivot Fineco St'!$A$3,"Mese",9,"Tipologia",$A159,"Viaggio",$A$157))
-IF(ISERROR(GETPIVOTDATA("Somma di AVERE",'Pivot Fineco Sa'!$A$3,"Mese",9,"Tipologia",$A159,"Viaggio",$A$157)),0,GETPIVOTDATA("Somma di AVERE",'Pivot Fineco Sa'!$A$3,"Mese",9,"Tipologia",$A159,"Viaggio",$A$157))
+IF(ISERROR(GETPIVOTDATA("Somma di DARE",'Pivot PP Visa'!$A$3,"Mese",9,"Tipologia",$A159,"Viaggio",$A$157)),0,GETPIVOTDATA("Somma di DARE",'Pivot PP Visa'!$A$3,"Mese",9,"Tipologia",$A159,"Viaggio",$A$157))
-IF(ISERROR(GETPIVOTDATA("Somma di AVERE",'Pivot PP Visa'!$A$3,"Mese",9,"Tipologia",$A159,"Viaggio",$A$157)),0,GETPIVOTDATA("Somma di AVERE",'Pivot PP Visa'!$A$3,"Mese",9,"Tipologia",$A159,"Viaggio",$A$157))
+IF(ISERROR(GETPIVOTDATA("Somma di DARE",'Pivot Revolut'!$A$3,"Mese",9,"Tipologia",$A159,"Viaggio",$A$157)),0,GETPIVOTDATA("Somma di DARE",'Pivot Revolut'!$A$3,"Mese",9,"Tipologia",$A159,"Viaggio",$A$157))
-IF(ISERROR(GETPIVOTDATA("Somma di AVERE",'Pivot Revolut'!$A$3,"Mese",9,"Tipologia",$A159,"Viaggio",$A$157)),0,GETPIVOTDATA("Somma di AVERE",'Pivot Revolut'!$A$3,"Mese",9,"Tipologia",$A159,"Viaggio",$A$157))
+IF(ISERROR(GETPIVOTDATA("Somma di DARE",'Pivot RakBank EUR'!$A$3,"Mese",9,"Tipologia",$A159,"Viaggio",$A$157)),0,GETPIVOTDATA("Somma di DARE",'Pivot RakBank EUR'!$A$3,"Mese",9,"Tipologia",$A159,"Viaggio",$A$157))
-IF(ISERROR(GETPIVOTDATA("Somma di AVERE",'Pivot RakBank EUR'!$A$3,"Mese",9,"Tipologia",$A159,"Viaggio",$A$157)),0,GETPIVOTDATA("Somma di AVERE",'Pivot RakBank EUR'!$A$3,"Mese",9,"Tipologia",$A159,"Viaggio",$A$157))
+IF(ISERROR(GETPIVOTDATA("Somma di DARE EUR",'Pivot RakBank AED'!$A$3,"Mese",9,"Tipologia",$A159,"Viaggio",$A$157)),0,GETPIVOTDATA("Somma di DARE EUR",'Pivot RakBank AED'!$A$3,"Mese",9,"Tipologia",$A159,"Viaggio",$A$157))
-IF(ISERROR(GETPIVOTDATA("Somma di AVERE EUR",'Pivot RakBank AED'!$A$3,"Mese",9,"Tipologia",$A159,"Viaggio",$A$157)),0,GETPIVOTDATA("Somma di AVERE EUR",'Pivot RakBank AED'!$A$3,"Mese",9,"Tipologia",$A159,"Viaggio",$A$157))</f>
        <v>0</v>
      </c>
      <c r="L159" s="270">
        <f>IF(ISERROR(GETPIVOTDATA("Somma di DARE",'Pivot Fineco Sa'!$A$3,"Mese",10,"Tipologia",$A159,"Viaggio",$A$157)),0,GETPIVOTDATA("Somma di DARE",'Pivot Fineco Sa'!$A$3,"Mese",10,"Tipologia",$A159,"Viaggio",$A$157))
+IF(ISERROR(GETPIVOTDATA("Somma di DARE",'Pivot Fineco St'!$A$3,"Mese",10,"Tipologia",$A159,"Viaggio",$A$157)),0,GETPIVOTDATA("Somma di DARE",'Pivot Fineco St'!$A$3,"Mese",10,"Tipologia",$A159,"Viaggio",$A$157))
+IF(Contanti!$AO40='Conto Economico'!$A$157,Contanti!$AL40)
+IF(ISERROR(GETPIVOTDATA("Somma di DARE",'Pivot BBVA'!$A$3,"Mese",10,"Tipologia",$A159,"Viaggio",$A$157)),0,GETPIVOTDATA("Somma di DARE",'Pivot BBVA'!$A$3,"Mese",10,"Tipologia",$A159,"Viaggio",$A$157))
+IF(ISERROR(GETPIVOTDATA("Somma di DARE",'Pivot Amex'!$A$3,"Mese",10,"Tipologia",$A159,"Viaggio",$A$157)),0,GETPIVOTDATA("Somma di DARE",'Pivot Amex'!$A$3,"Mese",10,"Tipologia",$A159,"Viaggio",$A$157))
-IF(ISERROR(GETPIVOTDATA("Somma di AVERE",'Pivot Amex'!$A$3,"Mese",10,"Tipologia",$A159,"Viaggio",$A$157)),0,GETPIVOTDATA("Somma di AVERE",'Pivot Amex'!$A$3,"Mese",10,"Tipologia",$A159,"Viaggio",$A$157))
-IF(ISERROR(GETPIVOTDATA("Somma di AVERE",'Pivot BBVA'!$A$3,"Mese",10,"Tipologia",$A159,"Viaggio",$A$157)),0,GETPIVOTDATA("Somma di AVERE",'Pivot BBVA'!$A$3,"Mese",10,"Tipologia",$A159,"Viaggio",$A$157))
-IF(ISERROR(GETPIVOTDATA("Somma di AVERE",'Pivot Fineco St'!$A$3,"Mese",10,"Tipologia",$A159,"Viaggio",$A$157)),0,GETPIVOTDATA("Somma di AVERE",'Pivot Fineco St'!$A$3,"Mese",10,"Tipologia",$A159,"Viaggio",$A$157))
-IF(ISERROR(GETPIVOTDATA("Somma di AVERE",'Pivot Fineco Sa'!$A$3,"Mese",10,"Tipologia",$A159,"Viaggio",$A$157)),0,GETPIVOTDATA("Somma di AVERE",'Pivot Fineco Sa'!$A$3,"Mese",10,"Tipologia",$A159,"Viaggio",$A$157))
+IF(ISERROR(GETPIVOTDATA("Somma di DARE",'Pivot PP Visa'!$A$3,"Mese",10,"Tipologia",$A159,"Viaggio",$A$157)),0,GETPIVOTDATA("Somma di DARE",'Pivot PP Visa'!$A$3,"Mese",10,"Tipologia",$A159,"Viaggio",$A$157))
-IF(ISERROR(GETPIVOTDATA("Somma di AVERE",'Pivot PP Visa'!$A$3,"Mese",10,"Tipologia",$A159,"Viaggio",$A$157)),0,GETPIVOTDATA("Somma di AVERE",'Pivot PP Visa'!$A$3,"Mese",10,"Tipologia",$A159,"Viaggio",$A$157))
+IF(ISERROR(GETPIVOTDATA("Somma di DARE",'Pivot Revolut'!$A$3,"Mese",10,"Tipologia",$A159,"Viaggio",$A$157)),0,GETPIVOTDATA("Somma di DARE",'Pivot Revolut'!$A$3,"Mese",10,"Tipologia",$A159,"Viaggio",$A$157))
-IF(ISERROR(GETPIVOTDATA("Somma di AVERE",'Pivot Revolut'!$A$3,"Mese",10,"Tipologia",$A159,"Viaggio",$A$157)),0,GETPIVOTDATA("Somma di AVERE",'Pivot Revolut'!$A$3,"Mese",10,"Tipologia",$A159,"Viaggio",$A$157))
+IF(ISERROR(GETPIVOTDATA("Somma di DARE",'Pivot RakBank EUR'!$A$3,"Mese",10,"Tipologia",$A159,"Viaggio",$A$157)),0,GETPIVOTDATA("Somma di DARE",'Pivot RakBank EUR'!$A$3,"Mese",10,"Tipologia",$A159,"Viaggio",$A$157))
-IF(ISERROR(GETPIVOTDATA("Somma di AVERE",'Pivot RakBank EUR'!$A$3,"Mese",10,"Tipologia",$A159,"Viaggio",$A$157)),0,GETPIVOTDATA("Somma di AVERE",'Pivot RakBank EUR'!$A$3,"Mese",10,"Tipologia",$A159,"Viaggio",$A$157))
+IF(ISERROR(GETPIVOTDATA("Somma di DARE EUR",'Pivot RakBank AED'!$A$3,"Mese",10,"Tipologia",$A159,"Viaggio",$A$157)),0,GETPIVOTDATA("Somma di DARE EUR",'Pivot RakBank AED'!$A$3,"Mese",10,"Tipologia",$A159,"Viaggio",$A$157))
-IF(ISERROR(GETPIVOTDATA("Somma di AVERE EUR",'Pivot RakBank AED'!$A$3,"Mese",10,"Tipologia",$A159,"Viaggio",$A$157)),0,GETPIVOTDATA("Somma di AVERE EUR",'Pivot RakBank AED'!$A$3,"Mese",10,"Tipologia",$A159,"Viaggio",$A$157))</f>
        <v>0</v>
      </c>
      <c r="M159" s="270">
        <f>IF(ISERROR(GETPIVOTDATA("Somma di DARE",'Pivot Fineco Sa'!$A$3,"Mese",11,"Tipologia",$A159,"Viaggio",$A$157)),0,GETPIVOTDATA("Somma di DARE",'Pivot Fineco Sa'!$A$3,"Mese",11,"Tipologia",$A159,"Viaggio",$A$157))
+IF(ISERROR(GETPIVOTDATA("Somma di DARE",'Pivot Fineco St'!$A$3,"Mese",11,"Tipologia",$A159,"Viaggio",$A$157)),0,GETPIVOTDATA("Somma di DARE",'Pivot Fineco St'!$A$3,"Mese",11,"Tipologia",$A159,"Viaggio",$A$157))
+IF(Contanti!$AS40='Conto Economico'!$A$157,Contanti!$AP40)
+IF(ISERROR(GETPIVOTDATA("Somma di DARE",'Pivot BBVA'!$A$3,"Mese",11,"Tipologia",$A159,"Viaggio",$A$157)),0,GETPIVOTDATA("Somma di DARE",'Pivot BBVA'!$A$3,"Mese",11,"Tipologia",$A159,"Viaggio",$A$157))
+IF(ISERROR(GETPIVOTDATA("Somma di DARE",'Pivot Amex'!$A$3,"Mese",11,"Tipologia",$A159,"Viaggio",$A$157)),0,GETPIVOTDATA("Somma di DARE",'Pivot Amex'!$A$3,"Mese",11,"Tipologia",$A159,"Viaggio",$A$157))
-IF(ISERROR(GETPIVOTDATA("Somma di AVERE",'Pivot Amex'!$A$3,"Mese",11,"Tipologia",$A159,"Viaggio",$A$157)),0,GETPIVOTDATA("Somma di AVERE",'Pivot Amex'!$A$3,"Mese",11,"Tipologia",$A159,"Viaggio",$A$157))
-IF(ISERROR(GETPIVOTDATA("Somma di AVERE",'Pivot BBVA'!$A$3,"Mese",11,"Tipologia",$A159,"Viaggio",$A$157)),0,GETPIVOTDATA("Somma di AVERE",'Pivot BBVA'!$A$3,"Mese",11,"Tipologia",$A159,"Viaggio",$A$157))
-IF(ISERROR(GETPIVOTDATA("Somma di AVERE",'Pivot Fineco St'!$A$3,"Mese",11,"Tipologia",$A159,"Viaggio",$A$157)),0,GETPIVOTDATA("Somma di AVERE",'Pivot Fineco St'!$A$3,"Mese",11,"Tipologia",$A159,"Viaggio",$A$157))
-IF(ISERROR(GETPIVOTDATA("Somma di AVERE",'Pivot Fineco Sa'!$A$3,"Mese",11,"Tipologia",$A159,"Viaggio",$A$157)),0,GETPIVOTDATA("Somma di AVERE",'Pivot Fineco Sa'!$A$3,"Mese",11,"Tipologia",$A159,"Viaggio",$A$157))
+IF(ISERROR(GETPIVOTDATA("Somma di DARE",'Pivot PP Visa'!$A$3,"Mese",11,"Tipologia",$A159,"Viaggio",$A$157)),0,GETPIVOTDATA("Somma di DARE",'Pivot PP Visa'!$A$3,"Mese",11,"Tipologia",$A159,"Viaggio",$A$157))
-IF(ISERROR(GETPIVOTDATA("Somma di AVERE",'Pivot PP Visa'!$A$3,"Mese",11,"Tipologia",$A159,"Viaggio",$A$157)),0,GETPIVOTDATA("Somma di AVERE",'Pivot PP Visa'!$A$3,"Mese",11,"Tipologia",$A159,"Viaggio",$A$157))
+IF(ISERROR(GETPIVOTDATA("Somma di DARE",'Pivot Revolut'!$A$3,"Mese",11,"Tipologia",$A159,"Viaggio",$A$157)),0,GETPIVOTDATA("Somma di DARE",'Pivot Revolut'!$A$3,"Mese",11,"Tipologia",$A159,"Viaggio",$A$157))
-IF(ISERROR(GETPIVOTDATA("Somma di AVERE",'Pivot Revolut'!$A$3,"Mese",11,"Tipologia",$A159,"Viaggio",$A$157)),0,GETPIVOTDATA("Somma di AVERE",'Pivot Revolut'!$A$3,"Mese",11,"Tipologia",$A159,"Viaggio",$A$157))
+IF(ISERROR(GETPIVOTDATA("Somma di DARE",'Pivot RakBank EUR'!$A$3,"Mese",11,"Tipologia",$A159,"Viaggio",$A$157)),0,GETPIVOTDATA("Somma di DARE",'Pivot RakBank EUR'!$A$3,"Mese",11,"Tipologia",$A159,"Viaggio",$A$157))
-IF(ISERROR(GETPIVOTDATA("Somma di AVERE",'Pivot RakBank EUR'!$A$3,"Mese",11,"Tipologia",$A159,"Viaggio",$A$157)),0,GETPIVOTDATA("Somma di AVERE",'Pivot RakBank EUR'!$A$3,"Mese",11,"Tipologia",$A159,"Viaggio",$A$157))
+IF(ISERROR(GETPIVOTDATA("Somma di DARE EUR",'Pivot RakBank AED'!$A$3,"Mese",11,"Tipologia",$A159,"Viaggio",$A$157)),0,GETPIVOTDATA("Somma di DARE EUR",'Pivot RakBank AED'!$A$3,"Mese",11,"Tipologia",$A159,"Viaggio",$A$157))
-IF(ISERROR(GETPIVOTDATA("Somma di AVERE EUR",'Pivot RakBank AED'!$A$3,"Mese",11,"Tipologia",$A159,"Viaggio",$A$157)),0,GETPIVOTDATA("Somma di AVERE EUR",'Pivot RakBank AED'!$A$3,"Mese",11,"Tipologia",$A159,"Viaggio",$A$157))</f>
        <v>0</v>
      </c>
      <c r="N159" s="270">
        <f>IF(ISERROR(GETPIVOTDATA("Somma di DARE",'Pivot Fineco Sa'!$A$3,"Mese",12,"Tipologia",$A159,"Viaggio",$A$157)),0,GETPIVOTDATA("Somma di DARE",'Pivot Fineco Sa'!$A$3,"Mese",12,"Tipologia",$A159,"Viaggio",$A$157))
+IF(ISERROR(GETPIVOTDATA("Somma di DARE",'Pivot Fineco St'!$A$3,"Mese",12,"Tipologia",$A159,"Viaggio",$A$157)),0,GETPIVOTDATA("Somma di DARE",'Pivot Fineco St'!$A$3,"Mese",12,"Tipologia",$A159,"Viaggio",$A$157))
+IF(Contanti!$AW40='Conto Economico'!$A$157,Contanti!$AT40)
+IF(ISERROR(GETPIVOTDATA("Somma di DARE",'Pivot BBVA'!$A$3,"Mese",12,"Tipologia",$A159,"Viaggio",$A$157)),0,GETPIVOTDATA("Somma di DARE",'Pivot BBVA'!$A$3,"Mese",12,"Tipologia",$A159,"Viaggio",$A$157))
+IF(ISERROR(GETPIVOTDATA("Somma di DARE",'Pivot Amex'!$A$3,"Mese",12,"Tipologia",$A159,"Viaggio",$A$157)),0,GETPIVOTDATA("Somma di DARE",'Pivot Amex'!$A$3,"Mese",12,"Tipologia",$A159,"Viaggio",$A$157))
-IF(ISERROR(GETPIVOTDATA("Somma di AVERE",'Pivot Amex'!$A$3,"Mese",12,"Tipologia",$A159,"Viaggio",$A$157)),0,GETPIVOTDATA("Somma di AVERE",'Pivot Amex'!$A$3,"Mese",12,"Tipologia",$A159,"Viaggio",$A$157))
-IF(ISERROR(GETPIVOTDATA("Somma di AVERE",'Pivot BBVA'!$A$3,"Mese",12,"Tipologia",$A159,"Viaggio",$A$157)),0,GETPIVOTDATA("Somma di AVERE",'Pivot BBVA'!$A$3,"Mese",12,"Tipologia",$A159,"Viaggio",$A$157))
-IF(ISERROR(GETPIVOTDATA("Somma di AVERE",'Pivot Fineco St'!$A$3,"Mese",12,"Tipologia",$A159,"Viaggio",$A$157)),0,GETPIVOTDATA("Somma di AVERE",'Pivot Fineco St'!$A$3,"Mese",12,"Tipologia",$A159,"Viaggio",$A$157))
-IF(ISERROR(GETPIVOTDATA("Somma di AVERE",'Pivot Fineco Sa'!$A$3,"Mese",12,"Tipologia",$A159,"Viaggio",$A$157)),0,GETPIVOTDATA("Somma di AVERE",'Pivot Fineco Sa'!$A$3,"Mese",12,"Tipologia",$A159,"Viaggio",$A$157))
+IF(ISERROR(GETPIVOTDATA("Somma di DARE",'Pivot PP Visa'!$A$3,"Mese",12,"Tipologia",$A159,"Viaggio",$A$157)),0,GETPIVOTDATA("Somma di DARE",'Pivot PP Visa'!$A$3,"Mese",12,"Tipologia",$A159,"Viaggio",$A$157))
-IF(ISERROR(GETPIVOTDATA("Somma di AVERE",'Pivot PP Visa'!$A$3,"Mese",12,"Tipologia",$A159,"Viaggio",$A$157)),0,GETPIVOTDATA("Somma di AVERE",'Pivot PP Visa'!$A$3,"Mese",12,"Tipologia",$A159,"Viaggio",$A$157))
+IF(ISERROR(GETPIVOTDATA("Somma di DARE",'Pivot Revolut'!$A$3,"Mese",12,"Tipologia",$A159,"Viaggio",$A$157)),0,GETPIVOTDATA("Somma di DARE",'Pivot Revolut'!$A$3,"Mese",12,"Tipologia",$A159,"Viaggio",$A$157))
-IF(ISERROR(GETPIVOTDATA("Somma di AVERE",'Pivot Revolut'!$A$3,"Mese",12,"Tipologia",$A159,"Viaggio",$A$157)),0,GETPIVOTDATA("Somma di AVERE",'Pivot Revolut'!$A$3,"Mese",12,"Tipologia",$A159,"Viaggio",$A$157))
+IF(ISERROR(GETPIVOTDATA("Somma di DARE",'Pivot RakBank EUR'!$A$3,"Mese",12,"Tipologia",$A159,"Viaggio",$A$157)),0,GETPIVOTDATA("Somma di DARE",'Pivot RakBank EUR'!$A$3,"Mese",12,"Tipologia",$A159,"Viaggio",$A$157))
-IF(ISERROR(GETPIVOTDATA("Somma di AVERE",'Pivot RakBank EUR'!$A$3,"Mese",12,"Tipologia",$A159,"Viaggio",$A$157)),0,GETPIVOTDATA("Somma di AVERE",'Pivot RakBank EUR'!$A$3,"Mese",12,"Tipologia",$A159,"Viaggio",$A$157))
+IF(ISERROR(GETPIVOTDATA("Somma di DARE EUR",'Pivot RakBank AED'!$A$3,"Mese",12,"Tipologia",$A159,"Viaggio",$A$157)),0,GETPIVOTDATA("Somma di DARE EUR",'Pivot RakBank AED'!$A$3,"Mese",12,"Tipologia",$A159,"Viaggio",$A$157))
-IF(ISERROR(GETPIVOTDATA("Somma di AVERE EUR",'Pivot RakBank AED'!$A$3,"Mese",12,"Tipologia",$A159,"Viaggio",$A$157)),0,GETPIVOTDATA("Somma di AVERE EUR",'Pivot RakBank AED'!$A$3,"Mese",12,"Tipologia",$A159,"Viaggio",$A$157))</f>
        <v>0</v>
      </c>
      <c r="O159" s="271">
        <f t="shared" si="21"/>
        <v>0</v>
      </c>
      <c r="P159" s="270"/>
    </row>
    <row r="160" spans="1:16" s="131" customFormat="1" ht="14" outlineLevel="1" x14ac:dyDescent="0.2">
      <c r="A160" s="269" t="s">
        <v>112</v>
      </c>
      <c r="B160" s="269"/>
      <c r="C160" s="270">
        <f>IF(ISERROR(GETPIVOTDATA("Somma di DARE",'Pivot Fineco Sa'!$A$3,"Mese",1,"Tipologia",$A160,"Viaggio",$A$157)),0,GETPIVOTDATA("Somma di DARE",'Pivot Fineco Sa'!$A$3,"Mese",1,"Tipologia",$A160,"Viaggio",$A$157))
+IF(ISERROR(GETPIVOTDATA("Somma di DARE",'Pivot Fineco St'!$A$3,"Mese",1,"Tipologia",$A160,"Viaggio",$A$157)),0,GETPIVOTDATA("Somma di DARE",'Pivot Fineco St'!$A$3,"Mese",1,"Tipologia",$A160,"Viaggio",$A$157))
+IF(Contanti!$E41='Conto Economico'!$A$157,Contanti!$B41)
+IF(ISERROR(GETPIVOTDATA("Somma di DARE",'Pivot BBVA'!$A$3,"Mese",1,"Tipologia",$A160,"Viaggio",$A$157)),0,GETPIVOTDATA("Somma di DARE",'Pivot BBVA'!$A$3,"Mese",1,"Tipologia",$A160,"Viaggio",$A$157))
+IF(ISERROR(GETPIVOTDATA("Somma di DARE",'Pivot Amex'!$A$3,"Mese",1,"Tipologia",$A160,"Viaggio",$A$157)),0,GETPIVOTDATA("Somma di DARE",'Pivot Amex'!$A$3,"Mese",1,"Tipologia",$A160,"Viaggio",$A$157))
-IF(ISERROR(GETPIVOTDATA("Somma di AVERE",'Pivot Amex'!$A$3,"Mese",1,"Tipologia",$A160,"Viaggio",$A$157)),0,GETPIVOTDATA("Somma di AVERE",'Pivot Amex'!$A$3,"Mese",1,"Tipologia",$A160,"Viaggio",$A$157))
-IF(ISERROR(GETPIVOTDATA("Somma di AVERE",'Pivot BBVA'!$A$3,"Mese",1,"Tipologia",$A160,"Viaggio",$A$157)),0,GETPIVOTDATA("Somma di AVERE",'Pivot BBVA'!$A$3,"Mese",1,"Tipologia",$A160,"Viaggio",$A$157))
-IF(ISERROR(GETPIVOTDATA("Somma di AVERE",'Pivot Fineco St'!$A$3,"Mese",1,"Tipologia",$A160,"Viaggio",$A$157)),0,GETPIVOTDATA("Somma di AVERE",'Pivot Fineco St'!$A$3,"Mese",1,"Tipologia",$A160,"Viaggio",$A$157))
-IF(ISERROR(GETPIVOTDATA("Somma di AVERE",'Pivot Fineco Sa'!$A$3,"Mese",1,"Tipologia",$A160,"Viaggio",$A$157)),0,GETPIVOTDATA("Somma di AVERE",'Pivot Fineco Sa'!$A$3,"Mese",1,"Tipologia",$A160,"Viaggio",$A$157))
+IF(ISERROR(GETPIVOTDATA("Somma di DARE",'Pivot PP Visa'!$A$3,"Mese",1,"Tipologia",$A160,"Viaggio",$A$157)),0,GETPIVOTDATA("Somma di DARE",'Pivot PP Visa'!$A$3,"Mese",1,"Tipologia",$A160,"Viaggio",$A$157))
-IF(ISERROR(GETPIVOTDATA("Somma di AVERE",'Pivot PP Visa'!$A$3,"Mese",1,"Tipologia",$A160,"Viaggio",$A$157)),0,GETPIVOTDATA("Somma di AVERE",'Pivot PP Visa'!$A$3,"Mese",1,"Tipologia",$A160,"Viaggio",$A$157))
+IF(ISERROR(GETPIVOTDATA("Somma di DARE",'Pivot Revolut'!$A$3,"Mese",1,"Tipologia",$A160,"Viaggio",$A$157)),0,GETPIVOTDATA("Somma di DARE",'Pivot Revolut'!$A$3,"Mese",1,"Tipologia",$A160,"Viaggio",$A$157))
-IF(ISERROR(GETPIVOTDATA("Somma di AVERE",'Pivot Revolut'!$A$3,"Mese",1,"Tipologia",$A160,"Viaggio",$A$157)),0,GETPIVOTDATA("Somma di AVERE",'Pivot Revolut'!$A$3,"Mese",1,"Tipologia",$A160,"Viaggio",$A$157))
+IF(ISERROR(GETPIVOTDATA("Somma di DARE",'Pivot RakBank EUR'!$A$3,"Mese",1,"Tipologia",$A160,"Viaggio",$A$157)),0,GETPIVOTDATA("Somma di DARE",'Pivot RakBank EUR'!$A$3,"Mese",1,"Tipologia",$A160,"Viaggio",$A$157))
-IF(ISERROR(GETPIVOTDATA("Somma di AVERE",'Pivot RakBank EUR'!$A$3,"Mese",1,"Tipologia",$A160,"Viaggio",$A$157)),0,GETPIVOTDATA("Somma di AVERE",'Pivot RakBank EUR'!$A$3,"Mese",1,"Tipologia",$A160,"Viaggio",$A$157))
+IF(ISERROR(GETPIVOTDATA("Somma di DARE EUR",'Pivot RakBank AED'!$A$3,"Mese",1,"Tipologia",$A160,"Viaggio",$A$157)),0,GETPIVOTDATA("Somma di DARE EUR",'Pivot RakBank AED'!$A$3,"Mese",1,"Tipologia",$A160,"Viaggio",$A$157))
-IF(ISERROR(GETPIVOTDATA("Somma di AVERE EUR",'Pivot RakBank AED'!$A$3,"Mese",1,"Tipologia",$A160,"Viaggio",$A$157)),0,GETPIVOTDATA("Somma di AVERE EUR",'Pivot RakBank AED'!$A$3,"Mese",1,"Tipologia",$A160,"Viaggio",$A$157))</f>
        <v>0</v>
      </c>
      <c r="D160" s="270">
        <f>IF(ISERROR(GETPIVOTDATA("Somma di DARE",'Pivot Fineco Sa'!$A$3,"Mese",2,"Tipologia",$A160,"Viaggio",$A$157)),0,GETPIVOTDATA("Somma di DARE",'Pivot Fineco Sa'!$A$3,"Mese",2,"Tipologia",$A160,"Viaggio",$A$157))
+IF(ISERROR(GETPIVOTDATA("Somma di DARE",'Pivot Fineco St'!$A$3,"Mese",2,"Tipologia",$A160,"Viaggio",$A$157)),0,GETPIVOTDATA("Somma di DARE",'Pivot Fineco St'!$A$3,"Mese",2,"Tipologia",$A160,"Viaggio",$A$157))
+IF(Contanti!$I41='Conto Economico'!$A$157,Contanti!$F41)
+IF(ISERROR(GETPIVOTDATA("Somma di DARE",'Pivot BBVA'!$A$3,"Mese",2,"Tipologia",$A160,"Viaggio",$A$157)),0,GETPIVOTDATA("Somma di DARE",'Pivot BBVA'!$A$3,"Mese",2,"Tipologia",$A160,"Viaggio",$A$157))
+IF(ISERROR(GETPIVOTDATA("Somma di DARE",'Pivot Amex'!$A$3,"Mese",2,"Tipologia",$A160,"Viaggio",$A$157)),0,GETPIVOTDATA("Somma di DARE",'Pivot Amex'!$A$3,"Mese",2,"Tipologia",$A160,"Viaggio",$A$157))
-IF(ISERROR(GETPIVOTDATA("Somma di AVERE",'Pivot Amex'!$A$3,"Mese",2,"Tipologia",$A160,"Viaggio",$A$157)),0,GETPIVOTDATA("Somma di AVERE",'Pivot Amex'!$A$3,"Mese",2,"Tipologia",$A160,"Viaggio",$A$157))
-IF(ISERROR(GETPIVOTDATA("Somma di AVERE",'Pivot BBVA'!$A$3,"Mese",2,"Tipologia",$A160,"Viaggio",$A$157)),0,GETPIVOTDATA("Somma di AVERE",'Pivot BBVA'!$A$3,"Mese",2,"Tipologia",$A160,"Viaggio",$A$157))
-IF(ISERROR(GETPIVOTDATA("Somma di AVERE",'Pivot Fineco St'!$A$3,"Mese",2,"Tipologia",$A160,"Viaggio",$A$157)),0,GETPIVOTDATA("Somma di AVERE",'Pivot Fineco St'!$A$3,"Mese",2,"Tipologia",$A160,"Viaggio",$A$157))
-IF(ISERROR(GETPIVOTDATA("Somma di AVERE",'Pivot Fineco Sa'!$A$3,"Mese",2,"Tipologia",$A160,"Viaggio",$A$157)),0,GETPIVOTDATA("Somma di AVERE",'Pivot Fineco Sa'!$A$3,"Mese",2,"Tipologia",$A160,"Viaggio",$A$157))
+IF(ISERROR(GETPIVOTDATA("Somma di DARE",'Pivot PP Visa'!$A$3,"Mese",2,"Tipologia",$A160,"Viaggio",$A$157)),0,GETPIVOTDATA("Somma di DARE",'Pivot PP Visa'!$A$3,"Mese",2,"Tipologia",$A160,"Viaggio",$A$157))
-IF(ISERROR(GETPIVOTDATA("Somma di AVERE",'Pivot PP Visa'!$A$3,"Mese",2,"Tipologia",$A160,"Viaggio",$A$157)),0,GETPIVOTDATA("Somma di AVERE",'Pivot PP Visa'!$A$3,"Mese",2,"Tipologia",$A160,"Viaggio",$A$157))
+IF(ISERROR(GETPIVOTDATA("Somma di DARE",'Pivot Revolut'!$A$3,"Mese",2,"Tipologia",$A160,"Viaggio",$A$157)),0,GETPIVOTDATA("Somma di DARE",'Pivot Revolut'!$A$3,"Mese",2,"Tipologia",$A160,"Viaggio",$A$157))
-IF(ISERROR(GETPIVOTDATA("Somma di AVERE",'Pivot Revolut'!$A$3,"Mese",2,"Tipologia",$A160,"Viaggio",$A$157)),0,GETPIVOTDATA("Somma di AVERE",'Pivot Revolut'!$A$3,"Mese",2,"Tipologia",$A160,"Viaggio",$A$157))
+IF(ISERROR(GETPIVOTDATA("Somma di DARE",'Pivot RakBank EUR'!$A$3,"Mese",2,"Tipologia",$A160,"Viaggio",$A$157)),0,GETPIVOTDATA("Somma di DARE",'Pivot RakBank EUR'!$A$3,"Mese",2,"Tipologia",$A160,"Viaggio",$A$157))
-IF(ISERROR(GETPIVOTDATA("Somma di AVERE",'Pivot RakBank EUR'!$A$3,"Mese",2,"Tipologia",$A160,"Viaggio",$A$157)),0,GETPIVOTDATA("Somma di AVERE",'Pivot RakBank EUR'!$A$3,"Mese",2,"Tipologia",$A160,"Viaggio",$A$157))
+IF(ISERROR(GETPIVOTDATA("Somma di DARE EUR",'Pivot RakBank AED'!$A$3,"Mese",2,"Tipologia",$A160,"Viaggio",$A$157)),0,GETPIVOTDATA("Somma di DARE EUR",'Pivot RakBank AED'!$A$3,"Mese",2,"Tipologia",$A160,"Viaggio",$A$157))
-IF(ISERROR(GETPIVOTDATA("Somma di AVERE EUR",'Pivot RakBank AED'!$A$3,"Mese",2,"Tipologia",$A160,"Viaggio",$A$157)),0,GETPIVOTDATA("Somma di AVERE EUR",'Pivot RakBank AED'!$A$3,"Mese",2,"Tipologia",$A160,"Viaggio",$A$157))</f>
        <v>0</v>
      </c>
      <c r="E160" s="270">
        <f>IF(ISERROR(GETPIVOTDATA("Somma di DARE",'Pivot Fineco Sa'!$A$3,"Mese",3,"Tipologia",$A160,"Viaggio",$A$157)),0,GETPIVOTDATA("Somma di DARE",'Pivot Fineco Sa'!$A$3,"Mese",3,"Tipologia",$A160,"Viaggio",$A$157))
+IF(ISERROR(GETPIVOTDATA("Somma di DARE",'Pivot Fineco St'!$A$3,"Mese",3,"Tipologia",$A160,"Viaggio",$A$157)),0,GETPIVOTDATA("Somma di DARE",'Pivot Fineco St'!$A$3,"Mese",3,"Tipologia",$A160,"Viaggio",$A$157))
+IF(Contanti!$M41='Conto Economico'!$A$157,Contanti!$J41)
+IF(ISERROR(GETPIVOTDATA("Somma di DARE",'Pivot BBVA'!$A$3,"Mese",3,"Tipologia",$A160,"Viaggio",$A$157)),0,GETPIVOTDATA("Somma di DARE",'Pivot BBVA'!$A$3,"Mese",3,"Tipologia",$A160,"Viaggio",$A$157))
+IF(ISERROR(GETPIVOTDATA("Somma di DARE",'Pivot Amex'!$A$3,"Mese",3,"Tipologia",$A160,"Viaggio",$A$157)),0,GETPIVOTDATA("Somma di DARE",'Pivot Amex'!$A$3,"Mese",3,"Tipologia",$A160,"Viaggio",$A$157))
-IF(ISERROR(GETPIVOTDATA("Somma di AVERE",'Pivot Amex'!$A$3,"Mese",3,"Tipologia",$A160,"Viaggio",$A$157)),0,GETPIVOTDATA("Somma di AVERE",'Pivot Amex'!$A$3,"Mese",3,"Tipologia",$A160,"Viaggio",$A$157))
-IF(ISERROR(GETPIVOTDATA("Somma di AVERE",'Pivot BBVA'!$A$3,"Mese",3,"Tipologia",$A160,"Viaggio",$A$157)),0,GETPIVOTDATA("Somma di AVERE",'Pivot BBVA'!$A$3,"Mese",3,"Tipologia",$A160,"Viaggio",$A$157))
-IF(ISERROR(GETPIVOTDATA("Somma di AVERE",'Pivot Fineco St'!$A$3,"Mese",3,"Tipologia",$A160,"Viaggio",$A$157)),0,GETPIVOTDATA("Somma di AVERE",'Pivot Fineco St'!$A$3,"Mese",3,"Tipologia",$A160,"Viaggio",$A$157))
-IF(ISERROR(GETPIVOTDATA("Somma di AVERE",'Pivot Fineco Sa'!$A$3,"Mese",3,"Tipologia",$A160,"Viaggio",$A$157)),0,GETPIVOTDATA("Somma di AVERE",'Pivot Fineco Sa'!$A$3,"Mese",3,"Tipologia",$A160,"Viaggio",$A$157))
+IF(ISERROR(GETPIVOTDATA("Somma di DARE",'Pivot PP Visa'!$A$3,"Mese",3,"Tipologia",$A160,"Viaggio",$A$157)),0,GETPIVOTDATA("Somma di DARE",'Pivot PP Visa'!$A$3,"Mese",3,"Tipologia",$A160,"Viaggio",$A$157))
-IF(ISERROR(GETPIVOTDATA("Somma di AVERE",'Pivot PP Visa'!$A$3,"Mese",3,"Tipologia",$A160,"Viaggio",$A$157)),0,GETPIVOTDATA("Somma di AVERE",'Pivot PP Visa'!$A$3,"Mese",3,"Tipologia",$A160,"Viaggio",$A$157))
+IF(ISERROR(GETPIVOTDATA("Somma di DARE",'Pivot Revolut'!$A$3,"Mese",3,"Tipologia",$A160,"Viaggio",$A$157)),0,GETPIVOTDATA("Somma di DARE",'Pivot Revolut'!$A$3,"Mese",3,"Tipologia",$A160,"Viaggio",$A$157))
-IF(ISERROR(GETPIVOTDATA("Somma di AVERE",'Pivot Revolut'!$A$3,"Mese",3,"Tipologia",$A160,"Viaggio",$A$157)),0,GETPIVOTDATA("Somma di AVERE",'Pivot Revolut'!$A$3,"Mese",3,"Tipologia",$A160,"Viaggio",$A$157))
+IF(ISERROR(GETPIVOTDATA("Somma di DARE",'Pivot RakBank EUR'!$A$3,"Mese",3,"Tipologia",$A160,"Viaggio",$A$157)),0,GETPIVOTDATA("Somma di DARE",'Pivot RakBank EUR'!$A$3,"Mese",3,"Tipologia",$A160,"Viaggio",$A$157))
-IF(ISERROR(GETPIVOTDATA("Somma di AVERE",'Pivot RakBank EUR'!$A$3,"Mese",3,"Tipologia",$A160,"Viaggio",$A$157)),0,GETPIVOTDATA("Somma di AVERE",'Pivot RakBank EUR'!$A$3,"Mese",3,"Tipologia",$A160,"Viaggio",$A$157))
+IF(ISERROR(GETPIVOTDATA("Somma di DARE EUR",'Pivot RakBank AED'!$A$3,"Mese",3,"Tipologia",$A160,"Viaggio",$A$157)),0,GETPIVOTDATA("Somma di DARE EUR",'Pivot RakBank AED'!$A$3,"Mese",3,"Tipologia",$A160,"Viaggio",$A$157))
-IF(ISERROR(GETPIVOTDATA("Somma di AVERE EUR",'Pivot RakBank AED'!$A$3,"Mese",3,"Tipologia",$A160,"Viaggio",$A$157)),0,GETPIVOTDATA("Somma di AVERE EUR",'Pivot RakBank AED'!$A$3,"Mese",3,"Tipologia",$A160,"Viaggio",$A$157))</f>
        <v>0</v>
      </c>
      <c r="F160" s="270">
        <f>IF(ISERROR(GETPIVOTDATA("Somma di DARE",'Pivot Fineco Sa'!$A$3,"Mese",4,"Tipologia",$A160,"Viaggio",$A$157)),0,GETPIVOTDATA("Somma di DARE",'Pivot Fineco Sa'!$A$3,"Mese",4,"Tipologia",$A160,"Viaggio",$A$157))
+IF(ISERROR(GETPIVOTDATA("Somma di DARE",'Pivot Fineco St'!$A$3,"Mese",4,"Tipologia",$A160,"Viaggio",$A$157)),0,GETPIVOTDATA("Somma di DARE",'Pivot Fineco St'!$A$3,"Mese",4,"Tipologia",$A160,"Viaggio",$A$157))
+IF(Contanti!$Q41='Conto Economico'!$A$157,Contanti!$N41)
+IF(ISERROR(GETPIVOTDATA("Somma di DARE",'Pivot BBVA'!$A$3,"Mese",4,"Tipologia",$A160,"Viaggio",$A$157)),0,GETPIVOTDATA("Somma di DARE",'Pivot BBVA'!$A$3,"Mese",4,"Tipologia",$A160,"Viaggio",$A$157))
+IF(ISERROR(GETPIVOTDATA("Somma di DARE",'Pivot Amex'!$A$3,"Mese",4,"Tipologia",$A160,"Viaggio",$A$157)),0,GETPIVOTDATA("Somma di DARE",'Pivot Amex'!$A$3,"Mese",4,"Tipologia",$A160,"Viaggio",$A$157))
-IF(ISERROR(GETPIVOTDATA("Somma di AVERE",'Pivot Amex'!$A$3,"Mese",4,"Tipologia",$A160,"Viaggio",$A$157)),0,GETPIVOTDATA("Somma di AVERE",'Pivot Amex'!$A$3,"Mese",4,"Tipologia",$A160,"Viaggio",$A$157))
-IF(ISERROR(GETPIVOTDATA("Somma di AVERE",'Pivot BBVA'!$A$3,"Mese",4,"Tipologia",$A160,"Viaggio",$A$157)),0,GETPIVOTDATA("Somma di AVERE",'Pivot BBVA'!$A$3,"Mese",4,"Tipologia",$A160,"Viaggio",$A$157))
-IF(ISERROR(GETPIVOTDATA("Somma di AVERE",'Pivot Fineco St'!$A$3,"Mese",4,"Tipologia",$A160,"Viaggio",$A$157)),0,GETPIVOTDATA("Somma di AVERE",'Pivot Fineco St'!$A$3,"Mese",4,"Tipologia",$A160,"Viaggio",$A$157))
-IF(ISERROR(GETPIVOTDATA("Somma di AVERE",'Pivot Fineco Sa'!$A$3,"Mese",4,"Tipologia",$A160,"Viaggio",$A$157)),0,GETPIVOTDATA("Somma di AVERE",'Pivot Fineco Sa'!$A$3,"Mese",4,"Tipologia",$A160,"Viaggio",$A$157))
+IF(ISERROR(GETPIVOTDATA("Somma di DARE",'Pivot PP Visa'!$A$3,"Mese",4,"Tipologia",$A160,"Viaggio",$A$157)),0,GETPIVOTDATA("Somma di DARE",'Pivot PP Visa'!$A$3,"Mese",4,"Tipologia",$A160,"Viaggio",$A$157))
-IF(ISERROR(GETPIVOTDATA("Somma di AVERE",'Pivot PP Visa'!$A$3,"Mese",4,"Tipologia",$A160,"Viaggio",$A$157)),0,GETPIVOTDATA("Somma di AVERE",'Pivot PP Visa'!$A$3,"Mese",4,"Tipologia",$A160,"Viaggio",$A$157))
+IF(ISERROR(GETPIVOTDATA("Somma di DARE",'Pivot Revolut'!$A$3,"Mese",4,"Tipologia",$A160,"Viaggio",$A$157)),0,GETPIVOTDATA("Somma di DARE",'Pivot Revolut'!$A$3,"Mese",4,"Tipologia",$A160,"Viaggio",$A$157))
-IF(ISERROR(GETPIVOTDATA("Somma di AVERE",'Pivot Revolut'!$A$3,"Mese",4,"Tipologia",$A160,"Viaggio",$A$157)),0,GETPIVOTDATA("Somma di AVERE",'Pivot Revolut'!$A$3,"Mese",4,"Tipologia",$A160,"Viaggio",$A$157))
+IF(ISERROR(GETPIVOTDATA("Somma di DARE",'Pivot RakBank EUR'!$A$3,"Mese",4,"Tipologia",$A160,"Viaggio",$A$157)),0,GETPIVOTDATA("Somma di DARE",'Pivot RakBank EUR'!$A$3,"Mese",4,"Tipologia",$A160,"Viaggio",$A$157))
-IF(ISERROR(GETPIVOTDATA("Somma di AVERE",'Pivot RakBank EUR'!$A$3,"Mese",4,"Tipologia",$A160,"Viaggio",$A$157)),0,GETPIVOTDATA("Somma di AVERE",'Pivot RakBank EUR'!$A$3,"Mese",4,"Tipologia",$A160,"Viaggio",$A$157))
+IF(ISERROR(GETPIVOTDATA("Somma di DARE EUR",'Pivot RakBank AED'!$A$3,"Mese",4,"Tipologia",$A160,"Viaggio",$A$157)),0,GETPIVOTDATA("Somma di DARE EUR",'Pivot RakBank AED'!$A$3,"Mese",4,"Tipologia",$A160,"Viaggio",$A$157))
-IF(ISERROR(GETPIVOTDATA("Somma di AVERE EUR",'Pivot RakBank AED'!$A$3,"Mese",4,"Tipologia",$A160,"Viaggio",$A$157)),0,GETPIVOTDATA("Somma di AVERE EUR",'Pivot RakBank AED'!$A$3,"Mese",4,"Tipologia",$A160,"Viaggio",$A$157))</f>
        <v>0</v>
      </c>
      <c r="G160" s="270">
        <f>IF(ISERROR(GETPIVOTDATA("Somma di DARE",'Pivot Fineco Sa'!$A$3,"Mese",5,"Tipologia",$A160,"Viaggio",$A$157)),0,GETPIVOTDATA("Somma di DARE",'Pivot Fineco Sa'!$A$3,"Mese",5,"Tipologia",$A160,"Viaggio",$A$157))
+IF(ISERROR(GETPIVOTDATA("Somma di DARE",'Pivot Fineco St'!$A$3,"Mese",5,"Tipologia",$A160,"Viaggio",$A$157)),0,GETPIVOTDATA("Somma di DARE",'Pivot Fineco St'!$A$3,"Mese",5,"Tipologia",$A160,"Viaggio",$A$157))
+IF(Contanti!$U41='Conto Economico'!$A$157,Contanti!$R41)
+IF(ISERROR(GETPIVOTDATA("Somma di DARE",'Pivot BBVA'!$A$3,"Mese",5,"Tipologia",$A160,"Viaggio",$A$157)),0,GETPIVOTDATA("Somma di DARE",'Pivot BBVA'!$A$3,"Mese",5,"Tipologia",$A160,"Viaggio",$A$157))
+IF(ISERROR(GETPIVOTDATA("Somma di DARE",'Pivot Amex'!$A$3,"Mese",5,"Tipologia",$A160,"Viaggio",$A$157)),0,GETPIVOTDATA("Somma di DARE",'Pivot Amex'!$A$3,"Mese",5,"Tipologia",$A160,"Viaggio",$A$157))
-IF(ISERROR(GETPIVOTDATA("Somma di AVERE",'Pivot Amex'!$A$3,"Mese",5,"Tipologia",$A160,"Viaggio",$A$157)),0,GETPIVOTDATA("Somma di AVERE",'Pivot Amex'!$A$3,"Mese",5,"Tipologia",$A160,"Viaggio",$A$157))
-IF(ISERROR(GETPIVOTDATA("Somma di AVERE",'Pivot BBVA'!$A$3,"Mese",5,"Tipologia",$A160,"Viaggio",$A$157)),0,GETPIVOTDATA("Somma di AVERE",'Pivot BBVA'!$A$3,"Mese",5,"Tipologia",$A160,"Viaggio",$A$157))
-IF(ISERROR(GETPIVOTDATA("Somma di AVERE",'Pivot Fineco St'!$A$3,"Mese",5,"Tipologia",$A160,"Viaggio",$A$157)),0,GETPIVOTDATA("Somma di AVERE",'Pivot Fineco St'!$A$3,"Mese",5,"Tipologia",$A160,"Viaggio",$A$157))
-IF(ISERROR(GETPIVOTDATA("Somma di AVERE",'Pivot Fineco Sa'!$A$3,"Mese",5,"Tipologia",$A160,"Viaggio",$A$157)),0,GETPIVOTDATA("Somma di AVERE",'Pivot Fineco Sa'!$A$3,"Mese",5,"Tipologia",$A160,"Viaggio",$A$157))
+IF(ISERROR(GETPIVOTDATA("Somma di DARE",'Pivot PP Visa'!$A$3,"Mese",5,"Tipologia",$A160,"Viaggio",$A$157)),0,GETPIVOTDATA("Somma di DARE",'Pivot PP Visa'!$A$3,"Mese",5,"Tipologia",$A160,"Viaggio",$A$157))
-IF(ISERROR(GETPIVOTDATA("Somma di AVERE",'Pivot PP Visa'!$A$3,"Mese",5,"Tipologia",$A160,"Viaggio",$A$157)),0,GETPIVOTDATA("Somma di AVERE",'Pivot PP Visa'!$A$3,"Mese",5,"Tipologia",$A160,"Viaggio",$A$157))
+IF(ISERROR(GETPIVOTDATA("Somma di DARE",'Pivot Revolut'!$A$3,"Mese",5,"Tipologia",$A160,"Viaggio",$A$157)),0,GETPIVOTDATA("Somma di DARE",'Pivot Revolut'!$A$3,"Mese",5,"Tipologia",$A160,"Viaggio",$A$157))
-IF(ISERROR(GETPIVOTDATA("Somma di AVERE",'Pivot Revolut'!$A$3,"Mese",5,"Tipologia",$A160,"Viaggio",$A$157)),0,GETPIVOTDATA("Somma di AVERE",'Pivot Revolut'!$A$3,"Mese",5,"Tipologia",$A160,"Viaggio",$A$157))
+IF(ISERROR(GETPIVOTDATA("Somma di DARE",'Pivot RakBank EUR'!$A$3,"Mese",5,"Tipologia",$A160,"Viaggio",$A$157)),0,GETPIVOTDATA("Somma di DARE",'Pivot RakBank EUR'!$A$3,"Mese",5,"Tipologia",$A160,"Viaggio",$A$157))
-IF(ISERROR(GETPIVOTDATA("Somma di AVERE",'Pivot RakBank EUR'!$A$3,"Mese",5,"Tipologia",$A160,"Viaggio",$A$157)),0,GETPIVOTDATA("Somma di AVERE",'Pivot RakBank EUR'!$A$3,"Mese",5,"Tipologia",$A160,"Viaggio",$A$157))
+IF(ISERROR(GETPIVOTDATA("Somma di DARE EUR",'Pivot RakBank AED'!$A$3,"Mese",5,"Tipologia",$A160,"Viaggio",$A$157)),0,GETPIVOTDATA("Somma di DARE EUR",'Pivot RakBank AED'!$A$3,"Mese",5,"Tipologia",$A160,"Viaggio",$A$157))
-IF(ISERROR(GETPIVOTDATA("Somma di AVERE EUR",'Pivot RakBank AED'!$A$3,"Mese",5,"Tipologia",$A160,"Viaggio",$A$157)),0,GETPIVOTDATA("Somma di AVERE EUR",'Pivot RakBank AED'!$A$3,"Mese",5,"Tipologia",$A160,"Viaggio",$A$157))</f>
        <v>0</v>
      </c>
      <c r="H160" s="270">
        <f>IF(ISERROR(GETPIVOTDATA("Somma di DARE",'Pivot Fineco Sa'!$A$3,"Mese",6,"Tipologia",$A160,"Viaggio",$A$157)),0,GETPIVOTDATA("Somma di DARE",'Pivot Fineco Sa'!$A$3,"Mese",6,"Tipologia",$A160,"Viaggio",$A$157))
+IF(ISERROR(GETPIVOTDATA("Somma di DARE",'Pivot Fineco St'!$A$3,"Mese",6,"Tipologia",$A160,"Viaggio",$A$157)),0,GETPIVOTDATA("Somma di DARE",'Pivot Fineco St'!$A$3,"Mese",6,"Tipologia",$A160,"Viaggio",$A$157))
+IF(Contanti!$Y41='Conto Economico'!$A$157,Contanti!$V41)
+IF(ISERROR(GETPIVOTDATA("Somma di DARE",'Pivot BBVA'!$A$3,"Mese",6,"Tipologia",$A160,"Viaggio",$A$157)),0,GETPIVOTDATA("Somma di DARE",'Pivot BBVA'!$A$3,"Mese",6,"Tipologia",$A160,"Viaggio",$A$157))
+IF(ISERROR(GETPIVOTDATA("Somma di DARE",'Pivot Amex'!$A$3,"Mese",6,"Tipologia",$A160,"Viaggio",$A$157)),0,GETPIVOTDATA("Somma di DARE",'Pivot Amex'!$A$3,"Mese",6,"Tipologia",$A160,"Viaggio",$A$157))
-IF(ISERROR(GETPIVOTDATA("Somma di AVERE",'Pivot Amex'!$A$3,"Mese",6,"Tipologia",$A160,"Viaggio",$A$157)),0,GETPIVOTDATA("Somma di AVERE",'Pivot Amex'!$A$3,"Mese",6,"Tipologia",$A160,"Viaggio",$A$157))
-IF(ISERROR(GETPIVOTDATA("Somma di AVERE",'Pivot BBVA'!$A$3,"Mese",6,"Tipologia",$A160,"Viaggio",$A$157)),0,GETPIVOTDATA("Somma di AVERE",'Pivot BBVA'!$A$3,"Mese",6,"Tipologia",$A160,"Viaggio",$A$157))
-IF(ISERROR(GETPIVOTDATA("Somma di AVERE",'Pivot Fineco St'!$A$3,"Mese",6,"Tipologia",$A160,"Viaggio",$A$157)),0,GETPIVOTDATA("Somma di AVERE",'Pivot Fineco St'!$A$3,"Mese",6,"Tipologia",$A160,"Viaggio",$A$157))
-IF(ISERROR(GETPIVOTDATA("Somma di AVERE",'Pivot Fineco Sa'!$A$3,"Mese",6,"Tipologia",$A160,"Viaggio",$A$157)),0,GETPIVOTDATA("Somma di AVERE",'Pivot Fineco Sa'!$A$3,"Mese",6,"Tipologia",$A160,"Viaggio",$A$157))
+IF(ISERROR(GETPIVOTDATA("Somma di DARE",'Pivot PP Visa'!$A$3,"Mese",6,"Tipologia",$A160,"Viaggio",$A$157)),0,GETPIVOTDATA("Somma di DARE",'Pivot PP Visa'!$A$3,"Mese",6,"Tipologia",$A160,"Viaggio",$A$157))
-IF(ISERROR(GETPIVOTDATA("Somma di AVERE",'Pivot PP Visa'!$A$3,"Mese",6,"Tipologia",$A160,"Viaggio",$A$157)),0,GETPIVOTDATA("Somma di AVERE",'Pivot PP Visa'!$A$3,"Mese",6,"Tipologia",$A160,"Viaggio",$A$157))
+IF(ISERROR(GETPIVOTDATA("Somma di DARE",'Pivot Revolut'!$A$3,"Mese",6,"Tipologia",$A160,"Viaggio",$A$157)),0,GETPIVOTDATA("Somma di DARE",'Pivot Revolut'!$A$3,"Mese",6,"Tipologia",$A160,"Viaggio",$A$157))
-IF(ISERROR(GETPIVOTDATA("Somma di AVERE",'Pivot Revolut'!$A$3,"Mese",6,"Tipologia",$A160,"Viaggio",$A$157)),0,GETPIVOTDATA("Somma di AVERE",'Pivot Revolut'!$A$3,"Mese",6,"Tipologia",$A160,"Viaggio",$A$157))
+IF(ISERROR(GETPIVOTDATA("Somma di DARE",'Pivot RakBank EUR'!$A$3,"Mese",6,"Tipologia",$A160,"Viaggio",$A$157)),0,GETPIVOTDATA("Somma di DARE",'Pivot RakBank EUR'!$A$3,"Mese",6,"Tipologia",$A160,"Viaggio",$A$157))
-IF(ISERROR(GETPIVOTDATA("Somma di AVERE",'Pivot RakBank EUR'!$A$3,"Mese",6,"Tipologia",$A160,"Viaggio",$A$157)),0,GETPIVOTDATA("Somma di AVERE",'Pivot RakBank EUR'!$A$3,"Mese",6,"Tipologia",$A160,"Viaggio",$A$157))
+IF(ISERROR(GETPIVOTDATA("Somma di DARE EUR",'Pivot RakBank AED'!$A$3,"Mese",6,"Tipologia",$A160,"Viaggio",$A$157)),0,GETPIVOTDATA("Somma di DARE EUR",'Pivot RakBank AED'!$A$3,"Mese",6,"Tipologia",$A160,"Viaggio",$A$157))
-IF(ISERROR(GETPIVOTDATA("Somma di AVERE EUR",'Pivot RakBank AED'!$A$3,"Mese",6,"Tipologia",$A160,"Viaggio",$A$157)),0,GETPIVOTDATA("Somma di AVERE EUR",'Pivot RakBank AED'!$A$3,"Mese",6,"Tipologia",$A160,"Viaggio",$A$157))</f>
        <v>0</v>
      </c>
      <c r="I160" s="270">
        <f>IF(ISERROR(GETPIVOTDATA("Somma di DARE",'Pivot Fineco Sa'!$A$3,"Mese",7,"Tipologia",$A160,"Viaggio",$A$157)),0,GETPIVOTDATA("Somma di DARE",'Pivot Fineco Sa'!$A$3,"Mese",7,"Tipologia",$A160,"Viaggio",$A$157))
+IF(ISERROR(GETPIVOTDATA("Somma di DARE",'Pivot Fineco St'!$A$3,"Mese",7,"Tipologia",$A160,"Viaggio",$A$157)),0,GETPIVOTDATA("Somma di DARE",'Pivot Fineco St'!$A$3,"Mese",7,"Tipologia",$A160,"Viaggio",$A$157))
+IF(Contanti!$AC41='Conto Economico'!$A$157,Contanti!$Z41)
+IF(ISERROR(GETPIVOTDATA("Somma di DARE",'Pivot BBVA'!$A$3,"Mese",7,"Tipologia",$A160,"Viaggio",$A$157)),0,GETPIVOTDATA("Somma di DARE",'Pivot BBVA'!$A$3,"Mese",7,"Tipologia",$A160,"Viaggio",$A$157))
+IF(ISERROR(GETPIVOTDATA("Somma di DARE",'Pivot Amex'!$A$3,"Mese",7,"Tipologia",$A160,"Viaggio",$A$157)),0,GETPIVOTDATA("Somma di DARE",'Pivot Amex'!$A$3,"Mese",7,"Tipologia",$A160,"Viaggio",$A$157))
-IF(ISERROR(GETPIVOTDATA("Somma di AVERE",'Pivot Amex'!$A$3,"Mese",7,"Tipologia",$A160,"Viaggio",$A$157)),0,GETPIVOTDATA("Somma di AVERE",'Pivot Amex'!$A$3,"Mese",7,"Tipologia",$A160,"Viaggio",$A$157))
-IF(ISERROR(GETPIVOTDATA("Somma di AVERE",'Pivot BBVA'!$A$3,"Mese",7,"Tipologia",$A160,"Viaggio",$A$157)),0,GETPIVOTDATA("Somma di AVERE",'Pivot BBVA'!$A$3,"Mese",7,"Tipologia",$A160,"Viaggio",$A$157))
-IF(ISERROR(GETPIVOTDATA("Somma di AVERE",'Pivot Fineco St'!$A$3,"Mese",7,"Tipologia",$A160,"Viaggio",$A$157)),0,GETPIVOTDATA("Somma di AVERE",'Pivot Fineco St'!$A$3,"Mese",7,"Tipologia",$A160,"Viaggio",$A$157))
-IF(ISERROR(GETPIVOTDATA("Somma di AVERE",'Pivot Fineco Sa'!$A$3,"Mese",7,"Tipologia",$A160,"Viaggio",$A$157)),0,GETPIVOTDATA("Somma di AVERE",'Pivot Fineco Sa'!$A$3,"Mese",7,"Tipologia",$A160,"Viaggio",$A$157))
+IF(ISERROR(GETPIVOTDATA("Somma di DARE",'Pivot PP Visa'!$A$3,"Mese",7,"Tipologia",$A160,"Viaggio",$A$157)),0,GETPIVOTDATA("Somma di DARE",'Pivot PP Visa'!$A$3,"Mese",7,"Tipologia",$A160,"Viaggio",$A$157))
-IF(ISERROR(GETPIVOTDATA("Somma di AVERE",'Pivot PP Visa'!$A$3,"Mese",7,"Tipologia",$A160,"Viaggio",$A$157)),0,GETPIVOTDATA("Somma di AVERE",'Pivot PP Visa'!$A$3,"Mese",7,"Tipologia",$A160,"Viaggio",$A$157))
+IF(ISERROR(GETPIVOTDATA("Somma di DARE",'Pivot Revolut'!$A$3,"Mese",7,"Tipologia",$A160,"Viaggio",$A$157)),0,GETPIVOTDATA("Somma di DARE",'Pivot Revolut'!$A$3,"Mese",7,"Tipologia",$A160,"Viaggio",$A$157))
-IF(ISERROR(GETPIVOTDATA("Somma di AVERE",'Pivot Revolut'!$A$3,"Mese",7,"Tipologia",$A160,"Viaggio",$A$157)),0,GETPIVOTDATA("Somma di AVERE",'Pivot Revolut'!$A$3,"Mese",7,"Tipologia",$A160,"Viaggio",$A$157))
+IF(ISERROR(GETPIVOTDATA("Somma di DARE",'Pivot RakBank EUR'!$A$3,"Mese",7,"Tipologia",$A160,"Viaggio",$A$157)),0,GETPIVOTDATA("Somma di DARE",'Pivot RakBank EUR'!$A$3,"Mese",7,"Tipologia",$A160,"Viaggio",$A$157))
-IF(ISERROR(GETPIVOTDATA("Somma di AVERE",'Pivot RakBank EUR'!$A$3,"Mese",7,"Tipologia",$A160,"Viaggio",$A$157)),0,GETPIVOTDATA("Somma di AVERE",'Pivot RakBank EUR'!$A$3,"Mese",7,"Tipologia",$A160,"Viaggio",$A$157))
+IF(ISERROR(GETPIVOTDATA("Somma di DARE EUR",'Pivot RakBank AED'!$A$3,"Mese",7,"Tipologia",$A160,"Viaggio",$A$157)),0,GETPIVOTDATA("Somma di DARE EUR",'Pivot RakBank AED'!$A$3,"Mese",7,"Tipologia",$A160,"Viaggio",$A$157))
-IF(ISERROR(GETPIVOTDATA("Somma di AVERE EUR",'Pivot RakBank AED'!$A$3,"Mese",7,"Tipologia",$A160,"Viaggio",$A$157)),0,GETPIVOTDATA("Somma di AVERE EUR",'Pivot RakBank AED'!$A$3,"Mese",7,"Tipologia",$A160,"Viaggio",$A$157))</f>
        <v>0</v>
      </c>
      <c r="J160" s="270">
        <f>IF(ISERROR(GETPIVOTDATA("Somma di DARE",'Pivot Fineco Sa'!$A$3,"Mese",8,"Tipologia",$A160,"Viaggio",$A$157)),0,GETPIVOTDATA("Somma di DARE",'Pivot Fineco Sa'!$A$3,"Mese",8,"Tipologia",$A160,"Viaggio",$A$157))
+IF(ISERROR(GETPIVOTDATA("Somma di DARE",'Pivot Fineco St'!$A$3,"Mese",8,"Tipologia",$A160,"Viaggio",$A$157)),0,GETPIVOTDATA("Somma di DARE",'Pivot Fineco St'!$A$3,"Mese",8,"Tipologia",$A160,"Viaggio",$A$157))
+IF(Contanti!$AG41='Conto Economico'!$A$157,Contanti!$AD41)
+IF(ISERROR(GETPIVOTDATA("Somma di DARE",'Pivot BBVA'!$A$3,"Mese",8,"Tipologia",$A160,"Viaggio",$A$157)),0,GETPIVOTDATA("Somma di DARE",'Pivot BBVA'!$A$3,"Mese",8,"Tipologia",$A160,"Viaggio",$A$157))
+IF(ISERROR(GETPIVOTDATA("Somma di DARE",'Pivot Amex'!$A$3,"Mese",8,"Tipologia",$A160,"Viaggio",$A$157)),0,GETPIVOTDATA("Somma di DARE",'Pivot Amex'!$A$3,"Mese",8,"Tipologia",$A160,"Viaggio",$A$157))
-IF(ISERROR(GETPIVOTDATA("Somma di AVERE",'Pivot Amex'!$A$3,"Mese",8,"Tipologia",$A160,"Viaggio",$A$157)),0,GETPIVOTDATA("Somma di AVERE",'Pivot Amex'!$A$3,"Mese",8,"Tipologia",$A160,"Viaggio",$A$157))
-IF(ISERROR(GETPIVOTDATA("Somma di AVERE",'Pivot BBVA'!$A$3,"Mese",8,"Tipologia",$A160,"Viaggio",$A$157)),0,GETPIVOTDATA("Somma di AVERE",'Pivot BBVA'!$A$3,"Mese",8,"Tipologia",$A160,"Viaggio",$A$157))
-IF(ISERROR(GETPIVOTDATA("Somma di AVERE",'Pivot Fineco St'!$A$3,"Mese",8,"Tipologia",$A160,"Viaggio",$A$157)),0,GETPIVOTDATA("Somma di AVERE",'Pivot Fineco St'!$A$3,"Mese",8,"Tipologia",$A160,"Viaggio",$A$157))
-IF(ISERROR(GETPIVOTDATA("Somma di AVERE",'Pivot Fineco Sa'!$A$3,"Mese",8,"Tipologia",$A160,"Viaggio",$A$157)),0,GETPIVOTDATA("Somma di AVERE",'Pivot Fineco Sa'!$A$3,"Mese",8,"Tipologia",$A160,"Viaggio",$A$157))
+IF(ISERROR(GETPIVOTDATA("Somma di DARE",'Pivot PP Visa'!$A$3,"Mese",8,"Tipologia",$A160,"Viaggio",$A$157)),0,GETPIVOTDATA("Somma di DARE",'Pivot PP Visa'!$A$3,"Mese",8,"Tipologia",$A160,"Viaggio",$A$157))
-IF(ISERROR(GETPIVOTDATA("Somma di AVERE",'Pivot PP Visa'!$A$3,"Mese",8,"Tipologia",$A160,"Viaggio",$A$157)),0,GETPIVOTDATA("Somma di AVERE",'Pivot PP Visa'!$A$3,"Mese",8,"Tipologia",$A160,"Viaggio",$A$157))
+IF(ISERROR(GETPIVOTDATA("Somma di DARE",'Pivot Revolut'!$A$3,"Mese",8,"Tipologia",$A160,"Viaggio",$A$157)),0,GETPIVOTDATA("Somma di DARE",'Pivot Revolut'!$A$3,"Mese",8,"Tipologia",$A160,"Viaggio",$A$157))
-IF(ISERROR(GETPIVOTDATA("Somma di AVERE",'Pivot Revolut'!$A$3,"Mese",8,"Tipologia",$A160,"Viaggio",$A$157)),0,GETPIVOTDATA("Somma di AVERE",'Pivot Revolut'!$A$3,"Mese",8,"Tipologia",$A160,"Viaggio",$A$157))
+IF(ISERROR(GETPIVOTDATA("Somma di DARE",'Pivot RakBank EUR'!$A$3,"Mese",8,"Tipologia",$A160,"Viaggio",$A$157)),0,GETPIVOTDATA("Somma di DARE",'Pivot RakBank EUR'!$A$3,"Mese",8,"Tipologia",$A160,"Viaggio",$A$157))
-IF(ISERROR(GETPIVOTDATA("Somma di AVERE",'Pivot RakBank EUR'!$A$3,"Mese",8,"Tipologia",$A160,"Viaggio",$A$157)),0,GETPIVOTDATA("Somma di AVERE",'Pivot RakBank EUR'!$A$3,"Mese",8,"Tipologia",$A160,"Viaggio",$A$157))
+IF(ISERROR(GETPIVOTDATA("Somma di DARE EUR",'Pivot RakBank AED'!$A$3,"Mese",8,"Tipologia",$A160,"Viaggio",$A$157)),0,GETPIVOTDATA("Somma di DARE EUR",'Pivot RakBank AED'!$A$3,"Mese",8,"Tipologia",$A160,"Viaggio",$A$157))
-IF(ISERROR(GETPIVOTDATA("Somma di AVERE EUR",'Pivot RakBank AED'!$A$3,"Mese",8,"Tipologia",$A160,"Viaggio",$A$157)),0,GETPIVOTDATA("Somma di AVERE EUR",'Pivot RakBank AED'!$A$3,"Mese",8,"Tipologia",$A160,"Viaggio",$A$157))</f>
        <v>0</v>
      </c>
      <c r="K160" s="270">
        <f>IF(ISERROR(GETPIVOTDATA("Somma di DARE",'Pivot Fineco Sa'!$A$3,"Mese",9,"Tipologia",$A160,"Viaggio",$A$157)),0,GETPIVOTDATA("Somma di DARE",'Pivot Fineco Sa'!$A$3,"Mese",9,"Tipologia",$A160,"Viaggio",$A$157))
+IF(ISERROR(GETPIVOTDATA("Somma di DARE",'Pivot Fineco St'!$A$3,"Mese",9,"Tipologia",$A160,"Viaggio",$A$157)),0,GETPIVOTDATA("Somma di DARE",'Pivot Fineco St'!$A$3,"Mese",9,"Tipologia",$A160,"Viaggio",$A$157))
+IF(Contanti!$AK41='Conto Economico'!$A$157,Contanti!$AH41)
+IF(ISERROR(GETPIVOTDATA("Somma di DARE",'Pivot BBVA'!$A$3,"Mese",9,"Tipologia",$A160,"Viaggio",$A$157)),0,GETPIVOTDATA("Somma di DARE",'Pivot BBVA'!$A$3,"Mese",9,"Tipologia",$A160,"Viaggio",$A$157))
+IF(ISERROR(GETPIVOTDATA("Somma di DARE",'Pivot Amex'!$A$3,"Mese",9,"Tipologia",$A160,"Viaggio",$A$157)),0,GETPIVOTDATA("Somma di DARE",'Pivot Amex'!$A$3,"Mese",9,"Tipologia",$A160,"Viaggio",$A$157))
-IF(ISERROR(GETPIVOTDATA("Somma di AVERE",'Pivot Amex'!$A$3,"Mese",9,"Tipologia",$A160,"Viaggio",$A$157)),0,GETPIVOTDATA("Somma di AVERE",'Pivot Amex'!$A$3,"Mese",9,"Tipologia",$A160,"Viaggio",$A$157))
-IF(ISERROR(GETPIVOTDATA("Somma di AVERE",'Pivot BBVA'!$A$3,"Mese",9,"Tipologia",$A160,"Viaggio",$A$157)),0,GETPIVOTDATA("Somma di AVERE",'Pivot BBVA'!$A$3,"Mese",9,"Tipologia",$A160,"Viaggio",$A$157))
-IF(ISERROR(GETPIVOTDATA("Somma di AVERE",'Pivot Fineco St'!$A$3,"Mese",9,"Tipologia",$A160,"Viaggio",$A$157)),0,GETPIVOTDATA("Somma di AVERE",'Pivot Fineco St'!$A$3,"Mese",9,"Tipologia",$A160,"Viaggio",$A$157))
-IF(ISERROR(GETPIVOTDATA("Somma di AVERE",'Pivot Fineco Sa'!$A$3,"Mese",9,"Tipologia",$A160,"Viaggio",$A$157)),0,GETPIVOTDATA("Somma di AVERE",'Pivot Fineco Sa'!$A$3,"Mese",9,"Tipologia",$A160,"Viaggio",$A$157))
+IF(ISERROR(GETPIVOTDATA("Somma di DARE",'Pivot PP Visa'!$A$3,"Mese",9,"Tipologia",$A160,"Viaggio",$A$157)),0,GETPIVOTDATA("Somma di DARE",'Pivot PP Visa'!$A$3,"Mese",9,"Tipologia",$A160,"Viaggio",$A$157))
-IF(ISERROR(GETPIVOTDATA("Somma di AVERE",'Pivot PP Visa'!$A$3,"Mese",9,"Tipologia",$A160,"Viaggio",$A$157)),0,GETPIVOTDATA("Somma di AVERE",'Pivot PP Visa'!$A$3,"Mese",9,"Tipologia",$A160,"Viaggio",$A$157))
+IF(ISERROR(GETPIVOTDATA("Somma di DARE",'Pivot Revolut'!$A$3,"Mese",9,"Tipologia",$A160,"Viaggio",$A$157)),0,GETPIVOTDATA("Somma di DARE",'Pivot Revolut'!$A$3,"Mese",9,"Tipologia",$A160,"Viaggio",$A$157))
-IF(ISERROR(GETPIVOTDATA("Somma di AVERE",'Pivot Revolut'!$A$3,"Mese",9,"Tipologia",$A160,"Viaggio",$A$157)),0,GETPIVOTDATA("Somma di AVERE",'Pivot Revolut'!$A$3,"Mese",9,"Tipologia",$A160,"Viaggio",$A$157))
+IF(ISERROR(GETPIVOTDATA("Somma di DARE",'Pivot RakBank EUR'!$A$3,"Mese",9,"Tipologia",$A160,"Viaggio",$A$157)),0,GETPIVOTDATA("Somma di DARE",'Pivot RakBank EUR'!$A$3,"Mese",9,"Tipologia",$A160,"Viaggio",$A$157))
-IF(ISERROR(GETPIVOTDATA("Somma di AVERE",'Pivot RakBank EUR'!$A$3,"Mese",9,"Tipologia",$A160,"Viaggio",$A$157)),0,GETPIVOTDATA("Somma di AVERE",'Pivot RakBank EUR'!$A$3,"Mese",9,"Tipologia",$A160,"Viaggio",$A$157))
+IF(ISERROR(GETPIVOTDATA("Somma di DARE EUR",'Pivot RakBank AED'!$A$3,"Mese",9,"Tipologia",$A160,"Viaggio",$A$157)),0,GETPIVOTDATA("Somma di DARE EUR",'Pivot RakBank AED'!$A$3,"Mese",9,"Tipologia",$A160,"Viaggio",$A$157))
-IF(ISERROR(GETPIVOTDATA("Somma di AVERE EUR",'Pivot RakBank AED'!$A$3,"Mese",9,"Tipologia",$A160,"Viaggio",$A$157)),0,GETPIVOTDATA("Somma di AVERE EUR",'Pivot RakBank AED'!$A$3,"Mese",9,"Tipologia",$A160,"Viaggio",$A$157))</f>
        <v>0</v>
      </c>
      <c r="L160" s="270">
        <f>IF(ISERROR(GETPIVOTDATA("Somma di DARE",'Pivot Fineco Sa'!$A$3,"Mese",10,"Tipologia",$A160,"Viaggio",$A$157)),0,GETPIVOTDATA("Somma di DARE",'Pivot Fineco Sa'!$A$3,"Mese",10,"Tipologia",$A160,"Viaggio",$A$157))
+IF(ISERROR(GETPIVOTDATA("Somma di DARE",'Pivot Fineco St'!$A$3,"Mese",10,"Tipologia",$A160,"Viaggio",$A$157)),0,GETPIVOTDATA("Somma di DARE",'Pivot Fineco St'!$A$3,"Mese",10,"Tipologia",$A160,"Viaggio",$A$157))
+IF(Contanti!$AO41='Conto Economico'!$A$157,Contanti!$AL41)
+IF(ISERROR(GETPIVOTDATA("Somma di DARE",'Pivot BBVA'!$A$3,"Mese",10,"Tipologia",$A160,"Viaggio",$A$157)),0,GETPIVOTDATA("Somma di DARE",'Pivot BBVA'!$A$3,"Mese",10,"Tipologia",$A160,"Viaggio",$A$157))
+IF(ISERROR(GETPIVOTDATA("Somma di DARE",'Pivot Amex'!$A$3,"Mese",10,"Tipologia",$A160,"Viaggio",$A$157)),0,GETPIVOTDATA("Somma di DARE",'Pivot Amex'!$A$3,"Mese",10,"Tipologia",$A160,"Viaggio",$A$157))
-IF(ISERROR(GETPIVOTDATA("Somma di AVERE",'Pivot Amex'!$A$3,"Mese",10,"Tipologia",$A160,"Viaggio",$A$157)),0,GETPIVOTDATA("Somma di AVERE",'Pivot Amex'!$A$3,"Mese",10,"Tipologia",$A160,"Viaggio",$A$157))
-IF(ISERROR(GETPIVOTDATA("Somma di AVERE",'Pivot BBVA'!$A$3,"Mese",10,"Tipologia",$A160,"Viaggio",$A$157)),0,GETPIVOTDATA("Somma di AVERE",'Pivot BBVA'!$A$3,"Mese",10,"Tipologia",$A160,"Viaggio",$A$157))
-IF(ISERROR(GETPIVOTDATA("Somma di AVERE",'Pivot Fineco St'!$A$3,"Mese",10,"Tipologia",$A160,"Viaggio",$A$157)),0,GETPIVOTDATA("Somma di AVERE",'Pivot Fineco St'!$A$3,"Mese",10,"Tipologia",$A160,"Viaggio",$A$157))
-IF(ISERROR(GETPIVOTDATA("Somma di AVERE",'Pivot Fineco Sa'!$A$3,"Mese",10,"Tipologia",$A160,"Viaggio",$A$157)),0,GETPIVOTDATA("Somma di AVERE",'Pivot Fineco Sa'!$A$3,"Mese",10,"Tipologia",$A160,"Viaggio",$A$157))
+IF(ISERROR(GETPIVOTDATA("Somma di DARE",'Pivot PP Visa'!$A$3,"Mese",10,"Tipologia",$A160,"Viaggio",$A$157)),0,GETPIVOTDATA("Somma di DARE",'Pivot PP Visa'!$A$3,"Mese",10,"Tipologia",$A160,"Viaggio",$A$157))
-IF(ISERROR(GETPIVOTDATA("Somma di AVERE",'Pivot PP Visa'!$A$3,"Mese",10,"Tipologia",$A160,"Viaggio",$A$157)),0,GETPIVOTDATA("Somma di AVERE",'Pivot PP Visa'!$A$3,"Mese",10,"Tipologia",$A160,"Viaggio",$A$157))
+IF(ISERROR(GETPIVOTDATA("Somma di DARE",'Pivot Revolut'!$A$3,"Mese",10,"Tipologia",$A160,"Viaggio",$A$157)),0,GETPIVOTDATA("Somma di DARE",'Pivot Revolut'!$A$3,"Mese",10,"Tipologia",$A160,"Viaggio",$A$157))
-IF(ISERROR(GETPIVOTDATA("Somma di AVERE",'Pivot Revolut'!$A$3,"Mese",10,"Tipologia",$A160,"Viaggio",$A$157)),0,GETPIVOTDATA("Somma di AVERE",'Pivot Revolut'!$A$3,"Mese",10,"Tipologia",$A160,"Viaggio",$A$157))
+IF(ISERROR(GETPIVOTDATA("Somma di DARE",'Pivot RakBank EUR'!$A$3,"Mese",10,"Tipologia",$A160,"Viaggio",$A$157)),0,GETPIVOTDATA("Somma di DARE",'Pivot RakBank EUR'!$A$3,"Mese",10,"Tipologia",$A160,"Viaggio",$A$157))
-IF(ISERROR(GETPIVOTDATA("Somma di AVERE",'Pivot RakBank EUR'!$A$3,"Mese",10,"Tipologia",$A160,"Viaggio",$A$157)),0,GETPIVOTDATA("Somma di AVERE",'Pivot RakBank EUR'!$A$3,"Mese",10,"Tipologia",$A160,"Viaggio",$A$157))
+IF(ISERROR(GETPIVOTDATA("Somma di DARE EUR",'Pivot RakBank AED'!$A$3,"Mese",10,"Tipologia",$A160,"Viaggio",$A$157)),0,GETPIVOTDATA("Somma di DARE EUR",'Pivot RakBank AED'!$A$3,"Mese",10,"Tipologia",$A160,"Viaggio",$A$157))
-IF(ISERROR(GETPIVOTDATA("Somma di AVERE EUR",'Pivot RakBank AED'!$A$3,"Mese",10,"Tipologia",$A160,"Viaggio",$A$157)),0,GETPIVOTDATA("Somma di AVERE EUR",'Pivot RakBank AED'!$A$3,"Mese",10,"Tipologia",$A160,"Viaggio",$A$157))</f>
        <v>0</v>
      </c>
      <c r="M160" s="270">
        <f>IF(ISERROR(GETPIVOTDATA("Somma di DARE",'Pivot Fineco Sa'!$A$3,"Mese",11,"Tipologia",$A160,"Viaggio",$A$157)),0,GETPIVOTDATA("Somma di DARE",'Pivot Fineco Sa'!$A$3,"Mese",11,"Tipologia",$A160,"Viaggio",$A$157))
+IF(ISERROR(GETPIVOTDATA("Somma di DARE",'Pivot Fineco St'!$A$3,"Mese",11,"Tipologia",$A160,"Viaggio",$A$157)),0,GETPIVOTDATA("Somma di DARE",'Pivot Fineco St'!$A$3,"Mese",11,"Tipologia",$A160,"Viaggio",$A$157))
+IF(Contanti!$AS41='Conto Economico'!$A$157,Contanti!$AP41)
+IF(ISERROR(GETPIVOTDATA("Somma di DARE",'Pivot BBVA'!$A$3,"Mese",11,"Tipologia",$A160,"Viaggio",$A$157)),0,GETPIVOTDATA("Somma di DARE",'Pivot BBVA'!$A$3,"Mese",11,"Tipologia",$A160,"Viaggio",$A$157))
+IF(ISERROR(GETPIVOTDATA("Somma di DARE",'Pivot Amex'!$A$3,"Mese",11,"Tipologia",$A160,"Viaggio",$A$157)),0,GETPIVOTDATA("Somma di DARE",'Pivot Amex'!$A$3,"Mese",11,"Tipologia",$A160,"Viaggio",$A$157))
-IF(ISERROR(GETPIVOTDATA("Somma di AVERE",'Pivot Amex'!$A$3,"Mese",11,"Tipologia",$A160,"Viaggio",$A$157)),0,GETPIVOTDATA("Somma di AVERE",'Pivot Amex'!$A$3,"Mese",11,"Tipologia",$A160,"Viaggio",$A$157))
-IF(ISERROR(GETPIVOTDATA("Somma di AVERE",'Pivot BBVA'!$A$3,"Mese",11,"Tipologia",$A160,"Viaggio",$A$157)),0,GETPIVOTDATA("Somma di AVERE",'Pivot BBVA'!$A$3,"Mese",11,"Tipologia",$A160,"Viaggio",$A$157))
-IF(ISERROR(GETPIVOTDATA("Somma di AVERE",'Pivot Fineco St'!$A$3,"Mese",11,"Tipologia",$A160,"Viaggio",$A$157)),0,GETPIVOTDATA("Somma di AVERE",'Pivot Fineco St'!$A$3,"Mese",11,"Tipologia",$A160,"Viaggio",$A$157))
-IF(ISERROR(GETPIVOTDATA("Somma di AVERE",'Pivot Fineco Sa'!$A$3,"Mese",11,"Tipologia",$A160,"Viaggio",$A$157)),0,GETPIVOTDATA("Somma di AVERE",'Pivot Fineco Sa'!$A$3,"Mese",11,"Tipologia",$A160,"Viaggio",$A$157))
+IF(ISERROR(GETPIVOTDATA("Somma di DARE",'Pivot PP Visa'!$A$3,"Mese",11,"Tipologia",$A160,"Viaggio",$A$157)),0,GETPIVOTDATA("Somma di DARE",'Pivot PP Visa'!$A$3,"Mese",11,"Tipologia",$A160,"Viaggio",$A$157))
-IF(ISERROR(GETPIVOTDATA("Somma di AVERE",'Pivot PP Visa'!$A$3,"Mese",11,"Tipologia",$A160,"Viaggio",$A$157)),0,GETPIVOTDATA("Somma di AVERE",'Pivot PP Visa'!$A$3,"Mese",11,"Tipologia",$A160,"Viaggio",$A$157))
+IF(ISERROR(GETPIVOTDATA("Somma di DARE",'Pivot Revolut'!$A$3,"Mese",11,"Tipologia",$A160,"Viaggio",$A$157)),0,GETPIVOTDATA("Somma di DARE",'Pivot Revolut'!$A$3,"Mese",11,"Tipologia",$A160,"Viaggio",$A$157))
-IF(ISERROR(GETPIVOTDATA("Somma di AVERE",'Pivot Revolut'!$A$3,"Mese",11,"Tipologia",$A160,"Viaggio",$A$157)),0,GETPIVOTDATA("Somma di AVERE",'Pivot Revolut'!$A$3,"Mese",11,"Tipologia",$A160,"Viaggio",$A$157))
+IF(ISERROR(GETPIVOTDATA("Somma di DARE",'Pivot RakBank EUR'!$A$3,"Mese",11,"Tipologia",$A160,"Viaggio",$A$157)),0,GETPIVOTDATA("Somma di DARE",'Pivot RakBank EUR'!$A$3,"Mese",11,"Tipologia",$A160,"Viaggio",$A$157))
-IF(ISERROR(GETPIVOTDATA("Somma di AVERE",'Pivot RakBank EUR'!$A$3,"Mese",11,"Tipologia",$A160,"Viaggio",$A$157)),0,GETPIVOTDATA("Somma di AVERE",'Pivot RakBank EUR'!$A$3,"Mese",11,"Tipologia",$A160,"Viaggio",$A$157))
+IF(ISERROR(GETPIVOTDATA("Somma di DARE EUR",'Pivot RakBank AED'!$A$3,"Mese",11,"Tipologia",$A160,"Viaggio",$A$157)),0,GETPIVOTDATA("Somma di DARE EUR",'Pivot RakBank AED'!$A$3,"Mese",11,"Tipologia",$A160,"Viaggio",$A$157))
-IF(ISERROR(GETPIVOTDATA("Somma di AVERE EUR",'Pivot RakBank AED'!$A$3,"Mese",11,"Tipologia",$A160,"Viaggio",$A$157)),0,GETPIVOTDATA("Somma di AVERE EUR",'Pivot RakBank AED'!$A$3,"Mese",11,"Tipologia",$A160,"Viaggio",$A$157))</f>
        <v>0</v>
      </c>
      <c r="N160" s="270">
        <f>IF(ISERROR(GETPIVOTDATA("Somma di DARE",'Pivot Fineco Sa'!$A$3,"Mese",12,"Tipologia",$A160,"Viaggio",$A$157)),0,GETPIVOTDATA("Somma di DARE",'Pivot Fineco Sa'!$A$3,"Mese",12,"Tipologia",$A160,"Viaggio",$A$157))
+IF(ISERROR(GETPIVOTDATA("Somma di DARE",'Pivot Fineco St'!$A$3,"Mese",12,"Tipologia",$A160,"Viaggio",$A$157)),0,GETPIVOTDATA("Somma di DARE",'Pivot Fineco St'!$A$3,"Mese",12,"Tipologia",$A160,"Viaggio",$A$157))
+IF(Contanti!$AW41='Conto Economico'!$A$157,Contanti!$AT41)
+IF(ISERROR(GETPIVOTDATA("Somma di DARE",'Pivot BBVA'!$A$3,"Mese",12,"Tipologia",$A160,"Viaggio",$A$157)),0,GETPIVOTDATA("Somma di DARE",'Pivot BBVA'!$A$3,"Mese",12,"Tipologia",$A160,"Viaggio",$A$157))
+IF(ISERROR(GETPIVOTDATA("Somma di DARE",'Pivot Amex'!$A$3,"Mese",12,"Tipologia",$A160,"Viaggio",$A$157)),0,GETPIVOTDATA("Somma di DARE",'Pivot Amex'!$A$3,"Mese",12,"Tipologia",$A160,"Viaggio",$A$157))
-IF(ISERROR(GETPIVOTDATA("Somma di AVERE",'Pivot Amex'!$A$3,"Mese",12,"Tipologia",$A160,"Viaggio",$A$157)),0,GETPIVOTDATA("Somma di AVERE",'Pivot Amex'!$A$3,"Mese",12,"Tipologia",$A160,"Viaggio",$A$157))
-IF(ISERROR(GETPIVOTDATA("Somma di AVERE",'Pivot BBVA'!$A$3,"Mese",12,"Tipologia",$A160,"Viaggio",$A$157)),0,GETPIVOTDATA("Somma di AVERE",'Pivot BBVA'!$A$3,"Mese",12,"Tipologia",$A160,"Viaggio",$A$157))
-IF(ISERROR(GETPIVOTDATA("Somma di AVERE",'Pivot Fineco St'!$A$3,"Mese",12,"Tipologia",$A160,"Viaggio",$A$157)),0,GETPIVOTDATA("Somma di AVERE",'Pivot Fineco St'!$A$3,"Mese",12,"Tipologia",$A160,"Viaggio",$A$157))
-IF(ISERROR(GETPIVOTDATA("Somma di AVERE",'Pivot Fineco Sa'!$A$3,"Mese",12,"Tipologia",$A160,"Viaggio",$A$157)),0,GETPIVOTDATA("Somma di AVERE",'Pivot Fineco Sa'!$A$3,"Mese",12,"Tipologia",$A160,"Viaggio",$A$157))
+IF(ISERROR(GETPIVOTDATA("Somma di DARE",'Pivot PP Visa'!$A$3,"Mese",12,"Tipologia",$A160,"Viaggio",$A$157)),0,GETPIVOTDATA("Somma di DARE",'Pivot PP Visa'!$A$3,"Mese",12,"Tipologia",$A160,"Viaggio",$A$157))
-IF(ISERROR(GETPIVOTDATA("Somma di AVERE",'Pivot PP Visa'!$A$3,"Mese",12,"Tipologia",$A160,"Viaggio",$A$157)),0,GETPIVOTDATA("Somma di AVERE",'Pivot PP Visa'!$A$3,"Mese",12,"Tipologia",$A160,"Viaggio",$A$157))
+IF(ISERROR(GETPIVOTDATA("Somma di DARE",'Pivot Revolut'!$A$3,"Mese",12,"Tipologia",$A160,"Viaggio",$A$157)),0,GETPIVOTDATA("Somma di DARE",'Pivot Revolut'!$A$3,"Mese",12,"Tipologia",$A160,"Viaggio",$A$157))
-IF(ISERROR(GETPIVOTDATA("Somma di AVERE",'Pivot Revolut'!$A$3,"Mese",12,"Tipologia",$A160,"Viaggio",$A$157)),0,GETPIVOTDATA("Somma di AVERE",'Pivot Revolut'!$A$3,"Mese",12,"Tipologia",$A160,"Viaggio",$A$157))
+IF(ISERROR(GETPIVOTDATA("Somma di DARE",'Pivot RakBank EUR'!$A$3,"Mese",12,"Tipologia",$A160,"Viaggio",$A$157)),0,GETPIVOTDATA("Somma di DARE",'Pivot RakBank EUR'!$A$3,"Mese",12,"Tipologia",$A160,"Viaggio",$A$157))
-IF(ISERROR(GETPIVOTDATA("Somma di AVERE",'Pivot RakBank EUR'!$A$3,"Mese",12,"Tipologia",$A160,"Viaggio",$A$157)),0,GETPIVOTDATA("Somma di AVERE",'Pivot RakBank EUR'!$A$3,"Mese",12,"Tipologia",$A160,"Viaggio",$A$157))
+IF(ISERROR(GETPIVOTDATA("Somma di DARE EUR",'Pivot RakBank AED'!$A$3,"Mese",12,"Tipologia",$A160,"Viaggio",$A$157)),0,GETPIVOTDATA("Somma di DARE EUR",'Pivot RakBank AED'!$A$3,"Mese",12,"Tipologia",$A160,"Viaggio",$A$157))
-IF(ISERROR(GETPIVOTDATA("Somma di AVERE EUR",'Pivot RakBank AED'!$A$3,"Mese",12,"Tipologia",$A160,"Viaggio",$A$157)),0,GETPIVOTDATA("Somma di AVERE EUR",'Pivot RakBank AED'!$A$3,"Mese",12,"Tipologia",$A160,"Viaggio",$A$157))</f>
        <v>0</v>
      </c>
      <c r="O160" s="271">
        <f t="shared" si="21"/>
        <v>0</v>
      </c>
      <c r="P160" s="270"/>
    </row>
    <row r="161" spans="1:16" s="131" customFormat="1" ht="14" outlineLevel="1" x14ac:dyDescent="0.2">
      <c r="A161" s="269" t="s">
        <v>113</v>
      </c>
      <c r="B161" s="269"/>
      <c r="C161" s="270">
        <f>IF(ISERROR(GETPIVOTDATA("Somma di DARE",'Pivot Fineco Sa'!$A$3,"Mese",1,"Tipologia",$A161,"Viaggio",$A$157)),0,GETPIVOTDATA("Somma di DARE",'Pivot Fineco Sa'!$A$3,"Mese",1,"Tipologia",$A161,"Viaggio",$A$157))
+IF(ISERROR(GETPIVOTDATA("Somma di DARE",'Pivot Fineco St'!$A$3,"Mese",1,"Tipologia",$A161,"Viaggio",$A$157)),0,GETPIVOTDATA("Somma di DARE",'Pivot Fineco St'!$A$3,"Mese",1,"Tipologia",$A161,"Viaggio",$A$157))
+IF(Contanti!$E42='Conto Economico'!$A$157,Contanti!$B42)
+IF(ISERROR(GETPIVOTDATA("Somma di DARE",'Pivot BBVA'!$A$3,"Mese",1,"Tipologia",$A161,"Viaggio",$A$157)),0,GETPIVOTDATA("Somma di DARE",'Pivot BBVA'!$A$3,"Mese",1,"Tipologia",$A161,"Viaggio",$A$157))
+IF(ISERROR(GETPIVOTDATA("Somma di DARE",'Pivot Amex'!$A$3,"Mese",1,"Tipologia",$A161,"Viaggio",$A$157)),0,GETPIVOTDATA("Somma di DARE",'Pivot Amex'!$A$3,"Mese",1,"Tipologia",$A161,"Viaggio",$A$157))
-IF(ISERROR(GETPIVOTDATA("Somma di AVERE",'Pivot Amex'!$A$3,"Mese",1,"Tipologia",$A161,"Viaggio",$A$157)),0,GETPIVOTDATA("Somma di AVERE",'Pivot Amex'!$A$3,"Mese",1,"Tipologia",$A161,"Viaggio",$A$157))
-IF(ISERROR(GETPIVOTDATA("Somma di AVERE",'Pivot BBVA'!$A$3,"Mese",1,"Tipologia",$A161,"Viaggio",$A$157)),0,GETPIVOTDATA("Somma di AVERE",'Pivot BBVA'!$A$3,"Mese",1,"Tipologia",$A161,"Viaggio",$A$157))
-IF(ISERROR(GETPIVOTDATA("Somma di AVERE",'Pivot Fineco St'!$A$3,"Mese",1,"Tipologia",$A161,"Viaggio",$A$157)),0,GETPIVOTDATA("Somma di AVERE",'Pivot Fineco St'!$A$3,"Mese",1,"Tipologia",$A161,"Viaggio",$A$157))
-IF(ISERROR(GETPIVOTDATA("Somma di AVERE",'Pivot Fineco Sa'!$A$3,"Mese",1,"Tipologia",$A161,"Viaggio",$A$157)),0,GETPIVOTDATA("Somma di AVERE",'Pivot Fineco Sa'!$A$3,"Mese",1,"Tipologia",$A161,"Viaggio",$A$157))
+IF(ISERROR(GETPIVOTDATA("Somma di DARE",'Pivot PP Visa'!$A$3,"Mese",1,"Tipologia",$A161,"Viaggio",$A$157)),0,GETPIVOTDATA("Somma di DARE",'Pivot PP Visa'!$A$3,"Mese",1,"Tipologia",$A161,"Viaggio",$A$157))
-IF(ISERROR(GETPIVOTDATA("Somma di AVERE",'Pivot PP Visa'!$A$3,"Mese",1,"Tipologia",$A161,"Viaggio",$A$157)),0,GETPIVOTDATA("Somma di AVERE",'Pivot PP Visa'!$A$3,"Mese",1,"Tipologia",$A161,"Viaggio",$A$157))
+IF(ISERROR(GETPIVOTDATA("Somma di DARE",'Pivot Revolut'!$A$3,"Mese",1,"Tipologia",$A161,"Viaggio",$A$157)),0,GETPIVOTDATA("Somma di DARE",'Pivot Revolut'!$A$3,"Mese",1,"Tipologia",$A161,"Viaggio",$A$157))
-IF(ISERROR(GETPIVOTDATA("Somma di AVERE",'Pivot Revolut'!$A$3,"Mese",1,"Tipologia",$A161,"Viaggio",$A$157)),0,GETPIVOTDATA("Somma di AVERE",'Pivot Revolut'!$A$3,"Mese",1,"Tipologia",$A161,"Viaggio",$A$157))
+IF(ISERROR(GETPIVOTDATA("Somma di DARE",'Pivot RakBank EUR'!$A$3,"Mese",1,"Tipologia",$A161,"Viaggio",$A$157)),0,GETPIVOTDATA("Somma di DARE",'Pivot RakBank EUR'!$A$3,"Mese",1,"Tipologia",$A161,"Viaggio",$A$157))
-IF(ISERROR(GETPIVOTDATA("Somma di AVERE",'Pivot RakBank EUR'!$A$3,"Mese",1,"Tipologia",$A161,"Viaggio",$A$157)),0,GETPIVOTDATA("Somma di AVERE",'Pivot RakBank EUR'!$A$3,"Mese",1,"Tipologia",$A161,"Viaggio",$A$157))
+IF(ISERROR(GETPIVOTDATA("Somma di DARE EUR",'Pivot RakBank AED'!$A$3,"Mese",1,"Tipologia",$A161,"Viaggio",$A$157)),0,GETPIVOTDATA("Somma di DARE EUR",'Pivot RakBank AED'!$A$3,"Mese",1,"Tipologia",$A161,"Viaggio",$A$157))
-IF(ISERROR(GETPIVOTDATA("Somma di AVERE EUR",'Pivot RakBank AED'!$A$3,"Mese",1,"Tipologia",$A161,"Viaggio",$A$157)),0,GETPIVOTDATA("Somma di AVERE EUR",'Pivot RakBank AED'!$A$3,"Mese",1,"Tipologia",$A161,"Viaggio",$A$157))</f>
        <v>0</v>
      </c>
      <c r="D161" s="270">
        <f>IF(ISERROR(GETPIVOTDATA("Somma di DARE",'Pivot Fineco Sa'!$A$3,"Mese",2,"Tipologia",$A161,"Viaggio",$A$157)),0,GETPIVOTDATA("Somma di DARE",'Pivot Fineco Sa'!$A$3,"Mese",2,"Tipologia",$A161,"Viaggio",$A$157))
+IF(ISERROR(GETPIVOTDATA("Somma di DARE",'Pivot Fineco St'!$A$3,"Mese",2,"Tipologia",$A161,"Viaggio",$A$157)),0,GETPIVOTDATA("Somma di DARE",'Pivot Fineco St'!$A$3,"Mese",2,"Tipologia",$A161,"Viaggio",$A$157))
+IF(Contanti!$I42='Conto Economico'!$A$157,Contanti!$F42)
+IF(ISERROR(GETPIVOTDATA("Somma di DARE",'Pivot BBVA'!$A$3,"Mese",2,"Tipologia",$A161,"Viaggio",$A$157)),0,GETPIVOTDATA("Somma di DARE",'Pivot BBVA'!$A$3,"Mese",2,"Tipologia",$A161,"Viaggio",$A$157))
+IF(ISERROR(GETPIVOTDATA("Somma di DARE",'Pivot Amex'!$A$3,"Mese",2,"Tipologia",$A161,"Viaggio",$A$157)),0,GETPIVOTDATA("Somma di DARE",'Pivot Amex'!$A$3,"Mese",2,"Tipologia",$A161,"Viaggio",$A$157))
-IF(ISERROR(GETPIVOTDATA("Somma di AVERE",'Pivot Amex'!$A$3,"Mese",2,"Tipologia",$A161,"Viaggio",$A$157)),0,GETPIVOTDATA("Somma di AVERE",'Pivot Amex'!$A$3,"Mese",2,"Tipologia",$A161,"Viaggio",$A$157))
-IF(ISERROR(GETPIVOTDATA("Somma di AVERE",'Pivot BBVA'!$A$3,"Mese",2,"Tipologia",$A161,"Viaggio",$A$157)),0,GETPIVOTDATA("Somma di AVERE",'Pivot BBVA'!$A$3,"Mese",2,"Tipologia",$A161,"Viaggio",$A$157))
-IF(ISERROR(GETPIVOTDATA("Somma di AVERE",'Pivot Fineco St'!$A$3,"Mese",2,"Tipologia",$A161,"Viaggio",$A$157)),0,GETPIVOTDATA("Somma di AVERE",'Pivot Fineco St'!$A$3,"Mese",2,"Tipologia",$A161,"Viaggio",$A$157))
-IF(ISERROR(GETPIVOTDATA("Somma di AVERE",'Pivot Fineco Sa'!$A$3,"Mese",2,"Tipologia",$A161,"Viaggio",$A$157)),0,GETPIVOTDATA("Somma di AVERE",'Pivot Fineco Sa'!$A$3,"Mese",2,"Tipologia",$A161,"Viaggio",$A$157))
+IF(ISERROR(GETPIVOTDATA("Somma di DARE",'Pivot PP Visa'!$A$3,"Mese",2,"Tipologia",$A161,"Viaggio",$A$157)),0,GETPIVOTDATA("Somma di DARE",'Pivot PP Visa'!$A$3,"Mese",2,"Tipologia",$A161,"Viaggio",$A$157))
-IF(ISERROR(GETPIVOTDATA("Somma di AVERE",'Pivot PP Visa'!$A$3,"Mese",2,"Tipologia",$A161,"Viaggio",$A$157)),0,GETPIVOTDATA("Somma di AVERE",'Pivot PP Visa'!$A$3,"Mese",2,"Tipologia",$A161,"Viaggio",$A$157))
+IF(ISERROR(GETPIVOTDATA("Somma di DARE",'Pivot Revolut'!$A$3,"Mese",2,"Tipologia",$A161,"Viaggio",$A$157)),0,GETPIVOTDATA("Somma di DARE",'Pivot Revolut'!$A$3,"Mese",2,"Tipologia",$A161,"Viaggio",$A$157))
-IF(ISERROR(GETPIVOTDATA("Somma di AVERE",'Pivot Revolut'!$A$3,"Mese",2,"Tipologia",$A161,"Viaggio",$A$157)),0,GETPIVOTDATA("Somma di AVERE",'Pivot Revolut'!$A$3,"Mese",2,"Tipologia",$A161,"Viaggio",$A$157))
+IF(ISERROR(GETPIVOTDATA("Somma di DARE",'Pivot RakBank EUR'!$A$3,"Mese",2,"Tipologia",$A161,"Viaggio",$A$157)),0,GETPIVOTDATA("Somma di DARE",'Pivot RakBank EUR'!$A$3,"Mese",2,"Tipologia",$A161,"Viaggio",$A$157))
-IF(ISERROR(GETPIVOTDATA("Somma di AVERE",'Pivot RakBank EUR'!$A$3,"Mese",2,"Tipologia",$A161,"Viaggio",$A$157)),0,GETPIVOTDATA("Somma di AVERE",'Pivot RakBank EUR'!$A$3,"Mese",2,"Tipologia",$A161,"Viaggio",$A$157))
+IF(ISERROR(GETPIVOTDATA("Somma di DARE EUR",'Pivot RakBank AED'!$A$3,"Mese",2,"Tipologia",$A161,"Viaggio",$A$157)),0,GETPIVOTDATA("Somma di DARE EUR",'Pivot RakBank AED'!$A$3,"Mese",2,"Tipologia",$A161,"Viaggio",$A$157))
-IF(ISERROR(GETPIVOTDATA("Somma di AVERE EUR",'Pivot RakBank AED'!$A$3,"Mese",2,"Tipologia",$A161,"Viaggio",$A$157)),0,GETPIVOTDATA("Somma di AVERE EUR",'Pivot RakBank AED'!$A$3,"Mese",2,"Tipologia",$A161,"Viaggio",$A$157))</f>
        <v>0</v>
      </c>
      <c r="E161" s="270">
        <f>IF(ISERROR(GETPIVOTDATA("Somma di DARE",'Pivot Fineco Sa'!$A$3,"Mese",3,"Tipologia",$A161,"Viaggio",$A$157)),0,GETPIVOTDATA("Somma di DARE",'Pivot Fineco Sa'!$A$3,"Mese",3,"Tipologia",$A161,"Viaggio",$A$157))
+IF(ISERROR(GETPIVOTDATA("Somma di DARE",'Pivot Fineco St'!$A$3,"Mese",3,"Tipologia",$A161,"Viaggio",$A$157)),0,GETPIVOTDATA("Somma di DARE",'Pivot Fineco St'!$A$3,"Mese",3,"Tipologia",$A161,"Viaggio",$A$157))
+IF(Contanti!$M42='Conto Economico'!$A$157,Contanti!$J42)
+IF(ISERROR(GETPIVOTDATA("Somma di DARE",'Pivot BBVA'!$A$3,"Mese",3,"Tipologia",$A161,"Viaggio",$A$157)),0,GETPIVOTDATA("Somma di DARE",'Pivot BBVA'!$A$3,"Mese",3,"Tipologia",$A161,"Viaggio",$A$157))
+IF(ISERROR(GETPIVOTDATA("Somma di DARE",'Pivot Amex'!$A$3,"Mese",3,"Tipologia",$A161,"Viaggio",$A$157)),0,GETPIVOTDATA("Somma di DARE",'Pivot Amex'!$A$3,"Mese",3,"Tipologia",$A161,"Viaggio",$A$157))
-IF(ISERROR(GETPIVOTDATA("Somma di AVERE",'Pivot Amex'!$A$3,"Mese",3,"Tipologia",$A161,"Viaggio",$A$157)),0,GETPIVOTDATA("Somma di AVERE",'Pivot Amex'!$A$3,"Mese",3,"Tipologia",$A161,"Viaggio",$A$157))
-IF(ISERROR(GETPIVOTDATA("Somma di AVERE",'Pivot BBVA'!$A$3,"Mese",3,"Tipologia",$A161,"Viaggio",$A$157)),0,GETPIVOTDATA("Somma di AVERE",'Pivot BBVA'!$A$3,"Mese",3,"Tipologia",$A161,"Viaggio",$A$157))
-IF(ISERROR(GETPIVOTDATA("Somma di AVERE",'Pivot Fineco St'!$A$3,"Mese",3,"Tipologia",$A161,"Viaggio",$A$157)),0,GETPIVOTDATA("Somma di AVERE",'Pivot Fineco St'!$A$3,"Mese",3,"Tipologia",$A161,"Viaggio",$A$157))
-IF(ISERROR(GETPIVOTDATA("Somma di AVERE",'Pivot Fineco Sa'!$A$3,"Mese",3,"Tipologia",$A161,"Viaggio",$A$157)),0,GETPIVOTDATA("Somma di AVERE",'Pivot Fineco Sa'!$A$3,"Mese",3,"Tipologia",$A161,"Viaggio",$A$157))
+IF(ISERROR(GETPIVOTDATA("Somma di DARE",'Pivot PP Visa'!$A$3,"Mese",3,"Tipologia",$A161,"Viaggio",$A$157)),0,GETPIVOTDATA("Somma di DARE",'Pivot PP Visa'!$A$3,"Mese",3,"Tipologia",$A161,"Viaggio",$A$157))
-IF(ISERROR(GETPIVOTDATA("Somma di AVERE",'Pivot PP Visa'!$A$3,"Mese",3,"Tipologia",$A161,"Viaggio",$A$157)),0,GETPIVOTDATA("Somma di AVERE",'Pivot PP Visa'!$A$3,"Mese",3,"Tipologia",$A161,"Viaggio",$A$157))
+IF(ISERROR(GETPIVOTDATA("Somma di DARE",'Pivot Revolut'!$A$3,"Mese",3,"Tipologia",$A161,"Viaggio",$A$157)),0,GETPIVOTDATA("Somma di DARE",'Pivot Revolut'!$A$3,"Mese",3,"Tipologia",$A161,"Viaggio",$A$157))
-IF(ISERROR(GETPIVOTDATA("Somma di AVERE",'Pivot Revolut'!$A$3,"Mese",3,"Tipologia",$A161,"Viaggio",$A$157)),0,GETPIVOTDATA("Somma di AVERE",'Pivot Revolut'!$A$3,"Mese",3,"Tipologia",$A161,"Viaggio",$A$157))
+IF(ISERROR(GETPIVOTDATA("Somma di DARE",'Pivot RakBank EUR'!$A$3,"Mese",3,"Tipologia",$A161,"Viaggio",$A$157)),0,GETPIVOTDATA("Somma di DARE",'Pivot RakBank EUR'!$A$3,"Mese",3,"Tipologia",$A161,"Viaggio",$A$157))
-IF(ISERROR(GETPIVOTDATA("Somma di AVERE",'Pivot RakBank EUR'!$A$3,"Mese",3,"Tipologia",$A161,"Viaggio",$A$157)),0,GETPIVOTDATA("Somma di AVERE",'Pivot RakBank EUR'!$A$3,"Mese",3,"Tipologia",$A161,"Viaggio",$A$157))
+IF(ISERROR(GETPIVOTDATA("Somma di DARE EUR",'Pivot RakBank AED'!$A$3,"Mese",3,"Tipologia",$A161,"Viaggio",$A$157)),0,GETPIVOTDATA("Somma di DARE EUR",'Pivot RakBank AED'!$A$3,"Mese",3,"Tipologia",$A161,"Viaggio",$A$157))
-IF(ISERROR(GETPIVOTDATA("Somma di AVERE EUR",'Pivot RakBank AED'!$A$3,"Mese",3,"Tipologia",$A161,"Viaggio",$A$157)),0,GETPIVOTDATA("Somma di AVERE EUR",'Pivot RakBank AED'!$A$3,"Mese",3,"Tipologia",$A161,"Viaggio",$A$157))</f>
        <v>0</v>
      </c>
      <c r="F161" s="270">
        <f>IF(ISERROR(GETPIVOTDATA("Somma di DARE",'Pivot Fineco Sa'!$A$3,"Mese",4,"Tipologia",$A161,"Viaggio",$A$157)),0,GETPIVOTDATA("Somma di DARE",'Pivot Fineco Sa'!$A$3,"Mese",4,"Tipologia",$A161,"Viaggio",$A$157))
+IF(ISERROR(GETPIVOTDATA("Somma di DARE",'Pivot Fineco St'!$A$3,"Mese",4,"Tipologia",$A161,"Viaggio",$A$157)),0,GETPIVOTDATA("Somma di DARE",'Pivot Fineco St'!$A$3,"Mese",4,"Tipologia",$A161,"Viaggio",$A$157))
+IF(Contanti!$Q42='Conto Economico'!$A$157,Contanti!$N42)
+IF(ISERROR(GETPIVOTDATA("Somma di DARE",'Pivot BBVA'!$A$3,"Mese",4,"Tipologia",$A161,"Viaggio",$A$157)),0,GETPIVOTDATA("Somma di DARE",'Pivot BBVA'!$A$3,"Mese",4,"Tipologia",$A161,"Viaggio",$A$157))
+IF(ISERROR(GETPIVOTDATA("Somma di DARE",'Pivot Amex'!$A$3,"Mese",4,"Tipologia",$A161,"Viaggio",$A$157)),0,GETPIVOTDATA("Somma di DARE",'Pivot Amex'!$A$3,"Mese",4,"Tipologia",$A161,"Viaggio",$A$157))
-IF(ISERROR(GETPIVOTDATA("Somma di AVERE",'Pivot Amex'!$A$3,"Mese",4,"Tipologia",$A161,"Viaggio",$A$157)),0,GETPIVOTDATA("Somma di AVERE",'Pivot Amex'!$A$3,"Mese",4,"Tipologia",$A161,"Viaggio",$A$157))
-IF(ISERROR(GETPIVOTDATA("Somma di AVERE",'Pivot BBVA'!$A$3,"Mese",4,"Tipologia",$A161,"Viaggio",$A$157)),0,GETPIVOTDATA("Somma di AVERE",'Pivot BBVA'!$A$3,"Mese",4,"Tipologia",$A161,"Viaggio",$A$157))
-IF(ISERROR(GETPIVOTDATA("Somma di AVERE",'Pivot Fineco St'!$A$3,"Mese",4,"Tipologia",$A161,"Viaggio",$A$157)),0,GETPIVOTDATA("Somma di AVERE",'Pivot Fineco St'!$A$3,"Mese",4,"Tipologia",$A161,"Viaggio",$A$157))
-IF(ISERROR(GETPIVOTDATA("Somma di AVERE",'Pivot Fineco Sa'!$A$3,"Mese",4,"Tipologia",$A161,"Viaggio",$A$157)),0,GETPIVOTDATA("Somma di AVERE",'Pivot Fineco Sa'!$A$3,"Mese",4,"Tipologia",$A161,"Viaggio",$A$157))
+IF(ISERROR(GETPIVOTDATA("Somma di DARE",'Pivot PP Visa'!$A$3,"Mese",4,"Tipologia",$A161,"Viaggio",$A$157)),0,GETPIVOTDATA("Somma di DARE",'Pivot PP Visa'!$A$3,"Mese",4,"Tipologia",$A161,"Viaggio",$A$157))
-IF(ISERROR(GETPIVOTDATA("Somma di AVERE",'Pivot PP Visa'!$A$3,"Mese",4,"Tipologia",$A161,"Viaggio",$A$157)),0,GETPIVOTDATA("Somma di AVERE",'Pivot PP Visa'!$A$3,"Mese",4,"Tipologia",$A161,"Viaggio",$A$157))
+IF(ISERROR(GETPIVOTDATA("Somma di DARE",'Pivot Revolut'!$A$3,"Mese",4,"Tipologia",$A161,"Viaggio",$A$157)),0,GETPIVOTDATA("Somma di DARE",'Pivot Revolut'!$A$3,"Mese",4,"Tipologia",$A161,"Viaggio",$A$157))
-IF(ISERROR(GETPIVOTDATA("Somma di AVERE",'Pivot Revolut'!$A$3,"Mese",4,"Tipologia",$A161,"Viaggio",$A$157)),0,GETPIVOTDATA("Somma di AVERE",'Pivot Revolut'!$A$3,"Mese",4,"Tipologia",$A161,"Viaggio",$A$157))
+IF(ISERROR(GETPIVOTDATA("Somma di DARE",'Pivot RakBank EUR'!$A$3,"Mese",4,"Tipologia",$A161,"Viaggio",$A$157)),0,GETPIVOTDATA("Somma di DARE",'Pivot RakBank EUR'!$A$3,"Mese",4,"Tipologia",$A161,"Viaggio",$A$157))
-IF(ISERROR(GETPIVOTDATA("Somma di AVERE",'Pivot RakBank EUR'!$A$3,"Mese",4,"Tipologia",$A161,"Viaggio",$A$157)),0,GETPIVOTDATA("Somma di AVERE",'Pivot RakBank EUR'!$A$3,"Mese",4,"Tipologia",$A161,"Viaggio",$A$157))
+IF(ISERROR(GETPIVOTDATA("Somma di DARE EUR",'Pivot RakBank AED'!$A$3,"Mese",4,"Tipologia",$A161,"Viaggio",$A$157)),0,GETPIVOTDATA("Somma di DARE EUR",'Pivot RakBank AED'!$A$3,"Mese",4,"Tipologia",$A161,"Viaggio",$A$157))
-IF(ISERROR(GETPIVOTDATA("Somma di AVERE EUR",'Pivot RakBank AED'!$A$3,"Mese",4,"Tipologia",$A161,"Viaggio",$A$157)),0,GETPIVOTDATA("Somma di AVERE EUR",'Pivot RakBank AED'!$A$3,"Mese",4,"Tipologia",$A161,"Viaggio",$A$157))</f>
        <v>0</v>
      </c>
      <c r="G161" s="270">
        <f>IF(ISERROR(GETPIVOTDATA("Somma di DARE",'Pivot Fineco Sa'!$A$3,"Mese",5,"Tipologia",$A161,"Viaggio",$A$157)),0,GETPIVOTDATA("Somma di DARE",'Pivot Fineco Sa'!$A$3,"Mese",5,"Tipologia",$A161,"Viaggio",$A$157))
+IF(ISERROR(GETPIVOTDATA("Somma di DARE",'Pivot Fineco St'!$A$3,"Mese",5,"Tipologia",$A161,"Viaggio",$A$157)),0,GETPIVOTDATA("Somma di DARE",'Pivot Fineco St'!$A$3,"Mese",5,"Tipologia",$A161,"Viaggio",$A$157))
+IF(Contanti!$U42='Conto Economico'!$A$157,Contanti!$R42)
+IF(ISERROR(GETPIVOTDATA("Somma di DARE",'Pivot BBVA'!$A$3,"Mese",5,"Tipologia",$A161,"Viaggio",$A$157)),0,GETPIVOTDATA("Somma di DARE",'Pivot BBVA'!$A$3,"Mese",5,"Tipologia",$A161,"Viaggio",$A$157))
+IF(ISERROR(GETPIVOTDATA("Somma di DARE",'Pivot Amex'!$A$3,"Mese",5,"Tipologia",$A161,"Viaggio",$A$157)),0,GETPIVOTDATA("Somma di DARE",'Pivot Amex'!$A$3,"Mese",5,"Tipologia",$A161,"Viaggio",$A$157))
-IF(ISERROR(GETPIVOTDATA("Somma di AVERE",'Pivot Amex'!$A$3,"Mese",5,"Tipologia",$A161,"Viaggio",$A$157)),0,GETPIVOTDATA("Somma di AVERE",'Pivot Amex'!$A$3,"Mese",5,"Tipologia",$A161,"Viaggio",$A$157))
-IF(ISERROR(GETPIVOTDATA("Somma di AVERE",'Pivot BBVA'!$A$3,"Mese",5,"Tipologia",$A161,"Viaggio",$A$157)),0,GETPIVOTDATA("Somma di AVERE",'Pivot BBVA'!$A$3,"Mese",5,"Tipologia",$A161,"Viaggio",$A$157))
-IF(ISERROR(GETPIVOTDATA("Somma di AVERE",'Pivot Fineco St'!$A$3,"Mese",5,"Tipologia",$A161,"Viaggio",$A$157)),0,GETPIVOTDATA("Somma di AVERE",'Pivot Fineco St'!$A$3,"Mese",5,"Tipologia",$A161,"Viaggio",$A$157))
-IF(ISERROR(GETPIVOTDATA("Somma di AVERE",'Pivot Fineco Sa'!$A$3,"Mese",5,"Tipologia",$A161,"Viaggio",$A$157)),0,GETPIVOTDATA("Somma di AVERE",'Pivot Fineco Sa'!$A$3,"Mese",5,"Tipologia",$A161,"Viaggio",$A$157))
+IF(ISERROR(GETPIVOTDATA("Somma di DARE",'Pivot PP Visa'!$A$3,"Mese",5,"Tipologia",$A161,"Viaggio",$A$157)),0,GETPIVOTDATA("Somma di DARE",'Pivot PP Visa'!$A$3,"Mese",5,"Tipologia",$A161,"Viaggio",$A$157))
-IF(ISERROR(GETPIVOTDATA("Somma di AVERE",'Pivot PP Visa'!$A$3,"Mese",5,"Tipologia",$A161,"Viaggio",$A$157)),0,GETPIVOTDATA("Somma di AVERE",'Pivot PP Visa'!$A$3,"Mese",5,"Tipologia",$A161,"Viaggio",$A$157))
+IF(ISERROR(GETPIVOTDATA("Somma di DARE",'Pivot Revolut'!$A$3,"Mese",5,"Tipologia",$A161,"Viaggio",$A$157)),0,GETPIVOTDATA("Somma di DARE",'Pivot Revolut'!$A$3,"Mese",5,"Tipologia",$A161,"Viaggio",$A$157))
-IF(ISERROR(GETPIVOTDATA("Somma di AVERE",'Pivot Revolut'!$A$3,"Mese",5,"Tipologia",$A161,"Viaggio",$A$157)),0,GETPIVOTDATA("Somma di AVERE",'Pivot Revolut'!$A$3,"Mese",5,"Tipologia",$A161,"Viaggio",$A$157))
+IF(ISERROR(GETPIVOTDATA("Somma di DARE",'Pivot RakBank EUR'!$A$3,"Mese",5,"Tipologia",$A161,"Viaggio",$A$157)),0,GETPIVOTDATA("Somma di DARE",'Pivot RakBank EUR'!$A$3,"Mese",5,"Tipologia",$A161,"Viaggio",$A$157))
-IF(ISERROR(GETPIVOTDATA("Somma di AVERE",'Pivot RakBank EUR'!$A$3,"Mese",5,"Tipologia",$A161,"Viaggio",$A$157)),0,GETPIVOTDATA("Somma di AVERE",'Pivot RakBank EUR'!$A$3,"Mese",5,"Tipologia",$A161,"Viaggio",$A$157))
+IF(ISERROR(GETPIVOTDATA("Somma di DARE EUR",'Pivot RakBank AED'!$A$3,"Mese",5,"Tipologia",$A161,"Viaggio",$A$157)),0,GETPIVOTDATA("Somma di DARE EUR",'Pivot RakBank AED'!$A$3,"Mese",5,"Tipologia",$A161,"Viaggio",$A$157))
-IF(ISERROR(GETPIVOTDATA("Somma di AVERE EUR",'Pivot RakBank AED'!$A$3,"Mese",5,"Tipologia",$A161,"Viaggio",$A$157)),0,GETPIVOTDATA("Somma di AVERE EUR",'Pivot RakBank AED'!$A$3,"Mese",5,"Tipologia",$A161,"Viaggio",$A$157))</f>
        <v>0</v>
      </c>
      <c r="H161" s="270">
        <f>IF(ISERROR(GETPIVOTDATA("Somma di DARE",'Pivot Fineco Sa'!$A$3,"Mese",6,"Tipologia",$A161,"Viaggio",$A$157)),0,GETPIVOTDATA("Somma di DARE",'Pivot Fineco Sa'!$A$3,"Mese",6,"Tipologia",$A161,"Viaggio",$A$157))
+IF(ISERROR(GETPIVOTDATA("Somma di DARE",'Pivot Fineco St'!$A$3,"Mese",6,"Tipologia",$A161,"Viaggio",$A$157)),0,GETPIVOTDATA("Somma di DARE",'Pivot Fineco St'!$A$3,"Mese",6,"Tipologia",$A161,"Viaggio",$A$157))
+IF(Contanti!$Y42='Conto Economico'!$A$157,Contanti!$V42)
+IF(ISERROR(GETPIVOTDATA("Somma di DARE",'Pivot BBVA'!$A$3,"Mese",6,"Tipologia",$A161,"Viaggio",$A$157)),0,GETPIVOTDATA("Somma di DARE",'Pivot BBVA'!$A$3,"Mese",6,"Tipologia",$A161,"Viaggio",$A$157))
+IF(ISERROR(GETPIVOTDATA("Somma di DARE",'Pivot Amex'!$A$3,"Mese",6,"Tipologia",$A161,"Viaggio",$A$157)),0,GETPIVOTDATA("Somma di DARE",'Pivot Amex'!$A$3,"Mese",6,"Tipologia",$A161,"Viaggio",$A$157))
-IF(ISERROR(GETPIVOTDATA("Somma di AVERE",'Pivot Amex'!$A$3,"Mese",6,"Tipologia",$A161,"Viaggio",$A$157)),0,GETPIVOTDATA("Somma di AVERE",'Pivot Amex'!$A$3,"Mese",6,"Tipologia",$A161,"Viaggio",$A$157))
-IF(ISERROR(GETPIVOTDATA("Somma di AVERE",'Pivot BBVA'!$A$3,"Mese",6,"Tipologia",$A161,"Viaggio",$A$157)),0,GETPIVOTDATA("Somma di AVERE",'Pivot BBVA'!$A$3,"Mese",6,"Tipologia",$A161,"Viaggio",$A$157))
-IF(ISERROR(GETPIVOTDATA("Somma di AVERE",'Pivot Fineco St'!$A$3,"Mese",6,"Tipologia",$A161,"Viaggio",$A$157)),0,GETPIVOTDATA("Somma di AVERE",'Pivot Fineco St'!$A$3,"Mese",6,"Tipologia",$A161,"Viaggio",$A$157))
-IF(ISERROR(GETPIVOTDATA("Somma di AVERE",'Pivot Fineco Sa'!$A$3,"Mese",6,"Tipologia",$A161,"Viaggio",$A$157)),0,GETPIVOTDATA("Somma di AVERE",'Pivot Fineco Sa'!$A$3,"Mese",6,"Tipologia",$A161,"Viaggio",$A$157))
+IF(ISERROR(GETPIVOTDATA("Somma di DARE",'Pivot PP Visa'!$A$3,"Mese",6,"Tipologia",$A161,"Viaggio",$A$157)),0,GETPIVOTDATA("Somma di DARE",'Pivot PP Visa'!$A$3,"Mese",6,"Tipologia",$A161,"Viaggio",$A$157))
-IF(ISERROR(GETPIVOTDATA("Somma di AVERE",'Pivot PP Visa'!$A$3,"Mese",6,"Tipologia",$A161,"Viaggio",$A$157)),0,GETPIVOTDATA("Somma di AVERE",'Pivot PP Visa'!$A$3,"Mese",6,"Tipologia",$A161,"Viaggio",$A$157))
+IF(ISERROR(GETPIVOTDATA("Somma di DARE",'Pivot Revolut'!$A$3,"Mese",6,"Tipologia",$A161,"Viaggio",$A$157)),0,GETPIVOTDATA("Somma di DARE",'Pivot Revolut'!$A$3,"Mese",6,"Tipologia",$A161,"Viaggio",$A$157))
-IF(ISERROR(GETPIVOTDATA("Somma di AVERE",'Pivot Revolut'!$A$3,"Mese",6,"Tipologia",$A161,"Viaggio",$A$157)),0,GETPIVOTDATA("Somma di AVERE",'Pivot Revolut'!$A$3,"Mese",6,"Tipologia",$A161,"Viaggio",$A$157))
+IF(ISERROR(GETPIVOTDATA("Somma di DARE",'Pivot RakBank EUR'!$A$3,"Mese",6,"Tipologia",$A161,"Viaggio",$A$157)),0,GETPIVOTDATA("Somma di DARE",'Pivot RakBank EUR'!$A$3,"Mese",6,"Tipologia",$A161,"Viaggio",$A$157))
-IF(ISERROR(GETPIVOTDATA("Somma di AVERE",'Pivot RakBank EUR'!$A$3,"Mese",6,"Tipologia",$A161,"Viaggio",$A$157)),0,GETPIVOTDATA("Somma di AVERE",'Pivot RakBank EUR'!$A$3,"Mese",6,"Tipologia",$A161,"Viaggio",$A$157))
+IF(ISERROR(GETPIVOTDATA("Somma di DARE EUR",'Pivot RakBank AED'!$A$3,"Mese",6,"Tipologia",$A161,"Viaggio",$A$157)),0,GETPIVOTDATA("Somma di DARE EUR",'Pivot RakBank AED'!$A$3,"Mese",6,"Tipologia",$A161,"Viaggio",$A$157))
-IF(ISERROR(GETPIVOTDATA("Somma di AVERE EUR",'Pivot RakBank AED'!$A$3,"Mese",6,"Tipologia",$A161,"Viaggio",$A$157)),0,GETPIVOTDATA("Somma di AVERE EUR",'Pivot RakBank AED'!$A$3,"Mese",6,"Tipologia",$A161,"Viaggio",$A$157))</f>
        <v>0</v>
      </c>
      <c r="I161" s="270">
        <f>IF(ISERROR(GETPIVOTDATA("Somma di DARE",'Pivot Fineco Sa'!$A$3,"Mese",7,"Tipologia",$A161,"Viaggio",$A$157)),0,GETPIVOTDATA("Somma di DARE",'Pivot Fineco Sa'!$A$3,"Mese",7,"Tipologia",$A161,"Viaggio",$A$157))
+IF(ISERROR(GETPIVOTDATA("Somma di DARE",'Pivot Fineco St'!$A$3,"Mese",7,"Tipologia",$A161,"Viaggio",$A$157)),0,GETPIVOTDATA("Somma di DARE",'Pivot Fineco St'!$A$3,"Mese",7,"Tipologia",$A161,"Viaggio",$A$157))
+IF(Contanti!$AC42='Conto Economico'!$A$157,Contanti!$Z42)
+IF(ISERROR(GETPIVOTDATA("Somma di DARE",'Pivot BBVA'!$A$3,"Mese",7,"Tipologia",$A161,"Viaggio",$A$157)),0,GETPIVOTDATA("Somma di DARE",'Pivot BBVA'!$A$3,"Mese",7,"Tipologia",$A161,"Viaggio",$A$157))
+IF(ISERROR(GETPIVOTDATA("Somma di DARE",'Pivot Amex'!$A$3,"Mese",7,"Tipologia",$A161,"Viaggio",$A$157)),0,GETPIVOTDATA("Somma di DARE",'Pivot Amex'!$A$3,"Mese",7,"Tipologia",$A161,"Viaggio",$A$157))
-IF(ISERROR(GETPIVOTDATA("Somma di AVERE",'Pivot Amex'!$A$3,"Mese",7,"Tipologia",$A161,"Viaggio",$A$157)),0,GETPIVOTDATA("Somma di AVERE",'Pivot Amex'!$A$3,"Mese",7,"Tipologia",$A161,"Viaggio",$A$157))
-IF(ISERROR(GETPIVOTDATA("Somma di AVERE",'Pivot BBVA'!$A$3,"Mese",7,"Tipologia",$A161,"Viaggio",$A$157)),0,GETPIVOTDATA("Somma di AVERE",'Pivot BBVA'!$A$3,"Mese",7,"Tipologia",$A161,"Viaggio",$A$157))
-IF(ISERROR(GETPIVOTDATA("Somma di AVERE",'Pivot Fineco St'!$A$3,"Mese",7,"Tipologia",$A161,"Viaggio",$A$157)),0,GETPIVOTDATA("Somma di AVERE",'Pivot Fineco St'!$A$3,"Mese",7,"Tipologia",$A161,"Viaggio",$A$157))
-IF(ISERROR(GETPIVOTDATA("Somma di AVERE",'Pivot Fineco Sa'!$A$3,"Mese",7,"Tipologia",$A161,"Viaggio",$A$157)),0,GETPIVOTDATA("Somma di AVERE",'Pivot Fineco Sa'!$A$3,"Mese",7,"Tipologia",$A161,"Viaggio",$A$157))
+IF(ISERROR(GETPIVOTDATA("Somma di DARE",'Pivot PP Visa'!$A$3,"Mese",7,"Tipologia",$A161,"Viaggio",$A$157)),0,GETPIVOTDATA("Somma di DARE",'Pivot PP Visa'!$A$3,"Mese",7,"Tipologia",$A161,"Viaggio",$A$157))
-IF(ISERROR(GETPIVOTDATA("Somma di AVERE",'Pivot PP Visa'!$A$3,"Mese",7,"Tipologia",$A161,"Viaggio",$A$157)),0,GETPIVOTDATA("Somma di AVERE",'Pivot PP Visa'!$A$3,"Mese",7,"Tipologia",$A161,"Viaggio",$A$157))
+IF(ISERROR(GETPIVOTDATA("Somma di DARE",'Pivot Revolut'!$A$3,"Mese",7,"Tipologia",$A161,"Viaggio",$A$157)),0,GETPIVOTDATA("Somma di DARE",'Pivot Revolut'!$A$3,"Mese",7,"Tipologia",$A161,"Viaggio",$A$157))
-IF(ISERROR(GETPIVOTDATA("Somma di AVERE",'Pivot Revolut'!$A$3,"Mese",7,"Tipologia",$A161,"Viaggio",$A$157)),0,GETPIVOTDATA("Somma di AVERE",'Pivot Revolut'!$A$3,"Mese",7,"Tipologia",$A161,"Viaggio",$A$157))
+IF(ISERROR(GETPIVOTDATA("Somma di DARE",'Pivot RakBank EUR'!$A$3,"Mese",7,"Tipologia",$A161,"Viaggio",$A$157)),0,GETPIVOTDATA("Somma di DARE",'Pivot RakBank EUR'!$A$3,"Mese",7,"Tipologia",$A161,"Viaggio",$A$157))
-IF(ISERROR(GETPIVOTDATA("Somma di AVERE",'Pivot RakBank EUR'!$A$3,"Mese",7,"Tipologia",$A161,"Viaggio",$A$157)),0,GETPIVOTDATA("Somma di AVERE",'Pivot RakBank EUR'!$A$3,"Mese",7,"Tipologia",$A161,"Viaggio",$A$157))
+IF(ISERROR(GETPIVOTDATA("Somma di DARE EUR",'Pivot RakBank AED'!$A$3,"Mese",7,"Tipologia",$A161,"Viaggio",$A$157)),0,GETPIVOTDATA("Somma di DARE EUR",'Pivot RakBank AED'!$A$3,"Mese",7,"Tipologia",$A161,"Viaggio",$A$157))
-IF(ISERROR(GETPIVOTDATA("Somma di AVERE EUR",'Pivot RakBank AED'!$A$3,"Mese",7,"Tipologia",$A161,"Viaggio",$A$157)),0,GETPIVOTDATA("Somma di AVERE EUR",'Pivot RakBank AED'!$A$3,"Mese",7,"Tipologia",$A161,"Viaggio",$A$157))</f>
        <v>0</v>
      </c>
      <c r="J161" s="270">
        <f>IF(ISERROR(GETPIVOTDATA("Somma di DARE",'Pivot Fineco Sa'!$A$3,"Mese",8,"Tipologia",$A161,"Viaggio",$A$157)),0,GETPIVOTDATA("Somma di DARE",'Pivot Fineco Sa'!$A$3,"Mese",8,"Tipologia",$A161,"Viaggio",$A$157))
+IF(ISERROR(GETPIVOTDATA("Somma di DARE",'Pivot Fineco St'!$A$3,"Mese",8,"Tipologia",$A161,"Viaggio",$A$157)),0,GETPIVOTDATA("Somma di DARE",'Pivot Fineco St'!$A$3,"Mese",8,"Tipologia",$A161,"Viaggio",$A$157))
+IF(Contanti!$AG42='Conto Economico'!$A$157,Contanti!$AD42)
+IF(ISERROR(GETPIVOTDATA("Somma di DARE",'Pivot BBVA'!$A$3,"Mese",8,"Tipologia",$A161,"Viaggio",$A$157)),0,GETPIVOTDATA("Somma di DARE",'Pivot BBVA'!$A$3,"Mese",8,"Tipologia",$A161,"Viaggio",$A$157))
+IF(ISERROR(GETPIVOTDATA("Somma di DARE",'Pivot Amex'!$A$3,"Mese",8,"Tipologia",$A161,"Viaggio",$A$157)),0,GETPIVOTDATA("Somma di DARE",'Pivot Amex'!$A$3,"Mese",8,"Tipologia",$A161,"Viaggio",$A$157))
-IF(ISERROR(GETPIVOTDATA("Somma di AVERE",'Pivot Amex'!$A$3,"Mese",8,"Tipologia",$A161,"Viaggio",$A$157)),0,GETPIVOTDATA("Somma di AVERE",'Pivot Amex'!$A$3,"Mese",8,"Tipologia",$A161,"Viaggio",$A$157))
-IF(ISERROR(GETPIVOTDATA("Somma di AVERE",'Pivot BBVA'!$A$3,"Mese",8,"Tipologia",$A161,"Viaggio",$A$157)),0,GETPIVOTDATA("Somma di AVERE",'Pivot BBVA'!$A$3,"Mese",8,"Tipologia",$A161,"Viaggio",$A$157))
-IF(ISERROR(GETPIVOTDATA("Somma di AVERE",'Pivot Fineco St'!$A$3,"Mese",8,"Tipologia",$A161,"Viaggio",$A$157)),0,GETPIVOTDATA("Somma di AVERE",'Pivot Fineco St'!$A$3,"Mese",8,"Tipologia",$A161,"Viaggio",$A$157))
-IF(ISERROR(GETPIVOTDATA("Somma di AVERE",'Pivot Fineco Sa'!$A$3,"Mese",8,"Tipologia",$A161,"Viaggio",$A$157)),0,GETPIVOTDATA("Somma di AVERE",'Pivot Fineco Sa'!$A$3,"Mese",8,"Tipologia",$A161,"Viaggio",$A$157))
+IF(ISERROR(GETPIVOTDATA("Somma di DARE",'Pivot PP Visa'!$A$3,"Mese",8,"Tipologia",$A161,"Viaggio",$A$157)),0,GETPIVOTDATA("Somma di DARE",'Pivot PP Visa'!$A$3,"Mese",8,"Tipologia",$A161,"Viaggio",$A$157))
-IF(ISERROR(GETPIVOTDATA("Somma di AVERE",'Pivot PP Visa'!$A$3,"Mese",8,"Tipologia",$A161,"Viaggio",$A$157)),0,GETPIVOTDATA("Somma di AVERE",'Pivot PP Visa'!$A$3,"Mese",8,"Tipologia",$A161,"Viaggio",$A$157))
+IF(ISERROR(GETPIVOTDATA("Somma di DARE",'Pivot Revolut'!$A$3,"Mese",8,"Tipologia",$A161,"Viaggio",$A$157)),0,GETPIVOTDATA("Somma di DARE",'Pivot Revolut'!$A$3,"Mese",8,"Tipologia",$A161,"Viaggio",$A$157))
-IF(ISERROR(GETPIVOTDATA("Somma di AVERE",'Pivot Revolut'!$A$3,"Mese",8,"Tipologia",$A161,"Viaggio",$A$157)),0,GETPIVOTDATA("Somma di AVERE",'Pivot Revolut'!$A$3,"Mese",8,"Tipologia",$A161,"Viaggio",$A$157))
+IF(ISERROR(GETPIVOTDATA("Somma di DARE",'Pivot RakBank EUR'!$A$3,"Mese",8,"Tipologia",$A161,"Viaggio",$A$157)),0,GETPIVOTDATA("Somma di DARE",'Pivot RakBank EUR'!$A$3,"Mese",8,"Tipologia",$A161,"Viaggio",$A$157))
-IF(ISERROR(GETPIVOTDATA("Somma di AVERE",'Pivot RakBank EUR'!$A$3,"Mese",8,"Tipologia",$A161,"Viaggio",$A$157)),0,GETPIVOTDATA("Somma di AVERE",'Pivot RakBank EUR'!$A$3,"Mese",8,"Tipologia",$A161,"Viaggio",$A$157))
+IF(ISERROR(GETPIVOTDATA("Somma di DARE EUR",'Pivot RakBank AED'!$A$3,"Mese",8,"Tipologia",$A161,"Viaggio",$A$157)),0,GETPIVOTDATA("Somma di DARE EUR",'Pivot RakBank AED'!$A$3,"Mese",8,"Tipologia",$A161,"Viaggio",$A$157))
-IF(ISERROR(GETPIVOTDATA("Somma di AVERE EUR",'Pivot RakBank AED'!$A$3,"Mese",8,"Tipologia",$A161,"Viaggio",$A$157)),0,GETPIVOTDATA("Somma di AVERE EUR",'Pivot RakBank AED'!$A$3,"Mese",8,"Tipologia",$A161,"Viaggio",$A$157))</f>
        <v>0</v>
      </c>
      <c r="K161" s="270">
        <f>IF(ISERROR(GETPIVOTDATA("Somma di DARE",'Pivot Fineco Sa'!$A$3,"Mese",9,"Tipologia",$A161,"Viaggio",$A$157)),0,GETPIVOTDATA("Somma di DARE",'Pivot Fineco Sa'!$A$3,"Mese",9,"Tipologia",$A161,"Viaggio",$A$157))
+IF(ISERROR(GETPIVOTDATA("Somma di DARE",'Pivot Fineco St'!$A$3,"Mese",9,"Tipologia",$A161,"Viaggio",$A$157)),0,GETPIVOTDATA("Somma di DARE",'Pivot Fineco St'!$A$3,"Mese",9,"Tipologia",$A161,"Viaggio",$A$157))
+IF(Contanti!$AK42='Conto Economico'!$A$157,Contanti!$AH42)
+IF(ISERROR(GETPIVOTDATA("Somma di DARE",'Pivot BBVA'!$A$3,"Mese",9,"Tipologia",$A161,"Viaggio",$A$157)),0,GETPIVOTDATA("Somma di DARE",'Pivot BBVA'!$A$3,"Mese",9,"Tipologia",$A161,"Viaggio",$A$157))
+IF(ISERROR(GETPIVOTDATA("Somma di DARE",'Pivot Amex'!$A$3,"Mese",9,"Tipologia",$A161,"Viaggio",$A$157)),0,GETPIVOTDATA("Somma di DARE",'Pivot Amex'!$A$3,"Mese",9,"Tipologia",$A161,"Viaggio",$A$157))
-IF(ISERROR(GETPIVOTDATA("Somma di AVERE",'Pivot Amex'!$A$3,"Mese",9,"Tipologia",$A161,"Viaggio",$A$157)),0,GETPIVOTDATA("Somma di AVERE",'Pivot Amex'!$A$3,"Mese",9,"Tipologia",$A161,"Viaggio",$A$157))
-IF(ISERROR(GETPIVOTDATA("Somma di AVERE",'Pivot BBVA'!$A$3,"Mese",9,"Tipologia",$A161,"Viaggio",$A$157)),0,GETPIVOTDATA("Somma di AVERE",'Pivot BBVA'!$A$3,"Mese",9,"Tipologia",$A161,"Viaggio",$A$157))
-IF(ISERROR(GETPIVOTDATA("Somma di AVERE",'Pivot Fineco St'!$A$3,"Mese",9,"Tipologia",$A161,"Viaggio",$A$157)),0,GETPIVOTDATA("Somma di AVERE",'Pivot Fineco St'!$A$3,"Mese",9,"Tipologia",$A161,"Viaggio",$A$157))
-IF(ISERROR(GETPIVOTDATA("Somma di AVERE",'Pivot Fineco Sa'!$A$3,"Mese",9,"Tipologia",$A161,"Viaggio",$A$157)),0,GETPIVOTDATA("Somma di AVERE",'Pivot Fineco Sa'!$A$3,"Mese",9,"Tipologia",$A161,"Viaggio",$A$157))
+IF(ISERROR(GETPIVOTDATA("Somma di DARE",'Pivot PP Visa'!$A$3,"Mese",9,"Tipologia",$A161,"Viaggio",$A$157)),0,GETPIVOTDATA("Somma di DARE",'Pivot PP Visa'!$A$3,"Mese",9,"Tipologia",$A161,"Viaggio",$A$157))
-IF(ISERROR(GETPIVOTDATA("Somma di AVERE",'Pivot PP Visa'!$A$3,"Mese",9,"Tipologia",$A161,"Viaggio",$A$157)),0,GETPIVOTDATA("Somma di AVERE",'Pivot PP Visa'!$A$3,"Mese",9,"Tipologia",$A161,"Viaggio",$A$157))
+IF(ISERROR(GETPIVOTDATA("Somma di DARE",'Pivot Revolut'!$A$3,"Mese",9,"Tipologia",$A161,"Viaggio",$A$157)),0,GETPIVOTDATA("Somma di DARE",'Pivot Revolut'!$A$3,"Mese",9,"Tipologia",$A161,"Viaggio",$A$157))
-IF(ISERROR(GETPIVOTDATA("Somma di AVERE",'Pivot Revolut'!$A$3,"Mese",9,"Tipologia",$A161,"Viaggio",$A$157)),0,GETPIVOTDATA("Somma di AVERE",'Pivot Revolut'!$A$3,"Mese",9,"Tipologia",$A161,"Viaggio",$A$157))
+IF(ISERROR(GETPIVOTDATA("Somma di DARE",'Pivot RakBank EUR'!$A$3,"Mese",9,"Tipologia",$A161,"Viaggio",$A$157)),0,GETPIVOTDATA("Somma di DARE",'Pivot RakBank EUR'!$A$3,"Mese",9,"Tipologia",$A161,"Viaggio",$A$157))
-IF(ISERROR(GETPIVOTDATA("Somma di AVERE",'Pivot RakBank EUR'!$A$3,"Mese",9,"Tipologia",$A161,"Viaggio",$A$157)),0,GETPIVOTDATA("Somma di AVERE",'Pivot RakBank EUR'!$A$3,"Mese",9,"Tipologia",$A161,"Viaggio",$A$157))
+IF(ISERROR(GETPIVOTDATA("Somma di DARE EUR",'Pivot RakBank AED'!$A$3,"Mese",9,"Tipologia",$A161,"Viaggio",$A$157)),0,GETPIVOTDATA("Somma di DARE EUR",'Pivot RakBank AED'!$A$3,"Mese",9,"Tipologia",$A161,"Viaggio",$A$157))
-IF(ISERROR(GETPIVOTDATA("Somma di AVERE EUR",'Pivot RakBank AED'!$A$3,"Mese",9,"Tipologia",$A161,"Viaggio",$A$157)),0,GETPIVOTDATA("Somma di AVERE EUR",'Pivot RakBank AED'!$A$3,"Mese",9,"Tipologia",$A161,"Viaggio",$A$157))</f>
        <v>0</v>
      </c>
      <c r="L161" s="270">
        <f>IF(ISERROR(GETPIVOTDATA("Somma di DARE",'Pivot Fineco Sa'!$A$3,"Mese",10,"Tipologia",$A161,"Viaggio",$A$157)),0,GETPIVOTDATA("Somma di DARE",'Pivot Fineco Sa'!$A$3,"Mese",10,"Tipologia",$A161,"Viaggio",$A$157))
+IF(ISERROR(GETPIVOTDATA("Somma di DARE",'Pivot Fineco St'!$A$3,"Mese",10,"Tipologia",$A161,"Viaggio",$A$157)),0,GETPIVOTDATA("Somma di DARE",'Pivot Fineco St'!$A$3,"Mese",10,"Tipologia",$A161,"Viaggio",$A$157))
+IF(Contanti!$AO42='Conto Economico'!$A$157,Contanti!$AL42)
+IF(ISERROR(GETPIVOTDATA("Somma di DARE",'Pivot BBVA'!$A$3,"Mese",10,"Tipologia",$A161,"Viaggio",$A$157)),0,GETPIVOTDATA("Somma di DARE",'Pivot BBVA'!$A$3,"Mese",10,"Tipologia",$A161,"Viaggio",$A$157))
+IF(ISERROR(GETPIVOTDATA("Somma di DARE",'Pivot Amex'!$A$3,"Mese",10,"Tipologia",$A161,"Viaggio",$A$157)),0,GETPIVOTDATA("Somma di DARE",'Pivot Amex'!$A$3,"Mese",10,"Tipologia",$A161,"Viaggio",$A$157))
-IF(ISERROR(GETPIVOTDATA("Somma di AVERE",'Pivot Amex'!$A$3,"Mese",10,"Tipologia",$A161,"Viaggio",$A$157)),0,GETPIVOTDATA("Somma di AVERE",'Pivot Amex'!$A$3,"Mese",10,"Tipologia",$A161,"Viaggio",$A$157))
-IF(ISERROR(GETPIVOTDATA("Somma di AVERE",'Pivot BBVA'!$A$3,"Mese",10,"Tipologia",$A161,"Viaggio",$A$157)),0,GETPIVOTDATA("Somma di AVERE",'Pivot BBVA'!$A$3,"Mese",10,"Tipologia",$A161,"Viaggio",$A$157))
-IF(ISERROR(GETPIVOTDATA("Somma di AVERE",'Pivot Fineco St'!$A$3,"Mese",10,"Tipologia",$A161,"Viaggio",$A$157)),0,GETPIVOTDATA("Somma di AVERE",'Pivot Fineco St'!$A$3,"Mese",10,"Tipologia",$A161,"Viaggio",$A$157))
-IF(ISERROR(GETPIVOTDATA("Somma di AVERE",'Pivot Fineco Sa'!$A$3,"Mese",10,"Tipologia",$A161,"Viaggio",$A$157)),0,GETPIVOTDATA("Somma di AVERE",'Pivot Fineco Sa'!$A$3,"Mese",10,"Tipologia",$A161,"Viaggio",$A$157))
+IF(ISERROR(GETPIVOTDATA("Somma di DARE",'Pivot PP Visa'!$A$3,"Mese",10,"Tipologia",$A161,"Viaggio",$A$157)),0,GETPIVOTDATA("Somma di DARE",'Pivot PP Visa'!$A$3,"Mese",10,"Tipologia",$A161,"Viaggio",$A$157))
-IF(ISERROR(GETPIVOTDATA("Somma di AVERE",'Pivot PP Visa'!$A$3,"Mese",10,"Tipologia",$A161,"Viaggio",$A$157)),0,GETPIVOTDATA("Somma di AVERE",'Pivot PP Visa'!$A$3,"Mese",10,"Tipologia",$A161,"Viaggio",$A$157))
+IF(ISERROR(GETPIVOTDATA("Somma di DARE",'Pivot Revolut'!$A$3,"Mese",10,"Tipologia",$A161,"Viaggio",$A$157)),0,GETPIVOTDATA("Somma di DARE",'Pivot Revolut'!$A$3,"Mese",10,"Tipologia",$A161,"Viaggio",$A$157))
-IF(ISERROR(GETPIVOTDATA("Somma di AVERE",'Pivot Revolut'!$A$3,"Mese",10,"Tipologia",$A161,"Viaggio",$A$157)),0,GETPIVOTDATA("Somma di AVERE",'Pivot Revolut'!$A$3,"Mese",10,"Tipologia",$A161,"Viaggio",$A$157))
+IF(ISERROR(GETPIVOTDATA("Somma di DARE",'Pivot RakBank EUR'!$A$3,"Mese",10,"Tipologia",$A161,"Viaggio",$A$157)),0,GETPIVOTDATA("Somma di DARE",'Pivot RakBank EUR'!$A$3,"Mese",10,"Tipologia",$A161,"Viaggio",$A$157))
-IF(ISERROR(GETPIVOTDATA("Somma di AVERE",'Pivot RakBank EUR'!$A$3,"Mese",10,"Tipologia",$A161,"Viaggio",$A$157)),0,GETPIVOTDATA("Somma di AVERE",'Pivot RakBank EUR'!$A$3,"Mese",10,"Tipologia",$A161,"Viaggio",$A$157))
+IF(ISERROR(GETPIVOTDATA("Somma di DARE EUR",'Pivot RakBank AED'!$A$3,"Mese",10,"Tipologia",$A161,"Viaggio",$A$157)),0,GETPIVOTDATA("Somma di DARE EUR",'Pivot RakBank AED'!$A$3,"Mese",10,"Tipologia",$A161,"Viaggio",$A$157))
-IF(ISERROR(GETPIVOTDATA("Somma di AVERE EUR",'Pivot RakBank AED'!$A$3,"Mese",10,"Tipologia",$A161,"Viaggio",$A$157)),0,GETPIVOTDATA("Somma di AVERE EUR",'Pivot RakBank AED'!$A$3,"Mese",10,"Tipologia",$A161,"Viaggio",$A$157))</f>
        <v>0</v>
      </c>
      <c r="M161" s="270">
        <f>IF(ISERROR(GETPIVOTDATA("Somma di DARE",'Pivot Fineco Sa'!$A$3,"Mese",11,"Tipologia",$A161,"Viaggio",$A$157)),0,GETPIVOTDATA("Somma di DARE",'Pivot Fineco Sa'!$A$3,"Mese",11,"Tipologia",$A161,"Viaggio",$A$157))
+IF(ISERROR(GETPIVOTDATA("Somma di DARE",'Pivot Fineco St'!$A$3,"Mese",11,"Tipologia",$A161,"Viaggio",$A$157)),0,GETPIVOTDATA("Somma di DARE",'Pivot Fineco St'!$A$3,"Mese",11,"Tipologia",$A161,"Viaggio",$A$157))
+IF(Contanti!$AS42='Conto Economico'!$A$157,Contanti!$AP42)
+IF(ISERROR(GETPIVOTDATA("Somma di DARE",'Pivot BBVA'!$A$3,"Mese",11,"Tipologia",$A161,"Viaggio",$A$157)),0,GETPIVOTDATA("Somma di DARE",'Pivot BBVA'!$A$3,"Mese",11,"Tipologia",$A161,"Viaggio",$A$157))
+IF(ISERROR(GETPIVOTDATA("Somma di DARE",'Pivot Amex'!$A$3,"Mese",11,"Tipologia",$A161,"Viaggio",$A$157)),0,GETPIVOTDATA("Somma di DARE",'Pivot Amex'!$A$3,"Mese",11,"Tipologia",$A161,"Viaggio",$A$157))
-IF(ISERROR(GETPIVOTDATA("Somma di AVERE",'Pivot Amex'!$A$3,"Mese",11,"Tipologia",$A161,"Viaggio",$A$157)),0,GETPIVOTDATA("Somma di AVERE",'Pivot Amex'!$A$3,"Mese",11,"Tipologia",$A161,"Viaggio",$A$157))
-IF(ISERROR(GETPIVOTDATA("Somma di AVERE",'Pivot BBVA'!$A$3,"Mese",11,"Tipologia",$A161,"Viaggio",$A$157)),0,GETPIVOTDATA("Somma di AVERE",'Pivot BBVA'!$A$3,"Mese",11,"Tipologia",$A161,"Viaggio",$A$157))
-IF(ISERROR(GETPIVOTDATA("Somma di AVERE",'Pivot Fineco St'!$A$3,"Mese",11,"Tipologia",$A161,"Viaggio",$A$157)),0,GETPIVOTDATA("Somma di AVERE",'Pivot Fineco St'!$A$3,"Mese",11,"Tipologia",$A161,"Viaggio",$A$157))
-IF(ISERROR(GETPIVOTDATA("Somma di AVERE",'Pivot Fineco Sa'!$A$3,"Mese",11,"Tipologia",$A161,"Viaggio",$A$157)),0,GETPIVOTDATA("Somma di AVERE",'Pivot Fineco Sa'!$A$3,"Mese",11,"Tipologia",$A161,"Viaggio",$A$157))
+IF(ISERROR(GETPIVOTDATA("Somma di DARE",'Pivot PP Visa'!$A$3,"Mese",11,"Tipologia",$A161,"Viaggio",$A$157)),0,GETPIVOTDATA("Somma di DARE",'Pivot PP Visa'!$A$3,"Mese",11,"Tipologia",$A161,"Viaggio",$A$157))
-IF(ISERROR(GETPIVOTDATA("Somma di AVERE",'Pivot PP Visa'!$A$3,"Mese",11,"Tipologia",$A161,"Viaggio",$A$157)),0,GETPIVOTDATA("Somma di AVERE",'Pivot PP Visa'!$A$3,"Mese",11,"Tipologia",$A161,"Viaggio",$A$157))
+IF(ISERROR(GETPIVOTDATA("Somma di DARE",'Pivot Revolut'!$A$3,"Mese",11,"Tipologia",$A161,"Viaggio",$A$157)),0,GETPIVOTDATA("Somma di DARE",'Pivot Revolut'!$A$3,"Mese",11,"Tipologia",$A161,"Viaggio",$A$157))
-IF(ISERROR(GETPIVOTDATA("Somma di AVERE",'Pivot Revolut'!$A$3,"Mese",11,"Tipologia",$A161,"Viaggio",$A$157)),0,GETPIVOTDATA("Somma di AVERE",'Pivot Revolut'!$A$3,"Mese",11,"Tipologia",$A161,"Viaggio",$A$157))
+IF(ISERROR(GETPIVOTDATA("Somma di DARE",'Pivot RakBank EUR'!$A$3,"Mese",11,"Tipologia",$A161,"Viaggio",$A$157)),0,GETPIVOTDATA("Somma di DARE",'Pivot RakBank EUR'!$A$3,"Mese",11,"Tipologia",$A161,"Viaggio",$A$157))
-IF(ISERROR(GETPIVOTDATA("Somma di AVERE",'Pivot RakBank EUR'!$A$3,"Mese",11,"Tipologia",$A161,"Viaggio",$A$157)),0,GETPIVOTDATA("Somma di AVERE",'Pivot RakBank EUR'!$A$3,"Mese",11,"Tipologia",$A161,"Viaggio",$A$157))
+IF(ISERROR(GETPIVOTDATA("Somma di DARE EUR",'Pivot RakBank AED'!$A$3,"Mese",11,"Tipologia",$A161,"Viaggio",$A$157)),0,GETPIVOTDATA("Somma di DARE EUR",'Pivot RakBank AED'!$A$3,"Mese",11,"Tipologia",$A161,"Viaggio",$A$157))
-IF(ISERROR(GETPIVOTDATA("Somma di AVERE EUR",'Pivot RakBank AED'!$A$3,"Mese",11,"Tipologia",$A161,"Viaggio",$A$157)),0,GETPIVOTDATA("Somma di AVERE EUR",'Pivot RakBank AED'!$A$3,"Mese",11,"Tipologia",$A161,"Viaggio",$A$157))</f>
        <v>0</v>
      </c>
      <c r="N161" s="270">
        <f>IF(ISERROR(GETPIVOTDATA("Somma di DARE",'Pivot Fineco Sa'!$A$3,"Mese",12,"Tipologia",$A161,"Viaggio",$A$157)),0,GETPIVOTDATA("Somma di DARE",'Pivot Fineco Sa'!$A$3,"Mese",12,"Tipologia",$A161,"Viaggio",$A$157))
+IF(ISERROR(GETPIVOTDATA("Somma di DARE",'Pivot Fineco St'!$A$3,"Mese",12,"Tipologia",$A161,"Viaggio",$A$157)),0,GETPIVOTDATA("Somma di DARE",'Pivot Fineco St'!$A$3,"Mese",12,"Tipologia",$A161,"Viaggio",$A$157))
+IF(Contanti!$AW42='Conto Economico'!$A$157,Contanti!$AT42)
+IF(ISERROR(GETPIVOTDATA("Somma di DARE",'Pivot BBVA'!$A$3,"Mese",12,"Tipologia",$A161,"Viaggio",$A$157)),0,GETPIVOTDATA("Somma di DARE",'Pivot BBVA'!$A$3,"Mese",12,"Tipologia",$A161,"Viaggio",$A$157))
+IF(ISERROR(GETPIVOTDATA("Somma di DARE",'Pivot Amex'!$A$3,"Mese",12,"Tipologia",$A161,"Viaggio",$A$157)),0,GETPIVOTDATA("Somma di DARE",'Pivot Amex'!$A$3,"Mese",12,"Tipologia",$A161,"Viaggio",$A$157))
-IF(ISERROR(GETPIVOTDATA("Somma di AVERE",'Pivot Amex'!$A$3,"Mese",12,"Tipologia",$A161,"Viaggio",$A$157)),0,GETPIVOTDATA("Somma di AVERE",'Pivot Amex'!$A$3,"Mese",12,"Tipologia",$A161,"Viaggio",$A$157))
-IF(ISERROR(GETPIVOTDATA("Somma di AVERE",'Pivot BBVA'!$A$3,"Mese",12,"Tipologia",$A161,"Viaggio",$A$157)),0,GETPIVOTDATA("Somma di AVERE",'Pivot BBVA'!$A$3,"Mese",12,"Tipologia",$A161,"Viaggio",$A$157))
-IF(ISERROR(GETPIVOTDATA("Somma di AVERE",'Pivot Fineco St'!$A$3,"Mese",12,"Tipologia",$A161,"Viaggio",$A$157)),0,GETPIVOTDATA("Somma di AVERE",'Pivot Fineco St'!$A$3,"Mese",12,"Tipologia",$A161,"Viaggio",$A$157))
-IF(ISERROR(GETPIVOTDATA("Somma di AVERE",'Pivot Fineco Sa'!$A$3,"Mese",12,"Tipologia",$A161,"Viaggio",$A$157)),0,GETPIVOTDATA("Somma di AVERE",'Pivot Fineco Sa'!$A$3,"Mese",12,"Tipologia",$A161,"Viaggio",$A$157))
+IF(ISERROR(GETPIVOTDATA("Somma di DARE",'Pivot PP Visa'!$A$3,"Mese",12,"Tipologia",$A161,"Viaggio",$A$157)),0,GETPIVOTDATA("Somma di DARE",'Pivot PP Visa'!$A$3,"Mese",12,"Tipologia",$A161,"Viaggio",$A$157))
-IF(ISERROR(GETPIVOTDATA("Somma di AVERE",'Pivot PP Visa'!$A$3,"Mese",12,"Tipologia",$A161,"Viaggio",$A$157)),0,GETPIVOTDATA("Somma di AVERE",'Pivot PP Visa'!$A$3,"Mese",12,"Tipologia",$A161,"Viaggio",$A$157))
+IF(ISERROR(GETPIVOTDATA("Somma di DARE",'Pivot Revolut'!$A$3,"Mese",12,"Tipologia",$A161,"Viaggio",$A$157)),0,GETPIVOTDATA("Somma di DARE",'Pivot Revolut'!$A$3,"Mese",12,"Tipologia",$A161,"Viaggio",$A$157))
-IF(ISERROR(GETPIVOTDATA("Somma di AVERE",'Pivot Revolut'!$A$3,"Mese",12,"Tipologia",$A161,"Viaggio",$A$157)),0,GETPIVOTDATA("Somma di AVERE",'Pivot Revolut'!$A$3,"Mese",12,"Tipologia",$A161,"Viaggio",$A$157))
+IF(ISERROR(GETPIVOTDATA("Somma di DARE",'Pivot RakBank EUR'!$A$3,"Mese",12,"Tipologia",$A161,"Viaggio",$A$157)),0,GETPIVOTDATA("Somma di DARE",'Pivot RakBank EUR'!$A$3,"Mese",12,"Tipologia",$A161,"Viaggio",$A$157))
-IF(ISERROR(GETPIVOTDATA("Somma di AVERE",'Pivot RakBank EUR'!$A$3,"Mese",12,"Tipologia",$A161,"Viaggio",$A$157)),0,GETPIVOTDATA("Somma di AVERE",'Pivot RakBank EUR'!$A$3,"Mese",12,"Tipologia",$A161,"Viaggio",$A$157))
+IF(ISERROR(GETPIVOTDATA("Somma di DARE EUR",'Pivot RakBank AED'!$A$3,"Mese",12,"Tipologia",$A161,"Viaggio",$A$157)),0,GETPIVOTDATA("Somma di DARE EUR",'Pivot RakBank AED'!$A$3,"Mese",12,"Tipologia",$A161,"Viaggio",$A$157))
-IF(ISERROR(GETPIVOTDATA("Somma di AVERE EUR",'Pivot RakBank AED'!$A$3,"Mese",12,"Tipologia",$A161,"Viaggio",$A$157)),0,GETPIVOTDATA("Somma di AVERE EUR",'Pivot RakBank AED'!$A$3,"Mese",12,"Tipologia",$A161,"Viaggio",$A$157))</f>
        <v>0</v>
      </c>
      <c r="O161" s="271">
        <f t="shared" si="21"/>
        <v>0</v>
      </c>
      <c r="P161" s="270"/>
    </row>
    <row r="162" spans="1:16" s="131" customFormat="1" ht="14" outlineLevel="1" x14ac:dyDescent="0.2">
      <c r="A162" s="269" t="s">
        <v>177</v>
      </c>
      <c r="B162" s="269"/>
      <c r="C162" s="270">
        <f>IF(ISERROR(GETPIVOTDATA("Somma di DARE",'Pivot Fineco Sa'!$A$3,"Mese",1,"Tipologia",$A162,"Viaggio",$A$157)),0,GETPIVOTDATA("Somma di DARE",'Pivot Fineco Sa'!$A$3,"Mese",1,"Tipologia",$A162,"Viaggio",$A$157))
+IF(ISERROR(GETPIVOTDATA("Somma di DARE",'Pivot Fineco St'!$A$3,"Mese",1,"Tipologia",$A162,"Viaggio",$A$157)),0,GETPIVOTDATA("Somma di DARE",'Pivot Fineco St'!$A$3,"Mese",1,"Tipologia",$A162,"Viaggio",$A$157))
+IF(Contanti!$E43='Conto Economico'!$A$157,Contanti!$B43)
+IF(ISERROR(GETPIVOTDATA("Somma di DARE",'Pivot BBVA'!$A$3,"Mese",1,"Tipologia",$A162,"Viaggio",$A$157)),0,GETPIVOTDATA("Somma di DARE",'Pivot BBVA'!$A$3,"Mese",1,"Tipologia",$A162,"Viaggio",$A$157))
+IF(ISERROR(GETPIVOTDATA("Somma di DARE",'Pivot Amex'!$A$3,"Mese",1,"Tipologia",$A162,"Viaggio",$A$157)),0,GETPIVOTDATA("Somma di DARE",'Pivot Amex'!$A$3,"Mese",1,"Tipologia",$A162,"Viaggio",$A$157))
-IF(ISERROR(GETPIVOTDATA("Somma di AVERE",'Pivot Amex'!$A$3,"Mese",1,"Tipologia",$A162,"Viaggio",$A$157)),0,GETPIVOTDATA("Somma di AVERE",'Pivot Amex'!$A$3,"Mese",1,"Tipologia",$A162,"Viaggio",$A$157))
-IF(ISERROR(GETPIVOTDATA("Somma di AVERE",'Pivot BBVA'!$A$3,"Mese",1,"Tipologia",$A162,"Viaggio",$A$157)),0,GETPIVOTDATA("Somma di AVERE",'Pivot BBVA'!$A$3,"Mese",1,"Tipologia",$A162,"Viaggio",$A$157))
-IF(ISERROR(GETPIVOTDATA("Somma di AVERE",'Pivot Fineco St'!$A$3,"Mese",1,"Tipologia",$A162,"Viaggio",$A$157)),0,GETPIVOTDATA("Somma di AVERE",'Pivot Fineco St'!$A$3,"Mese",1,"Tipologia",$A162,"Viaggio",$A$157))
-IF(ISERROR(GETPIVOTDATA("Somma di AVERE",'Pivot Fineco Sa'!$A$3,"Mese",1,"Tipologia",$A162,"Viaggio",$A$157)),0,GETPIVOTDATA("Somma di AVERE",'Pivot Fineco Sa'!$A$3,"Mese",1,"Tipologia",$A162,"Viaggio",$A$157))
+IF(ISERROR(GETPIVOTDATA("Somma di DARE",'Pivot PP Visa'!$A$3,"Mese",1,"Tipologia",$A162,"Viaggio",$A$157)),0,GETPIVOTDATA("Somma di DARE",'Pivot PP Visa'!$A$3,"Mese",1,"Tipologia",$A162,"Viaggio",$A$157))
-IF(ISERROR(GETPIVOTDATA("Somma di AVERE",'Pivot PP Visa'!$A$3,"Mese",1,"Tipologia",$A162,"Viaggio",$A$157)),0,GETPIVOTDATA("Somma di AVERE",'Pivot PP Visa'!$A$3,"Mese",1,"Tipologia",$A162,"Viaggio",$A$157))
+IF(ISERROR(GETPIVOTDATA("Somma di DARE",'Pivot Revolut'!$A$3,"Mese",1,"Tipologia",$A162,"Viaggio",$A$157)),0,GETPIVOTDATA("Somma di DARE",'Pivot Revolut'!$A$3,"Mese",1,"Tipologia",$A162,"Viaggio",$A$157))
-IF(ISERROR(GETPIVOTDATA("Somma di AVERE",'Pivot Revolut'!$A$3,"Mese",1,"Tipologia",$A162,"Viaggio",$A$157)),0,GETPIVOTDATA("Somma di AVERE",'Pivot Revolut'!$A$3,"Mese",1,"Tipologia",$A162,"Viaggio",$A$157))
+IF(ISERROR(GETPIVOTDATA("Somma di DARE",'Pivot RakBank EUR'!$A$3,"Mese",1,"Tipologia",$A162,"Viaggio",$A$157)),0,GETPIVOTDATA("Somma di DARE",'Pivot RakBank EUR'!$A$3,"Mese",1,"Tipologia",$A162,"Viaggio",$A$157))
-IF(ISERROR(GETPIVOTDATA("Somma di AVERE",'Pivot RakBank EUR'!$A$3,"Mese",1,"Tipologia",$A162,"Viaggio",$A$157)),0,GETPIVOTDATA("Somma di AVERE",'Pivot RakBank EUR'!$A$3,"Mese",1,"Tipologia",$A162,"Viaggio",$A$157))
+IF(ISERROR(GETPIVOTDATA("Somma di DARE EUR",'Pivot RakBank AED'!$A$3,"Mese",1,"Tipologia",$A162,"Viaggio",$A$157)),0,GETPIVOTDATA("Somma di DARE EUR",'Pivot RakBank AED'!$A$3,"Mese",1,"Tipologia",$A162,"Viaggio",$A$157))
-IF(ISERROR(GETPIVOTDATA("Somma di AVERE EUR",'Pivot RakBank AED'!$A$3,"Mese",1,"Tipologia",$A162,"Viaggio",$A$157)),0,GETPIVOTDATA("Somma di AVERE EUR",'Pivot RakBank AED'!$A$3,"Mese",1,"Tipologia",$A162,"Viaggio",$A$157))</f>
        <v>0</v>
      </c>
      <c r="D162" s="270">
        <f>IF(ISERROR(GETPIVOTDATA("Somma di DARE",'Pivot Fineco Sa'!$A$3,"Mese",2,"Tipologia",$A162,"Viaggio",$A$157)),0,GETPIVOTDATA("Somma di DARE",'Pivot Fineco Sa'!$A$3,"Mese",2,"Tipologia",$A162,"Viaggio",$A$157))
+IF(ISERROR(GETPIVOTDATA("Somma di DARE",'Pivot Fineco St'!$A$3,"Mese",2,"Tipologia",$A162,"Viaggio",$A$157)),0,GETPIVOTDATA("Somma di DARE",'Pivot Fineco St'!$A$3,"Mese",2,"Tipologia",$A162,"Viaggio",$A$157))
+IF(Contanti!$I43='Conto Economico'!$A$157,Contanti!$F43)
+IF(ISERROR(GETPIVOTDATA("Somma di DARE",'Pivot BBVA'!$A$3,"Mese",2,"Tipologia",$A162,"Viaggio",$A$157)),0,GETPIVOTDATA("Somma di DARE",'Pivot BBVA'!$A$3,"Mese",2,"Tipologia",$A162,"Viaggio",$A$157))
+IF(ISERROR(GETPIVOTDATA("Somma di DARE",'Pivot Amex'!$A$3,"Mese",2,"Tipologia",$A162,"Viaggio",$A$157)),0,GETPIVOTDATA("Somma di DARE",'Pivot Amex'!$A$3,"Mese",2,"Tipologia",$A162,"Viaggio",$A$157))
-IF(ISERROR(GETPIVOTDATA("Somma di AVERE",'Pivot Amex'!$A$3,"Mese",2,"Tipologia",$A162,"Viaggio",$A$157)),0,GETPIVOTDATA("Somma di AVERE",'Pivot Amex'!$A$3,"Mese",2,"Tipologia",$A162,"Viaggio",$A$157))
-IF(ISERROR(GETPIVOTDATA("Somma di AVERE",'Pivot BBVA'!$A$3,"Mese",2,"Tipologia",$A162,"Viaggio",$A$157)),0,GETPIVOTDATA("Somma di AVERE",'Pivot BBVA'!$A$3,"Mese",2,"Tipologia",$A162,"Viaggio",$A$157))
-IF(ISERROR(GETPIVOTDATA("Somma di AVERE",'Pivot Fineco St'!$A$3,"Mese",2,"Tipologia",$A162,"Viaggio",$A$157)),0,GETPIVOTDATA("Somma di AVERE",'Pivot Fineco St'!$A$3,"Mese",2,"Tipologia",$A162,"Viaggio",$A$157))
-IF(ISERROR(GETPIVOTDATA("Somma di AVERE",'Pivot Fineco Sa'!$A$3,"Mese",2,"Tipologia",$A162,"Viaggio",$A$157)),0,GETPIVOTDATA("Somma di AVERE",'Pivot Fineco Sa'!$A$3,"Mese",2,"Tipologia",$A162,"Viaggio",$A$157))
+IF(ISERROR(GETPIVOTDATA("Somma di DARE",'Pivot PP Visa'!$A$3,"Mese",2,"Tipologia",$A162,"Viaggio",$A$157)),0,GETPIVOTDATA("Somma di DARE",'Pivot PP Visa'!$A$3,"Mese",2,"Tipologia",$A162,"Viaggio",$A$157))
-IF(ISERROR(GETPIVOTDATA("Somma di AVERE",'Pivot PP Visa'!$A$3,"Mese",2,"Tipologia",$A162,"Viaggio",$A$157)),0,GETPIVOTDATA("Somma di AVERE",'Pivot PP Visa'!$A$3,"Mese",2,"Tipologia",$A162,"Viaggio",$A$157))
+IF(ISERROR(GETPIVOTDATA("Somma di DARE",'Pivot Revolut'!$A$3,"Mese",2,"Tipologia",$A162,"Viaggio",$A$157)),0,GETPIVOTDATA("Somma di DARE",'Pivot Revolut'!$A$3,"Mese",2,"Tipologia",$A162,"Viaggio",$A$157))
-IF(ISERROR(GETPIVOTDATA("Somma di AVERE",'Pivot Revolut'!$A$3,"Mese",2,"Tipologia",$A162,"Viaggio",$A$157)),0,GETPIVOTDATA("Somma di AVERE",'Pivot Revolut'!$A$3,"Mese",2,"Tipologia",$A162,"Viaggio",$A$157))
+IF(ISERROR(GETPIVOTDATA("Somma di DARE",'Pivot RakBank EUR'!$A$3,"Mese",2,"Tipologia",$A162,"Viaggio",$A$157)),0,GETPIVOTDATA("Somma di DARE",'Pivot RakBank EUR'!$A$3,"Mese",2,"Tipologia",$A162,"Viaggio",$A$157))
-IF(ISERROR(GETPIVOTDATA("Somma di AVERE",'Pivot RakBank EUR'!$A$3,"Mese",2,"Tipologia",$A162,"Viaggio",$A$157)),0,GETPIVOTDATA("Somma di AVERE",'Pivot RakBank EUR'!$A$3,"Mese",2,"Tipologia",$A162,"Viaggio",$A$157))
+IF(ISERROR(GETPIVOTDATA("Somma di DARE EUR",'Pivot RakBank AED'!$A$3,"Mese",2,"Tipologia",$A162,"Viaggio",$A$157)),0,GETPIVOTDATA("Somma di DARE EUR",'Pivot RakBank AED'!$A$3,"Mese",2,"Tipologia",$A162,"Viaggio",$A$157))
-IF(ISERROR(GETPIVOTDATA("Somma di AVERE EUR",'Pivot RakBank AED'!$A$3,"Mese",2,"Tipologia",$A162,"Viaggio",$A$157)),0,GETPIVOTDATA("Somma di AVERE EUR",'Pivot RakBank AED'!$A$3,"Mese",2,"Tipologia",$A162,"Viaggio",$A$157))</f>
        <v>0</v>
      </c>
      <c r="E162" s="270">
        <f>IF(ISERROR(GETPIVOTDATA("Somma di DARE",'Pivot Fineco Sa'!$A$3,"Mese",3,"Tipologia",$A162,"Viaggio",$A$157)),0,GETPIVOTDATA("Somma di DARE",'Pivot Fineco Sa'!$A$3,"Mese",3,"Tipologia",$A162,"Viaggio",$A$157))
+IF(ISERROR(GETPIVOTDATA("Somma di DARE",'Pivot Fineco St'!$A$3,"Mese",3,"Tipologia",$A162,"Viaggio",$A$157)),0,GETPIVOTDATA("Somma di DARE",'Pivot Fineco St'!$A$3,"Mese",3,"Tipologia",$A162,"Viaggio",$A$157))
+IF(Contanti!$M43='Conto Economico'!$A$157,Contanti!$J43)
+IF(ISERROR(GETPIVOTDATA("Somma di DARE",'Pivot BBVA'!$A$3,"Mese",3,"Tipologia",$A162,"Viaggio",$A$157)),0,GETPIVOTDATA("Somma di DARE",'Pivot BBVA'!$A$3,"Mese",3,"Tipologia",$A162,"Viaggio",$A$157))
+IF(ISERROR(GETPIVOTDATA("Somma di DARE",'Pivot Amex'!$A$3,"Mese",3,"Tipologia",$A162,"Viaggio",$A$157)),0,GETPIVOTDATA("Somma di DARE",'Pivot Amex'!$A$3,"Mese",3,"Tipologia",$A162,"Viaggio",$A$157))
-IF(ISERROR(GETPIVOTDATA("Somma di AVERE",'Pivot Amex'!$A$3,"Mese",3,"Tipologia",$A162,"Viaggio",$A$157)),0,GETPIVOTDATA("Somma di AVERE",'Pivot Amex'!$A$3,"Mese",3,"Tipologia",$A162,"Viaggio",$A$157))
-IF(ISERROR(GETPIVOTDATA("Somma di AVERE",'Pivot BBVA'!$A$3,"Mese",3,"Tipologia",$A162,"Viaggio",$A$157)),0,GETPIVOTDATA("Somma di AVERE",'Pivot BBVA'!$A$3,"Mese",3,"Tipologia",$A162,"Viaggio",$A$157))
-IF(ISERROR(GETPIVOTDATA("Somma di AVERE",'Pivot Fineco St'!$A$3,"Mese",3,"Tipologia",$A162,"Viaggio",$A$157)),0,GETPIVOTDATA("Somma di AVERE",'Pivot Fineco St'!$A$3,"Mese",3,"Tipologia",$A162,"Viaggio",$A$157))
-IF(ISERROR(GETPIVOTDATA("Somma di AVERE",'Pivot Fineco Sa'!$A$3,"Mese",3,"Tipologia",$A162,"Viaggio",$A$157)),0,GETPIVOTDATA("Somma di AVERE",'Pivot Fineco Sa'!$A$3,"Mese",3,"Tipologia",$A162,"Viaggio",$A$157))
+IF(ISERROR(GETPIVOTDATA("Somma di DARE",'Pivot PP Visa'!$A$3,"Mese",3,"Tipologia",$A162,"Viaggio",$A$157)),0,GETPIVOTDATA("Somma di DARE",'Pivot PP Visa'!$A$3,"Mese",3,"Tipologia",$A162,"Viaggio",$A$157))
-IF(ISERROR(GETPIVOTDATA("Somma di AVERE",'Pivot PP Visa'!$A$3,"Mese",3,"Tipologia",$A162,"Viaggio",$A$157)),0,GETPIVOTDATA("Somma di AVERE",'Pivot PP Visa'!$A$3,"Mese",3,"Tipologia",$A162,"Viaggio",$A$157))
+IF(ISERROR(GETPIVOTDATA("Somma di DARE",'Pivot Revolut'!$A$3,"Mese",3,"Tipologia",$A162,"Viaggio",$A$157)),0,GETPIVOTDATA("Somma di DARE",'Pivot Revolut'!$A$3,"Mese",3,"Tipologia",$A162,"Viaggio",$A$157))
-IF(ISERROR(GETPIVOTDATA("Somma di AVERE",'Pivot Revolut'!$A$3,"Mese",3,"Tipologia",$A162,"Viaggio",$A$157)),0,GETPIVOTDATA("Somma di AVERE",'Pivot Revolut'!$A$3,"Mese",3,"Tipologia",$A162,"Viaggio",$A$157))
+IF(ISERROR(GETPIVOTDATA("Somma di DARE",'Pivot RakBank EUR'!$A$3,"Mese",3,"Tipologia",$A162,"Viaggio",$A$157)),0,GETPIVOTDATA("Somma di DARE",'Pivot RakBank EUR'!$A$3,"Mese",3,"Tipologia",$A162,"Viaggio",$A$157))
-IF(ISERROR(GETPIVOTDATA("Somma di AVERE",'Pivot RakBank EUR'!$A$3,"Mese",3,"Tipologia",$A162,"Viaggio",$A$157)),0,GETPIVOTDATA("Somma di AVERE",'Pivot RakBank EUR'!$A$3,"Mese",3,"Tipologia",$A162,"Viaggio",$A$157))
+IF(ISERROR(GETPIVOTDATA("Somma di DARE EUR",'Pivot RakBank AED'!$A$3,"Mese",3,"Tipologia",$A162,"Viaggio",$A$157)),0,GETPIVOTDATA("Somma di DARE EUR",'Pivot RakBank AED'!$A$3,"Mese",3,"Tipologia",$A162,"Viaggio",$A$157))
-IF(ISERROR(GETPIVOTDATA("Somma di AVERE EUR",'Pivot RakBank AED'!$A$3,"Mese",3,"Tipologia",$A162,"Viaggio",$A$157)),0,GETPIVOTDATA("Somma di AVERE EUR",'Pivot RakBank AED'!$A$3,"Mese",3,"Tipologia",$A162,"Viaggio",$A$157))</f>
        <v>0</v>
      </c>
      <c r="F162" s="270">
        <f>IF(ISERROR(GETPIVOTDATA("Somma di DARE",'Pivot Fineco Sa'!$A$3,"Mese",4,"Tipologia",$A162,"Viaggio",$A$157)),0,GETPIVOTDATA("Somma di DARE",'Pivot Fineco Sa'!$A$3,"Mese",4,"Tipologia",$A162,"Viaggio",$A$157))
+IF(ISERROR(GETPIVOTDATA("Somma di DARE",'Pivot Fineco St'!$A$3,"Mese",4,"Tipologia",$A162,"Viaggio",$A$157)),0,GETPIVOTDATA("Somma di DARE",'Pivot Fineco St'!$A$3,"Mese",4,"Tipologia",$A162,"Viaggio",$A$157))
+IF(Contanti!$Q43='Conto Economico'!$A$157,Contanti!$N43)
+IF(ISERROR(GETPIVOTDATA("Somma di DARE",'Pivot BBVA'!$A$3,"Mese",4,"Tipologia",$A162,"Viaggio",$A$157)),0,GETPIVOTDATA("Somma di DARE",'Pivot BBVA'!$A$3,"Mese",4,"Tipologia",$A162,"Viaggio",$A$157))
+IF(ISERROR(GETPIVOTDATA("Somma di DARE",'Pivot Amex'!$A$3,"Mese",4,"Tipologia",$A162,"Viaggio",$A$157)),0,GETPIVOTDATA("Somma di DARE",'Pivot Amex'!$A$3,"Mese",4,"Tipologia",$A162,"Viaggio",$A$157))
-IF(ISERROR(GETPIVOTDATA("Somma di AVERE",'Pivot Amex'!$A$3,"Mese",4,"Tipologia",$A162,"Viaggio",$A$157)),0,GETPIVOTDATA("Somma di AVERE",'Pivot Amex'!$A$3,"Mese",4,"Tipologia",$A162,"Viaggio",$A$157))
-IF(ISERROR(GETPIVOTDATA("Somma di AVERE",'Pivot BBVA'!$A$3,"Mese",4,"Tipologia",$A162,"Viaggio",$A$157)),0,GETPIVOTDATA("Somma di AVERE",'Pivot BBVA'!$A$3,"Mese",4,"Tipologia",$A162,"Viaggio",$A$157))
-IF(ISERROR(GETPIVOTDATA("Somma di AVERE",'Pivot Fineco St'!$A$3,"Mese",4,"Tipologia",$A162,"Viaggio",$A$157)),0,GETPIVOTDATA("Somma di AVERE",'Pivot Fineco St'!$A$3,"Mese",4,"Tipologia",$A162,"Viaggio",$A$157))
-IF(ISERROR(GETPIVOTDATA("Somma di AVERE",'Pivot Fineco Sa'!$A$3,"Mese",4,"Tipologia",$A162,"Viaggio",$A$157)),0,GETPIVOTDATA("Somma di AVERE",'Pivot Fineco Sa'!$A$3,"Mese",4,"Tipologia",$A162,"Viaggio",$A$157))
+IF(ISERROR(GETPIVOTDATA("Somma di DARE",'Pivot PP Visa'!$A$3,"Mese",4,"Tipologia",$A162,"Viaggio",$A$157)),0,GETPIVOTDATA("Somma di DARE",'Pivot PP Visa'!$A$3,"Mese",4,"Tipologia",$A162,"Viaggio",$A$157))
-IF(ISERROR(GETPIVOTDATA("Somma di AVERE",'Pivot PP Visa'!$A$3,"Mese",4,"Tipologia",$A162,"Viaggio",$A$157)),0,GETPIVOTDATA("Somma di AVERE",'Pivot PP Visa'!$A$3,"Mese",4,"Tipologia",$A162,"Viaggio",$A$157))
+IF(ISERROR(GETPIVOTDATA("Somma di DARE",'Pivot Revolut'!$A$3,"Mese",4,"Tipologia",$A162,"Viaggio",$A$157)),0,GETPIVOTDATA("Somma di DARE",'Pivot Revolut'!$A$3,"Mese",4,"Tipologia",$A162,"Viaggio",$A$157))
-IF(ISERROR(GETPIVOTDATA("Somma di AVERE",'Pivot Revolut'!$A$3,"Mese",4,"Tipologia",$A162,"Viaggio",$A$157)),0,GETPIVOTDATA("Somma di AVERE",'Pivot Revolut'!$A$3,"Mese",4,"Tipologia",$A162,"Viaggio",$A$157))
+IF(ISERROR(GETPIVOTDATA("Somma di DARE",'Pivot RakBank EUR'!$A$3,"Mese",4,"Tipologia",$A162,"Viaggio",$A$157)),0,GETPIVOTDATA("Somma di DARE",'Pivot RakBank EUR'!$A$3,"Mese",4,"Tipologia",$A162,"Viaggio",$A$157))
-IF(ISERROR(GETPIVOTDATA("Somma di AVERE",'Pivot RakBank EUR'!$A$3,"Mese",4,"Tipologia",$A162,"Viaggio",$A$157)),0,GETPIVOTDATA("Somma di AVERE",'Pivot RakBank EUR'!$A$3,"Mese",4,"Tipologia",$A162,"Viaggio",$A$157))
+IF(ISERROR(GETPIVOTDATA("Somma di DARE EUR",'Pivot RakBank AED'!$A$3,"Mese",4,"Tipologia",$A162,"Viaggio",$A$157)),0,GETPIVOTDATA("Somma di DARE EUR",'Pivot RakBank AED'!$A$3,"Mese",4,"Tipologia",$A162,"Viaggio",$A$157))
-IF(ISERROR(GETPIVOTDATA("Somma di AVERE EUR",'Pivot RakBank AED'!$A$3,"Mese",4,"Tipologia",$A162,"Viaggio",$A$157)),0,GETPIVOTDATA("Somma di AVERE EUR",'Pivot RakBank AED'!$A$3,"Mese",4,"Tipologia",$A162,"Viaggio",$A$157))</f>
        <v>0</v>
      </c>
      <c r="G162" s="270">
        <f>IF(ISERROR(GETPIVOTDATA("Somma di DARE",'Pivot Fineco Sa'!$A$3,"Mese",5,"Tipologia",$A162,"Viaggio",$A$157)),0,GETPIVOTDATA("Somma di DARE",'Pivot Fineco Sa'!$A$3,"Mese",5,"Tipologia",$A162,"Viaggio",$A$157))
+IF(ISERROR(GETPIVOTDATA("Somma di DARE",'Pivot Fineco St'!$A$3,"Mese",5,"Tipologia",$A162,"Viaggio",$A$157)),0,GETPIVOTDATA("Somma di DARE",'Pivot Fineco St'!$A$3,"Mese",5,"Tipologia",$A162,"Viaggio",$A$157))
+IF(Contanti!$U43='Conto Economico'!$A$157,Contanti!$R43)
+IF(ISERROR(GETPIVOTDATA("Somma di DARE",'Pivot BBVA'!$A$3,"Mese",5,"Tipologia",$A162,"Viaggio",$A$157)),0,GETPIVOTDATA("Somma di DARE",'Pivot BBVA'!$A$3,"Mese",5,"Tipologia",$A162,"Viaggio",$A$157))
+IF(ISERROR(GETPIVOTDATA("Somma di DARE",'Pivot Amex'!$A$3,"Mese",5,"Tipologia",$A162,"Viaggio",$A$157)),0,GETPIVOTDATA("Somma di DARE",'Pivot Amex'!$A$3,"Mese",5,"Tipologia",$A162,"Viaggio",$A$157))
-IF(ISERROR(GETPIVOTDATA("Somma di AVERE",'Pivot Amex'!$A$3,"Mese",5,"Tipologia",$A162,"Viaggio",$A$157)),0,GETPIVOTDATA("Somma di AVERE",'Pivot Amex'!$A$3,"Mese",5,"Tipologia",$A162,"Viaggio",$A$157))
-IF(ISERROR(GETPIVOTDATA("Somma di AVERE",'Pivot BBVA'!$A$3,"Mese",5,"Tipologia",$A162,"Viaggio",$A$157)),0,GETPIVOTDATA("Somma di AVERE",'Pivot BBVA'!$A$3,"Mese",5,"Tipologia",$A162,"Viaggio",$A$157))
-IF(ISERROR(GETPIVOTDATA("Somma di AVERE",'Pivot Fineco St'!$A$3,"Mese",5,"Tipologia",$A162,"Viaggio",$A$157)),0,GETPIVOTDATA("Somma di AVERE",'Pivot Fineco St'!$A$3,"Mese",5,"Tipologia",$A162,"Viaggio",$A$157))
-IF(ISERROR(GETPIVOTDATA("Somma di AVERE",'Pivot Fineco Sa'!$A$3,"Mese",5,"Tipologia",$A162,"Viaggio",$A$157)),0,GETPIVOTDATA("Somma di AVERE",'Pivot Fineco Sa'!$A$3,"Mese",5,"Tipologia",$A162,"Viaggio",$A$157))
+IF(ISERROR(GETPIVOTDATA("Somma di DARE",'Pivot PP Visa'!$A$3,"Mese",5,"Tipologia",$A162,"Viaggio",$A$157)),0,GETPIVOTDATA("Somma di DARE",'Pivot PP Visa'!$A$3,"Mese",5,"Tipologia",$A162,"Viaggio",$A$157))
-IF(ISERROR(GETPIVOTDATA("Somma di AVERE",'Pivot PP Visa'!$A$3,"Mese",5,"Tipologia",$A162,"Viaggio",$A$157)),0,GETPIVOTDATA("Somma di AVERE",'Pivot PP Visa'!$A$3,"Mese",5,"Tipologia",$A162,"Viaggio",$A$157))
+IF(ISERROR(GETPIVOTDATA("Somma di DARE",'Pivot Revolut'!$A$3,"Mese",5,"Tipologia",$A162,"Viaggio",$A$157)),0,GETPIVOTDATA("Somma di DARE",'Pivot Revolut'!$A$3,"Mese",5,"Tipologia",$A162,"Viaggio",$A$157))
-IF(ISERROR(GETPIVOTDATA("Somma di AVERE",'Pivot Revolut'!$A$3,"Mese",5,"Tipologia",$A162,"Viaggio",$A$157)),0,GETPIVOTDATA("Somma di AVERE",'Pivot Revolut'!$A$3,"Mese",5,"Tipologia",$A162,"Viaggio",$A$157))
+IF(ISERROR(GETPIVOTDATA("Somma di DARE",'Pivot RakBank EUR'!$A$3,"Mese",5,"Tipologia",$A162,"Viaggio",$A$157)),0,GETPIVOTDATA("Somma di DARE",'Pivot RakBank EUR'!$A$3,"Mese",5,"Tipologia",$A162,"Viaggio",$A$157))
-IF(ISERROR(GETPIVOTDATA("Somma di AVERE",'Pivot RakBank EUR'!$A$3,"Mese",5,"Tipologia",$A162,"Viaggio",$A$157)),0,GETPIVOTDATA("Somma di AVERE",'Pivot RakBank EUR'!$A$3,"Mese",5,"Tipologia",$A162,"Viaggio",$A$157))
+IF(ISERROR(GETPIVOTDATA("Somma di DARE EUR",'Pivot RakBank AED'!$A$3,"Mese",5,"Tipologia",$A162,"Viaggio",$A$157)),0,GETPIVOTDATA("Somma di DARE EUR",'Pivot RakBank AED'!$A$3,"Mese",5,"Tipologia",$A162,"Viaggio",$A$157))
-IF(ISERROR(GETPIVOTDATA("Somma di AVERE EUR",'Pivot RakBank AED'!$A$3,"Mese",5,"Tipologia",$A162,"Viaggio",$A$157)),0,GETPIVOTDATA("Somma di AVERE EUR",'Pivot RakBank AED'!$A$3,"Mese",5,"Tipologia",$A162,"Viaggio",$A$157))</f>
        <v>0</v>
      </c>
      <c r="H162" s="270">
        <f>IF(ISERROR(GETPIVOTDATA("Somma di DARE",'Pivot Fineco Sa'!$A$3,"Mese",6,"Tipologia",$A162,"Viaggio",$A$157)),0,GETPIVOTDATA("Somma di DARE",'Pivot Fineco Sa'!$A$3,"Mese",6,"Tipologia",$A162,"Viaggio",$A$157))
+IF(ISERROR(GETPIVOTDATA("Somma di DARE",'Pivot Fineco St'!$A$3,"Mese",6,"Tipologia",$A162,"Viaggio",$A$157)),0,GETPIVOTDATA("Somma di DARE",'Pivot Fineco St'!$A$3,"Mese",6,"Tipologia",$A162,"Viaggio",$A$157))
+IF(Contanti!$Y43='Conto Economico'!$A$157,Contanti!$V43)
+IF(ISERROR(GETPIVOTDATA("Somma di DARE",'Pivot BBVA'!$A$3,"Mese",6,"Tipologia",$A162,"Viaggio",$A$157)),0,GETPIVOTDATA("Somma di DARE",'Pivot BBVA'!$A$3,"Mese",6,"Tipologia",$A162,"Viaggio",$A$157))
+IF(ISERROR(GETPIVOTDATA("Somma di DARE",'Pivot Amex'!$A$3,"Mese",6,"Tipologia",$A162,"Viaggio",$A$157)),0,GETPIVOTDATA("Somma di DARE",'Pivot Amex'!$A$3,"Mese",6,"Tipologia",$A162,"Viaggio",$A$157))
-IF(ISERROR(GETPIVOTDATA("Somma di AVERE",'Pivot Amex'!$A$3,"Mese",6,"Tipologia",$A162,"Viaggio",$A$157)),0,GETPIVOTDATA("Somma di AVERE",'Pivot Amex'!$A$3,"Mese",6,"Tipologia",$A162,"Viaggio",$A$157))
-IF(ISERROR(GETPIVOTDATA("Somma di AVERE",'Pivot BBVA'!$A$3,"Mese",6,"Tipologia",$A162,"Viaggio",$A$157)),0,GETPIVOTDATA("Somma di AVERE",'Pivot BBVA'!$A$3,"Mese",6,"Tipologia",$A162,"Viaggio",$A$157))
-IF(ISERROR(GETPIVOTDATA("Somma di AVERE",'Pivot Fineco St'!$A$3,"Mese",6,"Tipologia",$A162,"Viaggio",$A$157)),0,GETPIVOTDATA("Somma di AVERE",'Pivot Fineco St'!$A$3,"Mese",6,"Tipologia",$A162,"Viaggio",$A$157))
-IF(ISERROR(GETPIVOTDATA("Somma di AVERE",'Pivot Fineco Sa'!$A$3,"Mese",6,"Tipologia",$A162,"Viaggio",$A$157)),0,GETPIVOTDATA("Somma di AVERE",'Pivot Fineco Sa'!$A$3,"Mese",6,"Tipologia",$A162,"Viaggio",$A$157))
+IF(ISERROR(GETPIVOTDATA("Somma di DARE",'Pivot PP Visa'!$A$3,"Mese",6,"Tipologia",$A162,"Viaggio",$A$157)),0,GETPIVOTDATA("Somma di DARE",'Pivot PP Visa'!$A$3,"Mese",6,"Tipologia",$A162,"Viaggio",$A$157))
-IF(ISERROR(GETPIVOTDATA("Somma di AVERE",'Pivot PP Visa'!$A$3,"Mese",6,"Tipologia",$A162,"Viaggio",$A$157)),0,GETPIVOTDATA("Somma di AVERE",'Pivot PP Visa'!$A$3,"Mese",6,"Tipologia",$A162,"Viaggio",$A$157))
+IF(ISERROR(GETPIVOTDATA("Somma di DARE",'Pivot Revolut'!$A$3,"Mese",6,"Tipologia",$A162,"Viaggio",$A$157)),0,GETPIVOTDATA("Somma di DARE",'Pivot Revolut'!$A$3,"Mese",6,"Tipologia",$A162,"Viaggio",$A$157))
-IF(ISERROR(GETPIVOTDATA("Somma di AVERE",'Pivot Revolut'!$A$3,"Mese",6,"Tipologia",$A162,"Viaggio",$A$157)),0,GETPIVOTDATA("Somma di AVERE",'Pivot Revolut'!$A$3,"Mese",6,"Tipologia",$A162,"Viaggio",$A$157))
+IF(ISERROR(GETPIVOTDATA("Somma di DARE",'Pivot RakBank EUR'!$A$3,"Mese",6,"Tipologia",$A162,"Viaggio",$A$157)),0,GETPIVOTDATA("Somma di DARE",'Pivot RakBank EUR'!$A$3,"Mese",6,"Tipologia",$A162,"Viaggio",$A$157))
-IF(ISERROR(GETPIVOTDATA("Somma di AVERE",'Pivot RakBank EUR'!$A$3,"Mese",6,"Tipologia",$A162,"Viaggio",$A$157)),0,GETPIVOTDATA("Somma di AVERE",'Pivot RakBank EUR'!$A$3,"Mese",6,"Tipologia",$A162,"Viaggio",$A$157))
+IF(ISERROR(GETPIVOTDATA("Somma di DARE EUR",'Pivot RakBank AED'!$A$3,"Mese",6,"Tipologia",$A162,"Viaggio",$A$157)),0,GETPIVOTDATA("Somma di DARE EUR",'Pivot RakBank AED'!$A$3,"Mese",6,"Tipologia",$A162,"Viaggio",$A$157))
-IF(ISERROR(GETPIVOTDATA("Somma di AVERE EUR",'Pivot RakBank AED'!$A$3,"Mese",6,"Tipologia",$A162,"Viaggio",$A$157)),0,GETPIVOTDATA("Somma di AVERE EUR",'Pivot RakBank AED'!$A$3,"Mese",6,"Tipologia",$A162,"Viaggio",$A$157))</f>
        <v>0</v>
      </c>
      <c r="I162" s="270">
        <f>IF(ISERROR(GETPIVOTDATA("Somma di DARE",'Pivot Fineco Sa'!$A$3,"Mese",7,"Tipologia",$A162,"Viaggio",$A$157)),0,GETPIVOTDATA("Somma di DARE",'Pivot Fineco Sa'!$A$3,"Mese",7,"Tipologia",$A162,"Viaggio",$A$157))
+IF(ISERROR(GETPIVOTDATA("Somma di DARE",'Pivot Fineco St'!$A$3,"Mese",7,"Tipologia",$A162,"Viaggio",$A$157)),0,GETPIVOTDATA("Somma di DARE",'Pivot Fineco St'!$A$3,"Mese",7,"Tipologia",$A162,"Viaggio",$A$157))
+IF(Contanti!$AC43='Conto Economico'!$A$157,Contanti!$Z43)
+IF(ISERROR(GETPIVOTDATA("Somma di DARE",'Pivot BBVA'!$A$3,"Mese",7,"Tipologia",$A162,"Viaggio",$A$157)),0,GETPIVOTDATA("Somma di DARE",'Pivot BBVA'!$A$3,"Mese",7,"Tipologia",$A162,"Viaggio",$A$157))
+IF(ISERROR(GETPIVOTDATA("Somma di DARE",'Pivot Amex'!$A$3,"Mese",7,"Tipologia",$A162,"Viaggio",$A$157)),0,GETPIVOTDATA("Somma di DARE",'Pivot Amex'!$A$3,"Mese",7,"Tipologia",$A162,"Viaggio",$A$157))
-IF(ISERROR(GETPIVOTDATA("Somma di AVERE",'Pivot Amex'!$A$3,"Mese",7,"Tipologia",$A162,"Viaggio",$A$157)),0,GETPIVOTDATA("Somma di AVERE",'Pivot Amex'!$A$3,"Mese",7,"Tipologia",$A162,"Viaggio",$A$157))
-IF(ISERROR(GETPIVOTDATA("Somma di AVERE",'Pivot BBVA'!$A$3,"Mese",7,"Tipologia",$A162,"Viaggio",$A$157)),0,GETPIVOTDATA("Somma di AVERE",'Pivot BBVA'!$A$3,"Mese",7,"Tipologia",$A162,"Viaggio",$A$157))
-IF(ISERROR(GETPIVOTDATA("Somma di AVERE",'Pivot Fineco St'!$A$3,"Mese",7,"Tipologia",$A162,"Viaggio",$A$157)),0,GETPIVOTDATA("Somma di AVERE",'Pivot Fineco St'!$A$3,"Mese",7,"Tipologia",$A162,"Viaggio",$A$157))
-IF(ISERROR(GETPIVOTDATA("Somma di AVERE",'Pivot Fineco Sa'!$A$3,"Mese",7,"Tipologia",$A162,"Viaggio",$A$157)),0,GETPIVOTDATA("Somma di AVERE",'Pivot Fineco Sa'!$A$3,"Mese",7,"Tipologia",$A162,"Viaggio",$A$157))
+IF(ISERROR(GETPIVOTDATA("Somma di DARE",'Pivot PP Visa'!$A$3,"Mese",7,"Tipologia",$A162,"Viaggio",$A$157)),0,GETPIVOTDATA("Somma di DARE",'Pivot PP Visa'!$A$3,"Mese",7,"Tipologia",$A162,"Viaggio",$A$157))
-IF(ISERROR(GETPIVOTDATA("Somma di AVERE",'Pivot PP Visa'!$A$3,"Mese",7,"Tipologia",$A162,"Viaggio",$A$157)),0,GETPIVOTDATA("Somma di AVERE",'Pivot PP Visa'!$A$3,"Mese",7,"Tipologia",$A162,"Viaggio",$A$157))
+IF(ISERROR(GETPIVOTDATA("Somma di DARE",'Pivot Revolut'!$A$3,"Mese",7,"Tipologia",$A162,"Viaggio",$A$157)),0,GETPIVOTDATA("Somma di DARE",'Pivot Revolut'!$A$3,"Mese",7,"Tipologia",$A162,"Viaggio",$A$157))
-IF(ISERROR(GETPIVOTDATA("Somma di AVERE",'Pivot Revolut'!$A$3,"Mese",7,"Tipologia",$A162,"Viaggio",$A$157)),0,GETPIVOTDATA("Somma di AVERE",'Pivot Revolut'!$A$3,"Mese",7,"Tipologia",$A162,"Viaggio",$A$157))
+IF(ISERROR(GETPIVOTDATA("Somma di DARE",'Pivot RakBank EUR'!$A$3,"Mese",7,"Tipologia",$A162,"Viaggio",$A$157)),0,GETPIVOTDATA("Somma di DARE",'Pivot RakBank EUR'!$A$3,"Mese",7,"Tipologia",$A162,"Viaggio",$A$157))
-IF(ISERROR(GETPIVOTDATA("Somma di AVERE",'Pivot RakBank EUR'!$A$3,"Mese",7,"Tipologia",$A162,"Viaggio",$A$157)),0,GETPIVOTDATA("Somma di AVERE",'Pivot RakBank EUR'!$A$3,"Mese",7,"Tipologia",$A162,"Viaggio",$A$157))
+IF(ISERROR(GETPIVOTDATA("Somma di DARE EUR",'Pivot RakBank AED'!$A$3,"Mese",7,"Tipologia",$A162,"Viaggio",$A$157)),0,GETPIVOTDATA("Somma di DARE EUR",'Pivot RakBank AED'!$A$3,"Mese",7,"Tipologia",$A162,"Viaggio",$A$157))
-IF(ISERROR(GETPIVOTDATA("Somma di AVERE EUR",'Pivot RakBank AED'!$A$3,"Mese",7,"Tipologia",$A162,"Viaggio",$A$157)),0,GETPIVOTDATA("Somma di AVERE EUR",'Pivot RakBank AED'!$A$3,"Mese",7,"Tipologia",$A162,"Viaggio",$A$157))</f>
        <v>0</v>
      </c>
      <c r="J162" s="270">
        <f>IF(ISERROR(GETPIVOTDATA("Somma di DARE",'Pivot Fineco Sa'!$A$3,"Mese",8,"Tipologia",$A162,"Viaggio",$A$157)),0,GETPIVOTDATA("Somma di DARE",'Pivot Fineco Sa'!$A$3,"Mese",8,"Tipologia",$A162,"Viaggio",$A$157))
+IF(ISERROR(GETPIVOTDATA("Somma di DARE",'Pivot Fineco St'!$A$3,"Mese",8,"Tipologia",$A162,"Viaggio",$A$157)),0,GETPIVOTDATA("Somma di DARE",'Pivot Fineco St'!$A$3,"Mese",8,"Tipologia",$A162,"Viaggio",$A$157))
+IF(Contanti!$AG43='Conto Economico'!$A$157,Contanti!$AD43)
+IF(ISERROR(GETPIVOTDATA("Somma di DARE",'Pivot BBVA'!$A$3,"Mese",8,"Tipologia",$A162,"Viaggio",$A$157)),0,GETPIVOTDATA("Somma di DARE",'Pivot BBVA'!$A$3,"Mese",8,"Tipologia",$A162,"Viaggio",$A$157))
+IF(ISERROR(GETPIVOTDATA("Somma di DARE",'Pivot Amex'!$A$3,"Mese",8,"Tipologia",$A162,"Viaggio",$A$157)),0,GETPIVOTDATA("Somma di DARE",'Pivot Amex'!$A$3,"Mese",8,"Tipologia",$A162,"Viaggio",$A$157))
-IF(ISERROR(GETPIVOTDATA("Somma di AVERE",'Pivot Amex'!$A$3,"Mese",8,"Tipologia",$A162,"Viaggio",$A$157)),0,GETPIVOTDATA("Somma di AVERE",'Pivot Amex'!$A$3,"Mese",8,"Tipologia",$A162,"Viaggio",$A$157))
-IF(ISERROR(GETPIVOTDATA("Somma di AVERE",'Pivot BBVA'!$A$3,"Mese",8,"Tipologia",$A162,"Viaggio",$A$157)),0,GETPIVOTDATA("Somma di AVERE",'Pivot BBVA'!$A$3,"Mese",8,"Tipologia",$A162,"Viaggio",$A$157))
-IF(ISERROR(GETPIVOTDATA("Somma di AVERE",'Pivot Fineco St'!$A$3,"Mese",8,"Tipologia",$A162,"Viaggio",$A$157)),0,GETPIVOTDATA("Somma di AVERE",'Pivot Fineco St'!$A$3,"Mese",8,"Tipologia",$A162,"Viaggio",$A$157))
-IF(ISERROR(GETPIVOTDATA("Somma di AVERE",'Pivot Fineco Sa'!$A$3,"Mese",8,"Tipologia",$A162,"Viaggio",$A$157)),0,GETPIVOTDATA("Somma di AVERE",'Pivot Fineco Sa'!$A$3,"Mese",8,"Tipologia",$A162,"Viaggio",$A$157))
+IF(ISERROR(GETPIVOTDATA("Somma di DARE",'Pivot PP Visa'!$A$3,"Mese",8,"Tipologia",$A162,"Viaggio",$A$157)),0,GETPIVOTDATA("Somma di DARE",'Pivot PP Visa'!$A$3,"Mese",8,"Tipologia",$A162,"Viaggio",$A$157))
-IF(ISERROR(GETPIVOTDATA("Somma di AVERE",'Pivot PP Visa'!$A$3,"Mese",8,"Tipologia",$A162,"Viaggio",$A$157)),0,GETPIVOTDATA("Somma di AVERE",'Pivot PP Visa'!$A$3,"Mese",8,"Tipologia",$A162,"Viaggio",$A$157))
+IF(ISERROR(GETPIVOTDATA("Somma di DARE",'Pivot Revolut'!$A$3,"Mese",8,"Tipologia",$A162,"Viaggio",$A$157)),0,GETPIVOTDATA("Somma di DARE",'Pivot Revolut'!$A$3,"Mese",8,"Tipologia",$A162,"Viaggio",$A$157))
-IF(ISERROR(GETPIVOTDATA("Somma di AVERE",'Pivot Revolut'!$A$3,"Mese",8,"Tipologia",$A162,"Viaggio",$A$157)),0,GETPIVOTDATA("Somma di AVERE",'Pivot Revolut'!$A$3,"Mese",8,"Tipologia",$A162,"Viaggio",$A$157))
+IF(ISERROR(GETPIVOTDATA("Somma di DARE",'Pivot RakBank EUR'!$A$3,"Mese",8,"Tipologia",$A162,"Viaggio",$A$157)),0,GETPIVOTDATA("Somma di DARE",'Pivot RakBank EUR'!$A$3,"Mese",8,"Tipologia",$A162,"Viaggio",$A$157))
-IF(ISERROR(GETPIVOTDATA("Somma di AVERE",'Pivot RakBank EUR'!$A$3,"Mese",8,"Tipologia",$A162,"Viaggio",$A$157)),0,GETPIVOTDATA("Somma di AVERE",'Pivot RakBank EUR'!$A$3,"Mese",8,"Tipologia",$A162,"Viaggio",$A$157))
+IF(ISERROR(GETPIVOTDATA("Somma di DARE EUR",'Pivot RakBank AED'!$A$3,"Mese",8,"Tipologia",$A162,"Viaggio",$A$157)),0,GETPIVOTDATA("Somma di DARE EUR",'Pivot RakBank AED'!$A$3,"Mese",8,"Tipologia",$A162,"Viaggio",$A$157))
-IF(ISERROR(GETPIVOTDATA("Somma di AVERE EUR",'Pivot RakBank AED'!$A$3,"Mese",8,"Tipologia",$A162,"Viaggio",$A$157)),0,GETPIVOTDATA("Somma di AVERE EUR",'Pivot RakBank AED'!$A$3,"Mese",8,"Tipologia",$A162,"Viaggio",$A$157))</f>
        <v>0</v>
      </c>
      <c r="K162" s="270">
        <f>IF(ISERROR(GETPIVOTDATA("Somma di DARE",'Pivot Fineco Sa'!$A$3,"Mese",9,"Tipologia",$A162,"Viaggio",$A$157)),0,GETPIVOTDATA("Somma di DARE",'Pivot Fineco Sa'!$A$3,"Mese",9,"Tipologia",$A162,"Viaggio",$A$157))
+IF(ISERROR(GETPIVOTDATA("Somma di DARE",'Pivot Fineco St'!$A$3,"Mese",9,"Tipologia",$A162,"Viaggio",$A$157)),0,GETPIVOTDATA("Somma di DARE",'Pivot Fineco St'!$A$3,"Mese",9,"Tipologia",$A162,"Viaggio",$A$157))
+IF(Contanti!$AK43='Conto Economico'!$A$157,Contanti!$AH43)
+IF(ISERROR(GETPIVOTDATA("Somma di DARE",'Pivot BBVA'!$A$3,"Mese",9,"Tipologia",$A162,"Viaggio",$A$157)),0,GETPIVOTDATA("Somma di DARE",'Pivot BBVA'!$A$3,"Mese",9,"Tipologia",$A162,"Viaggio",$A$157))
+IF(ISERROR(GETPIVOTDATA("Somma di DARE",'Pivot Amex'!$A$3,"Mese",9,"Tipologia",$A162,"Viaggio",$A$157)),0,GETPIVOTDATA("Somma di DARE",'Pivot Amex'!$A$3,"Mese",9,"Tipologia",$A162,"Viaggio",$A$157))
-IF(ISERROR(GETPIVOTDATA("Somma di AVERE",'Pivot Amex'!$A$3,"Mese",9,"Tipologia",$A162,"Viaggio",$A$157)),0,GETPIVOTDATA("Somma di AVERE",'Pivot Amex'!$A$3,"Mese",9,"Tipologia",$A162,"Viaggio",$A$157))
-IF(ISERROR(GETPIVOTDATA("Somma di AVERE",'Pivot BBVA'!$A$3,"Mese",9,"Tipologia",$A162,"Viaggio",$A$157)),0,GETPIVOTDATA("Somma di AVERE",'Pivot BBVA'!$A$3,"Mese",9,"Tipologia",$A162,"Viaggio",$A$157))
-IF(ISERROR(GETPIVOTDATA("Somma di AVERE",'Pivot Fineco St'!$A$3,"Mese",9,"Tipologia",$A162,"Viaggio",$A$157)),0,GETPIVOTDATA("Somma di AVERE",'Pivot Fineco St'!$A$3,"Mese",9,"Tipologia",$A162,"Viaggio",$A$157))
-IF(ISERROR(GETPIVOTDATA("Somma di AVERE",'Pivot Fineco Sa'!$A$3,"Mese",9,"Tipologia",$A162,"Viaggio",$A$157)),0,GETPIVOTDATA("Somma di AVERE",'Pivot Fineco Sa'!$A$3,"Mese",9,"Tipologia",$A162,"Viaggio",$A$157))
+IF(ISERROR(GETPIVOTDATA("Somma di DARE",'Pivot PP Visa'!$A$3,"Mese",9,"Tipologia",$A162,"Viaggio",$A$157)),0,GETPIVOTDATA("Somma di DARE",'Pivot PP Visa'!$A$3,"Mese",9,"Tipologia",$A162,"Viaggio",$A$157))
-IF(ISERROR(GETPIVOTDATA("Somma di AVERE",'Pivot PP Visa'!$A$3,"Mese",9,"Tipologia",$A162,"Viaggio",$A$157)),0,GETPIVOTDATA("Somma di AVERE",'Pivot PP Visa'!$A$3,"Mese",9,"Tipologia",$A162,"Viaggio",$A$157))
+IF(ISERROR(GETPIVOTDATA("Somma di DARE",'Pivot Revolut'!$A$3,"Mese",9,"Tipologia",$A162,"Viaggio",$A$157)),0,GETPIVOTDATA("Somma di DARE",'Pivot Revolut'!$A$3,"Mese",9,"Tipologia",$A162,"Viaggio",$A$157))
-IF(ISERROR(GETPIVOTDATA("Somma di AVERE",'Pivot Revolut'!$A$3,"Mese",9,"Tipologia",$A162,"Viaggio",$A$157)),0,GETPIVOTDATA("Somma di AVERE",'Pivot Revolut'!$A$3,"Mese",9,"Tipologia",$A162,"Viaggio",$A$157))
+IF(ISERROR(GETPIVOTDATA("Somma di DARE",'Pivot RakBank EUR'!$A$3,"Mese",9,"Tipologia",$A162,"Viaggio",$A$157)),0,GETPIVOTDATA("Somma di DARE",'Pivot RakBank EUR'!$A$3,"Mese",9,"Tipologia",$A162,"Viaggio",$A$157))
-IF(ISERROR(GETPIVOTDATA("Somma di AVERE",'Pivot RakBank EUR'!$A$3,"Mese",9,"Tipologia",$A162,"Viaggio",$A$157)),0,GETPIVOTDATA("Somma di AVERE",'Pivot RakBank EUR'!$A$3,"Mese",9,"Tipologia",$A162,"Viaggio",$A$157))
+IF(ISERROR(GETPIVOTDATA("Somma di DARE EUR",'Pivot RakBank AED'!$A$3,"Mese",9,"Tipologia",$A162,"Viaggio",$A$157)),0,GETPIVOTDATA("Somma di DARE EUR",'Pivot RakBank AED'!$A$3,"Mese",9,"Tipologia",$A162,"Viaggio",$A$157))
-IF(ISERROR(GETPIVOTDATA("Somma di AVERE EUR",'Pivot RakBank AED'!$A$3,"Mese",9,"Tipologia",$A162,"Viaggio",$A$157)),0,GETPIVOTDATA("Somma di AVERE EUR",'Pivot RakBank AED'!$A$3,"Mese",9,"Tipologia",$A162,"Viaggio",$A$157))</f>
        <v>0</v>
      </c>
      <c r="L162" s="270">
        <f>IF(ISERROR(GETPIVOTDATA("Somma di DARE",'Pivot Fineco Sa'!$A$3,"Mese",10,"Tipologia",$A162,"Viaggio",$A$157)),0,GETPIVOTDATA("Somma di DARE",'Pivot Fineco Sa'!$A$3,"Mese",10,"Tipologia",$A162,"Viaggio",$A$157))
+IF(ISERROR(GETPIVOTDATA("Somma di DARE",'Pivot Fineco St'!$A$3,"Mese",10,"Tipologia",$A162,"Viaggio",$A$157)),0,GETPIVOTDATA("Somma di DARE",'Pivot Fineco St'!$A$3,"Mese",10,"Tipologia",$A162,"Viaggio",$A$157))
+IF(Contanti!$AO43='Conto Economico'!$A$157,Contanti!$AL43)
+IF(ISERROR(GETPIVOTDATA("Somma di DARE",'Pivot BBVA'!$A$3,"Mese",10,"Tipologia",$A162,"Viaggio",$A$157)),0,GETPIVOTDATA("Somma di DARE",'Pivot BBVA'!$A$3,"Mese",10,"Tipologia",$A162,"Viaggio",$A$157))
+IF(ISERROR(GETPIVOTDATA("Somma di DARE",'Pivot Amex'!$A$3,"Mese",10,"Tipologia",$A162,"Viaggio",$A$157)),0,GETPIVOTDATA("Somma di DARE",'Pivot Amex'!$A$3,"Mese",10,"Tipologia",$A162,"Viaggio",$A$157))
-IF(ISERROR(GETPIVOTDATA("Somma di AVERE",'Pivot Amex'!$A$3,"Mese",10,"Tipologia",$A162,"Viaggio",$A$157)),0,GETPIVOTDATA("Somma di AVERE",'Pivot Amex'!$A$3,"Mese",10,"Tipologia",$A162,"Viaggio",$A$157))
-IF(ISERROR(GETPIVOTDATA("Somma di AVERE",'Pivot BBVA'!$A$3,"Mese",10,"Tipologia",$A162,"Viaggio",$A$157)),0,GETPIVOTDATA("Somma di AVERE",'Pivot BBVA'!$A$3,"Mese",10,"Tipologia",$A162,"Viaggio",$A$157))
-IF(ISERROR(GETPIVOTDATA("Somma di AVERE",'Pivot Fineco St'!$A$3,"Mese",10,"Tipologia",$A162,"Viaggio",$A$157)),0,GETPIVOTDATA("Somma di AVERE",'Pivot Fineco St'!$A$3,"Mese",10,"Tipologia",$A162,"Viaggio",$A$157))
-IF(ISERROR(GETPIVOTDATA("Somma di AVERE",'Pivot Fineco Sa'!$A$3,"Mese",10,"Tipologia",$A162,"Viaggio",$A$157)),0,GETPIVOTDATA("Somma di AVERE",'Pivot Fineco Sa'!$A$3,"Mese",10,"Tipologia",$A162,"Viaggio",$A$157))
+IF(ISERROR(GETPIVOTDATA("Somma di DARE",'Pivot PP Visa'!$A$3,"Mese",10,"Tipologia",$A162,"Viaggio",$A$157)),0,GETPIVOTDATA("Somma di DARE",'Pivot PP Visa'!$A$3,"Mese",10,"Tipologia",$A162,"Viaggio",$A$157))
-IF(ISERROR(GETPIVOTDATA("Somma di AVERE",'Pivot PP Visa'!$A$3,"Mese",10,"Tipologia",$A162,"Viaggio",$A$157)),0,GETPIVOTDATA("Somma di AVERE",'Pivot PP Visa'!$A$3,"Mese",10,"Tipologia",$A162,"Viaggio",$A$157))
+IF(ISERROR(GETPIVOTDATA("Somma di DARE",'Pivot Revolut'!$A$3,"Mese",10,"Tipologia",$A162,"Viaggio",$A$157)),0,GETPIVOTDATA("Somma di DARE",'Pivot Revolut'!$A$3,"Mese",10,"Tipologia",$A162,"Viaggio",$A$157))
-IF(ISERROR(GETPIVOTDATA("Somma di AVERE",'Pivot Revolut'!$A$3,"Mese",10,"Tipologia",$A162,"Viaggio",$A$157)),0,GETPIVOTDATA("Somma di AVERE",'Pivot Revolut'!$A$3,"Mese",10,"Tipologia",$A162,"Viaggio",$A$157))
+IF(ISERROR(GETPIVOTDATA("Somma di DARE",'Pivot RakBank EUR'!$A$3,"Mese",10,"Tipologia",$A162,"Viaggio",$A$157)),0,GETPIVOTDATA("Somma di DARE",'Pivot RakBank EUR'!$A$3,"Mese",10,"Tipologia",$A162,"Viaggio",$A$157))
-IF(ISERROR(GETPIVOTDATA("Somma di AVERE",'Pivot RakBank EUR'!$A$3,"Mese",10,"Tipologia",$A162,"Viaggio",$A$157)),0,GETPIVOTDATA("Somma di AVERE",'Pivot RakBank EUR'!$A$3,"Mese",10,"Tipologia",$A162,"Viaggio",$A$157))
+IF(ISERROR(GETPIVOTDATA("Somma di DARE EUR",'Pivot RakBank AED'!$A$3,"Mese",10,"Tipologia",$A162,"Viaggio",$A$157)),0,GETPIVOTDATA("Somma di DARE EUR",'Pivot RakBank AED'!$A$3,"Mese",10,"Tipologia",$A162,"Viaggio",$A$157))
-IF(ISERROR(GETPIVOTDATA("Somma di AVERE EUR",'Pivot RakBank AED'!$A$3,"Mese",10,"Tipologia",$A162,"Viaggio",$A$157)),0,GETPIVOTDATA("Somma di AVERE EUR",'Pivot RakBank AED'!$A$3,"Mese",10,"Tipologia",$A162,"Viaggio",$A$157))</f>
        <v>0</v>
      </c>
      <c r="M162" s="270">
        <f>IF(ISERROR(GETPIVOTDATA("Somma di DARE",'Pivot Fineco Sa'!$A$3,"Mese",11,"Tipologia",$A162,"Viaggio",$A$157)),0,GETPIVOTDATA("Somma di DARE",'Pivot Fineco Sa'!$A$3,"Mese",11,"Tipologia",$A162,"Viaggio",$A$157))
+IF(ISERROR(GETPIVOTDATA("Somma di DARE",'Pivot Fineco St'!$A$3,"Mese",11,"Tipologia",$A162,"Viaggio",$A$157)),0,GETPIVOTDATA("Somma di DARE",'Pivot Fineco St'!$A$3,"Mese",11,"Tipologia",$A162,"Viaggio",$A$157))
+IF(Contanti!$AS43='Conto Economico'!$A$157,Contanti!$AP43)
+IF(ISERROR(GETPIVOTDATA("Somma di DARE",'Pivot BBVA'!$A$3,"Mese",11,"Tipologia",$A162,"Viaggio",$A$157)),0,GETPIVOTDATA("Somma di DARE",'Pivot BBVA'!$A$3,"Mese",11,"Tipologia",$A162,"Viaggio",$A$157))
+IF(ISERROR(GETPIVOTDATA("Somma di DARE",'Pivot Amex'!$A$3,"Mese",11,"Tipologia",$A162,"Viaggio",$A$157)),0,GETPIVOTDATA("Somma di DARE",'Pivot Amex'!$A$3,"Mese",11,"Tipologia",$A162,"Viaggio",$A$157))
-IF(ISERROR(GETPIVOTDATA("Somma di AVERE",'Pivot Amex'!$A$3,"Mese",11,"Tipologia",$A162,"Viaggio",$A$157)),0,GETPIVOTDATA("Somma di AVERE",'Pivot Amex'!$A$3,"Mese",11,"Tipologia",$A162,"Viaggio",$A$157))
-IF(ISERROR(GETPIVOTDATA("Somma di AVERE",'Pivot BBVA'!$A$3,"Mese",11,"Tipologia",$A162,"Viaggio",$A$157)),0,GETPIVOTDATA("Somma di AVERE",'Pivot BBVA'!$A$3,"Mese",11,"Tipologia",$A162,"Viaggio",$A$157))
-IF(ISERROR(GETPIVOTDATA("Somma di AVERE",'Pivot Fineco St'!$A$3,"Mese",11,"Tipologia",$A162,"Viaggio",$A$157)),0,GETPIVOTDATA("Somma di AVERE",'Pivot Fineco St'!$A$3,"Mese",11,"Tipologia",$A162,"Viaggio",$A$157))
-IF(ISERROR(GETPIVOTDATA("Somma di AVERE",'Pivot Fineco Sa'!$A$3,"Mese",11,"Tipologia",$A162,"Viaggio",$A$157)),0,GETPIVOTDATA("Somma di AVERE",'Pivot Fineco Sa'!$A$3,"Mese",11,"Tipologia",$A162,"Viaggio",$A$157))
+IF(ISERROR(GETPIVOTDATA("Somma di DARE",'Pivot PP Visa'!$A$3,"Mese",11,"Tipologia",$A162,"Viaggio",$A$157)),0,GETPIVOTDATA("Somma di DARE",'Pivot PP Visa'!$A$3,"Mese",11,"Tipologia",$A162,"Viaggio",$A$157))
-IF(ISERROR(GETPIVOTDATA("Somma di AVERE",'Pivot PP Visa'!$A$3,"Mese",11,"Tipologia",$A162,"Viaggio",$A$157)),0,GETPIVOTDATA("Somma di AVERE",'Pivot PP Visa'!$A$3,"Mese",11,"Tipologia",$A162,"Viaggio",$A$157))
+IF(ISERROR(GETPIVOTDATA("Somma di DARE",'Pivot Revolut'!$A$3,"Mese",11,"Tipologia",$A162,"Viaggio",$A$157)),0,GETPIVOTDATA("Somma di DARE",'Pivot Revolut'!$A$3,"Mese",11,"Tipologia",$A162,"Viaggio",$A$157))
-IF(ISERROR(GETPIVOTDATA("Somma di AVERE",'Pivot Revolut'!$A$3,"Mese",11,"Tipologia",$A162,"Viaggio",$A$157)),0,GETPIVOTDATA("Somma di AVERE",'Pivot Revolut'!$A$3,"Mese",11,"Tipologia",$A162,"Viaggio",$A$157))
+IF(ISERROR(GETPIVOTDATA("Somma di DARE",'Pivot RakBank EUR'!$A$3,"Mese",11,"Tipologia",$A162,"Viaggio",$A$157)),0,GETPIVOTDATA("Somma di DARE",'Pivot RakBank EUR'!$A$3,"Mese",11,"Tipologia",$A162,"Viaggio",$A$157))
-IF(ISERROR(GETPIVOTDATA("Somma di AVERE",'Pivot RakBank EUR'!$A$3,"Mese",11,"Tipologia",$A162,"Viaggio",$A$157)),0,GETPIVOTDATA("Somma di AVERE",'Pivot RakBank EUR'!$A$3,"Mese",11,"Tipologia",$A162,"Viaggio",$A$157))
+IF(ISERROR(GETPIVOTDATA("Somma di DARE EUR",'Pivot RakBank AED'!$A$3,"Mese",11,"Tipologia",$A162,"Viaggio",$A$157)),0,GETPIVOTDATA("Somma di DARE EUR",'Pivot RakBank AED'!$A$3,"Mese",11,"Tipologia",$A162,"Viaggio",$A$157))
-IF(ISERROR(GETPIVOTDATA("Somma di AVERE EUR",'Pivot RakBank AED'!$A$3,"Mese",11,"Tipologia",$A162,"Viaggio",$A$157)),0,GETPIVOTDATA("Somma di AVERE EUR",'Pivot RakBank AED'!$A$3,"Mese",11,"Tipologia",$A162,"Viaggio",$A$157))</f>
        <v>0</v>
      </c>
      <c r="N162" s="270">
        <f>IF(ISERROR(GETPIVOTDATA("Somma di DARE",'Pivot Fineco Sa'!$A$3,"Mese",12,"Tipologia",$A162,"Viaggio",$A$157)),0,GETPIVOTDATA("Somma di DARE",'Pivot Fineco Sa'!$A$3,"Mese",12,"Tipologia",$A162,"Viaggio",$A$157))
+IF(ISERROR(GETPIVOTDATA("Somma di DARE",'Pivot Fineco St'!$A$3,"Mese",12,"Tipologia",$A162,"Viaggio",$A$157)),0,GETPIVOTDATA("Somma di DARE",'Pivot Fineco St'!$A$3,"Mese",12,"Tipologia",$A162,"Viaggio",$A$157))
+IF(Contanti!$AW43='Conto Economico'!$A$157,Contanti!$AT43)
+IF(ISERROR(GETPIVOTDATA("Somma di DARE",'Pivot BBVA'!$A$3,"Mese",12,"Tipologia",$A162,"Viaggio",$A$157)),0,GETPIVOTDATA("Somma di DARE",'Pivot BBVA'!$A$3,"Mese",12,"Tipologia",$A162,"Viaggio",$A$157))
+IF(ISERROR(GETPIVOTDATA("Somma di DARE",'Pivot Amex'!$A$3,"Mese",12,"Tipologia",$A162,"Viaggio",$A$157)),0,GETPIVOTDATA("Somma di DARE",'Pivot Amex'!$A$3,"Mese",12,"Tipologia",$A162,"Viaggio",$A$157))
-IF(ISERROR(GETPIVOTDATA("Somma di AVERE",'Pivot Amex'!$A$3,"Mese",12,"Tipologia",$A162,"Viaggio",$A$157)),0,GETPIVOTDATA("Somma di AVERE",'Pivot Amex'!$A$3,"Mese",12,"Tipologia",$A162,"Viaggio",$A$157))
-IF(ISERROR(GETPIVOTDATA("Somma di AVERE",'Pivot BBVA'!$A$3,"Mese",12,"Tipologia",$A162,"Viaggio",$A$157)),0,GETPIVOTDATA("Somma di AVERE",'Pivot BBVA'!$A$3,"Mese",12,"Tipologia",$A162,"Viaggio",$A$157))
-IF(ISERROR(GETPIVOTDATA("Somma di AVERE",'Pivot Fineco St'!$A$3,"Mese",12,"Tipologia",$A162,"Viaggio",$A$157)),0,GETPIVOTDATA("Somma di AVERE",'Pivot Fineco St'!$A$3,"Mese",12,"Tipologia",$A162,"Viaggio",$A$157))
-IF(ISERROR(GETPIVOTDATA("Somma di AVERE",'Pivot Fineco Sa'!$A$3,"Mese",12,"Tipologia",$A162,"Viaggio",$A$157)),0,GETPIVOTDATA("Somma di AVERE",'Pivot Fineco Sa'!$A$3,"Mese",12,"Tipologia",$A162,"Viaggio",$A$157))
+IF(ISERROR(GETPIVOTDATA("Somma di DARE",'Pivot PP Visa'!$A$3,"Mese",12,"Tipologia",$A162,"Viaggio",$A$157)),0,GETPIVOTDATA("Somma di DARE",'Pivot PP Visa'!$A$3,"Mese",12,"Tipologia",$A162,"Viaggio",$A$157))
-IF(ISERROR(GETPIVOTDATA("Somma di AVERE",'Pivot PP Visa'!$A$3,"Mese",12,"Tipologia",$A162,"Viaggio",$A$157)),0,GETPIVOTDATA("Somma di AVERE",'Pivot PP Visa'!$A$3,"Mese",12,"Tipologia",$A162,"Viaggio",$A$157))
+IF(ISERROR(GETPIVOTDATA("Somma di DARE",'Pivot Revolut'!$A$3,"Mese",12,"Tipologia",$A162,"Viaggio",$A$157)),0,GETPIVOTDATA("Somma di DARE",'Pivot Revolut'!$A$3,"Mese",12,"Tipologia",$A162,"Viaggio",$A$157))
-IF(ISERROR(GETPIVOTDATA("Somma di AVERE",'Pivot Revolut'!$A$3,"Mese",12,"Tipologia",$A162,"Viaggio",$A$157)),0,GETPIVOTDATA("Somma di AVERE",'Pivot Revolut'!$A$3,"Mese",12,"Tipologia",$A162,"Viaggio",$A$157))
+IF(ISERROR(GETPIVOTDATA("Somma di DARE",'Pivot RakBank EUR'!$A$3,"Mese",12,"Tipologia",$A162,"Viaggio",$A$157)),0,GETPIVOTDATA("Somma di DARE",'Pivot RakBank EUR'!$A$3,"Mese",12,"Tipologia",$A162,"Viaggio",$A$157))
-IF(ISERROR(GETPIVOTDATA("Somma di AVERE",'Pivot RakBank EUR'!$A$3,"Mese",12,"Tipologia",$A162,"Viaggio",$A$157)),0,GETPIVOTDATA("Somma di AVERE",'Pivot RakBank EUR'!$A$3,"Mese",12,"Tipologia",$A162,"Viaggio",$A$157))
+IF(ISERROR(GETPIVOTDATA("Somma di DARE EUR",'Pivot RakBank AED'!$A$3,"Mese",12,"Tipologia",$A162,"Viaggio",$A$157)),0,GETPIVOTDATA("Somma di DARE EUR",'Pivot RakBank AED'!$A$3,"Mese",12,"Tipologia",$A162,"Viaggio",$A$157))
-IF(ISERROR(GETPIVOTDATA("Somma di AVERE EUR",'Pivot RakBank AED'!$A$3,"Mese",12,"Tipologia",$A162,"Viaggio",$A$157)),0,GETPIVOTDATA("Somma di AVERE EUR",'Pivot RakBank AED'!$A$3,"Mese",12,"Tipologia",$A162,"Viaggio",$A$157))</f>
        <v>0</v>
      </c>
      <c r="O162" s="271">
        <f t="shared" si="21"/>
        <v>0</v>
      </c>
      <c r="P162" s="270"/>
    </row>
    <row r="163" spans="1:16" s="131" customFormat="1" ht="14" outlineLevel="1" x14ac:dyDescent="0.2">
      <c r="A163" s="269" t="s">
        <v>99</v>
      </c>
      <c r="B163" s="269"/>
      <c r="C163" s="270">
        <f>IF(ISERROR(GETPIVOTDATA("Somma di DARE",'Pivot Fineco Sa'!$A$3,"Mese",1,"Tipologia",$A163,"Viaggio",$A$157)),0,GETPIVOTDATA("Somma di DARE",'Pivot Fineco Sa'!$A$3,"Mese",1,"Tipologia",$A163,"Viaggio",$A$157))
+IF(ISERROR(GETPIVOTDATA("Somma di DARE",'Pivot Fineco St'!$A$3,"Mese",1,"Tipologia",$A163,"Viaggio",$A$157)),0,GETPIVOTDATA("Somma di DARE",'Pivot Fineco St'!$A$3,"Mese",1,"Tipologia",$A163,"Viaggio",$A$157))
+IF(Contanti!$E44='Conto Economico'!$A$157,Contanti!$B44)
+IF(ISERROR(GETPIVOTDATA("Somma di DARE",'Pivot BBVA'!$A$3,"Mese",1,"Tipologia",$A163,"Viaggio",$A$157)),0,GETPIVOTDATA("Somma di DARE",'Pivot BBVA'!$A$3,"Mese",1,"Tipologia",$A163,"Viaggio",$A$157))
+IF(ISERROR(GETPIVOTDATA("Somma di DARE",'Pivot Amex'!$A$3,"Mese",1,"Tipologia",$A163,"Viaggio",$A$157)),0,GETPIVOTDATA("Somma di DARE",'Pivot Amex'!$A$3,"Mese",1,"Tipologia",$A163,"Viaggio",$A$157))
-IF(ISERROR(GETPIVOTDATA("Somma di AVERE",'Pivot Amex'!$A$3,"Mese",1,"Tipologia",$A163,"Viaggio",$A$157)),0,GETPIVOTDATA("Somma di AVERE",'Pivot Amex'!$A$3,"Mese",1,"Tipologia",$A163,"Viaggio",$A$157))
-IF(ISERROR(GETPIVOTDATA("Somma di AVERE",'Pivot BBVA'!$A$3,"Mese",1,"Tipologia",$A163,"Viaggio",$A$157)),0,GETPIVOTDATA("Somma di AVERE",'Pivot BBVA'!$A$3,"Mese",1,"Tipologia",$A163,"Viaggio",$A$157))
-IF(ISERROR(GETPIVOTDATA("Somma di AVERE",'Pivot Fineco St'!$A$3,"Mese",1,"Tipologia",$A163,"Viaggio",$A$157)),0,GETPIVOTDATA("Somma di AVERE",'Pivot Fineco St'!$A$3,"Mese",1,"Tipologia",$A163,"Viaggio",$A$157))
-IF(ISERROR(GETPIVOTDATA("Somma di AVERE",'Pivot Fineco Sa'!$A$3,"Mese",1,"Tipologia",$A163,"Viaggio",$A$157)),0,GETPIVOTDATA("Somma di AVERE",'Pivot Fineco Sa'!$A$3,"Mese",1,"Tipologia",$A163,"Viaggio",$A$157))
+IF(ISERROR(GETPIVOTDATA("Somma di DARE",'Pivot PP Visa'!$A$3,"Mese",1,"Tipologia",$A163,"Viaggio",$A$157)),0,GETPIVOTDATA("Somma di DARE",'Pivot PP Visa'!$A$3,"Mese",1,"Tipologia",$A163,"Viaggio",$A$157))
-IF(ISERROR(GETPIVOTDATA("Somma di AVERE",'Pivot PP Visa'!$A$3,"Mese",1,"Tipologia",$A163,"Viaggio",$A$157)),0,GETPIVOTDATA("Somma di AVERE",'Pivot PP Visa'!$A$3,"Mese",1,"Tipologia",$A163,"Viaggio",$A$157))
+IF(ISERROR(GETPIVOTDATA("Somma di DARE",'Pivot Revolut'!$A$3,"Mese",1,"Tipologia",$A163,"Viaggio",$A$157)),0,GETPIVOTDATA("Somma di DARE",'Pivot Revolut'!$A$3,"Mese",1,"Tipologia",$A163,"Viaggio",$A$157))
-IF(ISERROR(GETPIVOTDATA("Somma di AVERE",'Pivot Revolut'!$A$3,"Mese",1,"Tipologia",$A163,"Viaggio",$A$157)),0,GETPIVOTDATA("Somma di AVERE",'Pivot Revolut'!$A$3,"Mese",1,"Tipologia",$A163,"Viaggio",$A$157))
+IF(ISERROR(GETPIVOTDATA("Somma di DARE",'Pivot RakBank EUR'!$A$3,"Mese",1,"Tipologia",$A163,"Viaggio",$A$157)),0,GETPIVOTDATA("Somma di DARE",'Pivot RakBank EUR'!$A$3,"Mese",1,"Tipologia",$A163,"Viaggio",$A$157))
-IF(ISERROR(GETPIVOTDATA("Somma di AVERE",'Pivot RakBank EUR'!$A$3,"Mese",1,"Tipologia",$A163,"Viaggio",$A$157)),0,GETPIVOTDATA("Somma di AVERE",'Pivot RakBank EUR'!$A$3,"Mese",1,"Tipologia",$A163,"Viaggio",$A$157))
+IF(ISERROR(GETPIVOTDATA("Somma di DARE EUR",'Pivot RakBank AED'!$A$3,"Mese",1,"Tipologia",$A163,"Viaggio",$A$157)),0,GETPIVOTDATA("Somma di DARE EUR",'Pivot RakBank AED'!$A$3,"Mese",1,"Tipologia",$A163,"Viaggio",$A$157))
-IF(ISERROR(GETPIVOTDATA("Somma di AVERE EUR",'Pivot RakBank AED'!$A$3,"Mese",1,"Tipologia",$A163,"Viaggio",$A$157)),0,GETPIVOTDATA("Somma di AVERE EUR",'Pivot RakBank AED'!$A$3,"Mese",1,"Tipologia",$A163,"Viaggio",$A$157))</f>
        <v>0</v>
      </c>
      <c r="D163" s="270">
        <f>IF(ISERROR(GETPIVOTDATA("Somma di DARE",'Pivot Fineco Sa'!$A$3,"Mese",2,"Tipologia",$A163,"Viaggio",$A$157)),0,GETPIVOTDATA("Somma di DARE",'Pivot Fineco Sa'!$A$3,"Mese",2,"Tipologia",$A163,"Viaggio",$A$157))
+IF(ISERROR(GETPIVOTDATA("Somma di DARE",'Pivot Fineco St'!$A$3,"Mese",2,"Tipologia",$A163,"Viaggio",$A$157)),0,GETPIVOTDATA("Somma di DARE",'Pivot Fineco St'!$A$3,"Mese",2,"Tipologia",$A163,"Viaggio",$A$157))
+IF(Contanti!$I44='Conto Economico'!$A$157,Contanti!$F44)
+IF(ISERROR(GETPIVOTDATA("Somma di DARE",'Pivot BBVA'!$A$3,"Mese",2,"Tipologia",$A163,"Viaggio",$A$157)),0,GETPIVOTDATA("Somma di DARE",'Pivot BBVA'!$A$3,"Mese",2,"Tipologia",$A163,"Viaggio",$A$157))
+IF(ISERROR(GETPIVOTDATA("Somma di DARE",'Pivot Amex'!$A$3,"Mese",2,"Tipologia",$A163,"Viaggio",$A$157)),0,GETPIVOTDATA("Somma di DARE",'Pivot Amex'!$A$3,"Mese",2,"Tipologia",$A163,"Viaggio",$A$157))
-IF(ISERROR(GETPIVOTDATA("Somma di AVERE",'Pivot Amex'!$A$3,"Mese",2,"Tipologia",$A163,"Viaggio",$A$157)),0,GETPIVOTDATA("Somma di AVERE",'Pivot Amex'!$A$3,"Mese",2,"Tipologia",$A163,"Viaggio",$A$157))
-IF(ISERROR(GETPIVOTDATA("Somma di AVERE",'Pivot BBVA'!$A$3,"Mese",2,"Tipologia",$A163,"Viaggio",$A$157)),0,GETPIVOTDATA("Somma di AVERE",'Pivot BBVA'!$A$3,"Mese",2,"Tipologia",$A163,"Viaggio",$A$157))
-IF(ISERROR(GETPIVOTDATA("Somma di AVERE",'Pivot Fineco St'!$A$3,"Mese",2,"Tipologia",$A163,"Viaggio",$A$157)),0,GETPIVOTDATA("Somma di AVERE",'Pivot Fineco St'!$A$3,"Mese",2,"Tipologia",$A163,"Viaggio",$A$157))
-IF(ISERROR(GETPIVOTDATA("Somma di AVERE",'Pivot Fineco Sa'!$A$3,"Mese",2,"Tipologia",$A163,"Viaggio",$A$157)),0,GETPIVOTDATA("Somma di AVERE",'Pivot Fineco Sa'!$A$3,"Mese",2,"Tipologia",$A163,"Viaggio",$A$157))
+IF(ISERROR(GETPIVOTDATA("Somma di DARE",'Pivot PP Visa'!$A$3,"Mese",2,"Tipologia",$A163,"Viaggio",$A$157)),0,GETPIVOTDATA("Somma di DARE",'Pivot PP Visa'!$A$3,"Mese",2,"Tipologia",$A163,"Viaggio",$A$157))
-IF(ISERROR(GETPIVOTDATA("Somma di AVERE",'Pivot PP Visa'!$A$3,"Mese",2,"Tipologia",$A163,"Viaggio",$A$157)),0,GETPIVOTDATA("Somma di AVERE",'Pivot PP Visa'!$A$3,"Mese",2,"Tipologia",$A163,"Viaggio",$A$157))
+IF(ISERROR(GETPIVOTDATA("Somma di DARE",'Pivot Revolut'!$A$3,"Mese",2,"Tipologia",$A163,"Viaggio",$A$157)),0,GETPIVOTDATA("Somma di DARE",'Pivot Revolut'!$A$3,"Mese",2,"Tipologia",$A163,"Viaggio",$A$157))
-IF(ISERROR(GETPIVOTDATA("Somma di AVERE",'Pivot Revolut'!$A$3,"Mese",2,"Tipologia",$A163,"Viaggio",$A$157)),0,GETPIVOTDATA("Somma di AVERE",'Pivot Revolut'!$A$3,"Mese",2,"Tipologia",$A163,"Viaggio",$A$157))
+IF(ISERROR(GETPIVOTDATA("Somma di DARE",'Pivot RakBank EUR'!$A$3,"Mese",2,"Tipologia",$A163,"Viaggio",$A$157)),0,GETPIVOTDATA("Somma di DARE",'Pivot RakBank EUR'!$A$3,"Mese",2,"Tipologia",$A163,"Viaggio",$A$157))
-IF(ISERROR(GETPIVOTDATA("Somma di AVERE",'Pivot RakBank EUR'!$A$3,"Mese",2,"Tipologia",$A163,"Viaggio",$A$157)),0,GETPIVOTDATA("Somma di AVERE",'Pivot RakBank EUR'!$A$3,"Mese",2,"Tipologia",$A163,"Viaggio",$A$157))
+IF(ISERROR(GETPIVOTDATA("Somma di DARE EUR",'Pivot RakBank AED'!$A$3,"Mese",2,"Tipologia",$A163,"Viaggio",$A$157)),0,GETPIVOTDATA("Somma di DARE EUR",'Pivot RakBank AED'!$A$3,"Mese",2,"Tipologia",$A163,"Viaggio",$A$157))
-IF(ISERROR(GETPIVOTDATA("Somma di AVERE EUR",'Pivot RakBank AED'!$A$3,"Mese",2,"Tipologia",$A163,"Viaggio",$A$157)),0,GETPIVOTDATA("Somma di AVERE EUR",'Pivot RakBank AED'!$A$3,"Mese",2,"Tipologia",$A163,"Viaggio",$A$157))</f>
        <v>0</v>
      </c>
      <c r="E163" s="270">
        <f>IF(ISERROR(GETPIVOTDATA("Somma di DARE",'Pivot Fineco Sa'!$A$3,"Mese",3,"Tipologia",$A163,"Viaggio",$A$157)),0,GETPIVOTDATA("Somma di DARE",'Pivot Fineco Sa'!$A$3,"Mese",3,"Tipologia",$A163,"Viaggio",$A$157))
+IF(ISERROR(GETPIVOTDATA("Somma di DARE",'Pivot Fineco St'!$A$3,"Mese",3,"Tipologia",$A163,"Viaggio",$A$157)),0,GETPIVOTDATA("Somma di DARE",'Pivot Fineco St'!$A$3,"Mese",3,"Tipologia",$A163,"Viaggio",$A$157))
+IF(Contanti!$M44='Conto Economico'!$A$157,Contanti!$J44)
+IF(ISERROR(GETPIVOTDATA("Somma di DARE",'Pivot BBVA'!$A$3,"Mese",3,"Tipologia",$A163,"Viaggio",$A$157)),0,GETPIVOTDATA("Somma di DARE",'Pivot BBVA'!$A$3,"Mese",3,"Tipologia",$A163,"Viaggio",$A$157))
+IF(ISERROR(GETPIVOTDATA("Somma di DARE",'Pivot Amex'!$A$3,"Mese",3,"Tipologia",$A163,"Viaggio",$A$157)),0,GETPIVOTDATA("Somma di DARE",'Pivot Amex'!$A$3,"Mese",3,"Tipologia",$A163,"Viaggio",$A$157))
-IF(ISERROR(GETPIVOTDATA("Somma di AVERE",'Pivot Amex'!$A$3,"Mese",3,"Tipologia",$A163,"Viaggio",$A$157)),0,GETPIVOTDATA("Somma di AVERE",'Pivot Amex'!$A$3,"Mese",3,"Tipologia",$A163,"Viaggio",$A$157))
-IF(ISERROR(GETPIVOTDATA("Somma di AVERE",'Pivot BBVA'!$A$3,"Mese",3,"Tipologia",$A163,"Viaggio",$A$157)),0,GETPIVOTDATA("Somma di AVERE",'Pivot BBVA'!$A$3,"Mese",3,"Tipologia",$A163,"Viaggio",$A$157))
-IF(ISERROR(GETPIVOTDATA("Somma di AVERE",'Pivot Fineco St'!$A$3,"Mese",3,"Tipologia",$A163,"Viaggio",$A$157)),0,GETPIVOTDATA("Somma di AVERE",'Pivot Fineco St'!$A$3,"Mese",3,"Tipologia",$A163,"Viaggio",$A$157))
-IF(ISERROR(GETPIVOTDATA("Somma di AVERE",'Pivot Fineco Sa'!$A$3,"Mese",3,"Tipologia",$A163,"Viaggio",$A$157)),0,GETPIVOTDATA("Somma di AVERE",'Pivot Fineco Sa'!$A$3,"Mese",3,"Tipologia",$A163,"Viaggio",$A$157))
+IF(ISERROR(GETPIVOTDATA("Somma di DARE",'Pivot PP Visa'!$A$3,"Mese",3,"Tipologia",$A163,"Viaggio",$A$157)),0,GETPIVOTDATA("Somma di DARE",'Pivot PP Visa'!$A$3,"Mese",3,"Tipologia",$A163,"Viaggio",$A$157))
-IF(ISERROR(GETPIVOTDATA("Somma di AVERE",'Pivot PP Visa'!$A$3,"Mese",3,"Tipologia",$A163,"Viaggio",$A$157)),0,GETPIVOTDATA("Somma di AVERE",'Pivot PP Visa'!$A$3,"Mese",3,"Tipologia",$A163,"Viaggio",$A$157))
+IF(ISERROR(GETPIVOTDATA("Somma di DARE",'Pivot Revolut'!$A$3,"Mese",3,"Tipologia",$A163,"Viaggio",$A$157)),0,GETPIVOTDATA("Somma di DARE",'Pivot Revolut'!$A$3,"Mese",3,"Tipologia",$A163,"Viaggio",$A$157))
-IF(ISERROR(GETPIVOTDATA("Somma di AVERE",'Pivot Revolut'!$A$3,"Mese",3,"Tipologia",$A163,"Viaggio",$A$157)),0,GETPIVOTDATA("Somma di AVERE",'Pivot Revolut'!$A$3,"Mese",3,"Tipologia",$A163,"Viaggio",$A$157))
+IF(ISERROR(GETPIVOTDATA("Somma di DARE",'Pivot RakBank EUR'!$A$3,"Mese",3,"Tipologia",$A163,"Viaggio",$A$157)),0,GETPIVOTDATA("Somma di DARE",'Pivot RakBank EUR'!$A$3,"Mese",3,"Tipologia",$A163,"Viaggio",$A$157))
-IF(ISERROR(GETPIVOTDATA("Somma di AVERE",'Pivot RakBank EUR'!$A$3,"Mese",3,"Tipologia",$A163,"Viaggio",$A$157)),0,GETPIVOTDATA("Somma di AVERE",'Pivot RakBank EUR'!$A$3,"Mese",3,"Tipologia",$A163,"Viaggio",$A$157))
+IF(ISERROR(GETPIVOTDATA("Somma di DARE EUR",'Pivot RakBank AED'!$A$3,"Mese",3,"Tipologia",$A163,"Viaggio",$A$157)),0,GETPIVOTDATA("Somma di DARE EUR",'Pivot RakBank AED'!$A$3,"Mese",3,"Tipologia",$A163,"Viaggio",$A$157))
-IF(ISERROR(GETPIVOTDATA("Somma di AVERE EUR",'Pivot RakBank AED'!$A$3,"Mese",3,"Tipologia",$A163,"Viaggio",$A$157)),0,GETPIVOTDATA("Somma di AVERE EUR",'Pivot RakBank AED'!$A$3,"Mese",3,"Tipologia",$A163,"Viaggio",$A$157))</f>
        <v>0</v>
      </c>
      <c r="F163" s="270">
        <f>IF(ISERROR(GETPIVOTDATA("Somma di DARE",'Pivot Fineco Sa'!$A$3,"Mese",4,"Tipologia",$A163,"Viaggio",$A$157)),0,GETPIVOTDATA("Somma di DARE",'Pivot Fineco Sa'!$A$3,"Mese",4,"Tipologia",$A163,"Viaggio",$A$157))
+IF(ISERROR(GETPIVOTDATA("Somma di DARE",'Pivot Fineco St'!$A$3,"Mese",4,"Tipologia",$A163,"Viaggio",$A$157)),0,GETPIVOTDATA("Somma di DARE",'Pivot Fineco St'!$A$3,"Mese",4,"Tipologia",$A163,"Viaggio",$A$157))
+IF(Contanti!$Q44='Conto Economico'!$A$157,Contanti!$N44)
+IF(ISERROR(GETPIVOTDATA("Somma di DARE",'Pivot BBVA'!$A$3,"Mese",4,"Tipologia",$A163,"Viaggio",$A$157)),0,GETPIVOTDATA("Somma di DARE",'Pivot BBVA'!$A$3,"Mese",4,"Tipologia",$A163,"Viaggio",$A$157))
+IF(ISERROR(GETPIVOTDATA("Somma di DARE",'Pivot Amex'!$A$3,"Mese",4,"Tipologia",$A163,"Viaggio",$A$157)),0,GETPIVOTDATA("Somma di DARE",'Pivot Amex'!$A$3,"Mese",4,"Tipologia",$A163,"Viaggio",$A$157))
-IF(ISERROR(GETPIVOTDATA("Somma di AVERE",'Pivot Amex'!$A$3,"Mese",4,"Tipologia",$A163,"Viaggio",$A$157)),0,GETPIVOTDATA("Somma di AVERE",'Pivot Amex'!$A$3,"Mese",4,"Tipologia",$A163,"Viaggio",$A$157))
-IF(ISERROR(GETPIVOTDATA("Somma di AVERE",'Pivot BBVA'!$A$3,"Mese",4,"Tipologia",$A163,"Viaggio",$A$157)),0,GETPIVOTDATA("Somma di AVERE",'Pivot BBVA'!$A$3,"Mese",4,"Tipologia",$A163,"Viaggio",$A$157))
-IF(ISERROR(GETPIVOTDATA("Somma di AVERE",'Pivot Fineco St'!$A$3,"Mese",4,"Tipologia",$A163,"Viaggio",$A$157)),0,GETPIVOTDATA("Somma di AVERE",'Pivot Fineco St'!$A$3,"Mese",4,"Tipologia",$A163,"Viaggio",$A$157))
-IF(ISERROR(GETPIVOTDATA("Somma di AVERE",'Pivot Fineco Sa'!$A$3,"Mese",4,"Tipologia",$A163,"Viaggio",$A$157)),0,GETPIVOTDATA("Somma di AVERE",'Pivot Fineco Sa'!$A$3,"Mese",4,"Tipologia",$A163,"Viaggio",$A$157))
+IF(ISERROR(GETPIVOTDATA("Somma di DARE",'Pivot PP Visa'!$A$3,"Mese",4,"Tipologia",$A163,"Viaggio",$A$157)),0,GETPIVOTDATA("Somma di DARE",'Pivot PP Visa'!$A$3,"Mese",4,"Tipologia",$A163,"Viaggio",$A$157))
-IF(ISERROR(GETPIVOTDATA("Somma di AVERE",'Pivot PP Visa'!$A$3,"Mese",4,"Tipologia",$A163,"Viaggio",$A$157)),0,GETPIVOTDATA("Somma di AVERE",'Pivot PP Visa'!$A$3,"Mese",4,"Tipologia",$A163,"Viaggio",$A$157))
+IF(ISERROR(GETPIVOTDATA("Somma di DARE",'Pivot Revolut'!$A$3,"Mese",4,"Tipologia",$A163,"Viaggio",$A$157)),0,GETPIVOTDATA("Somma di DARE",'Pivot Revolut'!$A$3,"Mese",4,"Tipologia",$A163,"Viaggio",$A$157))
-IF(ISERROR(GETPIVOTDATA("Somma di AVERE",'Pivot Revolut'!$A$3,"Mese",4,"Tipologia",$A163,"Viaggio",$A$157)),0,GETPIVOTDATA("Somma di AVERE",'Pivot Revolut'!$A$3,"Mese",4,"Tipologia",$A163,"Viaggio",$A$157))
+IF(ISERROR(GETPIVOTDATA("Somma di DARE",'Pivot RakBank EUR'!$A$3,"Mese",4,"Tipologia",$A163,"Viaggio",$A$157)),0,GETPIVOTDATA("Somma di DARE",'Pivot RakBank EUR'!$A$3,"Mese",4,"Tipologia",$A163,"Viaggio",$A$157))
-IF(ISERROR(GETPIVOTDATA("Somma di AVERE",'Pivot RakBank EUR'!$A$3,"Mese",4,"Tipologia",$A163,"Viaggio",$A$157)),0,GETPIVOTDATA("Somma di AVERE",'Pivot RakBank EUR'!$A$3,"Mese",4,"Tipologia",$A163,"Viaggio",$A$157))
+IF(ISERROR(GETPIVOTDATA("Somma di DARE EUR",'Pivot RakBank AED'!$A$3,"Mese",4,"Tipologia",$A163,"Viaggio",$A$157)),0,GETPIVOTDATA("Somma di DARE EUR",'Pivot RakBank AED'!$A$3,"Mese",4,"Tipologia",$A163,"Viaggio",$A$157))
-IF(ISERROR(GETPIVOTDATA("Somma di AVERE EUR",'Pivot RakBank AED'!$A$3,"Mese",4,"Tipologia",$A163,"Viaggio",$A$157)),0,GETPIVOTDATA("Somma di AVERE EUR",'Pivot RakBank AED'!$A$3,"Mese",4,"Tipologia",$A163,"Viaggio",$A$157))</f>
        <v>0</v>
      </c>
      <c r="G163" s="270">
        <f>IF(ISERROR(GETPIVOTDATA("Somma di DARE",'Pivot Fineco Sa'!$A$3,"Mese",5,"Tipologia",$A163,"Viaggio",$A$157)),0,GETPIVOTDATA("Somma di DARE",'Pivot Fineco Sa'!$A$3,"Mese",5,"Tipologia",$A163,"Viaggio",$A$157))
+IF(ISERROR(GETPIVOTDATA("Somma di DARE",'Pivot Fineco St'!$A$3,"Mese",5,"Tipologia",$A163,"Viaggio",$A$157)),0,GETPIVOTDATA("Somma di DARE",'Pivot Fineco St'!$A$3,"Mese",5,"Tipologia",$A163,"Viaggio",$A$157))
+IF(Contanti!$U44='Conto Economico'!$A$157,Contanti!$R44)
+IF(ISERROR(GETPIVOTDATA("Somma di DARE",'Pivot BBVA'!$A$3,"Mese",5,"Tipologia",$A163,"Viaggio",$A$157)),0,GETPIVOTDATA("Somma di DARE",'Pivot BBVA'!$A$3,"Mese",5,"Tipologia",$A163,"Viaggio",$A$157))
+IF(ISERROR(GETPIVOTDATA("Somma di DARE",'Pivot Amex'!$A$3,"Mese",5,"Tipologia",$A163,"Viaggio",$A$157)),0,GETPIVOTDATA("Somma di DARE",'Pivot Amex'!$A$3,"Mese",5,"Tipologia",$A163,"Viaggio",$A$157))
-IF(ISERROR(GETPIVOTDATA("Somma di AVERE",'Pivot Amex'!$A$3,"Mese",5,"Tipologia",$A163,"Viaggio",$A$157)),0,GETPIVOTDATA("Somma di AVERE",'Pivot Amex'!$A$3,"Mese",5,"Tipologia",$A163,"Viaggio",$A$157))
-IF(ISERROR(GETPIVOTDATA("Somma di AVERE",'Pivot BBVA'!$A$3,"Mese",5,"Tipologia",$A163,"Viaggio",$A$157)),0,GETPIVOTDATA("Somma di AVERE",'Pivot BBVA'!$A$3,"Mese",5,"Tipologia",$A163,"Viaggio",$A$157))
-IF(ISERROR(GETPIVOTDATA("Somma di AVERE",'Pivot Fineco St'!$A$3,"Mese",5,"Tipologia",$A163,"Viaggio",$A$157)),0,GETPIVOTDATA("Somma di AVERE",'Pivot Fineco St'!$A$3,"Mese",5,"Tipologia",$A163,"Viaggio",$A$157))
-IF(ISERROR(GETPIVOTDATA("Somma di AVERE",'Pivot Fineco Sa'!$A$3,"Mese",5,"Tipologia",$A163,"Viaggio",$A$157)),0,GETPIVOTDATA("Somma di AVERE",'Pivot Fineco Sa'!$A$3,"Mese",5,"Tipologia",$A163,"Viaggio",$A$157))
+IF(ISERROR(GETPIVOTDATA("Somma di DARE",'Pivot PP Visa'!$A$3,"Mese",5,"Tipologia",$A163,"Viaggio",$A$157)),0,GETPIVOTDATA("Somma di DARE",'Pivot PP Visa'!$A$3,"Mese",5,"Tipologia",$A163,"Viaggio",$A$157))
-IF(ISERROR(GETPIVOTDATA("Somma di AVERE",'Pivot PP Visa'!$A$3,"Mese",5,"Tipologia",$A163,"Viaggio",$A$157)),0,GETPIVOTDATA("Somma di AVERE",'Pivot PP Visa'!$A$3,"Mese",5,"Tipologia",$A163,"Viaggio",$A$157))
+IF(ISERROR(GETPIVOTDATA("Somma di DARE",'Pivot Revolut'!$A$3,"Mese",5,"Tipologia",$A163,"Viaggio",$A$157)),0,GETPIVOTDATA("Somma di DARE",'Pivot Revolut'!$A$3,"Mese",5,"Tipologia",$A163,"Viaggio",$A$157))
-IF(ISERROR(GETPIVOTDATA("Somma di AVERE",'Pivot Revolut'!$A$3,"Mese",5,"Tipologia",$A163,"Viaggio",$A$157)),0,GETPIVOTDATA("Somma di AVERE",'Pivot Revolut'!$A$3,"Mese",5,"Tipologia",$A163,"Viaggio",$A$157))
+IF(ISERROR(GETPIVOTDATA("Somma di DARE",'Pivot RakBank EUR'!$A$3,"Mese",5,"Tipologia",$A163,"Viaggio",$A$157)),0,GETPIVOTDATA("Somma di DARE",'Pivot RakBank EUR'!$A$3,"Mese",5,"Tipologia",$A163,"Viaggio",$A$157))
-IF(ISERROR(GETPIVOTDATA("Somma di AVERE",'Pivot RakBank EUR'!$A$3,"Mese",5,"Tipologia",$A163,"Viaggio",$A$157)),0,GETPIVOTDATA("Somma di AVERE",'Pivot RakBank EUR'!$A$3,"Mese",5,"Tipologia",$A163,"Viaggio",$A$157))
+IF(ISERROR(GETPIVOTDATA("Somma di DARE EUR",'Pivot RakBank AED'!$A$3,"Mese",5,"Tipologia",$A163,"Viaggio",$A$157)),0,GETPIVOTDATA("Somma di DARE EUR",'Pivot RakBank AED'!$A$3,"Mese",5,"Tipologia",$A163,"Viaggio",$A$157))
-IF(ISERROR(GETPIVOTDATA("Somma di AVERE EUR",'Pivot RakBank AED'!$A$3,"Mese",5,"Tipologia",$A163,"Viaggio",$A$157)),0,GETPIVOTDATA("Somma di AVERE EUR",'Pivot RakBank AED'!$A$3,"Mese",5,"Tipologia",$A163,"Viaggio",$A$157))</f>
        <v>0</v>
      </c>
      <c r="H163" s="270">
        <f>IF(ISERROR(GETPIVOTDATA("Somma di DARE",'Pivot Fineco Sa'!$A$3,"Mese",6,"Tipologia",$A163,"Viaggio",$A$157)),0,GETPIVOTDATA("Somma di DARE",'Pivot Fineco Sa'!$A$3,"Mese",6,"Tipologia",$A163,"Viaggio",$A$157))
+IF(ISERROR(GETPIVOTDATA("Somma di DARE",'Pivot Fineco St'!$A$3,"Mese",6,"Tipologia",$A163,"Viaggio",$A$157)),0,GETPIVOTDATA("Somma di DARE",'Pivot Fineco St'!$A$3,"Mese",6,"Tipologia",$A163,"Viaggio",$A$157))
+IF(Contanti!$Y44='Conto Economico'!$A$157,Contanti!$V44)
+IF(ISERROR(GETPIVOTDATA("Somma di DARE",'Pivot BBVA'!$A$3,"Mese",6,"Tipologia",$A163,"Viaggio",$A$157)),0,GETPIVOTDATA("Somma di DARE",'Pivot BBVA'!$A$3,"Mese",6,"Tipologia",$A163,"Viaggio",$A$157))
+IF(ISERROR(GETPIVOTDATA("Somma di DARE",'Pivot Amex'!$A$3,"Mese",6,"Tipologia",$A163,"Viaggio",$A$157)),0,GETPIVOTDATA("Somma di DARE",'Pivot Amex'!$A$3,"Mese",6,"Tipologia",$A163,"Viaggio",$A$157))
-IF(ISERROR(GETPIVOTDATA("Somma di AVERE",'Pivot Amex'!$A$3,"Mese",6,"Tipologia",$A163,"Viaggio",$A$157)),0,GETPIVOTDATA("Somma di AVERE",'Pivot Amex'!$A$3,"Mese",6,"Tipologia",$A163,"Viaggio",$A$157))
-IF(ISERROR(GETPIVOTDATA("Somma di AVERE",'Pivot BBVA'!$A$3,"Mese",6,"Tipologia",$A163,"Viaggio",$A$157)),0,GETPIVOTDATA("Somma di AVERE",'Pivot BBVA'!$A$3,"Mese",6,"Tipologia",$A163,"Viaggio",$A$157))
-IF(ISERROR(GETPIVOTDATA("Somma di AVERE",'Pivot Fineco St'!$A$3,"Mese",6,"Tipologia",$A163,"Viaggio",$A$157)),0,GETPIVOTDATA("Somma di AVERE",'Pivot Fineco St'!$A$3,"Mese",6,"Tipologia",$A163,"Viaggio",$A$157))
-IF(ISERROR(GETPIVOTDATA("Somma di AVERE",'Pivot Fineco Sa'!$A$3,"Mese",6,"Tipologia",$A163,"Viaggio",$A$157)),0,GETPIVOTDATA("Somma di AVERE",'Pivot Fineco Sa'!$A$3,"Mese",6,"Tipologia",$A163,"Viaggio",$A$157))
+IF(ISERROR(GETPIVOTDATA("Somma di DARE",'Pivot PP Visa'!$A$3,"Mese",6,"Tipologia",$A163,"Viaggio",$A$157)),0,GETPIVOTDATA("Somma di DARE",'Pivot PP Visa'!$A$3,"Mese",6,"Tipologia",$A163,"Viaggio",$A$157))
-IF(ISERROR(GETPIVOTDATA("Somma di AVERE",'Pivot PP Visa'!$A$3,"Mese",6,"Tipologia",$A163,"Viaggio",$A$157)),0,GETPIVOTDATA("Somma di AVERE",'Pivot PP Visa'!$A$3,"Mese",6,"Tipologia",$A163,"Viaggio",$A$157))
+IF(ISERROR(GETPIVOTDATA("Somma di DARE",'Pivot Revolut'!$A$3,"Mese",6,"Tipologia",$A163,"Viaggio",$A$157)),0,GETPIVOTDATA("Somma di DARE",'Pivot Revolut'!$A$3,"Mese",6,"Tipologia",$A163,"Viaggio",$A$157))
-IF(ISERROR(GETPIVOTDATA("Somma di AVERE",'Pivot Revolut'!$A$3,"Mese",6,"Tipologia",$A163,"Viaggio",$A$157)),0,GETPIVOTDATA("Somma di AVERE",'Pivot Revolut'!$A$3,"Mese",6,"Tipologia",$A163,"Viaggio",$A$157))
+IF(ISERROR(GETPIVOTDATA("Somma di DARE",'Pivot RakBank EUR'!$A$3,"Mese",6,"Tipologia",$A163,"Viaggio",$A$157)),0,GETPIVOTDATA("Somma di DARE",'Pivot RakBank EUR'!$A$3,"Mese",6,"Tipologia",$A163,"Viaggio",$A$157))
-IF(ISERROR(GETPIVOTDATA("Somma di AVERE",'Pivot RakBank EUR'!$A$3,"Mese",6,"Tipologia",$A163,"Viaggio",$A$157)),0,GETPIVOTDATA("Somma di AVERE",'Pivot RakBank EUR'!$A$3,"Mese",6,"Tipologia",$A163,"Viaggio",$A$157))
+IF(ISERROR(GETPIVOTDATA("Somma di DARE EUR",'Pivot RakBank AED'!$A$3,"Mese",6,"Tipologia",$A163,"Viaggio",$A$157)),0,GETPIVOTDATA("Somma di DARE EUR",'Pivot RakBank AED'!$A$3,"Mese",6,"Tipologia",$A163,"Viaggio",$A$157))
-IF(ISERROR(GETPIVOTDATA("Somma di AVERE EUR",'Pivot RakBank AED'!$A$3,"Mese",6,"Tipologia",$A163,"Viaggio",$A$157)),0,GETPIVOTDATA("Somma di AVERE EUR",'Pivot RakBank AED'!$A$3,"Mese",6,"Tipologia",$A163,"Viaggio",$A$157))</f>
        <v>0</v>
      </c>
      <c r="I163" s="270">
        <f>IF(ISERROR(GETPIVOTDATA("Somma di DARE",'Pivot Fineco Sa'!$A$3,"Mese",7,"Tipologia",$A163,"Viaggio",$A$157)),0,GETPIVOTDATA("Somma di DARE",'Pivot Fineco Sa'!$A$3,"Mese",7,"Tipologia",$A163,"Viaggio",$A$157))
+IF(ISERROR(GETPIVOTDATA("Somma di DARE",'Pivot Fineco St'!$A$3,"Mese",7,"Tipologia",$A163,"Viaggio",$A$157)),0,GETPIVOTDATA("Somma di DARE",'Pivot Fineco St'!$A$3,"Mese",7,"Tipologia",$A163,"Viaggio",$A$157))
+IF(Contanti!$AC44='Conto Economico'!$A$157,Contanti!$Z44)
+IF(ISERROR(GETPIVOTDATA("Somma di DARE",'Pivot BBVA'!$A$3,"Mese",7,"Tipologia",$A163,"Viaggio",$A$157)),0,GETPIVOTDATA("Somma di DARE",'Pivot BBVA'!$A$3,"Mese",7,"Tipologia",$A163,"Viaggio",$A$157))
+IF(ISERROR(GETPIVOTDATA("Somma di DARE",'Pivot Amex'!$A$3,"Mese",7,"Tipologia",$A163,"Viaggio",$A$157)),0,GETPIVOTDATA("Somma di DARE",'Pivot Amex'!$A$3,"Mese",7,"Tipologia",$A163,"Viaggio",$A$157))
-IF(ISERROR(GETPIVOTDATA("Somma di AVERE",'Pivot Amex'!$A$3,"Mese",7,"Tipologia",$A163,"Viaggio",$A$157)),0,GETPIVOTDATA("Somma di AVERE",'Pivot Amex'!$A$3,"Mese",7,"Tipologia",$A163,"Viaggio",$A$157))
-IF(ISERROR(GETPIVOTDATA("Somma di AVERE",'Pivot BBVA'!$A$3,"Mese",7,"Tipologia",$A163,"Viaggio",$A$157)),0,GETPIVOTDATA("Somma di AVERE",'Pivot BBVA'!$A$3,"Mese",7,"Tipologia",$A163,"Viaggio",$A$157))
-IF(ISERROR(GETPIVOTDATA("Somma di AVERE",'Pivot Fineco St'!$A$3,"Mese",7,"Tipologia",$A163,"Viaggio",$A$157)),0,GETPIVOTDATA("Somma di AVERE",'Pivot Fineco St'!$A$3,"Mese",7,"Tipologia",$A163,"Viaggio",$A$157))
-IF(ISERROR(GETPIVOTDATA("Somma di AVERE",'Pivot Fineco Sa'!$A$3,"Mese",7,"Tipologia",$A163,"Viaggio",$A$157)),0,GETPIVOTDATA("Somma di AVERE",'Pivot Fineco Sa'!$A$3,"Mese",7,"Tipologia",$A163,"Viaggio",$A$157))
+IF(ISERROR(GETPIVOTDATA("Somma di DARE",'Pivot PP Visa'!$A$3,"Mese",7,"Tipologia",$A163,"Viaggio",$A$157)),0,GETPIVOTDATA("Somma di DARE",'Pivot PP Visa'!$A$3,"Mese",7,"Tipologia",$A163,"Viaggio",$A$157))
-IF(ISERROR(GETPIVOTDATA("Somma di AVERE",'Pivot PP Visa'!$A$3,"Mese",7,"Tipologia",$A163,"Viaggio",$A$157)),0,GETPIVOTDATA("Somma di AVERE",'Pivot PP Visa'!$A$3,"Mese",7,"Tipologia",$A163,"Viaggio",$A$157))
+IF(ISERROR(GETPIVOTDATA("Somma di DARE",'Pivot Revolut'!$A$3,"Mese",7,"Tipologia",$A163,"Viaggio",$A$157)),0,GETPIVOTDATA("Somma di DARE",'Pivot Revolut'!$A$3,"Mese",7,"Tipologia",$A163,"Viaggio",$A$157))
-IF(ISERROR(GETPIVOTDATA("Somma di AVERE",'Pivot Revolut'!$A$3,"Mese",7,"Tipologia",$A163,"Viaggio",$A$157)),0,GETPIVOTDATA("Somma di AVERE",'Pivot Revolut'!$A$3,"Mese",7,"Tipologia",$A163,"Viaggio",$A$157))
+IF(ISERROR(GETPIVOTDATA("Somma di DARE",'Pivot RakBank EUR'!$A$3,"Mese",7,"Tipologia",$A163,"Viaggio",$A$157)),0,GETPIVOTDATA("Somma di DARE",'Pivot RakBank EUR'!$A$3,"Mese",7,"Tipologia",$A163,"Viaggio",$A$157))
-IF(ISERROR(GETPIVOTDATA("Somma di AVERE",'Pivot RakBank EUR'!$A$3,"Mese",7,"Tipologia",$A163,"Viaggio",$A$157)),0,GETPIVOTDATA("Somma di AVERE",'Pivot RakBank EUR'!$A$3,"Mese",7,"Tipologia",$A163,"Viaggio",$A$157))
+IF(ISERROR(GETPIVOTDATA("Somma di DARE EUR",'Pivot RakBank AED'!$A$3,"Mese",7,"Tipologia",$A163,"Viaggio",$A$157)),0,GETPIVOTDATA("Somma di DARE EUR",'Pivot RakBank AED'!$A$3,"Mese",7,"Tipologia",$A163,"Viaggio",$A$157))
-IF(ISERROR(GETPIVOTDATA("Somma di AVERE EUR",'Pivot RakBank AED'!$A$3,"Mese",7,"Tipologia",$A163,"Viaggio",$A$157)),0,GETPIVOTDATA("Somma di AVERE EUR",'Pivot RakBank AED'!$A$3,"Mese",7,"Tipologia",$A163,"Viaggio",$A$157))</f>
        <v>0</v>
      </c>
      <c r="J163" s="270">
        <f>IF(ISERROR(GETPIVOTDATA("Somma di DARE",'Pivot Fineco Sa'!$A$3,"Mese",8,"Tipologia",$A163,"Viaggio",$A$157)),0,GETPIVOTDATA("Somma di DARE",'Pivot Fineco Sa'!$A$3,"Mese",8,"Tipologia",$A163,"Viaggio",$A$157))
+IF(ISERROR(GETPIVOTDATA("Somma di DARE",'Pivot Fineco St'!$A$3,"Mese",8,"Tipologia",$A163,"Viaggio",$A$157)),0,GETPIVOTDATA("Somma di DARE",'Pivot Fineco St'!$A$3,"Mese",8,"Tipologia",$A163,"Viaggio",$A$157))
+IF(Contanti!$AG44='Conto Economico'!$A$157,Contanti!$AD44)
+IF(ISERROR(GETPIVOTDATA("Somma di DARE",'Pivot BBVA'!$A$3,"Mese",8,"Tipologia",$A163,"Viaggio",$A$157)),0,GETPIVOTDATA("Somma di DARE",'Pivot BBVA'!$A$3,"Mese",8,"Tipologia",$A163,"Viaggio",$A$157))
+IF(ISERROR(GETPIVOTDATA("Somma di DARE",'Pivot Amex'!$A$3,"Mese",8,"Tipologia",$A163,"Viaggio",$A$157)),0,GETPIVOTDATA("Somma di DARE",'Pivot Amex'!$A$3,"Mese",8,"Tipologia",$A163,"Viaggio",$A$157))
-IF(ISERROR(GETPIVOTDATA("Somma di AVERE",'Pivot Amex'!$A$3,"Mese",8,"Tipologia",$A163,"Viaggio",$A$157)),0,GETPIVOTDATA("Somma di AVERE",'Pivot Amex'!$A$3,"Mese",8,"Tipologia",$A163,"Viaggio",$A$157))
-IF(ISERROR(GETPIVOTDATA("Somma di AVERE",'Pivot BBVA'!$A$3,"Mese",8,"Tipologia",$A163,"Viaggio",$A$157)),0,GETPIVOTDATA("Somma di AVERE",'Pivot BBVA'!$A$3,"Mese",8,"Tipologia",$A163,"Viaggio",$A$157))
-IF(ISERROR(GETPIVOTDATA("Somma di AVERE",'Pivot Fineco St'!$A$3,"Mese",8,"Tipologia",$A163,"Viaggio",$A$157)),0,GETPIVOTDATA("Somma di AVERE",'Pivot Fineco St'!$A$3,"Mese",8,"Tipologia",$A163,"Viaggio",$A$157))
-IF(ISERROR(GETPIVOTDATA("Somma di AVERE",'Pivot Fineco Sa'!$A$3,"Mese",8,"Tipologia",$A163,"Viaggio",$A$157)),0,GETPIVOTDATA("Somma di AVERE",'Pivot Fineco Sa'!$A$3,"Mese",8,"Tipologia",$A163,"Viaggio",$A$157))
+IF(ISERROR(GETPIVOTDATA("Somma di DARE",'Pivot PP Visa'!$A$3,"Mese",8,"Tipologia",$A163,"Viaggio",$A$157)),0,GETPIVOTDATA("Somma di DARE",'Pivot PP Visa'!$A$3,"Mese",8,"Tipologia",$A163,"Viaggio",$A$157))
-IF(ISERROR(GETPIVOTDATA("Somma di AVERE",'Pivot PP Visa'!$A$3,"Mese",8,"Tipologia",$A163,"Viaggio",$A$157)),0,GETPIVOTDATA("Somma di AVERE",'Pivot PP Visa'!$A$3,"Mese",8,"Tipologia",$A163,"Viaggio",$A$157))
+IF(ISERROR(GETPIVOTDATA("Somma di DARE",'Pivot Revolut'!$A$3,"Mese",8,"Tipologia",$A163,"Viaggio",$A$157)),0,GETPIVOTDATA("Somma di DARE",'Pivot Revolut'!$A$3,"Mese",8,"Tipologia",$A163,"Viaggio",$A$157))
-IF(ISERROR(GETPIVOTDATA("Somma di AVERE",'Pivot Revolut'!$A$3,"Mese",8,"Tipologia",$A163,"Viaggio",$A$157)),0,GETPIVOTDATA("Somma di AVERE",'Pivot Revolut'!$A$3,"Mese",8,"Tipologia",$A163,"Viaggio",$A$157))
+IF(ISERROR(GETPIVOTDATA("Somma di DARE",'Pivot RakBank EUR'!$A$3,"Mese",8,"Tipologia",$A163,"Viaggio",$A$157)),0,GETPIVOTDATA("Somma di DARE",'Pivot RakBank EUR'!$A$3,"Mese",8,"Tipologia",$A163,"Viaggio",$A$157))
-IF(ISERROR(GETPIVOTDATA("Somma di AVERE",'Pivot RakBank EUR'!$A$3,"Mese",8,"Tipologia",$A163,"Viaggio",$A$157)),0,GETPIVOTDATA("Somma di AVERE",'Pivot RakBank EUR'!$A$3,"Mese",8,"Tipologia",$A163,"Viaggio",$A$157))
+IF(ISERROR(GETPIVOTDATA("Somma di DARE EUR",'Pivot RakBank AED'!$A$3,"Mese",8,"Tipologia",$A163,"Viaggio",$A$157)),0,GETPIVOTDATA("Somma di DARE EUR",'Pivot RakBank AED'!$A$3,"Mese",8,"Tipologia",$A163,"Viaggio",$A$157))
-IF(ISERROR(GETPIVOTDATA("Somma di AVERE EUR",'Pivot RakBank AED'!$A$3,"Mese",8,"Tipologia",$A163,"Viaggio",$A$157)),0,GETPIVOTDATA("Somma di AVERE EUR",'Pivot RakBank AED'!$A$3,"Mese",8,"Tipologia",$A163,"Viaggio",$A$157))</f>
        <v>0</v>
      </c>
      <c r="K163" s="270">
        <f>IF(ISERROR(GETPIVOTDATA("Somma di DARE",'Pivot Fineco Sa'!$A$3,"Mese",9,"Tipologia",$A163,"Viaggio",$A$157)),0,GETPIVOTDATA("Somma di DARE",'Pivot Fineco Sa'!$A$3,"Mese",9,"Tipologia",$A163,"Viaggio",$A$157))
+IF(ISERROR(GETPIVOTDATA("Somma di DARE",'Pivot Fineco St'!$A$3,"Mese",9,"Tipologia",$A163,"Viaggio",$A$157)),0,GETPIVOTDATA("Somma di DARE",'Pivot Fineco St'!$A$3,"Mese",9,"Tipologia",$A163,"Viaggio",$A$157))
+IF(Contanti!$AK44='Conto Economico'!$A$157,Contanti!$AH44)
+IF(ISERROR(GETPIVOTDATA("Somma di DARE",'Pivot BBVA'!$A$3,"Mese",9,"Tipologia",$A163,"Viaggio",$A$157)),0,GETPIVOTDATA("Somma di DARE",'Pivot BBVA'!$A$3,"Mese",9,"Tipologia",$A163,"Viaggio",$A$157))
+IF(ISERROR(GETPIVOTDATA("Somma di DARE",'Pivot Amex'!$A$3,"Mese",9,"Tipologia",$A163,"Viaggio",$A$157)),0,GETPIVOTDATA("Somma di DARE",'Pivot Amex'!$A$3,"Mese",9,"Tipologia",$A163,"Viaggio",$A$157))
-IF(ISERROR(GETPIVOTDATA("Somma di AVERE",'Pivot Amex'!$A$3,"Mese",9,"Tipologia",$A163,"Viaggio",$A$157)),0,GETPIVOTDATA("Somma di AVERE",'Pivot Amex'!$A$3,"Mese",9,"Tipologia",$A163,"Viaggio",$A$157))
-IF(ISERROR(GETPIVOTDATA("Somma di AVERE",'Pivot BBVA'!$A$3,"Mese",9,"Tipologia",$A163,"Viaggio",$A$157)),0,GETPIVOTDATA("Somma di AVERE",'Pivot BBVA'!$A$3,"Mese",9,"Tipologia",$A163,"Viaggio",$A$157))
-IF(ISERROR(GETPIVOTDATA("Somma di AVERE",'Pivot Fineco St'!$A$3,"Mese",9,"Tipologia",$A163,"Viaggio",$A$157)),0,GETPIVOTDATA("Somma di AVERE",'Pivot Fineco St'!$A$3,"Mese",9,"Tipologia",$A163,"Viaggio",$A$157))
-IF(ISERROR(GETPIVOTDATA("Somma di AVERE",'Pivot Fineco Sa'!$A$3,"Mese",9,"Tipologia",$A163,"Viaggio",$A$157)),0,GETPIVOTDATA("Somma di AVERE",'Pivot Fineco Sa'!$A$3,"Mese",9,"Tipologia",$A163,"Viaggio",$A$157))
+IF(ISERROR(GETPIVOTDATA("Somma di DARE",'Pivot PP Visa'!$A$3,"Mese",9,"Tipologia",$A163,"Viaggio",$A$157)),0,GETPIVOTDATA("Somma di DARE",'Pivot PP Visa'!$A$3,"Mese",9,"Tipologia",$A163,"Viaggio",$A$157))
-IF(ISERROR(GETPIVOTDATA("Somma di AVERE",'Pivot PP Visa'!$A$3,"Mese",9,"Tipologia",$A163,"Viaggio",$A$157)),0,GETPIVOTDATA("Somma di AVERE",'Pivot PP Visa'!$A$3,"Mese",9,"Tipologia",$A163,"Viaggio",$A$157))
+IF(ISERROR(GETPIVOTDATA("Somma di DARE",'Pivot Revolut'!$A$3,"Mese",9,"Tipologia",$A163,"Viaggio",$A$157)),0,GETPIVOTDATA("Somma di DARE",'Pivot Revolut'!$A$3,"Mese",9,"Tipologia",$A163,"Viaggio",$A$157))
-IF(ISERROR(GETPIVOTDATA("Somma di AVERE",'Pivot Revolut'!$A$3,"Mese",9,"Tipologia",$A163,"Viaggio",$A$157)),0,GETPIVOTDATA("Somma di AVERE",'Pivot Revolut'!$A$3,"Mese",9,"Tipologia",$A163,"Viaggio",$A$157))
+IF(ISERROR(GETPIVOTDATA("Somma di DARE",'Pivot RakBank EUR'!$A$3,"Mese",9,"Tipologia",$A163,"Viaggio",$A$157)),0,GETPIVOTDATA("Somma di DARE",'Pivot RakBank EUR'!$A$3,"Mese",9,"Tipologia",$A163,"Viaggio",$A$157))
-IF(ISERROR(GETPIVOTDATA("Somma di AVERE",'Pivot RakBank EUR'!$A$3,"Mese",9,"Tipologia",$A163,"Viaggio",$A$157)),0,GETPIVOTDATA("Somma di AVERE",'Pivot RakBank EUR'!$A$3,"Mese",9,"Tipologia",$A163,"Viaggio",$A$157))
+IF(ISERROR(GETPIVOTDATA("Somma di DARE EUR",'Pivot RakBank AED'!$A$3,"Mese",9,"Tipologia",$A163,"Viaggio",$A$157)),0,GETPIVOTDATA("Somma di DARE EUR",'Pivot RakBank AED'!$A$3,"Mese",9,"Tipologia",$A163,"Viaggio",$A$157))
-IF(ISERROR(GETPIVOTDATA("Somma di AVERE EUR",'Pivot RakBank AED'!$A$3,"Mese",9,"Tipologia",$A163,"Viaggio",$A$157)),0,GETPIVOTDATA("Somma di AVERE EUR",'Pivot RakBank AED'!$A$3,"Mese",9,"Tipologia",$A163,"Viaggio",$A$157))</f>
        <v>0</v>
      </c>
      <c r="L163" s="270">
        <f>IF(ISERROR(GETPIVOTDATA("Somma di DARE",'Pivot Fineco Sa'!$A$3,"Mese",10,"Tipologia",$A163,"Viaggio",$A$157)),0,GETPIVOTDATA("Somma di DARE",'Pivot Fineco Sa'!$A$3,"Mese",10,"Tipologia",$A163,"Viaggio",$A$157))
+IF(ISERROR(GETPIVOTDATA("Somma di DARE",'Pivot Fineco St'!$A$3,"Mese",10,"Tipologia",$A163,"Viaggio",$A$157)),0,GETPIVOTDATA("Somma di DARE",'Pivot Fineco St'!$A$3,"Mese",10,"Tipologia",$A163,"Viaggio",$A$157))
+IF(Contanti!$AO44='Conto Economico'!$A$157,Contanti!$AL44)
+IF(ISERROR(GETPIVOTDATA("Somma di DARE",'Pivot BBVA'!$A$3,"Mese",10,"Tipologia",$A163,"Viaggio",$A$157)),0,GETPIVOTDATA("Somma di DARE",'Pivot BBVA'!$A$3,"Mese",10,"Tipologia",$A163,"Viaggio",$A$157))
+IF(ISERROR(GETPIVOTDATA("Somma di DARE",'Pivot Amex'!$A$3,"Mese",10,"Tipologia",$A163,"Viaggio",$A$157)),0,GETPIVOTDATA("Somma di DARE",'Pivot Amex'!$A$3,"Mese",10,"Tipologia",$A163,"Viaggio",$A$157))
-IF(ISERROR(GETPIVOTDATA("Somma di AVERE",'Pivot Amex'!$A$3,"Mese",10,"Tipologia",$A163,"Viaggio",$A$157)),0,GETPIVOTDATA("Somma di AVERE",'Pivot Amex'!$A$3,"Mese",10,"Tipologia",$A163,"Viaggio",$A$157))
-IF(ISERROR(GETPIVOTDATA("Somma di AVERE",'Pivot BBVA'!$A$3,"Mese",10,"Tipologia",$A163,"Viaggio",$A$157)),0,GETPIVOTDATA("Somma di AVERE",'Pivot BBVA'!$A$3,"Mese",10,"Tipologia",$A163,"Viaggio",$A$157))
-IF(ISERROR(GETPIVOTDATA("Somma di AVERE",'Pivot Fineco St'!$A$3,"Mese",10,"Tipologia",$A163,"Viaggio",$A$157)),0,GETPIVOTDATA("Somma di AVERE",'Pivot Fineco St'!$A$3,"Mese",10,"Tipologia",$A163,"Viaggio",$A$157))
-IF(ISERROR(GETPIVOTDATA("Somma di AVERE",'Pivot Fineco Sa'!$A$3,"Mese",10,"Tipologia",$A163,"Viaggio",$A$157)),0,GETPIVOTDATA("Somma di AVERE",'Pivot Fineco Sa'!$A$3,"Mese",10,"Tipologia",$A163,"Viaggio",$A$157))
+IF(ISERROR(GETPIVOTDATA("Somma di DARE",'Pivot PP Visa'!$A$3,"Mese",10,"Tipologia",$A163,"Viaggio",$A$157)),0,GETPIVOTDATA("Somma di DARE",'Pivot PP Visa'!$A$3,"Mese",10,"Tipologia",$A163,"Viaggio",$A$157))
-IF(ISERROR(GETPIVOTDATA("Somma di AVERE",'Pivot PP Visa'!$A$3,"Mese",10,"Tipologia",$A163,"Viaggio",$A$157)),0,GETPIVOTDATA("Somma di AVERE",'Pivot PP Visa'!$A$3,"Mese",10,"Tipologia",$A163,"Viaggio",$A$157))
+IF(ISERROR(GETPIVOTDATA("Somma di DARE",'Pivot Revolut'!$A$3,"Mese",10,"Tipologia",$A163,"Viaggio",$A$157)),0,GETPIVOTDATA("Somma di DARE",'Pivot Revolut'!$A$3,"Mese",10,"Tipologia",$A163,"Viaggio",$A$157))
-IF(ISERROR(GETPIVOTDATA("Somma di AVERE",'Pivot Revolut'!$A$3,"Mese",10,"Tipologia",$A163,"Viaggio",$A$157)),0,GETPIVOTDATA("Somma di AVERE",'Pivot Revolut'!$A$3,"Mese",10,"Tipologia",$A163,"Viaggio",$A$157))
+IF(ISERROR(GETPIVOTDATA("Somma di DARE",'Pivot RakBank EUR'!$A$3,"Mese",10,"Tipologia",$A163,"Viaggio",$A$157)),0,GETPIVOTDATA("Somma di DARE",'Pivot RakBank EUR'!$A$3,"Mese",10,"Tipologia",$A163,"Viaggio",$A$157))
-IF(ISERROR(GETPIVOTDATA("Somma di AVERE",'Pivot RakBank EUR'!$A$3,"Mese",10,"Tipologia",$A163,"Viaggio",$A$157)),0,GETPIVOTDATA("Somma di AVERE",'Pivot RakBank EUR'!$A$3,"Mese",10,"Tipologia",$A163,"Viaggio",$A$157))
+IF(ISERROR(GETPIVOTDATA("Somma di DARE EUR",'Pivot RakBank AED'!$A$3,"Mese",10,"Tipologia",$A163,"Viaggio",$A$157)),0,GETPIVOTDATA("Somma di DARE EUR",'Pivot RakBank AED'!$A$3,"Mese",10,"Tipologia",$A163,"Viaggio",$A$157))
-IF(ISERROR(GETPIVOTDATA("Somma di AVERE EUR",'Pivot RakBank AED'!$A$3,"Mese",10,"Tipologia",$A163,"Viaggio",$A$157)),0,GETPIVOTDATA("Somma di AVERE EUR",'Pivot RakBank AED'!$A$3,"Mese",10,"Tipologia",$A163,"Viaggio",$A$157))</f>
        <v>0</v>
      </c>
      <c r="M163" s="270">
        <f>IF(ISERROR(GETPIVOTDATA("Somma di DARE",'Pivot Fineco Sa'!$A$3,"Mese",11,"Tipologia",$A163,"Viaggio",$A$157)),0,GETPIVOTDATA("Somma di DARE",'Pivot Fineco Sa'!$A$3,"Mese",11,"Tipologia",$A163,"Viaggio",$A$157))
+IF(ISERROR(GETPIVOTDATA("Somma di DARE",'Pivot Fineco St'!$A$3,"Mese",11,"Tipologia",$A163,"Viaggio",$A$157)),0,GETPIVOTDATA("Somma di DARE",'Pivot Fineco St'!$A$3,"Mese",11,"Tipologia",$A163,"Viaggio",$A$157))
+IF(Contanti!$AS44='Conto Economico'!$A$157,Contanti!$AP44)
+IF(ISERROR(GETPIVOTDATA("Somma di DARE",'Pivot BBVA'!$A$3,"Mese",11,"Tipologia",$A163,"Viaggio",$A$157)),0,GETPIVOTDATA("Somma di DARE",'Pivot BBVA'!$A$3,"Mese",11,"Tipologia",$A163,"Viaggio",$A$157))
+IF(ISERROR(GETPIVOTDATA("Somma di DARE",'Pivot Amex'!$A$3,"Mese",11,"Tipologia",$A163,"Viaggio",$A$157)),0,GETPIVOTDATA("Somma di DARE",'Pivot Amex'!$A$3,"Mese",11,"Tipologia",$A163,"Viaggio",$A$157))
-IF(ISERROR(GETPIVOTDATA("Somma di AVERE",'Pivot Amex'!$A$3,"Mese",11,"Tipologia",$A163,"Viaggio",$A$157)),0,GETPIVOTDATA("Somma di AVERE",'Pivot Amex'!$A$3,"Mese",11,"Tipologia",$A163,"Viaggio",$A$157))
-IF(ISERROR(GETPIVOTDATA("Somma di AVERE",'Pivot BBVA'!$A$3,"Mese",11,"Tipologia",$A163,"Viaggio",$A$157)),0,GETPIVOTDATA("Somma di AVERE",'Pivot BBVA'!$A$3,"Mese",11,"Tipologia",$A163,"Viaggio",$A$157))
-IF(ISERROR(GETPIVOTDATA("Somma di AVERE",'Pivot Fineco St'!$A$3,"Mese",11,"Tipologia",$A163,"Viaggio",$A$157)),0,GETPIVOTDATA("Somma di AVERE",'Pivot Fineco St'!$A$3,"Mese",11,"Tipologia",$A163,"Viaggio",$A$157))
-IF(ISERROR(GETPIVOTDATA("Somma di AVERE",'Pivot Fineco Sa'!$A$3,"Mese",11,"Tipologia",$A163,"Viaggio",$A$157)),0,GETPIVOTDATA("Somma di AVERE",'Pivot Fineco Sa'!$A$3,"Mese",11,"Tipologia",$A163,"Viaggio",$A$157))
+IF(ISERROR(GETPIVOTDATA("Somma di DARE",'Pivot PP Visa'!$A$3,"Mese",11,"Tipologia",$A163,"Viaggio",$A$157)),0,GETPIVOTDATA("Somma di DARE",'Pivot PP Visa'!$A$3,"Mese",11,"Tipologia",$A163,"Viaggio",$A$157))
-IF(ISERROR(GETPIVOTDATA("Somma di AVERE",'Pivot PP Visa'!$A$3,"Mese",11,"Tipologia",$A163,"Viaggio",$A$157)),0,GETPIVOTDATA("Somma di AVERE",'Pivot PP Visa'!$A$3,"Mese",11,"Tipologia",$A163,"Viaggio",$A$157))
+IF(ISERROR(GETPIVOTDATA("Somma di DARE",'Pivot Revolut'!$A$3,"Mese",11,"Tipologia",$A163,"Viaggio",$A$157)),0,GETPIVOTDATA("Somma di DARE",'Pivot Revolut'!$A$3,"Mese",11,"Tipologia",$A163,"Viaggio",$A$157))
-IF(ISERROR(GETPIVOTDATA("Somma di AVERE",'Pivot Revolut'!$A$3,"Mese",11,"Tipologia",$A163,"Viaggio",$A$157)),0,GETPIVOTDATA("Somma di AVERE",'Pivot Revolut'!$A$3,"Mese",11,"Tipologia",$A163,"Viaggio",$A$157))
+IF(ISERROR(GETPIVOTDATA("Somma di DARE",'Pivot RakBank EUR'!$A$3,"Mese",11,"Tipologia",$A163,"Viaggio",$A$157)),0,GETPIVOTDATA("Somma di DARE",'Pivot RakBank EUR'!$A$3,"Mese",11,"Tipologia",$A163,"Viaggio",$A$157))
-IF(ISERROR(GETPIVOTDATA("Somma di AVERE",'Pivot RakBank EUR'!$A$3,"Mese",11,"Tipologia",$A163,"Viaggio",$A$157)),0,GETPIVOTDATA("Somma di AVERE",'Pivot RakBank EUR'!$A$3,"Mese",11,"Tipologia",$A163,"Viaggio",$A$157))
+IF(ISERROR(GETPIVOTDATA("Somma di DARE EUR",'Pivot RakBank AED'!$A$3,"Mese",11,"Tipologia",$A163,"Viaggio",$A$157)),0,GETPIVOTDATA("Somma di DARE EUR",'Pivot RakBank AED'!$A$3,"Mese",11,"Tipologia",$A163,"Viaggio",$A$157))
-IF(ISERROR(GETPIVOTDATA("Somma di AVERE EUR",'Pivot RakBank AED'!$A$3,"Mese",11,"Tipologia",$A163,"Viaggio",$A$157)),0,GETPIVOTDATA("Somma di AVERE EUR",'Pivot RakBank AED'!$A$3,"Mese",11,"Tipologia",$A163,"Viaggio",$A$157))</f>
        <v>0</v>
      </c>
      <c r="N163" s="270">
        <f>IF(ISERROR(GETPIVOTDATA("Somma di DARE",'Pivot Fineco Sa'!$A$3,"Mese",12,"Tipologia",$A163,"Viaggio",$A$157)),0,GETPIVOTDATA("Somma di DARE",'Pivot Fineco Sa'!$A$3,"Mese",12,"Tipologia",$A163,"Viaggio",$A$157))
+IF(ISERROR(GETPIVOTDATA("Somma di DARE",'Pivot Fineco St'!$A$3,"Mese",12,"Tipologia",$A163,"Viaggio",$A$157)),0,GETPIVOTDATA("Somma di DARE",'Pivot Fineco St'!$A$3,"Mese",12,"Tipologia",$A163,"Viaggio",$A$157))
+IF(Contanti!$AW44='Conto Economico'!$A$157,Contanti!$AT44)
+IF(ISERROR(GETPIVOTDATA("Somma di DARE",'Pivot BBVA'!$A$3,"Mese",12,"Tipologia",$A163,"Viaggio",$A$157)),0,GETPIVOTDATA("Somma di DARE",'Pivot BBVA'!$A$3,"Mese",12,"Tipologia",$A163,"Viaggio",$A$157))
+IF(ISERROR(GETPIVOTDATA("Somma di DARE",'Pivot Amex'!$A$3,"Mese",12,"Tipologia",$A163,"Viaggio",$A$157)),0,GETPIVOTDATA("Somma di DARE",'Pivot Amex'!$A$3,"Mese",12,"Tipologia",$A163,"Viaggio",$A$157))
-IF(ISERROR(GETPIVOTDATA("Somma di AVERE",'Pivot Amex'!$A$3,"Mese",12,"Tipologia",$A163,"Viaggio",$A$157)),0,GETPIVOTDATA("Somma di AVERE",'Pivot Amex'!$A$3,"Mese",12,"Tipologia",$A163,"Viaggio",$A$157))
-IF(ISERROR(GETPIVOTDATA("Somma di AVERE",'Pivot BBVA'!$A$3,"Mese",12,"Tipologia",$A163,"Viaggio",$A$157)),0,GETPIVOTDATA("Somma di AVERE",'Pivot BBVA'!$A$3,"Mese",12,"Tipologia",$A163,"Viaggio",$A$157))
-IF(ISERROR(GETPIVOTDATA("Somma di AVERE",'Pivot Fineco St'!$A$3,"Mese",12,"Tipologia",$A163,"Viaggio",$A$157)),0,GETPIVOTDATA("Somma di AVERE",'Pivot Fineco St'!$A$3,"Mese",12,"Tipologia",$A163,"Viaggio",$A$157))
-IF(ISERROR(GETPIVOTDATA("Somma di AVERE",'Pivot Fineco Sa'!$A$3,"Mese",12,"Tipologia",$A163,"Viaggio",$A$157)),0,GETPIVOTDATA("Somma di AVERE",'Pivot Fineco Sa'!$A$3,"Mese",12,"Tipologia",$A163,"Viaggio",$A$157))
+IF(ISERROR(GETPIVOTDATA("Somma di DARE",'Pivot PP Visa'!$A$3,"Mese",12,"Tipologia",$A163,"Viaggio",$A$157)),0,GETPIVOTDATA("Somma di DARE",'Pivot PP Visa'!$A$3,"Mese",12,"Tipologia",$A163,"Viaggio",$A$157))
-IF(ISERROR(GETPIVOTDATA("Somma di AVERE",'Pivot PP Visa'!$A$3,"Mese",12,"Tipologia",$A163,"Viaggio",$A$157)),0,GETPIVOTDATA("Somma di AVERE",'Pivot PP Visa'!$A$3,"Mese",12,"Tipologia",$A163,"Viaggio",$A$157))
+IF(ISERROR(GETPIVOTDATA("Somma di DARE",'Pivot Revolut'!$A$3,"Mese",12,"Tipologia",$A163,"Viaggio",$A$157)),0,GETPIVOTDATA("Somma di DARE",'Pivot Revolut'!$A$3,"Mese",12,"Tipologia",$A163,"Viaggio",$A$157))
-IF(ISERROR(GETPIVOTDATA("Somma di AVERE",'Pivot Revolut'!$A$3,"Mese",12,"Tipologia",$A163,"Viaggio",$A$157)),0,GETPIVOTDATA("Somma di AVERE",'Pivot Revolut'!$A$3,"Mese",12,"Tipologia",$A163,"Viaggio",$A$157))
+IF(ISERROR(GETPIVOTDATA("Somma di DARE",'Pivot RakBank EUR'!$A$3,"Mese",12,"Tipologia",$A163,"Viaggio",$A$157)),0,GETPIVOTDATA("Somma di DARE",'Pivot RakBank EUR'!$A$3,"Mese",12,"Tipologia",$A163,"Viaggio",$A$157))
-IF(ISERROR(GETPIVOTDATA("Somma di AVERE",'Pivot RakBank EUR'!$A$3,"Mese",12,"Tipologia",$A163,"Viaggio",$A$157)),0,GETPIVOTDATA("Somma di AVERE",'Pivot RakBank EUR'!$A$3,"Mese",12,"Tipologia",$A163,"Viaggio",$A$157))
+IF(ISERROR(GETPIVOTDATA("Somma di DARE EUR",'Pivot RakBank AED'!$A$3,"Mese",12,"Tipologia",$A163,"Viaggio",$A$157)),0,GETPIVOTDATA("Somma di DARE EUR",'Pivot RakBank AED'!$A$3,"Mese",12,"Tipologia",$A163,"Viaggio",$A$157))
-IF(ISERROR(GETPIVOTDATA("Somma di AVERE EUR",'Pivot RakBank AED'!$A$3,"Mese",12,"Tipologia",$A163,"Viaggio",$A$157)),0,GETPIVOTDATA("Somma di AVERE EUR",'Pivot RakBank AED'!$A$3,"Mese",12,"Tipologia",$A163,"Viaggio",$A$157))</f>
        <v>0</v>
      </c>
      <c r="O163" s="271">
        <f t="shared" si="21"/>
        <v>0</v>
      </c>
      <c r="P163" s="270"/>
    </row>
    <row r="164" spans="1:16" s="131" customFormat="1" ht="14" outlineLevel="1" x14ac:dyDescent="0.2">
      <c r="A164" s="269" t="s">
        <v>243</v>
      </c>
      <c r="B164" s="269"/>
      <c r="C164" s="270">
        <f>IF(ISERROR(GETPIVOTDATA("Somma di DARE",'Pivot Fineco Sa'!$A$3,"Mese",1,"Tipologia",$A164,"Viaggio",$A$157)),0,GETPIVOTDATA("Somma di DARE",'Pivot Fineco Sa'!$A$3,"Mese",1,"Tipologia",$A164,"Viaggio",$A$157))
+IF(ISERROR(GETPIVOTDATA("Somma di DARE",'Pivot Fineco St'!$A$3,"Mese",1,"Tipologia",$A164,"Viaggio",$A$157)),0,GETPIVOTDATA("Somma di DARE",'Pivot Fineco St'!$A$3,"Mese",1,"Tipologia",$A164,"Viaggio",$A$157))
+IF(Contanti!$E45='Conto Economico'!$A$157,Contanti!$B45)
+IF(ISERROR(GETPIVOTDATA("Somma di DARE",'Pivot BBVA'!$A$3,"Mese",1,"Tipologia",$A164,"Viaggio",$A$157)),0,GETPIVOTDATA("Somma di DARE",'Pivot BBVA'!$A$3,"Mese",1,"Tipologia",$A164,"Viaggio",$A$157))
+IF(ISERROR(GETPIVOTDATA("Somma di DARE",'Pivot Amex'!$A$3,"Mese",1,"Tipologia",$A164,"Viaggio",$A$157)),0,GETPIVOTDATA("Somma di DARE",'Pivot Amex'!$A$3,"Mese",1,"Tipologia",$A164,"Viaggio",$A$157))
-IF(ISERROR(GETPIVOTDATA("Somma di AVERE",'Pivot Amex'!$A$3,"Mese",1,"Tipologia",$A164,"Viaggio",$A$157)),0,GETPIVOTDATA("Somma di AVERE",'Pivot Amex'!$A$3,"Mese",1,"Tipologia",$A164,"Viaggio",$A$157))
-IF(ISERROR(GETPIVOTDATA("Somma di AVERE",'Pivot BBVA'!$A$3,"Mese",1,"Tipologia",$A164,"Viaggio",$A$157)),0,GETPIVOTDATA("Somma di AVERE",'Pivot BBVA'!$A$3,"Mese",1,"Tipologia",$A164,"Viaggio",$A$157))
-IF(ISERROR(GETPIVOTDATA("Somma di AVERE",'Pivot Fineco St'!$A$3,"Mese",1,"Tipologia",$A164,"Viaggio",$A$157)),0,GETPIVOTDATA("Somma di AVERE",'Pivot Fineco St'!$A$3,"Mese",1,"Tipologia",$A164,"Viaggio",$A$157))
-IF(ISERROR(GETPIVOTDATA("Somma di AVERE",'Pivot Fineco Sa'!$A$3,"Mese",1,"Tipologia",$A164,"Viaggio",$A$157)),0,GETPIVOTDATA("Somma di AVERE",'Pivot Fineco Sa'!$A$3,"Mese",1,"Tipologia",$A164,"Viaggio",$A$157))
+IF(ISERROR(GETPIVOTDATA("Somma di DARE",'Pivot PP Visa'!$A$3,"Mese",1,"Tipologia",$A164,"Viaggio",$A$157)),0,GETPIVOTDATA("Somma di DARE",'Pivot PP Visa'!$A$3,"Mese",1,"Tipologia",$A164,"Viaggio",$A$157))
-IF(ISERROR(GETPIVOTDATA("Somma di AVERE",'Pivot PP Visa'!$A$3,"Mese",1,"Tipologia",$A164,"Viaggio",$A$157)),0,GETPIVOTDATA("Somma di AVERE",'Pivot PP Visa'!$A$3,"Mese",1,"Tipologia",$A164,"Viaggio",$A$157))
+IF(ISERROR(GETPIVOTDATA("Somma di DARE",'Pivot Revolut'!$A$3,"Mese",1,"Tipologia",$A164,"Viaggio",$A$157)),0,GETPIVOTDATA("Somma di DARE",'Pivot Revolut'!$A$3,"Mese",1,"Tipologia",$A164,"Viaggio",$A$157))
-IF(ISERROR(GETPIVOTDATA("Somma di AVERE",'Pivot Revolut'!$A$3,"Mese",1,"Tipologia",$A164,"Viaggio",$A$157)),0,GETPIVOTDATA("Somma di AVERE",'Pivot Revolut'!$A$3,"Mese",1,"Tipologia",$A164,"Viaggio",$A$157))
+IF(ISERROR(GETPIVOTDATA("Somma di DARE",'Pivot RakBank EUR'!$A$3,"Mese",1,"Tipologia",$A164,"Viaggio",$A$157)),0,GETPIVOTDATA("Somma di DARE",'Pivot RakBank EUR'!$A$3,"Mese",1,"Tipologia",$A164,"Viaggio",$A$157))
-IF(ISERROR(GETPIVOTDATA("Somma di AVERE",'Pivot RakBank EUR'!$A$3,"Mese",1,"Tipologia",$A164,"Viaggio",$A$157)),0,GETPIVOTDATA("Somma di AVERE",'Pivot RakBank EUR'!$A$3,"Mese",1,"Tipologia",$A164,"Viaggio",$A$157))
+IF(ISERROR(GETPIVOTDATA("Somma di DARE EUR",'Pivot RakBank AED'!$A$3,"Mese",1,"Tipologia",$A164,"Viaggio",$A$157)),0,GETPIVOTDATA("Somma di DARE EUR",'Pivot RakBank AED'!$A$3,"Mese",1,"Tipologia",$A164,"Viaggio",$A$157))
-IF(ISERROR(GETPIVOTDATA("Somma di AVERE EUR",'Pivot RakBank AED'!$A$3,"Mese",1,"Tipologia",$A164,"Viaggio",$A$157)),0,GETPIVOTDATA("Somma di AVERE EUR",'Pivot RakBank AED'!$A$3,"Mese",1,"Tipologia",$A164,"Viaggio",$A$157))</f>
        <v>0</v>
      </c>
      <c r="D164" s="270">
        <f>IF(ISERROR(GETPIVOTDATA("Somma di DARE",'Pivot Fineco Sa'!$A$3,"Mese",2,"Tipologia",$A164,"Viaggio",$A$157)),0,GETPIVOTDATA("Somma di DARE",'Pivot Fineco Sa'!$A$3,"Mese",2,"Tipologia",$A164,"Viaggio",$A$157))
+IF(ISERROR(GETPIVOTDATA("Somma di DARE",'Pivot Fineco St'!$A$3,"Mese",2,"Tipologia",$A164,"Viaggio",$A$157)),0,GETPIVOTDATA("Somma di DARE",'Pivot Fineco St'!$A$3,"Mese",2,"Tipologia",$A164,"Viaggio",$A$157))
+IF(Contanti!$I45='Conto Economico'!$A$157,Contanti!$F45)
+IF(ISERROR(GETPIVOTDATA("Somma di DARE",'Pivot BBVA'!$A$3,"Mese",2,"Tipologia",$A164,"Viaggio",$A$157)),0,GETPIVOTDATA("Somma di DARE",'Pivot BBVA'!$A$3,"Mese",2,"Tipologia",$A164,"Viaggio",$A$157))
+IF(ISERROR(GETPIVOTDATA("Somma di DARE",'Pivot Amex'!$A$3,"Mese",2,"Tipologia",$A164,"Viaggio",$A$157)),0,GETPIVOTDATA("Somma di DARE",'Pivot Amex'!$A$3,"Mese",2,"Tipologia",$A164,"Viaggio",$A$157))
-IF(ISERROR(GETPIVOTDATA("Somma di AVERE",'Pivot Amex'!$A$3,"Mese",2,"Tipologia",$A164,"Viaggio",$A$157)),0,GETPIVOTDATA("Somma di AVERE",'Pivot Amex'!$A$3,"Mese",2,"Tipologia",$A164,"Viaggio",$A$157))
-IF(ISERROR(GETPIVOTDATA("Somma di AVERE",'Pivot BBVA'!$A$3,"Mese",2,"Tipologia",$A164,"Viaggio",$A$157)),0,GETPIVOTDATA("Somma di AVERE",'Pivot BBVA'!$A$3,"Mese",2,"Tipologia",$A164,"Viaggio",$A$157))
-IF(ISERROR(GETPIVOTDATA("Somma di AVERE",'Pivot Fineco St'!$A$3,"Mese",2,"Tipologia",$A164,"Viaggio",$A$157)),0,GETPIVOTDATA("Somma di AVERE",'Pivot Fineco St'!$A$3,"Mese",2,"Tipologia",$A164,"Viaggio",$A$157))
-IF(ISERROR(GETPIVOTDATA("Somma di AVERE",'Pivot Fineco Sa'!$A$3,"Mese",2,"Tipologia",$A164,"Viaggio",$A$157)),0,GETPIVOTDATA("Somma di AVERE",'Pivot Fineco Sa'!$A$3,"Mese",2,"Tipologia",$A164,"Viaggio",$A$157))
+IF(ISERROR(GETPIVOTDATA("Somma di DARE",'Pivot PP Visa'!$A$3,"Mese",2,"Tipologia",$A164,"Viaggio",$A$157)),0,GETPIVOTDATA("Somma di DARE",'Pivot PP Visa'!$A$3,"Mese",2,"Tipologia",$A164,"Viaggio",$A$157))
-IF(ISERROR(GETPIVOTDATA("Somma di AVERE",'Pivot PP Visa'!$A$3,"Mese",2,"Tipologia",$A164,"Viaggio",$A$157)),0,GETPIVOTDATA("Somma di AVERE",'Pivot PP Visa'!$A$3,"Mese",2,"Tipologia",$A164,"Viaggio",$A$157))
+IF(ISERROR(GETPIVOTDATA("Somma di DARE",'Pivot Revolut'!$A$3,"Mese",2,"Tipologia",$A164,"Viaggio",$A$157)),0,GETPIVOTDATA("Somma di DARE",'Pivot Revolut'!$A$3,"Mese",2,"Tipologia",$A164,"Viaggio",$A$157))
-IF(ISERROR(GETPIVOTDATA("Somma di AVERE",'Pivot Revolut'!$A$3,"Mese",2,"Tipologia",$A164,"Viaggio",$A$157)),0,GETPIVOTDATA("Somma di AVERE",'Pivot Revolut'!$A$3,"Mese",2,"Tipologia",$A164,"Viaggio",$A$157))
+IF(ISERROR(GETPIVOTDATA("Somma di DARE",'Pivot RakBank EUR'!$A$3,"Mese",2,"Tipologia",$A164,"Viaggio",$A$157)),0,GETPIVOTDATA("Somma di DARE",'Pivot RakBank EUR'!$A$3,"Mese",2,"Tipologia",$A164,"Viaggio",$A$157))
-IF(ISERROR(GETPIVOTDATA("Somma di AVERE",'Pivot RakBank EUR'!$A$3,"Mese",2,"Tipologia",$A164,"Viaggio",$A$157)),0,GETPIVOTDATA("Somma di AVERE",'Pivot RakBank EUR'!$A$3,"Mese",2,"Tipologia",$A164,"Viaggio",$A$157))
+IF(ISERROR(GETPIVOTDATA("Somma di DARE EUR",'Pivot RakBank AED'!$A$3,"Mese",2,"Tipologia",$A164,"Viaggio",$A$157)),0,GETPIVOTDATA("Somma di DARE EUR",'Pivot RakBank AED'!$A$3,"Mese",2,"Tipologia",$A164,"Viaggio",$A$157))
-IF(ISERROR(GETPIVOTDATA("Somma di AVERE EUR",'Pivot RakBank AED'!$A$3,"Mese",2,"Tipologia",$A164,"Viaggio",$A$157)),0,GETPIVOTDATA("Somma di AVERE EUR",'Pivot RakBank AED'!$A$3,"Mese",2,"Tipologia",$A164,"Viaggio",$A$157))</f>
        <v>0</v>
      </c>
      <c r="E164" s="270">
        <f>IF(ISERROR(GETPIVOTDATA("Somma di DARE",'Pivot Fineco Sa'!$A$3,"Mese",3,"Tipologia",$A164,"Viaggio",$A$157)),0,GETPIVOTDATA("Somma di DARE",'Pivot Fineco Sa'!$A$3,"Mese",3,"Tipologia",$A164,"Viaggio",$A$157))
+IF(ISERROR(GETPIVOTDATA("Somma di DARE",'Pivot Fineco St'!$A$3,"Mese",3,"Tipologia",$A164,"Viaggio",$A$157)),0,GETPIVOTDATA("Somma di DARE",'Pivot Fineco St'!$A$3,"Mese",3,"Tipologia",$A164,"Viaggio",$A$157))
+IF(Contanti!$M45='Conto Economico'!$A$157,Contanti!$J45)
+IF(ISERROR(GETPIVOTDATA("Somma di DARE",'Pivot BBVA'!$A$3,"Mese",3,"Tipologia",$A164,"Viaggio",$A$157)),0,GETPIVOTDATA("Somma di DARE",'Pivot BBVA'!$A$3,"Mese",3,"Tipologia",$A164,"Viaggio",$A$157))
+IF(ISERROR(GETPIVOTDATA("Somma di DARE",'Pivot Amex'!$A$3,"Mese",3,"Tipologia",$A164,"Viaggio",$A$157)),0,GETPIVOTDATA("Somma di DARE",'Pivot Amex'!$A$3,"Mese",3,"Tipologia",$A164,"Viaggio",$A$157))
-IF(ISERROR(GETPIVOTDATA("Somma di AVERE",'Pivot Amex'!$A$3,"Mese",3,"Tipologia",$A164,"Viaggio",$A$157)),0,GETPIVOTDATA("Somma di AVERE",'Pivot Amex'!$A$3,"Mese",3,"Tipologia",$A164,"Viaggio",$A$157))
-IF(ISERROR(GETPIVOTDATA("Somma di AVERE",'Pivot BBVA'!$A$3,"Mese",3,"Tipologia",$A164,"Viaggio",$A$157)),0,GETPIVOTDATA("Somma di AVERE",'Pivot BBVA'!$A$3,"Mese",3,"Tipologia",$A164,"Viaggio",$A$157))
-IF(ISERROR(GETPIVOTDATA("Somma di AVERE",'Pivot Fineco St'!$A$3,"Mese",3,"Tipologia",$A164,"Viaggio",$A$157)),0,GETPIVOTDATA("Somma di AVERE",'Pivot Fineco St'!$A$3,"Mese",3,"Tipologia",$A164,"Viaggio",$A$157))
-IF(ISERROR(GETPIVOTDATA("Somma di AVERE",'Pivot Fineco Sa'!$A$3,"Mese",3,"Tipologia",$A164,"Viaggio",$A$157)),0,GETPIVOTDATA("Somma di AVERE",'Pivot Fineco Sa'!$A$3,"Mese",3,"Tipologia",$A164,"Viaggio",$A$157))
+IF(ISERROR(GETPIVOTDATA("Somma di DARE",'Pivot PP Visa'!$A$3,"Mese",3,"Tipologia",$A164,"Viaggio",$A$157)),0,GETPIVOTDATA("Somma di DARE",'Pivot PP Visa'!$A$3,"Mese",3,"Tipologia",$A164,"Viaggio",$A$157))
-IF(ISERROR(GETPIVOTDATA("Somma di AVERE",'Pivot PP Visa'!$A$3,"Mese",3,"Tipologia",$A164,"Viaggio",$A$157)),0,GETPIVOTDATA("Somma di AVERE",'Pivot PP Visa'!$A$3,"Mese",3,"Tipologia",$A164,"Viaggio",$A$157))
+IF(ISERROR(GETPIVOTDATA("Somma di DARE",'Pivot Revolut'!$A$3,"Mese",3,"Tipologia",$A164,"Viaggio",$A$157)),0,GETPIVOTDATA("Somma di DARE",'Pivot Revolut'!$A$3,"Mese",3,"Tipologia",$A164,"Viaggio",$A$157))
-IF(ISERROR(GETPIVOTDATA("Somma di AVERE",'Pivot Revolut'!$A$3,"Mese",3,"Tipologia",$A164,"Viaggio",$A$157)),0,GETPIVOTDATA("Somma di AVERE",'Pivot Revolut'!$A$3,"Mese",3,"Tipologia",$A164,"Viaggio",$A$157))
+IF(ISERROR(GETPIVOTDATA("Somma di DARE",'Pivot RakBank EUR'!$A$3,"Mese",3,"Tipologia",$A164,"Viaggio",$A$157)),0,GETPIVOTDATA("Somma di DARE",'Pivot RakBank EUR'!$A$3,"Mese",3,"Tipologia",$A164,"Viaggio",$A$157))
-IF(ISERROR(GETPIVOTDATA("Somma di AVERE",'Pivot RakBank EUR'!$A$3,"Mese",3,"Tipologia",$A164,"Viaggio",$A$157)),0,GETPIVOTDATA("Somma di AVERE",'Pivot RakBank EUR'!$A$3,"Mese",3,"Tipologia",$A164,"Viaggio",$A$157))
+IF(ISERROR(GETPIVOTDATA("Somma di DARE EUR",'Pivot RakBank AED'!$A$3,"Mese",3,"Tipologia",$A164,"Viaggio",$A$157)),0,GETPIVOTDATA("Somma di DARE EUR",'Pivot RakBank AED'!$A$3,"Mese",3,"Tipologia",$A164,"Viaggio",$A$157))
-IF(ISERROR(GETPIVOTDATA("Somma di AVERE EUR",'Pivot RakBank AED'!$A$3,"Mese",3,"Tipologia",$A164,"Viaggio",$A$157)),0,GETPIVOTDATA("Somma di AVERE EUR",'Pivot RakBank AED'!$A$3,"Mese",3,"Tipologia",$A164,"Viaggio",$A$157))</f>
        <v>0</v>
      </c>
      <c r="F164" s="270">
        <f>IF(ISERROR(GETPIVOTDATA("Somma di DARE",'Pivot Fineco Sa'!$A$3,"Mese",4,"Tipologia",$A164,"Viaggio",$A$157)),0,GETPIVOTDATA("Somma di DARE",'Pivot Fineco Sa'!$A$3,"Mese",4,"Tipologia",$A164,"Viaggio",$A$157))
+IF(ISERROR(GETPIVOTDATA("Somma di DARE",'Pivot Fineco St'!$A$3,"Mese",4,"Tipologia",$A164,"Viaggio",$A$157)),0,GETPIVOTDATA("Somma di DARE",'Pivot Fineco St'!$A$3,"Mese",4,"Tipologia",$A164,"Viaggio",$A$157))
+IF(Contanti!$Q45='Conto Economico'!$A$157,Contanti!$N45)
+IF(ISERROR(GETPIVOTDATA("Somma di DARE",'Pivot BBVA'!$A$3,"Mese",4,"Tipologia",$A164,"Viaggio",$A$157)),0,GETPIVOTDATA("Somma di DARE",'Pivot BBVA'!$A$3,"Mese",4,"Tipologia",$A164,"Viaggio",$A$157))
+IF(ISERROR(GETPIVOTDATA("Somma di DARE",'Pivot Amex'!$A$3,"Mese",4,"Tipologia",$A164,"Viaggio",$A$157)),0,GETPIVOTDATA("Somma di DARE",'Pivot Amex'!$A$3,"Mese",4,"Tipologia",$A164,"Viaggio",$A$157))
-IF(ISERROR(GETPIVOTDATA("Somma di AVERE",'Pivot Amex'!$A$3,"Mese",4,"Tipologia",$A164,"Viaggio",$A$157)),0,GETPIVOTDATA("Somma di AVERE",'Pivot Amex'!$A$3,"Mese",4,"Tipologia",$A164,"Viaggio",$A$157))
-IF(ISERROR(GETPIVOTDATA("Somma di AVERE",'Pivot BBVA'!$A$3,"Mese",4,"Tipologia",$A164,"Viaggio",$A$157)),0,GETPIVOTDATA("Somma di AVERE",'Pivot BBVA'!$A$3,"Mese",4,"Tipologia",$A164,"Viaggio",$A$157))
-IF(ISERROR(GETPIVOTDATA("Somma di AVERE",'Pivot Fineco St'!$A$3,"Mese",4,"Tipologia",$A164,"Viaggio",$A$157)),0,GETPIVOTDATA("Somma di AVERE",'Pivot Fineco St'!$A$3,"Mese",4,"Tipologia",$A164,"Viaggio",$A$157))
-IF(ISERROR(GETPIVOTDATA("Somma di AVERE",'Pivot Fineco Sa'!$A$3,"Mese",4,"Tipologia",$A164,"Viaggio",$A$157)),0,GETPIVOTDATA("Somma di AVERE",'Pivot Fineco Sa'!$A$3,"Mese",4,"Tipologia",$A164,"Viaggio",$A$157))
+IF(ISERROR(GETPIVOTDATA("Somma di DARE",'Pivot PP Visa'!$A$3,"Mese",4,"Tipologia",$A164,"Viaggio",$A$157)),0,GETPIVOTDATA("Somma di DARE",'Pivot PP Visa'!$A$3,"Mese",4,"Tipologia",$A164,"Viaggio",$A$157))
-IF(ISERROR(GETPIVOTDATA("Somma di AVERE",'Pivot PP Visa'!$A$3,"Mese",4,"Tipologia",$A164,"Viaggio",$A$157)),0,GETPIVOTDATA("Somma di AVERE",'Pivot PP Visa'!$A$3,"Mese",4,"Tipologia",$A164,"Viaggio",$A$157))
+IF(ISERROR(GETPIVOTDATA("Somma di DARE",'Pivot Revolut'!$A$3,"Mese",4,"Tipologia",$A164,"Viaggio",$A$157)),0,GETPIVOTDATA("Somma di DARE",'Pivot Revolut'!$A$3,"Mese",4,"Tipologia",$A164,"Viaggio",$A$157))
-IF(ISERROR(GETPIVOTDATA("Somma di AVERE",'Pivot Revolut'!$A$3,"Mese",4,"Tipologia",$A164,"Viaggio",$A$157)),0,GETPIVOTDATA("Somma di AVERE",'Pivot Revolut'!$A$3,"Mese",4,"Tipologia",$A164,"Viaggio",$A$157))
+IF(ISERROR(GETPIVOTDATA("Somma di DARE",'Pivot RakBank EUR'!$A$3,"Mese",4,"Tipologia",$A164,"Viaggio",$A$157)),0,GETPIVOTDATA("Somma di DARE",'Pivot RakBank EUR'!$A$3,"Mese",4,"Tipologia",$A164,"Viaggio",$A$157))
-IF(ISERROR(GETPIVOTDATA("Somma di AVERE",'Pivot RakBank EUR'!$A$3,"Mese",4,"Tipologia",$A164,"Viaggio",$A$157)),0,GETPIVOTDATA("Somma di AVERE",'Pivot RakBank EUR'!$A$3,"Mese",4,"Tipologia",$A164,"Viaggio",$A$157))
+IF(ISERROR(GETPIVOTDATA("Somma di DARE EUR",'Pivot RakBank AED'!$A$3,"Mese",4,"Tipologia",$A164,"Viaggio",$A$157)),0,GETPIVOTDATA("Somma di DARE EUR",'Pivot RakBank AED'!$A$3,"Mese",4,"Tipologia",$A164,"Viaggio",$A$157))
-IF(ISERROR(GETPIVOTDATA("Somma di AVERE EUR",'Pivot RakBank AED'!$A$3,"Mese",4,"Tipologia",$A164,"Viaggio",$A$157)),0,GETPIVOTDATA("Somma di AVERE EUR",'Pivot RakBank AED'!$A$3,"Mese",4,"Tipologia",$A164,"Viaggio",$A$157))</f>
        <v>0</v>
      </c>
      <c r="G164" s="270">
        <f>IF(ISERROR(GETPIVOTDATA("Somma di DARE",'Pivot Fineco Sa'!$A$3,"Mese",5,"Tipologia",$A164,"Viaggio",$A$157)),0,GETPIVOTDATA("Somma di DARE",'Pivot Fineco Sa'!$A$3,"Mese",5,"Tipologia",$A164,"Viaggio",$A$157))
+IF(ISERROR(GETPIVOTDATA("Somma di DARE",'Pivot Fineco St'!$A$3,"Mese",5,"Tipologia",$A164,"Viaggio",$A$157)),0,GETPIVOTDATA("Somma di DARE",'Pivot Fineco St'!$A$3,"Mese",5,"Tipologia",$A164,"Viaggio",$A$157))
+IF(Contanti!$U45='Conto Economico'!$A$157,Contanti!$R45)
+IF(ISERROR(GETPIVOTDATA("Somma di DARE",'Pivot BBVA'!$A$3,"Mese",5,"Tipologia",$A164,"Viaggio",$A$157)),0,GETPIVOTDATA("Somma di DARE",'Pivot BBVA'!$A$3,"Mese",5,"Tipologia",$A164,"Viaggio",$A$157))
+IF(ISERROR(GETPIVOTDATA("Somma di DARE",'Pivot Amex'!$A$3,"Mese",5,"Tipologia",$A164,"Viaggio",$A$157)),0,GETPIVOTDATA("Somma di DARE",'Pivot Amex'!$A$3,"Mese",5,"Tipologia",$A164,"Viaggio",$A$157))
-IF(ISERROR(GETPIVOTDATA("Somma di AVERE",'Pivot Amex'!$A$3,"Mese",5,"Tipologia",$A164,"Viaggio",$A$157)),0,GETPIVOTDATA("Somma di AVERE",'Pivot Amex'!$A$3,"Mese",5,"Tipologia",$A164,"Viaggio",$A$157))
-IF(ISERROR(GETPIVOTDATA("Somma di AVERE",'Pivot BBVA'!$A$3,"Mese",5,"Tipologia",$A164,"Viaggio",$A$157)),0,GETPIVOTDATA("Somma di AVERE",'Pivot BBVA'!$A$3,"Mese",5,"Tipologia",$A164,"Viaggio",$A$157))
-IF(ISERROR(GETPIVOTDATA("Somma di AVERE",'Pivot Fineco St'!$A$3,"Mese",5,"Tipologia",$A164,"Viaggio",$A$157)),0,GETPIVOTDATA("Somma di AVERE",'Pivot Fineco St'!$A$3,"Mese",5,"Tipologia",$A164,"Viaggio",$A$157))
-IF(ISERROR(GETPIVOTDATA("Somma di AVERE",'Pivot Fineco Sa'!$A$3,"Mese",5,"Tipologia",$A164,"Viaggio",$A$157)),0,GETPIVOTDATA("Somma di AVERE",'Pivot Fineco Sa'!$A$3,"Mese",5,"Tipologia",$A164,"Viaggio",$A$157))
+IF(ISERROR(GETPIVOTDATA("Somma di DARE",'Pivot PP Visa'!$A$3,"Mese",5,"Tipologia",$A164,"Viaggio",$A$157)),0,GETPIVOTDATA("Somma di DARE",'Pivot PP Visa'!$A$3,"Mese",5,"Tipologia",$A164,"Viaggio",$A$157))
-IF(ISERROR(GETPIVOTDATA("Somma di AVERE",'Pivot PP Visa'!$A$3,"Mese",5,"Tipologia",$A164,"Viaggio",$A$157)),0,GETPIVOTDATA("Somma di AVERE",'Pivot PP Visa'!$A$3,"Mese",5,"Tipologia",$A164,"Viaggio",$A$157))
+IF(ISERROR(GETPIVOTDATA("Somma di DARE",'Pivot Revolut'!$A$3,"Mese",5,"Tipologia",$A164,"Viaggio",$A$157)),0,GETPIVOTDATA("Somma di DARE",'Pivot Revolut'!$A$3,"Mese",5,"Tipologia",$A164,"Viaggio",$A$157))
-IF(ISERROR(GETPIVOTDATA("Somma di AVERE",'Pivot Revolut'!$A$3,"Mese",5,"Tipologia",$A164,"Viaggio",$A$157)),0,GETPIVOTDATA("Somma di AVERE",'Pivot Revolut'!$A$3,"Mese",5,"Tipologia",$A164,"Viaggio",$A$157))
+IF(ISERROR(GETPIVOTDATA("Somma di DARE",'Pivot RakBank EUR'!$A$3,"Mese",5,"Tipologia",$A164,"Viaggio",$A$157)),0,GETPIVOTDATA("Somma di DARE",'Pivot RakBank EUR'!$A$3,"Mese",5,"Tipologia",$A164,"Viaggio",$A$157))
-IF(ISERROR(GETPIVOTDATA("Somma di AVERE",'Pivot RakBank EUR'!$A$3,"Mese",5,"Tipologia",$A164,"Viaggio",$A$157)),0,GETPIVOTDATA("Somma di AVERE",'Pivot RakBank EUR'!$A$3,"Mese",5,"Tipologia",$A164,"Viaggio",$A$157))
+IF(ISERROR(GETPIVOTDATA("Somma di DARE EUR",'Pivot RakBank AED'!$A$3,"Mese",5,"Tipologia",$A164,"Viaggio",$A$157)),0,GETPIVOTDATA("Somma di DARE EUR",'Pivot RakBank AED'!$A$3,"Mese",5,"Tipologia",$A164,"Viaggio",$A$157))
-IF(ISERROR(GETPIVOTDATA("Somma di AVERE EUR",'Pivot RakBank AED'!$A$3,"Mese",5,"Tipologia",$A164,"Viaggio",$A$157)),0,GETPIVOTDATA("Somma di AVERE EUR",'Pivot RakBank AED'!$A$3,"Mese",5,"Tipologia",$A164,"Viaggio",$A$157))</f>
        <v>0</v>
      </c>
      <c r="H164" s="270">
        <f>IF(ISERROR(GETPIVOTDATA("Somma di DARE",'Pivot Fineco Sa'!$A$3,"Mese",6,"Tipologia",$A164,"Viaggio",$A$157)),0,GETPIVOTDATA("Somma di DARE",'Pivot Fineco Sa'!$A$3,"Mese",6,"Tipologia",$A164,"Viaggio",$A$157))
+IF(ISERROR(GETPIVOTDATA("Somma di DARE",'Pivot Fineco St'!$A$3,"Mese",6,"Tipologia",$A164,"Viaggio",$A$157)),0,GETPIVOTDATA("Somma di DARE",'Pivot Fineco St'!$A$3,"Mese",6,"Tipologia",$A164,"Viaggio",$A$157))
+IF(Contanti!$Y45='Conto Economico'!$A$157,Contanti!$V45)
+IF(ISERROR(GETPIVOTDATA("Somma di DARE",'Pivot BBVA'!$A$3,"Mese",6,"Tipologia",$A164,"Viaggio",$A$157)),0,GETPIVOTDATA("Somma di DARE",'Pivot BBVA'!$A$3,"Mese",6,"Tipologia",$A164,"Viaggio",$A$157))
+IF(ISERROR(GETPIVOTDATA("Somma di DARE",'Pivot Amex'!$A$3,"Mese",6,"Tipologia",$A164,"Viaggio",$A$157)),0,GETPIVOTDATA("Somma di DARE",'Pivot Amex'!$A$3,"Mese",6,"Tipologia",$A164,"Viaggio",$A$157))
-IF(ISERROR(GETPIVOTDATA("Somma di AVERE",'Pivot Amex'!$A$3,"Mese",6,"Tipologia",$A164,"Viaggio",$A$157)),0,GETPIVOTDATA("Somma di AVERE",'Pivot Amex'!$A$3,"Mese",6,"Tipologia",$A164,"Viaggio",$A$157))
-IF(ISERROR(GETPIVOTDATA("Somma di AVERE",'Pivot BBVA'!$A$3,"Mese",6,"Tipologia",$A164,"Viaggio",$A$157)),0,GETPIVOTDATA("Somma di AVERE",'Pivot BBVA'!$A$3,"Mese",6,"Tipologia",$A164,"Viaggio",$A$157))
-IF(ISERROR(GETPIVOTDATA("Somma di AVERE",'Pivot Fineco St'!$A$3,"Mese",6,"Tipologia",$A164,"Viaggio",$A$157)),0,GETPIVOTDATA("Somma di AVERE",'Pivot Fineco St'!$A$3,"Mese",6,"Tipologia",$A164,"Viaggio",$A$157))
-IF(ISERROR(GETPIVOTDATA("Somma di AVERE",'Pivot Fineco Sa'!$A$3,"Mese",6,"Tipologia",$A164,"Viaggio",$A$157)),0,GETPIVOTDATA("Somma di AVERE",'Pivot Fineco Sa'!$A$3,"Mese",6,"Tipologia",$A164,"Viaggio",$A$157))
+IF(ISERROR(GETPIVOTDATA("Somma di DARE",'Pivot PP Visa'!$A$3,"Mese",6,"Tipologia",$A164,"Viaggio",$A$157)),0,GETPIVOTDATA("Somma di DARE",'Pivot PP Visa'!$A$3,"Mese",6,"Tipologia",$A164,"Viaggio",$A$157))
-IF(ISERROR(GETPIVOTDATA("Somma di AVERE",'Pivot PP Visa'!$A$3,"Mese",6,"Tipologia",$A164,"Viaggio",$A$157)),0,GETPIVOTDATA("Somma di AVERE",'Pivot PP Visa'!$A$3,"Mese",6,"Tipologia",$A164,"Viaggio",$A$157))
+IF(ISERROR(GETPIVOTDATA("Somma di DARE",'Pivot Revolut'!$A$3,"Mese",6,"Tipologia",$A164,"Viaggio",$A$157)),0,GETPIVOTDATA("Somma di DARE",'Pivot Revolut'!$A$3,"Mese",6,"Tipologia",$A164,"Viaggio",$A$157))
-IF(ISERROR(GETPIVOTDATA("Somma di AVERE",'Pivot Revolut'!$A$3,"Mese",6,"Tipologia",$A164,"Viaggio",$A$157)),0,GETPIVOTDATA("Somma di AVERE",'Pivot Revolut'!$A$3,"Mese",6,"Tipologia",$A164,"Viaggio",$A$157))
+IF(ISERROR(GETPIVOTDATA("Somma di DARE",'Pivot RakBank EUR'!$A$3,"Mese",6,"Tipologia",$A164,"Viaggio",$A$157)),0,GETPIVOTDATA("Somma di DARE",'Pivot RakBank EUR'!$A$3,"Mese",6,"Tipologia",$A164,"Viaggio",$A$157))
-IF(ISERROR(GETPIVOTDATA("Somma di AVERE",'Pivot RakBank EUR'!$A$3,"Mese",6,"Tipologia",$A164,"Viaggio",$A$157)),0,GETPIVOTDATA("Somma di AVERE",'Pivot RakBank EUR'!$A$3,"Mese",6,"Tipologia",$A164,"Viaggio",$A$157))
+IF(ISERROR(GETPIVOTDATA("Somma di DARE EUR",'Pivot RakBank AED'!$A$3,"Mese",6,"Tipologia",$A164,"Viaggio",$A$157)),0,GETPIVOTDATA("Somma di DARE EUR",'Pivot RakBank AED'!$A$3,"Mese",6,"Tipologia",$A164,"Viaggio",$A$157))
-IF(ISERROR(GETPIVOTDATA("Somma di AVERE EUR",'Pivot RakBank AED'!$A$3,"Mese",6,"Tipologia",$A164,"Viaggio",$A$157)),0,GETPIVOTDATA("Somma di AVERE EUR",'Pivot RakBank AED'!$A$3,"Mese",6,"Tipologia",$A164,"Viaggio",$A$157))</f>
        <v>0</v>
      </c>
      <c r="I164" s="270">
        <f>IF(ISERROR(GETPIVOTDATA("Somma di DARE",'Pivot Fineco Sa'!$A$3,"Mese",7,"Tipologia",$A164,"Viaggio",$A$157)),0,GETPIVOTDATA("Somma di DARE",'Pivot Fineco Sa'!$A$3,"Mese",7,"Tipologia",$A164,"Viaggio",$A$157))
+IF(ISERROR(GETPIVOTDATA("Somma di DARE",'Pivot Fineco St'!$A$3,"Mese",7,"Tipologia",$A164,"Viaggio",$A$157)),0,GETPIVOTDATA("Somma di DARE",'Pivot Fineco St'!$A$3,"Mese",7,"Tipologia",$A164,"Viaggio",$A$157))
+IF(Contanti!$AC45='Conto Economico'!$A$157,Contanti!$Z45)
+IF(ISERROR(GETPIVOTDATA("Somma di DARE",'Pivot BBVA'!$A$3,"Mese",7,"Tipologia",$A164,"Viaggio",$A$157)),0,GETPIVOTDATA("Somma di DARE",'Pivot BBVA'!$A$3,"Mese",7,"Tipologia",$A164,"Viaggio",$A$157))
+IF(ISERROR(GETPIVOTDATA("Somma di DARE",'Pivot Amex'!$A$3,"Mese",7,"Tipologia",$A164,"Viaggio",$A$157)),0,GETPIVOTDATA("Somma di DARE",'Pivot Amex'!$A$3,"Mese",7,"Tipologia",$A164,"Viaggio",$A$157))
-IF(ISERROR(GETPIVOTDATA("Somma di AVERE",'Pivot Amex'!$A$3,"Mese",7,"Tipologia",$A164,"Viaggio",$A$157)),0,GETPIVOTDATA("Somma di AVERE",'Pivot Amex'!$A$3,"Mese",7,"Tipologia",$A164,"Viaggio",$A$157))
-IF(ISERROR(GETPIVOTDATA("Somma di AVERE",'Pivot BBVA'!$A$3,"Mese",7,"Tipologia",$A164,"Viaggio",$A$157)),0,GETPIVOTDATA("Somma di AVERE",'Pivot BBVA'!$A$3,"Mese",7,"Tipologia",$A164,"Viaggio",$A$157))
-IF(ISERROR(GETPIVOTDATA("Somma di AVERE",'Pivot Fineco St'!$A$3,"Mese",7,"Tipologia",$A164,"Viaggio",$A$157)),0,GETPIVOTDATA("Somma di AVERE",'Pivot Fineco St'!$A$3,"Mese",7,"Tipologia",$A164,"Viaggio",$A$157))
-IF(ISERROR(GETPIVOTDATA("Somma di AVERE",'Pivot Fineco Sa'!$A$3,"Mese",7,"Tipologia",$A164,"Viaggio",$A$157)),0,GETPIVOTDATA("Somma di AVERE",'Pivot Fineco Sa'!$A$3,"Mese",7,"Tipologia",$A164,"Viaggio",$A$157))
+IF(ISERROR(GETPIVOTDATA("Somma di DARE",'Pivot PP Visa'!$A$3,"Mese",7,"Tipologia",$A164,"Viaggio",$A$157)),0,GETPIVOTDATA("Somma di DARE",'Pivot PP Visa'!$A$3,"Mese",7,"Tipologia",$A164,"Viaggio",$A$157))
-IF(ISERROR(GETPIVOTDATA("Somma di AVERE",'Pivot PP Visa'!$A$3,"Mese",7,"Tipologia",$A164,"Viaggio",$A$157)),0,GETPIVOTDATA("Somma di AVERE",'Pivot PP Visa'!$A$3,"Mese",7,"Tipologia",$A164,"Viaggio",$A$157))
+IF(ISERROR(GETPIVOTDATA("Somma di DARE",'Pivot Revolut'!$A$3,"Mese",7,"Tipologia",$A164,"Viaggio",$A$157)),0,GETPIVOTDATA("Somma di DARE",'Pivot Revolut'!$A$3,"Mese",7,"Tipologia",$A164,"Viaggio",$A$157))
-IF(ISERROR(GETPIVOTDATA("Somma di AVERE",'Pivot Revolut'!$A$3,"Mese",7,"Tipologia",$A164,"Viaggio",$A$157)),0,GETPIVOTDATA("Somma di AVERE",'Pivot Revolut'!$A$3,"Mese",7,"Tipologia",$A164,"Viaggio",$A$157))
+IF(ISERROR(GETPIVOTDATA("Somma di DARE",'Pivot RakBank EUR'!$A$3,"Mese",7,"Tipologia",$A164,"Viaggio",$A$157)),0,GETPIVOTDATA("Somma di DARE",'Pivot RakBank EUR'!$A$3,"Mese",7,"Tipologia",$A164,"Viaggio",$A$157))
-IF(ISERROR(GETPIVOTDATA("Somma di AVERE",'Pivot RakBank EUR'!$A$3,"Mese",7,"Tipologia",$A164,"Viaggio",$A$157)),0,GETPIVOTDATA("Somma di AVERE",'Pivot RakBank EUR'!$A$3,"Mese",7,"Tipologia",$A164,"Viaggio",$A$157))
+IF(ISERROR(GETPIVOTDATA("Somma di DARE EUR",'Pivot RakBank AED'!$A$3,"Mese",7,"Tipologia",$A164,"Viaggio",$A$157)),0,GETPIVOTDATA("Somma di DARE EUR",'Pivot RakBank AED'!$A$3,"Mese",7,"Tipologia",$A164,"Viaggio",$A$157))
-IF(ISERROR(GETPIVOTDATA("Somma di AVERE EUR",'Pivot RakBank AED'!$A$3,"Mese",7,"Tipologia",$A164,"Viaggio",$A$157)),0,GETPIVOTDATA("Somma di AVERE EUR",'Pivot RakBank AED'!$A$3,"Mese",7,"Tipologia",$A164,"Viaggio",$A$157))</f>
        <v>0</v>
      </c>
      <c r="J164" s="270">
        <f>IF(ISERROR(GETPIVOTDATA("Somma di DARE",'Pivot Fineco Sa'!$A$3,"Mese",8,"Tipologia",$A164,"Viaggio",$A$157)),0,GETPIVOTDATA("Somma di DARE",'Pivot Fineco Sa'!$A$3,"Mese",8,"Tipologia",$A164,"Viaggio",$A$157))
+IF(ISERROR(GETPIVOTDATA("Somma di DARE",'Pivot Fineco St'!$A$3,"Mese",8,"Tipologia",$A164,"Viaggio",$A$157)),0,GETPIVOTDATA("Somma di DARE",'Pivot Fineco St'!$A$3,"Mese",8,"Tipologia",$A164,"Viaggio",$A$157))
+IF(Contanti!$AG45='Conto Economico'!$A$157,Contanti!$AD45)
+IF(ISERROR(GETPIVOTDATA("Somma di DARE",'Pivot BBVA'!$A$3,"Mese",8,"Tipologia",$A164,"Viaggio",$A$157)),0,GETPIVOTDATA("Somma di DARE",'Pivot BBVA'!$A$3,"Mese",8,"Tipologia",$A164,"Viaggio",$A$157))
+IF(ISERROR(GETPIVOTDATA("Somma di DARE",'Pivot Amex'!$A$3,"Mese",8,"Tipologia",$A164,"Viaggio",$A$157)),0,GETPIVOTDATA("Somma di DARE",'Pivot Amex'!$A$3,"Mese",8,"Tipologia",$A164,"Viaggio",$A$157))
-IF(ISERROR(GETPIVOTDATA("Somma di AVERE",'Pivot Amex'!$A$3,"Mese",8,"Tipologia",$A164,"Viaggio",$A$157)),0,GETPIVOTDATA("Somma di AVERE",'Pivot Amex'!$A$3,"Mese",8,"Tipologia",$A164,"Viaggio",$A$157))
-IF(ISERROR(GETPIVOTDATA("Somma di AVERE",'Pivot BBVA'!$A$3,"Mese",8,"Tipologia",$A164,"Viaggio",$A$157)),0,GETPIVOTDATA("Somma di AVERE",'Pivot BBVA'!$A$3,"Mese",8,"Tipologia",$A164,"Viaggio",$A$157))
-IF(ISERROR(GETPIVOTDATA("Somma di AVERE",'Pivot Fineco St'!$A$3,"Mese",8,"Tipologia",$A164,"Viaggio",$A$157)),0,GETPIVOTDATA("Somma di AVERE",'Pivot Fineco St'!$A$3,"Mese",8,"Tipologia",$A164,"Viaggio",$A$157))
-IF(ISERROR(GETPIVOTDATA("Somma di AVERE",'Pivot Fineco Sa'!$A$3,"Mese",8,"Tipologia",$A164,"Viaggio",$A$157)),0,GETPIVOTDATA("Somma di AVERE",'Pivot Fineco Sa'!$A$3,"Mese",8,"Tipologia",$A164,"Viaggio",$A$157))
+IF(ISERROR(GETPIVOTDATA("Somma di DARE",'Pivot PP Visa'!$A$3,"Mese",8,"Tipologia",$A164,"Viaggio",$A$157)),0,GETPIVOTDATA("Somma di DARE",'Pivot PP Visa'!$A$3,"Mese",8,"Tipologia",$A164,"Viaggio",$A$157))
-IF(ISERROR(GETPIVOTDATA("Somma di AVERE",'Pivot PP Visa'!$A$3,"Mese",8,"Tipologia",$A164,"Viaggio",$A$157)),0,GETPIVOTDATA("Somma di AVERE",'Pivot PP Visa'!$A$3,"Mese",8,"Tipologia",$A164,"Viaggio",$A$157))
+IF(ISERROR(GETPIVOTDATA("Somma di DARE",'Pivot Revolut'!$A$3,"Mese",8,"Tipologia",$A164,"Viaggio",$A$157)),0,GETPIVOTDATA("Somma di DARE",'Pivot Revolut'!$A$3,"Mese",8,"Tipologia",$A164,"Viaggio",$A$157))
-IF(ISERROR(GETPIVOTDATA("Somma di AVERE",'Pivot Revolut'!$A$3,"Mese",8,"Tipologia",$A164,"Viaggio",$A$157)),0,GETPIVOTDATA("Somma di AVERE",'Pivot Revolut'!$A$3,"Mese",8,"Tipologia",$A164,"Viaggio",$A$157))
+IF(ISERROR(GETPIVOTDATA("Somma di DARE",'Pivot RakBank EUR'!$A$3,"Mese",8,"Tipologia",$A164,"Viaggio",$A$157)),0,GETPIVOTDATA("Somma di DARE",'Pivot RakBank EUR'!$A$3,"Mese",8,"Tipologia",$A164,"Viaggio",$A$157))
-IF(ISERROR(GETPIVOTDATA("Somma di AVERE",'Pivot RakBank EUR'!$A$3,"Mese",8,"Tipologia",$A164,"Viaggio",$A$157)),0,GETPIVOTDATA("Somma di AVERE",'Pivot RakBank EUR'!$A$3,"Mese",8,"Tipologia",$A164,"Viaggio",$A$157))
+IF(ISERROR(GETPIVOTDATA("Somma di DARE EUR",'Pivot RakBank AED'!$A$3,"Mese",8,"Tipologia",$A164,"Viaggio",$A$157)),0,GETPIVOTDATA("Somma di DARE EUR",'Pivot RakBank AED'!$A$3,"Mese",8,"Tipologia",$A164,"Viaggio",$A$157))
-IF(ISERROR(GETPIVOTDATA("Somma di AVERE EUR",'Pivot RakBank AED'!$A$3,"Mese",8,"Tipologia",$A164,"Viaggio",$A$157)),0,GETPIVOTDATA("Somma di AVERE EUR",'Pivot RakBank AED'!$A$3,"Mese",8,"Tipologia",$A164,"Viaggio",$A$157))</f>
        <v>0</v>
      </c>
      <c r="K164" s="270">
        <f>IF(ISERROR(GETPIVOTDATA("Somma di DARE",'Pivot Fineco Sa'!$A$3,"Mese",9,"Tipologia",$A164,"Viaggio",$A$157)),0,GETPIVOTDATA("Somma di DARE",'Pivot Fineco Sa'!$A$3,"Mese",9,"Tipologia",$A164,"Viaggio",$A$157))
+IF(ISERROR(GETPIVOTDATA("Somma di DARE",'Pivot Fineco St'!$A$3,"Mese",9,"Tipologia",$A164,"Viaggio",$A$157)),0,GETPIVOTDATA("Somma di DARE",'Pivot Fineco St'!$A$3,"Mese",9,"Tipologia",$A164,"Viaggio",$A$157))
+IF(Contanti!$AK45='Conto Economico'!$A$157,Contanti!$AH45)
+IF(ISERROR(GETPIVOTDATA("Somma di DARE",'Pivot BBVA'!$A$3,"Mese",9,"Tipologia",$A164,"Viaggio",$A$157)),0,GETPIVOTDATA("Somma di DARE",'Pivot BBVA'!$A$3,"Mese",9,"Tipologia",$A164,"Viaggio",$A$157))
+IF(ISERROR(GETPIVOTDATA("Somma di DARE",'Pivot Amex'!$A$3,"Mese",9,"Tipologia",$A164,"Viaggio",$A$157)),0,GETPIVOTDATA("Somma di DARE",'Pivot Amex'!$A$3,"Mese",9,"Tipologia",$A164,"Viaggio",$A$157))
-IF(ISERROR(GETPIVOTDATA("Somma di AVERE",'Pivot Amex'!$A$3,"Mese",9,"Tipologia",$A164,"Viaggio",$A$157)),0,GETPIVOTDATA("Somma di AVERE",'Pivot Amex'!$A$3,"Mese",9,"Tipologia",$A164,"Viaggio",$A$157))
-IF(ISERROR(GETPIVOTDATA("Somma di AVERE",'Pivot BBVA'!$A$3,"Mese",9,"Tipologia",$A164,"Viaggio",$A$157)),0,GETPIVOTDATA("Somma di AVERE",'Pivot BBVA'!$A$3,"Mese",9,"Tipologia",$A164,"Viaggio",$A$157))
-IF(ISERROR(GETPIVOTDATA("Somma di AVERE",'Pivot Fineco St'!$A$3,"Mese",9,"Tipologia",$A164,"Viaggio",$A$157)),0,GETPIVOTDATA("Somma di AVERE",'Pivot Fineco St'!$A$3,"Mese",9,"Tipologia",$A164,"Viaggio",$A$157))
-IF(ISERROR(GETPIVOTDATA("Somma di AVERE",'Pivot Fineco Sa'!$A$3,"Mese",9,"Tipologia",$A164,"Viaggio",$A$157)),0,GETPIVOTDATA("Somma di AVERE",'Pivot Fineco Sa'!$A$3,"Mese",9,"Tipologia",$A164,"Viaggio",$A$157))
+IF(ISERROR(GETPIVOTDATA("Somma di DARE",'Pivot PP Visa'!$A$3,"Mese",9,"Tipologia",$A164,"Viaggio",$A$157)),0,GETPIVOTDATA("Somma di DARE",'Pivot PP Visa'!$A$3,"Mese",9,"Tipologia",$A164,"Viaggio",$A$157))
-IF(ISERROR(GETPIVOTDATA("Somma di AVERE",'Pivot PP Visa'!$A$3,"Mese",9,"Tipologia",$A164,"Viaggio",$A$157)),0,GETPIVOTDATA("Somma di AVERE",'Pivot PP Visa'!$A$3,"Mese",9,"Tipologia",$A164,"Viaggio",$A$157))
+IF(ISERROR(GETPIVOTDATA("Somma di DARE",'Pivot Revolut'!$A$3,"Mese",9,"Tipologia",$A164,"Viaggio",$A$157)),0,GETPIVOTDATA("Somma di DARE",'Pivot Revolut'!$A$3,"Mese",9,"Tipologia",$A164,"Viaggio",$A$157))
-IF(ISERROR(GETPIVOTDATA("Somma di AVERE",'Pivot Revolut'!$A$3,"Mese",9,"Tipologia",$A164,"Viaggio",$A$157)),0,GETPIVOTDATA("Somma di AVERE",'Pivot Revolut'!$A$3,"Mese",9,"Tipologia",$A164,"Viaggio",$A$157))
+IF(ISERROR(GETPIVOTDATA("Somma di DARE",'Pivot RakBank EUR'!$A$3,"Mese",9,"Tipologia",$A164,"Viaggio",$A$157)),0,GETPIVOTDATA("Somma di DARE",'Pivot RakBank EUR'!$A$3,"Mese",9,"Tipologia",$A164,"Viaggio",$A$157))
-IF(ISERROR(GETPIVOTDATA("Somma di AVERE",'Pivot RakBank EUR'!$A$3,"Mese",9,"Tipologia",$A164,"Viaggio",$A$157)),0,GETPIVOTDATA("Somma di AVERE",'Pivot RakBank EUR'!$A$3,"Mese",9,"Tipologia",$A164,"Viaggio",$A$157))
+IF(ISERROR(GETPIVOTDATA("Somma di DARE EUR",'Pivot RakBank AED'!$A$3,"Mese",9,"Tipologia",$A164,"Viaggio",$A$157)),0,GETPIVOTDATA("Somma di DARE EUR",'Pivot RakBank AED'!$A$3,"Mese",9,"Tipologia",$A164,"Viaggio",$A$157))
-IF(ISERROR(GETPIVOTDATA("Somma di AVERE EUR",'Pivot RakBank AED'!$A$3,"Mese",9,"Tipologia",$A164,"Viaggio",$A$157)),0,GETPIVOTDATA("Somma di AVERE EUR",'Pivot RakBank AED'!$A$3,"Mese",9,"Tipologia",$A164,"Viaggio",$A$157))</f>
        <v>0</v>
      </c>
      <c r="L164" s="270">
        <f>IF(ISERROR(GETPIVOTDATA("Somma di DARE",'Pivot Fineco Sa'!$A$3,"Mese",10,"Tipologia",$A164,"Viaggio",$A$157)),0,GETPIVOTDATA("Somma di DARE",'Pivot Fineco Sa'!$A$3,"Mese",10,"Tipologia",$A164,"Viaggio",$A$157))
+IF(ISERROR(GETPIVOTDATA("Somma di DARE",'Pivot Fineco St'!$A$3,"Mese",10,"Tipologia",$A164,"Viaggio",$A$157)),0,GETPIVOTDATA("Somma di DARE",'Pivot Fineco St'!$A$3,"Mese",10,"Tipologia",$A164,"Viaggio",$A$157))
+IF(Contanti!$AO45='Conto Economico'!$A$157,Contanti!$AL45)
+IF(ISERROR(GETPIVOTDATA("Somma di DARE",'Pivot BBVA'!$A$3,"Mese",10,"Tipologia",$A164,"Viaggio",$A$157)),0,GETPIVOTDATA("Somma di DARE",'Pivot BBVA'!$A$3,"Mese",10,"Tipologia",$A164,"Viaggio",$A$157))
+IF(ISERROR(GETPIVOTDATA("Somma di DARE",'Pivot Amex'!$A$3,"Mese",10,"Tipologia",$A164,"Viaggio",$A$157)),0,GETPIVOTDATA("Somma di DARE",'Pivot Amex'!$A$3,"Mese",10,"Tipologia",$A164,"Viaggio",$A$157))
-IF(ISERROR(GETPIVOTDATA("Somma di AVERE",'Pivot Amex'!$A$3,"Mese",10,"Tipologia",$A164,"Viaggio",$A$157)),0,GETPIVOTDATA("Somma di AVERE",'Pivot Amex'!$A$3,"Mese",10,"Tipologia",$A164,"Viaggio",$A$157))
-IF(ISERROR(GETPIVOTDATA("Somma di AVERE",'Pivot BBVA'!$A$3,"Mese",10,"Tipologia",$A164,"Viaggio",$A$157)),0,GETPIVOTDATA("Somma di AVERE",'Pivot BBVA'!$A$3,"Mese",10,"Tipologia",$A164,"Viaggio",$A$157))
-IF(ISERROR(GETPIVOTDATA("Somma di AVERE",'Pivot Fineco St'!$A$3,"Mese",10,"Tipologia",$A164,"Viaggio",$A$157)),0,GETPIVOTDATA("Somma di AVERE",'Pivot Fineco St'!$A$3,"Mese",10,"Tipologia",$A164,"Viaggio",$A$157))
-IF(ISERROR(GETPIVOTDATA("Somma di AVERE",'Pivot Fineco Sa'!$A$3,"Mese",10,"Tipologia",$A164,"Viaggio",$A$157)),0,GETPIVOTDATA("Somma di AVERE",'Pivot Fineco Sa'!$A$3,"Mese",10,"Tipologia",$A164,"Viaggio",$A$157))
+IF(ISERROR(GETPIVOTDATA("Somma di DARE",'Pivot PP Visa'!$A$3,"Mese",10,"Tipologia",$A164,"Viaggio",$A$157)),0,GETPIVOTDATA("Somma di DARE",'Pivot PP Visa'!$A$3,"Mese",10,"Tipologia",$A164,"Viaggio",$A$157))
-IF(ISERROR(GETPIVOTDATA("Somma di AVERE",'Pivot PP Visa'!$A$3,"Mese",10,"Tipologia",$A164,"Viaggio",$A$157)),0,GETPIVOTDATA("Somma di AVERE",'Pivot PP Visa'!$A$3,"Mese",10,"Tipologia",$A164,"Viaggio",$A$157))
+IF(ISERROR(GETPIVOTDATA("Somma di DARE",'Pivot Revolut'!$A$3,"Mese",10,"Tipologia",$A164,"Viaggio",$A$157)),0,GETPIVOTDATA("Somma di DARE",'Pivot Revolut'!$A$3,"Mese",10,"Tipologia",$A164,"Viaggio",$A$157))
-IF(ISERROR(GETPIVOTDATA("Somma di AVERE",'Pivot Revolut'!$A$3,"Mese",10,"Tipologia",$A164,"Viaggio",$A$157)),0,GETPIVOTDATA("Somma di AVERE",'Pivot Revolut'!$A$3,"Mese",10,"Tipologia",$A164,"Viaggio",$A$157))
+IF(ISERROR(GETPIVOTDATA("Somma di DARE",'Pivot RakBank EUR'!$A$3,"Mese",10,"Tipologia",$A164,"Viaggio",$A$157)),0,GETPIVOTDATA("Somma di DARE",'Pivot RakBank EUR'!$A$3,"Mese",10,"Tipologia",$A164,"Viaggio",$A$157))
-IF(ISERROR(GETPIVOTDATA("Somma di AVERE",'Pivot RakBank EUR'!$A$3,"Mese",10,"Tipologia",$A164,"Viaggio",$A$157)),0,GETPIVOTDATA("Somma di AVERE",'Pivot RakBank EUR'!$A$3,"Mese",10,"Tipologia",$A164,"Viaggio",$A$157))
+IF(ISERROR(GETPIVOTDATA("Somma di DARE EUR",'Pivot RakBank AED'!$A$3,"Mese",10,"Tipologia",$A164,"Viaggio",$A$157)),0,GETPIVOTDATA("Somma di DARE EUR",'Pivot RakBank AED'!$A$3,"Mese",10,"Tipologia",$A164,"Viaggio",$A$157))
-IF(ISERROR(GETPIVOTDATA("Somma di AVERE EUR",'Pivot RakBank AED'!$A$3,"Mese",10,"Tipologia",$A164,"Viaggio",$A$157)),0,GETPIVOTDATA("Somma di AVERE EUR",'Pivot RakBank AED'!$A$3,"Mese",10,"Tipologia",$A164,"Viaggio",$A$157))</f>
        <v>0</v>
      </c>
      <c r="M164" s="270">
        <f>IF(ISERROR(GETPIVOTDATA("Somma di DARE",'Pivot Fineco Sa'!$A$3,"Mese",11,"Tipologia",$A164,"Viaggio",$A$157)),0,GETPIVOTDATA("Somma di DARE",'Pivot Fineco Sa'!$A$3,"Mese",11,"Tipologia",$A164,"Viaggio",$A$157))
+IF(ISERROR(GETPIVOTDATA("Somma di DARE",'Pivot Fineco St'!$A$3,"Mese",11,"Tipologia",$A164,"Viaggio",$A$157)),0,GETPIVOTDATA("Somma di DARE",'Pivot Fineco St'!$A$3,"Mese",11,"Tipologia",$A164,"Viaggio",$A$157))
+IF(Contanti!$AS45='Conto Economico'!$A$157,Contanti!$AP45)
+IF(ISERROR(GETPIVOTDATA("Somma di DARE",'Pivot BBVA'!$A$3,"Mese",11,"Tipologia",$A164,"Viaggio",$A$157)),0,GETPIVOTDATA("Somma di DARE",'Pivot BBVA'!$A$3,"Mese",11,"Tipologia",$A164,"Viaggio",$A$157))
+IF(ISERROR(GETPIVOTDATA("Somma di DARE",'Pivot Amex'!$A$3,"Mese",11,"Tipologia",$A164,"Viaggio",$A$157)),0,GETPIVOTDATA("Somma di DARE",'Pivot Amex'!$A$3,"Mese",11,"Tipologia",$A164,"Viaggio",$A$157))
-IF(ISERROR(GETPIVOTDATA("Somma di AVERE",'Pivot Amex'!$A$3,"Mese",11,"Tipologia",$A164,"Viaggio",$A$157)),0,GETPIVOTDATA("Somma di AVERE",'Pivot Amex'!$A$3,"Mese",11,"Tipologia",$A164,"Viaggio",$A$157))
-IF(ISERROR(GETPIVOTDATA("Somma di AVERE",'Pivot BBVA'!$A$3,"Mese",11,"Tipologia",$A164,"Viaggio",$A$157)),0,GETPIVOTDATA("Somma di AVERE",'Pivot BBVA'!$A$3,"Mese",11,"Tipologia",$A164,"Viaggio",$A$157))
-IF(ISERROR(GETPIVOTDATA("Somma di AVERE",'Pivot Fineco St'!$A$3,"Mese",11,"Tipologia",$A164,"Viaggio",$A$157)),0,GETPIVOTDATA("Somma di AVERE",'Pivot Fineco St'!$A$3,"Mese",11,"Tipologia",$A164,"Viaggio",$A$157))
-IF(ISERROR(GETPIVOTDATA("Somma di AVERE",'Pivot Fineco Sa'!$A$3,"Mese",11,"Tipologia",$A164,"Viaggio",$A$157)),0,GETPIVOTDATA("Somma di AVERE",'Pivot Fineco Sa'!$A$3,"Mese",11,"Tipologia",$A164,"Viaggio",$A$157))
+IF(ISERROR(GETPIVOTDATA("Somma di DARE",'Pivot PP Visa'!$A$3,"Mese",11,"Tipologia",$A164,"Viaggio",$A$157)),0,GETPIVOTDATA("Somma di DARE",'Pivot PP Visa'!$A$3,"Mese",11,"Tipologia",$A164,"Viaggio",$A$157))
-IF(ISERROR(GETPIVOTDATA("Somma di AVERE",'Pivot PP Visa'!$A$3,"Mese",11,"Tipologia",$A164,"Viaggio",$A$157)),0,GETPIVOTDATA("Somma di AVERE",'Pivot PP Visa'!$A$3,"Mese",11,"Tipologia",$A164,"Viaggio",$A$157))
+IF(ISERROR(GETPIVOTDATA("Somma di DARE",'Pivot Revolut'!$A$3,"Mese",11,"Tipologia",$A164,"Viaggio",$A$157)),0,GETPIVOTDATA("Somma di DARE",'Pivot Revolut'!$A$3,"Mese",11,"Tipologia",$A164,"Viaggio",$A$157))
-IF(ISERROR(GETPIVOTDATA("Somma di AVERE",'Pivot Revolut'!$A$3,"Mese",11,"Tipologia",$A164,"Viaggio",$A$157)),0,GETPIVOTDATA("Somma di AVERE",'Pivot Revolut'!$A$3,"Mese",11,"Tipologia",$A164,"Viaggio",$A$157))
+IF(ISERROR(GETPIVOTDATA("Somma di DARE",'Pivot RakBank EUR'!$A$3,"Mese",11,"Tipologia",$A164,"Viaggio",$A$157)),0,GETPIVOTDATA("Somma di DARE",'Pivot RakBank EUR'!$A$3,"Mese",11,"Tipologia",$A164,"Viaggio",$A$157))
-IF(ISERROR(GETPIVOTDATA("Somma di AVERE",'Pivot RakBank EUR'!$A$3,"Mese",11,"Tipologia",$A164,"Viaggio",$A$157)),0,GETPIVOTDATA("Somma di AVERE",'Pivot RakBank EUR'!$A$3,"Mese",11,"Tipologia",$A164,"Viaggio",$A$157))
+IF(ISERROR(GETPIVOTDATA("Somma di DARE EUR",'Pivot RakBank AED'!$A$3,"Mese",11,"Tipologia",$A164,"Viaggio",$A$157)),0,GETPIVOTDATA("Somma di DARE EUR",'Pivot RakBank AED'!$A$3,"Mese",11,"Tipologia",$A164,"Viaggio",$A$157))
-IF(ISERROR(GETPIVOTDATA("Somma di AVERE EUR",'Pivot RakBank AED'!$A$3,"Mese",11,"Tipologia",$A164,"Viaggio",$A$157)),0,GETPIVOTDATA("Somma di AVERE EUR",'Pivot RakBank AED'!$A$3,"Mese",11,"Tipologia",$A164,"Viaggio",$A$157))</f>
        <v>0</v>
      </c>
      <c r="N164" s="270">
        <f>IF(ISERROR(GETPIVOTDATA("Somma di DARE",'Pivot Fineco Sa'!$A$3,"Mese",12,"Tipologia",$A164,"Viaggio",$A$157)),0,GETPIVOTDATA("Somma di DARE",'Pivot Fineco Sa'!$A$3,"Mese",12,"Tipologia",$A164,"Viaggio",$A$157))
+IF(ISERROR(GETPIVOTDATA("Somma di DARE",'Pivot Fineco St'!$A$3,"Mese",12,"Tipologia",$A164,"Viaggio",$A$157)),0,GETPIVOTDATA("Somma di DARE",'Pivot Fineco St'!$A$3,"Mese",12,"Tipologia",$A164,"Viaggio",$A$157))
+IF(Contanti!$AW45='Conto Economico'!$A$157,Contanti!$AT45)
+IF(ISERROR(GETPIVOTDATA("Somma di DARE",'Pivot BBVA'!$A$3,"Mese",12,"Tipologia",$A164,"Viaggio",$A$157)),0,GETPIVOTDATA("Somma di DARE",'Pivot BBVA'!$A$3,"Mese",12,"Tipologia",$A164,"Viaggio",$A$157))
+IF(ISERROR(GETPIVOTDATA("Somma di DARE",'Pivot Amex'!$A$3,"Mese",12,"Tipologia",$A164,"Viaggio",$A$157)),0,GETPIVOTDATA("Somma di DARE",'Pivot Amex'!$A$3,"Mese",12,"Tipologia",$A164,"Viaggio",$A$157))
-IF(ISERROR(GETPIVOTDATA("Somma di AVERE",'Pivot Amex'!$A$3,"Mese",12,"Tipologia",$A164,"Viaggio",$A$157)),0,GETPIVOTDATA("Somma di AVERE",'Pivot Amex'!$A$3,"Mese",12,"Tipologia",$A164,"Viaggio",$A$157))
-IF(ISERROR(GETPIVOTDATA("Somma di AVERE",'Pivot BBVA'!$A$3,"Mese",12,"Tipologia",$A164,"Viaggio",$A$157)),0,GETPIVOTDATA("Somma di AVERE",'Pivot BBVA'!$A$3,"Mese",12,"Tipologia",$A164,"Viaggio",$A$157))
-IF(ISERROR(GETPIVOTDATA("Somma di AVERE",'Pivot Fineco St'!$A$3,"Mese",12,"Tipologia",$A164,"Viaggio",$A$157)),0,GETPIVOTDATA("Somma di AVERE",'Pivot Fineco St'!$A$3,"Mese",12,"Tipologia",$A164,"Viaggio",$A$157))
-IF(ISERROR(GETPIVOTDATA("Somma di AVERE",'Pivot Fineco Sa'!$A$3,"Mese",12,"Tipologia",$A164,"Viaggio",$A$157)),0,GETPIVOTDATA("Somma di AVERE",'Pivot Fineco Sa'!$A$3,"Mese",12,"Tipologia",$A164,"Viaggio",$A$157))
+IF(ISERROR(GETPIVOTDATA("Somma di DARE",'Pivot PP Visa'!$A$3,"Mese",12,"Tipologia",$A164,"Viaggio",$A$157)),0,GETPIVOTDATA("Somma di DARE",'Pivot PP Visa'!$A$3,"Mese",12,"Tipologia",$A164,"Viaggio",$A$157))
-IF(ISERROR(GETPIVOTDATA("Somma di AVERE",'Pivot PP Visa'!$A$3,"Mese",12,"Tipologia",$A164,"Viaggio",$A$157)),0,GETPIVOTDATA("Somma di AVERE",'Pivot PP Visa'!$A$3,"Mese",12,"Tipologia",$A164,"Viaggio",$A$157))
+IF(ISERROR(GETPIVOTDATA("Somma di DARE",'Pivot Revolut'!$A$3,"Mese",12,"Tipologia",$A164,"Viaggio",$A$157)),0,GETPIVOTDATA("Somma di DARE",'Pivot Revolut'!$A$3,"Mese",12,"Tipologia",$A164,"Viaggio",$A$157))
-IF(ISERROR(GETPIVOTDATA("Somma di AVERE",'Pivot Revolut'!$A$3,"Mese",12,"Tipologia",$A164,"Viaggio",$A$157)),0,GETPIVOTDATA("Somma di AVERE",'Pivot Revolut'!$A$3,"Mese",12,"Tipologia",$A164,"Viaggio",$A$157))
+IF(ISERROR(GETPIVOTDATA("Somma di DARE",'Pivot RakBank EUR'!$A$3,"Mese",12,"Tipologia",$A164,"Viaggio",$A$157)),0,GETPIVOTDATA("Somma di DARE",'Pivot RakBank EUR'!$A$3,"Mese",12,"Tipologia",$A164,"Viaggio",$A$157))
-IF(ISERROR(GETPIVOTDATA("Somma di AVERE",'Pivot RakBank EUR'!$A$3,"Mese",12,"Tipologia",$A164,"Viaggio",$A$157)),0,GETPIVOTDATA("Somma di AVERE",'Pivot RakBank EUR'!$A$3,"Mese",12,"Tipologia",$A164,"Viaggio",$A$157))
+IF(ISERROR(GETPIVOTDATA("Somma di DARE EUR",'Pivot RakBank AED'!$A$3,"Mese",12,"Tipologia",$A164,"Viaggio",$A$157)),0,GETPIVOTDATA("Somma di DARE EUR",'Pivot RakBank AED'!$A$3,"Mese",12,"Tipologia",$A164,"Viaggio",$A$157))
-IF(ISERROR(GETPIVOTDATA("Somma di AVERE EUR",'Pivot RakBank AED'!$A$3,"Mese",12,"Tipologia",$A164,"Viaggio",$A$157)),0,GETPIVOTDATA("Somma di AVERE EUR",'Pivot RakBank AED'!$A$3,"Mese",12,"Tipologia",$A164,"Viaggio",$A$157))</f>
        <v>0</v>
      </c>
      <c r="O164" s="271">
        <f t="shared" si="21"/>
        <v>0</v>
      </c>
      <c r="P164" s="270"/>
    </row>
    <row r="165" spans="1:16" s="131" customFormat="1" ht="14" outlineLevel="1" x14ac:dyDescent="0.2">
      <c r="A165" s="269" t="s">
        <v>170</v>
      </c>
      <c r="B165" s="269"/>
      <c r="C165" s="270">
        <f>IF(ISERROR(GETPIVOTDATA("Somma di DARE",'Pivot Fineco Sa'!$A$3,"Mese",1,"Tipologia",$A165,"Viaggio",$A$157)),0,GETPIVOTDATA("Somma di DARE",'Pivot Fineco Sa'!$A$3,"Mese",1,"Tipologia",$A165,"Viaggio",$A$157))
+IF(ISERROR(GETPIVOTDATA("Somma di DARE",'Pivot Fineco St'!$A$3,"Mese",1,"Tipologia",$A165,"Viaggio",$A$157)),0,GETPIVOTDATA("Somma di DARE",'Pivot Fineco St'!$A$3,"Mese",1,"Tipologia",$A165,"Viaggio",$A$157))
+IF(Contanti!$E46='Conto Economico'!$A$157,Contanti!$B46)
+IF(ISERROR(GETPIVOTDATA("Somma di DARE",'Pivot BBVA'!$A$3,"Mese",1,"Tipologia",$A165,"Viaggio",$A$157)),0,GETPIVOTDATA("Somma di DARE",'Pivot BBVA'!$A$3,"Mese",1,"Tipologia",$A165,"Viaggio",$A$157))
+IF(ISERROR(GETPIVOTDATA("Somma di DARE",'Pivot Amex'!$A$3,"Mese",1,"Tipologia",$A165,"Viaggio",$A$157)),0,GETPIVOTDATA("Somma di DARE",'Pivot Amex'!$A$3,"Mese",1,"Tipologia",$A165,"Viaggio",$A$157))
-IF(ISERROR(GETPIVOTDATA("Somma di AVERE",'Pivot Amex'!$A$3,"Mese",1,"Tipologia",$A165,"Viaggio",$A$157)),0,GETPIVOTDATA("Somma di AVERE",'Pivot Amex'!$A$3,"Mese",1,"Tipologia",$A165,"Viaggio",$A$157))
-IF(ISERROR(GETPIVOTDATA("Somma di AVERE",'Pivot BBVA'!$A$3,"Mese",1,"Tipologia",$A165,"Viaggio",$A$157)),0,GETPIVOTDATA("Somma di AVERE",'Pivot BBVA'!$A$3,"Mese",1,"Tipologia",$A165,"Viaggio",$A$157))
-IF(ISERROR(GETPIVOTDATA("Somma di AVERE",'Pivot Fineco St'!$A$3,"Mese",1,"Tipologia",$A165,"Viaggio",$A$157)),0,GETPIVOTDATA("Somma di AVERE",'Pivot Fineco St'!$A$3,"Mese",1,"Tipologia",$A165,"Viaggio",$A$157))
-IF(ISERROR(GETPIVOTDATA("Somma di AVERE",'Pivot Fineco Sa'!$A$3,"Mese",1,"Tipologia",$A165,"Viaggio",$A$157)),0,GETPIVOTDATA("Somma di AVERE",'Pivot Fineco Sa'!$A$3,"Mese",1,"Tipologia",$A165,"Viaggio",$A$157))
+IF(ISERROR(GETPIVOTDATA("Somma di DARE",'Pivot PP Visa'!$A$3,"Mese",1,"Tipologia",$A165,"Viaggio",$A$157)),0,GETPIVOTDATA("Somma di DARE",'Pivot PP Visa'!$A$3,"Mese",1,"Tipologia",$A165,"Viaggio",$A$157))
-IF(ISERROR(GETPIVOTDATA("Somma di AVERE",'Pivot PP Visa'!$A$3,"Mese",1,"Tipologia",$A165,"Viaggio",$A$157)),0,GETPIVOTDATA("Somma di AVERE",'Pivot PP Visa'!$A$3,"Mese",1,"Tipologia",$A165,"Viaggio",$A$157))
+IF(ISERROR(GETPIVOTDATA("Somma di DARE",'Pivot Revolut'!$A$3,"Mese",1,"Tipologia",$A165,"Viaggio",$A$157)),0,GETPIVOTDATA("Somma di DARE",'Pivot Revolut'!$A$3,"Mese",1,"Tipologia",$A165,"Viaggio",$A$157))
-IF(ISERROR(GETPIVOTDATA("Somma di AVERE",'Pivot Revolut'!$A$3,"Mese",1,"Tipologia",$A165,"Viaggio",$A$157)),0,GETPIVOTDATA("Somma di AVERE",'Pivot Revolut'!$A$3,"Mese",1,"Tipologia",$A165,"Viaggio",$A$157))
+IF(ISERROR(GETPIVOTDATA("Somma di DARE",'Pivot RakBank EUR'!$A$3,"Mese",1,"Tipologia",$A165,"Viaggio",$A$157)),0,GETPIVOTDATA("Somma di DARE",'Pivot RakBank EUR'!$A$3,"Mese",1,"Tipologia",$A165,"Viaggio",$A$157))
-IF(ISERROR(GETPIVOTDATA("Somma di AVERE",'Pivot RakBank EUR'!$A$3,"Mese",1,"Tipologia",$A165,"Viaggio",$A$157)),0,GETPIVOTDATA("Somma di AVERE",'Pivot RakBank EUR'!$A$3,"Mese",1,"Tipologia",$A165,"Viaggio",$A$157))
+IF(ISERROR(GETPIVOTDATA("Somma di DARE EUR",'Pivot RakBank AED'!$A$3,"Mese",1,"Tipologia",$A165,"Viaggio",$A$157)),0,GETPIVOTDATA("Somma di DARE EUR",'Pivot RakBank AED'!$A$3,"Mese",1,"Tipologia",$A165,"Viaggio",$A$157))
-IF(ISERROR(GETPIVOTDATA("Somma di AVERE EUR",'Pivot RakBank AED'!$A$3,"Mese",1,"Tipologia",$A165,"Viaggio",$A$157)),0,GETPIVOTDATA("Somma di AVERE EUR",'Pivot RakBank AED'!$A$3,"Mese",1,"Tipologia",$A165,"Viaggio",$A$157))</f>
        <v>0</v>
      </c>
      <c r="D165" s="270">
        <f>IF(ISERROR(GETPIVOTDATA("Somma di DARE",'Pivot Fineco Sa'!$A$3,"Mese",2,"Tipologia",$A165,"Viaggio",$A$157)),0,GETPIVOTDATA("Somma di DARE",'Pivot Fineco Sa'!$A$3,"Mese",2,"Tipologia",$A165,"Viaggio",$A$157))
+IF(ISERROR(GETPIVOTDATA("Somma di DARE",'Pivot Fineco St'!$A$3,"Mese",2,"Tipologia",$A165,"Viaggio",$A$157)),0,GETPIVOTDATA("Somma di DARE",'Pivot Fineco St'!$A$3,"Mese",2,"Tipologia",$A165,"Viaggio",$A$157))
+IF(Contanti!$I46='Conto Economico'!$A$157,Contanti!$F46)
+IF(ISERROR(GETPIVOTDATA("Somma di DARE",'Pivot BBVA'!$A$3,"Mese",2,"Tipologia",$A165,"Viaggio",$A$157)),0,GETPIVOTDATA("Somma di DARE",'Pivot BBVA'!$A$3,"Mese",2,"Tipologia",$A165,"Viaggio",$A$157))
+IF(ISERROR(GETPIVOTDATA("Somma di DARE",'Pivot Amex'!$A$3,"Mese",2,"Tipologia",$A165,"Viaggio",$A$157)),0,GETPIVOTDATA("Somma di DARE",'Pivot Amex'!$A$3,"Mese",2,"Tipologia",$A165,"Viaggio",$A$157))
-IF(ISERROR(GETPIVOTDATA("Somma di AVERE",'Pivot Amex'!$A$3,"Mese",2,"Tipologia",$A165,"Viaggio",$A$157)),0,GETPIVOTDATA("Somma di AVERE",'Pivot Amex'!$A$3,"Mese",2,"Tipologia",$A165,"Viaggio",$A$157))
-IF(ISERROR(GETPIVOTDATA("Somma di AVERE",'Pivot BBVA'!$A$3,"Mese",2,"Tipologia",$A165,"Viaggio",$A$157)),0,GETPIVOTDATA("Somma di AVERE",'Pivot BBVA'!$A$3,"Mese",2,"Tipologia",$A165,"Viaggio",$A$157))
-IF(ISERROR(GETPIVOTDATA("Somma di AVERE",'Pivot Fineco St'!$A$3,"Mese",2,"Tipologia",$A165,"Viaggio",$A$157)),0,GETPIVOTDATA("Somma di AVERE",'Pivot Fineco St'!$A$3,"Mese",2,"Tipologia",$A165,"Viaggio",$A$157))
-IF(ISERROR(GETPIVOTDATA("Somma di AVERE",'Pivot Fineco Sa'!$A$3,"Mese",2,"Tipologia",$A165,"Viaggio",$A$157)),0,GETPIVOTDATA("Somma di AVERE",'Pivot Fineco Sa'!$A$3,"Mese",2,"Tipologia",$A165,"Viaggio",$A$157))
+IF(ISERROR(GETPIVOTDATA("Somma di DARE",'Pivot PP Visa'!$A$3,"Mese",2,"Tipologia",$A165,"Viaggio",$A$157)),0,GETPIVOTDATA("Somma di DARE",'Pivot PP Visa'!$A$3,"Mese",2,"Tipologia",$A165,"Viaggio",$A$157))
-IF(ISERROR(GETPIVOTDATA("Somma di AVERE",'Pivot PP Visa'!$A$3,"Mese",2,"Tipologia",$A165,"Viaggio",$A$157)),0,GETPIVOTDATA("Somma di AVERE",'Pivot PP Visa'!$A$3,"Mese",2,"Tipologia",$A165,"Viaggio",$A$157))
+IF(ISERROR(GETPIVOTDATA("Somma di DARE",'Pivot Revolut'!$A$3,"Mese",2,"Tipologia",$A165,"Viaggio",$A$157)),0,GETPIVOTDATA("Somma di DARE",'Pivot Revolut'!$A$3,"Mese",2,"Tipologia",$A165,"Viaggio",$A$157))
-IF(ISERROR(GETPIVOTDATA("Somma di AVERE",'Pivot Revolut'!$A$3,"Mese",2,"Tipologia",$A165,"Viaggio",$A$157)),0,GETPIVOTDATA("Somma di AVERE",'Pivot Revolut'!$A$3,"Mese",2,"Tipologia",$A165,"Viaggio",$A$157))
+IF(ISERROR(GETPIVOTDATA("Somma di DARE",'Pivot RakBank EUR'!$A$3,"Mese",2,"Tipologia",$A165,"Viaggio",$A$157)),0,GETPIVOTDATA("Somma di DARE",'Pivot RakBank EUR'!$A$3,"Mese",2,"Tipologia",$A165,"Viaggio",$A$157))
-IF(ISERROR(GETPIVOTDATA("Somma di AVERE",'Pivot RakBank EUR'!$A$3,"Mese",2,"Tipologia",$A165,"Viaggio",$A$157)),0,GETPIVOTDATA("Somma di AVERE",'Pivot RakBank EUR'!$A$3,"Mese",2,"Tipologia",$A165,"Viaggio",$A$157))
+IF(ISERROR(GETPIVOTDATA("Somma di DARE EUR",'Pivot RakBank AED'!$A$3,"Mese",2,"Tipologia",$A165,"Viaggio",$A$157)),0,GETPIVOTDATA("Somma di DARE EUR",'Pivot RakBank AED'!$A$3,"Mese",2,"Tipologia",$A165,"Viaggio",$A$157))
-IF(ISERROR(GETPIVOTDATA("Somma di AVERE EUR",'Pivot RakBank AED'!$A$3,"Mese",2,"Tipologia",$A165,"Viaggio",$A$157)),0,GETPIVOTDATA("Somma di AVERE EUR",'Pivot RakBank AED'!$A$3,"Mese",2,"Tipologia",$A165,"Viaggio",$A$157))</f>
        <v>0</v>
      </c>
      <c r="E165" s="270">
        <f>IF(ISERROR(GETPIVOTDATA("Somma di DARE",'Pivot Fineco Sa'!$A$3,"Mese",3,"Tipologia",$A165,"Viaggio",$A$157)),0,GETPIVOTDATA("Somma di DARE",'Pivot Fineco Sa'!$A$3,"Mese",3,"Tipologia",$A165,"Viaggio",$A$157))
+IF(ISERROR(GETPIVOTDATA("Somma di DARE",'Pivot Fineco St'!$A$3,"Mese",3,"Tipologia",$A165,"Viaggio",$A$157)),0,GETPIVOTDATA("Somma di DARE",'Pivot Fineco St'!$A$3,"Mese",3,"Tipologia",$A165,"Viaggio",$A$157))
+IF(Contanti!$M46='Conto Economico'!$A$157,Contanti!$J46)
+IF(ISERROR(GETPIVOTDATA("Somma di DARE",'Pivot BBVA'!$A$3,"Mese",3,"Tipologia",$A165,"Viaggio",$A$157)),0,GETPIVOTDATA("Somma di DARE",'Pivot BBVA'!$A$3,"Mese",3,"Tipologia",$A165,"Viaggio",$A$157))
+IF(ISERROR(GETPIVOTDATA("Somma di DARE",'Pivot Amex'!$A$3,"Mese",3,"Tipologia",$A165,"Viaggio",$A$157)),0,GETPIVOTDATA("Somma di DARE",'Pivot Amex'!$A$3,"Mese",3,"Tipologia",$A165,"Viaggio",$A$157))
-IF(ISERROR(GETPIVOTDATA("Somma di AVERE",'Pivot Amex'!$A$3,"Mese",3,"Tipologia",$A165,"Viaggio",$A$157)),0,GETPIVOTDATA("Somma di AVERE",'Pivot Amex'!$A$3,"Mese",3,"Tipologia",$A165,"Viaggio",$A$157))
-IF(ISERROR(GETPIVOTDATA("Somma di AVERE",'Pivot BBVA'!$A$3,"Mese",3,"Tipologia",$A165,"Viaggio",$A$157)),0,GETPIVOTDATA("Somma di AVERE",'Pivot BBVA'!$A$3,"Mese",3,"Tipologia",$A165,"Viaggio",$A$157))
-IF(ISERROR(GETPIVOTDATA("Somma di AVERE",'Pivot Fineco St'!$A$3,"Mese",3,"Tipologia",$A165,"Viaggio",$A$157)),0,GETPIVOTDATA("Somma di AVERE",'Pivot Fineco St'!$A$3,"Mese",3,"Tipologia",$A165,"Viaggio",$A$157))
-IF(ISERROR(GETPIVOTDATA("Somma di AVERE",'Pivot Fineco Sa'!$A$3,"Mese",3,"Tipologia",$A165,"Viaggio",$A$157)),0,GETPIVOTDATA("Somma di AVERE",'Pivot Fineco Sa'!$A$3,"Mese",3,"Tipologia",$A165,"Viaggio",$A$157))
+IF(ISERROR(GETPIVOTDATA("Somma di DARE",'Pivot PP Visa'!$A$3,"Mese",3,"Tipologia",$A165,"Viaggio",$A$157)),0,GETPIVOTDATA("Somma di DARE",'Pivot PP Visa'!$A$3,"Mese",3,"Tipologia",$A165,"Viaggio",$A$157))
-IF(ISERROR(GETPIVOTDATA("Somma di AVERE",'Pivot PP Visa'!$A$3,"Mese",3,"Tipologia",$A165,"Viaggio",$A$157)),0,GETPIVOTDATA("Somma di AVERE",'Pivot PP Visa'!$A$3,"Mese",3,"Tipologia",$A165,"Viaggio",$A$157))
+IF(ISERROR(GETPIVOTDATA("Somma di DARE",'Pivot Revolut'!$A$3,"Mese",3,"Tipologia",$A165,"Viaggio",$A$157)),0,GETPIVOTDATA("Somma di DARE",'Pivot Revolut'!$A$3,"Mese",3,"Tipologia",$A165,"Viaggio",$A$157))
-IF(ISERROR(GETPIVOTDATA("Somma di AVERE",'Pivot Revolut'!$A$3,"Mese",3,"Tipologia",$A165,"Viaggio",$A$157)),0,GETPIVOTDATA("Somma di AVERE",'Pivot Revolut'!$A$3,"Mese",3,"Tipologia",$A165,"Viaggio",$A$157))
+IF(ISERROR(GETPIVOTDATA("Somma di DARE",'Pivot RakBank EUR'!$A$3,"Mese",3,"Tipologia",$A165,"Viaggio",$A$157)),0,GETPIVOTDATA("Somma di DARE",'Pivot RakBank EUR'!$A$3,"Mese",3,"Tipologia",$A165,"Viaggio",$A$157))
-IF(ISERROR(GETPIVOTDATA("Somma di AVERE",'Pivot RakBank EUR'!$A$3,"Mese",3,"Tipologia",$A165,"Viaggio",$A$157)),0,GETPIVOTDATA("Somma di AVERE",'Pivot RakBank EUR'!$A$3,"Mese",3,"Tipologia",$A165,"Viaggio",$A$157))
+IF(ISERROR(GETPIVOTDATA("Somma di DARE EUR",'Pivot RakBank AED'!$A$3,"Mese",3,"Tipologia",$A165,"Viaggio",$A$157)),0,GETPIVOTDATA("Somma di DARE EUR",'Pivot RakBank AED'!$A$3,"Mese",3,"Tipologia",$A165,"Viaggio",$A$157))
-IF(ISERROR(GETPIVOTDATA("Somma di AVERE EUR",'Pivot RakBank AED'!$A$3,"Mese",3,"Tipologia",$A165,"Viaggio",$A$157)),0,GETPIVOTDATA("Somma di AVERE EUR",'Pivot RakBank AED'!$A$3,"Mese",3,"Tipologia",$A165,"Viaggio",$A$157))</f>
        <v>0</v>
      </c>
      <c r="F165" s="270">
        <f>IF(ISERROR(GETPIVOTDATA("Somma di DARE",'Pivot Fineco Sa'!$A$3,"Mese",4,"Tipologia",$A165,"Viaggio",$A$157)),0,GETPIVOTDATA("Somma di DARE",'Pivot Fineco Sa'!$A$3,"Mese",4,"Tipologia",$A165,"Viaggio",$A$157))
+IF(ISERROR(GETPIVOTDATA("Somma di DARE",'Pivot Fineco St'!$A$3,"Mese",4,"Tipologia",$A165,"Viaggio",$A$157)),0,GETPIVOTDATA("Somma di DARE",'Pivot Fineco St'!$A$3,"Mese",4,"Tipologia",$A165,"Viaggio",$A$157))
+IF(Contanti!$Q46='Conto Economico'!$A$157,Contanti!$N46)
+IF(ISERROR(GETPIVOTDATA("Somma di DARE",'Pivot BBVA'!$A$3,"Mese",4,"Tipologia",$A165,"Viaggio",$A$157)),0,GETPIVOTDATA("Somma di DARE",'Pivot BBVA'!$A$3,"Mese",4,"Tipologia",$A165,"Viaggio",$A$157))
+IF(ISERROR(GETPIVOTDATA("Somma di DARE",'Pivot Amex'!$A$3,"Mese",4,"Tipologia",$A165,"Viaggio",$A$157)),0,GETPIVOTDATA("Somma di DARE",'Pivot Amex'!$A$3,"Mese",4,"Tipologia",$A165,"Viaggio",$A$157))
-IF(ISERROR(GETPIVOTDATA("Somma di AVERE",'Pivot Amex'!$A$3,"Mese",4,"Tipologia",$A165,"Viaggio",$A$157)),0,GETPIVOTDATA("Somma di AVERE",'Pivot Amex'!$A$3,"Mese",4,"Tipologia",$A165,"Viaggio",$A$157))
-IF(ISERROR(GETPIVOTDATA("Somma di AVERE",'Pivot BBVA'!$A$3,"Mese",4,"Tipologia",$A165,"Viaggio",$A$157)),0,GETPIVOTDATA("Somma di AVERE",'Pivot BBVA'!$A$3,"Mese",4,"Tipologia",$A165,"Viaggio",$A$157))
-IF(ISERROR(GETPIVOTDATA("Somma di AVERE",'Pivot Fineco St'!$A$3,"Mese",4,"Tipologia",$A165,"Viaggio",$A$157)),0,GETPIVOTDATA("Somma di AVERE",'Pivot Fineco St'!$A$3,"Mese",4,"Tipologia",$A165,"Viaggio",$A$157))
-IF(ISERROR(GETPIVOTDATA("Somma di AVERE",'Pivot Fineco Sa'!$A$3,"Mese",4,"Tipologia",$A165,"Viaggio",$A$157)),0,GETPIVOTDATA("Somma di AVERE",'Pivot Fineco Sa'!$A$3,"Mese",4,"Tipologia",$A165,"Viaggio",$A$157))
+IF(ISERROR(GETPIVOTDATA("Somma di DARE",'Pivot PP Visa'!$A$3,"Mese",4,"Tipologia",$A165,"Viaggio",$A$157)),0,GETPIVOTDATA("Somma di DARE",'Pivot PP Visa'!$A$3,"Mese",4,"Tipologia",$A165,"Viaggio",$A$157))
-IF(ISERROR(GETPIVOTDATA("Somma di AVERE",'Pivot PP Visa'!$A$3,"Mese",4,"Tipologia",$A165,"Viaggio",$A$157)),0,GETPIVOTDATA("Somma di AVERE",'Pivot PP Visa'!$A$3,"Mese",4,"Tipologia",$A165,"Viaggio",$A$157))
+IF(ISERROR(GETPIVOTDATA("Somma di DARE",'Pivot Revolut'!$A$3,"Mese",4,"Tipologia",$A165,"Viaggio",$A$157)),0,GETPIVOTDATA("Somma di DARE",'Pivot Revolut'!$A$3,"Mese",4,"Tipologia",$A165,"Viaggio",$A$157))
-IF(ISERROR(GETPIVOTDATA("Somma di AVERE",'Pivot Revolut'!$A$3,"Mese",4,"Tipologia",$A165,"Viaggio",$A$157)),0,GETPIVOTDATA("Somma di AVERE",'Pivot Revolut'!$A$3,"Mese",4,"Tipologia",$A165,"Viaggio",$A$157))
+IF(ISERROR(GETPIVOTDATA("Somma di DARE",'Pivot RakBank EUR'!$A$3,"Mese",4,"Tipologia",$A165,"Viaggio",$A$157)),0,GETPIVOTDATA("Somma di DARE",'Pivot RakBank EUR'!$A$3,"Mese",4,"Tipologia",$A165,"Viaggio",$A$157))
-IF(ISERROR(GETPIVOTDATA("Somma di AVERE",'Pivot RakBank EUR'!$A$3,"Mese",4,"Tipologia",$A165,"Viaggio",$A$157)),0,GETPIVOTDATA("Somma di AVERE",'Pivot RakBank EUR'!$A$3,"Mese",4,"Tipologia",$A165,"Viaggio",$A$157))
+IF(ISERROR(GETPIVOTDATA("Somma di DARE EUR",'Pivot RakBank AED'!$A$3,"Mese",4,"Tipologia",$A165,"Viaggio",$A$157)),0,GETPIVOTDATA("Somma di DARE EUR",'Pivot RakBank AED'!$A$3,"Mese",4,"Tipologia",$A165,"Viaggio",$A$157))
-IF(ISERROR(GETPIVOTDATA("Somma di AVERE EUR",'Pivot RakBank AED'!$A$3,"Mese",4,"Tipologia",$A165,"Viaggio",$A$157)),0,GETPIVOTDATA("Somma di AVERE EUR",'Pivot RakBank AED'!$A$3,"Mese",4,"Tipologia",$A165,"Viaggio",$A$157))</f>
        <v>0</v>
      </c>
      <c r="G165" s="270">
        <f>IF(ISERROR(GETPIVOTDATA("Somma di DARE",'Pivot Fineco Sa'!$A$3,"Mese",5,"Tipologia",$A165,"Viaggio",$A$157)),0,GETPIVOTDATA("Somma di DARE",'Pivot Fineco Sa'!$A$3,"Mese",5,"Tipologia",$A165,"Viaggio",$A$157))
+IF(ISERROR(GETPIVOTDATA("Somma di DARE",'Pivot Fineco St'!$A$3,"Mese",5,"Tipologia",$A165,"Viaggio",$A$157)),0,GETPIVOTDATA("Somma di DARE",'Pivot Fineco St'!$A$3,"Mese",5,"Tipologia",$A165,"Viaggio",$A$157))
+IF(Contanti!$U46='Conto Economico'!$A$157,Contanti!$R46)
+IF(ISERROR(GETPIVOTDATA("Somma di DARE",'Pivot BBVA'!$A$3,"Mese",5,"Tipologia",$A165,"Viaggio",$A$157)),0,GETPIVOTDATA("Somma di DARE",'Pivot BBVA'!$A$3,"Mese",5,"Tipologia",$A165,"Viaggio",$A$157))
+IF(ISERROR(GETPIVOTDATA("Somma di DARE",'Pivot Amex'!$A$3,"Mese",5,"Tipologia",$A165,"Viaggio",$A$157)),0,GETPIVOTDATA("Somma di DARE",'Pivot Amex'!$A$3,"Mese",5,"Tipologia",$A165,"Viaggio",$A$157))
-IF(ISERROR(GETPIVOTDATA("Somma di AVERE",'Pivot Amex'!$A$3,"Mese",5,"Tipologia",$A165,"Viaggio",$A$157)),0,GETPIVOTDATA("Somma di AVERE",'Pivot Amex'!$A$3,"Mese",5,"Tipologia",$A165,"Viaggio",$A$157))
-IF(ISERROR(GETPIVOTDATA("Somma di AVERE",'Pivot BBVA'!$A$3,"Mese",5,"Tipologia",$A165,"Viaggio",$A$157)),0,GETPIVOTDATA("Somma di AVERE",'Pivot BBVA'!$A$3,"Mese",5,"Tipologia",$A165,"Viaggio",$A$157))
-IF(ISERROR(GETPIVOTDATA("Somma di AVERE",'Pivot Fineco St'!$A$3,"Mese",5,"Tipologia",$A165,"Viaggio",$A$157)),0,GETPIVOTDATA("Somma di AVERE",'Pivot Fineco St'!$A$3,"Mese",5,"Tipologia",$A165,"Viaggio",$A$157))
-IF(ISERROR(GETPIVOTDATA("Somma di AVERE",'Pivot Fineco Sa'!$A$3,"Mese",5,"Tipologia",$A165,"Viaggio",$A$157)),0,GETPIVOTDATA("Somma di AVERE",'Pivot Fineco Sa'!$A$3,"Mese",5,"Tipologia",$A165,"Viaggio",$A$157))
+IF(ISERROR(GETPIVOTDATA("Somma di DARE",'Pivot PP Visa'!$A$3,"Mese",5,"Tipologia",$A165,"Viaggio",$A$157)),0,GETPIVOTDATA("Somma di DARE",'Pivot PP Visa'!$A$3,"Mese",5,"Tipologia",$A165,"Viaggio",$A$157))
-IF(ISERROR(GETPIVOTDATA("Somma di AVERE",'Pivot PP Visa'!$A$3,"Mese",5,"Tipologia",$A165,"Viaggio",$A$157)),0,GETPIVOTDATA("Somma di AVERE",'Pivot PP Visa'!$A$3,"Mese",5,"Tipologia",$A165,"Viaggio",$A$157))
+IF(ISERROR(GETPIVOTDATA("Somma di DARE",'Pivot Revolut'!$A$3,"Mese",5,"Tipologia",$A165,"Viaggio",$A$157)),0,GETPIVOTDATA("Somma di DARE",'Pivot Revolut'!$A$3,"Mese",5,"Tipologia",$A165,"Viaggio",$A$157))
-IF(ISERROR(GETPIVOTDATA("Somma di AVERE",'Pivot Revolut'!$A$3,"Mese",5,"Tipologia",$A165,"Viaggio",$A$157)),0,GETPIVOTDATA("Somma di AVERE",'Pivot Revolut'!$A$3,"Mese",5,"Tipologia",$A165,"Viaggio",$A$157))
+IF(ISERROR(GETPIVOTDATA("Somma di DARE",'Pivot RakBank EUR'!$A$3,"Mese",5,"Tipologia",$A165,"Viaggio",$A$157)),0,GETPIVOTDATA("Somma di DARE",'Pivot RakBank EUR'!$A$3,"Mese",5,"Tipologia",$A165,"Viaggio",$A$157))
-IF(ISERROR(GETPIVOTDATA("Somma di AVERE",'Pivot RakBank EUR'!$A$3,"Mese",5,"Tipologia",$A165,"Viaggio",$A$157)),0,GETPIVOTDATA("Somma di AVERE",'Pivot RakBank EUR'!$A$3,"Mese",5,"Tipologia",$A165,"Viaggio",$A$157))
+IF(ISERROR(GETPIVOTDATA("Somma di DARE EUR",'Pivot RakBank AED'!$A$3,"Mese",5,"Tipologia",$A165,"Viaggio",$A$157)),0,GETPIVOTDATA("Somma di DARE EUR",'Pivot RakBank AED'!$A$3,"Mese",5,"Tipologia",$A165,"Viaggio",$A$157))
-IF(ISERROR(GETPIVOTDATA("Somma di AVERE EUR",'Pivot RakBank AED'!$A$3,"Mese",5,"Tipologia",$A165,"Viaggio",$A$157)),0,GETPIVOTDATA("Somma di AVERE EUR",'Pivot RakBank AED'!$A$3,"Mese",5,"Tipologia",$A165,"Viaggio",$A$157))</f>
        <v>0</v>
      </c>
      <c r="H165" s="270">
        <f>IF(ISERROR(GETPIVOTDATA("Somma di DARE",'Pivot Fineco Sa'!$A$3,"Mese",6,"Tipologia",$A165,"Viaggio",$A$157)),0,GETPIVOTDATA("Somma di DARE",'Pivot Fineco Sa'!$A$3,"Mese",6,"Tipologia",$A165,"Viaggio",$A$157))
+IF(ISERROR(GETPIVOTDATA("Somma di DARE",'Pivot Fineco St'!$A$3,"Mese",6,"Tipologia",$A165,"Viaggio",$A$157)),0,GETPIVOTDATA("Somma di DARE",'Pivot Fineco St'!$A$3,"Mese",6,"Tipologia",$A165,"Viaggio",$A$157))
+IF(Contanti!$Y46='Conto Economico'!$A$157,Contanti!$V46)
+IF(ISERROR(GETPIVOTDATA("Somma di DARE",'Pivot BBVA'!$A$3,"Mese",6,"Tipologia",$A165,"Viaggio",$A$157)),0,GETPIVOTDATA("Somma di DARE",'Pivot BBVA'!$A$3,"Mese",6,"Tipologia",$A165,"Viaggio",$A$157))
+IF(ISERROR(GETPIVOTDATA("Somma di DARE",'Pivot Amex'!$A$3,"Mese",6,"Tipologia",$A165,"Viaggio",$A$157)),0,GETPIVOTDATA("Somma di DARE",'Pivot Amex'!$A$3,"Mese",6,"Tipologia",$A165,"Viaggio",$A$157))
-IF(ISERROR(GETPIVOTDATA("Somma di AVERE",'Pivot Amex'!$A$3,"Mese",6,"Tipologia",$A165,"Viaggio",$A$157)),0,GETPIVOTDATA("Somma di AVERE",'Pivot Amex'!$A$3,"Mese",6,"Tipologia",$A165,"Viaggio",$A$157))
-IF(ISERROR(GETPIVOTDATA("Somma di AVERE",'Pivot BBVA'!$A$3,"Mese",6,"Tipologia",$A165,"Viaggio",$A$157)),0,GETPIVOTDATA("Somma di AVERE",'Pivot BBVA'!$A$3,"Mese",6,"Tipologia",$A165,"Viaggio",$A$157))
-IF(ISERROR(GETPIVOTDATA("Somma di AVERE",'Pivot Fineco St'!$A$3,"Mese",6,"Tipologia",$A165,"Viaggio",$A$157)),0,GETPIVOTDATA("Somma di AVERE",'Pivot Fineco St'!$A$3,"Mese",6,"Tipologia",$A165,"Viaggio",$A$157))
-IF(ISERROR(GETPIVOTDATA("Somma di AVERE",'Pivot Fineco Sa'!$A$3,"Mese",6,"Tipologia",$A165,"Viaggio",$A$157)),0,GETPIVOTDATA("Somma di AVERE",'Pivot Fineco Sa'!$A$3,"Mese",6,"Tipologia",$A165,"Viaggio",$A$157))
+IF(ISERROR(GETPIVOTDATA("Somma di DARE",'Pivot PP Visa'!$A$3,"Mese",6,"Tipologia",$A165,"Viaggio",$A$157)),0,GETPIVOTDATA("Somma di DARE",'Pivot PP Visa'!$A$3,"Mese",6,"Tipologia",$A165,"Viaggio",$A$157))
-IF(ISERROR(GETPIVOTDATA("Somma di AVERE",'Pivot PP Visa'!$A$3,"Mese",6,"Tipologia",$A165,"Viaggio",$A$157)),0,GETPIVOTDATA("Somma di AVERE",'Pivot PP Visa'!$A$3,"Mese",6,"Tipologia",$A165,"Viaggio",$A$157))
+IF(ISERROR(GETPIVOTDATA("Somma di DARE",'Pivot Revolut'!$A$3,"Mese",6,"Tipologia",$A165,"Viaggio",$A$157)),0,GETPIVOTDATA("Somma di DARE",'Pivot Revolut'!$A$3,"Mese",6,"Tipologia",$A165,"Viaggio",$A$157))
-IF(ISERROR(GETPIVOTDATA("Somma di AVERE",'Pivot Revolut'!$A$3,"Mese",6,"Tipologia",$A165,"Viaggio",$A$157)),0,GETPIVOTDATA("Somma di AVERE",'Pivot Revolut'!$A$3,"Mese",6,"Tipologia",$A165,"Viaggio",$A$157))
+IF(ISERROR(GETPIVOTDATA("Somma di DARE",'Pivot RakBank EUR'!$A$3,"Mese",6,"Tipologia",$A165,"Viaggio",$A$157)),0,GETPIVOTDATA("Somma di DARE",'Pivot RakBank EUR'!$A$3,"Mese",6,"Tipologia",$A165,"Viaggio",$A$157))
-IF(ISERROR(GETPIVOTDATA("Somma di AVERE",'Pivot RakBank EUR'!$A$3,"Mese",6,"Tipologia",$A165,"Viaggio",$A$157)),0,GETPIVOTDATA("Somma di AVERE",'Pivot RakBank EUR'!$A$3,"Mese",6,"Tipologia",$A165,"Viaggio",$A$157))
+IF(ISERROR(GETPIVOTDATA("Somma di DARE EUR",'Pivot RakBank AED'!$A$3,"Mese",6,"Tipologia",$A165,"Viaggio",$A$157)),0,GETPIVOTDATA("Somma di DARE EUR",'Pivot RakBank AED'!$A$3,"Mese",6,"Tipologia",$A165,"Viaggio",$A$157))
-IF(ISERROR(GETPIVOTDATA("Somma di AVERE EUR",'Pivot RakBank AED'!$A$3,"Mese",6,"Tipologia",$A165,"Viaggio",$A$157)),0,GETPIVOTDATA("Somma di AVERE EUR",'Pivot RakBank AED'!$A$3,"Mese",6,"Tipologia",$A165,"Viaggio",$A$157))</f>
        <v>0</v>
      </c>
      <c r="I165" s="270">
        <f>IF(ISERROR(GETPIVOTDATA("Somma di DARE",'Pivot Fineco Sa'!$A$3,"Mese",7,"Tipologia",$A165,"Viaggio",$A$157)),0,GETPIVOTDATA("Somma di DARE",'Pivot Fineco Sa'!$A$3,"Mese",7,"Tipologia",$A165,"Viaggio",$A$157))
+IF(ISERROR(GETPIVOTDATA("Somma di DARE",'Pivot Fineco St'!$A$3,"Mese",7,"Tipologia",$A165,"Viaggio",$A$157)),0,GETPIVOTDATA("Somma di DARE",'Pivot Fineco St'!$A$3,"Mese",7,"Tipologia",$A165,"Viaggio",$A$157))
+IF(Contanti!$AC46='Conto Economico'!$A$157,Contanti!$Z46)
+IF(ISERROR(GETPIVOTDATA("Somma di DARE",'Pivot BBVA'!$A$3,"Mese",7,"Tipologia",$A165,"Viaggio",$A$157)),0,GETPIVOTDATA("Somma di DARE",'Pivot BBVA'!$A$3,"Mese",7,"Tipologia",$A165,"Viaggio",$A$157))
+IF(ISERROR(GETPIVOTDATA("Somma di DARE",'Pivot Amex'!$A$3,"Mese",7,"Tipologia",$A165,"Viaggio",$A$157)),0,GETPIVOTDATA("Somma di DARE",'Pivot Amex'!$A$3,"Mese",7,"Tipologia",$A165,"Viaggio",$A$157))
-IF(ISERROR(GETPIVOTDATA("Somma di AVERE",'Pivot Amex'!$A$3,"Mese",7,"Tipologia",$A165,"Viaggio",$A$157)),0,GETPIVOTDATA("Somma di AVERE",'Pivot Amex'!$A$3,"Mese",7,"Tipologia",$A165,"Viaggio",$A$157))
-IF(ISERROR(GETPIVOTDATA("Somma di AVERE",'Pivot BBVA'!$A$3,"Mese",7,"Tipologia",$A165,"Viaggio",$A$157)),0,GETPIVOTDATA("Somma di AVERE",'Pivot BBVA'!$A$3,"Mese",7,"Tipologia",$A165,"Viaggio",$A$157))
-IF(ISERROR(GETPIVOTDATA("Somma di AVERE",'Pivot Fineco St'!$A$3,"Mese",7,"Tipologia",$A165,"Viaggio",$A$157)),0,GETPIVOTDATA("Somma di AVERE",'Pivot Fineco St'!$A$3,"Mese",7,"Tipologia",$A165,"Viaggio",$A$157))
-IF(ISERROR(GETPIVOTDATA("Somma di AVERE",'Pivot Fineco Sa'!$A$3,"Mese",7,"Tipologia",$A165,"Viaggio",$A$157)),0,GETPIVOTDATA("Somma di AVERE",'Pivot Fineco Sa'!$A$3,"Mese",7,"Tipologia",$A165,"Viaggio",$A$157))
+IF(ISERROR(GETPIVOTDATA("Somma di DARE",'Pivot PP Visa'!$A$3,"Mese",7,"Tipologia",$A165,"Viaggio",$A$157)),0,GETPIVOTDATA("Somma di DARE",'Pivot PP Visa'!$A$3,"Mese",7,"Tipologia",$A165,"Viaggio",$A$157))
-IF(ISERROR(GETPIVOTDATA("Somma di AVERE",'Pivot PP Visa'!$A$3,"Mese",7,"Tipologia",$A165,"Viaggio",$A$157)),0,GETPIVOTDATA("Somma di AVERE",'Pivot PP Visa'!$A$3,"Mese",7,"Tipologia",$A165,"Viaggio",$A$157))
+IF(ISERROR(GETPIVOTDATA("Somma di DARE",'Pivot Revolut'!$A$3,"Mese",7,"Tipologia",$A165,"Viaggio",$A$157)),0,GETPIVOTDATA("Somma di DARE",'Pivot Revolut'!$A$3,"Mese",7,"Tipologia",$A165,"Viaggio",$A$157))
-IF(ISERROR(GETPIVOTDATA("Somma di AVERE",'Pivot Revolut'!$A$3,"Mese",7,"Tipologia",$A165,"Viaggio",$A$157)),0,GETPIVOTDATA("Somma di AVERE",'Pivot Revolut'!$A$3,"Mese",7,"Tipologia",$A165,"Viaggio",$A$157))
+IF(ISERROR(GETPIVOTDATA("Somma di DARE",'Pivot RakBank EUR'!$A$3,"Mese",7,"Tipologia",$A165,"Viaggio",$A$157)),0,GETPIVOTDATA("Somma di DARE",'Pivot RakBank EUR'!$A$3,"Mese",7,"Tipologia",$A165,"Viaggio",$A$157))
-IF(ISERROR(GETPIVOTDATA("Somma di AVERE",'Pivot RakBank EUR'!$A$3,"Mese",7,"Tipologia",$A165,"Viaggio",$A$157)),0,GETPIVOTDATA("Somma di AVERE",'Pivot RakBank EUR'!$A$3,"Mese",7,"Tipologia",$A165,"Viaggio",$A$157))
+IF(ISERROR(GETPIVOTDATA("Somma di DARE EUR",'Pivot RakBank AED'!$A$3,"Mese",7,"Tipologia",$A165,"Viaggio",$A$157)),0,GETPIVOTDATA("Somma di DARE EUR",'Pivot RakBank AED'!$A$3,"Mese",7,"Tipologia",$A165,"Viaggio",$A$157))
-IF(ISERROR(GETPIVOTDATA("Somma di AVERE EUR",'Pivot RakBank AED'!$A$3,"Mese",7,"Tipologia",$A165,"Viaggio",$A$157)),0,GETPIVOTDATA("Somma di AVERE EUR",'Pivot RakBank AED'!$A$3,"Mese",7,"Tipologia",$A165,"Viaggio",$A$157))</f>
        <v>0</v>
      </c>
      <c r="J165" s="270">
        <f>IF(ISERROR(GETPIVOTDATA("Somma di DARE",'Pivot Fineco Sa'!$A$3,"Mese",8,"Tipologia",$A165,"Viaggio",$A$157)),0,GETPIVOTDATA("Somma di DARE",'Pivot Fineco Sa'!$A$3,"Mese",8,"Tipologia",$A165,"Viaggio",$A$157))
+IF(ISERROR(GETPIVOTDATA("Somma di DARE",'Pivot Fineco St'!$A$3,"Mese",8,"Tipologia",$A165,"Viaggio",$A$157)),0,GETPIVOTDATA("Somma di DARE",'Pivot Fineco St'!$A$3,"Mese",8,"Tipologia",$A165,"Viaggio",$A$157))
+IF(Contanti!$AG46='Conto Economico'!$A$157,Contanti!$AD46)
+IF(ISERROR(GETPIVOTDATA("Somma di DARE",'Pivot BBVA'!$A$3,"Mese",8,"Tipologia",$A165,"Viaggio",$A$157)),0,GETPIVOTDATA("Somma di DARE",'Pivot BBVA'!$A$3,"Mese",8,"Tipologia",$A165,"Viaggio",$A$157))
+IF(ISERROR(GETPIVOTDATA("Somma di DARE",'Pivot Amex'!$A$3,"Mese",8,"Tipologia",$A165,"Viaggio",$A$157)),0,GETPIVOTDATA("Somma di DARE",'Pivot Amex'!$A$3,"Mese",8,"Tipologia",$A165,"Viaggio",$A$157))
-IF(ISERROR(GETPIVOTDATA("Somma di AVERE",'Pivot Amex'!$A$3,"Mese",8,"Tipologia",$A165,"Viaggio",$A$157)),0,GETPIVOTDATA("Somma di AVERE",'Pivot Amex'!$A$3,"Mese",8,"Tipologia",$A165,"Viaggio",$A$157))
-IF(ISERROR(GETPIVOTDATA("Somma di AVERE",'Pivot BBVA'!$A$3,"Mese",8,"Tipologia",$A165,"Viaggio",$A$157)),0,GETPIVOTDATA("Somma di AVERE",'Pivot BBVA'!$A$3,"Mese",8,"Tipologia",$A165,"Viaggio",$A$157))
-IF(ISERROR(GETPIVOTDATA("Somma di AVERE",'Pivot Fineco St'!$A$3,"Mese",8,"Tipologia",$A165,"Viaggio",$A$157)),0,GETPIVOTDATA("Somma di AVERE",'Pivot Fineco St'!$A$3,"Mese",8,"Tipologia",$A165,"Viaggio",$A$157))
-IF(ISERROR(GETPIVOTDATA("Somma di AVERE",'Pivot Fineco Sa'!$A$3,"Mese",8,"Tipologia",$A165,"Viaggio",$A$157)),0,GETPIVOTDATA("Somma di AVERE",'Pivot Fineco Sa'!$A$3,"Mese",8,"Tipologia",$A165,"Viaggio",$A$157))
+IF(ISERROR(GETPIVOTDATA("Somma di DARE",'Pivot PP Visa'!$A$3,"Mese",8,"Tipologia",$A165,"Viaggio",$A$157)),0,GETPIVOTDATA("Somma di DARE",'Pivot PP Visa'!$A$3,"Mese",8,"Tipologia",$A165,"Viaggio",$A$157))
-IF(ISERROR(GETPIVOTDATA("Somma di AVERE",'Pivot PP Visa'!$A$3,"Mese",8,"Tipologia",$A165,"Viaggio",$A$157)),0,GETPIVOTDATA("Somma di AVERE",'Pivot PP Visa'!$A$3,"Mese",8,"Tipologia",$A165,"Viaggio",$A$157))
+IF(ISERROR(GETPIVOTDATA("Somma di DARE",'Pivot Revolut'!$A$3,"Mese",8,"Tipologia",$A165,"Viaggio",$A$157)),0,GETPIVOTDATA("Somma di DARE",'Pivot Revolut'!$A$3,"Mese",8,"Tipologia",$A165,"Viaggio",$A$157))
-IF(ISERROR(GETPIVOTDATA("Somma di AVERE",'Pivot Revolut'!$A$3,"Mese",8,"Tipologia",$A165,"Viaggio",$A$157)),0,GETPIVOTDATA("Somma di AVERE",'Pivot Revolut'!$A$3,"Mese",8,"Tipologia",$A165,"Viaggio",$A$157))
+IF(ISERROR(GETPIVOTDATA("Somma di DARE",'Pivot RakBank EUR'!$A$3,"Mese",8,"Tipologia",$A165,"Viaggio",$A$157)),0,GETPIVOTDATA("Somma di DARE",'Pivot RakBank EUR'!$A$3,"Mese",8,"Tipologia",$A165,"Viaggio",$A$157))
-IF(ISERROR(GETPIVOTDATA("Somma di AVERE",'Pivot RakBank EUR'!$A$3,"Mese",8,"Tipologia",$A165,"Viaggio",$A$157)),0,GETPIVOTDATA("Somma di AVERE",'Pivot RakBank EUR'!$A$3,"Mese",8,"Tipologia",$A165,"Viaggio",$A$157))
+IF(ISERROR(GETPIVOTDATA("Somma di DARE EUR",'Pivot RakBank AED'!$A$3,"Mese",8,"Tipologia",$A165,"Viaggio",$A$157)),0,GETPIVOTDATA("Somma di DARE EUR",'Pivot RakBank AED'!$A$3,"Mese",8,"Tipologia",$A165,"Viaggio",$A$157))
-IF(ISERROR(GETPIVOTDATA("Somma di AVERE EUR",'Pivot RakBank AED'!$A$3,"Mese",8,"Tipologia",$A165,"Viaggio",$A$157)),0,GETPIVOTDATA("Somma di AVERE EUR",'Pivot RakBank AED'!$A$3,"Mese",8,"Tipologia",$A165,"Viaggio",$A$157))</f>
        <v>0</v>
      </c>
      <c r="K165" s="270">
        <f>IF(ISERROR(GETPIVOTDATA("Somma di DARE",'Pivot Fineco Sa'!$A$3,"Mese",9,"Tipologia",$A165,"Viaggio",$A$157)),0,GETPIVOTDATA("Somma di DARE",'Pivot Fineco Sa'!$A$3,"Mese",9,"Tipologia",$A165,"Viaggio",$A$157))
+IF(ISERROR(GETPIVOTDATA("Somma di DARE",'Pivot Fineco St'!$A$3,"Mese",9,"Tipologia",$A165,"Viaggio",$A$157)),0,GETPIVOTDATA("Somma di DARE",'Pivot Fineco St'!$A$3,"Mese",9,"Tipologia",$A165,"Viaggio",$A$157))
+IF(Contanti!$AK46='Conto Economico'!$A$157,Contanti!$AH46)
+IF(ISERROR(GETPIVOTDATA("Somma di DARE",'Pivot BBVA'!$A$3,"Mese",9,"Tipologia",$A165,"Viaggio",$A$157)),0,GETPIVOTDATA("Somma di DARE",'Pivot BBVA'!$A$3,"Mese",9,"Tipologia",$A165,"Viaggio",$A$157))
+IF(ISERROR(GETPIVOTDATA("Somma di DARE",'Pivot Amex'!$A$3,"Mese",9,"Tipologia",$A165,"Viaggio",$A$157)),0,GETPIVOTDATA("Somma di DARE",'Pivot Amex'!$A$3,"Mese",9,"Tipologia",$A165,"Viaggio",$A$157))
-IF(ISERROR(GETPIVOTDATA("Somma di AVERE",'Pivot Amex'!$A$3,"Mese",9,"Tipologia",$A165,"Viaggio",$A$157)),0,GETPIVOTDATA("Somma di AVERE",'Pivot Amex'!$A$3,"Mese",9,"Tipologia",$A165,"Viaggio",$A$157))
-IF(ISERROR(GETPIVOTDATA("Somma di AVERE",'Pivot BBVA'!$A$3,"Mese",9,"Tipologia",$A165,"Viaggio",$A$157)),0,GETPIVOTDATA("Somma di AVERE",'Pivot BBVA'!$A$3,"Mese",9,"Tipologia",$A165,"Viaggio",$A$157))
-IF(ISERROR(GETPIVOTDATA("Somma di AVERE",'Pivot Fineco St'!$A$3,"Mese",9,"Tipologia",$A165,"Viaggio",$A$157)),0,GETPIVOTDATA("Somma di AVERE",'Pivot Fineco St'!$A$3,"Mese",9,"Tipologia",$A165,"Viaggio",$A$157))
-IF(ISERROR(GETPIVOTDATA("Somma di AVERE",'Pivot Fineco Sa'!$A$3,"Mese",9,"Tipologia",$A165,"Viaggio",$A$157)),0,GETPIVOTDATA("Somma di AVERE",'Pivot Fineco Sa'!$A$3,"Mese",9,"Tipologia",$A165,"Viaggio",$A$157))
+IF(ISERROR(GETPIVOTDATA("Somma di DARE",'Pivot PP Visa'!$A$3,"Mese",9,"Tipologia",$A165,"Viaggio",$A$157)),0,GETPIVOTDATA("Somma di DARE",'Pivot PP Visa'!$A$3,"Mese",9,"Tipologia",$A165,"Viaggio",$A$157))
-IF(ISERROR(GETPIVOTDATA("Somma di AVERE",'Pivot PP Visa'!$A$3,"Mese",9,"Tipologia",$A165,"Viaggio",$A$157)),0,GETPIVOTDATA("Somma di AVERE",'Pivot PP Visa'!$A$3,"Mese",9,"Tipologia",$A165,"Viaggio",$A$157))
+IF(ISERROR(GETPIVOTDATA("Somma di DARE",'Pivot Revolut'!$A$3,"Mese",9,"Tipologia",$A165,"Viaggio",$A$157)),0,GETPIVOTDATA("Somma di DARE",'Pivot Revolut'!$A$3,"Mese",9,"Tipologia",$A165,"Viaggio",$A$157))
-IF(ISERROR(GETPIVOTDATA("Somma di AVERE",'Pivot Revolut'!$A$3,"Mese",9,"Tipologia",$A165,"Viaggio",$A$157)),0,GETPIVOTDATA("Somma di AVERE",'Pivot Revolut'!$A$3,"Mese",9,"Tipologia",$A165,"Viaggio",$A$157))
+IF(ISERROR(GETPIVOTDATA("Somma di DARE",'Pivot RakBank EUR'!$A$3,"Mese",9,"Tipologia",$A165,"Viaggio",$A$157)),0,GETPIVOTDATA("Somma di DARE",'Pivot RakBank EUR'!$A$3,"Mese",9,"Tipologia",$A165,"Viaggio",$A$157))
-IF(ISERROR(GETPIVOTDATA("Somma di AVERE",'Pivot RakBank EUR'!$A$3,"Mese",9,"Tipologia",$A165,"Viaggio",$A$157)),0,GETPIVOTDATA("Somma di AVERE",'Pivot RakBank EUR'!$A$3,"Mese",9,"Tipologia",$A165,"Viaggio",$A$157))
+IF(ISERROR(GETPIVOTDATA("Somma di DARE EUR",'Pivot RakBank AED'!$A$3,"Mese",9,"Tipologia",$A165,"Viaggio",$A$157)),0,GETPIVOTDATA("Somma di DARE EUR",'Pivot RakBank AED'!$A$3,"Mese",9,"Tipologia",$A165,"Viaggio",$A$157))
-IF(ISERROR(GETPIVOTDATA("Somma di AVERE EUR",'Pivot RakBank AED'!$A$3,"Mese",9,"Tipologia",$A165,"Viaggio",$A$157)),0,GETPIVOTDATA("Somma di AVERE EUR",'Pivot RakBank AED'!$A$3,"Mese",9,"Tipologia",$A165,"Viaggio",$A$157))</f>
        <v>0</v>
      </c>
      <c r="L165" s="270">
        <f>IF(ISERROR(GETPIVOTDATA("Somma di DARE",'Pivot Fineco Sa'!$A$3,"Mese",10,"Tipologia",$A165,"Viaggio",$A$157)),0,GETPIVOTDATA("Somma di DARE",'Pivot Fineco Sa'!$A$3,"Mese",10,"Tipologia",$A165,"Viaggio",$A$157))
+IF(ISERROR(GETPIVOTDATA("Somma di DARE",'Pivot Fineco St'!$A$3,"Mese",10,"Tipologia",$A165,"Viaggio",$A$157)),0,GETPIVOTDATA("Somma di DARE",'Pivot Fineco St'!$A$3,"Mese",10,"Tipologia",$A165,"Viaggio",$A$157))
+IF(Contanti!$AO46='Conto Economico'!$A$157,Contanti!$AL46)
+IF(ISERROR(GETPIVOTDATA("Somma di DARE",'Pivot BBVA'!$A$3,"Mese",10,"Tipologia",$A165,"Viaggio",$A$157)),0,GETPIVOTDATA("Somma di DARE",'Pivot BBVA'!$A$3,"Mese",10,"Tipologia",$A165,"Viaggio",$A$157))
+IF(ISERROR(GETPIVOTDATA("Somma di DARE",'Pivot Amex'!$A$3,"Mese",10,"Tipologia",$A165,"Viaggio",$A$157)),0,GETPIVOTDATA("Somma di DARE",'Pivot Amex'!$A$3,"Mese",10,"Tipologia",$A165,"Viaggio",$A$157))
-IF(ISERROR(GETPIVOTDATA("Somma di AVERE",'Pivot Amex'!$A$3,"Mese",10,"Tipologia",$A165,"Viaggio",$A$157)),0,GETPIVOTDATA("Somma di AVERE",'Pivot Amex'!$A$3,"Mese",10,"Tipologia",$A165,"Viaggio",$A$157))
-IF(ISERROR(GETPIVOTDATA("Somma di AVERE",'Pivot BBVA'!$A$3,"Mese",10,"Tipologia",$A165,"Viaggio",$A$157)),0,GETPIVOTDATA("Somma di AVERE",'Pivot BBVA'!$A$3,"Mese",10,"Tipologia",$A165,"Viaggio",$A$157))
-IF(ISERROR(GETPIVOTDATA("Somma di AVERE",'Pivot Fineco St'!$A$3,"Mese",10,"Tipologia",$A165,"Viaggio",$A$157)),0,GETPIVOTDATA("Somma di AVERE",'Pivot Fineco St'!$A$3,"Mese",10,"Tipologia",$A165,"Viaggio",$A$157))
-IF(ISERROR(GETPIVOTDATA("Somma di AVERE",'Pivot Fineco Sa'!$A$3,"Mese",10,"Tipologia",$A165,"Viaggio",$A$157)),0,GETPIVOTDATA("Somma di AVERE",'Pivot Fineco Sa'!$A$3,"Mese",10,"Tipologia",$A165,"Viaggio",$A$157))
+IF(ISERROR(GETPIVOTDATA("Somma di DARE",'Pivot PP Visa'!$A$3,"Mese",10,"Tipologia",$A165,"Viaggio",$A$157)),0,GETPIVOTDATA("Somma di DARE",'Pivot PP Visa'!$A$3,"Mese",10,"Tipologia",$A165,"Viaggio",$A$157))
-IF(ISERROR(GETPIVOTDATA("Somma di AVERE",'Pivot PP Visa'!$A$3,"Mese",10,"Tipologia",$A165,"Viaggio",$A$157)),0,GETPIVOTDATA("Somma di AVERE",'Pivot PP Visa'!$A$3,"Mese",10,"Tipologia",$A165,"Viaggio",$A$157))
+IF(ISERROR(GETPIVOTDATA("Somma di DARE",'Pivot Revolut'!$A$3,"Mese",10,"Tipologia",$A165,"Viaggio",$A$157)),0,GETPIVOTDATA("Somma di DARE",'Pivot Revolut'!$A$3,"Mese",10,"Tipologia",$A165,"Viaggio",$A$157))
-IF(ISERROR(GETPIVOTDATA("Somma di AVERE",'Pivot Revolut'!$A$3,"Mese",10,"Tipologia",$A165,"Viaggio",$A$157)),0,GETPIVOTDATA("Somma di AVERE",'Pivot Revolut'!$A$3,"Mese",10,"Tipologia",$A165,"Viaggio",$A$157))
+IF(ISERROR(GETPIVOTDATA("Somma di DARE",'Pivot RakBank EUR'!$A$3,"Mese",10,"Tipologia",$A165,"Viaggio",$A$157)),0,GETPIVOTDATA("Somma di DARE",'Pivot RakBank EUR'!$A$3,"Mese",10,"Tipologia",$A165,"Viaggio",$A$157))
-IF(ISERROR(GETPIVOTDATA("Somma di AVERE",'Pivot RakBank EUR'!$A$3,"Mese",10,"Tipologia",$A165,"Viaggio",$A$157)),0,GETPIVOTDATA("Somma di AVERE",'Pivot RakBank EUR'!$A$3,"Mese",10,"Tipologia",$A165,"Viaggio",$A$157))
+IF(ISERROR(GETPIVOTDATA("Somma di DARE EUR",'Pivot RakBank AED'!$A$3,"Mese",10,"Tipologia",$A165,"Viaggio",$A$157)),0,GETPIVOTDATA("Somma di DARE EUR",'Pivot RakBank AED'!$A$3,"Mese",10,"Tipologia",$A165,"Viaggio",$A$157))
-IF(ISERROR(GETPIVOTDATA("Somma di AVERE EUR",'Pivot RakBank AED'!$A$3,"Mese",10,"Tipologia",$A165,"Viaggio",$A$157)),0,GETPIVOTDATA("Somma di AVERE EUR",'Pivot RakBank AED'!$A$3,"Mese",10,"Tipologia",$A165,"Viaggio",$A$157))</f>
        <v>0</v>
      </c>
      <c r="M165" s="270">
        <f>IF(ISERROR(GETPIVOTDATA("Somma di DARE",'Pivot Fineco Sa'!$A$3,"Mese",11,"Tipologia",$A165,"Viaggio",$A$157)),0,GETPIVOTDATA("Somma di DARE",'Pivot Fineco Sa'!$A$3,"Mese",11,"Tipologia",$A165,"Viaggio",$A$157))
+IF(ISERROR(GETPIVOTDATA("Somma di DARE",'Pivot Fineco St'!$A$3,"Mese",11,"Tipologia",$A165,"Viaggio",$A$157)),0,GETPIVOTDATA("Somma di DARE",'Pivot Fineco St'!$A$3,"Mese",11,"Tipologia",$A165,"Viaggio",$A$157))
+IF(Contanti!$AS46='Conto Economico'!$A$157,Contanti!$AP46)
+IF(ISERROR(GETPIVOTDATA("Somma di DARE",'Pivot BBVA'!$A$3,"Mese",11,"Tipologia",$A165,"Viaggio",$A$157)),0,GETPIVOTDATA("Somma di DARE",'Pivot BBVA'!$A$3,"Mese",11,"Tipologia",$A165,"Viaggio",$A$157))
+IF(ISERROR(GETPIVOTDATA("Somma di DARE",'Pivot Amex'!$A$3,"Mese",11,"Tipologia",$A165,"Viaggio",$A$157)),0,GETPIVOTDATA("Somma di DARE",'Pivot Amex'!$A$3,"Mese",11,"Tipologia",$A165,"Viaggio",$A$157))
-IF(ISERROR(GETPIVOTDATA("Somma di AVERE",'Pivot Amex'!$A$3,"Mese",11,"Tipologia",$A165,"Viaggio",$A$157)),0,GETPIVOTDATA("Somma di AVERE",'Pivot Amex'!$A$3,"Mese",11,"Tipologia",$A165,"Viaggio",$A$157))
-IF(ISERROR(GETPIVOTDATA("Somma di AVERE",'Pivot BBVA'!$A$3,"Mese",11,"Tipologia",$A165,"Viaggio",$A$157)),0,GETPIVOTDATA("Somma di AVERE",'Pivot BBVA'!$A$3,"Mese",11,"Tipologia",$A165,"Viaggio",$A$157))
-IF(ISERROR(GETPIVOTDATA("Somma di AVERE",'Pivot Fineco St'!$A$3,"Mese",11,"Tipologia",$A165,"Viaggio",$A$157)),0,GETPIVOTDATA("Somma di AVERE",'Pivot Fineco St'!$A$3,"Mese",11,"Tipologia",$A165,"Viaggio",$A$157))
-IF(ISERROR(GETPIVOTDATA("Somma di AVERE",'Pivot Fineco Sa'!$A$3,"Mese",11,"Tipologia",$A165,"Viaggio",$A$157)),0,GETPIVOTDATA("Somma di AVERE",'Pivot Fineco Sa'!$A$3,"Mese",11,"Tipologia",$A165,"Viaggio",$A$157))
+IF(ISERROR(GETPIVOTDATA("Somma di DARE",'Pivot PP Visa'!$A$3,"Mese",11,"Tipologia",$A165,"Viaggio",$A$157)),0,GETPIVOTDATA("Somma di DARE",'Pivot PP Visa'!$A$3,"Mese",11,"Tipologia",$A165,"Viaggio",$A$157))
-IF(ISERROR(GETPIVOTDATA("Somma di AVERE",'Pivot PP Visa'!$A$3,"Mese",11,"Tipologia",$A165,"Viaggio",$A$157)),0,GETPIVOTDATA("Somma di AVERE",'Pivot PP Visa'!$A$3,"Mese",11,"Tipologia",$A165,"Viaggio",$A$157))
+IF(ISERROR(GETPIVOTDATA("Somma di DARE",'Pivot Revolut'!$A$3,"Mese",11,"Tipologia",$A165,"Viaggio",$A$157)),0,GETPIVOTDATA("Somma di DARE",'Pivot Revolut'!$A$3,"Mese",11,"Tipologia",$A165,"Viaggio",$A$157))
-IF(ISERROR(GETPIVOTDATA("Somma di AVERE",'Pivot Revolut'!$A$3,"Mese",11,"Tipologia",$A165,"Viaggio",$A$157)),0,GETPIVOTDATA("Somma di AVERE",'Pivot Revolut'!$A$3,"Mese",11,"Tipologia",$A165,"Viaggio",$A$157))
+IF(ISERROR(GETPIVOTDATA("Somma di DARE",'Pivot RakBank EUR'!$A$3,"Mese",11,"Tipologia",$A165,"Viaggio",$A$157)),0,GETPIVOTDATA("Somma di DARE",'Pivot RakBank EUR'!$A$3,"Mese",11,"Tipologia",$A165,"Viaggio",$A$157))
-IF(ISERROR(GETPIVOTDATA("Somma di AVERE",'Pivot RakBank EUR'!$A$3,"Mese",11,"Tipologia",$A165,"Viaggio",$A$157)),0,GETPIVOTDATA("Somma di AVERE",'Pivot RakBank EUR'!$A$3,"Mese",11,"Tipologia",$A165,"Viaggio",$A$157))
+IF(ISERROR(GETPIVOTDATA("Somma di DARE EUR",'Pivot RakBank AED'!$A$3,"Mese",11,"Tipologia",$A165,"Viaggio",$A$157)),0,GETPIVOTDATA("Somma di DARE EUR",'Pivot RakBank AED'!$A$3,"Mese",11,"Tipologia",$A165,"Viaggio",$A$157))
-IF(ISERROR(GETPIVOTDATA("Somma di AVERE EUR",'Pivot RakBank AED'!$A$3,"Mese",11,"Tipologia",$A165,"Viaggio",$A$157)),0,GETPIVOTDATA("Somma di AVERE EUR",'Pivot RakBank AED'!$A$3,"Mese",11,"Tipologia",$A165,"Viaggio",$A$157))</f>
        <v>0</v>
      </c>
      <c r="N165" s="270">
        <f>IF(ISERROR(GETPIVOTDATA("Somma di DARE",'Pivot Fineco Sa'!$A$3,"Mese",12,"Tipologia",$A165,"Viaggio",$A$157)),0,GETPIVOTDATA("Somma di DARE",'Pivot Fineco Sa'!$A$3,"Mese",12,"Tipologia",$A165,"Viaggio",$A$157))
+IF(ISERROR(GETPIVOTDATA("Somma di DARE",'Pivot Fineco St'!$A$3,"Mese",12,"Tipologia",$A165,"Viaggio",$A$157)),0,GETPIVOTDATA("Somma di DARE",'Pivot Fineco St'!$A$3,"Mese",12,"Tipologia",$A165,"Viaggio",$A$157))
+IF(Contanti!$AW46='Conto Economico'!$A$157,Contanti!$AT46)
+IF(ISERROR(GETPIVOTDATA("Somma di DARE",'Pivot BBVA'!$A$3,"Mese",12,"Tipologia",$A165,"Viaggio",$A$157)),0,GETPIVOTDATA("Somma di DARE",'Pivot BBVA'!$A$3,"Mese",12,"Tipologia",$A165,"Viaggio",$A$157))
+IF(ISERROR(GETPIVOTDATA("Somma di DARE",'Pivot Amex'!$A$3,"Mese",12,"Tipologia",$A165,"Viaggio",$A$157)),0,GETPIVOTDATA("Somma di DARE",'Pivot Amex'!$A$3,"Mese",12,"Tipologia",$A165,"Viaggio",$A$157))
-IF(ISERROR(GETPIVOTDATA("Somma di AVERE",'Pivot Amex'!$A$3,"Mese",12,"Tipologia",$A165,"Viaggio",$A$157)),0,GETPIVOTDATA("Somma di AVERE",'Pivot Amex'!$A$3,"Mese",12,"Tipologia",$A165,"Viaggio",$A$157))
-IF(ISERROR(GETPIVOTDATA("Somma di AVERE",'Pivot BBVA'!$A$3,"Mese",12,"Tipologia",$A165,"Viaggio",$A$157)),0,GETPIVOTDATA("Somma di AVERE",'Pivot BBVA'!$A$3,"Mese",12,"Tipologia",$A165,"Viaggio",$A$157))
-IF(ISERROR(GETPIVOTDATA("Somma di AVERE",'Pivot Fineco St'!$A$3,"Mese",12,"Tipologia",$A165,"Viaggio",$A$157)),0,GETPIVOTDATA("Somma di AVERE",'Pivot Fineco St'!$A$3,"Mese",12,"Tipologia",$A165,"Viaggio",$A$157))
-IF(ISERROR(GETPIVOTDATA("Somma di AVERE",'Pivot Fineco Sa'!$A$3,"Mese",12,"Tipologia",$A165,"Viaggio",$A$157)),0,GETPIVOTDATA("Somma di AVERE",'Pivot Fineco Sa'!$A$3,"Mese",12,"Tipologia",$A165,"Viaggio",$A$157))
+IF(ISERROR(GETPIVOTDATA("Somma di DARE",'Pivot PP Visa'!$A$3,"Mese",12,"Tipologia",$A165,"Viaggio",$A$157)),0,GETPIVOTDATA("Somma di DARE",'Pivot PP Visa'!$A$3,"Mese",12,"Tipologia",$A165,"Viaggio",$A$157))
-IF(ISERROR(GETPIVOTDATA("Somma di AVERE",'Pivot PP Visa'!$A$3,"Mese",12,"Tipologia",$A165,"Viaggio",$A$157)),0,GETPIVOTDATA("Somma di AVERE",'Pivot PP Visa'!$A$3,"Mese",12,"Tipologia",$A165,"Viaggio",$A$157))
+IF(ISERROR(GETPIVOTDATA("Somma di DARE",'Pivot Revolut'!$A$3,"Mese",12,"Tipologia",$A165,"Viaggio",$A$157)),0,GETPIVOTDATA("Somma di DARE",'Pivot Revolut'!$A$3,"Mese",12,"Tipologia",$A165,"Viaggio",$A$157))
-IF(ISERROR(GETPIVOTDATA("Somma di AVERE",'Pivot Revolut'!$A$3,"Mese",12,"Tipologia",$A165,"Viaggio",$A$157)),0,GETPIVOTDATA("Somma di AVERE",'Pivot Revolut'!$A$3,"Mese",12,"Tipologia",$A165,"Viaggio",$A$157))
+IF(ISERROR(GETPIVOTDATA("Somma di DARE",'Pivot RakBank EUR'!$A$3,"Mese",12,"Tipologia",$A165,"Viaggio",$A$157)),0,GETPIVOTDATA("Somma di DARE",'Pivot RakBank EUR'!$A$3,"Mese",12,"Tipologia",$A165,"Viaggio",$A$157))
-IF(ISERROR(GETPIVOTDATA("Somma di AVERE",'Pivot RakBank EUR'!$A$3,"Mese",12,"Tipologia",$A165,"Viaggio",$A$157)),0,GETPIVOTDATA("Somma di AVERE",'Pivot RakBank EUR'!$A$3,"Mese",12,"Tipologia",$A165,"Viaggio",$A$157))
+IF(ISERROR(GETPIVOTDATA("Somma di DARE EUR",'Pivot RakBank AED'!$A$3,"Mese",12,"Tipologia",$A165,"Viaggio",$A$157)),0,GETPIVOTDATA("Somma di DARE EUR",'Pivot RakBank AED'!$A$3,"Mese",12,"Tipologia",$A165,"Viaggio",$A$157))
-IF(ISERROR(GETPIVOTDATA("Somma di AVERE EUR",'Pivot RakBank AED'!$A$3,"Mese",12,"Tipologia",$A165,"Viaggio",$A$157)),0,GETPIVOTDATA("Somma di AVERE EUR",'Pivot RakBank AED'!$A$3,"Mese",12,"Tipologia",$A165,"Viaggio",$A$157))</f>
        <v>0</v>
      </c>
      <c r="O165" s="271">
        <f t="shared" si="21"/>
        <v>0</v>
      </c>
      <c r="P165" s="270"/>
    </row>
    <row r="166" spans="1:16" s="131" customFormat="1" ht="14" outlineLevel="1" x14ac:dyDescent="0.2">
      <c r="A166" s="269" t="s">
        <v>101</v>
      </c>
      <c r="B166" s="269"/>
      <c r="C166" s="270">
        <f>IF(ISERROR(GETPIVOTDATA("Somma di DARE",'Pivot Fineco Sa'!$A$3,"Mese",1,"Tipologia",$A166,"Viaggio",$A$157)),0,GETPIVOTDATA("Somma di DARE",'Pivot Fineco Sa'!$A$3,"Mese",1,"Tipologia",$A166,"Viaggio",$A$157))
+IF(ISERROR(GETPIVOTDATA("Somma di DARE",'Pivot Fineco St'!$A$3,"Mese",1,"Tipologia",$A166,"Viaggio",$A$157)),0,GETPIVOTDATA("Somma di DARE",'Pivot Fineco St'!$A$3,"Mese",1,"Tipologia",$A166,"Viaggio",$A$157))
+IF(Contanti!$E47='Conto Economico'!$A$157,Contanti!$B47)
+IF(ISERROR(GETPIVOTDATA("Somma di DARE",'Pivot BBVA'!$A$3,"Mese",1,"Tipologia",$A166,"Viaggio",$A$157)),0,GETPIVOTDATA("Somma di DARE",'Pivot BBVA'!$A$3,"Mese",1,"Tipologia",$A166,"Viaggio",$A$157))
+IF(ISERROR(GETPIVOTDATA("Somma di DARE",'Pivot Amex'!$A$3,"Mese",1,"Tipologia",$A166,"Viaggio",$A$157)),0,GETPIVOTDATA("Somma di DARE",'Pivot Amex'!$A$3,"Mese",1,"Tipologia",$A166,"Viaggio",$A$157))
-IF(ISERROR(GETPIVOTDATA("Somma di AVERE",'Pivot Amex'!$A$3,"Mese",1,"Tipologia",$A166,"Viaggio",$A$157)),0,GETPIVOTDATA("Somma di AVERE",'Pivot Amex'!$A$3,"Mese",1,"Tipologia",$A166,"Viaggio",$A$157))
-IF(ISERROR(GETPIVOTDATA("Somma di AVERE",'Pivot BBVA'!$A$3,"Mese",1,"Tipologia",$A166,"Viaggio",$A$157)),0,GETPIVOTDATA("Somma di AVERE",'Pivot BBVA'!$A$3,"Mese",1,"Tipologia",$A166,"Viaggio",$A$157))
-IF(ISERROR(GETPIVOTDATA("Somma di AVERE",'Pivot Fineco St'!$A$3,"Mese",1,"Tipologia",$A166,"Viaggio",$A$157)),0,GETPIVOTDATA("Somma di AVERE",'Pivot Fineco St'!$A$3,"Mese",1,"Tipologia",$A166,"Viaggio",$A$157))
-IF(ISERROR(GETPIVOTDATA("Somma di AVERE",'Pivot Fineco Sa'!$A$3,"Mese",1,"Tipologia",$A166,"Viaggio",$A$157)),0,GETPIVOTDATA("Somma di AVERE",'Pivot Fineco Sa'!$A$3,"Mese",1,"Tipologia",$A166,"Viaggio",$A$157))
+IF(ISERROR(GETPIVOTDATA("Somma di DARE",'Pivot PP Visa'!$A$3,"Mese",1,"Tipologia",$A166,"Viaggio",$A$157)),0,GETPIVOTDATA("Somma di DARE",'Pivot PP Visa'!$A$3,"Mese",1,"Tipologia",$A166,"Viaggio",$A$157))
-IF(ISERROR(GETPIVOTDATA("Somma di AVERE",'Pivot PP Visa'!$A$3,"Mese",1,"Tipologia",$A166,"Viaggio",$A$157)),0,GETPIVOTDATA("Somma di AVERE",'Pivot PP Visa'!$A$3,"Mese",1,"Tipologia",$A166,"Viaggio",$A$157))
+IF(ISERROR(GETPIVOTDATA("Somma di DARE",'Pivot Revolut'!$A$3,"Mese",1,"Tipologia",$A166,"Viaggio",$A$157)),0,GETPIVOTDATA("Somma di DARE",'Pivot Revolut'!$A$3,"Mese",1,"Tipologia",$A166,"Viaggio",$A$157))
-IF(ISERROR(GETPIVOTDATA("Somma di AVERE",'Pivot Revolut'!$A$3,"Mese",1,"Tipologia",$A166,"Viaggio",$A$157)),0,GETPIVOTDATA("Somma di AVERE",'Pivot Revolut'!$A$3,"Mese",1,"Tipologia",$A166,"Viaggio",$A$157))
+IF(ISERROR(GETPIVOTDATA("Somma di DARE",'Pivot RakBank EUR'!$A$3,"Mese",1,"Tipologia",$A166,"Viaggio",$A$157)),0,GETPIVOTDATA("Somma di DARE",'Pivot RakBank EUR'!$A$3,"Mese",1,"Tipologia",$A166,"Viaggio",$A$157))
-IF(ISERROR(GETPIVOTDATA("Somma di AVERE",'Pivot RakBank EUR'!$A$3,"Mese",1,"Tipologia",$A166,"Viaggio",$A$157)),0,GETPIVOTDATA("Somma di AVERE",'Pivot RakBank EUR'!$A$3,"Mese",1,"Tipologia",$A166,"Viaggio",$A$157))
+IF(ISERROR(GETPIVOTDATA("Somma di DARE EUR",'Pivot RakBank AED'!$A$3,"Mese",1,"Tipologia",$A166,"Viaggio",$A$157)),0,GETPIVOTDATA("Somma di DARE EUR",'Pivot RakBank AED'!$A$3,"Mese",1,"Tipologia",$A166,"Viaggio",$A$157))
-IF(ISERROR(GETPIVOTDATA("Somma di AVERE EUR",'Pivot RakBank AED'!$A$3,"Mese",1,"Tipologia",$A166,"Viaggio",$A$157)),0,GETPIVOTDATA("Somma di AVERE EUR",'Pivot RakBank AED'!$A$3,"Mese",1,"Tipologia",$A166,"Viaggio",$A$157))</f>
        <v>0</v>
      </c>
      <c r="D166" s="270">
        <f>IF(ISERROR(GETPIVOTDATA("Somma di DARE",'Pivot Fineco Sa'!$A$3,"Mese",2,"Tipologia",$A166,"Viaggio",$A$157)),0,GETPIVOTDATA("Somma di DARE",'Pivot Fineco Sa'!$A$3,"Mese",2,"Tipologia",$A166,"Viaggio",$A$157))
+IF(ISERROR(GETPIVOTDATA("Somma di DARE",'Pivot Fineco St'!$A$3,"Mese",2,"Tipologia",$A166,"Viaggio",$A$157)),0,GETPIVOTDATA("Somma di DARE",'Pivot Fineco St'!$A$3,"Mese",2,"Tipologia",$A166,"Viaggio",$A$157))
+IF(Contanti!$I47='Conto Economico'!$A$157,Contanti!$F47)
+IF(ISERROR(GETPIVOTDATA("Somma di DARE",'Pivot BBVA'!$A$3,"Mese",2,"Tipologia",$A166,"Viaggio",$A$157)),0,GETPIVOTDATA("Somma di DARE",'Pivot BBVA'!$A$3,"Mese",2,"Tipologia",$A166,"Viaggio",$A$157))
+IF(ISERROR(GETPIVOTDATA("Somma di DARE",'Pivot Amex'!$A$3,"Mese",2,"Tipologia",$A166,"Viaggio",$A$157)),0,GETPIVOTDATA("Somma di DARE",'Pivot Amex'!$A$3,"Mese",2,"Tipologia",$A166,"Viaggio",$A$157))
-IF(ISERROR(GETPIVOTDATA("Somma di AVERE",'Pivot Amex'!$A$3,"Mese",2,"Tipologia",$A166,"Viaggio",$A$157)),0,GETPIVOTDATA("Somma di AVERE",'Pivot Amex'!$A$3,"Mese",2,"Tipologia",$A166,"Viaggio",$A$157))
-IF(ISERROR(GETPIVOTDATA("Somma di AVERE",'Pivot BBVA'!$A$3,"Mese",2,"Tipologia",$A166,"Viaggio",$A$157)),0,GETPIVOTDATA("Somma di AVERE",'Pivot BBVA'!$A$3,"Mese",2,"Tipologia",$A166,"Viaggio",$A$157))
-IF(ISERROR(GETPIVOTDATA("Somma di AVERE",'Pivot Fineco St'!$A$3,"Mese",2,"Tipologia",$A166,"Viaggio",$A$157)),0,GETPIVOTDATA("Somma di AVERE",'Pivot Fineco St'!$A$3,"Mese",2,"Tipologia",$A166,"Viaggio",$A$157))
-IF(ISERROR(GETPIVOTDATA("Somma di AVERE",'Pivot Fineco Sa'!$A$3,"Mese",2,"Tipologia",$A166,"Viaggio",$A$157)),0,GETPIVOTDATA("Somma di AVERE",'Pivot Fineco Sa'!$A$3,"Mese",2,"Tipologia",$A166,"Viaggio",$A$157))
+IF(ISERROR(GETPIVOTDATA("Somma di DARE",'Pivot PP Visa'!$A$3,"Mese",2,"Tipologia",$A166,"Viaggio",$A$157)),0,GETPIVOTDATA("Somma di DARE",'Pivot PP Visa'!$A$3,"Mese",2,"Tipologia",$A166,"Viaggio",$A$157))
-IF(ISERROR(GETPIVOTDATA("Somma di AVERE",'Pivot PP Visa'!$A$3,"Mese",2,"Tipologia",$A166,"Viaggio",$A$157)),0,GETPIVOTDATA("Somma di AVERE",'Pivot PP Visa'!$A$3,"Mese",2,"Tipologia",$A166,"Viaggio",$A$157))
+IF(ISERROR(GETPIVOTDATA("Somma di DARE",'Pivot Revolut'!$A$3,"Mese",2,"Tipologia",$A166,"Viaggio",$A$157)),0,GETPIVOTDATA("Somma di DARE",'Pivot Revolut'!$A$3,"Mese",2,"Tipologia",$A166,"Viaggio",$A$157))
-IF(ISERROR(GETPIVOTDATA("Somma di AVERE",'Pivot Revolut'!$A$3,"Mese",2,"Tipologia",$A166,"Viaggio",$A$157)),0,GETPIVOTDATA("Somma di AVERE",'Pivot Revolut'!$A$3,"Mese",2,"Tipologia",$A166,"Viaggio",$A$157))
+IF(ISERROR(GETPIVOTDATA("Somma di DARE",'Pivot RakBank EUR'!$A$3,"Mese",2,"Tipologia",$A166,"Viaggio",$A$157)),0,GETPIVOTDATA("Somma di DARE",'Pivot RakBank EUR'!$A$3,"Mese",2,"Tipologia",$A166,"Viaggio",$A$157))
-IF(ISERROR(GETPIVOTDATA("Somma di AVERE",'Pivot RakBank EUR'!$A$3,"Mese",2,"Tipologia",$A166,"Viaggio",$A$157)),0,GETPIVOTDATA("Somma di AVERE",'Pivot RakBank EUR'!$A$3,"Mese",2,"Tipologia",$A166,"Viaggio",$A$157))
+IF(ISERROR(GETPIVOTDATA("Somma di DARE EUR",'Pivot RakBank AED'!$A$3,"Mese",2,"Tipologia",$A166,"Viaggio",$A$157)),0,GETPIVOTDATA("Somma di DARE EUR",'Pivot RakBank AED'!$A$3,"Mese",2,"Tipologia",$A166,"Viaggio",$A$157))
-IF(ISERROR(GETPIVOTDATA("Somma di AVERE EUR",'Pivot RakBank AED'!$A$3,"Mese",2,"Tipologia",$A166,"Viaggio",$A$157)),0,GETPIVOTDATA("Somma di AVERE EUR",'Pivot RakBank AED'!$A$3,"Mese",2,"Tipologia",$A166,"Viaggio",$A$157))</f>
        <v>0</v>
      </c>
      <c r="E166" s="270">
        <f>IF(ISERROR(GETPIVOTDATA("Somma di DARE",'Pivot Fineco Sa'!$A$3,"Mese",3,"Tipologia",$A166,"Viaggio",$A$157)),0,GETPIVOTDATA("Somma di DARE",'Pivot Fineco Sa'!$A$3,"Mese",3,"Tipologia",$A166,"Viaggio",$A$157))
+IF(ISERROR(GETPIVOTDATA("Somma di DARE",'Pivot Fineco St'!$A$3,"Mese",3,"Tipologia",$A166,"Viaggio",$A$157)),0,GETPIVOTDATA("Somma di DARE",'Pivot Fineco St'!$A$3,"Mese",3,"Tipologia",$A166,"Viaggio",$A$157))
+IF(Contanti!$M47='Conto Economico'!$A$157,Contanti!$J47)
+IF(ISERROR(GETPIVOTDATA("Somma di DARE",'Pivot BBVA'!$A$3,"Mese",3,"Tipologia",$A166,"Viaggio",$A$157)),0,GETPIVOTDATA("Somma di DARE",'Pivot BBVA'!$A$3,"Mese",3,"Tipologia",$A166,"Viaggio",$A$157))
+IF(ISERROR(GETPIVOTDATA("Somma di DARE",'Pivot Amex'!$A$3,"Mese",3,"Tipologia",$A166,"Viaggio",$A$157)),0,GETPIVOTDATA("Somma di DARE",'Pivot Amex'!$A$3,"Mese",3,"Tipologia",$A166,"Viaggio",$A$157))
-IF(ISERROR(GETPIVOTDATA("Somma di AVERE",'Pivot Amex'!$A$3,"Mese",3,"Tipologia",$A166,"Viaggio",$A$157)),0,GETPIVOTDATA("Somma di AVERE",'Pivot Amex'!$A$3,"Mese",3,"Tipologia",$A166,"Viaggio",$A$157))
-IF(ISERROR(GETPIVOTDATA("Somma di AVERE",'Pivot BBVA'!$A$3,"Mese",3,"Tipologia",$A166,"Viaggio",$A$157)),0,GETPIVOTDATA("Somma di AVERE",'Pivot BBVA'!$A$3,"Mese",3,"Tipologia",$A166,"Viaggio",$A$157))
-IF(ISERROR(GETPIVOTDATA("Somma di AVERE",'Pivot Fineco St'!$A$3,"Mese",3,"Tipologia",$A166,"Viaggio",$A$157)),0,GETPIVOTDATA("Somma di AVERE",'Pivot Fineco St'!$A$3,"Mese",3,"Tipologia",$A166,"Viaggio",$A$157))
-IF(ISERROR(GETPIVOTDATA("Somma di AVERE",'Pivot Fineco Sa'!$A$3,"Mese",3,"Tipologia",$A166,"Viaggio",$A$157)),0,GETPIVOTDATA("Somma di AVERE",'Pivot Fineco Sa'!$A$3,"Mese",3,"Tipologia",$A166,"Viaggio",$A$157))
+IF(ISERROR(GETPIVOTDATA("Somma di DARE",'Pivot PP Visa'!$A$3,"Mese",3,"Tipologia",$A166,"Viaggio",$A$157)),0,GETPIVOTDATA("Somma di DARE",'Pivot PP Visa'!$A$3,"Mese",3,"Tipologia",$A166,"Viaggio",$A$157))
-IF(ISERROR(GETPIVOTDATA("Somma di AVERE",'Pivot PP Visa'!$A$3,"Mese",3,"Tipologia",$A166,"Viaggio",$A$157)),0,GETPIVOTDATA("Somma di AVERE",'Pivot PP Visa'!$A$3,"Mese",3,"Tipologia",$A166,"Viaggio",$A$157))
+IF(ISERROR(GETPIVOTDATA("Somma di DARE",'Pivot Revolut'!$A$3,"Mese",3,"Tipologia",$A166,"Viaggio",$A$157)),0,GETPIVOTDATA("Somma di DARE",'Pivot Revolut'!$A$3,"Mese",3,"Tipologia",$A166,"Viaggio",$A$157))
-IF(ISERROR(GETPIVOTDATA("Somma di AVERE",'Pivot Revolut'!$A$3,"Mese",3,"Tipologia",$A166,"Viaggio",$A$157)),0,GETPIVOTDATA("Somma di AVERE",'Pivot Revolut'!$A$3,"Mese",3,"Tipologia",$A166,"Viaggio",$A$157))
+IF(ISERROR(GETPIVOTDATA("Somma di DARE",'Pivot RakBank EUR'!$A$3,"Mese",3,"Tipologia",$A166,"Viaggio",$A$157)),0,GETPIVOTDATA("Somma di DARE",'Pivot RakBank EUR'!$A$3,"Mese",3,"Tipologia",$A166,"Viaggio",$A$157))
-IF(ISERROR(GETPIVOTDATA("Somma di AVERE",'Pivot RakBank EUR'!$A$3,"Mese",3,"Tipologia",$A166,"Viaggio",$A$157)),0,GETPIVOTDATA("Somma di AVERE",'Pivot RakBank EUR'!$A$3,"Mese",3,"Tipologia",$A166,"Viaggio",$A$157))
+IF(ISERROR(GETPIVOTDATA("Somma di DARE EUR",'Pivot RakBank AED'!$A$3,"Mese",3,"Tipologia",$A166,"Viaggio",$A$157)),0,GETPIVOTDATA("Somma di DARE EUR",'Pivot RakBank AED'!$A$3,"Mese",3,"Tipologia",$A166,"Viaggio",$A$157))
-IF(ISERROR(GETPIVOTDATA("Somma di AVERE EUR",'Pivot RakBank AED'!$A$3,"Mese",3,"Tipologia",$A166,"Viaggio",$A$157)),0,GETPIVOTDATA("Somma di AVERE EUR",'Pivot RakBank AED'!$A$3,"Mese",3,"Tipologia",$A166,"Viaggio",$A$157))</f>
        <v>0</v>
      </c>
      <c r="F166" s="270">
        <f>IF(ISERROR(GETPIVOTDATA("Somma di DARE",'Pivot Fineco Sa'!$A$3,"Mese",4,"Tipologia",$A166,"Viaggio",$A$157)),0,GETPIVOTDATA("Somma di DARE",'Pivot Fineco Sa'!$A$3,"Mese",4,"Tipologia",$A166,"Viaggio",$A$157))
+IF(ISERROR(GETPIVOTDATA("Somma di DARE",'Pivot Fineco St'!$A$3,"Mese",4,"Tipologia",$A166,"Viaggio",$A$157)),0,GETPIVOTDATA("Somma di DARE",'Pivot Fineco St'!$A$3,"Mese",4,"Tipologia",$A166,"Viaggio",$A$157))
+IF(Contanti!$Q47='Conto Economico'!$A$157,Contanti!$N47)
+IF(ISERROR(GETPIVOTDATA("Somma di DARE",'Pivot BBVA'!$A$3,"Mese",4,"Tipologia",$A166,"Viaggio",$A$157)),0,GETPIVOTDATA("Somma di DARE",'Pivot BBVA'!$A$3,"Mese",4,"Tipologia",$A166,"Viaggio",$A$157))
+IF(ISERROR(GETPIVOTDATA("Somma di DARE",'Pivot Amex'!$A$3,"Mese",4,"Tipologia",$A166,"Viaggio",$A$157)),0,GETPIVOTDATA("Somma di DARE",'Pivot Amex'!$A$3,"Mese",4,"Tipologia",$A166,"Viaggio",$A$157))
-IF(ISERROR(GETPIVOTDATA("Somma di AVERE",'Pivot Amex'!$A$3,"Mese",4,"Tipologia",$A166,"Viaggio",$A$157)),0,GETPIVOTDATA("Somma di AVERE",'Pivot Amex'!$A$3,"Mese",4,"Tipologia",$A166,"Viaggio",$A$157))
-IF(ISERROR(GETPIVOTDATA("Somma di AVERE",'Pivot BBVA'!$A$3,"Mese",4,"Tipologia",$A166,"Viaggio",$A$157)),0,GETPIVOTDATA("Somma di AVERE",'Pivot BBVA'!$A$3,"Mese",4,"Tipologia",$A166,"Viaggio",$A$157))
-IF(ISERROR(GETPIVOTDATA("Somma di AVERE",'Pivot Fineco St'!$A$3,"Mese",4,"Tipologia",$A166,"Viaggio",$A$157)),0,GETPIVOTDATA("Somma di AVERE",'Pivot Fineco St'!$A$3,"Mese",4,"Tipologia",$A166,"Viaggio",$A$157))
-IF(ISERROR(GETPIVOTDATA("Somma di AVERE",'Pivot Fineco Sa'!$A$3,"Mese",4,"Tipologia",$A166,"Viaggio",$A$157)),0,GETPIVOTDATA("Somma di AVERE",'Pivot Fineco Sa'!$A$3,"Mese",4,"Tipologia",$A166,"Viaggio",$A$157))
+IF(ISERROR(GETPIVOTDATA("Somma di DARE",'Pivot PP Visa'!$A$3,"Mese",4,"Tipologia",$A166,"Viaggio",$A$157)),0,GETPIVOTDATA("Somma di DARE",'Pivot PP Visa'!$A$3,"Mese",4,"Tipologia",$A166,"Viaggio",$A$157))
-IF(ISERROR(GETPIVOTDATA("Somma di AVERE",'Pivot PP Visa'!$A$3,"Mese",4,"Tipologia",$A166,"Viaggio",$A$157)),0,GETPIVOTDATA("Somma di AVERE",'Pivot PP Visa'!$A$3,"Mese",4,"Tipologia",$A166,"Viaggio",$A$157))
+IF(ISERROR(GETPIVOTDATA("Somma di DARE",'Pivot Revolut'!$A$3,"Mese",4,"Tipologia",$A166,"Viaggio",$A$157)),0,GETPIVOTDATA("Somma di DARE",'Pivot Revolut'!$A$3,"Mese",4,"Tipologia",$A166,"Viaggio",$A$157))
-IF(ISERROR(GETPIVOTDATA("Somma di AVERE",'Pivot Revolut'!$A$3,"Mese",4,"Tipologia",$A166,"Viaggio",$A$157)),0,GETPIVOTDATA("Somma di AVERE",'Pivot Revolut'!$A$3,"Mese",4,"Tipologia",$A166,"Viaggio",$A$157))
+IF(ISERROR(GETPIVOTDATA("Somma di DARE",'Pivot RakBank EUR'!$A$3,"Mese",4,"Tipologia",$A166,"Viaggio",$A$157)),0,GETPIVOTDATA("Somma di DARE",'Pivot RakBank EUR'!$A$3,"Mese",4,"Tipologia",$A166,"Viaggio",$A$157))
-IF(ISERROR(GETPIVOTDATA("Somma di AVERE",'Pivot RakBank EUR'!$A$3,"Mese",4,"Tipologia",$A166,"Viaggio",$A$157)),0,GETPIVOTDATA("Somma di AVERE",'Pivot RakBank EUR'!$A$3,"Mese",4,"Tipologia",$A166,"Viaggio",$A$157))
+IF(ISERROR(GETPIVOTDATA("Somma di DARE EUR",'Pivot RakBank AED'!$A$3,"Mese",4,"Tipologia",$A166,"Viaggio",$A$157)),0,GETPIVOTDATA("Somma di DARE EUR",'Pivot RakBank AED'!$A$3,"Mese",4,"Tipologia",$A166,"Viaggio",$A$157))
-IF(ISERROR(GETPIVOTDATA("Somma di AVERE EUR",'Pivot RakBank AED'!$A$3,"Mese",4,"Tipologia",$A166,"Viaggio",$A$157)),0,GETPIVOTDATA("Somma di AVERE EUR",'Pivot RakBank AED'!$A$3,"Mese",4,"Tipologia",$A166,"Viaggio",$A$157))</f>
        <v>0</v>
      </c>
      <c r="G166" s="270">
        <f>IF(ISERROR(GETPIVOTDATA("Somma di DARE",'Pivot Fineco Sa'!$A$3,"Mese",5,"Tipologia",$A166,"Viaggio",$A$157)),0,GETPIVOTDATA("Somma di DARE",'Pivot Fineco Sa'!$A$3,"Mese",5,"Tipologia",$A166,"Viaggio",$A$157))
+IF(ISERROR(GETPIVOTDATA("Somma di DARE",'Pivot Fineco St'!$A$3,"Mese",5,"Tipologia",$A166,"Viaggio",$A$157)),0,GETPIVOTDATA("Somma di DARE",'Pivot Fineco St'!$A$3,"Mese",5,"Tipologia",$A166,"Viaggio",$A$157))
+IF(Contanti!$U47='Conto Economico'!$A$157,Contanti!$R47)
+IF(ISERROR(GETPIVOTDATA("Somma di DARE",'Pivot BBVA'!$A$3,"Mese",5,"Tipologia",$A166,"Viaggio",$A$157)),0,GETPIVOTDATA("Somma di DARE",'Pivot BBVA'!$A$3,"Mese",5,"Tipologia",$A166,"Viaggio",$A$157))
+IF(ISERROR(GETPIVOTDATA("Somma di DARE",'Pivot Amex'!$A$3,"Mese",5,"Tipologia",$A166,"Viaggio",$A$157)),0,GETPIVOTDATA("Somma di DARE",'Pivot Amex'!$A$3,"Mese",5,"Tipologia",$A166,"Viaggio",$A$157))
-IF(ISERROR(GETPIVOTDATA("Somma di AVERE",'Pivot Amex'!$A$3,"Mese",5,"Tipologia",$A166,"Viaggio",$A$157)),0,GETPIVOTDATA("Somma di AVERE",'Pivot Amex'!$A$3,"Mese",5,"Tipologia",$A166,"Viaggio",$A$157))
-IF(ISERROR(GETPIVOTDATA("Somma di AVERE",'Pivot BBVA'!$A$3,"Mese",5,"Tipologia",$A166,"Viaggio",$A$157)),0,GETPIVOTDATA("Somma di AVERE",'Pivot BBVA'!$A$3,"Mese",5,"Tipologia",$A166,"Viaggio",$A$157))
-IF(ISERROR(GETPIVOTDATA("Somma di AVERE",'Pivot Fineco St'!$A$3,"Mese",5,"Tipologia",$A166,"Viaggio",$A$157)),0,GETPIVOTDATA("Somma di AVERE",'Pivot Fineco St'!$A$3,"Mese",5,"Tipologia",$A166,"Viaggio",$A$157))
-IF(ISERROR(GETPIVOTDATA("Somma di AVERE",'Pivot Fineco Sa'!$A$3,"Mese",5,"Tipologia",$A166,"Viaggio",$A$157)),0,GETPIVOTDATA("Somma di AVERE",'Pivot Fineco Sa'!$A$3,"Mese",5,"Tipologia",$A166,"Viaggio",$A$157))
+IF(ISERROR(GETPIVOTDATA("Somma di DARE",'Pivot PP Visa'!$A$3,"Mese",5,"Tipologia",$A166,"Viaggio",$A$157)),0,GETPIVOTDATA("Somma di DARE",'Pivot PP Visa'!$A$3,"Mese",5,"Tipologia",$A166,"Viaggio",$A$157))
-IF(ISERROR(GETPIVOTDATA("Somma di AVERE",'Pivot PP Visa'!$A$3,"Mese",5,"Tipologia",$A166,"Viaggio",$A$157)),0,GETPIVOTDATA("Somma di AVERE",'Pivot PP Visa'!$A$3,"Mese",5,"Tipologia",$A166,"Viaggio",$A$157))
+IF(ISERROR(GETPIVOTDATA("Somma di DARE",'Pivot Revolut'!$A$3,"Mese",5,"Tipologia",$A166,"Viaggio",$A$157)),0,GETPIVOTDATA("Somma di DARE",'Pivot Revolut'!$A$3,"Mese",5,"Tipologia",$A166,"Viaggio",$A$157))
-IF(ISERROR(GETPIVOTDATA("Somma di AVERE",'Pivot Revolut'!$A$3,"Mese",5,"Tipologia",$A166,"Viaggio",$A$157)),0,GETPIVOTDATA("Somma di AVERE",'Pivot Revolut'!$A$3,"Mese",5,"Tipologia",$A166,"Viaggio",$A$157))
+IF(ISERROR(GETPIVOTDATA("Somma di DARE",'Pivot RakBank EUR'!$A$3,"Mese",5,"Tipologia",$A166,"Viaggio",$A$157)),0,GETPIVOTDATA("Somma di DARE",'Pivot RakBank EUR'!$A$3,"Mese",5,"Tipologia",$A166,"Viaggio",$A$157))
-IF(ISERROR(GETPIVOTDATA("Somma di AVERE",'Pivot RakBank EUR'!$A$3,"Mese",5,"Tipologia",$A166,"Viaggio",$A$157)),0,GETPIVOTDATA("Somma di AVERE",'Pivot RakBank EUR'!$A$3,"Mese",5,"Tipologia",$A166,"Viaggio",$A$157))
+IF(ISERROR(GETPIVOTDATA("Somma di DARE EUR",'Pivot RakBank AED'!$A$3,"Mese",5,"Tipologia",$A166,"Viaggio",$A$157)),0,GETPIVOTDATA("Somma di DARE EUR",'Pivot RakBank AED'!$A$3,"Mese",5,"Tipologia",$A166,"Viaggio",$A$157))
-IF(ISERROR(GETPIVOTDATA("Somma di AVERE EUR",'Pivot RakBank AED'!$A$3,"Mese",5,"Tipologia",$A166,"Viaggio",$A$157)),0,GETPIVOTDATA("Somma di AVERE EUR",'Pivot RakBank AED'!$A$3,"Mese",5,"Tipologia",$A166,"Viaggio",$A$157))</f>
        <v>0</v>
      </c>
      <c r="H166" s="270">
        <f>IF(ISERROR(GETPIVOTDATA("Somma di DARE",'Pivot Fineco Sa'!$A$3,"Mese",6,"Tipologia",$A166,"Viaggio",$A$157)),0,GETPIVOTDATA("Somma di DARE",'Pivot Fineco Sa'!$A$3,"Mese",6,"Tipologia",$A166,"Viaggio",$A$157))
+IF(ISERROR(GETPIVOTDATA("Somma di DARE",'Pivot Fineco St'!$A$3,"Mese",6,"Tipologia",$A166,"Viaggio",$A$157)),0,GETPIVOTDATA("Somma di DARE",'Pivot Fineco St'!$A$3,"Mese",6,"Tipologia",$A166,"Viaggio",$A$157))
+IF(Contanti!$Y47='Conto Economico'!$A$157,Contanti!$V47)
+IF(ISERROR(GETPIVOTDATA("Somma di DARE",'Pivot BBVA'!$A$3,"Mese",6,"Tipologia",$A166,"Viaggio",$A$157)),0,GETPIVOTDATA("Somma di DARE",'Pivot BBVA'!$A$3,"Mese",6,"Tipologia",$A166,"Viaggio",$A$157))
+IF(ISERROR(GETPIVOTDATA("Somma di DARE",'Pivot Amex'!$A$3,"Mese",6,"Tipologia",$A166,"Viaggio",$A$157)),0,GETPIVOTDATA("Somma di DARE",'Pivot Amex'!$A$3,"Mese",6,"Tipologia",$A166,"Viaggio",$A$157))
-IF(ISERROR(GETPIVOTDATA("Somma di AVERE",'Pivot Amex'!$A$3,"Mese",6,"Tipologia",$A166,"Viaggio",$A$157)),0,GETPIVOTDATA("Somma di AVERE",'Pivot Amex'!$A$3,"Mese",6,"Tipologia",$A166,"Viaggio",$A$157))
-IF(ISERROR(GETPIVOTDATA("Somma di AVERE",'Pivot BBVA'!$A$3,"Mese",6,"Tipologia",$A166,"Viaggio",$A$157)),0,GETPIVOTDATA("Somma di AVERE",'Pivot BBVA'!$A$3,"Mese",6,"Tipologia",$A166,"Viaggio",$A$157))
-IF(ISERROR(GETPIVOTDATA("Somma di AVERE",'Pivot Fineco St'!$A$3,"Mese",6,"Tipologia",$A166,"Viaggio",$A$157)),0,GETPIVOTDATA("Somma di AVERE",'Pivot Fineco St'!$A$3,"Mese",6,"Tipologia",$A166,"Viaggio",$A$157))
-IF(ISERROR(GETPIVOTDATA("Somma di AVERE",'Pivot Fineco Sa'!$A$3,"Mese",6,"Tipologia",$A166,"Viaggio",$A$157)),0,GETPIVOTDATA("Somma di AVERE",'Pivot Fineco Sa'!$A$3,"Mese",6,"Tipologia",$A166,"Viaggio",$A$157))
+IF(ISERROR(GETPIVOTDATA("Somma di DARE",'Pivot PP Visa'!$A$3,"Mese",6,"Tipologia",$A166,"Viaggio",$A$157)),0,GETPIVOTDATA("Somma di DARE",'Pivot PP Visa'!$A$3,"Mese",6,"Tipologia",$A166,"Viaggio",$A$157))
-IF(ISERROR(GETPIVOTDATA("Somma di AVERE",'Pivot PP Visa'!$A$3,"Mese",6,"Tipologia",$A166,"Viaggio",$A$157)),0,GETPIVOTDATA("Somma di AVERE",'Pivot PP Visa'!$A$3,"Mese",6,"Tipologia",$A166,"Viaggio",$A$157))
+IF(ISERROR(GETPIVOTDATA("Somma di DARE",'Pivot Revolut'!$A$3,"Mese",6,"Tipologia",$A166,"Viaggio",$A$157)),0,GETPIVOTDATA("Somma di DARE",'Pivot Revolut'!$A$3,"Mese",6,"Tipologia",$A166,"Viaggio",$A$157))
-IF(ISERROR(GETPIVOTDATA("Somma di AVERE",'Pivot Revolut'!$A$3,"Mese",6,"Tipologia",$A166,"Viaggio",$A$157)),0,GETPIVOTDATA("Somma di AVERE",'Pivot Revolut'!$A$3,"Mese",6,"Tipologia",$A166,"Viaggio",$A$157))
+IF(ISERROR(GETPIVOTDATA("Somma di DARE",'Pivot RakBank EUR'!$A$3,"Mese",6,"Tipologia",$A166,"Viaggio",$A$157)),0,GETPIVOTDATA("Somma di DARE",'Pivot RakBank EUR'!$A$3,"Mese",6,"Tipologia",$A166,"Viaggio",$A$157))
-IF(ISERROR(GETPIVOTDATA("Somma di AVERE",'Pivot RakBank EUR'!$A$3,"Mese",6,"Tipologia",$A166,"Viaggio",$A$157)),0,GETPIVOTDATA("Somma di AVERE",'Pivot RakBank EUR'!$A$3,"Mese",6,"Tipologia",$A166,"Viaggio",$A$157))
+IF(ISERROR(GETPIVOTDATA("Somma di DARE EUR",'Pivot RakBank AED'!$A$3,"Mese",6,"Tipologia",$A166,"Viaggio",$A$157)),0,GETPIVOTDATA("Somma di DARE EUR",'Pivot RakBank AED'!$A$3,"Mese",6,"Tipologia",$A166,"Viaggio",$A$157))
-IF(ISERROR(GETPIVOTDATA("Somma di AVERE EUR",'Pivot RakBank AED'!$A$3,"Mese",6,"Tipologia",$A166,"Viaggio",$A$157)),0,GETPIVOTDATA("Somma di AVERE EUR",'Pivot RakBank AED'!$A$3,"Mese",6,"Tipologia",$A166,"Viaggio",$A$157))</f>
        <v>0</v>
      </c>
      <c r="I166" s="270">
        <f>IF(ISERROR(GETPIVOTDATA("Somma di DARE",'Pivot Fineco Sa'!$A$3,"Mese",7,"Tipologia",$A166,"Viaggio",$A$157)),0,GETPIVOTDATA("Somma di DARE",'Pivot Fineco Sa'!$A$3,"Mese",7,"Tipologia",$A166,"Viaggio",$A$157))
+IF(ISERROR(GETPIVOTDATA("Somma di DARE",'Pivot Fineco St'!$A$3,"Mese",7,"Tipologia",$A166,"Viaggio",$A$157)),0,GETPIVOTDATA("Somma di DARE",'Pivot Fineco St'!$A$3,"Mese",7,"Tipologia",$A166,"Viaggio",$A$157))
+IF(Contanti!$AC47='Conto Economico'!$A$157,Contanti!$Z47)
+IF(ISERROR(GETPIVOTDATA("Somma di DARE",'Pivot BBVA'!$A$3,"Mese",7,"Tipologia",$A166,"Viaggio",$A$157)),0,GETPIVOTDATA("Somma di DARE",'Pivot BBVA'!$A$3,"Mese",7,"Tipologia",$A166,"Viaggio",$A$157))
+IF(ISERROR(GETPIVOTDATA("Somma di DARE",'Pivot Amex'!$A$3,"Mese",7,"Tipologia",$A166,"Viaggio",$A$157)),0,GETPIVOTDATA("Somma di DARE",'Pivot Amex'!$A$3,"Mese",7,"Tipologia",$A166,"Viaggio",$A$157))
-IF(ISERROR(GETPIVOTDATA("Somma di AVERE",'Pivot Amex'!$A$3,"Mese",7,"Tipologia",$A166,"Viaggio",$A$157)),0,GETPIVOTDATA("Somma di AVERE",'Pivot Amex'!$A$3,"Mese",7,"Tipologia",$A166,"Viaggio",$A$157))
-IF(ISERROR(GETPIVOTDATA("Somma di AVERE",'Pivot BBVA'!$A$3,"Mese",7,"Tipologia",$A166,"Viaggio",$A$157)),0,GETPIVOTDATA("Somma di AVERE",'Pivot BBVA'!$A$3,"Mese",7,"Tipologia",$A166,"Viaggio",$A$157))
-IF(ISERROR(GETPIVOTDATA("Somma di AVERE",'Pivot Fineco St'!$A$3,"Mese",7,"Tipologia",$A166,"Viaggio",$A$157)),0,GETPIVOTDATA("Somma di AVERE",'Pivot Fineco St'!$A$3,"Mese",7,"Tipologia",$A166,"Viaggio",$A$157))
-IF(ISERROR(GETPIVOTDATA("Somma di AVERE",'Pivot Fineco Sa'!$A$3,"Mese",7,"Tipologia",$A166,"Viaggio",$A$157)),0,GETPIVOTDATA("Somma di AVERE",'Pivot Fineco Sa'!$A$3,"Mese",7,"Tipologia",$A166,"Viaggio",$A$157))
+IF(ISERROR(GETPIVOTDATA("Somma di DARE",'Pivot PP Visa'!$A$3,"Mese",7,"Tipologia",$A166,"Viaggio",$A$157)),0,GETPIVOTDATA("Somma di DARE",'Pivot PP Visa'!$A$3,"Mese",7,"Tipologia",$A166,"Viaggio",$A$157))
-IF(ISERROR(GETPIVOTDATA("Somma di AVERE",'Pivot PP Visa'!$A$3,"Mese",7,"Tipologia",$A166,"Viaggio",$A$157)),0,GETPIVOTDATA("Somma di AVERE",'Pivot PP Visa'!$A$3,"Mese",7,"Tipologia",$A166,"Viaggio",$A$157))
+IF(ISERROR(GETPIVOTDATA("Somma di DARE",'Pivot Revolut'!$A$3,"Mese",7,"Tipologia",$A166,"Viaggio",$A$157)),0,GETPIVOTDATA("Somma di DARE",'Pivot Revolut'!$A$3,"Mese",7,"Tipologia",$A166,"Viaggio",$A$157))
-IF(ISERROR(GETPIVOTDATA("Somma di AVERE",'Pivot Revolut'!$A$3,"Mese",7,"Tipologia",$A166,"Viaggio",$A$157)),0,GETPIVOTDATA("Somma di AVERE",'Pivot Revolut'!$A$3,"Mese",7,"Tipologia",$A166,"Viaggio",$A$157))
+IF(ISERROR(GETPIVOTDATA("Somma di DARE",'Pivot RakBank EUR'!$A$3,"Mese",7,"Tipologia",$A166,"Viaggio",$A$157)),0,GETPIVOTDATA("Somma di DARE",'Pivot RakBank EUR'!$A$3,"Mese",7,"Tipologia",$A166,"Viaggio",$A$157))
-IF(ISERROR(GETPIVOTDATA("Somma di AVERE",'Pivot RakBank EUR'!$A$3,"Mese",7,"Tipologia",$A166,"Viaggio",$A$157)),0,GETPIVOTDATA("Somma di AVERE",'Pivot RakBank EUR'!$A$3,"Mese",7,"Tipologia",$A166,"Viaggio",$A$157))
+IF(ISERROR(GETPIVOTDATA("Somma di DARE EUR",'Pivot RakBank AED'!$A$3,"Mese",7,"Tipologia",$A166,"Viaggio",$A$157)),0,GETPIVOTDATA("Somma di DARE EUR",'Pivot RakBank AED'!$A$3,"Mese",7,"Tipologia",$A166,"Viaggio",$A$157))
-IF(ISERROR(GETPIVOTDATA("Somma di AVERE EUR",'Pivot RakBank AED'!$A$3,"Mese",7,"Tipologia",$A166,"Viaggio",$A$157)),0,GETPIVOTDATA("Somma di AVERE EUR",'Pivot RakBank AED'!$A$3,"Mese",7,"Tipologia",$A166,"Viaggio",$A$157))</f>
        <v>0</v>
      </c>
      <c r="J166" s="270">
        <f>IF(ISERROR(GETPIVOTDATA("Somma di DARE",'Pivot Fineco Sa'!$A$3,"Mese",8,"Tipologia",$A166,"Viaggio",$A$157)),0,GETPIVOTDATA("Somma di DARE",'Pivot Fineco Sa'!$A$3,"Mese",8,"Tipologia",$A166,"Viaggio",$A$157))
+IF(ISERROR(GETPIVOTDATA("Somma di DARE",'Pivot Fineco St'!$A$3,"Mese",8,"Tipologia",$A166,"Viaggio",$A$157)),0,GETPIVOTDATA("Somma di DARE",'Pivot Fineco St'!$A$3,"Mese",8,"Tipologia",$A166,"Viaggio",$A$157))
+IF(Contanti!$AG47='Conto Economico'!$A$157,Contanti!$AD47)
+IF(ISERROR(GETPIVOTDATA("Somma di DARE",'Pivot BBVA'!$A$3,"Mese",8,"Tipologia",$A166,"Viaggio",$A$157)),0,GETPIVOTDATA("Somma di DARE",'Pivot BBVA'!$A$3,"Mese",8,"Tipologia",$A166,"Viaggio",$A$157))
+IF(ISERROR(GETPIVOTDATA("Somma di DARE",'Pivot Amex'!$A$3,"Mese",8,"Tipologia",$A166,"Viaggio",$A$157)),0,GETPIVOTDATA("Somma di DARE",'Pivot Amex'!$A$3,"Mese",8,"Tipologia",$A166,"Viaggio",$A$157))
-IF(ISERROR(GETPIVOTDATA("Somma di AVERE",'Pivot Amex'!$A$3,"Mese",8,"Tipologia",$A166,"Viaggio",$A$157)),0,GETPIVOTDATA("Somma di AVERE",'Pivot Amex'!$A$3,"Mese",8,"Tipologia",$A166,"Viaggio",$A$157))
-IF(ISERROR(GETPIVOTDATA("Somma di AVERE",'Pivot BBVA'!$A$3,"Mese",8,"Tipologia",$A166,"Viaggio",$A$157)),0,GETPIVOTDATA("Somma di AVERE",'Pivot BBVA'!$A$3,"Mese",8,"Tipologia",$A166,"Viaggio",$A$157))
-IF(ISERROR(GETPIVOTDATA("Somma di AVERE",'Pivot Fineco St'!$A$3,"Mese",8,"Tipologia",$A166,"Viaggio",$A$157)),0,GETPIVOTDATA("Somma di AVERE",'Pivot Fineco St'!$A$3,"Mese",8,"Tipologia",$A166,"Viaggio",$A$157))
-IF(ISERROR(GETPIVOTDATA("Somma di AVERE",'Pivot Fineco Sa'!$A$3,"Mese",8,"Tipologia",$A166,"Viaggio",$A$157)),0,GETPIVOTDATA("Somma di AVERE",'Pivot Fineco Sa'!$A$3,"Mese",8,"Tipologia",$A166,"Viaggio",$A$157))
+IF(ISERROR(GETPIVOTDATA("Somma di DARE",'Pivot PP Visa'!$A$3,"Mese",8,"Tipologia",$A166,"Viaggio",$A$157)),0,GETPIVOTDATA("Somma di DARE",'Pivot PP Visa'!$A$3,"Mese",8,"Tipologia",$A166,"Viaggio",$A$157))
-IF(ISERROR(GETPIVOTDATA("Somma di AVERE",'Pivot PP Visa'!$A$3,"Mese",8,"Tipologia",$A166,"Viaggio",$A$157)),0,GETPIVOTDATA("Somma di AVERE",'Pivot PP Visa'!$A$3,"Mese",8,"Tipologia",$A166,"Viaggio",$A$157))
+IF(ISERROR(GETPIVOTDATA("Somma di DARE",'Pivot Revolut'!$A$3,"Mese",8,"Tipologia",$A166,"Viaggio",$A$157)),0,GETPIVOTDATA("Somma di DARE",'Pivot Revolut'!$A$3,"Mese",8,"Tipologia",$A166,"Viaggio",$A$157))
-IF(ISERROR(GETPIVOTDATA("Somma di AVERE",'Pivot Revolut'!$A$3,"Mese",8,"Tipologia",$A166,"Viaggio",$A$157)),0,GETPIVOTDATA("Somma di AVERE",'Pivot Revolut'!$A$3,"Mese",8,"Tipologia",$A166,"Viaggio",$A$157))
+IF(ISERROR(GETPIVOTDATA("Somma di DARE",'Pivot RakBank EUR'!$A$3,"Mese",8,"Tipologia",$A166,"Viaggio",$A$157)),0,GETPIVOTDATA("Somma di DARE",'Pivot RakBank EUR'!$A$3,"Mese",8,"Tipologia",$A166,"Viaggio",$A$157))
-IF(ISERROR(GETPIVOTDATA("Somma di AVERE",'Pivot RakBank EUR'!$A$3,"Mese",8,"Tipologia",$A166,"Viaggio",$A$157)),0,GETPIVOTDATA("Somma di AVERE",'Pivot RakBank EUR'!$A$3,"Mese",8,"Tipologia",$A166,"Viaggio",$A$157))
+IF(ISERROR(GETPIVOTDATA("Somma di DARE EUR",'Pivot RakBank AED'!$A$3,"Mese",8,"Tipologia",$A166,"Viaggio",$A$157)),0,GETPIVOTDATA("Somma di DARE EUR",'Pivot RakBank AED'!$A$3,"Mese",8,"Tipologia",$A166,"Viaggio",$A$157))
-IF(ISERROR(GETPIVOTDATA("Somma di AVERE EUR",'Pivot RakBank AED'!$A$3,"Mese",8,"Tipologia",$A166,"Viaggio",$A$157)),0,GETPIVOTDATA("Somma di AVERE EUR",'Pivot RakBank AED'!$A$3,"Mese",8,"Tipologia",$A166,"Viaggio",$A$157))</f>
        <v>0</v>
      </c>
      <c r="K166" s="270">
        <f>IF(ISERROR(GETPIVOTDATA("Somma di DARE",'Pivot Fineco Sa'!$A$3,"Mese",9,"Tipologia",$A166,"Viaggio",$A$157)),0,GETPIVOTDATA("Somma di DARE",'Pivot Fineco Sa'!$A$3,"Mese",9,"Tipologia",$A166,"Viaggio",$A$157))
+IF(ISERROR(GETPIVOTDATA("Somma di DARE",'Pivot Fineco St'!$A$3,"Mese",9,"Tipologia",$A166,"Viaggio",$A$157)),0,GETPIVOTDATA("Somma di DARE",'Pivot Fineco St'!$A$3,"Mese",9,"Tipologia",$A166,"Viaggio",$A$157))
+IF(Contanti!$AK47='Conto Economico'!$A$157,Contanti!$AH47)
+IF(ISERROR(GETPIVOTDATA("Somma di DARE",'Pivot BBVA'!$A$3,"Mese",9,"Tipologia",$A166,"Viaggio",$A$157)),0,GETPIVOTDATA("Somma di DARE",'Pivot BBVA'!$A$3,"Mese",9,"Tipologia",$A166,"Viaggio",$A$157))
+IF(ISERROR(GETPIVOTDATA("Somma di DARE",'Pivot Amex'!$A$3,"Mese",9,"Tipologia",$A166,"Viaggio",$A$157)),0,GETPIVOTDATA("Somma di DARE",'Pivot Amex'!$A$3,"Mese",9,"Tipologia",$A166,"Viaggio",$A$157))
-IF(ISERROR(GETPIVOTDATA("Somma di AVERE",'Pivot Amex'!$A$3,"Mese",9,"Tipologia",$A166,"Viaggio",$A$157)),0,GETPIVOTDATA("Somma di AVERE",'Pivot Amex'!$A$3,"Mese",9,"Tipologia",$A166,"Viaggio",$A$157))
-IF(ISERROR(GETPIVOTDATA("Somma di AVERE",'Pivot BBVA'!$A$3,"Mese",9,"Tipologia",$A166,"Viaggio",$A$157)),0,GETPIVOTDATA("Somma di AVERE",'Pivot BBVA'!$A$3,"Mese",9,"Tipologia",$A166,"Viaggio",$A$157))
-IF(ISERROR(GETPIVOTDATA("Somma di AVERE",'Pivot Fineco St'!$A$3,"Mese",9,"Tipologia",$A166,"Viaggio",$A$157)),0,GETPIVOTDATA("Somma di AVERE",'Pivot Fineco St'!$A$3,"Mese",9,"Tipologia",$A166,"Viaggio",$A$157))
-IF(ISERROR(GETPIVOTDATA("Somma di AVERE",'Pivot Fineco Sa'!$A$3,"Mese",9,"Tipologia",$A166,"Viaggio",$A$157)),0,GETPIVOTDATA("Somma di AVERE",'Pivot Fineco Sa'!$A$3,"Mese",9,"Tipologia",$A166,"Viaggio",$A$157))
+IF(ISERROR(GETPIVOTDATA("Somma di DARE",'Pivot PP Visa'!$A$3,"Mese",9,"Tipologia",$A166,"Viaggio",$A$157)),0,GETPIVOTDATA("Somma di DARE",'Pivot PP Visa'!$A$3,"Mese",9,"Tipologia",$A166,"Viaggio",$A$157))
-IF(ISERROR(GETPIVOTDATA("Somma di AVERE",'Pivot PP Visa'!$A$3,"Mese",9,"Tipologia",$A166,"Viaggio",$A$157)),0,GETPIVOTDATA("Somma di AVERE",'Pivot PP Visa'!$A$3,"Mese",9,"Tipologia",$A166,"Viaggio",$A$157))
+IF(ISERROR(GETPIVOTDATA("Somma di DARE",'Pivot Revolut'!$A$3,"Mese",9,"Tipologia",$A166,"Viaggio",$A$157)),0,GETPIVOTDATA("Somma di DARE",'Pivot Revolut'!$A$3,"Mese",9,"Tipologia",$A166,"Viaggio",$A$157))
-IF(ISERROR(GETPIVOTDATA("Somma di AVERE",'Pivot Revolut'!$A$3,"Mese",9,"Tipologia",$A166,"Viaggio",$A$157)),0,GETPIVOTDATA("Somma di AVERE",'Pivot Revolut'!$A$3,"Mese",9,"Tipologia",$A166,"Viaggio",$A$157))
+IF(ISERROR(GETPIVOTDATA("Somma di DARE",'Pivot RakBank EUR'!$A$3,"Mese",9,"Tipologia",$A166,"Viaggio",$A$157)),0,GETPIVOTDATA("Somma di DARE",'Pivot RakBank EUR'!$A$3,"Mese",9,"Tipologia",$A166,"Viaggio",$A$157))
-IF(ISERROR(GETPIVOTDATA("Somma di AVERE",'Pivot RakBank EUR'!$A$3,"Mese",9,"Tipologia",$A166,"Viaggio",$A$157)),0,GETPIVOTDATA("Somma di AVERE",'Pivot RakBank EUR'!$A$3,"Mese",9,"Tipologia",$A166,"Viaggio",$A$157))
+IF(ISERROR(GETPIVOTDATA("Somma di DARE EUR",'Pivot RakBank AED'!$A$3,"Mese",9,"Tipologia",$A166,"Viaggio",$A$157)),0,GETPIVOTDATA("Somma di DARE EUR",'Pivot RakBank AED'!$A$3,"Mese",9,"Tipologia",$A166,"Viaggio",$A$157))
-IF(ISERROR(GETPIVOTDATA("Somma di AVERE EUR",'Pivot RakBank AED'!$A$3,"Mese",9,"Tipologia",$A166,"Viaggio",$A$157)),0,GETPIVOTDATA("Somma di AVERE EUR",'Pivot RakBank AED'!$A$3,"Mese",9,"Tipologia",$A166,"Viaggio",$A$157))</f>
        <v>0</v>
      </c>
      <c r="L166" s="270">
        <f>IF(ISERROR(GETPIVOTDATA("Somma di DARE",'Pivot Fineco Sa'!$A$3,"Mese",10,"Tipologia",$A166,"Viaggio",$A$157)),0,GETPIVOTDATA("Somma di DARE",'Pivot Fineco Sa'!$A$3,"Mese",10,"Tipologia",$A166,"Viaggio",$A$157))
+IF(ISERROR(GETPIVOTDATA("Somma di DARE",'Pivot Fineco St'!$A$3,"Mese",10,"Tipologia",$A166,"Viaggio",$A$157)),0,GETPIVOTDATA("Somma di DARE",'Pivot Fineco St'!$A$3,"Mese",10,"Tipologia",$A166,"Viaggio",$A$157))
+IF(Contanti!$AO47='Conto Economico'!$A$157,Contanti!$AL47)
+IF(ISERROR(GETPIVOTDATA("Somma di DARE",'Pivot BBVA'!$A$3,"Mese",10,"Tipologia",$A166,"Viaggio",$A$157)),0,GETPIVOTDATA("Somma di DARE",'Pivot BBVA'!$A$3,"Mese",10,"Tipologia",$A166,"Viaggio",$A$157))
+IF(ISERROR(GETPIVOTDATA("Somma di DARE",'Pivot Amex'!$A$3,"Mese",10,"Tipologia",$A166,"Viaggio",$A$157)),0,GETPIVOTDATA("Somma di DARE",'Pivot Amex'!$A$3,"Mese",10,"Tipologia",$A166,"Viaggio",$A$157))
-IF(ISERROR(GETPIVOTDATA("Somma di AVERE",'Pivot Amex'!$A$3,"Mese",10,"Tipologia",$A166,"Viaggio",$A$157)),0,GETPIVOTDATA("Somma di AVERE",'Pivot Amex'!$A$3,"Mese",10,"Tipologia",$A166,"Viaggio",$A$157))
-IF(ISERROR(GETPIVOTDATA("Somma di AVERE",'Pivot BBVA'!$A$3,"Mese",10,"Tipologia",$A166,"Viaggio",$A$157)),0,GETPIVOTDATA("Somma di AVERE",'Pivot BBVA'!$A$3,"Mese",10,"Tipologia",$A166,"Viaggio",$A$157))
-IF(ISERROR(GETPIVOTDATA("Somma di AVERE",'Pivot Fineco St'!$A$3,"Mese",10,"Tipologia",$A166,"Viaggio",$A$157)),0,GETPIVOTDATA("Somma di AVERE",'Pivot Fineco St'!$A$3,"Mese",10,"Tipologia",$A166,"Viaggio",$A$157))
-IF(ISERROR(GETPIVOTDATA("Somma di AVERE",'Pivot Fineco Sa'!$A$3,"Mese",10,"Tipologia",$A166,"Viaggio",$A$157)),0,GETPIVOTDATA("Somma di AVERE",'Pivot Fineco Sa'!$A$3,"Mese",10,"Tipologia",$A166,"Viaggio",$A$157))
+IF(ISERROR(GETPIVOTDATA("Somma di DARE",'Pivot PP Visa'!$A$3,"Mese",10,"Tipologia",$A166,"Viaggio",$A$157)),0,GETPIVOTDATA("Somma di DARE",'Pivot PP Visa'!$A$3,"Mese",10,"Tipologia",$A166,"Viaggio",$A$157))
-IF(ISERROR(GETPIVOTDATA("Somma di AVERE",'Pivot PP Visa'!$A$3,"Mese",10,"Tipologia",$A166,"Viaggio",$A$157)),0,GETPIVOTDATA("Somma di AVERE",'Pivot PP Visa'!$A$3,"Mese",10,"Tipologia",$A166,"Viaggio",$A$157))
+IF(ISERROR(GETPIVOTDATA("Somma di DARE",'Pivot Revolut'!$A$3,"Mese",10,"Tipologia",$A166,"Viaggio",$A$157)),0,GETPIVOTDATA("Somma di DARE",'Pivot Revolut'!$A$3,"Mese",10,"Tipologia",$A166,"Viaggio",$A$157))
-IF(ISERROR(GETPIVOTDATA("Somma di AVERE",'Pivot Revolut'!$A$3,"Mese",10,"Tipologia",$A166,"Viaggio",$A$157)),0,GETPIVOTDATA("Somma di AVERE",'Pivot Revolut'!$A$3,"Mese",10,"Tipologia",$A166,"Viaggio",$A$157))
+IF(ISERROR(GETPIVOTDATA("Somma di DARE",'Pivot RakBank EUR'!$A$3,"Mese",10,"Tipologia",$A166,"Viaggio",$A$157)),0,GETPIVOTDATA("Somma di DARE",'Pivot RakBank EUR'!$A$3,"Mese",10,"Tipologia",$A166,"Viaggio",$A$157))
-IF(ISERROR(GETPIVOTDATA("Somma di AVERE",'Pivot RakBank EUR'!$A$3,"Mese",10,"Tipologia",$A166,"Viaggio",$A$157)),0,GETPIVOTDATA("Somma di AVERE",'Pivot RakBank EUR'!$A$3,"Mese",10,"Tipologia",$A166,"Viaggio",$A$157))
+IF(ISERROR(GETPIVOTDATA("Somma di DARE EUR",'Pivot RakBank AED'!$A$3,"Mese",10,"Tipologia",$A166,"Viaggio",$A$157)),0,GETPIVOTDATA("Somma di DARE EUR",'Pivot RakBank AED'!$A$3,"Mese",10,"Tipologia",$A166,"Viaggio",$A$157))
-IF(ISERROR(GETPIVOTDATA("Somma di AVERE EUR",'Pivot RakBank AED'!$A$3,"Mese",10,"Tipologia",$A166,"Viaggio",$A$157)),0,GETPIVOTDATA("Somma di AVERE EUR",'Pivot RakBank AED'!$A$3,"Mese",10,"Tipologia",$A166,"Viaggio",$A$157))</f>
        <v>0</v>
      </c>
      <c r="M166" s="270">
        <f>IF(ISERROR(GETPIVOTDATA("Somma di DARE",'Pivot Fineco Sa'!$A$3,"Mese",11,"Tipologia",$A166,"Viaggio",$A$157)),0,GETPIVOTDATA("Somma di DARE",'Pivot Fineco Sa'!$A$3,"Mese",11,"Tipologia",$A166,"Viaggio",$A$157))
+IF(ISERROR(GETPIVOTDATA("Somma di DARE",'Pivot Fineco St'!$A$3,"Mese",11,"Tipologia",$A166,"Viaggio",$A$157)),0,GETPIVOTDATA("Somma di DARE",'Pivot Fineco St'!$A$3,"Mese",11,"Tipologia",$A166,"Viaggio",$A$157))
+IF(Contanti!$AS47='Conto Economico'!$A$157,Contanti!$AP47)
+IF(ISERROR(GETPIVOTDATA("Somma di DARE",'Pivot BBVA'!$A$3,"Mese",11,"Tipologia",$A166,"Viaggio",$A$157)),0,GETPIVOTDATA("Somma di DARE",'Pivot BBVA'!$A$3,"Mese",11,"Tipologia",$A166,"Viaggio",$A$157))
+IF(ISERROR(GETPIVOTDATA("Somma di DARE",'Pivot Amex'!$A$3,"Mese",11,"Tipologia",$A166,"Viaggio",$A$157)),0,GETPIVOTDATA("Somma di DARE",'Pivot Amex'!$A$3,"Mese",11,"Tipologia",$A166,"Viaggio",$A$157))
-IF(ISERROR(GETPIVOTDATA("Somma di AVERE",'Pivot Amex'!$A$3,"Mese",11,"Tipologia",$A166,"Viaggio",$A$157)),0,GETPIVOTDATA("Somma di AVERE",'Pivot Amex'!$A$3,"Mese",11,"Tipologia",$A166,"Viaggio",$A$157))
-IF(ISERROR(GETPIVOTDATA("Somma di AVERE",'Pivot BBVA'!$A$3,"Mese",11,"Tipologia",$A166,"Viaggio",$A$157)),0,GETPIVOTDATA("Somma di AVERE",'Pivot BBVA'!$A$3,"Mese",11,"Tipologia",$A166,"Viaggio",$A$157))
-IF(ISERROR(GETPIVOTDATA("Somma di AVERE",'Pivot Fineco St'!$A$3,"Mese",11,"Tipologia",$A166,"Viaggio",$A$157)),0,GETPIVOTDATA("Somma di AVERE",'Pivot Fineco St'!$A$3,"Mese",11,"Tipologia",$A166,"Viaggio",$A$157))
-IF(ISERROR(GETPIVOTDATA("Somma di AVERE",'Pivot Fineco Sa'!$A$3,"Mese",11,"Tipologia",$A166,"Viaggio",$A$157)),0,GETPIVOTDATA("Somma di AVERE",'Pivot Fineco Sa'!$A$3,"Mese",11,"Tipologia",$A166,"Viaggio",$A$157))
+IF(ISERROR(GETPIVOTDATA("Somma di DARE",'Pivot PP Visa'!$A$3,"Mese",11,"Tipologia",$A166,"Viaggio",$A$157)),0,GETPIVOTDATA("Somma di DARE",'Pivot PP Visa'!$A$3,"Mese",11,"Tipologia",$A166,"Viaggio",$A$157))
-IF(ISERROR(GETPIVOTDATA("Somma di AVERE",'Pivot PP Visa'!$A$3,"Mese",11,"Tipologia",$A166,"Viaggio",$A$157)),0,GETPIVOTDATA("Somma di AVERE",'Pivot PP Visa'!$A$3,"Mese",11,"Tipologia",$A166,"Viaggio",$A$157))
+IF(ISERROR(GETPIVOTDATA("Somma di DARE",'Pivot Revolut'!$A$3,"Mese",11,"Tipologia",$A166,"Viaggio",$A$157)),0,GETPIVOTDATA("Somma di DARE",'Pivot Revolut'!$A$3,"Mese",11,"Tipologia",$A166,"Viaggio",$A$157))
-IF(ISERROR(GETPIVOTDATA("Somma di AVERE",'Pivot Revolut'!$A$3,"Mese",11,"Tipologia",$A166,"Viaggio",$A$157)),0,GETPIVOTDATA("Somma di AVERE",'Pivot Revolut'!$A$3,"Mese",11,"Tipologia",$A166,"Viaggio",$A$157))
+IF(ISERROR(GETPIVOTDATA("Somma di DARE",'Pivot RakBank EUR'!$A$3,"Mese",11,"Tipologia",$A166,"Viaggio",$A$157)),0,GETPIVOTDATA("Somma di DARE",'Pivot RakBank EUR'!$A$3,"Mese",11,"Tipologia",$A166,"Viaggio",$A$157))
-IF(ISERROR(GETPIVOTDATA("Somma di AVERE",'Pivot RakBank EUR'!$A$3,"Mese",11,"Tipologia",$A166,"Viaggio",$A$157)),0,GETPIVOTDATA("Somma di AVERE",'Pivot RakBank EUR'!$A$3,"Mese",11,"Tipologia",$A166,"Viaggio",$A$157))
+IF(ISERROR(GETPIVOTDATA("Somma di DARE EUR",'Pivot RakBank AED'!$A$3,"Mese",11,"Tipologia",$A166,"Viaggio",$A$157)),0,GETPIVOTDATA("Somma di DARE EUR",'Pivot RakBank AED'!$A$3,"Mese",11,"Tipologia",$A166,"Viaggio",$A$157))
-IF(ISERROR(GETPIVOTDATA("Somma di AVERE EUR",'Pivot RakBank AED'!$A$3,"Mese",11,"Tipologia",$A166,"Viaggio",$A$157)),0,GETPIVOTDATA("Somma di AVERE EUR",'Pivot RakBank AED'!$A$3,"Mese",11,"Tipologia",$A166,"Viaggio",$A$157))</f>
        <v>0</v>
      </c>
      <c r="N166" s="270">
        <f>IF(ISERROR(GETPIVOTDATA("Somma di DARE",'Pivot Fineco Sa'!$A$3,"Mese",12,"Tipologia",$A166,"Viaggio",$A$157)),0,GETPIVOTDATA("Somma di DARE",'Pivot Fineco Sa'!$A$3,"Mese",12,"Tipologia",$A166,"Viaggio",$A$157))
+IF(ISERROR(GETPIVOTDATA("Somma di DARE",'Pivot Fineco St'!$A$3,"Mese",12,"Tipologia",$A166,"Viaggio",$A$157)),0,GETPIVOTDATA("Somma di DARE",'Pivot Fineco St'!$A$3,"Mese",12,"Tipologia",$A166,"Viaggio",$A$157))
+IF(Contanti!$AW47='Conto Economico'!$A$157,Contanti!$AT47)
+IF(ISERROR(GETPIVOTDATA("Somma di DARE",'Pivot BBVA'!$A$3,"Mese",12,"Tipologia",$A166,"Viaggio",$A$157)),0,GETPIVOTDATA("Somma di DARE",'Pivot BBVA'!$A$3,"Mese",12,"Tipologia",$A166,"Viaggio",$A$157))
+IF(ISERROR(GETPIVOTDATA("Somma di DARE",'Pivot Amex'!$A$3,"Mese",12,"Tipologia",$A166,"Viaggio",$A$157)),0,GETPIVOTDATA("Somma di DARE",'Pivot Amex'!$A$3,"Mese",12,"Tipologia",$A166,"Viaggio",$A$157))
-IF(ISERROR(GETPIVOTDATA("Somma di AVERE",'Pivot Amex'!$A$3,"Mese",12,"Tipologia",$A166,"Viaggio",$A$157)),0,GETPIVOTDATA("Somma di AVERE",'Pivot Amex'!$A$3,"Mese",12,"Tipologia",$A166,"Viaggio",$A$157))
-IF(ISERROR(GETPIVOTDATA("Somma di AVERE",'Pivot BBVA'!$A$3,"Mese",12,"Tipologia",$A166,"Viaggio",$A$157)),0,GETPIVOTDATA("Somma di AVERE",'Pivot BBVA'!$A$3,"Mese",12,"Tipologia",$A166,"Viaggio",$A$157))
-IF(ISERROR(GETPIVOTDATA("Somma di AVERE",'Pivot Fineco St'!$A$3,"Mese",12,"Tipologia",$A166,"Viaggio",$A$157)),0,GETPIVOTDATA("Somma di AVERE",'Pivot Fineco St'!$A$3,"Mese",12,"Tipologia",$A166,"Viaggio",$A$157))
-IF(ISERROR(GETPIVOTDATA("Somma di AVERE",'Pivot Fineco Sa'!$A$3,"Mese",12,"Tipologia",$A166,"Viaggio",$A$157)),0,GETPIVOTDATA("Somma di AVERE",'Pivot Fineco Sa'!$A$3,"Mese",12,"Tipologia",$A166,"Viaggio",$A$157))
+IF(ISERROR(GETPIVOTDATA("Somma di DARE",'Pivot PP Visa'!$A$3,"Mese",12,"Tipologia",$A166,"Viaggio",$A$157)),0,GETPIVOTDATA("Somma di DARE",'Pivot PP Visa'!$A$3,"Mese",12,"Tipologia",$A166,"Viaggio",$A$157))
-IF(ISERROR(GETPIVOTDATA("Somma di AVERE",'Pivot PP Visa'!$A$3,"Mese",12,"Tipologia",$A166,"Viaggio",$A$157)),0,GETPIVOTDATA("Somma di AVERE",'Pivot PP Visa'!$A$3,"Mese",12,"Tipologia",$A166,"Viaggio",$A$157))
+IF(ISERROR(GETPIVOTDATA("Somma di DARE",'Pivot Revolut'!$A$3,"Mese",12,"Tipologia",$A166,"Viaggio",$A$157)),0,GETPIVOTDATA("Somma di DARE",'Pivot Revolut'!$A$3,"Mese",12,"Tipologia",$A166,"Viaggio",$A$157))
-IF(ISERROR(GETPIVOTDATA("Somma di AVERE",'Pivot Revolut'!$A$3,"Mese",12,"Tipologia",$A166,"Viaggio",$A$157)),0,GETPIVOTDATA("Somma di AVERE",'Pivot Revolut'!$A$3,"Mese",12,"Tipologia",$A166,"Viaggio",$A$157))
+IF(ISERROR(GETPIVOTDATA("Somma di DARE",'Pivot RakBank EUR'!$A$3,"Mese",12,"Tipologia",$A166,"Viaggio",$A$157)),0,GETPIVOTDATA("Somma di DARE",'Pivot RakBank EUR'!$A$3,"Mese",12,"Tipologia",$A166,"Viaggio",$A$157))
-IF(ISERROR(GETPIVOTDATA("Somma di AVERE",'Pivot RakBank EUR'!$A$3,"Mese",12,"Tipologia",$A166,"Viaggio",$A$157)),0,GETPIVOTDATA("Somma di AVERE",'Pivot RakBank EUR'!$A$3,"Mese",12,"Tipologia",$A166,"Viaggio",$A$157))
+IF(ISERROR(GETPIVOTDATA("Somma di DARE EUR",'Pivot RakBank AED'!$A$3,"Mese",12,"Tipologia",$A166,"Viaggio",$A$157)),0,GETPIVOTDATA("Somma di DARE EUR",'Pivot RakBank AED'!$A$3,"Mese",12,"Tipologia",$A166,"Viaggio",$A$157))
-IF(ISERROR(GETPIVOTDATA("Somma di AVERE EUR",'Pivot RakBank AED'!$A$3,"Mese",12,"Tipologia",$A166,"Viaggio",$A$157)),0,GETPIVOTDATA("Somma di AVERE EUR",'Pivot RakBank AED'!$A$3,"Mese",12,"Tipologia",$A166,"Viaggio",$A$157))</f>
        <v>0</v>
      </c>
      <c r="O166" s="271">
        <f t="shared" si="21"/>
        <v>0</v>
      </c>
      <c r="P166" s="270"/>
    </row>
    <row r="167" spans="1:16" s="131" customFormat="1" ht="14" outlineLevel="1" x14ac:dyDescent="0.2">
      <c r="A167" s="269" t="s">
        <v>103</v>
      </c>
      <c r="B167" s="269"/>
      <c r="C167" s="270">
        <f>IF(ISERROR(GETPIVOTDATA("Somma di DARE",'Pivot Fineco Sa'!$A$3,"Mese",1,"Tipologia",$A167,"Viaggio",$A$157)),0,GETPIVOTDATA("Somma di DARE",'Pivot Fineco Sa'!$A$3,"Mese",1,"Tipologia",$A167,"Viaggio",$A$157))
+IF(ISERROR(GETPIVOTDATA("Somma di DARE",'Pivot Fineco St'!$A$3,"Mese",1,"Tipologia",$A167,"Viaggio",$A$157)),0,GETPIVOTDATA("Somma di DARE",'Pivot Fineco St'!$A$3,"Mese",1,"Tipologia",$A167,"Viaggio",$A$157))
+IF(Contanti!$E48='Conto Economico'!$A$157,Contanti!$B48)
+IF(ISERROR(GETPIVOTDATA("Somma di DARE",'Pivot BBVA'!$A$3,"Mese",1,"Tipologia",$A167,"Viaggio",$A$157)),0,GETPIVOTDATA("Somma di DARE",'Pivot BBVA'!$A$3,"Mese",1,"Tipologia",$A167,"Viaggio",$A$157))
+IF(ISERROR(GETPIVOTDATA("Somma di DARE",'Pivot Amex'!$A$3,"Mese",1,"Tipologia",$A167,"Viaggio",$A$157)),0,GETPIVOTDATA("Somma di DARE",'Pivot Amex'!$A$3,"Mese",1,"Tipologia",$A167,"Viaggio",$A$157))
-IF(ISERROR(GETPIVOTDATA("Somma di AVERE",'Pivot Amex'!$A$3,"Mese",1,"Tipologia",$A167,"Viaggio",$A$157)),0,GETPIVOTDATA("Somma di AVERE",'Pivot Amex'!$A$3,"Mese",1,"Tipologia",$A167,"Viaggio",$A$157))
-IF(ISERROR(GETPIVOTDATA("Somma di AVERE",'Pivot BBVA'!$A$3,"Mese",1,"Tipologia",$A167,"Viaggio",$A$157)),0,GETPIVOTDATA("Somma di AVERE",'Pivot BBVA'!$A$3,"Mese",1,"Tipologia",$A167,"Viaggio",$A$157))
-IF(ISERROR(GETPIVOTDATA("Somma di AVERE",'Pivot Fineco St'!$A$3,"Mese",1,"Tipologia",$A167,"Viaggio",$A$157)),0,GETPIVOTDATA("Somma di AVERE",'Pivot Fineco St'!$A$3,"Mese",1,"Tipologia",$A167,"Viaggio",$A$157))
-IF(ISERROR(GETPIVOTDATA("Somma di AVERE",'Pivot Fineco Sa'!$A$3,"Mese",1,"Tipologia",$A167,"Viaggio",$A$157)),0,GETPIVOTDATA("Somma di AVERE",'Pivot Fineco Sa'!$A$3,"Mese",1,"Tipologia",$A167,"Viaggio",$A$157))
+IF(ISERROR(GETPIVOTDATA("Somma di DARE",'Pivot PP Visa'!$A$3,"Mese",1,"Tipologia",$A167,"Viaggio",$A$157)),0,GETPIVOTDATA("Somma di DARE",'Pivot PP Visa'!$A$3,"Mese",1,"Tipologia",$A167,"Viaggio",$A$157))
-IF(ISERROR(GETPIVOTDATA("Somma di AVERE",'Pivot PP Visa'!$A$3,"Mese",1,"Tipologia",$A167,"Viaggio",$A$157)),0,GETPIVOTDATA("Somma di AVERE",'Pivot PP Visa'!$A$3,"Mese",1,"Tipologia",$A167,"Viaggio",$A$157))
+IF(ISERROR(GETPIVOTDATA("Somma di DARE",'Pivot Revolut'!$A$3,"Mese",1,"Tipologia",$A167,"Viaggio",$A$157)),0,GETPIVOTDATA("Somma di DARE",'Pivot Revolut'!$A$3,"Mese",1,"Tipologia",$A167,"Viaggio",$A$157))
-IF(ISERROR(GETPIVOTDATA("Somma di AVERE",'Pivot Revolut'!$A$3,"Mese",1,"Tipologia",$A167,"Viaggio",$A$157)),0,GETPIVOTDATA("Somma di AVERE",'Pivot Revolut'!$A$3,"Mese",1,"Tipologia",$A167,"Viaggio",$A$157))
+IF(ISERROR(GETPIVOTDATA("Somma di DARE",'Pivot RakBank EUR'!$A$3,"Mese",1,"Tipologia",$A167,"Viaggio",$A$157)),0,GETPIVOTDATA("Somma di DARE",'Pivot RakBank EUR'!$A$3,"Mese",1,"Tipologia",$A167,"Viaggio",$A$157))
-IF(ISERROR(GETPIVOTDATA("Somma di AVERE",'Pivot RakBank EUR'!$A$3,"Mese",1,"Tipologia",$A167,"Viaggio",$A$157)),0,GETPIVOTDATA("Somma di AVERE",'Pivot RakBank EUR'!$A$3,"Mese",1,"Tipologia",$A167,"Viaggio",$A$157))
+IF(ISERROR(GETPIVOTDATA("Somma di DARE EUR",'Pivot RakBank AED'!$A$3,"Mese",1,"Tipologia",$A167,"Viaggio",$A$157)),0,GETPIVOTDATA("Somma di DARE EUR",'Pivot RakBank AED'!$A$3,"Mese",1,"Tipologia",$A167,"Viaggio",$A$157))
-IF(ISERROR(GETPIVOTDATA("Somma di AVERE EUR",'Pivot RakBank AED'!$A$3,"Mese",1,"Tipologia",$A167,"Viaggio",$A$157)),0,GETPIVOTDATA("Somma di AVERE EUR",'Pivot RakBank AED'!$A$3,"Mese",1,"Tipologia",$A167,"Viaggio",$A$157))</f>
        <v>0</v>
      </c>
      <c r="D167" s="270">
        <f>IF(ISERROR(GETPIVOTDATA("Somma di DARE",'Pivot Fineco Sa'!$A$3,"Mese",2,"Tipologia",$A167,"Viaggio",$A$157)),0,GETPIVOTDATA("Somma di DARE",'Pivot Fineco Sa'!$A$3,"Mese",2,"Tipologia",$A167,"Viaggio",$A$157))
+IF(ISERROR(GETPIVOTDATA("Somma di DARE",'Pivot Fineco St'!$A$3,"Mese",2,"Tipologia",$A167,"Viaggio",$A$157)),0,GETPIVOTDATA("Somma di DARE",'Pivot Fineco St'!$A$3,"Mese",2,"Tipologia",$A167,"Viaggio",$A$157))
+IF(Contanti!$I48='Conto Economico'!$A$157,Contanti!$F48)
+IF(ISERROR(GETPIVOTDATA("Somma di DARE",'Pivot BBVA'!$A$3,"Mese",2,"Tipologia",$A167,"Viaggio",$A$157)),0,GETPIVOTDATA("Somma di DARE",'Pivot BBVA'!$A$3,"Mese",2,"Tipologia",$A167,"Viaggio",$A$157))
+IF(ISERROR(GETPIVOTDATA("Somma di DARE",'Pivot Amex'!$A$3,"Mese",2,"Tipologia",$A167,"Viaggio",$A$157)),0,GETPIVOTDATA("Somma di DARE",'Pivot Amex'!$A$3,"Mese",2,"Tipologia",$A167,"Viaggio",$A$157))
-IF(ISERROR(GETPIVOTDATA("Somma di AVERE",'Pivot Amex'!$A$3,"Mese",2,"Tipologia",$A167,"Viaggio",$A$157)),0,GETPIVOTDATA("Somma di AVERE",'Pivot Amex'!$A$3,"Mese",2,"Tipologia",$A167,"Viaggio",$A$157))
-IF(ISERROR(GETPIVOTDATA("Somma di AVERE",'Pivot BBVA'!$A$3,"Mese",2,"Tipologia",$A167,"Viaggio",$A$157)),0,GETPIVOTDATA("Somma di AVERE",'Pivot BBVA'!$A$3,"Mese",2,"Tipologia",$A167,"Viaggio",$A$157))
-IF(ISERROR(GETPIVOTDATA("Somma di AVERE",'Pivot Fineco St'!$A$3,"Mese",2,"Tipologia",$A167,"Viaggio",$A$157)),0,GETPIVOTDATA("Somma di AVERE",'Pivot Fineco St'!$A$3,"Mese",2,"Tipologia",$A167,"Viaggio",$A$157))
-IF(ISERROR(GETPIVOTDATA("Somma di AVERE",'Pivot Fineco Sa'!$A$3,"Mese",2,"Tipologia",$A167,"Viaggio",$A$157)),0,GETPIVOTDATA("Somma di AVERE",'Pivot Fineco Sa'!$A$3,"Mese",2,"Tipologia",$A167,"Viaggio",$A$157))
+IF(ISERROR(GETPIVOTDATA("Somma di DARE",'Pivot PP Visa'!$A$3,"Mese",2,"Tipologia",$A167,"Viaggio",$A$157)),0,GETPIVOTDATA("Somma di DARE",'Pivot PP Visa'!$A$3,"Mese",2,"Tipologia",$A167,"Viaggio",$A$157))
-IF(ISERROR(GETPIVOTDATA("Somma di AVERE",'Pivot PP Visa'!$A$3,"Mese",2,"Tipologia",$A167,"Viaggio",$A$157)),0,GETPIVOTDATA("Somma di AVERE",'Pivot PP Visa'!$A$3,"Mese",2,"Tipologia",$A167,"Viaggio",$A$157))
+IF(ISERROR(GETPIVOTDATA("Somma di DARE",'Pivot Revolut'!$A$3,"Mese",2,"Tipologia",$A167,"Viaggio",$A$157)),0,GETPIVOTDATA("Somma di DARE",'Pivot Revolut'!$A$3,"Mese",2,"Tipologia",$A167,"Viaggio",$A$157))
-IF(ISERROR(GETPIVOTDATA("Somma di AVERE",'Pivot Revolut'!$A$3,"Mese",2,"Tipologia",$A167,"Viaggio",$A$157)),0,GETPIVOTDATA("Somma di AVERE",'Pivot Revolut'!$A$3,"Mese",2,"Tipologia",$A167,"Viaggio",$A$157))
+IF(ISERROR(GETPIVOTDATA("Somma di DARE",'Pivot RakBank EUR'!$A$3,"Mese",2,"Tipologia",$A167,"Viaggio",$A$157)),0,GETPIVOTDATA("Somma di DARE",'Pivot RakBank EUR'!$A$3,"Mese",2,"Tipologia",$A167,"Viaggio",$A$157))
-IF(ISERROR(GETPIVOTDATA("Somma di AVERE",'Pivot RakBank EUR'!$A$3,"Mese",2,"Tipologia",$A167,"Viaggio",$A$157)),0,GETPIVOTDATA("Somma di AVERE",'Pivot RakBank EUR'!$A$3,"Mese",2,"Tipologia",$A167,"Viaggio",$A$157))
+IF(ISERROR(GETPIVOTDATA("Somma di DARE EUR",'Pivot RakBank AED'!$A$3,"Mese",2,"Tipologia",$A167,"Viaggio",$A$157)),0,GETPIVOTDATA("Somma di DARE EUR",'Pivot RakBank AED'!$A$3,"Mese",2,"Tipologia",$A167,"Viaggio",$A$157))
-IF(ISERROR(GETPIVOTDATA("Somma di AVERE EUR",'Pivot RakBank AED'!$A$3,"Mese",2,"Tipologia",$A167,"Viaggio",$A$157)),0,GETPIVOTDATA("Somma di AVERE EUR",'Pivot RakBank AED'!$A$3,"Mese",2,"Tipologia",$A167,"Viaggio",$A$157))</f>
        <v>0</v>
      </c>
      <c r="E167" s="270">
        <f>IF(ISERROR(GETPIVOTDATA("Somma di DARE",'Pivot Fineco Sa'!$A$3,"Mese",3,"Tipologia",$A167,"Viaggio",$A$157)),0,GETPIVOTDATA("Somma di DARE",'Pivot Fineco Sa'!$A$3,"Mese",3,"Tipologia",$A167,"Viaggio",$A$157))
+IF(ISERROR(GETPIVOTDATA("Somma di DARE",'Pivot Fineco St'!$A$3,"Mese",3,"Tipologia",$A167,"Viaggio",$A$157)),0,GETPIVOTDATA("Somma di DARE",'Pivot Fineco St'!$A$3,"Mese",3,"Tipologia",$A167,"Viaggio",$A$157))
+IF(Contanti!$M48='Conto Economico'!$A$157,Contanti!$J48)
+IF(ISERROR(GETPIVOTDATA("Somma di DARE",'Pivot BBVA'!$A$3,"Mese",3,"Tipologia",$A167,"Viaggio",$A$157)),0,GETPIVOTDATA("Somma di DARE",'Pivot BBVA'!$A$3,"Mese",3,"Tipologia",$A167,"Viaggio",$A$157))
+IF(ISERROR(GETPIVOTDATA("Somma di DARE",'Pivot Amex'!$A$3,"Mese",3,"Tipologia",$A167,"Viaggio",$A$157)),0,GETPIVOTDATA("Somma di DARE",'Pivot Amex'!$A$3,"Mese",3,"Tipologia",$A167,"Viaggio",$A$157))
-IF(ISERROR(GETPIVOTDATA("Somma di AVERE",'Pivot Amex'!$A$3,"Mese",3,"Tipologia",$A167,"Viaggio",$A$157)),0,GETPIVOTDATA("Somma di AVERE",'Pivot Amex'!$A$3,"Mese",3,"Tipologia",$A167,"Viaggio",$A$157))
-IF(ISERROR(GETPIVOTDATA("Somma di AVERE",'Pivot BBVA'!$A$3,"Mese",3,"Tipologia",$A167,"Viaggio",$A$157)),0,GETPIVOTDATA("Somma di AVERE",'Pivot BBVA'!$A$3,"Mese",3,"Tipologia",$A167,"Viaggio",$A$157))
-IF(ISERROR(GETPIVOTDATA("Somma di AVERE",'Pivot Fineco St'!$A$3,"Mese",3,"Tipologia",$A167,"Viaggio",$A$157)),0,GETPIVOTDATA("Somma di AVERE",'Pivot Fineco St'!$A$3,"Mese",3,"Tipologia",$A167,"Viaggio",$A$157))
-IF(ISERROR(GETPIVOTDATA("Somma di AVERE",'Pivot Fineco Sa'!$A$3,"Mese",3,"Tipologia",$A167,"Viaggio",$A$157)),0,GETPIVOTDATA("Somma di AVERE",'Pivot Fineco Sa'!$A$3,"Mese",3,"Tipologia",$A167,"Viaggio",$A$157))
+IF(ISERROR(GETPIVOTDATA("Somma di DARE",'Pivot PP Visa'!$A$3,"Mese",3,"Tipologia",$A167,"Viaggio",$A$157)),0,GETPIVOTDATA("Somma di DARE",'Pivot PP Visa'!$A$3,"Mese",3,"Tipologia",$A167,"Viaggio",$A$157))
-IF(ISERROR(GETPIVOTDATA("Somma di AVERE",'Pivot PP Visa'!$A$3,"Mese",3,"Tipologia",$A167,"Viaggio",$A$157)),0,GETPIVOTDATA("Somma di AVERE",'Pivot PP Visa'!$A$3,"Mese",3,"Tipologia",$A167,"Viaggio",$A$157))
+IF(ISERROR(GETPIVOTDATA("Somma di DARE",'Pivot Revolut'!$A$3,"Mese",3,"Tipologia",$A167,"Viaggio",$A$157)),0,GETPIVOTDATA("Somma di DARE",'Pivot Revolut'!$A$3,"Mese",3,"Tipologia",$A167,"Viaggio",$A$157))
-IF(ISERROR(GETPIVOTDATA("Somma di AVERE",'Pivot Revolut'!$A$3,"Mese",3,"Tipologia",$A167,"Viaggio",$A$157)),0,GETPIVOTDATA("Somma di AVERE",'Pivot Revolut'!$A$3,"Mese",3,"Tipologia",$A167,"Viaggio",$A$157))
+IF(ISERROR(GETPIVOTDATA("Somma di DARE",'Pivot RakBank EUR'!$A$3,"Mese",3,"Tipologia",$A167,"Viaggio",$A$157)),0,GETPIVOTDATA("Somma di DARE",'Pivot RakBank EUR'!$A$3,"Mese",3,"Tipologia",$A167,"Viaggio",$A$157))
-IF(ISERROR(GETPIVOTDATA("Somma di AVERE",'Pivot RakBank EUR'!$A$3,"Mese",3,"Tipologia",$A167,"Viaggio",$A$157)),0,GETPIVOTDATA("Somma di AVERE",'Pivot RakBank EUR'!$A$3,"Mese",3,"Tipologia",$A167,"Viaggio",$A$157))
+IF(ISERROR(GETPIVOTDATA("Somma di DARE EUR",'Pivot RakBank AED'!$A$3,"Mese",3,"Tipologia",$A167,"Viaggio",$A$157)),0,GETPIVOTDATA("Somma di DARE EUR",'Pivot RakBank AED'!$A$3,"Mese",3,"Tipologia",$A167,"Viaggio",$A$157))
-IF(ISERROR(GETPIVOTDATA("Somma di AVERE EUR",'Pivot RakBank AED'!$A$3,"Mese",3,"Tipologia",$A167,"Viaggio",$A$157)),0,GETPIVOTDATA("Somma di AVERE EUR",'Pivot RakBank AED'!$A$3,"Mese",3,"Tipologia",$A167,"Viaggio",$A$157))</f>
        <v>0</v>
      </c>
      <c r="F167" s="270">
        <f>IF(ISERROR(GETPIVOTDATA("Somma di DARE",'Pivot Fineco Sa'!$A$3,"Mese",4,"Tipologia",$A167,"Viaggio",$A$157)),0,GETPIVOTDATA("Somma di DARE",'Pivot Fineco Sa'!$A$3,"Mese",4,"Tipologia",$A167,"Viaggio",$A$157))
+IF(ISERROR(GETPIVOTDATA("Somma di DARE",'Pivot Fineco St'!$A$3,"Mese",4,"Tipologia",$A167,"Viaggio",$A$157)),0,GETPIVOTDATA("Somma di DARE",'Pivot Fineco St'!$A$3,"Mese",4,"Tipologia",$A167,"Viaggio",$A$157))
+IF(Contanti!$Q48='Conto Economico'!$A$157,Contanti!$N48)
+IF(ISERROR(GETPIVOTDATA("Somma di DARE",'Pivot BBVA'!$A$3,"Mese",4,"Tipologia",$A167,"Viaggio",$A$157)),0,GETPIVOTDATA("Somma di DARE",'Pivot BBVA'!$A$3,"Mese",4,"Tipologia",$A167,"Viaggio",$A$157))
+IF(ISERROR(GETPIVOTDATA("Somma di DARE",'Pivot Amex'!$A$3,"Mese",4,"Tipologia",$A167,"Viaggio",$A$157)),0,GETPIVOTDATA("Somma di DARE",'Pivot Amex'!$A$3,"Mese",4,"Tipologia",$A167,"Viaggio",$A$157))
-IF(ISERROR(GETPIVOTDATA("Somma di AVERE",'Pivot Amex'!$A$3,"Mese",4,"Tipologia",$A167,"Viaggio",$A$157)),0,GETPIVOTDATA("Somma di AVERE",'Pivot Amex'!$A$3,"Mese",4,"Tipologia",$A167,"Viaggio",$A$157))
-IF(ISERROR(GETPIVOTDATA("Somma di AVERE",'Pivot BBVA'!$A$3,"Mese",4,"Tipologia",$A167,"Viaggio",$A$157)),0,GETPIVOTDATA("Somma di AVERE",'Pivot BBVA'!$A$3,"Mese",4,"Tipologia",$A167,"Viaggio",$A$157))
-IF(ISERROR(GETPIVOTDATA("Somma di AVERE",'Pivot Fineco St'!$A$3,"Mese",4,"Tipologia",$A167,"Viaggio",$A$157)),0,GETPIVOTDATA("Somma di AVERE",'Pivot Fineco St'!$A$3,"Mese",4,"Tipologia",$A167,"Viaggio",$A$157))
-IF(ISERROR(GETPIVOTDATA("Somma di AVERE",'Pivot Fineco Sa'!$A$3,"Mese",4,"Tipologia",$A167,"Viaggio",$A$157)),0,GETPIVOTDATA("Somma di AVERE",'Pivot Fineco Sa'!$A$3,"Mese",4,"Tipologia",$A167,"Viaggio",$A$157))
+IF(ISERROR(GETPIVOTDATA("Somma di DARE",'Pivot PP Visa'!$A$3,"Mese",4,"Tipologia",$A167,"Viaggio",$A$157)),0,GETPIVOTDATA("Somma di DARE",'Pivot PP Visa'!$A$3,"Mese",4,"Tipologia",$A167,"Viaggio",$A$157))
-IF(ISERROR(GETPIVOTDATA("Somma di AVERE",'Pivot PP Visa'!$A$3,"Mese",4,"Tipologia",$A167,"Viaggio",$A$157)),0,GETPIVOTDATA("Somma di AVERE",'Pivot PP Visa'!$A$3,"Mese",4,"Tipologia",$A167,"Viaggio",$A$157))
+IF(ISERROR(GETPIVOTDATA("Somma di DARE",'Pivot Revolut'!$A$3,"Mese",4,"Tipologia",$A167,"Viaggio",$A$157)),0,GETPIVOTDATA("Somma di DARE",'Pivot Revolut'!$A$3,"Mese",4,"Tipologia",$A167,"Viaggio",$A$157))
-IF(ISERROR(GETPIVOTDATA("Somma di AVERE",'Pivot Revolut'!$A$3,"Mese",4,"Tipologia",$A167,"Viaggio",$A$157)),0,GETPIVOTDATA("Somma di AVERE",'Pivot Revolut'!$A$3,"Mese",4,"Tipologia",$A167,"Viaggio",$A$157))
+IF(ISERROR(GETPIVOTDATA("Somma di DARE",'Pivot RakBank EUR'!$A$3,"Mese",4,"Tipologia",$A167,"Viaggio",$A$157)),0,GETPIVOTDATA("Somma di DARE",'Pivot RakBank EUR'!$A$3,"Mese",4,"Tipologia",$A167,"Viaggio",$A$157))
-IF(ISERROR(GETPIVOTDATA("Somma di AVERE",'Pivot RakBank EUR'!$A$3,"Mese",4,"Tipologia",$A167,"Viaggio",$A$157)),0,GETPIVOTDATA("Somma di AVERE",'Pivot RakBank EUR'!$A$3,"Mese",4,"Tipologia",$A167,"Viaggio",$A$157))
+IF(ISERROR(GETPIVOTDATA("Somma di DARE EUR",'Pivot RakBank AED'!$A$3,"Mese",4,"Tipologia",$A167,"Viaggio",$A$157)),0,GETPIVOTDATA("Somma di DARE EUR",'Pivot RakBank AED'!$A$3,"Mese",4,"Tipologia",$A167,"Viaggio",$A$157))
-IF(ISERROR(GETPIVOTDATA("Somma di AVERE EUR",'Pivot RakBank AED'!$A$3,"Mese",4,"Tipologia",$A167,"Viaggio",$A$157)),0,GETPIVOTDATA("Somma di AVERE EUR",'Pivot RakBank AED'!$A$3,"Mese",4,"Tipologia",$A167,"Viaggio",$A$157))</f>
        <v>0</v>
      </c>
      <c r="G167" s="270">
        <f>IF(ISERROR(GETPIVOTDATA("Somma di DARE",'Pivot Fineco Sa'!$A$3,"Mese",5,"Tipologia",$A167,"Viaggio",$A$157)),0,GETPIVOTDATA("Somma di DARE",'Pivot Fineco Sa'!$A$3,"Mese",5,"Tipologia",$A167,"Viaggio",$A$157))
+IF(ISERROR(GETPIVOTDATA("Somma di DARE",'Pivot Fineco St'!$A$3,"Mese",5,"Tipologia",$A167,"Viaggio",$A$157)),0,GETPIVOTDATA("Somma di DARE",'Pivot Fineco St'!$A$3,"Mese",5,"Tipologia",$A167,"Viaggio",$A$157))
+IF(Contanti!$U48='Conto Economico'!$A$157,Contanti!$R48)
+IF(ISERROR(GETPIVOTDATA("Somma di DARE",'Pivot BBVA'!$A$3,"Mese",5,"Tipologia",$A167,"Viaggio",$A$157)),0,GETPIVOTDATA("Somma di DARE",'Pivot BBVA'!$A$3,"Mese",5,"Tipologia",$A167,"Viaggio",$A$157))
+IF(ISERROR(GETPIVOTDATA("Somma di DARE",'Pivot Amex'!$A$3,"Mese",5,"Tipologia",$A167,"Viaggio",$A$157)),0,GETPIVOTDATA("Somma di DARE",'Pivot Amex'!$A$3,"Mese",5,"Tipologia",$A167,"Viaggio",$A$157))
-IF(ISERROR(GETPIVOTDATA("Somma di AVERE",'Pivot Amex'!$A$3,"Mese",5,"Tipologia",$A167,"Viaggio",$A$157)),0,GETPIVOTDATA("Somma di AVERE",'Pivot Amex'!$A$3,"Mese",5,"Tipologia",$A167,"Viaggio",$A$157))
-IF(ISERROR(GETPIVOTDATA("Somma di AVERE",'Pivot BBVA'!$A$3,"Mese",5,"Tipologia",$A167,"Viaggio",$A$157)),0,GETPIVOTDATA("Somma di AVERE",'Pivot BBVA'!$A$3,"Mese",5,"Tipologia",$A167,"Viaggio",$A$157))
-IF(ISERROR(GETPIVOTDATA("Somma di AVERE",'Pivot Fineco St'!$A$3,"Mese",5,"Tipologia",$A167,"Viaggio",$A$157)),0,GETPIVOTDATA("Somma di AVERE",'Pivot Fineco St'!$A$3,"Mese",5,"Tipologia",$A167,"Viaggio",$A$157))
-IF(ISERROR(GETPIVOTDATA("Somma di AVERE",'Pivot Fineco Sa'!$A$3,"Mese",5,"Tipologia",$A167,"Viaggio",$A$157)),0,GETPIVOTDATA("Somma di AVERE",'Pivot Fineco Sa'!$A$3,"Mese",5,"Tipologia",$A167,"Viaggio",$A$157))
+IF(ISERROR(GETPIVOTDATA("Somma di DARE",'Pivot PP Visa'!$A$3,"Mese",5,"Tipologia",$A167,"Viaggio",$A$157)),0,GETPIVOTDATA("Somma di DARE",'Pivot PP Visa'!$A$3,"Mese",5,"Tipologia",$A167,"Viaggio",$A$157))
-IF(ISERROR(GETPIVOTDATA("Somma di AVERE",'Pivot PP Visa'!$A$3,"Mese",5,"Tipologia",$A167,"Viaggio",$A$157)),0,GETPIVOTDATA("Somma di AVERE",'Pivot PP Visa'!$A$3,"Mese",5,"Tipologia",$A167,"Viaggio",$A$157))
+IF(ISERROR(GETPIVOTDATA("Somma di DARE",'Pivot Revolut'!$A$3,"Mese",5,"Tipologia",$A167,"Viaggio",$A$157)),0,GETPIVOTDATA("Somma di DARE",'Pivot Revolut'!$A$3,"Mese",5,"Tipologia",$A167,"Viaggio",$A$157))
-IF(ISERROR(GETPIVOTDATA("Somma di AVERE",'Pivot Revolut'!$A$3,"Mese",5,"Tipologia",$A167,"Viaggio",$A$157)),0,GETPIVOTDATA("Somma di AVERE",'Pivot Revolut'!$A$3,"Mese",5,"Tipologia",$A167,"Viaggio",$A$157))
+IF(ISERROR(GETPIVOTDATA("Somma di DARE",'Pivot RakBank EUR'!$A$3,"Mese",5,"Tipologia",$A167,"Viaggio",$A$157)),0,GETPIVOTDATA("Somma di DARE",'Pivot RakBank EUR'!$A$3,"Mese",5,"Tipologia",$A167,"Viaggio",$A$157))
-IF(ISERROR(GETPIVOTDATA("Somma di AVERE",'Pivot RakBank EUR'!$A$3,"Mese",5,"Tipologia",$A167,"Viaggio",$A$157)),0,GETPIVOTDATA("Somma di AVERE",'Pivot RakBank EUR'!$A$3,"Mese",5,"Tipologia",$A167,"Viaggio",$A$157))
+IF(ISERROR(GETPIVOTDATA("Somma di DARE EUR",'Pivot RakBank AED'!$A$3,"Mese",5,"Tipologia",$A167,"Viaggio",$A$157)),0,GETPIVOTDATA("Somma di DARE EUR",'Pivot RakBank AED'!$A$3,"Mese",5,"Tipologia",$A167,"Viaggio",$A$157))
-IF(ISERROR(GETPIVOTDATA("Somma di AVERE EUR",'Pivot RakBank AED'!$A$3,"Mese",5,"Tipologia",$A167,"Viaggio",$A$157)),0,GETPIVOTDATA("Somma di AVERE EUR",'Pivot RakBank AED'!$A$3,"Mese",5,"Tipologia",$A167,"Viaggio",$A$157))</f>
        <v>0</v>
      </c>
      <c r="H167" s="270">
        <f>IF(ISERROR(GETPIVOTDATA("Somma di DARE",'Pivot Fineco Sa'!$A$3,"Mese",6,"Tipologia",$A167,"Viaggio",$A$157)),0,GETPIVOTDATA("Somma di DARE",'Pivot Fineco Sa'!$A$3,"Mese",6,"Tipologia",$A167,"Viaggio",$A$157))
+IF(ISERROR(GETPIVOTDATA("Somma di DARE",'Pivot Fineco St'!$A$3,"Mese",6,"Tipologia",$A167,"Viaggio",$A$157)),0,GETPIVOTDATA("Somma di DARE",'Pivot Fineco St'!$A$3,"Mese",6,"Tipologia",$A167,"Viaggio",$A$157))
+IF(Contanti!$Y48='Conto Economico'!$A$157,Contanti!$V48)
+IF(ISERROR(GETPIVOTDATA("Somma di DARE",'Pivot BBVA'!$A$3,"Mese",6,"Tipologia",$A167,"Viaggio",$A$157)),0,GETPIVOTDATA("Somma di DARE",'Pivot BBVA'!$A$3,"Mese",6,"Tipologia",$A167,"Viaggio",$A$157))
+IF(ISERROR(GETPIVOTDATA("Somma di DARE",'Pivot Amex'!$A$3,"Mese",6,"Tipologia",$A167,"Viaggio",$A$157)),0,GETPIVOTDATA("Somma di DARE",'Pivot Amex'!$A$3,"Mese",6,"Tipologia",$A167,"Viaggio",$A$157))
-IF(ISERROR(GETPIVOTDATA("Somma di AVERE",'Pivot Amex'!$A$3,"Mese",6,"Tipologia",$A167,"Viaggio",$A$157)),0,GETPIVOTDATA("Somma di AVERE",'Pivot Amex'!$A$3,"Mese",6,"Tipologia",$A167,"Viaggio",$A$157))
-IF(ISERROR(GETPIVOTDATA("Somma di AVERE",'Pivot BBVA'!$A$3,"Mese",6,"Tipologia",$A167,"Viaggio",$A$157)),0,GETPIVOTDATA("Somma di AVERE",'Pivot BBVA'!$A$3,"Mese",6,"Tipologia",$A167,"Viaggio",$A$157))
-IF(ISERROR(GETPIVOTDATA("Somma di AVERE",'Pivot Fineco St'!$A$3,"Mese",6,"Tipologia",$A167,"Viaggio",$A$157)),0,GETPIVOTDATA("Somma di AVERE",'Pivot Fineco St'!$A$3,"Mese",6,"Tipologia",$A167,"Viaggio",$A$157))
-IF(ISERROR(GETPIVOTDATA("Somma di AVERE",'Pivot Fineco Sa'!$A$3,"Mese",6,"Tipologia",$A167,"Viaggio",$A$157)),0,GETPIVOTDATA("Somma di AVERE",'Pivot Fineco Sa'!$A$3,"Mese",6,"Tipologia",$A167,"Viaggio",$A$157))
+IF(ISERROR(GETPIVOTDATA("Somma di DARE",'Pivot PP Visa'!$A$3,"Mese",6,"Tipologia",$A167,"Viaggio",$A$157)),0,GETPIVOTDATA("Somma di DARE",'Pivot PP Visa'!$A$3,"Mese",6,"Tipologia",$A167,"Viaggio",$A$157))
-IF(ISERROR(GETPIVOTDATA("Somma di AVERE",'Pivot PP Visa'!$A$3,"Mese",6,"Tipologia",$A167,"Viaggio",$A$157)),0,GETPIVOTDATA("Somma di AVERE",'Pivot PP Visa'!$A$3,"Mese",6,"Tipologia",$A167,"Viaggio",$A$157))
+IF(ISERROR(GETPIVOTDATA("Somma di DARE",'Pivot Revolut'!$A$3,"Mese",6,"Tipologia",$A167,"Viaggio",$A$157)),0,GETPIVOTDATA("Somma di DARE",'Pivot Revolut'!$A$3,"Mese",6,"Tipologia",$A167,"Viaggio",$A$157))
-IF(ISERROR(GETPIVOTDATA("Somma di AVERE",'Pivot Revolut'!$A$3,"Mese",6,"Tipologia",$A167,"Viaggio",$A$157)),0,GETPIVOTDATA("Somma di AVERE",'Pivot Revolut'!$A$3,"Mese",6,"Tipologia",$A167,"Viaggio",$A$157))
+IF(ISERROR(GETPIVOTDATA("Somma di DARE",'Pivot RakBank EUR'!$A$3,"Mese",6,"Tipologia",$A167,"Viaggio",$A$157)),0,GETPIVOTDATA("Somma di DARE",'Pivot RakBank EUR'!$A$3,"Mese",6,"Tipologia",$A167,"Viaggio",$A$157))
-IF(ISERROR(GETPIVOTDATA("Somma di AVERE",'Pivot RakBank EUR'!$A$3,"Mese",6,"Tipologia",$A167,"Viaggio",$A$157)),0,GETPIVOTDATA("Somma di AVERE",'Pivot RakBank EUR'!$A$3,"Mese",6,"Tipologia",$A167,"Viaggio",$A$157))
+IF(ISERROR(GETPIVOTDATA("Somma di DARE EUR",'Pivot RakBank AED'!$A$3,"Mese",6,"Tipologia",$A167,"Viaggio",$A$157)),0,GETPIVOTDATA("Somma di DARE EUR",'Pivot RakBank AED'!$A$3,"Mese",6,"Tipologia",$A167,"Viaggio",$A$157))
-IF(ISERROR(GETPIVOTDATA("Somma di AVERE EUR",'Pivot RakBank AED'!$A$3,"Mese",6,"Tipologia",$A167,"Viaggio",$A$157)),0,GETPIVOTDATA("Somma di AVERE EUR",'Pivot RakBank AED'!$A$3,"Mese",6,"Tipologia",$A167,"Viaggio",$A$157))</f>
        <v>0</v>
      </c>
      <c r="I167" s="270">
        <f>IF(ISERROR(GETPIVOTDATA("Somma di DARE",'Pivot Fineco Sa'!$A$3,"Mese",7,"Tipologia",$A167,"Viaggio",$A$157)),0,GETPIVOTDATA("Somma di DARE",'Pivot Fineco Sa'!$A$3,"Mese",7,"Tipologia",$A167,"Viaggio",$A$157))
+IF(ISERROR(GETPIVOTDATA("Somma di DARE",'Pivot Fineco St'!$A$3,"Mese",7,"Tipologia",$A167,"Viaggio",$A$157)),0,GETPIVOTDATA("Somma di DARE",'Pivot Fineco St'!$A$3,"Mese",7,"Tipologia",$A167,"Viaggio",$A$157))
+IF(Contanti!$AC48='Conto Economico'!$A$157,Contanti!$Z48)
+IF(ISERROR(GETPIVOTDATA("Somma di DARE",'Pivot BBVA'!$A$3,"Mese",7,"Tipologia",$A167,"Viaggio",$A$157)),0,GETPIVOTDATA("Somma di DARE",'Pivot BBVA'!$A$3,"Mese",7,"Tipologia",$A167,"Viaggio",$A$157))
+IF(ISERROR(GETPIVOTDATA("Somma di DARE",'Pivot Amex'!$A$3,"Mese",7,"Tipologia",$A167,"Viaggio",$A$157)),0,GETPIVOTDATA("Somma di DARE",'Pivot Amex'!$A$3,"Mese",7,"Tipologia",$A167,"Viaggio",$A$157))
-IF(ISERROR(GETPIVOTDATA("Somma di AVERE",'Pivot Amex'!$A$3,"Mese",7,"Tipologia",$A167,"Viaggio",$A$157)),0,GETPIVOTDATA("Somma di AVERE",'Pivot Amex'!$A$3,"Mese",7,"Tipologia",$A167,"Viaggio",$A$157))
-IF(ISERROR(GETPIVOTDATA("Somma di AVERE",'Pivot BBVA'!$A$3,"Mese",7,"Tipologia",$A167,"Viaggio",$A$157)),0,GETPIVOTDATA("Somma di AVERE",'Pivot BBVA'!$A$3,"Mese",7,"Tipologia",$A167,"Viaggio",$A$157))
-IF(ISERROR(GETPIVOTDATA("Somma di AVERE",'Pivot Fineco St'!$A$3,"Mese",7,"Tipologia",$A167,"Viaggio",$A$157)),0,GETPIVOTDATA("Somma di AVERE",'Pivot Fineco St'!$A$3,"Mese",7,"Tipologia",$A167,"Viaggio",$A$157))
-IF(ISERROR(GETPIVOTDATA("Somma di AVERE",'Pivot Fineco Sa'!$A$3,"Mese",7,"Tipologia",$A167,"Viaggio",$A$157)),0,GETPIVOTDATA("Somma di AVERE",'Pivot Fineco Sa'!$A$3,"Mese",7,"Tipologia",$A167,"Viaggio",$A$157))
+IF(ISERROR(GETPIVOTDATA("Somma di DARE",'Pivot PP Visa'!$A$3,"Mese",7,"Tipologia",$A167,"Viaggio",$A$157)),0,GETPIVOTDATA("Somma di DARE",'Pivot PP Visa'!$A$3,"Mese",7,"Tipologia",$A167,"Viaggio",$A$157))
-IF(ISERROR(GETPIVOTDATA("Somma di AVERE",'Pivot PP Visa'!$A$3,"Mese",7,"Tipologia",$A167,"Viaggio",$A$157)),0,GETPIVOTDATA("Somma di AVERE",'Pivot PP Visa'!$A$3,"Mese",7,"Tipologia",$A167,"Viaggio",$A$157))
+IF(ISERROR(GETPIVOTDATA("Somma di DARE",'Pivot Revolut'!$A$3,"Mese",7,"Tipologia",$A167,"Viaggio",$A$157)),0,GETPIVOTDATA("Somma di DARE",'Pivot Revolut'!$A$3,"Mese",7,"Tipologia",$A167,"Viaggio",$A$157))
-IF(ISERROR(GETPIVOTDATA("Somma di AVERE",'Pivot Revolut'!$A$3,"Mese",7,"Tipologia",$A167,"Viaggio",$A$157)),0,GETPIVOTDATA("Somma di AVERE",'Pivot Revolut'!$A$3,"Mese",7,"Tipologia",$A167,"Viaggio",$A$157))
+IF(ISERROR(GETPIVOTDATA("Somma di DARE",'Pivot RakBank EUR'!$A$3,"Mese",7,"Tipologia",$A167,"Viaggio",$A$157)),0,GETPIVOTDATA("Somma di DARE",'Pivot RakBank EUR'!$A$3,"Mese",7,"Tipologia",$A167,"Viaggio",$A$157))
-IF(ISERROR(GETPIVOTDATA("Somma di AVERE",'Pivot RakBank EUR'!$A$3,"Mese",7,"Tipologia",$A167,"Viaggio",$A$157)),0,GETPIVOTDATA("Somma di AVERE",'Pivot RakBank EUR'!$A$3,"Mese",7,"Tipologia",$A167,"Viaggio",$A$157))
+IF(ISERROR(GETPIVOTDATA("Somma di DARE EUR",'Pivot RakBank AED'!$A$3,"Mese",7,"Tipologia",$A167,"Viaggio",$A$157)),0,GETPIVOTDATA("Somma di DARE EUR",'Pivot RakBank AED'!$A$3,"Mese",7,"Tipologia",$A167,"Viaggio",$A$157))
-IF(ISERROR(GETPIVOTDATA("Somma di AVERE EUR",'Pivot RakBank AED'!$A$3,"Mese",7,"Tipologia",$A167,"Viaggio",$A$157)),0,GETPIVOTDATA("Somma di AVERE EUR",'Pivot RakBank AED'!$A$3,"Mese",7,"Tipologia",$A167,"Viaggio",$A$157))</f>
        <v>0</v>
      </c>
      <c r="J167" s="270">
        <f>IF(ISERROR(GETPIVOTDATA("Somma di DARE",'Pivot Fineco Sa'!$A$3,"Mese",8,"Tipologia",$A167,"Viaggio",$A$157)),0,GETPIVOTDATA("Somma di DARE",'Pivot Fineco Sa'!$A$3,"Mese",8,"Tipologia",$A167,"Viaggio",$A$157))
+IF(ISERROR(GETPIVOTDATA("Somma di DARE",'Pivot Fineco St'!$A$3,"Mese",8,"Tipologia",$A167,"Viaggio",$A$157)),0,GETPIVOTDATA("Somma di DARE",'Pivot Fineco St'!$A$3,"Mese",8,"Tipologia",$A167,"Viaggio",$A$157))
+IF(Contanti!$AG48='Conto Economico'!$A$157,Contanti!$AD48)
+IF(ISERROR(GETPIVOTDATA("Somma di DARE",'Pivot BBVA'!$A$3,"Mese",8,"Tipologia",$A167,"Viaggio",$A$157)),0,GETPIVOTDATA("Somma di DARE",'Pivot BBVA'!$A$3,"Mese",8,"Tipologia",$A167,"Viaggio",$A$157))
+IF(ISERROR(GETPIVOTDATA("Somma di DARE",'Pivot Amex'!$A$3,"Mese",8,"Tipologia",$A167,"Viaggio",$A$157)),0,GETPIVOTDATA("Somma di DARE",'Pivot Amex'!$A$3,"Mese",8,"Tipologia",$A167,"Viaggio",$A$157))
-IF(ISERROR(GETPIVOTDATA("Somma di AVERE",'Pivot Amex'!$A$3,"Mese",8,"Tipologia",$A167,"Viaggio",$A$157)),0,GETPIVOTDATA("Somma di AVERE",'Pivot Amex'!$A$3,"Mese",8,"Tipologia",$A167,"Viaggio",$A$157))
-IF(ISERROR(GETPIVOTDATA("Somma di AVERE",'Pivot BBVA'!$A$3,"Mese",8,"Tipologia",$A167,"Viaggio",$A$157)),0,GETPIVOTDATA("Somma di AVERE",'Pivot BBVA'!$A$3,"Mese",8,"Tipologia",$A167,"Viaggio",$A$157))
-IF(ISERROR(GETPIVOTDATA("Somma di AVERE",'Pivot Fineco St'!$A$3,"Mese",8,"Tipologia",$A167,"Viaggio",$A$157)),0,GETPIVOTDATA("Somma di AVERE",'Pivot Fineco St'!$A$3,"Mese",8,"Tipologia",$A167,"Viaggio",$A$157))
-IF(ISERROR(GETPIVOTDATA("Somma di AVERE",'Pivot Fineco Sa'!$A$3,"Mese",8,"Tipologia",$A167,"Viaggio",$A$157)),0,GETPIVOTDATA("Somma di AVERE",'Pivot Fineco Sa'!$A$3,"Mese",8,"Tipologia",$A167,"Viaggio",$A$157))
+IF(ISERROR(GETPIVOTDATA("Somma di DARE",'Pivot PP Visa'!$A$3,"Mese",8,"Tipologia",$A167,"Viaggio",$A$157)),0,GETPIVOTDATA("Somma di DARE",'Pivot PP Visa'!$A$3,"Mese",8,"Tipologia",$A167,"Viaggio",$A$157))
-IF(ISERROR(GETPIVOTDATA("Somma di AVERE",'Pivot PP Visa'!$A$3,"Mese",8,"Tipologia",$A167,"Viaggio",$A$157)),0,GETPIVOTDATA("Somma di AVERE",'Pivot PP Visa'!$A$3,"Mese",8,"Tipologia",$A167,"Viaggio",$A$157))
+IF(ISERROR(GETPIVOTDATA("Somma di DARE",'Pivot Revolut'!$A$3,"Mese",8,"Tipologia",$A167,"Viaggio",$A$157)),0,GETPIVOTDATA("Somma di DARE",'Pivot Revolut'!$A$3,"Mese",8,"Tipologia",$A167,"Viaggio",$A$157))
-IF(ISERROR(GETPIVOTDATA("Somma di AVERE",'Pivot Revolut'!$A$3,"Mese",8,"Tipologia",$A167,"Viaggio",$A$157)),0,GETPIVOTDATA("Somma di AVERE",'Pivot Revolut'!$A$3,"Mese",8,"Tipologia",$A167,"Viaggio",$A$157))
+IF(ISERROR(GETPIVOTDATA("Somma di DARE",'Pivot RakBank EUR'!$A$3,"Mese",8,"Tipologia",$A167,"Viaggio",$A$157)),0,GETPIVOTDATA("Somma di DARE",'Pivot RakBank EUR'!$A$3,"Mese",8,"Tipologia",$A167,"Viaggio",$A$157))
-IF(ISERROR(GETPIVOTDATA("Somma di AVERE",'Pivot RakBank EUR'!$A$3,"Mese",8,"Tipologia",$A167,"Viaggio",$A$157)),0,GETPIVOTDATA("Somma di AVERE",'Pivot RakBank EUR'!$A$3,"Mese",8,"Tipologia",$A167,"Viaggio",$A$157))
+IF(ISERROR(GETPIVOTDATA("Somma di DARE EUR",'Pivot RakBank AED'!$A$3,"Mese",8,"Tipologia",$A167,"Viaggio",$A$157)),0,GETPIVOTDATA("Somma di DARE EUR",'Pivot RakBank AED'!$A$3,"Mese",8,"Tipologia",$A167,"Viaggio",$A$157))
-IF(ISERROR(GETPIVOTDATA("Somma di AVERE EUR",'Pivot RakBank AED'!$A$3,"Mese",8,"Tipologia",$A167,"Viaggio",$A$157)),0,GETPIVOTDATA("Somma di AVERE EUR",'Pivot RakBank AED'!$A$3,"Mese",8,"Tipologia",$A167,"Viaggio",$A$157))</f>
        <v>0</v>
      </c>
      <c r="K167" s="270">
        <f>IF(ISERROR(GETPIVOTDATA("Somma di DARE",'Pivot Fineco Sa'!$A$3,"Mese",9,"Tipologia",$A167,"Viaggio",$A$157)),0,GETPIVOTDATA("Somma di DARE",'Pivot Fineco Sa'!$A$3,"Mese",9,"Tipologia",$A167,"Viaggio",$A$157))
+IF(ISERROR(GETPIVOTDATA("Somma di DARE",'Pivot Fineco St'!$A$3,"Mese",9,"Tipologia",$A167,"Viaggio",$A$157)),0,GETPIVOTDATA("Somma di DARE",'Pivot Fineco St'!$A$3,"Mese",9,"Tipologia",$A167,"Viaggio",$A$157))
+IF(Contanti!$AK48='Conto Economico'!$A$157,Contanti!$AH48)
+IF(ISERROR(GETPIVOTDATA("Somma di DARE",'Pivot BBVA'!$A$3,"Mese",9,"Tipologia",$A167,"Viaggio",$A$157)),0,GETPIVOTDATA("Somma di DARE",'Pivot BBVA'!$A$3,"Mese",9,"Tipologia",$A167,"Viaggio",$A$157))
+IF(ISERROR(GETPIVOTDATA("Somma di DARE",'Pivot Amex'!$A$3,"Mese",9,"Tipologia",$A167,"Viaggio",$A$157)),0,GETPIVOTDATA("Somma di DARE",'Pivot Amex'!$A$3,"Mese",9,"Tipologia",$A167,"Viaggio",$A$157))
-IF(ISERROR(GETPIVOTDATA("Somma di AVERE",'Pivot Amex'!$A$3,"Mese",9,"Tipologia",$A167,"Viaggio",$A$157)),0,GETPIVOTDATA("Somma di AVERE",'Pivot Amex'!$A$3,"Mese",9,"Tipologia",$A167,"Viaggio",$A$157))
-IF(ISERROR(GETPIVOTDATA("Somma di AVERE",'Pivot BBVA'!$A$3,"Mese",9,"Tipologia",$A167,"Viaggio",$A$157)),0,GETPIVOTDATA("Somma di AVERE",'Pivot BBVA'!$A$3,"Mese",9,"Tipologia",$A167,"Viaggio",$A$157))
-IF(ISERROR(GETPIVOTDATA("Somma di AVERE",'Pivot Fineco St'!$A$3,"Mese",9,"Tipologia",$A167,"Viaggio",$A$157)),0,GETPIVOTDATA("Somma di AVERE",'Pivot Fineco St'!$A$3,"Mese",9,"Tipologia",$A167,"Viaggio",$A$157))
-IF(ISERROR(GETPIVOTDATA("Somma di AVERE",'Pivot Fineco Sa'!$A$3,"Mese",9,"Tipologia",$A167,"Viaggio",$A$157)),0,GETPIVOTDATA("Somma di AVERE",'Pivot Fineco Sa'!$A$3,"Mese",9,"Tipologia",$A167,"Viaggio",$A$157))
+IF(ISERROR(GETPIVOTDATA("Somma di DARE",'Pivot PP Visa'!$A$3,"Mese",9,"Tipologia",$A167,"Viaggio",$A$157)),0,GETPIVOTDATA("Somma di DARE",'Pivot PP Visa'!$A$3,"Mese",9,"Tipologia",$A167,"Viaggio",$A$157))
-IF(ISERROR(GETPIVOTDATA("Somma di AVERE",'Pivot PP Visa'!$A$3,"Mese",9,"Tipologia",$A167,"Viaggio",$A$157)),0,GETPIVOTDATA("Somma di AVERE",'Pivot PP Visa'!$A$3,"Mese",9,"Tipologia",$A167,"Viaggio",$A$157))
+IF(ISERROR(GETPIVOTDATA("Somma di DARE",'Pivot Revolut'!$A$3,"Mese",9,"Tipologia",$A167,"Viaggio",$A$157)),0,GETPIVOTDATA("Somma di DARE",'Pivot Revolut'!$A$3,"Mese",9,"Tipologia",$A167,"Viaggio",$A$157))
-IF(ISERROR(GETPIVOTDATA("Somma di AVERE",'Pivot Revolut'!$A$3,"Mese",9,"Tipologia",$A167,"Viaggio",$A$157)),0,GETPIVOTDATA("Somma di AVERE",'Pivot Revolut'!$A$3,"Mese",9,"Tipologia",$A167,"Viaggio",$A$157))
+IF(ISERROR(GETPIVOTDATA("Somma di DARE",'Pivot RakBank EUR'!$A$3,"Mese",9,"Tipologia",$A167,"Viaggio",$A$157)),0,GETPIVOTDATA("Somma di DARE",'Pivot RakBank EUR'!$A$3,"Mese",9,"Tipologia",$A167,"Viaggio",$A$157))
-IF(ISERROR(GETPIVOTDATA("Somma di AVERE",'Pivot RakBank EUR'!$A$3,"Mese",9,"Tipologia",$A167,"Viaggio",$A$157)),0,GETPIVOTDATA("Somma di AVERE",'Pivot RakBank EUR'!$A$3,"Mese",9,"Tipologia",$A167,"Viaggio",$A$157))
+IF(ISERROR(GETPIVOTDATA("Somma di DARE EUR",'Pivot RakBank AED'!$A$3,"Mese",9,"Tipologia",$A167,"Viaggio",$A$157)),0,GETPIVOTDATA("Somma di DARE EUR",'Pivot RakBank AED'!$A$3,"Mese",9,"Tipologia",$A167,"Viaggio",$A$157))
-IF(ISERROR(GETPIVOTDATA("Somma di AVERE EUR",'Pivot RakBank AED'!$A$3,"Mese",9,"Tipologia",$A167,"Viaggio",$A$157)),0,GETPIVOTDATA("Somma di AVERE EUR",'Pivot RakBank AED'!$A$3,"Mese",9,"Tipologia",$A167,"Viaggio",$A$157))</f>
        <v>0</v>
      </c>
      <c r="L167" s="270">
        <f>IF(ISERROR(GETPIVOTDATA("Somma di DARE",'Pivot Fineco Sa'!$A$3,"Mese",10,"Tipologia",$A167,"Viaggio",$A$157)),0,GETPIVOTDATA("Somma di DARE",'Pivot Fineco Sa'!$A$3,"Mese",10,"Tipologia",$A167,"Viaggio",$A$157))
+IF(ISERROR(GETPIVOTDATA("Somma di DARE",'Pivot Fineco St'!$A$3,"Mese",10,"Tipologia",$A167,"Viaggio",$A$157)),0,GETPIVOTDATA("Somma di DARE",'Pivot Fineco St'!$A$3,"Mese",10,"Tipologia",$A167,"Viaggio",$A$157))
+IF(Contanti!$AO48='Conto Economico'!$A$157,Contanti!$AL48)
+IF(ISERROR(GETPIVOTDATA("Somma di DARE",'Pivot BBVA'!$A$3,"Mese",10,"Tipologia",$A167,"Viaggio",$A$157)),0,GETPIVOTDATA("Somma di DARE",'Pivot BBVA'!$A$3,"Mese",10,"Tipologia",$A167,"Viaggio",$A$157))
+IF(ISERROR(GETPIVOTDATA("Somma di DARE",'Pivot Amex'!$A$3,"Mese",10,"Tipologia",$A167,"Viaggio",$A$157)),0,GETPIVOTDATA("Somma di DARE",'Pivot Amex'!$A$3,"Mese",10,"Tipologia",$A167,"Viaggio",$A$157))
-IF(ISERROR(GETPIVOTDATA("Somma di AVERE",'Pivot Amex'!$A$3,"Mese",10,"Tipologia",$A167,"Viaggio",$A$157)),0,GETPIVOTDATA("Somma di AVERE",'Pivot Amex'!$A$3,"Mese",10,"Tipologia",$A167,"Viaggio",$A$157))
-IF(ISERROR(GETPIVOTDATA("Somma di AVERE",'Pivot BBVA'!$A$3,"Mese",10,"Tipologia",$A167,"Viaggio",$A$157)),0,GETPIVOTDATA("Somma di AVERE",'Pivot BBVA'!$A$3,"Mese",10,"Tipologia",$A167,"Viaggio",$A$157))
-IF(ISERROR(GETPIVOTDATA("Somma di AVERE",'Pivot Fineco St'!$A$3,"Mese",10,"Tipologia",$A167,"Viaggio",$A$157)),0,GETPIVOTDATA("Somma di AVERE",'Pivot Fineco St'!$A$3,"Mese",10,"Tipologia",$A167,"Viaggio",$A$157))
-IF(ISERROR(GETPIVOTDATA("Somma di AVERE",'Pivot Fineco Sa'!$A$3,"Mese",10,"Tipologia",$A167,"Viaggio",$A$157)),0,GETPIVOTDATA("Somma di AVERE",'Pivot Fineco Sa'!$A$3,"Mese",10,"Tipologia",$A167,"Viaggio",$A$157))
+IF(ISERROR(GETPIVOTDATA("Somma di DARE",'Pivot PP Visa'!$A$3,"Mese",10,"Tipologia",$A167,"Viaggio",$A$157)),0,GETPIVOTDATA("Somma di DARE",'Pivot PP Visa'!$A$3,"Mese",10,"Tipologia",$A167,"Viaggio",$A$157))
-IF(ISERROR(GETPIVOTDATA("Somma di AVERE",'Pivot PP Visa'!$A$3,"Mese",10,"Tipologia",$A167,"Viaggio",$A$157)),0,GETPIVOTDATA("Somma di AVERE",'Pivot PP Visa'!$A$3,"Mese",10,"Tipologia",$A167,"Viaggio",$A$157))
+IF(ISERROR(GETPIVOTDATA("Somma di DARE",'Pivot Revolut'!$A$3,"Mese",10,"Tipologia",$A167,"Viaggio",$A$157)),0,GETPIVOTDATA("Somma di DARE",'Pivot Revolut'!$A$3,"Mese",10,"Tipologia",$A167,"Viaggio",$A$157))
-IF(ISERROR(GETPIVOTDATA("Somma di AVERE",'Pivot Revolut'!$A$3,"Mese",10,"Tipologia",$A167,"Viaggio",$A$157)),0,GETPIVOTDATA("Somma di AVERE",'Pivot Revolut'!$A$3,"Mese",10,"Tipologia",$A167,"Viaggio",$A$157))
+IF(ISERROR(GETPIVOTDATA("Somma di DARE",'Pivot RakBank EUR'!$A$3,"Mese",10,"Tipologia",$A167,"Viaggio",$A$157)),0,GETPIVOTDATA("Somma di DARE",'Pivot RakBank EUR'!$A$3,"Mese",10,"Tipologia",$A167,"Viaggio",$A$157))
-IF(ISERROR(GETPIVOTDATA("Somma di AVERE",'Pivot RakBank EUR'!$A$3,"Mese",10,"Tipologia",$A167,"Viaggio",$A$157)),0,GETPIVOTDATA("Somma di AVERE",'Pivot RakBank EUR'!$A$3,"Mese",10,"Tipologia",$A167,"Viaggio",$A$157))
+IF(ISERROR(GETPIVOTDATA("Somma di DARE EUR",'Pivot RakBank AED'!$A$3,"Mese",10,"Tipologia",$A167,"Viaggio",$A$157)),0,GETPIVOTDATA("Somma di DARE EUR",'Pivot RakBank AED'!$A$3,"Mese",10,"Tipologia",$A167,"Viaggio",$A$157))
-IF(ISERROR(GETPIVOTDATA("Somma di AVERE EUR",'Pivot RakBank AED'!$A$3,"Mese",10,"Tipologia",$A167,"Viaggio",$A$157)),0,GETPIVOTDATA("Somma di AVERE EUR",'Pivot RakBank AED'!$A$3,"Mese",10,"Tipologia",$A167,"Viaggio",$A$157))</f>
        <v>0</v>
      </c>
      <c r="M167" s="270">
        <f>IF(ISERROR(GETPIVOTDATA("Somma di DARE",'Pivot Fineco Sa'!$A$3,"Mese",11,"Tipologia",$A167,"Viaggio",$A$157)),0,GETPIVOTDATA("Somma di DARE",'Pivot Fineco Sa'!$A$3,"Mese",11,"Tipologia",$A167,"Viaggio",$A$157))
+IF(ISERROR(GETPIVOTDATA("Somma di DARE",'Pivot Fineco St'!$A$3,"Mese",11,"Tipologia",$A167,"Viaggio",$A$157)),0,GETPIVOTDATA("Somma di DARE",'Pivot Fineco St'!$A$3,"Mese",11,"Tipologia",$A167,"Viaggio",$A$157))
+IF(Contanti!$AS48='Conto Economico'!$A$157,Contanti!$AP48)
+IF(ISERROR(GETPIVOTDATA("Somma di DARE",'Pivot BBVA'!$A$3,"Mese",11,"Tipologia",$A167,"Viaggio",$A$157)),0,GETPIVOTDATA("Somma di DARE",'Pivot BBVA'!$A$3,"Mese",11,"Tipologia",$A167,"Viaggio",$A$157))
+IF(ISERROR(GETPIVOTDATA("Somma di DARE",'Pivot Amex'!$A$3,"Mese",11,"Tipologia",$A167,"Viaggio",$A$157)),0,GETPIVOTDATA("Somma di DARE",'Pivot Amex'!$A$3,"Mese",11,"Tipologia",$A167,"Viaggio",$A$157))
-IF(ISERROR(GETPIVOTDATA("Somma di AVERE",'Pivot Amex'!$A$3,"Mese",11,"Tipologia",$A167,"Viaggio",$A$157)),0,GETPIVOTDATA("Somma di AVERE",'Pivot Amex'!$A$3,"Mese",11,"Tipologia",$A167,"Viaggio",$A$157))
-IF(ISERROR(GETPIVOTDATA("Somma di AVERE",'Pivot BBVA'!$A$3,"Mese",11,"Tipologia",$A167,"Viaggio",$A$157)),0,GETPIVOTDATA("Somma di AVERE",'Pivot BBVA'!$A$3,"Mese",11,"Tipologia",$A167,"Viaggio",$A$157))
-IF(ISERROR(GETPIVOTDATA("Somma di AVERE",'Pivot Fineco St'!$A$3,"Mese",11,"Tipologia",$A167,"Viaggio",$A$157)),0,GETPIVOTDATA("Somma di AVERE",'Pivot Fineco St'!$A$3,"Mese",11,"Tipologia",$A167,"Viaggio",$A$157))
-IF(ISERROR(GETPIVOTDATA("Somma di AVERE",'Pivot Fineco Sa'!$A$3,"Mese",11,"Tipologia",$A167,"Viaggio",$A$157)),0,GETPIVOTDATA("Somma di AVERE",'Pivot Fineco Sa'!$A$3,"Mese",11,"Tipologia",$A167,"Viaggio",$A$157))
+IF(ISERROR(GETPIVOTDATA("Somma di DARE",'Pivot PP Visa'!$A$3,"Mese",11,"Tipologia",$A167,"Viaggio",$A$157)),0,GETPIVOTDATA("Somma di DARE",'Pivot PP Visa'!$A$3,"Mese",11,"Tipologia",$A167,"Viaggio",$A$157))
-IF(ISERROR(GETPIVOTDATA("Somma di AVERE",'Pivot PP Visa'!$A$3,"Mese",11,"Tipologia",$A167,"Viaggio",$A$157)),0,GETPIVOTDATA("Somma di AVERE",'Pivot PP Visa'!$A$3,"Mese",11,"Tipologia",$A167,"Viaggio",$A$157))
+IF(ISERROR(GETPIVOTDATA("Somma di DARE",'Pivot Revolut'!$A$3,"Mese",11,"Tipologia",$A167,"Viaggio",$A$157)),0,GETPIVOTDATA("Somma di DARE",'Pivot Revolut'!$A$3,"Mese",11,"Tipologia",$A167,"Viaggio",$A$157))
-IF(ISERROR(GETPIVOTDATA("Somma di AVERE",'Pivot Revolut'!$A$3,"Mese",11,"Tipologia",$A167,"Viaggio",$A$157)),0,GETPIVOTDATA("Somma di AVERE",'Pivot Revolut'!$A$3,"Mese",11,"Tipologia",$A167,"Viaggio",$A$157))
+IF(ISERROR(GETPIVOTDATA("Somma di DARE",'Pivot RakBank EUR'!$A$3,"Mese",11,"Tipologia",$A167,"Viaggio",$A$157)),0,GETPIVOTDATA("Somma di DARE",'Pivot RakBank EUR'!$A$3,"Mese",11,"Tipologia",$A167,"Viaggio",$A$157))
-IF(ISERROR(GETPIVOTDATA("Somma di AVERE",'Pivot RakBank EUR'!$A$3,"Mese",11,"Tipologia",$A167,"Viaggio",$A$157)),0,GETPIVOTDATA("Somma di AVERE",'Pivot RakBank EUR'!$A$3,"Mese",11,"Tipologia",$A167,"Viaggio",$A$157))
+IF(ISERROR(GETPIVOTDATA("Somma di DARE EUR",'Pivot RakBank AED'!$A$3,"Mese",11,"Tipologia",$A167,"Viaggio",$A$157)),0,GETPIVOTDATA("Somma di DARE EUR",'Pivot RakBank AED'!$A$3,"Mese",11,"Tipologia",$A167,"Viaggio",$A$157))
-IF(ISERROR(GETPIVOTDATA("Somma di AVERE EUR",'Pivot RakBank AED'!$A$3,"Mese",11,"Tipologia",$A167,"Viaggio",$A$157)),0,GETPIVOTDATA("Somma di AVERE EUR",'Pivot RakBank AED'!$A$3,"Mese",11,"Tipologia",$A167,"Viaggio",$A$157))</f>
        <v>0</v>
      </c>
      <c r="N167" s="270">
        <f>IF(ISERROR(GETPIVOTDATA("Somma di DARE",'Pivot Fineco Sa'!$A$3,"Mese",12,"Tipologia",$A167,"Viaggio",$A$157)),0,GETPIVOTDATA("Somma di DARE",'Pivot Fineco Sa'!$A$3,"Mese",12,"Tipologia",$A167,"Viaggio",$A$157))
+IF(ISERROR(GETPIVOTDATA("Somma di DARE",'Pivot Fineco St'!$A$3,"Mese",12,"Tipologia",$A167,"Viaggio",$A$157)),0,GETPIVOTDATA("Somma di DARE",'Pivot Fineco St'!$A$3,"Mese",12,"Tipologia",$A167,"Viaggio",$A$157))
+IF(Contanti!$AW48='Conto Economico'!$A$157,Contanti!$AT48)
+IF(ISERROR(GETPIVOTDATA("Somma di DARE",'Pivot BBVA'!$A$3,"Mese",12,"Tipologia",$A167,"Viaggio",$A$157)),0,GETPIVOTDATA("Somma di DARE",'Pivot BBVA'!$A$3,"Mese",12,"Tipologia",$A167,"Viaggio",$A$157))
+IF(ISERROR(GETPIVOTDATA("Somma di DARE",'Pivot Amex'!$A$3,"Mese",12,"Tipologia",$A167,"Viaggio",$A$157)),0,GETPIVOTDATA("Somma di DARE",'Pivot Amex'!$A$3,"Mese",12,"Tipologia",$A167,"Viaggio",$A$157))
-IF(ISERROR(GETPIVOTDATA("Somma di AVERE",'Pivot Amex'!$A$3,"Mese",12,"Tipologia",$A167,"Viaggio",$A$157)),0,GETPIVOTDATA("Somma di AVERE",'Pivot Amex'!$A$3,"Mese",12,"Tipologia",$A167,"Viaggio",$A$157))
-IF(ISERROR(GETPIVOTDATA("Somma di AVERE",'Pivot BBVA'!$A$3,"Mese",12,"Tipologia",$A167,"Viaggio",$A$157)),0,GETPIVOTDATA("Somma di AVERE",'Pivot BBVA'!$A$3,"Mese",12,"Tipologia",$A167,"Viaggio",$A$157))
-IF(ISERROR(GETPIVOTDATA("Somma di AVERE",'Pivot Fineco St'!$A$3,"Mese",12,"Tipologia",$A167,"Viaggio",$A$157)),0,GETPIVOTDATA("Somma di AVERE",'Pivot Fineco St'!$A$3,"Mese",12,"Tipologia",$A167,"Viaggio",$A$157))
-IF(ISERROR(GETPIVOTDATA("Somma di AVERE",'Pivot Fineco Sa'!$A$3,"Mese",12,"Tipologia",$A167,"Viaggio",$A$157)),0,GETPIVOTDATA("Somma di AVERE",'Pivot Fineco Sa'!$A$3,"Mese",12,"Tipologia",$A167,"Viaggio",$A$157))
+IF(ISERROR(GETPIVOTDATA("Somma di DARE",'Pivot PP Visa'!$A$3,"Mese",12,"Tipologia",$A167,"Viaggio",$A$157)),0,GETPIVOTDATA("Somma di DARE",'Pivot PP Visa'!$A$3,"Mese",12,"Tipologia",$A167,"Viaggio",$A$157))
-IF(ISERROR(GETPIVOTDATA("Somma di AVERE",'Pivot PP Visa'!$A$3,"Mese",12,"Tipologia",$A167,"Viaggio",$A$157)),0,GETPIVOTDATA("Somma di AVERE",'Pivot PP Visa'!$A$3,"Mese",12,"Tipologia",$A167,"Viaggio",$A$157))
+IF(ISERROR(GETPIVOTDATA("Somma di DARE",'Pivot Revolut'!$A$3,"Mese",12,"Tipologia",$A167,"Viaggio",$A$157)),0,GETPIVOTDATA("Somma di DARE",'Pivot Revolut'!$A$3,"Mese",12,"Tipologia",$A167,"Viaggio",$A$157))
-IF(ISERROR(GETPIVOTDATA("Somma di AVERE",'Pivot Revolut'!$A$3,"Mese",12,"Tipologia",$A167,"Viaggio",$A$157)),0,GETPIVOTDATA("Somma di AVERE",'Pivot Revolut'!$A$3,"Mese",12,"Tipologia",$A167,"Viaggio",$A$157))
+IF(ISERROR(GETPIVOTDATA("Somma di DARE",'Pivot RakBank EUR'!$A$3,"Mese",12,"Tipologia",$A167,"Viaggio",$A$157)),0,GETPIVOTDATA("Somma di DARE",'Pivot RakBank EUR'!$A$3,"Mese",12,"Tipologia",$A167,"Viaggio",$A$157))
-IF(ISERROR(GETPIVOTDATA("Somma di AVERE",'Pivot RakBank EUR'!$A$3,"Mese",12,"Tipologia",$A167,"Viaggio",$A$157)),0,GETPIVOTDATA("Somma di AVERE",'Pivot RakBank EUR'!$A$3,"Mese",12,"Tipologia",$A167,"Viaggio",$A$157))
+IF(ISERROR(GETPIVOTDATA("Somma di DARE EUR",'Pivot RakBank AED'!$A$3,"Mese",12,"Tipologia",$A167,"Viaggio",$A$157)),0,GETPIVOTDATA("Somma di DARE EUR",'Pivot RakBank AED'!$A$3,"Mese",12,"Tipologia",$A167,"Viaggio",$A$157))
-IF(ISERROR(GETPIVOTDATA("Somma di AVERE EUR",'Pivot RakBank AED'!$A$3,"Mese",12,"Tipologia",$A167,"Viaggio",$A$157)),0,GETPIVOTDATA("Somma di AVERE EUR",'Pivot RakBank AED'!$A$3,"Mese",12,"Tipologia",$A167,"Viaggio",$A$157))</f>
        <v>0</v>
      </c>
      <c r="O167" s="271">
        <f t="shared" si="21"/>
        <v>0</v>
      </c>
      <c r="P167" s="270"/>
    </row>
    <row r="168" spans="1:16" s="131" customFormat="1" ht="14" outlineLevel="1" x14ac:dyDescent="0.2">
      <c r="A168" s="269" t="s">
        <v>102</v>
      </c>
      <c r="B168" s="269"/>
      <c r="C168" s="270">
        <f>IF(ISERROR(GETPIVOTDATA("Somma di DARE",'Pivot Fineco Sa'!$A$3,"Mese",1,"Tipologia",$A168,"Viaggio",$A$157)),0,GETPIVOTDATA("Somma di DARE",'Pivot Fineco Sa'!$A$3,"Mese",1,"Tipologia",$A168,"Viaggio",$A$157))
+IF(ISERROR(GETPIVOTDATA("Somma di DARE",'Pivot Fineco St'!$A$3,"Mese",1,"Tipologia",$A168,"Viaggio",$A$157)),0,GETPIVOTDATA("Somma di DARE",'Pivot Fineco St'!$A$3,"Mese",1,"Tipologia",$A168,"Viaggio",$A$157))
+IF(Contanti!$E49='Conto Economico'!$A$157,Contanti!$B49)
+IF(ISERROR(GETPIVOTDATA("Somma di DARE",'Pivot BBVA'!$A$3,"Mese",1,"Tipologia",$A168,"Viaggio",$A$157)),0,GETPIVOTDATA("Somma di DARE",'Pivot BBVA'!$A$3,"Mese",1,"Tipologia",$A168,"Viaggio",$A$157))
+IF(ISERROR(GETPIVOTDATA("Somma di DARE",'Pivot Amex'!$A$3,"Mese",1,"Tipologia",$A168,"Viaggio",$A$157)),0,GETPIVOTDATA("Somma di DARE",'Pivot Amex'!$A$3,"Mese",1,"Tipologia",$A168,"Viaggio",$A$157))
-IF(ISERROR(GETPIVOTDATA("Somma di AVERE",'Pivot Amex'!$A$3,"Mese",1,"Tipologia",$A168,"Viaggio",$A$157)),0,GETPIVOTDATA("Somma di AVERE",'Pivot Amex'!$A$3,"Mese",1,"Tipologia",$A168,"Viaggio",$A$157))
-IF(ISERROR(GETPIVOTDATA("Somma di AVERE",'Pivot BBVA'!$A$3,"Mese",1,"Tipologia",$A168,"Viaggio",$A$157)),0,GETPIVOTDATA("Somma di AVERE",'Pivot BBVA'!$A$3,"Mese",1,"Tipologia",$A168,"Viaggio",$A$157))
-IF(ISERROR(GETPIVOTDATA("Somma di AVERE",'Pivot Fineco St'!$A$3,"Mese",1,"Tipologia",$A168,"Viaggio",$A$157)),0,GETPIVOTDATA("Somma di AVERE",'Pivot Fineco St'!$A$3,"Mese",1,"Tipologia",$A168,"Viaggio",$A$157))
-IF(ISERROR(GETPIVOTDATA("Somma di AVERE",'Pivot Fineco Sa'!$A$3,"Mese",1,"Tipologia",$A168,"Viaggio",$A$157)),0,GETPIVOTDATA("Somma di AVERE",'Pivot Fineco Sa'!$A$3,"Mese",1,"Tipologia",$A168,"Viaggio",$A$157))
+IF(ISERROR(GETPIVOTDATA("Somma di DARE",'Pivot PP Visa'!$A$3,"Mese",1,"Tipologia",$A168,"Viaggio",$A$157)),0,GETPIVOTDATA("Somma di DARE",'Pivot PP Visa'!$A$3,"Mese",1,"Tipologia",$A168,"Viaggio",$A$157))
-IF(ISERROR(GETPIVOTDATA("Somma di AVERE",'Pivot PP Visa'!$A$3,"Mese",1,"Tipologia",$A168,"Viaggio",$A$157)),0,GETPIVOTDATA("Somma di AVERE",'Pivot PP Visa'!$A$3,"Mese",1,"Tipologia",$A168,"Viaggio",$A$157))
+IF(ISERROR(GETPIVOTDATA("Somma di DARE",'Pivot Revolut'!$A$3,"Mese",1,"Tipologia",$A168,"Viaggio",$A$157)),0,GETPIVOTDATA("Somma di DARE",'Pivot Revolut'!$A$3,"Mese",1,"Tipologia",$A168,"Viaggio",$A$157))
-IF(ISERROR(GETPIVOTDATA("Somma di AVERE",'Pivot Revolut'!$A$3,"Mese",1,"Tipologia",$A168,"Viaggio",$A$157)),0,GETPIVOTDATA("Somma di AVERE",'Pivot Revolut'!$A$3,"Mese",1,"Tipologia",$A168,"Viaggio",$A$157))
+IF(ISERROR(GETPIVOTDATA("Somma di DARE",'Pivot RakBank EUR'!$A$3,"Mese",1,"Tipologia",$A168,"Viaggio",$A$157)),0,GETPIVOTDATA("Somma di DARE",'Pivot RakBank EUR'!$A$3,"Mese",1,"Tipologia",$A168,"Viaggio",$A$157))
-IF(ISERROR(GETPIVOTDATA("Somma di AVERE",'Pivot RakBank EUR'!$A$3,"Mese",1,"Tipologia",$A168,"Viaggio",$A$157)),0,GETPIVOTDATA("Somma di AVERE",'Pivot RakBank EUR'!$A$3,"Mese",1,"Tipologia",$A168,"Viaggio",$A$157))
+IF(ISERROR(GETPIVOTDATA("Somma di DARE EUR",'Pivot RakBank AED'!$A$3,"Mese",1,"Tipologia",$A168,"Viaggio",$A$157)),0,GETPIVOTDATA("Somma di DARE EUR",'Pivot RakBank AED'!$A$3,"Mese",1,"Tipologia",$A168,"Viaggio",$A$157))
-IF(ISERROR(GETPIVOTDATA("Somma di AVERE EUR",'Pivot RakBank AED'!$A$3,"Mese",1,"Tipologia",$A168,"Viaggio",$A$157)),0,GETPIVOTDATA("Somma di AVERE EUR",'Pivot RakBank AED'!$A$3,"Mese",1,"Tipologia",$A168,"Viaggio",$A$157))</f>
        <v>0</v>
      </c>
      <c r="D168" s="270">
        <f>IF(ISERROR(GETPIVOTDATA("Somma di DARE",'Pivot Fineco Sa'!$A$3,"Mese",2,"Tipologia",$A168,"Viaggio",$A$157)),0,GETPIVOTDATA("Somma di DARE",'Pivot Fineco Sa'!$A$3,"Mese",2,"Tipologia",$A168,"Viaggio",$A$157))
+IF(ISERROR(GETPIVOTDATA("Somma di DARE",'Pivot Fineco St'!$A$3,"Mese",2,"Tipologia",$A168,"Viaggio",$A$157)),0,GETPIVOTDATA("Somma di DARE",'Pivot Fineco St'!$A$3,"Mese",2,"Tipologia",$A168,"Viaggio",$A$157))
+IF(Contanti!$I49='Conto Economico'!$A$157,Contanti!$F49)
+IF(ISERROR(GETPIVOTDATA("Somma di DARE",'Pivot BBVA'!$A$3,"Mese",2,"Tipologia",$A168,"Viaggio",$A$157)),0,GETPIVOTDATA("Somma di DARE",'Pivot BBVA'!$A$3,"Mese",2,"Tipologia",$A168,"Viaggio",$A$157))
+IF(ISERROR(GETPIVOTDATA("Somma di DARE",'Pivot Amex'!$A$3,"Mese",2,"Tipologia",$A168,"Viaggio",$A$157)),0,GETPIVOTDATA("Somma di DARE",'Pivot Amex'!$A$3,"Mese",2,"Tipologia",$A168,"Viaggio",$A$157))
-IF(ISERROR(GETPIVOTDATA("Somma di AVERE",'Pivot Amex'!$A$3,"Mese",2,"Tipologia",$A168,"Viaggio",$A$157)),0,GETPIVOTDATA("Somma di AVERE",'Pivot Amex'!$A$3,"Mese",2,"Tipologia",$A168,"Viaggio",$A$157))
-IF(ISERROR(GETPIVOTDATA("Somma di AVERE",'Pivot BBVA'!$A$3,"Mese",2,"Tipologia",$A168,"Viaggio",$A$157)),0,GETPIVOTDATA("Somma di AVERE",'Pivot BBVA'!$A$3,"Mese",2,"Tipologia",$A168,"Viaggio",$A$157))
-IF(ISERROR(GETPIVOTDATA("Somma di AVERE",'Pivot Fineco St'!$A$3,"Mese",2,"Tipologia",$A168,"Viaggio",$A$157)),0,GETPIVOTDATA("Somma di AVERE",'Pivot Fineco St'!$A$3,"Mese",2,"Tipologia",$A168,"Viaggio",$A$157))
-IF(ISERROR(GETPIVOTDATA("Somma di AVERE",'Pivot Fineco Sa'!$A$3,"Mese",2,"Tipologia",$A168,"Viaggio",$A$157)),0,GETPIVOTDATA("Somma di AVERE",'Pivot Fineco Sa'!$A$3,"Mese",2,"Tipologia",$A168,"Viaggio",$A$157))
+IF(ISERROR(GETPIVOTDATA("Somma di DARE",'Pivot PP Visa'!$A$3,"Mese",2,"Tipologia",$A168,"Viaggio",$A$157)),0,GETPIVOTDATA("Somma di DARE",'Pivot PP Visa'!$A$3,"Mese",2,"Tipologia",$A168,"Viaggio",$A$157))
-IF(ISERROR(GETPIVOTDATA("Somma di AVERE",'Pivot PP Visa'!$A$3,"Mese",2,"Tipologia",$A168,"Viaggio",$A$157)),0,GETPIVOTDATA("Somma di AVERE",'Pivot PP Visa'!$A$3,"Mese",2,"Tipologia",$A168,"Viaggio",$A$157))
+IF(ISERROR(GETPIVOTDATA("Somma di DARE",'Pivot Revolut'!$A$3,"Mese",2,"Tipologia",$A168,"Viaggio",$A$157)),0,GETPIVOTDATA("Somma di DARE",'Pivot Revolut'!$A$3,"Mese",2,"Tipologia",$A168,"Viaggio",$A$157))
-IF(ISERROR(GETPIVOTDATA("Somma di AVERE",'Pivot Revolut'!$A$3,"Mese",2,"Tipologia",$A168,"Viaggio",$A$157)),0,GETPIVOTDATA("Somma di AVERE",'Pivot Revolut'!$A$3,"Mese",2,"Tipologia",$A168,"Viaggio",$A$157))
+IF(ISERROR(GETPIVOTDATA("Somma di DARE",'Pivot RakBank EUR'!$A$3,"Mese",2,"Tipologia",$A168,"Viaggio",$A$157)),0,GETPIVOTDATA("Somma di DARE",'Pivot RakBank EUR'!$A$3,"Mese",2,"Tipologia",$A168,"Viaggio",$A$157))
-IF(ISERROR(GETPIVOTDATA("Somma di AVERE",'Pivot RakBank EUR'!$A$3,"Mese",2,"Tipologia",$A168,"Viaggio",$A$157)),0,GETPIVOTDATA("Somma di AVERE",'Pivot RakBank EUR'!$A$3,"Mese",2,"Tipologia",$A168,"Viaggio",$A$157))
+IF(ISERROR(GETPIVOTDATA("Somma di DARE EUR",'Pivot RakBank AED'!$A$3,"Mese",2,"Tipologia",$A168,"Viaggio",$A$157)),0,GETPIVOTDATA("Somma di DARE EUR",'Pivot RakBank AED'!$A$3,"Mese",2,"Tipologia",$A168,"Viaggio",$A$157))
-IF(ISERROR(GETPIVOTDATA("Somma di AVERE EUR",'Pivot RakBank AED'!$A$3,"Mese",2,"Tipologia",$A168,"Viaggio",$A$157)),0,GETPIVOTDATA("Somma di AVERE EUR",'Pivot RakBank AED'!$A$3,"Mese",2,"Tipologia",$A168,"Viaggio",$A$157))</f>
        <v>0</v>
      </c>
      <c r="E168" s="270">
        <f>IF(ISERROR(GETPIVOTDATA("Somma di DARE",'Pivot Fineco Sa'!$A$3,"Mese",3,"Tipologia",$A168,"Viaggio",$A$157)),0,GETPIVOTDATA("Somma di DARE",'Pivot Fineco Sa'!$A$3,"Mese",3,"Tipologia",$A168,"Viaggio",$A$157))
+IF(ISERROR(GETPIVOTDATA("Somma di DARE",'Pivot Fineco St'!$A$3,"Mese",3,"Tipologia",$A168,"Viaggio",$A$157)),0,GETPIVOTDATA("Somma di DARE",'Pivot Fineco St'!$A$3,"Mese",3,"Tipologia",$A168,"Viaggio",$A$157))
+IF(Contanti!$M49='Conto Economico'!$A$157,Contanti!$J49)
+IF(ISERROR(GETPIVOTDATA("Somma di DARE",'Pivot BBVA'!$A$3,"Mese",3,"Tipologia",$A168,"Viaggio",$A$157)),0,GETPIVOTDATA("Somma di DARE",'Pivot BBVA'!$A$3,"Mese",3,"Tipologia",$A168,"Viaggio",$A$157))
+IF(ISERROR(GETPIVOTDATA("Somma di DARE",'Pivot Amex'!$A$3,"Mese",3,"Tipologia",$A168,"Viaggio",$A$157)),0,GETPIVOTDATA("Somma di DARE",'Pivot Amex'!$A$3,"Mese",3,"Tipologia",$A168,"Viaggio",$A$157))
-IF(ISERROR(GETPIVOTDATA("Somma di AVERE",'Pivot Amex'!$A$3,"Mese",3,"Tipologia",$A168,"Viaggio",$A$157)),0,GETPIVOTDATA("Somma di AVERE",'Pivot Amex'!$A$3,"Mese",3,"Tipologia",$A168,"Viaggio",$A$157))
-IF(ISERROR(GETPIVOTDATA("Somma di AVERE",'Pivot BBVA'!$A$3,"Mese",3,"Tipologia",$A168,"Viaggio",$A$157)),0,GETPIVOTDATA("Somma di AVERE",'Pivot BBVA'!$A$3,"Mese",3,"Tipologia",$A168,"Viaggio",$A$157))
-IF(ISERROR(GETPIVOTDATA("Somma di AVERE",'Pivot Fineco St'!$A$3,"Mese",3,"Tipologia",$A168,"Viaggio",$A$157)),0,GETPIVOTDATA("Somma di AVERE",'Pivot Fineco St'!$A$3,"Mese",3,"Tipologia",$A168,"Viaggio",$A$157))
-IF(ISERROR(GETPIVOTDATA("Somma di AVERE",'Pivot Fineco Sa'!$A$3,"Mese",3,"Tipologia",$A168,"Viaggio",$A$157)),0,GETPIVOTDATA("Somma di AVERE",'Pivot Fineco Sa'!$A$3,"Mese",3,"Tipologia",$A168,"Viaggio",$A$157))
+IF(ISERROR(GETPIVOTDATA("Somma di DARE",'Pivot PP Visa'!$A$3,"Mese",3,"Tipologia",$A168,"Viaggio",$A$157)),0,GETPIVOTDATA("Somma di DARE",'Pivot PP Visa'!$A$3,"Mese",3,"Tipologia",$A168,"Viaggio",$A$157))
-IF(ISERROR(GETPIVOTDATA("Somma di AVERE",'Pivot PP Visa'!$A$3,"Mese",3,"Tipologia",$A168,"Viaggio",$A$157)),0,GETPIVOTDATA("Somma di AVERE",'Pivot PP Visa'!$A$3,"Mese",3,"Tipologia",$A168,"Viaggio",$A$157))
+IF(ISERROR(GETPIVOTDATA("Somma di DARE",'Pivot Revolut'!$A$3,"Mese",3,"Tipologia",$A168,"Viaggio",$A$157)),0,GETPIVOTDATA("Somma di DARE",'Pivot Revolut'!$A$3,"Mese",3,"Tipologia",$A168,"Viaggio",$A$157))
-IF(ISERROR(GETPIVOTDATA("Somma di AVERE",'Pivot Revolut'!$A$3,"Mese",3,"Tipologia",$A168,"Viaggio",$A$157)),0,GETPIVOTDATA("Somma di AVERE",'Pivot Revolut'!$A$3,"Mese",3,"Tipologia",$A168,"Viaggio",$A$157))
+IF(ISERROR(GETPIVOTDATA("Somma di DARE",'Pivot RakBank EUR'!$A$3,"Mese",3,"Tipologia",$A168,"Viaggio",$A$157)),0,GETPIVOTDATA("Somma di DARE",'Pivot RakBank EUR'!$A$3,"Mese",3,"Tipologia",$A168,"Viaggio",$A$157))
-IF(ISERROR(GETPIVOTDATA("Somma di AVERE",'Pivot RakBank EUR'!$A$3,"Mese",3,"Tipologia",$A168,"Viaggio",$A$157)),0,GETPIVOTDATA("Somma di AVERE",'Pivot RakBank EUR'!$A$3,"Mese",3,"Tipologia",$A168,"Viaggio",$A$157))
+IF(ISERROR(GETPIVOTDATA("Somma di DARE EUR",'Pivot RakBank AED'!$A$3,"Mese",3,"Tipologia",$A168,"Viaggio",$A$157)),0,GETPIVOTDATA("Somma di DARE EUR",'Pivot RakBank AED'!$A$3,"Mese",3,"Tipologia",$A168,"Viaggio",$A$157))
-IF(ISERROR(GETPIVOTDATA("Somma di AVERE EUR",'Pivot RakBank AED'!$A$3,"Mese",3,"Tipologia",$A168,"Viaggio",$A$157)),0,GETPIVOTDATA("Somma di AVERE EUR",'Pivot RakBank AED'!$A$3,"Mese",3,"Tipologia",$A168,"Viaggio",$A$157))</f>
        <v>0</v>
      </c>
      <c r="F168" s="270">
        <f>IF(ISERROR(GETPIVOTDATA("Somma di DARE",'Pivot Fineco Sa'!$A$3,"Mese",4,"Tipologia",$A168,"Viaggio",$A$157)),0,GETPIVOTDATA("Somma di DARE",'Pivot Fineco Sa'!$A$3,"Mese",4,"Tipologia",$A168,"Viaggio",$A$157))
+IF(ISERROR(GETPIVOTDATA("Somma di DARE",'Pivot Fineco St'!$A$3,"Mese",4,"Tipologia",$A168,"Viaggio",$A$157)),0,GETPIVOTDATA("Somma di DARE",'Pivot Fineco St'!$A$3,"Mese",4,"Tipologia",$A168,"Viaggio",$A$157))
+IF(Contanti!$Q49='Conto Economico'!$A$157,Contanti!$N49)
+IF(ISERROR(GETPIVOTDATA("Somma di DARE",'Pivot BBVA'!$A$3,"Mese",4,"Tipologia",$A168,"Viaggio",$A$157)),0,GETPIVOTDATA("Somma di DARE",'Pivot BBVA'!$A$3,"Mese",4,"Tipologia",$A168,"Viaggio",$A$157))
+IF(ISERROR(GETPIVOTDATA("Somma di DARE",'Pivot Amex'!$A$3,"Mese",4,"Tipologia",$A168,"Viaggio",$A$157)),0,GETPIVOTDATA("Somma di DARE",'Pivot Amex'!$A$3,"Mese",4,"Tipologia",$A168,"Viaggio",$A$157))
-IF(ISERROR(GETPIVOTDATA("Somma di AVERE",'Pivot Amex'!$A$3,"Mese",4,"Tipologia",$A168,"Viaggio",$A$157)),0,GETPIVOTDATA("Somma di AVERE",'Pivot Amex'!$A$3,"Mese",4,"Tipologia",$A168,"Viaggio",$A$157))
-IF(ISERROR(GETPIVOTDATA("Somma di AVERE",'Pivot BBVA'!$A$3,"Mese",4,"Tipologia",$A168,"Viaggio",$A$157)),0,GETPIVOTDATA("Somma di AVERE",'Pivot BBVA'!$A$3,"Mese",4,"Tipologia",$A168,"Viaggio",$A$157))
-IF(ISERROR(GETPIVOTDATA("Somma di AVERE",'Pivot Fineco St'!$A$3,"Mese",4,"Tipologia",$A168,"Viaggio",$A$157)),0,GETPIVOTDATA("Somma di AVERE",'Pivot Fineco St'!$A$3,"Mese",4,"Tipologia",$A168,"Viaggio",$A$157))
-IF(ISERROR(GETPIVOTDATA("Somma di AVERE",'Pivot Fineco Sa'!$A$3,"Mese",4,"Tipologia",$A168,"Viaggio",$A$157)),0,GETPIVOTDATA("Somma di AVERE",'Pivot Fineco Sa'!$A$3,"Mese",4,"Tipologia",$A168,"Viaggio",$A$157))
+IF(ISERROR(GETPIVOTDATA("Somma di DARE",'Pivot PP Visa'!$A$3,"Mese",4,"Tipologia",$A168,"Viaggio",$A$157)),0,GETPIVOTDATA("Somma di DARE",'Pivot PP Visa'!$A$3,"Mese",4,"Tipologia",$A168,"Viaggio",$A$157))
-IF(ISERROR(GETPIVOTDATA("Somma di AVERE",'Pivot PP Visa'!$A$3,"Mese",4,"Tipologia",$A168,"Viaggio",$A$157)),0,GETPIVOTDATA("Somma di AVERE",'Pivot PP Visa'!$A$3,"Mese",4,"Tipologia",$A168,"Viaggio",$A$157))
+IF(ISERROR(GETPIVOTDATA("Somma di DARE",'Pivot Revolut'!$A$3,"Mese",4,"Tipologia",$A168,"Viaggio",$A$157)),0,GETPIVOTDATA("Somma di DARE",'Pivot Revolut'!$A$3,"Mese",4,"Tipologia",$A168,"Viaggio",$A$157))
-IF(ISERROR(GETPIVOTDATA("Somma di AVERE",'Pivot Revolut'!$A$3,"Mese",4,"Tipologia",$A168,"Viaggio",$A$157)),0,GETPIVOTDATA("Somma di AVERE",'Pivot Revolut'!$A$3,"Mese",4,"Tipologia",$A168,"Viaggio",$A$157))
+IF(ISERROR(GETPIVOTDATA("Somma di DARE",'Pivot RakBank EUR'!$A$3,"Mese",4,"Tipologia",$A168,"Viaggio",$A$157)),0,GETPIVOTDATA("Somma di DARE",'Pivot RakBank EUR'!$A$3,"Mese",4,"Tipologia",$A168,"Viaggio",$A$157))
-IF(ISERROR(GETPIVOTDATA("Somma di AVERE",'Pivot RakBank EUR'!$A$3,"Mese",4,"Tipologia",$A168,"Viaggio",$A$157)),0,GETPIVOTDATA("Somma di AVERE",'Pivot RakBank EUR'!$A$3,"Mese",4,"Tipologia",$A168,"Viaggio",$A$157))
+IF(ISERROR(GETPIVOTDATA("Somma di DARE EUR",'Pivot RakBank AED'!$A$3,"Mese",4,"Tipologia",$A168,"Viaggio",$A$157)),0,GETPIVOTDATA("Somma di DARE EUR",'Pivot RakBank AED'!$A$3,"Mese",4,"Tipologia",$A168,"Viaggio",$A$157))
-IF(ISERROR(GETPIVOTDATA("Somma di AVERE EUR",'Pivot RakBank AED'!$A$3,"Mese",4,"Tipologia",$A168,"Viaggio",$A$157)),0,GETPIVOTDATA("Somma di AVERE EUR",'Pivot RakBank AED'!$A$3,"Mese",4,"Tipologia",$A168,"Viaggio",$A$157))</f>
        <v>0</v>
      </c>
      <c r="G168" s="270">
        <f>IF(ISERROR(GETPIVOTDATA("Somma di DARE",'Pivot Fineco Sa'!$A$3,"Mese",5,"Tipologia",$A168,"Viaggio",$A$157)),0,GETPIVOTDATA("Somma di DARE",'Pivot Fineco Sa'!$A$3,"Mese",5,"Tipologia",$A168,"Viaggio",$A$157))
+IF(ISERROR(GETPIVOTDATA("Somma di DARE",'Pivot Fineco St'!$A$3,"Mese",5,"Tipologia",$A168,"Viaggio",$A$157)),0,GETPIVOTDATA("Somma di DARE",'Pivot Fineco St'!$A$3,"Mese",5,"Tipologia",$A168,"Viaggio",$A$157))
+IF(Contanti!$U49='Conto Economico'!$A$157,Contanti!$R49)
+IF(ISERROR(GETPIVOTDATA("Somma di DARE",'Pivot BBVA'!$A$3,"Mese",5,"Tipologia",$A168,"Viaggio",$A$157)),0,GETPIVOTDATA("Somma di DARE",'Pivot BBVA'!$A$3,"Mese",5,"Tipologia",$A168,"Viaggio",$A$157))
+IF(ISERROR(GETPIVOTDATA("Somma di DARE",'Pivot Amex'!$A$3,"Mese",5,"Tipologia",$A168,"Viaggio",$A$157)),0,GETPIVOTDATA("Somma di DARE",'Pivot Amex'!$A$3,"Mese",5,"Tipologia",$A168,"Viaggio",$A$157))
-IF(ISERROR(GETPIVOTDATA("Somma di AVERE",'Pivot Amex'!$A$3,"Mese",5,"Tipologia",$A168,"Viaggio",$A$157)),0,GETPIVOTDATA("Somma di AVERE",'Pivot Amex'!$A$3,"Mese",5,"Tipologia",$A168,"Viaggio",$A$157))
-IF(ISERROR(GETPIVOTDATA("Somma di AVERE",'Pivot BBVA'!$A$3,"Mese",5,"Tipologia",$A168,"Viaggio",$A$157)),0,GETPIVOTDATA("Somma di AVERE",'Pivot BBVA'!$A$3,"Mese",5,"Tipologia",$A168,"Viaggio",$A$157))
-IF(ISERROR(GETPIVOTDATA("Somma di AVERE",'Pivot Fineco St'!$A$3,"Mese",5,"Tipologia",$A168,"Viaggio",$A$157)),0,GETPIVOTDATA("Somma di AVERE",'Pivot Fineco St'!$A$3,"Mese",5,"Tipologia",$A168,"Viaggio",$A$157))
-IF(ISERROR(GETPIVOTDATA("Somma di AVERE",'Pivot Fineco Sa'!$A$3,"Mese",5,"Tipologia",$A168,"Viaggio",$A$157)),0,GETPIVOTDATA("Somma di AVERE",'Pivot Fineco Sa'!$A$3,"Mese",5,"Tipologia",$A168,"Viaggio",$A$157))
+IF(ISERROR(GETPIVOTDATA("Somma di DARE",'Pivot PP Visa'!$A$3,"Mese",5,"Tipologia",$A168,"Viaggio",$A$157)),0,GETPIVOTDATA("Somma di DARE",'Pivot PP Visa'!$A$3,"Mese",5,"Tipologia",$A168,"Viaggio",$A$157))
-IF(ISERROR(GETPIVOTDATA("Somma di AVERE",'Pivot PP Visa'!$A$3,"Mese",5,"Tipologia",$A168,"Viaggio",$A$157)),0,GETPIVOTDATA("Somma di AVERE",'Pivot PP Visa'!$A$3,"Mese",5,"Tipologia",$A168,"Viaggio",$A$157))
+IF(ISERROR(GETPIVOTDATA("Somma di DARE",'Pivot Revolut'!$A$3,"Mese",5,"Tipologia",$A168,"Viaggio",$A$157)),0,GETPIVOTDATA("Somma di DARE",'Pivot Revolut'!$A$3,"Mese",5,"Tipologia",$A168,"Viaggio",$A$157))
-IF(ISERROR(GETPIVOTDATA("Somma di AVERE",'Pivot Revolut'!$A$3,"Mese",5,"Tipologia",$A168,"Viaggio",$A$157)),0,GETPIVOTDATA("Somma di AVERE",'Pivot Revolut'!$A$3,"Mese",5,"Tipologia",$A168,"Viaggio",$A$157))
+IF(ISERROR(GETPIVOTDATA("Somma di DARE",'Pivot RakBank EUR'!$A$3,"Mese",5,"Tipologia",$A168,"Viaggio",$A$157)),0,GETPIVOTDATA("Somma di DARE",'Pivot RakBank EUR'!$A$3,"Mese",5,"Tipologia",$A168,"Viaggio",$A$157))
-IF(ISERROR(GETPIVOTDATA("Somma di AVERE",'Pivot RakBank EUR'!$A$3,"Mese",5,"Tipologia",$A168,"Viaggio",$A$157)),0,GETPIVOTDATA("Somma di AVERE",'Pivot RakBank EUR'!$A$3,"Mese",5,"Tipologia",$A168,"Viaggio",$A$157))
+IF(ISERROR(GETPIVOTDATA("Somma di DARE EUR",'Pivot RakBank AED'!$A$3,"Mese",5,"Tipologia",$A168,"Viaggio",$A$157)),0,GETPIVOTDATA("Somma di DARE EUR",'Pivot RakBank AED'!$A$3,"Mese",5,"Tipologia",$A168,"Viaggio",$A$157))
-IF(ISERROR(GETPIVOTDATA("Somma di AVERE EUR",'Pivot RakBank AED'!$A$3,"Mese",5,"Tipologia",$A168,"Viaggio",$A$157)),0,GETPIVOTDATA("Somma di AVERE EUR",'Pivot RakBank AED'!$A$3,"Mese",5,"Tipologia",$A168,"Viaggio",$A$157))</f>
        <v>0</v>
      </c>
      <c r="H168" s="270">
        <f>IF(ISERROR(GETPIVOTDATA("Somma di DARE",'Pivot Fineco Sa'!$A$3,"Mese",6,"Tipologia",$A168,"Viaggio",$A$157)),0,GETPIVOTDATA("Somma di DARE",'Pivot Fineco Sa'!$A$3,"Mese",6,"Tipologia",$A168,"Viaggio",$A$157))
+IF(ISERROR(GETPIVOTDATA("Somma di DARE",'Pivot Fineco St'!$A$3,"Mese",6,"Tipologia",$A168,"Viaggio",$A$157)),0,GETPIVOTDATA("Somma di DARE",'Pivot Fineco St'!$A$3,"Mese",6,"Tipologia",$A168,"Viaggio",$A$157))
+IF(Contanti!$Y49='Conto Economico'!$A$157,Contanti!$V49)
+IF(ISERROR(GETPIVOTDATA("Somma di DARE",'Pivot BBVA'!$A$3,"Mese",6,"Tipologia",$A168,"Viaggio",$A$157)),0,GETPIVOTDATA("Somma di DARE",'Pivot BBVA'!$A$3,"Mese",6,"Tipologia",$A168,"Viaggio",$A$157))
+IF(ISERROR(GETPIVOTDATA("Somma di DARE",'Pivot Amex'!$A$3,"Mese",6,"Tipologia",$A168,"Viaggio",$A$157)),0,GETPIVOTDATA("Somma di DARE",'Pivot Amex'!$A$3,"Mese",6,"Tipologia",$A168,"Viaggio",$A$157))
-IF(ISERROR(GETPIVOTDATA("Somma di AVERE",'Pivot Amex'!$A$3,"Mese",6,"Tipologia",$A168,"Viaggio",$A$157)),0,GETPIVOTDATA("Somma di AVERE",'Pivot Amex'!$A$3,"Mese",6,"Tipologia",$A168,"Viaggio",$A$157))
-IF(ISERROR(GETPIVOTDATA("Somma di AVERE",'Pivot BBVA'!$A$3,"Mese",6,"Tipologia",$A168,"Viaggio",$A$157)),0,GETPIVOTDATA("Somma di AVERE",'Pivot BBVA'!$A$3,"Mese",6,"Tipologia",$A168,"Viaggio",$A$157))
-IF(ISERROR(GETPIVOTDATA("Somma di AVERE",'Pivot Fineco St'!$A$3,"Mese",6,"Tipologia",$A168,"Viaggio",$A$157)),0,GETPIVOTDATA("Somma di AVERE",'Pivot Fineco St'!$A$3,"Mese",6,"Tipologia",$A168,"Viaggio",$A$157))
-IF(ISERROR(GETPIVOTDATA("Somma di AVERE",'Pivot Fineco Sa'!$A$3,"Mese",6,"Tipologia",$A168,"Viaggio",$A$157)),0,GETPIVOTDATA("Somma di AVERE",'Pivot Fineco Sa'!$A$3,"Mese",6,"Tipologia",$A168,"Viaggio",$A$157))
+IF(ISERROR(GETPIVOTDATA("Somma di DARE",'Pivot PP Visa'!$A$3,"Mese",6,"Tipologia",$A168,"Viaggio",$A$157)),0,GETPIVOTDATA("Somma di DARE",'Pivot PP Visa'!$A$3,"Mese",6,"Tipologia",$A168,"Viaggio",$A$157))
-IF(ISERROR(GETPIVOTDATA("Somma di AVERE",'Pivot PP Visa'!$A$3,"Mese",6,"Tipologia",$A168,"Viaggio",$A$157)),0,GETPIVOTDATA("Somma di AVERE",'Pivot PP Visa'!$A$3,"Mese",6,"Tipologia",$A168,"Viaggio",$A$157))
+IF(ISERROR(GETPIVOTDATA("Somma di DARE",'Pivot Revolut'!$A$3,"Mese",6,"Tipologia",$A168,"Viaggio",$A$157)),0,GETPIVOTDATA("Somma di DARE",'Pivot Revolut'!$A$3,"Mese",6,"Tipologia",$A168,"Viaggio",$A$157))
-IF(ISERROR(GETPIVOTDATA("Somma di AVERE",'Pivot Revolut'!$A$3,"Mese",6,"Tipologia",$A168,"Viaggio",$A$157)),0,GETPIVOTDATA("Somma di AVERE",'Pivot Revolut'!$A$3,"Mese",6,"Tipologia",$A168,"Viaggio",$A$157))
+IF(ISERROR(GETPIVOTDATA("Somma di DARE",'Pivot RakBank EUR'!$A$3,"Mese",6,"Tipologia",$A168,"Viaggio",$A$157)),0,GETPIVOTDATA("Somma di DARE",'Pivot RakBank EUR'!$A$3,"Mese",6,"Tipologia",$A168,"Viaggio",$A$157))
-IF(ISERROR(GETPIVOTDATA("Somma di AVERE",'Pivot RakBank EUR'!$A$3,"Mese",6,"Tipologia",$A168,"Viaggio",$A$157)),0,GETPIVOTDATA("Somma di AVERE",'Pivot RakBank EUR'!$A$3,"Mese",6,"Tipologia",$A168,"Viaggio",$A$157))
+IF(ISERROR(GETPIVOTDATA("Somma di DARE EUR",'Pivot RakBank AED'!$A$3,"Mese",6,"Tipologia",$A168,"Viaggio",$A$157)),0,GETPIVOTDATA("Somma di DARE EUR",'Pivot RakBank AED'!$A$3,"Mese",6,"Tipologia",$A168,"Viaggio",$A$157))
-IF(ISERROR(GETPIVOTDATA("Somma di AVERE EUR",'Pivot RakBank AED'!$A$3,"Mese",6,"Tipologia",$A168,"Viaggio",$A$157)),0,GETPIVOTDATA("Somma di AVERE EUR",'Pivot RakBank AED'!$A$3,"Mese",6,"Tipologia",$A168,"Viaggio",$A$157))</f>
        <v>0</v>
      </c>
      <c r="I168" s="270">
        <f>IF(ISERROR(GETPIVOTDATA("Somma di DARE",'Pivot Fineco Sa'!$A$3,"Mese",7,"Tipologia",$A168,"Viaggio",$A$157)),0,GETPIVOTDATA("Somma di DARE",'Pivot Fineco Sa'!$A$3,"Mese",7,"Tipologia",$A168,"Viaggio",$A$157))
+IF(ISERROR(GETPIVOTDATA("Somma di DARE",'Pivot Fineco St'!$A$3,"Mese",7,"Tipologia",$A168,"Viaggio",$A$157)),0,GETPIVOTDATA("Somma di DARE",'Pivot Fineco St'!$A$3,"Mese",7,"Tipologia",$A168,"Viaggio",$A$157))
+IF(Contanti!$AC49='Conto Economico'!$A$157,Contanti!$Z49)
+IF(ISERROR(GETPIVOTDATA("Somma di DARE",'Pivot BBVA'!$A$3,"Mese",7,"Tipologia",$A168,"Viaggio",$A$157)),0,GETPIVOTDATA("Somma di DARE",'Pivot BBVA'!$A$3,"Mese",7,"Tipologia",$A168,"Viaggio",$A$157))
+IF(ISERROR(GETPIVOTDATA("Somma di DARE",'Pivot Amex'!$A$3,"Mese",7,"Tipologia",$A168,"Viaggio",$A$157)),0,GETPIVOTDATA("Somma di DARE",'Pivot Amex'!$A$3,"Mese",7,"Tipologia",$A168,"Viaggio",$A$157))
-IF(ISERROR(GETPIVOTDATA("Somma di AVERE",'Pivot Amex'!$A$3,"Mese",7,"Tipologia",$A168,"Viaggio",$A$157)),0,GETPIVOTDATA("Somma di AVERE",'Pivot Amex'!$A$3,"Mese",7,"Tipologia",$A168,"Viaggio",$A$157))
-IF(ISERROR(GETPIVOTDATA("Somma di AVERE",'Pivot BBVA'!$A$3,"Mese",7,"Tipologia",$A168,"Viaggio",$A$157)),0,GETPIVOTDATA("Somma di AVERE",'Pivot BBVA'!$A$3,"Mese",7,"Tipologia",$A168,"Viaggio",$A$157))
-IF(ISERROR(GETPIVOTDATA("Somma di AVERE",'Pivot Fineco St'!$A$3,"Mese",7,"Tipologia",$A168,"Viaggio",$A$157)),0,GETPIVOTDATA("Somma di AVERE",'Pivot Fineco St'!$A$3,"Mese",7,"Tipologia",$A168,"Viaggio",$A$157))
-IF(ISERROR(GETPIVOTDATA("Somma di AVERE",'Pivot Fineco Sa'!$A$3,"Mese",7,"Tipologia",$A168,"Viaggio",$A$157)),0,GETPIVOTDATA("Somma di AVERE",'Pivot Fineco Sa'!$A$3,"Mese",7,"Tipologia",$A168,"Viaggio",$A$157))
+IF(ISERROR(GETPIVOTDATA("Somma di DARE",'Pivot PP Visa'!$A$3,"Mese",7,"Tipologia",$A168,"Viaggio",$A$157)),0,GETPIVOTDATA("Somma di DARE",'Pivot PP Visa'!$A$3,"Mese",7,"Tipologia",$A168,"Viaggio",$A$157))
-IF(ISERROR(GETPIVOTDATA("Somma di AVERE",'Pivot PP Visa'!$A$3,"Mese",7,"Tipologia",$A168,"Viaggio",$A$157)),0,GETPIVOTDATA("Somma di AVERE",'Pivot PP Visa'!$A$3,"Mese",7,"Tipologia",$A168,"Viaggio",$A$157))
+IF(ISERROR(GETPIVOTDATA("Somma di DARE",'Pivot Revolut'!$A$3,"Mese",7,"Tipologia",$A168,"Viaggio",$A$157)),0,GETPIVOTDATA("Somma di DARE",'Pivot Revolut'!$A$3,"Mese",7,"Tipologia",$A168,"Viaggio",$A$157))
-IF(ISERROR(GETPIVOTDATA("Somma di AVERE",'Pivot Revolut'!$A$3,"Mese",7,"Tipologia",$A168,"Viaggio",$A$157)),0,GETPIVOTDATA("Somma di AVERE",'Pivot Revolut'!$A$3,"Mese",7,"Tipologia",$A168,"Viaggio",$A$157))
+IF(ISERROR(GETPIVOTDATA("Somma di DARE",'Pivot RakBank EUR'!$A$3,"Mese",7,"Tipologia",$A168,"Viaggio",$A$157)),0,GETPIVOTDATA("Somma di DARE",'Pivot RakBank EUR'!$A$3,"Mese",7,"Tipologia",$A168,"Viaggio",$A$157))
-IF(ISERROR(GETPIVOTDATA("Somma di AVERE",'Pivot RakBank EUR'!$A$3,"Mese",7,"Tipologia",$A168,"Viaggio",$A$157)),0,GETPIVOTDATA("Somma di AVERE",'Pivot RakBank EUR'!$A$3,"Mese",7,"Tipologia",$A168,"Viaggio",$A$157))
+IF(ISERROR(GETPIVOTDATA("Somma di DARE EUR",'Pivot RakBank AED'!$A$3,"Mese",7,"Tipologia",$A168,"Viaggio",$A$157)),0,GETPIVOTDATA("Somma di DARE EUR",'Pivot RakBank AED'!$A$3,"Mese",7,"Tipologia",$A168,"Viaggio",$A$157))
-IF(ISERROR(GETPIVOTDATA("Somma di AVERE EUR",'Pivot RakBank AED'!$A$3,"Mese",7,"Tipologia",$A168,"Viaggio",$A$157)),0,GETPIVOTDATA("Somma di AVERE EUR",'Pivot RakBank AED'!$A$3,"Mese",7,"Tipologia",$A168,"Viaggio",$A$157))</f>
        <v>0</v>
      </c>
      <c r="J168" s="270">
        <f>IF(ISERROR(GETPIVOTDATA("Somma di DARE",'Pivot Fineco Sa'!$A$3,"Mese",8,"Tipologia",$A168,"Viaggio",$A$157)),0,GETPIVOTDATA("Somma di DARE",'Pivot Fineco Sa'!$A$3,"Mese",8,"Tipologia",$A168,"Viaggio",$A$157))
+IF(ISERROR(GETPIVOTDATA("Somma di DARE",'Pivot Fineco St'!$A$3,"Mese",8,"Tipologia",$A168,"Viaggio",$A$157)),0,GETPIVOTDATA("Somma di DARE",'Pivot Fineco St'!$A$3,"Mese",8,"Tipologia",$A168,"Viaggio",$A$157))
+IF(Contanti!$AG49='Conto Economico'!$A$157,Contanti!$AD49)
+IF(ISERROR(GETPIVOTDATA("Somma di DARE",'Pivot BBVA'!$A$3,"Mese",8,"Tipologia",$A168,"Viaggio",$A$157)),0,GETPIVOTDATA("Somma di DARE",'Pivot BBVA'!$A$3,"Mese",8,"Tipologia",$A168,"Viaggio",$A$157))
+IF(ISERROR(GETPIVOTDATA("Somma di DARE",'Pivot Amex'!$A$3,"Mese",8,"Tipologia",$A168,"Viaggio",$A$157)),0,GETPIVOTDATA("Somma di DARE",'Pivot Amex'!$A$3,"Mese",8,"Tipologia",$A168,"Viaggio",$A$157))
-IF(ISERROR(GETPIVOTDATA("Somma di AVERE",'Pivot Amex'!$A$3,"Mese",8,"Tipologia",$A168,"Viaggio",$A$157)),0,GETPIVOTDATA("Somma di AVERE",'Pivot Amex'!$A$3,"Mese",8,"Tipologia",$A168,"Viaggio",$A$157))
-IF(ISERROR(GETPIVOTDATA("Somma di AVERE",'Pivot BBVA'!$A$3,"Mese",8,"Tipologia",$A168,"Viaggio",$A$157)),0,GETPIVOTDATA("Somma di AVERE",'Pivot BBVA'!$A$3,"Mese",8,"Tipologia",$A168,"Viaggio",$A$157))
-IF(ISERROR(GETPIVOTDATA("Somma di AVERE",'Pivot Fineco St'!$A$3,"Mese",8,"Tipologia",$A168,"Viaggio",$A$157)),0,GETPIVOTDATA("Somma di AVERE",'Pivot Fineco St'!$A$3,"Mese",8,"Tipologia",$A168,"Viaggio",$A$157))
-IF(ISERROR(GETPIVOTDATA("Somma di AVERE",'Pivot Fineco Sa'!$A$3,"Mese",8,"Tipologia",$A168,"Viaggio",$A$157)),0,GETPIVOTDATA("Somma di AVERE",'Pivot Fineco Sa'!$A$3,"Mese",8,"Tipologia",$A168,"Viaggio",$A$157))
+IF(ISERROR(GETPIVOTDATA("Somma di DARE",'Pivot PP Visa'!$A$3,"Mese",8,"Tipologia",$A168,"Viaggio",$A$157)),0,GETPIVOTDATA("Somma di DARE",'Pivot PP Visa'!$A$3,"Mese",8,"Tipologia",$A168,"Viaggio",$A$157))
-IF(ISERROR(GETPIVOTDATA("Somma di AVERE",'Pivot PP Visa'!$A$3,"Mese",8,"Tipologia",$A168,"Viaggio",$A$157)),0,GETPIVOTDATA("Somma di AVERE",'Pivot PP Visa'!$A$3,"Mese",8,"Tipologia",$A168,"Viaggio",$A$157))
+IF(ISERROR(GETPIVOTDATA("Somma di DARE",'Pivot Revolut'!$A$3,"Mese",8,"Tipologia",$A168,"Viaggio",$A$157)),0,GETPIVOTDATA("Somma di DARE",'Pivot Revolut'!$A$3,"Mese",8,"Tipologia",$A168,"Viaggio",$A$157))
-IF(ISERROR(GETPIVOTDATA("Somma di AVERE",'Pivot Revolut'!$A$3,"Mese",8,"Tipologia",$A168,"Viaggio",$A$157)),0,GETPIVOTDATA("Somma di AVERE",'Pivot Revolut'!$A$3,"Mese",8,"Tipologia",$A168,"Viaggio",$A$157))
+IF(ISERROR(GETPIVOTDATA("Somma di DARE",'Pivot RakBank EUR'!$A$3,"Mese",8,"Tipologia",$A168,"Viaggio",$A$157)),0,GETPIVOTDATA("Somma di DARE",'Pivot RakBank EUR'!$A$3,"Mese",8,"Tipologia",$A168,"Viaggio",$A$157))
-IF(ISERROR(GETPIVOTDATA("Somma di AVERE",'Pivot RakBank EUR'!$A$3,"Mese",8,"Tipologia",$A168,"Viaggio",$A$157)),0,GETPIVOTDATA("Somma di AVERE",'Pivot RakBank EUR'!$A$3,"Mese",8,"Tipologia",$A168,"Viaggio",$A$157))
+IF(ISERROR(GETPIVOTDATA("Somma di DARE EUR",'Pivot RakBank AED'!$A$3,"Mese",8,"Tipologia",$A168,"Viaggio",$A$157)),0,GETPIVOTDATA("Somma di DARE EUR",'Pivot RakBank AED'!$A$3,"Mese",8,"Tipologia",$A168,"Viaggio",$A$157))
-IF(ISERROR(GETPIVOTDATA("Somma di AVERE EUR",'Pivot RakBank AED'!$A$3,"Mese",8,"Tipologia",$A168,"Viaggio",$A$157)),0,GETPIVOTDATA("Somma di AVERE EUR",'Pivot RakBank AED'!$A$3,"Mese",8,"Tipologia",$A168,"Viaggio",$A$157))</f>
        <v>0</v>
      </c>
      <c r="K168" s="270">
        <f>IF(ISERROR(GETPIVOTDATA("Somma di DARE",'Pivot Fineco Sa'!$A$3,"Mese",9,"Tipologia",$A168,"Viaggio",$A$157)),0,GETPIVOTDATA("Somma di DARE",'Pivot Fineco Sa'!$A$3,"Mese",9,"Tipologia",$A168,"Viaggio",$A$157))
+IF(ISERROR(GETPIVOTDATA("Somma di DARE",'Pivot Fineco St'!$A$3,"Mese",9,"Tipologia",$A168,"Viaggio",$A$157)),0,GETPIVOTDATA("Somma di DARE",'Pivot Fineco St'!$A$3,"Mese",9,"Tipologia",$A168,"Viaggio",$A$157))
+IF(Contanti!$AK49='Conto Economico'!$A$157,Contanti!$AH49)
+IF(ISERROR(GETPIVOTDATA("Somma di DARE",'Pivot BBVA'!$A$3,"Mese",9,"Tipologia",$A168,"Viaggio",$A$157)),0,GETPIVOTDATA("Somma di DARE",'Pivot BBVA'!$A$3,"Mese",9,"Tipologia",$A168,"Viaggio",$A$157))
+IF(ISERROR(GETPIVOTDATA("Somma di DARE",'Pivot Amex'!$A$3,"Mese",9,"Tipologia",$A168,"Viaggio",$A$157)),0,GETPIVOTDATA("Somma di DARE",'Pivot Amex'!$A$3,"Mese",9,"Tipologia",$A168,"Viaggio",$A$157))
-IF(ISERROR(GETPIVOTDATA("Somma di AVERE",'Pivot Amex'!$A$3,"Mese",9,"Tipologia",$A168,"Viaggio",$A$157)),0,GETPIVOTDATA("Somma di AVERE",'Pivot Amex'!$A$3,"Mese",9,"Tipologia",$A168,"Viaggio",$A$157))
-IF(ISERROR(GETPIVOTDATA("Somma di AVERE",'Pivot BBVA'!$A$3,"Mese",9,"Tipologia",$A168,"Viaggio",$A$157)),0,GETPIVOTDATA("Somma di AVERE",'Pivot BBVA'!$A$3,"Mese",9,"Tipologia",$A168,"Viaggio",$A$157))
-IF(ISERROR(GETPIVOTDATA("Somma di AVERE",'Pivot Fineco St'!$A$3,"Mese",9,"Tipologia",$A168,"Viaggio",$A$157)),0,GETPIVOTDATA("Somma di AVERE",'Pivot Fineco St'!$A$3,"Mese",9,"Tipologia",$A168,"Viaggio",$A$157))
-IF(ISERROR(GETPIVOTDATA("Somma di AVERE",'Pivot Fineco Sa'!$A$3,"Mese",9,"Tipologia",$A168,"Viaggio",$A$157)),0,GETPIVOTDATA("Somma di AVERE",'Pivot Fineco Sa'!$A$3,"Mese",9,"Tipologia",$A168,"Viaggio",$A$157))
+IF(ISERROR(GETPIVOTDATA("Somma di DARE",'Pivot PP Visa'!$A$3,"Mese",9,"Tipologia",$A168,"Viaggio",$A$157)),0,GETPIVOTDATA("Somma di DARE",'Pivot PP Visa'!$A$3,"Mese",9,"Tipologia",$A168,"Viaggio",$A$157))
-IF(ISERROR(GETPIVOTDATA("Somma di AVERE",'Pivot PP Visa'!$A$3,"Mese",9,"Tipologia",$A168,"Viaggio",$A$157)),0,GETPIVOTDATA("Somma di AVERE",'Pivot PP Visa'!$A$3,"Mese",9,"Tipologia",$A168,"Viaggio",$A$157))
+IF(ISERROR(GETPIVOTDATA("Somma di DARE",'Pivot Revolut'!$A$3,"Mese",9,"Tipologia",$A168,"Viaggio",$A$157)),0,GETPIVOTDATA("Somma di DARE",'Pivot Revolut'!$A$3,"Mese",9,"Tipologia",$A168,"Viaggio",$A$157))
-IF(ISERROR(GETPIVOTDATA("Somma di AVERE",'Pivot Revolut'!$A$3,"Mese",9,"Tipologia",$A168,"Viaggio",$A$157)),0,GETPIVOTDATA("Somma di AVERE",'Pivot Revolut'!$A$3,"Mese",9,"Tipologia",$A168,"Viaggio",$A$157))
+IF(ISERROR(GETPIVOTDATA("Somma di DARE",'Pivot RakBank EUR'!$A$3,"Mese",9,"Tipologia",$A168,"Viaggio",$A$157)),0,GETPIVOTDATA("Somma di DARE",'Pivot RakBank EUR'!$A$3,"Mese",9,"Tipologia",$A168,"Viaggio",$A$157))
-IF(ISERROR(GETPIVOTDATA("Somma di AVERE",'Pivot RakBank EUR'!$A$3,"Mese",9,"Tipologia",$A168,"Viaggio",$A$157)),0,GETPIVOTDATA("Somma di AVERE",'Pivot RakBank EUR'!$A$3,"Mese",9,"Tipologia",$A168,"Viaggio",$A$157))
+IF(ISERROR(GETPIVOTDATA("Somma di DARE EUR",'Pivot RakBank AED'!$A$3,"Mese",9,"Tipologia",$A168,"Viaggio",$A$157)),0,GETPIVOTDATA("Somma di DARE EUR",'Pivot RakBank AED'!$A$3,"Mese",9,"Tipologia",$A168,"Viaggio",$A$157))
-IF(ISERROR(GETPIVOTDATA("Somma di AVERE EUR",'Pivot RakBank AED'!$A$3,"Mese",9,"Tipologia",$A168,"Viaggio",$A$157)),0,GETPIVOTDATA("Somma di AVERE EUR",'Pivot RakBank AED'!$A$3,"Mese",9,"Tipologia",$A168,"Viaggio",$A$157))</f>
        <v>0</v>
      </c>
      <c r="L168" s="270">
        <f>IF(ISERROR(GETPIVOTDATA("Somma di DARE",'Pivot Fineco Sa'!$A$3,"Mese",10,"Tipologia",$A168,"Viaggio",$A$157)),0,GETPIVOTDATA("Somma di DARE",'Pivot Fineco Sa'!$A$3,"Mese",10,"Tipologia",$A168,"Viaggio",$A$157))
+IF(ISERROR(GETPIVOTDATA("Somma di DARE",'Pivot Fineco St'!$A$3,"Mese",10,"Tipologia",$A168,"Viaggio",$A$157)),0,GETPIVOTDATA("Somma di DARE",'Pivot Fineco St'!$A$3,"Mese",10,"Tipologia",$A168,"Viaggio",$A$157))
+IF(Contanti!$AO49='Conto Economico'!$A$157,Contanti!$AL49)
+IF(ISERROR(GETPIVOTDATA("Somma di DARE",'Pivot BBVA'!$A$3,"Mese",10,"Tipologia",$A168,"Viaggio",$A$157)),0,GETPIVOTDATA("Somma di DARE",'Pivot BBVA'!$A$3,"Mese",10,"Tipologia",$A168,"Viaggio",$A$157))
+IF(ISERROR(GETPIVOTDATA("Somma di DARE",'Pivot Amex'!$A$3,"Mese",10,"Tipologia",$A168,"Viaggio",$A$157)),0,GETPIVOTDATA("Somma di DARE",'Pivot Amex'!$A$3,"Mese",10,"Tipologia",$A168,"Viaggio",$A$157))
-IF(ISERROR(GETPIVOTDATA("Somma di AVERE",'Pivot Amex'!$A$3,"Mese",10,"Tipologia",$A168,"Viaggio",$A$157)),0,GETPIVOTDATA("Somma di AVERE",'Pivot Amex'!$A$3,"Mese",10,"Tipologia",$A168,"Viaggio",$A$157))
-IF(ISERROR(GETPIVOTDATA("Somma di AVERE",'Pivot BBVA'!$A$3,"Mese",10,"Tipologia",$A168,"Viaggio",$A$157)),0,GETPIVOTDATA("Somma di AVERE",'Pivot BBVA'!$A$3,"Mese",10,"Tipologia",$A168,"Viaggio",$A$157))
-IF(ISERROR(GETPIVOTDATA("Somma di AVERE",'Pivot Fineco St'!$A$3,"Mese",10,"Tipologia",$A168,"Viaggio",$A$157)),0,GETPIVOTDATA("Somma di AVERE",'Pivot Fineco St'!$A$3,"Mese",10,"Tipologia",$A168,"Viaggio",$A$157))
-IF(ISERROR(GETPIVOTDATA("Somma di AVERE",'Pivot Fineco Sa'!$A$3,"Mese",10,"Tipologia",$A168,"Viaggio",$A$157)),0,GETPIVOTDATA("Somma di AVERE",'Pivot Fineco Sa'!$A$3,"Mese",10,"Tipologia",$A168,"Viaggio",$A$157))
+IF(ISERROR(GETPIVOTDATA("Somma di DARE",'Pivot PP Visa'!$A$3,"Mese",10,"Tipologia",$A168,"Viaggio",$A$157)),0,GETPIVOTDATA("Somma di DARE",'Pivot PP Visa'!$A$3,"Mese",10,"Tipologia",$A168,"Viaggio",$A$157))
-IF(ISERROR(GETPIVOTDATA("Somma di AVERE",'Pivot PP Visa'!$A$3,"Mese",10,"Tipologia",$A168,"Viaggio",$A$157)),0,GETPIVOTDATA("Somma di AVERE",'Pivot PP Visa'!$A$3,"Mese",10,"Tipologia",$A168,"Viaggio",$A$157))
+IF(ISERROR(GETPIVOTDATA("Somma di DARE",'Pivot Revolut'!$A$3,"Mese",10,"Tipologia",$A168,"Viaggio",$A$157)),0,GETPIVOTDATA("Somma di DARE",'Pivot Revolut'!$A$3,"Mese",10,"Tipologia",$A168,"Viaggio",$A$157))
-IF(ISERROR(GETPIVOTDATA("Somma di AVERE",'Pivot Revolut'!$A$3,"Mese",10,"Tipologia",$A168,"Viaggio",$A$157)),0,GETPIVOTDATA("Somma di AVERE",'Pivot Revolut'!$A$3,"Mese",10,"Tipologia",$A168,"Viaggio",$A$157))
+IF(ISERROR(GETPIVOTDATA("Somma di DARE",'Pivot RakBank EUR'!$A$3,"Mese",10,"Tipologia",$A168,"Viaggio",$A$157)),0,GETPIVOTDATA("Somma di DARE",'Pivot RakBank EUR'!$A$3,"Mese",10,"Tipologia",$A168,"Viaggio",$A$157))
-IF(ISERROR(GETPIVOTDATA("Somma di AVERE",'Pivot RakBank EUR'!$A$3,"Mese",10,"Tipologia",$A168,"Viaggio",$A$157)),0,GETPIVOTDATA("Somma di AVERE",'Pivot RakBank EUR'!$A$3,"Mese",10,"Tipologia",$A168,"Viaggio",$A$157))
+IF(ISERROR(GETPIVOTDATA("Somma di DARE EUR",'Pivot RakBank AED'!$A$3,"Mese",10,"Tipologia",$A168,"Viaggio",$A$157)),0,GETPIVOTDATA("Somma di DARE EUR",'Pivot RakBank AED'!$A$3,"Mese",10,"Tipologia",$A168,"Viaggio",$A$157))
-IF(ISERROR(GETPIVOTDATA("Somma di AVERE EUR",'Pivot RakBank AED'!$A$3,"Mese",10,"Tipologia",$A168,"Viaggio",$A$157)),0,GETPIVOTDATA("Somma di AVERE EUR",'Pivot RakBank AED'!$A$3,"Mese",10,"Tipologia",$A168,"Viaggio",$A$157))</f>
        <v>0</v>
      </c>
      <c r="M168" s="270">
        <f>IF(ISERROR(GETPIVOTDATA("Somma di DARE",'Pivot Fineco Sa'!$A$3,"Mese",11,"Tipologia",$A168,"Viaggio",$A$157)),0,GETPIVOTDATA("Somma di DARE",'Pivot Fineco Sa'!$A$3,"Mese",11,"Tipologia",$A168,"Viaggio",$A$157))
+IF(ISERROR(GETPIVOTDATA("Somma di DARE",'Pivot Fineco St'!$A$3,"Mese",11,"Tipologia",$A168,"Viaggio",$A$157)),0,GETPIVOTDATA("Somma di DARE",'Pivot Fineco St'!$A$3,"Mese",11,"Tipologia",$A168,"Viaggio",$A$157))
+IF(Contanti!$AS49='Conto Economico'!$A$157,Contanti!$AP49)
+IF(ISERROR(GETPIVOTDATA("Somma di DARE",'Pivot BBVA'!$A$3,"Mese",11,"Tipologia",$A168,"Viaggio",$A$157)),0,GETPIVOTDATA("Somma di DARE",'Pivot BBVA'!$A$3,"Mese",11,"Tipologia",$A168,"Viaggio",$A$157))
+IF(ISERROR(GETPIVOTDATA("Somma di DARE",'Pivot Amex'!$A$3,"Mese",11,"Tipologia",$A168,"Viaggio",$A$157)),0,GETPIVOTDATA("Somma di DARE",'Pivot Amex'!$A$3,"Mese",11,"Tipologia",$A168,"Viaggio",$A$157))
-IF(ISERROR(GETPIVOTDATA("Somma di AVERE",'Pivot Amex'!$A$3,"Mese",11,"Tipologia",$A168,"Viaggio",$A$157)),0,GETPIVOTDATA("Somma di AVERE",'Pivot Amex'!$A$3,"Mese",11,"Tipologia",$A168,"Viaggio",$A$157))
-IF(ISERROR(GETPIVOTDATA("Somma di AVERE",'Pivot BBVA'!$A$3,"Mese",11,"Tipologia",$A168,"Viaggio",$A$157)),0,GETPIVOTDATA("Somma di AVERE",'Pivot BBVA'!$A$3,"Mese",11,"Tipologia",$A168,"Viaggio",$A$157))
-IF(ISERROR(GETPIVOTDATA("Somma di AVERE",'Pivot Fineco St'!$A$3,"Mese",11,"Tipologia",$A168,"Viaggio",$A$157)),0,GETPIVOTDATA("Somma di AVERE",'Pivot Fineco St'!$A$3,"Mese",11,"Tipologia",$A168,"Viaggio",$A$157))
-IF(ISERROR(GETPIVOTDATA("Somma di AVERE",'Pivot Fineco Sa'!$A$3,"Mese",11,"Tipologia",$A168,"Viaggio",$A$157)),0,GETPIVOTDATA("Somma di AVERE",'Pivot Fineco Sa'!$A$3,"Mese",11,"Tipologia",$A168,"Viaggio",$A$157))
+IF(ISERROR(GETPIVOTDATA("Somma di DARE",'Pivot PP Visa'!$A$3,"Mese",11,"Tipologia",$A168,"Viaggio",$A$157)),0,GETPIVOTDATA("Somma di DARE",'Pivot PP Visa'!$A$3,"Mese",11,"Tipologia",$A168,"Viaggio",$A$157))
-IF(ISERROR(GETPIVOTDATA("Somma di AVERE",'Pivot PP Visa'!$A$3,"Mese",11,"Tipologia",$A168,"Viaggio",$A$157)),0,GETPIVOTDATA("Somma di AVERE",'Pivot PP Visa'!$A$3,"Mese",11,"Tipologia",$A168,"Viaggio",$A$157))
+IF(ISERROR(GETPIVOTDATA("Somma di DARE",'Pivot Revolut'!$A$3,"Mese",11,"Tipologia",$A168,"Viaggio",$A$157)),0,GETPIVOTDATA("Somma di DARE",'Pivot Revolut'!$A$3,"Mese",11,"Tipologia",$A168,"Viaggio",$A$157))
-IF(ISERROR(GETPIVOTDATA("Somma di AVERE",'Pivot Revolut'!$A$3,"Mese",11,"Tipologia",$A168,"Viaggio",$A$157)),0,GETPIVOTDATA("Somma di AVERE",'Pivot Revolut'!$A$3,"Mese",11,"Tipologia",$A168,"Viaggio",$A$157))
+IF(ISERROR(GETPIVOTDATA("Somma di DARE",'Pivot RakBank EUR'!$A$3,"Mese",11,"Tipologia",$A168,"Viaggio",$A$157)),0,GETPIVOTDATA("Somma di DARE",'Pivot RakBank EUR'!$A$3,"Mese",11,"Tipologia",$A168,"Viaggio",$A$157))
-IF(ISERROR(GETPIVOTDATA("Somma di AVERE",'Pivot RakBank EUR'!$A$3,"Mese",11,"Tipologia",$A168,"Viaggio",$A$157)),0,GETPIVOTDATA("Somma di AVERE",'Pivot RakBank EUR'!$A$3,"Mese",11,"Tipologia",$A168,"Viaggio",$A$157))
+IF(ISERROR(GETPIVOTDATA("Somma di DARE EUR",'Pivot RakBank AED'!$A$3,"Mese",11,"Tipologia",$A168,"Viaggio",$A$157)),0,GETPIVOTDATA("Somma di DARE EUR",'Pivot RakBank AED'!$A$3,"Mese",11,"Tipologia",$A168,"Viaggio",$A$157))
-IF(ISERROR(GETPIVOTDATA("Somma di AVERE EUR",'Pivot RakBank AED'!$A$3,"Mese",11,"Tipologia",$A168,"Viaggio",$A$157)),0,GETPIVOTDATA("Somma di AVERE EUR",'Pivot RakBank AED'!$A$3,"Mese",11,"Tipologia",$A168,"Viaggio",$A$157))</f>
        <v>0</v>
      </c>
      <c r="N168" s="270">
        <f>IF(ISERROR(GETPIVOTDATA("Somma di DARE",'Pivot Fineco Sa'!$A$3,"Mese",12,"Tipologia",$A168,"Viaggio",$A$157)),0,GETPIVOTDATA("Somma di DARE",'Pivot Fineco Sa'!$A$3,"Mese",12,"Tipologia",$A168,"Viaggio",$A$157))
+IF(ISERROR(GETPIVOTDATA("Somma di DARE",'Pivot Fineco St'!$A$3,"Mese",12,"Tipologia",$A168,"Viaggio",$A$157)),0,GETPIVOTDATA("Somma di DARE",'Pivot Fineco St'!$A$3,"Mese",12,"Tipologia",$A168,"Viaggio",$A$157))
+IF(Contanti!$AW49='Conto Economico'!$A$157,Contanti!$AT49)
+IF(ISERROR(GETPIVOTDATA("Somma di DARE",'Pivot BBVA'!$A$3,"Mese",12,"Tipologia",$A168,"Viaggio",$A$157)),0,GETPIVOTDATA("Somma di DARE",'Pivot BBVA'!$A$3,"Mese",12,"Tipologia",$A168,"Viaggio",$A$157))
+IF(ISERROR(GETPIVOTDATA("Somma di DARE",'Pivot Amex'!$A$3,"Mese",12,"Tipologia",$A168,"Viaggio",$A$157)),0,GETPIVOTDATA("Somma di DARE",'Pivot Amex'!$A$3,"Mese",12,"Tipologia",$A168,"Viaggio",$A$157))
-IF(ISERROR(GETPIVOTDATA("Somma di AVERE",'Pivot Amex'!$A$3,"Mese",12,"Tipologia",$A168,"Viaggio",$A$157)),0,GETPIVOTDATA("Somma di AVERE",'Pivot Amex'!$A$3,"Mese",12,"Tipologia",$A168,"Viaggio",$A$157))
-IF(ISERROR(GETPIVOTDATA("Somma di AVERE",'Pivot BBVA'!$A$3,"Mese",12,"Tipologia",$A168,"Viaggio",$A$157)),0,GETPIVOTDATA("Somma di AVERE",'Pivot BBVA'!$A$3,"Mese",12,"Tipologia",$A168,"Viaggio",$A$157))
-IF(ISERROR(GETPIVOTDATA("Somma di AVERE",'Pivot Fineco St'!$A$3,"Mese",12,"Tipologia",$A168,"Viaggio",$A$157)),0,GETPIVOTDATA("Somma di AVERE",'Pivot Fineco St'!$A$3,"Mese",12,"Tipologia",$A168,"Viaggio",$A$157))
-IF(ISERROR(GETPIVOTDATA("Somma di AVERE",'Pivot Fineco Sa'!$A$3,"Mese",12,"Tipologia",$A168,"Viaggio",$A$157)),0,GETPIVOTDATA("Somma di AVERE",'Pivot Fineco Sa'!$A$3,"Mese",12,"Tipologia",$A168,"Viaggio",$A$157))
+IF(ISERROR(GETPIVOTDATA("Somma di DARE",'Pivot PP Visa'!$A$3,"Mese",12,"Tipologia",$A168,"Viaggio",$A$157)),0,GETPIVOTDATA("Somma di DARE",'Pivot PP Visa'!$A$3,"Mese",12,"Tipologia",$A168,"Viaggio",$A$157))
-IF(ISERROR(GETPIVOTDATA("Somma di AVERE",'Pivot PP Visa'!$A$3,"Mese",12,"Tipologia",$A168,"Viaggio",$A$157)),0,GETPIVOTDATA("Somma di AVERE",'Pivot PP Visa'!$A$3,"Mese",12,"Tipologia",$A168,"Viaggio",$A$157))
+IF(ISERROR(GETPIVOTDATA("Somma di DARE",'Pivot Revolut'!$A$3,"Mese",12,"Tipologia",$A168,"Viaggio",$A$157)),0,GETPIVOTDATA("Somma di DARE",'Pivot Revolut'!$A$3,"Mese",12,"Tipologia",$A168,"Viaggio",$A$157))
-IF(ISERROR(GETPIVOTDATA("Somma di AVERE",'Pivot Revolut'!$A$3,"Mese",12,"Tipologia",$A168,"Viaggio",$A$157)),0,GETPIVOTDATA("Somma di AVERE",'Pivot Revolut'!$A$3,"Mese",12,"Tipologia",$A168,"Viaggio",$A$157))
+IF(ISERROR(GETPIVOTDATA("Somma di DARE",'Pivot RakBank EUR'!$A$3,"Mese",12,"Tipologia",$A168,"Viaggio",$A$157)),0,GETPIVOTDATA("Somma di DARE",'Pivot RakBank EUR'!$A$3,"Mese",12,"Tipologia",$A168,"Viaggio",$A$157))
-IF(ISERROR(GETPIVOTDATA("Somma di AVERE",'Pivot RakBank EUR'!$A$3,"Mese",12,"Tipologia",$A168,"Viaggio",$A$157)),0,GETPIVOTDATA("Somma di AVERE",'Pivot RakBank EUR'!$A$3,"Mese",12,"Tipologia",$A168,"Viaggio",$A$157))
+IF(ISERROR(GETPIVOTDATA("Somma di DARE EUR",'Pivot RakBank AED'!$A$3,"Mese",12,"Tipologia",$A168,"Viaggio",$A$157)),0,GETPIVOTDATA("Somma di DARE EUR",'Pivot RakBank AED'!$A$3,"Mese",12,"Tipologia",$A168,"Viaggio",$A$157))
-IF(ISERROR(GETPIVOTDATA("Somma di AVERE EUR",'Pivot RakBank AED'!$A$3,"Mese",12,"Tipologia",$A168,"Viaggio",$A$157)),0,GETPIVOTDATA("Somma di AVERE EUR",'Pivot RakBank AED'!$A$3,"Mese",12,"Tipologia",$A168,"Viaggio",$A$157))</f>
        <v>0</v>
      </c>
      <c r="O168" s="271">
        <f t="shared" si="21"/>
        <v>0</v>
      </c>
      <c r="P168" s="270"/>
    </row>
    <row r="169" spans="1:16" s="131" customFormat="1" ht="16" outlineLevel="1" x14ac:dyDescent="0.2">
      <c r="A169" s="275"/>
      <c r="B169" s="275"/>
      <c r="C169" s="276"/>
      <c r="D169" s="276"/>
      <c r="E169" s="276"/>
      <c r="F169" s="276"/>
      <c r="G169" s="276"/>
      <c r="H169" s="276"/>
      <c r="I169" s="276"/>
      <c r="J169" s="276"/>
      <c r="K169" s="260"/>
      <c r="L169" s="260"/>
      <c r="M169" s="260"/>
      <c r="N169" s="260"/>
      <c r="O169" s="277"/>
      <c r="P169" s="270"/>
    </row>
    <row r="170" spans="1:16" s="131" customFormat="1" ht="14" outlineLevel="1" x14ac:dyDescent="0.2">
      <c r="A170" s="375" t="s">
        <v>533</v>
      </c>
      <c r="B170" s="375"/>
      <c r="C170" s="266">
        <f>SUM(C171:C181)</f>
        <v>0</v>
      </c>
      <c r="D170" s="266">
        <f t="shared" ref="D170:N170" si="22">SUM(D171:D181)</f>
        <v>0</v>
      </c>
      <c r="E170" s="266">
        <f t="shared" si="22"/>
        <v>0</v>
      </c>
      <c r="F170" s="266">
        <f t="shared" si="22"/>
        <v>0</v>
      </c>
      <c r="G170" s="266">
        <f t="shared" si="22"/>
        <v>0</v>
      </c>
      <c r="H170" s="266">
        <f t="shared" si="22"/>
        <v>0</v>
      </c>
      <c r="I170" s="266">
        <f t="shared" si="22"/>
        <v>0</v>
      </c>
      <c r="J170" s="266">
        <f t="shared" si="22"/>
        <v>0</v>
      </c>
      <c r="K170" s="266">
        <f t="shared" si="22"/>
        <v>0</v>
      </c>
      <c r="L170" s="266">
        <f t="shared" si="22"/>
        <v>0</v>
      </c>
      <c r="M170" s="266">
        <f t="shared" si="22"/>
        <v>0</v>
      </c>
      <c r="N170" s="266">
        <f t="shared" si="22"/>
        <v>0</v>
      </c>
      <c r="O170" s="267">
        <f t="shared" ref="O170:O181" si="23">SUM(C170:N170)</f>
        <v>0</v>
      </c>
      <c r="P170" s="270"/>
    </row>
    <row r="171" spans="1:16" s="131" customFormat="1" ht="14" outlineLevel="1" x14ac:dyDescent="0.2">
      <c r="A171" s="269" t="s">
        <v>100</v>
      </c>
      <c r="B171" s="269"/>
      <c r="C171" s="270">
        <f>IF(ISERROR(GETPIVOTDATA("Somma di DARE",'Pivot Fineco Sa'!$A$3,"Mese",1,"Tipologia",$A171,"Viaggio",$A$170)),0,GETPIVOTDATA("Somma di DARE",'Pivot Fineco Sa'!$A$3,"Mese",1,"Tipologia",$A171,"Viaggio",$A$170))
+IF(ISERROR(GETPIVOTDATA("Somma di DARE",'Pivot Fineco St'!$A$3,"Mese",1,"Tipologia",$A171,"Viaggio",$A$170)),0,GETPIVOTDATA("Somma di DARE",'Pivot Fineco St'!$A$3,"Mese",1,"Tipologia",$A171,"Viaggio",$A$170))
+IF(Contanti!$E39='Conto Economico'!$A$170,Contanti!$B39)
+IF(ISERROR(GETPIVOTDATA("Somma di DARE",'Pivot BBVA'!$A$3,"Mese",1,"Tipologia",$A171,"Viaggio",$A$170)),0,GETPIVOTDATA("Somma di DARE",'Pivot BBVA'!$A$3,"Mese",1,"Tipologia",$A171,"Viaggio",$A$170))
+IF(ISERROR(GETPIVOTDATA("Somma di DARE",'Pivot Amex'!$A$3,"Mese",1,"Tipologia",$A171,"Viaggio",$A$170)),0,GETPIVOTDATA("Somma di DARE",'Pivot Amex'!$A$3,"Mese",1,"Tipologia",$A171,"Viaggio",$A$170))
-IF(ISERROR(GETPIVOTDATA("Somma di AVERE",'Pivot Amex'!$A$3,"Mese",1,"Tipologia",$A171,"Viaggio",$A$170)),0,GETPIVOTDATA("Somma di AVERE",'Pivot Amex'!$A$3,"Mese",1,"Tipologia",$A171,"Viaggio",$A$170))
-IF(ISERROR(GETPIVOTDATA("Somma di AVERE",'Pivot BBVA'!$A$3,"Mese",1,"Tipologia",$A171,"Viaggio",$A$170)),0,GETPIVOTDATA("Somma di AVERE",'Pivot BBVA'!$A$3,"Mese",1,"Tipologia",$A171,"Viaggio",$A$170))
-IF(ISERROR(GETPIVOTDATA("Somma di AVERE",'Pivot Fineco St'!$A$3,"Mese",1,"Tipologia",$A171,"Viaggio",$A$170)),0,GETPIVOTDATA("Somma di AVERE",'Pivot Fineco St'!$A$3,"Mese",1,"Tipologia",$A171,"Viaggio",$A$170))
-IF(ISERROR(GETPIVOTDATA("Somma di AVERE",'Pivot Fineco Sa'!$A$3,"Mese",1,"Tipologia",$A171,"Viaggio",$A$170)),0,GETPIVOTDATA("Somma di AVERE",'Pivot Fineco Sa'!$A$3,"Mese",1,"Tipologia",$A171,"Viaggio",$A$170))
+IF(ISERROR(GETPIVOTDATA("Somma di DARE",'Pivot PP Visa'!$A$3,"Mese",1,"Tipologia",$A171,"Viaggio",$A$170)),0,GETPIVOTDATA("Somma di DARE",'Pivot PP Visa'!$A$3,"Mese",1,"Tipologia",$A171,"Viaggio",$A$170))
-IF(ISERROR(GETPIVOTDATA("Somma di AVERE",'Pivot PP Visa'!$A$3,"Mese",1,"Tipologia",$A171,"Viaggio",$A$170)),0,GETPIVOTDATA("Somma di AVERE",'Pivot PP Visa'!$A$3,"Mese",1,"Tipologia",$A171,"Viaggio",$A$170))
+IF(ISERROR(GETPIVOTDATA("Somma di DARE",'Pivot Revolut'!$A$3,"Mese",1,"Tipologia",$A171,"Viaggio",$A$170)),0,GETPIVOTDATA("Somma di DARE",'Pivot Revolut'!$A$3,"Mese",1,"Tipologia",$A171,"Viaggio",$A$170))
-IF(ISERROR(GETPIVOTDATA("Somma di AVERE",'Pivot Revolut'!$A$3,"Mese",1,"Tipologia",$A171,"Viaggio",$A$170)),0,GETPIVOTDATA("Somma di AVERE",'Pivot Revolut'!$A$3,"Mese",1,"Tipologia",$A171,"Viaggio",$A$170))
+IF(ISERROR(GETPIVOTDATA("Somma di DARE",'Pivot RakBank EUR'!$A$3,"Mese",1,"Tipologia",$A171,"Viaggio",$A$170)),0,GETPIVOTDATA("Somma di DARE",'Pivot RakBank EUR'!$A$3,"Mese",1,"Tipologia",$A171,"Viaggio",$A$170))
-IF(ISERROR(GETPIVOTDATA("Somma di AVERE",'Pivot RakBank EUR'!$A$3,"Mese",1,"Tipologia",$A171,"Viaggio",$A$170)),0,GETPIVOTDATA("Somma di AVERE",'Pivot RakBank EUR'!$A$3,"Mese",1,"Tipologia",$A171,"Viaggio",$A$170))
+IF(ISERROR(GETPIVOTDATA("Somma di DARE EUR",'Pivot RakBank AED'!$A$3,"Mese",1,"Tipologia",$A171,"Viaggio",$A$170)),0,GETPIVOTDATA("Somma di DARE EUR",'Pivot RakBank AED'!$A$3,"Mese",1,"Tipologia",$A171,"Viaggio",$A$170))
-IF(ISERROR(GETPIVOTDATA("Somma di AVERE EUR",'Pivot RakBank AED'!$A$3,"Mese",1,"Tipologia",$A171,"Viaggio",$A$170)),0,GETPIVOTDATA("Somma di AVERE EUR",'Pivot RakBank AED'!$A$3,"Mese",1,"Tipologia",$A171,"Viaggio",$A$170))</f>
        <v>0</v>
      </c>
      <c r="D171" s="270">
        <f>IF(ISERROR(GETPIVOTDATA("Somma di DARE",'Pivot Fineco Sa'!$A$3,"Mese",2,"Tipologia",$A171,"Viaggio",$A$170)),0,GETPIVOTDATA("Somma di DARE",'Pivot Fineco Sa'!$A$3,"Mese",2,"Tipologia",$A171,"Viaggio",$A$170))
+IF(ISERROR(GETPIVOTDATA("Somma di DARE",'Pivot Fineco St'!$A$3,"Mese",2,"Tipologia",$A171,"Viaggio",$A$170)),0,GETPIVOTDATA("Somma di DARE",'Pivot Fineco St'!$A$3,"Mese",2,"Tipologia",$A171,"Viaggio",$A$170))
+IF(Contanti!$I39='Conto Economico'!$A$170,Contanti!$F39)
+IF(ISERROR(GETPIVOTDATA("Somma di DARE",'Pivot BBVA'!$A$3,"Mese",2,"Tipologia",$A171,"Viaggio",$A$170)),0,GETPIVOTDATA("Somma di DARE",'Pivot BBVA'!$A$3,"Mese",2,"Tipologia",$A171,"Viaggio",$A$170))
+IF(ISERROR(GETPIVOTDATA("Somma di DARE",'Pivot Amex'!$A$3,"Mese",2,"Tipologia",$A171,"Viaggio",$A$170)),0,GETPIVOTDATA("Somma di DARE",'Pivot Amex'!$A$3,"Mese",2,"Tipologia",$A171,"Viaggio",$A$170))
-IF(ISERROR(GETPIVOTDATA("Somma di AVERE",'Pivot Amex'!$A$3,"Mese",2,"Tipologia",$A171,"Viaggio",$A$170)),0,GETPIVOTDATA("Somma di AVERE",'Pivot Amex'!$A$3,"Mese",2,"Tipologia",$A171,"Viaggio",$A$170))
-IF(ISERROR(GETPIVOTDATA("Somma di AVERE",'Pivot BBVA'!$A$3,"Mese",2,"Tipologia",$A171,"Viaggio",$A$170)),0,GETPIVOTDATA("Somma di AVERE",'Pivot BBVA'!$A$3,"Mese",2,"Tipologia",$A171,"Viaggio",$A$170))
-IF(ISERROR(GETPIVOTDATA("Somma di AVERE",'Pivot Fineco St'!$A$3,"Mese",2,"Tipologia",$A171,"Viaggio",$A$170)),0,GETPIVOTDATA("Somma di AVERE",'Pivot Fineco St'!$A$3,"Mese",2,"Tipologia",$A171,"Viaggio",$A$170))
-IF(ISERROR(GETPIVOTDATA("Somma di AVERE",'Pivot Fineco Sa'!$A$3,"Mese",2,"Tipologia",$A171,"Viaggio",$A$170)),0,GETPIVOTDATA("Somma di AVERE",'Pivot Fineco Sa'!$A$3,"Mese",2,"Tipologia",$A171,"Viaggio",$A$170))
+IF(ISERROR(GETPIVOTDATA("Somma di DARE",'Pivot PP Visa'!$A$3,"Mese",2,"Tipologia",$A171,"Viaggio",$A$170)),0,GETPIVOTDATA("Somma di DARE",'Pivot PP Visa'!$A$3,"Mese",2,"Tipologia",$A171,"Viaggio",$A$170))
-IF(ISERROR(GETPIVOTDATA("Somma di AVERE",'Pivot PP Visa'!$A$3,"Mese",2,"Tipologia",$A171,"Viaggio",$A$170)),0,GETPIVOTDATA("Somma di AVERE",'Pivot PP Visa'!$A$3,"Mese",2,"Tipologia",$A171,"Viaggio",$A$170))
+IF(ISERROR(GETPIVOTDATA("Somma di DARE",'Pivot Revolut'!$A$3,"Mese",2,"Tipologia",$A171,"Viaggio",$A$170)),0,GETPIVOTDATA("Somma di DARE",'Pivot Revolut'!$A$3,"Mese",2,"Tipologia",$A171,"Viaggio",$A$170))
-IF(ISERROR(GETPIVOTDATA("Somma di AVERE",'Pivot Revolut'!$A$3,"Mese",2,"Tipologia",$A171,"Viaggio",$A$170)),0,GETPIVOTDATA("Somma di AVERE",'Pivot Revolut'!$A$3,"Mese",2,"Tipologia",$A171,"Viaggio",$A$170))
+IF(ISERROR(GETPIVOTDATA("Somma di DARE",'Pivot RakBank EUR'!$A$3,"Mese",2,"Tipologia",$A171,"Viaggio",$A$170)),0,GETPIVOTDATA("Somma di DARE",'Pivot RakBank EUR'!$A$3,"Mese",2,"Tipologia",$A171,"Viaggio",$A$170))
-IF(ISERROR(GETPIVOTDATA("Somma di AVERE",'Pivot RakBank EUR'!$A$3,"Mese",2,"Tipologia",$A171,"Viaggio",$A$170)),0,GETPIVOTDATA("Somma di AVERE",'Pivot RakBank EUR'!$A$3,"Mese",2,"Tipologia",$A171,"Viaggio",$A$170))
+IF(ISERROR(GETPIVOTDATA("Somma di DARE EUR",'Pivot RakBank AED'!$A$3,"Mese",2,"Tipologia",$A171,"Viaggio",$A$170)),0,GETPIVOTDATA("Somma di DARE EUR",'Pivot RakBank AED'!$A$3,"Mese",2,"Tipologia",$A171,"Viaggio",$A$170))
-IF(ISERROR(GETPIVOTDATA("Somma di AVERE EUR",'Pivot RakBank AED'!$A$3,"Mese",2,"Tipologia",$A171,"Viaggio",$A$170)),0,GETPIVOTDATA("Somma di AVERE EUR",'Pivot RakBank AED'!$A$3,"Mese",2,"Tipologia",$A171,"Viaggio",$A$170))</f>
        <v>0</v>
      </c>
      <c r="E171" s="270">
        <f>IF(ISERROR(GETPIVOTDATA("Somma di DARE",'Pivot Fineco Sa'!$A$3,"Mese",3,"Tipologia",$A171,"Viaggio",$A$170)),0,GETPIVOTDATA("Somma di DARE",'Pivot Fineco Sa'!$A$3,"Mese",3,"Tipologia",$A171,"Viaggio",$A$170))
+IF(ISERROR(GETPIVOTDATA("Somma di DARE",'Pivot Fineco St'!$A$3,"Mese",3,"Tipologia",$A171,"Viaggio",$A$170)),0,GETPIVOTDATA("Somma di DARE",'Pivot Fineco St'!$A$3,"Mese",3,"Tipologia",$A171,"Viaggio",$A$170))
+IF(Contanti!$M39='Conto Economico'!$A$170,Contanti!$J39)
+IF(ISERROR(GETPIVOTDATA("Somma di DARE",'Pivot BBVA'!$A$3,"Mese",3,"Tipologia",$A171,"Viaggio",$A$170)),0,GETPIVOTDATA("Somma di DARE",'Pivot BBVA'!$A$3,"Mese",3,"Tipologia",$A171,"Viaggio",$A$170))
+IF(ISERROR(GETPIVOTDATA("Somma di DARE",'Pivot Amex'!$A$3,"Mese",3,"Tipologia",$A171,"Viaggio",$A$170)),0,GETPIVOTDATA("Somma di DARE",'Pivot Amex'!$A$3,"Mese",3,"Tipologia",$A171,"Viaggio",$A$170))
-IF(ISERROR(GETPIVOTDATA("Somma di AVERE",'Pivot Amex'!$A$3,"Mese",3,"Tipologia",$A171,"Viaggio",$A$170)),0,GETPIVOTDATA("Somma di AVERE",'Pivot Amex'!$A$3,"Mese",3,"Tipologia",$A171,"Viaggio",$A$170))
-IF(ISERROR(GETPIVOTDATA("Somma di AVERE",'Pivot BBVA'!$A$3,"Mese",3,"Tipologia",$A171,"Viaggio",$A$170)),0,GETPIVOTDATA("Somma di AVERE",'Pivot BBVA'!$A$3,"Mese",3,"Tipologia",$A171,"Viaggio",$A$170))
-IF(ISERROR(GETPIVOTDATA("Somma di AVERE",'Pivot Fineco St'!$A$3,"Mese",3,"Tipologia",$A171,"Viaggio",$A$170)),0,GETPIVOTDATA("Somma di AVERE",'Pivot Fineco St'!$A$3,"Mese",3,"Tipologia",$A171,"Viaggio",$A$170))
-IF(ISERROR(GETPIVOTDATA("Somma di AVERE",'Pivot Fineco Sa'!$A$3,"Mese",3,"Tipologia",$A171,"Viaggio",$A$170)),0,GETPIVOTDATA("Somma di AVERE",'Pivot Fineco Sa'!$A$3,"Mese",3,"Tipologia",$A171,"Viaggio",$A$170))
+IF(ISERROR(GETPIVOTDATA("Somma di DARE",'Pivot PP Visa'!$A$3,"Mese",3,"Tipologia",$A171,"Viaggio",$A$170)),0,GETPIVOTDATA("Somma di DARE",'Pivot PP Visa'!$A$3,"Mese",3,"Tipologia",$A171,"Viaggio",$A$170))
-IF(ISERROR(GETPIVOTDATA("Somma di AVERE",'Pivot PP Visa'!$A$3,"Mese",3,"Tipologia",$A171,"Viaggio",$A$170)),0,GETPIVOTDATA("Somma di AVERE",'Pivot PP Visa'!$A$3,"Mese",3,"Tipologia",$A171,"Viaggio",$A$170))
+IF(ISERROR(GETPIVOTDATA("Somma di DARE",'Pivot Revolut'!$A$3,"Mese",3,"Tipologia",$A171,"Viaggio",$A$170)),0,GETPIVOTDATA("Somma di DARE",'Pivot Revolut'!$A$3,"Mese",3,"Tipologia",$A171,"Viaggio",$A$170))
-IF(ISERROR(GETPIVOTDATA("Somma di AVERE",'Pivot Revolut'!$A$3,"Mese",3,"Tipologia",$A171,"Viaggio",$A$170)),0,GETPIVOTDATA("Somma di AVERE",'Pivot Revolut'!$A$3,"Mese",3,"Tipologia",$A171,"Viaggio",$A$170))
+IF(ISERROR(GETPIVOTDATA("Somma di DARE",'Pivot RakBank EUR'!$A$3,"Mese",3,"Tipologia",$A171,"Viaggio",$A$170)),0,GETPIVOTDATA("Somma di DARE",'Pivot RakBank EUR'!$A$3,"Mese",3,"Tipologia",$A171,"Viaggio",$A$170))
-IF(ISERROR(GETPIVOTDATA("Somma di AVERE",'Pivot RakBank EUR'!$A$3,"Mese",3,"Tipologia",$A171,"Viaggio",$A$170)),0,GETPIVOTDATA("Somma di AVERE",'Pivot RakBank EUR'!$A$3,"Mese",3,"Tipologia",$A171,"Viaggio",$A$170))
+IF(ISERROR(GETPIVOTDATA("Somma di DARE EUR",'Pivot RakBank AED'!$A$3,"Mese",3,"Tipologia",$A171,"Viaggio",$A$170)),0,GETPIVOTDATA("Somma di DARE EUR",'Pivot RakBank AED'!$A$3,"Mese",3,"Tipologia",$A171,"Viaggio",$A$170))
-IF(ISERROR(GETPIVOTDATA("Somma di AVERE EUR",'Pivot RakBank AED'!$A$3,"Mese",3,"Tipologia",$A171,"Viaggio",$A$170)),0,GETPIVOTDATA("Somma di AVERE EUR",'Pivot RakBank AED'!$A$3,"Mese",3,"Tipologia",$A171,"Viaggio",$A$170))</f>
        <v>0</v>
      </c>
      <c r="F171" s="270">
        <f>IF(ISERROR(GETPIVOTDATA("Somma di DARE",'Pivot Fineco Sa'!$A$3,"Mese",4,"Tipologia",$A171,"Viaggio",$A$170)),0,GETPIVOTDATA("Somma di DARE",'Pivot Fineco Sa'!$A$3,"Mese",4,"Tipologia",$A171,"Viaggio",$A$170))
+IF(ISERROR(GETPIVOTDATA("Somma di DARE",'Pivot Fineco St'!$A$3,"Mese",4,"Tipologia",$A171,"Viaggio",$A$170)),0,GETPIVOTDATA("Somma di DARE",'Pivot Fineco St'!$A$3,"Mese",4,"Tipologia",$A171,"Viaggio",$A$170))
+IF(Contanti!$Q39='Conto Economico'!$A$170,Contanti!$N39)
+IF(ISERROR(GETPIVOTDATA("Somma di DARE",'Pivot BBVA'!$A$3,"Mese",4,"Tipologia",$A171,"Viaggio",$A$170)),0,GETPIVOTDATA("Somma di DARE",'Pivot BBVA'!$A$3,"Mese",4,"Tipologia",$A171,"Viaggio",$A$170))
+IF(ISERROR(GETPIVOTDATA("Somma di DARE",'Pivot Amex'!$A$3,"Mese",4,"Tipologia",$A171,"Viaggio",$A$170)),0,GETPIVOTDATA("Somma di DARE",'Pivot Amex'!$A$3,"Mese",4,"Tipologia",$A171,"Viaggio",$A$170))
-IF(ISERROR(GETPIVOTDATA("Somma di AVERE",'Pivot Amex'!$A$3,"Mese",4,"Tipologia",$A171,"Viaggio",$A$170)),0,GETPIVOTDATA("Somma di AVERE",'Pivot Amex'!$A$3,"Mese",4,"Tipologia",$A171,"Viaggio",$A$170))
-IF(ISERROR(GETPIVOTDATA("Somma di AVERE",'Pivot BBVA'!$A$3,"Mese",4,"Tipologia",$A171,"Viaggio",$A$170)),0,GETPIVOTDATA("Somma di AVERE",'Pivot BBVA'!$A$3,"Mese",4,"Tipologia",$A171,"Viaggio",$A$170))
-IF(ISERROR(GETPIVOTDATA("Somma di AVERE",'Pivot Fineco St'!$A$3,"Mese",4,"Tipologia",$A171,"Viaggio",$A$170)),0,GETPIVOTDATA("Somma di AVERE",'Pivot Fineco St'!$A$3,"Mese",4,"Tipologia",$A171,"Viaggio",$A$170))
-IF(ISERROR(GETPIVOTDATA("Somma di AVERE",'Pivot Fineco Sa'!$A$3,"Mese",4,"Tipologia",$A171,"Viaggio",$A$170)),0,GETPIVOTDATA("Somma di AVERE",'Pivot Fineco Sa'!$A$3,"Mese",4,"Tipologia",$A171,"Viaggio",$A$170))
+IF(ISERROR(GETPIVOTDATA("Somma di DARE",'Pivot PP Visa'!$A$3,"Mese",4,"Tipologia",$A171,"Viaggio",$A$170)),0,GETPIVOTDATA("Somma di DARE",'Pivot PP Visa'!$A$3,"Mese",4,"Tipologia",$A171,"Viaggio",$A$170))
-IF(ISERROR(GETPIVOTDATA("Somma di AVERE",'Pivot PP Visa'!$A$3,"Mese",4,"Tipologia",$A171,"Viaggio",$A$170)),0,GETPIVOTDATA("Somma di AVERE",'Pivot PP Visa'!$A$3,"Mese",4,"Tipologia",$A171,"Viaggio",$A$170))
+IF(ISERROR(GETPIVOTDATA("Somma di DARE",'Pivot Revolut'!$A$3,"Mese",4,"Tipologia",$A171,"Viaggio",$A$170)),0,GETPIVOTDATA("Somma di DARE",'Pivot Revolut'!$A$3,"Mese",4,"Tipologia",$A171,"Viaggio",$A$170))
-IF(ISERROR(GETPIVOTDATA("Somma di AVERE",'Pivot Revolut'!$A$3,"Mese",4,"Tipologia",$A171,"Viaggio",$A$170)),0,GETPIVOTDATA("Somma di AVERE",'Pivot Revolut'!$A$3,"Mese",4,"Tipologia",$A171,"Viaggio",$A$170))
+IF(ISERROR(GETPIVOTDATA("Somma di DARE",'Pivot RakBank EUR'!$A$3,"Mese",4,"Tipologia",$A171,"Viaggio",$A$170)),0,GETPIVOTDATA("Somma di DARE",'Pivot RakBank EUR'!$A$3,"Mese",4,"Tipologia",$A171,"Viaggio",$A$170))
-IF(ISERROR(GETPIVOTDATA("Somma di AVERE",'Pivot RakBank EUR'!$A$3,"Mese",4,"Tipologia",$A171,"Viaggio",$A$170)),0,GETPIVOTDATA("Somma di AVERE",'Pivot RakBank EUR'!$A$3,"Mese",4,"Tipologia",$A171,"Viaggio",$A$170))
+IF(ISERROR(GETPIVOTDATA("Somma di DARE EUR",'Pivot RakBank AED'!$A$3,"Mese",4,"Tipologia",$A171,"Viaggio",$A$170)),0,GETPIVOTDATA("Somma di DARE EUR",'Pivot RakBank AED'!$A$3,"Mese",4,"Tipologia",$A171,"Viaggio",$A$170))
-IF(ISERROR(GETPIVOTDATA("Somma di AVERE EUR",'Pivot RakBank AED'!$A$3,"Mese",4,"Tipologia",$A171,"Viaggio",$A$170)),0,GETPIVOTDATA("Somma di AVERE EUR",'Pivot RakBank AED'!$A$3,"Mese",4,"Tipologia",$A171,"Viaggio",$A$170))</f>
        <v>0</v>
      </c>
      <c r="G171" s="270">
        <f>IF(ISERROR(GETPIVOTDATA("Somma di DARE",'Pivot Fineco Sa'!$A$3,"Mese",5,"Tipologia",$A171,"Viaggio",$A$170)),0,GETPIVOTDATA("Somma di DARE",'Pivot Fineco Sa'!$A$3,"Mese",5,"Tipologia",$A171,"Viaggio",$A$170))
+IF(ISERROR(GETPIVOTDATA("Somma di DARE",'Pivot Fineco St'!$A$3,"Mese",5,"Tipologia",$A171,"Viaggio",$A$170)),0,GETPIVOTDATA("Somma di DARE",'Pivot Fineco St'!$A$3,"Mese",5,"Tipologia",$A171,"Viaggio",$A$170))
+IF(Contanti!$U39='Conto Economico'!$A$170,Contanti!$R39)
+IF(ISERROR(GETPIVOTDATA("Somma di DARE",'Pivot BBVA'!$A$3,"Mese",5,"Tipologia",$A171,"Viaggio",$A$170)),0,GETPIVOTDATA("Somma di DARE",'Pivot BBVA'!$A$3,"Mese",5,"Tipologia",$A171,"Viaggio",$A$170))
+IF(ISERROR(GETPIVOTDATA("Somma di DARE",'Pivot Amex'!$A$3,"Mese",5,"Tipologia",$A171,"Viaggio",$A$170)),0,GETPIVOTDATA("Somma di DARE",'Pivot Amex'!$A$3,"Mese",5,"Tipologia",$A171,"Viaggio",$A$170))
-IF(ISERROR(GETPIVOTDATA("Somma di AVERE",'Pivot Amex'!$A$3,"Mese",5,"Tipologia",$A171,"Viaggio",$A$170)),0,GETPIVOTDATA("Somma di AVERE",'Pivot Amex'!$A$3,"Mese",5,"Tipologia",$A171,"Viaggio",$A$170))
-IF(ISERROR(GETPIVOTDATA("Somma di AVERE",'Pivot BBVA'!$A$3,"Mese",5,"Tipologia",$A171,"Viaggio",$A$170)),0,GETPIVOTDATA("Somma di AVERE",'Pivot BBVA'!$A$3,"Mese",5,"Tipologia",$A171,"Viaggio",$A$170))
-IF(ISERROR(GETPIVOTDATA("Somma di AVERE",'Pivot Fineco St'!$A$3,"Mese",5,"Tipologia",$A171,"Viaggio",$A$170)),0,GETPIVOTDATA("Somma di AVERE",'Pivot Fineco St'!$A$3,"Mese",5,"Tipologia",$A171,"Viaggio",$A$170))
-IF(ISERROR(GETPIVOTDATA("Somma di AVERE",'Pivot Fineco Sa'!$A$3,"Mese",5,"Tipologia",$A171,"Viaggio",$A$170)),0,GETPIVOTDATA("Somma di AVERE",'Pivot Fineco Sa'!$A$3,"Mese",5,"Tipologia",$A171,"Viaggio",$A$170))
+IF(ISERROR(GETPIVOTDATA("Somma di DARE",'Pivot PP Visa'!$A$3,"Mese",5,"Tipologia",$A171,"Viaggio",$A$170)),0,GETPIVOTDATA("Somma di DARE",'Pivot PP Visa'!$A$3,"Mese",5,"Tipologia",$A171,"Viaggio",$A$170))
-IF(ISERROR(GETPIVOTDATA("Somma di AVERE",'Pivot PP Visa'!$A$3,"Mese",5,"Tipologia",$A171,"Viaggio",$A$170)),0,GETPIVOTDATA("Somma di AVERE",'Pivot PP Visa'!$A$3,"Mese",5,"Tipologia",$A171,"Viaggio",$A$170))
+IF(ISERROR(GETPIVOTDATA("Somma di DARE",'Pivot Revolut'!$A$3,"Mese",5,"Tipologia",$A171,"Viaggio",$A$170)),0,GETPIVOTDATA("Somma di DARE",'Pivot Revolut'!$A$3,"Mese",5,"Tipologia",$A171,"Viaggio",$A$170))
-IF(ISERROR(GETPIVOTDATA("Somma di AVERE",'Pivot Revolut'!$A$3,"Mese",5,"Tipologia",$A171,"Viaggio",$A$170)),0,GETPIVOTDATA("Somma di AVERE",'Pivot Revolut'!$A$3,"Mese",5,"Tipologia",$A171,"Viaggio",$A$170))
+IF(ISERROR(GETPIVOTDATA("Somma di DARE",'Pivot RakBank EUR'!$A$3,"Mese",5,"Tipologia",$A171,"Viaggio",$A$170)),0,GETPIVOTDATA("Somma di DARE",'Pivot RakBank EUR'!$A$3,"Mese",5,"Tipologia",$A171,"Viaggio",$A$170))
-IF(ISERROR(GETPIVOTDATA("Somma di AVERE",'Pivot RakBank EUR'!$A$3,"Mese",5,"Tipologia",$A171,"Viaggio",$A$170)),0,GETPIVOTDATA("Somma di AVERE",'Pivot RakBank EUR'!$A$3,"Mese",5,"Tipologia",$A171,"Viaggio",$A$170))
+IF(ISERROR(GETPIVOTDATA("Somma di DARE EUR",'Pivot RakBank AED'!$A$3,"Mese",5,"Tipologia",$A171,"Viaggio",$A$170)),0,GETPIVOTDATA("Somma di DARE EUR",'Pivot RakBank AED'!$A$3,"Mese",5,"Tipologia",$A171,"Viaggio",$A$170))
-IF(ISERROR(GETPIVOTDATA("Somma di AVERE EUR",'Pivot RakBank AED'!$A$3,"Mese",5,"Tipologia",$A171,"Viaggio",$A$170)),0,GETPIVOTDATA("Somma di AVERE EUR",'Pivot RakBank AED'!$A$3,"Mese",5,"Tipologia",$A171,"Viaggio",$A$170))</f>
        <v>0</v>
      </c>
      <c r="H171" s="270">
        <f>IF(ISERROR(GETPIVOTDATA("Somma di DARE",'Pivot Fineco Sa'!$A$3,"Mese",6,"Tipologia",$A171,"Viaggio",$A$170)),0,GETPIVOTDATA("Somma di DARE",'Pivot Fineco Sa'!$A$3,"Mese",6,"Tipologia",$A171,"Viaggio",$A$170))
+IF(ISERROR(GETPIVOTDATA("Somma di DARE",'Pivot Fineco St'!$A$3,"Mese",6,"Tipologia",$A171,"Viaggio",$A$170)),0,GETPIVOTDATA("Somma di DARE",'Pivot Fineco St'!$A$3,"Mese",6,"Tipologia",$A171,"Viaggio",$A$170))
+IF(Contanti!$Y39='Conto Economico'!$A$170,Contanti!$V39)
+IF(ISERROR(GETPIVOTDATA("Somma di DARE",'Pivot BBVA'!$A$3,"Mese",6,"Tipologia",$A171,"Viaggio",$A$170)),0,GETPIVOTDATA("Somma di DARE",'Pivot BBVA'!$A$3,"Mese",6,"Tipologia",$A171,"Viaggio",$A$170))
+IF(ISERROR(GETPIVOTDATA("Somma di DARE",'Pivot Amex'!$A$3,"Mese",6,"Tipologia",$A171,"Viaggio",$A$170)),0,GETPIVOTDATA("Somma di DARE",'Pivot Amex'!$A$3,"Mese",6,"Tipologia",$A171,"Viaggio",$A$170))
-IF(ISERROR(GETPIVOTDATA("Somma di AVERE",'Pivot Amex'!$A$3,"Mese",6,"Tipologia",$A171,"Viaggio",$A$170)),0,GETPIVOTDATA("Somma di AVERE",'Pivot Amex'!$A$3,"Mese",6,"Tipologia",$A171,"Viaggio",$A$170))
-IF(ISERROR(GETPIVOTDATA("Somma di AVERE",'Pivot BBVA'!$A$3,"Mese",6,"Tipologia",$A171,"Viaggio",$A$170)),0,GETPIVOTDATA("Somma di AVERE",'Pivot BBVA'!$A$3,"Mese",6,"Tipologia",$A171,"Viaggio",$A$170))
-IF(ISERROR(GETPIVOTDATA("Somma di AVERE",'Pivot Fineco St'!$A$3,"Mese",6,"Tipologia",$A171,"Viaggio",$A$170)),0,GETPIVOTDATA("Somma di AVERE",'Pivot Fineco St'!$A$3,"Mese",6,"Tipologia",$A171,"Viaggio",$A$170))
-IF(ISERROR(GETPIVOTDATA("Somma di AVERE",'Pivot Fineco Sa'!$A$3,"Mese",6,"Tipologia",$A171,"Viaggio",$A$170)),0,GETPIVOTDATA("Somma di AVERE",'Pivot Fineco Sa'!$A$3,"Mese",6,"Tipologia",$A171,"Viaggio",$A$170))
+IF(ISERROR(GETPIVOTDATA("Somma di DARE",'Pivot PP Visa'!$A$3,"Mese",6,"Tipologia",$A171,"Viaggio",$A$170)),0,GETPIVOTDATA("Somma di DARE",'Pivot PP Visa'!$A$3,"Mese",6,"Tipologia",$A171,"Viaggio",$A$170))
-IF(ISERROR(GETPIVOTDATA("Somma di AVERE",'Pivot PP Visa'!$A$3,"Mese",6,"Tipologia",$A171,"Viaggio",$A$170)),0,GETPIVOTDATA("Somma di AVERE",'Pivot PP Visa'!$A$3,"Mese",6,"Tipologia",$A171,"Viaggio",$A$170))
+IF(ISERROR(GETPIVOTDATA("Somma di DARE",'Pivot Revolut'!$A$3,"Mese",6,"Tipologia",$A171,"Viaggio",$A$170)),0,GETPIVOTDATA("Somma di DARE",'Pivot Revolut'!$A$3,"Mese",6,"Tipologia",$A171,"Viaggio",$A$170))
-IF(ISERROR(GETPIVOTDATA("Somma di AVERE",'Pivot Revolut'!$A$3,"Mese",6,"Tipologia",$A171,"Viaggio",$A$170)),0,GETPIVOTDATA("Somma di AVERE",'Pivot Revolut'!$A$3,"Mese",6,"Tipologia",$A171,"Viaggio",$A$170))
+IF(ISERROR(GETPIVOTDATA("Somma di DARE",'Pivot RakBank EUR'!$A$3,"Mese",6,"Tipologia",$A171,"Viaggio",$A$170)),0,GETPIVOTDATA("Somma di DARE",'Pivot RakBank EUR'!$A$3,"Mese",6,"Tipologia",$A171,"Viaggio",$A$170))
-IF(ISERROR(GETPIVOTDATA("Somma di AVERE",'Pivot RakBank EUR'!$A$3,"Mese",6,"Tipologia",$A171,"Viaggio",$A$170)),0,GETPIVOTDATA("Somma di AVERE",'Pivot RakBank EUR'!$A$3,"Mese",6,"Tipologia",$A171,"Viaggio",$A$170))
+IF(ISERROR(GETPIVOTDATA("Somma di DARE EUR",'Pivot RakBank AED'!$A$3,"Mese",6,"Tipologia",$A171,"Viaggio",$A$170)),0,GETPIVOTDATA("Somma di DARE EUR",'Pivot RakBank AED'!$A$3,"Mese",6,"Tipologia",$A171,"Viaggio",$A$170))
-IF(ISERROR(GETPIVOTDATA("Somma di AVERE EUR",'Pivot RakBank AED'!$A$3,"Mese",6,"Tipologia",$A171,"Viaggio",$A$170)),0,GETPIVOTDATA("Somma di AVERE EUR",'Pivot RakBank AED'!$A$3,"Mese",6,"Tipologia",$A171,"Viaggio",$A$170))</f>
        <v>0</v>
      </c>
      <c r="I171" s="270">
        <f>IF(ISERROR(GETPIVOTDATA("Somma di DARE",'Pivot Fineco Sa'!$A$3,"Mese",7,"Tipologia",$A171,"Viaggio",$A$170)),0,GETPIVOTDATA("Somma di DARE",'Pivot Fineco Sa'!$A$3,"Mese",7,"Tipologia",$A171,"Viaggio",$A$170))
+IF(ISERROR(GETPIVOTDATA("Somma di DARE",'Pivot Fineco St'!$A$3,"Mese",7,"Tipologia",$A171,"Viaggio",$A$170)),0,GETPIVOTDATA("Somma di DARE",'Pivot Fineco St'!$A$3,"Mese",7,"Tipologia",$A171,"Viaggio",$A$170))
+IF(Contanti!$AC39='Conto Economico'!$A$170,Contanti!$Z39)
+IF(ISERROR(GETPIVOTDATA("Somma di DARE",'Pivot BBVA'!$A$3,"Mese",7,"Tipologia",$A171,"Viaggio",$A$170)),0,GETPIVOTDATA("Somma di DARE",'Pivot BBVA'!$A$3,"Mese",7,"Tipologia",$A171,"Viaggio",$A$170))
+IF(ISERROR(GETPIVOTDATA("Somma di DARE",'Pivot Amex'!$A$3,"Mese",7,"Tipologia",$A171,"Viaggio",$A$170)),0,GETPIVOTDATA("Somma di DARE",'Pivot Amex'!$A$3,"Mese",7,"Tipologia",$A171,"Viaggio",$A$170))
-IF(ISERROR(GETPIVOTDATA("Somma di AVERE",'Pivot Amex'!$A$3,"Mese",7,"Tipologia",$A171,"Viaggio",$A$170)),0,GETPIVOTDATA("Somma di AVERE",'Pivot Amex'!$A$3,"Mese",7,"Tipologia",$A171,"Viaggio",$A$170))
-IF(ISERROR(GETPIVOTDATA("Somma di AVERE",'Pivot BBVA'!$A$3,"Mese",7,"Tipologia",$A171,"Viaggio",$A$170)),0,GETPIVOTDATA("Somma di AVERE",'Pivot BBVA'!$A$3,"Mese",7,"Tipologia",$A171,"Viaggio",$A$170))
-IF(ISERROR(GETPIVOTDATA("Somma di AVERE",'Pivot Fineco St'!$A$3,"Mese",7,"Tipologia",$A171,"Viaggio",$A$170)),0,GETPIVOTDATA("Somma di AVERE",'Pivot Fineco St'!$A$3,"Mese",7,"Tipologia",$A171,"Viaggio",$A$170))
-IF(ISERROR(GETPIVOTDATA("Somma di AVERE",'Pivot Fineco Sa'!$A$3,"Mese",7,"Tipologia",$A171,"Viaggio",$A$170)),0,GETPIVOTDATA("Somma di AVERE",'Pivot Fineco Sa'!$A$3,"Mese",7,"Tipologia",$A171,"Viaggio",$A$170))
+IF(ISERROR(GETPIVOTDATA("Somma di DARE",'Pivot PP Visa'!$A$3,"Mese",7,"Tipologia",$A171,"Viaggio",$A$170)),0,GETPIVOTDATA("Somma di DARE",'Pivot PP Visa'!$A$3,"Mese",7,"Tipologia",$A171,"Viaggio",$A$170))
-IF(ISERROR(GETPIVOTDATA("Somma di AVERE",'Pivot PP Visa'!$A$3,"Mese",7,"Tipologia",$A171,"Viaggio",$A$170)),0,GETPIVOTDATA("Somma di AVERE",'Pivot PP Visa'!$A$3,"Mese",7,"Tipologia",$A171,"Viaggio",$A$170))
+IF(ISERROR(GETPIVOTDATA("Somma di DARE",'Pivot Revolut'!$A$3,"Mese",7,"Tipologia",$A171,"Viaggio",$A$170)),0,GETPIVOTDATA("Somma di DARE",'Pivot Revolut'!$A$3,"Mese",7,"Tipologia",$A171,"Viaggio",$A$170))
-IF(ISERROR(GETPIVOTDATA("Somma di AVERE",'Pivot Revolut'!$A$3,"Mese",7,"Tipologia",$A171,"Viaggio",$A$170)),0,GETPIVOTDATA("Somma di AVERE",'Pivot Revolut'!$A$3,"Mese",7,"Tipologia",$A171,"Viaggio",$A$170))
+IF(ISERROR(GETPIVOTDATA("Somma di DARE",'Pivot RakBank EUR'!$A$3,"Mese",7,"Tipologia",$A171,"Viaggio",$A$170)),0,GETPIVOTDATA("Somma di DARE",'Pivot RakBank EUR'!$A$3,"Mese",7,"Tipologia",$A171,"Viaggio",$A$170))
-IF(ISERROR(GETPIVOTDATA("Somma di AVERE",'Pivot RakBank EUR'!$A$3,"Mese",7,"Tipologia",$A171,"Viaggio",$A$170)),0,GETPIVOTDATA("Somma di AVERE",'Pivot RakBank EUR'!$A$3,"Mese",7,"Tipologia",$A171,"Viaggio",$A$170))
+IF(ISERROR(GETPIVOTDATA("Somma di DARE EUR",'Pivot RakBank AED'!$A$3,"Mese",7,"Tipologia",$A171,"Viaggio",$A$170)),0,GETPIVOTDATA("Somma di DARE EUR",'Pivot RakBank AED'!$A$3,"Mese",7,"Tipologia",$A171,"Viaggio",$A$170))
-IF(ISERROR(GETPIVOTDATA("Somma di AVERE EUR",'Pivot RakBank AED'!$A$3,"Mese",7,"Tipologia",$A171,"Viaggio",$A$170)),0,GETPIVOTDATA("Somma di AVERE EUR",'Pivot RakBank AED'!$A$3,"Mese",7,"Tipologia",$A171,"Viaggio",$A$170))</f>
        <v>0</v>
      </c>
      <c r="J171" s="270">
        <f>IF(ISERROR(GETPIVOTDATA("Somma di DARE",'Pivot Fineco Sa'!$A$3,"Mese",8,"Tipologia",$A171,"Viaggio",$A$170)),0,GETPIVOTDATA("Somma di DARE",'Pivot Fineco Sa'!$A$3,"Mese",8,"Tipologia",$A171,"Viaggio",$A$170))
+IF(ISERROR(GETPIVOTDATA("Somma di DARE",'Pivot Fineco St'!$A$3,"Mese",8,"Tipologia",$A171,"Viaggio",$A$170)),0,GETPIVOTDATA("Somma di DARE",'Pivot Fineco St'!$A$3,"Mese",8,"Tipologia",$A171,"Viaggio",$A$170))
+IF(Contanti!$AG39='Conto Economico'!$A$170,Contanti!$AD39)
+IF(ISERROR(GETPIVOTDATA("Somma di DARE",'Pivot BBVA'!$A$3,"Mese",8,"Tipologia",$A171,"Viaggio",$A$170)),0,GETPIVOTDATA("Somma di DARE",'Pivot BBVA'!$A$3,"Mese",8,"Tipologia",$A171,"Viaggio",$A$170))
+IF(ISERROR(GETPIVOTDATA("Somma di DARE",'Pivot Amex'!$A$3,"Mese",8,"Tipologia",$A171,"Viaggio",$A$170)),0,GETPIVOTDATA("Somma di DARE",'Pivot Amex'!$A$3,"Mese",8,"Tipologia",$A171,"Viaggio",$A$170))
-IF(ISERROR(GETPIVOTDATA("Somma di AVERE",'Pivot Amex'!$A$3,"Mese",8,"Tipologia",$A171,"Viaggio",$A$170)),0,GETPIVOTDATA("Somma di AVERE",'Pivot Amex'!$A$3,"Mese",8,"Tipologia",$A171,"Viaggio",$A$170))
-IF(ISERROR(GETPIVOTDATA("Somma di AVERE",'Pivot BBVA'!$A$3,"Mese",8,"Tipologia",$A171,"Viaggio",$A$170)),0,GETPIVOTDATA("Somma di AVERE",'Pivot BBVA'!$A$3,"Mese",8,"Tipologia",$A171,"Viaggio",$A$170))
-IF(ISERROR(GETPIVOTDATA("Somma di AVERE",'Pivot Fineco St'!$A$3,"Mese",8,"Tipologia",$A171,"Viaggio",$A$170)),0,GETPIVOTDATA("Somma di AVERE",'Pivot Fineco St'!$A$3,"Mese",8,"Tipologia",$A171,"Viaggio",$A$170))
-IF(ISERROR(GETPIVOTDATA("Somma di AVERE",'Pivot Fineco Sa'!$A$3,"Mese",8,"Tipologia",$A171,"Viaggio",$A$170)),0,GETPIVOTDATA("Somma di AVERE",'Pivot Fineco Sa'!$A$3,"Mese",8,"Tipologia",$A171,"Viaggio",$A$170))
+IF(ISERROR(GETPIVOTDATA("Somma di DARE",'Pivot PP Visa'!$A$3,"Mese",8,"Tipologia",$A171,"Viaggio",$A$170)),0,GETPIVOTDATA("Somma di DARE",'Pivot PP Visa'!$A$3,"Mese",8,"Tipologia",$A171,"Viaggio",$A$170))
-IF(ISERROR(GETPIVOTDATA("Somma di AVERE",'Pivot PP Visa'!$A$3,"Mese",8,"Tipologia",$A171,"Viaggio",$A$170)),0,GETPIVOTDATA("Somma di AVERE",'Pivot PP Visa'!$A$3,"Mese",8,"Tipologia",$A171,"Viaggio",$A$170))
+IF(ISERROR(GETPIVOTDATA("Somma di DARE",'Pivot Revolut'!$A$3,"Mese",8,"Tipologia",$A171,"Viaggio",$A$170)),0,GETPIVOTDATA("Somma di DARE",'Pivot Revolut'!$A$3,"Mese",8,"Tipologia",$A171,"Viaggio",$A$170))
-IF(ISERROR(GETPIVOTDATA("Somma di AVERE",'Pivot Revolut'!$A$3,"Mese",8,"Tipologia",$A171,"Viaggio",$A$170)),0,GETPIVOTDATA("Somma di AVERE",'Pivot Revolut'!$A$3,"Mese",8,"Tipologia",$A171,"Viaggio",$A$170))
+IF(ISERROR(GETPIVOTDATA("Somma di DARE",'Pivot RakBank EUR'!$A$3,"Mese",8,"Tipologia",$A171,"Viaggio",$A$170)),0,GETPIVOTDATA("Somma di DARE",'Pivot RakBank EUR'!$A$3,"Mese",8,"Tipologia",$A171,"Viaggio",$A$170))
-IF(ISERROR(GETPIVOTDATA("Somma di AVERE",'Pivot RakBank EUR'!$A$3,"Mese",8,"Tipologia",$A171,"Viaggio",$A$170)),0,GETPIVOTDATA("Somma di AVERE",'Pivot RakBank EUR'!$A$3,"Mese",8,"Tipologia",$A171,"Viaggio",$A$170))
+IF(ISERROR(GETPIVOTDATA("Somma di DARE EUR",'Pivot RakBank AED'!$A$3,"Mese",8,"Tipologia",$A171,"Viaggio",$A$170)),0,GETPIVOTDATA("Somma di DARE EUR",'Pivot RakBank AED'!$A$3,"Mese",8,"Tipologia",$A171,"Viaggio",$A$170))
-IF(ISERROR(GETPIVOTDATA("Somma di AVERE EUR",'Pivot RakBank AED'!$A$3,"Mese",8,"Tipologia",$A171,"Viaggio",$A$170)),0,GETPIVOTDATA("Somma di AVERE EUR",'Pivot RakBank AED'!$A$3,"Mese",8,"Tipologia",$A171,"Viaggio",$A$170))</f>
        <v>0</v>
      </c>
      <c r="K171" s="270">
        <f>IF(ISERROR(GETPIVOTDATA("Somma di DARE",'Pivot Fineco Sa'!$A$3,"Mese",9,"Tipologia",$A171,"Viaggio",$A$170)),0,GETPIVOTDATA("Somma di DARE",'Pivot Fineco Sa'!$A$3,"Mese",9,"Tipologia",$A171,"Viaggio",$A$170))
+IF(ISERROR(GETPIVOTDATA("Somma di DARE",'Pivot Fineco St'!$A$3,"Mese",9,"Tipologia",$A171,"Viaggio",$A$170)),0,GETPIVOTDATA("Somma di DARE",'Pivot Fineco St'!$A$3,"Mese",9,"Tipologia",$A171,"Viaggio",$A$170))
+IF(Contanti!$AK39='Conto Economico'!$A$170,Contanti!$AH39)
+IF(ISERROR(GETPIVOTDATA("Somma di DARE",'Pivot BBVA'!$A$3,"Mese",9,"Tipologia",$A171,"Viaggio",$A$170)),0,GETPIVOTDATA("Somma di DARE",'Pivot BBVA'!$A$3,"Mese",9,"Tipologia",$A171,"Viaggio",$A$170))
+IF(ISERROR(GETPIVOTDATA("Somma di DARE",'Pivot Amex'!$A$3,"Mese",9,"Tipologia",$A171,"Viaggio",$A$170)),0,GETPIVOTDATA("Somma di DARE",'Pivot Amex'!$A$3,"Mese",9,"Tipologia",$A171,"Viaggio",$A$170))
-IF(ISERROR(GETPIVOTDATA("Somma di AVERE",'Pivot Amex'!$A$3,"Mese",9,"Tipologia",$A171,"Viaggio",$A$170)),0,GETPIVOTDATA("Somma di AVERE",'Pivot Amex'!$A$3,"Mese",9,"Tipologia",$A171,"Viaggio",$A$170))
-IF(ISERROR(GETPIVOTDATA("Somma di AVERE",'Pivot BBVA'!$A$3,"Mese",9,"Tipologia",$A171,"Viaggio",$A$170)),0,GETPIVOTDATA("Somma di AVERE",'Pivot BBVA'!$A$3,"Mese",9,"Tipologia",$A171,"Viaggio",$A$170))
-IF(ISERROR(GETPIVOTDATA("Somma di AVERE",'Pivot Fineco St'!$A$3,"Mese",9,"Tipologia",$A171,"Viaggio",$A$170)),0,GETPIVOTDATA("Somma di AVERE",'Pivot Fineco St'!$A$3,"Mese",9,"Tipologia",$A171,"Viaggio",$A$170))
-IF(ISERROR(GETPIVOTDATA("Somma di AVERE",'Pivot Fineco Sa'!$A$3,"Mese",9,"Tipologia",$A171,"Viaggio",$A$170)),0,GETPIVOTDATA("Somma di AVERE",'Pivot Fineco Sa'!$A$3,"Mese",9,"Tipologia",$A171,"Viaggio",$A$170))
+IF(ISERROR(GETPIVOTDATA("Somma di DARE",'Pivot PP Visa'!$A$3,"Mese",9,"Tipologia",$A171,"Viaggio",$A$170)),0,GETPIVOTDATA("Somma di DARE",'Pivot PP Visa'!$A$3,"Mese",9,"Tipologia",$A171,"Viaggio",$A$170))
-IF(ISERROR(GETPIVOTDATA("Somma di AVERE",'Pivot PP Visa'!$A$3,"Mese",9,"Tipologia",$A171,"Viaggio",$A$170)),0,GETPIVOTDATA("Somma di AVERE",'Pivot PP Visa'!$A$3,"Mese",9,"Tipologia",$A171,"Viaggio",$A$170))
+IF(ISERROR(GETPIVOTDATA("Somma di DARE",'Pivot Revolut'!$A$3,"Mese",9,"Tipologia",$A171,"Viaggio",$A$170)),0,GETPIVOTDATA("Somma di DARE",'Pivot Revolut'!$A$3,"Mese",9,"Tipologia",$A171,"Viaggio",$A$170))
-IF(ISERROR(GETPIVOTDATA("Somma di AVERE",'Pivot Revolut'!$A$3,"Mese",9,"Tipologia",$A171,"Viaggio",$A$170)),0,GETPIVOTDATA("Somma di AVERE",'Pivot Revolut'!$A$3,"Mese",9,"Tipologia",$A171,"Viaggio",$A$170))
+IF(ISERROR(GETPIVOTDATA("Somma di DARE",'Pivot RakBank EUR'!$A$3,"Mese",9,"Tipologia",$A171,"Viaggio",$A$170)),0,GETPIVOTDATA("Somma di DARE",'Pivot RakBank EUR'!$A$3,"Mese",9,"Tipologia",$A171,"Viaggio",$A$170))
-IF(ISERROR(GETPIVOTDATA("Somma di AVERE",'Pivot RakBank EUR'!$A$3,"Mese",9,"Tipologia",$A171,"Viaggio",$A$170)),0,GETPIVOTDATA("Somma di AVERE",'Pivot RakBank EUR'!$A$3,"Mese",9,"Tipologia",$A171,"Viaggio",$A$170))
+IF(ISERROR(GETPIVOTDATA("Somma di DARE EUR",'Pivot RakBank AED'!$A$3,"Mese",9,"Tipologia",$A171,"Viaggio",$A$170)),0,GETPIVOTDATA("Somma di DARE EUR",'Pivot RakBank AED'!$A$3,"Mese",9,"Tipologia",$A171,"Viaggio",$A$170))
-IF(ISERROR(GETPIVOTDATA("Somma di AVERE EUR",'Pivot RakBank AED'!$A$3,"Mese",9,"Tipologia",$A171,"Viaggio",$A$170)),0,GETPIVOTDATA("Somma di AVERE EUR",'Pivot RakBank AED'!$A$3,"Mese",9,"Tipologia",$A171,"Viaggio",$A$170))</f>
        <v>0</v>
      </c>
      <c r="L171" s="270">
        <f>IF(ISERROR(GETPIVOTDATA("Somma di DARE",'Pivot Fineco Sa'!$A$3,"Mese",10,"Tipologia",$A171,"Viaggio",$A$170)),0,GETPIVOTDATA("Somma di DARE",'Pivot Fineco Sa'!$A$3,"Mese",10,"Tipologia",$A171,"Viaggio",$A$170))
+IF(ISERROR(GETPIVOTDATA("Somma di DARE",'Pivot Fineco St'!$A$3,"Mese",10,"Tipologia",$A171,"Viaggio",$A$170)),0,GETPIVOTDATA("Somma di DARE",'Pivot Fineco St'!$A$3,"Mese",10,"Tipologia",$A171,"Viaggio",$A$170))
+IF(Contanti!$AO39='Conto Economico'!$A$170,Contanti!$AL39)
+IF(ISERROR(GETPIVOTDATA("Somma di DARE",'Pivot BBVA'!$A$3,"Mese",10,"Tipologia",$A171,"Viaggio",$A$170)),0,GETPIVOTDATA("Somma di DARE",'Pivot BBVA'!$A$3,"Mese",10,"Tipologia",$A171,"Viaggio",$A$170))
+IF(ISERROR(GETPIVOTDATA("Somma di DARE",'Pivot Amex'!$A$3,"Mese",10,"Tipologia",$A171,"Viaggio",$A$170)),0,GETPIVOTDATA("Somma di DARE",'Pivot Amex'!$A$3,"Mese",10,"Tipologia",$A171,"Viaggio",$A$170))
-IF(ISERROR(GETPIVOTDATA("Somma di AVERE",'Pivot Amex'!$A$3,"Mese",10,"Tipologia",$A171,"Viaggio",$A$170)),0,GETPIVOTDATA("Somma di AVERE",'Pivot Amex'!$A$3,"Mese",10,"Tipologia",$A171,"Viaggio",$A$170))
-IF(ISERROR(GETPIVOTDATA("Somma di AVERE",'Pivot BBVA'!$A$3,"Mese",10,"Tipologia",$A171,"Viaggio",$A$170)),0,GETPIVOTDATA("Somma di AVERE",'Pivot BBVA'!$A$3,"Mese",10,"Tipologia",$A171,"Viaggio",$A$170))
-IF(ISERROR(GETPIVOTDATA("Somma di AVERE",'Pivot Fineco St'!$A$3,"Mese",10,"Tipologia",$A171,"Viaggio",$A$170)),0,GETPIVOTDATA("Somma di AVERE",'Pivot Fineco St'!$A$3,"Mese",10,"Tipologia",$A171,"Viaggio",$A$170))
-IF(ISERROR(GETPIVOTDATA("Somma di AVERE",'Pivot Fineco Sa'!$A$3,"Mese",10,"Tipologia",$A171,"Viaggio",$A$170)),0,GETPIVOTDATA("Somma di AVERE",'Pivot Fineco Sa'!$A$3,"Mese",10,"Tipologia",$A171,"Viaggio",$A$170))
+IF(ISERROR(GETPIVOTDATA("Somma di DARE",'Pivot PP Visa'!$A$3,"Mese",10,"Tipologia",$A171,"Viaggio",$A$170)),0,GETPIVOTDATA("Somma di DARE",'Pivot PP Visa'!$A$3,"Mese",10,"Tipologia",$A171,"Viaggio",$A$170))
-IF(ISERROR(GETPIVOTDATA("Somma di AVERE",'Pivot PP Visa'!$A$3,"Mese",10,"Tipologia",$A171,"Viaggio",$A$170)),0,GETPIVOTDATA("Somma di AVERE",'Pivot PP Visa'!$A$3,"Mese",10,"Tipologia",$A171,"Viaggio",$A$170))
+IF(ISERROR(GETPIVOTDATA("Somma di DARE",'Pivot Revolut'!$A$3,"Mese",10,"Tipologia",$A171,"Viaggio",$A$170)),0,GETPIVOTDATA("Somma di DARE",'Pivot Revolut'!$A$3,"Mese",10,"Tipologia",$A171,"Viaggio",$A$170))
-IF(ISERROR(GETPIVOTDATA("Somma di AVERE",'Pivot Revolut'!$A$3,"Mese",10,"Tipologia",$A171,"Viaggio",$A$170)),0,GETPIVOTDATA("Somma di AVERE",'Pivot Revolut'!$A$3,"Mese",10,"Tipologia",$A171,"Viaggio",$A$170))
+IF(ISERROR(GETPIVOTDATA("Somma di DARE",'Pivot RakBank EUR'!$A$3,"Mese",10,"Tipologia",$A171,"Viaggio",$A$170)),0,GETPIVOTDATA("Somma di DARE",'Pivot RakBank EUR'!$A$3,"Mese",10,"Tipologia",$A171,"Viaggio",$A$170))
-IF(ISERROR(GETPIVOTDATA("Somma di AVERE",'Pivot RakBank EUR'!$A$3,"Mese",10,"Tipologia",$A171,"Viaggio",$A$170)),0,GETPIVOTDATA("Somma di AVERE",'Pivot RakBank EUR'!$A$3,"Mese",10,"Tipologia",$A171,"Viaggio",$A$170))
+IF(ISERROR(GETPIVOTDATA("Somma di DARE EUR",'Pivot RakBank AED'!$A$3,"Mese",10,"Tipologia",$A171,"Viaggio",$A$170)),0,GETPIVOTDATA("Somma di DARE EUR",'Pivot RakBank AED'!$A$3,"Mese",10,"Tipologia",$A171,"Viaggio",$A$170))
-IF(ISERROR(GETPIVOTDATA("Somma di AVERE EUR",'Pivot RakBank AED'!$A$3,"Mese",10,"Tipologia",$A171,"Viaggio",$A$170)),0,GETPIVOTDATA("Somma di AVERE EUR",'Pivot RakBank AED'!$A$3,"Mese",10,"Tipologia",$A171,"Viaggio",$A$170))</f>
        <v>0</v>
      </c>
      <c r="M171" s="270">
        <f>IF(ISERROR(GETPIVOTDATA("Somma di DARE",'Pivot Fineco Sa'!$A$3,"Mese",11,"Tipologia",$A171,"Viaggio",$A$170)),0,GETPIVOTDATA("Somma di DARE",'Pivot Fineco Sa'!$A$3,"Mese",11,"Tipologia",$A171,"Viaggio",$A$170))
+IF(ISERROR(GETPIVOTDATA("Somma di DARE",'Pivot Fineco St'!$A$3,"Mese",11,"Tipologia",$A171,"Viaggio",$A$170)),0,GETPIVOTDATA("Somma di DARE",'Pivot Fineco St'!$A$3,"Mese",11,"Tipologia",$A171,"Viaggio",$A$170))
+IF(Contanti!$AS39='Conto Economico'!$A$170,Contanti!$AP39)
+IF(ISERROR(GETPIVOTDATA("Somma di DARE",'Pivot BBVA'!$A$3,"Mese",11,"Tipologia",$A171,"Viaggio",$A$170)),0,GETPIVOTDATA("Somma di DARE",'Pivot BBVA'!$A$3,"Mese",11,"Tipologia",$A171,"Viaggio",$A$170))
+IF(ISERROR(GETPIVOTDATA("Somma di DARE",'Pivot Amex'!$A$3,"Mese",11,"Tipologia",$A171,"Viaggio",$A$170)),0,GETPIVOTDATA("Somma di DARE",'Pivot Amex'!$A$3,"Mese",11,"Tipologia",$A171,"Viaggio",$A$170))
-IF(ISERROR(GETPIVOTDATA("Somma di AVERE",'Pivot Amex'!$A$3,"Mese",11,"Tipologia",$A171,"Viaggio",$A$170)),0,GETPIVOTDATA("Somma di AVERE",'Pivot Amex'!$A$3,"Mese",11,"Tipologia",$A171,"Viaggio",$A$170))
-IF(ISERROR(GETPIVOTDATA("Somma di AVERE",'Pivot BBVA'!$A$3,"Mese",11,"Tipologia",$A171,"Viaggio",$A$170)),0,GETPIVOTDATA("Somma di AVERE",'Pivot BBVA'!$A$3,"Mese",11,"Tipologia",$A171,"Viaggio",$A$170))
-IF(ISERROR(GETPIVOTDATA("Somma di AVERE",'Pivot Fineco St'!$A$3,"Mese",11,"Tipologia",$A171,"Viaggio",$A$170)),0,GETPIVOTDATA("Somma di AVERE",'Pivot Fineco St'!$A$3,"Mese",11,"Tipologia",$A171,"Viaggio",$A$170))
-IF(ISERROR(GETPIVOTDATA("Somma di AVERE",'Pivot Fineco Sa'!$A$3,"Mese",11,"Tipologia",$A171,"Viaggio",$A$170)),0,GETPIVOTDATA("Somma di AVERE",'Pivot Fineco Sa'!$A$3,"Mese",11,"Tipologia",$A171,"Viaggio",$A$170))
+IF(ISERROR(GETPIVOTDATA("Somma di DARE",'Pivot PP Visa'!$A$3,"Mese",11,"Tipologia",$A171,"Viaggio",$A$170)),0,GETPIVOTDATA("Somma di DARE",'Pivot PP Visa'!$A$3,"Mese",11,"Tipologia",$A171,"Viaggio",$A$170))
-IF(ISERROR(GETPIVOTDATA("Somma di AVERE",'Pivot PP Visa'!$A$3,"Mese",11,"Tipologia",$A171,"Viaggio",$A$170)),0,GETPIVOTDATA("Somma di AVERE",'Pivot PP Visa'!$A$3,"Mese",11,"Tipologia",$A171,"Viaggio",$A$170))
+IF(ISERROR(GETPIVOTDATA("Somma di DARE",'Pivot Revolut'!$A$3,"Mese",11,"Tipologia",$A171,"Viaggio",$A$170)),0,GETPIVOTDATA("Somma di DARE",'Pivot Revolut'!$A$3,"Mese",11,"Tipologia",$A171,"Viaggio",$A$170))
-IF(ISERROR(GETPIVOTDATA("Somma di AVERE",'Pivot Revolut'!$A$3,"Mese",11,"Tipologia",$A171,"Viaggio",$A$170)),0,GETPIVOTDATA("Somma di AVERE",'Pivot Revolut'!$A$3,"Mese",11,"Tipologia",$A171,"Viaggio",$A$170))
+IF(ISERROR(GETPIVOTDATA("Somma di DARE",'Pivot RakBank EUR'!$A$3,"Mese",11,"Tipologia",$A171,"Viaggio",$A$170)),0,GETPIVOTDATA("Somma di DARE",'Pivot RakBank EUR'!$A$3,"Mese",11,"Tipologia",$A171,"Viaggio",$A$170))
-IF(ISERROR(GETPIVOTDATA("Somma di AVERE",'Pivot RakBank EUR'!$A$3,"Mese",11,"Tipologia",$A171,"Viaggio",$A$170)),0,GETPIVOTDATA("Somma di AVERE",'Pivot RakBank EUR'!$A$3,"Mese",11,"Tipologia",$A171,"Viaggio",$A$170))
+IF(ISERROR(GETPIVOTDATA("Somma di DARE EUR",'Pivot RakBank AED'!$A$3,"Mese",11,"Tipologia",$A171,"Viaggio",$A$170)),0,GETPIVOTDATA("Somma di DARE EUR",'Pivot RakBank AED'!$A$3,"Mese",11,"Tipologia",$A171,"Viaggio",$A$170))
-IF(ISERROR(GETPIVOTDATA("Somma di AVERE EUR",'Pivot RakBank AED'!$A$3,"Mese",11,"Tipologia",$A171,"Viaggio",$A$170)),0,GETPIVOTDATA("Somma di AVERE EUR",'Pivot RakBank AED'!$A$3,"Mese",11,"Tipologia",$A171,"Viaggio",$A$170))</f>
        <v>0</v>
      </c>
      <c r="N171" s="270">
        <f>IF(ISERROR(GETPIVOTDATA("Somma di DARE",'Pivot Fineco Sa'!$A$3,"Mese",12,"Tipologia",$A171,"Viaggio",$A$170)),0,GETPIVOTDATA("Somma di DARE",'Pivot Fineco Sa'!$A$3,"Mese",12,"Tipologia",$A171,"Viaggio",$A$170))
+IF(ISERROR(GETPIVOTDATA("Somma di DARE",'Pivot Fineco St'!$A$3,"Mese",12,"Tipologia",$A171,"Viaggio",$A$170)),0,GETPIVOTDATA("Somma di DARE",'Pivot Fineco St'!$A$3,"Mese",12,"Tipologia",$A171,"Viaggio",$A$170))
+IF(Contanti!$AW39='Conto Economico'!$A$170,Contanti!$AT39)
+IF(ISERROR(GETPIVOTDATA("Somma di DARE",'Pivot BBVA'!$A$3,"Mese",12,"Tipologia",$A171,"Viaggio",$A$170)),0,GETPIVOTDATA("Somma di DARE",'Pivot BBVA'!$A$3,"Mese",12,"Tipologia",$A171,"Viaggio",$A$170))
+IF(ISERROR(GETPIVOTDATA("Somma di DARE",'Pivot Amex'!$A$3,"Mese",12,"Tipologia",$A171,"Viaggio",$A$170)),0,GETPIVOTDATA("Somma di DARE",'Pivot Amex'!$A$3,"Mese",12,"Tipologia",$A171,"Viaggio",$A$170))
-IF(ISERROR(GETPIVOTDATA("Somma di AVERE",'Pivot Amex'!$A$3,"Mese",12,"Tipologia",$A171,"Viaggio",$A$170)),0,GETPIVOTDATA("Somma di AVERE",'Pivot Amex'!$A$3,"Mese",12,"Tipologia",$A171,"Viaggio",$A$170))
-IF(ISERROR(GETPIVOTDATA("Somma di AVERE",'Pivot BBVA'!$A$3,"Mese",12,"Tipologia",$A171,"Viaggio",$A$170)),0,GETPIVOTDATA("Somma di AVERE",'Pivot BBVA'!$A$3,"Mese",12,"Tipologia",$A171,"Viaggio",$A$170))
-IF(ISERROR(GETPIVOTDATA("Somma di AVERE",'Pivot Fineco St'!$A$3,"Mese",12,"Tipologia",$A171,"Viaggio",$A$170)),0,GETPIVOTDATA("Somma di AVERE",'Pivot Fineco St'!$A$3,"Mese",12,"Tipologia",$A171,"Viaggio",$A$170))
-IF(ISERROR(GETPIVOTDATA("Somma di AVERE",'Pivot Fineco Sa'!$A$3,"Mese",12,"Tipologia",$A171,"Viaggio",$A$170)),0,GETPIVOTDATA("Somma di AVERE",'Pivot Fineco Sa'!$A$3,"Mese",12,"Tipologia",$A171,"Viaggio",$A$170))
+IF(ISERROR(GETPIVOTDATA("Somma di DARE",'Pivot PP Visa'!$A$3,"Mese",12,"Tipologia",$A171,"Viaggio",$A$170)),0,GETPIVOTDATA("Somma di DARE",'Pivot PP Visa'!$A$3,"Mese",12,"Tipologia",$A171,"Viaggio",$A$170))
-IF(ISERROR(GETPIVOTDATA("Somma di AVERE",'Pivot PP Visa'!$A$3,"Mese",12,"Tipologia",$A171,"Viaggio",$A$170)),0,GETPIVOTDATA("Somma di AVERE",'Pivot PP Visa'!$A$3,"Mese",12,"Tipologia",$A171,"Viaggio",$A$170))
+IF(ISERROR(GETPIVOTDATA("Somma di DARE",'Pivot Revolut'!$A$3,"Mese",12,"Tipologia",$A171,"Viaggio",$A$170)),0,GETPIVOTDATA("Somma di DARE",'Pivot Revolut'!$A$3,"Mese",12,"Tipologia",$A171,"Viaggio",$A$170))
-IF(ISERROR(GETPIVOTDATA("Somma di AVERE",'Pivot Revolut'!$A$3,"Mese",12,"Tipologia",$A171,"Viaggio",$A$170)),0,GETPIVOTDATA("Somma di AVERE",'Pivot Revolut'!$A$3,"Mese",12,"Tipologia",$A171,"Viaggio",$A$170))
+IF(ISERROR(GETPIVOTDATA("Somma di DARE",'Pivot RakBank EUR'!$A$3,"Mese",12,"Tipologia",$A171,"Viaggio",$A$170)),0,GETPIVOTDATA("Somma di DARE",'Pivot RakBank EUR'!$A$3,"Mese",12,"Tipologia",$A171,"Viaggio",$A$170))
-IF(ISERROR(GETPIVOTDATA("Somma di AVERE",'Pivot RakBank EUR'!$A$3,"Mese",12,"Tipologia",$A171,"Viaggio",$A$170)),0,GETPIVOTDATA("Somma di AVERE",'Pivot RakBank EUR'!$A$3,"Mese",12,"Tipologia",$A171,"Viaggio",$A$170))
+IF(ISERROR(GETPIVOTDATA("Somma di DARE EUR",'Pivot RakBank AED'!$A$3,"Mese",12,"Tipologia",$A171,"Viaggio",$A$170)),0,GETPIVOTDATA("Somma di DARE EUR",'Pivot RakBank AED'!$A$3,"Mese",12,"Tipologia",$A171,"Viaggio",$A$170))
-IF(ISERROR(GETPIVOTDATA("Somma di AVERE EUR",'Pivot RakBank AED'!$A$3,"Mese",12,"Tipologia",$A171,"Viaggio",$A$170)),0,GETPIVOTDATA("Somma di AVERE EUR",'Pivot RakBank AED'!$A$3,"Mese",12,"Tipologia",$A171,"Viaggio",$A$170))</f>
        <v>0</v>
      </c>
      <c r="O171" s="271">
        <f t="shared" si="23"/>
        <v>0</v>
      </c>
      <c r="P171" s="270"/>
    </row>
    <row r="172" spans="1:16" s="131" customFormat="1" ht="14" outlineLevel="1" x14ac:dyDescent="0.2">
      <c r="A172" s="269" t="s">
        <v>111</v>
      </c>
      <c r="B172" s="269"/>
      <c r="C172" s="270">
        <f>IF(ISERROR(GETPIVOTDATA("Somma di DARE",'Pivot Fineco Sa'!$A$3,"Mese",1,"Tipologia",$A172,"Viaggio",$A$170)),0,GETPIVOTDATA("Somma di DARE",'Pivot Fineco Sa'!$A$3,"Mese",1,"Tipologia",$A172,"Viaggio",$A$170))
+IF(ISERROR(GETPIVOTDATA("Somma di DARE",'Pivot Fineco St'!$A$3,"Mese",1,"Tipologia",$A172,"Viaggio",$A$170)),0,GETPIVOTDATA("Somma di DARE",'Pivot Fineco St'!$A$3,"Mese",1,"Tipologia",$A172,"Viaggio",$A$170))
+IF(Contanti!$E40='Conto Economico'!$A$170,Contanti!$B40)
+IF(ISERROR(GETPIVOTDATA("Somma di DARE",'Pivot BBVA'!$A$3,"Mese",1,"Tipologia",$A172,"Viaggio",$A$170)),0,GETPIVOTDATA("Somma di DARE",'Pivot BBVA'!$A$3,"Mese",1,"Tipologia",$A172,"Viaggio",$A$170))
+IF(ISERROR(GETPIVOTDATA("Somma di DARE",'Pivot Amex'!$A$3,"Mese",1,"Tipologia",$A172,"Viaggio",$A$170)),0,GETPIVOTDATA("Somma di DARE",'Pivot Amex'!$A$3,"Mese",1,"Tipologia",$A172,"Viaggio",$A$170))
-IF(ISERROR(GETPIVOTDATA("Somma di AVERE",'Pivot Amex'!$A$3,"Mese",1,"Tipologia",$A172,"Viaggio",$A$170)),0,GETPIVOTDATA("Somma di AVERE",'Pivot Amex'!$A$3,"Mese",1,"Tipologia",$A172,"Viaggio",$A$170))
-IF(ISERROR(GETPIVOTDATA("Somma di AVERE",'Pivot BBVA'!$A$3,"Mese",1,"Tipologia",$A172,"Viaggio",$A$170)),0,GETPIVOTDATA("Somma di AVERE",'Pivot BBVA'!$A$3,"Mese",1,"Tipologia",$A172,"Viaggio",$A$170))
-IF(ISERROR(GETPIVOTDATA("Somma di AVERE",'Pivot Fineco St'!$A$3,"Mese",1,"Tipologia",$A172,"Viaggio",$A$170)),0,GETPIVOTDATA("Somma di AVERE",'Pivot Fineco St'!$A$3,"Mese",1,"Tipologia",$A172,"Viaggio",$A$170))
-IF(ISERROR(GETPIVOTDATA("Somma di AVERE",'Pivot Fineco Sa'!$A$3,"Mese",1,"Tipologia",$A172,"Viaggio",$A$170)),0,GETPIVOTDATA("Somma di AVERE",'Pivot Fineco Sa'!$A$3,"Mese",1,"Tipologia",$A172,"Viaggio",$A$170))
+IF(ISERROR(GETPIVOTDATA("Somma di DARE",'Pivot PP Visa'!$A$3,"Mese",1,"Tipologia",$A172,"Viaggio",$A$170)),0,GETPIVOTDATA("Somma di DARE",'Pivot PP Visa'!$A$3,"Mese",1,"Tipologia",$A172,"Viaggio",$A$170))
-IF(ISERROR(GETPIVOTDATA("Somma di AVERE",'Pivot PP Visa'!$A$3,"Mese",1,"Tipologia",$A172,"Viaggio",$A$170)),0,GETPIVOTDATA("Somma di AVERE",'Pivot PP Visa'!$A$3,"Mese",1,"Tipologia",$A172,"Viaggio",$A$170))
+IF(ISERROR(GETPIVOTDATA("Somma di DARE",'Pivot Revolut'!$A$3,"Mese",1,"Tipologia",$A172,"Viaggio",$A$170)),0,GETPIVOTDATA("Somma di DARE",'Pivot Revolut'!$A$3,"Mese",1,"Tipologia",$A172,"Viaggio",$A$170))
-IF(ISERROR(GETPIVOTDATA("Somma di AVERE",'Pivot Revolut'!$A$3,"Mese",1,"Tipologia",$A172,"Viaggio",$A$170)),0,GETPIVOTDATA("Somma di AVERE",'Pivot Revolut'!$A$3,"Mese",1,"Tipologia",$A172,"Viaggio",$A$170))
+IF(ISERROR(GETPIVOTDATA("Somma di DARE",'Pivot RakBank EUR'!$A$3,"Mese",1,"Tipologia",$A172,"Viaggio",$A$170)),0,GETPIVOTDATA("Somma di DARE",'Pivot RakBank EUR'!$A$3,"Mese",1,"Tipologia",$A172,"Viaggio",$A$170))
-IF(ISERROR(GETPIVOTDATA("Somma di AVERE",'Pivot RakBank EUR'!$A$3,"Mese",1,"Tipologia",$A172,"Viaggio",$A$170)),0,GETPIVOTDATA("Somma di AVERE",'Pivot RakBank EUR'!$A$3,"Mese",1,"Tipologia",$A172,"Viaggio",$A$170))
+IF(ISERROR(GETPIVOTDATA("Somma di DARE EUR",'Pivot RakBank AED'!$A$3,"Mese",1,"Tipologia",$A172,"Viaggio",$A$170)),0,GETPIVOTDATA("Somma di DARE EUR",'Pivot RakBank AED'!$A$3,"Mese",1,"Tipologia",$A172,"Viaggio",$A$170))
-IF(ISERROR(GETPIVOTDATA("Somma di AVERE EUR",'Pivot RakBank AED'!$A$3,"Mese",1,"Tipologia",$A172,"Viaggio",$A$170)),0,GETPIVOTDATA("Somma di AVERE EUR",'Pivot RakBank AED'!$A$3,"Mese",1,"Tipologia",$A172,"Viaggio",$A$170))</f>
        <v>0</v>
      </c>
      <c r="D172" s="270">
        <f>IF(ISERROR(GETPIVOTDATA("Somma di DARE",'Pivot Fineco Sa'!$A$3,"Mese",2,"Tipologia",$A172,"Viaggio",$A$170)),0,GETPIVOTDATA("Somma di DARE",'Pivot Fineco Sa'!$A$3,"Mese",2,"Tipologia",$A172,"Viaggio",$A$170))
+IF(ISERROR(GETPIVOTDATA("Somma di DARE",'Pivot Fineco St'!$A$3,"Mese",2,"Tipologia",$A172,"Viaggio",$A$170)),0,GETPIVOTDATA("Somma di DARE",'Pivot Fineco St'!$A$3,"Mese",2,"Tipologia",$A172,"Viaggio",$A$170))
+IF(Contanti!$I40='Conto Economico'!$A$170,Contanti!$F40)
+IF(ISERROR(GETPIVOTDATA("Somma di DARE",'Pivot BBVA'!$A$3,"Mese",2,"Tipologia",$A172,"Viaggio",$A$170)),0,GETPIVOTDATA("Somma di DARE",'Pivot BBVA'!$A$3,"Mese",2,"Tipologia",$A172,"Viaggio",$A$170))
+IF(ISERROR(GETPIVOTDATA("Somma di DARE",'Pivot Amex'!$A$3,"Mese",2,"Tipologia",$A172,"Viaggio",$A$170)),0,GETPIVOTDATA("Somma di DARE",'Pivot Amex'!$A$3,"Mese",2,"Tipologia",$A172,"Viaggio",$A$170))
-IF(ISERROR(GETPIVOTDATA("Somma di AVERE",'Pivot Amex'!$A$3,"Mese",2,"Tipologia",$A172,"Viaggio",$A$170)),0,GETPIVOTDATA("Somma di AVERE",'Pivot Amex'!$A$3,"Mese",2,"Tipologia",$A172,"Viaggio",$A$170))
-IF(ISERROR(GETPIVOTDATA("Somma di AVERE",'Pivot BBVA'!$A$3,"Mese",2,"Tipologia",$A172,"Viaggio",$A$170)),0,GETPIVOTDATA("Somma di AVERE",'Pivot BBVA'!$A$3,"Mese",2,"Tipologia",$A172,"Viaggio",$A$170))
-IF(ISERROR(GETPIVOTDATA("Somma di AVERE",'Pivot Fineco St'!$A$3,"Mese",2,"Tipologia",$A172,"Viaggio",$A$170)),0,GETPIVOTDATA("Somma di AVERE",'Pivot Fineco St'!$A$3,"Mese",2,"Tipologia",$A172,"Viaggio",$A$170))
-IF(ISERROR(GETPIVOTDATA("Somma di AVERE",'Pivot Fineco Sa'!$A$3,"Mese",2,"Tipologia",$A172,"Viaggio",$A$170)),0,GETPIVOTDATA("Somma di AVERE",'Pivot Fineco Sa'!$A$3,"Mese",2,"Tipologia",$A172,"Viaggio",$A$170))
+IF(ISERROR(GETPIVOTDATA("Somma di DARE",'Pivot PP Visa'!$A$3,"Mese",2,"Tipologia",$A172,"Viaggio",$A$170)),0,GETPIVOTDATA("Somma di DARE",'Pivot PP Visa'!$A$3,"Mese",2,"Tipologia",$A172,"Viaggio",$A$170))
-IF(ISERROR(GETPIVOTDATA("Somma di AVERE",'Pivot PP Visa'!$A$3,"Mese",2,"Tipologia",$A172,"Viaggio",$A$170)),0,GETPIVOTDATA("Somma di AVERE",'Pivot PP Visa'!$A$3,"Mese",2,"Tipologia",$A172,"Viaggio",$A$170))
+IF(ISERROR(GETPIVOTDATA("Somma di DARE",'Pivot Revolut'!$A$3,"Mese",2,"Tipologia",$A172,"Viaggio",$A$170)),0,GETPIVOTDATA("Somma di DARE",'Pivot Revolut'!$A$3,"Mese",2,"Tipologia",$A172,"Viaggio",$A$170))
-IF(ISERROR(GETPIVOTDATA("Somma di AVERE",'Pivot Revolut'!$A$3,"Mese",2,"Tipologia",$A172,"Viaggio",$A$170)),0,GETPIVOTDATA("Somma di AVERE",'Pivot Revolut'!$A$3,"Mese",2,"Tipologia",$A172,"Viaggio",$A$170))
+IF(ISERROR(GETPIVOTDATA("Somma di DARE",'Pivot RakBank EUR'!$A$3,"Mese",2,"Tipologia",$A172,"Viaggio",$A$170)),0,GETPIVOTDATA("Somma di DARE",'Pivot RakBank EUR'!$A$3,"Mese",2,"Tipologia",$A172,"Viaggio",$A$170))
-IF(ISERROR(GETPIVOTDATA("Somma di AVERE",'Pivot RakBank EUR'!$A$3,"Mese",2,"Tipologia",$A172,"Viaggio",$A$170)),0,GETPIVOTDATA("Somma di AVERE",'Pivot RakBank EUR'!$A$3,"Mese",2,"Tipologia",$A172,"Viaggio",$A$170))
+IF(ISERROR(GETPIVOTDATA("Somma di DARE EUR",'Pivot RakBank AED'!$A$3,"Mese",2,"Tipologia",$A172,"Viaggio",$A$170)),0,GETPIVOTDATA("Somma di DARE EUR",'Pivot RakBank AED'!$A$3,"Mese",2,"Tipologia",$A172,"Viaggio",$A$170))
-IF(ISERROR(GETPIVOTDATA("Somma di AVERE EUR",'Pivot RakBank AED'!$A$3,"Mese",2,"Tipologia",$A172,"Viaggio",$A$170)),0,GETPIVOTDATA("Somma di AVERE EUR",'Pivot RakBank AED'!$A$3,"Mese",2,"Tipologia",$A172,"Viaggio",$A$170))</f>
        <v>0</v>
      </c>
      <c r="E172" s="270">
        <f>IF(ISERROR(GETPIVOTDATA("Somma di DARE",'Pivot Fineco Sa'!$A$3,"Mese",3,"Tipologia",$A172,"Viaggio",$A$170)),0,GETPIVOTDATA("Somma di DARE",'Pivot Fineco Sa'!$A$3,"Mese",3,"Tipologia",$A172,"Viaggio",$A$170))
+IF(ISERROR(GETPIVOTDATA("Somma di DARE",'Pivot Fineco St'!$A$3,"Mese",3,"Tipologia",$A172,"Viaggio",$A$170)),0,GETPIVOTDATA("Somma di DARE",'Pivot Fineco St'!$A$3,"Mese",3,"Tipologia",$A172,"Viaggio",$A$170))
+IF(Contanti!$M40='Conto Economico'!$A$170,Contanti!$J40)
+IF(ISERROR(GETPIVOTDATA("Somma di DARE",'Pivot BBVA'!$A$3,"Mese",3,"Tipologia",$A172,"Viaggio",$A$170)),0,GETPIVOTDATA("Somma di DARE",'Pivot BBVA'!$A$3,"Mese",3,"Tipologia",$A172,"Viaggio",$A$170))
+IF(ISERROR(GETPIVOTDATA("Somma di DARE",'Pivot Amex'!$A$3,"Mese",3,"Tipologia",$A172,"Viaggio",$A$170)),0,GETPIVOTDATA("Somma di DARE",'Pivot Amex'!$A$3,"Mese",3,"Tipologia",$A172,"Viaggio",$A$170))
-IF(ISERROR(GETPIVOTDATA("Somma di AVERE",'Pivot Amex'!$A$3,"Mese",3,"Tipologia",$A172,"Viaggio",$A$170)),0,GETPIVOTDATA("Somma di AVERE",'Pivot Amex'!$A$3,"Mese",3,"Tipologia",$A172,"Viaggio",$A$170))
-IF(ISERROR(GETPIVOTDATA("Somma di AVERE",'Pivot BBVA'!$A$3,"Mese",3,"Tipologia",$A172,"Viaggio",$A$170)),0,GETPIVOTDATA("Somma di AVERE",'Pivot BBVA'!$A$3,"Mese",3,"Tipologia",$A172,"Viaggio",$A$170))
-IF(ISERROR(GETPIVOTDATA("Somma di AVERE",'Pivot Fineco St'!$A$3,"Mese",3,"Tipologia",$A172,"Viaggio",$A$170)),0,GETPIVOTDATA("Somma di AVERE",'Pivot Fineco St'!$A$3,"Mese",3,"Tipologia",$A172,"Viaggio",$A$170))
-IF(ISERROR(GETPIVOTDATA("Somma di AVERE",'Pivot Fineco Sa'!$A$3,"Mese",3,"Tipologia",$A172,"Viaggio",$A$170)),0,GETPIVOTDATA("Somma di AVERE",'Pivot Fineco Sa'!$A$3,"Mese",3,"Tipologia",$A172,"Viaggio",$A$170))
+IF(ISERROR(GETPIVOTDATA("Somma di DARE",'Pivot PP Visa'!$A$3,"Mese",3,"Tipologia",$A172,"Viaggio",$A$170)),0,GETPIVOTDATA("Somma di DARE",'Pivot PP Visa'!$A$3,"Mese",3,"Tipologia",$A172,"Viaggio",$A$170))
-IF(ISERROR(GETPIVOTDATA("Somma di AVERE",'Pivot PP Visa'!$A$3,"Mese",3,"Tipologia",$A172,"Viaggio",$A$170)),0,GETPIVOTDATA("Somma di AVERE",'Pivot PP Visa'!$A$3,"Mese",3,"Tipologia",$A172,"Viaggio",$A$170))
+IF(ISERROR(GETPIVOTDATA("Somma di DARE",'Pivot Revolut'!$A$3,"Mese",3,"Tipologia",$A172,"Viaggio",$A$170)),0,GETPIVOTDATA("Somma di DARE",'Pivot Revolut'!$A$3,"Mese",3,"Tipologia",$A172,"Viaggio",$A$170))
-IF(ISERROR(GETPIVOTDATA("Somma di AVERE",'Pivot Revolut'!$A$3,"Mese",3,"Tipologia",$A172,"Viaggio",$A$170)),0,GETPIVOTDATA("Somma di AVERE",'Pivot Revolut'!$A$3,"Mese",3,"Tipologia",$A172,"Viaggio",$A$170))
+IF(ISERROR(GETPIVOTDATA("Somma di DARE",'Pivot RakBank EUR'!$A$3,"Mese",3,"Tipologia",$A172,"Viaggio",$A$170)),0,GETPIVOTDATA("Somma di DARE",'Pivot RakBank EUR'!$A$3,"Mese",3,"Tipologia",$A172,"Viaggio",$A$170))
-IF(ISERROR(GETPIVOTDATA("Somma di AVERE",'Pivot RakBank EUR'!$A$3,"Mese",3,"Tipologia",$A172,"Viaggio",$A$170)),0,GETPIVOTDATA("Somma di AVERE",'Pivot RakBank EUR'!$A$3,"Mese",3,"Tipologia",$A172,"Viaggio",$A$170))
+IF(ISERROR(GETPIVOTDATA("Somma di DARE EUR",'Pivot RakBank AED'!$A$3,"Mese",3,"Tipologia",$A172,"Viaggio",$A$170)),0,GETPIVOTDATA("Somma di DARE EUR",'Pivot RakBank AED'!$A$3,"Mese",3,"Tipologia",$A172,"Viaggio",$A$170))
-IF(ISERROR(GETPIVOTDATA("Somma di AVERE EUR",'Pivot RakBank AED'!$A$3,"Mese",3,"Tipologia",$A172,"Viaggio",$A$170)),0,GETPIVOTDATA("Somma di AVERE EUR",'Pivot RakBank AED'!$A$3,"Mese",3,"Tipologia",$A172,"Viaggio",$A$170))</f>
        <v>0</v>
      </c>
      <c r="F172" s="270">
        <f>IF(ISERROR(GETPIVOTDATA("Somma di DARE",'Pivot Fineco Sa'!$A$3,"Mese",4,"Tipologia",$A172,"Viaggio",$A$170)),0,GETPIVOTDATA("Somma di DARE",'Pivot Fineco Sa'!$A$3,"Mese",4,"Tipologia",$A172,"Viaggio",$A$170))
+IF(ISERROR(GETPIVOTDATA("Somma di DARE",'Pivot Fineco St'!$A$3,"Mese",4,"Tipologia",$A172,"Viaggio",$A$170)),0,GETPIVOTDATA("Somma di DARE",'Pivot Fineco St'!$A$3,"Mese",4,"Tipologia",$A172,"Viaggio",$A$170))
+IF(Contanti!$Q40='Conto Economico'!$A$170,Contanti!$N40)
+IF(ISERROR(GETPIVOTDATA("Somma di DARE",'Pivot BBVA'!$A$3,"Mese",4,"Tipologia",$A172,"Viaggio",$A$170)),0,GETPIVOTDATA("Somma di DARE",'Pivot BBVA'!$A$3,"Mese",4,"Tipologia",$A172,"Viaggio",$A$170))
+IF(ISERROR(GETPIVOTDATA("Somma di DARE",'Pivot Amex'!$A$3,"Mese",4,"Tipologia",$A172,"Viaggio",$A$170)),0,GETPIVOTDATA("Somma di DARE",'Pivot Amex'!$A$3,"Mese",4,"Tipologia",$A172,"Viaggio",$A$170))
-IF(ISERROR(GETPIVOTDATA("Somma di AVERE",'Pivot Amex'!$A$3,"Mese",4,"Tipologia",$A172,"Viaggio",$A$170)),0,GETPIVOTDATA("Somma di AVERE",'Pivot Amex'!$A$3,"Mese",4,"Tipologia",$A172,"Viaggio",$A$170))
-IF(ISERROR(GETPIVOTDATA("Somma di AVERE",'Pivot BBVA'!$A$3,"Mese",4,"Tipologia",$A172,"Viaggio",$A$170)),0,GETPIVOTDATA("Somma di AVERE",'Pivot BBVA'!$A$3,"Mese",4,"Tipologia",$A172,"Viaggio",$A$170))
-IF(ISERROR(GETPIVOTDATA("Somma di AVERE",'Pivot Fineco St'!$A$3,"Mese",4,"Tipologia",$A172,"Viaggio",$A$170)),0,GETPIVOTDATA("Somma di AVERE",'Pivot Fineco St'!$A$3,"Mese",4,"Tipologia",$A172,"Viaggio",$A$170))
-IF(ISERROR(GETPIVOTDATA("Somma di AVERE",'Pivot Fineco Sa'!$A$3,"Mese",4,"Tipologia",$A172,"Viaggio",$A$170)),0,GETPIVOTDATA("Somma di AVERE",'Pivot Fineco Sa'!$A$3,"Mese",4,"Tipologia",$A172,"Viaggio",$A$170))
+IF(ISERROR(GETPIVOTDATA("Somma di DARE",'Pivot PP Visa'!$A$3,"Mese",4,"Tipologia",$A172,"Viaggio",$A$170)),0,GETPIVOTDATA("Somma di DARE",'Pivot PP Visa'!$A$3,"Mese",4,"Tipologia",$A172,"Viaggio",$A$170))
-IF(ISERROR(GETPIVOTDATA("Somma di AVERE",'Pivot PP Visa'!$A$3,"Mese",4,"Tipologia",$A172,"Viaggio",$A$170)),0,GETPIVOTDATA("Somma di AVERE",'Pivot PP Visa'!$A$3,"Mese",4,"Tipologia",$A172,"Viaggio",$A$170))
+IF(ISERROR(GETPIVOTDATA("Somma di DARE",'Pivot Revolut'!$A$3,"Mese",4,"Tipologia",$A172,"Viaggio",$A$170)),0,GETPIVOTDATA("Somma di DARE",'Pivot Revolut'!$A$3,"Mese",4,"Tipologia",$A172,"Viaggio",$A$170))
-IF(ISERROR(GETPIVOTDATA("Somma di AVERE",'Pivot Revolut'!$A$3,"Mese",4,"Tipologia",$A172,"Viaggio",$A$170)),0,GETPIVOTDATA("Somma di AVERE",'Pivot Revolut'!$A$3,"Mese",4,"Tipologia",$A172,"Viaggio",$A$170))
+IF(ISERROR(GETPIVOTDATA("Somma di DARE",'Pivot RakBank EUR'!$A$3,"Mese",4,"Tipologia",$A172,"Viaggio",$A$170)),0,GETPIVOTDATA("Somma di DARE",'Pivot RakBank EUR'!$A$3,"Mese",4,"Tipologia",$A172,"Viaggio",$A$170))
-IF(ISERROR(GETPIVOTDATA("Somma di AVERE",'Pivot RakBank EUR'!$A$3,"Mese",4,"Tipologia",$A172,"Viaggio",$A$170)),0,GETPIVOTDATA("Somma di AVERE",'Pivot RakBank EUR'!$A$3,"Mese",4,"Tipologia",$A172,"Viaggio",$A$170))
+IF(ISERROR(GETPIVOTDATA("Somma di DARE EUR",'Pivot RakBank AED'!$A$3,"Mese",4,"Tipologia",$A172,"Viaggio",$A$170)),0,GETPIVOTDATA("Somma di DARE EUR",'Pivot RakBank AED'!$A$3,"Mese",4,"Tipologia",$A172,"Viaggio",$A$170))
-IF(ISERROR(GETPIVOTDATA("Somma di AVERE EUR",'Pivot RakBank AED'!$A$3,"Mese",4,"Tipologia",$A172,"Viaggio",$A$170)),0,GETPIVOTDATA("Somma di AVERE EUR",'Pivot RakBank AED'!$A$3,"Mese",4,"Tipologia",$A172,"Viaggio",$A$170))</f>
        <v>0</v>
      </c>
      <c r="G172" s="270">
        <f>IF(ISERROR(GETPIVOTDATA("Somma di DARE",'Pivot Fineco Sa'!$A$3,"Mese",5,"Tipologia",$A172,"Viaggio",$A$170)),0,GETPIVOTDATA("Somma di DARE",'Pivot Fineco Sa'!$A$3,"Mese",5,"Tipologia",$A172,"Viaggio",$A$170))
+IF(ISERROR(GETPIVOTDATA("Somma di DARE",'Pivot Fineco St'!$A$3,"Mese",5,"Tipologia",$A172,"Viaggio",$A$170)),0,GETPIVOTDATA("Somma di DARE",'Pivot Fineco St'!$A$3,"Mese",5,"Tipologia",$A172,"Viaggio",$A$170))
+IF(Contanti!$U40='Conto Economico'!$A$170,Contanti!$R40)
+IF(ISERROR(GETPIVOTDATA("Somma di DARE",'Pivot BBVA'!$A$3,"Mese",5,"Tipologia",$A172,"Viaggio",$A$170)),0,GETPIVOTDATA("Somma di DARE",'Pivot BBVA'!$A$3,"Mese",5,"Tipologia",$A172,"Viaggio",$A$170))
+IF(ISERROR(GETPIVOTDATA("Somma di DARE",'Pivot Amex'!$A$3,"Mese",5,"Tipologia",$A172,"Viaggio",$A$170)),0,GETPIVOTDATA("Somma di DARE",'Pivot Amex'!$A$3,"Mese",5,"Tipologia",$A172,"Viaggio",$A$170))
-IF(ISERROR(GETPIVOTDATA("Somma di AVERE",'Pivot Amex'!$A$3,"Mese",5,"Tipologia",$A172,"Viaggio",$A$170)),0,GETPIVOTDATA("Somma di AVERE",'Pivot Amex'!$A$3,"Mese",5,"Tipologia",$A172,"Viaggio",$A$170))
-IF(ISERROR(GETPIVOTDATA("Somma di AVERE",'Pivot BBVA'!$A$3,"Mese",5,"Tipologia",$A172,"Viaggio",$A$170)),0,GETPIVOTDATA("Somma di AVERE",'Pivot BBVA'!$A$3,"Mese",5,"Tipologia",$A172,"Viaggio",$A$170))
-IF(ISERROR(GETPIVOTDATA("Somma di AVERE",'Pivot Fineco St'!$A$3,"Mese",5,"Tipologia",$A172,"Viaggio",$A$170)),0,GETPIVOTDATA("Somma di AVERE",'Pivot Fineco St'!$A$3,"Mese",5,"Tipologia",$A172,"Viaggio",$A$170))
-IF(ISERROR(GETPIVOTDATA("Somma di AVERE",'Pivot Fineco Sa'!$A$3,"Mese",5,"Tipologia",$A172,"Viaggio",$A$170)),0,GETPIVOTDATA("Somma di AVERE",'Pivot Fineco Sa'!$A$3,"Mese",5,"Tipologia",$A172,"Viaggio",$A$170))
+IF(ISERROR(GETPIVOTDATA("Somma di DARE",'Pivot PP Visa'!$A$3,"Mese",5,"Tipologia",$A172,"Viaggio",$A$170)),0,GETPIVOTDATA("Somma di DARE",'Pivot PP Visa'!$A$3,"Mese",5,"Tipologia",$A172,"Viaggio",$A$170))
-IF(ISERROR(GETPIVOTDATA("Somma di AVERE",'Pivot PP Visa'!$A$3,"Mese",5,"Tipologia",$A172,"Viaggio",$A$170)),0,GETPIVOTDATA("Somma di AVERE",'Pivot PP Visa'!$A$3,"Mese",5,"Tipologia",$A172,"Viaggio",$A$170))
+IF(ISERROR(GETPIVOTDATA("Somma di DARE",'Pivot Revolut'!$A$3,"Mese",5,"Tipologia",$A172,"Viaggio",$A$170)),0,GETPIVOTDATA("Somma di DARE",'Pivot Revolut'!$A$3,"Mese",5,"Tipologia",$A172,"Viaggio",$A$170))
-IF(ISERROR(GETPIVOTDATA("Somma di AVERE",'Pivot Revolut'!$A$3,"Mese",5,"Tipologia",$A172,"Viaggio",$A$170)),0,GETPIVOTDATA("Somma di AVERE",'Pivot Revolut'!$A$3,"Mese",5,"Tipologia",$A172,"Viaggio",$A$170))
+IF(ISERROR(GETPIVOTDATA("Somma di DARE",'Pivot RakBank EUR'!$A$3,"Mese",5,"Tipologia",$A172,"Viaggio",$A$170)),0,GETPIVOTDATA("Somma di DARE",'Pivot RakBank EUR'!$A$3,"Mese",5,"Tipologia",$A172,"Viaggio",$A$170))
-IF(ISERROR(GETPIVOTDATA("Somma di AVERE",'Pivot RakBank EUR'!$A$3,"Mese",5,"Tipologia",$A172,"Viaggio",$A$170)),0,GETPIVOTDATA("Somma di AVERE",'Pivot RakBank EUR'!$A$3,"Mese",5,"Tipologia",$A172,"Viaggio",$A$170))
+IF(ISERROR(GETPIVOTDATA("Somma di DARE EUR",'Pivot RakBank AED'!$A$3,"Mese",5,"Tipologia",$A172,"Viaggio",$A$170)),0,GETPIVOTDATA("Somma di DARE EUR",'Pivot RakBank AED'!$A$3,"Mese",5,"Tipologia",$A172,"Viaggio",$A$170))
-IF(ISERROR(GETPIVOTDATA("Somma di AVERE EUR",'Pivot RakBank AED'!$A$3,"Mese",5,"Tipologia",$A172,"Viaggio",$A$170)),0,GETPIVOTDATA("Somma di AVERE EUR",'Pivot RakBank AED'!$A$3,"Mese",5,"Tipologia",$A172,"Viaggio",$A$170))</f>
        <v>0</v>
      </c>
      <c r="H172" s="270">
        <f>IF(ISERROR(GETPIVOTDATA("Somma di DARE",'Pivot Fineco Sa'!$A$3,"Mese",6,"Tipologia",$A172,"Viaggio",$A$170)),0,GETPIVOTDATA("Somma di DARE",'Pivot Fineco Sa'!$A$3,"Mese",6,"Tipologia",$A172,"Viaggio",$A$170))
+IF(ISERROR(GETPIVOTDATA("Somma di DARE",'Pivot Fineco St'!$A$3,"Mese",6,"Tipologia",$A172,"Viaggio",$A$170)),0,GETPIVOTDATA("Somma di DARE",'Pivot Fineco St'!$A$3,"Mese",6,"Tipologia",$A172,"Viaggio",$A$170))
+IF(Contanti!$Y40='Conto Economico'!$A$170,Contanti!$V40)
+IF(ISERROR(GETPIVOTDATA("Somma di DARE",'Pivot BBVA'!$A$3,"Mese",6,"Tipologia",$A172,"Viaggio",$A$170)),0,GETPIVOTDATA("Somma di DARE",'Pivot BBVA'!$A$3,"Mese",6,"Tipologia",$A172,"Viaggio",$A$170))
+IF(ISERROR(GETPIVOTDATA("Somma di DARE",'Pivot Amex'!$A$3,"Mese",6,"Tipologia",$A172,"Viaggio",$A$170)),0,GETPIVOTDATA("Somma di DARE",'Pivot Amex'!$A$3,"Mese",6,"Tipologia",$A172,"Viaggio",$A$170))
-IF(ISERROR(GETPIVOTDATA("Somma di AVERE",'Pivot Amex'!$A$3,"Mese",6,"Tipologia",$A172,"Viaggio",$A$170)),0,GETPIVOTDATA("Somma di AVERE",'Pivot Amex'!$A$3,"Mese",6,"Tipologia",$A172,"Viaggio",$A$170))
-IF(ISERROR(GETPIVOTDATA("Somma di AVERE",'Pivot BBVA'!$A$3,"Mese",6,"Tipologia",$A172,"Viaggio",$A$170)),0,GETPIVOTDATA("Somma di AVERE",'Pivot BBVA'!$A$3,"Mese",6,"Tipologia",$A172,"Viaggio",$A$170))
-IF(ISERROR(GETPIVOTDATA("Somma di AVERE",'Pivot Fineco St'!$A$3,"Mese",6,"Tipologia",$A172,"Viaggio",$A$170)),0,GETPIVOTDATA("Somma di AVERE",'Pivot Fineco St'!$A$3,"Mese",6,"Tipologia",$A172,"Viaggio",$A$170))
-IF(ISERROR(GETPIVOTDATA("Somma di AVERE",'Pivot Fineco Sa'!$A$3,"Mese",6,"Tipologia",$A172,"Viaggio",$A$170)),0,GETPIVOTDATA("Somma di AVERE",'Pivot Fineco Sa'!$A$3,"Mese",6,"Tipologia",$A172,"Viaggio",$A$170))
+IF(ISERROR(GETPIVOTDATA("Somma di DARE",'Pivot PP Visa'!$A$3,"Mese",6,"Tipologia",$A172,"Viaggio",$A$170)),0,GETPIVOTDATA("Somma di DARE",'Pivot PP Visa'!$A$3,"Mese",6,"Tipologia",$A172,"Viaggio",$A$170))
-IF(ISERROR(GETPIVOTDATA("Somma di AVERE",'Pivot PP Visa'!$A$3,"Mese",6,"Tipologia",$A172,"Viaggio",$A$170)),0,GETPIVOTDATA("Somma di AVERE",'Pivot PP Visa'!$A$3,"Mese",6,"Tipologia",$A172,"Viaggio",$A$170))
+IF(ISERROR(GETPIVOTDATA("Somma di DARE",'Pivot Revolut'!$A$3,"Mese",6,"Tipologia",$A172,"Viaggio",$A$170)),0,GETPIVOTDATA("Somma di DARE",'Pivot Revolut'!$A$3,"Mese",6,"Tipologia",$A172,"Viaggio",$A$170))
-IF(ISERROR(GETPIVOTDATA("Somma di AVERE",'Pivot Revolut'!$A$3,"Mese",6,"Tipologia",$A172,"Viaggio",$A$170)),0,GETPIVOTDATA("Somma di AVERE",'Pivot Revolut'!$A$3,"Mese",6,"Tipologia",$A172,"Viaggio",$A$170))
+IF(ISERROR(GETPIVOTDATA("Somma di DARE",'Pivot RakBank EUR'!$A$3,"Mese",6,"Tipologia",$A172,"Viaggio",$A$170)),0,GETPIVOTDATA("Somma di DARE",'Pivot RakBank EUR'!$A$3,"Mese",6,"Tipologia",$A172,"Viaggio",$A$170))
-IF(ISERROR(GETPIVOTDATA("Somma di AVERE",'Pivot RakBank EUR'!$A$3,"Mese",6,"Tipologia",$A172,"Viaggio",$A$170)),0,GETPIVOTDATA("Somma di AVERE",'Pivot RakBank EUR'!$A$3,"Mese",6,"Tipologia",$A172,"Viaggio",$A$170))
+IF(ISERROR(GETPIVOTDATA("Somma di DARE EUR",'Pivot RakBank AED'!$A$3,"Mese",6,"Tipologia",$A172,"Viaggio",$A$170)),0,GETPIVOTDATA("Somma di DARE EUR",'Pivot RakBank AED'!$A$3,"Mese",6,"Tipologia",$A172,"Viaggio",$A$170))
-IF(ISERROR(GETPIVOTDATA("Somma di AVERE EUR",'Pivot RakBank AED'!$A$3,"Mese",6,"Tipologia",$A172,"Viaggio",$A$170)),0,GETPIVOTDATA("Somma di AVERE EUR",'Pivot RakBank AED'!$A$3,"Mese",6,"Tipologia",$A172,"Viaggio",$A$170))</f>
        <v>0</v>
      </c>
      <c r="I172" s="270">
        <f>IF(ISERROR(GETPIVOTDATA("Somma di DARE",'Pivot Fineco Sa'!$A$3,"Mese",7,"Tipologia",$A172,"Viaggio",$A$170)),0,GETPIVOTDATA("Somma di DARE",'Pivot Fineco Sa'!$A$3,"Mese",7,"Tipologia",$A172,"Viaggio",$A$170))
+IF(ISERROR(GETPIVOTDATA("Somma di DARE",'Pivot Fineco St'!$A$3,"Mese",7,"Tipologia",$A172,"Viaggio",$A$170)),0,GETPIVOTDATA("Somma di DARE",'Pivot Fineco St'!$A$3,"Mese",7,"Tipologia",$A172,"Viaggio",$A$170))
+IF(Contanti!$AC40='Conto Economico'!$A$170,Contanti!$Z40)
+IF(ISERROR(GETPIVOTDATA("Somma di DARE",'Pivot BBVA'!$A$3,"Mese",7,"Tipologia",$A172,"Viaggio",$A$170)),0,GETPIVOTDATA("Somma di DARE",'Pivot BBVA'!$A$3,"Mese",7,"Tipologia",$A172,"Viaggio",$A$170))
+IF(ISERROR(GETPIVOTDATA("Somma di DARE",'Pivot Amex'!$A$3,"Mese",7,"Tipologia",$A172,"Viaggio",$A$170)),0,GETPIVOTDATA("Somma di DARE",'Pivot Amex'!$A$3,"Mese",7,"Tipologia",$A172,"Viaggio",$A$170))
-IF(ISERROR(GETPIVOTDATA("Somma di AVERE",'Pivot Amex'!$A$3,"Mese",7,"Tipologia",$A172,"Viaggio",$A$170)),0,GETPIVOTDATA("Somma di AVERE",'Pivot Amex'!$A$3,"Mese",7,"Tipologia",$A172,"Viaggio",$A$170))
-IF(ISERROR(GETPIVOTDATA("Somma di AVERE",'Pivot BBVA'!$A$3,"Mese",7,"Tipologia",$A172,"Viaggio",$A$170)),0,GETPIVOTDATA("Somma di AVERE",'Pivot BBVA'!$A$3,"Mese",7,"Tipologia",$A172,"Viaggio",$A$170))
-IF(ISERROR(GETPIVOTDATA("Somma di AVERE",'Pivot Fineco St'!$A$3,"Mese",7,"Tipologia",$A172,"Viaggio",$A$170)),0,GETPIVOTDATA("Somma di AVERE",'Pivot Fineco St'!$A$3,"Mese",7,"Tipologia",$A172,"Viaggio",$A$170))
-IF(ISERROR(GETPIVOTDATA("Somma di AVERE",'Pivot Fineco Sa'!$A$3,"Mese",7,"Tipologia",$A172,"Viaggio",$A$170)),0,GETPIVOTDATA("Somma di AVERE",'Pivot Fineco Sa'!$A$3,"Mese",7,"Tipologia",$A172,"Viaggio",$A$170))
+IF(ISERROR(GETPIVOTDATA("Somma di DARE",'Pivot PP Visa'!$A$3,"Mese",7,"Tipologia",$A172,"Viaggio",$A$170)),0,GETPIVOTDATA("Somma di DARE",'Pivot PP Visa'!$A$3,"Mese",7,"Tipologia",$A172,"Viaggio",$A$170))
-IF(ISERROR(GETPIVOTDATA("Somma di AVERE",'Pivot PP Visa'!$A$3,"Mese",7,"Tipologia",$A172,"Viaggio",$A$170)),0,GETPIVOTDATA("Somma di AVERE",'Pivot PP Visa'!$A$3,"Mese",7,"Tipologia",$A172,"Viaggio",$A$170))
+IF(ISERROR(GETPIVOTDATA("Somma di DARE",'Pivot Revolut'!$A$3,"Mese",7,"Tipologia",$A172,"Viaggio",$A$170)),0,GETPIVOTDATA("Somma di DARE",'Pivot Revolut'!$A$3,"Mese",7,"Tipologia",$A172,"Viaggio",$A$170))
-IF(ISERROR(GETPIVOTDATA("Somma di AVERE",'Pivot Revolut'!$A$3,"Mese",7,"Tipologia",$A172,"Viaggio",$A$170)),0,GETPIVOTDATA("Somma di AVERE",'Pivot Revolut'!$A$3,"Mese",7,"Tipologia",$A172,"Viaggio",$A$170))
+IF(ISERROR(GETPIVOTDATA("Somma di DARE",'Pivot RakBank EUR'!$A$3,"Mese",7,"Tipologia",$A172,"Viaggio",$A$170)),0,GETPIVOTDATA("Somma di DARE",'Pivot RakBank EUR'!$A$3,"Mese",7,"Tipologia",$A172,"Viaggio",$A$170))
-IF(ISERROR(GETPIVOTDATA("Somma di AVERE",'Pivot RakBank EUR'!$A$3,"Mese",7,"Tipologia",$A172,"Viaggio",$A$170)),0,GETPIVOTDATA("Somma di AVERE",'Pivot RakBank EUR'!$A$3,"Mese",7,"Tipologia",$A172,"Viaggio",$A$170))
+IF(ISERROR(GETPIVOTDATA("Somma di DARE EUR",'Pivot RakBank AED'!$A$3,"Mese",7,"Tipologia",$A172,"Viaggio",$A$170)),0,GETPIVOTDATA("Somma di DARE EUR",'Pivot RakBank AED'!$A$3,"Mese",7,"Tipologia",$A172,"Viaggio",$A$170))
-IF(ISERROR(GETPIVOTDATA("Somma di AVERE EUR",'Pivot RakBank AED'!$A$3,"Mese",7,"Tipologia",$A172,"Viaggio",$A$170)),0,GETPIVOTDATA("Somma di AVERE EUR",'Pivot RakBank AED'!$A$3,"Mese",7,"Tipologia",$A172,"Viaggio",$A$170))</f>
        <v>0</v>
      </c>
      <c r="J172" s="270">
        <f>IF(ISERROR(GETPIVOTDATA("Somma di DARE",'Pivot Fineco Sa'!$A$3,"Mese",8,"Tipologia",$A172,"Viaggio",$A$170)),0,GETPIVOTDATA("Somma di DARE",'Pivot Fineco Sa'!$A$3,"Mese",8,"Tipologia",$A172,"Viaggio",$A$170))
+IF(ISERROR(GETPIVOTDATA("Somma di DARE",'Pivot Fineco St'!$A$3,"Mese",8,"Tipologia",$A172,"Viaggio",$A$170)),0,GETPIVOTDATA("Somma di DARE",'Pivot Fineco St'!$A$3,"Mese",8,"Tipologia",$A172,"Viaggio",$A$170))
+IF(Contanti!$AG40='Conto Economico'!$A$170,Contanti!$AD40)
+IF(ISERROR(GETPIVOTDATA("Somma di DARE",'Pivot BBVA'!$A$3,"Mese",8,"Tipologia",$A172,"Viaggio",$A$170)),0,GETPIVOTDATA("Somma di DARE",'Pivot BBVA'!$A$3,"Mese",8,"Tipologia",$A172,"Viaggio",$A$170))
+IF(ISERROR(GETPIVOTDATA("Somma di DARE",'Pivot Amex'!$A$3,"Mese",8,"Tipologia",$A172,"Viaggio",$A$170)),0,GETPIVOTDATA("Somma di DARE",'Pivot Amex'!$A$3,"Mese",8,"Tipologia",$A172,"Viaggio",$A$170))
-IF(ISERROR(GETPIVOTDATA("Somma di AVERE",'Pivot Amex'!$A$3,"Mese",8,"Tipologia",$A172,"Viaggio",$A$170)),0,GETPIVOTDATA("Somma di AVERE",'Pivot Amex'!$A$3,"Mese",8,"Tipologia",$A172,"Viaggio",$A$170))
-IF(ISERROR(GETPIVOTDATA("Somma di AVERE",'Pivot BBVA'!$A$3,"Mese",8,"Tipologia",$A172,"Viaggio",$A$170)),0,GETPIVOTDATA("Somma di AVERE",'Pivot BBVA'!$A$3,"Mese",8,"Tipologia",$A172,"Viaggio",$A$170))
-IF(ISERROR(GETPIVOTDATA("Somma di AVERE",'Pivot Fineco St'!$A$3,"Mese",8,"Tipologia",$A172,"Viaggio",$A$170)),0,GETPIVOTDATA("Somma di AVERE",'Pivot Fineco St'!$A$3,"Mese",8,"Tipologia",$A172,"Viaggio",$A$170))
-IF(ISERROR(GETPIVOTDATA("Somma di AVERE",'Pivot Fineco Sa'!$A$3,"Mese",8,"Tipologia",$A172,"Viaggio",$A$170)),0,GETPIVOTDATA("Somma di AVERE",'Pivot Fineco Sa'!$A$3,"Mese",8,"Tipologia",$A172,"Viaggio",$A$170))
+IF(ISERROR(GETPIVOTDATA("Somma di DARE",'Pivot PP Visa'!$A$3,"Mese",8,"Tipologia",$A172,"Viaggio",$A$170)),0,GETPIVOTDATA("Somma di DARE",'Pivot PP Visa'!$A$3,"Mese",8,"Tipologia",$A172,"Viaggio",$A$170))
-IF(ISERROR(GETPIVOTDATA("Somma di AVERE",'Pivot PP Visa'!$A$3,"Mese",8,"Tipologia",$A172,"Viaggio",$A$170)),0,GETPIVOTDATA("Somma di AVERE",'Pivot PP Visa'!$A$3,"Mese",8,"Tipologia",$A172,"Viaggio",$A$170))
+IF(ISERROR(GETPIVOTDATA("Somma di DARE",'Pivot Revolut'!$A$3,"Mese",8,"Tipologia",$A172,"Viaggio",$A$170)),0,GETPIVOTDATA("Somma di DARE",'Pivot Revolut'!$A$3,"Mese",8,"Tipologia",$A172,"Viaggio",$A$170))
-IF(ISERROR(GETPIVOTDATA("Somma di AVERE",'Pivot Revolut'!$A$3,"Mese",8,"Tipologia",$A172,"Viaggio",$A$170)),0,GETPIVOTDATA("Somma di AVERE",'Pivot Revolut'!$A$3,"Mese",8,"Tipologia",$A172,"Viaggio",$A$170))
+IF(ISERROR(GETPIVOTDATA("Somma di DARE",'Pivot RakBank EUR'!$A$3,"Mese",8,"Tipologia",$A172,"Viaggio",$A$170)),0,GETPIVOTDATA("Somma di DARE",'Pivot RakBank EUR'!$A$3,"Mese",8,"Tipologia",$A172,"Viaggio",$A$170))
-IF(ISERROR(GETPIVOTDATA("Somma di AVERE",'Pivot RakBank EUR'!$A$3,"Mese",8,"Tipologia",$A172,"Viaggio",$A$170)),0,GETPIVOTDATA("Somma di AVERE",'Pivot RakBank EUR'!$A$3,"Mese",8,"Tipologia",$A172,"Viaggio",$A$170))
+IF(ISERROR(GETPIVOTDATA("Somma di DARE EUR",'Pivot RakBank AED'!$A$3,"Mese",8,"Tipologia",$A172,"Viaggio",$A$170)),0,GETPIVOTDATA("Somma di DARE EUR",'Pivot RakBank AED'!$A$3,"Mese",8,"Tipologia",$A172,"Viaggio",$A$170))
-IF(ISERROR(GETPIVOTDATA("Somma di AVERE EUR",'Pivot RakBank AED'!$A$3,"Mese",8,"Tipologia",$A172,"Viaggio",$A$170)),0,GETPIVOTDATA("Somma di AVERE EUR",'Pivot RakBank AED'!$A$3,"Mese",8,"Tipologia",$A172,"Viaggio",$A$170))</f>
        <v>0</v>
      </c>
      <c r="K172" s="270">
        <f>IF(ISERROR(GETPIVOTDATA("Somma di DARE",'Pivot Fineco Sa'!$A$3,"Mese",9,"Tipologia",$A172,"Viaggio",$A$170)),0,GETPIVOTDATA("Somma di DARE",'Pivot Fineco Sa'!$A$3,"Mese",9,"Tipologia",$A172,"Viaggio",$A$170))
+IF(ISERROR(GETPIVOTDATA("Somma di DARE",'Pivot Fineco St'!$A$3,"Mese",9,"Tipologia",$A172,"Viaggio",$A$170)),0,GETPIVOTDATA("Somma di DARE",'Pivot Fineco St'!$A$3,"Mese",9,"Tipologia",$A172,"Viaggio",$A$170))
+IF(Contanti!$AK40='Conto Economico'!$A$170,Contanti!$AH40)
+IF(ISERROR(GETPIVOTDATA("Somma di DARE",'Pivot BBVA'!$A$3,"Mese",9,"Tipologia",$A172,"Viaggio",$A$170)),0,GETPIVOTDATA("Somma di DARE",'Pivot BBVA'!$A$3,"Mese",9,"Tipologia",$A172,"Viaggio",$A$170))
+IF(ISERROR(GETPIVOTDATA("Somma di DARE",'Pivot Amex'!$A$3,"Mese",9,"Tipologia",$A172,"Viaggio",$A$170)),0,GETPIVOTDATA("Somma di DARE",'Pivot Amex'!$A$3,"Mese",9,"Tipologia",$A172,"Viaggio",$A$170))
-IF(ISERROR(GETPIVOTDATA("Somma di AVERE",'Pivot Amex'!$A$3,"Mese",9,"Tipologia",$A172,"Viaggio",$A$170)),0,GETPIVOTDATA("Somma di AVERE",'Pivot Amex'!$A$3,"Mese",9,"Tipologia",$A172,"Viaggio",$A$170))
-IF(ISERROR(GETPIVOTDATA("Somma di AVERE",'Pivot BBVA'!$A$3,"Mese",9,"Tipologia",$A172,"Viaggio",$A$170)),0,GETPIVOTDATA("Somma di AVERE",'Pivot BBVA'!$A$3,"Mese",9,"Tipologia",$A172,"Viaggio",$A$170))
-IF(ISERROR(GETPIVOTDATA("Somma di AVERE",'Pivot Fineco St'!$A$3,"Mese",9,"Tipologia",$A172,"Viaggio",$A$170)),0,GETPIVOTDATA("Somma di AVERE",'Pivot Fineco St'!$A$3,"Mese",9,"Tipologia",$A172,"Viaggio",$A$170))
-IF(ISERROR(GETPIVOTDATA("Somma di AVERE",'Pivot Fineco Sa'!$A$3,"Mese",9,"Tipologia",$A172,"Viaggio",$A$170)),0,GETPIVOTDATA("Somma di AVERE",'Pivot Fineco Sa'!$A$3,"Mese",9,"Tipologia",$A172,"Viaggio",$A$170))
+IF(ISERROR(GETPIVOTDATA("Somma di DARE",'Pivot PP Visa'!$A$3,"Mese",9,"Tipologia",$A172,"Viaggio",$A$170)),0,GETPIVOTDATA("Somma di DARE",'Pivot PP Visa'!$A$3,"Mese",9,"Tipologia",$A172,"Viaggio",$A$170))
-IF(ISERROR(GETPIVOTDATA("Somma di AVERE",'Pivot PP Visa'!$A$3,"Mese",9,"Tipologia",$A172,"Viaggio",$A$170)),0,GETPIVOTDATA("Somma di AVERE",'Pivot PP Visa'!$A$3,"Mese",9,"Tipologia",$A172,"Viaggio",$A$170))
+IF(ISERROR(GETPIVOTDATA("Somma di DARE",'Pivot Revolut'!$A$3,"Mese",9,"Tipologia",$A172,"Viaggio",$A$170)),0,GETPIVOTDATA("Somma di DARE",'Pivot Revolut'!$A$3,"Mese",9,"Tipologia",$A172,"Viaggio",$A$170))
-IF(ISERROR(GETPIVOTDATA("Somma di AVERE",'Pivot Revolut'!$A$3,"Mese",9,"Tipologia",$A172,"Viaggio",$A$170)),0,GETPIVOTDATA("Somma di AVERE",'Pivot Revolut'!$A$3,"Mese",9,"Tipologia",$A172,"Viaggio",$A$170))
+IF(ISERROR(GETPIVOTDATA("Somma di DARE",'Pivot RakBank EUR'!$A$3,"Mese",9,"Tipologia",$A172,"Viaggio",$A$170)),0,GETPIVOTDATA("Somma di DARE",'Pivot RakBank EUR'!$A$3,"Mese",9,"Tipologia",$A172,"Viaggio",$A$170))
-IF(ISERROR(GETPIVOTDATA("Somma di AVERE",'Pivot RakBank EUR'!$A$3,"Mese",9,"Tipologia",$A172,"Viaggio",$A$170)),0,GETPIVOTDATA("Somma di AVERE",'Pivot RakBank EUR'!$A$3,"Mese",9,"Tipologia",$A172,"Viaggio",$A$170))
+IF(ISERROR(GETPIVOTDATA("Somma di DARE EUR",'Pivot RakBank AED'!$A$3,"Mese",9,"Tipologia",$A172,"Viaggio",$A$170)),0,GETPIVOTDATA("Somma di DARE EUR",'Pivot RakBank AED'!$A$3,"Mese",9,"Tipologia",$A172,"Viaggio",$A$170))
-IF(ISERROR(GETPIVOTDATA("Somma di AVERE EUR",'Pivot RakBank AED'!$A$3,"Mese",9,"Tipologia",$A172,"Viaggio",$A$170)),0,GETPIVOTDATA("Somma di AVERE EUR",'Pivot RakBank AED'!$A$3,"Mese",9,"Tipologia",$A172,"Viaggio",$A$170))</f>
        <v>0</v>
      </c>
      <c r="L172" s="270">
        <f>IF(ISERROR(GETPIVOTDATA("Somma di DARE",'Pivot Fineco Sa'!$A$3,"Mese",10,"Tipologia",$A172,"Viaggio",$A$170)),0,GETPIVOTDATA("Somma di DARE",'Pivot Fineco Sa'!$A$3,"Mese",10,"Tipologia",$A172,"Viaggio",$A$170))
+IF(ISERROR(GETPIVOTDATA("Somma di DARE",'Pivot Fineco St'!$A$3,"Mese",10,"Tipologia",$A172,"Viaggio",$A$170)),0,GETPIVOTDATA("Somma di DARE",'Pivot Fineco St'!$A$3,"Mese",10,"Tipologia",$A172,"Viaggio",$A$170))
+IF(Contanti!$AO40='Conto Economico'!$A$170,Contanti!$AL40)
+IF(ISERROR(GETPIVOTDATA("Somma di DARE",'Pivot BBVA'!$A$3,"Mese",10,"Tipologia",$A172,"Viaggio",$A$170)),0,GETPIVOTDATA("Somma di DARE",'Pivot BBVA'!$A$3,"Mese",10,"Tipologia",$A172,"Viaggio",$A$170))
+IF(ISERROR(GETPIVOTDATA("Somma di DARE",'Pivot Amex'!$A$3,"Mese",10,"Tipologia",$A172,"Viaggio",$A$170)),0,GETPIVOTDATA("Somma di DARE",'Pivot Amex'!$A$3,"Mese",10,"Tipologia",$A172,"Viaggio",$A$170))
-IF(ISERROR(GETPIVOTDATA("Somma di AVERE",'Pivot Amex'!$A$3,"Mese",10,"Tipologia",$A172,"Viaggio",$A$170)),0,GETPIVOTDATA("Somma di AVERE",'Pivot Amex'!$A$3,"Mese",10,"Tipologia",$A172,"Viaggio",$A$170))
-IF(ISERROR(GETPIVOTDATA("Somma di AVERE",'Pivot BBVA'!$A$3,"Mese",10,"Tipologia",$A172,"Viaggio",$A$170)),0,GETPIVOTDATA("Somma di AVERE",'Pivot BBVA'!$A$3,"Mese",10,"Tipologia",$A172,"Viaggio",$A$170))
-IF(ISERROR(GETPIVOTDATA("Somma di AVERE",'Pivot Fineco St'!$A$3,"Mese",10,"Tipologia",$A172,"Viaggio",$A$170)),0,GETPIVOTDATA("Somma di AVERE",'Pivot Fineco St'!$A$3,"Mese",10,"Tipologia",$A172,"Viaggio",$A$170))
-IF(ISERROR(GETPIVOTDATA("Somma di AVERE",'Pivot Fineco Sa'!$A$3,"Mese",10,"Tipologia",$A172,"Viaggio",$A$170)),0,GETPIVOTDATA("Somma di AVERE",'Pivot Fineco Sa'!$A$3,"Mese",10,"Tipologia",$A172,"Viaggio",$A$170))
+IF(ISERROR(GETPIVOTDATA("Somma di DARE",'Pivot PP Visa'!$A$3,"Mese",10,"Tipologia",$A172,"Viaggio",$A$170)),0,GETPIVOTDATA("Somma di DARE",'Pivot PP Visa'!$A$3,"Mese",10,"Tipologia",$A172,"Viaggio",$A$170))
-IF(ISERROR(GETPIVOTDATA("Somma di AVERE",'Pivot PP Visa'!$A$3,"Mese",10,"Tipologia",$A172,"Viaggio",$A$170)),0,GETPIVOTDATA("Somma di AVERE",'Pivot PP Visa'!$A$3,"Mese",10,"Tipologia",$A172,"Viaggio",$A$170))
+IF(ISERROR(GETPIVOTDATA("Somma di DARE",'Pivot Revolut'!$A$3,"Mese",10,"Tipologia",$A172,"Viaggio",$A$170)),0,GETPIVOTDATA("Somma di DARE",'Pivot Revolut'!$A$3,"Mese",10,"Tipologia",$A172,"Viaggio",$A$170))
-IF(ISERROR(GETPIVOTDATA("Somma di AVERE",'Pivot Revolut'!$A$3,"Mese",10,"Tipologia",$A172,"Viaggio",$A$170)),0,GETPIVOTDATA("Somma di AVERE",'Pivot Revolut'!$A$3,"Mese",10,"Tipologia",$A172,"Viaggio",$A$170))
+IF(ISERROR(GETPIVOTDATA("Somma di DARE",'Pivot RakBank EUR'!$A$3,"Mese",10,"Tipologia",$A172,"Viaggio",$A$170)),0,GETPIVOTDATA("Somma di DARE",'Pivot RakBank EUR'!$A$3,"Mese",10,"Tipologia",$A172,"Viaggio",$A$170))
-IF(ISERROR(GETPIVOTDATA("Somma di AVERE",'Pivot RakBank EUR'!$A$3,"Mese",10,"Tipologia",$A172,"Viaggio",$A$170)),0,GETPIVOTDATA("Somma di AVERE",'Pivot RakBank EUR'!$A$3,"Mese",10,"Tipologia",$A172,"Viaggio",$A$170))
+IF(ISERROR(GETPIVOTDATA("Somma di DARE EUR",'Pivot RakBank AED'!$A$3,"Mese",10,"Tipologia",$A172,"Viaggio",$A$170)),0,GETPIVOTDATA("Somma di DARE EUR",'Pivot RakBank AED'!$A$3,"Mese",10,"Tipologia",$A172,"Viaggio",$A$170))
-IF(ISERROR(GETPIVOTDATA("Somma di AVERE EUR",'Pivot RakBank AED'!$A$3,"Mese",10,"Tipologia",$A172,"Viaggio",$A$170)),0,GETPIVOTDATA("Somma di AVERE EUR",'Pivot RakBank AED'!$A$3,"Mese",10,"Tipologia",$A172,"Viaggio",$A$170))</f>
        <v>0</v>
      </c>
      <c r="M172" s="270">
        <f>IF(ISERROR(GETPIVOTDATA("Somma di DARE",'Pivot Fineco Sa'!$A$3,"Mese",11,"Tipologia",$A172,"Viaggio",$A$170)),0,GETPIVOTDATA("Somma di DARE",'Pivot Fineco Sa'!$A$3,"Mese",11,"Tipologia",$A172,"Viaggio",$A$170))
+IF(ISERROR(GETPIVOTDATA("Somma di DARE",'Pivot Fineco St'!$A$3,"Mese",11,"Tipologia",$A172,"Viaggio",$A$170)),0,GETPIVOTDATA("Somma di DARE",'Pivot Fineco St'!$A$3,"Mese",11,"Tipologia",$A172,"Viaggio",$A$170))
+IF(Contanti!$AS40='Conto Economico'!$A$170,Contanti!$AP40)
+IF(ISERROR(GETPIVOTDATA("Somma di DARE",'Pivot BBVA'!$A$3,"Mese",11,"Tipologia",$A172,"Viaggio",$A$170)),0,GETPIVOTDATA("Somma di DARE",'Pivot BBVA'!$A$3,"Mese",11,"Tipologia",$A172,"Viaggio",$A$170))
+IF(ISERROR(GETPIVOTDATA("Somma di DARE",'Pivot Amex'!$A$3,"Mese",11,"Tipologia",$A172,"Viaggio",$A$170)),0,GETPIVOTDATA("Somma di DARE",'Pivot Amex'!$A$3,"Mese",11,"Tipologia",$A172,"Viaggio",$A$170))
-IF(ISERROR(GETPIVOTDATA("Somma di AVERE",'Pivot Amex'!$A$3,"Mese",11,"Tipologia",$A172,"Viaggio",$A$170)),0,GETPIVOTDATA("Somma di AVERE",'Pivot Amex'!$A$3,"Mese",11,"Tipologia",$A172,"Viaggio",$A$170))
-IF(ISERROR(GETPIVOTDATA("Somma di AVERE",'Pivot BBVA'!$A$3,"Mese",11,"Tipologia",$A172,"Viaggio",$A$170)),0,GETPIVOTDATA("Somma di AVERE",'Pivot BBVA'!$A$3,"Mese",11,"Tipologia",$A172,"Viaggio",$A$170))
-IF(ISERROR(GETPIVOTDATA("Somma di AVERE",'Pivot Fineco St'!$A$3,"Mese",11,"Tipologia",$A172,"Viaggio",$A$170)),0,GETPIVOTDATA("Somma di AVERE",'Pivot Fineco St'!$A$3,"Mese",11,"Tipologia",$A172,"Viaggio",$A$170))
-IF(ISERROR(GETPIVOTDATA("Somma di AVERE",'Pivot Fineco Sa'!$A$3,"Mese",11,"Tipologia",$A172,"Viaggio",$A$170)),0,GETPIVOTDATA("Somma di AVERE",'Pivot Fineco Sa'!$A$3,"Mese",11,"Tipologia",$A172,"Viaggio",$A$170))
+IF(ISERROR(GETPIVOTDATA("Somma di DARE",'Pivot PP Visa'!$A$3,"Mese",11,"Tipologia",$A172,"Viaggio",$A$170)),0,GETPIVOTDATA("Somma di DARE",'Pivot PP Visa'!$A$3,"Mese",11,"Tipologia",$A172,"Viaggio",$A$170))
-IF(ISERROR(GETPIVOTDATA("Somma di AVERE",'Pivot PP Visa'!$A$3,"Mese",11,"Tipologia",$A172,"Viaggio",$A$170)),0,GETPIVOTDATA("Somma di AVERE",'Pivot PP Visa'!$A$3,"Mese",11,"Tipologia",$A172,"Viaggio",$A$170))
+IF(ISERROR(GETPIVOTDATA("Somma di DARE",'Pivot Revolut'!$A$3,"Mese",11,"Tipologia",$A172,"Viaggio",$A$170)),0,GETPIVOTDATA("Somma di DARE",'Pivot Revolut'!$A$3,"Mese",11,"Tipologia",$A172,"Viaggio",$A$170))
-IF(ISERROR(GETPIVOTDATA("Somma di AVERE",'Pivot Revolut'!$A$3,"Mese",11,"Tipologia",$A172,"Viaggio",$A$170)),0,GETPIVOTDATA("Somma di AVERE",'Pivot Revolut'!$A$3,"Mese",11,"Tipologia",$A172,"Viaggio",$A$170))
+IF(ISERROR(GETPIVOTDATA("Somma di DARE",'Pivot RakBank EUR'!$A$3,"Mese",11,"Tipologia",$A172,"Viaggio",$A$170)),0,GETPIVOTDATA("Somma di DARE",'Pivot RakBank EUR'!$A$3,"Mese",11,"Tipologia",$A172,"Viaggio",$A$170))
-IF(ISERROR(GETPIVOTDATA("Somma di AVERE",'Pivot RakBank EUR'!$A$3,"Mese",11,"Tipologia",$A172,"Viaggio",$A$170)),0,GETPIVOTDATA("Somma di AVERE",'Pivot RakBank EUR'!$A$3,"Mese",11,"Tipologia",$A172,"Viaggio",$A$170))
+IF(ISERROR(GETPIVOTDATA("Somma di DARE EUR",'Pivot RakBank AED'!$A$3,"Mese",11,"Tipologia",$A172,"Viaggio",$A$170)),0,GETPIVOTDATA("Somma di DARE EUR",'Pivot RakBank AED'!$A$3,"Mese",11,"Tipologia",$A172,"Viaggio",$A$170))
-IF(ISERROR(GETPIVOTDATA("Somma di AVERE EUR",'Pivot RakBank AED'!$A$3,"Mese",11,"Tipologia",$A172,"Viaggio",$A$170)),0,GETPIVOTDATA("Somma di AVERE EUR",'Pivot RakBank AED'!$A$3,"Mese",11,"Tipologia",$A172,"Viaggio",$A$170))</f>
        <v>0</v>
      </c>
      <c r="N172" s="270">
        <f>IF(ISERROR(GETPIVOTDATA("Somma di DARE",'Pivot Fineco Sa'!$A$3,"Mese",12,"Tipologia",$A172,"Viaggio",$A$170)),0,GETPIVOTDATA("Somma di DARE",'Pivot Fineco Sa'!$A$3,"Mese",12,"Tipologia",$A172,"Viaggio",$A$170))
+IF(ISERROR(GETPIVOTDATA("Somma di DARE",'Pivot Fineco St'!$A$3,"Mese",12,"Tipologia",$A172,"Viaggio",$A$170)),0,GETPIVOTDATA("Somma di DARE",'Pivot Fineco St'!$A$3,"Mese",12,"Tipologia",$A172,"Viaggio",$A$170))
+IF(Contanti!$AW40='Conto Economico'!$A$170,Contanti!$AT40)
+IF(ISERROR(GETPIVOTDATA("Somma di DARE",'Pivot BBVA'!$A$3,"Mese",12,"Tipologia",$A172,"Viaggio",$A$170)),0,GETPIVOTDATA("Somma di DARE",'Pivot BBVA'!$A$3,"Mese",12,"Tipologia",$A172,"Viaggio",$A$170))
+IF(ISERROR(GETPIVOTDATA("Somma di DARE",'Pivot Amex'!$A$3,"Mese",12,"Tipologia",$A172,"Viaggio",$A$170)),0,GETPIVOTDATA("Somma di DARE",'Pivot Amex'!$A$3,"Mese",12,"Tipologia",$A172,"Viaggio",$A$170))
-IF(ISERROR(GETPIVOTDATA("Somma di AVERE",'Pivot Amex'!$A$3,"Mese",12,"Tipologia",$A172,"Viaggio",$A$170)),0,GETPIVOTDATA("Somma di AVERE",'Pivot Amex'!$A$3,"Mese",12,"Tipologia",$A172,"Viaggio",$A$170))
-IF(ISERROR(GETPIVOTDATA("Somma di AVERE",'Pivot BBVA'!$A$3,"Mese",12,"Tipologia",$A172,"Viaggio",$A$170)),0,GETPIVOTDATA("Somma di AVERE",'Pivot BBVA'!$A$3,"Mese",12,"Tipologia",$A172,"Viaggio",$A$170))
-IF(ISERROR(GETPIVOTDATA("Somma di AVERE",'Pivot Fineco St'!$A$3,"Mese",12,"Tipologia",$A172,"Viaggio",$A$170)),0,GETPIVOTDATA("Somma di AVERE",'Pivot Fineco St'!$A$3,"Mese",12,"Tipologia",$A172,"Viaggio",$A$170))
-IF(ISERROR(GETPIVOTDATA("Somma di AVERE",'Pivot Fineco Sa'!$A$3,"Mese",12,"Tipologia",$A172,"Viaggio",$A$170)),0,GETPIVOTDATA("Somma di AVERE",'Pivot Fineco Sa'!$A$3,"Mese",12,"Tipologia",$A172,"Viaggio",$A$170))
+IF(ISERROR(GETPIVOTDATA("Somma di DARE",'Pivot PP Visa'!$A$3,"Mese",12,"Tipologia",$A172,"Viaggio",$A$170)),0,GETPIVOTDATA("Somma di DARE",'Pivot PP Visa'!$A$3,"Mese",12,"Tipologia",$A172,"Viaggio",$A$170))
-IF(ISERROR(GETPIVOTDATA("Somma di AVERE",'Pivot PP Visa'!$A$3,"Mese",12,"Tipologia",$A172,"Viaggio",$A$170)),0,GETPIVOTDATA("Somma di AVERE",'Pivot PP Visa'!$A$3,"Mese",12,"Tipologia",$A172,"Viaggio",$A$170))
+IF(ISERROR(GETPIVOTDATA("Somma di DARE",'Pivot Revolut'!$A$3,"Mese",12,"Tipologia",$A172,"Viaggio",$A$170)),0,GETPIVOTDATA("Somma di DARE",'Pivot Revolut'!$A$3,"Mese",12,"Tipologia",$A172,"Viaggio",$A$170))
-IF(ISERROR(GETPIVOTDATA("Somma di AVERE",'Pivot Revolut'!$A$3,"Mese",12,"Tipologia",$A172,"Viaggio",$A$170)),0,GETPIVOTDATA("Somma di AVERE",'Pivot Revolut'!$A$3,"Mese",12,"Tipologia",$A172,"Viaggio",$A$170))
+IF(ISERROR(GETPIVOTDATA("Somma di DARE",'Pivot RakBank EUR'!$A$3,"Mese",12,"Tipologia",$A172,"Viaggio",$A$170)),0,GETPIVOTDATA("Somma di DARE",'Pivot RakBank EUR'!$A$3,"Mese",12,"Tipologia",$A172,"Viaggio",$A$170))
-IF(ISERROR(GETPIVOTDATA("Somma di AVERE",'Pivot RakBank EUR'!$A$3,"Mese",12,"Tipologia",$A172,"Viaggio",$A$170)),0,GETPIVOTDATA("Somma di AVERE",'Pivot RakBank EUR'!$A$3,"Mese",12,"Tipologia",$A172,"Viaggio",$A$170))
+IF(ISERROR(GETPIVOTDATA("Somma di DARE EUR",'Pivot RakBank AED'!$A$3,"Mese",12,"Tipologia",$A172,"Viaggio",$A$170)),0,GETPIVOTDATA("Somma di DARE EUR",'Pivot RakBank AED'!$A$3,"Mese",12,"Tipologia",$A172,"Viaggio",$A$170))
-IF(ISERROR(GETPIVOTDATA("Somma di AVERE EUR",'Pivot RakBank AED'!$A$3,"Mese",12,"Tipologia",$A172,"Viaggio",$A$170)),0,GETPIVOTDATA("Somma di AVERE EUR",'Pivot RakBank AED'!$A$3,"Mese",12,"Tipologia",$A172,"Viaggio",$A$170))</f>
        <v>0</v>
      </c>
      <c r="O172" s="271">
        <f t="shared" si="23"/>
        <v>0</v>
      </c>
      <c r="P172" s="270"/>
    </row>
    <row r="173" spans="1:16" s="131" customFormat="1" ht="14" outlineLevel="1" x14ac:dyDescent="0.2">
      <c r="A173" s="269" t="s">
        <v>112</v>
      </c>
      <c r="B173" s="269"/>
      <c r="C173" s="270">
        <f>IF(ISERROR(GETPIVOTDATA("Somma di DARE",'Pivot Fineco Sa'!$A$3,"Mese",1,"Tipologia",$A173,"Viaggio",$A$170)),0,GETPIVOTDATA("Somma di DARE",'Pivot Fineco Sa'!$A$3,"Mese",1,"Tipologia",$A173,"Viaggio",$A$170))
+IF(ISERROR(GETPIVOTDATA("Somma di DARE",'Pivot Fineco St'!$A$3,"Mese",1,"Tipologia",$A173,"Viaggio",$A$170)),0,GETPIVOTDATA("Somma di DARE",'Pivot Fineco St'!$A$3,"Mese",1,"Tipologia",$A173,"Viaggio",$A$170))
+IF(Contanti!$E41='Conto Economico'!$A$170,Contanti!$B41)
+IF(ISERROR(GETPIVOTDATA("Somma di DARE",'Pivot BBVA'!$A$3,"Mese",1,"Tipologia",$A173,"Viaggio",$A$170)),0,GETPIVOTDATA("Somma di DARE",'Pivot BBVA'!$A$3,"Mese",1,"Tipologia",$A173,"Viaggio",$A$170))
+IF(ISERROR(GETPIVOTDATA("Somma di DARE",'Pivot Amex'!$A$3,"Mese",1,"Tipologia",$A173,"Viaggio",$A$170)),0,GETPIVOTDATA("Somma di DARE",'Pivot Amex'!$A$3,"Mese",1,"Tipologia",$A173,"Viaggio",$A$170))
-IF(ISERROR(GETPIVOTDATA("Somma di AVERE",'Pivot Amex'!$A$3,"Mese",1,"Tipologia",$A173,"Viaggio",$A$170)),0,GETPIVOTDATA("Somma di AVERE",'Pivot Amex'!$A$3,"Mese",1,"Tipologia",$A173,"Viaggio",$A$170))
-IF(ISERROR(GETPIVOTDATA("Somma di AVERE",'Pivot BBVA'!$A$3,"Mese",1,"Tipologia",$A173,"Viaggio",$A$170)),0,GETPIVOTDATA("Somma di AVERE",'Pivot BBVA'!$A$3,"Mese",1,"Tipologia",$A173,"Viaggio",$A$170))
-IF(ISERROR(GETPIVOTDATA("Somma di AVERE",'Pivot Fineco St'!$A$3,"Mese",1,"Tipologia",$A173,"Viaggio",$A$170)),0,GETPIVOTDATA("Somma di AVERE",'Pivot Fineco St'!$A$3,"Mese",1,"Tipologia",$A173,"Viaggio",$A$170))
-IF(ISERROR(GETPIVOTDATA("Somma di AVERE",'Pivot Fineco Sa'!$A$3,"Mese",1,"Tipologia",$A173,"Viaggio",$A$170)),0,GETPIVOTDATA("Somma di AVERE",'Pivot Fineco Sa'!$A$3,"Mese",1,"Tipologia",$A173,"Viaggio",$A$170))
+IF(ISERROR(GETPIVOTDATA("Somma di DARE",'Pivot PP Visa'!$A$3,"Mese",1,"Tipologia",$A173,"Viaggio",$A$170)),0,GETPIVOTDATA("Somma di DARE",'Pivot PP Visa'!$A$3,"Mese",1,"Tipologia",$A173,"Viaggio",$A$170))
-IF(ISERROR(GETPIVOTDATA("Somma di AVERE",'Pivot PP Visa'!$A$3,"Mese",1,"Tipologia",$A173,"Viaggio",$A$170)),0,GETPIVOTDATA("Somma di AVERE",'Pivot PP Visa'!$A$3,"Mese",1,"Tipologia",$A173,"Viaggio",$A$170))
+IF(ISERROR(GETPIVOTDATA("Somma di DARE",'Pivot Revolut'!$A$3,"Mese",1,"Tipologia",$A173,"Viaggio",$A$170)),0,GETPIVOTDATA("Somma di DARE",'Pivot Revolut'!$A$3,"Mese",1,"Tipologia",$A173,"Viaggio",$A$170))
-IF(ISERROR(GETPIVOTDATA("Somma di AVERE",'Pivot Revolut'!$A$3,"Mese",1,"Tipologia",$A173,"Viaggio",$A$170)),0,GETPIVOTDATA("Somma di AVERE",'Pivot Revolut'!$A$3,"Mese",1,"Tipologia",$A173,"Viaggio",$A$170))
+IF(ISERROR(GETPIVOTDATA("Somma di DARE",'Pivot RakBank EUR'!$A$3,"Mese",1,"Tipologia",$A173,"Viaggio",$A$170)),0,GETPIVOTDATA("Somma di DARE",'Pivot RakBank EUR'!$A$3,"Mese",1,"Tipologia",$A173,"Viaggio",$A$170))
-IF(ISERROR(GETPIVOTDATA("Somma di AVERE",'Pivot RakBank EUR'!$A$3,"Mese",1,"Tipologia",$A173,"Viaggio",$A$170)),0,GETPIVOTDATA("Somma di AVERE",'Pivot RakBank EUR'!$A$3,"Mese",1,"Tipologia",$A173,"Viaggio",$A$170))
+IF(ISERROR(GETPIVOTDATA("Somma di DARE EUR",'Pivot RakBank AED'!$A$3,"Mese",1,"Tipologia",$A173,"Viaggio",$A$170)),0,GETPIVOTDATA("Somma di DARE EUR",'Pivot RakBank AED'!$A$3,"Mese",1,"Tipologia",$A173,"Viaggio",$A$170))
-IF(ISERROR(GETPIVOTDATA("Somma di AVERE EUR",'Pivot RakBank AED'!$A$3,"Mese",1,"Tipologia",$A173,"Viaggio",$A$170)),0,GETPIVOTDATA("Somma di AVERE EUR",'Pivot RakBank AED'!$A$3,"Mese",1,"Tipologia",$A173,"Viaggio",$A$170))</f>
        <v>0</v>
      </c>
      <c r="D173" s="270">
        <f>IF(ISERROR(GETPIVOTDATA("Somma di DARE",'Pivot Fineco Sa'!$A$3,"Mese",2,"Tipologia",$A173,"Viaggio",$A$170)),0,GETPIVOTDATA("Somma di DARE",'Pivot Fineco Sa'!$A$3,"Mese",2,"Tipologia",$A173,"Viaggio",$A$170))
+IF(ISERROR(GETPIVOTDATA("Somma di DARE",'Pivot Fineco St'!$A$3,"Mese",2,"Tipologia",$A173,"Viaggio",$A$170)),0,GETPIVOTDATA("Somma di DARE",'Pivot Fineco St'!$A$3,"Mese",2,"Tipologia",$A173,"Viaggio",$A$170))
+IF(Contanti!$I41='Conto Economico'!$A$170,Contanti!$F41)
+IF(ISERROR(GETPIVOTDATA("Somma di DARE",'Pivot BBVA'!$A$3,"Mese",2,"Tipologia",$A173,"Viaggio",$A$170)),0,GETPIVOTDATA("Somma di DARE",'Pivot BBVA'!$A$3,"Mese",2,"Tipologia",$A173,"Viaggio",$A$170))
+IF(ISERROR(GETPIVOTDATA("Somma di DARE",'Pivot Amex'!$A$3,"Mese",2,"Tipologia",$A173,"Viaggio",$A$170)),0,GETPIVOTDATA("Somma di DARE",'Pivot Amex'!$A$3,"Mese",2,"Tipologia",$A173,"Viaggio",$A$170))
-IF(ISERROR(GETPIVOTDATA("Somma di AVERE",'Pivot Amex'!$A$3,"Mese",2,"Tipologia",$A173,"Viaggio",$A$170)),0,GETPIVOTDATA("Somma di AVERE",'Pivot Amex'!$A$3,"Mese",2,"Tipologia",$A173,"Viaggio",$A$170))
-IF(ISERROR(GETPIVOTDATA("Somma di AVERE",'Pivot BBVA'!$A$3,"Mese",2,"Tipologia",$A173,"Viaggio",$A$170)),0,GETPIVOTDATA("Somma di AVERE",'Pivot BBVA'!$A$3,"Mese",2,"Tipologia",$A173,"Viaggio",$A$170))
-IF(ISERROR(GETPIVOTDATA("Somma di AVERE",'Pivot Fineco St'!$A$3,"Mese",2,"Tipologia",$A173,"Viaggio",$A$170)),0,GETPIVOTDATA("Somma di AVERE",'Pivot Fineco St'!$A$3,"Mese",2,"Tipologia",$A173,"Viaggio",$A$170))
-IF(ISERROR(GETPIVOTDATA("Somma di AVERE",'Pivot Fineco Sa'!$A$3,"Mese",2,"Tipologia",$A173,"Viaggio",$A$170)),0,GETPIVOTDATA("Somma di AVERE",'Pivot Fineco Sa'!$A$3,"Mese",2,"Tipologia",$A173,"Viaggio",$A$170))
+IF(ISERROR(GETPIVOTDATA("Somma di DARE",'Pivot PP Visa'!$A$3,"Mese",2,"Tipologia",$A173,"Viaggio",$A$170)),0,GETPIVOTDATA("Somma di DARE",'Pivot PP Visa'!$A$3,"Mese",2,"Tipologia",$A173,"Viaggio",$A$170))
-IF(ISERROR(GETPIVOTDATA("Somma di AVERE",'Pivot PP Visa'!$A$3,"Mese",2,"Tipologia",$A173,"Viaggio",$A$170)),0,GETPIVOTDATA("Somma di AVERE",'Pivot PP Visa'!$A$3,"Mese",2,"Tipologia",$A173,"Viaggio",$A$170))
+IF(ISERROR(GETPIVOTDATA("Somma di DARE",'Pivot Revolut'!$A$3,"Mese",2,"Tipologia",$A173,"Viaggio",$A$170)),0,GETPIVOTDATA("Somma di DARE",'Pivot Revolut'!$A$3,"Mese",2,"Tipologia",$A173,"Viaggio",$A$170))
-IF(ISERROR(GETPIVOTDATA("Somma di AVERE",'Pivot Revolut'!$A$3,"Mese",2,"Tipologia",$A173,"Viaggio",$A$170)),0,GETPIVOTDATA("Somma di AVERE",'Pivot Revolut'!$A$3,"Mese",2,"Tipologia",$A173,"Viaggio",$A$170))
+IF(ISERROR(GETPIVOTDATA("Somma di DARE",'Pivot RakBank EUR'!$A$3,"Mese",2,"Tipologia",$A173,"Viaggio",$A$170)),0,GETPIVOTDATA("Somma di DARE",'Pivot RakBank EUR'!$A$3,"Mese",2,"Tipologia",$A173,"Viaggio",$A$170))
-IF(ISERROR(GETPIVOTDATA("Somma di AVERE",'Pivot RakBank EUR'!$A$3,"Mese",2,"Tipologia",$A173,"Viaggio",$A$170)),0,GETPIVOTDATA("Somma di AVERE",'Pivot RakBank EUR'!$A$3,"Mese",2,"Tipologia",$A173,"Viaggio",$A$170))
+IF(ISERROR(GETPIVOTDATA("Somma di DARE EUR",'Pivot RakBank AED'!$A$3,"Mese",2,"Tipologia",$A173,"Viaggio",$A$170)),0,GETPIVOTDATA("Somma di DARE EUR",'Pivot RakBank AED'!$A$3,"Mese",2,"Tipologia",$A173,"Viaggio",$A$170))
-IF(ISERROR(GETPIVOTDATA("Somma di AVERE EUR",'Pivot RakBank AED'!$A$3,"Mese",2,"Tipologia",$A173,"Viaggio",$A$170)),0,GETPIVOTDATA("Somma di AVERE EUR",'Pivot RakBank AED'!$A$3,"Mese",2,"Tipologia",$A173,"Viaggio",$A$170))</f>
        <v>0</v>
      </c>
      <c r="E173" s="270">
        <f>IF(ISERROR(GETPIVOTDATA("Somma di DARE",'Pivot Fineco Sa'!$A$3,"Mese",3,"Tipologia",$A173,"Viaggio",$A$170)),0,GETPIVOTDATA("Somma di DARE",'Pivot Fineco Sa'!$A$3,"Mese",3,"Tipologia",$A173,"Viaggio",$A$170))
+IF(ISERROR(GETPIVOTDATA("Somma di DARE",'Pivot Fineco St'!$A$3,"Mese",3,"Tipologia",$A173,"Viaggio",$A$170)),0,GETPIVOTDATA("Somma di DARE",'Pivot Fineco St'!$A$3,"Mese",3,"Tipologia",$A173,"Viaggio",$A$170))
+IF(Contanti!$M41='Conto Economico'!$A$170,Contanti!$J41)
+IF(ISERROR(GETPIVOTDATA("Somma di DARE",'Pivot BBVA'!$A$3,"Mese",3,"Tipologia",$A173,"Viaggio",$A$170)),0,GETPIVOTDATA("Somma di DARE",'Pivot BBVA'!$A$3,"Mese",3,"Tipologia",$A173,"Viaggio",$A$170))
+IF(ISERROR(GETPIVOTDATA("Somma di DARE",'Pivot Amex'!$A$3,"Mese",3,"Tipologia",$A173,"Viaggio",$A$170)),0,GETPIVOTDATA("Somma di DARE",'Pivot Amex'!$A$3,"Mese",3,"Tipologia",$A173,"Viaggio",$A$170))
-IF(ISERROR(GETPIVOTDATA("Somma di AVERE",'Pivot Amex'!$A$3,"Mese",3,"Tipologia",$A173,"Viaggio",$A$170)),0,GETPIVOTDATA("Somma di AVERE",'Pivot Amex'!$A$3,"Mese",3,"Tipologia",$A173,"Viaggio",$A$170))
-IF(ISERROR(GETPIVOTDATA("Somma di AVERE",'Pivot BBVA'!$A$3,"Mese",3,"Tipologia",$A173,"Viaggio",$A$170)),0,GETPIVOTDATA("Somma di AVERE",'Pivot BBVA'!$A$3,"Mese",3,"Tipologia",$A173,"Viaggio",$A$170))
-IF(ISERROR(GETPIVOTDATA("Somma di AVERE",'Pivot Fineco St'!$A$3,"Mese",3,"Tipologia",$A173,"Viaggio",$A$170)),0,GETPIVOTDATA("Somma di AVERE",'Pivot Fineco St'!$A$3,"Mese",3,"Tipologia",$A173,"Viaggio",$A$170))
-IF(ISERROR(GETPIVOTDATA("Somma di AVERE",'Pivot Fineco Sa'!$A$3,"Mese",3,"Tipologia",$A173,"Viaggio",$A$170)),0,GETPIVOTDATA("Somma di AVERE",'Pivot Fineco Sa'!$A$3,"Mese",3,"Tipologia",$A173,"Viaggio",$A$170))
+IF(ISERROR(GETPIVOTDATA("Somma di DARE",'Pivot PP Visa'!$A$3,"Mese",3,"Tipologia",$A173,"Viaggio",$A$170)),0,GETPIVOTDATA("Somma di DARE",'Pivot PP Visa'!$A$3,"Mese",3,"Tipologia",$A173,"Viaggio",$A$170))
-IF(ISERROR(GETPIVOTDATA("Somma di AVERE",'Pivot PP Visa'!$A$3,"Mese",3,"Tipologia",$A173,"Viaggio",$A$170)),0,GETPIVOTDATA("Somma di AVERE",'Pivot PP Visa'!$A$3,"Mese",3,"Tipologia",$A173,"Viaggio",$A$170))
+IF(ISERROR(GETPIVOTDATA("Somma di DARE",'Pivot Revolut'!$A$3,"Mese",3,"Tipologia",$A173,"Viaggio",$A$170)),0,GETPIVOTDATA("Somma di DARE",'Pivot Revolut'!$A$3,"Mese",3,"Tipologia",$A173,"Viaggio",$A$170))
-IF(ISERROR(GETPIVOTDATA("Somma di AVERE",'Pivot Revolut'!$A$3,"Mese",3,"Tipologia",$A173,"Viaggio",$A$170)),0,GETPIVOTDATA("Somma di AVERE",'Pivot Revolut'!$A$3,"Mese",3,"Tipologia",$A173,"Viaggio",$A$170))
+IF(ISERROR(GETPIVOTDATA("Somma di DARE",'Pivot RakBank EUR'!$A$3,"Mese",3,"Tipologia",$A173,"Viaggio",$A$170)),0,GETPIVOTDATA("Somma di DARE",'Pivot RakBank EUR'!$A$3,"Mese",3,"Tipologia",$A173,"Viaggio",$A$170))
-IF(ISERROR(GETPIVOTDATA("Somma di AVERE",'Pivot RakBank EUR'!$A$3,"Mese",3,"Tipologia",$A173,"Viaggio",$A$170)),0,GETPIVOTDATA("Somma di AVERE",'Pivot RakBank EUR'!$A$3,"Mese",3,"Tipologia",$A173,"Viaggio",$A$170))
+IF(ISERROR(GETPIVOTDATA("Somma di DARE EUR",'Pivot RakBank AED'!$A$3,"Mese",3,"Tipologia",$A173,"Viaggio",$A$170)),0,GETPIVOTDATA("Somma di DARE EUR",'Pivot RakBank AED'!$A$3,"Mese",3,"Tipologia",$A173,"Viaggio",$A$170))
-IF(ISERROR(GETPIVOTDATA("Somma di AVERE EUR",'Pivot RakBank AED'!$A$3,"Mese",3,"Tipologia",$A173,"Viaggio",$A$170)),0,GETPIVOTDATA("Somma di AVERE EUR",'Pivot RakBank AED'!$A$3,"Mese",3,"Tipologia",$A173,"Viaggio",$A$170))</f>
        <v>0</v>
      </c>
      <c r="F173" s="270">
        <f>IF(ISERROR(GETPIVOTDATA("Somma di DARE",'Pivot Fineco Sa'!$A$3,"Mese",4,"Tipologia",$A173,"Viaggio",$A$170)),0,GETPIVOTDATA("Somma di DARE",'Pivot Fineco Sa'!$A$3,"Mese",4,"Tipologia",$A173,"Viaggio",$A$170))
+IF(ISERROR(GETPIVOTDATA("Somma di DARE",'Pivot Fineco St'!$A$3,"Mese",4,"Tipologia",$A173,"Viaggio",$A$170)),0,GETPIVOTDATA("Somma di DARE",'Pivot Fineco St'!$A$3,"Mese",4,"Tipologia",$A173,"Viaggio",$A$170))
+IF(Contanti!$Q41='Conto Economico'!$A$170,Contanti!$N41)
+IF(ISERROR(GETPIVOTDATA("Somma di DARE",'Pivot BBVA'!$A$3,"Mese",4,"Tipologia",$A173,"Viaggio",$A$170)),0,GETPIVOTDATA("Somma di DARE",'Pivot BBVA'!$A$3,"Mese",4,"Tipologia",$A173,"Viaggio",$A$170))
+IF(ISERROR(GETPIVOTDATA("Somma di DARE",'Pivot Amex'!$A$3,"Mese",4,"Tipologia",$A173,"Viaggio",$A$170)),0,GETPIVOTDATA("Somma di DARE",'Pivot Amex'!$A$3,"Mese",4,"Tipologia",$A173,"Viaggio",$A$170))
-IF(ISERROR(GETPIVOTDATA("Somma di AVERE",'Pivot Amex'!$A$3,"Mese",4,"Tipologia",$A173,"Viaggio",$A$170)),0,GETPIVOTDATA("Somma di AVERE",'Pivot Amex'!$A$3,"Mese",4,"Tipologia",$A173,"Viaggio",$A$170))
-IF(ISERROR(GETPIVOTDATA("Somma di AVERE",'Pivot BBVA'!$A$3,"Mese",4,"Tipologia",$A173,"Viaggio",$A$170)),0,GETPIVOTDATA("Somma di AVERE",'Pivot BBVA'!$A$3,"Mese",4,"Tipologia",$A173,"Viaggio",$A$170))
-IF(ISERROR(GETPIVOTDATA("Somma di AVERE",'Pivot Fineco St'!$A$3,"Mese",4,"Tipologia",$A173,"Viaggio",$A$170)),0,GETPIVOTDATA("Somma di AVERE",'Pivot Fineco St'!$A$3,"Mese",4,"Tipologia",$A173,"Viaggio",$A$170))
-IF(ISERROR(GETPIVOTDATA("Somma di AVERE",'Pivot Fineco Sa'!$A$3,"Mese",4,"Tipologia",$A173,"Viaggio",$A$170)),0,GETPIVOTDATA("Somma di AVERE",'Pivot Fineco Sa'!$A$3,"Mese",4,"Tipologia",$A173,"Viaggio",$A$170))
+IF(ISERROR(GETPIVOTDATA("Somma di DARE",'Pivot PP Visa'!$A$3,"Mese",4,"Tipologia",$A173,"Viaggio",$A$170)),0,GETPIVOTDATA("Somma di DARE",'Pivot PP Visa'!$A$3,"Mese",4,"Tipologia",$A173,"Viaggio",$A$170))
-IF(ISERROR(GETPIVOTDATA("Somma di AVERE",'Pivot PP Visa'!$A$3,"Mese",4,"Tipologia",$A173,"Viaggio",$A$170)),0,GETPIVOTDATA("Somma di AVERE",'Pivot PP Visa'!$A$3,"Mese",4,"Tipologia",$A173,"Viaggio",$A$170))
+IF(ISERROR(GETPIVOTDATA("Somma di DARE",'Pivot Revolut'!$A$3,"Mese",4,"Tipologia",$A173,"Viaggio",$A$170)),0,GETPIVOTDATA("Somma di DARE",'Pivot Revolut'!$A$3,"Mese",4,"Tipologia",$A173,"Viaggio",$A$170))
-IF(ISERROR(GETPIVOTDATA("Somma di AVERE",'Pivot Revolut'!$A$3,"Mese",4,"Tipologia",$A173,"Viaggio",$A$170)),0,GETPIVOTDATA("Somma di AVERE",'Pivot Revolut'!$A$3,"Mese",4,"Tipologia",$A173,"Viaggio",$A$170))
+IF(ISERROR(GETPIVOTDATA("Somma di DARE",'Pivot RakBank EUR'!$A$3,"Mese",4,"Tipologia",$A173,"Viaggio",$A$170)),0,GETPIVOTDATA("Somma di DARE",'Pivot RakBank EUR'!$A$3,"Mese",4,"Tipologia",$A173,"Viaggio",$A$170))
-IF(ISERROR(GETPIVOTDATA("Somma di AVERE",'Pivot RakBank EUR'!$A$3,"Mese",4,"Tipologia",$A173,"Viaggio",$A$170)),0,GETPIVOTDATA("Somma di AVERE",'Pivot RakBank EUR'!$A$3,"Mese",4,"Tipologia",$A173,"Viaggio",$A$170))
+IF(ISERROR(GETPIVOTDATA("Somma di DARE EUR",'Pivot RakBank AED'!$A$3,"Mese",4,"Tipologia",$A173,"Viaggio",$A$170)),0,GETPIVOTDATA("Somma di DARE EUR",'Pivot RakBank AED'!$A$3,"Mese",4,"Tipologia",$A173,"Viaggio",$A$170))
-IF(ISERROR(GETPIVOTDATA("Somma di AVERE EUR",'Pivot RakBank AED'!$A$3,"Mese",4,"Tipologia",$A173,"Viaggio",$A$170)),0,GETPIVOTDATA("Somma di AVERE EUR",'Pivot RakBank AED'!$A$3,"Mese",4,"Tipologia",$A173,"Viaggio",$A$170))</f>
        <v>0</v>
      </c>
      <c r="G173" s="270">
        <f>IF(ISERROR(GETPIVOTDATA("Somma di DARE",'Pivot Fineco Sa'!$A$3,"Mese",5,"Tipologia",$A173,"Viaggio",$A$170)),0,GETPIVOTDATA("Somma di DARE",'Pivot Fineco Sa'!$A$3,"Mese",5,"Tipologia",$A173,"Viaggio",$A$170))
+IF(ISERROR(GETPIVOTDATA("Somma di DARE",'Pivot Fineco St'!$A$3,"Mese",5,"Tipologia",$A173,"Viaggio",$A$170)),0,GETPIVOTDATA("Somma di DARE",'Pivot Fineco St'!$A$3,"Mese",5,"Tipologia",$A173,"Viaggio",$A$170))
+IF(Contanti!$U41='Conto Economico'!$A$170,Contanti!$R41)
+IF(ISERROR(GETPIVOTDATA("Somma di DARE",'Pivot BBVA'!$A$3,"Mese",5,"Tipologia",$A173,"Viaggio",$A$170)),0,GETPIVOTDATA("Somma di DARE",'Pivot BBVA'!$A$3,"Mese",5,"Tipologia",$A173,"Viaggio",$A$170))
+IF(ISERROR(GETPIVOTDATA("Somma di DARE",'Pivot Amex'!$A$3,"Mese",5,"Tipologia",$A173,"Viaggio",$A$170)),0,GETPIVOTDATA("Somma di DARE",'Pivot Amex'!$A$3,"Mese",5,"Tipologia",$A173,"Viaggio",$A$170))
-IF(ISERROR(GETPIVOTDATA("Somma di AVERE",'Pivot Amex'!$A$3,"Mese",5,"Tipologia",$A173,"Viaggio",$A$170)),0,GETPIVOTDATA("Somma di AVERE",'Pivot Amex'!$A$3,"Mese",5,"Tipologia",$A173,"Viaggio",$A$170))
-IF(ISERROR(GETPIVOTDATA("Somma di AVERE",'Pivot BBVA'!$A$3,"Mese",5,"Tipologia",$A173,"Viaggio",$A$170)),0,GETPIVOTDATA("Somma di AVERE",'Pivot BBVA'!$A$3,"Mese",5,"Tipologia",$A173,"Viaggio",$A$170))
-IF(ISERROR(GETPIVOTDATA("Somma di AVERE",'Pivot Fineco St'!$A$3,"Mese",5,"Tipologia",$A173,"Viaggio",$A$170)),0,GETPIVOTDATA("Somma di AVERE",'Pivot Fineco St'!$A$3,"Mese",5,"Tipologia",$A173,"Viaggio",$A$170))
-IF(ISERROR(GETPIVOTDATA("Somma di AVERE",'Pivot Fineco Sa'!$A$3,"Mese",5,"Tipologia",$A173,"Viaggio",$A$170)),0,GETPIVOTDATA("Somma di AVERE",'Pivot Fineco Sa'!$A$3,"Mese",5,"Tipologia",$A173,"Viaggio",$A$170))
+IF(ISERROR(GETPIVOTDATA("Somma di DARE",'Pivot PP Visa'!$A$3,"Mese",5,"Tipologia",$A173,"Viaggio",$A$170)),0,GETPIVOTDATA("Somma di DARE",'Pivot PP Visa'!$A$3,"Mese",5,"Tipologia",$A173,"Viaggio",$A$170))
-IF(ISERROR(GETPIVOTDATA("Somma di AVERE",'Pivot PP Visa'!$A$3,"Mese",5,"Tipologia",$A173,"Viaggio",$A$170)),0,GETPIVOTDATA("Somma di AVERE",'Pivot PP Visa'!$A$3,"Mese",5,"Tipologia",$A173,"Viaggio",$A$170))
+IF(ISERROR(GETPIVOTDATA("Somma di DARE",'Pivot Revolut'!$A$3,"Mese",5,"Tipologia",$A173,"Viaggio",$A$170)),0,GETPIVOTDATA("Somma di DARE",'Pivot Revolut'!$A$3,"Mese",5,"Tipologia",$A173,"Viaggio",$A$170))
-IF(ISERROR(GETPIVOTDATA("Somma di AVERE",'Pivot Revolut'!$A$3,"Mese",5,"Tipologia",$A173,"Viaggio",$A$170)),0,GETPIVOTDATA("Somma di AVERE",'Pivot Revolut'!$A$3,"Mese",5,"Tipologia",$A173,"Viaggio",$A$170))
+IF(ISERROR(GETPIVOTDATA("Somma di DARE",'Pivot RakBank EUR'!$A$3,"Mese",5,"Tipologia",$A173,"Viaggio",$A$170)),0,GETPIVOTDATA("Somma di DARE",'Pivot RakBank EUR'!$A$3,"Mese",5,"Tipologia",$A173,"Viaggio",$A$170))
-IF(ISERROR(GETPIVOTDATA("Somma di AVERE",'Pivot RakBank EUR'!$A$3,"Mese",5,"Tipologia",$A173,"Viaggio",$A$170)),0,GETPIVOTDATA("Somma di AVERE",'Pivot RakBank EUR'!$A$3,"Mese",5,"Tipologia",$A173,"Viaggio",$A$170))
+IF(ISERROR(GETPIVOTDATA("Somma di DARE EUR",'Pivot RakBank AED'!$A$3,"Mese",5,"Tipologia",$A173,"Viaggio",$A$170)),0,GETPIVOTDATA("Somma di DARE EUR",'Pivot RakBank AED'!$A$3,"Mese",5,"Tipologia",$A173,"Viaggio",$A$170))
-IF(ISERROR(GETPIVOTDATA("Somma di AVERE EUR",'Pivot RakBank AED'!$A$3,"Mese",5,"Tipologia",$A173,"Viaggio",$A$170)),0,GETPIVOTDATA("Somma di AVERE EUR",'Pivot RakBank AED'!$A$3,"Mese",5,"Tipologia",$A173,"Viaggio",$A$170))</f>
        <v>0</v>
      </c>
      <c r="H173" s="270">
        <f>IF(ISERROR(GETPIVOTDATA("Somma di DARE",'Pivot Fineco Sa'!$A$3,"Mese",6,"Tipologia",$A173,"Viaggio",$A$170)),0,GETPIVOTDATA("Somma di DARE",'Pivot Fineco Sa'!$A$3,"Mese",6,"Tipologia",$A173,"Viaggio",$A$170))
+IF(ISERROR(GETPIVOTDATA("Somma di DARE",'Pivot Fineco St'!$A$3,"Mese",6,"Tipologia",$A173,"Viaggio",$A$170)),0,GETPIVOTDATA("Somma di DARE",'Pivot Fineco St'!$A$3,"Mese",6,"Tipologia",$A173,"Viaggio",$A$170))
+IF(Contanti!$Y41='Conto Economico'!$A$170,Contanti!$V41)
+IF(ISERROR(GETPIVOTDATA("Somma di DARE",'Pivot BBVA'!$A$3,"Mese",6,"Tipologia",$A173,"Viaggio",$A$170)),0,GETPIVOTDATA("Somma di DARE",'Pivot BBVA'!$A$3,"Mese",6,"Tipologia",$A173,"Viaggio",$A$170))
+IF(ISERROR(GETPIVOTDATA("Somma di DARE",'Pivot Amex'!$A$3,"Mese",6,"Tipologia",$A173,"Viaggio",$A$170)),0,GETPIVOTDATA("Somma di DARE",'Pivot Amex'!$A$3,"Mese",6,"Tipologia",$A173,"Viaggio",$A$170))
-IF(ISERROR(GETPIVOTDATA("Somma di AVERE",'Pivot Amex'!$A$3,"Mese",6,"Tipologia",$A173,"Viaggio",$A$170)),0,GETPIVOTDATA("Somma di AVERE",'Pivot Amex'!$A$3,"Mese",6,"Tipologia",$A173,"Viaggio",$A$170))
-IF(ISERROR(GETPIVOTDATA("Somma di AVERE",'Pivot BBVA'!$A$3,"Mese",6,"Tipologia",$A173,"Viaggio",$A$170)),0,GETPIVOTDATA("Somma di AVERE",'Pivot BBVA'!$A$3,"Mese",6,"Tipologia",$A173,"Viaggio",$A$170))
-IF(ISERROR(GETPIVOTDATA("Somma di AVERE",'Pivot Fineco St'!$A$3,"Mese",6,"Tipologia",$A173,"Viaggio",$A$170)),0,GETPIVOTDATA("Somma di AVERE",'Pivot Fineco St'!$A$3,"Mese",6,"Tipologia",$A173,"Viaggio",$A$170))
-IF(ISERROR(GETPIVOTDATA("Somma di AVERE",'Pivot Fineco Sa'!$A$3,"Mese",6,"Tipologia",$A173,"Viaggio",$A$170)),0,GETPIVOTDATA("Somma di AVERE",'Pivot Fineco Sa'!$A$3,"Mese",6,"Tipologia",$A173,"Viaggio",$A$170))
+IF(ISERROR(GETPIVOTDATA("Somma di DARE",'Pivot PP Visa'!$A$3,"Mese",6,"Tipologia",$A173,"Viaggio",$A$170)),0,GETPIVOTDATA("Somma di DARE",'Pivot PP Visa'!$A$3,"Mese",6,"Tipologia",$A173,"Viaggio",$A$170))
-IF(ISERROR(GETPIVOTDATA("Somma di AVERE",'Pivot PP Visa'!$A$3,"Mese",6,"Tipologia",$A173,"Viaggio",$A$170)),0,GETPIVOTDATA("Somma di AVERE",'Pivot PP Visa'!$A$3,"Mese",6,"Tipologia",$A173,"Viaggio",$A$170))
+IF(ISERROR(GETPIVOTDATA("Somma di DARE",'Pivot Revolut'!$A$3,"Mese",6,"Tipologia",$A173,"Viaggio",$A$170)),0,GETPIVOTDATA("Somma di DARE",'Pivot Revolut'!$A$3,"Mese",6,"Tipologia",$A173,"Viaggio",$A$170))
-IF(ISERROR(GETPIVOTDATA("Somma di AVERE",'Pivot Revolut'!$A$3,"Mese",6,"Tipologia",$A173,"Viaggio",$A$170)),0,GETPIVOTDATA("Somma di AVERE",'Pivot Revolut'!$A$3,"Mese",6,"Tipologia",$A173,"Viaggio",$A$170))
+IF(ISERROR(GETPIVOTDATA("Somma di DARE",'Pivot RakBank EUR'!$A$3,"Mese",6,"Tipologia",$A173,"Viaggio",$A$170)),0,GETPIVOTDATA("Somma di DARE",'Pivot RakBank EUR'!$A$3,"Mese",6,"Tipologia",$A173,"Viaggio",$A$170))
-IF(ISERROR(GETPIVOTDATA("Somma di AVERE",'Pivot RakBank EUR'!$A$3,"Mese",6,"Tipologia",$A173,"Viaggio",$A$170)),0,GETPIVOTDATA("Somma di AVERE",'Pivot RakBank EUR'!$A$3,"Mese",6,"Tipologia",$A173,"Viaggio",$A$170))
+IF(ISERROR(GETPIVOTDATA("Somma di DARE EUR",'Pivot RakBank AED'!$A$3,"Mese",6,"Tipologia",$A173,"Viaggio",$A$170)),0,GETPIVOTDATA("Somma di DARE EUR",'Pivot RakBank AED'!$A$3,"Mese",6,"Tipologia",$A173,"Viaggio",$A$170))
-IF(ISERROR(GETPIVOTDATA("Somma di AVERE EUR",'Pivot RakBank AED'!$A$3,"Mese",6,"Tipologia",$A173,"Viaggio",$A$170)),0,GETPIVOTDATA("Somma di AVERE EUR",'Pivot RakBank AED'!$A$3,"Mese",6,"Tipologia",$A173,"Viaggio",$A$170))</f>
        <v>0</v>
      </c>
      <c r="I173" s="270">
        <f>IF(ISERROR(GETPIVOTDATA("Somma di DARE",'Pivot Fineco Sa'!$A$3,"Mese",7,"Tipologia",$A173,"Viaggio",$A$170)),0,GETPIVOTDATA("Somma di DARE",'Pivot Fineco Sa'!$A$3,"Mese",7,"Tipologia",$A173,"Viaggio",$A$170))
+IF(ISERROR(GETPIVOTDATA("Somma di DARE",'Pivot Fineco St'!$A$3,"Mese",7,"Tipologia",$A173,"Viaggio",$A$170)),0,GETPIVOTDATA("Somma di DARE",'Pivot Fineco St'!$A$3,"Mese",7,"Tipologia",$A173,"Viaggio",$A$170))
+IF(Contanti!$AC41='Conto Economico'!$A$170,Contanti!$Z41)
+IF(ISERROR(GETPIVOTDATA("Somma di DARE",'Pivot BBVA'!$A$3,"Mese",7,"Tipologia",$A173,"Viaggio",$A$170)),0,GETPIVOTDATA("Somma di DARE",'Pivot BBVA'!$A$3,"Mese",7,"Tipologia",$A173,"Viaggio",$A$170))
+IF(ISERROR(GETPIVOTDATA("Somma di DARE",'Pivot Amex'!$A$3,"Mese",7,"Tipologia",$A173,"Viaggio",$A$170)),0,GETPIVOTDATA("Somma di DARE",'Pivot Amex'!$A$3,"Mese",7,"Tipologia",$A173,"Viaggio",$A$170))
-IF(ISERROR(GETPIVOTDATA("Somma di AVERE",'Pivot Amex'!$A$3,"Mese",7,"Tipologia",$A173,"Viaggio",$A$170)),0,GETPIVOTDATA("Somma di AVERE",'Pivot Amex'!$A$3,"Mese",7,"Tipologia",$A173,"Viaggio",$A$170))
-IF(ISERROR(GETPIVOTDATA("Somma di AVERE",'Pivot BBVA'!$A$3,"Mese",7,"Tipologia",$A173,"Viaggio",$A$170)),0,GETPIVOTDATA("Somma di AVERE",'Pivot BBVA'!$A$3,"Mese",7,"Tipologia",$A173,"Viaggio",$A$170))
-IF(ISERROR(GETPIVOTDATA("Somma di AVERE",'Pivot Fineco St'!$A$3,"Mese",7,"Tipologia",$A173,"Viaggio",$A$170)),0,GETPIVOTDATA("Somma di AVERE",'Pivot Fineco St'!$A$3,"Mese",7,"Tipologia",$A173,"Viaggio",$A$170))
-IF(ISERROR(GETPIVOTDATA("Somma di AVERE",'Pivot Fineco Sa'!$A$3,"Mese",7,"Tipologia",$A173,"Viaggio",$A$170)),0,GETPIVOTDATA("Somma di AVERE",'Pivot Fineco Sa'!$A$3,"Mese",7,"Tipologia",$A173,"Viaggio",$A$170))
+IF(ISERROR(GETPIVOTDATA("Somma di DARE",'Pivot PP Visa'!$A$3,"Mese",7,"Tipologia",$A173,"Viaggio",$A$170)),0,GETPIVOTDATA("Somma di DARE",'Pivot PP Visa'!$A$3,"Mese",7,"Tipologia",$A173,"Viaggio",$A$170))
-IF(ISERROR(GETPIVOTDATA("Somma di AVERE",'Pivot PP Visa'!$A$3,"Mese",7,"Tipologia",$A173,"Viaggio",$A$170)),0,GETPIVOTDATA("Somma di AVERE",'Pivot PP Visa'!$A$3,"Mese",7,"Tipologia",$A173,"Viaggio",$A$170))
+IF(ISERROR(GETPIVOTDATA("Somma di DARE",'Pivot Revolut'!$A$3,"Mese",7,"Tipologia",$A173,"Viaggio",$A$170)),0,GETPIVOTDATA("Somma di DARE",'Pivot Revolut'!$A$3,"Mese",7,"Tipologia",$A173,"Viaggio",$A$170))
-IF(ISERROR(GETPIVOTDATA("Somma di AVERE",'Pivot Revolut'!$A$3,"Mese",7,"Tipologia",$A173,"Viaggio",$A$170)),0,GETPIVOTDATA("Somma di AVERE",'Pivot Revolut'!$A$3,"Mese",7,"Tipologia",$A173,"Viaggio",$A$170))
+IF(ISERROR(GETPIVOTDATA("Somma di DARE",'Pivot RakBank EUR'!$A$3,"Mese",7,"Tipologia",$A173,"Viaggio",$A$170)),0,GETPIVOTDATA("Somma di DARE",'Pivot RakBank EUR'!$A$3,"Mese",7,"Tipologia",$A173,"Viaggio",$A$170))
-IF(ISERROR(GETPIVOTDATA("Somma di AVERE",'Pivot RakBank EUR'!$A$3,"Mese",7,"Tipologia",$A173,"Viaggio",$A$170)),0,GETPIVOTDATA("Somma di AVERE",'Pivot RakBank EUR'!$A$3,"Mese",7,"Tipologia",$A173,"Viaggio",$A$170))
+IF(ISERROR(GETPIVOTDATA("Somma di DARE EUR",'Pivot RakBank AED'!$A$3,"Mese",7,"Tipologia",$A173,"Viaggio",$A$170)),0,GETPIVOTDATA("Somma di DARE EUR",'Pivot RakBank AED'!$A$3,"Mese",7,"Tipologia",$A173,"Viaggio",$A$170))
-IF(ISERROR(GETPIVOTDATA("Somma di AVERE EUR",'Pivot RakBank AED'!$A$3,"Mese",7,"Tipologia",$A173,"Viaggio",$A$170)),0,GETPIVOTDATA("Somma di AVERE EUR",'Pivot RakBank AED'!$A$3,"Mese",7,"Tipologia",$A173,"Viaggio",$A$170))</f>
        <v>0</v>
      </c>
      <c r="J173" s="270">
        <f>IF(ISERROR(GETPIVOTDATA("Somma di DARE",'Pivot Fineco Sa'!$A$3,"Mese",8,"Tipologia",$A173,"Viaggio",$A$170)),0,GETPIVOTDATA("Somma di DARE",'Pivot Fineco Sa'!$A$3,"Mese",8,"Tipologia",$A173,"Viaggio",$A$170))
+IF(ISERROR(GETPIVOTDATA("Somma di DARE",'Pivot Fineco St'!$A$3,"Mese",8,"Tipologia",$A173,"Viaggio",$A$170)),0,GETPIVOTDATA("Somma di DARE",'Pivot Fineco St'!$A$3,"Mese",8,"Tipologia",$A173,"Viaggio",$A$170))
+IF(Contanti!$AG41='Conto Economico'!$A$170,Contanti!$AD41)
+IF(ISERROR(GETPIVOTDATA("Somma di DARE",'Pivot BBVA'!$A$3,"Mese",8,"Tipologia",$A173,"Viaggio",$A$170)),0,GETPIVOTDATA("Somma di DARE",'Pivot BBVA'!$A$3,"Mese",8,"Tipologia",$A173,"Viaggio",$A$170))
+IF(ISERROR(GETPIVOTDATA("Somma di DARE",'Pivot Amex'!$A$3,"Mese",8,"Tipologia",$A173,"Viaggio",$A$170)),0,GETPIVOTDATA("Somma di DARE",'Pivot Amex'!$A$3,"Mese",8,"Tipologia",$A173,"Viaggio",$A$170))
-IF(ISERROR(GETPIVOTDATA("Somma di AVERE",'Pivot Amex'!$A$3,"Mese",8,"Tipologia",$A173,"Viaggio",$A$170)),0,GETPIVOTDATA("Somma di AVERE",'Pivot Amex'!$A$3,"Mese",8,"Tipologia",$A173,"Viaggio",$A$170))
-IF(ISERROR(GETPIVOTDATA("Somma di AVERE",'Pivot BBVA'!$A$3,"Mese",8,"Tipologia",$A173,"Viaggio",$A$170)),0,GETPIVOTDATA("Somma di AVERE",'Pivot BBVA'!$A$3,"Mese",8,"Tipologia",$A173,"Viaggio",$A$170))
-IF(ISERROR(GETPIVOTDATA("Somma di AVERE",'Pivot Fineco St'!$A$3,"Mese",8,"Tipologia",$A173,"Viaggio",$A$170)),0,GETPIVOTDATA("Somma di AVERE",'Pivot Fineco St'!$A$3,"Mese",8,"Tipologia",$A173,"Viaggio",$A$170))
-IF(ISERROR(GETPIVOTDATA("Somma di AVERE",'Pivot Fineco Sa'!$A$3,"Mese",8,"Tipologia",$A173,"Viaggio",$A$170)),0,GETPIVOTDATA("Somma di AVERE",'Pivot Fineco Sa'!$A$3,"Mese",8,"Tipologia",$A173,"Viaggio",$A$170))
+IF(ISERROR(GETPIVOTDATA("Somma di DARE",'Pivot PP Visa'!$A$3,"Mese",8,"Tipologia",$A173,"Viaggio",$A$170)),0,GETPIVOTDATA("Somma di DARE",'Pivot PP Visa'!$A$3,"Mese",8,"Tipologia",$A173,"Viaggio",$A$170))
-IF(ISERROR(GETPIVOTDATA("Somma di AVERE",'Pivot PP Visa'!$A$3,"Mese",8,"Tipologia",$A173,"Viaggio",$A$170)),0,GETPIVOTDATA("Somma di AVERE",'Pivot PP Visa'!$A$3,"Mese",8,"Tipologia",$A173,"Viaggio",$A$170))
+IF(ISERROR(GETPIVOTDATA("Somma di DARE",'Pivot Revolut'!$A$3,"Mese",8,"Tipologia",$A173,"Viaggio",$A$170)),0,GETPIVOTDATA("Somma di DARE",'Pivot Revolut'!$A$3,"Mese",8,"Tipologia",$A173,"Viaggio",$A$170))
-IF(ISERROR(GETPIVOTDATA("Somma di AVERE",'Pivot Revolut'!$A$3,"Mese",8,"Tipologia",$A173,"Viaggio",$A$170)),0,GETPIVOTDATA("Somma di AVERE",'Pivot Revolut'!$A$3,"Mese",8,"Tipologia",$A173,"Viaggio",$A$170))
+IF(ISERROR(GETPIVOTDATA("Somma di DARE",'Pivot RakBank EUR'!$A$3,"Mese",8,"Tipologia",$A173,"Viaggio",$A$170)),0,GETPIVOTDATA("Somma di DARE",'Pivot RakBank EUR'!$A$3,"Mese",8,"Tipologia",$A173,"Viaggio",$A$170))
-IF(ISERROR(GETPIVOTDATA("Somma di AVERE",'Pivot RakBank EUR'!$A$3,"Mese",8,"Tipologia",$A173,"Viaggio",$A$170)),0,GETPIVOTDATA("Somma di AVERE",'Pivot RakBank EUR'!$A$3,"Mese",8,"Tipologia",$A173,"Viaggio",$A$170))
+IF(ISERROR(GETPIVOTDATA("Somma di DARE EUR",'Pivot RakBank AED'!$A$3,"Mese",8,"Tipologia",$A173,"Viaggio",$A$170)),0,GETPIVOTDATA("Somma di DARE EUR",'Pivot RakBank AED'!$A$3,"Mese",8,"Tipologia",$A173,"Viaggio",$A$170))
-IF(ISERROR(GETPIVOTDATA("Somma di AVERE EUR",'Pivot RakBank AED'!$A$3,"Mese",8,"Tipologia",$A173,"Viaggio",$A$170)),0,GETPIVOTDATA("Somma di AVERE EUR",'Pivot RakBank AED'!$A$3,"Mese",8,"Tipologia",$A173,"Viaggio",$A$170))</f>
        <v>0</v>
      </c>
      <c r="K173" s="270">
        <f>IF(ISERROR(GETPIVOTDATA("Somma di DARE",'Pivot Fineco Sa'!$A$3,"Mese",9,"Tipologia",$A173,"Viaggio",$A$170)),0,GETPIVOTDATA("Somma di DARE",'Pivot Fineco Sa'!$A$3,"Mese",9,"Tipologia",$A173,"Viaggio",$A$170))
+IF(ISERROR(GETPIVOTDATA("Somma di DARE",'Pivot Fineco St'!$A$3,"Mese",9,"Tipologia",$A173,"Viaggio",$A$170)),0,GETPIVOTDATA("Somma di DARE",'Pivot Fineco St'!$A$3,"Mese",9,"Tipologia",$A173,"Viaggio",$A$170))
+IF(Contanti!$AK41='Conto Economico'!$A$170,Contanti!$AH41)
+IF(ISERROR(GETPIVOTDATA("Somma di DARE",'Pivot BBVA'!$A$3,"Mese",9,"Tipologia",$A173,"Viaggio",$A$170)),0,GETPIVOTDATA("Somma di DARE",'Pivot BBVA'!$A$3,"Mese",9,"Tipologia",$A173,"Viaggio",$A$170))
+IF(ISERROR(GETPIVOTDATA("Somma di DARE",'Pivot Amex'!$A$3,"Mese",9,"Tipologia",$A173,"Viaggio",$A$170)),0,GETPIVOTDATA("Somma di DARE",'Pivot Amex'!$A$3,"Mese",9,"Tipologia",$A173,"Viaggio",$A$170))
-IF(ISERROR(GETPIVOTDATA("Somma di AVERE",'Pivot Amex'!$A$3,"Mese",9,"Tipologia",$A173,"Viaggio",$A$170)),0,GETPIVOTDATA("Somma di AVERE",'Pivot Amex'!$A$3,"Mese",9,"Tipologia",$A173,"Viaggio",$A$170))
-IF(ISERROR(GETPIVOTDATA("Somma di AVERE",'Pivot BBVA'!$A$3,"Mese",9,"Tipologia",$A173,"Viaggio",$A$170)),0,GETPIVOTDATA("Somma di AVERE",'Pivot BBVA'!$A$3,"Mese",9,"Tipologia",$A173,"Viaggio",$A$170))
-IF(ISERROR(GETPIVOTDATA("Somma di AVERE",'Pivot Fineco St'!$A$3,"Mese",9,"Tipologia",$A173,"Viaggio",$A$170)),0,GETPIVOTDATA("Somma di AVERE",'Pivot Fineco St'!$A$3,"Mese",9,"Tipologia",$A173,"Viaggio",$A$170))
-IF(ISERROR(GETPIVOTDATA("Somma di AVERE",'Pivot Fineco Sa'!$A$3,"Mese",9,"Tipologia",$A173,"Viaggio",$A$170)),0,GETPIVOTDATA("Somma di AVERE",'Pivot Fineco Sa'!$A$3,"Mese",9,"Tipologia",$A173,"Viaggio",$A$170))
+IF(ISERROR(GETPIVOTDATA("Somma di DARE",'Pivot PP Visa'!$A$3,"Mese",9,"Tipologia",$A173,"Viaggio",$A$170)),0,GETPIVOTDATA("Somma di DARE",'Pivot PP Visa'!$A$3,"Mese",9,"Tipologia",$A173,"Viaggio",$A$170))
-IF(ISERROR(GETPIVOTDATA("Somma di AVERE",'Pivot PP Visa'!$A$3,"Mese",9,"Tipologia",$A173,"Viaggio",$A$170)),0,GETPIVOTDATA("Somma di AVERE",'Pivot PP Visa'!$A$3,"Mese",9,"Tipologia",$A173,"Viaggio",$A$170))
+IF(ISERROR(GETPIVOTDATA("Somma di DARE",'Pivot Revolut'!$A$3,"Mese",9,"Tipologia",$A173,"Viaggio",$A$170)),0,GETPIVOTDATA("Somma di DARE",'Pivot Revolut'!$A$3,"Mese",9,"Tipologia",$A173,"Viaggio",$A$170))
-IF(ISERROR(GETPIVOTDATA("Somma di AVERE",'Pivot Revolut'!$A$3,"Mese",9,"Tipologia",$A173,"Viaggio",$A$170)),0,GETPIVOTDATA("Somma di AVERE",'Pivot Revolut'!$A$3,"Mese",9,"Tipologia",$A173,"Viaggio",$A$170))
+IF(ISERROR(GETPIVOTDATA("Somma di DARE",'Pivot RakBank EUR'!$A$3,"Mese",9,"Tipologia",$A173,"Viaggio",$A$170)),0,GETPIVOTDATA("Somma di DARE",'Pivot RakBank EUR'!$A$3,"Mese",9,"Tipologia",$A173,"Viaggio",$A$170))
-IF(ISERROR(GETPIVOTDATA("Somma di AVERE",'Pivot RakBank EUR'!$A$3,"Mese",9,"Tipologia",$A173,"Viaggio",$A$170)),0,GETPIVOTDATA("Somma di AVERE",'Pivot RakBank EUR'!$A$3,"Mese",9,"Tipologia",$A173,"Viaggio",$A$170))
+IF(ISERROR(GETPIVOTDATA("Somma di DARE EUR",'Pivot RakBank AED'!$A$3,"Mese",9,"Tipologia",$A173,"Viaggio",$A$170)),0,GETPIVOTDATA("Somma di DARE EUR",'Pivot RakBank AED'!$A$3,"Mese",9,"Tipologia",$A173,"Viaggio",$A$170))
-IF(ISERROR(GETPIVOTDATA("Somma di AVERE EUR",'Pivot RakBank AED'!$A$3,"Mese",9,"Tipologia",$A173,"Viaggio",$A$170)),0,GETPIVOTDATA("Somma di AVERE EUR",'Pivot RakBank AED'!$A$3,"Mese",9,"Tipologia",$A173,"Viaggio",$A$170))</f>
        <v>0</v>
      </c>
      <c r="L173" s="270">
        <f>IF(ISERROR(GETPIVOTDATA("Somma di DARE",'Pivot Fineco Sa'!$A$3,"Mese",10,"Tipologia",$A173,"Viaggio",$A$170)),0,GETPIVOTDATA("Somma di DARE",'Pivot Fineco Sa'!$A$3,"Mese",10,"Tipologia",$A173,"Viaggio",$A$170))
+IF(ISERROR(GETPIVOTDATA("Somma di DARE",'Pivot Fineco St'!$A$3,"Mese",10,"Tipologia",$A173,"Viaggio",$A$170)),0,GETPIVOTDATA("Somma di DARE",'Pivot Fineco St'!$A$3,"Mese",10,"Tipologia",$A173,"Viaggio",$A$170))
+IF(Contanti!$AO41='Conto Economico'!$A$170,Contanti!$AL41)
+IF(ISERROR(GETPIVOTDATA("Somma di DARE",'Pivot BBVA'!$A$3,"Mese",10,"Tipologia",$A173,"Viaggio",$A$170)),0,GETPIVOTDATA("Somma di DARE",'Pivot BBVA'!$A$3,"Mese",10,"Tipologia",$A173,"Viaggio",$A$170))
+IF(ISERROR(GETPIVOTDATA("Somma di DARE",'Pivot Amex'!$A$3,"Mese",10,"Tipologia",$A173,"Viaggio",$A$170)),0,GETPIVOTDATA("Somma di DARE",'Pivot Amex'!$A$3,"Mese",10,"Tipologia",$A173,"Viaggio",$A$170))
-IF(ISERROR(GETPIVOTDATA("Somma di AVERE",'Pivot Amex'!$A$3,"Mese",10,"Tipologia",$A173,"Viaggio",$A$170)),0,GETPIVOTDATA("Somma di AVERE",'Pivot Amex'!$A$3,"Mese",10,"Tipologia",$A173,"Viaggio",$A$170))
-IF(ISERROR(GETPIVOTDATA("Somma di AVERE",'Pivot BBVA'!$A$3,"Mese",10,"Tipologia",$A173,"Viaggio",$A$170)),0,GETPIVOTDATA("Somma di AVERE",'Pivot BBVA'!$A$3,"Mese",10,"Tipologia",$A173,"Viaggio",$A$170))
-IF(ISERROR(GETPIVOTDATA("Somma di AVERE",'Pivot Fineco St'!$A$3,"Mese",10,"Tipologia",$A173,"Viaggio",$A$170)),0,GETPIVOTDATA("Somma di AVERE",'Pivot Fineco St'!$A$3,"Mese",10,"Tipologia",$A173,"Viaggio",$A$170))
-IF(ISERROR(GETPIVOTDATA("Somma di AVERE",'Pivot Fineco Sa'!$A$3,"Mese",10,"Tipologia",$A173,"Viaggio",$A$170)),0,GETPIVOTDATA("Somma di AVERE",'Pivot Fineco Sa'!$A$3,"Mese",10,"Tipologia",$A173,"Viaggio",$A$170))
+IF(ISERROR(GETPIVOTDATA("Somma di DARE",'Pivot PP Visa'!$A$3,"Mese",10,"Tipologia",$A173,"Viaggio",$A$170)),0,GETPIVOTDATA("Somma di DARE",'Pivot PP Visa'!$A$3,"Mese",10,"Tipologia",$A173,"Viaggio",$A$170))
-IF(ISERROR(GETPIVOTDATA("Somma di AVERE",'Pivot PP Visa'!$A$3,"Mese",10,"Tipologia",$A173,"Viaggio",$A$170)),0,GETPIVOTDATA("Somma di AVERE",'Pivot PP Visa'!$A$3,"Mese",10,"Tipologia",$A173,"Viaggio",$A$170))
+IF(ISERROR(GETPIVOTDATA("Somma di DARE",'Pivot Revolut'!$A$3,"Mese",10,"Tipologia",$A173,"Viaggio",$A$170)),0,GETPIVOTDATA("Somma di DARE",'Pivot Revolut'!$A$3,"Mese",10,"Tipologia",$A173,"Viaggio",$A$170))
-IF(ISERROR(GETPIVOTDATA("Somma di AVERE",'Pivot Revolut'!$A$3,"Mese",10,"Tipologia",$A173,"Viaggio",$A$170)),0,GETPIVOTDATA("Somma di AVERE",'Pivot Revolut'!$A$3,"Mese",10,"Tipologia",$A173,"Viaggio",$A$170))
+IF(ISERROR(GETPIVOTDATA("Somma di DARE",'Pivot RakBank EUR'!$A$3,"Mese",10,"Tipologia",$A173,"Viaggio",$A$170)),0,GETPIVOTDATA("Somma di DARE",'Pivot RakBank EUR'!$A$3,"Mese",10,"Tipologia",$A173,"Viaggio",$A$170))
-IF(ISERROR(GETPIVOTDATA("Somma di AVERE",'Pivot RakBank EUR'!$A$3,"Mese",10,"Tipologia",$A173,"Viaggio",$A$170)),0,GETPIVOTDATA("Somma di AVERE",'Pivot RakBank EUR'!$A$3,"Mese",10,"Tipologia",$A173,"Viaggio",$A$170))
+IF(ISERROR(GETPIVOTDATA("Somma di DARE EUR",'Pivot RakBank AED'!$A$3,"Mese",10,"Tipologia",$A173,"Viaggio",$A$170)),0,GETPIVOTDATA("Somma di DARE EUR",'Pivot RakBank AED'!$A$3,"Mese",10,"Tipologia",$A173,"Viaggio",$A$170))
-IF(ISERROR(GETPIVOTDATA("Somma di AVERE EUR",'Pivot RakBank AED'!$A$3,"Mese",10,"Tipologia",$A173,"Viaggio",$A$170)),0,GETPIVOTDATA("Somma di AVERE EUR",'Pivot RakBank AED'!$A$3,"Mese",10,"Tipologia",$A173,"Viaggio",$A$170))</f>
        <v>0</v>
      </c>
      <c r="M173" s="270">
        <f>IF(ISERROR(GETPIVOTDATA("Somma di DARE",'Pivot Fineco Sa'!$A$3,"Mese",11,"Tipologia",$A173,"Viaggio",$A$170)),0,GETPIVOTDATA("Somma di DARE",'Pivot Fineco Sa'!$A$3,"Mese",11,"Tipologia",$A173,"Viaggio",$A$170))
+IF(ISERROR(GETPIVOTDATA("Somma di DARE",'Pivot Fineco St'!$A$3,"Mese",11,"Tipologia",$A173,"Viaggio",$A$170)),0,GETPIVOTDATA("Somma di DARE",'Pivot Fineco St'!$A$3,"Mese",11,"Tipologia",$A173,"Viaggio",$A$170))
+IF(Contanti!$AS41='Conto Economico'!$A$170,Contanti!$AP41)
+IF(ISERROR(GETPIVOTDATA("Somma di DARE",'Pivot BBVA'!$A$3,"Mese",11,"Tipologia",$A173,"Viaggio",$A$170)),0,GETPIVOTDATA("Somma di DARE",'Pivot BBVA'!$A$3,"Mese",11,"Tipologia",$A173,"Viaggio",$A$170))
+IF(ISERROR(GETPIVOTDATA("Somma di DARE",'Pivot Amex'!$A$3,"Mese",11,"Tipologia",$A173,"Viaggio",$A$170)),0,GETPIVOTDATA("Somma di DARE",'Pivot Amex'!$A$3,"Mese",11,"Tipologia",$A173,"Viaggio",$A$170))
-IF(ISERROR(GETPIVOTDATA("Somma di AVERE",'Pivot Amex'!$A$3,"Mese",11,"Tipologia",$A173,"Viaggio",$A$170)),0,GETPIVOTDATA("Somma di AVERE",'Pivot Amex'!$A$3,"Mese",11,"Tipologia",$A173,"Viaggio",$A$170))
-IF(ISERROR(GETPIVOTDATA("Somma di AVERE",'Pivot BBVA'!$A$3,"Mese",11,"Tipologia",$A173,"Viaggio",$A$170)),0,GETPIVOTDATA("Somma di AVERE",'Pivot BBVA'!$A$3,"Mese",11,"Tipologia",$A173,"Viaggio",$A$170))
-IF(ISERROR(GETPIVOTDATA("Somma di AVERE",'Pivot Fineco St'!$A$3,"Mese",11,"Tipologia",$A173,"Viaggio",$A$170)),0,GETPIVOTDATA("Somma di AVERE",'Pivot Fineco St'!$A$3,"Mese",11,"Tipologia",$A173,"Viaggio",$A$170))
-IF(ISERROR(GETPIVOTDATA("Somma di AVERE",'Pivot Fineco Sa'!$A$3,"Mese",11,"Tipologia",$A173,"Viaggio",$A$170)),0,GETPIVOTDATA("Somma di AVERE",'Pivot Fineco Sa'!$A$3,"Mese",11,"Tipologia",$A173,"Viaggio",$A$170))
+IF(ISERROR(GETPIVOTDATA("Somma di DARE",'Pivot PP Visa'!$A$3,"Mese",11,"Tipologia",$A173,"Viaggio",$A$170)),0,GETPIVOTDATA("Somma di DARE",'Pivot PP Visa'!$A$3,"Mese",11,"Tipologia",$A173,"Viaggio",$A$170))
-IF(ISERROR(GETPIVOTDATA("Somma di AVERE",'Pivot PP Visa'!$A$3,"Mese",11,"Tipologia",$A173,"Viaggio",$A$170)),0,GETPIVOTDATA("Somma di AVERE",'Pivot PP Visa'!$A$3,"Mese",11,"Tipologia",$A173,"Viaggio",$A$170))
+IF(ISERROR(GETPIVOTDATA("Somma di DARE",'Pivot Revolut'!$A$3,"Mese",11,"Tipologia",$A173,"Viaggio",$A$170)),0,GETPIVOTDATA("Somma di DARE",'Pivot Revolut'!$A$3,"Mese",11,"Tipologia",$A173,"Viaggio",$A$170))
-IF(ISERROR(GETPIVOTDATA("Somma di AVERE",'Pivot Revolut'!$A$3,"Mese",11,"Tipologia",$A173,"Viaggio",$A$170)),0,GETPIVOTDATA("Somma di AVERE",'Pivot Revolut'!$A$3,"Mese",11,"Tipologia",$A173,"Viaggio",$A$170))
+IF(ISERROR(GETPIVOTDATA("Somma di DARE",'Pivot RakBank EUR'!$A$3,"Mese",11,"Tipologia",$A173,"Viaggio",$A$170)),0,GETPIVOTDATA("Somma di DARE",'Pivot RakBank EUR'!$A$3,"Mese",11,"Tipologia",$A173,"Viaggio",$A$170))
-IF(ISERROR(GETPIVOTDATA("Somma di AVERE",'Pivot RakBank EUR'!$A$3,"Mese",11,"Tipologia",$A173,"Viaggio",$A$170)),0,GETPIVOTDATA("Somma di AVERE",'Pivot RakBank EUR'!$A$3,"Mese",11,"Tipologia",$A173,"Viaggio",$A$170))
+IF(ISERROR(GETPIVOTDATA("Somma di DARE EUR",'Pivot RakBank AED'!$A$3,"Mese",11,"Tipologia",$A173,"Viaggio",$A$170)),0,GETPIVOTDATA("Somma di DARE EUR",'Pivot RakBank AED'!$A$3,"Mese",11,"Tipologia",$A173,"Viaggio",$A$170))
-IF(ISERROR(GETPIVOTDATA("Somma di AVERE EUR",'Pivot RakBank AED'!$A$3,"Mese",11,"Tipologia",$A173,"Viaggio",$A$170)),0,GETPIVOTDATA("Somma di AVERE EUR",'Pivot RakBank AED'!$A$3,"Mese",11,"Tipologia",$A173,"Viaggio",$A$170))</f>
        <v>0</v>
      </c>
      <c r="N173" s="270">
        <f>IF(ISERROR(GETPIVOTDATA("Somma di DARE",'Pivot Fineco Sa'!$A$3,"Mese",12,"Tipologia",$A173,"Viaggio",$A$170)),0,GETPIVOTDATA("Somma di DARE",'Pivot Fineco Sa'!$A$3,"Mese",12,"Tipologia",$A173,"Viaggio",$A$170))
+IF(ISERROR(GETPIVOTDATA("Somma di DARE",'Pivot Fineco St'!$A$3,"Mese",12,"Tipologia",$A173,"Viaggio",$A$170)),0,GETPIVOTDATA("Somma di DARE",'Pivot Fineco St'!$A$3,"Mese",12,"Tipologia",$A173,"Viaggio",$A$170))
+IF(Contanti!$AW41='Conto Economico'!$A$170,Contanti!$AT41)
+IF(ISERROR(GETPIVOTDATA("Somma di DARE",'Pivot BBVA'!$A$3,"Mese",12,"Tipologia",$A173,"Viaggio",$A$170)),0,GETPIVOTDATA("Somma di DARE",'Pivot BBVA'!$A$3,"Mese",12,"Tipologia",$A173,"Viaggio",$A$170))
+IF(ISERROR(GETPIVOTDATA("Somma di DARE",'Pivot Amex'!$A$3,"Mese",12,"Tipologia",$A173,"Viaggio",$A$170)),0,GETPIVOTDATA("Somma di DARE",'Pivot Amex'!$A$3,"Mese",12,"Tipologia",$A173,"Viaggio",$A$170))
-IF(ISERROR(GETPIVOTDATA("Somma di AVERE",'Pivot Amex'!$A$3,"Mese",12,"Tipologia",$A173,"Viaggio",$A$170)),0,GETPIVOTDATA("Somma di AVERE",'Pivot Amex'!$A$3,"Mese",12,"Tipologia",$A173,"Viaggio",$A$170))
-IF(ISERROR(GETPIVOTDATA("Somma di AVERE",'Pivot BBVA'!$A$3,"Mese",12,"Tipologia",$A173,"Viaggio",$A$170)),0,GETPIVOTDATA("Somma di AVERE",'Pivot BBVA'!$A$3,"Mese",12,"Tipologia",$A173,"Viaggio",$A$170))
-IF(ISERROR(GETPIVOTDATA("Somma di AVERE",'Pivot Fineco St'!$A$3,"Mese",12,"Tipologia",$A173,"Viaggio",$A$170)),0,GETPIVOTDATA("Somma di AVERE",'Pivot Fineco St'!$A$3,"Mese",12,"Tipologia",$A173,"Viaggio",$A$170))
-IF(ISERROR(GETPIVOTDATA("Somma di AVERE",'Pivot Fineco Sa'!$A$3,"Mese",12,"Tipologia",$A173,"Viaggio",$A$170)),0,GETPIVOTDATA("Somma di AVERE",'Pivot Fineco Sa'!$A$3,"Mese",12,"Tipologia",$A173,"Viaggio",$A$170))
+IF(ISERROR(GETPIVOTDATA("Somma di DARE",'Pivot PP Visa'!$A$3,"Mese",12,"Tipologia",$A173,"Viaggio",$A$170)),0,GETPIVOTDATA("Somma di DARE",'Pivot PP Visa'!$A$3,"Mese",12,"Tipologia",$A173,"Viaggio",$A$170))
-IF(ISERROR(GETPIVOTDATA("Somma di AVERE",'Pivot PP Visa'!$A$3,"Mese",12,"Tipologia",$A173,"Viaggio",$A$170)),0,GETPIVOTDATA("Somma di AVERE",'Pivot PP Visa'!$A$3,"Mese",12,"Tipologia",$A173,"Viaggio",$A$170))
+IF(ISERROR(GETPIVOTDATA("Somma di DARE",'Pivot Revolut'!$A$3,"Mese",12,"Tipologia",$A173,"Viaggio",$A$170)),0,GETPIVOTDATA("Somma di DARE",'Pivot Revolut'!$A$3,"Mese",12,"Tipologia",$A173,"Viaggio",$A$170))
-IF(ISERROR(GETPIVOTDATA("Somma di AVERE",'Pivot Revolut'!$A$3,"Mese",12,"Tipologia",$A173,"Viaggio",$A$170)),0,GETPIVOTDATA("Somma di AVERE",'Pivot Revolut'!$A$3,"Mese",12,"Tipologia",$A173,"Viaggio",$A$170))
+IF(ISERROR(GETPIVOTDATA("Somma di DARE",'Pivot RakBank EUR'!$A$3,"Mese",12,"Tipologia",$A173,"Viaggio",$A$170)),0,GETPIVOTDATA("Somma di DARE",'Pivot RakBank EUR'!$A$3,"Mese",12,"Tipologia",$A173,"Viaggio",$A$170))
-IF(ISERROR(GETPIVOTDATA("Somma di AVERE",'Pivot RakBank EUR'!$A$3,"Mese",12,"Tipologia",$A173,"Viaggio",$A$170)),0,GETPIVOTDATA("Somma di AVERE",'Pivot RakBank EUR'!$A$3,"Mese",12,"Tipologia",$A173,"Viaggio",$A$170))
+IF(ISERROR(GETPIVOTDATA("Somma di DARE EUR",'Pivot RakBank AED'!$A$3,"Mese",12,"Tipologia",$A173,"Viaggio",$A$170)),0,GETPIVOTDATA("Somma di DARE EUR",'Pivot RakBank AED'!$A$3,"Mese",12,"Tipologia",$A173,"Viaggio",$A$170))
-IF(ISERROR(GETPIVOTDATA("Somma di AVERE EUR",'Pivot RakBank AED'!$A$3,"Mese",12,"Tipologia",$A173,"Viaggio",$A$170)),0,GETPIVOTDATA("Somma di AVERE EUR",'Pivot RakBank AED'!$A$3,"Mese",12,"Tipologia",$A173,"Viaggio",$A$170))</f>
        <v>0</v>
      </c>
      <c r="O173" s="271">
        <f t="shared" si="23"/>
        <v>0</v>
      </c>
      <c r="P173" s="270"/>
    </row>
    <row r="174" spans="1:16" s="131" customFormat="1" ht="14" outlineLevel="1" x14ac:dyDescent="0.2">
      <c r="A174" s="269" t="s">
        <v>113</v>
      </c>
      <c r="B174" s="269"/>
      <c r="C174" s="270">
        <f>IF(ISERROR(GETPIVOTDATA("Somma di DARE",'Pivot Fineco Sa'!$A$3,"Mese",1,"Tipologia",$A174,"Viaggio",$A$170)),0,GETPIVOTDATA("Somma di DARE",'Pivot Fineco Sa'!$A$3,"Mese",1,"Tipologia",$A174,"Viaggio",$A$170))
+IF(ISERROR(GETPIVOTDATA("Somma di DARE",'Pivot Fineco St'!$A$3,"Mese",1,"Tipologia",$A174,"Viaggio",$A$170)),0,GETPIVOTDATA("Somma di DARE",'Pivot Fineco St'!$A$3,"Mese",1,"Tipologia",$A174,"Viaggio",$A$170))
+IF(Contanti!$E42='Conto Economico'!$A$170,Contanti!$B42)
+IF(ISERROR(GETPIVOTDATA("Somma di DARE",'Pivot BBVA'!$A$3,"Mese",1,"Tipologia",$A174,"Viaggio",$A$170)),0,GETPIVOTDATA("Somma di DARE",'Pivot BBVA'!$A$3,"Mese",1,"Tipologia",$A174,"Viaggio",$A$170))
+IF(ISERROR(GETPIVOTDATA("Somma di DARE",'Pivot Amex'!$A$3,"Mese",1,"Tipologia",$A174,"Viaggio",$A$170)),0,GETPIVOTDATA("Somma di DARE",'Pivot Amex'!$A$3,"Mese",1,"Tipologia",$A174,"Viaggio",$A$170))
-IF(ISERROR(GETPIVOTDATA("Somma di AVERE",'Pivot Amex'!$A$3,"Mese",1,"Tipologia",$A174,"Viaggio",$A$170)),0,GETPIVOTDATA("Somma di AVERE",'Pivot Amex'!$A$3,"Mese",1,"Tipologia",$A174,"Viaggio",$A$170))
-IF(ISERROR(GETPIVOTDATA("Somma di AVERE",'Pivot BBVA'!$A$3,"Mese",1,"Tipologia",$A174,"Viaggio",$A$170)),0,GETPIVOTDATA("Somma di AVERE",'Pivot BBVA'!$A$3,"Mese",1,"Tipologia",$A174,"Viaggio",$A$170))
-IF(ISERROR(GETPIVOTDATA("Somma di AVERE",'Pivot Fineco St'!$A$3,"Mese",1,"Tipologia",$A174,"Viaggio",$A$170)),0,GETPIVOTDATA("Somma di AVERE",'Pivot Fineco St'!$A$3,"Mese",1,"Tipologia",$A174,"Viaggio",$A$170))
-IF(ISERROR(GETPIVOTDATA("Somma di AVERE",'Pivot Fineco Sa'!$A$3,"Mese",1,"Tipologia",$A174,"Viaggio",$A$170)),0,GETPIVOTDATA("Somma di AVERE",'Pivot Fineco Sa'!$A$3,"Mese",1,"Tipologia",$A174,"Viaggio",$A$170))
+IF(ISERROR(GETPIVOTDATA("Somma di DARE",'Pivot PP Visa'!$A$3,"Mese",1,"Tipologia",$A174,"Viaggio",$A$170)),0,GETPIVOTDATA("Somma di DARE",'Pivot PP Visa'!$A$3,"Mese",1,"Tipologia",$A174,"Viaggio",$A$170))
-IF(ISERROR(GETPIVOTDATA("Somma di AVERE",'Pivot PP Visa'!$A$3,"Mese",1,"Tipologia",$A174,"Viaggio",$A$170)),0,GETPIVOTDATA("Somma di AVERE",'Pivot PP Visa'!$A$3,"Mese",1,"Tipologia",$A174,"Viaggio",$A$170))
+IF(ISERROR(GETPIVOTDATA("Somma di DARE",'Pivot Revolut'!$A$3,"Mese",1,"Tipologia",$A174,"Viaggio",$A$170)),0,GETPIVOTDATA("Somma di DARE",'Pivot Revolut'!$A$3,"Mese",1,"Tipologia",$A174,"Viaggio",$A$170))
-IF(ISERROR(GETPIVOTDATA("Somma di AVERE",'Pivot Revolut'!$A$3,"Mese",1,"Tipologia",$A174,"Viaggio",$A$170)),0,GETPIVOTDATA("Somma di AVERE",'Pivot Revolut'!$A$3,"Mese",1,"Tipologia",$A174,"Viaggio",$A$170))
+IF(ISERROR(GETPIVOTDATA("Somma di DARE",'Pivot RakBank EUR'!$A$3,"Mese",1,"Tipologia",$A174,"Viaggio",$A$170)),0,GETPIVOTDATA("Somma di DARE",'Pivot RakBank EUR'!$A$3,"Mese",1,"Tipologia",$A174,"Viaggio",$A$170))
-IF(ISERROR(GETPIVOTDATA("Somma di AVERE",'Pivot RakBank EUR'!$A$3,"Mese",1,"Tipologia",$A174,"Viaggio",$A$170)),0,GETPIVOTDATA("Somma di AVERE",'Pivot RakBank EUR'!$A$3,"Mese",1,"Tipologia",$A174,"Viaggio",$A$170))
+IF(ISERROR(GETPIVOTDATA("Somma di DARE EUR",'Pivot RakBank AED'!$A$3,"Mese",1,"Tipologia",$A174,"Viaggio",$A$170)),0,GETPIVOTDATA("Somma di DARE EUR",'Pivot RakBank AED'!$A$3,"Mese",1,"Tipologia",$A174,"Viaggio",$A$170))
-IF(ISERROR(GETPIVOTDATA("Somma di AVERE EUR",'Pivot RakBank AED'!$A$3,"Mese",1,"Tipologia",$A174,"Viaggio",$A$170)),0,GETPIVOTDATA("Somma di AVERE EUR",'Pivot RakBank AED'!$A$3,"Mese",1,"Tipologia",$A174,"Viaggio",$A$170))</f>
        <v>0</v>
      </c>
      <c r="D174" s="270">
        <f>IF(ISERROR(GETPIVOTDATA("Somma di DARE",'Pivot Fineco Sa'!$A$3,"Mese",2,"Tipologia",$A174,"Viaggio",$A$170)),0,GETPIVOTDATA("Somma di DARE",'Pivot Fineco Sa'!$A$3,"Mese",2,"Tipologia",$A174,"Viaggio",$A$170))
+IF(ISERROR(GETPIVOTDATA("Somma di DARE",'Pivot Fineco St'!$A$3,"Mese",2,"Tipologia",$A174,"Viaggio",$A$170)),0,GETPIVOTDATA("Somma di DARE",'Pivot Fineco St'!$A$3,"Mese",2,"Tipologia",$A174,"Viaggio",$A$170))
+IF(Contanti!$I42='Conto Economico'!$A$170,Contanti!$F42)
+IF(ISERROR(GETPIVOTDATA("Somma di DARE",'Pivot BBVA'!$A$3,"Mese",2,"Tipologia",$A174,"Viaggio",$A$170)),0,GETPIVOTDATA("Somma di DARE",'Pivot BBVA'!$A$3,"Mese",2,"Tipologia",$A174,"Viaggio",$A$170))
+IF(ISERROR(GETPIVOTDATA("Somma di DARE",'Pivot Amex'!$A$3,"Mese",2,"Tipologia",$A174,"Viaggio",$A$170)),0,GETPIVOTDATA("Somma di DARE",'Pivot Amex'!$A$3,"Mese",2,"Tipologia",$A174,"Viaggio",$A$170))
-IF(ISERROR(GETPIVOTDATA("Somma di AVERE",'Pivot Amex'!$A$3,"Mese",2,"Tipologia",$A174,"Viaggio",$A$170)),0,GETPIVOTDATA("Somma di AVERE",'Pivot Amex'!$A$3,"Mese",2,"Tipologia",$A174,"Viaggio",$A$170))
-IF(ISERROR(GETPIVOTDATA("Somma di AVERE",'Pivot BBVA'!$A$3,"Mese",2,"Tipologia",$A174,"Viaggio",$A$170)),0,GETPIVOTDATA("Somma di AVERE",'Pivot BBVA'!$A$3,"Mese",2,"Tipologia",$A174,"Viaggio",$A$170))
-IF(ISERROR(GETPIVOTDATA("Somma di AVERE",'Pivot Fineco St'!$A$3,"Mese",2,"Tipologia",$A174,"Viaggio",$A$170)),0,GETPIVOTDATA("Somma di AVERE",'Pivot Fineco St'!$A$3,"Mese",2,"Tipologia",$A174,"Viaggio",$A$170))
-IF(ISERROR(GETPIVOTDATA("Somma di AVERE",'Pivot Fineco Sa'!$A$3,"Mese",2,"Tipologia",$A174,"Viaggio",$A$170)),0,GETPIVOTDATA("Somma di AVERE",'Pivot Fineco Sa'!$A$3,"Mese",2,"Tipologia",$A174,"Viaggio",$A$170))
+IF(ISERROR(GETPIVOTDATA("Somma di DARE",'Pivot PP Visa'!$A$3,"Mese",2,"Tipologia",$A174,"Viaggio",$A$170)),0,GETPIVOTDATA("Somma di DARE",'Pivot PP Visa'!$A$3,"Mese",2,"Tipologia",$A174,"Viaggio",$A$170))
-IF(ISERROR(GETPIVOTDATA("Somma di AVERE",'Pivot PP Visa'!$A$3,"Mese",2,"Tipologia",$A174,"Viaggio",$A$170)),0,GETPIVOTDATA("Somma di AVERE",'Pivot PP Visa'!$A$3,"Mese",2,"Tipologia",$A174,"Viaggio",$A$170))
+IF(ISERROR(GETPIVOTDATA("Somma di DARE",'Pivot Revolut'!$A$3,"Mese",2,"Tipologia",$A174,"Viaggio",$A$170)),0,GETPIVOTDATA("Somma di DARE",'Pivot Revolut'!$A$3,"Mese",2,"Tipologia",$A174,"Viaggio",$A$170))
-IF(ISERROR(GETPIVOTDATA("Somma di AVERE",'Pivot Revolut'!$A$3,"Mese",2,"Tipologia",$A174,"Viaggio",$A$170)),0,GETPIVOTDATA("Somma di AVERE",'Pivot Revolut'!$A$3,"Mese",2,"Tipologia",$A174,"Viaggio",$A$170))
+IF(ISERROR(GETPIVOTDATA("Somma di DARE",'Pivot RakBank EUR'!$A$3,"Mese",2,"Tipologia",$A174,"Viaggio",$A$170)),0,GETPIVOTDATA("Somma di DARE",'Pivot RakBank EUR'!$A$3,"Mese",2,"Tipologia",$A174,"Viaggio",$A$170))
-IF(ISERROR(GETPIVOTDATA("Somma di AVERE",'Pivot RakBank EUR'!$A$3,"Mese",2,"Tipologia",$A174,"Viaggio",$A$170)),0,GETPIVOTDATA("Somma di AVERE",'Pivot RakBank EUR'!$A$3,"Mese",2,"Tipologia",$A174,"Viaggio",$A$170))
+IF(ISERROR(GETPIVOTDATA("Somma di DARE EUR",'Pivot RakBank AED'!$A$3,"Mese",2,"Tipologia",$A174,"Viaggio",$A$170)),0,GETPIVOTDATA("Somma di DARE EUR",'Pivot RakBank AED'!$A$3,"Mese",2,"Tipologia",$A174,"Viaggio",$A$170))
-IF(ISERROR(GETPIVOTDATA("Somma di AVERE EUR",'Pivot RakBank AED'!$A$3,"Mese",2,"Tipologia",$A174,"Viaggio",$A$170)),0,GETPIVOTDATA("Somma di AVERE EUR",'Pivot RakBank AED'!$A$3,"Mese",2,"Tipologia",$A174,"Viaggio",$A$170))</f>
        <v>0</v>
      </c>
      <c r="E174" s="270">
        <f>IF(ISERROR(GETPIVOTDATA("Somma di DARE",'Pivot Fineco Sa'!$A$3,"Mese",3,"Tipologia",$A174,"Viaggio",$A$170)),0,GETPIVOTDATA("Somma di DARE",'Pivot Fineco Sa'!$A$3,"Mese",3,"Tipologia",$A174,"Viaggio",$A$170))
+IF(ISERROR(GETPIVOTDATA("Somma di DARE",'Pivot Fineco St'!$A$3,"Mese",3,"Tipologia",$A174,"Viaggio",$A$170)),0,GETPIVOTDATA("Somma di DARE",'Pivot Fineco St'!$A$3,"Mese",3,"Tipologia",$A174,"Viaggio",$A$170))
+IF(Contanti!$M42='Conto Economico'!$A$170,Contanti!$J42)
+IF(ISERROR(GETPIVOTDATA("Somma di DARE",'Pivot BBVA'!$A$3,"Mese",3,"Tipologia",$A174,"Viaggio",$A$170)),0,GETPIVOTDATA("Somma di DARE",'Pivot BBVA'!$A$3,"Mese",3,"Tipologia",$A174,"Viaggio",$A$170))
+IF(ISERROR(GETPIVOTDATA("Somma di DARE",'Pivot Amex'!$A$3,"Mese",3,"Tipologia",$A174,"Viaggio",$A$170)),0,GETPIVOTDATA("Somma di DARE",'Pivot Amex'!$A$3,"Mese",3,"Tipologia",$A174,"Viaggio",$A$170))
-IF(ISERROR(GETPIVOTDATA("Somma di AVERE",'Pivot Amex'!$A$3,"Mese",3,"Tipologia",$A174,"Viaggio",$A$170)),0,GETPIVOTDATA("Somma di AVERE",'Pivot Amex'!$A$3,"Mese",3,"Tipologia",$A174,"Viaggio",$A$170))
-IF(ISERROR(GETPIVOTDATA("Somma di AVERE",'Pivot BBVA'!$A$3,"Mese",3,"Tipologia",$A174,"Viaggio",$A$170)),0,GETPIVOTDATA("Somma di AVERE",'Pivot BBVA'!$A$3,"Mese",3,"Tipologia",$A174,"Viaggio",$A$170))
-IF(ISERROR(GETPIVOTDATA("Somma di AVERE",'Pivot Fineco St'!$A$3,"Mese",3,"Tipologia",$A174,"Viaggio",$A$170)),0,GETPIVOTDATA("Somma di AVERE",'Pivot Fineco St'!$A$3,"Mese",3,"Tipologia",$A174,"Viaggio",$A$170))
-IF(ISERROR(GETPIVOTDATA("Somma di AVERE",'Pivot Fineco Sa'!$A$3,"Mese",3,"Tipologia",$A174,"Viaggio",$A$170)),0,GETPIVOTDATA("Somma di AVERE",'Pivot Fineco Sa'!$A$3,"Mese",3,"Tipologia",$A174,"Viaggio",$A$170))
+IF(ISERROR(GETPIVOTDATA("Somma di DARE",'Pivot PP Visa'!$A$3,"Mese",3,"Tipologia",$A174,"Viaggio",$A$170)),0,GETPIVOTDATA("Somma di DARE",'Pivot PP Visa'!$A$3,"Mese",3,"Tipologia",$A174,"Viaggio",$A$170))
-IF(ISERROR(GETPIVOTDATA("Somma di AVERE",'Pivot PP Visa'!$A$3,"Mese",3,"Tipologia",$A174,"Viaggio",$A$170)),0,GETPIVOTDATA("Somma di AVERE",'Pivot PP Visa'!$A$3,"Mese",3,"Tipologia",$A174,"Viaggio",$A$170))
+IF(ISERROR(GETPIVOTDATA("Somma di DARE",'Pivot Revolut'!$A$3,"Mese",3,"Tipologia",$A174,"Viaggio",$A$170)),0,GETPIVOTDATA("Somma di DARE",'Pivot Revolut'!$A$3,"Mese",3,"Tipologia",$A174,"Viaggio",$A$170))
-IF(ISERROR(GETPIVOTDATA("Somma di AVERE",'Pivot Revolut'!$A$3,"Mese",3,"Tipologia",$A174,"Viaggio",$A$170)),0,GETPIVOTDATA("Somma di AVERE",'Pivot Revolut'!$A$3,"Mese",3,"Tipologia",$A174,"Viaggio",$A$170))
+IF(ISERROR(GETPIVOTDATA("Somma di DARE",'Pivot RakBank EUR'!$A$3,"Mese",3,"Tipologia",$A174,"Viaggio",$A$170)),0,GETPIVOTDATA("Somma di DARE",'Pivot RakBank EUR'!$A$3,"Mese",3,"Tipologia",$A174,"Viaggio",$A$170))
-IF(ISERROR(GETPIVOTDATA("Somma di AVERE",'Pivot RakBank EUR'!$A$3,"Mese",3,"Tipologia",$A174,"Viaggio",$A$170)),0,GETPIVOTDATA("Somma di AVERE",'Pivot RakBank EUR'!$A$3,"Mese",3,"Tipologia",$A174,"Viaggio",$A$170))
+IF(ISERROR(GETPIVOTDATA("Somma di DARE EUR",'Pivot RakBank AED'!$A$3,"Mese",3,"Tipologia",$A174,"Viaggio",$A$170)),0,GETPIVOTDATA("Somma di DARE EUR",'Pivot RakBank AED'!$A$3,"Mese",3,"Tipologia",$A174,"Viaggio",$A$170))
-IF(ISERROR(GETPIVOTDATA("Somma di AVERE EUR",'Pivot RakBank AED'!$A$3,"Mese",3,"Tipologia",$A174,"Viaggio",$A$170)),0,GETPIVOTDATA("Somma di AVERE EUR",'Pivot RakBank AED'!$A$3,"Mese",3,"Tipologia",$A174,"Viaggio",$A$170))</f>
        <v>0</v>
      </c>
      <c r="F174" s="270">
        <f>IF(ISERROR(GETPIVOTDATA("Somma di DARE",'Pivot Fineco Sa'!$A$3,"Mese",4,"Tipologia",$A174,"Viaggio",$A$170)),0,GETPIVOTDATA("Somma di DARE",'Pivot Fineco Sa'!$A$3,"Mese",4,"Tipologia",$A174,"Viaggio",$A$170))
+IF(ISERROR(GETPIVOTDATA("Somma di DARE",'Pivot Fineco St'!$A$3,"Mese",4,"Tipologia",$A174,"Viaggio",$A$170)),0,GETPIVOTDATA("Somma di DARE",'Pivot Fineco St'!$A$3,"Mese",4,"Tipologia",$A174,"Viaggio",$A$170))
+IF(Contanti!$Q42='Conto Economico'!$A$170,Contanti!$N42)
+IF(ISERROR(GETPIVOTDATA("Somma di DARE",'Pivot BBVA'!$A$3,"Mese",4,"Tipologia",$A174,"Viaggio",$A$170)),0,GETPIVOTDATA("Somma di DARE",'Pivot BBVA'!$A$3,"Mese",4,"Tipologia",$A174,"Viaggio",$A$170))
+IF(ISERROR(GETPIVOTDATA("Somma di DARE",'Pivot Amex'!$A$3,"Mese",4,"Tipologia",$A174,"Viaggio",$A$170)),0,GETPIVOTDATA("Somma di DARE",'Pivot Amex'!$A$3,"Mese",4,"Tipologia",$A174,"Viaggio",$A$170))
-IF(ISERROR(GETPIVOTDATA("Somma di AVERE",'Pivot Amex'!$A$3,"Mese",4,"Tipologia",$A174,"Viaggio",$A$170)),0,GETPIVOTDATA("Somma di AVERE",'Pivot Amex'!$A$3,"Mese",4,"Tipologia",$A174,"Viaggio",$A$170))
-IF(ISERROR(GETPIVOTDATA("Somma di AVERE",'Pivot BBVA'!$A$3,"Mese",4,"Tipologia",$A174,"Viaggio",$A$170)),0,GETPIVOTDATA("Somma di AVERE",'Pivot BBVA'!$A$3,"Mese",4,"Tipologia",$A174,"Viaggio",$A$170))
-IF(ISERROR(GETPIVOTDATA("Somma di AVERE",'Pivot Fineco St'!$A$3,"Mese",4,"Tipologia",$A174,"Viaggio",$A$170)),0,GETPIVOTDATA("Somma di AVERE",'Pivot Fineco St'!$A$3,"Mese",4,"Tipologia",$A174,"Viaggio",$A$170))
-IF(ISERROR(GETPIVOTDATA("Somma di AVERE",'Pivot Fineco Sa'!$A$3,"Mese",4,"Tipologia",$A174,"Viaggio",$A$170)),0,GETPIVOTDATA("Somma di AVERE",'Pivot Fineco Sa'!$A$3,"Mese",4,"Tipologia",$A174,"Viaggio",$A$170))
+IF(ISERROR(GETPIVOTDATA("Somma di DARE",'Pivot PP Visa'!$A$3,"Mese",4,"Tipologia",$A174,"Viaggio",$A$170)),0,GETPIVOTDATA("Somma di DARE",'Pivot PP Visa'!$A$3,"Mese",4,"Tipologia",$A174,"Viaggio",$A$170))
-IF(ISERROR(GETPIVOTDATA("Somma di AVERE",'Pivot PP Visa'!$A$3,"Mese",4,"Tipologia",$A174,"Viaggio",$A$170)),0,GETPIVOTDATA("Somma di AVERE",'Pivot PP Visa'!$A$3,"Mese",4,"Tipologia",$A174,"Viaggio",$A$170))
+IF(ISERROR(GETPIVOTDATA("Somma di DARE",'Pivot Revolut'!$A$3,"Mese",4,"Tipologia",$A174,"Viaggio",$A$170)),0,GETPIVOTDATA("Somma di DARE",'Pivot Revolut'!$A$3,"Mese",4,"Tipologia",$A174,"Viaggio",$A$170))
-IF(ISERROR(GETPIVOTDATA("Somma di AVERE",'Pivot Revolut'!$A$3,"Mese",4,"Tipologia",$A174,"Viaggio",$A$170)),0,GETPIVOTDATA("Somma di AVERE",'Pivot Revolut'!$A$3,"Mese",4,"Tipologia",$A174,"Viaggio",$A$170))
+IF(ISERROR(GETPIVOTDATA("Somma di DARE",'Pivot RakBank EUR'!$A$3,"Mese",4,"Tipologia",$A174,"Viaggio",$A$170)),0,GETPIVOTDATA("Somma di DARE",'Pivot RakBank EUR'!$A$3,"Mese",4,"Tipologia",$A174,"Viaggio",$A$170))
-IF(ISERROR(GETPIVOTDATA("Somma di AVERE",'Pivot RakBank EUR'!$A$3,"Mese",4,"Tipologia",$A174,"Viaggio",$A$170)),0,GETPIVOTDATA("Somma di AVERE",'Pivot RakBank EUR'!$A$3,"Mese",4,"Tipologia",$A174,"Viaggio",$A$170))
+IF(ISERROR(GETPIVOTDATA("Somma di DARE EUR",'Pivot RakBank AED'!$A$3,"Mese",4,"Tipologia",$A174,"Viaggio",$A$170)),0,GETPIVOTDATA("Somma di DARE EUR",'Pivot RakBank AED'!$A$3,"Mese",4,"Tipologia",$A174,"Viaggio",$A$170))
-IF(ISERROR(GETPIVOTDATA("Somma di AVERE EUR",'Pivot RakBank AED'!$A$3,"Mese",4,"Tipologia",$A174,"Viaggio",$A$170)),0,GETPIVOTDATA("Somma di AVERE EUR",'Pivot RakBank AED'!$A$3,"Mese",4,"Tipologia",$A174,"Viaggio",$A$170))</f>
        <v>0</v>
      </c>
      <c r="G174" s="270">
        <f>IF(ISERROR(GETPIVOTDATA("Somma di DARE",'Pivot Fineco Sa'!$A$3,"Mese",5,"Tipologia",$A174,"Viaggio",$A$170)),0,GETPIVOTDATA("Somma di DARE",'Pivot Fineco Sa'!$A$3,"Mese",5,"Tipologia",$A174,"Viaggio",$A$170))
+IF(ISERROR(GETPIVOTDATA("Somma di DARE",'Pivot Fineco St'!$A$3,"Mese",5,"Tipologia",$A174,"Viaggio",$A$170)),0,GETPIVOTDATA("Somma di DARE",'Pivot Fineco St'!$A$3,"Mese",5,"Tipologia",$A174,"Viaggio",$A$170))
+IF(Contanti!$U42='Conto Economico'!$A$170,Contanti!$R42)
+IF(ISERROR(GETPIVOTDATA("Somma di DARE",'Pivot BBVA'!$A$3,"Mese",5,"Tipologia",$A174,"Viaggio",$A$170)),0,GETPIVOTDATA("Somma di DARE",'Pivot BBVA'!$A$3,"Mese",5,"Tipologia",$A174,"Viaggio",$A$170))
+IF(ISERROR(GETPIVOTDATA("Somma di DARE",'Pivot Amex'!$A$3,"Mese",5,"Tipologia",$A174,"Viaggio",$A$170)),0,GETPIVOTDATA("Somma di DARE",'Pivot Amex'!$A$3,"Mese",5,"Tipologia",$A174,"Viaggio",$A$170))
-IF(ISERROR(GETPIVOTDATA("Somma di AVERE",'Pivot Amex'!$A$3,"Mese",5,"Tipologia",$A174,"Viaggio",$A$170)),0,GETPIVOTDATA("Somma di AVERE",'Pivot Amex'!$A$3,"Mese",5,"Tipologia",$A174,"Viaggio",$A$170))
-IF(ISERROR(GETPIVOTDATA("Somma di AVERE",'Pivot BBVA'!$A$3,"Mese",5,"Tipologia",$A174,"Viaggio",$A$170)),0,GETPIVOTDATA("Somma di AVERE",'Pivot BBVA'!$A$3,"Mese",5,"Tipologia",$A174,"Viaggio",$A$170))
-IF(ISERROR(GETPIVOTDATA("Somma di AVERE",'Pivot Fineco St'!$A$3,"Mese",5,"Tipologia",$A174,"Viaggio",$A$170)),0,GETPIVOTDATA("Somma di AVERE",'Pivot Fineco St'!$A$3,"Mese",5,"Tipologia",$A174,"Viaggio",$A$170))
-IF(ISERROR(GETPIVOTDATA("Somma di AVERE",'Pivot Fineco Sa'!$A$3,"Mese",5,"Tipologia",$A174,"Viaggio",$A$170)),0,GETPIVOTDATA("Somma di AVERE",'Pivot Fineco Sa'!$A$3,"Mese",5,"Tipologia",$A174,"Viaggio",$A$170))
+IF(ISERROR(GETPIVOTDATA("Somma di DARE",'Pivot PP Visa'!$A$3,"Mese",5,"Tipologia",$A174,"Viaggio",$A$170)),0,GETPIVOTDATA("Somma di DARE",'Pivot PP Visa'!$A$3,"Mese",5,"Tipologia",$A174,"Viaggio",$A$170))
-IF(ISERROR(GETPIVOTDATA("Somma di AVERE",'Pivot PP Visa'!$A$3,"Mese",5,"Tipologia",$A174,"Viaggio",$A$170)),0,GETPIVOTDATA("Somma di AVERE",'Pivot PP Visa'!$A$3,"Mese",5,"Tipologia",$A174,"Viaggio",$A$170))
+IF(ISERROR(GETPIVOTDATA("Somma di DARE",'Pivot Revolut'!$A$3,"Mese",5,"Tipologia",$A174,"Viaggio",$A$170)),0,GETPIVOTDATA("Somma di DARE",'Pivot Revolut'!$A$3,"Mese",5,"Tipologia",$A174,"Viaggio",$A$170))
-IF(ISERROR(GETPIVOTDATA("Somma di AVERE",'Pivot Revolut'!$A$3,"Mese",5,"Tipologia",$A174,"Viaggio",$A$170)),0,GETPIVOTDATA("Somma di AVERE",'Pivot Revolut'!$A$3,"Mese",5,"Tipologia",$A174,"Viaggio",$A$170))
+IF(ISERROR(GETPIVOTDATA("Somma di DARE",'Pivot RakBank EUR'!$A$3,"Mese",5,"Tipologia",$A174,"Viaggio",$A$170)),0,GETPIVOTDATA("Somma di DARE",'Pivot RakBank EUR'!$A$3,"Mese",5,"Tipologia",$A174,"Viaggio",$A$170))
-IF(ISERROR(GETPIVOTDATA("Somma di AVERE",'Pivot RakBank EUR'!$A$3,"Mese",5,"Tipologia",$A174,"Viaggio",$A$170)),0,GETPIVOTDATA("Somma di AVERE",'Pivot RakBank EUR'!$A$3,"Mese",5,"Tipologia",$A174,"Viaggio",$A$170))
+IF(ISERROR(GETPIVOTDATA("Somma di DARE EUR",'Pivot RakBank AED'!$A$3,"Mese",5,"Tipologia",$A174,"Viaggio",$A$170)),0,GETPIVOTDATA("Somma di DARE EUR",'Pivot RakBank AED'!$A$3,"Mese",5,"Tipologia",$A174,"Viaggio",$A$170))
-IF(ISERROR(GETPIVOTDATA("Somma di AVERE EUR",'Pivot RakBank AED'!$A$3,"Mese",5,"Tipologia",$A174,"Viaggio",$A$170)),0,GETPIVOTDATA("Somma di AVERE EUR",'Pivot RakBank AED'!$A$3,"Mese",5,"Tipologia",$A174,"Viaggio",$A$170))</f>
        <v>0</v>
      </c>
      <c r="H174" s="270">
        <f>IF(ISERROR(GETPIVOTDATA("Somma di DARE",'Pivot Fineco Sa'!$A$3,"Mese",6,"Tipologia",$A174,"Viaggio",$A$170)),0,GETPIVOTDATA("Somma di DARE",'Pivot Fineco Sa'!$A$3,"Mese",6,"Tipologia",$A174,"Viaggio",$A$170))
+IF(ISERROR(GETPIVOTDATA("Somma di DARE",'Pivot Fineco St'!$A$3,"Mese",6,"Tipologia",$A174,"Viaggio",$A$170)),0,GETPIVOTDATA("Somma di DARE",'Pivot Fineco St'!$A$3,"Mese",6,"Tipologia",$A174,"Viaggio",$A$170))
+IF(Contanti!$Y42='Conto Economico'!$A$170,Contanti!$V42)
+IF(ISERROR(GETPIVOTDATA("Somma di DARE",'Pivot BBVA'!$A$3,"Mese",6,"Tipologia",$A174,"Viaggio",$A$170)),0,GETPIVOTDATA("Somma di DARE",'Pivot BBVA'!$A$3,"Mese",6,"Tipologia",$A174,"Viaggio",$A$170))
+IF(ISERROR(GETPIVOTDATA("Somma di DARE",'Pivot Amex'!$A$3,"Mese",6,"Tipologia",$A174,"Viaggio",$A$170)),0,GETPIVOTDATA("Somma di DARE",'Pivot Amex'!$A$3,"Mese",6,"Tipologia",$A174,"Viaggio",$A$170))
-IF(ISERROR(GETPIVOTDATA("Somma di AVERE",'Pivot Amex'!$A$3,"Mese",6,"Tipologia",$A174,"Viaggio",$A$170)),0,GETPIVOTDATA("Somma di AVERE",'Pivot Amex'!$A$3,"Mese",6,"Tipologia",$A174,"Viaggio",$A$170))
-IF(ISERROR(GETPIVOTDATA("Somma di AVERE",'Pivot BBVA'!$A$3,"Mese",6,"Tipologia",$A174,"Viaggio",$A$170)),0,GETPIVOTDATA("Somma di AVERE",'Pivot BBVA'!$A$3,"Mese",6,"Tipologia",$A174,"Viaggio",$A$170))
-IF(ISERROR(GETPIVOTDATA("Somma di AVERE",'Pivot Fineco St'!$A$3,"Mese",6,"Tipologia",$A174,"Viaggio",$A$170)),0,GETPIVOTDATA("Somma di AVERE",'Pivot Fineco St'!$A$3,"Mese",6,"Tipologia",$A174,"Viaggio",$A$170))
-IF(ISERROR(GETPIVOTDATA("Somma di AVERE",'Pivot Fineco Sa'!$A$3,"Mese",6,"Tipologia",$A174,"Viaggio",$A$170)),0,GETPIVOTDATA("Somma di AVERE",'Pivot Fineco Sa'!$A$3,"Mese",6,"Tipologia",$A174,"Viaggio",$A$170))
+IF(ISERROR(GETPIVOTDATA("Somma di DARE",'Pivot PP Visa'!$A$3,"Mese",6,"Tipologia",$A174,"Viaggio",$A$170)),0,GETPIVOTDATA("Somma di DARE",'Pivot PP Visa'!$A$3,"Mese",6,"Tipologia",$A174,"Viaggio",$A$170))
-IF(ISERROR(GETPIVOTDATA("Somma di AVERE",'Pivot PP Visa'!$A$3,"Mese",6,"Tipologia",$A174,"Viaggio",$A$170)),0,GETPIVOTDATA("Somma di AVERE",'Pivot PP Visa'!$A$3,"Mese",6,"Tipologia",$A174,"Viaggio",$A$170))
+IF(ISERROR(GETPIVOTDATA("Somma di DARE",'Pivot Revolut'!$A$3,"Mese",6,"Tipologia",$A174,"Viaggio",$A$170)),0,GETPIVOTDATA("Somma di DARE",'Pivot Revolut'!$A$3,"Mese",6,"Tipologia",$A174,"Viaggio",$A$170))
-IF(ISERROR(GETPIVOTDATA("Somma di AVERE",'Pivot Revolut'!$A$3,"Mese",6,"Tipologia",$A174,"Viaggio",$A$170)),0,GETPIVOTDATA("Somma di AVERE",'Pivot Revolut'!$A$3,"Mese",6,"Tipologia",$A174,"Viaggio",$A$170))
+IF(ISERROR(GETPIVOTDATA("Somma di DARE",'Pivot RakBank EUR'!$A$3,"Mese",6,"Tipologia",$A174,"Viaggio",$A$170)),0,GETPIVOTDATA("Somma di DARE",'Pivot RakBank EUR'!$A$3,"Mese",6,"Tipologia",$A174,"Viaggio",$A$170))
-IF(ISERROR(GETPIVOTDATA("Somma di AVERE",'Pivot RakBank EUR'!$A$3,"Mese",6,"Tipologia",$A174,"Viaggio",$A$170)),0,GETPIVOTDATA("Somma di AVERE",'Pivot RakBank EUR'!$A$3,"Mese",6,"Tipologia",$A174,"Viaggio",$A$170))
+IF(ISERROR(GETPIVOTDATA("Somma di DARE EUR",'Pivot RakBank AED'!$A$3,"Mese",6,"Tipologia",$A174,"Viaggio",$A$170)),0,GETPIVOTDATA("Somma di DARE EUR",'Pivot RakBank AED'!$A$3,"Mese",6,"Tipologia",$A174,"Viaggio",$A$170))
-IF(ISERROR(GETPIVOTDATA("Somma di AVERE EUR",'Pivot RakBank AED'!$A$3,"Mese",6,"Tipologia",$A174,"Viaggio",$A$170)),0,GETPIVOTDATA("Somma di AVERE EUR",'Pivot RakBank AED'!$A$3,"Mese",6,"Tipologia",$A174,"Viaggio",$A$170))</f>
        <v>0</v>
      </c>
      <c r="I174" s="270">
        <f>IF(ISERROR(GETPIVOTDATA("Somma di DARE",'Pivot Fineco Sa'!$A$3,"Mese",7,"Tipologia",$A174,"Viaggio",$A$170)),0,GETPIVOTDATA("Somma di DARE",'Pivot Fineco Sa'!$A$3,"Mese",7,"Tipologia",$A174,"Viaggio",$A$170))
+IF(ISERROR(GETPIVOTDATA("Somma di DARE",'Pivot Fineco St'!$A$3,"Mese",7,"Tipologia",$A174,"Viaggio",$A$170)),0,GETPIVOTDATA("Somma di DARE",'Pivot Fineco St'!$A$3,"Mese",7,"Tipologia",$A174,"Viaggio",$A$170))
+IF(Contanti!$AC42='Conto Economico'!$A$170,Contanti!$Z42)
+IF(ISERROR(GETPIVOTDATA("Somma di DARE",'Pivot BBVA'!$A$3,"Mese",7,"Tipologia",$A174,"Viaggio",$A$170)),0,GETPIVOTDATA("Somma di DARE",'Pivot BBVA'!$A$3,"Mese",7,"Tipologia",$A174,"Viaggio",$A$170))
+IF(ISERROR(GETPIVOTDATA("Somma di DARE",'Pivot Amex'!$A$3,"Mese",7,"Tipologia",$A174,"Viaggio",$A$170)),0,GETPIVOTDATA("Somma di DARE",'Pivot Amex'!$A$3,"Mese",7,"Tipologia",$A174,"Viaggio",$A$170))
-IF(ISERROR(GETPIVOTDATA("Somma di AVERE",'Pivot Amex'!$A$3,"Mese",7,"Tipologia",$A174,"Viaggio",$A$170)),0,GETPIVOTDATA("Somma di AVERE",'Pivot Amex'!$A$3,"Mese",7,"Tipologia",$A174,"Viaggio",$A$170))
-IF(ISERROR(GETPIVOTDATA("Somma di AVERE",'Pivot BBVA'!$A$3,"Mese",7,"Tipologia",$A174,"Viaggio",$A$170)),0,GETPIVOTDATA("Somma di AVERE",'Pivot BBVA'!$A$3,"Mese",7,"Tipologia",$A174,"Viaggio",$A$170))
-IF(ISERROR(GETPIVOTDATA("Somma di AVERE",'Pivot Fineco St'!$A$3,"Mese",7,"Tipologia",$A174,"Viaggio",$A$170)),0,GETPIVOTDATA("Somma di AVERE",'Pivot Fineco St'!$A$3,"Mese",7,"Tipologia",$A174,"Viaggio",$A$170))
-IF(ISERROR(GETPIVOTDATA("Somma di AVERE",'Pivot Fineco Sa'!$A$3,"Mese",7,"Tipologia",$A174,"Viaggio",$A$170)),0,GETPIVOTDATA("Somma di AVERE",'Pivot Fineco Sa'!$A$3,"Mese",7,"Tipologia",$A174,"Viaggio",$A$170))
+IF(ISERROR(GETPIVOTDATA("Somma di DARE",'Pivot PP Visa'!$A$3,"Mese",7,"Tipologia",$A174,"Viaggio",$A$170)),0,GETPIVOTDATA("Somma di DARE",'Pivot PP Visa'!$A$3,"Mese",7,"Tipologia",$A174,"Viaggio",$A$170))
-IF(ISERROR(GETPIVOTDATA("Somma di AVERE",'Pivot PP Visa'!$A$3,"Mese",7,"Tipologia",$A174,"Viaggio",$A$170)),0,GETPIVOTDATA("Somma di AVERE",'Pivot PP Visa'!$A$3,"Mese",7,"Tipologia",$A174,"Viaggio",$A$170))
+IF(ISERROR(GETPIVOTDATA("Somma di DARE",'Pivot Revolut'!$A$3,"Mese",7,"Tipologia",$A174,"Viaggio",$A$170)),0,GETPIVOTDATA("Somma di DARE",'Pivot Revolut'!$A$3,"Mese",7,"Tipologia",$A174,"Viaggio",$A$170))
-IF(ISERROR(GETPIVOTDATA("Somma di AVERE",'Pivot Revolut'!$A$3,"Mese",7,"Tipologia",$A174,"Viaggio",$A$170)),0,GETPIVOTDATA("Somma di AVERE",'Pivot Revolut'!$A$3,"Mese",7,"Tipologia",$A174,"Viaggio",$A$170))
+IF(ISERROR(GETPIVOTDATA("Somma di DARE",'Pivot RakBank EUR'!$A$3,"Mese",7,"Tipologia",$A174,"Viaggio",$A$170)),0,GETPIVOTDATA("Somma di DARE",'Pivot RakBank EUR'!$A$3,"Mese",7,"Tipologia",$A174,"Viaggio",$A$170))
-IF(ISERROR(GETPIVOTDATA("Somma di AVERE",'Pivot RakBank EUR'!$A$3,"Mese",7,"Tipologia",$A174,"Viaggio",$A$170)),0,GETPIVOTDATA("Somma di AVERE",'Pivot RakBank EUR'!$A$3,"Mese",7,"Tipologia",$A174,"Viaggio",$A$170))
+IF(ISERROR(GETPIVOTDATA("Somma di DARE EUR",'Pivot RakBank AED'!$A$3,"Mese",7,"Tipologia",$A174,"Viaggio",$A$170)),0,GETPIVOTDATA("Somma di DARE EUR",'Pivot RakBank AED'!$A$3,"Mese",7,"Tipologia",$A174,"Viaggio",$A$170))
-IF(ISERROR(GETPIVOTDATA("Somma di AVERE EUR",'Pivot RakBank AED'!$A$3,"Mese",7,"Tipologia",$A174,"Viaggio",$A$170)),0,GETPIVOTDATA("Somma di AVERE EUR",'Pivot RakBank AED'!$A$3,"Mese",7,"Tipologia",$A174,"Viaggio",$A$170))</f>
        <v>0</v>
      </c>
      <c r="J174" s="270">
        <f>IF(ISERROR(GETPIVOTDATA("Somma di DARE",'Pivot Fineco Sa'!$A$3,"Mese",8,"Tipologia",$A174,"Viaggio",$A$170)),0,GETPIVOTDATA("Somma di DARE",'Pivot Fineco Sa'!$A$3,"Mese",8,"Tipologia",$A174,"Viaggio",$A$170))
+IF(ISERROR(GETPIVOTDATA("Somma di DARE",'Pivot Fineco St'!$A$3,"Mese",8,"Tipologia",$A174,"Viaggio",$A$170)),0,GETPIVOTDATA("Somma di DARE",'Pivot Fineco St'!$A$3,"Mese",8,"Tipologia",$A174,"Viaggio",$A$170))
+IF(Contanti!$AG42='Conto Economico'!$A$170,Contanti!$AD42)
+IF(ISERROR(GETPIVOTDATA("Somma di DARE",'Pivot BBVA'!$A$3,"Mese",8,"Tipologia",$A174,"Viaggio",$A$170)),0,GETPIVOTDATA("Somma di DARE",'Pivot BBVA'!$A$3,"Mese",8,"Tipologia",$A174,"Viaggio",$A$170))
+IF(ISERROR(GETPIVOTDATA("Somma di DARE",'Pivot Amex'!$A$3,"Mese",8,"Tipologia",$A174,"Viaggio",$A$170)),0,GETPIVOTDATA("Somma di DARE",'Pivot Amex'!$A$3,"Mese",8,"Tipologia",$A174,"Viaggio",$A$170))
-IF(ISERROR(GETPIVOTDATA("Somma di AVERE",'Pivot Amex'!$A$3,"Mese",8,"Tipologia",$A174,"Viaggio",$A$170)),0,GETPIVOTDATA("Somma di AVERE",'Pivot Amex'!$A$3,"Mese",8,"Tipologia",$A174,"Viaggio",$A$170))
-IF(ISERROR(GETPIVOTDATA("Somma di AVERE",'Pivot BBVA'!$A$3,"Mese",8,"Tipologia",$A174,"Viaggio",$A$170)),0,GETPIVOTDATA("Somma di AVERE",'Pivot BBVA'!$A$3,"Mese",8,"Tipologia",$A174,"Viaggio",$A$170))
-IF(ISERROR(GETPIVOTDATA("Somma di AVERE",'Pivot Fineco St'!$A$3,"Mese",8,"Tipologia",$A174,"Viaggio",$A$170)),0,GETPIVOTDATA("Somma di AVERE",'Pivot Fineco St'!$A$3,"Mese",8,"Tipologia",$A174,"Viaggio",$A$170))
-IF(ISERROR(GETPIVOTDATA("Somma di AVERE",'Pivot Fineco Sa'!$A$3,"Mese",8,"Tipologia",$A174,"Viaggio",$A$170)),0,GETPIVOTDATA("Somma di AVERE",'Pivot Fineco Sa'!$A$3,"Mese",8,"Tipologia",$A174,"Viaggio",$A$170))
+IF(ISERROR(GETPIVOTDATA("Somma di DARE",'Pivot PP Visa'!$A$3,"Mese",8,"Tipologia",$A174,"Viaggio",$A$170)),0,GETPIVOTDATA("Somma di DARE",'Pivot PP Visa'!$A$3,"Mese",8,"Tipologia",$A174,"Viaggio",$A$170))
-IF(ISERROR(GETPIVOTDATA("Somma di AVERE",'Pivot PP Visa'!$A$3,"Mese",8,"Tipologia",$A174,"Viaggio",$A$170)),0,GETPIVOTDATA("Somma di AVERE",'Pivot PP Visa'!$A$3,"Mese",8,"Tipologia",$A174,"Viaggio",$A$170))
+IF(ISERROR(GETPIVOTDATA("Somma di DARE",'Pivot Revolut'!$A$3,"Mese",8,"Tipologia",$A174,"Viaggio",$A$170)),0,GETPIVOTDATA("Somma di DARE",'Pivot Revolut'!$A$3,"Mese",8,"Tipologia",$A174,"Viaggio",$A$170))
-IF(ISERROR(GETPIVOTDATA("Somma di AVERE",'Pivot Revolut'!$A$3,"Mese",8,"Tipologia",$A174,"Viaggio",$A$170)),0,GETPIVOTDATA("Somma di AVERE",'Pivot Revolut'!$A$3,"Mese",8,"Tipologia",$A174,"Viaggio",$A$170))
+IF(ISERROR(GETPIVOTDATA("Somma di DARE",'Pivot RakBank EUR'!$A$3,"Mese",8,"Tipologia",$A174,"Viaggio",$A$170)),0,GETPIVOTDATA("Somma di DARE",'Pivot RakBank EUR'!$A$3,"Mese",8,"Tipologia",$A174,"Viaggio",$A$170))
-IF(ISERROR(GETPIVOTDATA("Somma di AVERE",'Pivot RakBank EUR'!$A$3,"Mese",8,"Tipologia",$A174,"Viaggio",$A$170)),0,GETPIVOTDATA("Somma di AVERE",'Pivot RakBank EUR'!$A$3,"Mese",8,"Tipologia",$A174,"Viaggio",$A$170))
+IF(ISERROR(GETPIVOTDATA("Somma di DARE EUR",'Pivot RakBank AED'!$A$3,"Mese",8,"Tipologia",$A174,"Viaggio",$A$170)),0,GETPIVOTDATA("Somma di DARE EUR",'Pivot RakBank AED'!$A$3,"Mese",8,"Tipologia",$A174,"Viaggio",$A$170))
-IF(ISERROR(GETPIVOTDATA("Somma di AVERE EUR",'Pivot RakBank AED'!$A$3,"Mese",8,"Tipologia",$A174,"Viaggio",$A$170)),0,GETPIVOTDATA("Somma di AVERE EUR",'Pivot RakBank AED'!$A$3,"Mese",8,"Tipologia",$A174,"Viaggio",$A$170))</f>
        <v>0</v>
      </c>
      <c r="K174" s="270">
        <f>IF(ISERROR(GETPIVOTDATA("Somma di DARE",'Pivot Fineco Sa'!$A$3,"Mese",9,"Tipologia",$A174,"Viaggio",$A$170)),0,GETPIVOTDATA("Somma di DARE",'Pivot Fineco Sa'!$A$3,"Mese",9,"Tipologia",$A174,"Viaggio",$A$170))
+IF(ISERROR(GETPIVOTDATA("Somma di DARE",'Pivot Fineco St'!$A$3,"Mese",9,"Tipologia",$A174,"Viaggio",$A$170)),0,GETPIVOTDATA("Somma di DARE",'Pivot Fineco St'!$A$3,"Mese",9,"Tipologia",$A174,"Viaggio",$A$170))
+IF(Contanti!$AK42='Conto Economico'!$A$170,Contanti!$AH42)
+IF(ISERROR(GETPIVOTDATA("Somma di DARE",'Pivot BBVA'!$A$3,"Mese",9,"Tipologia",$A174,"Viaggio",$A$170)),0,GETPIVOTDATA("Somma di DARE",'Pivot BBVA'!$A$3,"Mese",9,"Tipologia",$A174,"Viaggio",$A$170))
+IF(ISERROR(GETPIVOTDATA("Somma di DARE",'Pivot Amex'!$A$3,"Mese",9,"Tipologia",$A174,"Viaggio",$A$170)),0,GETPIVOTDATA("Somma di DARE",'Pivot Amex'!$A$3,"Mese",9,"Tipologia",$A174,"Viaggio",$A$170))
-IF(ISERROR(GETPIVOTDATA("Somma di AVERE",'Pivot Amex'!$A$3,"Mese",9,"Tipologia",$A174,"Viaggio",$A$170)),0,GETPIVOTDATA("Somma di AVERE",'Pivot Amex'!$A$3,"Mese",9,"Tipologia",$A174,"Viaggio",$A$170))
-IF(ISERROR(GETPIVOTDATA("Somma di AVERE",'Pivot BBVA'!$A$3,"Mese",9,"Tipologia",$A174,"Viaggio",$A$170)),0,GETPIVOTDATA("Somma di AVERE",'Pivot BBVA'!$A$3,"Mese",9,"Tipologia",$A174,"Viaggio",$A$170))
-IF(ISERROR(GETPIVOTDATA("Somma di AVERE",'Pivot Fineco St'!$A$3,"Mese",9,"Tipologia",$A174,"Viaggio",$A$170)),0,GETPIVOTDATA("Somma di AVERE",'Pivot Fineco St'!$A$3,"Mese",9,"Tipologia",$A174,"Viaggio",$A$170))
-IF(ISERROR(GETPIVOTDATA("Somma di AVERE",'Pivot Fineco Sa'!$A$3,"Mese",9,"Tipologia",$A174,"Viaggio",$A$170)),0,GETPIVOTDATA("Somma di AVERE",'Pivot Fineco Sa'!$A$3,"Mese",9,"Tipologia",$A174,"Viaggio",$A$170))
+IF(ISERROR(GETPIVOTDATA("Somma di DARE",'Pivot PP Visa'!$A$3,"Mese",9,"Tipologia",$A174,"Viaggio",$A$170)),0,GETPIVOTDATA("Somma di DARE",'Pivot PP Visa'!$A$3,"Mese",9,"Tipologia",$A174,"Viaggio",$A$170))
-IF(ISERROR(GETPIVOTDATA("Somma di AVERE",'Pivot PP Visa'!$A$3,"Mese",9,"Tipologia",$A174,"Viaggio",$A$170)),0,GETPIVOTDATA("Somma di AVERE",'Pivot PP Visa'!$A$3,"Mese",9,"Tipologia",$A174,"Viaggio",$A$170))
+IF(ISERROR(GETPIVOTDATA("Somma di DARE",'Pivot Revolut'!$A$3,"Mese",9,"Tipologia",$A174,"Viaggio",$A$170)),0,GETPIVOTDATA("Somma di DARE",'Pivot Revolut'!$A$3,"Mese",9,"Tipologia",$A174,"Viaggio",$A$170))
-IF(ISERROR(GETPIVOTDATA("Somma di AVERE",'Pivot Revolut'!$A$3,"Mese",9,"Tipologia",$A174,"Viaggio",$A$170)),0,GETPIVOTDATA("Somma di AVERE",'Pivot Revolut'!$A$3,"Mese",9,"Tipologia",$A174,"Viaggio",$A$170))
+IF(ISERROR(GETPIVOTDATA("Somma di DARE",'Pivot RakBank EUR'!$A$3,"Mese",9,"Tipologia",$A174,"Viaggio",$A$170)),0,GETPIVOTDATA("Somma di DARE",'Pivot RakBank EUR'!$A$3,"Mese",9,"Tipologia",$A174,"Viaggio",$A$170))
-IF(ISERROR(GETPIVOTDATA("Somma di AVERE",'Pivot RakBank EUR'!$A$3,"Mese",9,"Tipologia",$A174,"Viaggio",$A$170)),0,GETPIVOTDATA("Somma di AVERE",'Pivot RakBank EUR'!$A$3,"Mese",9,"Tipologia",$A174,"Viaggio",$A$170))
+IF(ISERROR(GETPIVOTDATA("Somma di DARE EUR",'Pivot RakBank AED'!$A$3,"Mese",9,"Tipologia",$A174,"Viaggio",$A$170)),0,GETPIVOTDATA("Somma di DARE EUR",'Pivot RakBank AED'!$A$3,"Mese",9,"Tipologia",$A174,"Viaggio",$A$170))
-IF(ISERROR(GETPIVOTDATA("Somma di AVERE EUR",'Pivot RakBank AED'!$A$3,"Mese",9,"Tipologia",$A174,"Viaggio",$A$170)),0,GETPIVOTDATA("Somma di AVERE EUR",'Pivot RakBank AED'!$A$3,"Mese",9,"Tipologia",$A174,"Viaggio",$A$170))</f>
        <v>0</v>
      </c>
      <c r="L174" s="270">
        <f>IF(ISERROR(GETPIVOTDATA("Somma di DARE",'Pivot Fineco Sa'!$A$3,"Mese",10,"Tipologia",$A174,"Viaggio",$A$170)),0,GETPIVOTDATA("Somma di DARE",'Pivot Fineco Sa'!$A$3,"Mese",10,"Tipologia",$A174,"Viaggio",$A$170))
+IF(ISERROR(GETPIVOTDATA("Somma di DARE",'Pivot Fineco St'!$A$3,"Mese",10,"Tipologia",$A174,"Viaggio",$A$170)),0,GETPIVOTDATA("Somma di DARE",'Pivot Fineco St'!$A$3,"Mese",10,"Tipologia",$A174,"Viaggio",$A$170))
+IF(Contanti!$AO42='Conto Economico'!$A$170,Contanti!$AL42)
+IF(ISERROR(GETPIVOTDATA("Somma di DARE",'Pivot BBVA'!$A$3,"Mese",10,"Tipologia",$A174,"Viaggio",$A$170)),0,GETPIVOTDATA("Somma di DARE",'Pivot BBVA'!$A$3,"Mese",10,"Tipologia",$A174,"Viaggio",$A$170))
+IF(ISERROR(GETPIVOTDATA("Somma di DARE",'Pivot Amex'!$A$3,"Mese",10,"Tipologia",$A174,"Viaggio",$A$170)),0,GETPIVOTDATA("Somma di DARE",'Pivot Amex'!$A$3,"Mese",10,"Tipologia",$A174,"Viaggio",$A$170))
-IF(ISERROR(GETPIVOTDATA("Somma di AVERE",'Pivot Amex'!$A$3,"Mese",10,"Tipologia",$A174,"Viaggio",$A$170)),0,GETPIVOTDATA("Somma di AVERE",'Pivot Amex'!$A$3,"Mese",10,"Tipologia",$A174,"Viaggio",$A$170))
-IF(ISERROR(GETPIVOTDATA("Somma di AVERE",'Pivot BBVA'!$A$3,"Mese",10,"Tipologia",$A174,"Viaggio",$A$170)),0,GETPIVOTDATA("Somma di AVERE",'Pivot BBVA'!$A$3,"Mese",10,"Tipologia",$A174,"Viaggio",$A$170))
-IF(ISERROR(GETPIVOTDATA("Somma di AVERE",'Pivot Fineco St'!$A$3,"Mese",10,"Tipologia",$A174,"Viaggio",$A$170)),0,GETPIVOTDATA("Somma di AVERE",'Pivot Fineco St'!$A$3,"Mese",10,"Tipologia",$A174,"Viaggio",$A$170))
-IF(ISERROR(GETPIVOTDATA("Somma di AVERE",'Pivot Fineco Sa'!$A$3,"Mese",10,"Tipologia",$A174,"Viaggio",$A$170)),0,GETPIVOTDATA("Somma di AVERE",'Pivot Fineco Sa'!$A$3,"Mese",10,"Tipologia",$A174,"Viaggio",$A$170))
+IF(ISERROR(GETPIVOTDATA("Somma di DARE",'Pivot PP Visa'!$A$3,"Mese",10,"Tipologia",$A174,"Viaggio",$A$170)),0,GETPIVOTDATA("Somma di DARE",'Pivot PP Visa'!$A$3,"Mese",10,"Tipologia",$A174,"Viaggio",$A$170))
-IF(ISERROR(GETPIVOTDATA("Somma di AVERE",'Pivot PP Visa'!$A$3,"Mese",10,"Tipologia",$A174,"Viaggio",$A$170)),0,GETPIVOTDATA("Somma di AVERE",'Pivot PP Visa'!$A$3,"Mese",10,"Tipologia",$A174,"Viaggio",$A$170))
+IF(ISERROR(GETPIVOTDATA("Somma di DARE",'Pivot Revolut'!$A$3,"Mese",10,"Tipologia",$A174,"Viaggio",$A$170)),0,GETPIVOTDATA("Somma di DARE",'Pivot Revolut'!$A$3,"Mese",10,"Tipologia",$A174,"Viaggio",$A$170))
-IF(ISERROR(GETPIVOTDATA("Somma di AVERE",'Pivot Revolut'!$A$3,"Mese",10,"Tipologia",$A174,"Viaggio",$A$170)),0,GETPIVOTDATA("Somma di AVERE",'Pivot Revolut'!$A$3,"Mese",10,"Tipologia",$A174,"Viaggio",$A$170))
+IF(ISERROR(GETPIVOTDATA("Somma di DARE",'Pivot RakBank EUR'!$A$3,"Mese",10,"Tipologia",$A174,"Viaggio",$A$170)),0,GETPIVOTDATA("Somma di DARE",'Pivot RakBank EUR'!$A$3,"Mese",10,"Tipologia",$A174,"Viaggio",$A$170))
-IF(ISERROR(GETPIVOTDATA("Somma di AVERE",'Pivot RakBank EUR'!$A$3,"Mese",10,"Tipologia",$A174,"Viaggio",$A$170)),0,GETPIVOTDATA("Somma di AVERE",'Pivot RakBank EUR'!$A$3,"Mese",10,"Tipologia",$A174,"Viaggio",$A$170))
+IF(ISERROR(GETPIVOTDATA("Somma di DARE EUR",'Pivot RakBank AED'!$A$3,"Mese",10,"Tipologia",$A174,"Viaggio",$A$170)),0,GETPIVOTDATA("Somma di DARE EUR",'Pivot RakBank AED'!$A$3,"Mese",10,"Tipologia",$A174,"Viaggio",$A$170))
-IF(ISERROR(GETPIVOTDATA("Somma di AVERE EUR",'Pivot RakBank AED'!$A$3,"Mese",10,"Tipologia",$A174,"Viaggio",$A$170)),0,GETPIVOTDATA("Somma di AVERE EUR",'Pivot RakBank AED'!$A$3,"Mese",10,"Tipologia",$A174,"Viaggio",$A$170))</f>
        <v>0</v>
      </c>
      <c r="M174" s="270">
        <f>IF(ISERROR(GETPIVOTDATA("Somma di DARE",'Pivot Fineco Sa'!$A$3,"Mese",11,"Tipologia",$A174,"Viaggio",$A$170)),0,GETPIVOTDATA("Somma di DARE",'Pivot Fineco Sa'!$A$3,"Mese",11,"Tipologia",$A174,"Viaggio",$A$170))
+IF(ISERROR(GETPIVOTDATA("Somma di DARE",'Pivot Fineco St'!$A$3,"Mese",11,"Tipologia",$A174,"Viaggio",$A$170)),0,GETPIVOTDATA("Somma di DARE",'Pivot Fineco St'!$A$3,"Mese",11,"Tipologia",$A174,"Viaggio",$A$170))
+IF(Contanti!$AS42='Conto Economico'!$A$170,Contanti!$AP42)
+IF(ISERROR(GETPIVOTDATA("Somma di DARE",'Pivot BBVA'!$A$3,"Mese",11,"Tipologia",$A174,"Viaggio",$A$170)),0,GETPIVOTDATA("Somma di DARE",'Pivot BBVA'!$A$3,"Mese",11,"Tipologia",$A174,"Viaggio",$A$170))
+IF(ISERROR(GETPIVOTDATA("Somma di DARE",'Pivot Amex'!$A$3,"Mese",11,"Tipologia",$A174,"Viaggio",$A$170)),0,GETPIVOTDATA("Somma di DARE",'Pivot Amex'!$A$3,"Mese",11,"Tipologia",$A174,"Viaggio",$A$170))
-IF(ISERROR(GETPIVOTDATA("Somma di AVERE",'Pivot Amex'!$A$3,"Mese",11,"Tipologia",$A174,"Viaggio",$A$170)),0,GETPIVOTDATA("Somma di AVERE",'Pivot Amex'!$A$3,"Mese",11,"Tipologia",$A174,"Viaggio",$A$170))
-IF(ISERROR(GETPIVOTDATA("Somma di AVERE",'Pivot BBVA'!$A$3,"Mese",11,"Tipologia",$A174,"Viaggio",$A$170)),0,GETPIVOTDATA("Somma di AVERE",'Pivot BBVA'!$A$3,"Mese",11,"Tipologia",$A174,"Viaggio",$A$170))
-IF(ISERROR(GETPIVOTDATA("Somma di AVERE",'Pivot Fineco St'!$A$3,"Mese",11,"Tipologia",$A174,"Viaggio",$A$170)),0,GETPIVOTDATA("Somma di AVERE",'Pivot Fineco St'!$A$3,"Mese",11,"Tipologia",$A174,"Viaggio",$A$170))
-IF(ISERROR(GETPIVOTDATA("Somma di AVERE",'Pivot Fineco Sa'!$A$3,"Mese",11,"Tipologia",$A174,"Viaggio",$A$170)),0,GETPIVOTDATA("Somma di AVERE",'Pivot Fineco Sa'!$A$3,"Mese",11,"Tipologia",$A174,"Viaggio",$A$170))
+IF(ISERROR(GETPIVOTDATA("Somma di DARE",'Pivot PP Visa'!$A$3,"Mese",11,"Tipologia",$A174,"Viaggio",$A$170)),0,GETPIVOTDATA("Somma di DARE",'Pivot PP Visa'!$A$3,"Mese",11,"Tipologia",$A174,"Viaggio",$A$170))
-IF(ISERROR(GETPIVOTDATA("Somma di AVERE",'Pivot PP Visa'!$A$3,"Mese",11,"Tipologia",$A174,"Viaggio",$A$170)),0,GETPIVOTDATA("Somma di AVERE",'Pivot PP Visa'!$A$3,"Mese",11,"Tipologia",$A174,"Viaggio",$A$170))
+IF(ISERROR(GETPIVOTDATA("Somma di DARE",'Pivot Revolut'!$A$3,"Mese",11,"Tipologia",$A174,"Viaggio",$A$170)),0,GETPIVOTDATA("Somma di DARE",'Pivot Revolut'!$A$3,"Mese",11,"Tipologia",$A174,"Viaggio",$A$170))
-IF(ISERROR(GETPIVOTDATA("Somma di AVERE",'Pivot Revolut'!$A$3,"Mese",11,"Tipologia",$A174,"Viaggio",$A$170)),0,GETPIVOTDATA("Somma di AVERE",'Pivot Revolut'!$A$3,"Mese",11,"Tipologia",$A174,"Viaggio",$A$170))
+IF(ISERROR(GETPIVOTDATA("Somma di DARE",'Pivot RakBank EUR'!$A$3,"Mese",11,"Tipologia",$A174,"Viaggio",$A$170)),0,GETPIVOTDATA("Somma di DARE",'Pivot RakBank EUR'!$A$3,"Mese",11,"Tipologia",$A174,"Viaggio",$A$170))
-IF(ISERROR(GETPIVOTDATA("Somma di AVERE",'Pivot RakBank EUR'!$A$3,"Mese",11,"Tipologia",$A174,"Viaggio",$A$170)),0,GETPIVOTDATA("Somma di AVERE",'Pivot RakBank EUR'!$A$3,"Mese",11,"Tipologia",$A174,"Viaggio",$A$170))
+IF(ISERROR(GETPIVOTDATA("Somma di DARE EUR",'Pivot RakBank AED'!$A$3,"Mese",11,"Tipologia",$A174,"Viaggio",$A$170)),0,GETPIVOTDATA("Somma di DARE EUR",'Pivot RakBank AED'!$A$3,"Mese",11,"Tipologia",$A174,"Viaggio",$A$170))
-IF(ISERROR(GETPIVOTDATA("Somma di AVERE EUR",'Pivot RakBank AED'!$A$3,"Mese",11,"Tipologia",$A174,"Viaggio",$A$170)),0,GETPIVOTDATA("Somma di AVERE EUR",'Pivot RakBank AED'!$A$3,"Mese",11,"Tipologia",$A174,"Viaggio",$A$170))</f>
        <v>0</v>
      </c>
      <c r="N174" s="270">
        <f>IF(ISERROR(GETPIVOTDATA("Somma di DARE",'Pivot Fineco Sa'!$A$3,"Mese",12,"Tipologia",$A174,"Viaggio",$A$170)),0,GETPIVOTDATA("Somma di DARE",'Pivot Fineco Sa'!$A$3,"Mese",12,"Tipologia",$A174,"Viaggio",$A$170))
+IF(ISERROR(GETPIVOTDATA("Somma di DARE",'Pivot Fineco St'!$A$3,"Mese",12,"Tipologia",$A174,"Viaggio",$A$170)),0,GETPIVOTDATA("Somma di DARE",'Pivot Fineco St'!$A$3,"Mese",12,"Tipologia",$A174,"Viaggio",$A$170))
+IF(Contanti!$AW42='Conto Economico'!$A$170,Contanti!$AT42)
+IF(ISERROR(GETPIVOTDATA("Somma di DARE",'Pivot BBVA'!$A$3,"Mese",12,"Tipologia",$A174,"Viaggio",$A$170)),0,GETPIVOTDATA("Somma di DARE",'Pivot BBVA'!$A$3,"Mese",12,"Tipologia",$A174,"Viaggio",$A$170))
+IF(ISERROR(GETPIVOTDATA("Somma di DARE",'Pivot Amex'!$A$3,"Mese",12,"Tipologia",$A174,"Viaggio",$A$170)),0,GETPIVOTDATA("Somma di DARE",'Pivot Amex'!$A$3,"Mese",12,"Tipologia",$A174,"Viaggio",$A$170))
-IF(ISERROR(GETPIVOTDATA("Somma di AVERE",'Pivot Amex'!$A$3,"Mese",12,"Tipologia",$A174,"Viaggio",$A$170)),0,GETPIVOTDATA("Somma di AVERE",'Pivot Amex'!$A$3,"Mese",12,"Tipologia",$A174,"Viaggio",$A$170))
-IF(ISERROR(GETPIVOTDATA("Somma di AVERE",'Pivot BBVA'!$A$3,"Mese",12,"Tipologia",$A174,"Viaggio",$A$170)),0,GETPIVOTDATA("Somma di AVERE",'Pivot BBVA'!$A$3,"Mese",12,"Tipologia",$A174,"Viaggio",$A$170))
-IF(ISERROR(GETPIVOTDATA("Somma di AVERE",'Pivot Fineco St'!$A$3,"Mese",12,"Tipologia",$A174,"Viaggio",$A$170)),0,GETPIVOTDATA("Somma di AVERE",'Pivot Fineco St'!$A$3,"Mese",12,"Tipologia",$A174,"Viaggio",$A$170))
-IF(ISERROR(GETPIVOTDATA("Somma di AVERE",'Pivot Fineco Sa'!$A$3,"Mese",12,"Tipologia",$A174,"Viaggio",$A$170)),0,GETPIVOTDATA("Somma di AVERE",'Pivot Fineco Sa'!$A$3,"Mese",12,"Tipologia",$A174,"Viaggio",$A$170))
+IF(ISERROR(GETPIVOTDATA("Somma di DARE",'Pivot PP Visa'!$A$3,"Mese",12,"Tipologia",$A174,"Viaggio",$A$170)),0,GETPIVOTDATA("Somma di DARE",'Pivot PP Visa'!$A$3,"Mese",12,"Tipologia",$A174,"Viaggio",$A$170))
-IF(ISERROR(GETPIVOTDATA("Somma di AVERE",'Pivot PP Visa'!$A$3,"Mese",12,"Tipologia",$A174,"Viaggio",$A$170)),0,GETPIVOTDATA("Somma di AVERE",'Pivot PP Visa'!$A$3,"Mese",12,"Tipologia",$A174,"Viaggio",$A$170))
+IF(ISERROR(GETPIVOTDATA("Somma di DARE",'Pivot Revolut'!$A$3,"Mese",12,"Tipologia",$A174,"Viaggio",$A$170)),0,GETPIVOTDATA("Somma di DARE",'Pivot Revolut'!$A$3,"Mese",12,"Tipologia",$A174,"Viaggio",$A$170))
-IF(ISERROR(GETPIVOTDATA("Somma di AVERE",'Pivot Revolut'!$A$3,"Mese",12,"Tipologia",$A174,"Viaggio",$A$170)),0,GETPIVOTDATA("Somma di AVERE",'Pivot Revolut'!$A$3,"Mese",12,"Tipologia",$A174,"Viaggio",$A$170))
+IF(ISERROR(GETPIVOTDATA("Somma di DARE",'Pivot RakBank EUR'!$A$3,"Mese",12,"Tipologia",$A174,"Viaggio",$A$170)),0,GETPIVOTDATA("Somma di DARE",'Pivot RakBank EUR'!$A$3,"Mese",12,"Tipologia",$A174,"Viaggio",$A$170))
-IF(ISERROR(GETPIVOTDATA("Somma di AVERE",'Pivot RakBank EUR'!$A$3,"Mese",12,"Tipologia",$A174,"Viaggio",$A$170)),0,GETPIVOTDATA("Somma di AVERE",'Pivot RakBank EUR'!$A$3,"Mese",12,"Tipologia",$A174,"Viaggio",$A$170))
+IF(ISERROR(GETPIVOTDATA("Somma di DARE EUR",'Pivot RakBank AED'!$A$3,"Mese",12,"Tipologia",$A174,"Viaggio",$A$170)),0,GETPIVOTDATA("Somma di DARE EUR",'Pivot RakBank AED'!$A$3,"Mese",12,"Tipologia",$A174,"Viaggio",$A$170))
-IF(ISERROR(GETPIVOTDATA("Somma di AVERE EUR",'Pivot RakBank AED'!$A$3,"Mese",12,"Tipologia",$A174,"Viaggio",$A$170)),0,GETPIVOTDATA("Somma di AVERE EUR",'Pivot RakBank AED'!$A$3,"Mese",12,"Tipologia",$A174,"Viaggio",$A$170))</f>
        <v>0</v>
      </c>
      <c r="O174" s="271">
        <f t="shared" si="23"/>
        <v>0</v>
      </c>
      <c r="P174" s="270"/>
    </row>
    <row r="175" spans="1:16" s="131" customFormat="1" ht="14" outlineLevel="1" x14ac:dyDescent="0.2">
      <c r="A175" s="269" t="s">
        <v>177</v>
      </c>
      <c r="B175" s="269"/>
      <c r="C175" s="270">
        <f>IF(ISERROR(GETPIVOTDATA("Somma di DARE",'Pivot Fineco Sa'!$A$3,"Mese",1,"Tipologia",$A175,"Viaggio",$A$170)),0,GETPIVOTDATA("Somma di DARE",'Pivot Fineco Sa'!$A$3,"Mese",1,"Tipologia",$A175,"Viaggio",$A$170))
+IF(ISERROR(GETPIVOTDATA("Somma di DARE",'Pivot Fineco St'!$A$3,"Mese",1,"Tipologia",$A175,"Viaggio",$A$170)),0,GETPIVOTDATA("Somma di DARE",'Pivot Fineco St'!$A$3,"Mese",1,"Tipologia",$A175,"Viaggio",$A$170))
+IF(Contanti!$E43='Conto Economico'!$A$170,Contanti!$B43)
+IF(ISERROR(GETPIVOTDATA("Somma di DARE",'Pivot BBVA'!$A$3,"Mese",1,"Tipologia",$A175,"Viaggio",$A$170)),0,GETPIVOTDATA("Somma di DARE",'Pivot BBVA'!$A$3,"Mese",1,"Tipologia",$A175,"Viaggio",$A$170))
+IF(ISERROR(GETPIVOTDATA("Somma di DARE",'Pivot Amex'!$A$3,"Mese",1,"Tipologia",$A175,"Viaggio",$A$170)),0,GETPIVOTDATA("Somma di DARE",'Pivot Amex'!$A$3,"Mese",1,"Tipologia",$A175,"Viaggio",$A$170))
-IF(ISERROR(GETPIVOTDATA("Somma di AVERE",'Pivot Amex'!$A$3,"Mese",1,"Tipologia",$A175,"Viaggio",$A$170)),0,GETPIVOTDATA("Somma di AVERE",'Pivot Amex'!$A$3,"Mese",1,"Tipologia",$A175,"Viaggio",$A$170))
-IF(ISERROR(GETPIVOTDATA("Somma di AVERE",'Pivot BBVA'!$A$3,"Mese",1,"Tipologia",$A175,"Viaggio",$A$170)),0,GETPIVOTDATA("Somma di AVERE",'Pivot BBVA'!$A$3,"Mese",1,"Tipologia",$A175,"Viaggio",$A$170))
-IF(ISERROR(GETPIVOTDATA("Somma di AVERE",'Pivot Fineco St'!$A$3,"Mese",1,"Tipologia",$A175,"Viaggio",$A$170)),0,GETPIVOTDATA("Somma di AVERE",'Pivot Fineco St'!$A$3,"Mese",1,"Tipologia",$A175,"Viaggio",$A$170))
-IF(ISERROR(GETPIVOTDATA("Somma di AVERE",'Pivot Fineco Sa'!$A$3,"Mese",1,"Tipologia",$A175,"Viaggio",$A$170)),0,GETPIVOTDATA("Somma di AVERE",'Pivot Fineco Sa'!$A$3,"Mese",1,"Tipologia",$A175,"Viaggio",$A$170))
+IF(ISERROR(GETPIVOTDATA("Somma di DARE",'Pivot PP Visa'!$A$3,"Mese",1,"Tipologia",$A175,"Viaggio",$A$170)),0,GETPIVOTDATA("Somma di DARE",'Pivot PP Visa'!$A$3,"Mese",1,"Tipologia",$A175,"Viaggio",$A$170))
-IF(ISERROR(GETPIVOTDATA("Somma di AVERE",'Pivot PP Visa'!$A$3,"Mese",1,"Tipologia",$A175,"Viaggio",$A$170)),0,GETPIVOTDATA("Somma di AVERE",'Pivot PP Visa'!$A$3,"Mese",1,"Tipologia",$A175,"Viaggio",$A$170))
+IF(ISERROR(GETPIVOTDATA("Somma di DARE",'Pivot Revolut'!$A$3,"Mese",1,"Tipologia",$A175,"Viaggio",$A$170)),0,GETPIVOTDATA("Somma di DARE",'Pivot Revolut'!$A$3,"Mese",1,"Tipologia",$A175,"Viaggio",$A$170))
-IF(ISERROR(GETPIVOTDATA("Somma di AVERE",'Pivot Revolut'!$A$3,"Mese",1,"Tipologia",$A175,"Viaggio",$A$170)),0,GETPIVOTDATA("Somma di AVERE",'Pivot Revolut'!$A$3,"Mese",1,"Tipologia",$A175,"Viaggio",$A$170))
+IF(ISERROR(GETPIVOTDATA("Somma di DARE",'Pivot RakBank EUR'!$A$3,"Mese",1,"Tipologia",$A175,"Viaggio",$A$170)),0,GETPIVOTDATA("Somma di DARE",'Pivot RakBank EUR'!$A$3,"Mese",1,"Tipologia",$A175,"Viaggio",$A$170))
-IF(ISERROR(GETPIVOTDATA("Somma di AVERE",'Pivot RakBank EUR'!$A$3,"Mese",1,"Tipologia",$A175,"Viaggio",$A$170)),0,GETPIVOTDATA("Somma di AVERE",'Pivot RakBank EUR'!$A$3,"Mese",1,"Tipologia",$A175,"Viaggio",$A$170))
+IF(ISERROR(GETPIVOTDATA("Somma di DARE EUR",'Pivot RakBank AED'!$A$3,"Mese",1,"Tipologia",$A175,"Viaggio",$A$170)),0,GETPIVOTDATA("Somma di DARE EUR",'Pivot RakBank AED'!$A$3,"Mese",1,"Tipologia",$A175,"Viaggio",$A$170))
-IF(ISERROR(GETPIVOTDATA("Somma di AVERE EUR",'Pivot RakBank AED'!$A$3,"Mese",1,"Tipologia",$A175,"Viaggio",$A$170)),0,GETPIVOTDATA("Somma di AVERE EUR",'Pivot RakBank AED'!$A$3,"Mese",1,"Tipologia",$A175,"Viaggio",$A$170))</f>
        <v>0</v>
      </c>
      <c r="D175" s="270">
        <f>IF(ISERROR(GETPIVOTDATA("Somma di DARE",'Pivot Fineco Sa'!$A$3,"Mese",2,"Tipologia",$A175,"Viaggio",$A$170)),0,GETPIVOTDATA("Somma di DARE",'Pivot Fineco Sa'!$A$3,"Mese",2,"Tipologia",$A175,"Viaggio",$A$170))
+IF(ISERROR(GETPIVOTDATA("Somma di DARE",'Pivot Fineco St'!$A$3,"Mese",2,"Tipologia",$A175,"Viaggio",$A$170)),0,GETPIVOTDATA("Somma di DARE",'Pivot Fineco St'!$A$3,"Mese",2,"Tipologia",$A175,"Viaggio",$A$170))
+IF(Contanti!$I43='Conto Economico'!$A$170,Contanti!$F43)
+IF(ISERROR(GETPIVOTDATA("Somma di DARE",'Pivot BBVA'!$A$3,"Mese",2,"Tipologia",$A175,"Viaggio",$A$170)),0,GETPIVOTDATA("Somma di DARE",'Pivot BBVA'!$A$3,"Mese",2,"Tipologia",$A175,"Viaggio",$A$170))
+IF(ISERROR(GETPIVOTDATA("Somma di DARE",'Pivot Amex'!$A$3,"Mese",2,"Tipologia",$A175,"Viaggio",$A$170)),0,GETPIVOTDATA("Somma di DARE",'Pivot Amex'!$A$3,"Mese",2,"Tipologia",$A175,"Viaggio",$A$170))
-IF(ISERROR(GETPIVOTDATA("Somma di AVERE",'Pivot Amex'!$A$3,"Mese",2,"Tipologia",$A175,"Viaggio",$A$170)),0,GETPIVOTDATA("Somma di AVERE",'Pivot Amex'!$A$3,"Mese",2,"Tipologia",$A175,"Viaggio",$A$170))
-IF(ISERROR(GETPIVOTDATA("Somma di AVERE",'Pivot BBVA'!$A$3,"Mese",2,"Tipologia",$A175,"Viaggio",$A$170)),0,GETPIVOTDATA("Somma di AVERE",'Pivot BBVA'!$A$3,"Mese",2,"Tipologia",$A175,"Viaggio",$A$170))
-IF(ISERROR(GETPIVOTDATA("Somma di AVERE",'Pivot Fineco St'!$A$3,"Mese",2,"Tipologia",$A175,"Viaggio",$A$170)),0,GETPIVOTDATA("Somma di AVERE",'Pivot Fineco St'!$A$3,"Mese",2,"Tipologia",$A175,"Viaggio",$A$170))
-IF(ISERROR(GETPIVOTDATA("Somma di AVERE",'Pivot Fineco Sa'!$A$3,"Mese",2,"Tipologia",$A175,"Viaggio",$A$170)),0,GETPIVOTDATA("Somma di AVERE",'Pivot Fineco Sa'!$A$3,"Mese",2,"Tipologia",$A175,"Viaggio",$A$170))
+IF(ISERROR(GETPIVOTDATA("Somma di DARE",'Pivot PP Visa'!$A$3,"Mese",2,"Tipologia",$A175,"Viaggio",$A$170)),0,GETPIVOTDATA("Somma di DARE",'Pivot PP Visa'!$A$3,"Mese",2,"Tipologia",$A175,"Viaggio",$A$170))
-IF(ISERROR(GETPIVOTDATA("Somma di AVERE",'Pivot PP Visa'!$A$3,"Mese",2,"Tipologia",$A175,"Viaggio",$A$170)),0,GETPIVOTDATA("Somma di AVERE",'Pivot PP Visa'!$A$3,"Mese",2,"Tipologia",$A175,"Viaggio",$A$170))
+IF(ISERROR(GETPIVOTDATA("Somma di DARE",'Pivot Revolut'!$A$3,"Mese",2,"Tipologia",$A175,"Viaggio",$A$170)),0,GETPIVOTDATA("Somma di DARE",'Pivot Revolut'!$A$3,"Mese",2,"Tipologia",$A175,"Viaggio",$A$170))
-IF(ISERROR(GETPIVOTDATA("Somma di AVERE",'Pivot Revolut'!$A$3,"Mese",2,"Tipologia",$A175,"Viaggio",$A$170)),0,GETPIVOTDATA("Somma di AVERE",'Pivot Revolut'!$A$3,"Mese",2,"Tipologia",$A175,"Viaggio",$A$170))
+IF(ISERROR(GETPIVOTDATA("Somma di DARE",'Pivot RakBank EUR'!$A$3,"Mese",2,"Tipologia",$A175,"Viaggio",$A$170)),0,GETPIVOTDATA("Somma di DARE",'Pivot RakBank EUR'!$A$3,"Mese",2,"Tipologia",$A175,"Viaggio",$A$170))
-IF(ISERROR(GETPIVOTDATA("Somma di AVERE",'Pivot RakBank EUR'!$A$3,"Mese",2,"Tipologia",$A175,"Viaggio",$A$170)),0,GETPIVOTDATA("Somma di AVERE",'Pivot RakBank EUR'!$A$3,"Mese",2,"Tipologia",$A175,"Viaggio",$A$170))
+IF(ISERROR(GETPIVOTDATA("Somma di DARE EUR",'Pivot RakBank AED'!$A$3,"Mese",2,"Tipologia",$A175,"Viaggio",$A$170)),0,GETPIVOTDATA("Somma di DARE EUR",'Pivot RakBank AED'!$A$3,"Mese",2,"Tipologia",$A175,"Viaggio",$A$170))
-IF(ISERROR(GETPIVOTDATA("Somma di AVERE EUR",'Pivot RakBank AED'!$A$3,"Mese",2,"Tipologia",$A175,"Viaggio",$A$170)),0,GETPIVOTDATA("Somma di AVERE EUR",'Pivot RakBank AED'!$A$3,"Mese",2,"Tipologia",$A175,"Viaggio",$A$170))</f>
        <v>0</v>
      </c>
      <c r="E175" s="270">
        <f>IF(ISERROR(GETPIVOTDATA("Somma di DARE",'Pivot Fineco Sa'!$A$3,"Mese",3,"Tipologia",$A175,"Viaggio",$A$170)),0,GETPIVOTDATA("Somma di DARE",'Pivot Fineco Sa'!$A$3,"Mese",3,"Tipologia",$A175,"Viaggio",$A$170))
+IF(ISERROR(GETPIVOTDATA("Somma di DARE",'Pivot Fineco St'!$A$3,"Mese",3,"Tipologia",$A175,"Viaggio",$A$170)),0,GETPIVOTDATA("Somma di DARE",'Pivot Fineco St'!$A$3,"Mese",3,"Tipologia",$A175,"Viaggio",$A$170))
+IF(Contanti!$M43='Conto Economico'!$A$170,Contanti!$J43)
+IF(ISERROR(GETPIVOTDATA("Somma di DARE",'Pivot BBVA'!$A$3,"Mese",3,"Tipologia",$A175,"Viaggio",$A$170)),0,GETPIVOTDATA("Somma di DARE",'Pivot BBVA'!$A$3,"Mese",3,"Tipologia",$A175,"Viaggio",$A$170))
+IF(ISERROR(GETPIVOTDATA("Somma di DARE",'Pivot Amex'!$A$3,"Mese",3,"Tipologia",$A175,"Viaggio",$A$170)),0,GETPIVOTDATA("Somma di DARE",'Pivot Amex'!$A$3,"Mese",3,"Tipologia",$A175,"Viaggio",$A$170))
-IF(ISERROR(GETPIVOTDATA("Somma di AVERE",'Pivot Amex'!$A$3,"Mese",3,"Tipologia",$A175,"Viaggio",$A$170)),0,GETPIVOTDATA("Somma di AVERE",'Pivot Amex'!$A$3,"Mese",3,"Tipologia",$A175,"Viaggio",$A$170))
-IF(ISERROR(GETPIVOTDATA("Somma di AVERE",'Pivot BBVA'!$A$3,"Mese",3,"Tipologia",$A175,"Viaggio",$A$170)),0,GETPIVOTDATA("Somma di AVERE",'Pivot BBVA'!$A$3,"Mese",3,"Tipologia",$A175,"Viaggio",$A$170))
-IF(ISERROR(GETPIVOTDATA("Somma di AVERE",'Pivot Fineco St'!$A$3,"Mese",3,"Tipologia",$A175,"Viaggio",$A$170)),0,GETPIVOTDATA("Somma di AVERE",'Pivot Fineco St'!$A$3,"Mese",3,"Tipologia",$A175,"Viaggio",$A$170))
-IF(ISERROR(GETPIVOTDATA("Somma di AVERE",'Pivot Fineco Sa'!$A$3,"Mese",3,"Tipologia",$A175,"Viaggio",$A$170)),0,GETPIVOTDATA("Somma di AVERE",'Pivot Fineco Sa'!$A$3,"Mese",3,"Tipologia",$A175,"Viaggio",$A$170))
+IF(ISERROR(GETPIVOTDATA("Somma di DARE",'Pivot PP Visa'!$A$3,"Mese",3,"Tipologia",$A175,"Viaggio",$A$170)),0,GETPIVOTDATA("Somma di DARE",'Pivot PP Visa'!$A$3,"Mese",3,"Tipologia",$A175,"Viaggio",$A$170))
-IF(ISERROR(GETPIVOTDATA("Somma di AVERE",'Pivot PP Visa'!$A$3,"Mese",3,"Tipologia",$A175,"Viaggio",$A$170)),0,GETPIVOTDATA("Somma di AVERE",'Pivot PP Visa'!$A$3,"Mese",3,"Tipologia",$A175,"Viaggio",$A$170))
+IF(ISERROR(GETPIVOTDATA("Somma di DARE",'Pivot Revolut'!$A$3,"Mese",3,"Tipologia",$A175,"Viaggio",$A$170)),0,GETPIVOTDATA("Somma di DARE",'Pivot Revolut'!$A$3,"Mese",3,"Tipologia",$A175,"Viaggio",$A$170))
-IF(ISERROR(GETPIVOTDATA("Somma di AVERE",'Pivot Revolut'!$A$3,"Mese",3,"Tipologia",$A175,"Viaggio",$A$170)),0,GETPIVOTDATA("Somma di AVERE",'Pivot Revolut'!$A$3,"Mese",3,"Tipologia",$A175,"Viaggio",$A$170))
+IF(ISERROR(GETPIVOTDATA("Somma di DARE",'Pivot RakBank EUR'!$A$3,"Mese",3,"Tipologia",$A175,"Viaggio",$A$170)),0,GETPIVOTDATA("Somma di DARE",'Pivot RakBank EUR'!$A$3,"Mese",3,"Tipologia",$A175,"Viaggio",$A$170))
-IF(ISERROR(GETPIVOTDATA("Somma di AVERE",'Pivot RakBank EUR'!$A$3,"Mese",3,"Tipologia",$A175,"Viaggio",$A$170)),0,GETPIVOTDATA("Somma di AVERE",'Pivot RakBank EUR'!$A$3,"Mese",3,"Tipologia",$A175,"Viaggio",$A$170))
+IF(ISERROR(GETPIVOTDATA("Somma di DARE EUR",'Pivot RakBank AED'!$A$3,"Mese",3,"Tipologia",$A175,"Viaggio",$A$170)),0,GETPIVOTDATA("Somma di DARE EUR",'Pivot RakBank AED'!$A$3,"Mese",3,"Tipologia",$A175,"Viaggio",$A$170))
-IF(ISERROR(GETPIVOTDATA("Somma di AVERE EUR",'Pivot RakBank AED'!$A$3,"Mese",3,"Tipologia",$A175,"Viaggio",$A$170)),0,GETPIVOTDATA("Somma di AVERE EUR",'Pivot RakBank AED'!$A$3,"Mese",3,"Tipologia",$A175,"Viaggio",$A$170))</f>
        <v>0</v>
      </c>
      <c r="F175" s="270">
        <f>IF(ISERROR(GETPIVOTDATA("Somma di DARE",'Pivot Fineco Sa'!$A$3,"Mese",4,"Tipologia",$A175,"Viaggio",$A$170)),0,GETPIVOTDATA("Somma di DARE",'Pivot Fineco Sa'!$A$3,"Mese",4,"Tipologia",$A175,"Viaggio",$A$170))
+IF(ISERROR(GETPIVOTDATA("Somma di DARE",'Pivot Fineco St'!$A$3,"Mese",4,"Tipologia",$A175,"Viaggio",$A$170)),0,GETPIVOTDATA("Somma di DARE",'Pivot Fineco St'!$A$3,"Mese",4,"Tipologia",$A175,"Viaggio",$A$170))
+IF(Contanti!$Q43='Conto Economico'!$A$170,Contanti!$N43)
+IF(ISERROR(GETPIVOTDATA("Somma di DARE",'Pivot BBVA'!$A$3,"Mese",4,"Tipologia",$A175,"Viaggio",$A$170)),0,GETPIVOTDATA("Somma di DARE",'Pivot BBVA'!$A$3,"Mese",4,"Tipologia",$A175,"Viaggio",$A$170))
+IF(ISERROR(GETPIVOTDATA("Somma di DARE",'Pivot Amex'!$A$3,"Mese",4,"Tipologia",$A175,"Viaggio",$A$170)),0,GETPIVOTDATA("Somma di DARE",'Pivot Amex'!$A$3,"Mese",4,"Tipologia",$A175,"Viaggio",$A$170))
-IF(ISERROR(GETPIVOTDATA("Somma di AVERE",'Pivot Amex'!$A$3,"Mese",4,"Tipologia",$A175,"Viaggio",$A$170)),0,GETPIVOTDATA("Somma di AVERE",'Pivot Amex'!$A$3,"Mese",4,"Tipologia",$A175,"Viaggio",$A$170))
-IF(ISERROR(GETPIVOTDATA("Somma di AVERE",'Pivot BBVA'!$A$3,"Mese",4,"Tipologia",$A175,"Viaggio",$A$170)),0,GETPIVOTDATA("Somma di AVERE",'Pivot BBVA'!$A$3,"Mese",4,"Tipologia",$A175,"Viaggio",$A$170))
-IF(ISERROR(GETPIVOTDATA("Somma di AVERE",'Pivot Fineco St'!$A$3,"Mese",4,"Tipologia",$A175,"Viaggio",$A$170)),0,GETPIVOTDATA("Somma di AVERE",'Pivot Fineco St'!$A$3,"Mese",4,"Tipologia",$A175,"Viaggio",$A$170))
-IF(ISERROR(GETPIVOTDATA("Somma di AVERE",'Pivot Fineco Sa'!$A$3,"Mese",4,"Tipologia",$A175,"Viaggio",$A$170)),0,GETPIVOTDATA("Somma di AVERE",'Pivot Fineco Sa'!$A$3,"Mese",4,"Tipologia",$A175,"Viaggio",$A$170))
+IF(ISERROR(GETPIVOTDATA("Somma di DARE",'Pivot PP Visa'!$A$3,"Mese",4,"Tipologia",$A175,"Viaggio",$A$170)),0,GETPIVOTDATA("Somma di DARE",'Pivot PP Visa'!$A$3,"Mese",4,"Tipologia",$A175,"Viaggio",$A$170))
-IF(ISERROR(GETPIVOTDATA("Somma di AVERE",'Pivot PP Visa'!$A$3,"Mese",4,"Tipologia",$A175,"Viaggio",$A$170)),0,GETPIVOTDATA("Somma di AVERE",'Pivot PP Visa'!$A$3,"Mese",4,"Tipologia",$A175,"Viaggio",$A$170))
+IF(ISERROR(GETPIVOTDATA("Somma di DARE",'Pivot Revolut'!$A$3,"Mese",4,"Tipologia",$A175,"Viaggio",$A$170)),0,GETPIVOTDATA("Somma di DARE",'Pivot Revolut'!$A$3,"Mese",4,"Tipologia",$A175,"Viaggio",$A$170))
-IF(ISERROR(GETPIVOTDATA("Somma di AVERE",'Pivot Revolut'!$A$3,"Mese",4,"Tipologia",$A175,"Viaggio",$A$170)),0,GETPIVOTDATA("Somma di AVERE",'Pivot Revolut'!$A$3,"Mese",4,"Tipologia",$A175,"Viaggio",$A$170))
+IF(ISERROR(GETPIVOTDATA("Somma di DARE",'Pivot RakBank EUR'!$A$3,"Mese",4,"Tipologia",$A175,"Viaggio",$A$170)),0,GETPIVOTDATA("Somma di DARE",'Pivot RakBank EUR'!$A$3,"Mese",4,"Tipologia",$A175,"Viaggio",$A$170))
-IF(ISERROR(GETPIVOTDATA("Somma di AVERE",'Pivot RakBank EUR'!$A$3,"Mese",4,"Tipologia",$A175,"Viaggio",$A$170)),0,GETPIVOTDATA("Somma di AVERE",'Pivot RakBank EUR'!$A$3,"Mese",4,"Tipologia",$A175,"Viaggio",$A$170))
+IF(ISERROR(GETPIVOTDATA("Somma di DARE EUR",'Pivot RakBank AED'!$A$3,"Mese",4,"Tipologia",$A175,"Viaggio",$A$170)),0,GETPIVOTDATA("Somma di DARE EUR",'Pivot RakBank AED'!$A$3,"Mese",4,"Tipologia",$A175,"Viaggio",$A$170))
-IF(ISERROR(GETPIVOTDATA("Somma di AVERE EUR",'Pivot RakBank AED'!$A$3,"Mese",4,"Tipologia",$A175,"Viaggio",$A$170)),0,GETPIVOTDATA("Somma di AVERE EUR",'Pivot RakBank AED'!$A$3,"Mese",4,"Tipologia",$A175,"Viaggio",$A$170))</f>
        <v>0</v>
      </c>
      <c r="G175" s="270">
        <f>IF(ISERROR(GETPIVOTDATA("Somma di DARE",'Pivot Fineco Sa'!$A$3,"Mese",5,"Tipologia",$A175,"Viaggio",$A$170)),0,GETPIVOTDATA("Somma di DARE",'Pivot Fineco Sa'!$A$3,"Mese",5,"Tipologia",$A175,"Viaggio",$A$170))
+IF(ISERROR(GETPIVOTDATA("Somma di DARE",'Pivot Fineco St'!$A$3,"Mese",5,"Tipologia",$A175,"Viaggio",$A$170)),0,GETPIVOTDATA("Somma di DARE",'Pivot Fineco St'!$A$3,"Mese",5,"Tipologia",$A175,"Viaggio",$A$170))
+IF(Contanti!$U43='Conto Economico'!$A$170,Contanti!$R43)
+IF(ISERROR(GETPIVOTDATA("Somma di DARE",'Pivot BBVA'!$A$3,"Mese",5,"Tipologia",$A175,"Viaggio",$A$170)),0,GETPIVOTDATA("Somma di DARE",'Pivot BBVA'!$A$3,"Mese",5,"Tipologia",$A175,"Viaggio",$A$170))
+IF(ISERROR(GETPIVOTDATA("Somma di DARE",'Pivot Amex'!$A$3,"Mese",5,"Tipologia",$A175,"Viaggio",$A$170)),0,GETPIVOTDATA("Somma di DARE",'Pivot Amex'!$A$3,"Mese",5,"Tipologia",$A175,"Viaggio",$A$170))
-IF(ISERROR(GETPIVOTDATA("Somma di AVERE",'Pivot Amex'!$A$3,"Mese",5,"Tipologia",$A175,"Viaggio",$A$170)),0,GETPIVOTDATA("Somma di AVERE",'Pivot Amex'!$A$3,"Mese",5,"Tipologia",$A175,"Viaggio",$A$170))
-IF(ISERROR(GETPIVOTDATA("Somma di AVERE",'Pivot BBVA'!$A$3,"Mese",5,"Tipologia",$A175,"Viaggio",$A$170)),0,GETPIVOTDATA("Somma di AVERE",'Pivot BBVA'!$A$3,"Mese",5,"Tipologia",$A175,"Viaggio",$A$170))
-IF(ISERROR(GETPIVOTDATA("Somma di AVERE",'Pivot Fineco St'!$A$3,"Mese",5,"Tipologia",$A175,"Viaggio",$A$170)),0,GETPIVOTDATA("Somma di AVERE",'Pivot Fineco St'!$A$3,"Mese",5,"Tipologia",$A175,"Viaggio",$A$170))
-IF(ISERROR(GETPIVOTDATA("Somma di AVERE",'Pivot Fineco Sa'!$A$3,"Mese",5,"Tipologia",$A175,"Viaggio",$A$170)),0,GETPIVOTDATA("Somma di AVERE",'Pivot Fineco Sa'!$A$3,"Mese",5,"Tipologia",$A175,"Viaggio",$A$170))
+IF(ISERROR(GETPIVOTDATA("Somma di DARE",'Pivot PP Visa'!$A$3,"Mese",5,"Tipologia",$A175,"Viaggio",$A$170)),0,GETPIVOTDATA("Somma di DARE",'Pivot PP Visa'!$A$3,"Mese",5,"Tipologia",$A175,"Viaggio",$A$170))
-IF(ISERROR(GETPIVOTDATA("Somma di AVERE",'Pivot PP Visa'!$A$3,"Mese",5,"Tipologia",$A175,"Viaggio",$A$170)),0,GETPIVOTDATA("Somma di AVERE",'Pivot PP Visa'!$A$3,"Mese",5,"Tipologia",$A175,"Viaggio",$A$170))
+IF(ISERROR(GETPIVOTDATA("Somma di DARE",'Pivot Revolut'!$A$3,"Mese",5,"Tipologia",$A175,"Viaggio",$A$170)),0,GETPIVOTDATA("Somma di DARE",'Pivot Revolut'!$A$3,"Mese",5,"Tipologia",$A175,"Viaggio",$A$170))
-IF(ISERROR(GETPIVOTDATA("Somma di AVERE",'Pivot Revolut'!$A$3,"Mese",5,"Tipologia",$A175,"Viaggio",$A$170)),0,GETPIVOTDATA("Somma di AVERE",'Pivot Revolut'!$A$3,"Mese",5,"Tipologia",$A175,"Viaggio",$A$170))
+IF(ISERROR(GETPIVOTDATA("Somma di DARE",'Pivot RakBank EUR'!$A$3,"Mese",5,"Tipologia",$A175,"Viaggio",$A$170)),0,GETPIVOTDATA("Somma di DARE",'Pivot RakBank EUR'!$A$3,"Mese",5,"Tipologia",$A175,"Viaggio",$A$170))
-IF(ISERROR(GETPIVOTDATA("Somma di AVERE",'Pivot RakBank EUR'!$A$3,"Mese",5,"Tipologia",$A175,"Viaggio",$A$170)),0,GETPIVOTDATA("Somma di AVERE",'Pivot RakBank EUR'!$A$3,"Mese",5,"Tipologia",$A175,"Viaggio",$A$170))
+IF(ISERROR(GETPIVOTDATA("Somma di DARE EUR",'Pivot RakBank AED'!$A$3,"Mese",5,"Tipologia",$A175,"Viaggio",$A$170)),0,GETPIVOTDATA("Somma di DARE EUR",'Pivot RakBank AED'!$A$3,"Mese",5,"Tipologia",$A175,"Viaggio",$A$170))
-IF(ISERROR(GETPIVOTDATA("Somma di AVERE EUR",'Pivot RakBank AED'!$A$3,"Mese",5,"Tipologia",$A175,"Viaggio",$A$170)),0,GETPIVOTDATA("Somma di AVERE EUR",'Pivot RakBank AED'!$A$3,"Mese",5,"Tipologia",$A175,"Viaggio",$A$170))</f>
        <v>0</v>
      </c>
      <c r="H175" s="270">
        <f>IF(ISERROR(GETPIVOTDATA("Somma di DARE",'Pivot Fineco Sa'!$A$3,"Mese",6,"Tipologia",$A175,"Viaggio",$A$170)),0,GETPIVOTDATA("Somma di DARE",'Pivot Fineco Sa'!$A$3,"Mese",6,"Tipologia",$A175,"Viaggio",$A$170))
+IF(ISERROR(GETPIVOTDATA("Somma di DARE",'Pivot Fineco St'!$A$3,"Mese",6,"Tipologia",$A175,"Viaggio",$A$170)),0,GETPIVOTDATA("Somma di DARE",'Pivot Fineco St'!$A$3,"Mese",6,"Tipologia",$A175,"Viaggio",$A$170))
+IF(Contanti!$Y43='Conto Economico'!$A$170,Contanti!$V43)
+IF(ISERROR(GETPIVOTDATA("Somma di DARE",'Pivot BBVA'!$A$3,"Mese",6,"Tipologia",$A175,"Viaggio",$A$170)),0,GETPIVOTDATA("Somma di DARE",'Pivot BBVA'!$A$3,"Mese",6,"Tipologia",$A175,"Viaggio",$A$170))
+IF(ISERROR(GETPIVOTDATA("Somma di DARE",'Pivot Amex'!$A$3,"Mese",6,"Tipologia",$A175,"Viaggio",$A$170)),0,GETPIVOTDATA("Somma di DARE",'Pivot Amex'!$A$3,"Mese",6,"Tipologia",$A175,"Viaggio",$A$170))
-IF(ISERROR(GETPIVOTDATA("Somma di AVERE",'Pivot Amex'!$A$3,"Mese",6,"Tipologia",$A175,"Viaggio",$A$170)),0,GETPIVOTDATA("Somma di AVERE",'Pivot Amex'!$A$3,"Mese",6,"Tipologia",$A175,"Viaggio",$A$170))
-IF(ISERROR(GETPIVOTDATA("Somma di AVERE",'Pivot BBVA'!$A$3,"Mese",6,"Tipologia",$A175,"Viaggio",$A$170)),0,GETPIVOTDATA("Somma di AVERE",'Pivot BBVA'!$A$3,"Mese",6,"Tipologia",$A175,"Viaggio",$A$170))
-IF(ISERROR(GETPIVOTDATA("Somma di AVERE",'Pivot Fineco St'!$A$3,"Mese",6,"Tipologia",$A175,"Viaggio",$A$170)),0,GETPIVOTDATA("Somma di AVERE",'Pivot Fineco St'!$A$3,"Mese",6,"Tipologia",$A175,"Viaggio",$A$170))
-IF(ISERROR(GETPIVOTDATA("Somma di AVERE",'Pivot Fineco Sa'!$A$3,"Mese",6,"Tipologia",$A175,"Viaggio",$A$170)),0,GETPIVOTDATA("Somma di AVERE",'Pivot Fineco Sa'!$A$3,"Mese",6,"Tipologia",$A175,"Viaggio",$A$170))
+IF(ISERROR(GETPIVOTDATA("Somma di DARE",'Pivot PP Visa'!$A$3,"Mese",6,"Tipologia",$A175,"Viaggio",$A$170)),0,GETPIVOTDATA("Somma di DARE",'Pivot PP Visa'!$A$3,"Mese",6,"Tipologia",$A175,"Viaggio",$A$170))
-IF(ISERROR(GETPIVOTDATA("Somma di AVERE",'Pivot PP Visa'!$A$3,"Mese",6,"Tipologia",$A175,"Viaggio",$A$170)),0,GETPIVOTDATA("Somma di AVERE",'Pivot PP Visa'!$A$3,"Mese",6,"Tipologia",$A175,"Viaggio",$A$170))
+IF(ISERROR(GETPIVOTDATA("Somma di DARE",'Pivot Revolut'!$A$3,"Mese",6,"Tipologia",$A175,"Viaggio",$A$170)),0,GETPIVOTDATA("Somma di DARE",'Pivot Revolut'!$A$3,"Mese",6,"Tipologia",$A175,"Viaggio",$A$170))
-IF(ISERROR(GETPIVOTDATA("Somma di AVERE",'Pivot Revolut'!$A$3,"Mese",6,"Tipologia",$A175,"Viaggio",$A$170)),0,GETPIVOTDATA("Somma di AVERE",'Pivot Revolut'!$A$3,"Mese",6,"Tipologia",$A175,"Viaggio",$A$170))
+IF(ISERROR(GETPIVOTDATA("Somma di DARE",'Pivot RakBank EUR'!$A$3,"Mese",6,"Tipologia",$A175,"Viaggio",$A$170)),0,GETPIVOTDATA("Somma di DARE",'Pivot RakBank EUR'!$A$3,"Mese",6,"Tipologia",$A175,"Viaggio",$A$170))
-IF(ISERROR(GETPIVOTDATA("Somma di AVERE",'Pivot RakBank EUR'!$A$3,"Mese",6,"Tipologia",$A175,"Viaggio",$A$170)),0,GETPIVOTDATA("Somma di AVERE",'Pivot RakBank EUR'!$A$3,"Mese",6,"Tipologia",$A175,"Viaggio",$A$170))
+IF(ISERROR(GETPIVOTDATA("Somma di DARE EUR",'Pivot RakBank AED'!$A$3,"Mese",6,"Tipologia",$A175,"Viaggio",$A$170)),0,GETPIVOTDATA("Somma di DARE EUR",'Pivot RakBank AED'!$A$3,"Mese",6,"Tipologia",$A175,"Viaggio",$A$170))
-IF(ISERROR(GETPIVOTDATA("Somma di AVERE EUR",'Pivot RakBank AED'!$A$3,"Mese",6,"Tipologia",$A175,"Viaggio",$A$170)),0,GETPIVOTDATA("Somma di AVERE EUR",'Pivot RakBank AED'!$A$3,"Mese",6,"Tipologia",$A175,"Viaggio",$A$170))</f>
        <v>0</v>
      </c>
      <c r="I175" s="270">
        <f>IF(ISERROR(GETPIVOTDATA("Somma di DARE",'Pivot Fineco Sa'!$A$3,"Mese",7,"Tipologia",$A175,"Viaggio",$A$170)),0,GETPIVOTDATA("Somma di DARE",'Pivot Fineco Sa'!$A$3,"Mese",7,"Tipologia",$A175,"Viaggio",$A$170))
+IF(ISERROR(GETPIVOTDATA("Somma di DARE",'Pivot Fineco St'!$A$3,"Mese",7,"Tipologia",$A175,"Viaggio",$A$170)),0,GETPIVOTDATA("Somma di DARE",'Pivot Fineco St'!$A$3,"Mese",7,"Tipologia",$A175,"Viaggio",$A$170))
+IF(Contanti!$AC43='Conto Economico'!$A$170,Contanti!$Z43)
+IF(ISERROR(GETPIVOTDATA("Somma di DARE",'Pivot BBVA'!$A$3,"Mese",7,"Tipologia",$A175,"Viaggio",$A$170)),0,GETPIVOTDATA("Somma di DARE",'Pivot BBVA'!$A$3,"Mese",7,"Tipologia",$A175,"Viaggio",$A$170))
+IF(ISERROR(GETPIVOTDATA("Somma di DARE",'Pivot Amex'!$A$3,"Mese",7,"Tipologia",$A175,"Viaggio",$A$170)),0,GETPIVOTDATA("Somma di DARE",'Pivot Amex'!$A$3,"Mese",7,"Tipologia",$A175,"Viaggio",$A$170))
-IF(ISERROR(GETPIVOTDATA("Somma di AVERE",'Pivot Amex'!$A$3,"Mese",7,"Tipologia",$A175,"Viaggio",$A$170)),0,GETPIVOTDATA("Somma di AVERE",'Pivot Amex'!$A$3,"Mese",7,"Tipologia",$A175,"Viaggio",$A$170))
-IF(ISERROR(GETPIVOTDATA("Somma di AVERE",'Pivot BBVA'!$A$3,"Mese",7,"Tipologia",$A175,"Viaggio",$A$170)),0,GETPIVOTDATA("Somma di AVERE",'Pivot BBVA'!$A$3,"Mese",7,"Tipologia",$A175,"Viaggio",$A$170))
-IF(ISERROR(GETPIVOTDATA("Somma di AVERE",'Pivot Fineco St'!$A$3,"Mese",7,"Tipologia",$A175,"Viaggio",$A$170)),0,GETPIVOTDATA("Somma di AVERE",'Pivot Fineco St'!$A$3,"Mese",7,"Tipologia",$A175,"Viaggio",$A$170))
-IF(ISERROR(GETPIVOTDATA("Somma di AVERE",'Pivot Fineco Sa'!$A$3,"Mese",7,"Tipologia",$A175,"Viaggio",$A$170)),0,GETPIVOTDATA("Somma di AVERE",'Pivot Fineco Sa'!$A$3,"Mese",7,"Tipologia",$A175,"Viaggio",$A$170))
+IF(ISERROR(GETPIVOTDATA("Somma di DARE",'Pivot PP Visa'!$A$3,"Mese",7,"Tipologia",$A175,"Viaggio",$A$170)),0,GETPIVOTDATA("Somma di DARE",'Pivot PP Visa'!$A$3,"Mese",7,"Tipologia",$A175,"Viaggio",$A$170))
-IF(ISERROR(GETPIVOTDATA("Somma di AVERE",'Pivot PP Visa'!$A$3,"Mese",7,"Tipologia",$A175,"Viaggio",$A$170)),0,GETPIVOTDATA("Somma di AVERE",'Pivot PP Visa'!$A$3,"Mese",7,"Tipologia",$A175,"Viaggio",$A$170))
+IF(ISERROR(GETPIVOTDATA("Somma di DARE",'Pivot Revolut'!$A$3,"Mese",7,"Tipologia",$A175,"Viaggio",$A$170)),0,GETPIVOTDATA("Somma di DARE",'Pivot Revolut'!$A$3,"Mese",7,"Tipologia",$A175,"Viaggio",$A$170))
-IF(ISERROR(GETPIVOTDATA("Somma di AVERE",'Pivot Revolut'!$A$3,"Mese",7,"Tipologia",$A175,"Viaggio",$A$170)),0,GETPIVOTDATA("Somma di AVERE",'Pivot Revolut'!$A$3,"Mese",7,"Tipologia",$A175,"Viaggio",$A$170))
+IF(ISERROR(GETPIVOTDATA("Somma di DARE",'Pivot RakBank EUR'!$A$3,"Mese",7,"Tipologia",$A175,"Viaggio",$A$170)),0,GETPIVOTDATA("Somma di DARE",'Pivot RakBank EUR'!$A$3,"Mese",7,"Tipologia",$A175,"Viaggio",$A$170))
-IF(ISERROR(GETPIVOTDATA("Somma di AVERE",'Pivot RakBank EUR'!$A$3,"Mese",7,"Tipologia",$A175,"Viaggio",$A$170)),0,GETPIVOTDATA("Somma di AVERE",'Pivot RakBank EUR'!$A$3,"Mese",7,"Tipologia",$A175,"Viaggio",$A$170))
+IF(ISERROR(GETPIVOTDATA("Somma di DARE EUR",'Pivot RakBank AED'!$A$3,"Mese",7,"Tipologia",$A175,"Viaggio",$A$170)),0,GETPIVOTDATA("Somma di DARE EUR",'Pivot RakBank AED'!$A$3,"Mese",7,"Tipologia",$A175,"Viaggio",$A$170))
-IF(ISERROR(GETPIVOTDATA("Somma di AVERE EUR",'Pivot RakBank AED'!$A$3,"Mese",7,"Tipologia",$A175,"Viaggio",$A$170)),0,GETPIVOTDATA("Somma di AVERE EUR",'Pivot RakBank AED'!$A$3,"Mese",7,"Tipologia",$A175,"Viaggio",$A$170))</f>
        <v>0</v>
      </c>
      <c r="J175" s="270">
        <f>IF(ISERROR(GETPIVOTDATA("Somma di DARE",'Pivot Fineco Sa'!$A$3,"Mese",8,"Tipologia",$A175,"Viaggio",$A$170)),0,GETPIVOTDATA("Somma di DARE",'Pivot Fineco Sa'!$A$3,"Mese",8,"Tipologia",$A175,"Viaggio",$A$170))
+IF(ISERROR(GETPIVOTDATA("Somma di DARE",'Pivot Fineco St'!$A$3,"Mese",8,"Tipologia",$A175,"Viaggio",$A$170)),0,GETPIVOTDATA("Somma di DARE",'Pivot Fineco St'!$A$3,"Mese",8,"Tipologia",$A175,"Viaggio",$A$170))
+IF(Contanti!$AG43='Conto Economico'!$A$170,Contanti!$AD43)
+IF(ISERROR(GETPIVOTDATA("Somma di DARE",'Pivot BBVA'!$A$3,"Mese",8,"Tipologia",$A175,"Viaggio",$A$170)),0,GETPIVOTDATA("Somma di DARE",'Pivot BBVA'!$A$3,"Mese",8,"Tipologia",$A175,"Viaggio",$A$170))
+IF(ISERROR(GETPIVOTDATA("Somma di DARE",'Pivot Amex'!$A$3,"Mese",8,"Tipologia",$A175,"Viaggio",$A$170)),0,GETPIVOTDATA("Somma di DARE",'Pivot Amex'!$A$3,"Mese",8,"Tipologia",$A175,"Viaggio",$A$170))
-IF(ISERROR(GETPIVOTDATA("Somma di AVERE",'Pivot Amex'!$A$3,"Mese",8,"Tipologia",$A175,"Viaggio",$A$170)),0,GETPIVOTDATA("Somma di AVERE",'Pivot Amex'!$A$3,"Mese",8,"Tipologia",$A175,"Viaggio",$A$170))
-IF(ISERROR(GETPIVOTDATA("Somma di AVERE",'Pivot BBVA'!$A$3,"Mese",8,"Tipologia",$A175,"Viaggio",$A$170)),0,GETPIVOTDATA("Somma di AVERE",'Pivot BBVA'!$A$3,"Mese",8,"Tipologia",$A175,"Viaggio",$A$170))
-IF(ISERROR(GETPIVOTDATA("Somma di AVERE",'Pivot Fineco St'!$A$3,"Mese",8,"Tipologia",$A175,"Viaggio",$A$170)),0,GETPIVOTDATA("Somma di AVERE",'Pivot Fineco St'!$A$3,"Mese",8,"Tipologia",$A175,"Viaggio",$A$170))
-IF(ISERROR(GETPIVOTDATA("Somma di AVERE",'Pivot Fineco Sa'!$A$3,"Mese",8,"Tipologia",$A175,"Viaggio",$A$170)),0,GETPIVOTDATA("Somma di AVERE",'Pivot Fineco Sa'!$A$3,"Mese",8,"Tipologia",$A175,"Viaggio",$A$170))
+IF(ISERROR(GETPIVOTDATA("Somma di DARE",'Pivot PP Visa'!$A$3,"Mese",8,"Tipologia",$A175,"Viaggio",$A$170)),0,GETPIVOTDATA("Somma di DARE",'Pivot PP Visa'!$A$3,"Mese",8,"Tipologia",$A175,"Viaggio",$A$170))
-IF(ISERROR(GETPIVOTDATA("Somma di AVERE",'Pivot PP Visa'!$A$3,"Mese",8,"Tipologia",$A175,"Viaggio",$A$170)),0,GETPIVOTDATA("Somma di AVERE",'Pivot PP Visa'!$A$3,"Mese",8,"Tipologia",$A175,"Viaggio",$A$170))
+IF(ISERROR(GETPIVOTDATA("Somma di DARE",'Pivot Revolut'!$A$3,"Mese",8,"Tipologia",$A175,"Viaggio",$A$170)),0,GETPIVOTDATA("Somma di DARE",'Pivot Revolut'!$A$3,"Mese",8,"Tipologia",$A175,"Viaggio",$A$170))
-IF(ISERROR(GETPIVOTDATA("Somma di AVERE",'Pivot Revolut'!$A$3,"Mese",8,"Tipologia",$A175,"Viaggio",$A$170)),0,GETPIVOTDATA("Somma di AVERE",'Pivot Revolut'!$A$3,"Mese",8,"Tipologia",$A175,"Viaggio",$A$170))
+IF(ISERROR(GETPIVOTDATA("Somma di DARE",'Pivot RakBank EUR'!$A$3,"Mese",8,"Tipologia",$A175,"Viaggio",$A$170)),0,GETPIVOTDATA("Somma di DARE",'Pivot RakBank EUR'!$A$3,"Mese",8,"Tipologia",$A175,"Viaggio",$A$170))
-IF(ISERROR(GETPIVOTDATA("Somma di AVERE",'Pivot RakBank EUR'!$A$3,"Mese",8,"Tipologia",$A175,"Viaggio",$A$170)),0,GETPIVOTDATA("Somma di AVERE",'Pivot RakBank EUR'!$A$3,"Mese",8,"Tipologia",$A175,"Viaggio",$A$170))
+IF(ISERROR(GETPIVOTDATA("Somma di DARE EUR",'Pivot RakBank AED'!$A$3,"Mese",8,"Tipologia",$A175,"Viaggio",$A$170)),0,GETPIVOTDATA("Somma di DARE EUR",'Pivot RakBank AED'!$A$3,"Mese",8,"Tipologia",$A175,"Viaggio",$A$170))
-IF(ISERROR(GETPIVOTDATA("Somma di AVERE EUR",'Pivot RakBank AED'!$A$3,"Mese",8,"Tipologia",$A175,"Viaggio",$A$170)),0,GETPIVOTDATA("Somma di AVERE EUR",'Pivot RakBank AED'!$A$3,"Mese",8,"Tipologia",$A175,"Viaggio",$A$170))</f>
        <v>0</v>
      </c>
      <c r="K175" s="270">
        <f>IF(ISERROR(GETPIVOTDATA("Somma di DARE",'Pivot Fineco Sa'!$A$3,"Mese",9,"Tipologia",$A175,"Viaggio",$A$170)),0,GETPIVOTDATA("Somma di DARE",'Pivot Fineco Sa'!$A$3,"Mese",9,"Tipologia",$A175,"Viaggio",$A$170))
+IF(ISERROR(GETPIVOTDATA("Somma di DARE",'Pivot Fineco St'!$A$3,"Mese",9,"Tipologia",$A175,"Viaggio",$A$170)),0,GETPIVOTDATA("Somma di DARE",'Pivot Fineco St'!$A$3,"Mese",9,"Tipologia",$A175,"Viaggio",$A$170))
+IF(Contanti!$AK43='Conto Economico'!$A$170,Contanti!$AH43)
+IF(ISERROR(GETPIVOTDATA("Somma di DARE",'Pivot BBVA'!$A$3,"Mese",9,"Tipologia",$A175,"Viaggio",$A$170)),0,GETPIVOTDATA("Somma di DARE",'Pivot BBVA'!$A$3,"Mese",9,"Tipologia",$A175,"Viaggio",$A$170))
+IF(ISERROR(GETPIVOTDATA("Somma di DARE",'Pivot Amex'!$A$3,"Mese",9,"Tipologia",$A175,"Viaggio",$A$170)),0,GETPIVOTDATA("Somma di DARE",'Pivot Amex'!$A$3,"Mese",9,"Tipologia",$A175,"Viaggio",$A$170))
-IF(ISERROR(GETPIVOTDATA("Somma di AVERE",'Pivot Amex'!$A$3,"Mese",9,"Tipologia",$A175,"Viaggio",$A$170)),0,GETPIVOTDATA("Somma di AVERE",'Pivot Amex'!$A$3,"Mese",9,"Tipologia",$A175,"Viaggio",$A$170))
-IF(ISERROR(GETPIVOTDATA("Somma di AVERE",'Pivot BBVA'!$A$3,"Mese",9,"Tipologia",$A175,"Viaggio",$A$170)),0,GETPIVOTDATA("Somma di AVERE",'Pivot BBVA'!$A$3,"Mese",9,"Tipologia",$A175,"Viaggio",$A$170))
-IF(ISERROR(GETPIVOTDATA("Somma di AVERE",'Pivot Fineco St'!$A$3,"Mese",9,"Tipologia",$A175,"Viaggio",$A$170)),0,GETPIVOTDATA("Somma di AVERE",'Pivot Fineco St'!$A$3,"Mese",9,"Tipologia",$A175,"Viaggio",$A$170))
-IF(ISERROR(GETPIVOTDATA("Somma di AVERE",'Pivot Fineco Sa'!$A$3,"Mese",9,"Tipologia",$A175,"Viaggio",$A$170)),0,GETPIVOTDATA("Somma di AVERE",'Pivot Fineco Sa'!$A$3,"Mese",9,"Tipologia",$A175,"Viaggio",$A$170))
+IF(ISERROR(GETPIVOTDATA("Somma di DARE",'Pivot PP Visa'!$A$3,"Mese",9,"Tipologia",$A175,"Viaggio",$A$170)),0,GETPIVOTDATA("Somma di DARE",'Pivot PP Visa'!$A$3,"Mese",9,"Tipologia",$A175,"Viaggio",$A$170))
-IF(ISERROR(GETPIVOTDATA("Somma di AVERE",'Pivot PP Visa'!$A$3,"Mese",9,"Tipologia",$A175,"Viaggio",$A$170)),0,GETPIVOTDATA("Somma di AVERE",'Pivot PP Visa'!$A$3,"Mese",9,"Tipologia",$A175,"Viaggio",$A$170))
+IF(ISERROR(GETPIVOTDATA("Somma di DARE",'Pivot Revolut'!$A$3,"Mese",9,"Tipologia",$A175,"Viaggio",$A$170)),0,GETPIVOTDATA("Somma di DARE",'Pivot Revolut'!$A$3,"Mese",9,"Tipologia",$A175,"Viaggio",$A$170))
-IF(ISERROR(GETPIVOTDATA("Somma di AVERE",'Pivot Revolut'!$A$3,"Mese",9,"Tipologia",$A175,"Viaggio",$A$170)),0,GETPIVOTDATA("Somma di AVERE",'Pivot Revolut'!$A$3,"Mese",9,"Tipologia",$A175,"Viaggio",$A$170))
+IF(ISERROR(GETPIVOTDATA("Somma di DARE",'Pivot RakBank EUR'!$A$3,"Mese",9,"Tipologia",$A175,"Viaggio",$A$170)),0,GETPIVOTDATA("Somma di DARE",'Pivot RakBank EUR'!$A$3,"Mese",9,"Tipologia",$A175,"Viaggio",$A$170))
-IF(ISERROR(GETPIVOTDATA("Somma di AVERE",'Pivot RakBank EUR'!$A$3,"Mese",9,"Tipologia",$A175,"Viaggio",$A$170)),0,GETPIVOTDATA("Somma di AVERE",'Pivot RakBank EUR'!$A$3,"Mese",9,"Tipologia",$A175,"Viaggio",$A$170))
+IF(ISERROR(GETPIVOTDATA("Somma di DARE EUR",'Pivot RakBank AED'!$A$3,"Mese",9,"Tipologia",$A175,"Viaggio",$A$170)),0,GETPIVOTDATA("Somma di DARE EUR",'Pivot RakBank AED'!$A$3,"Mese",9,"Tipologia",$A175,"Viaggio",$A$170))
-IF(ISERROR(GETPIVOTDATA("Somma di AVERE EUR",'Pivot RakBank AED'!$A$3,"Mese",9,"Tipologia",$A175,"Viaggio",$A$170)),0,GETPIVOTDATA("Somma di AVERE EUR",'Pivot RakBank AED'!$A$3,"Mese",9,"Tipologia",$A175,"Viaggio",$A$170))</f>
        <v>0</v>
      </c>
      <c r="L175" s="270">
        <f>IF(ISERROR(GETPIVOTDATA("Somma di DARE",'Pivot Fineco Sa'!$A$3,"Mese",10,"Tipologia",$A175,"Viaggio",$A$170)),0,GETPIVOTDATA("Somma di DARE",'Pivot Fineco Sa'!$A$3,"Mese",10,"Tipologia",$A175,"Viaggio",$A$170))
+IF(ISERROR(GETPIVOTDATA("Somma di DARE",'Pivot Fineco St'!$A$3,"Mese",10,"Tipologia",$A175,"Viaggio",$A$170)),0,GETPIVOTDATA("Somma di DARE",'Pivot Fineco St'!$A$3,"Mese",10,"Tipologia",$A175,"Viaggio",$A$170))
+IF(Contanti!$AO43='Conto Economico'!$A$170,Contanti!$AL43)
+IF(ISERROR(GETPIVOTDATA("Somma di DARE",'Pivot BBVA'!$A$3,"Mese",10,"Tipologia",$A175,"Viaggio",$A$170)),0,GETPIVOTDATA("Somma di DARE",'Pivot BBVA'!$A$3,"Mese",10,"Tipologia",$A175,"Viaggio",$A$170))
+IF(ISERROR(GETPIVOTDATA("Somma di DARE",'Pivot Amex'!$A$3,"Mese",10,"Tipologia",$A175,"Viaggio",$A$170)),0,GETPIVOTDATA("Somma di DARE",'Pivot Amex'!$A$3,"Mese",10,"Tipologia",$A175,"Viaggio",$A$170))
-IF(ISERROR(GETPIVOTDATA("Somma di AVERE",'Pivot Amex'!$A$3,"Mese",10,"Tipologia",$A175,"Viaggio",$A$170)),0,GETPIVOTDATA("Somma di AVERE",'Pivot Amex'!$A$3,"Mese",10,"Tipologia",$A175,"Viaggio",$A$170))
-IF(ISERROR(GETPIVOTDATA("Somma di AVERE",'Pivot BBVA'!$A$3,"Mese",10,"Tipologia",$A175,"Viaggio",$A$170)),0,GETPIVOTDATA("Somma di AVERE",'Pivot BBVA'!$A$3,"Mese",10,"Tipologia",$A175,"Viaggio",$A$170))
-IF(ISERROR(GETPIVOTDATA("Somma di AVERE",'Pivot Fineco St'!$A$3,"Mese",10,"Tipologia",$A175,"Viaggio",$A$170)),0,GETPIVOTDATA("Somma di AVERE",'Pivot Fineco St'!$A$3,"Mese",10,"Tipologia",$A175,"Viaggio",$A$170))
-IF(ISERROR(GETPIVOTDATA("Somma di AVERE",'Pivot Fineco Sa'!$A$3,"Mese",10,"Tipologia",$A175,"Viaggio",$A$170)),0,GETPIVOTDATA("Somma di AVERE",'Pivot Fineco Sa'!$A$3,"Mese",10,"Tipologia",$A175,"Viaggio",$A$170))
+IF(ISERROR(GETPIVOTDATA("Somma di DARE",'Pivot PP Visa'!$A$3,"Mese",10,"Tipologia",$A175,"Viaggio",$A$170)),0,GETPIVOTDATA("Somma di DARE",'Pivot PP Visa'!$A$3,"Mese",10,"Tipologia",$A175,"Viaggio",$A$170))
-IF(ISERROR(GETPIVOTDATA("Somma di AVERE",'Pivot PP Visa'!$A$3,"Mese",10,"Tipologia",$A175,"Viaggio",$A$170)),0,GETPIVOTDATA("Somma di AVERE",'Pivot PP Visa'!$A$3,"Mese",10,"Tipologia",$A175,"Viaggio",$A$170))
+IF(ISERROR(GETPIVOTDATA("Somma di DARE",'Pivot Revolut'!$A$3,"Mese",10,"Tipologia",$A175,"Viaggio",$A$170)),0,GETPIVOTDATA("Somma di DARE",'Pivot Revolut'!$A$3,"Mese",10,"Tipologia",$A175,"Viaggio",$A$170))
-IF(ISERROR(GETPIVOTDATA("Somma di AVERE",'Pivot Revolut'!$A$3,"Mese",10,"Tipologia",$A175,"Viaggio",$A$170)),0,GETPIVOTDATA("Somma di AVERE",'Pivot Revolut'!$A$3,"Mese",10,"Tipologia",$A175,"Viaggio",$A$170))
+IF(ISERROR(GETPIVOTDATA("Somma di DARE",'Pivot RakBank EUR'!$A$3,"Mese",10,"Tipologia",$A175,"Viaggio",$A$170)),0,GETPIVOTDATA("Somma di DARE",'Pivot RakBank EUR'!$A$3,"Mese",10,"Tipologia",$A175,"Viaggio",$A$170))
-IF(ISERROR(GETPIVOTDATA("Somma di AVERE",'Pivot RakBank EUR'!$A$3,"Mese",10,"Tipologia",$A175,"Viaggio",$A$170)),0,GETPIVOTDATA("Somma di AVERE",'Pivot RakBank EUR'!$A$3,"Mese",10,"Tipologia",$A175,"Viaggio",$A$170))
+IF(ISERROR(GETPIVOTDATA("Somma di DARE EUR",'Pivot RakBank AED'!$A$3,"Mese",10,"Tipologia",$A175,"Viaggio",$A$170)),0,GETPIVOTDATA("Somma di DARE EUR",'Pivot RakBank AED'!$A$3,"Mese",10,"Tipologia",$A175,"Viaggio",$A$170))
-IF(ISERROR(GETPIVOTDATA("Somma di AVERE EUR",'Pivot RakBank AED'!$A$3,"Mese",10,"Tipologia",$A175,"Viaggio",$A$170)),0,GETPIVOTDATA("Somma di AVERE EUR",'Pivot RakBank AED'!$A$3,"Mese",10,"Tipologia",$A175,"Viaggio",$A$170))</f>
        <v>0</v>
      </c>
      <c r="M175" s="270">
        <f>IF(ISERROR(GETPIVOTDATA("Somma di DARE",'Pivot Fineco Sa'!$A$3,"Mese",11,"Tipologia",$A175,"Viaggio",$A$170)),0,GETPIVOTDATA("Somma di DARE",'Pivot Fineco Sa'!$A$3,"Mese",11,"Tipologia",$A175,"Viaggio",$A$170))
+IF(ISERROR(GETPIVOTDATA("Somma di DARE",'Pivot Fineco St'!$A$3,"Mese",11,"Tipologia",$A175,"Viaggio",$A$170)),0,GETPIVOTDATA("Somma di DARE",'Pivot Fineco St'!$A$3,"Mese",11,"Tipologia",$A175,"Viaggio",$A$170))
+IF(Contanti!$AS43='Conto Economico'!$A$170,Contanti!$AP43)
+IF(ISERROR(GETPIVOTDATA("Somma di DARE",'Pivot BBVA'!$A$3,"Mese",11,"Tipologia",$A175,"Viaggio",$A$170)),0,GETPIVOTDATA("Somma di DARE",'Pivot BBVA'!$A$3,"Mese",11,"Tipologia",$A175,"Viaggio",$A$170))
+IF(ISERROR(GETPIVOTDATA("Somma di DARE",'Pivot Amex'!$A$3,"Mese",11,"Tipologia",$A175,"Viaggio",$A$170)),0,GETPIVOTDATA("Somma di DARE",'Pivot Amex'!$A$3,"Mese",11,"Tipologia",$A175,"Viaggio",$A$170))
-IF(ISERROR(GETPIVOTDATA("Somma di AVERE",'Pivot Amex'!$A$3,"Mese",11,"Tipologia",$A175,"Viaggio",$A$170)),0,GETPIVOTDATA("Somma di AVERE",'Pivot Amex'!$A$3,"Mese",11,"Tipologia",$A175,"Viaggio",$A$170))
-IF(ISERROR(GETPIVOTDATA("Somma di AVERE",'Pivot BBVA'!$A$3,"Mese",11,"Tipologia",$A175,"Viaggio",$A$170)),0,GETPIVOTDATA("Somma di AVERE",'Pivot BBVA'!$A$3,"Mese",11,"Tipologia",$A175,"Viaggio",$A$170))
-IF(ISERROR(GETPIVOTDATA("Somma di AVERE",'Pivot Fineco St'!$A$3,"Mese",11,"Tipologia",$A175,"Viaggio",$A$170)),0,GETPIVOTDATA("Somma di AVERE",'Pivot Fineco St'!$A$3,"Mese",11,"Tipologia",$A175,"Viaggio",$A$170))
-IF(ISERROR(GETPIVOTDATA("Somma di AVERE",'Pivot Fineco Sa'!$A$3,"Mese",11,"Tipologia",$A175,"Viaggio",$A$170)),0,GETPIVOTDATA("Somma di AVERE",'Pivot Fineco Sa'!$A$3,"Mese",11,"Tipologia",$A175,"Viaggio",$A$170))
+IF(ISERROR(GETPIVOTDATA("Somma di DARE",'Pivot PP Visa'!$A$3,"Mese",11,"Tipologia",$A175,"Viaggio",$A$170)),0,GETPIVOTDATA("Somma di DARE",'Pivot PP Visa'!$A$3,"Mese",11,"Tipologia",$A175,"Viaggio",$A$170))
-IF(ISERROR(GETPIVOTDATA("Somma di AVERE",'Pivot PP Visa'!$A$3,"Mese",11,"Tipologia",$A175,"Viaggio",$A$170)),0,GETPIVOTDATA("Somma di AVERE",'Pivot PP Visa'!$A$3,"Mese",11,"Tipologia",$A175,"Viaggio",$A$170))
+IF(ISERROR(GETPIVOTDATA("Somma di DARE",'Pivot Revolut'!$A$3,"Mese",11,"Tipologia",$A175,"Viaggio",$A$170)),0,GETPIVOTDATA("Somma di DARE",'Pivot Revolut'!$A$3,"Mese",11,"Tipologia",$A175,"Viaggio",$A$170))
-IF(ISERROR(GETPIVOTDATA("Somma di AVERE",'Pivot Revolut'!$A$3,"Mese",11,"Tipologia",$A175,"Viaggio",$A$170)),0,GETPIVOTDATA("Somma di AVERE",'Pivot Revolut'!$A$3,"Mese",11,"Tipologia",$A175,"Viaggio",$A$170))
+IF(ISERROR(GETPIVOTDATA("Somma di DARE",'Pivot RakBank EUR'!$A$3,"Mese",11,"Tipologia",$A175,"Viaggio",$A$170)),0,GETPIVOTDATA("Somma di DARE",'Pivot RakBank EUR'!$A$3,"Mese",11,"Tipologia",$A175,"Viaggio",$A$170))
-IF(ISERROR(GETPIVOTDATA("Somma di AVERE",'Pivot RakBank EUR'!$A$3,"Mese",11,"Tipologia",$A175,"Viaggio",$A$170)),0,GETPIVOTDATA("Somma di AVERE",'Pivot RakBank EUR'!$A$3,"Mese",11,"Tipologia",$A175,"Viaggio",$A$170))
+IF(ISERROR(GETPIVOTDATA("Somma di DARE EUR",'Pivot RakBank AED'!$A$3,"Mese",11,"Tipologia",$A175,"Viaggio",$A$170)),0,GETPIVOTDATA("Somma di DARE EUR",'Pivot RakBank AED'!$A$3,"Mese",11,"Tipologia",$A175,"Viaggio",$A$170))
-IF(ISERROR(GETPIVOTDATA("Somma di AVERE EUR",'Pivot RakBank AED'!$A$3,"Mese",11,"Tipologia",$A175,"Viaggio",$A$170)),0,GETPIVOTDATA("Somma di AVERE EUR",'Pivot RakBank AED'!$A$3,"Mese",11,"Tipologia",$A175,"Viaggio",$A$170))</f>
        <v>0</v>
      </c>
      <c r="N175" s="270">
        <f>IF(ISERROR(GETPIVOTDATA("Somma di DARE",'Pivot Fineco Sa'!$A$3,"Mese",12,"Tipologia",$A175,"Viaggio",$A$170)),0,GETPIVOTDATA("Somma di DARE",'Pivot Fineco Sa'!$A$3,"Mese",12,"Tipologia",$A175,"Viaggio",$A$170))
+IF(ISERROR(GETPIVOTDATA("Somma di DARE",'Pivot Fineco St'!$A$3,"Mese",12,"Tipologia",$A175,"Viaggio",$A$170)),0,GETPIVOTDATA("Somma di DARE",'Pivot Fineco St'!$A$3,"Mese",12,"Tipologia",$A175,"Viaggio",$A$170))
+IF(Contanti!$AW43='Conto Economico'!$A$170,Contanti!$AT43)
+IF(ISERROR(GETPIVOTDATA("Somma di DARE",'Pivot BBVA'!$A$3,"Mese",12,"Tipologia",$A175,"Viaggio",$A$170)),0,GETPIVOTDATA("Somma di DARE",'Pivot BBVA'!$A$3,"Mese",12,"Tipologia",$A175,"Viaggio",$A$170))
+IF(ISERROR(GETPIVOTDATA("Somma di DARE",'Pivot Amex'!$A$3,"Mese",12,"Tipologia",$A175,"Viaggio",$A$170)),0,GETPIVOTDATA("Somma di DARE",'Pivot Amex'!$A$3,"Mese",12,"Tipologia",$A175,"Viaggio",$A$170))
-IF(ISERROR(GETPIVOTDATA("Somma di AVERE",'Pivot Amex'!$A$3,"Mese",12,"Tipologia",$A175,"Viaggio",$A$170)),0,GETPIVOTDATA("Somma di AVERE",'Pivot Amex'!$A$3,"Mese",12,"Tipologia",$A175,"Viaggio",$A$170))
-IF(ISERROR(GETPIVOTDATA("Somma di AVERE",'Pivot BBVA'!$A$3,"Mese",12,"Tipologia",$A175,"Viaggio",$A$170)),0,GETPIVOTDATA("Somma di AVERE",'Pivot BBVA'!$A$3,"Mese",12,"Tipologia",$A175,"Viaggio",$A$170))
-IF(ISERROR(GETPIVOTDATA("Somma di AVERE",'Pivot Fineco St'!$A$3,"Mese",12,"Tipologia",$A175,"Viaggio",$A$170)),0,GETPIVOTDATA("Somma di AVERE",'Pivot Fineco St'!$A$3,"Mese",12,"Tipologia",$A175,"Viaggio",$A$170))
-IF(ISERROR(GETPIVOTDATA("Somma di AVERE",'Pivot Fineco Sa'!$A$3,"Mese",12,"Tipologia",$A175,"Viaggio",$A$170)),0,GETPIVOTDATA("Somma di AVERE",'Pivot Fineco Sa'!$A$3,"Mese",12,"Tipologia",$A175,"Viaggio",$A$170))
+IF(ISERROR(GETPIVOTDATA("Somma di DARE",'Pivot PP Visa'!$A$3,"Mese",12,"Tipologia",$A175,"Viaggio",$A$170)),0,GETPIVOTDATA("Somma di DARE",'Pivot PP Visa'!$A$3,"Mese",12,"Tipologia",$A175,"Viaggio",$A$170))
-IF(ISERROR(GETPIVOTDATA("Somma di AVERE",'Pivot PP Visa'!$A$3,"Mese",12,"Tipologia",$A175,"Viaggio",$A$170)),0,GETPIVOTDATA("Somma di AVERE",'Pivot PP Visa'!$A$3,"Mese",12,"Tipologia",$A175,"Viaggio",$A$170))
+IF(ISERROR(GETPIVOTDATA("Somma di DARE",'Pivot Revolut'!$A$3,"Mese",12,"Tipologia",$A175,"Viaggio",$A$170)),0,GETPIVOTDATA("Somma di DARE",'Pivot Revolut'!$A$3,"Mese",12,"Tipologia",$A175,"Viaggio",$A$170))
-IF(ISERROR(GETPIVOTDATA("Somma di AVERE",'Pivot Revolut'!$A$3,"Mese",12,"Tipologia",$A175,"Viaggio",$A$170)),0,GETPIVOTDATA("Somma di AVERE",'Pivot Revolut'!$A$3,"Mese",12,"Tipologia",$A175,"Viaggio",$A$170))
+IF(ISERROR(GETPIVOTDATA("Somma di DARE",'Pivot RakBank EUR'!$A$3,"Mese",12,"Tipologia",$A175,"Viaggio",$A$170)),0,GETPIVOTDATA("Somma di DARE",'Pivot RakBank EUR'!$A$3,"Mese",12,"Tipologia",$A175,"Viaggio",$A$170))
-IF(ISERROR(GETPIVOTDATA("Somma di AVERE",'Pivot RakBank EUR'!$A$3,"Mese",12,"Tipologia",$A175,"Viaggio",$A$170)),0,GETPIVOTDATA("Somma di AVERE",'Pivot RakBank EUR'!$A$3,"Mese",12,"Tipologia",$A175,"Viaggio",$A$170))
+IF(ISERROR(GETPIVOTDATA("Somma di DARE EUR",'Pivot RakBank AED'!$A$3,"Mese",12,"Tipologia",$A175,"Viaggio",$A$170)),0,GETPIVOTDATA("Somma di DARE EUR",'Pivot RakBank AED'!$A$3,"Mese",12,"Tipologia",$A175,"Viaggio",$A$170))
-IF(ISERROR(GETPIVOTDATA("Somma di AVERE EUR",'Pivot RakBank AED'!$A$3,"Mese",12,"Tipologia",$A175,"Viaggio",$A$170)),0,GETPIVOTDATA("Somma di AVERE EUR",'Pivot RakBank AED'!$A$3,"Mese",12,"Tipologia",$A175,"Viaggio",$A$170))</f>
        <v>0</v>
      </c>
      <c r="O175" s="271">
        <f t="shared" si="23"/>
        <v>0</v>
      </c>
      <c r="P175" s="270"/>
    </row>
    <row r="176" spans="1:16" s="131" customFormat="1" ht="14" outlineLevel="1" x14ac:dyDescent="0.2">
      <c r="A176" s="269" t="s">
        <v>99</v>
      </c>
      <c r="B176" s="269"/>
      <c r="C176" s="270">
        <f>IF(ISERROR(GETPIVOTDATA("Somma di DARE",'Pivot Fineco Sa'!$A$3,"Mese",1,"Tipologia",$A176,"Viaggio",$A$170)),0,GETPIVOTDATA("Somma di DARE",'Pivot Fineco Sa'!$A$3,"Mese",1,"Tipologia",$A176,"Viaggio",$A$170))
+IF(ISERROR(GETPIVOTDATA("Somma di DARE",'Pivot Fineco St'!$A$3,"Mese",1,"Tipologia",$A176,"Viaggio",$A$170)),0,GETPIVOTDATA("Somma di DARE",'Pivot Fineco St'!$A$3,"Mese",1,"Tipologia",$A176,"Viaggio",$A$170))
+IF(Contanti!$E44='Conto Economico'!$A$170,Contanti!$B44)
+IF(ISERROR(GETPIVOTDATA("Somma di DARE",'Pivot BBVA'!$A$3,"Mese",1,"Tipologia",$A176,"Viaggio",$A$170)),0,GETPIVOTDATA("Somma di DARE",'Pivot BBVA'!$A$3,"Mese",1,"Tipologia",$A176,"Viaggio",$A$170))
+IF(ISERROR(GETPIVOTDATA("Somma di DARE",'Pivot Amex'!$A$3,"Mese",1,"Tipologia",$A176,"Viaggio",$A$170)),0,GETPIVOTDATA("Somma di DARE",'Pivot Amex'!$A$3,"Mese",1,"Tipologia",$A176,"Viaggio",$A$170))
-IF(ISERROR(GETPIVOTDATA("Somma di AVERE",'Pivot Amex'!$A$3,"Mese",1,"Tipologia",$A176,"Viaggio",$A$170)),0,GETPIVOTDATA("Somma di AVERE",'Pivot Amex'!$A$3,"Mese",1,"Tipologia",$A176,"Viaggio",$A$170))
-IF(ISERROR(GETPIVOTDATA("Somma di AVERE",'Pivot BBVA'!$A$3,"Mese",1,"Tipologia",$A176,"Viaggio",$A$170)),0,GETPIVOTDATA("Somma di AVERE",'Pivot BBVA'!$A$3,"Mese",1,"Tipologia",$A176,"Viaggio",$A$170))
-IF(ISERROR(GETPIVOTDATA("Somma di AVERE",'Pivot Fineco St'!$A$3,"Mese",1,"Tipologia",$A176,"Viaggio",$A$170)),0,GETPIVOTDATA("Somma di AVERE",'Pivot Fineco St'!$A$3,"Mese",1,"Tipologia",$A176,"Viaggio",$A$170))
-IF(ISERROR(GETPIVOTDATA("Somma di AVERE",'Pivot Fineco Sa'!$A$3,"Mese",1,"Tipologia",$A176,"Viaggio",$A$170)),0,GETPIVOTDATA("Somma di AVERE",'Pivot Fineco Sa'!$A$3,"Mese",1,"Tipologia",$A176,"Viaggio",$A$170))
+IF(ISERROR(GETPIVOTDATA("Somma di DARE",'Pivot PP Visa'!$A$3,"Mese",1,"Tipologia",$A176,"Viaggio",$A$170)),0,GETPIVOTDATA("Somma di DARE",'Pivot PP Visa'!$A$3,"Mese",1,"Tipologia",$A176,"Viaggio",$A$170))
-IF(ISERROR(GETPIVOTDATA("Somma di AVERE",'Pivot PP Visa'!$A$3,"Mese",1,"Tipologia",$A176,"Viaggio",$A$170)),0,GETPIVOTDATA("Somma di AVERE",'Pivot PP Visa'!$A$3,"Mese",1,"Tipologia",$A176,"Viaggio",$A$170))
+IF(ISERROR(GETPIVOTDATA("Somma di DARE",'Pivot Revolut'!$A$3,"Mese",1,"Tipologia",$A176,"Viaggio",$A$170)),0,GETPIVOTDATA("Somma di DARE",'Pivot Revolut'!$A$3,"Mese",1,"Tipologia",$A176,"Viaggio",$A$170))
-IF(ISERROR(GETPIVOTDATA("Somma di AVERE",'Pivot Revolut'!$A$3,"Mese",1,"Tipologia",$A176,"Viaggio",$A$170)),0,GETPIVOTDATA("Somma di AVERE",'Pivot Revolut'!$A$3,"Mese",1,"Tipologia",$A176,"Viaggio",$A$170))
+IF(ISERROR(GETPIVOTDATA("Somma di DARE",'Pivot RakBank EUR'!$A$3,"Mese",1,"Tipologia",$A176,"Viaggio",$A$170)),0,GETPIVOTDATA("Somma di DARE",'Pivot RakBank EUR'!$A$3,"Mese",1,"Tipologia",$A176,"Viaggio",$A$170))
-IF(ISERROR(GETPIVOTDATA("Somma di AVERE",'Pivot RakBank EUR'!$A$3,"Mese",1,"Tipologia",$A176,"Viaggio",$A$170)),0,GETPIVOTDATA("Somma di AVERE",'Pivot RakBank EUR'!$A$3,"Mese",1,"Tipologia",$A176,"Viaggio",$A$170))
+IF(ISERROR(GETPIVOTDATA("Somma di DARE EUR",'Pivot RakBank AED'!$A$3,"Mese",1,"Tipologia",$A176,"Viaggio",$A$170)),0,GETPIVOTDATA("Somma di DARE EUR",'Pivot RakBank AED'!$A$3,"Mese",1,"Tipologia",$A176,"Viaggio",$A$170))
-IF(ISERROR(GETPIVOTDATA("Somma di AVERE EUR",'Pivot RakBank AED'!$A$3,"Mese",1,"Tipologia",$A176,"Viaggio",$A$170)),0,GETPIVOTDATA("Somma di AVERE EUR",'Pivot RakBank AED'!$A$3,"Mese",1,"Tipologia",$A176,"Viaggio",$A$170))</f>
        <v>0</v>
      </c>
      <c r="D176" s="270">
        <f>IF(ISERROR(GETPIVOTDATA("Somma di DARE",'Pivot Fineco Sa'!$A$3,"Mese",2,"Tipologia",$A176,"Viaggio",$A$170)),0,GETPIVOTDATA("Somma di DARE",'Pivot Fineco Sa'!$A$3,"Mese",2,"Tipologia",$A176,"Viaggio",$A$170))
+IF(ISERROR(GETPIVOTDATA("Somma di DARE",'Pivot Fineco St'!$A$3,"Mese",2,"Tipologia",$A176,"Viaggio",$A$170)),0,GETPIVOTDATA("Somma di DARE",'Pivot Fineco St'!$A$3,"Mese",2,"Tipologia",$A176,"Viaggio",$A$170))
+IF(Contanti!$I44='Conto Economico'!$A$170,Contanti!$F44)
+IF(ISERROR(GETPIVOTDATA("Somma di DARE",'Pivot BBVA'!$A$3,"Mese",2,"Tipologia",$A176,"Viaggio",$A$170)),0,GETPIVOTDATA("Somma di DARE",'Pivot BBVA'!$A$3,"Mese",2,"Tipologia",$A176,"Viaggio",$A$170))
+IF(ISERROR(GETPIVOTDATA("Somma di DARE",'Pivot Amex'!$A$3,"Mese",2,"Tipologia",$A176,"Viaggio",$A$170)),0,GETPIVOTDATA("Somma di DARE",'Pivot Amex'!$A$3,"Mese",2,"Tipologia",$A176,"Viaggio",$A$170))
-IF(ISERROR(GETPIVOTDATA("Somma di AVERE",'Pivot Amex'!$A$3,"Mese",2,"Tipologia",$A176,"Viaggio",$A$170)),0,GETPIVOTDATA("Somma di AVERE",'Pivot Amex'!$A$3,"Mese",2,"Tipologia",$A176,"Viaggio",$A$170))
-IF(ISERROR(GETPIVOTDATA("Somma di AVERE",'Pivot BBVA'!$A$3,"Mese",2,"Tipologia",$A176,"Viaggio",$A$170)),0,GETPIVOTDATA("Somma di AVERE",'Pivot BBVA'!$A$3,"Mese",2,"Tipologia",$A176,"Viaggio",$A$170))
-IF(ISERROR(GETPIVOTDATA("Somma di AVERE",'Pivot Fineco St'!$A$3,"Mese",2,"Tipologia",$A176,"Viaggio",$A$170)),0,GETPIVOTDATA("Somma di AVERE",'Pivot Fineco St'!$A$3,"Mese",2,"Tipologia",$A176,"Viaggio",$A$170))
-IF(ISERROR(GETPIVOTDATA("Somma di AVERE",'Pivot Fineco Sa'!$A$3,"Mese",2,"Tipologia",$A176,"Viaggio",$A$170)),0,GETPIVOTDATA("Somma di AVERE",'Pivot Fineco Sa'!$A$3,"Mese",2,"Tipologia",$A176,"Viaggio",$A$170))
+IF(ISERROR(GETPIVOTDATA("Somma di DARE",'Pivot PP Visa'!$A$3,"Mese",2,"Tipologia",$A176,"Viaggio",$A$170)),0,GETPIVOTDATA("Somma di DARE",'Pivot PP Visa'!$A$3,"Mese",2,"Tipologia",$A176,"Viaggio",$A$170))
-IF(ISERROR(GETPIVOTDATA("Somma di AVERE",'Pivot PP Visa'!$A$3,"Mese",2,"Tipologia",$A176,"Viaggio",$A$170)),0,GETPIVOTDATA("Somma di AVERE",'Pivot PP Visa'!$A$3,"Mese",2,"Tipologia",$A176,"Viaggio",$A$170))
+IF(ISERROR(GETPIVOTDATA("Somma di DARE",'Pivot Revolut'!$A$3,"Mese",2,"Tipologia",$A176,"Viaggio",$A$170)),0,GETPIVOTDATA("Somma di DARE",'Pivot Revolut'!$A$3,"Mese",2,"Tipologia",$A176,"Viaggio",$A$170))
-IF(ISERROR(GETPIVOTDATA("Somma di AVERE",'Pivot Revolut'!$A$3,"Mese",2,"Tipologia",$A176,"Viaggio",$A$170)),0,GETPIVOTDATA("Somma di AVERE",'Pivot Revolut'!$A$3,"Mese",2,"Tipologia",$A176,"Viaggio",$A$170))
+IF(ISERROR(GETPIVOTDATA("Somma di DARE",'Pivot RakBank EUR'!$A$3,"Mese",2,"Tipologia",$A176,"Viaggio",$A$170)),0,GETPIVOTDATA("Somma di DARE",'Pivot RakBank EUR'!$A$3,"Mese",2,"Tipologia",$A176,"Viaggio",$A$170))
-IF(ISERROR(GETPIVOTDATA("Somma di AVERE",'Pivot RakBank EUR'!$A$3,"Mese",2,"Tipologia",$A176,"Viaggio",$A$170)),0,GETPIVOTDATA("Somma di AVERE",'Pivot RakBank EUR'!$A$3,"Mese",2,"Tipologia",$A176,"Viaggio",$A$170))
+IF(ISERROR(GETPIVOTDATA("Somma di DARE EUR",'Pivot RakBank AED'!$A$3,"Mese",2,"Tipologia",$A176,"Viaggio",$A$170)),0,GETPIVOTDATA("Somma di DARE EUR",'Pivot RakBank AED'!$A$3,"Mese",2,"Tipologia",$A176,"Viaggio",$A$170))
-IF(ISERROR(GETPIVOTDATA("Somma di AVERE EUR",'Pivot RakBank AED'!$A$3,"Mese",2,"Tipologia",$A176,"Viaggio",$A$170)),0,GETPIVOTDATA("Somma di AVERE EUR",'Pivot RakBank AED'!$A$3,"Mese",2,"Tipologia",$A176,"Viaggio",$A$170))</f>
        <v>0</v>
      </c>
      <c r="E176" s="270">
        <f>IF(ISERROR(GETPIVOTDATA("Somma di DARE",'Pivot Fineco Sa'!$A$3,"Mese",3,"Tipologia",$A176,"Viaggio",$A$170)),0,GETPIVOTDATA("Somma di DARE",'Pivot Fineco Sa'!$A$3,"Mese",3,"Tipologia",$A176,"Viaggio",$A$170))
+IF(ISERROR(GETPIVOTDATA("Somma di DARE",'Pivot Fineco St'!$A$3,"Mese",3,"Tipologia",$A176,"Viaggio",$A$170)),0,GETPIVOTDATA("Somma di DARE",'Pivot Fineco St'!$A$3,"Mese",3,"Tipologia",$A176,"Viaggio",$A$170))
+IF(Contanti!$M44='Conto Economico'!$A$170,Contanti!$J44)
+IF(ISERROR(GETPIVOTDATA("Somma di DARE",'Pivot BBVA'!$A$3,"Mese",3,"Tipologia",$A176,"Viaggio",$A$170)),0,GETPIVOTDATA("Somma di DARE",'Pivot BBVA'!$A$3,"Mese",3,"Tipologia",$A176,"Viaggio",$A$170))
+IF(ISERROR(GETPIVOTDATA("Somma di DARE",'Pivot Amex'!$A$3,"Mese",3,"Tipologia",$A176,"Viaggio",$A$170)),0,GETPIVOTDATA("Somma di DARE",'Pivot Amex'!$A$3,"Mese",3,"Tipologia",$A176,"Viaggio",$A$170))
-IF(ISERROR(GETPIVOTDATA("Somma di AVERE",'Pivot Amex'!$A$3,"Mese",3,"Tipologia",$A176,"Viaggio",$A$170)),0,GETPIVOTDATA("Somma di AVERE",'Pivot Amex'!$A$3,"Mese",3,"Tipologia",$A176,"Viaggio",$A$170))
-IF(ISERROR(GETPIVOTDATA("Somma di AVERE",'Pivot BBVA'!$A$3,"Mese",3,"Tipologia",$A176,"Viaggio",$A$170)),0,GETPIVOTDATA("Somma di AVERE",'Pivot BBVA'!$A$3,"Mese",3,"Tipologia",$A176,"Viaggio",$A$170))
-IF(ISERROR(GETPIVOTDATA("Somma di AVERE",'Pivot Fineco St'!$A$3,"Mese",3,"Tipologia",$A176,"Viaggio",$A$170)),0,GETPIVOTDATA("Somma di AVERE",'Pivot Fineco St'!$A$3,"Mese",3,"Tipologia",$A176,"Viaggio",$A$170))
-IF(ISERROR(GETPIVOTDATA("Somma di AVERE",'Pivot Fineco Sa'!$A$3,"Mese",3,"Tipologia",$A176,"Viaggio",$A$170)),0,GETPIVOTDATA("Somma di AVERE",'Pivot Fineco Sa'!$A$3,"Mese",3,"Tipologia",$A176,"Viaggio",$A$170))
+IF(ISERROR(GETPIVOTDATA("Somma di DARE",'Pivot PP Visa'!$A$3,"Mese",3,"Tipologia",$A176,"Viaggio",$A$170)),0,GETPIVOTDATA("Somma di DARE",'Pivot PP Visa'!$A$3,"Mese",3,"Tipologia",$A176,"Viaggio",$A$170))
-IF(ISERROR(GETPIVOTDATA("Somma di AVERE",'Pivot PP Visa'!$A$3,"Mese",3,"Tipologia",$A176,"Viaggio",$A$170)),0,GETPIVOTDATA("Somma di AVERE",'Pivot PP Visa'!$A$3,"Mese",3,"Tipologia",$A176,"Viaggio",$A$170))
+IF(ISERROR(GETPIVOTDATA("Somma di DARE",'Pivot Revolut'!$A$3,"Mese",3,"Tipologia",$A176,"Viaggio",$A$170)),0,GETPIVOTDATA("Somma di DARE",'Pivot Revolut'!$A$3,"Mese",3,"Tipologia",$A176,"Viaggio",$A$170))
-IF(ISERROR(GETPIVOTDATA("Somma di AVERE",'Pivot Revolut'!$A$3,"Mese",3,"Tipologia",$A176,"Viaggio",$A$170)),0,GETPIVOTDATA("Somma di AVERE",'Pivot Revolut'!$A$3,"Mese",3,"Tipologia",$A176,"Viaggio",$A$170))
+IF(ISERROR(GETPIVOTDATA("Somma di DARE",'Pivot RakBank EUR'!$A$3,"Mese",3,"Tipologia",$A176,"Viaggio",$A$170)),0,GETPIVOTDATA("Somma di DARE",'Pivot RakBank EUR'!$A$3,"Mese",3,"Tipologia",$A176,"Viaggio",$A$170))
-IF(ISERROR(GETPIVOTDATA("Somma di AVERE",'Pivot RakBank EUR'!$A$3,"Mese",3,"Tipologia",$A176,"Viaggio",$A$170)),0,GETPIVOTDATA("Somma di AVERE",'Pivot RakBank EUR'!$A$3,"Mese",3,"Tipologia",$A176,"Viaggio",$A$170))
+IF(ISERROR(GETPIVOTDATA("Somma di DARE EUR",'Pivot RakBank AED'!$A$3,"Mese",3,"Tipologia",$A176,"Viaggio",$A$170)),0,GETPIVOTDATA("Somma di DARE EUR",'Pivot RakBank AED'!$A$3,"Mese",3,"Tipologia",$A176,"Viaggio",$A$170))
-IF(ISERROR(GETPIVOTDATA("Somma di AVERE EUR",'Pivot RakBank AED'!$A$3,"Mese",3,"Tipologia",$A176,"Viaggio",$A$170)),0,GETPIVOTDATA("Somma di AVERE EUR",'Pivot RakBank AED'!$A$3,"Mese",3,"Tipologia",$A176,"Viaggio",$A$170))</f>
        <v>0</v>
      </c>
      <c r="F176" s="270">
        <f>IF(ISERROR(GETPIVOTDATA("Somma di DARE",'Pivot Fineco Sa'!$A$3,"Mese",4,"Tipologia",$A176,"Viaggio",$A$170)),0,GETPIVOTDATA("Somma di DARE",'Pivot Fineco Sa'!$A$3,"Mese",4,"Tipologia",$A176,"Viaggio",$A$170))
+IF(ISERROR(GETPIVOTDATA("Somma di DARE",'Pivot Fineco St'!$A$3,"Mese",4,"Tipologia",$A176,"Viaggio",$A$170)),0,GETPIVOTDATA("Somma di DARE",'Pivot Fineco St'!$A$3,"Mese",4,"Tipologia",$A176,"Viaggio",$A$170))
+IF(Contanti!$Q44='Conto Economico'!$A$170,Contanti!$N44)
+IF(ISERROR(GETPIVOTDATA("Somma di DARE",'Pivot BBVA'!$A$3,"Mese",4,"Tipologia",$A176,"Viaggio",$A$170)),0,GETPIVOTDATA("Somma di DARE",'Pivot BBVA'!$A$3,"Mese",4,"Tipologia",$A176,"Viaggio",$A$170))
+IF(ISERROR(GETPIVOTDATA("Somma di DARE",'Pivot Amex'!$A$3,"Mese",4,"Tipologia",$A176,"Viaggio",$A$170)),0,GETPIVOTDATA("Somma di DARE",'Pivot Amex'!$A$3,"Mese",4,"Tipologia",$A176,"Viaggio",$A$170))
-IF(ISERROR(GETPIVOTDATA("Somma di AVERE",'Pivot Amex'!$A$3,"Mese",4,"Tipologia",$A176,"Viaggio",$A$170)),0,GETPIVOTDATA("Somma di AVERE",'Pivot Amex'!$A$3,"Mese",4,"Tipologia",$A176,"Viaggio",$A$170))
-IF(ISERROR(GETPIVOTDATA("Somma di AVERE",'Pivot BBVA'!$A$3,"Mese",4,"Tipologia",$A176,"Viaggio",$A$170)),0,GETPIVOTDATA("Somma di AVERE",'Pivot BBVA'!$A$3,"Mese",4,"Tipologia",$A176,"Viaggio",$A$170))
-IF(ISERROR(GETPIVOTDATA("Somma di AVERE",'Pivot Fineco St'!$A$3,"Mese",4,"Tipologia",$A176,"Viaggio",$A$170)),0,GETPIVOTDATA("Somma di AVERE",'Pivot Fineco St'!$A$3,"Mese",4,"Tipologia",$A176,"Viaggio",$A$170))
-IF(ISERROR(GETPIVOTDATA("Somma di AVERE",'Pivot Fineco Sa'!$A$3,"Mese",4,"Tipologia",$A176,"Viaggio",$A$170)),0,GETPIVOTDATA("Somma di AVERE",'Pivot Fineco Sa'!$A$3,"Mese",4,"Tipologia",$A176,"Viaggio",$A$170))
+IF(ISERROR(GETPIVOTDATA("Somma di DARE",'Pivot PP Visa'!$A$3,"Mese",4,"Tipologia",$A176,"Viaggio",$A$170)),0,GETPIVOTDATA("Somma di DARE",'Pivot PP Visa'!$A$3,"Mese",4,"Tipologia",$A176,"Viaggio",$A$170))
-IF(ISERROR(GETPIVOTDATA("Somma di AVERE",'Pivot PP Visa'!$A$3,"Mese",4,"Tipologia",$A176,"Viaggio",$A$170)),0,GETPIVOTDATA("Somma di AVERE",'Pivot PP Visa'!$A$3,"Mese",4,"Tipologia",$A176,"Viaggio",$A$170))
+IF(ISERROR(GETPIVOTDATA("Somma di DARE",'Pivot Revolut'!$A$3,"Mese",4,"Tipologia",$A176,"Viaggio",$A$170)),0,GETPIVOTDATA("Somma di DARE",'Pivot Revolut'!$A$3,"Mese",4,"Tipologia",$A176,"Viaggio",$A$170))
-IF(ISERROR(GETPIVOTDATA("Somma di AVERE",'Pivot Revolut'!$A$3,"Mese",4,"Tipologia",$A176,"Viaggio",$A$170)),0,GETPIVOTDATA("Somma di AVERE",'Pivot Revolut'!$A$3,"Mese",4,"Tipologia",$A176,"Viaggio",$A$170))
+IF(ISERROR(GETPIVOTDATA("Somma di DARE",'Pivot RakBank EUR'!$A$3,"Mese",4,"Tipologia",$A176,"Viaggio",$A$170)),0,GETPIVOTDATA("Somma di DARE",'Pivot RakBank EUR'!$A$3,"Mese",4,"Tipologia",$A176,"Viaggio",$A$170))
-IF(ISERROR(GETPIVOTDATA("Somma di AVERE",'Pivot RakBank EUR'!$A$3,"Mese",4,"Tipologia",$A176,"Viaggio",$A$170)),0,GETPIVOTDATA("Somma di AVERE",'Pivot RakBank EUR'!$A$3,"Mese",4,"Tipologia",$A176,"Viaggio",$A$170))
+IF(ISERROR(GETPIVOTDATA("Somma di DARE EUR",'Pivot RakBank AED'!$A$3,"Mese",4,"Tipologia",$A176,"Viaggio",$A$170)),0,GETPIVOTDATA("Somma di DARE EUR",'Pivot RakBank AED'!$A$3,"Mese",4,"Tipologia",$A176,"Viaggio",$A$170))
-IF(ISERROR(GETPIVOTDATA("Somma di AVERE EUR",'Pivot RakBank AED'!$A$3,"Mese",4,"Tipologia",$A176,"Viaggio",$A$170)),0,GETPIVOTDATA("Somma di AVERE EUR",'Pivot RakBank AED'!$A$3,"Mese",4,"Tipologia",$A176,"Viaggio",$A$170))</f>
        <v>0</v>
      </c>
      <c r="G176" s="270">
        <f>IF(ISERROR(GETPIVOTDATA("Somma di DARE",'Pivot Fineco Sa'!$A$3,"Mese",5,"Tipologia",$A176,"Viaggio",$A$170)),0,GETPIVOTDATA("Somma di DARE",'Pivot Fineco Sa'!$A$3,"Mese",5,"Tipologia",$A176,"Viaggio",$A$170))
+IF(ISERROR(GETPIVOTDATA("Somma di DARE",'Pivot Fineco St'!$A$3,"Mese",5,"Tipologia",$A176,"Viaggio",$A$170)),0,GETPIVOTDATA("Somma di DARE",'Pivot Fineco St'!$A$3,"Mese",5,"Tipologia",$A176,"Viaggio",$A$170))
+IF(Contanti!$U44='Conto Economico'!$A$170,Contanti!$R44)
+IF(ISERROR(GETPIVOTDATA("Somma di DARE",'Pivot BBVA'!$A$3,"Mese",5,"Tipologia",$A176,"Viaggio",$A$170)),0,GETPIVOTDATA("Somma di DARE",'Pivot BBVA'!$A$3,"Mese",5,"Tipologia",$A176,"Viaggio",$A$170))
+IF(ISERROR(GETPIVOTDATA("Somma di DARE",'Pivot Amex'!$A$3,"Mese",5,"Tipologia",$A176,"Viaggio",$A$170)),0,GETPIVOTDATA("Somma di DARE",'Pivot Amex'!$A$3,"Mese",5,"Tipologia",$A176,"Viaggio",$A$170))
-IF(ISERROR(GETPIVOTDATA("Somma di AVERE",'Pivot Amex'!$A$3,"Mese",5,"Tipologia",$A176,"Viaggio",$A$170)),0,GETPIVOTDATA("Somma di AVERE",'Pivot Amex'!$A$3,"Mese",5,"Tipologia",$A176,"Viaggio",$A$170))
-IF(ISERROR(GETPIVOTDATA("Somma di AVERE",'Pivot BBVA'!$A$3,"Mese",5,"Tipologia",$A176,"Viaggio",$A$170)),0,GETPIVOTDATA("Somma di AVERE",'Pivot BBVA'!$A$3,"Mese",5,"Tipologia",$A176,"Viaggio",$A$170))
-IF(ISERROR(GETPIVOTDATA("Somma di AVERE",'Pivot Fineco St'!$A$3,"Mese",5,"Tipologia",$A176,"Viaggio",$A$170)),0,GETPIVOTDATA("Somma di AVERE",'Pivot Fineco St'!$A$3,"Mese",5,"Tipologia",$A176,"Viaggio",$A$170))
-IF(ISERROR(GETPIVOTDATA("Somma di AVERE",'Pivot Fineco Sa'!$A$3,"Mese",5,"Tipologia",$A176,"Viaggio",$A$170)),0,GETPIVOTDATA("Somma di AVERE",'Pivot Fineco Sa'!$A$3,"Mese",5,"Tipologia",$A176,"Viaggio",$A$170))
+IF(ISERROR(GETPIVOTDATA("Somma di DARE",'Pivot PP Visa'!$A$3,"Mese",5,"Tipologia",$A176,"Viaggio",$A$170)),0,GETPIVOTDATA("Somma di DARE",'Pivot PP Visa'!$A$3,"Mese",5,"Tipologia",$A176,"Viaggio",$A$170))
-IF(ISERROR(GETPIVOTDATA("Somma di AVERE",'Pivot PP Visa'!$A$3,"Mese",5,"Tipologia",$A176,"Viaggio",$A$170)),0,GETPIVOTDATA("Somma di AVERE",'Pivot PP Visa'!$A$3,"Mese",5,"Tipologia",$A176,"Viaggio",$A$170))
+IF(ISERROR(GETPIVOTDATA("Somma di DARE",'Pivot Revolut'!$A$3,"Mese",5,"Tipologia",$A176,"Viaggio",$A$170)),0,GETPIVOTDATA("Somma di DARE",'Pivot Revolut'!$A$3,"Mese",5,"Tipologia",$A176,"Viaggio",$A$170))
-IF(ISERROR(GETPIVOTDATA("Somma di AVERE",'Pivot Revolut'!$A$3,"Mese",5,"Tipologia",$A176,"Viaggio",$A$170)),0,GETPIVOTDATA("Somma di AVERE",'Pivot Revolut'!$A$3,"Mese",5,"Tipologia",$A176,"Viaggio",$A$170))
+IF(ISERROR(GETPIVOTDATA("Somma di DARE",'Pivot RakBank EUR'!$A$3,"Mese",5,"Tipologia",$A176,"Viaggio",$A$170)),0,GETPIVOTDATA("Somma di DARE",'Pivot RakBank EUR'!$A$3,"Mese",5,"Tipologia",$A176,"Viaggio",$A$170))
-IF(ISERROR(GETPIVOTDATA("Somma di AVERE",'Pivot RakBank EUR'!$A$3,"Mese",5,"Tipologia",$A176,"Viaggio",$A$170)),0,GETPIVOTDATA("Somma di AVERE",'Pivot RakBank EUR'!$A$3,"Mese",5,"Tipologia",$A176,"Viaggio",$A$170))
+IF(ISERROR(GETPIVOTDATA("Somma di DARE EUR",'Pivot RakBank AED'!$A$3,"Mese",5,"Tipologia",$A176,"Viaggio",$A$170)),0,GETPIVOTDATA("Somma di DARE EUR",'Pivot RakBank AED'!$A$3,"Mese",5,"Tipologia",$A176,"Viaggio",$A$170))
-IF(ISERROR(GETPIVOTDATA("Somma di AVERE EUR",'Pivot RakBank AED'!$A$3,"Mese",5,"Tipologia",$A176,"Viaggio",$A$170)),0,GETPIVOTDATA("Somma di AVERE EUR",'Pivot RakBank AED'!$A$3,"Mese",5,"Tipologia",$A176,"Viaggio",$A$170))</f>
        <v>0</v>
      </c>
      <c r="H176" s="270">
        <f>IF(ISERROR(GETPIVOTDATA("Somma di DARE",'Pivot Fineco Sa'!$A$3,"Mese",6,"Tipologia",$A176,"Viaggio",$A$170)),0,GETPIVOTDATA("Somma di DARE",'Pivot Fineco Sa'!$A$3,"Mese",6,"Tipologia",$A176,"Viaggio",$A$170))
+IF(ISERROR(GETPIVOTDATA("Somma di DARE",'Pivot Fineco St'!$A$3,"Mese",6,"Tipologia",$A176,"Viaggio",$A$170)),0,GETPIVOTDATA("Somma di DARE",'Pivot Fineco St'!$A$3,"Mese",6,"Tipologia",$A176,"Viaggio",$A$170))
+IF(Contanti!$Y44='Conto Economico'!$A$170,Contanti!$V44)
+IF(ISERROR(GETPIVOTDATA("Somma di DARE",'Pivot BBVA'!$A$3,"Mese",6,"Tipologia",$A176,"Viaggio",$A$170)),0,GETPIVOTDATA("Somma di DARE",'Pivot BBVA'!$A$3,"Mese",6,"Tipologia",$A176,"Viaggio",$A$170))
+IF(ISERROR(GETPIVOTDATA("Somma di DARE",'Pivot Amex'!$A$3,"Mese",6,"Tipologia",$A176,"Viaggio",$A$170)),0,GETPIVOTDATA("Somma di DARE",'Pivot Amex'!$A$3,"Mese",6,"Tipologia",$A176,"Viaggio",$A$170))
-IF(ISERROR(GETPIVOTDATA("Somma di AVERE",'Pivot Amex'!$A$3,"Mese",6,"Tipologia",$A176,"Viaggio",$A$170)),0,GETPIVOTDATA("Somma di AVERE",'Pivot Amex'!$A$3,"Mese",6,"Tipologia",$A176,"Viaggio",$A$170))
-IF(ISERROR(GETPIVOTDATA("Somma di AVERE",'Pivot BBVA'!$A$3,"Mese",6,"Tipologia",$A176,"Viaggio",$A$170)),0,GETPIVOTDATA("Somma di AVERE",'Pivot BBVA'!$A$3,"Mese",6,"Tipologia",$A176,"Viaggio",$A$170))
-IF(ISERROR(GETPIVOTDATA("Somma di AVERE",'Pivot Fineco St'!$A$3,"Mese",6,"Tipologia",$A176,"Viaggio",$A$170)),0,GETPIVOTDATA("Somma di AVERE",'Pivot Fineco St'!$A$3,"Mese",6,"Tipologia",$A176,"Viaggio",$A$170))
-IF(ISERROR(GETPIVOTDATA("Somma di AVERE",'Pivot Fineco Sa'!$A$3,"Mese",6,"Tipologia",$A176,"Viaggio",$A$170)),0,GETPIVOTDATA("Somma di AVERE",'Pivot Fineco Sa'!$A$3,"Mese",6,"Tipologia",$A176,"Viaggio",$A$170))
+IF(ISERROR(GETPIVOTDATA("Somma di DARE",'Pivot PP Visa'!$A$3,"Mese",6,"Tipologia",$A176,"Viaggio",$A$170)),0,GETPIVOTDATA("Somma di DARE",'Pivot PP Visa'!$A$3,"Mese",6,"Tipologia",$A176,"Viaggio",$A$170))
-IF(ISERROR(GETPIVOTDATA("Somma di AVERE",'Pivot PP Visa'!$A$3,"Mese",6,"Tipologia",$A176,"Viaggio",$A$170)),0,GETPIVOTDATA("Somma di AVERE",'Pivot PP Visa'!$A$3,"Mese",6,"Tipologia",$A176,"Viaggio",$A$170))
+IF(ISERROR(GETPIVOTDATA("Somma di DARE",'Pivot Revolut'!$A$3,"Mese",6,"Tipologia",$A176,"Viaggio",$A$170)),0,GETPIVOTDATA("Somma di DARE",'Pivot Revolut'!$A$3,"Mese",6,"Tipologia",$A176,"Viaggio",$A$170))
-IF(ISERROR(GETPIVOTDATA("Somma di AVERE",'Pivot Revolut'!$A$3,"Mese",6,"Tipologia",$A176,"Viaggio",$A$170)),0,GETPIVOTDATA("Somma di AVERE",'Pivot Revolut'!$A$3,"Mese",6,"Tipologia",$A176,"Viaggio",$A$170))
+IF(ISERROR(GETPIVOTDATA("Somma di DARE",'Pivot RakBank EUR'!$A$3,"Mese",6,"Tipologia",$A176,"Viaggio",$A$170)),0,GETPIVOTDATA("Somma di DARE",'Pivot RakBank EUR'!$A$3,"Mese",6,"Tipologia",$A176,"Viaggio",$A$170))
-IF(ISERROR(GETPIVOTDATA("Somma di AVERE",'Pivot RakBank EUR'!$A$3,"Mese",6,"Tipologia",$A176,"Viaggio",$A$170)),0,GETPIVOTDATA("Somma di AVERE",'Pivot RakBank EUR'!$A$3,"Mese",6,"Tipologia",$A176,"Viaggio",$A$170))
+IF(ISERROR(GETPIVOTDATA("Somma di DARE EUR",'Pivot RakBank AED'!$A$3,"Mese",6,"Tipologia",$A176,"Viaggio",$A$170)),0,GETPIVOTDATA("Somma di DARE EUR",'Pivot RakBank AED'!$A$3,"Mese",6,"Tipologia",$A176,"Viaggio",$A$170))
-IF(ISERROR(GETPIVOTDATA("Somma di AVERE EUR",'Pivot RakBank AED'!$A$3,"Mese",6,"Tipologia",$A176,"Viaggio",$A$170)),0,GETPIVOTDATA("Somma di AVERE EUR",'Pivot RakBank AED'!$A$3,"Mese",6,"Tipologia",$A176,"Viaggio",$A$170))</f>
        <v>0</v>
      </c>
      <c r="I176" s="270">
        <f>IF(ISERROR(GETPIVOTDATA("Somma di DARE",'Pivot Fineco Sa'!$A$3,"Mese",7,"Tipologia",$A176,"Viaggio",$A$170)),0,GETPIVOTDATA("Somma di DARE",'Pivot Fineco Sa'!$A$3,"Mese",7,"Tipologia",$A176,"Viaggio",$A$170))
+IF(ISERROR(GETPIVOTDATA("Somma di DARE",'Pivot Fineco St'!$A$3,"Mese",7,"Tipologia",$A176,"Viaggio",$A$170)),0,GETPIVOTDATA("Somma di DARE",'Pivot Fineco St'!$A$3,"Mese",7,"Tipologia",$A176,"Viaggio",$A$170))
+IF(Contanti!$AC44='Conto Economico'!$A$170,Contanti!$Z44)
+IF(ISERROR(GETPIVOTDATA("Somma di DARE",'Pivot BBVA'!$A$3,"Mese",7,"Tipologia",$A176,"Viaggio",$A$170)),0,GETPIVOTDATA("Somma di DARE",'Pivot BBVA'!$A$3,"Mese",7,"Tipologia",$A176,"Viaggio",$A$170))
+IF(ISERROR(GETPIVOTDATA("Somma di DARE",'Pivot Amex'!$A$3,"Mese",7,"Tipologia",$A176,"Viaggio",$A$170)),0,GETPIVOTDATA("Somma di DARE",'Pivot Amex'!$A$3,"Mese",7,"Tipologia",$A176,"Viaggio",$A$170))
-IF(ISERROR(GETPIVOTDATA("Somma di AVERE",'Pivot Amex'!$A$3,"Mese",7,"Tipologia",$A176,"Viaggio",$A$170)),0,GETPIVOTDATA("Somma di AVERE",'Pivot Amex'!$A$3,"Mese",7,"Tipologia",$A176,"Viaggio",$A$170))
-IF(ISERROR(GETPIVOTDATA("Somma di AVERE",'Pivot BBVA'!$A$3,"Mese",7,"Tipologia",$A176,"Viaggio",$A$170)),0,GETPIVOTDATA("Somma di AVERE",'Pivot BBVA'!$A$3,"Mese",7,"Tipologia",$A176,"Viaggio",$A$170))
-IF(ISERROR(GETPIVOTDATA("Somma di AVERE",'Pivot Fineco St'!$A$3,"Mese",7,"Tipologia",$A176,"Viaggio",$A$170)),0,GETPIVOTDATA("Somma di AVERE",'Pivot Fineco St'!$A$3,"Mese",7,"Tipologia",$A176,"Viaggio",$A$170))
-IF(ISERROR(GETPIVOTDATA("Somma di AVERE",'Pivot Fineco Sa'!$A$3,"Mese",7,"Tipologia",$A176,"Viaggio",$A$170)),0,GETPIVOTDATA("Somma di AVERE",'Pivot Fineco Sa'!$A$3,"Mese",7,"Tipologia",$A176,"Viaggio",$A$170))
+IF(ISERROR(GETPIVOTDATA("Somma di DARE",'Pivot PP Visa'!$A$3,"Mese",7,"Tipologia",$A176,"Viaggio",$A$170)),0,GETPIVOTDATA("Somma di DARE",'Pivot PP Visa'!$A$3,"Mese",7,"Tipologia",$A176,"Viaggio",$A$170))
-IF(ISERROR(GETPIVOTDATA("Somma di AVERE",'Pivot PP Visa'!$A$3,"Mese",7,"Tipologia",$A176,"Viaggio",$A$170)),0,GETPIVOTDATA("Somma di AVERE",'Pivot PP Visa'!$A$3,"Mese",7,"Tipologia",$A176,"Viaggio",$A$170))
+IF(ISERROR(GETPIVOTDATA("Somma di DARE",'Pivot Revolut'!$A$3,"Mese",7,"Tipologia",$A176,"Viaggio",$A$170)),0,GETPIVOTDATA("Somma di DARE",'Pivot Revolut'!$A$3,"Mese",7,"Tipologia",$A176,"Viaggio",$A$170))
-IF(ISERROR(GETPIVOTDATA("Somma di AVERE",'Pivot Revolut'!$A$3,"Mese",7,"Tipologia",$A176,"Viaggio",$A$170)),0,GETPIVOTDATA("Somma di AVERE",'Pivot Revolut'!$A$3,"Mese",7,"Tipologia",$A176,"Viaggio",$A$170))
+IF(ISERROR(GETPIVOTDATA("Somma di DARE",'Pivot RakBank EUR'!$A$3,"Mese",7,"Tipologia",$A176,"Viaggio",$A$170)),0,GETPIVOTDATA("Somma di DARE",'Pivot RakBank EUR'!$A$3,"Mese",7,"Tipologia",$A176,"Viaggio",$A$170))
-IF(ISERROR(GETPIVOTDATA("Somma di AVERE",'Pivot RakBank EUR'!$A$3,"Mese",7,"Tipologia",$A176,"Viaggio",$A$170)),0,GETPIVOTDATA("Somma di AVERE",'Pivot RakBank EUR'!$A$3,"Mese",7,"Tipologia",$A176,"Viaggio",$A$170))
+IF(ISERROR(GETPIVOTDATA("Somma di DARE EUR",'Pivot RakBank AED'!$A$3,"Mese",7,"Tipologia",$A176,"Viaggio",$A$170)),0,GETPIVOTDATA("Somma di DARE EUR",'Pivot RakBank AED'!$A$3,"Mese",7,"Tipologia",$A176,"Viaggio",$A$170))
-IF(ISERROR(GETPIVOTDATA("Somma di AVERE EUR",'Pivot RakBank AED'!$A$3,"Mese",7,"Tipologia",$A176,"Viaggio",$A$170)),0,GETPIVOTDATA("Somma di AVERE EUR",'Pivot RakBank AED'!$A$3,"Mese",7,"Tipologia",$A176,"Viaggio",$A$170))</f>
        <v>0</v>
      </c>
      <c r="J176" s="270">
        <f>IF(ISERROR(GETPIVOTDATA("Somma di DARE",'Pivot Fineco Sa'!$A$3,"Mese",8,"Tipologia",$A176,"Viaggio",$A$170)),0,GETPIVOTDATA("Somma di DARE",'Pivot Fineco Sa'!$A$3,"Mese",8,"Tipologia",$A176,"Viaggio",$A$170))
+IF(ISERROR(GETPIVOTDATA("Somma di DARE",'Pivot Fineco St'!$A$3,"Mese",8,"Tipologia",$A176,"Viaggio",$A$170)),0,GETPIVOTDATA("Somma di DARE",'Pivot Fineco St'!$A$3,"Mese",8,"Tipologia",$A176,"Viaggio",$A$170))
+IF(Contanti!$AG44='Conto Economico'!$A$170,Contanti!$AD44)
+IF(ISERROR(GETPIVOTDATA("Somma di DARE",'Pivot BBVA'!$A$3,"Mese",8,"Tipologia",$A176,"Viaggio",$A$170)),0,GETPIVOTDATA("Somma di DARE",'Pivot BBVA'!$A$3,"Mese",8,"Tipologia",$A176,"Viaggio",$A$170))
+IF(ISERROR(GETPIVOTDATA("Somma di DARE",'Pivot Amex'!$A$3,"Mese",8,"Tipologia",$A176,"Viaggio",$A$170)),0,GETPIVOTDATA("Somma di DARE",'Pivot Amex'!$A$3,"Mese",8,"Tipologia",$A176,"Viaggio",$A$170))
-IF(ISERROR(GETPIVOTDATA("Somma di AVERE",'Pivot Amex'!$A$3,"Mese",8,"Tipologia",$A176,"Viaggio",$A$170)),0,GETPIVOTDATA("Somma di AVERE",'Pivot Amex'!$A$3,"Mese",8,"Tipologia",$A176,"Viaggio",$A$170))
-IF(ISERROR(GETPIVOTDATA("Somma di AVERE",'Pivot BBVA'!$A$3,"Mese",8,"Tipologia",$A176,"Viaggio",$A$170)),0,GETPIVOTDATA("Somma di AVERE",'Pivot BBVA'!$A$3,"Mese",8,"Tipologia",$A176,"Viaggio",$A$170))
-IF(ISERROR(GETPIVOTDATA("Somma di AVERE",'Pivot Fineco St'!$A$3,"Mese",8,"Tipologia",$A176,"Viaggio",$A$170)),0,GETPIVOTDATA("Somma di AVERE",'Pivot Fineco St'!$A$3,"Mese",8,"Tipologia",$A176,"Viaggio",$A$170))
-IF(ISERROR(GETPIVOTDATA("Somma di AVERE",'Pivot Fineco Sa'!$A$3,"Mese",8,"Tipologia",$A176,"Viaggio",$A$170)),0,GETPIVOTDATA("Somma di AVERE",'Pivot Fineco Sa'!$A$3,"Mese",8,"Tipologia",$A176,"Viaggio",$A$170))
+IF(ISERROR(GETPIVOTDATA("Somma di DARE",'Pivot PP Visa'!$A$3,"Mese",8,"Tipologia",$A176,"Viaggio",$A$170)),0,GETPIVOTDATA("Somma di DARE",'Pivot PP Visa'!$A$3,"Mese",8,"Tipologia",$A176,"Viaggio",$A$170))
-IF(ISERROR(GETPIVOTDATA("Somma di AVERE",'Pivot PP Visa'!$A$3,"Mese",8,"Tipologia",$A176,"Viaggio",$A$170)),0,GETPIVOTDATA("Somma di AVERE",'Pivot PP Visa'!$A$3,"Mese",8,"Tipologia",$A176,"Viaggio",$A$170))
+IF(ISERROR(GETPIVOTDATA("Somma di DARE",'Pivot Revolut'!$A$3,"Mese",8,"Tipologia",$A176,"Viaggio",$A$170)),0,GETPIVOTDATA("Somma di DARE",'Pivot Revolut'!$A$3,"Mese",8,"Tipologia",$A176,"Viaggio",$A$170))
-IF(ISERROR(GETPIVOTDATA("Somma di AVERE",'Pivot Revolut'!$A$3,"Mese",8,"Tipologia",$A176,"Viaggio",$A$170)),0,GETPIVOTDATA("Somma di AVERE",'Pivot Revolut'!$A$3,"Mese",8,"Tipologia",$A176,"Viaggio",$A$170))
+IF(ISERROR(GETPIVOTDATA("Somma di DARE",'Pivot RakBank EUR'!$A$3,"Mese",8,"Tipologia",$A176,"Viaggio",$A$170)),0,GETPIVOTDATA("Somma di DARE",'Pivot RakBank EUR'!$A$3,"Mese",8,"Tipologia",$A176,"Viaggio",$A$170))
-IF(ISERROR(GETPIVOTDATA("Somma di AVERE",'Pivot RakBank EUR'!$A$3,"Mese",8,"Tipologia",$A176,"Viaggio",$A$170)),0,GETPIVOTDATA("Somma di AVERE",'Pivot RakBank EUR'!$A$3,"Mese",8,"Tipologia",$A176,"Viaggio",$A$170))
+IF(ISERROR(GETPIVOTDATA("Somma di DARE EUR",'Pivot RakBank AED'!$A$3,"Mese",8,"Tipologia",$A176,"Viaggio",$A$170)),0,GETPIVOTDATA("Somma di DARE EUR",'Pivot RakBank AED'!$A$3,"Mese",8,"Tipologia",$A176,"Viaggio",$A$170))
-IF(ISERROR(GETPIVOTDATA("Somma di AVERE EUR",'Pivot RakBank AED'!$A$3,"Mese",8,"Tipologia",$A176,"Viaggio",$A$170)),0,GETPIVOTDATA("Somma di AVERE EUR",'Pivot RakBank AED'!$A$3,"Mese",8,"Tipologia",$A176,"Viaggio",$A$170))</f>
        <v>0</v>
      </c>
      <c r="K176" s="270">
        <f>IF(ISERROR(GETPIVOTDATA("Somma di DARE",'Pivot Fineco Sa'!$A$3,"Mese",9,"Tipologia",$A176,"Viaggio",$A$170)),0,GETPIVOTDATA("Somma di DARE",'Pivot Fineco Sa'!$A$3,"Mese",9,"Tipologia",$A176,"Viaggio",$A$170))
+IF(ISERROR(GETPIVOTDATA("Somma di DARE",'Pivot Fineco St'!$A$3,"Mese",9,"Tipologia",$A176,"Viaggio",$A$170)),0,GETPIVOTDATA("Somma di DARE",'Pivot Fineco St'!$A$3,"Mese",9,"Tipologia",$A176,"Viaggio",$A$170))
+IF(Contanti!$AK44='Conto Economico'!$A$170,Contanti!$AH44)
+IF(ISERROR(GETPIVOTDATA("Somma di DARE",'Pivot BBVA'!$A$3,"Mese",9,"Tipologia",$A176,"Viaggio",$A$170)),0,GETPIVOTDATA("Somma di DARE",'Pivot BBVA'!$A$3,"Mese",9,"Tipologia",$A176,"Viaggio",$A$170))
+IF(ISERROR(GETPIVOTDATA("Somma di DARE",'Pivot Amex'!$A$3,"Mese",9,"Tipologia",$A176,"Viaggio",$A$170)),0,GETPIVOTDATA("Somma di DARE",'Pivot Amex'!$A$3,"Mese",9,"Tipologia",$A176,"Viaggio",$A$170))
-IF(ISERROR(GETPIVOTDATA("Somma di AVERE",'Pivot Amex'!$A$3,"Mese",9,"Tipologia",$A176,"Viaggio",$A$170)),0,GETPIVOTDATA("Somma di AVERE",'Pivot Amex'!$A$3,"Mese",9,"Tipologia",$A176,"Viaggio",$A$170))
-IF(ISERROR(GETPIVOTDATA("Somma di AVERE",'Pivot BBVA'!$A$3,"Mese",9,"Tipologia",$A176,"Viaggio",$A$170)),0,GETPIVOTDATA("Somma di AVERE",'Pivot BBVA'!$A$3,"Mese",9,"Tipologia",$A176,"Viaggio",$A$170))
-IF(ISERROR(GETPIVOTDATA("Somma di AVERE",'Pivot Fineco St'!$A$3,"Mese",9,"Tipologia",$A176,"Viaggio",$A$170)),0,GETPIVOTDATA("Somma di AVERE",'Pivot Fineco St'!$A$3,"Mese",9,"Tipologia",$A176,"Viaggio",$A$170))
-IF(ISERROR(GETPIVOTDATA("Somma di AVERE",'Pivot Fineco Sa'!$A$3,"Mese",9,"Tipologia",$A176,"Viaggio",$A$170)),0,GETPIVOTDATA("Somma di AVERE",'Pivot Fineco Sa'!$A$3,"Mese",9,"Tipologia",$A176,"Viaggio",$A$170))
+IF(ISERROR(GETPIVOTDATA("Somma di DARE",'Pivot PP Visa'!$A$3,"Mese",9,"Tipologia",$A176,"Viaggio",$A$170)),0,GETPIVOTDATA("Somma di DARE",'Pivot PP Visa'!$A$3,"Mese",9,"Tipologia",$A176,"Viaggio",$A$170))
-IF(ISERROR(GETPIVOTDATA("Somma di AVERE",'Pivot PP Visa'!$A$3,"Mese",9,"Tipologia",$A176,"Viaggio",$A$170)),0,GETPIVOTDATA("Somma di AVERE",'Pivot PP Visa'!$A$3,"Mese",9,"Tipologia",$A176,"Viaggio",$A$170))
+IF(ISERROR(GETPIVOTDATA("Somma di DARE",'Pivot Revolut'!$A$3,"Mese",9,"Tipologia",$A176,"Viaggio",$A$170)),0,GETPIVOTDATA("Somma di DARE",'Pivot Revolut'!$A$3,"Mese",9,"Tipologia",$A176,"Viaggio",$A$170))
-IF(ISERROR(GETPIVOTDATA("Somma di AVERE",'Pivot Revolut'!$A$3,"Mese",9,"Tipologia",$A176,"Viaggio",$A$170)),0,GETPIVOTDATA("Somma di AVERE",'Pivot Revolut'!$A$3,"Mese",9,"Tipologia",$A176,"Viaggio",$A$170))
+IF(ISERROR(GETPIVOTDATA("Somma di DARE",'Pivot RakBank EUR'!$A$3,"Mese",9,"Tipologia",$A176,"Viaggio",$A$170)),0,GETPIVOTDATA("Somma di DARE",'Pivot RakBank EUR'!$A$3,"Mese",9,"Tipologia",$A176,"Viaggio",$A$170))
-IF(ISERROR(GETPIVOTDATA("Somma di AVERE",'Pivot RakBank EUR'!$A$3,"Mese",9,"Tipologia",$A176,"Viaggio",$A$170)),0,GETPIVOTDATA("Somma di AVERE",'Pivot RakBank EUR'!$A$3,"Mese",9,"Tipologia",$A176,"Viaggio",$A$170))
+IF(ISERROR(GETPIVOTDATA("Somma di DARE EUR",'Pivot RakBank AED'!$A$3,"Mese",9,"Tipologia",$A176,"Viaggio",$A$170)),0,GETPIVOTDATA("Somma di DARE EUR",'Pivot RakBank AED'!$A$3,"Mese",9,"Tipologia",$A176,"Viaggio",$A$170))
-IF(ISERROR(GETPIVOTDATA("Somma di AVERE EUR",'Pivot RakBank AED'!$A$3,"Mese",9,"Tipologia",$A176,"Viaggio",$A$170)),0,GETPIVOTDATA("Somma di AVERE EUR",'Pivot RakBank AED'!$A$3,"Mese",9,"Tipologia",$A176,"Viaggio",$A$170))</f>
        <v>0</v>
      </c>
      <c r="L176" s="270">
        <f>IF(ISERROR(GETPIVOTDATA("Somma di DARE",'Pivot Fineco Sa'!$A$3,"Mese",10,"Tipologia",$A176,"Viaggio",$A$170)),0,GETPIVOTDATA("Somma di DARE",'Pivot Fineco Sa'!$A$3,"Mese",10,"Tipologia",$A176,"Viaggio",$A$170))
+IF(ISERROR(GETPIVOTDATA("Somma di DARE",'Pivot Fineco St'!$A$3,"Mese",10,"Tipologia",$A176,"Viaggio",$A$170)),0,GETPIVOTDATA("Somma di DARE",'Pivot Fineco St'!$A$3,"Mese",10,"Tipologia",$A176,"Viaggio",$A$170))
+IF(Contanti!$AO44='Conto Economico'!$A$170,Contanti!$AL44)
+IF(ISERROR(GETPIVOTDATA("Somma di DARE",'Pivot BBVA'!$A$3,"Mese",10,"Tipologia",$A176,"Viaggio",$A$170)),0,GETPIVOTDATA("Somma di DARE",'Pivot BBVA'!$A$3,"Mese",10,"Tipologia",$A176,"Viaggio",$A$170))
+IF(ISERROR(GETPIVOTDATA("Somma di DARE",'Pivot Amex'!$A$3,"Mese",10,"Tipologia",$A176,"Viaggio",$A$170)),0,GETPIVOTDATA("Somma di DARE",'Pivot Amex'!$A$3,"Mese",10,"Tipologia",$A176,"Viaggio",$A$170))
-IF(ISERROR(GETPIVOTDATA("Somma di AVERE",'Pivot Amex'!$A$3,"Mese",10,"Tipologia",$A176,"Viaggio",$A$170)),0,GETPIVOTDATA("Somma di AVERE",'Pivot Amex'!$A$3,"Mese",10,"Tipologia",$A176,"Viaggio",$A$170))
-IF(ISERROR(GETPIVOTDATA("Somma di AVERE",'Pivot BBVA'!$A$3,"Mese",10,"Tipologia",$A176,"Viaggio",$A$170)),0,GETPIVOTDATA("Somma di AVERE",'Pivot BBVA'!$A$3,"Mese",10,"Tipologia",$A176,"Viaggio",$A$170))
-IF(ISERROR(GETPIVOTDATA("Somma di AVERE",'Pivot Fineco St'!$A$3,"Mese",10,"Tipologia",$A176,"Viaggio",$A$170)),0,GETPIVOTDATA("Somma di AVERE",'Pivot Fineco St'!$A$3,"Mese",10,"Tipologia",$A176,"Viaggio",$A$170))
-IF(ISERROR(GETPIVOTDATA("Somma di AVERE",'Pivot Fineco Sa'!$A$3,"Mese",10,"Tipologia",$A176,"Viaggio",$A$170)),0,GETPIVOTDATA("Somma di AVERE",'Pivot Fineco Sa'!$A$3,"Mese",10,"Tipologia",$A176,"Viaggio",$A$170))
+IF(ISERROR(GETPIVOTDATA("Somma di DARE",'Pivot PP Visa'!$A$3,"Mese",10,"Tipologia",$A176,"Viaggio",$A$170)),0,GETPIVOTDATA("Somma di DARE",'Pivot PP Visa'!$A$3,"Mese",10,"Tipologia",$A176,"Viaggio",$A$170))
-IF(ISERROR(GETPIVOTDATA("Somma di AVERE",'Pivot PP Visa'!$A$3,"Mese",10,"Tipologia",$A176,"Viaggio",$A$170)),0,GETPIVOTDATA("Somma di AVERE",'Pivot PP Visa'!$A$3,"Mese",10,"Tipologia",$A176,"Viaggio",$A$170))
+IF(ISERROR(GETPIVOTDATA("Somma di DARE",'Pivot Revolut'!$A$3,"Mese",10,"Tipologia",$A176,"Viaggio",$A$170)),0,GETPIVOTDATA("Somma di DARE",'Pivot Revolut'!$A$3,"Mese",10,"Tipologia",$A176,"Viaggio",$A$170))
-IF(ISERROR(GETPIVOTDATA("Somma di AVERE",'Pivot Revolut'!$A$3,"Mese",10,"Tipologia",$A176,"Viaggio",$A$170)),0,GETPIVOTDATA("Somma di AVERE",'Pivot Revolut'!$A$3,"Mese",10,"Tipologia",$A176,"Viaggio",$A$170))
+IF(ISERROR(GETPIVOTDATA("Somma di DARE",'Pivot RakBank EUR'!$A$3,"Mese",10,"Tipologia",$A176,"Viaggio",$A$170)),0,GETPIVOTDATA("Somma di DARE",'Pivot RakBank EUR'!$A$3,"Mese",10,"Tipologia",$A176,"Viaggio",$A$170))
-IF(ISERROR(GETPIVOTDATA("Somma di AVERE",'Pivot RakBank EUR'!$A$3,"Mese",10,"Tipologia",$A176,"Viaggio",$A$170)),0,GETPIVOTDATA("Somma di AVERE",'Pivot RakBank EUR'!$A$3,"Mese",10,"Tipologia",$A176,"Viaggio",$A$170))
+IF(ISERROR(GETPIVOTDATA("Somma di DARE EUR",'Pivot RakBank AED'!$A$3,"Mese",10,"Tipologia",$A176,"Viaggio",$A$170)),0,GETPIVOTDATA("Somma di DARE EUR",'Pivot RakBank AED'!$A$3,"Mese",10,"Tipologia",$A176,"Viaggio",$A$170))
-IF(ISERROR(GETPIVOTDATA("Somma di AVERE EUR",'Pivot RakBank AED'!$A$3,"Mese",10,"Tipologia",$A176,"Viaggio",$A$170)),0,GETPIVOTDATA("Somma di AVERE EUR",'Pivot RakBank AED'!$A$3,"Mese",10,"Tipologia",$A176,"Viaggio",$A$170))</f>
        <v>0</v>
      </c>
      <c r="M176" s="270">
        <f>IF(ISERROR(GETPIVOTDATA("Somma di DARE",'Pivot Fineco Sa'!$A$3,"Mese",11,"Tipologia",$A176,"Viaggio",$A$170)),0,GETPIVOTDATA("Somma di DARE",'Pivot Fineco Sa'!$A$3,"Mese",11,"Tipologia",$A176,"Viaggio",$A$170))
+IF(ISERROR(GETPIVOTDATA("Somma di DARE",'Pivot Fineco St'!$A$3,"Mese",11,"Tipologia",$A176,"Viaggio",$A$170)),0,GETPIVOTDATA("Somma di DARE",'Pivot Fineco St'!$A$3,"Mese",11,"Tipologia",$A176,"Viaggio",$A$170))
+IF(Contanti!$AS44='Conto Economico'!$A$170,Contanti!$AP44)
+IF(ISERROR(GETPIVOTDATA("Somma di DARE",'Pivot BBVA'!$A$3,"Mese",11,"Tipologia",$A176,"Viaggio",$A$170)),0,GETPIVOTDATA("Somma di DARE",'Pivot BBVA'!$A$3,"Mese",11,"Tipologia",$A176,"Viaggio",$A$170))
+IF(ISERROR(GETPIVOTDATA("Somma di DARE",'Pivot Amex'!$A$3,"Mese",11,"Tipologia",$A176,"Viaggio",$A$170)),0,GETPIVOTDATA("Somma di DARE",'Pivot Amex'!$A$3,"Mese",11,"Tipologia",$A176,"Viaggio",$A$170))
-IF(ISERROR(GETPIVOTDATA("Somma di AVERE",'Pivot Amex'!$A$3,"Mese",11,"Tipologia",$A176,"Viaggio",$A$170)),0,GETPIVOTDATA("Somma di AVERE",'Pivot Amex'!$A$3,"Mese",11,"Tipologia",$A176,"Viaggio",$A$170))
-IF(ISERROR(GETPIVOTDATA("Somma di AVERE",'Pivot BBVA'!$A$3,"Mese",11,"Tipologia",$A176,"Viaggio",$A$170)),0,GETPIVOTDATA("Somma di AVERE",'Pivot BBVA'!$A$3,"Mese",11,"Tipologia",$A176,"Viaggio",$A$170))
-IF(ISERROR(GETPIVOTDATA("Somma di AVERE",'Pivot Fineco St'!$A$3,"Mese",11,"Tipologia",$A176,"Viaggio",$A$170)),0,GETPIVOTDATA("Somma di AVERE",'Pivot Fineco St'!$A$3,"Mese",11,"Tipologia",$A176,"Viaggio",$A$170))
-IF(ISERROR(GETPIVOTDATA("Somma di AVERE",'Pivot Fineco Sa'!$A$3,"Mese",11,"Tipologia",$A176,"Viaggio",$A$170)),0,GETPIVOTDATA("Somma di AVERE",'Pivot Fineco Sa'!$A$3,"Mese",11,"Tipologia",$A176,"Viaggio",$A$170))
+IF(ISERROR(GETPIVOTDATA("Somma di DARE",'Pivot PP Visa'!$A$3,"Mese",11,"Tipologia",$A176,"Viaggio",$A$170)),0,GETPIVOTDATA("Somma di DARE",'Pivot PP Visa'!$A$3,"Mese",11,"Tipologia",$A176,"Viaggio",$A$170))
-IF(ISERROR(GETPIVOTDATA("Somma di AVERE",'Pivot PP Visa'!$A$3,"Mese",11,"Tipologia",$A176,"Viaggio",$A$170)),0,GETPIVOTDATA("Somma di AVERE",'Pivot PP Visa'!$A$3,"Mese",11,"Tipologia",$A176,"Viaggio",$A$170))
+IF(ISERROR(GETPIVOTDATA("Somma di DARE",'Pivot Revolut'!$A$3,"Mese",11,"Tipologia",$A176,"Viaggio",$A$170)),0,GETPIVOTDATA("Somma di DARE",'Pivot Revolut'!$A$3,"Mese",11,"Tipologia",$A176,"Viaggio",$A$170))
-IF(ISERROR(GETPIVOTDATA("Somma di AVERE",'Pivot Revolut'!$A$3,"Mese",11,"Tipologia",$A176,"Viaggio",$A$170)),0,GETPIVOTDATA("Somma di AVERE",'Pivot Revolut'!$A$3,"Mese",11,"Tipologia",$A176,"Viaggio",$A$170))
+IF(ISERROR(GETPIVOTDATA("Somma di DARE",'Pivot RakBank EUR'!$A$3,"Mese",11,"Tipologia",$A176,"Viaggio",$A$170)),0,GETPIVOTDATA("Somma di DARE",'Pivot RakBank EUR'!$A$3,"Mese",11,"Tipologia",$A176,"Viaggio",$A$170))
-IF(ISERROR(GETPIVOTDATA("Somma di AVERE",'Pivot RakBank EUR'!$A$3,"Mese",11,"Tipologia",$A176,"Viaggio",$A$170)),0,GETPIVOTDATA("Somma di AVERE",'Pivot RakBank EUR'!$A$3,"Mese",11,"Tipologia",$A176,"Viaggio",$A$170))
+IF(ISERROR(GETPIVOTDATA("Somma di DARE EUR",'Pivot RakBank AED'!$A$3,"Mese",11,"Tipologia",$A176,"Viaggio",$A$170)),0,GETPIVOTDATA("Somma di DARE EUR",'Pivot RakBank AED'!$A$3,"Mese",11,"Tipologia",$A176,"Viaggio",$A$170))
-IF(ISERROR(GETPIVOTDATA("Somma di AVERE EUR",'Pivot RakBank AED'!$A$3,"Mese",11,"Tipologia",$A176,"Viaggio",$A$170)),0,GETPIVOTDATA("Somma di AVERE EUR",'Pivot RakBank AED'!$A$3,"Mese",11,"Tipologia",$A176,"Viaggio",$A$170))</f>
        <v>0</v>
      </c>
      <c r="N176" s="270">
        <f>IF(ISERROR(GETPIVOTDATA("Somma di DARE",'Pivot Fineco Sa'!$A$3,"Mese",12,"Tipologia",$A176,"Viaggio",$A$170)),0,GETPIVOTDATA("Somma di DARE",'Pivot Fineco Sa'!$A$3,"Mese",12,"Tipologia",$A176,"Viaggio",$A$170))
+IF(ISERROR(GETPIVOTDATA("Somma di DARE",'Pivot Fineco St'!$A$3,"Mese",12,"Tipologia",$A176,"Viaggio",$A$170)),0,GETPIVOTDATA("Somma di DARE",'Pivot Fineco St'!$A$3,"Mese",12,"Tipologia",$A176,"Viaggio",$A$170))
+IF(Contanti!$AW44='Conto Economico'!$A$170,Contanti!$AT44)
+IF(ISERROR(GETPIVOTDATA("Somma di DARE",'Pivot BBVA'!$A$3,"Mese",12,"Tipologia",$A176,"Viaggio",$A$170)),0,GETPIVOTDATA("Somma di DARE",'Pivot BBVA'!$A$3,"Mese",12,"Tipologia",$A176,"Viaggio",$A$170))
+IF(ISERROR(GETPIVOTDATA("Somma di DARE",'Pivot Amex'!$A$3,"Mese",12,"Tipologia",$A176,"Viaggio",$A$170)),0,GETPIVOTDATA("Somma di DARE",'Pivot Amex'!$A$3,"Mese",12,"Tipologia",$A176,"Viaggio",$A$170))
-IF(ISERROR(GETPIVOTDATA("Somma di AVERE",'Pivot Amex'!$A$3,"Mese",12,"Tipologia",$A176,"Viaggio",$A$170)),0,GETPIVOTDATA("Somma di AVERE",'Pivot Amex'!$A$3,"Mese",12,"Tipologia",$A176,"Viaggio",$A$170))
-IF(ISERROR(GETPIVOTDATA("Somma di AVERE",'Pivot BBVA'!$A$3,"Mese",12,"Tipologia",$A176,"Viaggio",$A$170)),0,GETPIVOTDATA("Somma di AVERE",'Pivot BBVA'!$A$3,"Mese",12,"Tipologia",$A176,"Viaggio",$A$170))
-IF(ISERROR(GETPIVOTDATA("Somma di AVERE",'Pivot Fineco St'!$A$3,"Mese",12,"Tipologia",$A176,"Viaggio",$A$170)),0,GETPIVOTDATA("Somma di AVERE",'Pivot Fineco St'!$A$3,"Mese",12,"Tipologia",$A176,"Viaggio",$A$170))
-IF(ISERROR(GETPIVOTDATA("Somma di AVERE",'Pivot Fineco Sa'!$A$3,"Mese",12,"Tipologia",$A176,"Viaggio",$A$170)),0,GETPIVOTDATA("Somma di AVERE",'Pivot Fineco Sa'!$A$3,"Mese",12,"Tipologia",$A176,"Viaggio",$A$170))
+IF(ISERROR(GETPIVOTDATA("Somma di DARE",'Pivot PP Visa'!$A$3,"Mese",12,"Tipologia",$A176,"Viaggio",$A$170)),0,GETPIVOTDATA("Somma di DARE",'Pivot PP Visa'!$A$3,"Mese",12,"Tipologia",$A176,"Viaggio",$A$170))
-IF(ISERROR(GETPIVOTDATA("Somma di AVERE",'Pivot PP Visa'!$A$3,"Mese",12,"Tipologia",$A176,"Viaggio",$A$170)),0,GETPIVOTDATA("Somma di AVERE",'Pivot PP Visa'!$A$3,"Mese",12,"Tipologia",$A176,"Viaggio",$A$170))
+IF(ISERROR(GETPIVOTDATA("Somma di DARE",'Pivot Revolut'!$A$3,"Mese",12,"Tipologia",$A176,"Viaggio",$A$170)),0,GETPIVOTDATA("Somma di DARE",'Pivot Revolut'!$A$3,"Mese",12,"Tipologia",$A176,"Viaggio",$A$170))
-IF(ISERROR(GETPIVOTDATA("Somma di AVERE",'Pivot Revolut'!$A$3,"Mese",12,"Tipologia",$A176,"Viaggio",$A$170)),0,GETPIVOTDATA("Somma di AVERE",'Pivot Revolut'!$A$3,"Mese",12,"Tipologia",$A176,"Viaggio",$A$170))
+IF(ISERROR(GETPIVOTDATA("Somma di DARE",'Pivot RakBank EUR'!$A$3,"Mese",12,"Tipologia",$A176,"Viaggio",$A$170)),0,GETPIVOTDATA("Somma di DARE",'Pivot RakBank EUR'!$A$3,"Mese",12,"Tipologia",$A176,"Viaggio",$A$170))
-IF(ISERROR(GETPIVOTDATA("Somma di AVERE",'Pivot RakBank EUR'!$A$3,"Mese",12,"Tipologia",$A176,"Viaggio",$A$170)),0,GETPIVOTDATA("Somma di AVERE",'Pivot RakBank EUR'!$A$3,"Mese",12,"Tipologia",$A176,"Viaggio",$A$170))
+IF(ISERROR(GETPIVOTDATA("Somma di DARE EUR",'Pivot RakBank AED'!$A$3,"Mese",12,"Tipologia",$A176,"Viaggio",$A$170)),0,GETPIVOTDATA("Somma di DARE EUR",'Pivot RakBank AED'!$A$3,"Mese",12,"Tipologia",$A176,"Viaggio",$A$170))
-IF(ISERROR(GETPIVOTDATA("Somma di AVERE EUR",'Pivot RakBank AED'!$A$3,"Mese",12,"Tipologia",$A176,"Viaggio",$A$170)),0,GETPIVOTDATA("Somma di AVERE EUR",'Pivot RakBank AED'!$A$3,"Mese",12,"Tipologia",$A176,"Viaggio",$A$170))</f>
        <v>0</v>
      </c>
      <c r="O176" s="271">
        <f t="shared" si="23"/>
        <v>0</v>
      </c>
      <c r="P176" s="270"/>
    </row>
    <row r="177" spans="1:16" s="131" customFormat="1" ht="14" outlineLevel="1" x14ac:dyDescent="0.2">
      <c r="A177" s="269" t="s">
        <v>243</v>
      </c>
      <c r="B177" s="269"/>
      <c r="C177" s="270">
        <f>IF(ISERROR(GETPIVOTDATA("Somma di DARE",'Pivot Fineco Sa'!$A$3,"Mese",1,"Tipologia",$A177,"Viaggio",$A$170)),0,GETPIVOTDATA("Somma di DARE",'Pivot Fineco Sa'!$A$3,"Mese",1,"Tipologia",$A177,"Viaggio",$A$170))
+IF(ISERROR(GETPIVOTDATA("Somma di DARE",'Pivot Fineco St'!$A$3,"Mese",1,"Tipologia",$A177,"Viaggio",$A$170)),0,GETPIVOTDATA("Somma di DARE",'Pivot Fineco St'!$A$3,"Mese",1,"Tipologia",$A177,"Viaggio",$A$170))
+IF(Contanti!$E45='Conto Economico'!$A$170,Contanti!$B45)
+IF(ISERROR(GETPIVOTDATA("Somma di DARE",'Pivot BBVA'!$A$3,"Mese",1,"Tipologia",$A177,"Viaggio",$A$170)),0,GETPIVOTDATA("Somma di DARE",'Pivot BBVA'!$A$3,"Mese",1,"Tipologia",$A177,"Viaggio",$A$170))
+IF(ISERROR(GETPIVOTDATA("Somma di DARE",'Pivot Amex'!$A$3,"Mese",1,"Tipologia",$A177,"Viaggio",$A$170)),0,GETPIVOTDATA("Somma di DARE",'Pivot Amex'!$A$3,"Mese",1,"Tipologia",$A177,"Viaggio",$A$170))
-IF(ISERROR(GETPIVOTDATA("Somma di AVERE",'Pivot Amex'!$A$3,"Mese",1,"Tipologia",$A177,"Viaggio",$A$170)),0,GETPIVOTDATA("Somma di AVERE",'Pivot Amex'!$A$3,"Mese",1,"Tipologia",$A177,"Viaggio",$A$170))
-IF(ISERROR(GETPIVOTDATA("Somma di AVERE",'Pivot BBVA'!$A$3,"Mese",1,"Tipologia",$A177,"Viaggio",$A$170)),0,GETPIVOTDATA("Somma di AVERE",'Pivot BBVA'!$A$3,"Mese",1,"Tipologia",$A177,"Viaggio",$A$170))
-IF(ISERROR(GETPIVOTDATA("Somma di AVERE",'Pivot Fineco St'!$A$3,"Mese",1,"Tipologia",$A177,"Viaggio",$A$170)),0,GETPIVOTDATA("Somma di AVERE",'Pivot Fineco St'!$A$3,"Mese",1,"Tipologia",$A177,"Viaggio",$A$170))
-IF(ISERROR(GETPIVOTDATA("Somma di AVERE",'Pivot Fineco Sa'!$A$3,"Mese",1,"Tipologia",$A177,"Viaggio",$A$170)),0,GETPIVOTDATA("Somma di AVERE",'Pivot Fineco Sa'!$A$3,"Mese",1,"Tipologia",$A177,"Viaggio",$A$170))
+IF(ISERROR(GETPIVOTDATA("Somma di DARE",'Pivot PP Visa'!$A$3,"Mese",1,"Tipologia",$A177,"Viaggio",$A$170)),0,GETPIVOTDATA("Somma di DARE",'Pivot PP Visa'!$A$3,"Mese",1,"Tipologia",$A177,"Viaggio",$A$170))
-IF(ISERROR(GETPIVOTDATA("Somma di AVERE",'Pivot PP Visa'!$A$3,"Mese",1,"Tipologia",$A177,"Viaggio",$A$170)),0,GETPIVOTDATA("Somma di AVERE",'Pivot PP Visa'!$A$3,"Mese",1,"Tipologia",$A177,"Viaggio",$A$170))
+IF(ISERROR(GETPIVOTDATA("Somma di DARE",'Pivot Revolut'!$A$3,"Mese",1,"Tipologia",$A177,"Viaggio",$A$170)),0,GETPIVOTDATA("Somma di DARE",'Pivot Revolut'!$A$3,"Mese",1,"Tipologia",$A177,"Viaggio",$A$170))
-IF(ISERROR(GETPIVOTDATA("Somma di AVERE",'Pivot Revolut'!$A$3,"Mese",1,"Tipologia",$A177,"Viaggio",$A$170)),0,GETPIVOTDATA("Somma di AVERE",'Pivot Revolut'!$A$3,"Mese",1,"Tipologia",$A177,"Viaggio",$A$170))
+IF(ISERROR(GETPIVOTDATA("Somma di DARE",'Pivot RakBank EUR'!$A$3,"Mese",1,"Tipologia",$A177,"Viaggio",$A$170)),0,GETPIVOTDATA("Somma di DARE",'Pivot RakBank EUR'!$A$3,"Mese",1,"Tipologia",$A177,"Viaggio",$A$170))
-IF(ISERROR(GETPIVOTDATA("Somma di AVERE",'Pivot RakBank EUR'!$A$3,"Mese",1,"Tipologia",$A177,"Viaggio",$A$170)),0,GETPIVOTDATA("Somma di AVERE",'Pivot RakBank EUR'!$A$3,"Mese",1,"Tipologia",$A177,"Viaggio",$A$170))
+IF(ISERROR(GETPIVOTDATA("Somma di DARE EUR",'Pivot RakBank AED'!$A$3,"Mese",1,"Tipologia",$A177,"Viaggio",$A$170)),0,GETPIVOTDATA("Somma di DARE EUR",'Pivot RakBank AED'!$A$3,"Mese",1,"Tipologia",$A177,"Viaggio",$A$170))
-IF(ISERROR(GETPIVOTDATA("Somma di AVERE EUR",'Pivot RakBank AED'!$A$3,"Mese",1,"Tipologia",$A177,"Viaggio",$A$170)),0,GETPIVOTDATA("Somma di AVERE EUR",'Pivot RakBank AED'!$A$3,"Mese",1,"Tipologia",$A177,"Viaggio",$A$170))</f>
        <v>0</v>
      </c>
      <c r="D177" s="270">
        <f>IF(ISERROR(GETPIVOTDATA("Somma di DARE",'Pivot Fineco Sa'!$A$3,"Mese",2,"Tipologia",$A177,"Viaggio",$A$170)),0,GETPIVOTDATA("Somma di DARE",'Pivot Fineco Sa'!$A$3,"Mese",2,"Tipologia",$A177,"Viaggio",$A$170))
+IF(ISERROR(GETPIVOTDATA("Somma di DARE",'Pivot Fineco St'!$A$3,"Mese",2,"Tipologia",$A177,"Viaggio",$A$170)),0,GETPIVOTDATA("Somma di DARE",'Pivot Fineco St'!$A$3,"Mese",2,"Tipologia",$A177,"Viaggio",$A$170))
+IF(Contanti!$I45='Conto Economico'!$A$170,Contanti!$F45)
+IF(ISERROR(GETPIVOTDATA("Somma di DARE",'Pivot BBVA'!$A$3,"Mese",2,"Tipologia",$A177,"Viaggio",$A$170)),0,GETPIVOTDATA("Somma di DARE",'Pivot BBVA'!$A$3,"Mese",2,"Tipologia",$A177,"Viaggio",$A$170))
+IF(ISERROR(GETPIVOTDATA("Somma di DARE",'Pivot Amex'!$A$3,"Mese",2,"Tipologia",$A177,"Viaggio",$A$170)),0,GETPIVOTDATA("Somma di DARE",'Pivot Amex'!$A$3,"Mese",2,"Tipologia",$A177,"Viaggio",$A$170))
-IF(ISERROR(GETPIVOTDATA("Somma di AVERE",'Pivot Amex'!$A$3,"Mese",2,"Tipologia",$A177,"Viaggio",$A$170)),0,GETPIVOTDATA("Somma di AVERE",'Pivot Amex'!$A$3,"Mese",2,"Tipologia",$A177,"Viaggio",$A$170))
-IF(ISERROR(GETPIVOTDATA("Somma di AVERE",'Pivot BBVA'!$A$3,"Mese",2,"Tipologia",$A177,"Viaggio",$A$170)),0,GETPIVOTDATA("Somma di AVERE",'Pivot BBVA'!$A$3,"Mese",2,"Tipologia",$A177,"Viaggio",$A$170))
-IF(ISERROR(GETPIVOTDATA("Somma di AVERE",'Pivot Fineco St'!$A$3,"Mese",2,"Tipologia",$A177,"Viaggio",$A$170)),0,GETPIVOTDATA("Somma di AVERE",'Pivot Fineco St'!$A$3,"Mese",2,"Tipologia",$A177,"Viaggio",$A$170))
-IF(ISERROR(GETPIVOTDATA("Somma di AVERE",'Pivot Fineco Sa'!$A$3,"Mese",2,"Tipologia",$A177,"Viaggio",$A$170)),0,GETPIVOTDATA("Somma di AVERE",'Pivot Fineco Sa'!$A$3,"Mese",2,"Tipologia",$A177,"Viaggio",$A$170))
+IF(ISERROR(GETPIVOTDATA("Somma di DARE",'Pivot PP Visa'!$A$3,"Mese",2,"Tipologia",$A177,"Viaggio",$A$170)),0,GETPIVOTDATA("Somma di DARE",'Pivot PP Visa'!$A$3,"Mese",2,"Tipologia",$A177,"Viaggio",$A$170))
-IF(ISERROR(GETPIVOTDATA("Somma di AVERE",'Pivot PP Visa'!$A$3,"Mese",2,"Tipologia",$A177,"Viaggio",$A$170)),0,GETPIVOTDATA("Somma di AVERE",'Pivot PP Visa'!$A$3,"Mese",2,"Tipologia",$A177,"Viaggio",$A$170))
+IF(ISERROR(GETPIVOTDATA("Somma di DARE",'Pivot Revolut'!$A$3,"Mese",2,"Tipologia",$A177,"Viaggio",$A$170)),0,GETPIVOTDATA("Somma di DARE",'Pivot Revolut'!$A$3,"Mese",2,"Tipologia",$A177,"Viaggio",$A$170))
-IF(ISERROR(GETPIVOTDATA("Somma di AVERE",'Pivot Revolut'!$A$3,"Mese",2,"Tipologia",$A177,"Viaggio",$A$170)),0,GETPIVOTDATA("Somma di AVERE",'Pivot Revolut'!$A$3,"Mese",2,"Tipologia",$A177,"Viaggio",$A$170))
+IF(ISERROR(GETPIVOTDATA("Somma di DARE",'Pivot RakBank EUR'!$A$3,"Mese",2,"Tipologia",$A177,"Viaggio",$A$170)),0,GETPIVOTDATA("Somma di DARE",'Pivot RakBank EUR'!$A$3,"Mese",2,"Tipologia",$A177,"Viaggio",$A$170))
-IF(ISERROR(GETPIVOTDATA("Somma di AVERE",'Pivot RakBank EUR'!$A$3,"Mese",2,"Tipologia",$A177,"Viaggio",$A$170)),0,GETPIVOTDATA("Somma di AVERE",'Pivot RakBank EUR'!$A$3,"Mese",2,"Tipologia",$A177,"Viaggio",$A$170))
+IF(ISERROR(GETPIVOTDATA("Somma di DARE EUR",'Pivot RakBank AED'!$A$3,"Mese",2,"Tipologia",$A177,"Viaggio",$A$170)),0,GETPIVOTDATA("Somma di DARE EUR",'Pivot RakBank AED'!$A$3,"Mese",2,"Tipologia",$A177,"Viaggio",$A$170))
-IF(ISERROR(GETPIVOTDATA("Somma di AVERE EUR",'Pivot RakBank AED'!$A$3,"Mese",2,"Tipologia",$A177,"Viaggio",$A$170)),0,GETPIVOTDATA("Somma di AVERE EUR",'Pivot RakBank AED'!$A$3,"Mese",2,"Tipologia",$A177,"Viaggio",$A$170))</f>
        <v>0</v>
      </c>
      <c r="E177" s="270">
        <f>IF(ISERROR(GETPIVOTDATA("Somma di DARE",'Pivot Fineco Sa'!$A$3,"Mese",3,"Tipologia",$A177,"Viaggio",$A$170)),0,GETPIVOTDATA("Somma di DARE",'Pivot Fineco Sa'!$A$3,"Mese",3,"Tipologia",$A177,"Viaggio",$A$170))
+IF(ISERROR(GETPIVOTDATA("Somma di DARE",'Pivot Fineco St'!$A$3,"Mese",3,"Tipologia",$A177,"Viaggio",$A$170)),0,GETPIVOTDATA("Somma di DARE",'Pivot Fineco St'!$A$3,"Mese",3,"Tipologia",$A177,"Viaggio",$A$170))
+IF(Contanti!$M45='Conto Economico'!$A$170,Contanti!$J45)
+IF(ISERROR(GETPIVOTDATA("Somma di DARE",'Pivot BBVA'!$A$3,"Mese",3,"Tipologia",$A177,"Viaggio",$A$170)),0,GETPIVOTDATA("Somma di DARE",'Pivot BBVA'!$A$3,"Mese",3,"Tipologia",$A177,"Viaggio",$A$170))
+IF(ISERROR(GETPIVOTDATA("Somma di DARE",'Pivot Amex'!$A$3,"Mese",3,"Tipologia",$A177,"Viaggio",$A$170)),0,GETPIVOTDATA("Somma di DARE",'Pivot Amex'!$A$3,"Mese",3,"Tipologia",$A177,"Viaggio",$A$170))
-IF(ISERROR(GETPIVOTDATA("Somma di AVERE",'Pivot Amex'!$A$3,"Mese",3,"Tipologia",$A177,"Viaggio",$A$170)),0,GETPIVOTDATA("Somma di AVERE",'Pivot Amex'!$A$3,"Mese",3,"Tipologia",$A177,"Viaggio",$A$170))
-IF(ISERROR(GETPIVOTDATA("Somma di AVERE",'Pivot BBVA'!$A$3,"Mese",3,"Tipologia",$A177,"Viaggio",$A$170)),0,GETPIVOTDATA("Somma di AVERE",'Pivot BBVA'!$A$3,"Mese",3,"Tipologia",$A177,"Viaggio",$A$170))
-IF(ISERROR(GETPIVOTDATA("Somma di AVERE",'Pivot Fineco St'!$A$3,"Mese",3,"Tipologia",$A177,"Viaggio",$A$170)),0,GETPIVOTDATA("Somma di AVERE",'Pivot Fineco St'!$A$3,"Mese",3,"Tipologia",$A177,"Viaggio",$A$170))
-IF(ISERROR(GETPIVOTDATA("Somma di AVERE",'Pivot Fineco Sa'!$A$3,"Mese",3,"Tipologia",$A177,"Viaggio",$A$170)),0,GETPIVOTDATA("Somma di AVERE",'Pivot Fineco Sa'!$A$3,"Mese",3,"Tipologia",$A177,"Viaggio",$A$170))
+IF(ISERROR(GETPIVOTDATA("Somma di DARE",'Pivot PP Visa'!$A$3,"Mese",3,"Tipologia",$A177,"Viaggio",$A$170)),0,GETPIVOTDATA("Somma di DARE",'Pivot PP Visa'!$A$3,"Mese",3,"Tipologia",$A177,"Viaggio",$A$170))
-IF(ISERROR(GETPIVOTDATA("Somma di AVERE",'Pivot PP Visa'!$A$3,"Mese",3,"Tipologia",$A177,"Viaggio",$A$170)),0,GETPIVOTDATA("Somma di AVERE",'Pivot PP Visa'!$A$3,"Mese",3,"Tipologia",$A177,"Viaggio",$A$170))
+IF(ISERROR(GETPIVOTDATA("Somma di DARE",'Pivot Revolut'!$A$3,"Mese",3,"Tipologia",$A177,"Viaggio",$A$170)),0,GETPIVOTDATA("Somma di DARE",'Pivot Revolut'!$A$3,"Mese",3,"Tipologia",$A177,"Viaggio",$A$170))
-IF(ISERROR(GETPIVOTDATA("Somma di AVERE",'Pivot Revolut'!$A$3,"Mese",3,"Tipologia",$A177,"Viaggio",$A$170)),0,GETPIVOTDATA("Somma di AVERE",'Pivot Revolut'!$A$3,"Mese",3,"Tipologia",$A177,"Viaggio",$A$170))
+IF(ISERROR(GETPIVOTDATA("Somma di DARE",'Pivot RakBank EUR'!$A$3,"Mese",3,"Tipologia",$A177,"Viaggio",$A$170)),0,GETPIVOTDATA("Somma di DARE",'Pivot RakBank EUR'!$A$3,"Mese",3,"Tipologia",$A177,"Viaggio",$A$170))
-IF(ISERROR(GETPIVOTDATA("Somma di AVERE",'Pivot RakBank EUR'!$A$3,"Mese",3,"Tipologia",$A177,"Viaggio",$A$170)),0,GETPIVOTDATA("Somma di AVERE",'Pivot RakBank EUR'!$A$3,"Mese",3,"Tipologia",$A177,"Viaggio",$A$170))
+IF(ISERROR(GETPIVOTDATA("Somma di DARE EUR",'Pivot RakBank AED'!$A$3,"Mese",3,"Tipologia",$A177,"Viaggio",$A$170)),0,GETPIVOTDATA("Somma di DARE EUR",'Pivot RakBank AED'!$A$3,"Mese",3,"Tipologia",$A177,"Viaggio",$A$170))
-IF(ISERROR(GETPIVOTDATA("Somma di AVERE EUR",'Pivot RakBank AED'!$A$3,"Mese",3,"Tipologia",$A177,"Viaggio",$A$170)),0,GETPIVOTDATA("Somma di AVERE EUR",'Pivot RakBank AED'!$A$3,"Mese",3,"Tipologia",$A177,"Viaggio",$A$170))</f>
        <v>0</v>
      </c>
      <c r="F177" s="270">
        <f>IF(ISERROR(GETPIVOTDATA("Somma di DARE",'Pivot Fineco Sa'!$A$3,"Mese",4,"Tipologia",$A177,"Viaggio",$A$170)),0,GETPIVOTDATA("Somma di DARE",'Pivot Fineco Sa'!$A$3,"Mese",4,"Tipologia",$A177,"Viaggio",$A$170))
+IF(ISERROR(GETPIVOTDATA("Somma di DARE",'Pivot Fineco St'!$A$3,"Mese",4,"Tipologia",$A177,"Viaggio",$A$170)),0,GETPIVOTDATA("Somma di DARE",'Pivot Fineco St'!$A$3,"Mese",4,"Tipologia",$A177,"Viaggio",$A$170))
+IF(Contanti!$Q45='Conto Economico'!$A$170,Contanti!$N45)
+IF(ISERROR(GETPIVOTDATA("Somma di DARE",'Pivot BBVA'!$A$3,"Mese",4,"Tipologia",$A177,"Viaggio",$A$170)),0,GETPIVOTDATA("Somma di DARE",'Pivot BBVA'!$A$3,"Mese",4,"Tipologia",$A177,"Viaggio",$A$170))
+IF(ISERROR(GETPIVOTDATA("Somma di DARE",'Pivot Amex'!$A$3,"Mese",4,"Tipologia",$A177,"Viaggio",$A$170)),0,GETPIVOTDATA("Somma di DARE",'Pivot Amex'!$A$3,"Mese",4,"Tipologia",$A177,"Viaggio",$A$170))
-IF(ISERROR(GETPIVOTDATA("Somma di AVERE",'Pivot Amex'!$A$3,"Mese",4,"Tipologia",$A177,"Viaggio",$A$170)),0,GETPIVOTDATA("Somma di AVERE",'Pivot Amex'!$A$3,"Mese",4,"Tipologia",$A177,"Viaggio",$A$170))
-IF(ISERROR(GETPIVOTDATA("Somma di AVERE",'Pivot BBVA'!$A$3,"Mese",4,"Tipologia",$A177,"Viaggio",$A$170)),0,GETPIVOTDATA("Somma di AVERE",'Pivot BBVA'!$A$3,"Mese",4,"Tipologia",$A177,"Viaggio",$A$170))
-IF(ISERROR(GETPIVOTDATA("Somma di AVERE",'Pivot Fineco St'!$A$3,"Mese",4,"Tipologia",$A177,"Viaggio",$A$170)),0,GETPIVOTDATA("Somma di AVERE",'Pivot Fineco St'!$A$3,"Mese",4,"Tipologia",$A177,"Viaggio",$A$170))
-IF(ISERROR(GETPIVOTDATA("Somma di AVERE",'Pivot Fineco Sa'!$A$3,"Mese",4,"Tipologia",$A177,"Viaggio",$A$170)),0,GETPIVOTDATA("Somma di AVERE",'Pivot Fineco Sa'!$A$3,"Mese",4,"Tipologia",$A177,"Viaggio",$A$170))
+IF(ISERROR(GETPIVOTDATA("Somma di DARE",'Pivot PP Visa'!$A$3,"Mese",4,"Tipologia",$A177,"Viaggio",$A$170)),0,GETPIVOTDATA("Somma di DARE",'Pivot PP Visa'!$A$3,"Mese",4,"Tipologia",$A177,"Viaggio",$A$170))
-IF(ISERROR(GETPIVOTDATA("Somma di AVERE",'Pivot PP Visa'!$A$3,"Mese",4,"Tipologia",$A177,"Viaggio",$A$170)),0,GETPIVOTDATA("Somma di AVERE",'Pivot PP Visa'!$A$3,"Mese",4,"Tipologia",$A177,"Viaggio",$A$170))
+IF(ISERROR(GETPIVOTDATA("Somma di DARE",'Pivot Revolut'!$A$3,"Mese",4,"Tipologia",$A177,"Viaggio",$A$170)),0,GETPIVOTDATA("Somma di DARE",'Pivot Revolut'!$A$3,"Mese",4,"Tipologia",$A177,"Viaggio",$A$170))
-IF(ISERROR(GETPIVOTDATA("Somma di AVERE",'Pivot Revolut'!$A$3,"Mese",4,"Tipologia",$A177,"Viaggio",$A$170)),0,GETPIVOTDATA("Somma di AVERE",'Pivot Revolut'!$A$3,"Mese",4,"Tipologia",$A177,"Viaggio",$A$170))
+IF(ISERROR(GETPIVOTDATA("Somma di DARE",'Pivot RakBank EUR'!$A$3,"Mese",4,"Tipologia",$A177,"Viaggio",$A$170)),0,GETPIVOTDATA("Somma di DARE",'Pivot RakBank EUR'!$A$3,"Mese",4,"Tipologia",$A177,"Viaggio",$A$170))
-IF(ISERROR(GETPIVOTDATA("Somma di AVERE",'Pivot RakBank EUR'!$A$3,"Mese",4,"Tipologia",$A177,"Viaggio",$A$170)),0,GETPIVOTDATA("Somma di AVERE",'Pivot RakBank EUR'!$A$3,"Mese",4,"Tipologia",$A177,"Viaggio",$A$170))
+IF(ISERROR(GETPIVOTDATA("Somma di DARE EUR",'Pivot RakBank AED'!$A$3,"Mese",4,"Tipologia",$A177,"Viaggio",$A$170)),0,GETPIVOTDATA("Somma di DARE EUR",'Pivot RakBank AED'!$A$3,"Mese",4,"Tipologia",$A177,"Viaggio",$A$170))
-IF(ISERROR(GETPIVOTDATA("Somma di AVERE EUR",'Pivot RakBank AED'!$A$3,"Mese",4,"Tipologia",$A177,"Viaggio",$A$170)),0,GETPIVOTDATA("Somma di AVERE EUR",'Pivot RakBank AED'!$A$3,"Mese",4,"Tipologia",$A177,"Viaggio",$A$170))</f>
        <v>0</v>
      </c>
      <c r="G177" s="270">
        <f>IF(ISERROR(GETPIVOTDATA("Somma di DARE",'Pivot Fineco Sa'!$A$3,"Mese",5,"Tipologia",$A177,"Viaggio",$A$170)),0,GETPIVOTDATA("Somma di DARE",'Pivot Fineco Sa'!$A$3,"Mese",5,"Tipologia",$A177,"Viaggio",$A$170))
+IF(ISERROR(GETPIVOTDATA("Somma di DARE",'Pivot Fineco St'!$A$3,"Mese",5,"Tipologia",$A177,"Viaggio",$A$170)),0,GETPIVOTDATA("Somma di DARE",'Pivot Fineco St'!$A$3,"Mese",5,"Tipologia",$A177,"Viaggio",$A$170))
+IF(Contanti!$U45='Conto Economico'!$A$170,Contanti!$R45)
+IF(ISERROR(GETPIVOTDATA("Somma di DARE",'Pivot BBVA'!$A$3,"Mese",5,"Tipologia",$A177,"Viaggio",$A$170)),0,GETPIVOTDATA("Somma di DARE",'Pivot BBVA'!$A$3,"Mese",5,"Tipologia",$A177,"Viaggio",$A$170))
+IF(ISERROR(GETPIVOTDATA("Somma di DARE",'Pivot Amex'!$A$3,"Mese",5,"Tipologia",$A177,"Viaggio",$A$170)),0,GETPIVOTDATA("Somma di DARE",'Pivot Amex'!$A$3,"Mese",5,"Tipologia",$A177,"Viaggio",$A$170))
-IF(ISERROR(GETPIVOTDATA("Somma di AVERE",'Pivot Amex'!$A$3,"Mese",5,"Tipologia",$A177,"Viaggio",$A$170)),0,GETPIVOTDATA("Somma di AVERE",'Pivot Amex'!$A$3,"Mese",5,"Tipologia",$A177,"Viaggio",$A$170))
-IF(ISERROR(GETPIVOTDATA("Somma di AVERE",'Pivot BBVA'!$A$3,"Mese",5,"Tipologia",$A177,"Viaggio",$A$170)),0,GETPIVOTDATA("Somma di AVERE",'Pivot BBVA'!$A$3,"Mese",5,"Tipologia",$A177,"Viaggio",$A$170))
-IF(ISERROR(GETPIVOTDATA("Somma di AVERE",'Pivot Fineco St'!$A$3,"Mese",5,"Tipologia",$A177,"Viaggio",$A$170)),0,GETPIVOTDATA("Somma di AVERE",'Pivot Fineco St'!$A$3,"Mese",5,"Tipologia",$A177,"Viaggio",$A$170))
-IF(ISERROR(GETPIVOTDATA("Somma di AVERE",'Pivot Fineco Sa'!$A$3,"Mese",5,"Tipologia",$A177,"Viaggio",$A$170)),0,GETPIVOTDATA("Somma di AVERE",'Pivot Fineco Sa'!$A$3,"Mese",5,"Tipologia",$A177,"Viaggio",$A$170))
+IF(ISERROR(GETPIVOTDATA("Somma di DARE",'Pivot PP Visa'!$A$3,"Mese",5,"Tipologia",$A177,"Viaggio",$A$170)),0,GETPIVOTDATA("Somma di DARE",'Pivot PP Visa'!$A$3,"Mese",5,"Tipologia",$A177,"Viaggio",$A$170))
-IF(ISERROR(GETPIVOTDATA("Somma di AVERE",'Pivot PP Visa'!$A$3,"Mese",5,"Tipologia",$A177,"Viaggio",$A$170)),0,GETPIVOTDATA("Somma di AVERE",'Pivot PP Visa'!$A$3,"Mese",5,"Tipologia",$A177,"Viaggio",$A$170))
+IF(ISERROR(GETPIVOTDATA("Somma di DARE",'Pivot Revolut'!$A$3,"Mese",5,"Tipologia",$A177,"Viaggio",$A$170)),0,GETPIVOTDATA("Somma di DARE",'Pivot Revolut'!$A$3,"Mese",5,"Tipologia",$A177,"Viaggio",$A$170))
-IF(ISERROR(GETPIVOTDATA("Somma di AVERE",'Pivot Revolut'!$A$3,"Mese",5,"Tipologia",$A177,"Viaggio",$A$170)),0,GETPIVOTDATA("Somma di AVERE",'Pivot Revolut'!$A$3,"Mese",5,"Tipologia",$A177,"Viaggio",$A$170))
+IF(ISERROR(GETPIVOTDATA("Somma di DARE",'Pivot RakBank EUR'!$A$3,"Mese",5,"Tipologia",$A177,"Viaggio",$A$170)),0,GETPIVOTDATA("Somma di DARE",'Pivot RakBank EUR'!$A$3,"Mese",5,"Tipologia",$A177,"Viaggio",$A$170))
-IF(ISERROR(GETPIVOTDATA("Somma di AVERE",'Pivot RakBank EUR'!$A$3,"Mese",5,"Tipologia",$A177,"Viaggio",$A$170)),0,GETPIVOTDATA("Somma di AVERE",'Pivot RakBank EUR'!$A$3,"Mese",5,"Tipologia",$A177,"Viaggio",$A$170))
+IF(ISERROR(GETPIVOTDATA("Somma di DARE EUR",'Pivot RakBank AED'!$A$3,"Mese",5,"Tipologia",$A177,"Viaggio",$A$170)),0,GETPIVOTDATA("Somma di DARE EUR",'Pivot RakBank AED'!$A$3,"Mese",5,"Tipologia",$A177,"Viaggio",$A$170))
-IF(ISERROR(GETPIVOTDATA("Somma di AVERE EUR",'Pivot RakBank AED'!$A$3,"Mese",5,"Tipologia",$A177,"Viaggio",$A$170)),0,GETPIVOTDATA("Somma di AVERE EUR",'Pivot RakBank AED'!$A$3,"Mese",5,"Tipologia",$A177,"Viaggio",$A$170))</f>
        <v>0</v>
      </c>
      <c r="H177" s="270">
        <f>IF(ISERROR(GETPIVOTDATA("Somma di DARE",'Pivot Fineco Sa'!$A$3,"Mese",6,"Tipologia",$A177,"Viaggio",$A$170)),0,GETPIVOTDATA("Somma di DARE",'Pivot Fineco Sa'!$A$3,"Mese",6,"Tipologia",$A177,"Viaggio",$A$170))
+IF(ISERROR(GETPIVOTDATA("Somma di DARE",'Pivot Fineco St'!$A$3,"Mese",6,"Tipologia",$A177,"Viaggio",$A$170)),0,GETPIVOTDATA("Somma di DARE",'Pivot Fineco St'!$A$3,"Mese",6,"Tipologia",$A177,"Viaggio",$A$170))
+IF(Contanti!$Y45='Conto Economico'!$A$170,Contanti!$V45)
+IF(ISERROR(GETPIVOTDATA("Somma di DARE",'Pivot BBVA'!$A$3,"Mese",6,"Tipologia",$A177,"Viaggio",$A$170)),0,GETPIVOTDATA("Somma di DARE",'Pivot BBVA'!$A$3,"Mese",6,"Tipologia",$A177,"Viaggio",$A$170))
+IF(ISERROR(GETPIVOTDATA("Somma di DARE",'Pivot Amex'!$A$3,"Mese",6,"Tipologia",$A177,"Viaggio",$A$170)),0,GETPIVOTDATA("Somma di DARE",'Pivot Amex'!$A$3,"Mese",6,"Tipologia",$A177,"Viaggio",$A$170))
-IF(ISERROR(GETPIVOTDATA("Somma di AVERE",'Pivot Amex'!$A$3,"Mese",6,"Tipologia",$A177,"Viaggio",$A$170)),0,GETPIVOTDATA("Somma di AVERE",'Pivot Amex'!$A$3,"Mese",6,"Tipologia",$A177,"Viaggio",$A$170))
-IF(ISERROR(GETPIVOTDATA("Somma di AVERE",'Pivot BBVA'!$A$3,"Mese",6,"Tipologia",$A177,"Viaggio",$A$170)),0,GETPIVOTDATA("Somma di AVERE",'Pivot BBVA'!$A$3,"Mese",6,"Tipologia",$A177,"Viaggio",$A$170))
-IF(ISERROR(GETPIVOTDATA("Somma di AVERE",'Pivot Fineco St'!$A$3,"Mese",6,"Tipologia",$A177,"Viaggio",$A$170)),0,GETPIVOTDATA("Somma di AVERE",'Pivot Fineco St'!$A$3,"Mese",6,"Tipologia",$A177,"Viaggio",$A$170))
-IF(ISERROR(GETPIVOTDATA("Somma di AVERE",'Pivot Fineco Sa'!$A$3,"Mese",6,"Tipologia",$A177,"Viaggio",$A$170)),0,GETPIVOTDATA("Somma di AVERE",'Pivot Fineco Sa'!$A$3,"Mese",6,"Tipologia",$A177,"Viaggio",$A$170))
+IF(ISERROR(GETPIVOTDATA("Somma di DARE",'Pivot PP Visa'!$A$3,"Mese",6,"Tipologia",$A177,"Viaggio",$A$170)),0,GETPIVOTDATA("Somma di DARE",'Pivot PP Visa'!$A$3,"Mese",6,"Tipologia",$A177,"Viaggio",$A$170))
-IF(ISERROR(GETPIVOTDATA("Somma di AVERE",'Pivot PP Visa'!$A$3,"Mese",6,"Tipologia",$A177,"Viaggio",$A$170)),0,GETPIVOTDATA("Somma di AVERE",'Pivot PP Visa'!$A$3,"Mese",6,"Tipologia",$A177,"Viaggio",$A$170))
+IF(ISERROR(GETPIVOTDATA("Somma di DARE",'Pivot Revolut'!$A$3,"Mese",6,"Tipologia",$A177,"Viaggio",$A$170)),0,GETPIVOTDATA("Somma di DARE",'Pivot Revolut'!$A$3,"Mese",6,"Tipologia",$A177,"Viaggio",$A$170))
-IF(ISERROR(GETPIVOTDATA("Somma di AVERE",'Pivot Revolut'!$A$3,"Mese",6,"Tipologia",$A177,"Viaggio",$A$170)),0,GETPIVOTDATA("Somma di AVERE",'Pivot Revolut'!$A$3,"Mese",6,"Tipologia",$A177,"Viaggio",$A$170))
+IF(ISERROR(GETPIVOTDATA("Somma di DARE",'Pivot RakBank EUR'!$A$3,"Mese",6,"Tipologia",$A177,"Viaggio",$A$170)),0,GETPIVOTDATA("Somma di DARE",'Pivot RakBank EUR'!$A$3,"Mese",6,"Tipologia",$A177,"Viaggio",$A$170))
-IF(ISERROR(GETPIVOTDATA("Somma di AVERE",'Pivot RakBank EUR'!$A$3,"Mese",6,"Tipologia",$A177,"Viaggio",$A$170)),0,GETPIVOTDATA("Somma di AVERE",'Pivot RakBank EUR'!$A$3,"Mese",6,"Tipologia",$A177,"Viaggio",$A$170))
+IF(ISERROR(GETPIVOTDATA("Somma di DARE EUR",'Pivot RakBank AED'!$A$3,"Mese",6,"Tipologia",$A177,"Viaggio",$A$170)),0,GETPIVOTDATA("Somma di DARE EUR",'Pivot RakBank AED'!$A$3,"Mese",6,"Tipologia",$A177,"Viaggio",$A$170))
-IF(ISERROR(GETPIVOTDATA("Somma di AVERE EUR",'Pivot RakBank AED'!$A$3,"Mese",6,"Tipologia",$A177,"Viaggio",$A$170)),0,GETPIVOTDATA("Somma di AVERE EUR",'Pivot RakBank AED'!$A$3,"Mese",6,"Tipologia",$A177,"Viaggio",$A$170))</f>
        <v>0</v>
      </c>
      <c r="I177" s="270">
        <f>IF(ISERROR(GETPIVOTDATA("Somma di DARE",'Pivot Fineco Sa'!$A$3,"Mese",7,"Tipologia",$A177,"Viaggio",$A$170)),0,GETPIVOTDATA("Somma di DARE",'Pivot Fineco Sa'!$A$3,"Mese",7,"Tipologia",$A177,"Viaggio",$A$170))
+IF(ISERROR(GETPIVOTDATA("Somma di DARE",'Pivot Fineco St'!$A$3,"Mese",7,"Tipologia",$A177,"Viaggio",$A$170)),0,GETPIVOTDATA("Somma di DARE",'Pivot Fineco St'!$A$3,"Mese",7,"Tipologia",$A177,"Viaggio",$A$170))
+IF(Contanti!$AC45='Conto Economico'!$A$170,Contanti!$Z45)
+IF(ISERROR(GETPIVOTDATA("Somma di DARE",'Pivot BBVA'!$A$3,"Mese",7,"Tipologia",$A177,"Viaggio",$A$170)),0,GETPIVOTDATA("Somma di DARE",'Pivot BBVA'!$A$3,"Mese",7,"Tipologia",$A177,"Viaggio",$A$170))
+IF(ISERROR(GETPIVOTDATA("Somma di DARE",'Pivot Amex'!$A$3,"Mese",7,"Tipologia",$A177,"Viaggio",$A$170)),0,GETPIVOTDATA("Somma di DARE",'Pivot Amex'!$A$3,"Mese",7,"Tipologia",$A177,"Viaggio",$A$170))
-IF(ISERROR(GETPIVOTDATA("Somma di AVERE",'Pivot Amex'!$A$3,"Mese",7,"Tipologia",$A177,"Viaggio",$A$170)),0,GETPIVOTDATA("Somma di AVERE",'Pivot Amex'!$A$3,"Mese",7,"Tipologia",$A177,"Viaggio",$A$170))
-IF(ISERROR(GETPIVOTDATA("Somma di AVERE",'Pivot BBVA'!$A$3,"Mese",7,"Tipologia",$A177,"Viaggio",$A$170)),0,GETPIVOTDATA("Somma di AVERE",'Pivot BBVA'!$A$3,"Mese",7,"Tipologia",$A177,"Viaggio",$A$170))
-IF(ISERROR(GETPIVOTDATA("Somma di AVERE",'Pivot Fineco St'!$A$3,"Mese",7,"Tipologia",$A177,"Viaggio",$A$170)),0,GETPIVOTDATA("Somma di AVERE",'Pivot Fineco St'!$A$3,"Mese",7,"Tipologia",$A177,"Viaggio",$A$170))
-IF(ISERROR(GETPIVOTDATA("Somma di AVERE",'Pivot Fineco Sa'!$A$3,"Mese",7,"Tipologia",$A177,"Viaggio",$A$170)),0,GETPIVOTDATA("Somma di AVERE",'Pivot Fineco Sa'!$A$3,"Mese",7,"Tipologia",$A177,"Viaggio",$A$170))
+IF(ISERROR(GETPIVOTDATA("Somma di DARE",'Pivot PP Visa'!$A$3,"Mese",7,"Tipologia",$A177,"Viaggio",$A$170)),0,GETPIVOTDATA("Somma di DARE",'Pivot PP Visa'!$A$3,"Mese",7,"Tipologia",$A177,"Viaggio",$A$170))
-IF(ISERROR(GETPIVOTDATA("Somma di AVERE",'Pivot PP Visa'!$A$3,"Mese",7,"Tipologia",$A177,"Viaggio",$A$170)),0,GETPIVOTDATA("Somma di AVERE",'Pivot PP Visa'!$A$3,"Mese",7,"Tipologia",$A177,"Viaggio",$A$170))
+IF(ISERROR(GETPIVOTDATA("Somma di DARE",'Pivot Revolut'!$A$3,"Mese",7,"Tipologia",$A177,"Viaggio",$A$170)),0,GETPIVOTDATA("Somma di DARE",'Pivot Revolut'!$A$3,"Mese",7,"Tipologia",$A177,"Viaggio",$A$170))
-IF(ISERROR(GETPIVOTDATA("Somma di AVERE",'Pivot Revolut'!$A$3,"Mese",7,"Tipologia",$A177,"Viaggio",$A$170)),0,GETPIVOTDATA("Somma di AVERE",'Pivot Revolut'!$A$3,"Mese",7,"Tipologia",$A177,"Viaggio",$A$170))
+IF(ISERROR(GETPIVOTDATA("Somma di DARE",'Pivot RakBank EUR'!$A$3,"Mese",7,"Tipologia",$A177,"Viaggio",$A$170)),0,GETPIVOTDATA("Somma di DARE",'Pivot RakBank EUR'!$A$3,"Mese",7,"Tipologia",$A177,"Viaggio",$A$170))
-IF(ISERROR(GETPIVOTDATA("Somma di AVERE",'Pivot RakBank EUR'!$A$3,"Mese",7,"Tipologia",$A177,"Viaggio",$A$170)),0,GETPIVOTDATA("Somma di AVERE",'Pivot RakBank EUR'!$A$3,"Mese",7,"Tipologia",$A177,"Viaggio",$A$170))
+IF(ISERROR(GETPIVOTDATA("Somma di DARE EUR",'Pivot RakBank AED'!$A$3,"Mese",7,"Tipologia",$A177,"Viaggio",$A$170)),0,GETPIVOTDATA("Somma di DARE EUR",'Pivot RakBank AED'!$A$3,"Mese",7,"Tipologia",$A177,"Viaggio",$A$170))
-IF(ISERROR(GETPIVOTDATA("Somma di AVERE EUR",'Pivot RakBank AED'!$A$3,"Mese",7,"Tipologia",$A177,"Viaggio",$A$170)),0,GETPIVOTDATA("Somma di AVERE EUR",'Pivot RakBank AED'!$A$3,"Mese",7,"Tipologia",$A177,"Viaggio",$A$170))</f>
        <v>0</v>
      </c>
      <c r="J177" s="270">
        <f>IF(ISERROR(GETPIVOTDATA("Somma di DARE",'Pivot Fineco Sa'!$A$3,"Mese",8,"Tipologia",$A177,"Viaggio",$A$170)),0,GETPIVOTDATA("Somma di DARE",'Pivot Fineco Sa'!$A$3,"Mese",8,"Tipologia",$A177,"Viaggio",$A$170))
+IF(ISERROR(GETPIVOTDATA("Somma di DARE",'Pivot Fineco St'!$A$3,"Mese",8,"Tipologia",$A177,"Viaggio",$A$170)),0,GETPIVOTDATA("Somma di DARE",'Pivot Fineco St'!$A$3,"Mese",8,"Tipologia",$A177,"Viaggio",$A$170))
+IF(Contanti!$AG45='Conto Economico'!$A$170,Contanti!$AD45)
+IF(ISERROR(GETPIVOTDATA("Somma di DARE",'Pivot BBVA'!$A$3,"Mese",8,"Tipologia",$A177,"Viaggio",$A$170)),0,GETPIVOTDATA("Somma di DARE",'Pivot BBVA'!$A$3,"Mese",8,"Tipologia",$A177,"Viaggio",$A$170))
+IF(ISERROR(GETPIVOTDATA("Somma di DARE",'Pivot Amex'!$A$3,"Mese",8,"Tipologia",$A177,"Viaggio",$A$170)),0,GETPIVOTDATA("Somma di DARE",'Pivot Amex'!$A$3,"Mese",8,"Tipologia",$A177,"Viaggio",$A$170))
-IF(ISERROR(GETPIVOTDATA("Somma di AVERE",'Pivot Amex'!$A$3,"Mese",8,"Tipologia",$A177,"Viaggio",$A$170)),0,GETPIVOTDATA("Somma di AVERE",'Pivot Amex'!$A$3,"Mese",8,"Tipologia",$A177,"Viaggio",$A$170))
-IF(ISERROR(GETPIVOTDATA("Somma di AVERE",'Pivot BBVA'!$A$3,"Mese",8,"Tipologia",$A177,"Viaggio",$A$170)),0,GETPIVOTDATA("Somma di AVERE",'Pivot BBVA'!$A$3,"Mese",8,"Tipologia",$A177,"Viaggio",$A$170))
-IF(ISERROR(GETPIVOTDATA("Somma di AVERE",'Pivot Fineco St'!$A$3,"Mese",8,"Tipologia",$A177,"Viaggio",$A$170)),0,GETPIVOTDATA("Somma di AVERE",'Pivot Fineco St'!$A$3,"Mese",8,"Tipologia",$A177,"Viaggio",$A$170))
-IF(ISERROR(GETPIVOTDATA("Somma di AVERE",'Pivot Fineco Sa'!$A$3,"Mese",8,"Tipologia",$A177,"Viaggio",$A$170)),0,GETPIVOTDATA("Somma di AVERE",'Pivot Fineco Sa'!$A$3,"Mese",8,"Tipologia",$A177,"Viaggio",$A$170))
+IF(ISERROR(GETPIVOTDATA("Somma di DARE",'Pivot PP Visa'!$A$3,"Mese",8,"Tipologia",$A177,"Viaggio",$A$170)),0,GETPIVOTDATA("Somma di DARE",'Pivot PP Visa'!$A$3,"Mese",8,"Tipologia",$A177,"Viaggio",$A$170))
-IF(ISERROR(GETPIVOTDATA("Somma di AVERE",'Pivot PP Visa'!$A$3,"Mese",8,"Tipologia",$A177,"Viaggio",$A$170)),0,GETPIVOTDATA("Somma di AVERE",'Pivot PP Visa'!$A$3,"Mese",8,"Tipologia",$A177,"Viaggio",$A$170))
+IF(ISERROR(GETPIVOTDATA("Somma di DARE",'Pivot Revolut'!$A$3,"Mese",8,"Tipologia",$A177,"Viaggio",$A$170)),0,GETPIVOTDATA("Somma di DARE",'Pivot Revolut'!$A$3,"Mese",8,"Tipologia",$A177,"Viaggio",$A$170))
-IF(ISERROR(GETPIVOTDATA("Somma di AVERE",'Pivot Revolut'!$A$3,"Mese",8,"Tipologia",$A177,"Viaggio",$A$170)),0,GETPIVOTDATA("Somma di AVERE",'Pivot Revolut'!$A$3,"Mese",8,"Tipologia",$A177,"Viaggio",$A$170))
+IF(ISERROR(GETPIVOTDATA("Somma di DARE",'Pivot RakBank EUR'!$A$3,"Mese",8,"Tipologia",$A177,"Viaggio",$A$170)),0,GETPIVOTDATA("Somma di DARE",'Pivot RakBank EUR'!$A$3,"Mese",8,"Tipologia",$A177,"Viaggio",$A$170))
-IF(ISERROR(GETPIVOTDATA("Somma di AVERE",'Pivot RakBank EUR'!$A$3,"Mese",8,"Tipologia",$A177,"Viaggio",$A$170)),0,GETPIVOTDATA("Somma di AVERE",'Pivot RakBank EUR'!$A$3,"Mese",8,"Tipologia",$A177,"Viaggio",$A$170))
+IF(ISERROR(GETPIVOTDATA("Somma di DARE EUR",'Pivot RakBank AED'!$A$3,"Mese",8,"Tipologia",$A177,"Viaggio",$A$170)),0,GETPIVOTDATA("Somma di DARE EUR",'Pivot RakBank AED'!$A$3,"Mese",8,"Tipologia",$A177,"Viaggio",$A$170))
-IF(ISERROR(GETPIVOTDATA("Somma di AVERE EUR",'Pivot RakBank AED'!$A$3,"Mese",8,"Tipologia",$A177,"Viaggio",$A$170)),0,GETPIVOTDATA("Somma di AVERE EUR",'Pivot RakBank AED'!$A$3,"Mese",8,"Tipologia",$A177,"Viaggio",$A$170))</f>
        <v>0</v>
      </c>
      <c r="K177" s="270">
        <f>IF(ISERROR(GETPIVOTDATA("Somma di DARE",'Pivot Fineco Sa'!$A$3,"Mese",9,"Tipologia",$A177,"Viaggio",$A$170)),0,GETPIVOTDATA("Somma di DARE",'Pivot Fineco Sa'!$A$3,"Mese",9,"Tipologia",$A177,"Viaggio",$A$170))
+IF(ISERROR(GETPIVOTDATA("Somma di DARE",'Pivot Fineco St'!$A$3,"Mese",9,"Tipologia",$A177,"Viaggio",$A$170)),0,GETPIVOTDATA("Somma di DARE",'Pivot Fineco St'!$A$3,"Mese",9,"Tipologia",$A177,"Viaggio",$A$170))
+IF(Contanti!$AK45='Conto Economico'!$A$170,Contanti!$AH45)
+IF(ISERROR(GETPIVOTDATA("Somma di DARE",'Pivot BBVA'!$A$3,"Mese",9,"Tipologia",$A177,"Viaggio",$A$170)),0,GETPIVOTDATA("Somma di DARE",'Pivot BBVA'!$A$3,"Mese",9,"Tipologia",$A177,"Viaggio",$A$170))
+IF(ISERROR(GETPIVOTDATA("Somma di DARE",'Pivot Amex'!$A$3,"Mese",9,"Tipologia",$A177,"Viaggio",$A$170)),0,GETPIVOTDATA("Somma di DARE",'Pivot Amex'!$A$3,"Mese",9,"Tipologia",$A177,"Viaggio",$A$170))
-IF(ISERROR(GETPIVOTDATA("Somma di AVERE",'Pivot Amex'!$A$3,"Mese",9,"Tipologia",$A177,"Viaggio",$A$170)),0,GETPIVOTDATA("Somma di AVERE",'Pivot Amex'!$A$3,"Mese",9,"Tipologia",$A177,"Viaggio",$A$170))
-IF(ISERROR(GETPIVOTDATA("Somma di AVERE",'Pivot BBVA'!$A$3,"Mese",9,"Tipologia",$A177,"Viaggio",$A$170)),0,GETPIVOTDATA("Somma di AVERE",'Pivot BBVA'!$A$3,"Mese",9,"Tipologia",$A177,"Viaggio",$A$170))
-IF(ISERROR(GETPIVOTDATA("Somma di AVERE",'Pivot Fineco St'!$A$3,"Mese",9,"Tipologia",$A177,"Viaggio",$A$170)),0,GETPIVOTDATA("Somma di AVERE",'Pivot Fineco St'!$A$3,"Mese",9,"Tipologia",$A177,"Viaggio",$A$170))
-IF(ISERROR(GETPIVOTDATA("Somma di AVERE",'Pivot Fineco Sa'!$A$3,"Mese",9,"Tipologia",$A177,"Viaggio",$A$170)),0,GETPIVOTDATA("Somma di AVERE",'Pivot Fineco Sa'!$A$3,"Mese",9,"Tipologia",$A177,"Viaggio",$A$170))
+IF(ISERROR(GETPIVOTDATA("Somma di DARE",'Pivot PP Visa'!$A$3,"Mese",9,"Tipologia",$A177,"Viaggio",$A$170)),0,GETPIVOTDATA("Somma di DARE",'Pivot PP Visa'!$A$3,"Mese",9,"Tipologia",$A177,"Viaggio",$A$170))
-IF(ISERROR(GETPIVOTDATA("Somma di AVERE",'Pivot PP Visa'!$A$3,"Mese",9,"Tipologia",$A177,"Viaggio",$A$170)),0,GETPIVOTDATA("Somma di AVERE",'Pivot PP Visa'!$A$3,"Mese",9,"Tipologia",$A177,"Viaggio",$A$170))
+IF(ISERROR(GETPIVOTDATA("Somma di DARE",'Pivot Revolut'!$A$3,"Mese",9,"Tipologia",$A177,"Viaggio",$A$170)),0,GETPIVOTDATA("Somma di DARE",'Pivot Revolut'!$A$3,"Mese",9,"Tipologia",$A177,"Viaggio",$A$170))
-IF(ISERROR(GETPIVOTDATA("Somma di AVERE",'Pivot Revolut'!$A$3,"Mese",9,"Tipologia",$A177,"Viaggio",$A$170)),0,GETPIVOTDATA("Somma di AVERE",'Pivot Revolut'!$A$3,"Mese",9,"Tipologia",$A177,"Viaggio",$A$170))
+IF(ISERROR(GETPIVOTDATA("Somma di DARE",'Pivot RakBank EUR'!$A$3,"Mese",9,"Tipologia",$A177,"Viaggio",$A$170)),0,GETPIVOTDATA("Somma di DARE",'Pivot RakBank EUR'!$A$3,"Mese",9,"Tipologia",$A177,"Viaggio",$A$170))
-IF(ISERROR(GETPIVOTDATA("Somma di AVERE",'Pivot RakBank EUR'!$A$3,"Mese",9,"Tipologia",$A177,"Viaggio",$A$170)),0,GETPIVOTDATA("Somma di AVERE",'Pivot RakBank EUR'!$A$3,"Mese",9,"Tipologia",$A177,"Viaggio",$A$170))
+IF(ISERROR(GETPIVOTDATA("Somma di DARE EUR",'Pivot RakBank AED'!$A$3,"Mese",9,"Tipologia",$A177,"Viaggio",$A$170)),0,GETPIVOTDATA("Somma di DARE EUR",'Pivot RakBank AED'!$A$3,"Mese",9,"Tipologia",$A177,"Viaggio",$A$170))
-IF(ISERROR(GETPIVOTDATA("Somma di AVERE EUR",'Pivot RakBank AED'!$A$3,"Mese",9,"Tipologia",$A177,"Viaggio",$A$170)),0,GETPIVOTDATA("Somma di AVERE EUR",'Pivot RakBank AED'!$A$3,"Mese",9,"Tipologia",$A177,"Viaggio",$A$170))</f>
        <v>0</v>
      </c>
      <c r="L177" s="270">
        <f>IF(ISERROR(GETPIVOTDATA("Somma di DARE",'Pivot Fineco Sa'!$A$3,"Mese",10,"Tipologia",$A177,"Viaggio",$A$170)),0,GETPIVOTDATA("Somma di DARE",'Pivot Fineco Sa'!$A$3,"Mese",10,"Tipologia",$A177,"Viaggio",$A$170))
+IF(ISERROR(GETPIVOTDATA("Somma di DARE",'Pivot Fineco St'!$A$3,"Mese",10,"Tipologia",$A177,"Viaggio",$A$170)),0,GETPIVOTDATA("Somma di DARE",'Pivot Fineco St'!$A$3,"Mese",10,"Tipologia",$A177,"Viaggio",$A$170))
+IF(Contanti!$AO45='Conto Economico'!$A$170,Contanti!$AL45)
+IF(ISERROR(GETPIVOTDATA("Somma di DARE",'Pivot BBVA'!$A$3,"Mese",10,"Tipologia",$A177,"Viaggio",$A$170)),0,GETPIVOTDATA("Somma di DARE",'Pivot BBVA'!$A$3,"Mese",10,"Tipologia",$A177,"Viaggio",$A$170))
+IF(ISERROR(GETPIVOTDATA("Somma di DARE",'Pivot Amex'!$A$3,"Mese",10,"Tipologia",$A177,"Viaggio",$A$170)),0,GETPIVOTDATA("Somma di DARE",'Pivot Amex'!$A$3,"Mese",10,"Tipologia",$A177,"Viaggio",$A$170))
-IF(ISERROR(GETPIVOTDATA("Somma di AVERE",'Pivot Amex'!$A$3,"Mese",10,"Tipologia",$A177,"Viaggio",$A$170)),0,GETPIVOTDATA("Somma di AVERE",'Pivot Amex'!$A$3,"Mese",10,"Tipologia",$A177,"Viaggio",$A$170))
-IF(ISERROR(GETPIVOTDATA("Somma di AVERE",'Pivot BBVA'!$A$3,"Mese",10,"Tipologia",$A177,"Viaggio",$A$170)),0,GETPIVOTDATA("Somma di AVERE",'Pivot BBVA'!$A$3,"Mese",10,"Tipologia",$A177,"Viaggio",$A$170))
-IF(ISERROR(GETPIVOTDATA("Somma di AVERE",'Pivot Fineco St'!$A$3,"Mese",10,"Tipologia",$A177,"Viaggio",$A$170)),0,GETPIVOTDATA("Somma di AVERE",'Pivot Fineco St'!$A$3,"Mese",10,"Tipologia",$A177,"Viaggio",$A$170))
-IF(ISERROR(GETPIVOTDATA("Somma di AVERE",'Pivot Fineco Sa'!$A$3,"Mese",10,"Tipologia",$A177,"Viaggio",$A$170)),0,GETPIVOTDATA("Somma di AVERE",'Pivot Fineco Sa'!$A$3,"Mese",10,"Tipologia",$A177,"Viaggio",$A$170))
+IF(ISERROR(GETPIVOTDATA("Somma di DARE",'Pivot PP Visa'!$A$3,"Mese",10,"Tipologia",$A177,"Viaggio",$A$170)),0,GETPIVOTDATA("Somma di DARE",'Pivot PP Visa'!$A$3,"Mese",10,"Tipologia",$A177,"Viaggio",$A$170))
-IF(ISERROR(GETPIVOTDATA("Somma di AVERE",'Pivot PP Visa'!$A$3,"Mese",10,"Tipologia",$A177,"Viaggio",$A$170)),0,GETPIVOTDATA("Somma di AVERE",'Pivot PP Visa'!$A$3,"Mese",10,"Tipologia",$A177,"Viaggio",$A$170))
+IF(ISERROR(GETPIVOTDATA("Somma di DARE",'Pivot Revolut'!$A$3,"Mese",10,"Tipologia",$A177,"Viaggio",$A$170)),0,GETPIVOTDATA("Somma di DARE",'Pivot Revolut'!$A$3,"Mese",10,"Tipologia",$A177,"Viaggio",$A$170))
-IF(ISERROR(GETPIVOTDATA("Somma di AVERE",'Pivot Revolut'!$A$3,"Mese",10,"Tipologia",$A177,"Viaggio",$A$170)),0,GETPIVOTDATA("Somma di AVERE",'Pivot Revolut'!$A$3,"Mese",10,"Tipologia",$A177,"Viaggio",$A$170))
+IF(ISERROR(GETPIVOTDATA("Somma di DARE",'Pivot RakBank EUR'!$A$3,"Mese",10,"Tipologia",$A177,"Viaggio",$A$170)),0,GETPIVOTDATA("Somma di DARE",'Pivot RakBank EUR'!$A$3,"Mese",10,"Tipologia",$A177,"Viaggio",$A$170))
-IF(ISERROR(GETPIVOTDATA("Somma di AVERE",'Pivot RakBank EUR'!$A$3,"Mese",10,"Tipologia",$A177,"Viaggio",$A$170)),0,GETPIVOTDATA("Somma di AVERE",'Pivot RakBank EUR'!$A$3,"Mese",10,"Tipologia",$A177,"Viaggio",$A$170))
+IF(ISERROR(GETPIVOTDATA("Somma di DARE EUR",'Pivot RakBank AED'!$A$3,"Mese",10,"Tipologia",$A177,"Viaggio",$A$170)),0,GETPIVOTDATA("Somma di DARE EUR",'Pivot RakBank AED'!$A$3,"Mese",10,"Tipologia",$A177,"Viaggio",$A$170))
-IF(ISERROR(GETPIVOTDATA("Somma di AVERE EUR",'Pivot RakBank AED'!$A$3,"Mese",10,"Tipologia",$A177,"Viaggio",$A$170)),0,GETPIVOTDATA("Somma di AVERE EUR",'Pivot RakBank AED'!$A$3,"Mese",10,"Tipologia",$A177,"Viaggio",$A$170))</f>
        <v>0</v>
      </c>
      <c r="M177" s="270">
        <f>IF(ISERROR(GETPIVOTDATA("Somma di DARE",'Pivot Fineco Sa'!$A$3,"Mese",11,"Tipologia",$A177,"Viaggio",$A$170)),0,GETPIVOTDATA("Somma di DARE",'Pivot Fineco Sa'!$A$3,"Mese",11,"Tipologia",$A177,"Viaggio",$A$170))
+IF(ISERROR(GETPIVOTDATA("Somma di DARE",'Pivot Fineco St'!$A$3,"Mese",11,"Tipologia",$A177,"Viaggio",$A$170)),0,GETPIVOTDATA("Somma di DARE",'Pivot Fineco St'!$A$3,"Mese",11,"Tipologia",$A177,"Viaggio",$A$170))
+IF(Contanti!$AS45='Conto Economico'!$A$170,Contanti!$AP45)
+IF(ISERROR(GETPIVOTDATA("Somma di DARE",'Pivot BBVA'!$A$3,"Mese",11,"Tipologia",$A177,"Viaggio",$A$170)),0,GETPIVOTDATA("Somma di DARE",'Pivot BBVA'!$A$3,"Mese",11,"Tipologia",$A177,"Viaggio",$A$170))
+IF(ISERROR(GETPIVOTDATA("Somma di DARE",'Pivot Amex'!$A$3,"Mese",11,"Tipologia",$A177,"Viaggio",$A$170)),0,GETPIVOTDATA("Somma di DARE",'Pivot Amex'!$A$3,"Mese",11,"Tipologia",$A177,"Viaggio",$A$170))
-IF(ISERROR(GETPIVOTDATA("Somma di AVERE",'Pivot Amex'!$A$3,"Mese",11,"Tipologia",$A177,"Viaggio",$A$170)),0,GETPIVOTDATA("Somma di AVERE",'Pivot Amex'!$A$3,"Mese",11,"Tipologia",$A177,"Viaggio",$A$170))
-IF(ISERROR(GETPIVOTDATA("Somma di AVERE",'Pivot BBVA'!$A$3,"Mese",11,"Tipologia",$A177,"Viaggio",$A$170)),0,GETPIVOTDATA("Somma di AVERE",'Pivot BBVA'!$A$3,"Mese",11,"Tipologia",$A177,"Viaggio",$A$170))
-IF(ISERROR(GETPIVOTDATA("Somma di AVERE",'Pivot Fineco St'!$A$3,"Mese",11,"Tipologia",$A177,"Viaggio",$A$170)),0,GETPIVOTDATA("Somma di AVERE",'Pivot Fineco St'!$A$3,"Mese",11,"Tipologia",$A177,"Viaggio",$A$170))
-IF(ISERROR(GETPIVOTDATA("Somma di AVERE",'Pivot Fineco Sa'!$A$3,"Mese",11,"Tipologia",$A177,"Viaggio",$A$170)),0,GETPIVOTDATA("Somma di AVERE",'Pivot Fineco Sa'!$A$3,"Mese",11,"Tipologia",$A177,"Viaggio",$A$170))
+IF(ISERROR(GETPIVOTDATA("Somma di DARE",'Pivot PP Visa'!$A$3,"Mese",11,"Tipologia",$A177,"Viaggio",$A$170)),0,GETPIVOTDATA("Somma di DARE",'Pivot PP Visa'!$A$3,"Mese",11,"Tipologia",$A177,"Viaggio",$A$170))
-IF(ISERROR(GETPIVOTDATA("Somma di AVERE",'Pivot PP Visa'!$A$3,"Mese",11,"Tipologia",$A177,"Viaggio",$A$170)),0,GETPIVOTDATA("Somma di AVERE",'Pivot PP Visa'!$A$3,"Mese",11,"Tipologia",$A177,"Viaggio",$A$170))
+IF(ISERROR(GETPIVOTDATA("Somma di DARE",'Pivot Revolut'!$A$3,"Mese",11,"Tipologia",$A177,"Viaggio",$A$170)),0,GETPIVOTDATA("Somma di DARE",'Pivot Revolut'!$A$3,"Mese",11,"Tipologia",$A177,"Viaggio",$A$170))
-IF(ISERROR(GETPIVOTDATA("Somma di AVERE",'Pivot Revolut'!$A$3,"Mese",11,"Tipologia",$A177,"Viaggio",$A$170)),0,GETPIVOTDATA("Somma di AVERE",'Pivot Revolut'!$A$3,"Mese",11,"Tipologia",$A177,"Viaggio",$A$170))
+IF(ISERROR(GETPIVOTDATA("Somma di DARE",'Pivot RakBank EUR'!$A$3,"Mese",11,"Tipologia",$A177,"Viaggio",$A$170)),0,GETPIVOTDATA("Somma di DARE",'Pivot RakBank EUR'!$A$3,"Mese",11,"Tipologia",$A177,"Viaggio",$A$170))
-IF(ISERROR(GETPIVOTDATA("Somma di AVERE",'Pivot RakBank EUR'!$A$3,"Mese",11,"Tipologia",$A177,"Viaggio",$A$170)),0,GETPIVOTDATA("Somma di AVERE",'Pivot RakBank EUR'!$A$3,"Mese",11,"Tipologia",$A177,"Viaggio",$A$170))
+IF(ISERROR(GETPIVOTDATA("Somma di DARE EUR",'Pivot RakBank AED'!$A$3,"Mese",11,"Tipologia",$A177,"Viaggio",$A$170)),0,GETPIVOTDATA("Somma di DARE EUR",'Pivot RakBank AED'!$A$3,"Mese",11,"Tipologia",$A177,"Viaggio",$A$170))
-IF(ISERROR(GETPIVOTDATA("Somma di AVERE EUR",'Pivot RakBank AED'!$A$3,"Mese",11,"Tipologia",$A177,"Viaggio",$A$170)),0,GETPIVOTDATA("Somma di AVERE EUR",'Pivot RakBank AED'!$A$3,"Mese",11,"Tipologia",$A177,"Viaggio",$A$170))</f>
        <v>0</v>
      </c>
      <c r="N177" s="270">
        <f>IF(ISERROR(GETPIVOTDATA("Somma di DARE",'Pivot Fineco Sa'!$A$3,"Mese",12,"Tipologia",$A177,"Viaggio",$A$170)),0,GETPIVOTDATA("Somma di DARE",'Pivot Fineco Sa'!$A$3,"Mese",12,"Tipologia",$A177,"Viaggio",$A$170))
+IF(ISERROR(GETPIVOTDATA("Somma di DARE",'Pivot Fineco St'!$A$3,"Mese",12,"Tipologia",$A177,"Viaggio",$A$170)),0,GETPIVOTDATA("Somma di DARE",'Pivot Fineco St'!$A$3,"Mese",12,"Tipologia",$A177,"Viaggio",$A$170))
+IF(Contanti!$AW45='Conto Economico'!$A$170,Contanti!$AT45)
+IF(ISERROR(GETPIVOTDATA("Somma di DARE",'Pivot BBVA'!$A$3,"Mese",12,"Tipologia",$A177,"Viaggio",$A$170)),0,GETPIVOTDATA("Somma di DARE",'Pivot BBVA'!$A$3,"Mese",12,"Tipologia",$A177,"Viaggio",$A$170))
+IF(ISERROR(GETPIVOTDATA("Somma di DARE",'Pivot Amex'!$A$3,"Mese",12,"Tipologia",$A177,"Viaggio",$A$170)),0,GETPIVOTDATA("Somma di DARE",'Pivot Amex'!$A$3,"Mese",12,"Tipologia",$A177,"Viaggio",$A$170))
-IF(ISERROR(GETPIVOTDATA("Somma di AVERE",'Pivot Amex'!$A$3,"Mese",12,"Tipologia",$A177,"Viaggio",$A$170)),0,GETPIVOTDATA("Somma di AVERE",'Pivot Amex'!$A$3,"Mese",12,"Tipologia",$A177,"Viaggio",$A$170))
-IF(ISERROR(GETPIVOTDATA("Somma di AVERE",'Pivot BBVA'!$A$3,"Mese",12,"Tipologia",$A177,"Viaggio",$A$170)),0,GETPIVOTDATA("Somma di AVERE",'Pivot BBVA'!$A$3,"Mese",12,"Tipologia",$A177,"Viaggio",$A$170))
-IF(ISERROR(GETPIVOTDATA("Somma di AVERE",'Pivot Fineco St'!$A$3,"Mese",12,"Tipologia",$A177,"Viaggio",$A$170)),0,GETPIVOTDATA("Somma di AVERE",'Pivot Fineco St'!$A$3,"Mese",12,"Tipologia",$A177,"Viaggio",$A$170))
-IF(ISERROR(GETPIVOTDATA("Somma di AVERE",'Pivot Fineco Sa'!$A$3,"Mese",12,"Tipologia",$A177,"Viaggio",$A$170)),0,GETPIVOTDATA("Somma di AVERE",'Pivot Fineco Sa'!$A$3,"Mese",12,"Tipologia",$A177,"Viaggio",$A$170))
+IF(ISERROR(GETPIVOTDATA("Somma di DARE",'Pivot PP Visa'!$A$3,"Mese",12,"Tipologia",$A177,"Viaggio",$A$170)),0,GETPIVOTDATA("Somma di DARE",'Pivot PP Visa'!$A$3,"Mese",12,"Tipologia",$A177,"Viaggio",$A$170))
-IF(ISERROR(GETPIVOTDATA("Somma di AVERE",'Pivot PP Visa'!$A$3,"Mese",12,"Tipologia",$A177,"Viaggio",$A$170)),0,GETPIVOTDATA("Somma di AVERE",'Pivot PP Visa'!$A$3,"Mese",12,"Tipologia",$A177,"Viaggio",$A$170))
+IF(ISERROR(GETPIVOTDATA("Somma di DARE",'Pivot Revolut'!$A$3,"Mese",12,"Tipologia",$A177,"Viaggio",$A$170)),0,GETPIVOTDATA("Somma di DARE",'Pivot Revolut'!$A$3,"Mese",12,"Tipologia",$A177,"Viaggio",$A$170))
-IF(ISERROR(GETPIVOTDATA("Somma di AVERE",'Pivot Revolut'!$A$3,"Mese",12,"Tipologia",$A177,"Viaggio",$A$170)),0,GETPIVOTDATA("Somma di AVERE",'Pivot Revolut'!$A$3,"Mese",12,"Tipologia",$A177,"Viaggio",$A$170))
+IF(ISERROR(GETPIVOTDATA("Somma di DARE",'Pivot RakBank EUR'!$A$3,"Mese",12,"Tipologia",$A177,"Viaggio",$A$170)),0,GETPIVOTDATA("Somma di DARE",'Pivot RakBank EUR'!$A$3,"Mese",12,"Tipologia",$A177,"Viaggio",$A$170))
-IF(ISERROR(GETPIVOTDATA("Somma di AVERE",'Pivot RakBank EUR'!$A$3,"Mese",12,"Tipologia",$A177,"Viaggio",$A$170)),0,GETPIVOTDATA("Somma di AVERE",'Pivot RakBank EUR'!$A$3,"Mese",12,"Tipologia",$A177,"Viaggio",$A$170))
+IF(ISERROR(GETPIVOTDATA("Somma di DARE EUR",'Pivot RakBank AED'!$A$3,"Mese",12,"Tipologia",$A177,"Viaggio",$A$170)),0,GETPIVOTDATA("Somma di DARE EUR",'Pivot RakBank AED'!$A$3,"Mese",12,"Tipologia",$A177,"Viaggio",$A$170))
-IF(ISERROR(GETPIVOTDATA("Somma di AVERE EUR",'Pivot RakBank AED'!$A$3,"Mese",12,"Tipologia",$A177,"Viaggio",$A$170)),0,GETPIVOTDATA("Somma di AVERE EUR",'Pivot RakBank AED'!$A$3,"Mese",12,"Tipologia",$A177,"Viaggio",$A$170))</f>
        <v>0</v>
      </c>
      <c r="O177" s="271">
        <f t="shared" si="23"/>
        <v>0</v>
      </c>
      <c r="P177" s="270"/>
    </row>
    <row r="178" spans="1:16" s="131" customFormat="1" ht="14" outlineLevel="1" x14ac:dyDescent="0.2">
      <c r="A178" s="269" t="s">
        <v>170</v>
      </c>
      <c r="B178" s="269"/>
      <c r="C178" s="270">
        <f>IF(ISERROR(GETPIVOTDATA("Somma di DARE",'Pivot Fineco Sa'!$A$3,"Mese",1,"Tipologia",$A178,"Viaggio",$A$170)),0,GETPIVOTDATA("Somma di DARE",'Pivot Fineco Sa'!$A$3,"Mese",1,"Tipologia",$A178,"Viaggio",$A$170))
+IF(ISERROR(GETPIVOTDATA("Somma di DARE",'Pivot Fineco St'!$A$3,"Mese",1,"Tipologia",$A178,"Viaggio",$A$170)),0,GETPIVOTDATA("Somma di DARE",'Pivot Fineco St'!$A$3,"Mese",1,"Tipologia",$A178,"Viaggio",$A$170))
+IF(Contanti!$E46='Conto Economico'!$A$170,Contanti!$B46)
+IF(ISERROR(GETPIVOTDATA("Somma di DARE",'Pivot BBVA'!$A$3,"Mese",1,"Tipologia",$A178,"Viaggio",$A$170)),0,GETPIVOTDATA("Somma di DARE",'Pivot BBVA'!$A$3,"Mese",1,"Tipologia",$A178,"Viaggio",$A$170))
+IF(ISERROR(GETPIVOTDATA("Somma di DARE",'Pivot Amex'!$A$3,"Mese",1,"Tipologia",$A178,"Viaggio",$A$170)),0,GETPIVOTDATA("Somma di DARE",'Pivot Amex'!$A$3,"Mese",1,"Tipologia",$A178,"Viaggio",$A$170))
-IF(ISERROR(GETPIVOTDATA("Somma di AVERE",'Pivot Amex'!$A$3,"Mese",1,"Tipologia",$A178,"Viaggio",$A$170)),0,GETPIVOTDATA("Somma di AVERE",'Pivot Amex'!$A$3,"Mese",1,"Tipologia",$A178,"Viaggio",$A$170))
-IF(ISERROR(GETPIVOTDATA("Somma di AVERE",'Pivot BBVA'!$A$3,"Mese",1,"Tipologia",$A178,"Viaggio",$A$170)),0,GETPIVOTDATA("Somma di AVERE",'Pivot BBVA'!$A$3,"Mese",1,"Tipologia",$A178,"Viaggio",$A$170))
-IF(ISERROR(GETPIVOTDATA("Somma di AVERE",'Pivot Fineco St'!$A$3,"Mese",1,"Tipologia",$A178,"Viaggio",$A$170)),0,GETPIVOTDATA("Somma di AVERE",'Pivot Fineco St'!$A$3,"Mese",1,"Tipologia",$A178,"Viaggio",$A$170))
-IF(ISERROR(GETPIVOTDATA("Somma di AVERE",'Pivot Fineco Sa'!$A$3,"Mese",1,"Tipologia",$A178,"Viaggio",$A$170)),0,GETPIVOTDATA("Somma di AVERE",'Pivot Fineco Sa'!$A$3,"Mese",1,"Tipologia",$A178,"Viaggio",$A$170))
+IF(ISERROR(GETPIVOTDATA("Somma di DARE",'Pivot PP Visa'!$A$3,"Mese",1,"Tipologia",$A178,"Viaggio",$A$170)),0,GETPIVOTDATA("Somma di DARE",'Pivot PP Visa'!$A$3,"Mese",1,"Tipologia",$A178,"Viaggio",$A$170))
-IF(ISERROR(GETPIVOTDATA("Somma di AVERE",'Pivot PP Visa'!$A$3,"Mese",1,"Tipologia",$A178,"Viaggio",$A$170)),0,GETPIVOTDATA("Somma di AVERE",'Pivot PP Visa'!$A$3,"Mese",1,"Tipologia",$A178,"Viaggio",$A$170))
+IF(ISERROR(GETPIVOTDATA("Somma di DARE",'Pivot Revolut'!$A$3,"Mese",1,"Tipologia",$A178,"Viaggio",$A$170)),0,GETPIVOTDATA("Somma di DARE",'Pivot Revolut'!$A$3,"Mese",1,"Tipologia",$A178,"Viaggio",$A$170))
-IF(ISERROR(GETPIVOTDATA("Somma di AVERE",'Pivot Revolut'!$A$3,"Mese",1,"Tipologia",$A178,"Viaggio",$A$170)),0,GETPIVOTDATA("Somma di AVERE",'Pivot Revolut'!$A$3,"Mese",1,"Tipologia",$A178,"Viaggio",$A$170))
+IF(ISERROR(GETPIVOTDATA("Somma di DARE",'Pivot RakBank EUR'!$A$3,"Mese",1,"Tipologia",$A178,"Viaggio",$A$170)),0,GETPIVOTDATA("Somma di DARE",'Pivot RakBank EUR'!$A$3,"Mese",1,"Tipologia",$A178,"Viaggio",$A$170))
-IF(ISERROR(GETPIVOTDATA("Somma di AVERE",'Pivot RakBank EUR'!$A$3,"Mese",1,"Tipologia",$A178,"Viaggio",$A$170)),0,GETPIVOTDATA("Somma di AVERE",'Pivot RakBank EUR'!$A$3,"Mese",1,"Tipologia",$A178,"Viaggio",$A$170))
+IF(ISERROR(GETPIVOTDATA("Somma di DARE EUR",'Pivot RakBank AED'!$A$3,"Mese",1,"Tipologia",$A178,"Viaggio",$A$170)),0,GETPIVOTDATA("Somma di DARE EUR",'Pivot RakBank AED'!$A$3,"Mese",1,"Tipologia",$A178,"Viaggio",$A$170))
-IF(ISERROR(GETPIVOTDATA("Somma di AVERE EUR",'Pivot RakBank AED'!$A$3,"Mese",1,"Tipologia",$A178,"Viaggio",$A$170)),0,GETPIVOTDATA("Somma di AVERE EUR",'Pivot RakBank AED'!$A$3,"Mese",1,"Tipologia",$A178,"Viaggio",$A$170))</f>
        <v>0</v>
      </c>
      <c r="D178" s="270">
        <f>IF(ISERROR(GETPIVOTDATA("Somma di DARE",'Pivot Fineco Sa'!$A$3,"Mese",2,"Tipologia",$A178,"Viaggio",$A$170)),0,GETPIVOTDATA("Somma di DARE",'Pivot Fineco Sa'!$A$3,"Mese",2,"Tipologia",$A178,"Viaggio",$A$170))
+IF(ISERROR(GETPIVOTDATA("Somma di DARE",'Pivot Fineco St'!$A$3,"Mese",2,"Tipologia",$A178,"Viaggio",$A$170)),0,GETPIVOTDATA("Somma di DARE",'Pivot Fineco St'!$A$3,"Mese",2,"Tipologia",$A178,"Viaggio",$A$170))
+IF(Contanti!$I46='Conto Economico'!$A$170,Contanti!$F46)
+IF(ISERROR(GETPIVOTDATA("Somma di DARE",'Pivot BBVA'!$A$3,"Mese",2,"Tipologia",$A178,"Viaggio",$A$170)),0,GETPIVOTDATA("Somma di DARE",'Pivot BBVA'!$A$3,"Mese",2,"Tipologia",$A178,"Viaggio",$A$170))
+IF(ISERROR(GETPIVOTDATA("Somma di DARE",'Pivot Amex'!$A$3,"Mese",2,"Tipologia",$A178,"Viaggio",$A$170)),0,GETPIVOTDATA("Somma di DARE",'Pivot Amex'!$A$3,"Mese",2,"Tipologia",$A178,"Viaggio",$A$170))
-IF(ISERROR(GETPIVOTDATA("Somma di AVERE",'Pivot Amex'!$A$3,"Mese",2,"Tipologia",$A178,"Viaggio",$A$170)),0,GETPIVOTDATA("Somma di AVERE",'Pivot Amex'!$A$3,"Mese",2,"Tipologia",$A178,"Viaggio",$A$170))
-IF(ISERROR(GETPIVOTDATA("Somma di AVERE",'Pivot BBVA'!$A$3,"Mese",2,"Tipologia",$A178,"Viaggio",$A$170)),0,GETPIVOTDATA("Somma di AVERE",'Pivot BBVA'!$A$3,"Mese",2,"Tipologia",$A178,"Viaggio",$A$170))
-IF(ISERROR(GETPIVOTDATA("Somma di AVERE",'Pivot Fineco St'!$A$3,"Mese",2,"Tipologia",$A178,"Viaggio",$A$170)),0,GETPIVOTDATA("Somma di AVERE",'Pivot Fineco St'!$A$3,"Mese",2,"Tipologia",$A178,"Viaggio",$A$170))
-IF(ISERROR(GETPIVOTDATA("Somma di AVERE",'Pivot Fineco Sa'!$A$3,"Mese",2,"Tipologia",$A178,"Viaggio",$A$170)),0,GETPIVOTDATA("Somma di AVERE",'Pivot Fineco Sa'!$A$3,"Mese",2,"Tipologia",$A178,"Viaggio",$A$170))
+IF(ISERROR(GETPIVOTDATA("Somma di DARE",'Pivot PP Visa'!$A$3,"Mese",2,"Tipologia",$A178,"Viaggio",$A$170)),0,GETPIVOTDATA("Somma di DARE",'Pivot PP Visa'!$A$3,"Mese",2,"Tipologia",$A178,"Viaggio",$A$170))
-IF(ISERROR(GETPIVOTDATA("Somma di AVERE",'Pivot PP Visa'!$A$3,"Mese",2,"Tipologia",$A178,"Viaggio",$A$170)),0,GETPIVOTDATA("Somma di AVERE",'Pivot PP Visa'!$A$3,"Mese",2,"Tipologia",$A178,"Viaggio",$A$170))
+IF(ISERROR(GETPIVOTDATA("Somma di DARE",'Pivot Revolut'!$A$3,"Mese",2,"Tipologia",$A178,"Viaggio",$A$170)),0,GETPIVOTDATA("Somma di DARE",'Pivot Revolut'!$A$3,"Mese",2,"Tipologia",$A178,"Viaggio",$A$170))
-IF(ISERROR(GETPIVOTDATA("Somma di AVERE",'Pivot Revolut'!$A$3,"Mese",2,"Tipologia",$A178,"Viaggio",$A$170)),0,GETPIVOTDATA("Somma di AVERE",'Pivot Revolut'!$A$3,"Mese",2,"Tipologia",$A178,"Viaggio",$A$170))
+IF(ISERROR(GETPIVOTDATA("Somma di DARE",'Pivot RakBank EUR'!$A$3,"Mese",2,"Tipologia",$A178,"Viaggio",$A$170)),0,GETPIVOTDATA("Somma di DARE",'Pivot RakBank EUR'!$A$3,"Mese",2,"Tipologia",$A178,"Viaggio",$A$170))
-IF(ISERROR(GETPIVOTDATA("Somma di AVERE",'Pivot RakBank EUR'!$A$3,"Mese",2,"Tipologia",$A178,"Viaggio",$A$170)),0,GETPIVOTDATA("Somma di AVERE",'Pivot RakBank EUR'!$A$3,"Mese",2,"Tipologia",$A178,"Viaggio",$A$170))
+IF(ISERROR(GETPIVOTDATA("Somma di DARE EUR",'Pivot RakBank AED'!$A$3,"Mese",2,"Tipologia",$A178,"Viaggio",$A$170)),0,GETPIVOTDATA("Somma di DARE EUR",'Pivot RakBank AED'!$A$3,"Mese",2,"Tipologia",$A178,"Viaggio",$A$170))
-IF(ISERROR(GETPIVOTDATA("Somma di AVERE EUR",'Pivot RakBank AED'!$A$3,"Mese",2,"Tipologia",$A178,"Viaggio",$A$170)),0,GETPIVOTDATA("Somma di AVERE EUR",'Pivot RakBank AED'!$A$3,"Mese",2,"Tipologia",$A178,"Viaggio",$A$170))</f>
        <v>0</v>
      </c>
      <c r="E178" s="270">
        <f>IF(ISERROR(GETPIVOTDATA("Somma di DARE",'Pivot Fineco Sa'!$A$3,"Mese",3,"Tipologia",$A178,"Viaggio",$A$170)),0,GETPIVOTDATA("Somma di DARE",'Pivot Fineco Sa'!$A$3,"Mese",3,"Tipologia",$A178,"Viaggio",$A$170))
+IF(ISERROR(GETPIVOTDATA("Somma di DARE",'Pivot Fineco St'!$A$3,"Mese",3,"Tipologia",$A178,"Viaggio",$A$170)),0,GETPIVOTDATA("Somma di DARE",'Pivot Fineco St'!$A$3,"Mese",3,"Tipologia",$A178,"Viaggio",$A$170))
+IF(Contanti!$M46='Conto Economico'!$A$170,Contanti!$J46)
+IF(ISERROR(GETPIVOTDATA("Somma di DARE",'Pivot BBVA'!$A$3,"Mese",3,"Tipologia",$A178,"Viaggio",$A$170)),0,GETPIVOTDATA("Somma di DARE",'Pivot BBVA'!$A$3,"Mese",3,"Tipologia",$A178,"Viaggio",$A$170))
+IF(ISERROR(GETPIVOTDATA("Somma di DARE",'Pivot Amex'!$A$3,"Mese",3,"Tipologia",$A178,"Viaggio",$A$170)),0,GETPIVOTDATA("Somma di DARE",'Pivot Amex'!$A$3,"Mese",3,"Tipologia",$A178,"Viaggio",$A$170))
-IF(ISERROR(GETPIVOTDATA("Somma di AVERE",'Pivot Amex'!$A$3,"Mese",3,"Tipologia",$A178,"Viaggio",$A$170)),0,GETPIVOTDATA("Somma di AVERE",'Pivot Amex'!$A$3,"Mese",3,"Tipologia",$A178,"Viaggio",$A$170))
-IF(ISERROR(GETPIVOTDATA("Somma di AVERE",'Pivot BBVA'!$A$3,"Mese",3,"Tipologia",$A178,"Viaggio",$A$170)),0,GETPIVOTDATA("Somma di AVERE",'Pivot BBVA'!$A$3,"Mese",3,"Tipologia",$A178,"Viaggio",$A$170))
-IF(ISERROR(GETPIVOTDATA("Somma di AVERE",'Pivot Fineco St'!$A$3,"Mese",3,"Tipologia",$A178,"Viaggio",$A$170)),0,GETPIVOTDATA("Somma di AVERE",'Pivot Fineco St'!$A$3,"Mese",3,"Tipologia",$A178,"Viaggio",$A$170))
-IF(ISERROR(GETPIVOTDATA("Somma di AVERE",'Pivot Fineco Sa'!$A$3,"Mese",3,"Tipologia",$A178,"Viaggio",$A$170)),0,GETPIVOTDATA("Somma di AVERE",'Pivot Fineco Sa'!$A$3,"Mese",3,"Tipologia",$A178,"Viaggio",$A$170))
+IF(ISERROR(GETPIVOTDATA("Somma di DARE",'Pivot PP Visa'!$A$3,"Mese",3,"Tipologia",$A178,"Viaggio",$A$170)),0,GETPIVOTDATA("Somma di DARE",'Pivot PP Visa'!$A$3,"Mese",3,"Tipologia",$A178,"Viaggio",$A$170))
-IF(ISERROR(GETPIVOTDATA("Somma di AVERE",'Pivot PP Visa'!$A$3,"Mese",3,"Tipologia",$A178,"Viaggio",$A$170)),0,GETPIVOTDATA("Somma di AVERE",'Pivot PP Visa'!$A$3,"Mese",3,"Tipologia",$A178,"Viaggio",$A$170))
+IF(ISERROR(GETPIVOTDATA("Somma di DARE",'Pivot Revolut'!$A$3,"Mese",3,"Tipologia",$A178,"Viaggio",$A$170)),0,GETPIVOTDATA("Somma di DARE",'Pivot Revolut'!$A$3,"Mese",3,"Tipologia",$A178,"Viaggio",$A$170))
-IF(ISERROR(GETPIVOTDATA("Somma di AVERE",'Pivot Revolut'!$A$3,"Mese",3,"Tipologia",$A178,"Viaggio",$A$170)),0,GETPIVOTDATA("Somma di AVERE",'Pivot Revolut'!$A$3,"Mese",3,"Tipologia",$A178,"Viaggio",$A$170))
+IF(ISERROR(GETPIVOTDATA("Somma di DARE",'Pivot RakBank EUR'!$A$3,"Mese",3,"Tipologia",$A178,"Viaggio",$A$170)),0,GETPIVOTDATA("Somma di DARE",'Pivot RakBank EUR'!$A$3,"Mese",3,"Tipologia",$A178,"Viaggio",$A$170))
-IF(ISERROR(GETPIVOTDATA("Somma di AVERE",'Pivot RakBank EUR'!$A$3,"Mese",3,"Tipologia",$A178,"Viaggio",$A$170)),0,GETPIVOTDATA("Somma di AVERE",'Pivot RakBank EUR'!$A$3,"Mese",3,"Tipologia",$A178,"Viaggio",$A$170))
+IF(ISERROR(GETPIVOTDATA("Somma di DARE EUR",'Pivot RakBank AED'!$A$3,"Mese",3,"Tipologia",$A178,"Viaggio",$A$170)),0,GETPIVOTDATA("Somma di DARE EUR",'Pivot RakBank AED'!$A$3,"Mese",3,"Tipologia",$A178,"Viaggio",$A$170))
-IF(ISERROR(GETPIVOTDATA("Somma di AVERE EUR",'Pivot RakBank AED'!$A$3,"Mese",3,"Tipologia",$A178,"Viaggio",$A$170)),0,GETPIVOTDATA("Somma di AVERE EUR",'Pivot RakBank AED'!$A$3,"Mese",3,"Tipologia",$A178,"Viaggio",$A$170))</f>
        <v>0</v>
      </c>
      <c r="F178" s="270">
        <f>IF(ISERROR(GETPIVOTDATA("Somma di DARE",'Pivot Fineco Sa'!$A$3,"Mese",4,"Tipologia",$A178,"Viaggio",$A$170)),0,GETPIVOTDATA("Somma di DARE",'Pivot Fineco Sa'!$A$3,"Mese",4,"Tipologia",$A178,"Viaggio",$A$170))
+IF(ISERROR(GETPIVOTDATA("Somma di DARE",'Pivot Fineco St'!$A$3,"Mese",4,"Tipologia",$A178,"Viaggio",$A$170)),0,GETPIVOTDATA("Somma di DARE",'Pivot Fineco St'!$A$3,"Mese",4,"Tipologia",$A178,"Viaggio",$A$170))
+IF(Contanti!$Q46='Conto Economico'!$A$170,Contanti!$N46)
+IF(ISERROR(GETPIVOTDATA("Somma di DARE",'Pivot BBVA'!$A$3,"Mese",4,"Tipologia",$A178,"Viaggio",$A$170)),0,GETPIVOTDATA("Somma di DARE",'Pivot BBVA'!$A$3,"Mese",4,"Tipologia",$A178,"Viaggio",$A$170))
+IF(ISERROR(GETPIVOTDATA("Somma di DARE",'Pivot Amex'!$A$3,"Mese",4,"Tipologia",$A178,"Viaggio",$A$170)),0,GETPIVOTDATA("Somma di DARE",'Pivot Amex'!$A$3,"Mese",4,"Tipologia",$A178,"Viaggio",$A$170))
-IF(ISERROR(GETPIVOTDATA("Somma di AVERE",'Pivot Amex'!$A$3,"Mese",4,"Tipologia",$A178,"Viaggio",$A$170)),0,GETPIVOTDATA("Somma di AVERE",'Pivot Amex'!$A$3,"Mese",4,"Tipologia",$A178,"Viaggio",$A$170))
-IF(ISERROR(GETPIVOTDATA("Somma di AVERE",'Pivot BBVA'!$A$3,"Mese",4,"Tipologia",$A178,"Viaggio",$A$170)),0,GETPIVOTDATA("Somma di AVERE",'Pivot BBVA'!$A$3,"Mese",4,"Tipologia",$A178,"Viaggio",$A$170))
-IF(ISERROR(GETPIVOTDATA("Somma di AVERE",'Pivot Fineco St'!$A$3,"Mese",4,"Tipologia",$A178,"Viaggio",$A$170)),0,GETPIVOTDATA("Somma di AVERE",'Pivot Fineco St'!$A$3,"Mese",4,"Tipologia",$A178,"Viaggio",$A$170))
-IF(ISERROR(GETPIVOTDATA("Somma di AVERE",'Pivot Fineco Sa'!$A$3,"Mese",4,"Tipologia",$A178,"Viaggio",$A$170)),0,GETPIVOTDATA("Somma di AVERE",'Pivot Fineco Sa'!$A$3,"Mese",4,"Tipologia",$A178,"Viaggio",$A$170))
+IF(ISERROR(GETPIVOTDATA("Somma di DARE",'Pivot PP Visa'!$A$3,"Mese",4,"Tipologia",$A178,"Viaggio",$A$170)),0,GETPIVOTDATA("Somma di DARE",'Pivot PP Visa'!$A$3,"Mese",4,"Tipologia",$A178,"Viaggio",$A$170))
-IF(ISERROR(GETPIVOTDATA("Somma di AVERE",'Pivot PP Visa'!$A$3,"Mese",4,"Tipologia",$A178,"Viaggio",$A$170)),0,GETPIVOTDATA("Somma di AVERE",'Pivot PP Visa'!$A$3,"Mese",4,"Tipologia",$A178,"Viaggio",$A$170))
+IF(ISERROR(GETPIVOTDATA("Somma di DARE",'Pivot Revolut'!$A$3,"Mese",4,"Tipologia",$A178,"Viaggio",$A$170)),0,GETPIVOTDATA("Somma di DARE",'Pivot Revolut'!$A$3,"Mese",4,"Tipologia",$A178,"Viaggio",$A$170))
-IF(ISERROR(GETPIVOTDATA("Somma di AVERE",'Pivot Revolut'!$A$3,"Mese",4,"Tipologia",$A178,"Viaggio",$A$170)),0,GETPIVOTDATA("Somma di AVERE",'Pivot Revolut'!$A$3,"Mese",4,"Tipologia",$A178,"Viaggio",$A$170))
+IF(ISERROR(GETPIVOTDATA("Somma di DARE",'Pivot RakBank EUR'!$A$3,"Mese",4,"Tipologia",$A178,"Viaggio",$A$170)),0,GETPIVOTDATA("Somma di DARE",'Pivot RakBank EUR'!$A$3,"Mese",4,"Tipologia",$A178,"Viaggio",$A$170))
-IF(ISERROR(GETPIVOTDATA("Somma di AVERE",'Pivot RakBank EUR'!$A$3,"Mese",4,"Tipologia",$A178,"Viaggio",$A$170)),0,GETPIVOTDATA("Somma di AVERE",'Pivot RakBank EUR'!$A$3,"Mese",4,"Tipologia",$A178,"Viaggio",$A$170))
+IF(ISERROR(GETPIVOTDATA("Somma di DARE EUR",'Pivot RakBank AED'!$A$3,"Mese",4,"Tipologia",$A178,"Viaggio",$A$170)),0,GETPIVOTDATA("Somma di DARE EUR",'Pivot RakBank AED'!$A$3,"Mese",4,"Tipologia",$A178,"Viaggio",$A$170))
-IF(ISERROR(GETPIVOTDATA("Somma di AVERE EUR",'Pivot RakBank AED'!$A$3,"Mese",4,"Tipologia",$A178,"Viaggio",$A$170)),0,GETPIVOTDATA("Somma di AVERE EUR",'Pivot RakBank AED'!$A$3,"Mese",4,"Tipologia",$A178,"Viaggio",$A$170))</f>
        <v>0</v>
      </c>
      <c r="G178" s="270">
        <f>IF(ISERROR(GETPIVOTDATA("Somma di DARE",'Pivot Fineco Sa'!$A$3,"Mese",5,"Tipologia",$A178,"Viaggio",$A$170)),0,GETPIVOTDATA("Somma di DARE",'Pivot Fineco Sa'!$A$3,"Mese",5,"Tipologia",$A178,"Viaggio",$A$170))
+IF(ISERROR(GETPIVOTDATA("Somma di DARE",'Pivot Fineco St'!$A$3,"Mese",5,"Tipologia",$A178,"Viaggio",$A$170)),0,GETPIVOTDATA("Somma di DARE",'Pivot Fineco St'!$A$3,"Mese",5,"Tipologia",$A178,"Viaggio",$A$170))
+IF(Contanti!$U46='Conto Economico'!$A$170,Contanti!$R46)
+IF(ISERROR(GETPIVOTDATA("Somma di DARE",'Pivot BBVA'!$A$3,"Mese",5,"Tipologia",$A178,"Viaggio",$A$170)),0,GETPIVOTDATA("Somma di DARE",'Pivot BBVA'!$A$3,"Mese",5,"Tipologia",$A178,"Viaggio",$A$170))
+IF(ISERROR(GETPIVOTDATA("Somma di DARE",'Pivot Amex'!$A$3,"Mese",5,"Tipologia",$A178,"Viaggio",$A$170)),0,GETPIVOTDATA("Somma di DARE",'Pivot Amex'!$A$3,"Mese",5,"Tipologia",$A178,"Viaggio",$A$170))
-IF(ISERROR(GETPIVOTDATA("Somma di AVERE",'Pivot Amex'!$A$3,"Mese",5,"Tipologia",$A178,"Viaggio",$A$170)),0,GETPIVOTDATA("Somma di AVERE",'Pivot Amex'!$A$3,"Mese",5,"Tipologia",$A178,"Viaggio",$A$170))
-IF(ISERROR(GETPIVOTDATA("Somma di AVERE",'Pivot BBVA'!$A$3,"Mese",5,"Tipologia",$A178,"Viaggio",$A$170)),0,GETPIVOTDATA("Somma di AVERE",'Pivot BBVA'!$A$3,"Mese",5,"Tipologia",$A178,"Viaggio",$A$170))
-IF(ISERROR(GETPIVOTDATA("Somma di AVERE",'Pivot Fineco St'!$A$3,"Mese",5,"Tipologia",$A178,"Viaggio",$A$170)),0,GETPIVOTDATA("Somma di AVERE",'Pivot Fineco St'!$A$3,"Mese",5,"Tipologia",$A178,"Viaggio",$A$170))
-IF(ISERROR(GETPIVOTDATA("Somma di AVERE",'Pivot Fineco Sa'!$A$3,"Mese",5,"Tipologia",$A178,"Viaggio",$A$170)),0,GETPIVOTDATA("Somma di AVERE",'Pivot Fineco Sa'!$A$3,"Mese",5,"Tipologia",$A178,"Viaggio",$A$170))
+IF(ISERROR(GETPIVOTDATA("Somma di DARE",'Pivot PP Visa'!$A$3,"Mese",5,"Tipologia",$A178,"Viaggio",$A$170)),0,GETPIVOTDATA("Somma di DARE",'Pivot PP Visa'!$A$3,"Mese",5,"Tipologia",$A178,"Viaggio",$A$170))
-IF(ISERROR(GETPIVOTDATA("Somma di AVERE",'Pivot PP Visa'!$A$3,"Mese",5,"Tipologia",$A178,"Viaggio",$A$170)),0,GETPIVOTDATA("Somma di AVERE",'Pivot PP Visa'!$A$3,"Mese",5,"Tipologia",$A178,"Viaggio",$A$170))
+IF(ISERROR(GETPIVOTDATA("Somma di DARE",'Pivot Revolut'!$A$3,"Mese",5,"Tipologia",$A178,"Viaggio",$A$170)),0,GETPIVOTDATA("Somma di DARE",'Pivot Revolut'!$A$3,"Mese",5,"Tipologia",$A178,"Viaggio",$A$170))
-IF(ISERROR(GETPIVOTDATA("Somma di AVERE",'Pivot Revolut'!$A$3,"Mese",5,"Tipologia",$A178,"Viaggio",$A$170)),0,GETPIVOTDATA("Somma di AVERE",'Pivot Revolut'!$A$3,"Mese",5,"Tipologia",$A178,"Viaggio",$A$170))
+IF(ISERROR(GETPIVOTDATA("Somma di DARE",'Pivot RakBank EUR'!$A$3,"Mese",5,"Tipologia",$A178,"Viaggio",$A$170)),0,GETPIVOTDATA("Somma di DARE",'Pivot RakBank EUR'!$A$3,"Mese",5,"Tipologia",$A178,"Viaggio",$A$170))
-IF(ISERROR(GETPIVOTDATA("Somma di AVERE",'Pivot RakBank EUR'!$A$3,"Mese",5,"Tipologia",$A178,"Viaggio",$A$170)),0,GETPIVOTDATA("Somma di AVERE",'Pivot RakBank EUR'!$A$3,"Mese",5,"Tipologia",$A178,"Viaggio",$A$170))
+IF(ISERROR(GETPIVOTDATA("Somma di DARE EUR",'Pivot RakBank AED'!$A$3,"Mese",5,"Tipologia",$A178,"Viaggio",$A$170)),0,GETPIVOTDATA("Somma di DARE EUR",'Pivot RakBank AED'!$A$3,"Mese",5,"Tipologia",$A178,"Viaggio",$A$170))
-IF(ISERROR(GETPIVOTDATA("Somma di AVERE EUR",'Pivot RakBank AED'!$A$3,"Mese",5,"Tipologia",$A178,"Viaggio",$A$170)),0,GETPIVOTDATA("Somma di AVERE EUR",'Pivot RakBank AED'!$A$3,"Mese",5,"Tipologia",$A178,"Viaggio",$A$170))</f>
        <v>0</v>
      </c>
      <c r="H178" s="270">
        <f>IF(ISERROR(GETPIVOTDATA("Somma di DARE",'Pivot Fineco Sa'!$A$3,"Mese",6,"Tipologia",$A178,"Viaggio",$A$170)),0,GETPIVOTDATA("Somma di DARE",'Pivot Fineco Sa'!$A$3,"Mese",6,"Tipologia",$A178,"Viaggio",$A$170))
+IF(ISERROR(GETPIVOTDATA("Somma di DARE",'Pivot Fineco St'!$A$3,"Mese",6,"Tipologia",$A178,"Viaggio",$A$170)),0,GETPIVOTDATA("Somma di DARE",'Pivot Fineco St'!$A$3,"Mese",6,"Tipologia",$A178,"Viaggio",$A$170))
+IF(Contanti!$Y46='Conto Economico'!$A$170,Contanti!$V46)
+IF(ISERROR(GETPIVOTDATA("Somma di DARE",'Pivot BBVA'!$A$3,"Mese",6,"Tipologia",$A178,"Viaggio",$A$170)),0,GETPIVOTDATA("Somma di DARE",'Pivot BBVA'!$A$3,"Mese",6,"Tipologia",$A178,"Viaggio",$A$170))
+IF(ISERROR(GETPIVOTDATA("Somma di DARE",'Pivot Amex'!$A$3,"Mese",6,"Tipologia",$A178,"Viaggio",$A$170)),0,GETPIVOTDATA("Somma di DARE",'Pivot Amex'!$A$3,"Mese",6,"Tipologia",$A178,"Viaggio",$A$170))
-IF(ISERROR(GETPIVOTDATA("Somma di AVERE",'Pivot Amex'!$A$3,"Mese",6,"Tipologia",$A178,"Viaggio",$A$170)),0,GETPIVOTDATA("Somma di AVERE",'Pivot Amex'!$A$3,"Mese",6,"Tipologia",$A178,"Viaggio",$A$170))
-IF(ISERROR(GETPIVOTDATA("Somma di AVERE",'Pivot BBVA'!$A$3,"Mese",6,"Tipologia",$A178,"Viaggio",$A$170)),0,GETPIVOTDATA("Somma di AVERE",'Pivot BBVA'!$A$3,"Mese",6,"Tipologia",$A178,"Viaggio",$A$170))
-IF(ISERROR(GETPIVOTDATA("Somma di AVERE",'Pivot Fineco St'!$A$3,"Mese",6,"Tipologia",$A178,"Viaggio",$A$170)),0,GETPIVOTDATA("Somma di AVERE",'Pivot Fineco St'!$A$3,"Mese",6,"Tipologia",$A178,"Viaggio",$A$170))
-IF(ISERROR(GETPIVOTDATA("Somma di AVERE",'Pivot Fineco Sa'!$A$3,"Mese",6,"Tipologia",$A178,"Viaggio",$A$170)),0,GETPIVOTDATA("Somma di AVERE",'Pivot Fineco Sa'!$A$3,"Mese",6,"Tipologia",$A178,"Viaggio",$A$170))
+IF(ISERROR(GETPIVOTDATA("Somma di DARE",'Pivot PP Visa'!$A$3,"Mese",6,"Tipologia",$A178,"Viaggio",$A$170)),0,GETPIVOTDATA("Somma di DARE",'Pivot PP Visa'!$A$3,"Mese",6,"Tipologia",$A178,"Viaggio",$A$170))
-IF(ISERROR(GETPIVOTDATA("Somma di AVERE",'Pivot PP Visa'!$A$3,"Mese",6,"Tipologia",$A178,"Viaggio",$A$170)),0,GETPIVOTDATA("Somma di AVERE",'Pivot PP Visa'!$A$3,"Mese",6,"Tipologia",$A178,"Viaggio",$A$170))
+IF(ISERROR(GETPIVOTDATA("Somma di DARE",'Pivot Revolut'!$A$3,"Mese",6,"Tipologia",$A178,"Viaggio",$A$170)),0,GETPIVOTDATA("Somma di DARE",'Pivot Revolut'!$A$3,"Mese",6,"Tipologia",$A178,"Viaggio",$A$170))
-IF(ISERROR(GETPIVOTDATA("Somma di AVERE",'Pivot Revolut'!$A$3,"Mese",6,"Tipologia",$A178,"Viaggio",$A$170)),0,GETPIVOTDATA("Somma di AVERE",'Pivot Revolut'!$A$3,"Mese",6,"Tipologia",$A178,"Viaggio",$A$170))
+IF(ISERROR(GETPIVOTDATA("Somma di DARE",'Pivot RakBank EUR'!$A$3,"Mese",6,"Tipologia",$A178,"Viaggio",$A$170)),0,GETPIVOTDATA("Somma di DARE",'Pivot RakBank EUR'!$A$3,"Mese",6,"Tipologia",$A178,"Viaggio",$A$170))
-IF(ISERROR(GETPIVOTDATA("Somma di AVERE",'Pivot RakBank EUR'!$A$3,"Mese",6,"Tipologia",$A178,"Viaggio",$A$170)),0,GETPIVOTDATA("Somma di AVERE",'Pivot RakBank EUR'!$A$3,"Mese",6,"Tipologia",$A178,"Viaggio",$A$170))
+IF(ISERROR(GETPIVOTDATA("Somma di DARE EUR",'Pivot RakBank AED'!$A$3,"Mese",6,"Tipologia",$A178,"Viaggio",$A$170)),0,GETPIVOTDATA("Somma di DARE EUR",'Pivot RakBank AED'!$A$3,"Mese",6,"Tipologia",$A178,"Viaggio",$A$170))
-IF(ISERROR(GETPIVOTDATA("Somma di AVERE EUR",'Pivot RakBank AED'!$A$3,"Mese",6,"Tipologia",$A178,"Viaggio",$A$170)),0,GETPIVOTDATA("Somma di AVERE EUR",'Pivot RakBank AED'!$A$3,"Mese",6,"Tipologia",$A178,"Viaggio",$A$170))</f>
        <v>0</v>
      </c>
      <c r="I178" s="270">
        <f>IF(ISERROR(GETPIVOTDATA("Somma di DARE",'Pivot Fineco Sa'!$A$3,"Mese",7,"Tipologia",$A178,"Viaggio",$A$170)),0,GETPIVOTDATA("Somma di DARE",'Pivot Fineco Sa'!$A$3,"Mese",7,"Tipologia",$A178,"Viaggio",$A$170))
+IF(ISERROR(GETPIVOTDATA("Somma di DARE",'Pivot Fineco St'!$A$3,"Mese",7,"Tipologia",$A178,"Viaggio",$A$170)),0,GETPIVOTDATA("Somma di DARE",'Pivot Fineco St'!$A$3,"Mese",7,"Tipologia",$A178,"Viaggio",$A$170))
+IF(Contanti!$AC46='Conto Economico'!$A$170,Contanti!$Z46)
+IF(ISERROR(GETPIVOTDATA("Somma di DARE",'Pivot BBVA'!$A$3,"Mese",7,"Tipologia",$A178,"Viaggio",$A$170)),0,GETPIVOTDATA("Somma di DARE",'Pivot BBVA'!$A$3,"Mese",7,"Tipologia",$A178,"Viaggio",$A$170))
+IF(ISERROR(GETPIVOTDATA("Somma di DARE",'Pivot Amex'!$A$3,"Mese",7,"Tipologia",$A178,"Viaggio",$A$170)),0,GETPIVOTDATA("Somma di DARE",'Pivot Amex'!$A$3,"Mese",7,"Tipologia",$A178,"Viaggio",$A$170))
-IF(ISERROR(GETPIVOTDATA("Somma di AVERE",'Pivot Amex'!$A$3,"Mese",7,"Tipologia",$A178,"Viaggio",$A$170)),0,GETPIVOTDATA("Somma di AVERE",'Pivot Amex'!$A$3,"Mese",7,"Tipologia",$A178,"Viaggio",$A$170))
-IF(ISERROR(GETPIVOTDATA("Somma di AVERE",'Pivot BBVA'!$A$3,"Mese",7,"Tipologia",$A178,"Viaggio",$A$170)),0,GETPIVOTDATA("Somma di AVERE",'Pivot BBVA'!$A$3,"Mese",7,"Tipologia",$A178,"Viaggio",$A$170))
-IF(ISERROR(GETPIVOTDATA("Somma di AVERE",'Pivot Fineco St'!$A$3,"Mese",7,"Tipologia",$A178,"Viaggio",$A$170)),0,GETPIVOTDATA("Somma di AVERE",'Pivot Fineco St'!$A$3,"Mese",7,"Tipologia",$A178,"Viaggio",$A$170))
-IF(ISERROR(GETPIVOTDATA("Somma di AVERE",'Pivot Fineco Sa'!$A$3,"Mese",7,"Tipologia",$A178,"Viaggio",$A$170)),0,GETPIVOTDATA("Somma di AVERE",'Pivot Fineco Sa'!$A$3,"Mese",7,"Tipologia",$A178,"Viaggio",$A$170))
+IF(ISERROR(GETPIVOTDATA("Somma di DARE",'Pivot PP Visa'!$A$3,"Mese",7,"Tipologia",$A178,"Viaggio",$A$170)),0,GETPIVOTDATA("Somma di DARE",'Pivot PP Visa'!$A$3,"Mese",7,"Tipologia",$A178,"Viaggio",$A$170))
-IF(ISERROR(GETPIVOTDATA("Somma di AVERE",'Pivot PP Visa'!$A$3,"Mese",7,"Tipologia",$A178,"Viaggio",$A$170)),0,GETPIVOTDATA("Somma di AVERE",'Pivot PP Visa'!$A$3,"Mese",7,"Tipologia",$A178,"Viaggio",$A$170))
+IF(ISERROR(GETPIVOTDATA("Somma di DARE",'Pivot Revolut'!$A$3,"Mese",7,"Tipologia",$A178,"Viaggio",$A$170)),0,GETPIVOTDATA("Somma di DARE",'Pivot Revolut'!$A$3,"Mese",7,"Tipologia",$A178,"Viaggio",$A$170))
-IF(ISERROR(GETPIVOTDATA("Somma di AVERE",'Pivot Revolut'!$A$3,"Mese",7,"Tipologia",$A178,"Viaggio",$A$170)),0,GETPIVOTDATA("Somma di AVERE",'Pivot Revolut'!$A$3,"Mese",7,"Tipologia",$A178,"Viaggio",$A$170))
+IF(ISERROR(GETPIVOTDATA("Somma di DARE",'Pivot RakBank EUR'!$A$3,"Mese",7,"Tipologia",$A178,"Viaggio",$A$170)),0,GETPIVOTDATA("Somma di DARE",'Pivot RakBank EUR'!$A$3,"Mese",7,"Tipologia",$A178,"Viaggio",$A$170))
-IF(ISERROR(GETPIVOTDATA("Somma di AVERE",'Pivot RakBank EUR'!$A$3,"Mese",7,"Tipologia",$A178,"Viaggio",$A$170)),0,GETPIVOTDATA("Somma di AVERE",'Pivot RakBank EUR'!$A$3,"Mese",7,"Tipologia",$A178,"Viaggio",$A$170))
+IF(ISERROR(GETPIVOTDATA("Somma di DARE EUR",'Pivot RakBank AED'!$A$3,"Mese",7,"Tipologia",$A178,"Viaggio",$A$170)),0,GETPIVOTDATA("Somma di DARE EUR",'Pivot RakBank AED'!$A$3,"Mese",7,"Tipologia",$A178,"Viaggio",$A$170))
-IF(ISERROR(GETPIVOTDATA("Somma di AVERE EUR",'Pivot RakBank AED'!$A$3,"Mese",7,"Tipologia",$A178,"Viaggio",$A$170)),0,GETPIVOTDATA("Somma di AVERE EUR",'Pivot RakBank AED'!$A$3,"Mese",7,"Tipologia",$A178,"Viaggio",$A$170))</f>
        <v>0</v>
      </c>
      <c r="J178" s="270">
        <f>IF(ISERROR(GETPIVOTDATA("Somma di DARE",'Pivot Fineco Sa'!$A$3,"Mese",8,"Tipologia",$A178,"Viaggio",$A$170)),0,GETPIVOTDATA("Somma di DARE",'Pivot Fineco Sa'!$A$3,"Mese",8,"Tipologia",$A178,"Viaggio",$A$170))
+IF(ISERROR(GETPIVOTDATA("Somma di DARE",'Pivot Fineco St'!$A$3,"Mese",8,"Tipologia",$A178,"Viaggio",$A$170)),0,GETPIVOTDATA("Somma di DARE",'Pivot Fineco St'!$A$3,"Mese",8,"Tipologia",$A178,"Viaggio",$A$170))
+IF(Contanti!$AG46='Conto Economico'!$A$170,Contanti!$AD46)
+IF(ISERROR(GETPIVOTDATA("Somma di DARE",'Pivot BBVA'!$A$3,"Mese",8,"Tipologia",$A178,"Viaggio",$A$170)),0,GETPIVOTDATA("Somma di DARE",'Pivot BBVA'!$A$3,"Mese",8,"Tipologia",$A178,"Viaggio",$A$170))
+IF(ISERROR(GETPIVOTDATA("Somma di DARE",'Pivot Amex'!$A$3,"Mese",8,"Tipologia",$A178,"Viaggio",$A$170)),0,GETPIVOTDATA("Somma di DARE",'Pivot Amex'!$A$3,"Mese",8,"Tipologia",$A178,"Viaggio",$A$170))
-IF(ISERROR(GETPIVOTDATA("Somma di AVERE",'Pivot Amex'!$A$3,"Mese",8,"Tipologia",$A178,"Viaggio",$A$170)),0,GETPIVOTDATA("Somma di AVERE",'Pivot Amex'!$A$3,"Mese",8,"Tipologia",$A178,"Viaggio",$A$170))
-IF(ISERROR(GETPIVOTDATA("Somma di AVERE",'Pivot BBVA'!$A$3,"Mese",8,"Tipologia",$A178,"Viaggio",$A$170)),0,GETPIVOTDATA("Somma di AVERE",'Pivot BBVA'!$A$3,"Mese",8,"Tipologia",$A178,"Viaggio",$A$170))
-IF(ISERROR(GETPIVOTDATA("Somma di AVERE",'Pivot Fineco St'!$A$3,"Mese",8,"Tipologia",$A178,"Viaggio",$A$170)),0,GETPIVOTDATA("Somma di AVERE",'Pivot Fineco St'!$A$3,"Mese",8,"Tipologia",$A178,"Viaggio",$A$170))
-IF(ISERROR(GETPIVOTDATA("Somma di AVERE",'Pivot Fineco Sa'!$A$3,"Mese",8,"Tipologia",$A178,"Viaggio",$A$170)),0,GETPIVOTDATA("Somma di AVERE",'Pivot Fineco Sa'!$A$3,"Mese",8,"Tipologia",$A178,"Viaggio",$A$170))
+IF(ISERROR(GETPIVOTDATA("Somma di DARE",'Pivot PP Visa'!$A$3,"Mese",8,"Tipologia",$A178,"Viaggio",$A$170)),0,GETPIVOTDATA("Somma di DARE",'Pivot PP Visa'!$A$3,"Mese",8,"Tipologia",$A178,"Viaggio",$A$170))
-IF(ISERROR(GETPIVOTDATA("Somma di AVERE",'Pivot PP Visa'!$A$3,"Mese",8,"Tipologia",$A178,"Viaggio",$A$170)),0,GETPIVOTDATA("Somma di AVERE",'Pivot PP Visa'!$A$3,"Mese",8,"Tipologia",$A178,"Viaggio",$A$170))
+IF(ISERROR(GETPIVOTDATA("Somma di DARE",'Pivot Revolut'!$A$3,"Mese",8,"Tipologia",$A178,"Viaggio",$A$170)),0,GETPIVOTDATA("Somma di DARE",'Pivot Revolut'!$A$3,"Mese",8,"Tipologia",$A178,"Viaggio",$A$170))
-IF(ISERROR(GETPIVOTDATA("Somma di AVERE",'Pivot Revolut'!$A$3,"Mese",8,"Tipologia",$A178,"Viaggio",$A$170)),0,GETPIVOTDATA("Somma di AVERE",'Pivot Revolut'!$A$3,"Mese",8,"Tipologia",$A178,"Viaggio",$A$170))
+IF(ISERROR(GETPIVOTDATA("Somma di DARE",'Pivot RakBank EUR'!$A$3,"Mese",8,"Tipologia",$A178,"Viaggio",$A$170)),0,GETPIVOTDATA("Somma di DARE",'Pivot RakBank EUR'!$A$3,"Mese",8,"Tipologia",$A178,"Viaggio",$A$170))
-IF(ISERROR(GETPIVOTDATA("Somma di AVERE",'Pivot RakBank EUR'!$A$3,"Mese",8,"Tipologia",$A178,"Viaggio",$A$170)),0,GETPIVOTDATA("Somma di AVERE",'Pivot RakBank EUR'!$A$3,"Mese",8,"Tipologia",$A178,"Viaggio",$A$170))
+IF(ISERROR(GETPIVOTDATA("Somma di DARE EUR",'Pivot RakBank AED'!$A$3,"Mese",8,"Tipologia",$A178,"Viaggio",$A$170)),0,GETPIVOTDATA("Somma di DARE EUR",'Pivot RakBank AED'!$A$3,"Mese",8,"Tipologia",$A178,"Viaggio",$A$170))
-IF(ISERROR(GETPIVOTDATA("Somma di AVERE EUR",'Pivot RakBank AED'!$A$3,"Mese",8,"Tipologia",$A178,"Viaggio",$A$170)),0,GETPIVOTDATA("Somma di AVERE EUR",'Pivot RakBank AED'!$A$3,"Mese",8,"Tipologia",$A178,"Viaggio",$A$170))</f>
        <v>0</v>
      </c>
      <c r="K178" s="270">
        <f>IF(ISERROR(GETPIVOTDATA("Somma di DARE",'Pivot Fineco Sa'!$A$3,"Mese",9,"Tipologia",$A178,"Viaggio",$A$170)),0,GETPIVOTDATA("Somma di DARE",'Pivot Fineco Sa'!$A$3,"Mese",9,"Tipologia",$A178,"Viaggio",$A$170))
+IF(ISERROR(GETPIVOTDATA("Somma di DARE",'Pivot Fineco St'!$A$3,"Mese",9,"Tipologia",$A178,"Viaggio",$A$170)),0,GETPIVOTDATA("Somma di DARE",'Pivot Fineco St'!$A$3,"Mese",9,"Tipologia",$A178,"Viaggio",$A$170))
+IF(Contanti!$AK46='Conto Economico'!$A$170,Contanti!$AH46)
+IF(ISERROR(GETPIVOTDATA("Somma di DARE",'Pivot BBVA'!$A$3,"Mese",9,"Tipologia",$A178,"Viaggio",$A$170)),0,GETPIVOTDATA("Somma di DARE",'Pivot BBVA'!$A$3,"Mese",9,"Tipologia",$A178,"Viaggio",$A$170))
+IF(ISERROR(GETPIVOTDATA("Somma di DARE",'Pivot Amex'!$A$3,"Mese",9,"Tipologia",$A178,"Viaggio",$A$170)),0,GETPIVOTDATA("Somma di DARE",'Pivot Amex'!$A$3,"Mese",9,"Tipologia",$A178,"Viaggio",$A$170))
-IF(ISERROR(GETPIVOTDATA("Somma di AVERE",'Pivot Amex'!$A$3,"Mese",9,"Tipologia",$A178,"Viaggio",$A$170)),0,GETPIVOTDATA("Somma di AVERE",'Pivot Amex'!$A$3,"Mese",9,"Tipologia",$A178,"Viaggio",$A$170))
-IF(ISERROR(GETPIVOTDATA("Somma di AVERE",'Pivot BBVA'!$A$3,"Mese",9,"Tipologia",$A178,"Viaggio",$A$170)),0,GETPIVOTDATA("Somma di AVERE",'Pivot BBVA'!$A$3,"Mese",9,"Tipologia",$A178,"Viaggio",$A$170))
-IF(ISERROR(GETPIVOTDATA("Somma di AVERE",'Pivot Fineco St'!$A$3,"Mese",9,"Tipologia",$A178,"Viaggio",$A$170)),0,GETPIVOTDATA("Somma di AVERE",'Pivot Fineco St'!$A$3,"Mese",9,"Tipologia",$A178,"Viaggio",$A$170))
-IF(ISERROR(GETPIVOTDATA("Somma di AVERE",'Pivot Fineco Sa'!$A$3,"Mese",9,"Tipologia",$A178,"Viaggio",$A$170)),0,GETPIVOTDATA("Somma di AVERE",'Pivot Fineco Sa'!$A$3,"Mese",9,"Tipologia",$A178,"Viaggio",$A$170))
+IF(ISERROR(GETPIVOTDATA("Somma di DARE",'Pivot PP Visa'!$A$3,"Mese",9,"Tipologia",$A178,"Viaggio",$A$170)),0,GETPIVOTDATA("Somma di DARE",'Pivot PP Visa'!$A$3,"Mese",9,"Tipologia",$A178,"Viaggio",$A$170))
-IF(ISERROR(GETPIVOTDATA("Somma di AVERE",'Pivot PP Visa'!$A$3,"Mese",9,"Tipologia",$A178,"Viaggio",$A$170)),0,GETPIVOTDATA("Somma di AVERE",'Pivot PP Visa'!$A$3,"Mese",9,"Tipologia",$A178,"Viaggio",$A$170))
+IF(ISERROR(GETPIVOTDATA("Somma di DARE",'Pivot Revolut'!$A$3,"Mese",9,"Tipologia",$A178,"Viaggio",$A$170)),0,GETPIVOTDATA("Somma di DARE",'Pivot Revolut'!$A$3,"Mese",9,"Tipologia",$A178,"Viaggio",$A$170))
-IF(ISERROR(GETPIVOTDATA("Somma di AVERE",'Pivot Revolut'!$A$3,"Mese",9,"Tipologia",$A178,"Viaggio",$A$170)),0,GETPIVOTDATA("Somma di AVERE",'Pivot Revolut'!$A$3,"Mese",9,"Tipologia",$A178,"Viaggio",$A$170))
+IF(ISERROR(GETPIVOTDATA("Somma di DARE",'Pivot RakBank EUR'!$A$3,"Mese",9,"Tipologia",$A178,"Viaggio",$A$170)),0,GETPIVOTDATA("Somma di DARE",'Pivot RakBank EUR'!$A$3,"Mese",9,"Tipologia",$A178,"Viaggio",$A$170))
-IF(ISERROR(GETPIVOTDATA("Somma di AVERE",'Pivot RakBank EUR'!$A$3,"Mese",9,"Tipologia",$A178,"Viaggio",$A$170)),0,GETPIVOTDATA("Somma di AVERE",'Pivot RakBank EUR'!$A$3,"Mese",9,"Tipologia",$A178,"Viaggio",$A$170))
+IF(ISERROR(GETPIVOTDATA("Somma di DARE EUR",'Pivot RakBank AED'!$A$3,"Mese",9,"Tipologia",$A178,"Viaggio",$A$170)),0,GETPIVOTDATA("Somma di DARE EUR",'Pivot RakBank AED'!$A$3,"Mese",9,"Tipologia",$A178,"Viaggio",$A$170))
-IF(ISERROR(GETPIVOTDATA("Somma di AVERE EUR",'Pivot RakBank AED'!$A$3,"Mese",9,"Tipologia",$A178,"Viaggio",$A$170)),0,GETPIVOTDATA("Somma di AVERE EUR",'Pivot RakBank AED'!$A$3,"Mese",9,"Tipologia",$A178,"Viaggio",$A$170))</f>
        <v>0</v>
      </c>
      <c r="L178" s="270">
        <f>IF(ISERROR(GETPIVOTDATA("Somma di DARE",'Pivot Fineco Sa'!$A$3,"Mese",10,"Tipologia",$A178,"Viaggio",$A$170)),0,GETPIVOTDATA("Somma di DARE",'Pivot Fineco Sa'!$A$3,"Mese",10,"Tipologia",$A178,"Viaggio",$A$170))
+IF(ISERROR(GETPIVOTDATA("Somma di DARE",'Pivot Fineco St'!$A$3,"Mese",10,"Tipologia",$A178,"Viaggio",$A$170)),0,GETPIVOTDATA("Somma di DARE",'Pivot Fineco St'!$A$3,"Mese",10,"Tipologia",$A178,"Viaggio",$A$170))
+IF(Contanti!$AO46='Conto Economico'!$A$170,Contanti!$AL46)
+IF(ISERROR(GETPIVOTDATA("Somma di DARE",'Pivot BBVA'!$A$3,"Mese",10,"Tipologia",$A178,"Viaggio",$A$170)),0,GETPIVOTDATA("Somma di DARE",'Pivot BBVA'!$A$3,"Mese",10,"Tipologia",$A178,"Viaggio",$A$170))
+IF(ISERROR(GETPIVOTDATA("Somma di DARE",'Pivot Amex'!$A$3,"Mese",10,"Tipologia",$A178,"Viaggio",$A$170)),0,GETPIVOTDATA("Somma di DARE",'Pivot Amex'!$A$3,"Mese",10,"Tipologia",$A178,"Viaggio",$A$170))
-IF(ISERROR(GETPIVOTDATA("Somma di AVERE",'Pivot Amex'!$A$3,"Mese",10,"Tipologia",$A178,"Viaggio",$A$170)),0,GETPIVOTDATA("Somma di AVERE",'Pivot Amex'!$A$3,"Mese",10,"Tipologia",$A178,"Viaggio",$A$170))
-IF(ISERROR(GETPIVOTDATA("Somma di AVERE",'Pivot BBVA'!$A$3,"Mese",10,"Tipologia",$A178,"Viaggio",$A$170)),0,GETPIVOTDATA("Somma di AVERE",'Pivot BBVA'!$A$3,"Mese",10,"Tipologia",$A178,"Viaggio",$A$170))
-IF(ISERROR(GETPIVOTDATA("Somma di AVERE",'Pivot Fineco St'!$A$3,"Mese",10,"Tipologia",$A178,"Viaggio",$A$170)),0,GETPIVOTDATA("Somma di AVERE",'Pivot Fineco St'!$A$3,"Mese",10,"Tipologia",$A178,"Viaggio",$A$170))
-IF(ISERROR(GETPIVOTDATA("Somma di AVERE",'Pivot Fineco Sa'!$A$3,"Mese",10,"Tipologia",$A178,"Viaggio",$A$170)),0,GETPIVOTDATA("Somma di AVERE",'Pivot Fineco Sa'!$A$3,"Mese",10,"Tipologia",$A178,"Viaggio",$A$170))
+IF(ISERROR(GETPIVOTDATA("Somma di DARE",'Pivot PP Visa'!$A$3,"Mese",10,"Tipologia",$A178,"Viaggio",$A$170)),0,GETPIVOTDATA("Somma di DARE",'Pivot PP Visa'!$A$3,"Mese",10,"Tipologia",$A178,"Viaggio",$A$170))
-IF(ISERROR(GETPIVOTDATA("Somma di AVERE",'Pivot PP Visa'!$A$3,"Mese",10,"Tipologia",$A178,"Viaggio",$A$170)),0,GETPIVOTDATA("Somma di AVERE",'Pivot PP Visa'!$A$3,"Mese",10,"Tipologia",$A178,"Viaggio",$A$170))
+IF(ISERROR(GETPIVOTDATA("Somma di DARE",'Pivot Revolut'!$A$3,"Mese",10,"Tipologia",$A178,"Viaggio",$A$170)),0,GETPIVOTDATA("Somma di DARE",'Pivot Revolut'!$A$3,"Mese",10,"Tipologia",$A178,"Viaggio",$A$170))
-IF(ISERROR(GETPIVOTDATA("Somma di AVERE",'Pivot Revolut'!$A$3,"Mese",10,"Tipologia",$A178,"Viaggio",$A$170)),0,GETPIVOTDATA("Somma di AVERE",'Pivot Revolut'!$A$3,"Mese",10,"Tipologia",$A178,"Viaggio",$A$170))
+IF(ISERROR(GETPIVOTDATA("Somma di DARE",'Pivot RakBank EUR'!$A$3,"Mese",10,"Tipologia",$A178,"Viaggio",$A$170)),0,GETPIVOTDATA("Somma di DARE",'Pivot RakBank EUR'!$A$3,"Mese",10,"Tipologia",$A178,"Viaggio",$A$170))
-IF(ISERROR(GETPIVOTDATA("Somma di AVERE",'Pivot RakBank EUR'!$A$3,"Mese",10,"Tipologia",$A178,"Viaggio",$A$170)),0,GETPIVOTDATA("Somma di AVERE",'Pivot RakBank EUR'!$A$3,"Mese",10,"Tipologia",$A178,"Viaggio",$A$170))
+IF(ISERROR(GETPIVOTDATA("Somma di DARE EUR",'Pivot RakBank AED'!$A$3,"Mese",10,"Tipologia",$A178,"Viaggio",$A$170)),0,GETPIVOTDATA("Somma di DARE EUR",'Pivot RakBank AED'!$A$3,"Mese",10,"Tipologia",$A178,"Viaggio",$A$170))
-IF(ISERROR(GETPIVOTDATA("Somma di AVERE EUR",'Pivot RakBank AED'!$A$3,"Mese",10,"Tipologia",$A178,"Viaggio",$A$170)),0,GETPIVOTDATA("Somma di AVERE EUR",'Pivot RakBank AED'!$A$3,"Mese",10,"Tipologia",$A178,"Viaggio",$A$170))</f>
        <v>0</v>
      </c>
      <c r="M178" s="270">
        <f>IF(ISERROR(GETPIVOTDATA("Somma di DARE",'Pivot Fineco Sa'!$A$3,"Mese",11,"Tipologia",$A178,"Viaggio",$A$170)),0,GETPIVOTDATA("Somma di DARE",'Pivot Fineco Sa'!$A$3,"Mese",11,"Tipologia",$A178,"Viaggio",$A$170))
+IF(ISERROR(GETPIVOTDATA("Somma di DARE",'Pivot Fineco St'!$A$3,"Mese",11,"Tipologia",$A178,"Viaggio",$A$170)),0,GETPIVOTDATA("Somma di DARE",'Pivot Fineco St'!$A$3,"Mese",11,"Tipologia",$A178,"Viaggio",$A$170))
+IF(Contanti!$AS46='Conto Economico'!$A$170,Contanti!$AP46)
+IF(ISERROR(GETPIVOTDATA("Somma di DARE",'Pivot BBVA'!$A$3,"Mese",11,"Tipologia",$A178,"Viaggio",$A$170)),0,GETPIVOTDATA("Somma di DARE",'Pivot BBVA'!$A$3,"Mese",11,"Tipologia",$A178,"Viaggio",$A$170))
+IF(ISERROR(GETPIVOTDATA("Somma di DARE",'Pivot Amex'!$A$3,"Mese",11,"Tipologia",$A178,"Viaggio",$A$170)),0,GETPIVOTDATA("Somma di DARE",'Pivot Amex'!$A$3,"Mese",11,"Tipologia",$A178,"Viaggio",$A$170))
-IF(ISERROR(GETPIVOTDATA("Somma di AVERE",'Pivot Amex'!$A$3,"Mese",11,"Tipologia",$A178,"Viaggio",$A$170)),0,GETPIVOTDATA("Somma di AVERE",'Pivot Amex'!$A$3,"Mese",11,"Tipologia",$A178,"Viaggio",$A$170))
-IF(ISERROR(GETPIVOTDATA("Somma di AVERE",'Pivot BBVA'!$A$3,"Mese",11,"Tipologia",$A178,"Viaggio",$A$170)),0,GETPIVOTDATA("Somma di AVERE",'Pivot BBVA'!$A$3,"Mese",11,"Tipologia",$A178,"Viaggio",$A$170))
-IF(ISERROR(GETPIVOTDATA("Somma di AVERE",'Pivot Fineco St'!$A$3,"Mese",11,"Tipologia",$A178,"Viaggio",$A$170)),0,GETPIVOTDATA("Somma di AVERE",'Pivot Fineco St'!$A$3,"Mese",11,"Tipologia",$A178,"Viaggio",$A$170))
-IF(ISERROR(GETPIVOTDATA("Somma di AVERE",'Pivot Fineco Sa'!$A$3,"Mese",11,"Tipologia",$A178,"Viaggio",$A$170)),0,GETPIVOTDATA("Somma di AVERE",'Pivot Fineco Sa'!$A$3,"Mese",11,"Tipologia",$A178,"Viaggio",$A$170))
+IF(ISERROR(GETPIVOTDATA("Somma di DARE",'Pivot PP Visa'!$A$3,"Mese",11,"Tipologia",$A178,"Viaggio",$A$170)),0,GETPIVOTDATA("Somma di DARE",'Pivot PP Visa'!$A$3,"Mese",11,"Tipologia",$A178,"Viaggio",$A$170))
-IF(ISERROR(GETPIVOTDATA("Somma di AVERE",'Pivot PP Visa'!$A$3,"Mese",11,"Tipologia",$A178,"Viaggio",$A$170)),0,GETPIVOTDATA("Somma di AVERE",'Pivot PP Visa'!$A$3,"Mese",11,"Tipologia",$A178,"Viaggio",$A$170))
+IF(ISERROR(GETPIVOTDATA("Somma di DARE",'Pivot Revolut'!$A$3,"Mese",11,"Tipologia",$A178,"Viaggio",$A$170)),0,GETPIVOTDATA("Somma di DARE",'Pivot Revolut'!$A$3,"Mese",11,"Tipologia",$A178,"Viaggio",$A$170))
-IF(ISERROR(GETPIVOTDATA("Somma di AVERE",'Pivot Revolut'!$A$3,"Mese",11,"Tipologia",$A178,"Viaggio",$A$170)),0,GETPIVOTDATA("Somma di AVERE",'Pivot Revolut'!$A$3,"Mese",11,"Tipologia",$A178,"Viaggio",$A$170))
+IF(ISERROR(GETPIVOTDATA("Somma di DARE",'Pivot RakBank EUR'!$A$3,"Mese",11,"Tipologia",$A178,"Viaggio",$A$170)),0,GETPIVOTDATA("Somma di DARE",'Pivot RakBank EUR'!$A$3,"Mese",11,"Tipologia",$A178,"Viaggio",$A$170))
-IF(ISERROR(GETPIVOTDATA("Somma di AVERE",'Pivot RakBank EUR'!$A$3,"Mese",11,"Tipologia",$A178,"Viaggio",$A$170)),0,GETPIVOTDATA("Somma di AVERE",'Pivot RakBank EUR'!$A$3,"Mese",11,"Tipologia",$A178,"Viaggio",$A$170))
+IF(ISERROR(GETPIVOTDATA("Somma di DARE EUR",'Pivot RakBank AED'!$A$3,"Mese",11,"Tipologia",$A178,"Viaggio",$A$170)),0,GETPIVOTDATA("Somma di DARE EUR",'Pivot RakBank AED'!$A$3,"Mese",11,"Tipologia",$A178,"Viaggio",$A$170))
-IF(ISERROR(GETPIVOTDATA("Somma di AVERE EUR",'Pivot RakBank AED'!$A$3,"Mese",11,"Tipologia",$A178,"Viaggio",$A$170)),0,GETPIVOTDATA("Somma di AVERE EUR",'Pivot RakBank AED'!$A$3,"Mese",11,"Tipologia",$A178,"Viaggio",$A$170))</f>
        <v>0</v>
      </c>
      <c r="N178" s="270">
        <f>IF(ISERROR(GETPIVOTDATA("Somma di DARE",'Pivot Fineco Sa'!$A$3,"Mese",12,"Tipologia",$A178,"Viaggio",$A$170)),0,GETPIVOTDATA("Somma di DARE",'Pivot Fineco Sa'!$A$3,"Mese",12,"Tipologia",$A178,"Viaggio",$A$170))
+IF(ISERROR(GETPIVOTDATA("Somma di DARE",'Pivot Fineco St'!$A$3,"Mese",12,"Tipologia",$A178,"Viaggio",$A$170)),0,GETPIVOTDATA("Somma di DARE",'Pivot Fineco St'!$A$3,"Mese",12,"Tipologia",$A178,"Viaggio",$A$170))
+IF(Contanti!$AW46='Conto Economico'!$A$170,Contanti!$AT46)
+IF(ISERROR(GETPIVOTDATA("Somma di DARE",'Pivot BBVA'!$A$3,"Mese",12,"Tipologia",$A178,"Viaggio",$A$170)),0,GETPIVOTDATA("Somma di DARE",'Pivot BBVA'!$A$3,"Mese",12,"Tipologia",$A178,"Viaggio",$A$170))
+IF(ISERROR(GETPIVOTDATA("Somma di DARE",'Pivot Amex'!$A$3,"Mese",12,"Tipologia",$A178,"Viaggio",$A$170)),0,GETPIVOTDATA("Somma di DARE",'Pivot Amex'!$A$3,"Mese",12,"Tipologia",$A178,"Viaggio",$A$170))
-IF(ISERROR(GETPIVOTDATA("Somma di AVERE",'Pivot Amex'!$A$3,"Mese",12,"Tipologia",$A178,"Viaggio",$A$170)),0,GETPIVOTDATA("Somma di AVERE",'Pivot Amex'!$A$3,"Mese",12,"Tipologia",$A178,"Viaggio",$A$170))
-IF(ISERROR(GETPIVOTDATA("Somma di AVERE",'Pivot BBVA'!$A$3,"Mese",12,"Tipologia",$A178,"Viaggio",$A$170)),0,GETPIVOTDATA("Somma di AVERE",'Pivot BBVA'!$A$3,"Mese",12,"Tipologia",$A178,"Viaggio",$A$170))
-IF(ISERROR(GETPIVOTDATA("Somma di AVERE",'Pivot Fineco St'!$A$3,"Mese",12,"Tipologia",$A178,"Viaggio",$A$170)),0,GETPIVOTDATA("Somma di AVERE",'Pivot Fineco St'!$A$3,"Mese",12,"Tipologia",$A178,"Viaggio",$A$170))
-IF(ISERROR(GETPIVOTDATA("Somma di AVERE",'Pivot Fineco Sa'!$A$3,"Mese",12,"Tipologia",$A178,"Viaggio",$A$170)),0,GETPIVOTDATA("Somma di AVERE",'Pivot Fineco Sa'!$A$3,"Mese",12,"Tipologia",$A178,"Viaggio",$A$170))
+IF(ISERROR(GETPIVOTDATA("Somma di DARE",'Pivot PP Visa'!$A$3,"Mese",12,"Tipologia",$A178,"Viaggio",$A$170)),0,GETPIVOTDATA("Somma di DARE",'Pivot PP Visa'!$A$3,"Mese",12,"Tipologia",$A178,"Viaggio",$A$170))
-IF(ISERROR(GETPIVOTDATA("Somma di AVERE",'Pivot PP Visa'!$A$3,"Mese",12,"Tipologia",$A178,"Viaggio",$A$170)),0,GETPIVOTDATA("Somma di AVERE",'Pivot PP Visa'!$A$3,"Mese",12,"Tipologia",$A178,"Viaggio",$A$170))
+IF(ISERROR(GETPIVOTDATA("Somma di DARE",'Pivot Revolut'!$A$3,"Mese",12,"Tipologia",$A178,"Viaggio",$A$170)),0,GETPIVOTDATA("Somma di DARE",'Pivot Revolut'!$A$3,"Mese",12,"Tipologia",$A178,"Viaggio",$A$170))
-IF(ISERROR(GETPIVOTDATA("Somma di AVERE",'Pivot Revolut'!$A$3,"Mese",12,"Tipologia",$A178,"Viaggio",$A$170)),0,GETPIVOTDATA("Somma di AVERE",'Pivot Revolut'!$A$3,"Mese",12,"Tipologia",$A178,"Viaggio",$A$170))
+IF(ISERROR(GETPIVOTDATA("Somma di DARE",'Pivot RakBank EUR'!$A$3,"Mese",12,"Tipologia",$A178,"Viaggio",$A$170)),0,GETPIVOTDATA("Somma di DARE",'Pivot RakBank EUR'!$A$3,"Mese",12,"Tipologia",$A178,"Viaggio",$A$170))
-IF(ISERROR(GETPIVOTDATA("Somma di AVERE",'Pivot RakBank EUR'!$A$3,"Mese",12,"Tipologia",$A178,"Viaggio",$A$170)),0,GETPIVOTDATA("Somma di AVERE",'Pivot RakBank EUR'!$A$3,"Mese",12,"Tipologia",$A178,"Viaggio",$A$170))
+IF(ISERROR(GETPIVOTDATA("Somma di DARE EUR",'Pivot RakBank AED'!$A$3,"Mese",12,"Tipologia",$A178,"Viaggio",$A$170)),0,GETPIVOTDATA("Somma di DARE EUR",'Pivot RakBank AED'!$A$3,"Mese",12,"Tipologia",$A178,"Viaggio",$A$170))
-IF(ISERROR(GETPIVOTDATA("Somma di AVERE EUR",'Pivot RakBank AED'!$A$3,"Mese",12,"Tipologia",$A178,"Viaggio",$A$170)),0,GETPIVOTDATA("Somma di AVERE EUR",'Pivot RakBank AED'!$A$3,"Mese",12,"Tipologia",$A178,"Viaggio",$A$170))</f>
        <v>0</v>
      </c>
      <c r="O178" s="271">
        <f t="shared" si="23"/>
        <v>0</v>
      </c>
      <c r="P178" s="270"/>
    </row>
    <row r="179" spans="1:16" s="131" customFormat="1" ht="14" outlineLevel="1" x14ac:dyDescent="0.2">
      <c r="A179" s="269" t="s">
        <v>101</v>
      </c>
      <c r="B179" s="269"/>
      <c r="C179" s="270">
        <f>IF(ISERROR(GETPIVOTDATA("Somma di DARE",'Pivot Fineco Sa'!$A$3,"Mese",1,"Tipologia",$A179,"Viaggio",$A$170)),0,GETPIVOTDATA("Somma di DARE",'Pivot Fineco Sa'!$A$3,"Mese",1,"Tipologia",$A179,"Viaggio",$A$170))
+IF(ISERROR(GETPIVOTDATA("Somma di DARE",'Pivot Fineco St'!$A$3,"Mese",1,"Tipologia",$A179,"Viaggio",$A$170)),0,GETPIVOTDATA("Somma di DARE",'Pivot Fineco St'!$A$3,"Mese",1,"Tipologia",$A179,"Viaggio",$A$170))
+IF(Contanti!$E47='Conto Economico'!$A$170,Contanti!$B47)
+IF(ISERROR(GETPIVOTDATA("Somma di DARE",'Pivot BBVA'!$A$3,"Mese",1,"Tipologia",$A179,"Viaggio",$A$170)),0,GETPIVOTDATA("Somma di DARE",'Pivot BBVA'!$A$3,"Mese",1,"Tipologia",$A179,"Viaggio",$A$170))
+IF(ISERROR(GETPIVOTDATA("Somma di DARE",'Pivot Amex'!$A$3,"Mese",1,"Tipologia",$A179,"Viaggio",$A$170)),0,GETPIVOTDATA("Somma di DARE",'Pivot Amex'!$A$3,"Mese",1,"Tipologia",$A179,"Viaggio",$A$170))
-IF(ISERROR(GETPIVOTDATA("Somma di AVERE",'Pivot Amex'!$A$3,"Mese",1,"Tipologia",$A179,"Viaggio",$A$170)),0,GETPIVOTDATA("Somma di AVERE",'Pivot Amex'!$A$3,"Mese",1,"Tipologia",$A179,"Viaggio",$A$170))
-IF(ISERROR(GETPIVOTDATA("Somma di AVERE",'Pivot BBVA'!$A$3,"Mese",1,"Tipologia",$A179,"Viaggio",$A$170)),0,GETPIVOTDATA("Somma di AVERE",'Pivot BBVA'!$A$3,"Mese",1,"Tipologia",$A179,"Viaggio",$A$170))
-IF(ISERROR(GETPIVOTDATA("Somma di AVERE",'Pivot Fineco St'!$A$3,"Mese",1,"Tipologia",$A179,"Viaggio",$A$170)),0,GETPIVOTDATA("Somma di AVERE",'Pivot Fineco St'!$A$3,"Mese",1,"Tipologia",$A179,"Viaggio",$A$170))
-IF(ISERROR(GETPIVOTDATA("Somma di AVERE",'Pivot Fineco Sa'!$A$3,"Mese",1,"Tipologia",$A179,"Viaggio",$A$170)),0,GETPIVOTDATA("Somma di AVERE",'Pivot Fineco Sa'!$A$3,"Mese",1,"Tipologia",$A179,"Viaggio",$A$170))
+IF(ISERROR(GETPIVOTDATA("Somma di DARE",'Pivot PP Visa'!$A$3,"Mese",1,"Tipologia",$A179,"Viaggio",$A$170)),0,GETPIVOTDATA("Somma di DARE",'Pivot PP Visa'!$A$3,"Mese",1,"Tipologia",$A179,"Viaggio",$A$170))
-IF(ISERROR(GETPIVOTDATA("Somma di AVERE",'Pivot PP Visa'!$A$3,"Mese",1,"Tipologia",$A179,"Viaggio",$A$170)),0,GETPIVOTDATA("Somma di AVERE",'Pivot PP Visa'!$A$3,"Mese",1,"Tipologia",$A179,"Viaggio",$A$170))
+IF(ISERROR(GETPIVOTDATA("Somma di DARE",'Pivot Revolut'!$A$3,"Mese",1,"Tipologia",$A179,"Viaggio",$A$170)),0,GETPIVOTDATA("Somma di DARE",'Pivot Revolut'!$A$3,"Mese",1,"Tipologia",$A179,"Viaggio",$A$170))
-IF(ISERROR(GETPIVOTDATA("Somma di AVERE",'Pivot Revolut'!$A$3,"Mese",1,"Tipologia",$A179,"Viaggio",$A$170)),0,GETPIVOTDATA("Somma di AVERE",'Pivot Revolut'!$A$3,"Mese",1,"Tipologia",$A179,"Viaggio",$A$170))
+IF(ISERROR(GETPIVOTDATA("Somma di DARE",'Pivot RakBank EUR'!$A$3,"Mese",1,"Tipologia",$A179,"Viaggio",$A$170)),0,GETPIVOTDATA("Somma di DARE",'Pivot RakBank EUR'!$A$3,"Mese",1,"Tipologia",$A179,"Viaggio",$A$170))
-IF(ISERROR(GETPIVOTDATA("Somma di AVERE",'Pivot RakBank EUR'!$A$3,"Mese",1,"Tipologia",$A179,"Viaggio",$A$170)),0,GETPIVOTDATA("Somma di AVERE",'Pivot RakBank EUR'!$A$3,"Mese",1,"Tipologia",$A179,"Viaggio",$A$170))
+IF(ISERROR(GETPIVOTDATA("Somma di DARE EUR",'Pivot RakBank AED'!$A$3,"Mese",1,"Tipologia",$A179,"Viaggio",$A$170)),0,GETPIVOTDATA("Somma di DARE EUR",'Pivot RakBank AED'!$A$3,"Mese",1,"Tipologia",$A179,"Viaggio",$A$170))
-IF(ISERROR(GETPIVOTDATA("Somma di AVERE EUR",'Pivot RakBank AED'!$A$3,"Mese",1,"Tipologia",$A179,"Viaggio",$A$170)),0,GETPIVOTDATA("Somma di AVERE EUR",'Pivot RakBank AED'!$A$3,"Mese",1,"Tipologia",$A179,"Viaggio",$A$170))</f>
        <v>0</v>
      </c>
      <c r="D179" s="270">
        <f>IF(ISERROR(GETPIVOTDATA("Somma di DARE",'Pivot Fineco Sa'!$A$3,"Mese",2,"Tipologia",$A179,"Viaggio",$A$170)),0,GETPIVOTDATA("Somma di DARE",'Pivot Fineco Sa'!$A$3,"Mese",2,"Tipologia",$A179,"Viaggio",$A$170))
+IF(ISERROR(GETPIVOTDATA("Somma di DARE",'Pivot Fineco St'!$A$3,"Mese",2,"Tipologia",$A179,"Viaggio",$A$170)),0,GETPIVOTDATA("Somma di DARE",'Pivot Fineco St'!$A$3,"Mese",2,"Tipologia",$A179,"Viaggio",$A$170))
+IF(Contanti!$I47='Conto Economico'!$A$170,Contanti!$F47)
+IF(ISERROR(GETPIVOTDATA("Somma di DARE",'Pivot BBVA'!$A$3,"Mese",2,"Tipologia",$A179,"Viaggio",$A$170)),0,GETPIVOTDATA("Somma di DARE",'Pivot BBVA'!$A$3,"Mese",2,"Tipologia",$A179,"Viaggio",$A$170))
+IF(ISERROR(GETPIVOTDATA("Somma di DARE",'Pivot Amex'!$A$3,"Mese",2,"Tipologia",$A179,"Viaggio",$A$170)),0,GETPIVOTDATA("Somma di DARE",'Pivot Amex'!$A$3,"Mese",2,"Tipologia",$A179,"Viaggio",$A$170))
-IF(ISERROR(GETPIVOTDATA("Somma di AVERE",'Pivot Amex'!$A$3,"Mese",2,"Tipologia",$A179,"Viaggio",$A$170)),0,GETPIVOTDATA("Somma di AVERE",'Pivot Amex'!$A$3,"Mese",2,"Tipologia",$A179,"Viaggio",$A$170))
-IF(ISERROR(GETPIVOTDATA("Somma di AVERE",'Pivot BBVA'!$A$3,"Mese",2,"Tipologia",$A179,"Viaggio",$A$170)),0,GETPIVOTDATA("Somma di AVERE",'Pivot BBVA'!$A$3,"Mese",2,"Tipologia",$A179,"Viaggio",$A$170))
-IF(ISERROR(GETPIVOTDATA("Somma di AVERE",'Pivot Fineco St'!$A$3,"Mese",2,"Tipologia",$A179,"Viaggio",$A$170)),0,GETPIVOTDATA("Somma di AVERE",'Pivot Fineco St'!$A$3,"Mese",2,"Tipologia",$A179,"Viaggio",$A$170))
-IF(ISERROR(GETPIVOTDATA("Somma di AVERE",'Pivot Fineco Sa'!$A$3,"Mese",2,"Tipologia",$A179,"Viaggio",$A$170)),0,GETPIVOTDATA("Somma di AVERE",'Pivot Fineco Sa'!$A$3,"Mese",2,"Tipologia",$A179,"Viaggio",$A$170))
+IF(ISERROR(GETPIVOTDATA("Somma di DARE",'Pivot PP Visa'!$A$3,"Mese",2,"Tipologia",$A179,"Viaggio",$A$170)),0,GETPIVOTDATA("Somma di DARE",'Pivot PP Visa'!$A$3,"Mese",2,"Tipologia",$A179,"Viaggio",$A$170))
-IF(ISERROR(GETPIVOTDATA("Somma di AVERE",'Pivot PP Visa'!$A$3,"Mese",2,"Tipologia",$A179,"Viaggio",$A$170)),0,GETPIVOTDATA("Somma di AVERE",'Pivot PP Visa'!$A$3,"Mese",2,"Tipologia",$A179,"Viaggio",$A$170))
+IF(ISERROR(GETPIVOTDATA("Somma di DARE",'Pivot Revolut'!$A$3,"Mese",2,"Tipologia",$A179,"Viaggio",$A$170)),0,GETPIVOTDATA("Somma di DARE",'Pivot Revolut'!$A$3,"Mese",2,"Tipologia",$A179,"Viaggio",$A$170))
-IF(ISERROR(GETPIVOTDATA("Somma di AVERE",'Pivot Revolut'!$A$3,"Mese",2,"Tipologia",$A179,"Viaggio",$A$170)),0,GETPIVOTDATA("Somma di AVERE",'Pivot Revolut'!$A$3,"Mese",2,"Tipologia",$A179,"Viaggio",$A$170))
+IF(ISERROR(GETPIVOTDATA("Somma di DARE",'Pivot RakBank EUR'!$A$3,"Mese",2,"Tipologia",$A179,"Viaggio",$A$170)),0,GETPIVOTDATA("Somma di DARE",'Pivot RakBank EUR'!$A$3,"Mese",2,"Tipologia",$A179,"Viaggio",$A$170))
-IF(ISERROR(GETPIVOTDATA("Somma di AVERE",'Pivot RakBank EUR'!$A$3,"Mese",2,"Tipologia",$A179,"Viaggio",$A$170)),0,GETPIVOTDATA("Somma di AVERE",'Pivot RakBank EUR'!$A$3,"Mese",2,"Tipologia",$A179,"Viaggio",$A$170))
+IF(ISERROR(GETPIVOTDATA("Somma di DARE EUR",'Pivot RakBank AED'!$A$3,"Mese",2,"Tipologia",$A179,"Viaggio",$A$170)),0,GETPIVOTDATA("Somma di DARE EUR",'Pivot RakBank AED'!$A$3,"Mese",2,"Tipologia",$A179,"Viaggio",$A$170))
-IF(ISERROR(GETPIVOTDATA("Somma di AVERE EUR",'Pivot RakBank AED'!$A$3,"Mese",2,"Tipologia",$A179,"Viaggio",$A$170)),0,GETPIVOTDATA("Somma di AVERE EUR",'Pivot RakBank AED'!$A$3,"Mese",2,"Tipologia",$A179,"Viaggio",$A$170))</f>
        <v>0</v>
      </c>
      <c r="E179" s="270">
        <f>IF(ISERROR(GETPIVOTDATA("Somma di DARE",'Pivot Fineco Sa'!$A$3,"Mese",3,"Tipologia",$A179,"Viaggio",$A$170)),0,GETPIVOTDATA("Somma di DARE",'Pivot Fineco Sa'!$A$3,"Mese",3,"Tipologia",$A179,"Viaggio",$A$170))
+IF(ISERROR(GETPIVOTDATA("Somma di DARE",'Pivot Fineco St'!$A$3,"Mese",3,"Tipologia",$A179,"Viaggio",$A$170)),0,GETPIVOTDATA("Somma di DARE",'Pivot Fineco St'!$A$3,"Mese",3,"Tipologia",$A179,"Viaggio",$A$170))
+IF(Contanti!$M47='Conto Economico'!$A$170,Contanti!$J47)
+IF(ISERROR(GETPIVOTDATA("Somma di DARE",'Pivot BBVA'!$A$3,"Mese",3,"Tipologia",$A179,"Viaggio",$A$170)),0,GETPIVOTDATA("Somma di DARE",'Pivot BBVA'!$A$3,"Mese",3,"Tipologia",$A179,"Viaggio",$A$170))
+IF(ISERROR(GETPIVOTDATA("Somma di DARE",'Pivot Amex'!$A$3,"Mese",3,"Tipologia",$A179,"Viaggio",$A$170)),0,GETPIVOTDATA("Somma di DARE",'Pivot Amex'!$A$3,"Mese",3,"Tipologia",$A179,"Viaggio",$A$170))
-IF(ISERROR(GETPIVOTDATA("Somma di AVERE",'Pivot Amex'!$A$3,"Mese",3,"Tipologia",$A179,"Viaggio",$A$170)),0,GETPIVOTDATA("Somma di AVERE",'Pivot Amex'!$A$3,"Mese",3,"Tipologia",$A179,"Viaggio",$A$170))
-IF(ISERROR(GETPIVOTDATA("Somma di AVERE",'Pivot BBVA'!$A$3,"Mese",3,"Tipologia",$A179,"Viaggio",$A$170)),0,GETPIVOTDATA("Somma di AVERE",'Pivot BBVA'!$A$3,"Mese",3,"Tipologia",$A179,"Viaggio",$A$170))
-IF(ISERROR(GETPIVOTDATA("Somma di AVERE",'Pivot Fineco St'!$A$3,"Mese",3,"Tipologia",$A179,"Viaggio",$A$170)),0,GETPIVOTDATA("Somma di AVERE",'Pivot Fineco St'!$A$3,"Mese",3,"Tipologia",$A179,"Viaggio",$A$170))
-IF(ISERROR(GETPIVOTDATA("Somma di AVERE",'Pivot Fineco Sa'!$A$3,"Mese",3,"Tipologia",$A179,"Viaggio",$A$170)),0,GETPIVOTDATA("Somma di AVERE",'Pivot Fineco Sa'!$A$3,"Mese",3,"Tipologia",$A179,"Viaggio",$A$170))
+IF(ISERROR(GETPIVOTDATA("Somma di DARE",'Pivot PP Visa'!$A$3,"Mese",3,"Tipologia",$A179,"Viaggio",$A$170)),0,GETPIVOTDATA("Somma di DARE",'Pivot PP Visa'!$A$3,"Mese",3,"Tipologia",$A179,"Viaggio",$A$170))
-IF(ISERROR(GETPIVOTDATA("Somma di AVERE",'Pivot PP Visa'!$A$3,"Mese",3,"Tipologia",$A179,"Viaggio",$A$170)),0,GETPIVOTDATA("Somma di AVERE",'Pivot PP Visa'!$A$3,"Mese",3,"Tipologia",$A179,"Viaggio",$A$170))
+IF(ISERROR(GETPIVOTDATA("Somma di DARE",'Pivot Revolut'!$A$3,"Mese",3,"Tipologia",$A179,"Viaggio",$A$170)),0,GETPIVOTDATA("Somma di DARE",'Pivot Revolut'!$A$3,"Mese",3,"Tipologia",$A179,"Viaggio",$A$170))
-IF(ISERROR(GETPIVOTDATA("Somma di AVERE",'Pivot Revolut'!$A$3,"Mese",3,"Tipologia",$A179,"Viaggio",$A$170)),0,GETPIVOTDATA("Somma di AVERE",'Pivot Revolut'!$A$3,"Mese",3,"Tipologia",$A179,"Viaggio",$A$170))
+IF(ISERROR(GETPIVOTDATA("Somma di DARE",'Pivot RakBank EUR'!$A$3,"Mese",3,"Tipologia",$A179,"Viaggio",$A$170)),0,GETPIVOTDATA("Somma di DARE",'Pivot RakBank EUR'!$A$3,"Mese",3,"Tipologia",$A179,"Viaggio",$A$170))
-IF(ISERROR(GETPIVOTDATA("Somma di AVERE",'Pivot RakBank EUR'!$A$3,"Mese",3,"Tipologia",$A179,"Viaggio",$A$170)),0,GETPIVOTDATA("Somma di AVERE",'Pivot RakBank EUR'!$A$3,"Mese",3,"Tipologia",$A179,"Viaggio",$A$170))
+IF(ISERROR(GETPIVOTDATA("Somma di DARE EUR",'Pivot RakBank AED'!$A$3,"Mese",3,"Tipologia",$A179,"Viaggio",$A$170)),0,GETPIVOTDATA("Somma di DARE EUR",'Pivot RakBank AED'!$A$3,"Mese",3,"Tipologia",$A179,"Viaggio",$A$170))
-IF(ISERROR(GETPIVOTDATA("Somma di AVERE EUR",'Pivot RakBank AED'!$A$3,"Mese",3,"Tipologia",$A179,"Viaggio",$A$170)),0,GETPIVOTDATA("Somma di AVERE EUR",'Pivot RakBank AED'!$A$3,"Mese",3,"Tipologia",$A179,"Viaggio",$A$170))</f>
        <v>0</v>
      </c>
      <c r="F179" s="270">
        <f>IF(ISERROR(GETPIVOTDATA("Somma di DARE",'Pivot Fineco Sa'!$A$3,"Mese",4,"Tipologia",$A179,"Viaggio",$A$170)),0,GETPIVOTDATA("Somma di DARE",'Pivot Fineco Sa'!$A$3,"Mese",4,"Tipologia",$A179,"Viaggio",$A$170))
+IF(ISERROR(GETPIVOTDATA("Somma di DARE",'Pivot Fineco St'!$A$3,"Mese",4,"Tipologia",$A179,"Viaggio",$A$170)),0,GETPIVOTDATA("Somma di DARE",'Pivot Fineco St'!$A$3,"Mese",4,"Tipologia",$A179,"Viaggio",$A$170))
+IF(Contanti!$Q47='Conto Economico'!$A$170,Contanti!$N47)
+IF(ISERROR(GETPIVOTDATA("Somma di DARE",'Pivot BBVA'!$A$3,"Mese",4,"Tipologia",$A179,"Viaggio",$A$170)),0,GETPIVOTDATA("Somma di DARE",'Pivot BBVA'!$A$3,"Mese",4,"Tipologia",$A179,"Viaggio",$A$170))
+IF(ISERROR(GETPIVOTDATA("Somma di DARE",'Pivot Amex'!$A$3,"Mese",4,"Tipologia",$A179,"Viaggio",$A$170)),0,GETPIVOTDATA("Somma di DARE",'Pivot Amex'!$A$3,"Mese",4,"Tipologia",$A179,"Viaggio",$A$170))
-IF(ISERROR(GETPIVOTDATA("Somma di AVERE",'Pivot Amex'!$A$3,"Mese",4,"Tipologia",$A179,"Viaggio",$A$170)),0,GETPIVOTDATA("Somma di AVERE",'Pivot Amex'!$A$3,"Mese",4,"Tipologia",$A179,"Viaggio",$A$170))
-IF(ISERROR(GETPIVOTDATA("Somma di AVERE",'Pivot BBVA'!$A$3,"Mese",4,"Tipologia",$A179,"Viaggio",$A$170)),0,GETPIVOTDATA("Somma di AVERE",'Pivot BBVA'!$A$3,"Mese",4,"Tipologia",$A179,"Viaggio",$A$170))
-IF(ISERROR(GETPIVOTDATA("Somma di AVERE",'Pivot Fineco St'!$A$3,"Mese",4,"Tipologia",$A179,"Viaggio",$A$170)),0,GETPIVOTDATA("Somma di AVERE",'Pivot Fineco St'!$A$3,"Mese",4,"Tipologia",$A179,"Viaggio",$A$170))
-IF(ISERROR(GETPIVOTDATA("Somma di AVERE",'Pivot Fineco Sa'!$A$3,"Mese",4,"Tipologia",$A179,"Viaggio",$A$170)),0,GETPIVOTDATA("Somma di AVERE",'Pivot Fineco Sa'!$A$3,"Mese",4,"Tipologia",$A179,"Viaggio",$A$170))
+IF(ISERROR(GETPIVOTDATA("Somma di DARE",'Pivot PP Visa'!$A$3,"Mese",4,"Tipologia",$A179,"Viaggio",$A$170)),0,GETPIVOTDATA("Somma di DARE",'Pivot PP Visa'!$A$3,"Mese",4,"Tipologia",$A179,"Viaggio",$A$170))
-IF(ISERROR(GETPIVOTDATA("Somma di AVERE",'Pivot PP Visa'!$A$3,"Mese",4,"Tipologia",$A179,"Viaggio",$A$170)),0,GETPIVOTDATA("Somma di AVERE",'Pivot PP Visa'!$A$3,"Mese",4,"Tipologia",$A179,"Viaggio",$A$170))
+IF(ISERROR(GETPIVOTDATA("Somma di DARE",'Pivot Revolut'!$A$3,"Mese",4,"Tipologia",$A179,"Viaggio",$A$170)),0,GETPIVOTDATA("Somma di DARE",'Pivot Revolut'!$A$3,"Mese",4,"Tipologia",$A179,"Viaggio",$A$170))
-IF(ISERROR(GETPIVOTDATA("Somma di AVERE",'Pivot Revolut'!$A$3,"Mese",4,"Tipologia",$A179,"Viaggio",$A$170)),0,GETPIVOTDATA("Somma di AVERE",'Pivot Revolut'!$A$3,"Mese",4,"Tipologia",$A179,"Viaggio",$A$170))
+IF(ISERROR(GETPIVOTDATA("Somma di DARE",'Pivot RakBank EUR'!$A$3,"Mese",4,"Tipologia",$A179,"Viaggio",$A$170)),0,GETPIVOTDATA("Somma di DARE",'Pivot RakBank EUR'!$A$3,"Mese",4,"Tipologia",$A179,"Viaggio",$A$170))
-IF(ISERROR(GETPIVOTDATA("Somma di AVERE",'Pivot RakBank EUR'!$A$3,"Mese",4,"Tipologia",$A179,"Viaggio",$A$170)),0,GETPIVOTDATA("Somma di AVERE",'Pivot RakBank EUR'!$A$3,"Mese",4,"Tipologia",$A179,"Viaggio",$A$170))
+IF(ISERROR(GETPIVOTDATA("Somma di DARE EUR",'Pivot RakBank AED'!$A$3,"Mese",4,"Tipologia",$A179,"Viaggio",$A$170)),0,GETPIVOTDATA("Somma di DARE EUR",'Pivot RakBank AED'!$A$3,"Mese",4,"Tipologia",$A179,"Viaggio",$A$170))
-IF(ISERROR(GETPIVOTDATA("Somma di AVERE EUR",'Pivot RakBank AED'!$A$3,"Mese",4,"Tipologia",$A179,"Viaggio",$A$170)),0,GETPIVOTDATA("Somma di AVERE EUR",'Pivot RakBank AED'!$A$3,"Mese",4,"Tipologia",$A179,"Viaggio",$A$170))</f>
        <v>0</v>
      </c>
      <c r="G179" s="270">
        <f>IF(ISERROR(GETPIVOTDATA("Somma di DARE",'Pivot Fineco Sa'!$A$3,"Mese",5,"Tipologia",$A179,"Viaggio",$A$170)),0,GETPIVOTDATA("Somma di DARE",'Pivot Fineco Sa'!$A$3,"Mese",5,"Tipologia",$A179,"Viaggio",$A$170))
+IF(ISERROR(GETPIVOTDATA("Somma di DARE",'Pivot Fineco St'!$A$3,"Mese",5,"Tipologia",$A179,"Viaggio",$A$170)),0,GETPIVOTDATA("Somma di DARE",'Pivot Fineco St'!$A$3,"Mese",5,"Tipologia",$A179,"Viaggio",$A$170))
+IF(Contanti!$U47='Conto Economico'!$A$170,Contanti!$R47)
+IF(ISERROR(GETPIVOTDATA("Somma di DARE",'Pivot BBVA'!$A$3,"Mese",5,"Tipologia",$A179,"Viaggio",$A$170)),0,GETPIVOTDATA("Somma di DARE",'Pivot BBVA'!$A$3,"Mese",5,"Tipologia",$A179,"Viaggio",$A$170))
+IF(ISERROR(GETPIVOTDATA("Somma di DARE",'Pivot Amex'!$A$3,"Mese",5,"Tipologia",$A179,"Viaggio",$A$170)),0,GETPIVOTDATA("Somma di DARE",'Pivot Amex'!$A$3,"Mese",5,"Tipologia",$A179,"Viaggio",$A$170))
-IF(ISERROR(GETPIVOTDATA("Somma di AVERE",'Pivot Amex'!$A$3,"Mese",5,"Tipologia",$A179,"Viaggio",$A$170)),0,GETPIVOTDATA("Somma di AVERE",'Pivot Amex'!$A$3,"Mese",5,"Tipologia",$A179,"Viaggio",$A$170))
-IF(ISERROR(GETPIVOTDATA("Somma di AVERE",'Pivot BBVA'!$A$3,"Mese",5,"Tipologia",$A179,"Viaggio",$A$170)),0,GETPIVOTDATA("Somma di AVERE",'Pivot BBVA'!$A$3,"Mese",5,"Tipologia",$A179,"Viaggio",$A$170))
-IF(ISERROR(GETPIVOTDATA("Somma di AVERE",'Pivot Fineco St'!$A$3,"Mese",5,"Tipologia",$A179,"Viaggio",$A$170)),0,GETPIVOTDATA("Somma di AVERE",'Pivot Fineco St'!$A$3,"Mese",5,"Tipologia",$A179,"Viaggio",$A$170))
-IF(ISERROR(GETPIVOTDATA("Somma di AVERE",'Pivot Fineco Sa'!$A$3,"Mese",5,"Tipologia",$A179,"Viaggio",$A$170)),0,GETPIVOTDATA("Somma di AVERE",'Pivot Fineco Sa'!$A$3,"Mese",5,"Tipologia",$A179,"Viaggio",$A$170))
+IF(ISERROR(GETPIVOTDATA("Somma di DARE",'Pivot PP Visa'!$A$3,"Mese",5,"Tipologia",$A179,"Viaggio",$A$170)),0,GETPIVOTDATA("Somma di DARE",'Pivot PP Visa'!$A$3,"Mese",5,"Tipologia",$A179,"Viaggio",$A$170))
-IF(ISERROR(GETPIVOTDATA("Somma di AVERE",'Pivot PP Visa'!$A$3,"Mese",5,"Tipologia",$A179,"Viaggio",$A$170)),0,GETPIVOTDATA("Somma di AVERE",'Pivot PP Visa'!$A$3,"Mese",5,"Tipologia",$A179,"Viaggio",$A$170))
+IF(ISERROR(GETPIVOTDATA("Somma di DARE",'Pivot Revolut'!$A$3,"Mese",5,"Tipologia",$A179,"Viaggio",$A$170)),0,GETPIVOTDATA("Somma di DARE",'Pivot Revolut'!$A$3,"Mese",5,"Tipologia",$A179,"Viaggio",$A$170))
-IF(ISERROR(GETPIVOTDATA("Somma di AVERE",'Pivot Revolut'!$A$3,"Mese",5,"Tipologia",$A179,"Viaggio",$A$170)),0,GETPIVOTDATA("Somma di AVERE",'Pivot Revolut'!$A$3,"Mese",5,"Tipologia",$A179,"Viaggio",$A$170))
+IF(ISERROR(GETPIVOTDATA("Somma di DARE",'Pivot RakBank EUR'!$A$3,"Mese",5,"Tipologia",$A179,"Viaggio",$A$170)),0,GETPIVOTDATA("Somma di DARE",'Pivot RakBank EUR'!$A$3,"Mese",5,"Tipologia",$A179,"Viaggio",$A$170))
-IF(ISERROR(GETPIVOTDATA("Somma di AVERE",'Pivot RakBank EUR'!$A$3,"Mese",5,"Tipologia",$A179,"Viaggio",$A$170)),0,GETPIVOTDATA("Somma di AVERE",'Pivot RakBank EUR'!$A$3,"Mese",5,"Tipologia",$A179,"Viaggio",$A$170))
+IF(ISERROR(GETPIVOTDATA("Somma di DARE EUR",'Pivot RakBank AED'!$A$3,"Mese",5,"Tipologia",$A179,"Viaggio",$A$170)),0,GETPIVOTDATA("Somma di DARE EUR",'Pivot RakBank AED'!$A$3,"Mese",5,"Tipologia",$A179,"Viaggio",$A$170))
-IF(ISERROR(GETPIVOTDATA("Somma di AVERE EUR",'Pivot RakBank AED'!$A$3,"Mese",5,"Tipologia",$A179,"Viaggio",$A$170)),0,GETPIVOTDATA("Somma di AVERE EUR",'Pivot RakBank AED'!$A$3,"Mese",5,"Tipologia",$A179,"Viaggio",$A$170))</f>
        <v>0</v>
      </c>
      <c r="H179" s="270">
        <f>IF(ISERROR(GETPIVOTDATA("Somma di DARE",'Pivot Fineco Sa'!$A$3,"Mese",6,"Tipologia",$A179,"Viaggio",$A$170)),0,GETPIVOTDATA("Somma di DARE",'Pivot Fineco Sa'!$A$3,"Mese",6,"Tipologia",$A179,"Viaggio",$A$170))
+IF(ISERROR(GETPIVOTDATA("Somma di DARE",'Pivot Fineco St'!$A$3,"Mese",6,"Tipologia",$A179,"Viaggio",$A$170)),0,GETPIVOTDATA("Somma di DARE",'Pivot Fineco St'!$A$3,"Mese",6,"Tipologia",$A179,"Viaggio",$A$170))
+IF(Contanti!$Y47='Conto Economico'!$A$170,Contanti!$V47)
+IF(ISERROR(GETPIVOTDATA("Somma di DARE",'Pivot BBVA'!$A$3,"Mese",6,"Tipologia",$A179,"Viaggio",$A$170)),0,GETPIVOTDATA("Somma di DARE",'Pivot BBVA'!$A$3,"Mese",6,"Tipologia",$A179,"Viaggio",$A$170))
+IF(ISERROR(GETPIVOTDATA("Somma di DARE",'Pivot Amex'!$A$3,"Mese",6,"Tipologia",$A179,"Viaggio",$A$170)),0,GETPIVOTDATA("Somma di DARE",'Pivot Amex'!$A$3,"Mese",6,"Tipologia",$A179,"Viaggio",$A$170))
-IF(ISERROR(GETPIVOTDATA("Somma di AVERE",'Pivot Amex'!$A$3,"Mese",6,"Tipologia",$A179,"Viaggio",$A$170)),0,GETPIVOTDATA("Somma di AVERE",'Pivot Amex'!$A$3,"Mese",6,"Tipologia",$A179,"Viaggio",$A$170))
-IF(ISERROR(GETPIVOTDATA("Somma di AVERE",'Pivot BBVA'!$A$3,"Mese",6,"Tipologia",$A179,"Viaggio",$A$170)),0,GETPIVOTDATA("Somma di AVERE",'Pivot BBVA'!$A$3,"Mese",6,"Tipologia",$A179,"Viaggio",$A$170))
-IF(ISERROR(GETPIVOTDATA("Somma di AVERE",'Pivot Fineco St'!$A$3,"Mese",6,"Tipologia",$A179,"Viaggio",$A$170)),0,GETPIVOTDATA("Somma di AVERE",'Pivot Fineco St'!$A$3,"Mese",6,"Tipologia",$A179,"Viaggio",$A$170))
-IF(ISERROR(GETPIVOTDATA("Somma di AVERE",'Pivot Fineco Sa'!$A$3,"Mese",6,"Tipologia",$A179,"Viaggio",$A$170)),0,GETPIVOTDATA("Somma di AVERE",'Pivot Fineco Sa'!$A$3,"Mese",6,"Tipologia",$A179,"Viaggio",$A$170))
+IF(ISERROR(GETPIVOTDATA("Somma di DARE",'Pivot PP Visa'!$A$3,"Mese",6,"Tipologia",$A179,"Viaggio",$A$170)),0,GETPIVOTDATA("Somma di DARE",'Pivot PP Visa'!$A$3,"Mese",6,"Tipologia",$A179,"Viaggio",$A$170))
-IF(ISERROR(GETPIVOTDATA("Somma di AVERE",'Pivot PP Visa'!$A$3,"Mese",6,"Tipologia",$A179,"Viaggio",$A$170)),0,GETPIVOTDATA("Somma di AVERE",'Pivot PP Visa'!$A$3,"Mese",6,"Tipologia",$A179,"Viaggio",$A$170))
+IF(ISERROR(GETPIVOTDATA("Somma di DARE",'Pivot Revolut'!$A$3,"Mese",6,"Tipologia",$A179,"Viaggio",$A$170)),0,GETPIVOTDATA("Somma di DARE",'Pivot Revolut'!$A$3,"Mese",6,"Tipologia",$A179,"Viaggio",$A$170))
-IF(ISERROR(GETPIVOTDATA("Somma di AVERE",'Pivot Revolut'!$A$3,"Mese",6,"Tipologia",$A179,"Viaggio",$A$170)),0,GETPIVOTDATA("Somma di AVERE",'Pivot Revolut'!$A$3,"Mese",6,"Tipologia",$A179,"Viaggio",$A$170))
+IF(ISERROR(GETPIVOTDATA("Somma di DARE",'Pivot RakBank EUR'!$A$3,"Mese",6,"Tipologia",$A179,"Viaggio",$A$170)),0,GETPIVOTDATA("Somma di DARE",'Pivot RakBank EUR'!$A$3,"Mese",6,"Tipologia",$A179,"Viaggio",$A$170))
-IF(ISERROR(GETPIVOTDATA("Somma di AVERE",'Pivot RakBank EUR'!$A$3,"Mese",6,"Tipologia",$A179,"Viaggio",$A$170)),0,GETPIVOTDATA("Somma di AVERE",'Pivot RakBank EUR'!$A$3,"Mese",6,"Tipologia",$A179,"Viaggio",$A$170))
+IF(ISERROR(GETPIVOTDATA("Somma di DARE EUR",'Pivot RakBank AED'!$A$3,"Mese",6,"Tipologia",$A179,"Viaggio",$A$170)),0,GETPIVOTDATA("Somma di DARE EUR",'Pivot RakBank AED'!$A$3,"Mese",6,"Tipologia",$A179,"Viaggio",$A$170))
-IF(ISERROR(GETPIVOTDATA("Somma di AVERE EUR",'Pivot RakBank AED'!$A$3,"Mese",6,"Tipologia",$A179,"Viaggio",$A$170)),0,GETPIVOTDATA("Somma di AVERE EUR",'Pivot RakBank AED'!$A$3,"Mese",6,"Tipologia",$A179,"Viaggio",$A$170))</f>
        <v>0</v>
      </c>
      <c r="I179" s="270">
        <f>IF(ISERROR(GETPIVOTDATA("Somma di DARE",'Pivot Fineco Sa'!$A$3,"Mese",7,"Tipologia",$A179,"Viaggio",$A$170)),0,GETPIVOTDATA("Somma di DARE",'Pivot Fineco Sa'!$A$3,"Mese",7,"Tipologia",$A179,"Viaggio",$A$170))
+IF(ISERROR(GETPIVOTDATA("Somma di DARE",'Pivot Fineco St'!$A$3,"Mese",7,"Tipologia",$A179,"Viaggio",$A$170)),0,GETPIVOTDATA("Somma di DARE",'Pivot Fineco St'!$A$3,"Mese",7,"Tipologia",$A179,"Viaggio",$A$170))
+IF(Contanti!$AC47='Conto Economico'!$A$170,Contanti!$Z47)
+IF(ISERROR(GETPIVOTDATA("Somma di DARE",'Pivot BBVA'!$A$3,"Mese",7,"Tipologia",$A179,"Viaggio",$A$170)),0,GETPIVOTDATA("Somma di DARE",'Pivot BBVA'!$A$3,"Mese",7,"Tipologia",$A179,"Viaggio",$A$170))
+IF(ISERROR(GETPIVOTDATA("Somma di DARE",'Pivot Amex'!$A$3,"Mese",7,"Tipologia",$A179,"Viaggio",$A$170)),0,GETPIVOTDATA("Somma di DARE",'Pivot Amex'!$A$3,"Mese",7,"Tipologia",$A179,"Viaggio",$A$170))
-IF(ISERROR(GETPIVOTDATA("Somma di AVERE",'Pivot Amex'!$A$3,"Mese",7,"Tipologia",$A179,"Viaggio",$A$170)),0,GETPIVOTDATA("Somma di AVERE",'Pivot Amex'!$A$3,"Mese",7,"Tipologia",$A179,"Viaggio",$A$170))
-IF(ISERROR(GETPIVOTDATA("Somma di AVERE",'Pivot BBVA'!$A$3,"Mese",7,"Tipologia",$A179,"Viaggio",$A$170)),0,GETPIVOTDATA("Somma di AVERE",'Pivot BBVA'!$A$3,"Mese",7,"Tipologia",$A179,"Viaggio",$A$170))
-IF(ISERROR(GETPIVOTDATA("Somma di AVERE",'Pivot Fineco St'!$A$3,"Mese",7,"Tipologia",$A179,"Viaggio",$A$170)),0,GETPIVOTDATA("Somma di AVERE",'Pivot Fineco St'!$A$3,"Mese",7,"Tipologia",$A179,"Viaggio",$A$170))
-IF(ISERROR(GETPIVOTDATA("Somma di AVERE",'Pivot Fineco Sa'!$A$3,"Mese",7,"Tipologia",$A179,"Viaggio",$A$170)),0,GETPIVOTDATA("Somma di AVERE",'Pivot Fineco Sa'!$A$3,"Mese",7,"Tipologia",$A179,"Viaggio",$A$170))
+IF(ISERROR(GETPIVOTDATA("Somma di DARE",'Pivot PP Visa'!$A$3,"Mese",7,"Tipologia",$A179,"Viaggio",$A$170)),0,GETPIVOTDATA("Somma di DARE",'Pivot PP Visa'!$A$3,"Mese",7,"Tipologia",$A179,"Viaggio",$A$170))
-IF(ISERROR(GETPIVOTDATA("Somma di AVERE",'Pivot PP Visa'!$A$3,"Mese",7,"Tipologia",$A179,"Viaggio",$A$170)),0,GETPIVOTDATA("Somma di AVERE",'Pivot PP Visa'!$A$3,"Mese",7,"Tipologia",$A179,"Viaggio",$A$170))
+IF(ISERROR(GETPIVOTDATA("Somma di DARE",'Pivot Revolut'!$A$3,"Mese",7,"Tipologia",$A179,"Viaggio",$A$170)),0,GETPIVOTDATA("Somma di DARE",'Pivot Revolut'!$A$3,"Mese",7,"Tipologia",$A179,"Viaggio",$A$170))
-IF(ISERROR(GETPIVOTDATA("Somma di AVERE",'Pivot Revolut'!$A$3,"Mese",7,"Tipologia",$A179,"Viaggio",$A$170)),0,GETPIVOTDATA("Somma di AVERE",'Pivot Revolut'!$A$3,"Mese",7,"Tipologia",$A179,"Viaggio",$A$170))
+IF(ISERROR(GETPIVOTDATA("Somma di DARE",'Pivot RakBank EUR'!$A$3,"Mese",7,"Tipologia",$A179,"Viaggio",$A$170)),0,GETPIVOTDATA("Somma di DARE",'Pivot RakBank EUR'!$A$3,"Mese",7,"Tipologia",$A179,"Viaggio",$A$170))
-IF(ISERROR(GETPIVOTDATA("Somma di AVERE",'Pivot RakBank EUR'!$A$3,"Mese",7,"Tipologia",$A179,"Viaggio",$A$170)),0,GETPIVOTDATA("Somma di AVERE",'Pivot RakBank EUR'!$A$3,"Mese",7,"Tipologia",$A179,"Viaggio",$A$170))
+IF(ISERROR(GETPIVOTDATA("Somma di DARE EUR",'Pivot RakBank AED'!$A$3,"Mese",7,"Tipologia",$A179,"Viaggio",$A$170)),0,GETPIVOTDATA("Somma di DARE EUR",'Pivot RakBank AED'!$A$3,"Mese",7,"Tipologia",$A179,"Viaggio",$A$170))
-IF(ISERROR(GETPIVOTDATA("Somma di AVERE EUR",'Pivot RakBank AED'!$A$3,"Mese",7,"Tipologia",$A179,"Viaggio",$A$170)),0,GETPIVOTDATA("Somma di AVERE EUR",'Pivot RakBank AED'!$A$3,"Mese",7,"Tipologia",$A179,"Viaggio",$A$170))</f>
        <v>0</v>
      </c>
      <c r="J179" s="270">
        <f>IF(ISERROR(GETPIVOTDATA("Somma di DARE",'Pivot Fineco Sa'!$A$3,"Mese",8,"Tipologia",$A179,"Viaggio",$A$170)),0,GETPIVOTDATA("Somma di DARE",'Pivot Fineco Sa'!$A$3,"Mese",8,"Tipologia",$A179,"Viaggio",$A$170))
+IF(ISERROR(GETPIVOTDATA("Somma di DARE",'Pivot Fineco St'!$A$3,"Mese",8,"Tipologia",$A179,"Viaggio",$A$170)),0,GETPIVOTDATA("Somma di DARE",'Pivot Fineco St'!$A$3,"Mese",8,"Tipologia",$A179,"Viaggio",$A$170))
+IF(Contanti!$AG47='Conto Economico'!$A$170,Contanti!$AD47)
+IF(ISERROR(GETPIVOTDATA("Somma di DARE",'Pivot BBVA'!$A$3,"Mese",8,"Tipologia",$A179,"Viaggio",$A$170)),0,GETPIVOTDATA("Somma di DARE",'Pivot BBVA'!$A$3,"Mese",8,"Tipologia",$A179,"Viaggio",$A$170))
+IF(ISERROR(GETPIVOTDATA("Somma di DARE",'Pivot Amex'!$A$3,"Mese",8,"Tipologia",$A179,"Viaggio",$A$170)),0,GETPIVOTDATA("Somma di DARE",'Pivot Amex'!$A$3,"Mese",8,"Tipologia",$A179,"Viaggio",$A$170))
-IF(ISERROR(GETPIVOTDATA("Somma di AVERE",'Pivot Amex'!$A$3,"Mese",8,"Tipologia",$A179,"Viaggio",$A$170)),0,GETPIVOTDATA("Somma di AVERE",'Pivot Amex'!$A$3,"Mese",8,"Tipologia",$A179,"Viaggio",$A$170))
-IF(ISERROR(GETPIVOTDATA("Somma di AVERE",'Pivot BBVA'!$A$3,"Mese",8,"Tipologia",$A179,"Viaggio",$A$170)),0,GETPIVOTDATA("Somma di AVERE",'Pivot BBVA'!$A$3,"Mese",8,"Tipologia",$A179,"Viaggio",$A$170))
-IF(ISERROR(GETPIVOTDATA("Somma di AVERE",'Pivot Fineco St'!$A$3,"Mese",8,"Tipologia",$A179,"Viaggio",$A$170)),0,GETPIVOTDATA("Somma di AVERE",'Pivot Fineco St'!$A$3,"Mese",8,"Tipologia",$A179,"Viaggio",$A$170))
-IF(ISERROR(GETPIVOTDATA("Somma di AVERE",'Pivot Fineco Sa'!$A$3,"Mese",8,"Tipologia",$A179,"Viaggio",$A$170)),0,GETPIVOTDATA("Somma di AVERE",'Pivot Fineco Sa'!$A$3,"Mese",8,"Tipologia",$A179,"Viaggio",$A$170))
+IF(ISERROR(GETPIVOTDATA("Somma di DARE",'Pivot PP Visa'!$A$3,"Mese",8,"Tipologia",$A179,"Viaggio",$A$170)),0,GETPIVOTDATA("Somma di DARE",'Pivot PP Visa'!$A$3,"Mese",8,"Tipologia",$A179,"Viaggio",$A$170))
-IF(ISERROR(GETPIVOTDATA("Somma di AVERE",'Pivot PP Visa'!$A$3,"Mese",8,"Tipologia",$A179,"Viaggio",$A$170)),0,GETPIVOTDATA("Somma di AVERE",'Pivot PP Visa'!$A$3,"Mese",8,"Tipologia",$A179,"Viaggio",$A$170))
+IF(ISERROR(GETPIVOTDATA("Somma di DARE",'Pivot Revolut'!$A$3,"Mese",8,"Tipologia",$A179,"Viaggio",$A$170)),0,GETPIVOTDATA("Somma di DARE",'Pivot Revolut'!$A$3,"Mese",8,"Tipologia",$A179,"Viaggio",$A$170))
-IF(ISERROR(GETPIVOTDATA("Somma di AVERE",'Pivot Revolut'!$A$3,"Mese",8,"Tipologia",$A179,"Viaggio",$A$170)),0,GETPIVOTDATA("Somma di AVERE",'Pivot Revolut'!$A$3,"Mese",8,"Tipologia",$A179,"Viaggio",$A$170))
+IF(ISERROR(GETPIVOTDATA("Somma di DARE",'Pivot RakBank EUR'!$A$3,"Mese",8,"Tipologia",$A179,"Viaggio",$A$170)),0,GETPIVOTDATA("Somma di DARE",'Pivot RakBank EUR'!$A$3,"Mese",8,"Tipologia",$A179,"Viaggio",$A$170))
-IF(ISERROR(GETPIVOTDATA("Somma di AVERE",'Pivot RakBank EUR'!$A$3,"Mese",8,"Tipologia",$A179,"Viaggio",$A$170)),0,GETPIVOTDATA("Somma di AVERE",'Pivot RakBank EUR'!$A$3,"Mese",8,"Tipologia",$A179,"Viaggio",$A$170))
+IF(ISERROR(GETPIVOTDATA("Somma di DARE EUR",'Pivot RakBank AED'!$A$3,"Mese",8,"Tipologia",$A179,"Viaggio",$A$170)),0,GETPIVOTDATA("Somma di DARE EUR",'Pivot RakBank AED'!$A$3,"Mese",8,"Tipologia",$A179,"Viaggio",$A$170))
-IF(ISERROR(GETPIVOTDATA("Somma di AVERE EUR",'Pivot RakBank AED'!$A$3,"Mese",8,"Tipologia",$A179,"Viaggio",$A$170)),0,GETPIVOTDATA("Somma di AVERE EUR",'Pivot RakBank AED'!$A$3,"Mese",8,"Tipologia",$A179,"Viaggio",$A$170))</f>
        <v>0</v>
      </c>
      <c r="K179" s="270">
        <f>IF(ISERROR(GETPIVOTDATA("Somma di DARE",'Pivot Fineco Sa'!$A$3,"Mese",9,"Tipologia",$A179,"Viaggio",$A$170)),0,GETPIVOTDATA("Somma di DARE",'Pivot Fineco Sa'!$A$3,"Mese",9,"Tipologia",$A179,"Viaggio",$A$170))
+IF(ISERROR(GETPIVOTDATA("Somma di DARE",'Pivot Fineco St'!$A$3,"Mese",9,"Tipologia",$A179,"Viaggio",$A$170)),0,GETPIVOTDATA("Somma di DARE",'Pivot Fineco St'!$A$3,"Mese",9,"Tipologia",$A179,"Viaggio",$A$170))
+IF(Contanti!$AK47='Conto Economico'!$A$170,Contanti!$AH47)
+IF(ISERROR(GETPIVOTDATA("Somma di DARE",'Pivot BBVA'!$A$3,"Mese",9,"Tipologia",$A179,"Viaggio",$A$170)),0,GETPIVOTDATA("Somma di DARE",'Pivot BBVA'!$A$3,"Mese",9,"Tipologia",$A179,"Viaggio",$A$170))
+IF(ISERROR(GETPIVOTDATA("Somma di DARE",'Pivot Amex'!$A$3,"Mese",9,"Tipologia",$A179,"Viaggio",$A$170)),0,GETPIVOTDATA("Somma di DARE",'Pivot Amex'!$A$3,"Mese",9,"Tipologia",$A179,"Viaggio",$A$170))
-IF(ISERROR(GETPIVOTDATA("Somma di AVERE",'Pivot Amex'!$A$3,"Mese",9,"Tipologia",$A179,"Viaggio",$A$170)),0,GETPIVOTDATA("Somma di AVERE",'Pivot Amex'!$A$3,"Mese",9,"Tipologia",$A179,"Viaggio",$A$170))
-IF(ISERROR(GETPIVOTDATA("Somma di AVERE",'Pivot BBVA'!$A$3,"Mese",9,"Tipologia",$A179,"Viaggio",$A$170)),0,GETPIVOTDATA("Somma di AVERE",'Pivot BBVA'!$A$3,"Mese",9,"Tipologia",$A179,"Viaggio",$A$170))
-IF(ISERROR(GETPIVOTDATA("Somma di AVERE",'Pivot Fineco St'!$A$3,"Mese",9,"Tipologia",$A179,"Viaggio",$A$170)),0,GETPIVOTDATA("Somma di AVERE",'Pivot Fineco St'!$A$3,"Mese",9,"Tipologia",$A179,"Viaggio",$A$170))
-IF(ISERROR(GETPIVOTDATA("Somma di AVERE",'Pivot Fineco Sa'!$A$3,"Mese",9,"Tipologia",$A179,"Viaggio",$A$170)),0,GETPIVOTDATA("Somma di AVERE",'Pivot Fineco Sa'!$A$3,"Mese",9,"Tipologia",$A179,"Viaggio",$A$170))
+IF(ISERROR(GETPIVOTDATA("Somma di DARE",'Pivot PP Visa'!$A$3,"Mese",9,"Tipologia",$A179,"Viaggio",$A$170)),0,GETPIVOTDATA("Somma di DARE",'Pivot PP Visa'!$A$3,"Mese",9,"Tipologia",$A179,"Viaggio",$A$170))
-IF(ISERROR(GETPIVOTDATA("Somma di AVERE",'Pivot PP Visa'!$A$3,"Mese",9,"Tipologia",$A179,"Viaggio",$A$170)),0,GETPIVOTDATA("Somma di AVERE",'Pivot PP Visa'!$A$3,"Mese",9,"Tipologia",$A179,"Viaggio",$A$170))
+IF(ISERROR(GETPIVOTDATA("Somma di DARE",'Pivot Revolut'!$A$3,"Mese",9,"Tipologia",$A179,"Viaggio",$A$170)),0,GETPIVOTDATA("Somma di DARE",'Pivot Revolut'!$A$3,"Mese",9,"Tipologia",$A179,"Viaggio",$A$170))
-IF(ISERROR(GETPIVOTDATA("Somma di AVERE",'Pivot Revolut'!$A$3,"Mese",9,"Tipologia",$A179,"Viaggio",$A$170)),0,GETPIVOTDATA("Somma di AVERE",'Pivot Revolut'!$A$3,"Mese",9,"Tipologia",$A179,"Viaggio",$A$170))
+IF(ISERROR(GETPIVOTDATA("Somma di DARE",'Pivot RakBank EUR'!$A$3,"Mese",9,"Tipologia",$A179,"Viaggio",$A$170)),0,GETPIVOTDATA("Somma di DARE",'Pivot RakBank EUR'!$A$3,"Mese",9,"Tipologia",$A179,"Viaggio",$A$170))
-IF(ISERROR(GETPIVOTDATA("Somma di AVERE",'Pivot RakBank EUR'!$A$3,"Mese",9,"Tipologia",$A179,"Viaggio",$A$170)),0,GETPIVOTDATA("Somma di AVERE",'Pivot RakBank EUR'!$A$3,"Mese",9,"Tipologia",$A179,"Viaggio",$A$170))
+IF(ISERROR(GETPIVOTDATA("Somma di DARE EUR",'Pivot RakBank AED'!$A$3,"Mese",9,"Tipologia",$A179,"Viaggio",$A$170)),0,GETPIVOTDATA("Somma di DARE EUR",'Pivot RakBank AED'!$A$3,"Mese",9,"Tipologia",$A179,"Viaggio",$A$170))
-IF(ISERROR(GETPIVOTDATA("Somma di AVERE EUR",'Pivot RakBank AED'!$A$3,"Mese",9,"Tipologia",$A179,"Viaggio",$A$170)),0,GETPIVOTDATA("Somma di AVERE EUR",'Pivot RakBank AED'!$A$3,"Mese",9,"Tipologia",$A179,"Viaggio",$A$170))</f>
        <v>0</v>
      </c>
      <c r="L179" s="270">
        <f>IF(ISERROR(GETPIVOTDATA("Somma di DARE",'Pivot Fineco Sa'!$A$3,"Mese",10,"Tipologia",$A179,"Viaggio",$A$170)),0,GETPIVOTDATA("Somma di DARE",'Pivot Fineco Sa'!$A$3,"Mese",10,"Tipologia",$A179,"Viaggio",$A$170))
+IF(ISERROR(GETPIVOTDATA("Somma di DARE",'Pivot Fineco St'!$A$3,"Mese",10,"Tipologia",$A179,"Viaggio",$A$170)),0,GETPIVOTDATA("Somma di DARE",'Pivot Fineco St'!$A$3,"Mese",10,"Tipologia",$A179,"Viaggio",$A$170))
+IF(Contanti!$AO47='Conto Economico'!$A$170,Contanti!$AL47)
+IF(ISERROR(GETPIVOTDATA("Somma di DARE",'Pivot BBVA'!$A$3,"Mese",10,"Tipologia",$A179,"Viaggio",$A$170)),0,GETPIVOTDATA("Somma di DARE",'Pivot BBVA'!$A$3,"Mese",10,"Tipologia",$A179,"Viaggio",$A$170))
+IF(ISERROR(GETPIVOTDATA("Somma di DARE",'Pivot Amex'!$A$3,"Mese",10,"Tipologia",$A179,"Viaggio",$A$170)),0,GETPIVOTDATA("Somma di DARE",'Pivot Amex'!$A$3,"Mese",10,"Tipologia",$A179,"Viaggio",$A$170))
-IF(ISERROR(GETPIVOTDATA("Somma di AVERE",'Pivot Amex'!$A$3,"Mese",10,"Tipologia",$A179,"Viaggio",$A$170)),0,GETPIVOTDATA("Somma di AVERE",'Pivot Amex'!$A$3,"Mese",10,"Tipologia",$A179,"Viaggio",$A$170))
-IF(ISERROR(GETPIVOTDATA("Somma di AVERE",'Pivot BBVA'!$A$3,"Mese",10,"Tipologia",$A179,"Viaggio",$A$170)),0,GETPIVOTDATA("Somma di AVERE",'Pivot BBVA'!$A$3,"Mese",10,"Tipologia",$A179,"Viaggio",$A$170))
-IF(ISERROR(GETPIVOTDATA("Somma di AVERE",'Pivot Fineco St'!$A$3,"Mese",10,"Tipologia",$A179,"Viaggio",$A$170)),0,GETPIVOTDATA("Somma di AVERE",'Pivot Fineco St'!$A$3,"Mese",10,"Tipologia",$A179,"Viaggio",$A$170))
-IF(ISERROR(GETPIVOTDATA("Somma di AVERE",'Pivot Fineco Sa'!$A$3,"Mese",10,"Tipologia",$A179,"Viaggio",$A$170)),0,GETPIVOTDATA("Somma di AVERE",'Pivot Fineco Sa'!$A$3,"Mese",10,"Tipologia",$A179,"Viaggio",$A$170))
+IF(ISERROR(GETPIVOTDATA("Somma di DARE",'Pivot PP Visa'!$A$3,"Mese",10,"Tipologia",$A179,"Viaggio",$A$170)),0,GETPIVOTDATA("Somma di DARE",'Pivot PP Visa'!$A$3,"Mese",10,"Tipologia",$A179,"Viaggio",$A$170))
-IF(ISERROR(GETPIVOTDATA("Somma di AVERE",'Pivot PP Visa'!$A$3,"Mese",10,"Tipologia",$A179,"Viaggio",$A$170)),0,GETPIVOTDATA("Somma di AVERE",'Pivot PP Visa'!$A$3,"Mese",10,"Tipologia",$A179,"Viaggio",$A$170))
+IF(ISERROR(GETPIVOTDATA("Somma di DARE",'Pivot Revolut'!$A$3,"Mese",10,"Tipologia",$A179,"Viaggio",$A$170)),0,GETPIVOTDATA("Somma di DARE",'Pivot Revolut'!$A$3,"Mese",10,"Tipologia",$A179,"Viaggio",$A$170))
-IF(ISERROR(GETPIVOTDATA("Somma di AVERE",'Pivot Revolut'!$A$3,"Mese",10,"Tipologia",$A179,"Viaggio",$A$170)),0,GETPIVOTDATA("Somma di AVERE",'Pivot Revolut'!$A$3,"Mese",10,"Tipologia",$A179,"Viaggio",$A$170))
+IF(ISERROR(GETPIVOTDATA("Somma di DARE",'Pivot RakBank EUR'!$A$3,"Mese",10,"Tipologia",$A179,"Viaggio",$A$170)),0,GETPIVOTDATA("Somma di DARE",'Pivot RakBank EUR'!$A$3,"Mese",10,"Tipologia",$A179,"Viaggio",$A$170))
-IF(ISERROR(GETPIVOTDATA("Somma di AVERE",'Pivot RakBank EUR'!$A$3,"Mese",10,"Tipologia",$A179,"Viaggio",$A$170)),0,GETPIVOTDATA("Somma di AVERE",'Pivot RakBank EUR'!$A$3,"Mese",10,"Tipologia",$A179,"Viaggio",$A$170))
+IF(ISERROR(GETPIVOTDATA("Somma di DARE EUR",'Pivot RakBank AED'!$A$3,"Mese",10,"Tipologia",$A179,"Viaggio",$A$170)),0,GETPIVOTDATA("Somma di DARE EUR",'Pivot RakBank AED'!$A$3,"Mese",10,"Tipologia",$A179,"Viaggio",$A$170))
-IF(ISERROR(GETPIVOTDATA("Somma di AVERE EUR",'Pivot RakBank AED'!$A$3,"Mese",10,"Tipologia",$A179,"Viaggio",$A$170)),0,GETPIVOTDATA("Somma di AVERE EUR",'Pivot RakBank AED'!$A$3,"Mese",10,"Tipologia",$A179,"Viaggio",$A$170))</f>
        <v>0</v>
      </c>
      <c r="M179" s="270">
        <f>IF(ISERROR(GETPIVOTDATA("Somma di DARE",'Pivot Fineco Sa'!$A$3,"Mese",11,"Tipologia",$A179,"Viaggio",$A$170)),0,GETPIVOTDATA("Somma di DARE",'Pivot Fineco Sa'!$A$3,"Mese",11,"Tipologia",$A179,"Viaggio",$A$170))
+IF(ISERROR(GETPIVOTDATA("Somma di DARE",'Pivot Fineco St'!$A$3,"Mese",11,"Tipologia",$A179,"Viaggio",$A$170)),0,GETPIVOTDATA("Somma di DARE",'Pivot Fineco St'!$A$3,"Mese",11,"Tipologia",$A179,"Viaggio",$A$170))
+IF(Contanti!$AS47='Conto Economico'!$A$170,Contanti!$AP47)
+IF(ISERROR(GETPIVOTDATA("Somma di DARE",'Pivot BBVA'!$A$3,"Mese",11,"Tipologia",$A179,"Viaggio",$A$170)),0,GETPIVOTDATA("Somma di DARE",'Pivot BBVA'!$A$3,"Mese",11,"Tipologia",$A179,"Viaggio",$A$170))
+IF(ISERROR(GETPIVOTDATA("Somma di DARE",'Pivot Amex'!$A$3,"Mese",11,"Tipologia",$A179,"Viaggio",$A$170)),0,GETPIVOTDATA("Somma di DARE",'Pivot Amex'!$A$3,"Mese",11,"Tipologia",$A179,"Viaggio",$A$170))
-IF(ISERROR(GETPIVOTDATA("Somma di AVERE",'Pivot Amex'!$A$3,"Mese",11,"Tipologia",$A179,"Viaggio",$A$170)),0,GETPIVOTDATA("Somma di AVERE",'Pivot Amex'!$A$3,"Mese",11,"Tipologia",$A179,"Viaggio",$A$170))
-IF(ISERROR(GETPIVOTDATA("Somma di AVERE",'Pivot BBVA'!$A$3,"Mese",11,"Tipologia",$A179,"Viaggio",$A$170)),0,GETPIVOTDATA("Somma di AVERE",'Pivot BBVA'!$A$3,"Mese",11,"Tipologia",$A179,"Viaggio",$A$170))
-IF(ISERROR(GETPIVOTDATA("Somma di AVERE",'Pivot Fineco St'!$A$3,"Mese",11,"Tipologia",$A179,"Viaggio",$A$170)),0,GETPIVOTDATA("Somma di AVERE",'Pivot Fineco St'!$A$3,"Mese",11,"Tipologia",$A179,"Viaggio",$A$170))
-IF(ISERROR(GETPIVOTDATA("Somma di AVERE",'Pivot Fineco Sa'!$A$3,"Mese",11,"Tipologia",$A179,"Viaggio",$A$170)),0,GETPIVOTDATA("Somma di AVERE",'Pivot Fineco Sa'!$A$3,"Mese",11,"Tipologia",$A179,"Viaggio",$A$170))
+IF(ISERROR(GETPIVOTDATA("Somma di DARE",'Pivot PP Visa'!$A$3,"Mese",11,"Tipologia",$A179,"Viaggio",$A$170)),0,GETPIVOTDATA("Somma di DARE",'Pivot PP Visa'!$A$3,"Mese",11,"Tipologia",$A179,"Viaggio",$A$170))
-IF(ISERROR(GETPIVOTDATA("Somma di AVERE",'Pivot PP Visa'!$A$3,"Mese",11,"Tipologia",$A179,"Viaggio",$A$170)),0,GETPIVOTDATA("Somma di AVERE",'Pivot PP Visa'!$A$3,"Mese",11,"Tipologia",$A179,"Viaggio",$A$170))
+IF(ISERROR(GETPIVOTDATA("Somma di DARE",'Pivot Revolut'!$A$3,"Mese",11,"Tipologia",$A179,"Viaggio",$A$170)),0,GETPIVOTDATA("Somma di DARE",'Pivot Revolut'!$A$3,"Mese",11,"Tipologia",$A179,"Viaggio",$A$170))
-IF(ISERROR(GETPIVOTDATA("Somma di AVERE",'Pivot Revolut'!$A$3,"Mese",11,"Tipologia",$A179,"Viaggio",$A$170)),0,GETPIVOTDATA("Somma di AVERE",'Pivot Revolut'!$A$3,"Mese",11,"Tipologia",$A179,"Viaggio",$A$170))
+IF(ISERROR(GETPIVOTDATA("Somma di DARE",'Pivot RakBank EUR'!$A$3,"Mese",11,"Tipologia",$A179,"Viaggio",$A$170)),0,GETPIVOTDATA("Somma di DARE",'Pivot RakBank EUR'!$A$3,"Mese",11,"Tipologia",$A179,"Viaggio",$A$170))
-IF(ISERROR(GETPIVOTDATA("Somma di AVERE",'Pivot RakBank EUR'!$A$3,"Mese",11,"Tipologia",$A179,"Viaggio",$A$170)),0,GETPIVOTDATA("Somma di AVERE",'Pivot RakBank EUR'!$A$3,"Mese",11,"Tipologia",$A179,"Viaggio",$A$170))
+IF(ISERROR(GETPIVOTDATA("Somma di DARE EUR",'Pivot RakBank AED'!$A$3,"Mese",11,"Tipologia",$A179,"Viaggio",$A$170)),0,GETPIVOTDATA("Somma di DARE EUR",'Pivot RakBank AED'!$A$3,"Mese",11,"Tipologia",$A179,"Viaggio",$A$170))
-IF(ISERROR(GETPIVOTDATA("Somma di AVERE EUR",'Pivot RakBank AED'!$A$3,"Mese",11,"Tipologia",$A179,"Viaggio",$A$170)),0,GETPIVOTDATA("Somma di AVERE EUR",'Pivot RakBank AED'!$A$3,"Mese",11,"Tipologia",$A179,"Viaggio",$A$170))</f>
        <v>0</v>
      </c>
      <c r="N179" s="270">
        <f>IF(ISERROR(GETPIVOTDATA("Somma di DARE",'Pivot Fineco Sa'!$A$3,"Mese",12,"Tipologia",$A179,"Viaggio",$A$170)),0,GETPIVOTDATA("Somma di DARE",'Pivot Fineco Sa'!$A$3,"Mese",12,"Tipologia",$A179,"Viaggio",$A$170))
+IF(ISERROR(GETPIVOTDATA("Somma di DARE",'Pivot Fineco St'!$A$3,"Mese",12,"Tipologia",$A179,"Viaggio",$A$170)),0,GETPIVOTDATA("Somma di DARE",'Pivot Fineco St'!$A$3,"Mese",12,"Tipologia",$A179,"Viaggio",$A$170))
+IF(Contanti!$AW47='Conto Economico'!$A$170,Contanti!$AT47)
+IF(ISERROR(GETPIVOTDATA("Somma di DARE",'Pivot BBVA'!$A$3,"Mese",12,"Tipologia",$A179,"Viaggio",$A$170)),0,GETPIVOTDATA("Somma di DARE",'Pivot BBVA'!$A$3,"Mese",12,"Tipologia",$A179,"Viaggio",$A$170))
+IF(ISERROR(GETPIVOTDATA("Somma di DARE",'Pivot Amex'!$A$3,"Mese",12,"Tipologia",$A179,"Viaggio",$A$170)),0,GETPIVOTDATA("Somma di DARE",'Pivot Amex'!$A$3,"Mese",12,"Tipologia",$A179,"Viaggio",$A$170))
-IF(ISERROR(GETPIVOTDATA("Somma di AVERE",'Pivot Amex'!$A$3,"Mese",12,"Tipologia",$A179,"Viaggio",$A$170)),0,GETPIVOTDATA("Somma di AVERE",'Pivot Amex'!$A$3,"Mese",12,"Tipologia",$A179,"Viaggio",$A$170))
-IF(ISERROR(GETPIVOTDATA("Somma di AVERE",'Pivot BBVA'!$A$3,"Mese",12,"Tipologia",$A179,"Viaggio",$A$170)),0,GETPIVOTDATA("Somma di AVERE",'Pivot BBVA'!$A$3,"Mese",12,"Tipologia",$A179,"Viaggio",$A$170))
-IF(ISERROR(GETPIVOTDATA("Somma di AVERE",'Pivot Fineco St'!$A$3,"Mese",12,"Tipologia",$A179,"Viaggio",$A$170)),0,GETPIVOTDATA("Somma di AVERE",'Pivot Fineco St'!$A$3,"Mese",12,"Tipologia",$A179,"Viaggio",$A$170))
-IF(ISERROR(GETPIVOTDATA("Somma di AVERE",'Pivot Fineco Sa'!$A$3,"Mese",12,"Tipologia",$A179,"Viaggio",$A$170)),0,GETPIVOTDATA("Somma di AVERE",'Pivot Fineco Sa'!$A$3,"Mese",12,"Tipologia",$A179,"Viaggio",$A$170))
+IF(ISERROR(GETPIVOTDATA("Somma di DARE",'Pivot PP Visa'!$A$3,"Mese",12,"Tipologia",$A179,"Viaggio",$A$170)),0,GETPIVOTDATA("Somma di DARE",'Pivot PP Visa'!$A$3,"Mese",12,"Tipologia",$A179,"Viaggio",$A$170))
-IF(ISERROR(GETPIVOTDATA("Somma di AVERE",'Pivot PP Visa'!$A$3,"Mese",12,"Tipologia",$A179,"Viaggio",$A$170)),0,GETPIVOTDATA("Somma di AVERE",'Pivot PP Visa'!$A$3,"Mese",12,"Tipologia",$A179,"Viaggio",$A$170))
+IF(ISERROR(GETPIVOTDATA("Somma di DARE",'Pivot Revolut'!$A$3,"Mese",12,"Tipologia",$A179,"Viaggio",$A$170)),0,GETPIVOTDATA("Somma di DARE",'Pivot Revolut'!$A$3,"Mese",12,"Tipologia",$A179,"Viaggio",$A$170))
-IF(ISERROR(GETPIVOTDATA("Somma di AVERE",'Pivot Revolut'!$A$3,"Mese",12,"Tipologia",$A179,"Viaggio",$A$170)),0,GETPIVOTDATA("Somma di AVERE",'Pivot Revolut'!$A$3,"Mese",12,"Tipologia",$A179,"Viaggio",$A$170))
+IF(ISERROR(GETPIVOTDATA("Somma di DARE",'Pivot RakBank EUR'!$A$3,"Mese",12,"Tipologia",$A179,"Viaggio",$A$170)),0,GETPIVOTDATA("Somma di DARE",'Pivot RakBank EUR'!$A$3,"Mese",12,"Tipologia",$A179,"Viaggio",$A$170))
-IF(ISERROR(GETPIVOTDATA("Somma di AVERE",'Pivot RakBank EUR'!$A$3,"Mese",12,"Tipologia",$A179,"Viaggio",$A$170)),0,GETPIVOTDATA("Somma di AVERE",'Pivot RakBank EUR'!$A$3,"Mese",12,"Tipologia",$A179,"Viaggio",$A$170))
+IF(ISERROR(GETPIVOTDATA("Somma di DARE EUR",'Pivot RakBank AED'!$A$3,"Mese",12,"Tipologia",$A179,"Viaggio",$A$170)),0,GETPIVOTDATA("Somma di DARE EUR",'Pivot RakBank AED'!$A$3,"Mese",12,"Tipologia",$A179,"Viaggio",$A$170))
-IF(ISERROR(GETPIVOTDATA("Somma di AVERE EUR",'Pivot RakBank AED'!$A$3,"Mese",12,"Tipologia",$A179,"Viaggio",$A$170)),0,GETPIVOTDATA("Somma di AVERE EUR",'Pivot RakBank AED'!$A$3,"Mese",12,"Tipologia",$A179,"Viaggio",$A$170))</f>
        <v>0</v>
      </c>
      <c r="O179" s="271">
        <f t="shared" si="23"/>
        <v>0</v>
      </c>
      <c r="P179" s="270"/>
    </row>
    <row r="180" spans="1:16" s="131" customFormat="1" ht="14" outlineLevel="1" x14ac:dyDescent="0.2">
      <c r="A180" s="269" t="s">
        <v>103</v>
      </c>
      <c r="B180" s="269"/>
      <c r="C180" s="270">
        <f>IF(ISERROR(GETPIVOTDATA("Somma di DARE",'Pivot Fineco Sa'!$A$3,"Mese",1,"Tipologia",$A180,"Viaggio",$A$170)),0,GETPIVOTDATA("Somma di DARE",'Pivot Fineco Sa'!$A$3,"Mese",1,"Tipologia",$A180,"Viaggio",$A$170))
+IF(ISERROR(GETPIVOTDATA("Somma di DARE",'Pivot Fineco St'!$A$3,"Mese",1,"Tipologia",$A180,"Viaggio",$A$170)),0,GETPIVOTDATA("Somma di DARE",'Pivot Fineco St'!$A$3,"Mese",1,"Tipologia",$A180,"Viaggio",$A$170))
+IF(Contanti!$E48='Conto Economico'!$A$170,Contanti!$B48)
+IF(ISERROR(GETPIVOTDATA("Somma di DARE",'Pivot BBVA'!$A$3,"Mese",1,"Tipologia",$A180,"Viaggio",$A$170)),0,GETPIVOTDATA("Somma di DARE",'Pivot BBVA'!$A$3,"Mese",1,"Tipologia",$A180,"Viaggio",$A$170))
+IF(ISERROR(GETPIVOTDATA("Somma di DARE",'Pivot Amex'!$A$3,"Mese",1,"Tipologia",$A180,"Viaggio",$A$170)),0,GETPIVOTDATA("Somma di DARE",'Pivot Amex'!$A$3,"Mese",1,"Tipologia",$A180,"Viaggio",$A$170))
-IF(ISERROR(GETPIVOTDATA("Somma di AVERE",'Pivot Amex'!$A$3,"Mese",1,"Tipologia",$A180,"Viaggio",$A$170)),0,GETPIVOTDATA("Somma di AVERE",'Pivot Amex'!$A$3,"Mese",1,"Tipologia",$A180,"Viaggio",$A$170))
-IF(ISERROR(GETPIVOTDATA("Somma di AVERE",'Pivot BBVA'!$A$3,"Mese",1,"Tipologia",$A180,"Viaggio",$A$170)),0,GETPIVOTDATA("Somma di AVERE",'Pivot BBVA'!$A$3,"Mese",1,"Tipologia",$A180,"Viaggio",$A$170))
-IF(ISERROR(GETPIVOTDATA("Somma di AVERE",'Pivot Fineco St'!$A$3,"Mese",1,"Tipologia",$A180,"Viaggio",$A$170)),0,GETPIVOTDATA("Somma di AVERE",'Pivot Fineco St'!$A$3,"Mese",1,"Tipologia",$A180,"Viaggio",$A$170))
-IF(ISERROR(GETPIVOTDATA("Somma di AVERE",'Pivot Fineco Sa'!$A$3,"Mese",1,"Tipologia",$A180,"Viaggio",$A$170)),0,GETPIVOTDATA("Somma di AVERE",'Pivot Fineco Sa'!$A$3,"Mese",1,"Tipologia",$A180,"Viaggio",$A$170))
+IF(ISERROR(GETPIVOTDATA("Somma di DARE",'Pivot PP Visa'!$A$3,"Mese",1,"Tipologia",$A180,"Viaggio",$A$170)),0,GETPIVOTDATA("Somma di DARE",'Pivot PP Visa'!$A$3,"Mese",1,"Tipologia",$A180,"Viaggio",$A$170))
-IF(ISERROR(GETPIVOTDATA("Somma di AVERE",'Pivot PP Visa'!$A$3,"Mese",1,"Tipologia",$A180,"Viaggio",$A$170)),0,GETPIVOTDATA("Somma di AVERE",'Pivot PP Visa'!$A$3,"Mese",1,"Tipologia",$A180,"Viaggio",$A$170))
+IF(ISERROR(GETPIVOTDATA("Somma di DARE",'Pivot Revolut'!$A$3,"Mese",1,"Tipologia",$A180,"Viaggio",$A$170)),0,GETPIVOTDATA("Somma di DARE",'Pivot Revolut'!$A$3,"Mese",1,"Tipologia",$A180,"Viaggio",$A$170))
-IF(ISERROR(GETPIVOTDATA("Somma di AVERE",'Pivot Revolut'!$A$3,"Mese",1,"Tipologia",$A180,"Viaggio",$A$170)),0,GETPIVOTDATA("Somma di AVERE",'Pivot Revolut'!$A$3,"Mese",1,"Tipologia",$A180,"Viaggio",$A$170))
+IF(ISERROR(GETPIVOTDATA("Somma di DARE",'Pivot RakBank EUR'!$A$3,"Mese",1,"Tipologia",$A180,"Viaggio",$A$170)),0,GETPIVOTDATA("Somma di DARE",'Pivot RakBank EUR'!$A$3,"Mese",1,"Tipologia",$A180,"Viaggio",$A$170))
-IF(ISERROR(GETPIVOTDATA("Somma di AVERE",'Pivot RakBank EUR'!$A$3,"Mese",1,"Tipologia",$A180,"Viaggio",$A$170)),0,GETPIVOTDATA("Somma di AVERE",'Pivot RakBank EUR'!$A$3,"Mese",1,"Tipologia",$A180,"Viaggio",$A$170))
+IF(ISERROR(GETPIVOTDATA("Somma di DARE EUR",'Pivot RakBank AED'!$A$3,"Mese",1,"Tipologia",$A180,"Viaggio",$A$170)),0,GETPIVOTDATA("Somma di DARE EUR",'Pivot RakBank AED'!$A$3,"Mese",1,"Tipologia",$A180,"Viaggio",$A$170))
-IF(ISERROR(GETPIVOTDATA("Somma di AVERE EUR",'Pivot RakBank AED'!$A$3,"Mese",1,"Tipologia",$A180,"Viaggio",$A$170)),0,GETPIVOTDATA("Somma di AVERE EUR",'Pivot RakBank AED'!$A$3,"Mese",1,"Tipologia",$A180,"Viaggio",$A$170))</f>
        <v>0</v>
      </c>
      <c r="D180" s="270">
        <f>IF(ISERROR(GETPIVOTDATA("Somma di DARE",'Pivot Fineco Sa'!$A$3,"Mese",2,"Tipologia",$A180,"Viaggio",$A$170)),0,GETPIVOTDATA("Somma di DARE",'Pivot Fineco Sa'!$A$3,"Mese",2,"Tipologia",$A180,"Viaggio",$A$170))
+IF(ISERROR(GETPIVOTDATA("Somma di DARE",'Pivot Fineco St'!$A$3,"Mese",2,"Tipologia",$A180,"Viaggio",$A$170)),0,GETPIVOTDATA("Somma di DARE",'Pivot Fineco St'!$A$3,"Mese",2,"Tipologia",$A180,"Viaggio",$A$170))
+IF(Contanti!$I48='Conto Economico'!$A$170,Contanti!$F48)
+IF(ISERROR(GETPIVOTDATA("Somma di DARE",'Pivot BBVA'!$A$3,"Mese",2,"Tipologia",$A180,"Viaggio",$A$170)),0,GETPIVOTDATA("Somma di DARE",'Pivot BBVA'!$A$3,"Mese",2,"Tipologia",$A180,"Viaggio",$A$170))
+IF(ISERROR(GETPIVOTDATA("Somma di DARE",'Pivot Amex'!$A$3,"Mese",2,"Tipologia",$A180,"Viaggio",$A$170)),0,GETPIVOTDATA("Somma di DARE",'Pivot Amex'!$A$3,"Mese",2,"Tipologia",$A180,"Viaggio",$A$170))
-IF(ISERROR(GETPIVOTDATA("Somma di AVERE",'Pivot Amex'!$A$3,"Mese",2,"Tipologia",$A180,"Viaggio",$A$170)),0,GETPIVOTDATA("Somma di AVERE",'Pivot Amex'!$A$3,"Mese",2,"Tipologia",$A180,"Viaggio",$A$170))
-IF(ISERROR(GETPIVOTDATA("Somma di AVERE",'Pivot BBVA'!$A$3,"Mese",2,"Tipologia",$A180,"Viaggio",$A$170)),0,GETPIVOTDATA("Somma di AVERE",'Pivot BBVA'!$A$3,"Mese",2,"Tipologia",$A180,"Viaggio",$A$170))
-IF(ISERROR(GETPIVOTDATA("Somma di AVERE",'Pivot Fineco St'!$A$3,"Mese",2,"Tipologia",$A180,"Viaggio",$A$170)),0,GETPIVOTDATA("Somma di AVERE",'Pivot Fineco St'!$A$3,"Mese",2,"Tipologia",$A180,"Viaggio",$A$170))
-IF(ISERROR(GETPIVOTDATA("Somma di AVERE",'Pivot Fineco Sa'!$A$3,"Mese",2,"Tipologia",$A180,"Viaggio",$A$170)),0,GETPIVOTDATA("Somma di AVERE",'Pivot Fineco Sa'!$A$3,"Mese",2,"Tipologia",$A180,"Viaggio",$A$170))
+IF(ISERROR(GETPIVOTDATA("Somma di DARE",'Pivot PP Visa'!$A$3,"Mese",2,"Tipologia",$A180,"Viaggio",$A$170)),0,GETPIVOTDATA("Somma di DARE",'Pivot PP Visa'!$A$3,"Mese",2,"Tipologia",$A180,"Viaggio",$A$170))
-IF(ISERROR(GETPIVOTDATA("Somma di AVERE",'Pivot PP Visa'!$A$3,"Mese",2,"Tipologia",$A180,"Viaggio",$A$170)),0,GETPIVOTDATA("Somma di AVERE",'Pivot PP Visa'!$A$3,"Mese",2,"Tipologia",$A180,"Viaggio",$A$170))
+IF(ISERROR(GETPIVOTDATA("Somma di DARE",'Pivot Revolut'!$A$3,"Mese",2,"Tipologia",$A180,"Viaggio",$A$170)),0,GETPIVOTDATA("Somma di DARE",'Pivot Revolut'!$A$3,"Mese",2,"Tipologia",$A180,"Viaggio",$A$170))
-IF(ISERROR(GETPIVOTDATA("Somma di AVERE",'Pivot Revolut'!$A$3,"Mese",2,"Tipologia",$A180,"Viaggio",$A$170)),0,GETPIVOTDATA("Somma di AVERE",'Pivot Revolut'!$A$3,"Mese",2,"Tipologia",$A180,"Viaggio",$A$170))
+IF(ISERROR(GETPIVOTDATA("Somma di DARE",'Pivot RakBank EUR'!$A$3,"Mese",2,"Tipologia",$A180,"Viaggio",$A$170)),0,GETPIVOTDATA("Somma di DARE",'Pivot RakBank EUR'!$A$3,"Mese",2,"Tipologia",$A180,"Viaggio",$A$170))
-IF(ISERROR(GETPIVOTDATA("Somma di AVERE",'Pivot RakBank EUR'!$A$3,"Mese",2,"Tipologia",$A180,"Viaggio",$A$170)),0,GETPIVOTDATA("Somma di AVERE",'Pivot RakBank EUR'!$A$3,"Mese",2,"Tipologia",$A180,"Viaggio",$A$170))
+IF(ISERROR(GETPIVOTDATA("Somma di DARE EUR",'Pivot RakBank AED'!$A$3,"Mese",2,"Tipologia",$A180,"Viaggio",$A$170)),0,GETPIVOTDATA("Somma di DARE EUR",'Pivot RakBank AED'!$A$3,"Mese",2,"Tipologia",$A180,"Viaggio",$A$170))
-IF(ISERROR(GETPIVOTDATA("Somma di AVERE EUR",'Pivot RakBank AED'!$A$3,"Mese",2,"Tipologia",$A180,"Viaggio",$A$170)),0,GETPIVOTDATA("Somma di AVERE EUR",'Pivot RakBank AED'!$A$3,"Mese",2,"Tipologia",$A180,"Viaggio",$A$170))</f>
        <v>0</v>
      </c>
      <c r="E180" s="270">
        <f>IF(ISERROR(GETPIVOTDATA("Somma di DARE",'Pivot Fineco Sa'!$A$3,"Mese",3,"Tipologia",$A180,"Viaggio",$A$170)),0,GETPIVOTDATA("Somma di DARE",'Pivot Fineco Sa'!$A$3,"Mese",3,"Tipologia",$A180,"Viaggio",$A$170))
+IF(ISERROR(GETPIVOTDATA("Somma di DARE",'Pivot Fineco St'!$A$3,"Mese",3,"Tipologia",$A180,"Viaggio",$A$170)),0,GETPIVOTDATA("Somma di DARE",'Pivot Fineco St'!$A$3,"Mese",3,"Tipologia",$A180,"Viaggio",$A$170))
+IF(Contanti!$M48='Conto Economico'!$A$170,Contanti!$J48)
+IF(ISERROR(GETPIVOTDATA("Somma di DARE",'Pivot BBVA'!$A$3,"Mese",3,"Tipologia",$A180,"Viaggio",$A$170)),0,GETPIVOTDATA("Somma di DARE",'Pivot BBVA'!$A$3,"Mese",3,"Tipologia",$A180,"Viaggio",$A$170))
+IF(ISERROR(GETPIVOTDATA("Somma di DARE",'Pivot Amex'!$A$3,"Mese",3,"Tipologia",$A180,"Viaggio",$A$170)),0,GETPIVOTDATA("Somma di DARE",'Pivot Amex'!$A$3,"Mese",3,"Tipologia",$A180,"Viaggio",$A$170))
-IF(ISERROR(GETPIVOTDATA("Somma di AVERE",'Pivot Amex'!$A$3,"Mese",3,"Tipologia",$A180,"Viaggio",$A$170)),0,GETPIVOTDATA("Somma di AVERE",'Pivot Amex'!$A$3,"Mese",3,"Tipologia",$A180,"Viaggio",$A$170))
-IF(ISERROR(GETPIVOTDATA("Somma di AVERE",'Pivot BBVA'!$A$3,"Mese",3,"Tipologia",$A180,"Viaggio",$A$170)),0,GETPIVOTDATA("Somma di AVERE",'Pivot BBVA'!$A$3,"Mese",3,"Tipologia",$A180,"Viaggio",$A$170))
-IF(ISERROR(GETPIVOTDATA("Somma di AVERE",'Pivot Fineco St'!$A$3,"Mese",3,"Tipologia",$A180,"Viaggio",$A$170)),0,GETPIVOTDATA("Somma di AVERE",'Pivot Fineco St'!$A$3,"Mese",3,"Tipologia",$A180,"Viaggio",$A$170))
-IF(ISERROR(GETPIVOTDATA("Somma di AVERE",'Pivot Fineco Sa'!$A$3,"Mese",3,"Tipologia",$A180,"Viaggio",$A$170)),0,GETPIVOTDATA("Somma di AVERE",'Pivot Fineco Sa'!$A$3,"Mese",3,"Tipologia",$A180,"Viaggio",$A$170))
+IF(ISERROR(GETPIVOTDATA("Somma di DARE",'Pivot PP Visa'!$A$3,"Mese",3,"Tipologia",$A180,"Viaggio",$A$170)),0,GETPIVOTDATA("Somma di DARE",'Pivot PP Visa'!$A$3,"Mese",3,"Tipologia",$A180,"Viaggio",$A$170))
-IF(ISERROR(GETPIVOTDATA("Somma di AVERE",'Pivot PP Visa'!$A$3,"Mese",3,"Tipologia",$A180,"Viaggio",$A$170)),0,GETPIVOTDATA("Somma di AVERE",'Pivot PP Visa'!$A$3,"Mese",3,"Tipologia",$A180,"Viaggio",$A$170))
+IF(ISERROR(GETPIVOTDATA("Somma di DARE",'Pivot Revolut'!$A$3,"Mese",3,"Tipologia",$A180,"Viaggio",$A$170)),0,GETPIVOTDATA("Somma di DARE",'Pivot Revolut'!$A$3,"Mese",3,"Tipologia",$A180,"Viaggio",$A$170))
-IF(ISERROR(GETPIVOTDATA("Somma di AVERE",'Pivot Revolut'!$A$3,"Mese",3,"Tipologia",$A180,"Viaggio",$A$170)),0,GETPIVOTDATA("Somma di AVERE",'Pivot Revolut'!$A$3,"Mese",3,"Tipologia",$A180,"Viaggio",$A$170))
+IF(ISERROR(GETPIVOTDATA("Somma di DARE",'Pivot RakBank EUR'!$A$3,"Mese",3,"Tipologia",$A180,"Viaggio",$A$170)),0,GETPIVOTDATA("Somma di DARE",'Pivot RakBank EUR'!$A$3,"Mese",3,"Tipologia",$A180,"Viaggio",$A$170))
-IF(ISERROR(GETPIVOTDATA("Somma di AVERE",'Pivot RakBank EUR'!$A$3,"Mese",3,"Tipologia",$A180,"Viaggio",$A$170)),0,GETPIVOTDATA("Somma di AVERE",'Pivot RakBank EUR'!$A$3,"Mese",3,"Tipologia",$A180,"Viaggio",$A$170))
+IF(ISERROR(GETPIVOTDATA("Somma di DARE EUR",'Pivot RakBank AED'!$A$3,"Mese",3,"Tipologia",$A180,"Viaggio",$A$170)),0,GETPIVOTDATA("Somma di DARE EUR",'Pivot RakBank AED'!$A$3,"Mese",3,"Tipologia",$A180,"Viaggio",$A$170))
-IF(ISERROR(GETPIVOTDATA("Somma di AVERE EUR",'Pivot RakBank AED'!$A$3,"Mese",3,"Tipologia",$A180,"Viaggio",$A$170)),0,GETPIVOTDATA("Somma di AVERE EUR",'Pivot RakBank AED'!$A$3,"Mese",3,"Tipologia",$A180,"Viaggio",$A$170))</f>
        <v>0</v>
      </c>
      <c r="F180" s="270">
        <f>IF(ISERROR(GETPIVOTDATA("Somma di DARE",'Pivot Fineco Sa'!$A$3,"Mese",4,"Tipologia",$A180,"Viaggio",$A$170)),0,GETPIVOTDATA("Somma di DARE",'Pivot Fineco Sa'!$A$3,"Mese",4,"Tipologia",$A180,"Viaggio",$A$170))
+IF(ISERROR(GETPIVOTDATA("Somma di DARE",'Pivot Fineco St'!$A$3,"Mese",4,"Tipologia",$A180,"Viaggio",$A$170)),0,GETPIVOTDATA("Somma di DARE",'Pivot Fineco St'!$A$3,"Mese",4,"Tipologia",$A180,"Viaggio",$A$170))
+IF(Contanti!$Q48='Conto Economico'!$A$170,Contanti!$N48)
+IF(ISERROR(GETPIVOTDATA("Somma di DARE",'Pivot BBVA'!$A$3,"Mese",4,"Tipologia",$A180,"Viaggio",$A$170)),0,GETPIVOTDATA("Somma di DARE",'Pivot BBVA'!$A$3,"Mese",4,"Tipologia",$A180,"Viaggio",$A$170))
+IF(ISERROR(GETPIVOTDATA("Somma di DARE",'Pivot Amex'!$A$3,"Mese",4,"Tipologia",$A180,"Viaggio",$A$170)),0,GETPIVOTDATA("Somma di DARE",'Pivot Amex'!$A$3,"Mese",4,"Tipologia",$A180,"Viaggio",$A$170))
-IF(ISERROR(GETPIVOTDATA("Somma di AVERE",'Pivot Amex'!$A$3,"Mese",4,"Tipologia",$A180,"Viaggio",$A$170)),0,GETPIVOTDATA("Somma di AVERE",'Pivot Amex'!$A$3,"Mese",4,"Tipologia",$A180,"Viaggio",$A$170))
-IF(ISERROR(GETPIVOTDATA("Somma di AVERE",'Pivot BBVA'!$A$3,"Mese",4,"Tipologia",$A180,"Viaggio",$A$170)),0,GETPIVOTDATA("Somma di AVERE",'Pivot BBVA'!$A$3,"Mese",4,"Tipologia",$A180,"Viaggio",$A$170))
-IF(ISERROR(GETPIVOTDATA("Somma di AVERE",'Pivot Fineco St'!$A$3,"Mese",4,"Tipologia",$A180,"Viaggio",$A$170)),0,GETPIVOTDATA("Somma di AVERE",'Pivot Fineco St'!$A$3,"Mese",4,"Tipologia",$A180,"Viaggio",$A$170))
-IF(ISERROR(GETPIVOTDATA("Somma di AVERE",'Pivot Fineco Sa'!$A$3,"Mese",4,"Tipologia",$A180,"Viaggio",$A$170)),0,GETPIVOTDATA("Somma di AVERE",'Pivot Fineco Sa'!$A$3,"Mese",4,"Tipologia",$A180,"Viaggio",$A$170))
+IF(ISERROR(GETPIVOTDATA("Somma di DARE",'Pivot PP Visa'!$A$3,"Mese",4,"Tipologia",$A180,"Viaggio",$A$170)),0,GETPIVOTDATA("Somma di DARE",'Pivot PP Visa'!$A$3,"Mese",4,"Tipologia",$A180,"Viaggio",$A$170))
-IF(ISERROR(GETPIVOTDATA("Somma di AVERE",'Pivot PP Visa'!$A$3,"Mese",4,"Tipologia",$A180,"Viaggio",$A$170)),0,GETPIVOTDATA("Somma di AVERE",'Pivot PP Visa'!$A$3,"Mese",4,"Tipologia",$A180,"Viaggio",$A$170))
+IF(ISERROR(GETPIVOTDATA("Somma di DARE",'Pivot Revolut'!$A$3,"Mese",4,"Tipologia",$A180,"Viaggio",$A$170)),0,GETPIVOTDATA("Somma di DARE",'Pivot Revolut'!$A$3,"Mese",4,"Tipologia",$A180,"Viaggio",$A$170))
-IF(ISERROR(GETPIVOTDATA("Somma di AVERE",'Pivot Revolut'!$A$3,"Mese",4,"Tipologia",$A180,"Viaggio",$A$170)),0,GETPIVOTDATA("Somma di AVERE",'Pivot Revolut'!$A$3,"Mese",4,"Tipologia",$A180,"Viaggio",$A$170))
+IF(ISERROR(GETPIVOTDATA("Somma di DARE",'Pivot RakBank EUR'!$A$3,"Mese",4,"Tipologia",$A180,"Viaggio",$A$170)),0,GETPIVOTDATA("Somma di DARE",'Pivot RakBank EUR'!$A$3,"Mese",4,"Tipologia",$A180,"Viaggio",$A$170))
-IF(ISERROR(GETPIVOTDATA("Somma di AVERE",'Pivot RakBank EUR'!$A$3,"Mese",4,"Tipologia",$A180,"Viaggio",$A$170)),0,GETPIVOTDATA("Somma di AVERE",'Pivot RakBank EUR'!$A$3,"Mese",4,"Tipologia",$A180,"Viaggio",$A$170))
+IF(ISERROR(GETPIVOTDATA("Somma di DARE EUR",'Pivot RakBank AED'!$A$3,"Mese",4,"Tipologia",$A180,"Viaggio",$A$170)),0,GETPIVOTDATA("Somma di DARE EUR",'Pivot RakBank AED'!$A$3,"Mese",4,"Tipologia",$A180,"Viaggio",$A$170))
-IF(ISERROR(GETPIVOTDATA("Somma di AVERE EUR",'Pivot RakBank AED'!$A$3,"Mese",4,"Tipologia",$A180,"Viaggio",$A$170)),0,GETPIVOTDATA("Somma di AVERE EUR",'Pivot RakBank AED'!$A$3,"Mese",4,"Tipologia",$A180,"Viaggio",$A$170))</f>
        <v>0</v>
      </c>
      <c r="G180" s="270">
        <f>IF(ISERROR(GETPIVOTDATA("Somma di DARE",'Pivot Fineco Sa'!$A$3,"Mese",5,"Tipologia",$A180,"Viaggio",$A$170)),0,GETPIVOTDATA("Somma di DARE",'Pivot Fineco Sa'!$A$3,"Mese",5,"Tipologia",$A180,"Viaggio",$A$170))
+IF(ISERROR(GETPIVOTDATA("Somma di DARE",'Pivot Fineco St'!$A$3,"Mese",5,"Tipologia",$A180,"Viaggio",$A$170)),0,GETPIVOTDATA("Somma di DARE",'Pivot Fineco St'!$A$3,"Mese",5,"Tipologia",$A180,"Viaggio",$A$170))
+IF(Contanti!$U48='Conto Economico'!$A$170,Contanti!$R48)
+IF(ISERROR(GETPIVOTDATA("Somma di DARE",'Pivot BBVA'!$A$3,"Mese",5,"Tipologia",$A180,"Viaggio",$A$170)),0,GETPIVOTDATA("Somma di DARE",'Pivot BBVA'!$A$3,"Mese",5,"Tipologia",$A180,"Viaggio",$A$170))
+IF(ISERROR(GETPIVOTDATA("Somma di DARE",'Pivot Amex'!$A$3,"Mese",5,"Tipologia",$A180,"Viaggio",$A$170)),0,GETPIVOTDATA("Somma di DARE",'Pivot Amex'!$A$3,"Mese",5,"Tipologia",$A180,"Viaggio",$A$170))
-IF(ISERROR(GETPIVOTDATA("Somma di AVERE",'Pivot Amex'!$A$3,"Mese",5,"Tipologia",$A180,"Viaggio",$A$170)),0,GETPIVOTDATA("Somma di AVERE",'Pivot Amex'!$A$3,"Mese",5,"Tipologia",$A180,"Viaggio",$A$170))
-IF(ISERROR(GETPIVOTDATA("Somma di AVERE",'Pivot BBVA'!$A$3,"Mese",5,"Tipologia",$A180,"Viaggio",$A$170)),0,GETPIVOTDATA("Somma di AVERE",'Pivot BBVA'!$A$3,"Mese",5,"Tipologia",$A180,"Viaggio",$A$170))
-IF(ISERROR(GETPIVOTDATA("Somma di AVERE",'Pivot Fineco St'!$A$3,"Mese",5,"Tipologia",$A180,"Viaggio",$A$170)),0,GETPIVOTDATA("Somma di AVERE",'Pivot Fineco St'!$A$3,"Mese",5,"Tipologia",$A180,"Viaggio",$A$170))
-IF(ISERROR(GETPIVOTDATA("Somma di AVERE",'Pivot Fineco Sa'!$A$3,"Mese",5,"Tipologia",$A180,"Viaggio",$A$170)),0,GETPIVOTDATA("Somma di AVERE",'Pivot Fineco Sa'!$A$3,"Mese",5,"Tipologia",$A180,"Viaggio",$A$170))
+IF(ISERROR(GETPIVOTDATA("Somma di DARE",'Pivot PP Visa'!$A$3,"Mese",5,"Tipologia",$A180,"Viaggio",$A$170)),0,GETPIVOTDATA("Somma di DARE",'Pivot PP Visa'!$A$3,"Mese",5,"Tipologia",$A180,"Viaggio",$A$170))
-IF(ISERROR(GETPIVOTDATA("Somma di AVERE",'Pivot PP Visa'!$A$3,"Mese",5,"Tipologia",$A180,"Viaggio",$A$170)),0,GETPIVOTDATA("Somma di AVERE",'Pivot PP Visa'!$A$3,"Mese",5,"Tipologia",$A180,"Viaggio",$A$170))
+IF(ISERROR(GETPIVOTDATA("Somma di DARE",'Pivot Revolut'!$A$3,"Mese",5,"Tipologia",$A180,"Viaggio",$A$170)),0,GETPIVOTDATA("Somma di DARE",'Pivot Revolut'!$A$3,"Mese",5,"Tipologia",$A180,"Viaggio",$A$170))
-IF(ISERROR(GETPIVOTDATA("Somma di AVERE",'Pivot Revolut'!$A$3,"Mese",5,"Tipologia",$A180,"Viaggio",$A$170)),0,GETPIVOTDATA("Somma di AVERE",'Pivot Revolut'!$A$3,"Mese",5,"Tipologia",$A180,"Viaggio",$A$170))
+IF(ISERROR(GETPIVOTDATA("Somma di DARE",'Pivot RakBank EUR'!$A$3,"Mese",5,"Tipologia",$A180,"Viaggio",$A$170)),0,GETPIVOTDATA("Somma di DARE",'Pivot RakBank EUR'!$A$3,"Mese",5,"Tipologia",$A180,"Viaggio",$A$170))
-IF(ISERROR(GETPIVOTDATA("Somma di AVERE",'Pivot RakBank EUR'!$A$3,"Mese",5,"Tipologia",$A180,"Viaggio",$A$170)),0,GETPIVOTDATA("Somma di AVERE",'Pivot RakBank EUR'!$A$3,"Mese",5,"Tipologia",$A180,"Viaggio",$A$170))
+IF(ISERROR(GETPIVOTDATA("Somma di DARE EUR",'Pivot RakBank AED'!$A$3,"Mese",5,"Tipologia",$A180,"Viaggio",$A$170)),0,GETPIVOTDATA("Somma di DARE EUR",'Pivot RakBank AED'!$A$3,"Mese",5,"Tipologia",$A180,"Viaggio",$A$170))
-IF(ISERROR(GETPIVOTDATA("Somma di AVERE EUR",'Pivot RakBank AED'!$A$3,"Mese",5,"Tipologia",$A180,"Viaggio",$A$170)),0,GETPIVOTDATA("Somma di AVERE EUR",'Pivot RakBank AED'!$A$3,"Mese",5,"Tipologia",$A180,"Viaggio",$A$170))</f>
        <v>0</v>
      </c>
      <c r="H180" s="270">
        <f>IF(ISERROR(GETPIVOTDATA("Somma di DARE",'Pivot Fineco Sa'!$A$3,"Mese",6,"Tipologia",$A180,"Viaggio",$A$170)),0,GETPIVOTDATA("Somma di DARE",'Pivot Fineco Sa'!$A$3,"Mese",6,"Tipologia",$A180,"Viaggio",$A$170))
+IF(ISERROR(GETPIVOTDATA("Somma di DARE",'Pivot Fineco St'!$A$3,"Mese",6,"Tipologia",$A180,"Viaggio",$A$170)),0,GETPIVOTDATA("Somma di DARE",'Pivot Fineco St'!$A$3,"Mese",6,"Tipologia",$A180,"Viaggio",$A$170))
+IF(Contanti!$Y48='Conto Economico'!$A$170,Contanti!$V48)
+IF(ISERROR(GETPIVOTDATA("Somma di DARE",'Pivot BBVA'!$A$3,"Mese",6,"Tipologia",$A180,"Viaggio",$A$170)),0,GETPIVOTDATA("Somma di DARE",'Pivot BBVA'!$A$3,"Mese",6,"Tipologia",$A180,"Viaggio",$A$170))
+IF(ISERROR(GETPIVOTDATA("Somma di DARE",'Pivot Amex'!$A$3,"Mese",6,"Tipologia",$A180,"Viaggio",$A$170)),0,GETPIVOTDATA("Somma di DARE",'Pivot Amex'!$A$3,"Mese",6,"Tipologia",$A180,"Viaggio",$A$170))
-IF(ISERROR(GETPIVOTDATA("Somma di AVERE",'Pivot Amex'!$A$3,"Mese",6,"Tipologia",$A180,"Viaggio",$A$170)),0,GETPIVOTDATA("Somma di AVERE",'Pivot Amex'!$A$3,"Mese",6,"Tipologia",$A180,"Viaggio",$A$170))
-IF(ISERROR(GETPIVOTDATA("Somma di AVERE",'Pivot BBVA'!$A$3,"Mese",6,"Tipologia",$A180,"Viaggio",$A$170)),0,GETPIVOTDATA("Somma di AVERE",'Pivot BBVA'!$A$3,"Mese",6,"Tipologia",$A180,"Viaggio",$A$170))
-IF(ISERROR(GETPIVOTDATA("Somma di AVERE",'Pivot Fineco St'!$A$3,"Mese",6,"Tipologia",$A180,"Viaggio",$A$170)),0,GETPIVOTDATA("Somma di AVERE",'Pivot Fineco St'!$A$3,"Mese",6,"Tipologia",$A180,"Viaggio",$A$170))
-IF(ISERROR(GETPIVOTDATA("Somma di AVERE",'Pivot Fineco Sa'!$A$3,"Mese",6,"Tipologia",$A180,"Viaggio",$A$170)),0,GETPIVOTDATA("Somma di AVERE",'Pivot Fineco Sa'!$A$3,"Mese",6,"Tipologia",$A180,"Viaggio",$A$170))
+IF(ISERROR(GETPIVOTDATA("Somma di DARE",'Pivot PP Visa'!$A$3,"Mese",6,"Tipologia",$A180,"Viaggio",$A$170)),0,GETPIVOTDATA("Somma di DARE",'Pivot PP Visa'!$A$3,"Mese",6,"Tipologia",$A180,"Viaggio",$A$170))
-IF(ISERROR(GETPIVOTDATA("Somma di AVERE",'Pivot PP Visa'!$A$3,"Mese",6,"Tipologia",$A180,"Viaggio",$A$170)),0,GETPIVOTDATA("Somma di AVERE",'Pivot PP Visa'!$A$3,"Mese",6,"Tipologia",$A180,"Viaggio",$A$170))
+IF(ISERROR(GETPIVOTDATA("Somma di DARE",'Pivot Revolut'!$A$3,"Mese",6,"Tipologia",$A180,"Viaggio",$A$170)),0,GETPIVOTDATA("Somma di DARE",'Pivot Revolut'!$A$3,"Mese",6,"Tipologia",$A180,"Viaggio",$A$170))
-IF(ISERROR(GETPIVOTDATA("Somma di AVERE",'Pivot Revolut'!$A$3,"Mese",6,"Tipologia",$A180,"Viaggio",$A$170)),0,GETPIVOTDATA("Somma di AVERE",'Pivot Revolut'!$A$3,"Mese",6,"Tipologia",$A180,"Viaggio",$A$170))
+IF(ISERROR(GETPIVOTDATA("Somma di DARE",'Pivot RakBank EUR'!$A$3,"Mese",6,"Tipologia",$A180,"Viaggio",$A$170)),0,GETPIVOTDATA("Somma di DARE",'Pivot RakBank EUR'!$A$3,"Mese",6,"Tipologia",$A180,"Viaggio",$A$170))
-IF(ISERROR(GETPIVOTDATA("Somma di AVERE",'Pivot RakBank EUR'!$A$3,"Mese",6,"Tipologia",$A180,"Viaggio",$A$170)),0,GETPIVOTDATA("Somma di AVERE",'Pivot RakBank EUR'!$A$3,"Mese",6,"Tipologia",$A180,"Viaggio",$A$170))
+IF(ISERROR(GETPIVOTDATA("Somma di DARE EUR",'Pivot RakBank AED'!$A$3,"Mese",6,"Tipologia",$A180,"Viaggio",$A$170)),0,GETPIVOTDATA("Somma di DARE EUR",'Pivot RakBank AED'!$A$3,"Mese",6,"Tipologia",$A180,"Viaggio",$A$170))
-IF(ISERROR(GETPIVOTDATA("Somma di AVERE EUR",'Pivot RakBank AED'!$A$3,"Mese",6,"Tipologia",$A180,"Viaggio",$A$170)),0,GETPIVOTDATA("Somma di AVERE EUR",'Pivot RakBank AED'!$A$3,"Mese",6,"Tipologia",$A180,"Viaggio",$A$170))</f>
        <v>0</v>
      </c>
      <c r="I180" s="270">
        <f>IF(ISERROR(GETPIVOTDATA("Somma di DARE",'Pivot Fineco Sa'!$A$3,"Mese",7,"Tipologia",$A180,"Viaggio",$A$170)),0,GETPIVOTDATA("Somma di DARE",'Pivot Fineco Sa'!$A$3,"Mese",7,"Tipologia",$A180,"Viaggio",$A$170))
+IF(ISERROR(GETPIVOTDATA("Somma di DARE",'Pivot Fineco St'!$A$3,"Mese",7,"Tipologia",$A180,"Viaggio",$A$170)),0,GETPIVOTDATA("Somma di DARE",'Pivot Fineco St'!$A$3,"Mese",7,"Tipologia",$A180,"Viaggio",$A$170))
+IF(Contanti!$AC48='Conto Economico'!$A$170,Contanti!$Z48)
+IF(ISERROR(GETPIVOTDATA("Somma di DARE",'Pivot BBVA'!$A$3,"Mese",7,"Tipologia",$A180,"Viaggio",$A$170)),0,GETPIVOTDATA("Somma di DARE",'Pivot BBVA'!$A$3,"Mese",7,"Tipologia",$A180,"Viaggio",$A$170))
+IF(ISERROR(GETPIVOTDATA("Somma di DARE",'Pivot Amex'!$A$3,"Mese",7,"Tipologia",$A180,"Viaggio",$A$170)),0,GETPIVOTDATA("Somma di DARE",'Pivot Amex'!$A$3,"Mese",7,"Tipologia",$A180,"Viaggio",$A$170))
-IF(ISERROR(GETPIVOTDATA("Somma di AVERE",'Pivot Amex'!$A$3,"Mese",7,"Tipologia",$A180,"Viaggio",$A$170)),0,GETPIVOTDATA("Somma di AVERE",'Pivot Amex'!$A$3,"Mese",7,"Tipologia",$A180,"Viaggio",$A$170))
-IF(ISERROR(GETPIVOTDATA("Somma di AVERE",'Pivot BBVA'!$A$3,"Mese",7,"Tipologia",$A180,"Viaggio",$A$170)),0,GETPIVOTDATA("Somma di AVERE",'Pivot BBVA'!$A$3,"Mese",7,"Tipologia",$A180,"Viaggio",$A$170))
-IF(ISERROR(GETPIVOTDATA("Somma di AVERE",'Pivot Fineco St'!$A$3,"Mese",7,"Tipologia",$A180,"Viaggio",$A$170)),0,GETPIVOTDATA("Somma di AVERE",'Pivot Fineco St'!$A$3,"Mese",7,"Tipologia",$A180,"Viaggio",$A$170))
-IF(ISERROR(GETPIVOTDATA("Somma di AVERE",'Pivot Fineco Sa'!$A$3,"Mese",7,"Tipologia",$A180,"Viaggio",$A$170)),0,GETPIVOTDATA("Somma di AVERE",'Pivot Fineco Sa'!$A$3,"Mese",7,"Tipologia",$A180,"Viaggio",$A$170))
+IF(ISERROR(GETPIVOTDATA("Somma di DARE",'Pivot PP Visa'!$A$3,"Mese",7,"Tipologia",$A180,"Viaggio",$A$170)),0,GETPIVOTDATA("Somma di DARE",'Pivot PP Visa'!$A$3,"Mese",7,"Tipologia",$A180,"Viaggio",$A$170))
-IF(ISERROR(GETPIVOTDATA("Somma di AVERE",'Pivot PP Visa'!$A$3,"Mese",7,"Tipologia",$A180,"Viaggio",$A$170)),0,GETPIVOTDATA("Somma di AVERE",'Pivot PP Visa'!$A$3,"Mese",7,"Tipologia",$A180,"Viaggio",$A$170))
+IF(ISERROR(GETPIVOTDATA("Somma di DARE",'Pivot Revolut'!$A$3,"Mese",7,"Tipologia",$A180,"Viaggio",$A$170)),0,GETPIVOTDATA("Somma di DARE",'Pivot Revolut'!$A$3,"Mese",7,"Tipologia",$A180,"Viaggio",$A$170))
-IF(ISERROR(GETPIVOTDATA("Somma di AVERE",'Pivot Revolut'!$A$3,"Mese",7,"Tipologia",$A180,"Viaggio",$A$170)),0,GETPIVOTDATA("Somma di AVERE",'Pivot Revolut'!$A$3,"Mese",7,"Tipologia",$A180,"Viaggio",$A$170))
+IF(ISERROR(GETPIVOTDATA("Somma di DARE",'Pivot RakBank EUR'!$A$3,"Mese",7,"Tipologia",$A180,"Viaggio",$A$170)),0,GETPIVOTDATA("Somma di DARE",'Pivot RakBank EUR'!$A$3,"Mese",7,"Tipologia",$A180,"Viaggio",$A$170))
-IF(ISERROR(GETPIVOTDATA("Somma di AVERE",'Pivot RakBank EUR'!$A$3,"Mese",7,"Tipologia",$A180,"Viaggio",$A$170)),0,GETPIVOTDATA("Somma di AVERE",'Pivot RakBank EUR'!$A$3,"Mese",7,"Tipologia",$A180,"Viaggio",$A$170))
+IF(ISERROR(GETPIVOTDATA("Somma di DARE EUR",'Pivot RakBank AED'!$A$3,"Mese",7,"Tipologia",$A180,"Viaggio",$A$170)),0,GETPIVOTDATA("Somma di DARE EUR",'Pivot RakBank AED'!$A$3,"Mese",7,"Tipologia",$A180,"Viaggio",$A$170))
-IF(ISERROR(GETPIVOTDATA("Somma di AVERE EUR",'Pivot RakBank AED'!$A$3,"Mese",7,"Tipologia",$A180,"Viaggio",$A$170)),0,GETPIVOTDATA("Somma di AVERE EUR",'Pivot RakBank AED'!$A$3,"Mese",7,"Tipologia",$A180,"Viaggio",$A$170))</f>
        <v>0</v>
      </c>
      <c r="J180" s="270">
        <f>IF(ISERROR(GETPIVOTDATA("Somma di DARE",'Pivot Fineco Sa'!$A$3,"Mese",8,"Tipologia",$A180,"Viaggio",$A$170)),0,GETPIVOTDATA("Somma di DARE",'Pivot Fineco Sa'!$A$3,"Mese",8,"Tipologia",$A180,"Viaggio",$A$170))
+IF(ISERROR(GETPIVOTDATA("Somma di DARE",'Pivot Fineco St'!$A$3,"Mese",8,"Tipologia",$A180,"Viaggio",$A$170)),0,GETPIVOTDATA("Somma di DARE",'Pivot Fineco St'!$A$3,"Mese",8,"Tipologia",$A180,"Viaggio",$A$170))
+IF(Contanti!$AG48='Conto Economico'!$A$170,Contanti!$AD48)
+IF(ISERROR(GETPIVOTDATA("Somma di DARE",'Pivot BBVA'!$A$3,"Mese",8,"Tipologia",$A180,"Viaggio",$A$170)),0,GETPIVOTDATA("Somma di DARE",'Pivot BBVA'!$A$3,"Mese",8,"Tipologia",$A180,"Viaggio",$A$170))
+IF(ISERROR(GETPIVOTDATA("Somma di DARE",'Pivot Amex'!$A$3,"Mese",8,"Tipologia",$A180,"Viaggio",$A$170)),0,GETPIVOTDATA("Somma di DARE",'Pivot Amex'!$A$3,"Mese",8,"Tipologia",$A180,"Viaggio",$A$170))
-IF(ISERROR(GETPIVOTDATA("Somma di AVERE",'Pivot Amex'!$A$3,"Mese",8,"Tipologia",$A180,"Viaggio",$A$170)),0,GETPIVOTDATA("Somma di AVERE",'Pivot Amex'!$A$3,"Mese",8,"Tipologia",$A180,"Viaggio",$A$170))
-IF(ISERROR(GETPIVOTDATA("Somma di AVERE",'Pivot BBVA'!$A$3,"Mese",8,"Tipologia",$A180,"Viaggio",$A$170)),0,GETPIVOTDATA("Somma di AVERE",'Pivot BBVA'!$A$3,"Mese",8,"Tipologia",$A180,"Viaggio",$A$170))
-IF(ISERROR(GETPIVOTDATA("Somma di AVERE",'Pivot Fineco St'!$A$3,"Mese",8,"Tipologia",$A180,"Viaggio",$A$170)),0,GETPIVOTDATA("Somma di AVERE",'Pivot Fineco St'!$A$3,"Mese",8,"Tipologia",$A180,"Viaggio",$A$170))
-IF(ISERROR(GETPIVOTDATA("Somma di AVERE",'Pivot Fineco Sa'!$A$3,"Mese",8,"Tipologia",$A180,"Viaggio",$A$170)),0,GETPIVOTDATA("Somma di AVERE",'Pivot Fineco Sa'!$A$3,"Mese",8,"Tipologia",$A180,"Viaggio",$A$170))
+IF(ISERROR(GETPIVOTDATA("Somma di DARE",'Pivot PP Visa'!$A$3,"Mese",8,"Tipologia",$A180,"Viaggio",$A$170)),0,GETPIVOTDATA("Somma di DARE",'Pivot PP Visa'!$A$3,"Mese",8,"Tipologia",$A180,"Viaggio",$A$170))
-IF(ISERROR(GETPIVOTDATA("Somma di AVERE",'Pivot PP Visa'!$A$3,"Mese",8,"Tipologia",$A180,"Viaggio",$A$170)),0,GETPIVOTDATA("Somma di AVERE",'Pivot PP Visa'!$A$3,"Mese",8,"Tipologia",$A180,"Viaggio",$A$170))
+IF(ISERROR(GETPIVOTDATA("Somma di DARE",'Pivot Revolut'!$A$3,"Mese",8,"Tipologia",$A180,"Viaggio",$A$170)),0,GETPIVOTDATA("Somma di DARE",'Pivot Revolut'!$A$3,"Mese",8,"Tipologia",$A180,"Viaggio",$A$170))
-IF(ISERROR(GETPIVOTDATA("Somma di AVERE",'Pivot Revolut'!$A$3,"Mese",8,"Tipologia",$A180,"Viaggio",$A$170)),0,GETPIVOTDATA("Somma di AVERE",'Pivot Revolut'!$A$3,"Mese",8,"Tipologia",$A180,"Viaggio",$A$170))
+IF(ISERROR(GETPIVOTDATA("Somma di DARE",'Pivot RakBank EUR'!$A$3,"Mese",8,"Tipologia",$A180,"Viaggio",$A$170)),0,GETPIVOTDATA("Somma di DARE",'Pivot RakBank EUR'!$A$3,"Mese",8,"Tipologia",$A180,"Viaggio",$A$170))
-IF(ISERROR(GETPIVOTDATA("Somma di AVERE",'Pivot RakBank EUR'!$A$3,"Mese",8,"Tipologia",$A180,"Viaggio",$A$170)),0,GETPIVOTDATA("Somma di AVERE",'Pivot RakBank EUR'!$A$3,"Mese",8,"Tipologia",$A180,"Viaggio",$A$170))
+IF(ISERROR(GETPIVOTDATA("Somma di DARE EUR",'Pivot RakBank AED'!$A$3,"Mese",8,"Tipologia",$A180,"Viaggio",$A$170)),0,GETPIVOTDATA("Somma di DARE EUR",'Pivot RakBank AED'!$A$3,"Mese",8,"Tipologia",$A180,"Viaggio",$A$170))
-IF(ISERROR(GETPIVOTDATA("Somma di AVERE EUR",'Pivot RakBank AED'!$A$3,"Mese",8,"Tipologia",$A180,"Viaggio",$A$170)),0,GETPIVOTDATA("Somma di AVERE EUR",'Pivot RakBank AED'!$A$3,"Mese",8,"Tipologia",$A180,"Viaggio",$A$170))</f>
        <v>0</v>
      </c>
      <c r="K180" s="270">
        <f>IF(ISERROR(GETPIVOTDATA("Somma di DARE",'Pivot Fineco Sa'!$A$3,"Mese",9,"Tipologia",$A180,"Viaggio",$A$170)),0,GETPIVOTDATA("Somma di DARE",'Pivot Fineco Sa'!$A$3,"Mese",9,"Tipologia",$A180,"Viaggio",$A$170))
+IF(ISERROR(GETPIVOTDATA("Somma di DARE",'Pivot Fineco St'!$A$3,"Mese",9,"Tipologia",$A180,"Viaggio",$A$170)),0,GETPIVOTDATA("Somma di DARE",'Pivot Fineco St'!$A$3,"Mese",9,"Tipologia",$A180,"Viaggio",$A$170))
+IF(Contanti!$AK48='Conto Economico'!$A$170,Contanti!$AH48)
+IF(ISERROR(GETPIVOTDATA("Somma di DARE",'Pivot BBVA'!$A$3,"Mese",9,"Tipologia",$A180,"Viaggio",$A$170)),0,GETPIVOTDATA("Somma di DARE",'Pivot BBVA'!$A$3,"Mese",9,"Tipologia",$A180,"Viaggio",$A$170))
+IF(ISERROR(GETPIVOTDATA("Somma di DARE",'Pivot Amex'!$A$3,"Mese",9,"Tipologia",$A180,"Viaggio",$A$170)),0,GETPIVOTDATA("Somma di DARE",'Pivot Amex'!$A$3,"Mese",9,"Tipologia",$A180,"Viaggio",$A$170))
-IF(ISERROR(GETPIVOTDATA("Somma di AVERE",'Pivot Amex'!$A$3,"Mese",9,"Tipologia",$A180,"Viaggio",$A$170)),0,GETPIVOTDATA("Somma di AVERE",'Pivot Amex'!$A$3,"Mese",9,"Tipologia",$A180,"Viaggio",$A$170))
-IF(ISERROR(GETPIVOTDATA("Somma di AVERE",'Pivot BBVA'!$A$3,"Mese",9,"Tipologia",$A180,"Viaggio",$A$170)),0,GETPIVOTDATA("Somma di AVERE",'Pivot BBVA'!$A$3,"Mese",9,"Tipologia",$A180,"Viaggio",$A$170))
-IF(ISERROR(GETPIVOTDATA("Somma di AVERE",'Pivot Fineco St'!$A$3,"Mese",9,"Tipologia",$A180,"Viaggio",$A$170)),0,GETPIVOTDATA("Somma di AVERE",'Pivot Fineco St'!$A$3,"Mese",9,"Tipologia",$A180,"Viaggio",$A$170))
-IF(ISERROR(GETPIVOTDATA("Somma di AVERE",'Pivot Fineco Sa'!$A$3,"Mese",9,"Tipologia",$A180,"Viaggio",$A$170)),0,GETPIVOTDATA("Somma di AVERE",'Pivot Fineco Sa'!$A$3,"Mese",9,"Tipologia",$A180,"Viaggio",$A$170))
+IF(ISERROR(GETPIVOTDATA("Somma di DARE",'Pivot PP Visa'!$A$3,"Mese",9,"Tipologia",$A180,"Viaggio",$A$170)),0,GETPIVOTDATA("Somma di DARE",'Pivot PP Visa'!$A$3,"Mese",9,"Tipologia",$A180,"Viaggio",$A$170))
-IF(ISERROR(GETPIVOTDATA("Somma di AVERE",'Pivot PP Visa'!$A$3,"Mese",9,"Tipologia",$A180,"Viaggio",$A$170)),0,GETPIVOTDATA("Somma di AVERE",'Pivot PP Visa'!$A$3,"Mese",9,"Tipologia",$A180,"Viaggio",$A$170))
+IF(ISERROR(GETPIVOTDATA("Somma di DARE",'Pivot Revolut'!$A$3,"Mese",9,"Tipologia",$A180,"Viaggio",$A$170)),0,GETPIVOTDATA("Somma di DARE",'Pivot Revolut'!$A$3,"Mese",9,"Tipologia",$A180,"Viaggio",$A$170))
-IF(ISERROR(GETPIVOTDATA("Somma di AVERE",'Pivot Revolut'!$A$3,"Mese",9,"Tipologia",$A180,"Viaggio",$A$170)),0,GETPIVOTDATA("Somma di AVERE",'Pivot Revolut'!$A$3,"Mese",9,"Tipologia",$A180,"Viaggio",$A$170))
+IF(ISERROR(GETPIVOTDATA("Somma di DARE",'Pivot RakBank EUR'!$A$3,"Mese",9,"Tipologia",$A180,"Viaggio",$A$170)),0,GETPIVOTDATA("Somma di DARE",'Pivot RakBank EUR'!$A$3,"Mese",9,"Tipologia",$A180,"Viaggio",$A$170))
-IF(ISERROR(GETPIVOTDATA("Somma di AVERE",'Pivot RakBank EUR'!$A$3,"Mese",9,"Tipologia",$A180,"Viaggio",$A$170)),0,GETPIVOTDATA("Somma di AVERE",'Pivot RakBank EUR'!$A$3,"Mese",9,"Tipologia",$A180,"Viaggio",$A$170))
+IF(ISERROR(GETPIVOTDATA("Somma di DARE EUR",'Pivot RakBank AED'!$A$3,"Mese",9,"Tipologia",$A180,"Viaggio",$A$170)),0,GETPIVOTDATA("Somma di DARE EUR",'Pivot RakBank AED'!$A$3,"Mese",9,"Tipologia",$A180,"Viaggio",$A$170))
-IF(ISERROR(GETPIVOTDATA("Somma di AVERE EUR",'Pivot RakBank AED'!$A$3,"Mese",9,"Tipologia",$A180,"Viaggio",$A$170)),0,GETPIVOTDATA("Somma di AVERE EUR",'Pivot RakBank AED'!$A$3,"Mese",9,"Tipologia",$A180,"Viaggio",$A$170))</f>
        <v>0</v>
      </c>
      <c r="L180" s="270">
        <f>IF(ISERROR(GETPIVOTDATA("Somma di DARE",'Pivot Fineco Sa'!$A$3,"Mese",10,"Tipologia",$A180,"Viaggio",$A$170)),0,GETPIVOTDATA("Somma di DARE",'Pivot Fineco Sa'!$A$3,"Mese",10,"Tipologia",$A180,"Viaggio",$A$170))
+IF(ISERROR(GETPIVOTDATA("Somma di DARE",'Pivot Fineco St'!$A$3,"Mese",10,"Tipologia",$A180,"Viaggio",$A$170)),0,GETPIVOTDATA("Somma di DARE",'Pivot Fineco St'!$A$3,"Mese",10,"Tipologia",$A180,"Viaggio",$A$170))
+IF(Contanti!$AO48='Conto Economico'!$A$170,Contanti!$AL48)
+IF(ISERROR(GETPIVOTDATA("Somma di DARE",'Pivot BBVA'!$A$3,"Mese",10,"Tipologia",$A180,"Viaggio",$A$170)),0,GETPIVOTDATA("Somma di DARE",'Pivot BBVA'!$A$3,"Mese",10,"Tipologia",$A180,"Viaggio",$A$170))
+IF(ISERROR(GETPIVOTDATA("Somma di DARE",'Pivot Amex'!$A$3,"Mese",10,"Tipologia",$A180,"Viaggio",$A$170)),0,GETPIVOTDATA("Somma di DARE",'Pivot Amex'!$A$3,"Mese",10,"Tipologia",$A180,"Viaggio",$A$170))
-IF(ISERROR(GETPIVOTDATA("Somma di AVERE",'Pivot Amex'!$A$3,"Mese",10,"Tipologia",$A180,"Viaggio",$A$170)),0,GETPIVOTDATA("Somma di AVERE",'Pivot Amex'!$A$3,"Mese",10,"Tipologia",$A180,"Viaggio",$A$170))
-IF(ISERROR(GETPIVOTDATA("Somma di AVERE",'Pivot BBVA'!$A$3,"Mese",10,"Tipologia",$A180,"Viaggio",$A$170)),0,GETPIVOTDATA("Somma di AVERE",'Pivot BBVA'!$A$3,"Mese",10,"Tipologia",$A180,"Viaggio",$A$170))
-IF(ISERROR(GETPIVOTDATA("Somma di AVERE",'Pivot Fineco St'!$A$3,"Mese",10,"Tipologia",$A180,"Viaggio",$A$170)),0,GETPIVOTDATA("Somma di AVERE",'Pivot Fineco St'!$A$3,"Mese",10,"Tipologia",$A180,"Viaggio",$A$170))
-IF(ISERROR(GETPIVOTDATA("Somma di AVERE",'Pivot Fineco Sa'!$A$3,"Mese",10,"Tipologia",$A180,"Viaggio",$A$170)),0,GETPIVOTDATA("Somma di AVERE",'Pivot Fineco Sa'!$A$3,"Mese",10,"Tipologia",$A180,"Viaggio",$A$170))
+IF(ISERROR(GETPIVOTDATA("Somma di DARE",'Pivot PP Visa'!$A$3,"Mese",10,"Tipologia",$A180,"Viaggio",$A$170)),0,GETPIVOTDATA("Somma di DARE",'Pivot PP Visa'!$A$3,"Mese",10,"Tipologia",$A180,"Viaggio",$A$170))
-IF(ISERROR(GETPIVOTDATA("Somma di AVERE",'Pivot PP Visa'!$A$3,"Mese",10,"Tipologia",$A180,"Viaggio",$A$170)),0,GETPIVOTDATA("Somma di AVERE",'Pivot PP Visa'!$A$3,"Mese",10,"Tipologia",$A180,"Viaggio",$A$170))
+IF(ISERROR(GETPIVOTDATA("Somma di DARE",'Pivot Revolut'!$A$3,"Mese",10,"Tipologia",$A180,"Viaggio",$A$170)),0,GETPIVOTDATA("Somma di DARE",'Pivot Revolut'!$A$3,"Mese",10,"Tipologia",$A180,"Viaggio",$A$170))
-IF(ISERROR(GETPIVOTDATA("Somma di AVERE",'Pivot Revolut'!$A$3,"Mese",10,"Tipologia",$A180,"Viaggio",$A$170)),0,GETPIVOTDATA("Somma di AVERE",'Pivot Revolut'!$A$3,"Mese",10,"Tipologia",$A180,"Viaggio",$A$170))
+IF(ISERROR(GETPIVOTDATA("Somma di DARE",'Pivot RakBank EUR'!$A$3,"Mese",10,"Tipologia",$A180,"Viaggio",$A$170)),0,GETPIVOTDATA("Somma di DARE",'Pivot RakBank EUR'!$A$3,"Mese",10,"Tipologia",$A180,"Viaggio",$A$170))
-IF(ISERROR(GETPIVOTDATA("Somma di AVERE",'Pivot RakBank EUR'!$A$3,"Mese",10,"Tipologia",$A180,"Viaggio",$A$170)),0,GETPIVOTDATA("Somma di AVERE",'Pivot RakBank EUR'!$A$3,"Mese",10,"Tipologia",$A180,"Viaggio",$A$170))
+IF(ISERROR(GETPIVOTDATA("Somma di DARE EUR",'Pivot RakBank AED'!$A$3,"Mese",10,"Tipologia",$A180,"Viaggio",$A$170)),0,GETPIVOTDATA("Somma di DARE EUR",'Pivot RakBank AED'!$A$3,"Mese",10,"Tipologia",$A180,"Viaggio",$A$170))
-IF(ISERROR(GETPIVOTDATA("Somma di AVERE EUR",'Pivot RakBank AED'!$A$3,"Mese",10,"Tipologia",$A180,"Viaggio",$A$170)),0,GETPIVOTDATA("Somma di AVERE EUR",'Pivot RakBank AED'!$A$3,"Mese",10,"Tipologia",$A180,"Viaggio",$A$170))</f>
        <v>0</v>
      </c>
      <c r="M180" s="270">
        <f>IF(ISERROR(GETPIVOTDATA("Somma di DARE",'Pivot Fineco Sa'!$A$3,"Mese",11,"Tipologia",$A180,"Viaggio",$A$170)),0,GETPIVOTDATA("Somma di DARE",'Pivot Fineco Sa'!$A$3,"Mese",11,"Tipologia",$A180,"Viaggio",$A$170))
+IF(ISERROR(GETPIVOTDATA("Somma di DARE",'Pivot Fineco St'!$A$3,"Mese",11,"Tipologia",$A180,"Viaggio",$A$170)),0,GETPIVOTDATA("Somma di DARE",'Pivot Fineco St'!$A$3,"Mese",11,"Tipologia",$A180,"Viaggio",$A$170))
+IF(Contanti!$AS48='Conto Economico'!$A$170,Contanti!$AP48)
+IF(ISERROR(GETPIVOTDATA("Somma di DARE",'Pivot BBVA'!$A$3,"Mese",11,"Tipologia",$A180,"Viaggio",$A$170)),0,GETPIVOTDATA("Somma di DARE",'Pivot BBVA'!$A$3,"Mese",11,"Tipologia",$A180,"Viaggio",$A$170))
+IF(ISERROR(GETPIVOTDATA("Somma di DARE",'Pivot Amex'!$A$3,"Mese",11,"Tipologia",$A180,"Viaggio",$A$170)),0,GETPIVOTDATA("Somma di DARE",'Pivot Amex'!$A$3,"Mese",11,"Tipologia",$A180,"Viaggio",$A$170))
-IF(ISERROR(GETPIVOTDATA("Somma di AVERE",'Pivot Amex'!$A$3,"Mese",11,"Tipologia",$A180,"Viaggio",$A$170)),0,GETPIVOTDATA("Somma di AVERE",'Pivot Amex'!$A$3,"Mese",11,"Tipologia",$A180,"Viaggio",$A$170))
-IF(ISERROR(GETPIVOTDATA("Somma di AVERE",'Pivot BBVA'!$A$3,"Mese",11,"Tipologia",$A180,"Viaggio",$A$170)),0,GETPIVOTDATA("Somma di AVERE",'Pivot BBVA'!$A$3,"Mese",11,"Tipologia",$A180,"Viaggio",$A$170))
-IF(ISERROR(GETPIVOTDATA("Somma di AVERE",'Pivot Fineco St'!$A$3,"Mese",11,"Tipologia",$A180,"Viaggio",$A$170)),0,GETPIVOTDATA("Somma di AVERE",'Pivot Fineco St'!$A$3,"Mese",11,"Tipologia",$A180,"Viaggio",$A$170))
-IF(ISERROR(GETPIVOTDATA("Somma di AVERE",'Pivot Fineco Sa'!$A$3,"Mese",11,"Tipologia",$A180,"Viaggio",$A$170)),0,GETPIVOTDATA("Somma di AVERE",'Pivot Fineco Sa'!$A$3,"Mese",11,"Tipologia",$A180,"Viaggio",$A$170))
+IF(ISERROR(GETPIVOTDATA("Somma di DARE",'Pivot PP Visa'!$A$3,"Mese",11,"Tipologia",$A180,"Viaggio",$A$170)),0,GETPIVOTDATA("Somma di DARE",'Pivot PP Visa'!$A$3,"Mese",11,"Tipologia",$A180,"Viaggio",$A$170))
-IF(ISERROR(GETPIVOTDATA("Somma di AVERE",'Pivot PP Visa'!$A$3,"Mese",11,"Tipologia",$A180,"Viaggio",$A$170)),0,GETPIVOTDATA("Somma di AVERE",'Pivot PP Visa'!$A$3,"Mese",11,"Tipologia",$A180,"Viaggio",$A$170))
+IF(ISERROR(GETPIVOTDATA("Somma di DARE",'Pivot Revolut'!$A$3,"Mese",11,"Tipologia",$A180,"Viaggio",$A$170)),0,GETPIVOTDATA("Somma di DARE",'Pivot Revolut'!$A$3,"Mese",11,"Tipologia",$A180,"Viaggio",$A$170))
-IF(ISERROR(GETPIVOTDATA("Somma di AVERE",'Pivot Revolut'!$A$3,"Mese",11,"Tipologia",$A180,"Viaggio",$A$170)),0,GETPIVOTDATA("Somma di AVERE",'Pivot Revolut'!$A$3,"Mese",11,"Tipologia",$A180,"Viaggio",$A$170))
+IF(ISERROR(GETPIVOTDATA("Somma di DARE",'Pivot RakBank EUR'!$A$3,"Mese",11,"Tipologia",$A180,"Viaggio",$A$170)),0,GETPIVOTDATA("Somma di DARE",'Pivot RakBank EUR'!$A$3,"Mese",11,"Tipologia",$A180,"Viaggio",$A$170))
-IF(ISERROR(GETPIVOTDATA("Somma di AVERE",'Pivot RakBank EUR'!$A$3,"Mese",11,"Tipologia",$A180,"Viaggio",$A$170)),0,GETPIVOTDATA("Somma di AVERE",'Pivot RakBank EUR'!$A$3,"Mese",11,"Tipologia",$A180,"Viaggio",$A$170))
+IF(ISERROR(GETPIVOTDATA("Somma di DARE EUR",'Pivot RakBank AED'!$A$3,"Mese",11,"Tipologia",$A180,"Viaggio",$A$170)),0,GETPIVOTDATA("Somma di DARE EUR",'Pivot RakBank AED'!$A$3,"Mese",11,"Tipologia",$A180,"Viaggio",$A$170))
-IF(ISERROR(GETPIVOTDATA("Somma di AVERE EUR",'Pivot RakBank AED'!$A$3,"Mese",11,"Tipologia",$A180,"Viaggio",$A$170)),0,GETPIVOTDATA("Somma di AVERE EUR",'Pivot RakBank AED'!$A$3,"Mese",11,"Tipologia",$A180,"Viaggio",$A$170))</f>
        <v>0</v>
      </c>
      <c r="N180" s="270">
        <f>IF(ISERROR(GETPIVOTDATA("Somma di DARE",'Pivot Fineco Sa'!$A$3,"Mese",12,"Tipologia",$A180,"Viaggio",$A$170)),0,GETPIVOTDATA("Somma di DARE",'Pivot Fineco Sa'!$A$3,"Mese",12,"Tipologia",$A180,"Viaggio",$A$170))
+IF(ISERROR(GETPIVOTDATA("Somma di DARE",'Pivot Fineco St'!$A$3,"Mese",12,"Tipologia",$A180,"Viaggio",$A$170)),0,GETPIVOTDATA("Somma di DARE",'Pivot Fineco St'!$A$3,"Mese",12,"Tipologia",$A180,"Viaggio",$A$170))
+IF(Contanti!$AW48='Conto Economico'!$A$170,Contanti!$AT48)
+IF(ISERROR(GETPIVOTDATA("Somma di DARE",'Pivot BBVA'!$A$3,"Mese",12,"Tipologia",$A180,"Viaggio",$A$170)),0,GETPIVOTDATA("Somma di DARE",'Pivot BBVA'!$A$3,"Mese",12,"Tipologia",$A180,"Viaggio",$A$170))
+IF(ISERROR(GETPIVOTDATA("Somma di DARE",'Pivot Amex'!$A$3,"Mese",12,"Tipologia",$A180,"Viaggio",$A$170)),0,GETPIVOTDATA("Somma di DARE",'Pivot Amex'!$A$3,"Mese",12,"Tipologia",$A180,"Viaggio",$A$170))
-IF(ISERROR(GETPIVOTDATA("Somma di AVERE",'Pivot Amex'!$A$3,"Mese",12,"Tipologia",$A180,"Viaggio",$A$170)),0,GETPIVOTDATA("Somma di AVERE",'Pivot Amex'!$A$3,"Mese",12,"Tipologia",$A180,"Viaggio",$A$170))
-IF(ISERROR(GETPIVOTDATA("Somma di AVERE",'Pivot BBVA'!$A$3,"Mese",12,"Tipologia",$A180,"Viaggio",$A$170)),0,GETPIVOTDATA("Somma di AVERE",'Pivot BBVA'!$A$3,"Mese",12,"Tipologia",$A180,"Viaggio",$A$170))
-IF(ISERROR(GETPIVOTDATA("Somma di AVERE",'Pivot Fineco St'!$A$3,"Mese",12,"Tipologia",$A180,"Viaggio",$A$170)),0,GETPIVOTDATA("Somma di AVERE",'Pivot Fineco St'!$A$3,"Mese",12,"Tipologia",$A180,"Viaggio",$A$170))
-IF(ISERROR(GETPIVOTDATA("Somma di AVERE",'Pivot Fineco Sa'!$A$3,"Mese",12,"Tipologia",$A180,"Viaggio",$A$170)),0,GETPIVOTDATA("Somma di AVERE",'Pivot Fineco Sa'!$A$3,"Mese",12,"Tipologia",$A180,"Viaggio",$A$170))
+IF(ISERROR(GETPIVOTDATA("Somma di DARE",'Pivot PP Visa'!$A$3,"Mese",12,"Tipologia",$A180,"Viaggio",$A$170)),0,GETPIVOTDATA("Somma di DARE",'Pivot PP Visa'!$A$3,"Mese",12,"Tipologia",$A180,"Viaggio",$A$170))
-IF(ISERROR(GETPIVOTDATA("Somma di AVERE",'Pivot PP Visa'!$A$3,"Mese",12,"Tipologia",$A180,"Viaggio",$A$170)),0,GETPIVOTDATA("Somma di AVERE",'Pivot PP Visa'!$A$3,"Mese",12,"Tipologia",$A180,"Viaggio",$A$170))
+IF(ISERROR(GETPIVOTDATA("Somma di DARE",'Pivot Revolut'!$A$3,"Mese",12,"Tipologia",$A180,"Viaggio",$A$170)),0,GETPIVOTDATA("Somma di DARE",'Pivot Revolut'!$A$3,"Mese",12,"Tipologia",$A180,"Viaggio",$A$170))
-IF(ISERROR(GETPIVOTDATA("Somma di AVERE",'Pivot Revolut'!$A$3,"Mese",12,"Tipologia",$A180,"Viaggio",$A$170)),0,GETPIVOTDATA("Somma di AVERE",'Pivot Revolut'!$A$3,"Mese",12,"Tipologia",$A180,"Viaggio",$A$170))
+IF(ISERROR(GETPIVOTDATA("Somma di DARE",'Pivot RakBank EUR'!$A$3,"Mese",12,"Tipologia",$A180,"Viaggio",$A$170)),0,GETPIVOTDATA("Somma di DARE",'Pivot RakBank EUR'!$A$3,"Mese",12,"Tipologia",$A180,"Viaggio",$A$170))
-IF(ISERROR(GETPIVOTDATA("Somma di AVERE",'Pivot RakBank EUR'!$A$3,"Mese",12,"Tipologia",$A180,"Viaggio",$A$170)),0,GETPIVOTDATA("Somma di AVERE",'Pivot RakBank EUR'!$A$3,"Mese",12,"Tipologia",$A180,"Viaggio",$A$170))
+IF(ISERROR(GETPIVOTDATA("Somma di DARE EUR",'Pivot RakBank AED'!$A$3,"Mese",12,"Tipologia",$A180,"Viaggio",$A$170)),0,GETPIVOTDATA("Somma di DARE EUR",'Pivot RakBank AED'!$A$3,"Mese",12,"Tipologia",$A180,"Viaggio",$A$170))
-IF(ISERROR(GETPIVOTDATA("Somma di AVERE EUR",'Pivot RakBank AED'!$A$3,"Mese",12,"Tipologia",$A180,"Viaggio",$A$170)),0,GETPIVOTDATA("Somma di AVERE EUR",'Pivot RakBank AED'!$A$3,"Mese",12,"Tipologia",$A180,"Viaggio",$A$170))</f>
        <v>0</v>
      </c>
      <c r="O180" s="271">
        <f t="shared" si="23"/>
        <v>0</v>
      </c>
      <c r="P180" s="270"/>
    </row>
    <row r="181" spans="1:16" s="131" customFormat="1" ht="14" outlineLevel="1" x14ac:dyDescent="0.2">
      <c r="A181" s="269" t="s">
        <v>102</v>
      </c>
      <c r="B181" s="269"/>
      <c r="C181" s="270">
        <f>IF(ISERROR(GETPIVOTDATA("Somma di DARE",'Pivot Fineco Sa'!$A$3,"Mese",1,"Tipologia",$A181,"Viaggio",$A$170)),0,GETPIVOTDATA("Somma di DARE",'Pivot Fineco Sa'!$A$3,"Mese",1,"Tipologia",$A181,"Viaggio",$A$170))
+IF(ISERROR(GETPIVOTDATA("Somma di DARE",'Pivot Fineco St'!$A$3,"Mese",1,"Tipologia",$A181,"Viaggio",$A$170)),0,GETPIVOTDATA("Somma di DARE",'Pivot Fineco St'!$A$3,"Mese",1,"Tipologia",$A181,"Viaggio",$A$170))
+IF(Contanti!$E49='Conto Economico'!$A$170,Contanti!$B49)
+IF(ISERROR(GETPIVOTDATA("Somma di DARE",'Pivot BBVA'!$A$3,"Mese",1,"Tipologia",$A181,"Viaggio",$A$170)),0,GETPIVOTDATA("Somma di DARE",'Pivot BBVA'!$A$3,"Mese",1,"Tipologia",$A181,"Viaggio",$A$170))
+IF(ISERROR(GETPIVOTDATA("Somma di DARE",'Pivot Amex'!$A$3,"Mese",1,"Tipologia",$A181,"Viaggio",$A$170)),0,GETPIVOTDATA("Somma di DARE",'Pivot Amex'!$A$3,"Mese",1,"Tipologia",$A181,"Viaggio",$A$170))
-IF(ISERROR(GETPIVOTDATA("Somma di AVERE",'Pivot Amex'!$A$3,"Mese",1,"Tipologia",$A181,"Viaggio",$A$170)),0,GETPIVOTDATA("Somma di AVERE",'Pivot Amex'!$A$3,"Mese",1,"Tipologia",$A181,"Viaggio",$A$170))
-IF(ISERROR(GETPIVOTDATA("Somma di AVERE",'Pivot BBVA'!$A$3,"Mese",1,"Tipologia",$A181,"Viaggio",$A$170)),0,GETPIVOTDATA("Somma di AVERE",'Pivot BBVA'!$A$3,"Mese",1,"Tipologia",$A181,"Viaggio",$A$170))
-IF(ISERROR(GETPIVOTDATA("Somma di AVERE",'Pivot Fineco St'!$A$3,"Mese",1,"Tipologia",$A181,"Viaggio",$A$170)),0,GETPIVOTDATA("Somma di AVERE",'Pivot Fineco St'!$A$3,"Mese",1,"Tipologia",$A181,"Viaggio",$A$170))
-IF(ISERROR(GETPIVOTDATA("Somma di AVERE",'Pivot Fineco Sa'!$A$3,"Mese",1,"Tipologia",$A181,"Viaggio",$A$170)),0,GETPIVOTDATA("Somma di AVERE",'Pivot Fineco Sa'!$A$3,"Mese",1,"Tipologia",$A181,"Viaggio",$A$170))
+IF(ISERROR(GETPIVOTDATA("Somma di DARE",'Pivot PP Visa'!$A$3,"Mese",1,"Tipologia",$A181,"Viaggio",$A$170)),0,GETPIVOTDATA("Somma di DARE",'Pivot PP Visa'!$A$3,"Mese",1,"Tipologia",$A181,"Viaggio",$A$170))
-IF(ISERROR(GETPIVOTDATA("Somma di AVERE",'Pivot PP Visa'!$A$3,"Mese",1,"Tipologia",$A181,"Viaggio",$A$170)),0,GETPIVOTDATA("Somma di AVERE",'Pivot PP Visa'!$A$3,"Mese",1,"Tipologia",$A181,"Viaggio",$A$170))
+IF(ISERROR(GETPIVOTDATA("Somma di DARE",'Pivot Revolut'!$A$3,"Mese",1,"Tipologia",$A181,"Viaggio",$A$170)),0,GETPIVOTDATA("Somma di DARE",'Pivot Revolut'!$A$3,"Mese",1,"Tipologia",$A181,"Viaggio",$A$170))
-IF(ISERROR(GETPIVOTDATA("Somma di AVERE",'Pivot Revolut'!$A$3,"Mese",1,"Tipologia",$A181,"Viaggio",$A$170)),0,GETPIVOTDATA("Somma di AVERE",'Pivot Revolut'!$A$3,"Mese",1,"Tipologia",$A181,"Viaggio",$A$170))
+IF(ISERROR(GETPIVOTDATA("Somma di DARE",'Pivot RakBank EUR'!$A$3,"Mese",1,"Tipologia",$A181,"Viaggio",$A$170)),0,GETPIVOTDATA("Somma di DARE",'Pivot RakBank EUR'!$A$3,"Mese",1,"Tipologia",$A181,"Viaggio",$A$170))
-IF(ISERROR(GETPIVOTDATA("Somma di AVERE",'Pivot RakBank EUR'!$A$3,"Mese",1,"Tipologia",$A181,"Viaggio",$A$170)),0,GETPIVOTDATA("Somma di AVERE",'Pivot RakBank EUR'!$A$3,"Mese",1,"Tipologia",$A181,"Viaggio",$A$170))
+IF(ISERROR(GETPIVOTDATA("Somma di DARE EUR",'Pivot RakBank AED'!$A$3,"Mese",1,"Tipologia",$A181,"Viaggio",$A$170)),0,GETPIVOTDATA("Somma di DARE EUR",'Pivot RakBank AED'!$A$3,"Mese",1,"Tipologia",$A181,"Viaggio",$A$170))
-IF(ISERROR(GETPIVOTDATA("Somma di AVERE EUR",'Pivot RakBank AED'!$A$3,"Mese",1,"Tipologia",$A181,"Viaggio",$A$170)),0,GETPIVOTDATA("Somma di AVERE EUR",'Pivot RakBank AED'!$A$3,"Mese",1,"Tipologia",$A181,"Viaggio",$A$170))</f>
        <v>0</v>
      </c>
      <c r="D181" s="270">
        <f>IF(ISERROR(GETPIVOTDATA("Somma di DARE",'Pivot Fineco Sa'!$A$3,"Mese",2,"Tipologia",$A181,"Viaggio",$A$170)),0,GETPIVOTDATA("Somma di DARE",'Pivot Fineco Sa'!$A$3,"Mese",2,"Tipologia",$A181,"Viaggio",$A$170))
+IF(ISERROR(GETPIVOTDATA("Somma di DARE",'Pivot Fineco St'!$A$3,"Mese",2,"Tipologia",$A181,"Viaggio",$A$170)),0,GETPIVOTDATA("Somma di DARE",'Pivot Fineco St'!$A$3,"Mese",2,"Tipologia",$A181,"Viaggio",$A$170))
+IF(Contanti!$I49='Conto Economico'!$A$170,Contanti!$F49)
+IF(ISERROR(GETPIVOTDATA("Somma di DARE",'Pivot BBVA'!$A$3,"Mese",2,"Tipologia",$A181,"Viaggio",$A$170)),0,GETPIVOTDATA("Somma di DARE",'Pivot BBVA'!$A$3,"Mese",2,"Tipologia",$A181,"Viaggio",$A$170))
+IF(ISERROR(GETPIVOTDATA("Somma di DARE",'Pivot Amex'!$A$3,"Mese",2,"Tipologia",$A181,"Viaggio",$A$170)),0,GETPIVOTDATA("Somma di DARE",'Pivot Amex'!$A$3,"Mese",2,"Tipologia",$A181,"Viaggio",$A$170))
-IF(ISERROR(GETPIVOTDATA("Somma di AVERE",'Pivot Amex'!$A$3,"Mese",2,"Tipologia",$A181,"Viaggio",$A$170)),0,GETPIVOTDATA("Somma di AVERE",'Pivot Amex'!$A$3,"Mese",2,"Tipologia",$A181,"Viaggio",$A$170))
-IF(ISERROR(GETPIVOTDATA("Somma di AVERE",'Pivot BBVA'!$A$3,"Mese",2,"Tipologia",$A181,"Viaggio",$A$170)),0,GETPIVOTDATA("Somma di AVERE",'Pivot BBVA'!$A$3,"Mese",2,"Tipologia",$A181,"Viaggio",$A$170))
-IF(ISERROR(GETPIVOTDATA("Somma di AVERE",'Pivot Fineco St'!$A$3,"Mese",2,"Tipologia",$A181,"Viaggio",$A$170)),0,GETPIVOTDATA("Somma di AVERE",'Pivot Fineco St'!$A$3,"Mese",2,"Tipologia",$A181,"Viaggio",$A$170))
-IF(ISERROR(GETPIVOTDATA("Somma di AVERE",'Pivot Fineco Sa'!$A$3,"Mese",2,"Tipologia",$A181,"Viaggio",$A$170)),0,GETPIVOTDATA("Somma di AVERE",'Pivot Fineco Sa'!$A$3,"Mese",2,"Tipologia",$A181,"Viaggio",$A$170))
+IF(ISERROR(GETPIVOTDATA("Somma di DARE",'Pivot PP Visa'!$A$3,"Mese",2,"Tipologia",$A181,"Viaggio",$A$170)),0,GETPIVOTDATA("Somma di DARE",'Pivot PP Visa'!$A$3,"Mese",2,"Tipologia",$A181,"Viaggio",$A$170))
-IF(ISERROR(GETPIVOTDATA("Somma di AVERE",'Pivot PP Visa'!$A$3,"Mese",2,"Tipologia",$A181,"Viaggio",$A$170)),0,GETPIVOTDATA("Somma di AVERE",'Pivot PP Visa'!$A$3,"Mese",2,"Tipologia",$A181,"Viaggio",$A$170))
+IF(ISERROR(GETPIVOTDATA("Somma di DARE",'Pivot Revolut'!$A$3,"Mese",2,"Tipologia",$A181,"Viaggio",$A$170)),0,GETPIVOTDATA("Somma di DARE",'Pivot Revolut'!$A$3,"Mese",2,"Tipologia",$A181,"Viaggio",$A$170))
-IF(ISERROR(GETPIVOTDATA("Somma di AVERE",'Pivot Revolut'!$A$3,"Mese",2,"Tipologia",$A181,"Viaggio",$A$170)),0,GETPIVOTDATA("Somma di AVERE",'Pivot Revolut'!$A$3,"Mese",2,"Tipologia",$A181,"Viaggio",$A$170))
+IF(ISERROR(GETPIVOTDATA("Somma di DARE",'Pivot RakBank EUR'!$A$3,"Mese",2,"Tipologia",$A181,"Viaggio",$A$170)),0,GETPIVOTDATA("Somma di DARE",'Pivot RakBank EUR'!$A$3,"Mese",2,"Tipologia",$A181,"Viaggio",$A$170))
-IF(ISERROR(GETPIVOTDATA("Somma di AVERE",'Pivot RakBank EUR'!$A$3,"Mese",2,"Tipologia",$A181,"Viaggio",$A$170)),0,GETPIVOTDATA("Somma di AVERE",'Pivot RakBank EUR'!$A$3,"Mese",2,"Tipologia",$A181,"Viaggio",$A$170))
+IF(ISERROR(GETPIVOTDATA("Somma di DARE EUR",'Pivot RakBank AED'!$A$3,"Mese",2,"Tipologia",$A181,"Viaggio",$A$170)),0,GETPIVOTDATA("Somma di DARE EUR",'Pivot RakBank AED'!$A$3,"Mese",2,"Tipologia",$A181,"Viaggio",$A$170))
-IF(ISERROR(GETPIVOTDATA("Somma di AVERE EUR",'Pivot RakBank AED'!$A$3,"Mese",2,"Tipologia",$A181,"Viaggio",$A$170)),0,GETPIVOTDATA("Somma di AVERE EUR",'Pivot RakBank AED'!$A$3,"Mese",2,"Tipologia",$A181,"Viaggio",$A$170))</f>
        <v>0</v>
      </c>
      <c r="E181" s="270">
        <f>IF(ISERROR(GETPIVOTDATA("Somma di DARE",'Pivot Fineco Sa'!$A$3,"Mese",3,"Tipologia",$A181,"Viaggio",$A$170)),0,GETPIVOTDATA("Somma di DARE",'Pivot Fineco Sa'!$A$3,"Mese",3,"Tipologia",$A181,"Viaggio",$A$170))
+IF(ISERROR(GETPIVOTDATA("Somma di DARE",'Pivot Fineco St'!$A$3,"Mese",3,"Tipologia",$A181,"Viaggio",$A$170)),0,GETPIVOTDATA("Somma di DARE",'Pivot Fineco St'!$A$3,"Mese",3,"Tipologia",$A181,"Viaggio",$A$170))
+IF(Contanti!$M49='Conto Economico'!$A$170,Contanti!$J49)
+IF(ISERROR(GETPIVOTDATA("Somma di DARE",'Pivot BBVA'!$A$3,"Mese",3,"Tipologia",$A181,"Viaggio",$A$170)),0,GETPIVOTDATA("Somma di DARE",'Pivot BBVA'!$A$3,"Mese",3,"Tipologia",$A181,"Viaggio",$A$170))
+IF(ISERROR(GETPIVOTDATA("Somma di DARE",'Pivot Amex'!$A$3,"Mese",3,"Tipologia",$A181,"Viaggio",$A$170)),0,GETPIVOTDATA("Somma di DARE",'Pivot Amex'!$A$3,"Mese",3,"Tipologia",$A181,"Viaggio",$A$170))
-IF(ISERROR(GETPIVOTDATA("Somma di AVERE",'Pivot Amex'!$A$3,"Mese",3,"Tipologia",$A181,"Viaggio",$A$170)),0,GETPIVOTDATA("Somma di AVERE",'Pivot Amex'!$A$3,"Mese",3,"Tipologia",$A181,"Viaggio",$A$170))
-IF(ISERROR(GETPIVOTDATA("Somma di AVERE",'Pivot BBVA'!$A$3,"Mese",3,"Tipologia",$A181,"Viaggio",$A$170)),0,GETPIVOTDATA("Somma di AVERE",'Pivot BBVA'!$A$3,"Mese",3,"Tipologia",$A181,"Viaggio",$A$170))
-IF(ISERROR(GETPIVOTDATA("Somma di AVERE",'Pivot Fineco St'!$A$3,"Mese",3,"Tipologia",$A181,"Viaggio",$A$170)),0,GETPIVOTDATA("Somma di AVERE",'Pivot Fineco St'!$A$3,"Mese",3,"Tipologia",$A181,"Viaggio",$A$170))
-IF(ISERROR(GETPIVOTDATA("Somma di AVERE",'Pivot Fineco Sa'!$A$3,"Mese",3,"Tipologia",$A181,"Viaggio",$A$170)),0,GETPIVOTDATA("Somma di AVERE",'Pivot Fineco Sa'!$A$3,"Mese",3,"Tipologia",$A181,"Viaggio",$A$170))
+IF(ISERROR(GETPIVOTDATA("Somma di DARE",'Pivot PP Visa'!$A$3,"Mese",3,"Tipologia",$A181,"Viaggio",$A$170)),0,GETPIVOTDATA("Somma di DARE",'Pivot PP Visa'!$A$3,"Mese",3,"Tipologia",$A181,"Viaggio",$A$170))
-IF(ISERROR(GETPIVOTDATA("Somma di AVERE",'Pivot PP Visa'!$A$3,"Mese",3,"Tipologia",$A181,"Viaggio",$A$170)),0,GETPIVOTDATA("Somma di AVERE",'Pivot PP Visa'!$A$3,"Mese",3,"Tipologia",$A181,"Viaggio",$A$170))
+IF(ISERROR(GETPIVOTDATA("Somma di DARE",'Pivot Revolut'!$A$3,"Mese",3,"Tipologia",$A181,"Viaggio",$A$170)),0,GETPIVOTDATA("Somma di DARE",'Pivot Revolut'!$A$3,"Mese",3,"Tipologia",$A181,"Viaggio",$A$170))
-IF(ISERROR(GETPIVOTDATA("Somma di AVERE",'Pivot Revolut'!$A$3,"Mese",3,"Tipologia",$A181,"Viaggio",$A$170)),0,GETPIVOTDATA("Somma di AVERE",'Pivot Revolut'!$A$3,"Mese",3,"Tipologia",$A181,"Viaggio",$A$170))
+IF(ISERROR(GETPIVOTDATA("Somma di DARE",'Pivot RakBank EUR'!$A$3,"Mese",3,"Tipologia",$A181,"Viaggio",$A$170)),0,GETPIVOTDATA("Somma di DARE",'Pivot RakBank EUR'!$A$3,"Mese",3,"Tipologia",$A181,"Viaggio",$A$170))
-IF(ISERROR(GETPIVOTDATA("Somma di AVERE",'Pivot RakBank EUR'!$A$3,"Mese",3,"Tipologia",$A181,"Viaggio",$A$170)),0,GETPIVOTDATA("Somma di AVERE",'Pivot RakBank EUR'!$A$3,"Mese",3,"Tipologia",$A181,"Viaggio",$A$170))
+IF(ISERROR(GETPIVOTDATA("Somma di DARE EUR",'Pivot RakBank AED'!$A$3,"Mese",3,"Tipologia",$A181,"Viaggio",$A$170)),0,GETPIVOTDATA("Somma di DARE EUR",'Pivot RakBank AED'!$A$3,"Mese",3,"Tipologia",$A181,"Viaggio",$A$170))
-IF(ISERROR(GETPIVOTDATA("Somma di AVERE EUR",'Pivot RakBank AED'!$A$3,"Mese",3,"Tipologia",$A181,"Viaggio",$A$170)),0,GETPIVOTDATA("Somma di AVERE EUR",'Pivot RakBank AED'!$A$3,"Mese",3,"Tipologia",$A181,"Viaggio",$A$170))</f>
        <v>0</v>
      </c>
      <c r="F181" s="270">
        <f>IF(ISERROR(GETPIVOTDATA("Somma di DARE",'Pivot Fineco Sa'!$A$3,"Mese",4,"Tipologia",$A181,"Viaggio",$A$170)),0,GETPIVOTDATA("Somma di DARE",'Pivot Fineco Sa'!$A$3,"Mese",4,"Tipologia",$A181,"Viaggio",$A$170))
+IF(ISERROR(GETPIVOTDATA("Somma di DARE",'Pivot Fineco St'!$A$3,"Mese",4,"Tipologia",$A181,"Viaggio",$A$170)),0,GETPIVOTDATA("Somma di DARE",'Pivot Fineco St'!$A$3,"Mese",4,"Tipologia",$A181,"Viaggio",$A$170))
+IF(Contanti!$Q49='Conto Economico'!$A$170,Contanti!$N49)
+IF(ISERROR(GETPIVOTDATA("Somma di DARE",'Pivot BBVA'!$A$3,"Mese",4,"Tipologia",$A181,"Viaggio",$A$170)),0,GETPIVOTDATA("Somma di DARE",'Pivot BBVA'!$A$3,"Mese",4,"Tipologia",$A181,"Viaggio",$A$170))
+IF(ISERROR(GETPIVOTDATA("Somma di DARE",'Pivot Amex'!$A$3,"Mese",4,"Tipologia",$A181,"Viaggio",$A$170)),0,GETPIVOTDATA("Somma di DARE",'Pivot Amex'!$A$3,"Mese",4,"Tipologia",$A181,"Viaggio",$A$170))
-IF(ISERROR(GETPIVOTDATA("Somma di AVERE",'Pivot Amex'!$A$3,"Mese",4,"Tipologia",$A181,"Viaggio",$A$170)),0,GETPIVOTDATA("Somma di AVERE",'Pivot Amex'!$A$3,"Mese",4,"Tipologia",$A181,"Viaggio",$A$170))
-IF(ISERROR(GETPIVOTDATA("Somma di AVERE",'Pivot BBVA'!$A$3,"Mese",4,"Tipologia",$A181,"Viaggio",$A$170)),0,GETPIVOTDATA("Somma di AVERE",'Pivot BBVA'!$A$3,"Mese",4,"Tipologia",$A181,"Viaggio",$A$170))
-IF(ISERROR(GETPIVOTDATA("Somma di AVERE",'Pivot Fineco St'!$A$3,"Mese",4,"Tipologia",$A181,"Viaggio",$A$170)),0,GETPIVOTDATA("Somma di AVERE",'Pivot Fineco St'!$A$3,"Mese",4,"Tipologia",$A181,"Viaggio",$A$170))
-IF(ISERROR(GETPIVOTDATA("Somma di AVERE",'Pivot Fineco Sa'!$A$3,"Mese",4,"Tipologia",$A181,"Viaggio",$A$170)),0,GETPIVOTDATA("Somma di AVERE",'Pivot Fineco Sa'!$A$3,"Mese",4,"Tipologia",$A181,"Viaggio",$A$170))
+IF(ISERROR(GETPIVOTDATA("Somma di DARE",'Pivot PP Visa'!$A$3,"Mese",4,"Tipologia",$A181,"Viaggio",$A$170)),0,GETPIVOTDATA("Somma di DARE",'Pivot PP Visa'!$A$3,"Mese",4,"Tipologia",$A181,"Viaggio",$A$170))
-IF(ISERROR(GETPIVOTDATA("Somma di AVERE",'Pivot PP Visa'!$A$3,"Mese",4,"Tipologia",$A181,"Viaggio",$A$170)),0,GETPIVOTDATA("Somma di AVERE",'Pivot PP Visa'!$A$3,"Mese",4,"Tipologia",$A181,"Viaggio",$A$170))
+IF(ISERROR(GETPIVOTDATA("Somma di DARE",'Pivot Revolut'!$A$3,"Mese",4,"Tipologia",$A181,"Viaggio",$A$170)),0,GETPIVOTDATA("Somma di DARE",'Pivot Revolut'!$A$3,"Mese",4,"Tipologia",$A181,"Viaggio",$A$170))
-IF(ISERROR(GETPIVOTDATA("Somma di AVERE",'Pivot Revolut'!$A$3,"Mese",4,"Tipologia",$A181,"Viaggio",$A$170)),0,GETPIVOTDATA("Somma di AVERE",'Pivot Revolut'!$A$3,"Mese",4,"Tipologia",$A181,"Viaggio",$A$170))
+IF(ISERROR(GETPIVOTDATA("Somma di DARE",'Pivot RakBank EUR'!$A$3,"Mese",4,"Tipologia",$A181,"Viaggio",$A$170)),0,GETPIVOTDATA("Somma di DARE",'Pivot RakBank EUR'!$A$3,"Mese",4,"Tipologia",$A181,"Viaggio",$A$170))
-IF(ISERROR(GETPIVOTDATA("Somma di AVERE",'Pivot RakBank EUR'!$A$3,"Mese",4,"Tipologia",$A181,"Viaggio",$A$170)),0,GETPIVOTDATA("Somma di AVERE",'Pivot RakBank EUR'!$A$3,"Mese",4,"Tipologia",$A181,"Viaggio",$A$170))
+IF(ISERROR(GETPIVOTDATA("Somma di DARE EUR",'Pivot RakBank AED'!$A$3,"Mese",4,"Tipologia",$A181,"Viaggio",$A$170)),0,GETPIVOTDATA("Somma di DARE EUR",'Pivot RakBank AED'!$A$3,"Mese",4,"Tipologia",$A181,"Viaggio",$A$170))
-IF(ISERROR(GETPIVOTDATA("Somma di AVERE EUR",'Pivot RakBank AED'!$A$3,"Mese",4,"Tipologia",$A181,"Viaggio",$A$170)),0,GETPIVOTDATA("Somma di AVERE EUR",'Pivot RakBank AED'!$A$3,"Mese",4,"Tipologia",$A181,"Viaggio",$A$170))</f>
        <v>0</v>
      </c>
      <c r="G181" s="270">
        <f>IF(ISERROR(GETPIVOTDATA("Somma di DARE",'Pivot Fineco Sa'!$A$3,"Mese",5,"Tipologia",$A181,"Viaggio",$A$170)),0,GETPIVOTDATA("Somma di DARE",'Pivot Fineco Sa'!$A$3,"Mese",5,"Tipologia",$A181,"Viaggio",$A$170))
+IF(ISERROR(GETPIVOTDATA("Somma di DARE",'Pivot Fineco St'!$A$3,"Mese",5,"Tipologia",$A181,"Viaggio",$A$170)),0,GETPIVOTDATA("Somma di DARE",'Pivot Fineco St'!$A$3,"Mese",5,"Tipologia",$A181,"Viaggio",$A$170))
+IF(Contanti!$U49='Conto Economico'!$A$170,Contanti!$R49)
+IF(ISERROR(GETPIVOTDATA("Somma di DARE",'Pivot BBVA'!$A$3,"Mese",5,"Tipologia",$A181,"Viaggio",$A$170)),0,GETPIVOTDATA("Somma di DARE",'Pivot BBVA'!$A$3,"Mese",5,"Tipologia",$A181,"Viaggio",$A$170))
+IF(ISERROR(GETPIVOTDATA("Somma di DARE",'Pivot Amex'!$A$3,"Mese",5,"Tipologia",$A181,"Viaggio",$A$170)),0,GETPIVOTDATA("Somma di DARE",'Pivot Amex'!$A$3,"Mese",5,"Tipologia",$A181,"Viaggio",$A$170))
-IF(ISERROR(GETPIVOTDATA("Somma di AVERE",'Pivot Amex'!$A$3,"Mese",5,"Tipologia",$A181,"Viaggio",$A$170)),0,GETPIVOTDATA("Somma di AVERE",'Pivot Amex'!$A$3,"Mese",5,"Tipologia",$A181,"Viaggio",$A$170))
-IF(ISERROR(GETPIVOTDATA("Somma di AVERE",'Pivot BBVA'!$A$3,"Mese",5,"Tipologia",$A181,"Viaggio",$A$170)),0,GETPIVOTDATA("Somma di AVERE",'Pivot BBVA'!$A$3,"Mese",5,"Tipologia",$A181,"Viaggio",$A$170))
-IF(ISERROR(GETPIVOTDATA("Somma di AVERE",'Pivot Fineco St'!$A$3,"Mese",5,"Tipologia",$A181,"Viaggio",$A$170)),0,GETPIVOTDATA("Somma di AVERE",'Pivot Fineco St'!$A$3,"Mese",5,"Tipologia",$A181,"Viaggio",$A$170))
-IF(ISERROR(GETPIVOTDATA("Somma di AVERE",'Pivot Fineco Sa'!$A$3,"Mese",5,"Tipologia",$A181,"Viaggio",$A$170)),0,GETPIVOTDATA("Somma di AVERE",'Pivot Fineco Sa'!$A$3,"Mese",5,"Tipologia",$A181,"Viaggio",$A$170))
+IF(ISERROR(GETPIVOTDATA("Somma di DARE",'Pivot PP Visa'!$A$3,"Mese",5,"Tipologia",$A181,"Viaggio",$A$170)),0,GETPIVOTDATA("Somma di DARE",'Pivot PP Visa'!$A$3,"Mese",5,"Tipologia",$A181,"Viaggio",$A$170))
-IF(ISERROR(GETPIVOTDATA("Somma di AVERE",'Pivot PP Visa'!$A$3,"Mese",5,"Tipologia",$A181,"Viaggio",$A$170)),0,GETPIVOTDATA("Somma di AVERE",'Pivot PP Visa'!$A$3,"Mese",5,"Tipologia",$A181,"Viaggio",$A$170))
+IF(ISERROR(GETPIVOTDATA("Somma di DARE",'Pivot Revolut'!$A$3,"Mese",5,"Tipologia",$A181,"Viaggio",$A$170)),0,GETPIVOTDATA("Somma di DARE",'Pivot Revolut'!$A$3,"Mese",5,"Tipologia",$A181,"Viaggio",$A$170))
-IF(ISERROR(GETPIVOTDATA("Somma di AVERE",'Pivot Revolut'!$A$3,"Mese",5,"Tipologia",$A181,"Viaggio",$A$170)),0,GETPIVOTDATA("Somma di AVERE",'Pivot Revolut'!$A$3,"Mese",5,"Tipologia",$A181,"Viaggio",$A$170))
+IF(ISERROR(GETPIVOTDATA("Somma di DARE",'Pivot RakBank EUR'!$A$3,"Mese",5,"Tipologia",$A181,"Viaggio",$A$170)),0,GETPIVOTDATA("Somma di DARE",'Pivot RakBank EUR'!$A$3,"Mese",5,"Tipologia",$A181,"Viaggio",$A$170))
-IF(ISERROR(GETPIVOTDATA("Somma di AVERE",'Pivot RakBank EUR'!$A$3,"Mese",5,"Tipologia",$A181,"Viaggio",$A$170)),0,GETPIVOTDATA("Somma di AVERE",'Pivot RakBank EUR'!$A$3,"Mese",5,"Tipologia",$A181,"Viaggio",$A$170))
+IF(ISERROR(GETPIVOTDATA("Somma di DARE EUR",'Pivot RakBank AED'!$A$3,"Mese",5,"Tipologia",$A181,"Viaggio",$A$170)),0,GETPIVOTDATA("Somma di DARE EUR",'Pivot RakBank AED'!$A$3,"Mese",5,"Tipologia",$A181,"Viaggio",$A$170))
-IF(ISERROR(GETPIVOTDATA("Somma di AVERE EUR",'Pivot RakBank AED'!$A$3,"Mese",5,"Tipologia",$A181,"Viaggio",$A$170)),0,GETPIVOTDATA("Somma di AVERE EUR",'Pivot RakBank AED'!$A$3,"Mese",5,"Tipologia",$A181,"Viaggio",$A$170))</f>
        <v>0</v>
      </c>
      <c r="H181" s="270">
        <f>IF(ISERROR(GETPIVOTDATA("Somma di DARE",'Pivot Fineco Sa'!$A$3,"Mese",6,"Tipologia",$A181,"Viaggio",$A$170)),0,GETPIVOTDATA("Somma di DARE",'Pivot Fineco Sa'!$A$3,"Mese",6,"Tipologia",$A181,"Viaggio",$A$170))
+IF(ISERROR(GETPIVOTDATA("Somma di DARE",'Pivot Fineco St'!$A$3,"Mese",6,"Tipologia",$A181,"Viaggio",$A$170)),0,GETPIVOTDATA("Somma di DARE",'Pivot Fineco St'!$A$3,"Mese",6,"Tipologia",$A181,"Viaggio",$A$170))
+IF(Contanti!$Y49='Conto Economico'!$A$170,Contanti!$V49)
+IF(ISERROR(GETPIVOTDATA("Somma di DARE",'Pivot BBVA'!$A$3,"Mese",6,"Tipologia",$A181,"Viaggio",$A$170)),0,GETPIVOTDATA("Somma di DARE",'Pivot BBVA'!$A$3,"Mese",6,"Tipologia",$A181,"Viaggio",$A$170))
+IF(ISERROR(GETPIVOTDATA("Somma di DARE",'Pivot Amex'!$A$3,"Mese",6,"Tipologia",$A181,"Viaggio",$A$170)),0,GETPIVOTDATA("Somma di DARE",'Pivot Amex'!$A$3,"Mese",6,"Tipologia",$A181,"Viaggio",$A$170))
-IF(ISERROR(GETPIVOTDATA("Somma di AVERE",'Pivot Amex'!$A$3,"Mese",6,"Tipologia",$A181,"Viaggio",$A$170)),0,GETPIVOTDATA("Somma di AVERE",'Pivot Amex'!$A$3,"Mese",6,"Tipologia",$A181,"Viaggio",$A$170))
-IF(ISERROR(GETPIVOTDATA("Somma di AVERE",'Pivot BBVA'!$A$3,"Mese",6,"Tipologia",$A181,"Viaggio",$A$170)),0,GETPIVOTDATA("Somma di AVERE",'Pivot BBVA'!$A$3,"Mese",6,"Tipologia",$A181,"Viaggio",$A$170))
-IF(ISERROR(GETPIVOTDATA("Somma di AVERE",'Pivot Fineco St'!$A$3,"Mese",6,"Tipologia",$A181,"Viaggio",$A$170)),0,GETPIVOTDATA("Somma di AVERE",'Pivot Fineco St'!$A$3,"Mese",6,"Tipologia",$A181,"Viaggio",$A$170))
-IF(ISERROR(GETPIVOTDATA("Somma di AVERE",'Pivot Fineco Sa'!$A$3,"Mese",6,"Tipologia",$A181,"Viaggio",$A$170)),0,GETPIVOTDATA("Somma di AVERE",'Pivot Fineco Sa'!$A$3,"Mese",6,"Tipologia",$A181,"Viaggio",$A$170))
+IF(ISERROR(GETPIVOTDATA("Somma di DARE",'Pivot PP Visa'!$A$3,"Mese",6,"Tipologia",$A181,"Viaggio",$A$170)),0,GETPIVOTDATA("Somma di DARE",'Pivot PP Visa'!$A$3,"Mese",6,"Tipologia",$A181,"Viaggio",$A$170))
-IF(ISERROR(GETPIVOTDATA("Somma di AVERE",'Pivot PP Visa'!$A$3,"Mese",6,"Tipologia",$A181,"Viaggio",$A$170)),0,GETPIVOTDATA("Somma di AVERE",'Pivot PP Visa'!$A$3,"Mese",6,"Tipologia",$A181,"Viaggio",$A$170))
+IF(ISERROR(GETPIVOTDATA("Somma di DARE",'Pivot Revolut'!$A$3,"Mese",6,"Tipologia",$A181,"Viaggio",$A$170)),0,GETPIVOTDATA("Somma di DARE",'Pivot Revolut'!$A$3,"Mese",6,"Tipologia",$A181,"Viaggio",$A$170))
-IF(ISERROR(GETPIVOTDATA("Somma di AVERE",'Pivot Revolut'!$A$3,"Mese",6,"Tipologia",$A181,"Viaggio",$A$170)),0,GETPIVOTDATA("Somma di AVERE",'Pivot Revolut'!$A$3,"Mese",6,"Tipologia",$A181,"Viaggio",$A$170))
+IF(ISERROR(GETPIVOTDATA("Somma di DARE",'Pivot RakBank EUR'!$A$3,"Mese",6,"Tipologia",$A181,"Viaggio",$A$170)),0,GETPIVOTDATA("Somma di DARE",'Pivot RakBank EUR'!$A$3,"Mese",6,"Tipologia",$A181,"Viaggio",$A$170))
-IF(ISERROR(GETPIVOTDATA("Somma di AVERE",'Pivot RakBank EUR'!$A$3,"Mese",6,"Tipologia",$A181,"Viaggio",$A$170)),0,GETPIVOTDATA("Somma di AVERE",'Pivot RakBank EUR'!$A$3,"Mese",6,"Tipologia",$A181,"Viaggio",$A$170))
+IF(ISERROR(GETPIVOTDATA("Somma di DARE EUR",'Pivot RakBank AED'!$A$3,"Mese",6,"Tipologia",$A181,"Viaggio",$A$170)),0,GETPIVOTDATA("Somma di DARE EUR",'Pivot RakBank AED'!$A$3,"Mese",6,"Tipologia",$A181,"Viaggio",$A$170))
-IF(ISERROR(GETPIVOTDATA("Somma di AVERE EUR",'Pivot RakBank AED'!$A$3,"Mese",6,"Tipologia",$A181,"Viaggio",$A$170)),0,GETPIVOTDATA("Somma di AVERE EUR",'Pivot RakBank AED'!$A$3,"Mese",6,"Tipologia",$A181,"Viaggio",$A$170))</f>
        <v>0</v>
      </c>
      <c r="I181" s="270">
        <f>IF(ISERROR(GETPIVOTDATA("Somma di DARE",'Pivot Fineco Sa'!$A$3,"Mese",7,"Tipologia",$A181,"Viaggio",$A$170)),0,GETPIVOTDATA("Somma di DARE",'Pivot Fineco Sa'!$A$3,"Mese",7,"Tipologia",$A181,"Viaggio",$A$170))
+IF(ISERROR(GETPIVOTDATA("Somma di DARE",'Pivot Fineco St'!$A$3,"Mese",7,"Tipologia",$A181,"Viaggio",$A$170)),0,GETPIVOTDATA("Somma di DARE",'Pivot Fineco St'!$A$3,"Mese",7,"Tipologia",$A181,"Viaggio",$A$170))
+IF(Contanti!$AC49='Conto Economico'!$A$170,Contanti!$Z49)
+IF(ISERROR(GETPIVOTDATA("Somma di DARE",'Pivot BBVA'!$A$3,"Mese",7,"Tipologia",$A181,"Viaggio",$A$170)),0,GETPIVOTDATA("Somma di DARE",'Pivot BBVA'!$A$3,"Mese",7,"Tipologia",$A181,"Viaggio",$A$170))
+IF(ISERROR(GETPIVOTDATA("Somma di DARE",'Pivot Amex'!$A$3,"Mese",7,"Tipologia",$A181,"Viaggio",$A$170)),0,GETPIVOTDATA("Somma di DARE",'Pivot Amex'!$A$3,"Mese",7,"Tipologia",$A181,"Viaggio",$A$170))
-IF(ISERROR(GETPIVOTDATA("Somma di AVERE",'Pivot Amex'!$A$3,"Mese",7,"Tipologia",$A181,"Viaggio",$A$170)),0,GETPIVOTDATA("Somma di AVERE",'Pivot Amex'!$A$3,"Mese",7,"Tipologia",$A181,"Viaggio",$A$170))
-IF(ISERROR(GETPIVOTDATA("Somma di AVERE",'Pivot BBVA'!$A$3,"Mese",7,"Tipologia",$A181,"Viaggio",$A$170)),0,GETPIVOTDATA("Somma di AVERE",'Pivot BBVA'!$A$3,"Mese",7,"Tipologia",$A181,"Viaggio",$A$170))
-IF(ISERROR(GETPIVOTDATA("Somma di AVERE",'Pivot Fineco St'!$A$3,"Mese",7,"Tipologia",$A181,"Viaggio",$A$170)),0,GETPIVOTDATA("Somma di AVERE",'Pivot Fineco St'!$A$3,"Mese",7,"Tipologia",$A181,"Viaggio",$A$170))
-IF(ISERROR(GETPIVOTDATA("Somma di AVERE",'Pivot Fineco Sa'!$A$3,"Mese",7,"Tipologia",$A181,"Viaggio",$A$170)),0,GETPIVOTDATA("Somma di AVERE",'Pivot Fineco Sa'!$A$3,"Mese",7,"Tipologia",$A181,"Viaggio",$A$170))
+IF(ISERROR(GETPIVOTDATA("Somma di DARE",'Pivot PP Visa'!$A$3,"Mese",7,"Tipologia",$A181,"Viaggio",$A$170)),0,GETPIVOTDATA("Somma di DARE",'Pivot PP Visa'!$A$3,"Mese",7,"Tipologia",$A181,"Viaggio",$A$170))
-IF(ISERROR(GETPIVOTDATA("Somma di AVERE",'Pivot PP Visa'!$A$3,"Mese",7,"Tipologia",$A181,"Viaggio",$A$170)),0,GETPIVOTDATA("Somma di AVERE",'Pivot PP Visa'!$A$3,"Mese",7,"Tipologia",$A181,"Viaggio",$A$170))
+IF(ISERROR(GETPIVOTDATA("Somma di DARE",'Pivot Revolut'!$A$3,"Mese",7,"Tipologia",$A181,"Viaggio",$A$170)),0,GETPIVOTDATA("Somma di DARE",'Pivot Revolut'!$A$3,"Mese",7,"Tipologia",$A181,"Viaggio",$A$170))
-IF(ISERROR(GETPIVOTDATA("Somma di AVERE",'Pivot Revolut'!$A$3,"Mese",7,"Tipologia",$A181,"Viaggio",$A$170)),0,GETPIVOTDATA("Somma di AVERE",'Pivot Revolut'!$A$3,"Mese",7,"Tipologia",$A181,"Viaggio",$A$170))
+IF(ISERROR(GETPIVOTDATA("Somma di DARE",'Pivot RakBank EUR'!$A$3,"Mese",7,"Tipologia",$A181,"Viaggio",$A$170)),0,GETPIVOTDATA("Somma di DARE",'Pivot RakBank EUR'!$A$3,"Mese",7,"Tipologia",$A181,"Viaggio",$A$170))
-IF(ISERROR(GETPIVOTDATA("Somma di AVERE",'Pivot RakBank EUR'!$A$3,"Mese",7,"Tipologia",$A181,"Viaggio",$A$170)),0,GETPIVOTDATA("Somma di AVERE",'Pivot RakBank EUR'!$A$3,"Mese",7,"Tipologia",$A181,"Viaggio",$A$170))
+IF(ISERROR(GETPIVOTDATA("Somma di DARE EUR",'Pivot RakBank AED'!$A$3,"Mese",7,"Tipologia",$A181,"Viaggio",$A$170)),0,GETPIVOTDATA("Somma di DARE EUR",'Pivot RakBank AED'!$A$3,"Mese",7,"Tipologia",$A181,"Viaggio",$A$170))
-IF(ISERROR(GETPIVOTDATA("Somma di AVERE EUR",'Pivot RakBank AED'!$A$3,"Mese",7,"Tipologia",$A181,"Viaggio",$A$170)),0,GETPIVOTDATA("Somma di AVERE EUR",'Pivot RakBank AED'!$A$3,"Mese",7,"Tipologia",$A181,"Viaggio",$A$170))</f>
        <v>0</v>
      </c>
      <c r="J181" s="270">
        <f>IF(ISERROR(GETPIVOTDATA("Somma di DARE",'Pivot Fineco Sa'!$A$3,"Mese",8,"Tipologia",$A181,"Viaggio",$A$170)),0,GETPIVOTDATA("Somma di DARE",'Pivot Fineco Sa'!$A$3,"Mese",8,"Tipologia",$A181,"Viaggio",$A$170))
+IF(ISERROR(GETPIVOTDATA("Somma di DARE",'Pivot Fineco St'!$A$3,"Mese",8,"Tipologia",$A181,"Viaggio",$A$170)),0,GETPIVOTDATA("Somma di DARE",'Pivot Fineco St'!$A$3,"Mese",8,"Tipologia",$A181,"Viaggio",$A$170))
+IF(Contanti!$AG49='Conto Economico'!$A$170,Contanti!$AD49)
+IF(ISERROR(GETPIVOTDATA("Somma di DARE",'Pivot BBVA'!$A$3,"Mese",8,"Tipologia",$A181,"Viaggio",$A$170)),0,GETPIVOTDATA("Somma di DARE",'Pivot BBVA'!$A$3,"Mese",8,"Tipologia",$A181,"Viaggio",$A$170))
+IF(ISERROR(GETPIVOTDATA("Somma di DARE",'Pivot Amex'!$A$3,"Mese",8,"Tipologia",$A181,"Viaggio",$A$170)),0,GETPIVOTDATA("Somma di DARE",'Pivot Amex'!$A$3,"Mese",8,"Tipologia",$A181,"Viaggio",$A$170))
-IF(ISERROR(GETPIVOTDATA("Somma di AVERE",'Pivot Amex'!$A$3,"Mese",8,"Tipologia",$A181,"Viaggio",$A$170)),0,GETPIVOTDATA("Somma di AVERE",'Pivot Amex'!$A$3,"Mese",8,"Tipologia",$A181,"Viaggio",$A$170))
-IF(ISERROR(GETPIVOTDATA("Somma di AVERE",'Pivot BBVA'!$A$3,"Mese",8,"Tipologia",$A181,"Viaggio",$A$170)),0,GETPIVOTDATA("Somma di AVERE",'Pivot BBVA'!$A$3,"Mese",8,"Tipologia",$A181,"Viaggio",$A$170))
-IF(ISERROR(GETPIVOTDATA("Somma di AVERE",'Pivot Fineco St'!$A$3,"Mese",8,"Tipologia",$A181,"Viaggio",$A$170)),0,GETPIVOTDATA("Somma di AVERE",'Pivot Fineco St'!$A$3,"Mese",8,"Tipologia",$A181,"Viaggio",$A$170))
-IF(ISERROR(GETPIVOTDATA("Somma di AVERE",'Pivot Fineco Sa'!$A$3,"Mese",8,"Tipologia",$A181,"Viaggio",$A$170)),0,GETPIVOTDATA("Somma di AVERE",'Pivot Fineco Sa'!$A$3,"Mese",8,"Tipologia",$A181,"Viaggio",$A$170))
+IF(ISERROR(GETPIVOTDATA("Somma di DARE",'Pivot PP Visa'!$A$3,"Mese",8,"Tipologia",$A181,"Viaggio",$A$170)),0,GETPIVOTDATA("Somma di DARE",'Pivot PP Visa'!$A$3,"Mese",8,"Tipologia",$A181,"Viaggio",$A$170))
-IF(ISERROR(GETPIVOTDATA("Somma di AVERE",'Pivot PP Visa'!$A$3,"Mese",8,"Tipologia",$A181,"Viaggio",$A$170)),0,GETPIVOTDATA("Somma di AVERE",'Pivot PP Visa'!$A$3,"Mese",8,"Tipologia",$A181,"Viaggio",$A$170))
+IF(ISERROR(GETPIVOTDATA("Somma di DARE",'Pivot Revolut'!$A$3,"Mese",8,"Tipologia",$A181,"Viaggio",$A$170)),0,GETPIVOTDATA("Somma di DARE",'Pivot Revolut'!$A$3,"Mese",8,"Tipologia",$A181,"Viaggio",$A$170))
-IF(ISERROR(GETPIVOTDATA("Somma di AVERE",'Pivot Revolut'!$A$3,"Mese",8,"Tipologia",$A181,"Viaggio",$A$170)),0,GETPIVOTDATA("Somma di AVERE",'Pivot Revolut'!$A$3,"Mese",8,"Tipologia",$A181,"Viaggio",$A$170))
+IF(ISERROR(GETPIVOTDATA("Somma di DARE",'Pivot RakBank EUR'!$A$3,"Mese",8,"Tipologia",$A181,"Viaggio",$A$170)),0,GETPIVOTDATA("Somma di DARE",'Pivot RakBank EUR'!$A$3,"Mese",8,"Tipologia",$A181,"Viaggio",$A$170))
-IF(ISERROR(GETPIVOTDATA("Somma di AVERE",'Pivot RakBank EUR'!$A$3,"Mese",8,"Tipologia",$A181,"Viaggio",$A$170)),0,GETPIVOTDATA("Somma di AVERE",'Pivot RakBank EUR'!$A$3,"Mese",8,"Tipologia",$A181,"Viaggio",$A$170))
+IF(ISERROR(GETPIVOTDATA("Somma di DARE EUR",'Pivot RakBank AED'!$A$3,"Mese",8,"Tipologia",$A181,"Viaggio",$A$170)),0,GETPIVOTDATA("Somma di DARE EUR",'Pivot RakBank AED'!$A$3,"Mese",8,"Tipologia",$A181,"Viaggio",$A$170))
-IF(ISERROR(GETPIVOTDATA("Somma di AVERE EUR",'Pivot RakBank AED'!$A$3,"Mese",8,"Tipologia",$A181,"Viaggio",$A$170)),0,GETPIVOTDATA("Somma di AVERE EUR",'Pivot RakBank AED'!$A$3,"Mese",8,"Tipologia",$A181,"Viaggio",$A$170))</f>
        <v>0</v>
      </c>
      <c r="K181" s="270">
        <f>IF(ISERROR(GETPIVOTDATA("Somma di DARE",'Pivot Fineco Sa'!$A$3,"Mese",9,"Tipologia",$A181,"Viaggio",$A$170)),0,GETPIVOTDATA("Somma di DARE",'Pivot Fineco Sa'!$A$3,"Mese",9,"Tipologia",$A181,"Viaggio",$A$170))
+IF(ISERROR(GETPIVOTDATA("Somma di DARE",'Pivot Fineco St'!$A$3,"Mese",9,"Tipologia",$A181,"Viaggio",$A$170)),0,GETPIVOTDATA("Somma di DARE",'Pivot Fineco St'!$A$3,"Mese",9,"Tipologia",$A181,"Viaggio",$A$170))
+IF(Contanti!$AK49='Conto Economico'!$A$170,Contanti!$AH49)
+IF(ISERROR(GETPIVOTDATA("Somma di DARE",'Pivot BBVA'!$A$3,"Mese",9,"Tipologia",$A181,"Viaggio",$A$170)),0,GETPIVOTDATA("Somma di DARE",'Pivot BBVA'!$A$3,"Mese",9,"Tipologia",$A181,"Viaggio",$A$170))
+IF(ISERROR(GETPIVOTDATA("Somma di DARE",'Pivot Amex'!$A$3,"Mese",9,"Tipologia",$A181,"Viaggio",$A$170)),0,GETPIVOTDATA("Somma di DARE",'Pivot Amex'!$A$3,"Mese",9,"Tipologia",$A181,"Viaggio",$A$170))
-IF(ISERROR(GETPIVOTDATA("Somma di AVERE",'Pivot Amex'!$A$3,"Mese",9,"Tipologia",$A181,"Viaggio",$A$170)),0,GETPIVOTDATA("Somma di AVERE",'Pivot Amex'!$A$3,"Mese",9,"Tipologia",$A181,"Viaggio",$A$170))
-IF(ISERROR(GETPIVOTDATA("Somma di AVERE",'Pivot BBVA'!$A$3,"Mese",9,"Tipologia",$A181,"Viaggio",$A$170)),0,GETPIVOTDATA("Somma di AVERE",'Pivot BBVA'!$A$3,"Mese",9,"Tipologia",$A181,"Viaggio",$A$170))
-IF(ISERROR(GETPIVOTDATA("Somma di AVERE",'Pivot Fineco St'!$A$3,"Mese",9,"Tipologia",$A181,"Viaggio",$A$170)),0,GETPIVOTDATA("Somma di AVERE",'Pivot Fineco St'!$A$3,"Mese",9,"Tipologia",$A181,"Viaggio",$A$170))
-IF(ISERROR(GETPIVOTDATA("Somma di AVERE",'Pivot Fineco Sa'!$A$3,"Mese",9,"Tipologia",$A181,"Viaggio",$A$170)),0,GETPIVOTDATA("Somma di AVERE",'Pivot Fineco Sa'!$A$3,"Mese",9,"Tipologia",$A181,"Viaggio",$A$170))
+IF(ISERROR(GETPIVOTDATA("Somma di DARE",'Pivot PP Visa'!$A$3,"Mese",9,"Tipologia",$A181,"Viaggio",$A$170)),0,GETPIVOTDATA("Somma di DARE",'Pivot PP Visa'!$A$3,"Mese",9,"Tipologia",$A181,"Viaggio",$A$170))
-IF(ISERROR(GETPIVOTDATA("Somma di AVERE",'Pivot PP Visa'!$A$3,"Mese",9,"Tipologia",$A181,"Viaggio",$A$170)),0,GETPIVOTDATA("Somma di AVERE",'Pivot PP Visa'!$A$3,"Mese",9,"Tipologia",$A181,"Viaggio",$A$170))
+IF(ISERROR(GETPIVOTDATA("Somma di DARE",'Pivot Revolut'!$A$3,"Mese",9,"Tipologia",$A181,"Viaggio",$A$170)),0,GETPIVOTDATA("Somma di DARE",'Pivot Revolut'!$A$3,"Mese",9,"Tipologia",$A181,"Viaggio",$A$170))
-IF(ISERROR(GETPIVOTDATA("Somma di AVERE",'Pivot Revolut'!$A$3,"Mese",9,"Tipologia",$A181,"Viaggio",$A$170)),0,GETPIVOTDATA("Somma di AVERE",'Pivot Revolut'!$A$3,"Mese",9,"Tipologia",$A181,"Viaggio",$A$170))
+IF(ISERROR(GETPIVOTDATA("Somma di DARE",'Pivot RakBank EUR'!$A$3,"Mese",9,"Tipologia",$A181,"Viaggio",$A$170)),0,GETPIVOTDATA("Somma di DARE",'Pivot RakBank EUR'!$A$3,"Mese",9,"Tipologia",$A181,"Viaggio",$A$170))
-IF(ISERROR(GETPIVOTDATA("Somma di AVERE",'Pivot RakBank EUR'!$A$3,"Mese",9,"Tipologia",$A181,"Viaggio",$A$170)),0,GETPIVOTDATA("Somma di AVERE",'Pivot RakBank EUR'!$A$3,"Mese",9,"Tipologia",$A181,"Viaggio",$A$170))
+IF(ISERROR(GETPIVOTDATA("Somma di DARE EUR",'Pivot RakBank AED'!$A$3,"Mese",9,"Tipologia",$A181,"Viaggio",$A$170)),0,GETPIVOTDATA("Somma di DARE EUR",'Pivot RakBank AED'!$A$3,"Mese",9,"Tipologia",$A181,"Viaggio",$A$170))
-IF(ISERROR(GETPIVOTDATA("Somma di AVERE EUR",'Pivot RakBank AED'!$A$3,"Mese",9,"Tipologia",$A181,"Viaggio",$A$170)),0,GETPIVOTDATA("Somma di AVERE EUR",'Pivot RakBank AED'!$A$3,"Mese",9,"Tipologia",$A181,"Viaggio",$A$170))</f>
        <v>0</v>
      </c>
      <c r="L181" s="270">
        <f>IF(ISERROR(GETPIVOTDATA("Somma di DARE",'Pivot Fineco Sa'!$A$3,"Mese",10,"Tipologia",$A181,"Viaggio",$A$170)),0,GETPIVOTDATA("Somma di DARE",'Pivot Fineco Sa'!$A$3,"Mese",10,"Tipologia",$A181,"Viaggio",$A$170))
+IF(ISERROR(GETPIVOTDATA("Somma di DARE",'Pivot Fineco St'!$A$3,"Mese",10,"Tipologia",$A181,"Viaggio",$A$170)),0,GETPIVOTDATA("Somma di DARE",'Pivot Fineco St'!$A$3,"Mese",10,"Tipologia",$A181,"Viaggio",$A$170))
+IF(Contanti!$AO49='Conto Economico'!$A$170,Contanti!$AL49)
+IF(ISERROR(GETPIVOTDATA("Somma di DARE",'Pivot BBVA'!$A$3,"Mese",10,"Tipologia",$A181,"Viaggio",$A$170)),0,GETPIVOTDATA("Somma di DARE",'Pivot BBVA'!$A$3,"Mese",10,"Tipologia",$A181,"Viaggio",$A$170))
+IF(ISERROR(GETPIVOTDATA("Somma di DARE",'Pivot Amex'!$A$3,"Mese",10,"Tipologia",$A181,"Viaggio",$A$170)),0,GETPIVOTDATA("Somma di DARE",'Pivot Amex'!$A$3,"Mese",10,"Tipologia",$A181,"Viaggio",$A$170))
-IF(ISERROR(GETPIVOTDATA("Somma di AVERE",'Pivot Amex'!$A$3,"Mese",10,"Tipologia",$A181,"Viaggio",$A$170)),0,GETPIVOTDATA("Somma di AVERE",'Pivot Amex'!$A$3,"Mese",10,"Tipologia",$A181,"Viaggio",$A$170))
-IF(ISERROR(GETPIVOTDATA("Somma di AVERE",'Pivot BBVA'!$A$3,"Mese",10,"Tipologia",$A181,"Viaggio",$A$170)),0,GETPIVOTDATA("Somma di AVERE",'Pivot BBVA'!$A$3,"Mese",10,"Tipologia",$A181,"Viaggio",$A$170))
-IF(ISERROR(GETPIVOTDATA("Somma di AVERE",'Pivot Fineco St'!$A$3,"Mese",10,"Tipologia",$A181,"Viaggio",$A$170)),0,GETPIVOTDATA("Somma di AVERE",'Pivot Fineco St'!$A$3,"Mese",10,"Tipologia",$A181,"Viaggio",$A$170))
-IF(ISERROR(GETPIVOTDATA("Somma di AVERE",'Pivot Fineco Sa'!$A$3,"Mese",10,"Tipologia",$A181,"Viaggio",$A$170)),0,GETPIVOTDATA("Somma di AVERE",'Pivot Fineco Sa'!$A$3,"Mese",10,"Tipologia",$A181,"Viaggio",$A$170))
+IF(ISERROR(GETPIVOTDATA("Somma di DARE",'Pivot PP Visa'!$A$3,"Mese",10,"Tipologia",$A181,"Viaggio",$A$170)),0,GETPIVOTDATA("Somma di DARE",'Pivot PP Visa'!$A$3,"Mese",10,"Tipologia",$A181,"Viaggio",$A$170))
-IF(ISERROR(GETPIVOTDATA("Somma di AVERE",'Pivot PP Visa'!$A$3,"Mese",10,"Tipologia",$A181,"Viaggio",$A$170)),0,GETPIVOTDATA("Somma di AVERE",'Pivot PP Visa'!$A$3,"Mese",10,"Tipologia",$A181,"Viaggio",$A$170))
+IF(ISERROR(GETPIVOTDATA("Somma di DARE",'Pivot Revolut'!$A$3,"Mese",10,"Tipologia",$A181,"Viaggio",$A$170)),0,GETPIVOTDATA("Somma di DARE",'Pivot Revolut'!$A$3,"Mese",10,"Tipologia",$A181,"Viaggio",$A$170))
-IF(ISERROR(GETPIVOTDATA("Somma di AVERE",'Pivot Revolut'!$A$3,"Mese",10,"Tipologia",$A181,"Viaggio",$A$170)),0,GETPIVOTDATA("Somma di AVERE",'Pivot Revolut'!$A$3,"Mese",10,"Tipologia",$A181,"Viaggio",$A$170))
+IF(ISERROR(GETPIVOTDATA("Somma di DARE",'Pivot RakBank EUR'!$A$3,"Mese",10,"Tipologia",$A181,"Viaggio",$A$170)),0,GETPIVOTDATA("Somma di DARE",'Pivot RakBank EUR'!$A$3,"Mese",10,"Tipologia",$A181,"Viaggio",$A$170))
-IF(ISERROR(GETPIVOTDATA("Somma di AVERE",'Pivot RakBank EUR'!$A$3,"Mese",10,"Tipologia",$A181,"Viaggio",$A$170)),0,GETPIVOTDATA("Somma di AVERE",'Pivot RakBank EUR'!$A$3,"Mese",10,"Tipologia",$A181,"Viaggio",$A$170))
+IF(ISERROR(GETPIVOTDATA("Somma di DARE EUR",'Pivot RakBank AED'!$A$3,"Mese",10,"Tipologia",$A181,"Viaggio",$A$170)),0,GETPIVOTDATA("Somma di DARE EUR",'Pivot RakBank AED'!$A$3,"Mese",10,"Tipologia",$A181,"Viaggio",$A$170))
-IF(ISERROR(GETPIVOTDATA("Somma di AVERE EUR",'Pivot RakBank AED'!$A$3,"Mese",10,"Tipologia",$A181,"Viaggio",$A$170)),0,GETPIVOTDATA("Somma di AVERE EUR",'Pivot RakBank AED'!$A$3,"Mese",10,"Tipologia",$A181,"Viaggio",$A$170))</f>
        <v>0</v>
      </c>
      <c r="M181" s="270">
        <f>IF(ISERROR(GETPIVOTDATA("Somma di DARE",'Pivot Fineco Sa'!$A$3,"Mese",11,"Tipologia",$A181,"Viaggio",$A$170)),0,GETPIVOTDATA("Somma di DARE",'Pivot Fineco Sa'!$A$3,"Mese",11,"Tipologia",$A181,"Viaggio",$A$170))
+IF(ISERROR(GETPIVOTDATA("Somma di DARE",'Pivot Fineco St'!$A$3,"Mese",11,"Tipologia",$A181,"Viaggio",$A$170)),0,GETPIVOTDATA("Somma di DARE",'Pivot Fineco St'!$A$3,"Mese",11,"Tipologia",$A181,"Viaggio",$A$170))
+IF(Contanti!$AS49='Conto Economico'!$A$170,Contanti!$AP49)
+IF(ISERROR(GETPIVOTDATA("Somma di DARE",'Pivot BBVA'!$A$3,"Mese",11,"Tipologia",$A181,"Viaggio",$A$170)),0,GETPIVOTDATA("Somma di DARE",'Pivot BBVA'!$A$3,"Mese",11,"Tipologia",$A181,"Viaggio",$A$170))
+IF(ISERROR(GETPIVOTDATA("Somma di DARE",'Pivot Amex'!$A$3,"Mese",11,"Tipologia",$A181,"Viaggio",$A$170)),0,GETPIVOTDATA("Somma di DARE",'Pivot Amex'!$A$3,"Mese",11,"Tipologia",$A181,"Viaggio",$A$170))
-IF(ISERROR(GETPIVOTDATA("Somma di AVERE",'Pivot Amex'!$A$3,"Mese",11,"Tipologia",$A181,"Viaggio",$A$170)),0,GETPIVOTDATA("Somma di AVERE",'Pivot Amex'!$A$3,"Mese",11,"Tipologia",$A181,"Viaggio",$A$170))
-IF(ISERROR(GETPIVOTDATA("Somma di AVERE",'Pivot BBVA'!$A$3,"Mese",11,"Tipologia",$A181,"Viaggio",$A$170)),0,GETPIVOTDATA("Somma di AVERE",'Pivot BBVA'!$A$3,"Mese",11,"Tipologia",$A181,"Viaggio",$A$170))
-IF(ISERROR(GETPIVOTDATA("Somma di AVERE",'Pivot Fineco St'!$A$3,"Mese",11,"Tipologia",$A181,"Viaggio",$A$170)),0,GETPIVOTDATA("Somma di AVERE",'Pivot Fineco St'!$A$3,"Mese",11,"Tipologia",$A181,"Viaggio",$A$170))
-IF(ISERROR(GETPIVOTDATA("Somma di AVERE",'Pivot Fineco Sa'!$A$3,"Mese",11,"Tipologia",$A181,"Viaggio",$A$170)),0,GETPIVOTDATA("Somma di AVERE",'Pivot Fineco Sa'!$A$3,"Mese",11,"Tipologia",$A181,"Viaggio",$A$170))
+IF(ISERROR(GETPIVOTDATA("Somma di DARE",'Pivot PP Visa'!$A$3,"Mese",11,"Tipologia",$A181,"Viaggio",$A$170)),0,GETPIVOTDATA("Somma di DARE",'Pivot PP Visa'!$A$3,"Mese",11,"Tipologia",$A181,"Viaggio",$A$170))
-IF(ISERROR(GETPIVOTDATA("Somma di AVERE",'Pivot PP Visa'!$A$3,"Mese",11,"Tipologia",$A181,"Viaggio",$A$170)),0,GETPIVOTDATA("Somma di AVERE",'Pivot PP Visa'!$A$3,"Mese",11,"Tipologia",$A181,"Viaggio",$A$170))
+IF(ISERROR(GETPIVOTDATA("Somma di DARE",'Pivot Revolut'!$A$3,"Mese",11,"Tipologia",$A181,"Viaggio",$A$170)),0,GETPIVOTDATA("Somma di DARE",'Pivot Revolut'!$A$3,"Mese",11,"Tipologia",$A181,"Viaggio",$A$170))
-IF(ISERROR(GETPIVOTDATA("Somma di AVERE",'Pivot Revolut'!$A$3,"Mese",11,"Tipologia",$A181,"Viaggio",$A$170)),0,GETPIVOTDATA("Somma di AVERE",'Pivot Revolut'!$A$3,"Mese",11,"Tipologia",$A181,"Viaggio",$A$170))
+IF(ISERROR(GETPIVOTDATA("Somma di DARE",'Pivot RakBank EUR'!$A$3,"Mese",11,"Tipologia",$A181,"Viaggio",$A$170)),0,GETPIVOTDATA("Somma di DARE",'Pivot RakBank EUR'!$A$3,"Mese",11,"Tipologia",$A181,"Viaggio",$A$170))
-IF(ISERROR(GETPIVOTDATA("Somma di AVERE",'Pivot RakBank EUR'!$A$3,"Mese",11,"Tipologia",$A181,"Viaggio",$A$170)),0,GETPIVOTDATA("Somma di AVERE",'Pivot RakBank EUR'!$A$3,"Mese",11,"Tipologia",$A181,"Viaggio",$A$170))
+IF(ISERROR(GETPIVOTDATA("Somma di DARE EUR",'Pivot RakBank AED'!$A$3,"Mese",11,"Tipologia",$A181,"Viaggio",$A$170)),0,GETPIVOTDATA("Somma di DARE EUR",'Pivot RakBank AED'!$A$3,"Mese",11,"Tipologia",$A181,"Viaggio",$A$170))
-IF(ISERROR(GETPIVOTDATA("Somma di AVERE EUR",'Pivot RakBank AED'!$A$3,"Mese",11,"Tipologia",$A181,"Viaggio",$A$170)),0,GETPIVOTDATA("Somma di AVERE EUR",'Pivot RakBank AED'!$A$3,"Mese",11,"Tipologia",$A181,"Viaggio",$A$170))</f>
        <v>0</v>
      </c>
      <c r="N181" s="270">
        <f>IF(ISERROR(GETPIVOTDATA("Somma di DARE",'Pivot Fineco Sa'!$A$3,"Mese",12,"Tipologia",$A181,"Viaggio",$A$170)),0,GETPIVOTDATA("Somma di DARE",'Pivot Fineco Sa'!$A$3,"Mese",12,"Tipologia",$A181,"Viaggio",$A$170))
+IF(ISERROR(GETPIVOTDATA("Somma di DARE",'Pivot Fineco St'!$A$3,"Mese",12,"Tipologia",$A181,"Viaggio",$A$170)),0,GETPIVOTDATA("Somma di DARE",'Pivot Fineco St'!$A$3,"Mese",12,"Tipologia",$A181,"Viaggio",$A$170))
+IF(Contanti!$AW49='Conto Economico'!$A$170,Contanti!$AT49)
+IF(ISERROR(GETPIVOTDATA("Somma di DARE",'Pivot BBVA'!$A$3,"Mese",12,"Tipologia",$A181,"Viaggio",$A$170)),0,GETPIVOTDATA("Somma di DARE",'Pivot BBVA'!$A$3,"Mese",12,"Tipologia",$A181,"Viaggio",$A$170))
+IF(ISERROR(GETPIVOTDATA("Somma di DARE",'Pivot Amex'!$A$3,"Mese",12,"Tipologia",$A181,"Viaggio",$A$170)),0,GETPIVOTDATA("Somma di DARE",'Pivot Amex'!$A$3,"Mese",12,"Tipologia",$A181,"Viaggio",$A$170))
-IF(ISERROR(GETPIVOTDATA("Somma di AVERE",'Pivot Amex'!$A$3,"Mese",12,"Tipologia",$A181,"Viaggio",$A$170)),0,GETPIVOTDATA("Somma di AVERE",'Pivot Amex'!$A$3,"Mese",12,"Tipologia",$A181,"Viaggio",$A$170))
-IF(ISERROR(GETPIVOTDATA("Somma di AVERE",'Pivot BBVA'!$A$3,"Mese",12,"Tipologia",$A181,"Viaggio",$A$170)),0,GETPIVOTDATA("Somma di AVERE",'Pivot BBVA'!$A$3,"Mese",12,"Tipologia",$A181,"Viaggio",$A$170))
-IF(ISERROR(GETPIVOTDATA("Somma di AVERE",'Pivot Fineco St'!$A$3,"Mese",12,"Tipologia",$A181,"Viaggio",$A$170)),0,GETPIVOTDATA("Somma di AVERE",'Pivot Fineco St'!$A$3,"Mese",12,"Tipologia",$A181,"Viaggio",$A$170))
-IF(ISERROR(GETPIVOTDATA("Somma di AVERE",'Pivot Fineco Sa'!$A$3,"Mese",12,"Tipologia",$A181,"Viaggio",$A$170)),0,GETPIVOTDATA("Somma di AVERE",'Pivot Fineco Sa'!$A$3,"Mese",12,"Tipologia",$A181,"Viaggio",$A$170))
+IF(ISERROR(GETPIVOTDATA("Somma di DARE",'Pivot PP Visa'!$A$3,"Mese",12,"Tipologia",$A181,"Viaggio",$A$170)),0,GETPIVOTDATA("Somma di DARE",'Pivot PP Visa'!$A$3,"Mese",12,"Tipologia",$A181,"Viaggio",$A$170))
-IF(ISERROR(GETPIVOTDATA("Somma di AVERE",'Pivot PP Visa'!$A$3,"Mese",12,"Tipologia",$A181,"Viaggio",$A$170)),0,GETPIVOTDATA("Somma di AVERE",'Pivot PP Visa'!$A$3,"Mese",12,"Tipologia",$A181,"Viaggio",$A$170))
+IF(ISERROR(GETPIVOTDATA("Somma di DARE",'Pivot Revolut'!$A$3,"Mese",12,"Tipologia",$A181,"Viaggio",$A$170)),0,GETPIVOTDATA("Somma di DARE",'Pivot Revolut'!$A$3,"Mese",12,"Tipologia",$A181,"Viaggio",$A$170))
-IF(ISERROR(GETPIVOTDATA("Somma di AVERE",'Pivot Revolut'!$A$3,"Mese",12,"Tipologia",$A181,"Viaggio",$A$170)),0,GETPIVOTDATA("Somma di AVERE",'Pivot Revolut'!$A$3,"Mese",12,"Tipologia",$A181,"Viaggio",$A$170))
+IF(ISERROR(GETPIVOTDATA("Somma di DARE",'Pivot RakBank EUR'!$A$3,"Mese",12,"Tipologia",$A181,"Viaggio",$A$170)),0,GETPIVOTDATA("Somma di DARE",'Pivot RakBank EUR'!$A$3,"Mese",12,"Tipologia",$A181,"Viaggio",$A$170))
-IF(ISERROR(GETPIVOTDATA("Somma di AVERE",'Pivot RakBank EUR'!$A$3,"Mese",12,"Tipologia",$A181,"Viaggio",$A$170)),0,GETPIVOTDATA("Somma di AVERE",'Pivot RakBank EUR'!$A$3,"Mese",12,"Tipologia",$A181,"Viaggio",$A$170))
+IF(ISERROR(GETPIVOTDATA("Somma di DARE EUR",'Pivot RakBank AED'!$A$3,"Mese",12,"Tipologia",$A181,"Viaggio",$A$170)),0,GETPIVOTDATA("Somma di DARE EUR",'Pivot RakBank AED'!$A$3,"Mese",12,"Tipologia",$A181,"Viaggio",$A$170))
-IF(ISERROR(GETPIVOTDATA("Somma di AVERE EUR",'Pivot RakBank AED'!$A$3,"Mese",12,"Tipologia",$A181,"Viaggio",$A$170)),0,GETPIVOTDATA("Somma di AVERE EUR",'Pivot RakBank AED'!$A$3,"Mese",12,"Tipologia",$A181,"Viaggio",$A$170))</f>
        <v>0</v>
      </c>
      <c r="O181" s="271">
        <f t="shared" si="23"/>
        <v>0</v>
      </c>
      <c r="P181" s="270"/>
    </row>
    <row r="182" spans="1:16" s="131" customFormat="1" ht="16" outlineLevel="1" x14ac:dyDescent="0.2">
      <c r="A182" s="275"/>
      <c r="B182" s="275"/>
      <c r="C182" s="276"/>
      <c r="D182" s="276"/>
      <c r="E182" s="276"/>
      <c r="F182" s="276"/>
      <c r="G182" s="276"/>
      <c r="H182" s="276"/>
      <c r="I182" s="276"/>
      <c r="J182" s="276"/>
      <c r="K182" s="260"/>
      <c r="L182" s="260"/>
      <c r="M182" s="260"/>
      <c r="N182" s="260"/>
      <c r="O182" s="277"/>
      <c r="P182" s="270"/>
    </row>
    <row r="183" spans="1:16" s="131" customFormat="1" ht="14" outlineLevel="1" x14ac:dyDescent="0.2">
      <c r="A183" s="375" t="s">
        <v>534</v>
      </c>
      <c r="B183" s="375"/>
      <c r="C183" s="266">
        <f>SUM(C184:C194)</f>
        <v>0</v>
      </c>
      <c r="D183" s="266">
        <f t="shared" ref="D183:N183" si="24">SUM(D184:D194)</f>
        <v>0</v>
      </c>
      <c r="E183" s="266">
        <f t="shared" si="24"/>
        <v>0</v>
      </c>
      <c r="F183" s="266">
        <f t="shared" si="24"/>
        <v>0</v>
      </c>
      <c r="G183" s="266">
        <f t="shared" si="24"/>
        <v>0</v>
      </c>
      <c r="H183" s="266">
        <f t="shared" si="24"/>
        <v>0</v>
      </c>
      <c r="I183" s="266">
        <f t="shared" si="24"/>
        <v>0</v>
      </c>
      <c r="J183" s="266">
        <f t="shared" si="24"/>
        <v>0</v>
      </c>
      <c r="K183" s="266">
        <f t="shared" si="24"/>
        <v>0</v>
      </c>
      <c r="L183" s="266">
        <f t="shared" si="24"/>
        <v>0</v>
      </c>
      <c r="M183" s="266">
        <f t="shared" si="24"/>
        <v>0</v>
      </c>
      <c r="N183" s="266">
        <f t="shared" si="24"/>
        <v>0</v>
      </c>
      <c r="O183" s="267">
        <f t="shared" ref="O183:O194" si="25">SUM(C183:N183)</f>
        <v>0</v>
      </c>
      <c r="P183" s="270"/>
    </row>
    <row r="184" spans="1:16" s="131" customFormat="1" ht="14" outlineLevel="1" x14ac:dyDescent="0.2">
      <c r="A184" s="269" t="s">
        <v>100</v>
      </c>
      <c r="B184" s="269"/>
      <c r="C184" s="270">
        <f>IF(ISERROR(GETPIVOTDATA("Somma di DARE",'Pivot Fineco Sa'!$A$3,"Mese",1,"Tipologia",$A184,"Viaggio",$A$183)),0,GETPIVOTDATA("Somma di DARE",'Pivot Fineco Sa'!$A$3,"Mese",1,"Tipologia",$A184,"Viaggio",$A$183))
+IF(ISERROR(GETPIVOTDATA("Somma di DARE",'Pivot Fineco St'!$A$3,"Mese",1,"Tipologia",$A184,"Viaggio",$A$183)),0,GETPIVOTDATA("Somma di DARE",'Pivot Fineco St'!$A$3,"Mese",1,"Tipologia",$A184,"Viaggio",$A$183))
+IF(Contanti!$E39='Conto Economico'!$A$183,Contanti!$B39)
+IF(ISERROR(GETPIVOTDATA("Somma di DARE",'Pivot BBVA'!$A$3,"Mese",1,"Tipologia",$A184,"Viaggio",$A$183)),0,GETPIVOTDATA("Somma di DARE",'Pivot BBVA'!$A$3,"Mese",1,"Tipologia",$A184,"Viaggio",$A$183))
+IF(ISERROR(GETPIVOTDATA("Somma di DARE",'Pivot Amex'!$A$3,"Mese",1,"Tipologia",$A184,"Viaggio",$A$183)),0,GETPIVOTDATA("Somma di DARE",'Pivot Amex'!$A$3,"Mese",1,"Tipologia",$A184,"Viaggio",$A$183))
-IF(ISERROR(GETPIVOTDATA("Somma di AVERE",'Pivot Amex'!$A$3,"Mese",1,"Tipologia",$A184,"Viaggio",$A$183)),0,GETPIVOTDATA("Somma di AVERE",'Pivot Amex'!$A$3,"Mese",1,"Tipologia",$A184,"Viaggio",$A$183))
-IF(ISERROR(GETPIVOTDATA("Somma di AVERE",'Pivot BBVA'!$A$3,"Mese",1,"Tipologia",$A184,"Viaggio",$A$183)),0,GETPIVOTDATA("Somma di AVERE",'Pivot BBVA'!$A$3,"Mese",1,"Tipologia",$A184,"Viaggio",$A$183))
-IF(ISERROR(GETPIVOTDATA("Somma di AVERE",'Pivot Fineco St'!$A$3,"Mese",1,"Tipologia",$A184,"Viaggio",$A$183)),0,GETPIVOTDATA("Somma di AVERE",'Pivot Fineco St'!$A$3,"Mese",1,"Tipologia",$A184,"Viaggio",$A$183))
-IF(ISERROR(GETPIVOTDATA("Somma di AVERE",'Pivot Fineco Sa'!$A$3,"Mese",1,"Tipologia",$A184,"Viaggio",$A$183)),0,GETPIVOTDATA("Somma di AVERE",'Pivot Fineco Sa'!$A$3,"Mese",1,"Tipologia",$A184,"Viaggio",$A$183))
+IF(ISERROR(GETPIVOTDATA("Somma di DARE",'Pivot PP Visa'!$A$3,"Mese",1,"Tipologia",$A184,"Viaggio",$A$183)),0,GETPIVOTDATA("Somma di DARE",'Pivot PP Visa'!$A$3,"Mese",1,"Tipologia",$A184,"Viaggio",$A$183))
-IF(ISERROR(GETPIVOTDATA("Somma di AVERE",'Pivot PP Visa'!$A$3,"Mese",1,"Tipologia",$A184,"Viaggio",$A$183)),0,GETPIVOTDATA("Somma di AVERE",'Pivot PP Visa'!$A$3,"Mese",1,"Tipologia",$A184,"Viaggio",$A$183))
+IF(ISERROR(GETPIVOTDATA("Somma di DARE",'Pivot Revolut'!$A$3,"Mese",1,"Tipologia",$A184,"Viaggio",$A$183)),0,GETPIVOTDATA("Somma di DARE",'Pivot Revolut'!$A$3,"Mese",1,"Tipologia",$A184,"Viaggio",$A$183))
-IF(ISERROR(GETPIVOTDATA("Somma di AVERE",'Pivot Revolut'!$A$3,"Mese",1,"Tipologia",$A184,"Viaggio",$A$183)),0,GETPIVOTDATA("Somma di AVERE",'Pivot Revolut'!$A$3,"Mese",1,"Tipologia",$A184,"Viaggio",$A$183))
+IF(ISERROR(GETPIVOTDATA("Somma di DARE",'Pivot RakBank EUR'!$A$3,"Mese",1,"Tipologia",$A184,"Viaggio",$A$183)),0,GETPIVOTDATA("Somma di DARE",'Pivot RakBank EUR'!$A$3,"Mese",1,"Tipologia",$A184,"Viaggio",$A$183))
-IF(ISERROR(GETPIVOTDATA("Somma di AVERE",'Pivot RakBank EUR'!$A$3,"Mese",1,"Tipologia",$A184,"Viaggio",$A$183)),0,GETPIVOTDATA("Somma di AVERE",'Pivot RakBank EUR'!$A$3,"Mese",1,"Tipologia",$A184,"Viaggio",$A$183))
+IF(ISERROR(GETPIVOTDATA("Somma di DARE EUR",'Pivot RakBank AED'!$A$3,"Mese",1,"Tipologia",$A184,"Viaggio",$A$183)),0,GETPIVOTDATA("Somma di DARE EUR",'Pivot RakBank AED'!$A$3,"Mese",1,"Tipologia",$A184,"Viaggio",$A$183))
-IF(ISERROR(GETPIVOTDATA("Somma di AVERE EUR",'Pivot RakBank AED'!$A$3,"Mese",1,"Tipologia",$A184,"Viaggio",$A$183)),0,GETPIVOTDATA("Somma di AVERE EUR",'Pivot RakBank AED'!$A$3,"Mese",1,"Tipologia",$A184,"Viaggio",$A$183))</f>
        <v>0</v>
      </c>
      <c r="D184" s="270">
        <f>IF(ISERROR(GETPIVOTDATA("Somma di DARE",'Pivot Fineco Sa'!$A$3,"Mese",2,"Tipologia",$A184,"Viaggio",$A$183)),0,GETPIVOTDATA("Somma di DARE",'Pivot Fineco Sa'!$A$3,"Mese",2,"Tipologia",$A184,"Viaggio",$A$183))
+IF(ISERROR(GETPIVOTDATA("Somma di DARE",'Pivot Fineco St'!$A$3,"Mese",2,"Tipologia",$A184,"Viaggio",$A$183)),0,GETPIVOTDATA("Somma di DARE",'Pivot Fineco St'!$A$3,"Mese",2,"Tipologia",$A184,"Viaggio",$A$183))
+IF(Contanti!$I39='Conto Economico'!$A$183,Contanti!$F39)
+IF(ISERROR(GETPIVOTDATA("Somma di DARE",'Pivot BBVA'!$A$3,"Mese",2,"Tipologia",$A184,"Viaggio",$A$183)),0,GETPIVOTDATA("Somma di DARE",'Pivot BBVA'!$A$3,"Mese",2,"Tipologia",$A184,"Viaggio",$A$183))
+IF(ISERROR(GETPIVOTDATA("Somma di DARE",'Pivot Amex'!$A$3,"Mese",2,"Tipologia",$A184,"Viaggio",$A$183)),0,GETPIVOTDATA("Somma di DARE",'Pivot Amex'!$A$3,"Mese",2,"Tipologia",$A184,"Viaggio",$A$183))
-IF(ISERROR(GETPIVOTDATA("Somma di AVERE",'Pivot Amex'!$A$3,"Mese",2,"Tipologia",$A184,"Viaggio",$A$183)),0,GETPIVOTDATA("Somma di AVERE",'Pivot Amex'!$A$3,"Mese",2,"Tipologia",$A184,"Viaggio",$A$183))
-IF(ISERROR(GETPIVOTDATA("Somma di AVERE",'Pivot BBVA'!$A$3,"Mese",2,"Tipologia",$A184,"Viaggio",$A$183)),0,GETPIVOTDATA("Somma di AVERE",'Pivot BBVA'!$A$3,"Mese",2,"Tipologia",$A184,"Viaggio",$A$183))
-IF(ISERROR(GETPIVOTDATA("Somma di AVERE",'Pivot Fineco St'!$A$3,"Mese",2,"Tipologia",$A184,"Viaggio",$A$183)),0,GETPIVOTDATA("Somma di AVERE",'Pivot Fineco St'!$A$3,"Mese",2,"Tipologia",$A184,"Viaggio",$A$183))
-IF(ISERROR(GETPIVOTDATA("Somma di AVERE",'Pivot Fineco Sa'!$A$3,"Mese",2,"Tipologia",$A184,"Viaggio",$A$183)),0,GETPIVOTDATA("Somma di AVERE",'Pivot Fineco Sa'!$A$3,"Mese",2,"Tipologia",$A184,"Viaggio",$A$183))
+IF(ISERROR(GETPIVOTDATA("Somma di DARE",'Pivot PP Visa'!$A$3,"Mese",2,"Tipologia",$A184,"Viaggio",$A$183)),0,GETPIVOTDATA("Somma di DARE",'Pivot PP Visa'!$A$3,"Mese",2,"Tipologia",$A184,"Viaggio",$A$183))
-IF(ISERROR(GETPIVOTDATA("Somma di AVERE",'Pivot PP Visa'!$A$3,"Mese",2,"Tipologia",$A184,"Viaggio",$A$183)),0,GETPIVOTDATA("Somma di AVERE",'Pivot PP Visa'!$A$3,"Mese",2,"Tipologia",$A184,"Viaggio",$A$183))
+IF(ISERROR(GETPIVOTDATA("Somma di DARE",'Pivot Revolut'!$A$3,"Mese",2,"Tipologia",$A184,"Viaggio",$A$183)),0,GETPIVOTDATA("Somma di DARE",'Pivot Revolut'!$A$3,"Mese",2,"Tipologia",$A184,"Viaggio",$A$183))
-IF(ISERROR(GETPIVOTDATA("Somma di AVERE",'Pivot Revolut'!$A$3,"Mese",2,"Tipologia",$A184,"Viaggio",$A$183)),0,GETPIVOTDATA("Somma di AVERE",'Pivot Revolut'!$A$3,"Mese",2,"Tipologia",$A184,"Viaggio",$A$183))
+IF(ISERROR(GETPIVOTDATA("Somma di DARE",'Pivot RakBank EUR'!$A$3,"Mese",2,"Tipologia",$A184,"Viaggio",$A$183)),0,GETPIVOTDATA("Somma di DARE",'Pivot RakBank EUR'!$A$3,"Mese",2,"Tipologia",$A184,"Viaggio",$A$183))
-IF(ISERROR(GETPIVOTDATA("Somma di AVERE",'Pivot RakBank EUR'!$A$3,"Mese",2,"Tipologia",$A184,"Viaggio",$A$183)),0,GETPIVOTDATA("Somma di AVERE",'Pivot RakBank EUR'!$A$3,"Mese",2,"Tipologia",$A184,"Viaggio",$A$183))
+IF(ISERROR(GETPIVOTDATA("Somma di DARE EUR",'Pivot RakBank AED'!$A$3,"Mese",2,"Tipologia",$A184,"Viaggio",$A$183)),0,GETPIVOTDATA("Somma di DARE EUR",'Pivot RakBank AED'!$A$3,"Mese",2,"Tipologia",$A184,"Viaggio",$A$183))
-IF(ISERROR(GETPIVOTDATA("Somma di AVERE EUR",'Pivot RakBank AED'!$A$3,"Mese",2,"Tipologia",$A184,"Viaggio",$A$183)),0,GETPIVOTDATA("Somma di AVERE EUR",'Pivot RakBank AED'!$A$3,"Mese",2,"Tipologia",$A184,"Viaggio",$A$183))</f>
        <v>0</v>
      </c>
      <c r="E184" s="270">
        <f>IF(ISERROR(GETPIVOTDATA("Somma di DARE",'Pivot Fineco Sa'!$A$3,"Mese",3,"Tipologia",$A184,"Viaggio",$A$183)),0,GETPIVOTDATA("Somma di DARE",'Pivot Fineco Sa'!$A$3,"Mese",3,"Tipologia",$A184,"Viaggio",$A$183))
+IF(ISERROR(GETPIVOTDATA("Somma di DARE",'Pivot Fineco St'!$A$3,"Mese",3,"Tipologia",$A184,"Viaggio",$A$183)),0,GETPIVOTDATA("Somma di DARE",'Pivot Fineco St'!$A$3,"Mese",3,"Tipologia",$A184,"Viaggio",$A$183))
+IF(Contanti!$M39='Conto Economico'!$A$183,Contanti!$J39)
+IF(ISERROR(GETPIVOTDATA("Somma di DARE",'Pivot BBVA'!$A$3,"Mese",3,"Tipologia",$A184,"Viaggio",$A$183)),0,GETPIVOTDATA("Somma di DARE",'Pivot BBVA'!$A$3,"Mese",3,"Tipologia",$A184,"Viaggio",$A$183))
+IF(ISERROR(GETPIVOTDATA("Somma di DARE",'Pivot Amex'!$A$3,"Mese",3,"Tipologia",$A184,"Viaggio",$A$183)),0,GETPIVOTDATA("Somma di DARE",'Pivot Amex'!$A$3,"Mese",3,"Tipologia",$A184,"Viaggio",$A$183))
-IF(ISERROR(GETPIVOTDATA("Somma di AVERE",'Pivot Amex'!$A$3,"Mese",3,"Tipologia",$A184,"Viaggio",$A$183)),0,GETPIVOTDATA("Somma di AVERE",'Pivot Amex'!$A$3,"Mese",3,"Tipologia",$A184,"Viaggio",$A$183))
-IF(ISERROR(GETPIVOTDATA("Somma di AVERE",'Pivot BBVA'!$A$3,"Mese",3,"Tipologia",$A184,"Viaggio",$A$183)),0,GETPIVOTDATA("Somma di AVERE",'Pivot BBVA'!$A$3,"Mese",3,"Tipologia",$A184,"Viaggio",$A$183))
-IF(ISERROR(GETPIVOTDATA("Somma di AVERE",'Pivot Fineco St'!$A$3,"Mese",3,"Tipologia",$A184,"Viaggio",$A$183)),0,GETPIVOTDATA("Somma di AVERE",'Pivot Fineco St'!$A$3,"Mese",3,"Tipologia",$A184,"Viaggio",$A$183))
-IF(ISERROR(GETPIVOTDATA("Somma di AVERE",'Pivot Fineco Sa'!$A$3,"Mese",3,"Tipologia",$A184,"Viaggio",$A$183)),0,GETPIVOTDATA("Somma di AVERE",'Pivot Fineco Sa'!$A$3,"Mese",3,"Tipologia",$A184,"Viaggio",$A$183))
+IF(ISERROR(GETPIVOTDATA("Somma di DARE",'Pivot PP Visa'!$A$3,"Mese",3,"Tipologia",$A184,"Viaggio",$A$183)),0,GETPIVOTDATA("Somma di DARE",'Pivot PP Visa'!$A$3,"Mese",3,"Tipologia",$A184,"Viaggio",$A$183))
-IF(ISERROR(GETPIVOTDATA("Somma di AVERE",'Pivot PP Visa'!$A$3,"Mese",3,"Tipologia",$A184,"Viaggio",$A$183)),0,GETPIVOTDATA("Somma di AVERE",'Pivot PP Visa'!$A$3,"Mese",3,"Tipologia",$A184,"Viaggio",$A$183))
+IF(ISERROR(GETPIVOTDATA("Somma di DARE",'Pivot Revolut'!$A$3,"Mese",3,"Tipologia",$A184,"Viaggio",$A$183)),0,GETPIVOTDATA("Somma di DARE",'Pivot Revolut'!$A$3,"Mese",3,"Tipologia",$A184,"Viaggio",$A$183))
-IF(ISERROR(GETPIVOTDATA("Somma di AVERE",'Pivot Revolut'!$A$3,"Mese",3,"Tipologia",$A184,"Viaggio",$A$183)),0,GETPIVOTDATA("Somma di AVERE",'Pivot Revolut'!$A$3,"Mese",3,"Tipologia",$A184,"Viaggio",$A$183))
+IF(ISERROR(GETPIVOTDATA("Somma di DARE",'Pivot RakBank EUR'!$A$3,"Mese",3,"Tipologia",$A184,"Viaggio",$A$183)),0,GETPIVOTDATA("Somma di DARE",'Pivot RakBank EUR'!$A$3,"Mese",3,"Tipologia",$A184,"Viaggio",$A$183))
-IF(ISERROR(GETPIVOTDATA("Somma di AVERE",'Pivot RakBank EUR'!$A$3,"Mese",3,"Tipologia",$A184,"Viaggio",$A$183)),0,GETPIVOTDATA("Somma di AVERE",'Pivot RakBank EUR'!$A$3,"Mese",3,"Tipologia",$A184,"Viaggio",$A$183))
+IF(ISERROR(GETPIVOTDATA("Somma di DARE EUR",'Pivot RakBank AED'!$A$3,"Mese",3,"Tipologia",$A184,"Viaggio",$A$183)),0,GETPIVOTDATA("Somma di DARE EUR",'Pivot RakBank AED'!$A$3,"Mese",3,"Tipologia",$A184,"Viaggio",$A$183))
-IF(ISERROR(GETPIVOTDATA("Somma di AVERE EUR",'Pivot RakBank AED'!$A$3,"Mese",3,"Tipologia",$A184,"Viaggio",$A$183)),0,GETPIVOTDATA("Somma di AVERE EUR",'Pivot RakBank AED'!$A$3,"Mese",3,"Tipologia",$A184,"Viaggio",$A$183))</f>
        <v>0</v>
      </c>
      <c r="F184" s="270">
        <f>IF(ISERROR(GETPIVOTDATA("Somma di DARE",'Pivot Fineco Sa'!$A$3,"Mese",4,"Tipologia",$A184,"Viaggio",$A$183)),0,GETPIVOTDATA("Somma di DARE",'Pivot Fineco Sa'!$A$3,"Mese",4,"Tipologia",$A184,"Viaggio",$A$183))
+IF(ISERROR(GETPIVOTDATA("Somma di DARE",'Pivot Fineco St'!$A$3,"Mese",4,"Tipologia",$A184,"Viaggio",$A$183)),0,GETPIVOTDATA("Somma di DARE",'Pivot Fineco St'!$A$3,"Mese",4,"Tipologia",$A184,"Viaggio",$A$183))
+IF(Contanti!$Q39='Conto Economico'!$A$183,Contanti!$N39)
+IF(ISERROR(GETPIVOTDATA("Somma di DARE",'Pivot BBVA'!$A$3,"Mese",4,"Tipologia",$A184,"Viaggio",$A$183)),0,GETPIVOTDATA("Somma di DARE",'Pivot BBVA'!$A$3,"Mese",4,"Tipologia",$A184,"Viaggio",$A$183))
+IF(ISERROR(GETPIVOTDATA("Somma di DARE",'Pivot Amex'!$A$3,"Mese",4,"Tipologia",$A184,"Viaggio",$A$183)),0,GETPIVOTDATA("Somma di DARE",'Pivot Amex'!$A$3,"Mese",4,"Tipologia",$A184,"Viaggio",$A$183))
-IF(ISERROR(GETPIVOTDATA("Somma di AVERE",'Pivot Amex'!$A$3,"Mese",4,"Tipologia",$A184,"Viaggio",$A$183)),0,GETPIVOTDATA("Somma di AVERE",'Pivot Amex'!$A$3,"Mese",4,"Tipologia",$A184,"Viaggio",$A$183))
-IF(ISERROR(GETPIVOTDATA("Somma di AVERE",'Pivot BBVA'!$A$3,"Mese",4,"Tipologia",$A184,"Viaggio",$A$183)),0,GETPIVOTDATA("Somma di AVERE",'Pivot BBVA'!$A$3,"Mese",4,"Tipologia",$A184,"Viaggio",$A$183))
-IF(ISERROR(GETPIVOTDATA("Somma di AVERE",'Pivot Fineco St'!$A$3,"Mese",4,"Tipologia",$A184,"Viaggio",$A$183)),0,GETPIVOTDATA("Somma di AVERE",'Pivot Fineco St'!$A$3,"Mese",4,"Tipologia",$A184,"Viaggio",$A$183))
-IF(ISERROR(GETPIVOTDATA("Somma di AVERE",'Pivot Fineco Sa'!$A$3,"Mese",4,"Tipologia",$A184,"Viaggio",$A$183)),0,GETPIVOTDATA("Somma di AVERE",'Pivot Fineco Sa'!$A$3,"Mese",4,"Tipologia",$A184,"Viaggio",$A$183))
+IF(ISERROR(GETPIVOTDATA("Somma di DARE",'Pivot PP Visa'!$A$3,"Mese",4,"Tipologia",$A184,"Viaggio",$A$183)),0,GETPIVOTDATA("Somma di DARE",'Pivot PP Visa'!$A$3,"Mese",4,"Tipologia",$A184,"Viaggio",$A$183))
-IF(ISERROR(GETPIVOTDATA("Somma di AVERE",'Pivot PP Visa'!$A$3,"Mese",4,"Tipologia",$A184,"Viaggio",$A$183)),0,GETPIVOTDATA("Somma di AVERE",'Pivot PP Visa'!$A$3,"Mese",4,"Tipologia",$A184,"Viaggio",$A$183))
+IF(ISERROR(GETPIVOTDATA("Somma di DARE",'Pivot Revolut'!$A$3,"Mese",4,"Tipologia",$A184,"Viaggio",$A$183)),0,GETPIVOTDATA("Somma di DARE",'Pivot Revolut'!$A$3,"Mese",4,"Tipologia",$A184,"Viaggio",$A$183))
-IF(ISERROR(GETPIVOTDATA("Somma di AVERE",'Pivot Revolut'!$A$3,"Mese",4,"Tipologia",$A184,"Viaggio",$A$183)),0,GETPIVOTDATA("Somma di AVERE",'Pivot Revolut'!$A$3,"Mese",4,"Tipologia",$A184,"Viaggio",$A$183))
+IF(ISERROR(GETPIVOTDATA("Somma di DARE",'Pivot RakBank EUR'!$A$3,"Mese",4,"Tipologia",$A184,"Viaggio",$A$183)),0,GETPIVOTDATA("Somma di DARE",'Pivot RakBank EUR'!$A$3,"Mese",4,"Tipologia",$A184,"Viaggio",$A$183))
-IF(ISERROR(GETPIVOTDATA("Somma di AVERE",'Pivot RakBank EUR'!$A$3,"Mese",4,"Tipologia",$A184,"Viaggio",$A$183)),0,GETPIVOTDATA("Somma di AVERE",'Pivot RakBank EUR'!$A$3,"Mese",4,"Tipologia",$A184,"Viaggio",$A$183))
+IF(ISERROR(GETPIVOTDATA("Somma di DARE EUR",'Pivot RakBank AED'!$A$3,"Mese",4,"Tipologia",$A184,"Viaggio",$A$183)),0,GETPIVOTDATA("Somma di DARE EUR",'Pivot RakBank AED'!$A$3,"Mese",4,"Tipologia",$A184,"Viaggio",$A$183))
-IF(ISERROR(GETPIVOTDATA("Somma di AVERE EUR",'Pivot RakBank AED'!$A$3,"Mese",4,"Tipologia",$A184,"Viaggio",$A$183)),0,GETPIVOTDATA("Somma di AVERE EUR",'Pivot RakBank AED'!$A$3,"Mese",4,"Tipologia",$A184,"Viaggio",$A$183))</f>
        <v>0</v>
      </c>
      <c r="G184" s="270">
        <f>IF(ISERROR(GETPIVOTDATA("Somma di DARE",'Pivot Fineco Sa'!$A$3,"Mese",5,"Tipologia",$A184,"Viaggio",$A$183)),0,GETPIVOTDATA("Somma di DARE",'Pivot Fineco Sa'!$A$3,"Mese",5,"Tipologia",$A184,"Viaggio",$A$183))
+IF(ISERROR(GETPIVOTDATA("Somma di DARE",'Pivot Fineco St'!$A$3,"Mese",5,"Tipologia",$A184,"Viaggio",$A$183)),0,GETPIVOTDATA("Somma di DARE",'Pivot Fineco St'!$A$3,"Mese",5,"Tipologia",$A184,"Viaggio",$A$183))
+IF(Contanti!$U39='Conto Economico'!$A$183,Contanti!$R39)
+IF(ISERROR(GETPIVOTDATA("Somma di DARE",'Pivot BBVA'!$A$3,"Mese",5,"Tipologia",$A184,"Viaggio",$A$183)),0,GETPIVOTDATA("Somma di DARE",'Pivot BBVA'!$A$3,"Mese",5,"Tipologia",$A184,"Viaggio",$A$183))
+IF(ISERROR(GETPIVOTDATA("Somma di DARE",'Pivot Amex'!$A$3,"Mese",5,"Tipologia",$A184,"Viaggio",$A$183)),0,GETPIVOTDATA("Somma di DARE",'Pivot Amex'!$A$3,"Mese",5,"Tipologia",$A184,"Viaggio",$A$183))
-IF(ISERROR(GETPIVOTDATA("Somma di AVERE",'Pivot Amex'!$A$3,"Mese",5,"Tipologia",$A184,"Viaggio",$A$183)),0,GETPIVOTDATA("Somma di AVERE",'Pivot Amex'!$A$3,"Mese",5,"Tipologia",$A184,"Viaggio",$A$183))
-IF(ISERROR(GETPIVOTDATA("Somma di AVERE",'Pivot BBVA'!$A$3,"Mese",5,"Tipologia",$A184,"Viaggio",$A$183)),0,GETPIVOTDATA("Somma di AVERE",'Pivot BBVA'!$A$3,"Mese",5,"Tipologia",$A184,"Viaggio",$A$183))
-IF(ISERROR(GETPIVOTDATA("Somma di AVERE",'Pivot Fineco St'!$A$3,"Mese",5,"Tipologia",$A184,"Viaggio",$A$183)),0,GETPIVOTDATA("Somma di AVERE",'Pivot Fineco St'!$A$3,"Mese",5,"Tipologia",$A184,"Viaggio",$A$183))
-IF(ISERROR(GETPIVOTDATA("Somma di AVERE",'Pivot Fineco Sa'!$A$3,"Mese",5,"Tipologia",$A184,"Viaggio",$A$183)),0,GETPIVOTDATA("Somma di AVERE",'Pivot Fineco Sa'!$A$3,"Mese",5,"Tipologia",$A184,"Viaggio",$A$183))
+IF(ISERROR(GETPIVOTDATA("Somma di DARE",'Pivot PP Visa'!$A$3,"Mese",5,"Tipologia",$A184,"Viaggio",$A$183)),0,GETPIVOTDATA("Somma di DARE",'Pivot PP Visa'!$A$3,"Mese",5,"Tipologia",$A184,"Viaggio",$A$183))
-IF(ISERROR(GETPIVOTDATA("Somma di AVERE",'Pivot PP Visa'!$A$3,"Mese",5,"Tipologia",$A184,"Viaggio",$A$183)),0,GETPIVOTDATA("Somma di AVERE",'Pivot PP Visa'!$A$3,"Mese",5,"Tipologia",$A184,"Viaggio",$A$183))
+IF(ISERROR(GETPIVOTDATA("Somma di DARE",'Pivot Revolut'!$A$3,"Mese",5,"Tipologia",$A184,"Viaggio",$A$183)),0,GETPIVOTDATA("Somma di DARE",'Pivot Revolut'!$A$3,"Mese",5,"Tipologia",$A184,"Viaggio",$A$183))
-IF(ISERROR(GETPIVOTDATA("Somma di AVERE",'Pivot Revolut'!$A$3,"Mese",5,"Tipologia",$A184,"Viaggio",$A$183)),0,GETPIVOTDATA("Somma di AVERE",'Pivot Revolut'!$A$3,"Mese",5,"Tipologia",$A184,"Viaggio",$A$183))
+IF(ISERROR(GETPIVOTDATA("Somma di DARE",'Pivot RakBank EUR'!$A$3,"Mese",5,"Tipologia",$A184,"Viaggio",$A$183)),0,GETPIVOTDATA("Somma di DARE",'Pivot RakBank EUR'!$A$3,"Mese",5,"Tipologia",$A184,"Viaggio",$A$183))
-IF(ISERROR(GETPIVOTDATA("Somma di AVERE",'Pivot RakBank EUR'!$A$3,"Mese",5,"Tipologia",$A184,"Viaggio",$A$183)),0,GETPIVOTDATA("Somma di AVERE",'Pivot RakBank EUR'!$A$3,"Mese",5,"Tipologia",$A184,"Viaggio",$A$183))
+IF(ISERROR(GETPIVOTDATA("Somma di DARE EUR",'Pivot RakBank AED'!$A$3,"Mese",5,"Tipologia",$A184,"Viaggio",$A$183)),0,GETPIVOTDATA("Somma di DARE EUR",'Pivot RakBank AED'!$A$3,"Mese",5,"Tipologia",$A184,"Viaggio",$A$183))
-IF(ISERROR(GETPIVOTDATA("Somma di AVERE EUR",'Pivot RakBank AED'!$A$3,"Mese",5,"Tipologia",$A184,"Viaggio",$A$183)),0,GETPIVOTDATA("Somma di AVERE EUR",'Pivot RakBank AED'!$A$3,"Mese",5,"Tipologia",$A184,"Viaggio",$A$183))</f>
        <v>0</v>
      </c>
      <c r="H184" s="270">
        <f>IF(ISERROR(GETPIVOTDATA("Somma di DARE",'Pivot Fineco Sa'!$A$3,"Mese",6,"Tipologia",$A184,"Viaggio",$A$183)),0,GETPIVOTDATA("Somma di DARE",'Pivot Fineco Sa'!$A$3,"Mese",6,"Tipologia",$A184,"Viaggio",$A$183))
+IF(ISERROR(GETPIVOTDATA("Somma di DARE",'Pivot Fineco St'!$A$3,"Mese",6,"Tipologia",$A184,"Viaggio",$A$183)),0,GETPIVOTDATA("Somma di DARE",'Pivot Fineco St'!$A$3,"Mese",6,"Tipologia",$A184,"Viaggio",$A$183))
+IF(Contanti!$Y39='Conto Economico'!$A$183,Contanti!$V39)
+IF(ISERROR(GETPIVOTDATA("Somma di DARE",'Pivot BBVA'!$A$3,"Mese",6,"Tipologia",$A184,"Viaggio",$A$183)),0,GETPIVOTDATA("Somma di DARE",'Pivot BBVA'!$A$3,"Mese",6,"Tipologia",$A184,"Viaggio",$A$183))
+IF(ISERROR(GETPIVOTDATA("Somma di DARE",'Pivot Amex'!$A$3,"Mese",6,"Tipologia",$A184,"Viaggio",$A$183)),0,GETPIVOTDATA("Somma di DARE",'Pivot Amex'!$A$3,"Mese",6,"Tipologia",$A184,"Viaggio",$A$183))
-IF(ISERROR(GETPIVOTDATA("Somma di AVERE",'Pivot Amex'!$A$3,"Mese",6,"Tipologia",$A184,"Viaggio",$A$183)),0,GETPIVOTDATA("Somma di AVERE",'Pivot Amex'!$A$3,"Mese",6,"Tipologia",$A184,"Viaggio",$A$183))
-IF(ISERROR(GETPIVOTDATA("Somma di AVERE",'Pivot BBVA'!$A$3,"Mese",6,"Tipologia",$A184,"Viaggio",$A$183)),0,GETPIVOTDATA("Somma di AVERE",'Pivot BBVA'!$A$3,"Mese",6,"Tipologia",$A184,"Viaggio",$A$183))
-IF(ISERROR(GETPIVOTDATA("Somma di AVERE",'Pivot Fineco St'!$A$3,"Mese",6,"Tipologia",$A184,"Viaggio",$A$183)),0,GETPIVOTDATA("Somma di AVERE",'Pivot Fineco St'!$A$3,"Mese",6,"Tipologia",$A184,"Viaggio",$A$183))
-IF(ISERROR(GETPIVOTDATA("Somma di AVERE",'Pivot Fineco Sa'!$A$3,"Mese",6,"Tipologia",$A184,"Viaggio",$A$183)),0,GETPIVOTDATA("Somma di AVERE",'Pivot Fineco Sa'!$A$3,"Mese",6,"Tipologia",$A184,"Viaggio",$A$183))
+IF(ISERROR(GETPIVOTDATA("Somma di DARE",'Pivot PP Visa'!$A$3,"Mese",6,"Tipologia",$A184,"Viaggio",$A$183)),0,GETPIVOTDATA("Somma di DARE",'Pivot PP Visa'!$A$3,"Mese",6,"Tipologia",$A184,"Viaggio",$A$183))
-IF(ISERROR(GETPIVOTDATA("Somma di AVERE",'Pivot PP Visa'!$A$3,"Mese",6,"Tipologia",$A184,"Viaggio",$A$183)),0,GETPIVOTDATA("Somma di AVERE",'Pivot PP Visa'!$A$3,"Mese",6,"Tipologia",$A184,"Viaggio",$A$183))
+IF(ISERROR(GETPIVOTDATA("Somma di DARE",'Pivot Revolut'!$A$3,"Mese",6,"Tipologia",$A184,"Viaggio",$A$183)),0,GETPIVOTDATA("Somma di DARE",'Pivot Revolut'!$A$3,"Mese",6,"Tipologia",$A184,"Viaggio",$A$183))
-IF(ISERROR(GETPIVOTDATA("Somma di AVERE",'Pivot Revolut'!$A$3,"Mese",6,"Tipologia",$A184,"Viaggio",$A$183)),0,GETPIVOTDATA("Somma di AVERE",'Pivot Revolut'!$A$3,"Mese",6,"Tipologia",$A184,"Viaggio",$A$183))
+IF(ISERROR(GETPIVOTDATA("Somma di DARE",'Pivot RakBank EUR'!$A$3,"Mese",6,"Tipologia",$A184,"Viaggio",$A$183)),0,GETPIVOTDATA("Somma di DARE",'Pivot RakBank EUR'!$A$3,"Mese",6,"Tipologia",$A184,"Viaggio",$A$183))
-IF(ISERROR(GETPIVOTDATA("Somma di AVERE",'Pivot RakBank EUR'!$A$3,"Mese",6,"Tipologia",$A184,"Viaggio",$A$183)),0,GETPIVOTDATA("Somma di AVERE",'Pivot RakBank EUR'!$A$3,"Mese",6,"Tipologia",$A184,"Viaggio",$A$183))
+IF(ISERROR(GETPIVOTDATA("Somma di DARE EUR",'Pivot RakBank AED'!$A$3,"Mese",6,"Tipologia",$A184,"Viaggio",$A$183)),0,GETPIVOTDATA("Somma di DARE EUR",'Pivot RakBank AED'!$A$3,"Mese",6,"Tipologia",$A184,"Viaggio",$A$183))
-IF(ISERROR(GETPIVOTDATA("Somma di AVERE EUR",'Pivot RakBank AED'!$A$3,"Mese",6,"Tipologia",$A184,"Viaggio",$A$183)),0,GETPIVOTDATA("Somma di AVERE EUR",'Pivot RakBank AED'!$A$3,"Mese",6,"Tipologia",$A184,"Viaggio",$A$183))</f>
        <v>0</v>
      </c>
      <c r="I184" s="270">
        <f>IF(ISERROR(GETPIVOTDATA("Somma di DARE",'Pivot Fineco Sa'!$A$3,"Mese",7,"Tipologia",$A184,"Viaggio",$A$183)),0,GETPIVOTDATA("Somma di DARE",'Pivot Fineco Sa'!$A$3,"Mese",7,"Tipologia",$A184,"Viaggio",$A$183))
+IF(ISERROR(GETPIVOTDATA("Somma di DARE",'Pivot Fineco St'!$A$3,"Mese",7,"Tipologia",$A184,"Viaggio",$A$183)),0,GETPIVOTDATA("Somma di DARE",'Pivot Fineco St'!$A$3,"Mese",7,"Tipologia",$A184,"Viaggio",$A$183))
+IF(Contanti!$AC39='Conto Economico'!$A$183,Contanti!$Z39)
+IF(ISERROR(GETPIVOTDATA("Somma di DARE",'Pivot BBVA'!$A$3,"Mese",7,"Tipologia",$A184,"Viaggio",$A$183)),0,GETPIVOTDATA("Somma di DARE",'Pivot BBVA'!$A$3,"Mese",7,"Tipologia",$A184,"Viaggio",$A$183))
+IF(ISERROR(GETPIVOTDATA("Somma di DARE",'Pivot Amex'!$A$3,"Mese",7,"Tipologia",$A184,"Viaggio",$A$183)),0,GETPIVOTDATA("Somma di DARE",'Pivot Amex'!$A$3,"Mese",7,"Tipologia",$A184,"Viaggio",$A$183))
-IF(ISERROR(GETPIVOTDATA("Somma di AVERE",'Pivot Amex'!$A$3,"Mese",7,"Tipologia",$A184,"Viaggio",$A$183)),0,GETPIVOTDATA("Somma di AVERE",'Pivot Amex'!$A$3,"Mese",7,"Tipologia",$A184,"Viaggio",$A$183))
-IF(ISERROR(GETPIVOTDATA("Somma di AVERE",'Pivot BBVA'!$A$3,"Mese",7,"Tipologia",$A184,"Viaggio",$A$183)),0,GETPIVOTDATA("Somma di AVERE",'Pivot BBVA'!$A$3,"Mese",7,"Tipologia",$A184,"Viaggio",$A$183))
-IF(ISERROR(GETPIVOTDATA("Somma di AVERE",'Pivot Fineco St'!$A$3,"Mese",7,"Tipologia",$A184,"Viaggio",$A$183)),0,GETPIVOTDATA("Somma di AVERE",'Pivot Fineco St'!$A$3,"Mese",7,"Tipologia",$A184,"Viaggio",$A$183))
-IF(ISERROR(GETPIVOTDATA("Somma di AVERE",'Pivot Fineco Sa'!$A$3,"Mese",7,"Tipologia",$A184,"Viaggio",$A$183)),0,GETPIVOTDATA("Somma di AVERE",'Pivot Fineco Sa'!$A$3,"Mese",7,"Tipologia",$A184,"Viaggio",$A$183))
+IF(ISERROR(GETPIVOTDATA("Somma di DARE",'Pivot PP Visa'!$A$3,"Mese",7,"Tipologia",$A184,"Viaggio",$A$183)),0,GETPIVOTDATA("Somma di DARE",'Pivot PP Visa'!$A$3,"Mese",7,"Tipologia",$A184,"Viaggio",$A$183))
-IF(ISERROR(GETPIVOTDATA("Somma di AVERE",'Pivot PP Visa'!$A$3,"Mese",7,"Tipologia",$A184,"Viaggio",$A$183)),0,GETPIVOTDATA("Somma di AVERE",'Pivot PP Visa'!$A$3,"Mese",7,"Tipologia",$A184,"Viaggio",$A$183))
+IF(ISERROR(GETPIVOTDATA("Somma di DARE",'Pivot Revolut'!$A$3,"Mese",7,"Tipologia",$A184,"Viaggio",$A$183)),0,GETPIVOTDATA("Somma di DARE",'Pivot Revolut'!$A$3,"Mese",7,"Tipologia",$A184,"Viaggio",$A$183))
-IF(ISERROR(GETPIVOTDATA("Somma di AVERE",'Pivot Revolut'!$A$3,"Mese",7,"Tipologia",$A184,"Viaggio",$A$183)),0,GETPIVOTDATA("Somma di AVERE",'Pivot Revolut'!$A$3,"Mese",7,"Tipologia",$A184,"Viaggio",$A$183))
+IF(ISERROR(GETPIVOTDATA("Somma di DARE",'Pivot RakBank EUR'!$A$3,"Mese",7,"Tipologia",$A184,"Viaggio",$A$183)),0,GETPIVOTDATA("Somma di DARE",'Pivot RakBank EUR'!$A$3,"Mese",7,"Tipologia",$A184,"Viaggio",$A$183))
-IF(ISERROR(GETPIVOTDATA("Somma di AVERE",'Pivot RakBank EUR'!$A$3,"Mese",7,"Tipologia",$A184,"Viaggio",$A$183)),0,GETPIVOTDATA("Somma di AVERE",'Pivot RakBank EUR'!$A$3,"Mese",7,"Tipologia",$A184,"Viaggio",$A$183))
+IF(ISERROR(GETPIVOTDATA("Somma di DARE EUR",'Pivot RakBank AED'!$A$3,"Mese",7,"Tipologia",$A184,"Viaggio",$A$183)),0,GETPIVOTDATA("Somma di DARE EUR",'Pivot RakBank AED'!$A$3,"Mese",7,"Tipologia",$A184,"Viaggio",$A$183))
-IF(ISERROR(GETPIVOTDATA("Somma di AVERE EUR",'Pivot RakBank AED'!$A$3,"Mese",7,"Tipologia",$A184,"Viaggio",$A$183)),0,GETPIVOTDATA("Somma di AVERE EUR",'Pivot RakBank AED'!$A$3,"Mese",7,"Tipologia",$A184,"Viaggio",$A$183))</f>
        <v>0</v>
      </c>
      <c r="J184" s="270">
        <f>IF(ISERROR(GETPIVOTDATA("Somma di DARE",'Pivot Fineco Sa'!$A$3,"Mese",8,"Tipologia",$A184,"Viaggio",$A$183)),0,GETPIVOTDATA("Somma di DARE",'Pivot Fineco Sa'!$A$3,"Mese",8,"Tipologia",$A184,"Viaggio",$A$183))
+IF(ISERROR(GETPIVOTDATA("Somma di DARE",'Pivot Fineco St'!$A$3,"Mese",8,"Tipologia",$A184,"Viaggio",$A$183)),0,GETPIVOTDATA("Somma di DARE",'Pivot Fineco St'!$A$3,"Mese",8,"Tipologia",$A184,"Viaggio",$A$183))
+IF(Contanti!$AG39='Conto Economico'!$A$183,Contanti!$AD39)
+IF(ISERROR(GETPIVOTDATA("Somma di DARE",'Pivot BBVA'!$A$3,"Mese",8,"Tipologia",$A184,"Viaggio",$A$183)),0,GETPIVOTDATA("Somma di DARE",'Pivot BBVA'!$A$3,"Mese",8,"Tipologia",$A184,"Viaggio",$A$183))
+IF(ISERROR(GETPIVOTDATA("Somma di DARE",'Pivot Amex'!$A$3,"Mese",8,"Tipologia",$A184,"Viaggio",$A$183)),0,GETPIVOTDATA("Somma di DARE",'Pivot Amex'!$A$3,"Mese",8,"Tipologia",$A184,"Viaggio",$A$183))
-IF(ISERROR(GETPIVOTDATA("Somma di AVERE",'Pivot Amex'!$A$3,"Mese",8,"Tipologia",$A184,"Viaggio",$A$183)),0,GETPIVOTDATA("Somma di AVERE",'Pivot Amex'!$A$3,"Mese",8,"Tipologia",$A184,"Viaggio",$A$183))
-IF(ISERROR(GETPIVOTDATA("Somma di AVERE",'Pivot BBVA'!$A$3,"Mese",8,"Tipologia",$A184,"Viaggio",$A$183)),0,GETPIVOTDATA("Somma di AVERE",'Pivot BBVA'!$A$3,"Mese",8,"Tipologia",$A184,"Viaggio",$A$183))
-IF(ISERROR(GETPIVOTDATA("Somma di AVERE",'Pivot Fineco St'!$A$3,"Mese",8,"Tipologia",$A184,"Viaggio",$A$183)),0,GETPIVOTDATA("Somma di AVERE",'Pivot Fineco St'!$A$3,"Mese",8,"Tipologia",$A184,"Viaggio",$A$183))
-IF(ISERROR(GETPIVOTDATA("Somma di AVERE",'Pivot Fineco Sa'!$A$3,"Mese",8,"Tipologia",$A184,"Viaggio",$A$183)),0,GETPIVOTDATA("Somma di AVERE",'Pivot Fineco Sa'!$A$3,"Mese",8,"Tipologia",$A184,"Viaggio",$A$183))
+IF(ISERROR(GETPIVOTDATA("Somma di DARE",'Pivot PP Visa'!$A$3,"Mese",8,"Tipologia",$A184,"Viaggio",$A$183)),0,GETPIVOTDATA("Somma di DARE",'Pivot PP Visa'!$A$3,"Mese",8,"Tipologia",$A184,"Viaggio",$A$183))
-IF(ISERROR(GETPIVOTDATA("Somma di AVERE",'Pivot PP Visa'!$A$3,"Mese",8,"Tipologia",$A184,"Viaggio",$A$183)),0,GETPIVOTDATA("Somma di AVERE",'Pivot PP Visa'!$A$3,"Mese",8,"Tipologia",$A184,"Viaggio",$A$183))
+IF(ISERROR(GETPIVOTDATA("Somma di DARE",'Pivot Revolut'!$A$3,"Mese",8,"Tipologia",$A184,"Viaggio",$A$183)),0,GETPIVOTDATA("Somma di DARE",'Pivot Revolut'!$A$3,"Mese",8,"Tipologia",$A184,"Viaggio",$A$183))
-IF(ISERROR(GETPIVOTDATA("Somma di AVERE",'Pivot Revolut'!$A$3,"Mese",8,"Tipologia",$A184,"Viaggio",$A$183)),0,GETPIVOTDATA("Somma di AVERE",'Pivot Revolut'!$A$3,"Mese",8,"Tipologia",$A184,"Viaggio",$A$183))
+IF(ISERROR(GETPIVOTDATA("Somma di DARE",'Pivot RakBank EUR'!$A$3,"Mese",8,"Tipologia",$A184,"Viaggio",$A$183)),0,GETPIVOTDATA("Somma di DARE",'Pivot RakBank EUR'!$A$3,"Mese",8,"Tipologia",$A184,"Viaggio",$A$183))
-IF(ISERROR(GETPIVOTDATA("Somma di AVERE",'Pivot RakBank EUR'!$A$3,"Mese",8,"Tipologia",$A184,"Viaggio",$A$183)),0,GETPIVOTDATA("Somma di AVERE",'Pivot RakBank EUR'!$A$3,"Mese",8,"Tipologia",$A184,"Viaggio",$A$183))
+IF(ISERROR(GETPIVOTDATA("Somma di DARE EUR",'Pivot RakBank AED'!$A$3,"Mese",8,"Tipologia",$A184,"Viaggio",$A$183)),0,GETPIVOTDATA("Somma di DARE EUR",'Pivot RakBank AED'!$A$3,"Mese",8,"Tipologia",$A184,"Viaggio",$A$183))
-IF(ISERROR(GETPIVOTDATA("Somma di AVERE EUR",'Pivot RakBank AED'!$A$3,"Mese",8,"Tipologia",$A184,"Viaggio",$A$183)),0,GETPIVOTDATA("Somma di AVERE EUR",'Pivot RakBank AED'!$A$3,"Mese",8,"Tipologia",$A184,"Viaggio",$A$183))</f>
        <v>0</v>
      </c>
      <c r="K184" s="270">
        <f>IF(ISERROR(GETPIVOTDATA("Somma di DARE",'Pivot Fineco Sa'!$A$3,"Mese",9,"Tipologia",$A184,"Viaggio",$A$183)),0,GETPIVOTDATA("Somma di DARE",'Pivot Fineco Sa'!$A$3,"Mese",9,"Tipologia",$A184,"Viaggio",$A$183))
+IF(ISERROR(GETPIVOTDATA("Somma di DARE",'Pivot Fineco St'!$A$3,"Mese",9,"Tipologia",$A184,"Viaggio",$A$183)),0,GETPIVOTDATA("Somma di DARE",'Pivot Fineco St'!$A$3,"Mese",9,"Tipologia",$A184,"Viaggio",$A$183))
+IF(Contanti!$AK39='Conto Economico'!$A$183,Contanti!$AH39)
+IF(ISERROR(GETPIVOTDATA("Somma di DARE",'Pivot BBVA'!$A$3,"Mese",9,"Tipologia",$A184,"Viaggio",$A$183)),0,GETPIVOTDATA("Somma di DARE",'Pivot BBVA'!$A$3,"Mese",9,"Tipologia",$A184,"Viaggio",$A$183))
+IF(ISERROR(GETPIVOTDATA("Somma di DARE",'Pivot Amex'!$A$3,"Mese",9,"Tipologia",$A184,"Viaggio",$A$183)),0,GETPIVOTDATA("Somma di DARE",'Pivot Amex'!$A$3,"Mese",9,"Tipologia",$A184,"Viaggio",$A$183))
-IF(ISERROR(GETPIVOTDATA("Somma di AVERE",'Pivot Amex'!$A$3,"Mese",9,"Tipologia",$A184,"Viaggio",$A$183)),0,GETPIVOTDATA("Somma di AVERE",'Pivot Amex'!$A$3,"Mese",9,"Tipologia",$A184,"Viaggio",$A$183))
-IF(ISERROR(GETPIVOTDATA("Somma di AVERE",'Pivot BBVA'!$A$3,"Mese",9,"Tipologia",$A184,"Viaggio",$A$183)),0,GETPIVOTDATA("Somma di AVERE",'Pivot BBVA'!$A$3,"Mese",9,"Tipologia",$A184,"Viaggio",$A$183))
-IF(ISERROR(GETPIVOTDATA("Somma di AVERE",'Pivot Fineco St'!$A$3,"Mese",9,"Tipologia",$A184,"Viaggio",$A$183)),0,GETPIVOTDATA("Somma di AVERE",'Pivot Fineco St'!$A$3,"Mese",9,"Tipologia",$A184,"Viaggio",$A$183))
-IF(ISERROR(GETPIVOTDATA("Somma di AVERE",'Pivot Fineco Sa'!$A$3,"Mese",9,"Tipologia",$A184,"Viaggio",$A$183)),0,GETPIVOTDATA("Somma di AVERE",'Pivot Fineco Sa'!$A$3,"Mese",9,"Tipologia",$A184,"Viaggio",$A$183))
+IF(ISERROR(GETPIVOTDATA("Somma di DARE",'Pivot PP Visa'!$A$3,"Mese",9,"Tipologia",$A184,"Viaggio",$A$183)),0,GETPIVOTDATA("Somma di DARE",'Pivot PP Visa'!$A$3,"Mese",9,"Tipologia",$A184,"Viaggio",$A$183))
-IF(ISERROR(GETPIVOTDATA("Somma di AVERE",'Pivot PP Visa'!$A$3,"Mese",9,"Tipologia",$A184,"Viaggio",$A$183)),0,GETPIVOTDATA("Somma di AVERE",'Pivot PP Visa'!$A$3,"Mese",9,"Tipologia",$A184,"Viaggio",$A$183))
+IF(ISERROR(GETPIVOTDATA("Somma di DARE",'Pivot Revolut'!$A$3,"Mese",9,"Tipologia",$A184,"Viaggio",$A$183)),0,GETPIVOTDATA("Somma di DARE",'Pivot Revolut'!$A$3,"Mese",9,"Tipologia",$A184,"Viaggio",$A$183))
-IF(ISERROR(GETPIVOTDATA("Somma di AVERE",'Pivot Revolut'!$A$3,"Mese",9,"Tipologia",$A184,"Viaggio",$A$183)),0,GETPIVOTDATA("Somma di AVERE",'Pivot Revolut'!$A$3,"Mese",9,"Tipologia",$A184,"Viaggio",$A$183))
+IF(ISERROR(GETPIVOTDATA("Somma di DARE",'Pivot RakBank EUR'!$A$3,"Mese",9,"Tipologia",$A184,"Viaggio",$A$183)),0,GETPIVOTDATA("Somma di DARE",'Pivot RakBank EUR'!$A$3,"Mese",9,"Tipologia",$A184,"Viaggio",$A$183))
-IF(ISERROR(GETPIVOTDATA("Somma di AVERE",'Pivot RakBank EUR'!$A$3,"Mese",9,"Tipologia",$A184,"Viaggio",$A$183)),0,GETPIVOTDATA("Somma di AVERE",'Pivot RakBank EUR'!$A$3,"Mese",9,"Tipologia",$A184,"Viaggio",$A$183))
+IF(ISERROR(GETPIVOTDATA("Somma di DARE EUR",'Pivot RakBank AED'!$A$3,"Mese",9,"Tipologia",$A184,"Viaggio",$A$183)),0,GETPIVOTDATA("Somma di DARE EUR",'Pivot RakBank AED'!$A$3,"Mese",9,"Tipologia",$A184,"Viaggio",$A$183))
-IF(ISERROR(GETPIVOTDATA("Somma di AVERE EUR",'Pivot RakBank AED'!$A$3,"Mese",9,"Tipologia",$A184,"Viaggio",$A$183)),0,GETPIVOTDATA("Somma di AVERE EUR",'Pivot RakBank AED'!$A$3,"Mese",9,"Tipologia",$A184,"Viaggio",$A$183))</f>
        <v>0</v>
      </c>
      <c r="L184" s="270">
        <f>IF(ISERROR(GETPIVOTDATA("Somma di DARE",'Pivot Fineco Sa'!$A$3,"Mese",10,"Tipologia",$A184,"Viaggio",$A$183)),0,GETPIVOTDATA("Somma di DARE",'Pivot Fineco Sa'!$A$3,"Mese",10,"Tipologia",$A184,"Viaggio",$A$183))
+IF(ISERROR(GETPIVOTDATA("Somma di DARE",'Pivot Fineco St'!$A$3,"Mese",10,"Tipologia",$A184,"Viaggio",$A$183)),0,GETPIVOTDATA("Somma di DARE",'Pivot Fineco St'!$A$3,"Mese",10,"Tipologia",$A184,"Viaggio",$A$183))
+IF(Contanti!$AO39='Conto Economico'!$A$183,Contanti!$AL39)
+IF(ISERROR(GETPIVOTDATA("Somma di DARE",'Pivot BBVA'!$A$3,"Mese",10,"Tipologia",$A184,"Viaggio",$A$183)),0,GETPIVOTDATA("Somma di DARE",'Pivot BBVA'!$A$3,"Mese",10,"Tipologia",$A184,"Viaggio",$A$183))
+IF(ISERROR(GETPIVOTDATA("Somma di DARE",'Pivot Amex'!$A$3,"Mese",10,"Tipologia",$A184,"Viaggio",$A$183)),0,GETPIVOTDATA("Somma di DARE",'Pivot Amex'!$A$3,"Mese",10,"Tipologia",$A184,"Viaggio",$A$183))
-IF(ISERROR(GETPIVOTDATA("Somma di AVERE",'Pivot Amex'!$A$3,"Mese",10,"Tipologia",$A184,"Viaggio",$A$183)),0,GETPIVOTDATA("Somma di AVERE",'Pivot Amex'!$A$3,"Mese",10,"Tipologia",$A184,"Viaggio",$A$183))
-IF(ISERROR(GETPIVOTDATA("Somma di AVERE",'Pivot BBVA'!$A$3,"Mese",10,"Tipologia",$A184,"Viaggio",$A$183)),0,GETPIVOTDATA("Somma di AVERE",'Pivot BBVA'!$A$3,"Mese",10,"Tipologia",$A184,"Viaggio",$A$183))
-IF(ISERROR(GETPIVOTDATA("Somma di AVERE",'Pivot Fineco St'!$A$3,"Mese",10,"Tipologia",$A184,"Viaggio",$A$183)),0,GETPIVOTDATA("Somma di AVERE",'Pivot Fineco St'!$A$3,"Mese",10,"Tipologia",$A184,"Viaggio",$A$183))
-IF(ISERROR(GETPIVOTDATA("Somma di AVERE",'Pivot Fineco Sa'!$A$3,"Mese",10,"Tipologia",$A184,"Viaggio",$A$183)),0,GETPIVOTDATA("Somma di AVERE",'Pivot Fineco Sa'!$A$3,"Mese",10,"Tipologia",$A184,"Viaggio",$A$183))
+IF(ISERROR(GETPIVOTDATA("Somma di DARE",'Pivot PP Visa'!$A$3,"Mese",10,"Tipologia",$A184,"Viaggio",$A$183)),0,GETPIVOTDATA("Somma di DARE",'Pivot PP Visa'!$A$3,"Mese",10,"Tipologia",$A184,"Viaggio",$A$183))
-IF(ISERROR(GETPIVOTDATA("Somma di AVERE",'Pivot PP Visa'!$A$3,"Mese",10,"Tipologia",$A184,"Viaggio",$A$183)),0,GETPIVOTDATA("Somma di AVERE",'Pivot PP Visa'!$A$3,"Mese",10,"Tipologia",$A184,"Viaggio",$A$183))
+IF(ISERROR(GETPIVOTDATA("Somma di DARE",'Pivot Revolut'!$A$3,"Mese",10,"Tipologia",$A184,"Viaggio",$A$183)),0,GETPIVOTDATA("Somma di DARE",'Pivot Revolut'!$A$3,"Mese",10,"Tipologia",$A184,"Viaggio",$A$183))
-IF(ISERROR(GETPIVOTDATA("Somma di AVERE",'Pivot Revolut'!$A$3,"Mese",10,"Tipologia",$A184,"Viaggio",$A$183)),0,GETPIVOTDATA("Somma di AVERE",'Pivot Revolut'!$A$3,"Mese",10,"Tipologia",$A184,"Viaggio",$A$183))
+IF(ISERROR(GETPIVOTDATA("Somma di DARE",'Pivot RakBank EUR'!$A$3,"Mese",10,"Tipologia",$A184,"Viaggio",$A$183)),0,GETPIVOTDATA("Somma di DARE",'Pivot RakBank EUR'!$A$3,"Mese",10,"Tipologia",$A184,"Viaggio",$A$183))
-IF(ISERROR(GETPIVOTDATA("Somma di AVERE",'Pivot RakBank EUR'!$A$3,"Mese",10,"Tipologia",$A184,"Viaggio",$A$183)),0,GETPIVOTDATA("Somma di AVERE",'Pivot RakBank EUR'!$A$3,"Mese",10,"Tipologia",$A184,"Viaggio",$A$183))
+IF(ISERROR(GETPIVOTDATA("Somma di DARE EUR",'Pivot RakBank AED'!$A$3,"Mese",10,"Tipologia",$A184,"Viaggio",$A$183)),0,GETPIVOTDATA("Somma di DARE EUR",'Pivot RakBank AED'!$A$3,"Mese",10,"Tipologia",$A184,"Viaggio",$A$183))
-IF(ISERROR(GETPIVOTDATA("Somma di AVERE EUR",'Pivot RakBank AED'!$A$3,"Mese",10,"Tipologia",$A184,"Viaggio",$A$183)),0,GETPIVOTDATA("Somma di AVERE EUR",'Pivot RakBank AED'!$A$3,"Mese",10,"Tipologia",$A184,"Viaggio",$A$183))</f>
        <v>0</v>
      </c>
      <c r="M184" s="270">
        <f>IF(ISERROR(GETPIVOTDATA("Somma di DARE",'Pivot Fineco Sa'!$A$3,"Mese",11,"Tipologia",$A184,"Viaggio",$A$183)),0,GETPIVOTDATA("Somma di DARE",'Pivot Fineco Sa'!$A$3,"Mese",11,"Tipologia",$A184,"Viaggio",$A$183))
+IF(ISERROR(GETPIVOTDATA("Somma di DARE",'Pivot Fineco St'!$A$3,"Mese",11,"Tipologia",$A184,"Viaggio",$A$183)),0,GETPIVOTDATA("Somma di DARE",'Pivot Fineco St'!$A$3,"Mese",11,"Tipologia",$A184,"Viaggio",$A$183))
+IF(Contanti!$AS39='Conto Economico'!$A$183,Contanti!$AP39)
+IF(ISERROR(GETPIVOTDATA("Somma di DARE",'Pivot BBVA'!$A$3,"Mese",11,"Tipologia",$A184,"Viaggio",$A$183)),0,GETPIVOTDATA("Somma di DARE",'Pivot BBVA'!$A$3,"Mese",11,"Tipologia",$A184,"Viaggio",$A$183))
+IF(ISERROR(GETPIVOTDATA("Somma di DARE",'Pivot Amex'!$A$3,"Mese",11,"Tipologia",$A184,"Viaggio",$A$183)),0,GETPIVOTDATA("Somma di DARE",'Pivot Amex'!$A$3,"Mese",11,"Tipologia",$A184,"Viaggio",$A$183))
-IF(ISERROR(GETPIVOTDATA("Somma di AVERE",'Pivot Amex'!$A$3,"Mese",11,"Tipologia",$A184,"Viaggio",$A$183)),0,GETPIVOTDATA("Somma di AVERE",'Pivot Amex'!$A$3,"Mese",11,"Tipologia",$A184,"Viaggio",$A$183))
-IF(ISERROR(GETPIVOTDATA("Somma di AVERE",'Pivot BBVA'!$A$3,"Mese",11,"Tipologia",$A184,"Viaggio",$A$183)),0,GETPIVOTDATA("Somma di AVERE",'Pivot BBVA'!$A$3,"Mese",11,"Tipologia",$A184,"Viaggio",$A$183))
-IF(ISERROR(GETPIVOTDATA("Somma di AVERE",'Pivot Fineco St'!$A$3,"Mese",11,"Tipologia",$A184,"Viaggio",$A$183)),0,GETPIVOTDATA("Somma di AVERE",'Pivot Fineco St'!$A$3,"Mese",11,"Tipologia",$A184,"Viaggio",$A$183))
-IF(ISERROR(GETPIVOTDATA("Somma di AVERE",'Pivot Fineco Sa'!$A$3,"Mese",11,"Tipologia",$A184,"Viaggio",$A$183)),0,GETPIVOTDATA("Somma di AVERE",'Pivot Fineco Sa'!$A$3,"Mese",11,"Tipologia",$A184,"Viaggio",$A$183))
+IF(ISERROR(GETPIVOTDATA("Somma di DARE",'Pivot PP Visa'!$A$3,"Mese",11,"Tipologia",$A184,"Viaggio",$A$183)),0,GETPIVOTDATA("Somma di DARE",'Pivot PP Visa'!$A$3,"Mese",11,"Tipologia",$A184,"Viaggio",$A$183))
-IF(ISERROR(GETPIVOTDATA("Somma di AVERE",'Pivot PP Visa'!$A$3,"Mese",11,"Tipologia",$A184,"Viaggio",$A$183)),0,GETPIVOTDATA("Somma di AVERE",'Pivot PP Visa'!$A$3,"Mese",11,"Tipologia",$A184,"Viaggio",$A$183))
+IF(ISERROR(GETPIVOTDATA("Somma di DARE",'Pivot Revolut'!$A$3,"Mese",11,"Tipologia",$A184,"Viaggio",$A$183)),0,GETPIVOTDATA("Somma di DARE",'Pivot Revolut'!$A$3,"Mese",11,"Tipologia",$A184,"Viaggio",$A$183))
-IF(ISERROR(GETPIVOTDATA("Somma di AVERE",'Pivot Revolut'!$A$3,"Mese",11,"Tipologia",$A184,"Viaggio",$A$183)),0,GETPIVOTDATA("Somma di AVERE",'Pivot Revolut'!$A$3,"Mese",11,"Tipologia",$A184,"Viaggio",$A$183))
+IF(ISERROR(GETPIVOTDATA("Somma di DARE",'Pivot RakBank EUR'!$A$3,"Mese",11,"Tipologia",$A184,"Viaggio",$A$183)),0,GETPIVOTDATA("Somma di DARE",'Pivot RakBank EUR'!$A$3,"Mese",11,"Tipologia",$A184,"Viaggio",$A$183))
-IF(ISERROR(GETPIVOTDATA("Somma di AVERE",'Pivot RakBank EUR'!$A$3,"Mese",11,"Tipologia",$A184,"Viaggio",$A$183)),0,GETPIVOTDATA("Somma di AVERE",'Pivot RakBank EUR'!$A$3,"Mese",11,"Tipologia",$A184,"Viaggio",$A$183))
+IF(ISERROR(GETPIVOTDATA("Somma di DARE EUR",'Pivot RakBank AED'!$A$3,"Mese",11,"Tipologia",$A184,"Viaggio",$A$183)),0,GETPIVOTDATA("Somma di DARE EUR",'Pivot RakBank AED'!$A$3,"Mese",11,"Tipologia",$A184,"Viaggio",$A$183))
-IF(ISERROR(GETPIVOTDATA("Somma di AVERE EUR",'Pivot RakBank AED'!$A$3,"Mese",11,"Tipologia",$A184,"Viaggio",$A$183)),0,GETPIVOTDATA("Somma di AVERE EUR",'Pivot RakBank AED'!$A$3,"Mese",11,"Tipologia",$A184,"Viaggio",$A$183))</f>
        <v>0</v>
      </c>
      <c r="N184" s="270">
        <f>IF(ISERROR(GETPIVOTDATA("Somma di DARE",'Pivot Fineco Sa'!$A$3,"Mese",12,"Tipologia",$A184,"Viaggio",$A$183)),0,GETPIVOTDATA("Somma di DARE",'Pivot Fineco Sa'!$A$3,"Mese",12,"Tipologia",$A184,"Viaggio",$A$183))
+IF(ISERROR(GETPIVOTDATA("Somma di DARE",'Pivot Fineco St'!$A$3,"Mese",12,"Tipologia",$A184,"Viaggio",$A$183)),0,GETPIVOTDATA("Somma di DARE",'Pivot Fineco St'!$A$3,"Mese",12,"Tipologia",$A184,"Viaggio",$A$183))
+IF(Contanti!$AW39='Conto Economico'!$A$183,Contanti!$AT39)
+IF(ISERROR(GETPIVOTDATA("Somma di DARE",'Pivot BBVA'!$A$3,"Mese",12,"Tipologia",$A184,"Viaggio",$A$183)),0,GETPIVOTDATA("Somma di DARE",'Pivot BBVA'!$A$3,"Mese",12,"Tipologia",$A184,"Viaggio",$A$183))
+IF(ISERROR(GETPIVOTDATA("Somma di DARE",'Pivot Amex'!$A$3,"Mese",12,"Tipologia",$A184,"Viaggio",$A$183)),0,GETPIVOTDATA("Somma di DARE",'Pivot Amex'!$A$3,"Mese",12,"Tipologia",$A184,"Viaggio",$A$183))
-IF(ISERROR(GETPIVOTDATA("Somma di AVERE",'Pivot Amex'!$A$3,"Mese",12,"Tipologia",$A184,"Viaggio",$A$183)),0,GETPIVOTDATA("Somma di AVERE",'Pivot Amex'!$A$3,"Mese",12,"Tipologia",$A184,"Viaggio",$A$183))
-IF(ISERROR(GETPIVOTDATA("Somma di AVERE",'Pivot BBVA'!$A$3,"Mese",12,"Tipologia",$A184,"Viaggio",$A$183)),0,GETPIVOTDATA("Somma di AVERE",'Pivot BBVA'!$A$3,"Mese",12,"Tipologia",$A184,"Viaggio",$A$183))
-IF(ISERROR(GETPIVOTDATA("Somma di AVERE",'Pivot Fineco St'!$A$3,"Mese",12,"Tipologia",$A184,"Viaggio",$A$183)),0,GETPIVOTDATA("Somma di AVERE",'Pivot Fineco St'!$A$3,"Mese",12,"Tipologia",$A184,"Viaggio",$A$183))
-IF(ISERROR(GETPIVOTDATA("Somma di AVERE",'Pivot Fineco Sa'!$A$3,"Mese",12,"Tipologia",$A184,"Viaggio",$A$183)),0,GETPIVOTDATA("Somma di AVERE",'Pivot Fineco Sa'!$A$3,"Mese",12,"Tipologia",$A184,"Viaggio",$A$183))
+IF(ISERROR(GETPIVOTDATA("Somma di DARE",'Pivot PP Visa'!$A$3,"Mese",12,"Tipologia",$A184,"Viaggio",$A$183)),0,GETPIVOTDATA("Somma di DARE",'Pivot PP Visa'!$A$3,"Mese",12,"Tipologia",$A184,"Viaggio",$A$183))
-IF(ISERROR(GETPIVOTDATA("Somma di AVERE",'Pivot PP Visa'!$A$3,"Mese",12,"Tipologia",$A184,"Viaggio",$A$183)),0,GETPIVOTDATA("Somma di AVERE",'Pivot PP Visa'!$A$3,"Mese",12,"Tipologia",$A184,"Viaggio",$A$183))
+IF(ISERROR(GETPIVOTDATA("Somma di DARE",'Pivot Revolut'!$A$3,"Mese",12,"Tipologia",$A184,"Viaggio",$A$183)),0,GETPIVOTDATA("Somma di DARE",'Pivot Revolut'!$A$3,"Mese",12,"Tipologia",$A184,"Viaggio",$A$183))
-IF(ISERROR(GETPIVOTDATA("Somma di AVERE",'Pivot Revolut'!$A$3,"Mese",12,"Tipologia",$A184,"Viaggio",$A$183)),0,GETPIVOTDATA("Somma di AVERE",'Pivot Revolut'!$A$3,"Mese",12,"Tipologia",$A184,"Viaggio",$A$183))
+IF(ISERROR(GETPIVOTDATA("Somma di DARE",'Pivot RakBank EUR'!$A$3,"Mese",12,"Tipologia",$A184,"Viaggio",$A$183)),0,GETPIVOTDATA("Somma di DARE",'Pivot RakBank EUR'!$A$3,"Mese",12,"Tipologia",$A184,"Viaggio",$A$183))
-IF(ISERROR(GETPIVOTDATA("Somma di AVERE",'Pivot RakBank EUR'!$A$3,"Mese",12,"Tipologia",$A184,"Viaggio",$A$183)),0,GETPIVOTDATA("Somma di AVERE",'Pivot RakBank EUR'!$A$3,"Mese",12,"Tipologia",$A184,"Viaggio",$A$183))
+IF(ISERROR(GETPIVOTDATA("Somma di DARE EUR",'Pivot RakBank AED'!$A$3,"Mese",12,"Tipologia",$A184,"Viaggio",$A$183)),0,GETPIVOTDATA("Somma di DARE EUR",'Pivot RakBank AED'!$A$3,"Mese",12,"Tipologia",$A184,"Viaggio",$A$183))
-IF(ISERROR(GETPIVOTDATA("Somma di AVERE EUR",'Pivot RakBank AED'!$A$3,"Mese",12,"Tipologia",$A184,"Viaggio",$A$183)),0,GETPIVOTDATA("Somma di AVERE EUR",'Pivot RakBank AED'!$A$3,"Mese",12,"Tipologia",$A184,"Viaggio",$A$183))</f>
        <v>0</v>
      </c>
      <c r="O184" s="271">
        <f t="shared" si="25"/>
        <v>0</v>
      </c>
      <c r="P184" s="270"/>
    </row>
    <row r="185" spans="1:16" s="131" customFormat="1" ht="14" outlineLevel="1" x14ac:dyDescent="0.2">
      <c r="A185" s="269" t="s">
        <v>111</v>
      </c>
      <c r="B185" s="269"/>
      <c r="C185" s="270">
        <f>IF(ISERROR(GETPIVOTDATA("Somma di DARE",'Pivot Fineco Sa'!$A$3,"Mese",1,"Tipologia",$A185,"Viaggio",$A$183)),0,GETPIVOTDATA("Somma di DARE",'Pivot Fineco Sa'!$A$3,"Mese",1,"Tipologia",$A185,"Viaggio",$A$183))
+IF(ISERROR(GETPIVOTDATA("Somma di DARE",'Pivot Fineco St'!$A$3,"Mese",1,"Tipologia",$A185,"Viaggio",$A$183)),0,GETPIVOTDATA("Somma di DARE",'Pivot Fineco St'!$A$3,"Mese",1,"Tipologia",$A185,"Viaggio",$A$183))
+IF(Contanti!$E40='Conto Economico'!$A$183,Contanti!$B40)
+IF(ISERROR(GETPIVOTDATA("Somma di DARE",'Pivot BBVA'!$A$3,"Mese",1,"Tipologia",$A185,"Viaggio",$A$183)),0,GETPIVOTDATA("Somma di DARE",'Pivot BBVA'!$A$3,"Mese",1,"Tipologia",$A185,"Viaggio",$A$183))
+IF(ISERROR(GETPIVOTDATA("Somma di DARE",'Pivot Amex'!$A$3,"Mese",1,"Tipologia",$A185,"Viaggio",$A$183)),0,GETPIVOTDATA("Somma di DARE",'Pivot Amex'!$A$3,"Mese",1,"Tipologia",$A185,"Viaggio",$A$183))
-IF(ISERROR(GETPIVOTDATA("Somma di AVERE",'Pivot Amex'!$A$3,"Mese",1,"Tipologia",$A185,"Viaggio",$A$183)),0,GETPIVOTDATA("Somma di AVERE",'Pivot Amex'!$A$3,"Mese",1,"Tipologia",$A185,"Viaggio",$A$183))
-IF(ISERROR(GETPIVOTDATA("Somma di AVERE",'Pivot BBVA'!$A$3,"Mese",1,"Tipologia",$A185,"Viaggio",$A$183)),0,GETPIVOTDATA("Somma di AVERE",'Pivot BBVA'!$A$3,"Mese",1,"Tipologia",$A185,"Viaggio",$A$183))
-IF(ISERROR(GETPIVOTDATA("Somma di AVERE",'Pivot Fineco St'!$A$3,"Mese",1,"Tipologia",$A185,"Viaggio",$A$183)),0,GETPIVOTDATA("Somma di AVERE",'Pivot Fineco St'!$A$3,"Mese",1,"Tipologia",$A185,"Viaggio",$A$183))
-IF(ISERROR(GETPIVOTDATA("Somma di AVERE",'Pivot Fineco Sa'!$A$3,"Mese",1,"Tipologia",$A185,"Viaggio",$A$183)),0,GETPIVOTDATA("Somma di AVERE",'Pivot Fineco Sa'!$A$3,"Mese",1,"Tipologia",$A185,"Viaggio",$A$183))
+IF(ISERROR(GETPIVOTDATA("Somma di DARE",'Pivot PP Visa'!$A$3,"Mese",1,"Tipologia",$A185,"Viaggio",$A$183)),0,GETPIVOTDATA("Somma di DARE",'Pivot PP Visa'!$A$3,"Mese",1,"Tipologia",$A185,"Viaggio",$A$183))
-IF(ISERROR(GETPIVOTDATA("Somma di AVERE",'Pivot PP Visa'!$A$3,"Mese",1,"Tipologia",$A185,"Viaggio",$A$183)),0,GETPIVOTDATA("Somma di AVERE",'Pivot PP Visa'!$A$3,"Mese",1,"Tipologia",$A185,"Viaggio",$A$183))
+IF(ISERROR(GETPIVOTDATA("Somma di DARE",'Pivot Revolut'!$A$3,"Mese",1,"Tipologia",$A185,"Viaggio",$A$183)),0,GETPIVOTDATA("Somma di DARE",'Pivot Revolut'!$A$3,"Mese",1,"Tipologia",$A185,"Viaggio",$A$183))
-IF(ISERROR(GETPIVOTDATA("Somma di AVERE",'Pivot Revolut'!$A$3,"Mese",1,"Tipologia",$A185,"Viaggio",$A$183)),0,GETPIVOTDATA("Somma di AVERE",'Pivot Revolut'!$A$3,"Mese",1,"Tipologia",$A185,"Viaggio",$A$183))
+IF(ISERROR(GETPIVOTDATA("Somma di DARE",'Pivot RakBank EUR'!$A$3,"Mese",1,"Tipologia",$A185,"Viaggio",$A$183)),0,GETPIVOTDATA("Somma di DARE",'Pivot RakBank EUR'!$A$3,"Mese",1,"Tipologia",$A185,"Viaggio",$A$183))
-IF(ISERROR(GETPIVOTDATA("Somma di AVERE",'Pivot RakBank EUR'!$A$3,"Mese",1,"Tipologia",$A185,"Viaggio",$A$183)),0,GETPIVOTDATA("Somma di AVERE",'Pivot RakBank EUR'!$A$3,"Mese",1,"Tipologia",$A185,"Viaggio",$A$183))
+IF(ISERROR(GETPIVOTDATA("Somma di DARE EUR",'Pivot RakBank AED'!$A$3,"Mese",1,"Tipologia",$A185,"Viaggio",$A$183)),0,GETPIVOTDATA("Somma di DARE EUR",'Pivot RakBank AED'!$A$3,"Mese",1,"Tipologia",$A185,"Viaggio",$A$183))
-IF(ISERROR(GETPIVOTDATA("Somma di AVERE EUR",'Pivot RakBank AED'!$A$3,"Mese",1,"Tipologia",$A185,"Viaggio",$A$183)),0,GETPIVOTDATA("Somma di AVERE EUR",'Pivot RakBank AED'!$A$3,"Mese",1,"Tipologia",$A185,"Viaggio",$A$183))</f>
        <v>0</v>
      </c>
      <c r="D185" s="270">
        <f>IF(ISERROR(GETPIVOTDATA("Somma di DARE",'Pivot Fineco Sa'!$A$3,"Mese",2,"Tipologia",$A185,"Viaggio",$A$183)),0,GETPIVOTDATA("Somma di DARE",'Pivot Fineco Sa'!$A$3,"Mese",2,"Tipologia",$A185,"Viaggio",$A$183))
+IF(ISERROR(GETPIVOTDATA("Somma di DARE",'Pivot Fineco St'!$A$3,"Mese",2,"Tipologia",$A185,"Viaggio",$A$183)),0,GETPIVOTDATA("Somma di DARE",'Pivot Fineco St'!$A$3,"Mese",2,"Tipologia",$A185,"Viaggio",$A$183))
+IF(Contanti!$I40='Conto Economico'!$A$183,Contanti!$F40)
+IF(ISERROR(GETPIVOTDATA("Somma di DARE",'Pivot BBVA'!$A$3,"Mese",2,"Tipologia",$A185,"Viaggio",$A$183)),0,GETPIVOTDATA("Somma di DARE",'Pivot BBVA'!$A$3,"Mese",2,"Tipologia",$A185,"Viaggio",$A$183))
+IF(ISERROR(GETPIVOTDATA("Somma di DARE",'Pivot Amex'!$A$3,"Mese",2,"Tipologia",$A185,"Viaggio",$A$183)),0,GETPIVOTDATA("Somma di DARE",'Pivot Amex'!$A$3,"Mese",2,"Tipologia",$A185,"Viaggio",$A$183))
-IF(ISERROR(GETPIVOTDATA("Somma di AVERE",'Pivot Amex'!$A$3,"Mese",2,"Tipologia",$A185,"Viaggio",$A$183)),0,GETPIVOTDATA("Somma di AVERE",'Pivot Amex'!$A$3,"Mese",2,"Tipologia",$A185,"Viaggio",$A$183))
-IF(ISERROR(GETPIVOTDATA("Somma di AVERE",'Pivot BBVA'!$A$3,"Mese",2,"Tipologia",$A185,"Viaggio",$A$183)),0,GETPIVOTDATA("Somma di AVERE",'Pivot BBVA'!$A$3,"Mese",2,"Tipologia",$A185,"Viaggio",$A$183))
-IF(ISERROR(GETPIVOTDATA("Somma di AVERE",'Pivot Fineco St'!$A$3,"Mese",2,"Tipologia",$A185,"Viaggio",$A$183)),0,GETPIVOTDATA("Somma di AVERE",'Pivot Fineco St'!$A$3,"Mese",2,"Tipologia",$A185,"Viaggio",$A$183))
-IF(ISERROR(GETPIVOTDATA("Somma di AVERE",'Pivot Fineco Sa'!$A$3,"Mese",2,"Tipologia",$A185,"Viaggio",$A$183)),0,GETPIVOTDATA("Somma di AVERE",'Pivot Fineco Sa'!$A$3,"Mese",2,"Tipologia",$A185,"Viaggio",$A$183))
+IF(ISERROR(GETPIVOTDATA("Somma di DARE",'Pivot PP Visa'!$A$3,"Mese",2,"Tipologia",$A185,"Viaggio",$A$183)),0,GETPIVOTDATA("Somma di DARE",'Pivot PP Visa'!$A$3,"Mese",2,"Tipologia",$A185,"Viaggio",$A$183))
-IF(ISERROR(GETPIVOTDATA("Somma di AVERE",'Pivot PP Visa'!$A$3,"Mese",2,"Tipologia",$A185,"Viaggio",$A$183)),0,GETPIVOTDATA("Somma di AVERE",'Pivot PP Visa'!$A$3,"Mese",2,"Tipologia",$A185,"Viaggio",$A$183))
+IF(ISERROR(GETPIVOTDATA("Somma di DARE",'Pivot Revolut'!$A$3,"Mese",2,"Tipologia",$A185,"Viaggio",$A$183)),0,GETPIVOTDATA("Somma di DARE",'Pivot Revolut'!$A$3,"Mese",2,"Tipologia",$A185,"Viaggio",$A$183))
-IF(ISERROR(GETPIVOTDATA("Somma di AVERE",'Pivot Revolut'!$A$3,"Mese",2,"Tipologia",$A185,"Viaggio",$A$183)),0,GETPIVOTDATA("Somma di AVERE",'Pivot Revolut'!$A$3,"Mese",2,"Tipologia",$A185,"Viaggio",$A$183))
+IF(ISERROR(GETPIVOTDATA("Somma di DARE",'Pivot RakBank EUR'!$A$3,"Mese",2,"Tipologia",$A185,"Viaggio",$A$183)),0,GETPIVOTDATA("Somma di DARE",'Pivot RakBank EUR'!$A$3,"Mese",2,"Tipologia",$A185,"Viaggio",$A$183))
-IF(ISERROR(GETPIVOTDATA("Somma di AVERE",'Pivot RakBank EUR'!$A$3,"Mese",2,"Tipologia",$A185,"Viaggio",$A$183)),0,GETPIVOTDATA("Somma di AVERE",'Pivot RakBank EUR'!$A$3,"Mese",2,"Tipologia",$A185,"Viaggio",$A$183))
+IF(ISERROR(GETPIVOTDATA("Somma di DARE EUR",'Pivot RakBank AED'!$A$3,"Mese",2,"Tipologia",$A185,"Viaggio",$A$183)),0,GETPIVOTDATA("Somma di DARE EUR",'Pivot RakBank AED'!$A$3,"Mese",2,"Tipologia",$A185,"Viaggio",$A$183))
-IF(ISERROR(GETPIVOTDATA("Somma di AVERE EUR",'Pivot RakBank AED'!$A$3,"Mese",2,"Tipologia",$A185,"Viaggio",$A$183)),0,GETPIVOTDATA("Somma di AVERE EUR",'Pivot RakBank AED'!$A$3,"Mese",2,"Tipologia",$A185,"Viaggio",$A$183))</f>
        <v>0</v>
      </c>
      <c r="E185" s="270">
        <f>IF(ISERROR(GETPIVOTDATA("Somma di DARE",'Pivot Fineco Sa'!$A$3,"Mese",3,"Tipologia",$A185,"Viaggio",$A$183)),0,GETPIVOTDATA("Somma di DARE",'Pivot Fineco Sa'!$A$3,"Mese",3,"Tipologia",$A185,"Viaggio",$A$183))
+IF(ISERROR(GETPIVOTDATA("Somma di DARE",'Pivot Fineco St'!$A$3,"Mese",3,"Tipologia",$A185,"Viaggio",$A$183)),0,GETPIVOTDATA("Somma di DARE",'Pivot Fineco St'!$A$3,"Mese",3,"Tipologia",$A185,"Viaggio",$A$183))
+IF(Contanti!$M40='Conto Economico'!$A$183,Contanti!$J40)
+IF(ISERROR(GETPIVOTDATA("Somma di DARE",'Pivot BBVA'!$A$3,"Mese",3,"Tipologia",$A185,"Viaggio",$A$183)),0,GETPIVOTDATA("Somma di DARE",'Pivot BBVA'!$A$3,"Mese",3,"Tipologia",$A185,"Viaggio",$A$183))
+IF(ISERROR(GETPIVOTDATA("Somma di DARE",'Pivot Amex'!$A$3,"Mese",3,"Tipologia",$A185,"Viaggio",$A$183)),0,GETPIVOTDATA("Somma di DARE",'Pivot Amex'!$A$3,"Mese",3,"Tipologia",$A185,"Viaggio",$A$183))
-IF(ISERROR(GETPIVOTDATA("Somma di AVERE",'Pivot Amex'!$A$3,"Mese",3,"Tipologia",$A185,"Viaggio",$A$183)),0,GETPIVOTDATA("Somma di AVERE",'Pivot Amex'!$A$3,"Mese",3,"Tipologia",$A185,"Viaggio",$A$183))
-IF(ISERROR(GETPIVOTDATA("Somma di AVERE",'Pivot BBVA'!$A$3,"Mese",3,"Tipologia",$A185,"Viaggio",$A$183)),0,GETPIVOTDATA("Somma di AVERE",'Pivot BBVA'!$A$3,"Mese",3,"Tipologia",$A185,"Viaggio",$A$183))
-IF(ISERROR(GETPIVOTDATA("Somma di AVERE",'Pivot Fineco St'!$A$3,"Mese",3,"Tipologia",$A185,"Viaggio",$A$183)),0,GETPIVOTDATA("Somma di AVERE",'Pivot Fineco St'!$A$3,"Mese",3,"Tipologia",$A185,"Viaggio",$A$183))
-IF(ISERROR(GETPIVOTDATA("Somma di AVERE",'Pivot Fineco Sa'!$A$3,"Mese",3,"Tipologia",$A185,"Viaggio",$A$183)),0,GETPIVOTDATA("Somma di AVERE",'Pivot Fineco Sa'!$A$3,"Mese",3,"Tipologia",$A185,"Viaggio",$A$183))
+IF(ISERROR(GETPIVOTDATA("Somma di DARE",'Pivot PP Visa'!$A$3,"Mese",3,"Tipologia",$A185,"Viaggio",$A$183)),0,GETPIVOTDATA("Somma di DARE",'Pivot PP Visa'!$A$3,"Mese",3,"Tipologia",$A185,"Viaggio",$A$183))
-IF(ISERROR(GETPIVOTDATA("Somma di AVERE",'Pivot PP Visa'!$A$3,"Mese",3,"Tipologia",$A185,"Viaggio",$A$183)),0,GETPIVOTDATA("Somma di AVERE",'Pivot PP Visa'!$A$3,"Mese",3,"Tipologia",$A185,"Viaggio",$A$183))
+IF(ISERROR(GETPIVOTDATA("Somma di DARE",'Pivot Revolut'!$A$3,"Mese",3,"Tipologia",$A185,"Viaggio",$A$183)),0,GETPIVOTDATA("Somma di DARE",'Pivot Revolut'!$A$3,"Mese",3,"Tipologia",$A185,"Viaggio",$A$183))
-IF(ISERROR(GETPIVOTDATA("Somma di AVERE",'Pivot Revolut'!$A$3,"Mese",3,"Tipologia",$A185,"Viaggio",$A$183)),0,GETPIVOTDATA("Somma di AVERE",'Pivot Revolut'!$A$3,"Mese",3,"Tipologia",$A185,"Viaggio",$A$183))
+IF(ISERROR(GETPIVOTDATA("Somma di DARE",'Pivot RakBank EUR'!$A$3,"Mese",3,"Tipologia",$A185,"Viaggio",$A$183)),0,GETPIVOTDATA("Somma di DARE",'Pivot RakBank EUR'!$A$3,"Mese",3,"Tipologia",$A185,"Viaggio",$A$183))
-IF(ISERROR(GETPIVOTDATA("Somma di AVERE",'Pivot RakBank EUR'!$A$3,"Mese",3,"Tipologia",$A185,"Viaggio",$A$183)),0,GETPIVOTDATA("Somma di AVERE",'Pivot RakBank EUR'!$A$3,"Mese",3,"Tipologia",$A185,"Viaggio",$A$183))
+IF(ISERROR(GETPIVOTDATA("Somma di DARE EUR",'Pivot RakBank AED'!$A$3,"Mese",3,"Tipologia",$A185,"Viaggio",$A$183)),0,GETPIVOTDATA("Somma di DARE EUR",'Pivot RakBank AED'!$A$3,"Mese",3,"Tipologia",$A185,"Viaggio",$A$183))
-IF(ISERROR(GETPIVOTDATA("Somma di AVERE EUR",'Pivot RakBank AED'!$A$3,"Mese",3,"Tipologia",$A185,"Viaggio",$A$183)),0,GETPIVOTDATA("Somma di AVERE EUR",'Pivot RakBank AED'!$A$3,"Mese",3,"Tipologia",$A185,"Viaggio",$A$183))</f>
        <v>0</v>
      </c>
      <c r="F185" s="270">
        <f>IF(ISERROR(GETPIVOTDATA("Somma di DARE",'Pivot Fineco Sa'!$A$3,"Mese",4,"Tipologia",$A185,"Viaggio",$A$183)),0,GETPIVOTDATA("Somma di DARE",'Pivot Fineco Sa'!$A$3,"Mese",4,"Tipologia",$A185,"Viaggio",$A$183))
+IF(ISERROR(GETPIVOTDATA("Somma di DARE",'Pivot Fineco St'!$A$3,"Mese",4,"Tipologia",$A185,"Viaggio",$A$183)),0,GETPIVOTDATA("Somma di DARE",'Pivot Fineco St'!$A$3,"Mese",4,"Tipologia",$A185,"Viaggio",$A$183))
+IF(Contanti!$Q40='Conto Economico'!$A$183,Contanti!$N40)
+IF(ISERROR(GETPIVOTDATA("Somma di DARE",'Pivot BBVA'!$A$3,"Mese",4,"Tipologia",$A185,"Viaggio",$A$183)),0,GETPIVOTDATA("Somma di DARE",'Pivot BBVA'!$A$3,"Mese",4,"Tipologia",$A185,"Viaggio",$A$183))
+IF(ISERROR(GETPIVOTDATA("Somma di DARE",'Pivot Amex'!$A$3,"Mese",4,"Tipologia",$A185,"Viaggio",$A$183)),0,GETPIVOTDATA("Somma di DARE",'Pivot Amex'!$A$3,"Mese",4,"Tipologia",$A185,"Viaggio",$A$183))
-IF(ISERROR(GETPIVOTDATA("Somma di AVERE",'Pivot Amex'!$A$3,"Mese",4,"Tipologia",$A185,"Viaggio",$A$183)),0,GETPIVOTDATA("Somma di AVERE",'Pivot Amex'!$A$3,"Mese",4,"Tipologia",$A185,"Viaggio",$A$183))
-IF(ISERROR(GETPIVOTDATA("Somma di AVERE",'Pivot BBVA'!$A$3,"Mese",4,"Tipologia",$A185,"Viaggio",$A$183)),0,GETPIVOTDATA("Somma di AVERE",'Pivot BBVA'!$A$3,"Mese",4,"Tipologia",$A185,"Viaggio",$A$183))
-IF(ISERROR(GETPIVOTDATA("Somma di AVERE",'Pivot Fineco St'!$A$3,"Mese",4,"Tipologia",$A185,"Viaggio",$A$183)),0,GETPIVOTDATA("Somma di AVERE",'Pivot Fineco St'!$A$3,"Mese",4,"Tipologia",$A185,"Viaggio",$A$183))
-IF(ISERROR(GETPIVOTDATA("Somma di AVERE",'Pivot Fineco Sa'!$A$3,"Mese",4,"Tipologia",$A185,"Viaggio",$A$183)),0,GETPIVOTDATA("Somma di AVERE",'Pivot Fineco Sa'!$A$3,"Mese",4,"Tipologia",$A185,"Viaggio",$A$183))
+IF(ISERROR(GETPIVOTDATA("Somma di DARE",'Pivot PP Visa'!$A$3,"Mese",4,"Tipologia",$A185,"Viaggio",$A$183)),0,GETPIVOTDATA("Somma di DARE",'Pivot PP Visa'!$A$3,"Mese",4,"Tipologia",$A185,"Viaggio",$A$183))
-IF(ISERROR(GETPIVOTDATA("Somma di AVERE",'Pivot PP Visa'!$A$3,"Mese",4,"Tipologia",$A185,"Viaggio",$A$183)),0,GETPIVOTDATA("Somma di AVERE",'Pivot PP Visa'!$A$3,"Mese",4,"Tipologia",$A185,"Viaggio",$A$183))
+IF(ISERROR(GETPIVOTDATA("Somma di DARE",'Pivot Revolut'!$A$3,"Mese",4,"Tipologia",$A185,"Viaggio",$A$183)),0,GETPIVOTDATA("Somma di DARE",'Pivot Revolut'!$A$3,"Mese",4,"Tipologia",$A185,"Viaggio",$A$183))
-IF(ISERROR(GETPIVOTDATA("Somma di AVERE",'Pivot Revolut'!$A$3,"Mese",4,"Tipologia",$A185,"Viaggio",$A$183)),0,GETPIVOTDATA("Somma di AVERE",'Pivot Revolut'!$A$3,"Mese",4,"Tipologia",$A185,"Viaggio",$A$183))
+IF(ISERROR(GETPIVOTDATA("Somma di DARE",'Pivot RakBank EUR'!$A$3,"Mese",4,"Tipologia",$A185,"Viaggio",$A$183)),0,GETPIVOTDATA("Somma di DARE",'Pivot RakBank EUR'!$A$3,"Mese",4,"Tipologia",$A185,"Viaggio",$A$183))
-IF(ISERROR(GETPIVOTDATA("Somma di AVERE",'Pivot RakBank EUR'!$A$3,"Mese",4,"Tipologia",$A185,"Viaggio",$A$183)),0,GETPIVOTDATA("Somma di AVERE",'Pivot RakBank EUR'!$A$3,"Mese",4,"Tipologia",$A185,"Viaggio",$A$183))
+IF(ISERROR(GETPIVOTDATA("Somma di DARE EUR",'Pivot RakBank AED'!$A$3,"Mese",4,"Tipologia",$A185,"Viaggio",$A$183)),0,GETPIVOTDATA("Somma di DARE EUR",'Pivot RakBank AED'!$A$3,"Mese",4,"Tipologia",$A185,"Viaggio",$A$183))
-IF(ISERROR(GETPIVOTDATA("Somma di AVERE EUR",'Pivot RakBank AED'!$A$3,"Mese",4,"Tipologia",$A185,"Viaggio",$A$183)),0,GETPIVOTDATA("Somma di AVERE EUR",'Pivot RakBank AED'!$A$3,"Mese",4,"Tipologia",$A185,"Viaggio",$A$183))</f>
        <v>0</v>
      </c>
      <c r="G185" s="270">
        <f>IF(ISERROR(GETPIVOTDATA("Somma di DARE",'Pivot Fineco Sa'!$A$3,"Mese",5,"Tipologia",$A185,"Viaggio",$A$183)),0,GETPIVOTDATA("Somma di DARE",'Pivot Fineco Sa'!$A$3,"Mese",5,"Tipologia",$A185,"Viaggio",$A$183))
+IF(ISERROR(GETPIVOTDATA("Somma di DARE",'Pivot Fineco St'!$A$3,"Mese",5,"Tipologia",$A185,"Viaggio",$A$183)),0,GETPIVOTDATA("Somma di DARE",'Pivot Fineco St'!$A$3,"Mese",5,"Tipologia",$A185,"Viaggio",$A$183))
+IF(Contanti!$U40='Conto Economico'!$A$183,Contanti!$R40)
+IF(ISERROR(GETPIVOTDATA("Somma di DARE",'Pivot BBVA'!$A$3,"Mese",5,"Tipologia",$A185,"Viaggio",$A$183)),0,GETPIVOTDATA("Somma di DARE",'Pivot BBVA'!$A$3,"Mese",5,"Tipologia",$A185,"Viaggio",$A$183))
+IF(ISERROR(GETPIVOTDATA("Somma di DARE",'Pivot Amex'!$A$3,"Mese",5,"Tipologia",$A185,"Viaggio",$A$183)),0,GETPIVOTDATA("Somma di DARE",'Pivot Amex'!$A$3,"Mese",5,"Tipologia",$A185,"Viaggio",$A$183))
-IF(ISERROR(GETPIVOTDATA("Somma di AVERE",'Pivot Amex'!$A$3,"Mese",5,"Tipologia",$A185,"Viaggio",$A$183)),0,GETPIVOTDATA("Somma di AVERE",'Pivot Amex'!$A$3,"Mese",5,"Tipologia",$A185,"Viaggio",$A$183))
-IF(ISERROR(GETPIVOTDATA("Somma di AVERE",'Pivot BBVA'!$A$3,"Mese",5,"Tipologia",$A185,"Viaggio",$A$183)),0,GETPIVOTDATA("Somma di AVERE",'Pivot BBVA'!$A$3,"Mese",5,"Tipologia",$A185,"Viaggio",$A$183))
-IF(ISERROR(GETPIVOTDATA("Somma di AVERE",'Pivot Fineco St'!$A$3,"Mese",5,"Tipologia",$A185,"Viaggio",$A$183)),0,GETPIVOTDATA("Somma di AVERE",'Pivot Fineco St'!$A$3,"Mese",5,"Tipologia",$A185,"Viaggio",$A$183))
-IF(ISERROR(GETPIVOTDATA("Somma di AVERE",'Pivot Fineco Sa'!$A$3,"Mese",5,"Tipologia",$A185,"Viaggio",$A$183)),0,GETPIVOTDATA("Somma di AVERE",'Pivot Fineco Sa'!$A$3,"Mese",5,"Tipologia",$A185,"Viaggio",$A$183))
+IF(ISERROR(GETPIVOTDATA("Somma di DARE",'Pivot PP Visa'!$A$3,"Mese",5,"Tipologia",$A185,"Viaggio",$A$183)),0,GETPIVOTDATA("Somma di DARE",'Pivot PP Visa'!$A$3,"Mese",5,"Tipologia",$A185,"Viaggio",$A$183))
-IF(ISERROR(GETPIVOTDATA("Somma di AVERE",'Pivot PP Visa'!$A$3,"Mese",5,"Tipologia",$A185,"Viaggio",$A$183)),0,GETPIVOTDATA("Somma di AVERE",'Pivot PP Visa'!$A$3,"Mese",5,"Tipologia",$A185,"Viaggio",$A$183))
+IF(ISERROR(GETPIVOTDATA("Somma di DARE",'Pivot Revolut'!$A$3,"Mese",5,"Tipologia",$A185,"Viaggio",$A$183)),0,GETPIVOTDATA("Somma di DARE",'Pivot Revolut'!$A$3,"Mese",5,"Tipologia",$A185,"Viaggio",$A$183))
-IF(ISERROR(GETPIVOTDATA("Somma di AVERE",'Pivot Revolut'!$A$3,"Mese",5,"Tipologia",$A185,"Viaggio",$A$183)),0,GETPIVOTDATA("Somma di AVERE",'Pivot Revolut'!$A$3,"Mese",5,"Tipologia",$A185,"Viaggio",$A$183))
+IF(ISERROR(GETPIVOTDATA("Somma di DARE",'Pivot RakBank EUR'!$A$3,"Mese",5,"Tipologia",$A185,"Viaggio",$A$183)),0,GETPIVOTDATA("Somma di DARE",'Pivot RakBank EUR'!$A$3,"Mese",5,"Tipologia",$A185,"Viaggio",$A$183))
-IF(ISERROR(GETPIVOTDATA("Somma di AVERE",'Pivot RakBank EUR'!$A$3,"Mese",5,"Tipologia",$A185,"Viaggio",$A$183)),0,GETPIVOTDATA("Somma di AVERE",'Pivot RakBank EUR'!$A$3,"Mese",5,"Tipologia",$A185,"Viaggio",$A$183))
+IF(ISERROR(GETPIVOTDATA("Somma di DARE EUR",'Pivot RakBank AED'!$A$3,"Mese",5,"Tipologia",$A185,"Viaggio",$A$183)),0,GETPIVOTDATA("Somma di DARE EUR",'Pivot RakBank AED'!$A$3,"Mese",5,"Tipologia",$A185,"Viaggio",$A$183))
-IF(ISERROR(GETPIVOTDATA("Somma di AVERE EUR",'Pivot RakBank AED'!$A$3,"Mese",5,"Tipologia",$A185,"Viaggio",$A$183)),0,GETPIVOTDATA("Somma di AVERE EUR",'Pivot RakBank AED'!$A$3,"Mese",5,"Tipologia",$A185,"Viaggio",$A$183))</f>
        <v>0</v>
      </c>
      <c r="H185" s="270">
        <f>IF(ISERROR(GETPIVOTDATA("Somma di DARE",'Pivot Fineco Sa'!$A$3,"Mese",6,"Tipologia",$A185,"Viaggio",$A$183)),0,GETPIVOTDATA("Somma di DARE",'Pivot Fineco Sa'!$A$3,"Mese",6,"Tipologia",$A185,"Viaggio",$A$183))
+IF(ISERROR(GETPIVOTDATA("Somma di DARE",'Pivot Fineco St'!$A$3,"Mese",6,"Tipologia",$A185,"Viaggio",$A$183)),0,GETPIVOTDATA("Somma di DARE",'Pivot Fineco St'!$A$3,"Mese",6,"Tipologia",$A185,"Viaggio",$A$183))
+IF(Contanti!$Y40='Conto Economico'!$A$183,Contanti!$V40)
+IF(ISERROR(GETPIVOTDATA("Somma di DARE",'Pivot BBVA'!$A$3,"Mese",6,"Tipologia",$A185,"Viaggio",$A$183)),0,GETPIVOTDATA("Somma di DARE",'Pivot BBVA'!$A$3,"Mese",6,"Tipologia",$A185,"Viaggio",$A$183))
+IF(ISERROR(GETPIVOTDATA("Somma di DARE",'Pivot Amex'!$A$3,"Mese",6,"Tipologia",$A185,"Viaggio",$A$183)),0,GETPIVOTDATA("Somma di DARE",'Pivot Amex'!$A$3,"Mese",6,"Tipologia",$A185,"Viaggio",$A$183))
-IF(ISERROR(GETPIVOTDATA("Somma di AVERE",'Pivot Amex'!$A$3,"Mese",6,"Tipologia",$A185,"Viaggio",$A$183)),0,GETPIVOTDATA("Somma di AVERE",'Pivot Amex'!$A$3,"Mese",6,"Tipologia",$A185,"Viaggio",$A$183))
-IF(ISERROR(GETPIVOTDATA("Somma di AVERE",'Pivot BBVA'!$A$3,"Mese",6,"Tipologia",$A185,"Viaggio",$A$183)),0,GETPIVOTDATA("Somma di AVERE",'Pivot BBVA'!$A$3,"Mese",6,"Tipologia",$A185,"Viaggio",$A$183))
-IF(ISERROR(GETPIVOTDATA("Somma di AVERE",'Pivot Fineco St'!$A$3,"Mese",6,"Tipologia",$A185,"Viaggio",$A$183)),0,GETPIVOTDATA("Somma di AVERE",'Pivot Fineco St'!$A$3,"Mese",6,"Tipologia",$A185,"Viaggio",$A$183))
-IF(ISERROR(GETPIVOTDATA("Somma di AVERE",'Pivot Fineco Sa'!$A$3,"Mese",6,"Tipologia",$A185,"Viaggio",$A$183)),0,GETPIVOTDATA("Somma di AVERE",'Pivot Fineco Sa'!$A$3,"Mese",6,"Tipologia",$A185,"Viaggio",$A$183))
+IF(ISERROR(GETPIVOTDATA("Somma di DARE",'Pivot PP Visa'!$A$3,"Mese",6,"Tipologia",$A185,"Viaggio",$A$183)),0,GETPIVOTDATA("Somma di DARE",'Pivot PP Visa'!$A$3,"Mese",6,"Tipologia",$A185,"Viaggio",$A$183))
-IF(ISERROR(GETPIVOTDATA("Somma di AVERE",'Pivot PP Visa'!$A$3,"Mese",6,"Tipologia",$A185,"Viaggio",$A$183)),0,GETPIVOTDATA("Somma di AVERE",'Pivot PP Visa'!$A$3,"Mese",6,"Tipologia",$A185,"Viaggio",$A$183))
+IF(ISERROR(GETPIVOTDATA("Somma di DARE",'Pivot Revolut'!$A$3,"Mese",6,"Tipologia",$A185,"Viaggio",$A$183)),0,GETPIVOTDATA("Somma di DARE",'Pivot Revolut'!$A$3,"Mese",6,"Tipologia",$A185,"Viaggio",$A$183))
-IF(ISERROR(GETPIVOTDATA("Somma di AVERE",'Pivot Revolut'!$A$3,"Mese",6,"Tipologia",$A185,"Viaggio",$A$183)),0,GETPIVOTDATA("Somma di AVERE",'Pivot Revolut'!$A$3,"Mese",6,"Tipologia",$A185,"Viaggio",$A$183))
+IF(ISERROR(GETPIVOTDATA("Somma di DARE",'Pivot RakBank EUR'!$A$3,"Mese",6,"Tipologia",$A185,"Viaggio",$A$183)),0,GETPIVOTDATA("Somma di DARE",'Pivot RakBank EUR'!$A$3,"Mese",6,"Tipologia",$A185,"Viaggio",$A$183))
-IF(ISERROR(GETPIVOTDATA("Somma di AVERE",'Pivot RakBank EUR'!$A$3,"Mese",6,"Tipologia",$A185,"Viaggio",$A$183)),0,GETPIVOTDATA("Somma di AVERE",'Pivot RakBank EUR'!$A$3,"Mese",6,"Tipologia",$A185,"Viaggio",$A$183))
+IF(ISERROR(GETPIVOTDATA("Somma di DARE EUR",'Pivot RakBank AED'!$A$3,"Mese",6,"Tipologia",$A185,"Viaggio",$A$183)),0,GETPIVOTDATA("Somma di DARE EUR",'Pivot RakBank AED'!$A$3,"Mese",6,"Tipologia",$A185,"Viaggio",$A$183))
-IF(ISERROR(GETPIVOTDATA("Somma di AVERE EUR",'Pivot RakBank AED'!$A$3,"Mese",6,"Tipologia",$A185,"Viaggio",$A$183)),0,GETPIVOTDATA("Somma di AVERE EUR",'Pivot RakBank AED'!$A$3,"Mese",6,"Tipologia",$A185,"Viaggio",$A$183))</f>
        <v>0</v>
      </c>
      <c r="I185" s="270">
        <f>IF(ISERROR(GETPIVOTDATA("Somma di DARE",'Pivot Fineco Sa'!$A$3,"Mese",7,"Tipologia",$A185,"Viaggio",$A$183)),0,GETPIVOTDATA("Somma di DARE",'Pivot Fineco Sa'!$A$3,"Mese",7,"Tipologia",$A185,"Viaggio",$A$183))
+IF(ISERROR(GETPIVOTDATA("Somma di DARE",'Pivot Fineco St'!$A$3,"Mese",7,"Tipologia",$A185,"Viaggio",$A$183)),0,GETPIVOTDATA("Somma di DARE",'Pivot Fineco St'!$A$3,"Mese",7,"Tipologia",$A185,"Viaggio",$A$183))
+IF(Contanti!$AC40='Conto Economico'!$A$183,Contanti!$Z40)
+IF(ISERROR(GETPIVOTDATA("Somma di DARE",'Pivot BBVA'!$A$3,"Mese",7,"Tipologia",$A185,"Viaggio",$A$183)),0,GETPIVOTDATA("Somma di DARE",'Pivot BBVA'!$A$3,"Mese",7,"Tipologia",$A185,"Viaggio",$A$183))
+IF(ISERROR(GETPIVOTDATA("Somma di DARE",'Pivot Amex'!$A$3,"Mese",7,"Tipologia",$A185,"Viaggio",$A$183)),0,GETPIVOTDATA("Somma di DARE",'Pivot Amex'!$A$3,"Mese",7,"Tipologia",$A185,"Viaggio",$A$183))
-IF(ISERROR(GETPIVOTDATA("Somma di AVERE",'Pivot Amex'!$A$3,"Mese",7,"Tipologia",$A185,"Viaggio",$A$183)),0,GETPIVOTDATA("Somma di AVERE",'Pivot Amex'!$A$3,"Mese",7,"Tipologia",$A185,"Viaggio",$A$183))
-IF(ISERROR(GETPIVOTDATA("Somma di AVERE",'Pivot BBVA'!$A$3,"Mese",7,"Tipologia",$A185,"Viaggio",$A$183)),0,GETPIVOTDATA("Somma di AVERE",'Pivot BBVA'!$A$3,"Mese",7,"Tipologia",$A185,"Viaggio",$A$183))
-IF(ISERROR(GETPIVOTDATA("Somma di AVERE",'Pivot Fineco St'!$A$3,"Mese",7,"Tipologia",$A185,"Viaggio",$A$183)),0,GETPIVOTDATA("Somma di AVERE",'Pivot Fineco St'!$A$3,"Mese",7,"Tipologia",$A185,"Viaggio",$A$183))
-IF(ISERROR(GETPIVOTDATA("Somma di AVERE",'Pivot Fineco Sa'!$A$3,"Mese",7,"Tipologia",$A185,"Viaggio",$A$183)),0,GETPIVOTDATA("Somma di AVERE",'Pivot Fineco Sa'!$A$3,"Mese",7,"Tipologia",$A185,"Viaggio",$A$183))
+IF(ISERROR(GETPIVOTDATA("Somma di DARE",'Pivot PP Visa'!$A$3,"Mese",7,"Tipologia",$A185,"Viaggio",$A$183)),0,GETPIVOTDATA("Somma di DARE",'Pivot PP Visa'!$A$3,"Mese",7,"Tipologia",$A185,"Viaggio",$A$183))
-IF(ISERROR(GETPIVOTDATA("Somma di AVERE",'Pivot PP Visa'!$A$3,"Mese",7,"Tipologia",$A185,"Viaggio",$A$183)),0,GETPIVOTDATA("Somma di AVERE",'Pivot PP Visa'!$A$3,"Mese",7,"Tipologia",$A185,"Viaggio",$A$183))
+IF(ISERROR(GETPIVOTDATA("Somma di DARE",'Pivot Revolut'!$A$3,"Mese",7,"Tipologia",$A185,"Viaggio",$A$183)),0,GETPIVOTDATA("Somma di DARE",'Pivot Revolut'!$A$3,"Mese",7,"Tipologia",$A185,"Viaggio",$A$183))
-IF(ISERROR(GETPIVOTDATA("Somma di AVERE",'Pivot Revolut'!$A$3,"Mese",7,"Tipologia",$A185,"Viaggio",$A$183)),0,GETPIVOTDATA("Somma di AVERE",'Pivot Revolut'!$A$3,"Mese",7,"Tipologia",$A185,"Viaggio",$A$183))
+IF(ISERROR(GETPIVOTDATA("Somma di DARE",'Pivot RakBank EUR'!$A$3,"Mese",7,"Tipologia",$A185,"Viaggio",$A$183)),0,GETPIVOTDATA("Somma di DARE",'Pivot RakBank EUR'!$A$3,"Mese",7,"Tipologia",$A185,"Viaggio",$A$183))
-IF(ISERROR(GETPIVOTDATA("Somma di AVERE",'Pivot RakBank EUR'!$A$3,"Mese",7,"Tipologia",$A185,"Viaggio",$A$183)),0,GETPIVOTDATA("Somma di AVERE",'Pivot RakBank EUR'!$A$3,"Mese",7,"Tipologia",$A185,"Viaggio",$A$183))
+IF(ISERROR(GETPIVOTDATA("Somma di DARE EUR",'Pivot RakBank AED'!$A$3,"Mese",7,"Tipologia",$A185,"Viaggio",$A$183)),0,GETPIVOTDATA("Somma di DARE EUR",'Pivot RakBank AED'!$A$3,"Mese",7,"Tipologia",$A185,"Viaggio",$A$183))
-IF(ISERROR(GETPIVOTDATA("Somma di AVERE EUR",'Pivot RakBank AED'!$A$3,"Mese",7,"Tipologia",$A185,"Viaggio",$A$183)),0,GETPIVOTDATA("Somma di AVERE EUR",'Pivot RakBank AED'!$A$3,"Mese",7,"Tipologia",$A185,"Viaggio",$A$183))</f>
        <v>0</v>
      </c>
      <c r="J185" s="270">
        <f>IF(ISERROR(GETPIVOTDATA("Somma di DARE",'Pivot Fineco Sa'!$A$3,"Mese",8,"Tipologia",$A185,"Viaggio",$A$183)),0,GETPIVOTDATA("Somma di DARE",'Pivot Fineco Sa'!$A$3,"Mese",8,"Tipologia",$A185,"Viaggio",$A$183))
+IF(ISERROR(GETPIVOTDATA("Somma di DARE",'Pivot Fineco St'!$A$3,"Mese",8,"Tipologia",$A185,"Viaggio",$A$183)),0,GETPIVOTDATA("Somma di DARE",'Pivot Fineco St'!$A$3,"Mese",8,"Tipologia",$A185,"Viaggio",$A$183))
+IF(Contanti!$AG40='Conto Economico'!$A$183,Contanti!$AD40)
+IF(ISERROR(GETPIVOTDATA("Somma di DARE",'Pivot BBVA'!$A$3,"Mese",8,"Tipologia",$A185,"Viaggio",$A$183)),0,GETPIVOTDATA("Somma di DARE",'Pivot BBVA'!$A$3,"Mese",8,"Tipologia",$A185,"Viaggio",$A$183))
+IF(ISERROR(GETPIVOTDATA("Somma di DARE",'Pivot Amex'!$A$3,"Mese",8,"Tipologia",$A185,"Viaggio",$A$183)),0,GETPIVOTDATA("Somma di DARE",'Pivot Amex'!$A$3,"Mese",8,"Tipologia",$A185,"Viaggio",$A$183))
-IF(ISERROR(GETPIVOTDATA("Somma di AVERE",'Pivot Amex'!$A$3,"Mese",8,"Tipologia",$A185,"Viaggio",$A$183)),0,GETPIVOTDATA("Somma di AVERE",'Pivot Amex'!$A$3,"Mese",8,"Tipologia",$A185,"Viaggio",$A$183))
-IF(ISERROR(GETPIVOTDATA("Somma di AVERE",'Pivot BBVA'!$A$3,"Mese",8,"Tipologia",$A185,"Viaggio",$A$183)),0,GETPIVOTDATA("Somma di AVERE",'Pivot BBVA'!$A$3,"Mese",8,"Tipologia",$A185,"Viaggio",$A$183))
-IF(ISERROR(GETPIVOTDATA("Somma di AVERE",'Pivot Fineco St'!$A$3,"Mese",8,"Tipologia",$A185,"Viaggio",$A$183)),0,GETPIVOTDATA("Somma di AVERE",'Pivot Fineco St'!$A$3,"Mese",8,"Tipologia",$A185,"Viaggio",$A$183))
-IF(ISERROR(GETPIVOTDATA("Somma di AVERE",'Pivot Fineco Sa'!$A$3,"Mese",8,"Tipologia",$A185,"Viaggio",$A$183)),0,GETPIVOTDATA("Somma di AVERE",'Pivot Fineco Sa'!$A$3,"Mese",8,"Tipologia",$A185,"Viaggio",$A$183))
+IF(ISERROR(GETPIVOTDATA("Somma di DARE",'Pivot PP Visa'!$A$3,"Mese",8,"Tipologia",$A185,"Viaggio",$A$183)),0,GETPIVOTDATA("Somma di DARE",'Pivot PP Visa'!$A$3,"Mese",8,"Tipologia",$A185,"Viaggio",$A$183))
-IF(ISERROR(GETPIVOTDATA("Somma di AVERE",'Pivot PP Visa'!$A$3,"Mese",8,"Tipologia",$A185,"Viaggio",$A$183)),0,GETPIVOTDATA("Somma di AVERE",'Pivot PP Visa'!$A$3,"Mese",8,"Tipologia",$A185,"Viaggio",$A$183))
+IF(ISERROR(GETPIVOTDATA("Somma di DARE",'Pivot Revolut'!$A$3,"Mese",8,"Tipologia",$A185,"Viaggio",$A$183)),0,GETPIVOTDATA("Somma di DARE",'Pivot Revolut'!$A$3,"Mese",8,"Tipologia",$A185,"Viaggio",$A$183))
-IF(ISERROR(GETPIVOTDATA("Somma di AVERE",'Pivot Revolut'!$A$3,"Mese",8,"Tipologia",$A185,"Viaggio",$A$183)),0,GETPIVOTDATA("Somma di AVERE",'Pivot Revolut'!$A$3,"Mese",8,"Tipologia",$A185,"Viaggio",$A$183))
+IF(ISERROR(GETPIVOTDATA("Somma di DARE",'Pivot RakBank EUR'!$A$3,"Mese",8,"Tipologia",$A185,"Viaggio",$A$183)),0,GETPIVOTDATA("Somma di DARE",'Pivot RakBank EUR'!$A$3,"Mese",8,"Tipologia",$A185,"Viaggio",$A$183))
-IF(ISERROR(GETPIVOTDATA("Somma di AVERE",'Pivot RakBank EUR'!$A$3,"Mese",8,"Tipologia",$A185,"Viaggio",$A$183)),0,GETPIVOTDATA("Somma di AVERE",'Pivot RakBank EUR'!$A$3,"Mese",8,"Tipologia",$A185,"Viaggio",$A$183))
+IF(ISERROR(GETPIVOTDATA("Somma di DARE EUR",'Pivot RakBank AED'!$A$3,"Mese",8,"Tipologia",$A185,"Viaggio",$A$183)),0,GETPIVOTDATA("Somma di DARE EUR",'Pivot RakBank AED'!$A$3,"Mese",8,"Tipologia",$A185,"Viaggio",$A$183))
-IF(ISERROR(GETPIVOTDATA("Somma di AVERE EUR",'Pivot RakBank AED'!$A$3,"Mese",8,"Tipologia",$A185,"Viaggio",$A$183)),0,GETPIVOTDATA("Somma di AVERE EUR",'Pivot RakBank AED'!$A$3,"Mese",8,"Tipologia",$A185,"Viaggio",$A$183))</f>
        <v>0</v>
      </c>
      <c r="K185" s="270">
        <f>IF(ISERROR(GETPIVOTDATA("Somma di DARE",'Pivot Fineco Sa'!$A$3,"Mese",9,"Tipologia",$A185,"Viaggio",$A$183)),0,GETPIVOTDATA("Somma di DARE",'Pivot Fineco Sa'!$A$3,"Mese",9,"Tipologia",$A185,"Viaggio",$A$183))
+IF(ISERROR(GETPIVOTDATA("Somma di DARE",'Pivot Fineco St'!$A$3,"Mese",9,"Tipologia",$A185,"Viaggio",$A$183)),0,GETPIVOTDATA("Somma di DARE",'Pivot Fineco St'!$A$3,"Mese",9,"Tipologia",$A185,"Viaggio",$A$183))
+IF(Contanti!$AK40='Conto Economico'!$A$183,Contanti!$AH40)
+IF(ISERROR(GETPIVOTDATA("Somma di DARE",'Pivot BBVA'!$A$3,"Mese",9,"Tipologia",$A185,"Viaggio",$A$183)),0,GETPIVOTDATA("Somma di DARE",'Pivot BBVA'!$A$3,"Mese",9,"Tipologia",$A185,"Viaggio",$A$183))
+IF(ISERROR(GETPIVOTDATA("Somma di DARE",'Pivot Amex'!$A$3,"Mese",9,"Tipologia",$A185,"Viaggio",$A$183)),0,GETPIVOTDATA("Somma di DARE",'Pivot Amex'!$A$3,"Mese",9,"Tipologia",$A185,"Viaggio",$A$183))
-IF(ISERROR(GETPIVOTDATA("Somma di AVERE",'Pivot Amex'!$A$3,"Mese",9,"Tipologia",$A185,"Viaggio",$A$183)),0,GETPIVOTDATA("Somma di AVERE",'Pivot Amex'!$A$3,"Mese",9,"Tipologia",$A185,"Viaggio",$A$183))
-IF(ISERROR(GETPIVOTDATA("Somma di AVERE",'Pivot BBVA'!$A$3,"Mese",9,"Tipologia",$A185,"Viaggio",$A$183)),0,GETPIVOTDATA("Somma di AVERE",'Pivot BBVA'!$A$3,"Mese",9,"Tipologia",$A185,"Viaggio",$A$183))
-IF(ISERROR(GETPIVOTDATA("Somma di AVERE",'Pivot Fineco St'!$A$3,"Mese",9,"Tipologia",$A185,"Viaggio",$A$183)),0,GETPIVOTDATA("Somma di AVERE",'Pivot Fineco St'!$A$3,"Mese",9,"Tipologia",$A185,"Viaggio",$A$183))
-IF(ISERROR(GETPIVOTDATA("Somma di AVERE",'Pivot Fineco Sa'!$A$3,"Mese",9,"Tipologia",$A185,"Viaggio",$A$183)),0,GETPIVOTDATA("Somma di AVERE",'Pivot Fineco Sa'!$A$3,"Mese",9,"Tipologia",$A185,"Viaggio",$A$183))
+IF(ISERROR(GETPIVOTDATA("Somma di DARE",'Pivot PP Visa'!$A$3,"Mese",9,"Tipologia",$A185,"Viaggio",$A$183)),0,GETPIVOTDATA("Somma di DARE",'Pivot PP Visa'!$A$3,"Mese",9,"Tipologia",$A185,"Viaggio",$A$183))
-IF(ISERROR(GETPIVOTDATA("Somma di AVERE",'Pivot PP Visa'!$A$3,"Mese",9,"Tipologia",$A185,"Viaggio",$A$183)),0,GETPIVOTDATA("Somma di AVERE",'Pivot PP Visa'!$A$3,"Mese",9,"Tipologia",$A185,"Viaggio",$A$183))
+IF(ISERROR(GETPIVOTDATA("Somma di DARE",'Pivot Revolut'!$A$3,"Mese",9,"Tipologia",$A185,"Viaggio",$A$183)),0,GETPIVOTDATA("Somma di DARE",'Pivot Revolut'!$A$3,"Mese",9,"Tipologia",$A185,"Viaggio",$A$183))
-IF(ISERROR(GETPIVOTDATA("Somma di AVERE",'Pivot Revolut'!$A$3,"Mese",9,"Tipologia",$A185,"Viaggio",$A$183)),0,GETPIVOTDATA("Somma di AVERE",'Pivot Revolut'!$A$3,"Mese",9,"Tipologia",$A185,"Viaggio",$A$183))
+IF(ISERROR(GETPIVOTDATA("Somma di DARE",'Pivot RakBank EUR'!$A$3,"Mese",9,"Tipologia",$A185,"Viaggio",$A$183)),0,GETPIVOTDATA("Somma di DARE",'Pivot RakBank EUR'!$A$3,"Mese",9,"Tipologia",$A185,"Viaggio",$A$183))
-IF(ISERROR(GETPIVOTDATA("Somma di AVERE",'Pivot RakBank EUR'!$A$3,"Mese",9,"Tipologia",$A185,"Viaggio",$A$183)),0,GETPIVOTDATA("Somma di AVERE",'Pivot RakBank EUR'!$A$3,"Mese",9,"Tipologia",$A185,"Viaggio",$A$183))
+IF(ISERROR(GETPIVOTDATA("Somma di DARE EUR",'Pivot RakBank AED'!$A$3,"Mese",9,"Tipologia",$A185,"Viaggio",$A$183)),0,GETPIVOTDATA("Somma di DARE EUR",'Pivot RakBank AED'!$A$3,"Mese",9,"Tipologia",$A185,"Viaggio",$A$183))
-IF(ISERROR(GETPIVOTDATA("Somma di AVERE EUR",'Pivot RakBank AED'!$A$3,"Mese",9,"Tipologia",$A185,"Viaggio",$A$183)),0,GETPIVOTDATA("Somma di AVERE EUR",'Pivot RakBank AED'!$A$3,"Mese",9,"Tipologia",$A185,"Viaggio",$A$183))</f>
        <v>0</v>
      </c>
      <c r="L185" s="270">
        <f>IF(ISERROR(GETPIVOTDATA("Somma di DARE",'Pivot Fineco Sa'!$A$3,"Mese",10,"Tipologia",$A185,"Viaggio",$A$183)),0,GETPIVOTDATA("Somma di DARE",'Pivot Fineco Sa'!$A$3,"Mese",10,"Tipologia",$A185,"Viaggio",$A$183))
+IF(ISERROR(GETPIVOTDATA("Somma di DARE",'Pivot Fineco St'!$A$3,"Mese",10,"Tipologia",$A185,"Viaggio",$A$183)),0,GETPIVOTDATA("Somma di DARE",'Pivot Fineco St'!$A$3,"Mese",10,"Tipologia",$A185,"Viaggio",$A$183))
+IF(Contanti!$AO40='Conto Economico'!$A$183,Contanti!$AL40)
+IF(ISERROR(GETPIVOTDATA("Somma di DARE",'Pivot BBVA'!$A$3,"Mese",10,"Tipologia",$A185,"Viaggio",$A$183)),0,GETPIVOTDATA("Somma di DARE",'Pivot BBVA'!$A$3,"Mese",10,"Tipologia",$A185,"Viaggio",$A$183))
+IF(ISERROR(GETPIVOTDATA("Somma di DARE",'Pivot Amex'!$A$3,"Mese",10,"Tipologia",$A185,"Viaggio",$A$183)),0,GETPIVOTDATA("Somma di DARE",'Pivot Amex'!$A$3,"Mese",10,"Tipologia",$A185,"Viaggio",$A$183))
-IF(ISERROR(GETPIVOTDATA("Somma di AVERE",'Pivot Amex'!$A$3,"Mese",10,"Tipologia",$A185,"Viaggio",$A$183)),0,GETPIVOTDATA("Somma di AVERE",'Pivot Amex'!$A$3,"Mese",10,"Tipologia",$A185,"Viaggio",$A$183))
-IF(ISERROR(GETPIVOTDATA("Somma di AVERE",'Pivot BBVA'!$A$3,"Mese",10,"Tipologia",$A185,"Viaggio",$A$183)),0,GETPIVOTDATA("Somma di AVERE",'Pivot BBVA'!$A$3,"Mese",10,"Tipologia",$A185,"Viaggio",$A$183))
-IF(ISERROR(GETPIVOTDATA("Somma di AVERE",'Pivot Fineco St'!$A$3,"Mese",10,"Tipologia",$A185,"Viaggio",$A$183)),0,GETPIVOTDATA("Somma di AVERE",'Pivot Fineco St'!$A$3,"Mese",10,"Tipologia",$A185,"Viaggio",$A$183))
-IF(ISERROR(GETPIVOTDATA("Somma di AVERE",'Pivot Fineco Sa'!$A$3,"Mese",10,"Tipologia",$A185,"Viaggio",$A$183)),0,GETPIVOTDATA("Somma di AVERE",'Pivot Fineco Sa'!$A$3,"Mese",10,"Tipologia",$A185,"Viaggio",$A$183))
+IF(ISERROR(GETPIVOTDATA("Somma di DARE",'Pivot PP Visa'!$A$3,"Mese",10,"Tipologia",$A185,"Viaggio",$A$183)),0,GETPIVOTDATA("Somma di DARE",'Pivot PP Visa'!$A$3,"Mese",10,"Tipologia",$A185,"Viaggio",$A$183))
-IF(ISERROR(GETPIVOTDATA("Somma di AVERE",'Pivot PP Visa'!$A$3,"Mese",10,"Tipologia",$A185,"Viaggio",$A$183)),0,GETPIVOTDATA("Somma di AVERE",'Pivot PP Visa'!$A$3,"Mese",10,"Tipologia",$A185,"Viaggio",$A$183))
+IF(ISERROR(GETPIVOTDATA("Somma di DARE",'Pivot Revolut'!$A$3,"Mese",10,"Tipologia",$A185,"Viaggio",$A$183)),0,GETPIVOTDATA("Somma di DARE",'Pivot Revolut'!$A$3,"Mese",10,"Tipologia",$A185,"Viaggio",$A$183))
-IF(ISERROR(GETPIVOTDATA("Somma di AVERE",'Pivot Revolut'!$A$3,"Mese",10,"Tipologia",$A185,"Viaggio",$A$183)),0,GETPIVOTDATA("Somma di AVERE",'Pivot Revolut'!$A$3,"Mese",10,"Tipologia",$A185,"Viaggio",$A$183))
+IF(ISERROR(GETPIVOTDATA("Somma di DARE",'Pivot RakBank EUR'!$A$3,"Mese",10,"Tipologia",$A185,"Viaggio",$A$183)),0,GETPIVOTDATA("Somma di DARE",'Pivot RakBank EUR'!$A$3,"Mese",10,"Tipologia",$A185,"Viaggio",$A$183))
-IF(ISERROR(GETPIVOTDATA("Somma di AVERE",'Pivot RakBank EUR'!$A$3,"Mese",10,"Tipologia",$A185,"Viaggio",$A$183)),0,GETPIVOTDATA("Somma di AVERE",'Pivot RakBank EUR'!$A$3,"Mese",10,"Tipologia",$A185,"Viaggio",$A$183))
+IF(ISERROR(GETPIVOTDATA("Somma di DARE EUR",'Pivot RakBank AED'!$A$3,"Mese",10,"Tipologia",$A185,"Viaggio",$A$183)),0,GETPIVOTDATA("Somma di DARE EUR",'Pivot RakBank AED'!$A$3,"Mese",10,"Tipologia",$A185,"Viaggio",$A$183))
-IF(ISERROR(GETPIVOTDATA("Somma di AVERE EUR",'Pivot RakBank AED'!$A$3,"Mese",10,"Tipologia",$A185,"Viaggio",$A$183)),0,GETPIVOTDATA("Somma di AVERE EUR",'Pivot RakBank AED'!$A$3,"Mese",10,"Tipologia",$A185,"Viaggio",$A$183))</f>
        <v>0</v>
      </c>
      <c r="M185" s="270">
        <f>IF(ISERROR(GETPIVOTDATA("Somma di DARE",'Pivot Fineco Sa'!$A$3,"Mese",11,"Tipologia",$A185,"Viaggio",$A$183)),0,GETPIVOTDATA("Somma di DARE",'Pivot Fineco Sa'!$A$3,"Mese",11,"Tipologia",$A185,"Viaggio",$A$183))
+IF(ISERROR(GETPIVOTDATA("Somma di DARE",'Pivot Fineco St'!$A$3,"Mese",11,"Tipologia",$A185,"Viaggio",$A$183)),0,GETPIVOTDATA("Somma di DARE",'Pivot Fineco St'!$A$3,"Mese",11,"Tipologia",$A185,"Viaggio",$A$183))
+IF(Contanti!$AS40='Conto Economico'!$A$183,Contanti!$AP40)
+IF(ISERROR(GETPIVOTDATA("Somma di DARE",'Pivot BBVA'!$A$3,"Mese",11,"Tipologia",$A185,"Viaggio",$A$183)),0,GETPIVOTDATA("Somma di DARE",'Pivot BBVA'!$A$3,"Mese",11,"Tipologia",$A185,"Viaggio",$A$183))
+IF(ISERROR(GETPIVOTDATA("Somma di DARE",'Pivot Amex'!$A$3,"Mese",11,"Tipologia",$A185,"Viaggio",$A$183)),0,GETPIVOTDATA("Somma di DARE",'Pivot Amex'!$A$3,"Mese",11,"Tipologia",$A185,"Viaggio",$A$183))
-IF(ISERROR(GETPIVOTDATA("Somma di AVERE",'Pivot Amex'!$A$3,"Mese",11,"Tipologia",$A185,"Viaggio",$A$183)),0,GETPIVOTDATA("Somma di AVERE",'Pivot Amex'!$A$3,"Mese",11,"Tipologia",$A185,"Viaggio",$A$183))
-IF(ISERROR(GETPIVOTDATA("Somma di AVERE",'Pivot BBVA'!$A$3,"Mese",11,"Tipologia",$A185,"Viaggio",$A$183)),0,GETPIVOTDATA("Somma di AVERE",'Pivot BBVA'!$A$3,"Mese",11,"Tipologia",$A185,"Viaggio",$A$183))
-IF(ISERROR(GETPIVOTDATA("Somma di AVERE",'Pivot Fineco St'!$A$3,"Mese",11,"Tipologia",$A185,"Viaggio",$A$183)),0,GETPIVOTDATA("Somma di AVERE",'Pivot Fineco St'!$A$3,"Mese",11,"Tipologia",$A185,"Viaggio",$A$183))
-IF(ISERROR(GETPIVOTDATA("Somma di AVERE",'Pivot Fineco Sa'!$A$3,"Mese",11,"Tipologia",$A185,"Viaggio",$A$183)),0,GETPIVOTDATA("Somma di AVERE",'Pivot Fineco Sa'!$A$3,"Mese",11,"Tipologia",$A185,"Viaggio",$A$183))
+IF(ISERROR(GETPIVOTDATA("Somma di DARE",'Pivot PP Visa'!$A$3,"Mese",11,"Tipologia",$A185,"Viaggio",$A$183)),0,GETPIVOTDATA("Somma di DARE",'Pivot PP Visa'!$A$3,"Mese",11,"Tipologia",$A185,"Viaggio",$A$183))
-IF(ISERROR(GETPIVOTDATA("Somma di AVERE",'Pivot PP Visa'!$A$3,"Mese",11,"Tipologia",$A185,"Viaggio",$A$183)),0,GETPIVOTDATA("Somma di AVERE",'Pivot PP Visa'!$A$3,"Mese",11,"Tipologia",$A185,"Viaggio",$A$183))
+IF(ISERROR(GETPIVOTDATA("Somma di DARE",'Pivot Revolut'!$A$3,"Mese",11,"Tipologia",$A185,"Viaggio",$A$183)),0,GETPIVOTDATA("Somma di DARE",'Pivot Revolut'!$A$3,"Mese",11,"Tipologia",$A185,"Viaggio",$A$183))
-IF(ISERROR(GETPIVOTDATA("Somma di AVERE",'Pivot Revolut'!$A$3,"Mese",11,"Tipologia",$A185,"Viaggio",$A$183)),0,GETPIVOTDATA("Somma di AVERE",'Pivot Revolut'!$A$3,"Mese",11,"Tipologia",$A185,"Viaggio",$A$183))
+IF(ISERROR(GETPIVOTDATA("Somma di DARE",'Pivot RakBank EUR'!$A$3,"Mese",11,"Tipologia",$A185,"Viaggio",$A$183)),0,GETPIVOTDATA("Somma di DARE",'Pivot RakBank EUR'!$A$3,"Mese",11,"Tipologia",$A185,"Viaggio",$A$183))
-IF(ISERROR(GETPIVOTDATA("Somma di AVERE",'Pivot RakBank EUR'!$A$3,"Mese",11,"Tipologia",$A185,"Viaggio",$A$183)),0,GETPIVOTDATA("Somma di AVERE",'Pivot RakBank EUR'!$A$3,"Mese",11,"Tipologia",$A185,"Viaggio",$A$183))
+IF(ISERROR(GETPIVOTDATA("Somma di DARE EUR",'Pivot RakBank AED'!$A$3,"Mese",11,"Tipologia",$A185,"Viaggio",$A$183)),0,GETPIVOTDATA("Somma di DARE EUR",'Pivot RakBank AED'!$A$3,"Mese",11,"Tipologia",$A185,"Viaggio",$A$183))
-IF(ISERROR(GETPIVOTDATA("Somma di AVERE EUR",'Pivot RakBank AED'!$A$3,"Mese",11,"Tipologia",$A185,"Viaggio",$A$183)),0,GETPIVOTDATA("Somma di AVERE EUR",'Pivot RakBank AED'!$A$3,"Mese",11,"Tipologia",$A185,"Viaggio",$A$183))</f>
        <v>0</v>
      </c>
      <c r="N185" s="270">
        <f>IF(ISERROR(GETPIVOTDATA("Somma di DARE",'Pivot Fineco Sa'!$A$3,"Mese",12,"Tipologia",$A185,"Viaggio",$A$183)),0,GETPIVOTDATA("Somma di DARE",'Pivot Fineco Sa'!$A$3,"Mese",12,"Tipologia",$A185,"Viaggio",$A$183))
+IF(ISERROR(GETPIVOTDATA("Somma di DARE",'Pivot Fineco St'!$A$3,"Mese",12,"Tipologia",$A185,"Viaggio",$A$183)),0,GETPIVOTDATA("Somma di DARE",'Pivot Fineco St'!$A$3,"Mese",12,"Tipologia",$A185,"Viaggio",$A$183))
+IF(Contanti!$AW40='Conto Economico'!$A$183,Contanti!$AT40)
+IF(ISERROR(GETPIVOTDATA("Somma di DARE",'Pivot BBVA'!$A$3,"Mese",12,"Tipologia",$A185,"Viaggio",$A$183)),0,GETPIVOTDATA("Somma di DARE",'Pivot BBVA'!$A$3,"Mese",12,"Tipologia",$A185,"Viaggio",$A$183))
+IF(ISERROR(GETPIVOTDATA("Somma di DARE",'Pivot Amex'!$A$3,"Mese",12,"Tipologia",$A185,"Viaggio",$A$183)),0,GETPIVOTDATA("Somma di DARE",'Pivot Amex'!$A$3,"Mese",12,"Tipologia",$A185,"Viaggio",$A$183))
-IF(ISERROR(GETPIVOTDATA("Somma di AVERE",'Pivot Amex'!$A$3,"Mese",12,"Tipologia",$A185,"Viaggio",$A$183)),0,GETPIVOTDATA("Somma di AVERE",'Pivot Amex'!$A$3,"Mese",12,"Tipologia",$A185,"Viaggio",$A$183))
-IF(ISERROR(GETPIVOTDATA("Somma di AVERE",'Pivot BBVA'!$A$3,"Mese",12,"Tipologia",$A185,"Viaggio",$A$183)),0,GETPIVOTDATA("Somma di AVERE",'Pivot BBVA'!$A$3,"Mese",12,"Tipologia",$A185,"Viaggio",$A$183))
-IF(ISERROR(GETPIVOTDATA("Somma di AVERE",'Pivot Fineco St'!$A$3,"Mese",12,"Tipologia",$A185,"Viaggio",$A$183)),0,GETPIVOTDATA("Somma di AVERE",'Pivot Fineco St'!$A$3,"Mese",12,"Tipologia",$A185,"Viaggio",$A$183))
-IF(ISERROR(GETPIVOTDATA("Somma di AVERE",'Pivot Fineco Sa'!$A$3,"Mese",12,"Tipologia",$A185,"Viaggio",$A$183)),0,GETPIVOTDATA("Somma di AVERE",'Pivot Fineco Sa'!$A$3,"Mese",12,"Tipologia",$A185,"Viaggio",$A$183))
+IF(ISERROR(GETPIVOTDATA("Somma di DARE",'Pivot PP Visa'!$A$3,"Mese",12,"Tipologia",$A185,"Viaggio",$A$183)),0,GETPIVOTDATA("Somma di DARE",'Pivot PP Visa'!$A$3,"Mese",12,"Tipologia",$A185,"Viaggio",$A$183))
-IF(ISERROR(GETPIVOTDATA("Somma di AVERE",'Pivot PP Visa'!$A$3,"Mese",12,"Tipologia",$A185,"Viaggio",$A$183)),0,GETPIVOTDATA("Somma di AVERE",'Pivot PP Visa'!$A$3,"Mese",12,"Tipologia",$A185,"Viaggio",$A$183))
+IF(ISERROR(GETPIVOTDATA("Somma di DARE",'Pivot Revolut'!$A$3,"Mese",12,"Tipologia",$A185,"Viaggio",$A$183)),0,GETPIVOTDATA("Somma di DARE",'Pivot Revolut'!$A$3,"Mese",12,"Tipologia",$A185,"Viaggio",$A$183))
-IF(ISERROR(GETPIVOTDATA("Somma di AVERE",'Pivot Revolut'!$A$3,"Mese",12,"Tipologia",$A185,"Viaggio",$A$183)),0,GETPIVOTDATA("Somma di AVERE",'Pivot Revolut'!$A$3,"Mese",12,"Tipologia",$A185,"Viaggio",$A$183))
+IF(ISERROR(GETPIVOTDATA("Somma di DARE",'Pivot RakBank EUR'!$A$3,"Mese",12,"Tipologia",$A185,"Viaggio",$A$183)),0,GETPIVOTDATA("Somma di DARE",'Pivot RakBank EUR'!$A$3,"Mese",12,"Tipologia",$A185,"Viaggio",$A$183))
-IF(ISERROR(GETPIVOTDATA("Somma di AVERE",'Pivot RakBank EUR'!$A$3,"Mese",12,"Tipologia",$A185,"Viaggio",$A$183)),0,GETPIVOTDATA("Somma di AVERE",'Pivot RakBank EUR'!$A$3,"Mese",12,"Tipologia",$A185,"Viaggio",$A$183))
+IF(ISERROR(GETPIVOTDATA("Somma di DARE EUR",'Pivot RakBank AED'!$A$3,"Mese",12,"Tipologia",$A185,"Viaggio",$A$183)),0,GETPIVOTDATA("Somma di DARE EUR",'Pivot RakBank AED'!$A$3,"Mese",12,"Tipologia",$A185,"Viaggio",$A$183))
-IF(ISERROR(GETPIVOTDATA("Somma di AVERE EUR",'Pivot RakBank AED'!$A$3,"Mese",12,"Tipologia",$A185,"Viaggio",$A$183)),0,GETPIVOTDATA("Somma di AVERE EUR",'Pivot RakBank AED'!$A$3,"Mese",12,"Tipologia",$A185,"Viaggio",$A$183))</f>
        <v>0</v>
      </c>
      <c r="O185" s="271">
        <f t="shared" si="25"/>
        <v>0</v>
      </c>
      <c r="P185" s="270"/>
    </row>
    <row r="186" spans="1:16" s="131" customFormat="1" ht="14" outlineLevel="1" x14ac:dyDescent="0.2">
      <c r="A186" s="269" t="s">
        <v>112</v>
      </c>
      <c r="B186" s="269"/>
      <c r="C186" s="270">
        <f>IF(ISERROR(GETPIVOTDATA("Somma di DARE",'Pivot Fineco Sa'!$A$3,"Mese",1,"Tipologia",$A186,"Viaggio",$A$183)),0,GETPIVOTDATA("Somma di DARE",'Pivot Fineco Sa'!$A$3,"Mese",1,"Tipologia",$A186,"Viaggio",$A$183))
+IF(ISERROR(GETPIVOTDATA("Somma di DARE",'Pivot Fineco St'!$A$3,"Mese",1,"Tipologia",$A186,"Viaggio",$A$183)),0,GETPIVOTDATA("Somma di DARE",'Pivot Fineco St'!$A$3,"Mese",1,"Tipologia",$A186,"Viaggio",$A$183))
+IF(Contanti!$E41='Conto Economico'!$A$183,Contanti!$B41)
+IF(ISERROR(GETPIVOTDATA("Somma di DARE",'Pivot BBVA'!$A$3,"Mese",1,"Tipologia",$A186,"Viaggio",$A$183)),0,GETPIVOTDATA("Somma di DARE",'Pivot BBVA'!$A$3,"Mese",1,"Tipologia",$A186,"Viaggio",$A$183))
+IF(ISERROR(GETPIVOTDATA("Somma di DARE",'Pivot Amex'!$A$3,"Mese",1,"Tipologia",$A186,"Viaggio",$A$183)),0,GETPIVOTDATA("Somma di DARE",'Pivot Amex'!$A$3,"Mese",1,"Tipologia",$A186,"Viaggio",$A$183))
-IF(ISERROR(GETPIVOTDATA("Somma di AVERE",'Pivot Amex'!$A$3,"Mese",1,"Tipologia",$A186,"Viaggio",$A$183)),0,GETPIVOTDATA("Somma di AVERE",'Pivot Amex'!$A$3,"Mese",1,"Tipologia",$A186,"Viaggio",$A$183))
-IF(ISERROR(GETPIVOTDATA("Somma di AVERE",'Pivot BBVA'!$A$3,"Mese",1,"Tipologia",$A186,"Viaggio",$A$183)),0,GETPIVOTDATA("Somma di AVERE",'Pivot BBVA'!$A$3,"Mese",1,"Tipologia",$A186,"Viaggio",$A$183))
-IF(ISERROR(GETPIVOTDATA("Somma di AVERE",'Pivot Fineco St'!$A$3,"Mese",1,"Tipologia",$A186,"Viaggio",$A$183)),0,GETPIVOTDATA("Somma di AVERE",'Pivot Fineco St'!$A$3,"Mese",1,"Tipologia",$A186,"Viaggio",$A$183))
-IF(ISERROR(GETPIVOTDATA("Somma di AVERE",'Pivot Fineco Sa'!$A$3,"Mese",1,"Tipologia",$A186,"Viaggio",$A$183)),0,GETPIVOTDATA("Somma di AVERE",'Pivot Fineco Sa'!$A$3,"Mese",1,"Tipologia",$A186,"Viaggio",$A$183))
+IF(ISERROR(GETPIVOTDATA("Somma di DARE",'Pivot PP Visa'!$A$3,"Mese",1,"Tipologia",$A186,"Viaggio",$A$183)),0,GETPIVOTDATA("Somma di DARE",'Pivot PP Visa'!$A$3,"Mese",1,"Tipologia",$A186,"Viaggio",$A$183))
-IF(ISERROR(GETPIVOTDATA("Somma di AVERE",'Pivot PP Visa'!$A$3,"Mese",1,"Tipologia",$A186,"Viaggio",$A$183)),0,GETPIVOTDATA("Somma di AVERE",'Pivot PP Visa'!$A$3,"Mese",1,"Tipologia",$A186,"Viaggio",$A$183))
+IF(ISERROR(GETPIVOTDATA("Somma di DARE",'Pivot Revolut'!$A$3,"Mese",1,"Tipologia",$A186,"Viaggio",$A$183)),0,GETPIVOTDATA("Somma di DARE",'Pivot Revolut'!$A$3,"Mese",1,"Tipologia",$A186,"Viaggio",$A$183))
-IF(ISERROR(GETPIVOTDATA("Somma di AVERE",'Pivot Revolut'!$A$3,"Mese",1,"Tipologia",$A186,"Viaggio",$A$183)),0,GETPIVOTDATA("Somma di AVERE",'Pivot Revolut'!$A$3,"Mese",1,"Tipologia",$A186,"Viaggio",$A$183))
+IF(ISERROR(GETPIVOTDATA("Somma di DARE",'Pivot RakBank EUR'!$A$3,"Mese",1,"Tipologia",$A186,"Viaggio",$A$183)),0,GETPIVOTDATA("Somma di DARE",'Pivot RakBank EUR'!$A$3,"Mese",1,"Tipologia",$A186,"Viaggio",$A$183))
-IF(ISERROR(GETPIVOTDATA("Somma di AVERE",'Pivot RakBank EUR'!$A$3,"Mese",1,"Tipologia",$A186,"Viaggio",$A$183)),0,GETPIVOTDATA("Somma di AVERE",'Pivot RakBank EUR'!$A$3,"Mese",1,"Tipologia",$A186,"Viaggio",$A$183))
+IF(ISERROR(GETPIVOTDATA("Somma di DARE EUR",'Pivot RakBank AED'!$A$3,"Mese",1,"Tipologia",$A186,"Viaggio",$A$183)),0,GETPIVOTDATA("Somma di DARE EUR",'Pivot RakBank AED'!$A$3,"Mese",1,"Tipologia",$A186,"Viaggio",$A$183))
-IF(ISERROR(GETPIVOTDATA("Somma di AVERE EUR",'Pivot RakBank AED'!$A$3,"Mese",1,"Tipologia",$A186,"Viaggio",$A$183)),0,GETPIVOTDATA("Somma di AVERE EUR",'Pivot RakBank AED'!$A$3,"Mese",1,"Tipologia",$A186,"Viaggio",$A$183))</f>
        <v>0</v>
      </c>
      <c r="D186" s="270">
        <f>IF(ISERROR(GETPIVOTDATA("Somma di DARE",'Pivot Fineco Sa'!$A$3,"Mese",2,"Tipologia",$A186,"Viaggio",$A$183)),0,GETPIVOTDATA("Somma di DARE",'Pivot Fineco Sa'!$A$3,"Mese",2,"Tipologia",$A186,"Viaggio",$A$183))
+IF(ISERROR(GETPIVOTDATA("Somma di DARE",'Pivot Fineco St'!$A$3,"Mese",2,"Tipologia",$A186,"Viaggio",$A$183)),0,GETPIVOTDATA("Somma di DARE",'Pivot Fineco St'!$A$3,"Mese",2,"Tipologia",$A186,"Viaggio",$A$183))
+IF(Contanti!$I41='Conto Economico'!$A$183,Contanti!$F41)
+IF(ISERROR(GETPIVOTDATA("Somma di DARE",'Pivot BBVA'!$A$3,"Mese",2,"Tipologia",$A186,"Viaggio",$A$183)),0,GETPIVOTDATA("Somma di DARE",'Pivot BBVA'!$A$3,"Mese",2,"Tipologia",$A186,"Viaggio",$A$183))
+IF(ISERROR(GETPIVOTDATA("Somma di DARE",'Pivot Amex'!$A$3,"Mese",2,"Tipologia",$A186,"Viaggio",$A$183)),0,GETPIVOTDATA("Somma di DARE",'Pivot Amex'!$A$3,"Mese",2,"Tipologia",$A186,"Viaggio",$A$183))
-IF(ISERROR(GETPIVOTDATA("Somma di AVERE",'Pivot Amex'!$A$3,"Mese",2,"Tipologia",$A186,"Viaggio",$A$183)),0,GETPIVOTDATA("Somma di AVERE",'Pivot Amex'!$A$3,"Mese",2,"Tipologia",$A186,"Viaggio",$A$183))
-IF(ISERROR(GETPIVOTDATA("Somma di AVERE",'Pivot BBVA'!$A$3,"Mese",2,"Tipologia",$A186,"Viaggio",$A$183)),0,GETPIVOTDATA("Somma di AVERE",'Pivot BBVA'!$A$3,"Mese",2,"Tipologia",$A186,"Viaggio",$A$183))
-IF(ISERROR(GETPIVOTDATA("Somma di AVERE",'Pivot Fineco St'!$A$3,"Mese",2,"Tipologia",$A186,"Viaggio",$A$183)),0,GETPIVOTDATA("Somma di AVERE",'Pivot Fineco St'!$A$3,"Mese",2,"Tipologia",$A186,"Viaggio",$A$183))
-IF(ISERROR(GETPIVOTDATA("Somma di AVERE",'Pivot Fineco Sa'!$A$3,"Mese",2,"Tipologia",$A186,"Viaggio",$A$183)),0,GETPIVOTDATA("Somma di AVERE",'Pivot Fineco Sa'!$A$3,"Mese",2,"Tipologia",$A186,"Viaggio",$A$183))
+IF(ISERROR(GETPIVOTDATA("Somma di DARE",'Pivot PP Visa'!$A$3,"Mese",2,"Tipologia",$A186,"Viaggio",$A$183)),0,GETPIVOTDATA("Somma di DARE",'Pivot PP Visa'!$A$3,"Mese",2,"Tipologia",$A186,"Viaggio",$A$183))
-IF(ISERROR(GETPIVOTDATA("Somma di AVERE",'Pivot PP Visa'!$A$3,"Mese",2,"Tipologia",$A186,"Viaggio",$A$183)),0,GETPIVOTDATA("Somma di AVERE",'Pivot PP Visa'!$A$3,"Mese",2,"Tipologia",$A186,"Viaggio",$A$183))
+IF(ISERROR(GETPIVOTDATA("Somma di DARE",'Pivot Revolut'!$A$3,"Mese",2,"Tipologia",$A186,"Viaggio",$A$183)),0,GETPIVOTDATA("Somma di DARE",'Pivot Revolut'!$A$3,"Mese",2,"Tipologia",$A186,"Viaggio",$A$183))
-IF(ISERROR(GETPIVOTDATA("Somma di AVERE",'Pivot Revolut'!$A$3,"Mese",2,"Tipologia",$A186,"Viaggio",$A$183)),0,GETPIVOTDATA("Somma di AVERE",'Pivot Revolut'!$A$3,"Mese",2,"Tipologia",$A186,"Viaggio",$A$183))
+IF(ISERROR(GETPIVOTDATA("Somma di DARE",'Pivot RakBank EUR'!$A$3,"Mese",2,"Tipologia",$A186,"Viaggio",$A$183)),0,GETPIVOTDATA("Somma di DARE",'Pivot RakBank EUR'!$A$3,"Mese",2,"Tipologia",$A186,"Viaggio",$A$183))
-IF(ISERROR(GETPIVOTDATA("Somma di AVERE",'Pivot RakBank EUR'!$A$3,"Mese",2,"Tipologia",$A186,"Viaggio",$A$183)),0,GETPIVOTDATA("Somma di AVERE",'Pivot RakBank EUR'!$A$3,"Mese",2,"Tipologia",$A186,"Viaggio",$A$183))
+IF(ISERROR(GETPIVOTDATA("Somma di DARE EUR",'Pivot RakBank AED'!$A$3,"Mese",2,"Tipologia",$A186,"Viaggio",$A$183)),0,GETPIVOTDATA("Somma di DARE EUR",'Pivot RakBank AED'!$A$3,"Mese",2,"Tipologia",$A186,"Viaggio",$A$183))
-IF(ISERROR(GETPIVOTDATA("Somma di AVERE EUR",'Pivot RakBank AED'!$A$3,"Mese",2,"Tipologia",$A186,"Viaggio",$A$183)),0,GETPIVOTDATA("Somma di AVERE EUR",'Pivot RakBank AED'!$A$3,"Mese",2,"Tipologia",$A186,"Viaggio",$A$183))</f>
        <v>0</v>
      </c>
      <c r="E186" s="270">
        <f>IF(ISERROR(GETPIVOTDATA("Somma di DARE",'Pivot Fineco Sa'!$A$3,"Mese",3,"Tipologia",$A186,"Viaggio",$A$183)),0,GETPIVOTDATA("Somma di DARE",'Pivot Fineco Sa'!$A$3,"Mese",3,"Tipologia",$A186,"Viaggio",$A$183))
+IF(ISERROR(GETPIVOTDATA("Somma di DARE",'Pivot Fineco St'!$A$3,"Mese",3,"Tipologia",$A186,"Viaggio",$A$183)),0,GETPIVOTDATA("Somma di DARE",'Pivot Fineco St'!$A$3,"Mese",3,"Tipologia",$A186,"Viaggio",$A$183))
+IF(Contanti!$M41='Conto Economico'!$A$183,Contanti!$J41)
+IF(ISERROR(GETPIVOTDATA("Somma di DARE",'Pivot BBVA'!$A$3,"Mese",3,"Tipologia",$A186,"Viaggio",$A$183)),0,GETPIVOTDATA("Somma di DARE",'Pivot BBVA'!$A$3,"Mese",3,"Tipologia",$A186,"Viaggio",$A$183))
+IF(ISERROR(GETPIVOTDATA("Somma di DARE",'Pivot Amex'!$A$3,"Mese",3,"Tipologia",$A186,"Viaggio",$A$183)),0,GETPIVOTDATA("Somma di DARE",'Pivot Amex'!$A$3,"Mese",3,"Tipologia",$A186,"Viaggio",$A$183))
-IF(ISERROR(GETPIVOTDATA("Somma di AVERE",'Pivot Amex'!$A$3,"Mese",3,"Tipologia",$A186,"Viaggio",$A$183)),0,GETPIVOTDATA("Somma di AVERE",'Pivot Amex'!$A$3,"Mese",3,"Tipologia",$A186,"Viaggio",$A$183))
-IF(ISERROR(GETPIVOTDATA("Somma di AVERE",'Pivot BBVA'!$A$3,"Mese",3,"Tipologia",$A186,"Viaggio",$A$183)),0,GETPIVOTDATA("Somma di AVERE",'Pivot BBVA'!$A$3,"Mese",3,"Tipologia",$A186,"Viaggio",$A$183))
-IF(ISERROR(GETPIVOTDATA("Somma di AVERE",'Pivot Fineco St'!$A$3,"Mese",3,"Tipologia",$A186,"Viaggio",$A$183)),0,GETPIVOTDATA("Somma di AVERE",'Pivot Fineco St'!$A$3,"Mese",3,"Tipologia",$A186,"Viaggio",$A$183))
-IF(ISERROR(GETPIVOTDATA("Somma di AVERE",'Pivot Fineco Sa'!$A$3,"Mese",3,"Tipologia",$A186,"Viaggio",$A$183)),0,GETPIVOTDATA("Somma di AVERE",'Pivot Fineco Sa'!$A$3,"Mese",3,"Tipologia",$A186,"Viaggio",$A$183))
+IF(ISERROR(GETPIVOTDATA("Somma di DARE",'Pivot PP Visa'!$A$3,"Mese",3,"Tipologia",$A186,"Viaggio",$A$183)),0,GETPIVOTDATA("Somma di DARE",'Pivot PP Visa'!$A$3,"Mese",3,"Tipologia",$A186,"Viaggio",$A$183))
-IF(ISERROR(GETPIVOTDATA("Somma di AVERE",'Pivot PP Visa'!$A$3,"Mese",3,"Tipologia",$A186,"Viaggio",$A$183)),0,GETPIVOTDATA("Somma di AVERE",'Pivot PP Visa'!$A$3,"Mese",3,"Tipologia",$A186,"Viaggio",$A$183))
+IF(ISERROR(GETPIVOTDATA("Somma di DARE",'Pivot Revolut'!$A$3,"Mese",3,"Tipologia",$A186,"Viaggio",$A$183)),0,GETPIVOTDATA("Somma di DARE",'Pivot Revolut'!$A$3,"Mese",3,"Tipologia",$A186,"Viaggio",$A$183))
-IF(ISERROR(GETPIVOTDATA("Somma di AVERE",'Pivot Revolut'!$A$3,"Mese",3,"Tipologia",$A186,"Viaggio",$A$183)),0,GETPIVOTDATA("Somma di AVERE",'Pivot Revolut'!$A$3,"Mese",3,"Tipologia",$A186,"Viaggio",$A$183))
+IF(ISERROR(GETPIVOTDATA("Somma di DARE",'Pivot RakBank EUR'!$A$3,"Mese",3,"Tipologia",$A186,"Viaggio",$A$183)),0,GETPIVOTDATA("Somma di DARE",'Pivot RakBank EUR'!$A$3,"Mese",3,"Tipologia",$A186,"Viaggio",$A$183))
-IF(ISERROR(GETPIVOTDATA("Somma di AVERE",'Pivot RakBank EUR'!$A$3,"Mese",3,"Tipologia",$A186,"Viaggio",$A$183)),0,GETPIVOTDATA("Somma di AVERE",'Pivot RakBank EUR'!$A$3,"Mese",3,"Tipologia",$A186,"Viaggio",$A$183))
+IF(ISERROR(GETPIVOTDATA("Somma di DARE EUR",'Pivot RakBank AED'!$A$3,"Mese",3,"Tipologia",$A186,"Viaggio",$A$183)),0,GETPIVOTDATA("Somma di DARE EUR",'Pivot RakBank AED'!$A$3,"Mese",3,"Tipologia",$A186,"Viaggio",$A$183))
-IF(ISERROR(GETPIVOTDATA("Somma di AVERE EUR",'Pivot RakBank AED'!$A$3,"Mese",3,"Tipologia",$A186,"Viaggio",$A$183)),0,GETPIVOTDATA("Somma di AVERE EUR",'Pivot RakBank AED'!$A$3,"Mese",3,"Tipologia",$A186,"Viaggio",$A$183))</f>
        <v>0</v>
      </c>
      <c r="F186" s="270">
        <f>IF(ISERROR(GETPIVOTDATA("Somma di DARE",'Pivot Fineco Sa'!$A$3,"Mese",4,"Tipologia",$A186,"Viaggio",$A$183)),0,GETPIVOTDATA("Somma di DARE",'Pivot Fineco Sa'!$A$3,"Mese",4,"Tipologia",$A186,"Viaggio",$A$183))
+IF(ISERROR(GETPIVOTDATA("Somma di DARE",'Pivot Fineco St'!$A$3,"Mese",4,"Tipologia",$A186,"Viaggio",$A$183)),0,GETPIVOTDATA("Somma di DARE",'Pivot Fineco St'!$A$3,"Mese",4,"Tipologia",$A186,"Viaggio",$A$183))
+IF(Contanti!$Q41='Conto Economico'!$A$183,Contanti!$N41)
+IF(ISERROR(GETPIVOTDATA("Somma di DARE",'Pivot BBVA'!$A$3,"Mese",4,"Tipologia",$A186,"Viaggio",$A$183)),0,GETPIVOTDATA("Somma di DARE",'Pivot BBVA'!$A$3,"Mese",4,"Tipologia",$A186,"Viaggio",$A$183))
+IF(ISERROR(GETPIVOTDATA("Somma di DARE",'Pivot Amex'!$A$3,"Mese",4,"Tipologia",$A186,"Viaggio",$A$183)),0,GETPIVOTDATA("Somma di DARE",'Pivot Amex'!$A$3,"Mese",4,"Tipologia",$A186,"Viaggio",$A$183))
-IF(ISERROR(GETPIVOTDATA("Somma di AVERE",'Pivot Amex'!$A$3,"Mese",4,"Tipologia",$A186,"Viaggio",$A$183)),0,GETPIVOTDATA("Somma di AVERE",'Pivot Amex'!$A$3,"Mese",4,"Tipologia",$A186,"Viaggio",$A$183))
-IF(ISERROR(GETPIVOTDATA("Somma di AVERE",'Pivot BBVA'!$A$3,"Mese",4,"Tipologia",$A186,"Viaggio",$A$183)),0,GETPIVOTDATA("Somma di AVERE",'Pivot BBVA'!$A$3,"Mese",4,"Tipologia",$A186,"Viaggio",$A$183))
-IF(ISERROR(GETPIVOTDATA("Somma di AVERE",'Pivot Fineco St'!$A$3,"Mese",4,"Tipologia",$A186,"Viaggio",$A$183)),0,GETPIVOTDATA("Somma di AVERE",'Pivot Fineco St'!$A$3,"Mese",4,"Tipologia",$A186,"Viaggio",$A$183))
-IF(ISERROR(GETPIVOTDATA("Somma di AVERE",'Pivot Fineco Sa'!$A$3,"Mese",4,"Tipologia",$A186,"Viaggio",$A$183)),0,GETPIVOTDATA("Somma di AVERE",'Pivot Fineco Sa'!$A$3,"Mese",4,"Tipologia",$A186,"Viaggio",$A$183))
+IF(ISERROR(GETPIVOTDATA("Somma di DARE",'Pivot PP Visa'!$A$3,"Mese",4,"Tipologia",$A186,"Viaggio",$A$183)),0,GETPIVOTDATA("Somma di DARE",'Pivot PP Visa'!$A$3,"Mese",4,"Tipologia",$A186,"Viaggio",$A$183))
-IF(ISERROR(GETPIVOTDATA("Somma di AVERE",'Pivot PP Visa'!$A$3,"Mese",4,"Tipologia",$A186,"Viaggio",$A$183)),0,GETPIVOTDATA("Somma di AVERE",'Pivot PP Visa'!$A$3,"Mese",4,"Tipologia",$A186,"Viaggio",$A$183))
+IF(ISERROR(GETPIVOTDATA("Somma di DARE",'Pivot Revolut'!$A$3,"Mese",4,"Tipologia",$A186,"Viaggio",$A$183)),0,GETPIVOTDATA("Somma di DARE",'Pivot Revolut'!$A$3,"Mese",4,"Tipologia",$A186,"Viaggio",$A$183))
-IF(ISERROR(GETPIVOTDATA("Somma di AVERE",'Pivot Revolut'!$A$3,"Mese",4,"Tipologia",$A186,"Viaggio",$A$183)),0,GETPIVOTDATA("Somma di AVERE",'Pivot Revolut'!$A$3,"Mese",4,"Tipologia",$A186,"Viaggio",$A$183))
+IF(ISERROR(GETPIVOTDATA("Somma di DARE",'Pivot RakBank EUR'!$A$3,"Mese",4,"Tipologia",$A186,"Viaggio",$A$183)),0,GETPIVOTDATA("Somma di DARE",'Pivot RakBank EUR'!$A$3,"Mese",4,"Tipologia",$A186,"Viaggio",$A$183))
-IF(ISERROR(GETPIVOTDATA("Somma di AVERE",'Pivot RakBank EUR'!$A$3,"Mese",4,"Tipologia",$A186,"Viaggio",$A$183)),0,GETPIVOTDATA("Somma di AVERE",'Pivot RakBank EUR'!$A$3,"Mese",4,"Tipologia",$A186,"Viaggio",$A$183))
+IF(ISERROR(GETPIVOTDATA("Somma di DARE EUR",'Pivot RakBank AED'!$A$3,"Mese",4,"Tipologia",$A186,"Viaggio",$A$183)),0,GETPIVOTDATA("Somma di DARE EUR",'Pivot RakBank AED'!$A$3,"Mese",4,"Tipologia",$A186,"Viaggio",$A$183))
-IF(ISERROR(GETPIVOTDATA("Somma di AVERE EUR",'Pivot RakBank AED'!$A$3,"Mese",4,"Tipologia",$A186,"Viaggio",$A$183)),0,GETPIVOTDATA("Somma di AVERE EUR",'Pivot RakBank AED'!$A$3,"Mese",4,"Tipologia",$A186,"Viaggio",$A$183))</f>
        <v>0</v>
      </c>
      <c r="G186" s="270">
        <f>IF(ISERROR(GETPIVOTDATA("Somma di DARE",'Pivot Fineco Sa'!$A$3,"Mese",5,"Tipologia",$A186,"Viaggio",$A$183)),0,GETPIVOTDATA("Somma di DARE",'Pivot Fineco Sa'!$A$3,"Mese",5,"Tipologia",$A186,"Viaggio",$A$183))
+IF(ISERROR(GETPIVOTDATA("Somma di DARE",'Pivot Fineco St'!$A$3,"Mese",5,"Tipologia",$A186,"Viaggio",$A$183)),0,GETPIVOTDATA("Somma di DARE",'Pivot Fineco St'!$A$3,"Mese",5,"Tipologia",$A186,"Viaggio",$A$183))
+IF(Contanti!$U41='Conto Economico'!$A$183,Contanti!$R41)
+IF(ISERROR(GETPIVOTDATA("Somma di DARE",'Pivot BBVA'!$A$3,"Mese",5,"Tipologia",$A186,"Viaggio",$A$183)),0,GETPIVOTDATA("Somma di DARE",'Pivot BBVA'!$A$3,"Mese",5,"Tipologia",$A186,"Viaggio",$A$183))
+IF(ISERROR(GETPIVOTDATA("Somma di DARE",'Pivot Amex'!$A$3,"Mese",5,"Tipologia",$A186,"Viaggio",$A$183)),0,GETPIVOTDATA("Somma di DARE",'Pivot Amex'!$A$3,"Mese",5,"Tipologia",$A186,"Viaggio",$A$183))
-IF(ISERROR(GETPIVOTDATA("Somma di AVERE",'Pivot Amex'!$A$3,"Mese",5,"Tipologia",$A186,"Viaggio",$A$183)),0,GETPIVOTDATA("Somma di AVERE",'Pivot Amex'!$A$3,"Mese",5,"Tipologia",$A186,"Viaggio",$A$183))
-IF(ISERROR(GETPIVOTDATA("Somma di AVERE",'Pivot BBVA'!$A$3,"Mese",5,"Tipologia",$A186,"Viaggio",$A$183)),0,GETPIVOTDATA("Somma di AVERE",'Pivot BBVA'!$A$3,"Mese",5,"Tipologia",$A186,"Viaggio",$A$183))
-IF(ISERROR(GETPIVOTDATA("Somma di AVERE",'Pivot Fineco St'!$A$3,"Mese",5,"Tipologia",$A186,"Viaggio",$A$183)),0,GETPIVOTDATA("Somma di AVERE",'Pivot Fineco St'!$A$3,"Mese",5,"Tipologia",$A186,"Viaggio",$A$183))
-IF(ISERROR(GETPIVOTDATA("Somma di AVERE",'Pivot Fineco Sa'!$A$3,"Mese",5,"Tipologia",$A186,"Viaggio",$A$183)),0,GETPIVOTDATA("Somma di AVERE",'Pivot Fineco Sa'!$A$3,"Mese",5,"Tipologia",$A186,"Viaggio",$A$183))
+IF(ISERROR(GETPIVOTDATA("Somma di DARE",'Pivot PP Visa'!$A$3,"Mese",5,"Tipologia",$A186,"Viaggio",$A$183)),0,GETPIVOTDATA("Somma di DARE",'Pivot PP Visa'!$A$3,"Mese",5,"Tipologia",$A186,"Viaggio",$A$183))
-IF(ISERROR(GETPIVOTDATA("Somma di AVERE",'Pivot PP Visa'!$A$3,"Mese",5,"Tipologia",$A186,"Viaggio",$A$183)),0,GETPIVOTDATA("Somma di AVERE",'Pivot PP Visa'!$A$3,"Mese",5,"Tipologia",$A186,"Viaggio",$A$183))
+IF(ISERROR(GETPIVOTDATA("Somma di DARE",'Pivot Revolut'!$A$3,"Mese",5,"Tipologia",$A186,"Viaggio",$A$183)),0,GETPIVOTDATA("Somma di DARE",'Pivot Revolut'!$A$3,"Mese",5,"Tipologia",$A186,"Viaggio",$A$183))
-IF(ISERROR(GETPIVOTDATA("Somma di AVERE",'Pivot Revolut'!$A$3,"Mese",5,"Tipologia",$A186,"Viaggio",$A$183)),0,GETPIVOTDATA("Somma di AVERE",'Pivot Revolut'!$A$3,"Mese",5,"Tipologia",$A186,"Viaggio",$A$183))
+IF(ISERROR(GETPIVOTDATA("Somma di DARE",'Pivot RakBank EUR'!$A$3,"Mese",5,"Tipologia",$A186,"Viaggio",$A$183)),0,GETPIVOTDATA("Somma di DARE",'Pivot RakBank EUR'!$A$3,"Mese",5,"Tipologia",$A186,"Viaggio",$A$183))
-IF(ISERROR(GETPIVOTDATA("Somma di AVERE",'Pivot RakBank EUR'!$A$3,"Mese",5,"Tipologia",$A186,"Viaggio",$A$183)),0,GETPIVOTDATA("Somma di AVERE",'Pivot RakBank EUR'!$A$3,"Mese",5,"Tipologia",$A186,"Viaggio",$A$183))
+IF(ISERROR(GETPIVOTDATA("Somma di DARE EUR",'Pivot RakBank AED'!$A$3,"Mese",5,"Tipologia",$A186,"Viaggio",$A$183)),0,GETPIVOTDATA("Somma di DARE EUR",'Pivot RakBank AED'!$A$3,"Mese",5,"Tipologia",$A186,"Viaggio",$A$183))
-IF(ISERROR(GETPIVOTDATA("Somma di AVERE EUR",'Pivot RakBank AED'!$A$3,"Mese",5,"Tipologia",$A186,"Viaggio",$A$183)),0,GETPIVOTDATA("Somma di AVERE EUR",'Pivot RakBank AED'!$A$3,"Mese",5,"Tipologia",$A186,"Viaggio",$A$183))</f>
        <v>0</v>
      </c>
      <c r="H186" s="270">
        <f>IF(ISERROR(GETPIVOTDATA("Somma di DARE",'Pivot Fineco Sa'!$A$3,"Mese",6,"Tipologia",$A186,"Viaggio",$A$183)),0,GETPIVOTDATA("Somma di DARE",'Pivot Fineco Sa'!$A$3,"Mese",6,"Tipologia",$A186,"Viaggio",$A$183))
+IF(ISERROR(GETPIVOTDATA("Somma di DARE",'Pivot Fineco St'!$A$3,"Mese",6,"Tipologia",$A186,"Viaggio",$A$183)),0,GETPIVOTDATA("Somma di DARE",'Pivot Fineco St'!$A$3,"Mese",6,"Tipologia",$A186,"Viaggio",$A$183))
+IF(Contanti!$Y41='Conto Economico'!$A$183,Contanti!$V41)
+IF(ISERROR(GETPIVOTDATA("Somma di DARE",'Pivot BBVA'!$A$3,"Mese",6,"Tipologia",$A186,"Viaggio",$A$183)),0,GETPIVOTDATA("Somma di DARE",'Pivot BBVA'!$A$3,"Mese",6,"Tipologia",$A186,"Viaggio",$A$183))
+IF(ISERROR(GETPIVOTDATA("Somma di DARE",'Pivot Amex'!$A$3,"Mese",6,"Tipologia",$A186,"Viaggio",$A$183)),0,GETPIVOTDATA("Somma di DARE",'Pivot Amex'!$A$3,"Mese",6,"Tipologia",$A186,"Viaggio",$A$183))
-IF(ISERROR(GETPIVOTDATA("Somma di AVERE",'Pivot Amex'!$A$3,"Mese",6,"Tipologia",$A186,"Viaggio",$A$183)),0,GETPIVOTDATA("Somma di AVERE",'Pivot Amex'!$A$3,"Mese",6,"Tipologia",$A186,"Viaggio",$A$183))
-IF(ISERROR(GETPIVOTDATA("Somma di AVERE",'Pivot BBVA'!$A$3,"Mese",6,"Tipologia",$A186,"Viaggio",$A$183)),0,GETPIVOTDATA("Somma di AVERE",'Pivot BBVA'!$A$3,"Mese",6,"Tipologia",$A186,"Viaggio",$A$183))
-IF(ISERROR(GETPIVOTDATA("Somma di AVERE",'Pivot Fineco St'!$A$3,"Mese",6,"Tipologia",$A186,"Viaggio",$A$183)),0,GETPIVOTDATA("Somma di AVERE",'Pivot Fineco St'!$A$3,"Mese",6,"Tipologia",$A186,"Viaggio",$A$183))
-IF(ISERROR(GETPIVOTDATA("Somma di AVERE",'Pivot Fineco Sa'!$A$3,"Mese",6,"Tipologia",$A186,"Viaggio",$A$183)),0,GETPIVOTDATA("Somma di AVERE",'Pivot Fineco Sa'!$A$3,"Mese",6,"Tipologia",$A186,"Viaggio",$A$183))
+IF(ISERROR(GETPIVOTDATA("Somma di DARE",'Pivot PP Visa'!$A$3,"Mese",6,"Tipologia",$A186,"Viaggio",$A$183)),0,GETPIVOTDATA("Somma di DARE",'Pivot PP Visa'!$A$3,"Mese",6,"Tipologia",$A186,"Viaggio",$A$183))
-IF(ISERROR(GETPIVOTDATA("Somma di AVERE",'Pivot PP Visa'!$A$3,"Mese",6,"Tipologia",$A186,"Viaggio",$A$183)),0,GETPIVOTDATA("Somma di AVERE",'Pivot PP Visa'!$A$3,"Mese",6,"Tipologia",$A186,"Viaggio",$A$183))
+IF(ISERROR(GETPIVOTDATA("Somma di DARE",'Pivot Revolut'!$A$3,"Mese",6,"Tipologia",$A186,"Viaggio",$A$183)),0,GETPIVOTDATA("Somma di DARE",'Pivot Revolut'!$A$3,"Mese",6,"Tipologia",$A186,"Viaggio",$A$183))
-IF(ISERROR(GETPIVOTDATA("Somma di AVERE",'Pivot Revolut'!$A$3,"Mese",6,"Tipologia",$A186,"Viaggio",$A$183)),0,GETPIVOTDATA("Somma di AVERE",'Pivot Revolut'!$A$3,"Mese",6,"Tipologia",$A186,"Viaggio",$A$183))
+IF(ISERROR(GETPIVOTDATA("Somma di DARE",'Pivot RakBank EUR'!$A$3,"Mese",6,"Tipologia",$A186,"Viaggio",$A$183)),0,GETPIVOTDATA("Somma di DARE",'Pivot RakBank EUR'!$A$3,"Mese",6,"Tipologia",$A186,"Viaggio",$A$183))
-IF(ISERROR(GETPIVOTDATA("Somma di AVERE",'Pivot RakBank EUR'!$A$3,"Mese",6,"Tipologia",$A186,"Viaggio",$A$183)),0,GETPIVOTDATA("Somma di AVERE",'Pivot RakBank EUR'!$A$3,"Mese",6,"Tipologia",$A186,"Viaggio",$A$183))
+IF(ISERROR(GETPIVOTDATA("Somma di DARE EUR",'Pivot RakBank AED'!$A$3,"Mese",6,"Tipologia",$A186,"Viaggio",$A$183)),0,GETPIVOTDATA("Somma di DARE EUR",'Pivot RakBank AED'!$A$3,"Mese",6,"Tipologia",$A186,"Viaggio",$A$183))
-IF(ISERROR(GETPIVOTDATA("Somma di AVERE EUR",'Pivot RakBank AED'!$A$3,"Mese",6,"Tipologia",$A186,"Viaggio",$A$183)),0,GETPIVOTDATA("Somma di AVERE EUR",'Pivot RakBank AED'!$A$3,"Mese",6,"Tipologia",$A186,"Viaggio",$A$183))</f>
        <v>0</v>
      </c>
      <c r="I186" s="270">
        <f>IF(ISERROR(GETPIVOTDATA("Somma di DARE",'Pivot Fineco Sa'!$A$3,"Mese",7,"Tipologia",$A186,"Viaggio",$A$183)),0,GETPIVOTDATA("Somma di DARE",'Pivot Fineco Sa'!$A$3,"Mese",7,"Tipologia",$A186,"Viaggio",$A$183))
+IF(ISERROR(GETPIVOTDATA("Somma di DARE",'Pivot Fineco St'!$A$3,"Mese",7,"Tipologia",$A186,"Viaggio",$A$183)),0,GETPIVOTDATA("Somma di DARE",'Pivot Fineco St'!$A$3,"Mese",7,"Tipologia",$A186,"Viaggio",$A$183))
+IF(Contanti!$AC41='Conto Economico'!$A$183,Contanti!$Z41)
+IF(ISERROR(GETPIVOTDATA("Somma di DARE",'Pivot BBVA'!$A$3,"Mese",7,"Tipologia",$A186,"Viaggio",$A$183)),0,GETPIVOTDATA("Somma di DARE",'Pivot BBVA'!$A$3,"Mese",7,"Tipologia",$A186,"Viaggio",$A$183))
+IF(ISERROR(GETPIVOTDATA("Somma di DARE",'Pivot Amex'!$A$3,"Mese",7,"Tipologia",$A186,"Viaggio",$A$183)),0,GETPIVOTDATA("Somma di DARE",'Pivot Amex'!$A$3,"Mese",7,"Tipologia",$A186,"Viaggio",$A$183))
-IF(ISERROR(GETPIVOTDATA("Somma di AVERE",'Pivot Amex'!$A$3,"Mese",7,"Tipologia",$A186,"Viaggio",$A$183)),0,GETPIVOTDATA("Somma di AVERE",'Pivot Amex'!$A$3,"Mese",7,"Tipologia",$A186,"Viaggio",$A$183))
-IF(ISERROR(GETPIVOTDATA("Somma di AVERE",'Pivot BBVA'!$A$3,"Mese",7,"Tipologia",$A186,"Viaggio",$A$183)),0,GETPIVOTDATA("Somma di AVERE",'Pivot BBVA'!$A$3,"Mese",7,"Tipologia",$A186,"Viaggio",$A$183))
-IF(ISERROR(GETPIVOTDATA("Somma di AVERE",'Pivot Fineco St'!$A$3,"Mese",7,"Tipologia",$A186,"Viaggio",$A$183)),0,GETPIVOTDATA("Somma di AVERE",'Pivot Fineco St'!$A$3,"Mese",7,"Tipologia",$A186,"Viaggio",$A$183))
-IF(ISERROR(GETPIVOTDATA("Somma di AVERE",'Pivot Fineco Sa'!$A$3,"Mese",7,"Tipologia",$A186,"Viaggio",$A$183)),0,GETPIVOTDATA("Somma di AVERE",'Pivot Fineco Sa'!$A$3,"Mese",7,"Tipologia",$A186,"Viaggio",$A$183))
+IF(ISERROR(GETPIVOTDATA("Somma di DARE",'Pivot PP Visa'!$A$3,"Mese",7,"Tipologia",$A186,"Viaggio",$A$183)),0,GETPIVOTDATA("Somma di DARE",'Pivot PP Visa'!$A$3,"Mese",7,"Tipologia",$A186,"Viaggio",$A$183))
-IF(ISERROR(GETPIVOTDATA("Somma di AVERE",'Pivot PP Visa'!$A$3,"Mese",7,"Tipologia",$A186,"Viaggio",$A$183)),0,GETPIVOTDATA("Somma di AVERE",'Pivot PP Visa'!$A$3,"Mese",7,"Tipologia",$A186,"Viaggio",$A$183))
+IF(ISERROR(GETPIVOTDATA("Somma di DARE",'Pivot Revolut'!$A$3,"Mese",7,"Tipologia",$A186,"Viaggio",$A$183)),0,GETPIVOTDATA("Somma di DARE",'Pivot Revolut'!$A$3,"Mese",7,"Tipologia",$A186,"Viaggio",$A$183))
-IF(ISERROR(GETPIVOTDATA("Somma di AVERE",'Pivot Revolut'!$A$3,"Mese",7,"Tipologia",$A186,"Viaggio",$A$183)),0,GETPIVOTDATA("Somma di AVERE",'Pivot Revolut'!$A$3,"Mese",7,"Tipologia",$A186,"Viaggio",$A$183))
+IF(ISERROR(GETPIVOTDATA("Somma di DARE",'Pivot RakBank EUR'!$A$3,"Mese",7,"Tipologia",$A186,"Viaggio",$A$183)),0,GETPIVOTDATA("Somma di DARE",'Pivot RakBank EUR'!$A$3,"Mese",7,"Tipologia",$A186,"Viaggio",$A$183))
-IF(ISERROR(GETPIVOTDATA("Somma di AVERE",'Pivot RakBank EUR'!$A$3,"Mese",7,"Tipologia",$A186,"Viaggio",$A$183)),0,GETPIVOTDATA("Somma di AVERE",'Pivot RakBank EUR'!$A$3,"Mese",7,"Tipologia",$A186,"Viaggio",$A$183))
+IF(ISERROR(GETPIVOTDATA("Somma di DARE EUR",'Pivot RakBank AED'!$A$3,"Mese",7,"Tipologia",$A186,"Viaggio",$A$183)),0,GETPIVOTDATA("Somma di DARE EUR",'Pivot RakBank AED'!$A$3,"Mese",7,"Tipologia",$A186,"Viaggio",$A$183))
-IF(ISERROR(GETPIVOTDATA("Somma di AVERE EUR",'Pivot RakBank AED'!$A$3,"Mese",7,"Tipologia",$A186,"Viaggio",$A$183)),0,GETPIVOTDATA("Somma di AVERE EUR",'Pivot RakBank AED'!$A$3,"Mese",7,"Tipologia",$A186,"Viaggio",$A$183))</f>
        <v>0</v>
      </c>
      <c r="J186" s="270">
        <f>IF(ISERROR(GETPIVOTDATA("Somma di DARE",'Pivot Fineco Sa'!$A$3,"Mese",8,"Tipologia",$A186,"Viaggio",$A$183)),0,GETPIVOTDATA("Somma di DARE",'Pivot Fineco Sa'!$A$3,"Mese",8,"Tipologia",$A186,"Viaggio",$A$183))
+IF(ISERROR(GETPIVOTDATA("Somma di DARE",'Pivot Fineco St'!$A$3,"Mese",8,"Tipologia",$A186,"Viaggio",$A$183)),0,GETPIVOTDATA("Somma di DARE",'Pivot Fineco St'!$A$3,"Mese",8,"Tipologia",$A186,"Viaggio",$A$183))
+IF(Contanti!$AG41='Conto Economico'!$A$183,Contanti!$AD41)
+IF(ISERROR(GETPIVOTDATA("Somma di DARE",'Pivot BBVA'!$A$3,"Mese",8,"Tipologia",$A186,"Viaggio",$A$183)),0,GETPIVOTDATA("Somma di DARE",'Pivot BBVA'!$A$3,"Mese",8,"Tipologia",$A186,"Viaggio",$A$183))
+IF(ISERROR(GETPIVOTDATA("Somma di DARE",'Pivot Amex'!$A$3,"Mese",8,"Tipologia",$A186,"Viaggio",$A$183)),0,GETPIVOTDATA("Somma di DARE",'Pivot Amex'!$A$3,"Mese",8,"Tipologia",$A186,"Viaggio",$A$183))
-IF(ISERROR(GETPIVOTDATA("Somma di AVERE",'Pivot Amex'!$A$3,"Mese",8,"Tipologia",$A186,"Viaggio",$A$183)),0,GETPIVOTDATA("Somma di AVERE",'Pivot Amex'!$A$3,"Mese",8,"Tipologia",$A186,"Viaggio",$A$183))
-IF(ISERROR(GETPIVOTDATA("Somma di AVERE",'Pivot BBVA'!$A$3,"Mese",8,"Tipologia",$A186,"Viaggio",$A$183)),0,GETPIVOTDATA("Somma di AVERE",'Pivot BBVA'!$A$3,"Mese",8,"Tipologia",$A186,"Viaggio",$A$183))
-IF(ISERROR(GETPIVOTDATA("Somma di AVERE",'Pivot Fineco St'!$A$3,"Mese",8,"Tipologia",$A186,"Viaggio",$A$183)),0,GETPIVOTDATA("Somma di AVERE",'Pivot Fineco St'!$A$3,"Mese",8,"Tipologia",$A186,"Viaggio",$A$183))
-IF(ISERROR(GETPIVOTDATA("Somma di AVERE",'Pivot Fineco Sa'!$A$3,"Mese",8,"Tipologia",$A186,"Viaggio",$A$183)),0,GETPIVOTDATA("Somma di AVERE",'Pivot Fineco Sa'!$A$3,"Mese",8,"Tipologia",$A186,"Viaggio",$A$183))
+IF(ISERROR(GETPIVOTDATA("Somma di DARE",'Pivot PP Visa'!$A$3,"Mese",8,"Tipologia",$A186,"Viaggio",$A$183)),0,GETPIVOTDATA("Somma di DARE",'Pivot PP Visa'!$A$3,"Mese",8,"Tipologia",$A186,"Viaggio",$A$183))
-IF(ISERROR(GETPIVOTDATA("Somma di AVERE",'Pivot PP Visa'!$A$3,"Mese",8,"Tipologia",$A186,"Viaggio",$A$183)),0,GETPIVOTDATA("Somma di AVERE",'Pivot PP Visa'!$A$3,"Mese",8,"Tipologia",$A186,"Viaggio",$A$183))
+IF(ISERROR(GETPIVOTDATA("Somma di DARE",'Pivot Revolut'!$A$3,"Mese",8,"Tipologia",$A186,"Viaggio",$A$183)),0,GETPIVOTDATA("Somma di DARE",'Pivot Revolut'!$A$3,"Mese",8,"Tipologia",$A186,"Viaggio",$A$183))
-IF(ISERROR(GETPIVOTDATA("Somma di AVERE",'Pivot Revolut'!$A$3,"Mese",8,"Tipologia",$A186,"Viaggio",$A$183)),0,GETPIVOTDATA("Somma di AVERE",'Pivot Revolut'!$A$3,"Mese",8,"Tipologia",$A186,"Viaggio",$A$183))
+IF(ISERROR(GETPIVOTDATA("Somma di DARE",'Pivot RakBank EUR'!$A$3,"Mese",8,"Tipologia",$A186,"Viaggio",$A$183)),0,GETPIVOTDATA("Somma di DARE",'Pivot RakBank EUR'!$A$3,"Mese",8,"Tipologia",$A186,"Viaggio",$A$183))
-IF(ISERROR(GETPIVOTDATA("Somma di AVERE",'Pivot RakBank EUR'!$A$3,"Mese",8,"Tipologia",$A186,"Viaggio",$A$183)),0,GETPIVOTDATA("Somma di AVERE",'Pivot RakBank EUR'!$A$3,"Mese",8,"Tipologia",$A186,"Viaggio",$A$183))
+IF(ISERROR(GETPIVOTDATA("Somma di DARE EUR",'Pivot RakBank AED'!$A$3,"Mese",8,"Tipologia",$A186,"Viaggio",$A$183)),0,GETPIVOTDATA("Somma di DARE EUR",'Pivot RakBank AED'!$A$3,"Mese",8,"Tipologia",$A186,"Viaggio",$A$183))
-IF(ISERROR(GETPIVOTDATA("Somma di AVERE EUR",'Pivot RakBank AED'!$A$3,"Mese",8,"Tipologia",$A186,"Viaggio",$A$183)),0,GETPIVOTDATA("Somma di AVERE EUR",'Pivot RakBank AED'!$A$3,"Mese",8,"Tipologia",$A186,"Viaggio",$A$183))</f>
        <v>0</v>
      </c>
      <c r="K186" s="270">
        <f>IF(ISERROR(GETPIVOTDATA("Somma di DARE",'Pivot Fineco Sa'!$A$3,"Mese",9,"Tipologia",$A186,"Viaggio",$A$183)),0,GETPIVOTDATA("Somma di DARE",'Pivot Fineco Sa'!$A$3,"Mese",9,"Tipologia",$A186,"Viaggio",$A$183))
+IF(ISERROR(GETPIVOTDATA("Somma di DARE",'Pivot Fineco St'!$A$3,"Mese",9,"Tipologia",$A186,"Viaggio",$A$183)),0,GETPIVOTDATA("Somma di DARE",'Pivot Fineco St'!$A$3,"Mese",9,"Tipologia",$A186,"Viaggio",$A$183))
+IF(Contanti!$AK41='Conto Economico'!$A$183,Contanti!$AH41)
+IF(ISERROR(GETPIVOTDATA("Somma di DARE",'Pivot BBVA'!$A$3,"Mese",9,"Tipologia",$A186,"Viaggio",$A$183)),0,GETPIVOTDATA("Somma di DARE",'Pivot BBVA'!$A$3,"Mese",9,"Tipologia",$A186,"Viaggio",$A$183))
+IF(ISERROR(GETPIVOTDATA("Somma di DARE",'Pivot Amex'!$A$3,"Mese",9,"Tipologia",$A186,"Viaggio",$A$183)),0,GETPIVOTDATA("Somma di DARE",'Pivot Amex'!$A$3,"Mese",9,"Tipologia",$A186,"Viaggio",$A$183))
-IF(ISERROR(GETPIVOTDATA("Somma di AVERE",'Pivot Amex'!$A$3,"Mese",9,"Tipologia",$A186,"Viaggio",$A$183)),0,GETPIVOTDATA("Somma di AVERE",'Pivot Amex'!$A$3,"Mese",9,"Tipologia",$A186,"Viaggio",$A$183))
-IF(ISERROR(GETPIVOTDATA("Somma di AVERE",'Pivot BBVA'!$A$3,"Mese",9,"Tipologia",$A186,"Viaggio",$A$183)),0,GETPIVOTDATA("Somma di AVERE",'Pivot BBVA'!$A$3,"Mese",9,"Tipologia",$A186,"Viaggio",$A$183))
-IF(ISERROR(GETPIVOTDATA("Somma di AVERE",'Pivot Fineco St'!$A$3,"Mese",9,"Tipologia",$A186,"Viaggio",$A$183)),0,GETPIVOTDATA("Somma di AVERE",'Pivot Fineco St'!$A$3,"Mese",9,"Tipologia",$A186,"Viaggio",$A$183))
-IF(ISERROR(GETPIVOTDATA("Somma di AVERE",'Pivot Fineco Sa'!$A$3,"Mese",9,"Tipologia",$A186,"Viaggio",$A$183)),0,GETPIVOTDATA("Somma di AVERE",'Pivot Fineco Sa'!$A$3,"Mese",9,"Tipologia",$A186,"Viaggio",$A$183))
+IF(ISERROR(GETPIVOTDATA("Somma di DARE",'Pivot PP Visa'!$A$3,"Mese",9,"Tipologia",$A186,"Viaggio",$A$183)),0,GETPIVOTDATA("Somma di DARE",'Pivot PP Visa'!$A$3,"Mese",9,"Tipologia",$A186,"Viaggio",$A$183))
-IF(ISERROR(GETPIVOTDATA("Somma di AVERE",'Pivot PP Visa'!$A$3,"Mese",9,"Tipologia",$A186,"Viaggio",$A$183)),0,GETPIVOTDATA("Somma di AVERE",'Pivot PP Visa'!$A$3,"Mese",9,"Tipologia",$A186,"Viaggio",$A$183))
+IF(ISERROR(GETPIVOTDATA("Somma di DARE",'Pivot Revolut'!$A$3,"Mese",9,"Tipologia",$A186,"Viaggio",$A$183)),0,GETPIVOTDATA("Somma di DARE",'Pivot Revolut'!$A$3,"Mese",9,"Tipologia",$A186,"Viaggio",$A$183))
-IF(ISERROR(GETPIVOTDATA("Somma di AVERE",'Pivot Revolut'!$A$3,"Mese",9,"Tipologia",$A186,"Viaggio",$A$183)),0,GETPIVOTDATA("Somma di AVERE",'Pivot Revolut'!$A$3,"Mese",9,"Tipologia",$A186,"Viaggio",$A$183))
+IF(ISERROR(GETPIVOTDATA("Somma di DARE",'Pivot RakBank EUR'!$A$3,"Mese",9,"Tipologia",$A186,"Viaggio",$A$183)),0,GETPIVOTDATA("Somma di DARE",'Pivot RakBank EUR'!$A$3,"Mese",9,"Tipologia",$A186,"Viaggio",$A$183))
-IF(ISERROR(GETPIVOTDATA("Somma di AVERE",'Pivot RakBank EUR'!$A$3,"Mese",9,"Tipologia",$A186,"Viaggio",$A$183)),0,GETPIVOTDATA("Somma di AVERE",'Pivot RakBank EUR'!$A$3,"Mese",9,"Tipologia",$A186,"Viaggio",$A$183))
+IF(ISERROR(GETPIVOTDATA("Somma di DARE EUR",'Pivot RakBank AED'!$A$3,"Mese",9,"Tipologia",$A186,"Viaggio",$A$183)),0,GETPIVOTDATA("Somma di DARE EUR",'Pivot RakBank AED'!$A$3,"Mese",9,"Tipologia",$A186,"Viaggio",$A$183))
-IF(ISERROR(GETPIVOTDATA("Somma di AVERE EUR",'Pivot RakBank AED'!$A$3,"Mese",9,"Tipologia",$A186,"Viaggio",$A$183)),0,GETPIVOTDATA("Somma di AVERE EUR",'Pivot RakBank AED'!$A$3,"Mese",9,"Tipologia",$A186,"Viaggio",$A$183))</f>
        <v>0</v>
      </c>
      <c r="L186" s="270">
        <f>IF(ISERROR(GETPIVOTDATA("Somma di DARE",'Pivot Fineco Sa'!$A$3,"Mese",10,"Tipologia",$A186,"Viaggio",$A$183)),0,GETPIVOTDATA("Somma di DARE",'Pivot Fineco Sa'!$A$3,"Mese",10,"Tipologia",$A186,"Viaggio",$A$183))
+IF(ISERROR(GETPIVOTDATA("Somma di DARE",'Pivot Fineco St'!$A$3,"Mese",10,"Tipologia",$A186,"Viaggio",$A$183)),0,GETPIVOTDATA("Somma di DARE",'Pivot Fineco St'!$A$3,"Mese",10,"Tipologia",$A186,"Viaggio",$A$183))
+IF(Contanti!$AO41='Conto Economico'!$A$183,Contanti!$AL41)
+IF(ISERROR(GETPIVOTDATA("Somma di DARE",'Pivot BBVA'!$A$3,"Mese",10,"Tipologia",$A186,"Viaggio",$A$183)),0,GETPIVOTDATA("Somma di DARE",'Pivot BBVA'!$A$3,"Mese",10,"Tipologia",$A186,"Viaggio",$A$183))
+IF(ISERROR(GETPIVOTDATA("Somma di DARE",'Pivot Amex'!$A$3,"Mese",10,"Tipologia",$A186,"Viaggio",$A$183)),0,GETPIVOTDATA("Somma di DARE",'Pivot Amex'!$A$3,"Mese",10,"Tipologia",$A186,"Viaggio",$A$183))
-IF(ISERROR(GETPIVOTDATA("Somma di AVERE",'Pivot Amex'!$A$3,"Mese",10,"Tipologia",$A186,"Viaggio",$A$183)),0,GETPIVOTDATA("Somma di AVERE",'Pivot Amex'!$A$3,"Mese",10,"Tipologia",$A186,"Viaggio",$A$183))
-IF(ISERROR(GETPIVOTDATA("Somma di AVERE",'Pivot BBVA'!$A$3,"Mese",10,"Tipologia",$A186,"Viaggio",$A$183)),0,GETPIVOTDATA("Somma di AVERE",'Pivot BBVA'!$A$3,"Mese",10,"Tipologia",$A186,"Viaggio",$A$183))
-IF(ISERROR(GETPIVOTDATA("Somma di AVERE",'Pivot Fineco St'!$A$3,"Mese",10,"Tipologia",$A186,"Viaggio",$A$183)),0,GETPIVOTDATA("Somma di AVERE",'Pivot Fineco St'!$A$3,"Mese",10,"Tipologia",$A186,"Viaggio",$A$183))
-IF(ISERROR(GETPIVOTDATA("Somma di AVERE",'Pivot Fineco Sa'!$A$3,"Mese",10,"Tipologia",$A186,"Viaggio",$A$183)),0,GETPIVOTDATA("Somma di AVERE",'Pivot Fineco Sa'!$A$3,"Mese",10,"Tipologia",$A186,"Viaggio",$A$183))
+IF(ISERROR(GETPIVOTDATA("Somma di DARE",'Pivot PP Visa'!$A$3,"Mese",10,"Tipologia",$A186,"Viaggio",$A$183)),0,GETPIVOTDATA("Somma di DARE",'Pivot PP Visa'!$A$3,"Mese",10,"Tipologia",$A186,"Viaggio",$A$183))
-IF(ISERROR(GETPIVOTDATA("Somma di AVERE",'Pivot PP Visa'!$A$3,"Mese",10,"Tipologia",$A186,"Viaggio",$A$183)),0,GETPIVOTDATA("Somma di AVERE",'Pivot PP Visa'!$A$3,"Mese",10,"Tipologia",$A186,"Viaggio",$A$183))
+IF(ISERROR(GETPIVOTDATA("Somma di DARE",'Pivot Revolut'!$A$3,"Mese",10,"Tipologia",$A186,"Viaggio",$A$183)),0,GETPIVOTDATA("Somma di DARE",'Pivot Revolut'!$A$3,"Mese",10,"Tipologia",$A186,"Viaggio",$A$183))
-IF(ISERROR(GETPIVOTDATA("Somma di AVERE",'Pivot Revolut'!$A$3,"Mese",10,"Tipologia",$A186,"Viaggio",$A$183)),0,GETPIVOTDATA("Somma di AVERE",'Pivot Revolut'!$A$3,"Mese",10,"Tipologia",$A186,"Viaggio",$A$183))
+IF(ISERROR(GETPIVOTDATA("Somma di DARE",'Pivot RakBank EUR'!$A$3,"Mese",10,"Tipologia",$A186,"Viaggio",$A$183)),0,GETPIVOTDATA("Somma di DARE",'Pivot RakBank EUR'!$A$3,"Mese",10,"Tipologia",$A186,"Viaggio",$A$183))
-IF(ISERROR(GETPIVOTDATA("Somma di AVERE",'Pivot RakBank EUR'!$A$3,"Mese",10,"Tipologia",$A186,"Viaggio",$A$183)),0,GETPIVOTDATA("Somma di AVERE",'Pivot RakBank EUR'!$A$3,"Mese",10,"Tipologia",$A186,"Viaggio",$A$183))
+IF(ISERROR(GETPIVOTDATA("Somma di DARE EUR",'Pivot RakBank AED'!$A$3,"Mese",10,"Tipologia",$A186,"Viaggio",$A$183)),0,GETPIVOTDATA("Somma di DARE EUR",'Pivot RakBank AED'!$A$3,"Mese",10,"Tipologia",$A186,"Viaggio",$A$183))
-IF(ISERROR(GETPIVOTDATA("Somma di AVERE EUR",'Pivot RakBank AED'!$A$3,"Mese",10,"Tipologia",$A186,"Viaggio",$A$183)),0,GETPIVOTDATA("Somma di AVERE EUR",'Pivot RakBank AED'!$A$3,"Mese",10,"Tipologia",$A186,"Viaggio",$A$183))</f>
        <v>0</v>
      </c>
      <c r="M186" s="270">
        <f>IF(ISERROR(GETPIVOTDATA("Somma di DARE",'Pivot Fineco Sa'!$A$3,"Mese",11,"Tipologia",$A186,"Viaggio",$A$183)),0,GETPIVOTDATA("Somma di DARE",'Pivot Fineco Sa'!$A$3,"Mese",11,"Tipologia",$A186,"Viaggio",$A$183))
+IF(ISERROR(GETPIVOTDATA("Somma di DARE",'Pivot Fineco St'!$A$3,"Mese",11,"Tipologia",$A186,"Viaggio",$A$183)),0,GETPIVOTDATA("Somma di DARE",'Pivot Fineco St'!$A$3,"Mese",11,"Tipologia",$A186,"Viaggio",$A$183))
+IF(Contanti!$AS41='Conto Economico'!$A$183,Contanti!$AP41)
+IF(ISERROR(GETPIVOTDATA("Somma di DARE",'Pivot BBVA'!$A$3,"Mese",11,"Tipologia",$A186,"Viaggio",$A$183)),0,GETPIVOTDATA("Somma di DARE",'Pivot BBVA'!$A$3,"Mese",11,"Tipologia",$A186,"Viaggio",$A$183))
+IF(ISERROR(GETPIVOTDATA("Somma di DARE",'Pivot Amex'!$A$3,"Mese",11,"Tipologia",$A186,"Viaggio",$A$183)),0,GETPIVOTDATA("Somma di DARE",'Pivot Amex'!$A$3,"Mese",11,"Tipologia",$A186,"Viaggio",$A$183))
-IF(ISERROR(GETPIVOTDATA("Somma di AVERE",'Pivot Amex'!$A$3,"Mese",11,"Tipologia",$A186,"Viaggio",$A$183)),0,GETPIVOTDATA("Somma di AVERE",'Pivot Amex'!$A$3,"Mese",11,"Tipologia",$A186,"Viaggio",$A$183))
-IF(ISERROR(GETPIVOTDATA("Somma di AVERE",'Pivot BBVA'!$A$3,"Mese",11,"Tipologia",$A186,"Viaggio",$A$183)),0,GETPIVOTDATA("Somma di AVERE",'Pivot BBVA'!$A$3,"Mese",11,"Tipologia",$A186,"Viaggio",$A$183))
-IF(ISERROR(GETPIVOTDATA("Somma di AVERE",'Pivot Fineco St'!$A$3,"Mese",11,"Tipologia",$A186,"Viaggio",$A$183)),0,GETPIVOTDATA("Somma di AVERE",'Pivot Fineco St'!$A$3,"Mese",11,"Tipologia",$A186,"Viaggio",$A$183))
-IF(ISERROR(GETPIVOTDATA("Somma di AVERE",'Pivot Fineco Sa'!$A$3,"Mese",11,"Tipologia",$A186,"Viaggio",$A$183)),0,GETPIVOTDATA("Somma di AVERE",'Pivot Fineco Sa'!$A$3,"Mese",11,"Tipologia",$A186,"Viaggio",$A$183))
+IF(ISERROR(GETPIVOTDATA("Somma di DARE",'Pivot PP Visa'!$A$3,"Mese",11,"Tipologia",$A186,"Viaggio",$A$183)),0,GETPIVOTDATA("Somma di DARE",'Pivot PP Visa'!$A$3,"Mese",11,"Tipologia",$A186,"Viaggio",$A$183))
-IF(ISERROR(GETPIVOTDATA("Somma di AVERE",'Pivot PP Visa'!$A$3,"Mese",11,"Tipologia",$A186,"Viaggio",$A$183)),0,GETPIVOTDATA("Somma di AVERE",'Pivot PP Visa'!$A$3,"Mese",11,"Tipologia",$A186,"Viaggio",$A$183))
+IF(ISERROR(GETPIVOTDATA("Somma di DARE",'Pivot Revolut'!$A$3,"Mese",11,"Tipologia",$A186,"Viaggio",$A$183)),0,GETPIVOTDATA("Somma di DARE",'Pivot Revolut'!$A$3,"Mese",11,"Tipologia",$A186,"Viaggio",$A$183))
-IF(ISERROR(GETPIVOTDATA("Somma di AVERE",'Pivot Revolut'!$A$3,"Mese",11,"Tipologia",$A186,"Viaggio",$A$183)),0,GETPIVOTDATA("Somma di AVERE",'Pivot Revolut'!$A$3,"Mese",11,"Tipologia",$A186,"Viaggio",$A$183))
+IF(ISERROR(GETPIVOTDATA("Somma di DARE",'Pivot RakBank EUR'!$A$3,"Mese",11,"Tipologia",$A186,"Viaggio",$A$183)),0,GETPIVOTDATA("Somma di DARE",'Pivot RakBank EUR'!$A$3,"Mese",11,"Tipologia",$A186,"Viaggio",$A$183))
-IF(ISERROR(GETPIVOTDATA("Somma di AVERE",'Pivot RakBank EUR'!$A$3,"Mese",11,"Tipologia",$A186,"Viaggio",$A$183)),0,GETPIVOTDATA("Somma di AVERE",'Pivot RakBank EUR'!$A$3,"Mese",11,"Tipologia",$A186,"Viaggio",$A$183))
+IF(ISERROR(GETPIVOTDATA("Somma di DARE EUR",'Pivot RakBank AED'!$A$3,"Mese",11,"Tipologia",$A186,"Viaggio",$A$183)),0,GETPIVOTDATA("Somma di DARE EUR",'Pivot RakBank AED'!$A$3,"Mese",11,"Tipologia",$A186,"Viaggio",$A$183))
-IF(ISERROR(GETPIVOTDATA("Somma di AVERE EUR",'Pivot RakBank AED'!$A$3,"Mese",11,"Tipologia",$A186,"Viaggio",$A$183)),0,GETPIVOTDATA("Somma di AVERE EUR",'Pivot RakBank AED'!$A$3,"Mese",11,"Tipologia",$A186,"Viaggio",$A$183))</f>
        <v>0</v>
      </c>
      <c r="N186" s="270">
        <f>IF(ISERROR(GETPIVOTDATA("Somma di DARE",'Pivot Fineco Sa'!$A$3,"Mese",12,"Tipologia",$A186,"Viaggio",$A$183)),0,GETPIVOTDATA("Somma di DARE",'Pivot Fineco Sa'!$A$3,"Mese",12,"Tipologia",$A186,"Viaggio",$A$183))
+IF(ISERROR(GETPIVOTDATA("Somma di DARE",'Pivot Fineco St'!$A$3,"Mese",12,"Tipologia",$A186,"Viaggio",$A$183)),0,GETPIVOTDATA("Somma di DARE",'Pivot Fineco St'!$A$3,"Mese",12,"Tipologia",$A186,"Viaggio",$A$183))
+IF(Contanti!$AW41='Conto Economico'!$A$183,Contanti!$AT41)
+IF(ISERROR(GETPIVOTDATA("Somma di DARE",'Pivot BBVA'!$A$3,"Mese",12,"Tipologia",$A186,"Viaggio",$A$183)),0,GETPIVOTDATA("Somma di DARE",'Pivot BBVA'!$A$3,"Mese",12,"Tipologia",$A186,"Viaggio",$A$183))
+IF(ISERROR(GETPIVOTDATA("Somma di DARE",'Pivot Amex'!$A$3,"Mese",12,"Tipologia",$A186,"Viaggio",$A$183)),0,GETPIVOTDATA("Somma di DARE",'Pivot Amex'!$A$3,"Mese",12,"Tipologia",$A186,"Viaggio",$A$183))
-IF(ISERROR(GETPIVOTDATA("Somma di AVERE",'Pivot Amex'!$A$3,"Mese",12,"Tipologia",$A186,"Viaggio",$A$183)),0,GETPIVOTDATA("Somma di AVERE",'Pivot Amex'!$A$3,"Mese",12,"Tipologia",$A186,"Viaggio",$A$183))
-IF(ISERROR(GETPIVOTDATA("Somma di AVERE",'Pivot BBVA'!$A$3,"Mese",12,"Tipologia",$A186,"Viaggio",$A$183)),0,GETPIVOTDATA("Somma di AVERE",'Pivot BBVA'!$A$3,"Mese",12,"Tipologia",$A186,"Viaggio",$A$183))
-IF(ISERROR(GETPIVOTDATA("Somma di AVERE",'Pivot Fineco St'!$A$3,"Mese",12,"Tipologia",$A186,"Viaggio",$A$183)),0,GETPIVOTDATA("Somma di AVERE",'Pivot Fineco St'!$A$3,"Mese",12,"Tipologia",$A186,"Viaggio",$A$183))
-IF(ISERROR(GETPIVOTDATA("Somma di AVERE",'Pivot Fineco Sa'!$A$3,"Mese",12,"Tipologia",$A186,"Viaggio",$A$183)),0,GETPIVOTDATA("Somma di AVERE",'Pivot Fineco Sa'!$A$3,"Mese",12,"Tipologia",$A186,"Viaggio",$A$183))
+IF(ISERROR(GETPIVOTDATA("Somma di DARE",'Pivot PP Visa'!$A$3,"Mese",12,"Tipologia",$A186,"Viaggio",$A$183)),0,GETPIVOTDATA("Somma di DARE",'Pivot PP Visa'!$A$3,"Mese",12,"Tipologia",$A186,"Viaggio",$A$183))
-IF(ISERROR(GETPIVOTDATA("Somma di AVERE",'Pivot PP Visa'!$A$3,"Mese",12,"Tipologia",$A186,"Viaggio",$A$183)),0,GETPIVOTDATA("Somma di AVERE",'Pivot PP Visa'!$A$3,"Mese",12,"Tipologia",$A186,"Viaggio",$A$183))
+IF(ISERROR(GETPIVOTDATA("Somma di DARE",'Pivot Revolut'!$A$3,"Mese",12,"Tipologia",$A186,"Viaggio",$A$183)),0,GETPIVOTDATA("Somma di DARE",'Pivot Revolut'!$A$3,"Mese",12,"Tipologia",$A186,"Viaggio",$A$183))
-IF(ISERROR(GETPIVOTDATA("Somma di AVERE",'Pivot Revolut'!$A$3,"Mese",12,"Tipologia",$A186,"Viaggio",$A$183)),0,GETPIVOTDATA("Somma di AVERE",'Pivot Revolut'!$A$3,"Mese",12,"Tipologia",$A186,"Viaggio",$A$183))
+IF(ISERROR(GETPIVOTDATA("Somma di DARE",'Pivot RakBank EUR'!$A$3,"Mese",12,"Tipologia",$A186,"Viaggio",$A$183)),0,GETPIVOTDATA("Somma di DARE",'Pivot RakBank EUR'!$A$3,"Mese",12,"Tipologia",$A186,"Viaggio",$A$183))
-IF(ISERROR(GETPIVOTDATA("Somma di AVERE",'Pivot RakBank EUR'!$A$3,"Mese",12,"Tipologia",$A186,"Viaggio",$A$183)),0,GETPIVOTDATA("Somma di AVERE",'Pivot RakBank EUR'!$A$3,"Mese",12,"Tipologia",$A186,"Viaggio",$A$183))
+IF(ISERROR(GETPIVOTDATA("Somma di DARE EUR",'Pivot RakBank AED'!$A$3,"Mese",12,"Tipologia",$A186,"Viaggio",$A$183)),0,GETPIVOTDATA("Somma di DARE EUR",'Pivot RakBank AED'!$A$3,"Mese",12,"Tipologia",$A186,"Viaggio",$A$183))
-IF(ISERROR(GETPIVOTDATA("Somma di AVERE EUR",'Pivot RakBank AED'!$A$3,"Mese",12,"Tipologia",$A186,"Viaggio",$A$183)),0,GETPIVOTDATA("Somma di AVERE EUR",'Pivot RakBank AED'!$A$3,"Mese",12,"Tipologia",$A186,"Viaggio",$A$183))</f>
        <v>0</v>
      </c>
      <c r="O186" s="271">
        <f t="shared" si="25"/>
        <v>0</v>
      </c>
      <c r="P186" s="270"/>
    </row>
    <row r="187" spans="1:16" s="131" customFormat="1" ht="14" outlineLevel="1" x14ac:dyDescent="0.2">
      <c r="A187" s="269" t="s">
        <v>113</v>
      </c>
      <c r="B187" s="269"/>
      <c r="C187" s="270">
        <f>IF(ISERROR(GETPIVOTDATA("Somma di DARE",'Pivot Fineco Sa'!$A$3,"Mese",1,"Tipologia",$A187,"Viaggio",$A$183)),0,GETPIVOTDATA("Somma di DARE",'Pivot Fineco Sa'!$A$3,"Mese",1,"Tipologia",$A187,"Viaggio",$A$183))
+IF(ISERROR(GETPIVOTDATA("Somma di DARE",'Pivot Fineco St'!$A$3,"Mese",1,"Tipologia",$A187,"Viaggio",$A$183)),0,GETPIVOTDATA("Somma di DARE",'Pivot Fineco St'!$A$3,"Mese",1,"Tipologia",$A187,"Viaggio",$A$183))
+IF(Contanti!$E42='Conto Economico'!$A$183,Contanti!$B42)
+IF(ISERROR(GETPIVOTDATA("Somma di DARE",'Pivot BBVA'!$A$3,"Mese",1,"Tipologia",$A187,"Viaggio",$A$183)),0,GETPIVOTDATA("Somma di DARE",'Pivot BBVA'!$A$3,"Mese",1,"Tipologia",$A187,"Viaggio",$A$183))
+IF(ISERROR(GETPIVOTDATA("Somma di DARE",'Pivot Amex'!$A$3,"Mese",1,"Tipologia",$A187,"Viaggio",$A$183)),0,GETPIVOTDATA("Somma di DARE",'Pivot Amex'!$A$3,"Mese",1,"Tipologia",$A187,"Viaggio",$A$183))
-IF(ISERROR(GETPIVOTDATA("Somma di AVERE",'Pivot Amex'!$A$3,"Mese",1,"Tipologia",$A187,"Viaggio",$A$183)),0,GETPIVOTDATA("Somma di AVERE",'Pivot Amex'!$A$3,"Mese",1,"Tipologia",$A187,"Viaggio",$A$183))
-IF(ISERROR(GETPIVOTDATA("Somma di AVERE",'Pivot BBVA'!$A$3,"Mese",1,"Tipologia",$A187,"Viaggio",$A$183)),0,GETPIVOTDATA("Somma di AVERE",'Pivot BBVA'!$A$3,"Mese",1,"Tipologia",$A187,"Viaggio",$A$183))
-IF(ISERROR(GETPIVOTDATA("Somma di AVERE",'Pivot Fineco St'!$A$3,"Mese",1,"Tipologia",$A187,"Viaggio",$A$183)),0,GETPIVOTDATA("Somma di AVERE",'Pivot Fineco St'!$A$3,"Mese",1,"Tipologia",$A187,"Viaggio",$A$183))
-IF(ISERROR(GETPIVOTDATA("Somma di AVERE",'Pivot Fineco Sa'!$A$3,"Mese",1,"Tipologia",$A187,"Viaggio",$A$183)),0,GETPIVOTDATA("Somma di AVERE",'Pivot Fineco Sa'!$A$3,"Mese",1,"Tipologia",$A187,"Viaggio",$A$183))
+IF(ISERROR(GETPIVOTDATA("Somma di DARE",'Pivot PP Visa'!$A$3,"Mese",1,"Tipologia",$A187,"Viaggio",$A$183)),0,GETPIVOTDATA("Somma di DARE",'Pivot PP Visa'!$A$3,"Mese",1,"Tipologia",$A187,"Viaggio",$A$183))
-IF(ISERROR(GETPIVOTDATA("Somma di AVERE",'Pivot PP Visa'!$A$3,"Mese",1,"Tipologia",$A187,"Viaggio",$A$183)),0,GETPIVOTDATA("Somma di AVERE",'Pivot PP Visa'!$A$3,"Mese",1,"Tipologia",$A187,"Viaggio",$A$183))
+IF(ISERROR(GETPIVOTDATA("Somma di DARE",'Pivot Revolut'!$A$3,"Mese",1,"Tipologia",$A187,"Viaggio",$A$183)),0,GETPIVOTDATA("Somma di DARE",'Pivot Revolut'!$A$3,"Mese",1,"Tipologia",$A187,"Viaggio",$A$183))
-IF(ISERROR(GETPIVOTDATA("Somma di AVERE",'Pivot Revolut'!$A$3,"Mese",1,"Tipologia",$A187,"Viaggio",$A$183)),0,GETPIVOTDATA("Somma di AVERE",'Pivot Revolut'!$A$3,"Mese",1,"Tipologia",$A187,"Viaggio",$A$183))
+IF(ISERROR(GETPIVOTDATA("Somma di DARE",'Pivot RakBank EUR'!$A$3,"Mese",1,"Tipologia",$A187,"Viaggio",$A$183)),0,GETPIVOTDATA("Somma di DARE",'Pivot RakBank EUR'!$A$3,"Mese",1,"Tipologia",$A187,"Viaggio",$A$183))
-IF(ISERROR(GETPIVOTDATA("Somma di AVERE",'Pivot RakBank EUR'!$A$3,"Mese",1,"Tipologia",$A187,"Viaggio",$A$183)),0,GETPIVOTDATA("Somma di AVERE",'Pivot RakBank EUR'!$A$3,"Mese",1,"Tipologia",$A187,"Viaggio",$A$183))
+IF(ISERROR(GETPIVOTDATA("Somma di DARE EUR",'Pivot RakBank AED'!$A$3,"Mese",1,"Tipologia",$A187,"Viaggio",$A$183)),0,GETPIVOTDATA("Somma di DARE EUR",'Pivot RakBank AED'!$A$3,"Mese",1,"Tipologia",$A187,"Viaggio",$A$183))
-IF(ISERROR(GETPIVOTDATA("Somma di AVERE EUR",'Pivot RakBank AED'!$A$3,"Mese",1,"Tipologia",$A187,"Viaggio",$A$183)),0,GETPIVOTDATA("Somma di AVERE EUR",'Pivot RakBank AED'!$A$3,"Mese",1,"Tipologia",$A187,"Viaggio",$A$183))</f>
        <v>0</v>
      </c>
      <c r="D187" s="270">
        <f>IF(ISERROR(GETPIVOTDATA("Somma di DARE",'Pivot Fineco Sa'!$A$3,"Mese",2,"Tipologia",$A187,"Viaggio",$A$183)),0,GETPIVOTDATA("Somma di DARE",'Pivot Fineco Sa'!$A$3,"Mese",2,"Tipologia",$A187,"Viaggio",$A$183))
+IF(ISERROR(GETPIVOTDATA("Somma di DARE",'Pivot Fineco St'!$A$3,"Mese",2,"Tipologia",$A187,"Viaggio",$A$183)),0,GETPIVOTDATA("Somma di DARE",'Pivot Fineco St'!$A$3,"Mese",2,"Tipologia",$A187,"Viaggio",$A$183))
+IF(Contanti!$I42='Conto Economico'!$A$183,Contanti!$F42)
+IF(ISERROR(GETPIVOTDATA("Somma di DARE",'Pivot BBVA'!$A$3,"Mese",2,"Tipologia",$A187,"Viaggio",$A$183)),0,GETPIVOTDATA("Somma di DARE",'Pivot BBVA'!$A$3,"Mese",2,"Tipologia",$A187,"Viaggio",$A$183))
+IF(ISERROR(GETPIVOTDATA("Somma di DARE",'Pivot Amex'!$A$3,"Mese",2,"Tipologia",$A187,"Viaggio",$A$183)),0,GETPIVOTDATA("Somma di DARE",'Pivot Amex'!$A$3,"Mese",2,"Tipologia",$A187,"Viaggio",$A$183))
-IF(ISERROR(GETPIVOTDATA("Somma di AVERE",'Pivot Amex'!$A$3,"Mese",2,"Tipologia",$A187,"Viaggio",$A$183)),0,GETPIVOTDATA("Somma di AVERE",'Pivot Amex'!$A$3,"Mese",2,"Tipologia",$A187,"Viaggio",$A$183))
-IF(ISERROR(GETPIVOTDATA("Somma di AVERE",'Pivot BBVA'!$A$3,"Mese",2,"Tipologia",$A187,"Viaggio",$A$183)),0,GETPIVOTDATA("Somma di AVERE",'Pivot BBVA'!$A$3,"Mese",2,"Tipologia",$A187,"Viaggio",$A$183))
-IF(ISERROR(GETPIVOTDATA("Somma di AVERE",'Pivot Fineco St'!$A$3,"Mese",2,"Tipologia",$A187,"Viaggio",$A$183)),0,GETPIVOTDATA("Somma di AVERE",'Pivot Fineco St'!$A$3,"Mese",2,"Tipologia",$A187,"Viaggio",$A$183))
-IF(ISERROR(GETPIVOTDATA("Somma di AVERE",'Pivot Fineco Sa'!$A$3,"Mese",2,"Tipologia",$A187,"Viaggio",$A$183)),0,GETPIVOTDATA("Somma di AVERE",'Pivot Fineco Sa'!$A$3,"Mese",2,"Tipologia",$A187,"Viaggio",$A$183))
+IF(ISERROR(GETPIVOTDATA("Somma di DARE",'Pivot PP Visa'!$A$3,"Mese",2,"Tipologia",$A187,"Viaggio",$A$183)),0,GETPIVOTDATA("Somma di DARE",'Pivot PP Visa'!$A$3,"Mese",2,"Tipologia",$A187,"Viaggio",$A$183))
-IF(ISERROR(GETPIVOTDATA("Somma di AVERE",'Pivot PP Visa'!$A$3,"Mese",2,"Tipologia",$A187,"Viaggio",$A$183)),0,GETPIVOTDATA("Somma di AVERE",'Pivot PP Visa'!$A$3,"Mese",2,"Tipologia",$A187,"Viaggio",$A$183))
+IF(ISERROR(GETPIVOTDATA("Somma di DARE",'Pivot Revolut'!$A$3,"Mese",2,"Tipologia",$A187,"Viaggio",$A$183)),0,GETPIVOTDATA("Somma di DARE",'Pivot Revolut'!$A$3,"Mese",2,"Tipologia",$A187,"Viaggio",$A$183))
-IF(ISERROR(GETPIVOTDATA("Somma di AVERE",'Pivot Revolut'!$A$3,"Mese",2,"Tipologia",$A187,"Viaggio",$A$183)),0,GETPIVOTDATA("Somma di AVERE",'Pivot Revolut'!$A$3,"Mese",2,"Tipologia",$A187,"Viaggio",$A$183))
+IF(ISERROR(GETPIVOTDATA("Somma di DARE",'Pivot RakBank EUR'!$A$3,"Mese",2,"Tipologia",$A187,"Viaggio",$A$183)),0,GETPIVOTDATA("Somma di DARE",'Pivot RakBank EUR'!$A$3,"Mese",2,"Tipologia",$A187,"Viaggio",$A$183))
-IF(ISERROR(GETPIVOTDATA("Somma di AVERE",'Pivot RakBank EUR'!$A$3,"Mese",2,"Tipologia",$A187,"Viaggio",$A$183)),0,GETPIVOTDATA("Somma di AVERE",'Pivot RakBank EUR'!$A$3,"Mese",2,"Tipologia",$A187,"Viaggio",$A$183))
+IF(ISERROR(GETPIVOTDATA("Somma di DARE EUR",'Pivot RakBank AED'!$A$3,"Mese",2,"Tipologia",$A187,"Viaggio",$A$183)),0,GETPIVOTDATA("Somma di DARE EUR",'Pivot RakBank AED'!$A$3,"Mese",2,"Tipologia",$A187,"Viaggio",$A$183))
-IF(ISERROR(GETPIVOTDATA("Somma di AVERE EUR",'Pivot RakBank AED'!$A$3,"Mese",2,"Tipologia",$A187,"Viaggio",$A$183)),0,GETPIVOTDATA("Somma di AVERE EUR",'Pivot RakBank AED'!$A$3,"Mese",2,"Tipologia",$A187,"Viaggio",$A$183))</f>
        <v>0</v>
      </c>
      <c r="E187" s="270">
        <f>IF(ISERROR(GETPIVOTDATA("Somma di DARE",'Pivot Fineco Sa'!$A$3,"Mese",3,"Tipologia",$A187,"Viaggio",$A$183)),0,GETPIVOTDATA("Somma di DARE",'Pivot Fineco Sa'!$A$3,"Mese",3,"Tipologia",$A187,"Viaggio",$A$183))
+IF(ISERROR(GETPIVOTDATA("Somma di DARE",'Pivot Fineco St'!$A$3,"Mese",3,"Tipologia",$A187,"Viaggio",$A$183)),0,GETPIVOTDATA("Somma di DARE",'Pivot Fineco St'!$A$3,"Mese",3,"Tipologia",$A187,"Viaggio",$A$183))
+IF(Contanti!$M42='Conto Economico'!$A$183,Contanti!$J42)
+IF(ISERROR(GETPIVOTDATA("Somma di DARE",'Pivot BBVA'!$A$3,"Mese",3,"Tipologia",$A187,"Viaggio",$A$183)),0,GETPIVOTDATA("Somma di DARE",'Pivot BBVA'!$A$3,"Mese",3,"Tipologia",$A187,"Viaggio",$A$183))
+IF(ISERROR(GETPIVOTDATA("Somma di DARE",'Pivot Amex'!$A$3,"Mese",3,"Tipologia",$A187,"Viaggio",$A$183)),0,GETPIVOTDATA("Somma di DARE",'Pivot Amex'!$A$3,"Mese",3,"Tipologia",$A187,"Viaggio",$A$183))
-IF(ISERROR(GETPIVOTDATA("Somma di AVERE",'Pivot Amex'!$A$3,"Mese",3,"Tipologia",$A187,"Viaggio",$A$183)),0,GETPIVOTDATA("Somma di AVERE",'Pivot Amex'!$A$3,"Mese",3,"Tipologia",$A187,"Viaggio",$A$183))
-IF(ISERROR(GETPIVOTDATA("Somma di AVERE",'Pivot BBVA'!$A$3,"Mese",3,"Tipologia",$A187,"Viaggio",$A$183)),0,GETPIVOTDATA("Somma di AVERE",'Pivot BBVA'!$A$3,"Mese",3,"Tipologia",$A187,"Viaggio",$A$183))
-IF(ISERROR(GETPIVOTDATA("Somma di AVERE",'Pivot Fineco St'!$A$3,"Mese",3,"Tipologia",$A187,"Viaggio",$A$183)),0,GETPIVOTDATA("Somma di AVERE",'Pivot Fineco St'!$A$3,"Mese",3,"Tipologia",$A187,"Viaggio",$A$183))
-IF(ISERROR(GETPIVOTDATA("Somma di AVERE",'Pivot Fineco Sa'!$A$3,"Mese",3,"Tipologia",$A187,"Viaggio",$A$183)),0,GETPIVOTDATA("Somma di AVERE",'Pivot Fineco Sa'!$A$3,"Mese",3,"Tipologia",$A187,"Viaggio",$A$183))
+IF(ISERROR(GETPIVOTDATA("Somma di DARE",'Pivot PP Visa'!$A$3,"Mese",3,"Tipologia",$A187,"Viaggio",$A$183)),0,GETPIVOTDATA("Somma di DARE",'Pivot PP Visa'!$A$3,"Mese",3,"Tipologia",$A187,"Viaggio",$A$183))
-IF(ISERROR(GETPIVOTDATA("Somma di AVERE",'Pivot PP Visa'!$A$3,"Mese",3,"Tipologia",$A187,"Viaggio",$A$183)),0,GETPIVOTDATA("Somma di AVERE",'Pivot PP Visa'!$A$3,"Mese",3,"Tipologia",$A187,"Viaggio",$A$183))
+IF(ISERROR(GETPIVOTDATA("Somma di DARE",'Pivot Revolut'!$A$3,"Mese",3,"Tipologia",$A187,"Viaggio",$A$183)),0,GETPIVOTDATA("Somma di DARE",'Pivot Revolut'!$A$3,"Mese",3,"Tipologia",$A187,"Viaggio",$A$183))
-IF(ISERROR(GETPIVOTDATA("Somma di AVERE",'Pivot Revolut'!$A$3,"Mese",3,"Tipologia",$A187,"Viaggio",$A$183)),0,GETPIVOTDATA("Somma di AVERE",'Pivot Revolut'!$A$3,"Mese",3,"Tipologia",$A187,"Viaggio",$A$183))
+IF(ISERROR(GETPIVOTDATA("Somma di DARE",'Pivot RakBank EUR'!$A$3,"Mese",3,"Tipologia",$A187,"Viaggio",$A$183)),0,GETPIVOTDATA("Somma di DARE",'Pivot RakBank EUR'!$A$3,"Mese",3,"Tipologia",$A187,"Viaggio",$A$183))
-IF(ISERROR(GETPIVOTDATA("Somma di AVERE",'Pivot RakBank EUR'!$A$3,"Mese",3,"Tipologia",$A187,"Viaggio",$A$183)),0,GETPIVOTDATA("Somma di AVERE",'Pivot RakBank EUR'!$A$3,"Mese",3,"Tipologia",$A187,"Viaggio",$A$183))
+IF(ISERROR(GETPIVOTDATA("Somma di DARE EUR",'Pivot RakBank AED'!$A$3,"Mese",3,"Tipologia",$A187,"Viaggio",$A$183)),0,GETPIVOTDATA("Somma di DARE EUR",'Pivot RakBank AED'!$A$3,"Mese",3,"Tipologia",$A187,"Viaggio",$A$183))
-IF(ISERROR(GETPIVOTDATA("Somma di AVERE EUR",'Pivot RakBank AED'!$A$3,"Mese",3,"Tipologia",$A187,"Viaggio",$A$183)),0,GETPIVOTDATA("Somma di AVERE EUR",'Pivot RakBank AED'!$A$3,"Mese",3,"Tipologia",$A187,"Viaggio",$A$183))</f>
        <v>0</v>
      </c>
      <c r="F187" s="270">
        <f>IF(ISERROR(GETPIVOTDATA("Somma di DARE",'Pivot Fineco Sa'!$A$3,"Mese",4,"Tipologia",$A187,"Viaggio",$A$183)),0,GETPIVOTDATA("Somma di DARE",'Pivot Fineco Sa'!$A$3,"Mese",4,"Tipologia",$A187,"Viaggio",$A$183))
+IF(ISERROR(GETPIVOTDATA("Somma di DARE",'Pivot Fineco St'!$A$3,"Mese",4,"Tipologia",$A187,"Viaggio",$A$183)),0,GETPIVOTDATA("Somma di DARE",'Pivot Fineco St'!$A$3,"Mese",4,"Tipologia",$A187,"Viaggio",$A$183))
+IF(Contanti!$Q42='Conto Economico'!$A$183,Contanti!$N42)
+IF(ISERROR(GETPIVOTDATA("Somma di DARE",'Pivot BBVA'!$A$3,"Mese",4,"Tipologia",$A187,"Viaggio",$A$183)),0,GETPIVOTDATA("Somma di DARE",'Pivot BBVA'!$A$3,"Mese",4,"Tipologia",$A187,"Viaggio",$A$183))
+IF(ISERROR(GETPIVOTDATA("Somma di DARE",'Pivot Amex'!$A$3,"Mese",4,"Tipologia",$A187,"Viaggio",$A$183)),0,GETPIVOTDATA("Somma di DARE",'Pivot Amex'!$A$3,"Mese",4,"Tipologia",$A187,"Viaggio",$A$183))
-IF(ISERROR(GETPIVOTDATA("Somma di AVERE",'Pivot Amex'!$A$3,"Mese",4,"Tipologia",$A187,"Viaggio",$A$183)),0,GETPIVOTDATA("Somma di AVERE",'Pivot Amex'!$A$3,"Mese",4,"Tipologia",$A187,"Viaggio",$A$183))
-IF(ISERROR(GETPIVOTDATA("Somma di AVERE",'Pivot BBVA'!$A$3,"Mese",4,"Tipologia",$A187,"Viaggio",$A$183)),0,GETPIVOTDATA("Somma di AVERE",'Pivot BBVA'!$A$3,"Mese",4,"Tipologia",$A187,"Viaggio",$A$183))
-IF(ISERROR(GETPIVOTDATA("Somma di AVERE",'Pivot Fineco St'!$A$3,"Mese",4,"Tipologia",$A187,"Viaggio",$A$183)),0,GETPIVOTDATA("Somma di AVERE",'Pivot Fineco St'!$A$3,"Mese",4,"Tipologia",$A187,"Viaggio",$A$183))
-IF(ISERROR(GETPIVOTDATA("Somma di AVERE",'Pivot Fineco Sa'!$A$3,"Mese",4,"Tipologia",$A187,"Viaggio",$A$183)),0,GETPIVOTDATA("Somma di AVERE",'Pivot Fineco Sa'!$A$3,"Mese",4,"Tipologia",$A187,"Viaggio",$A$183))
+IF(ISERROR(GETPIVOTDATA("Somma di DARE",'Pivot PP Visa'!$A$3,"Mese",4,"Tipologia",$A187,"Viaggio",$A$183)),0,GETPIVOTDATA("Somma di DARE",'Pivot PP Visa'!$A$3,"Mese",4,"Tipologia",$A187,"Viaggio",$A$183))
-IF(ISERROR(GETPIVOTDATA("Somma di AVERE",'Pivot PP Visa'!$A$3,"Mese",4,"Tipologia",$A187,"Viaggio",$A$183)),0,GETPIVOTDATA("Somma di AVERE",'Pivot PP Visa'!$A$3,"Mese",4,"Tipologia",$A187,"Viaggio",$A$183))
+IF(ISERROR(GETPIVOTDATA("Somma di DARE",'Pivot Revolut'!$A$3,"Mese",4,"Tipologia",$A187,"Viaggio",$A$183)),0,GETPIVOTDATA("Somma di DARE",'Pivot Revolut'!$A$3,"Mese",4,"Tipologia",$A187,"Viaggio",$A$183))
-IF(ISERROR(GETPIVOTDATA("Somma di AVERE",'Pivot Revolut'!$A$3,"Mese",4,"Tipologia",$A187,"Viaggio",$A$183)),0,GETPIVOTDATA("Somma di AVERE",'Pivot Revolut'!$A$3,"Mese",4,"Tipologia",$A187,"Viaggio",$A$183))
+IF(ISERROR(GETPIVOTDATA("Somma di DARE",'Pivot RakBank EUR'!$A$3,"Mese",4,"Tipologia",$A187,"Viaggio",$A$183)),0,GETPIVOTDATA("Somma di DARE",'Pivot RakBank EUR'!$A$3,"Mese",4,"Tipologia",$A187,"Viaggio",$A$183))
-IF(ISERROR(GETPIVOTDATA("Somma di AVERE",'Pivot RakBank EUR'!$A$3,"Mese",4,"Tipologia",$A187,"Viaggio",$A$183)),0,GETPIVOTDATA("Somma di AVERE",'Pivot RakBank EUR'!$A$3,"Mese",4,"Tipologia",$A187,"Viaggio",$A$183))
+IF(ISERROR(GETPIVOTDATA("Somma di DARE EUR",'Pivot RakBank AED'!$A$3,"Mese",4,"Tipologia",$A187,"Viaggio",$A$183)),0,GETPIVOTDATA("Somma di DARE EUR",'Pivot RakBank AED'!$A$3,"Mese",4,"Tipologia",$A187,"Viaggio",$A$183))
-IF(ISERROR(GETPIVOTDATA("Somma di AVERE EUR",'Pivot RakBank AED'!$A$3,"Mese",4,"Tipologia",$A187,"Viaggio",$A$183)),0,GETPIVOTDATA("Somma di AVERE EUR",'Pivot RakBank AED'!$A$3,"Mese",4,"Tipologia",$A187,"Viaggio",$A$183))</f>
        <v>0</v>
      </c>
      <c r="G187" s="270">
        <f>IF(ISERROR(GETPIVOTDATA("Somma di DARE",'Pivot Fineco Sa'!$A$3,"Mese",5,"Tipologia",$A187,"Viaggio",$A$183)),0,GETPIVOTDATA("Somma di DARE",'Pivot Fineco Sa'!$A$3,"Mese",5,"Tipologia",$A187,"Viaggio",$A$183))
+IF(ISERROR(GETPIVOTDATA("Somma di DARE",'Pivot Fineco St'!$A$3,"Mese",5,"Tipologia",$A187,"Viaggio",$A$183)),0,GETPIVOTDATA("Somma di DARE",'Pivot Fineco St'!$A$3,"Mese",5,"Tipologia",$A187,"Viaggio",$A$183))
+IF(Contanti!$U42='Conto Economico'!$A$183,Contanti!$R42)
+IF(ISERROR(GETPIVOTDATA("Somma di DARE",'Pivot BBVA'!$A$3,"Mese",5,"Tipologia",$A187,"Viaggio",$A$183)),0,GETPIVOTDATA("Somma di DARE",'Pivot BBVA'!$A$3,"Mese",5,"Tipologia",$A187,"Viaggio",$A$183))
+IF(ISERROR(GETPIVOTDATA("Somma di DARE",'Pivot Amex'!$A$3,"Mese",5,"Tipologia",$A187,"Viaggio",$A$183)),0,GETPIVOTDATA("Somma di DARE",'Pivot Amex'!$A$3,"Mese",5,"Tipologia",$A187,"Viaggio",$A$183))
-IF(ISERROR(GETPIVOTDATA("Somma di AVERE",'Pivot Amex'!$A$3,"Mese",5,"Tipologia",$A187,"Viaggio",$A$183)),0,GETPIVOTDATA("Somma di AVERE",'Pivot Amex'!$A$3,"Mese",5,"Tipologia",$A187,"Viaggio",$A$183))
-IF(ISERROR(GETPIVOTDATA("Somma di AVERE",'Pivot BBVA'!$A$3,"Mese",5,"Tipologia",$A187,"Viaggio",$A$183)),0,GETPIVOTDATA("Somma di AVERE",'Pivot BBVA'!$A$3,"Mese",5,"Tipologia",$A187,"Viaggio",$A$183))
-IF(ISERROR(GETPIVOTDATA("Somma di AVERE",'Pivot Fineco St'!$A$3,"Mese",5,"Tipologia",$A187,"Viaggio",$A$183)),0,GETPIVOTDATA("Somma di AVERE",'Pivot Fineco St'!$A$3,"Mese",5,"Tipologia",$A187,"Viaggio",$A$183))
-IF(ISERROR(GETPIVOTDATA("Somma di AVERE",'Pivot Fineco Sa'!$A$3,"Mese",5,"Tipologia",$A187,"Viaggio",$A$183)),0,GETPIVOTDATA("Somma di AVERE",'Pivot Fineco Sa'!$A$3,"Mese",5,"Tipologia",$A187,"Viaggio",$A$183))
+IF(ISERROR(GETPIVOTDATA("Somma di DARE",'Pivot PP Visa'!$A$3,"Mese",5,"Tipologia",$A187,"Viaggio",$A$183)),0,GETPIVOTDATA("Somma di DARE",'Pivot PP Visa'!$A$3,"Mese",5,"Tipologia",$A187,"Viaggio",$A$183))
-IF(ISERROR(GETPIVOTDATA("Somma di AVERE",'Pivot PP Visa'!$A$3,"Mese",5,"Tipologia",$A187,"Viaggio",$A$183)),0,GETPIVOTDATA("Somma di AVERE",'Pivot PP Visa'!$A$3,"Mese",5,"Tipologia",$A187,"Viaggio",$A$183))
+IF(ISERROR(GETPIVOTDATA("Somma di DARE",'Pivot Revolut'!$A$3,"Mese",5,"Tipologia",$A187,"Viaggio",$A$183)),0,GETPIVOTDATA("Somma di DARE",'Pivot Revolut'!$A$3,"Mese",5,"Tipologia",$A187,"Viaggio",$A$183))
-IF(ISERROR(GETPIVOTDATA("Somma di AVERE",'Pivot Revolut'!$A$3,"Mese",5,"Tipologia",$A187,"Viaggio",$A$183)),0,GETPIVOTDATA("Somma di AVERE",'Pivot Revolut'!$A$3,"Mese",5,"Tipologia",$A187,"Viaggio",$A$183))
+IF(ISERROR(GETPIVOTDATA("Somma di DARE",'Pivot RakBank EUR'!$A$3,"Mese",5,"Tipologia",$A187,"Viaggio",$A$183)),0,GETPIVOTDATA("Somma di DARE",'Pivot RakBank EUR'!$A$3,"Mese",5,"Tipologia",$A187,"Viaggio",$A$183))
-IF(ISERROR(GETPIVOTDATA("Somma di AVERE",'Pivot RakBank EUR'!$A$3,"Mese",5,"Tipologia",$A187,"Viaggio",$A$183)),0,GETPIVOTDATA("Somma di AVERE",'Pivot RakBank EUR'!$A$3,"Mese",5,"Tipologia",$A187,"Viaggio",$A$183))
+IF(ISERROR(GETPIVOTDATA("Somma di DARE EUR",'Pivot RakBank AED'!$A$3,"Mese",5,"Tipologia",$A187,"Viaggio",$A$183)),0,GETPIVOTDATA("Somma di DARE EUR",'Pivot RakBank AED'!$A$3,"Mese",5,"Tipologia",$A187,"Viaggio",$A$183))
-IF(ISERROR(GETPIVOTDATA("Somma di AVERE EUR",'Pivot RakBank AED'!$A$3,"Mese",5,"Tipologia",$A187,"Viaggio",$A$183)),0,GETPIVOTDATA("Somma di AVERE EUR",'Pivot RakBank AED'!$A$3,"Mese",5,"Tipologia",$A187,"Viaggio",$A$183))</f>
        <v>0</v>
      </c>
      <c r="H187" s="270">
        <f>IF(ISERROR(GETPIVOTDATA("Somma di DARE",'Pivot Fineco Sa'!$A$3,"Mese",6,"Tipologia",$A187,"Viaggio",$A$183)),0,GETPIVOTDATA("Somma di DARE",'Pivot Fineco Sa'!$A$3,"Mese",6,"Tipologia",$A187,"Viaggio",$A$183))
+IF(ISERROR(GETPIVOTDATA("Somma di DARE",'Pivot Fineco St'!$A$3,"Mese",6,"Tipologia",$A187,"Viaggio",$A$183)),0,GETPIVOTDATA("Somma di DARE",'Pivot Fineco St'!$A$3,"Mese",6,"Tipologia",$A187,"Viaggio",$A$183))
+IF(Contanti!$Y42='Conto Economico'!$A$183,Contanti!$V42)
+IF(ISERROR(GETPIVOTDATA("Somma di DARE",'Pivot BBVA'!$A$3,"Mese",6,"Tipologia",$A187,"Viaggio",$A$183)),0,GETPIVOTDATA("Somma di DARE",'Pivot BBVA'!$A$3,"Mese",6,"Tipologia",$A187,"Viaggio",$A$183))
+IF(ISERROR(GETPIVOTDATA("Somma di DARE",'Pivot Amex'!$A$3,"Mese",6,"Tipologia",$A187,"Viaggio",$A$183)),0,GETPIVOTDATA("Somma di DARE",'Pivot Amex'!$A$3,"Mese",6,"Tipologia",$A187,"Viaggio",$A$183))
-IF(ISERROR(GETPIVOTDATA("Somma di AVERE",'Pivot Amex'!$A$3,"Mese",6,"Tipologia",$A187,"Viaggio",$A$183)),0,GETPIVOTDATA("Somma di AVERE",'Pivot Amex'!$A$3,"Mese",6,"Tipologia",$A187,"Viaggio",$A$183))
-IF(ISERROR(GETPIVOTDATA("Somma di AVERE",'Pivot BBVA'!$A$3,"Mese",6,"Tipologia",$A187,"Viaggio",$A$183)),0,GETPIVOTDATA("Somma di AVERE",'Pivot BBVA'!$A$3,"Mese",6,"Tipologia",$A187,"Viaggio",$A$183))
-IF(ISERROR(GETPIVOTDATA("Somma di AVERE",'Pivot Fineco St'!$A$3,"Mese",6,"Tipologia",$A187,"Viaggio",$A$183)),0,GETPIVOTDATA("Somma di AVERE",'Pivot Fineco St'!$A$3,"Mese",6,"Tipologia",$A187,"Viaggio",$A$183))
-IF(ISERROR(GETPIVOTDATA("Somma di AVERE",'Pivot Fineco Sa'!$A$3,"Mese",6,"Tipologia",$A187,"Viaggio",$A$183)),0,GETPIVOTDATA("Somma di AVERE",'Pivot Fineco Sa'!$A$3,"Mese",6,"Tipologia",$A187,"Viaggio",$A$183))
+IF(ISERROR(GETPIVOTDATA("Somma di DARE",'Pivot PP Visa'!$A$3,"Mese",6,"Tipologia",$A187,"Viaggio",$A$183)),0,GETPIVOTDATA("Somma di DARE",'Pivot PP Visa'!$A$3,"Mese",6,"Tipologia",$A187,"Viaggio",$A$183))
-IF(ISERROR(GETPIVOTDATA("Somma di AVERE",'Pivot PP Visa'!$A$3,"Mese",6,"Tipologia",$A187,"Viaggio",$A$183)),0,GETPIVOTDATA("Somma di AVERE",'Pivot PP Visa'!$A$3,"Mese",6,"Tipologia",$A187,"Viaggio",$A$183))
+IF(ISERROR(GETPIVOTDATA("Somma di DARE",'Pivot Revolut'!$A$3,"Mese",6,"Tipologia",$A187,"Viaggio",$A$183)),0,GETPIVOTDATA("Somma di DARE",'Pivot Revolut'!$A$3,"Mese",6,"Tipologia",$A187,"Viaggio",$A$183))
-IF(ISERROR(GETPIVOTDATA("Somma di AVERE",'Pivot Revolut'!$A$3,"Mese",6,"Tipologia",$A187,"Viaggio",$A$183)),0,GETPIVOTDATA("Somma di AVERE",'Pivot Revolut'!$A$3,"Mese",6,"Tipologia",$A187,"Viaggio",$A$183))
+IF(ISERROR(GETPIVOTDATA("Somma di DARE",'Pivot RakBank EUR'!$A$3,"Mese",6,"Tipologia",$A187,"Viaggio",$A$183)),0,GETPIVOTDATA("Somma di DARE",'Pivot RakBank EUR'!$A$3,"Mese",6,"Tipologia",$A187,"Viaggio",$A$183))
-IF(ISERROR(GETPIVOTDATA("Somma di AVERE",'Pivot RakBank EUR'!$A$3,"Mese",6,"Tipologia",$A187,"Viaggio",$A$183)),0,GETPIVOTDATA("Somma di AVERE",'Pivot RakBank EUR'!$A$3,"Mese",6,"Tipologia",$A187,"Viaggio",$A$183))
+IF(ISERROR(GETPIVOTDATA("Somma di DARE EUR",'Pivot RakBank AED'!$A$3,"Mese",6,"Tipologia",$A187,"Viaggio",$A$183)),0,GETPIVOTDATA("Somma di DARE EUR",'Pivot RakBank AED'!$A$3,"Mese",6,"Tipologia",$A187,"Viaggio",$A$183))
-IF(ISERROR(GETPIVOTDATA("Somma di AVERE EUR",'Pivot RakBank AED'!$A$3,"Mese",6,"Tipologia",$A187,"Viaggio",$A$183)),0,GETPIVOTDATA("Somma di AVERE EUR",'Pivot RakBank AED'!$A$3,"Mese",6,"Tipologia",$A187,"Viaggio",$A$183))</f>
        <v>0</v>
      </c>
      <c r="I187" s="270">
        <f>IF(ISERROR(GETPIVOTDATA("Somma di DARE",'Pivot Fineco Sa'!$A$3,"Mese",7,"Tipologia",$A187,"Viaggio",$A$183)),0,GETPIVOTDATA("Somma di DARE",'Pivot Fineco Sa'!$A$3,"Mese",7,"Tipologia",$A187,"Viaggio",$A$183))
+IF(ISERROR(GETPIVOTDATA("Somma di DARE",'Pivot Fineco St'!$A$3,"Mese",7,"Tipologia",$A187,"Viaggio",$A$183)),0,GETPIVOTDATA("Somma di DARE",'Pivot Fineco St'!$A$3,"Mese",7,"Tipologia",$A187,"Viaggio",$A$183))
+IF(Contanti!$AC42='Conto Economico'!$A$183,Contanti!$Z42)
+IF(ISERROR(GETPIVOTDATA("Somma di DARE",'Pivot BBVA'!$A$3,"Mese",7,"Tipologia",$A187,"Viaggio",$A$183)),0,GETPIVOTDATA("Somma di DARE",'Pivot BBVA'!$A$3,"Mese",7,"Tipologia",$A187,"Viaggio",$A$183))
+IF(ISERROR(GETPIVOTDATA("Somma di DARE",'Pivot Amex'!$A$3,"Mese",7,"Tipologia",$A187,"Viaggio",$A$183)),0,GETPIVOTDATA("Somma di DARE",'Pivot Amex'!$A$3,"Mese",7,"Tipologia",$A187,"Viaggio",$A$183))
-IF(ISERROR(GETPIVOTDATA("Somma di AVERE",'Pivot Amex'!$A$3,"Mese",7,"Tipologia",$A187,"Viaggio",$A$183)),0,GETPIVOTDATA("Somma di AVERE",'Pivot Amex'!$A$3,"Mese",7,"Tipologia",$A187,"Viaggio",$A$183))
-IF(ISERROR(GETPIVOTDATA("Somma di AVERE",'Pivot BBVA'!$A$3,"Mese",7,"Tipologia",$A187,"Viaggio",$A$183)),0,GETPIVOTDATA("Somma di AVERE",'Pivot BBVA'!$A$3,"Mese",7,"Tipologia",$A187,"Viaggio",$A$183))
-IF(ISERROR(GETPIVOTDATA("Somma di AVERE",'Pivot Fineco St'!$A$3,"Mese",7,"Tipologia",$A187,"Viaggio",$A$183)),0,GETPIVOTDATA("Somma di AVERE",'Pivot Fineco St'!$A$3,"Mese",7,"Tipologia",$A187,"Viaggio",$A$183))
-IF(ISERROR(GETPIVOTDATA("Somma di AVERE",'Pivot Fineco Sa'!$A$3,"Mese",7,"Tipologia",$A187,"Viaggio",$A$183)),0,GETPIVOTDATA("Somma di AVERE",'Pivot Fineco Sa'!$A$3,"Mese",7,"Tipologia",$A187,"Viaggio",$A$183))
+IF(ISERROR(GETPIVOTDATA("Somma di DARE",'Pivot PP Visa'!$A$3,"Mese",7,"Tipologia",$A187,"Viaggio",$A$183)),0,GETPIVOTDATA("Somma di DARE",'Pivot PP Visa'!$A$3,"Mese",7,"Tipologia",$A187,"Viaggio",$A$183))
-IF(ISERROR(GETPIVOTDATA("Somma di AVERE",'Pivot PP Visa'!$A$3,"Mese",7,"Tipologia",$A187,"Viaggio",$A$183)),0,GETPIVOTDATA("Somma di AVERE",'Pivot PP Visa'!$A$3,"Mese",7,"Tipologia",$A187,"Viaggio",$A$183))
+IF(ISERROR(GETPIVOTDATA("Somma di DARE",'Pivot Revolut'!$A$3,"Mese",7,"Tipologia",$A187,"Viaggio",$A$183)),0,GETPIVOTDATA("Somma di DARE",'Pivot Revolut'!$A$3,"Mese",7,"Tipologia",$A187,"Viaggio",$A$183))
-IF(ISERROR(GETPIVOTDATA("Somma di AVERE",'Pivot Revolut'!$A$3,"Mese",7,"Tipologia",$A187,"Viaggio",$A$183)),0,GETPIVOTDATA("Somma di AVERE",'Pivot Revolut'!$A$3,"Mese",7,"Tipologia",$A187,"Viaggio",$A$183))
+IF(ISERROR(GETPIVOTDATA("Somma di DARE",'Pivot RakBank EUR'!$A$3,"Mese",7,"Tipologia",$A187,"Viaggio",$A$183)),0,GETPIVOTDATA("Somma di DARE",'Pivot RakBank EUR'!$A$3,"Mese",7,"Tipologia",$A187,"Viaggio",$A$183))
-IF(ISERROR(GETPIVOTDATA("Somma di AVERE",'Pivot RakBank EUR'!$A$3,"Mese",7,"Tipologia",$A187,"Viaggio",$A$183)),0,GETPIVOTDATA("Somma di AVERE",'Pivot RakBank EUR'!$A$3,"Mese",7,"Tipologia",$A187,"Viaggio",$A$183))
+IF(ISERROR(GETPIVOTDATA("Somma di DARE EUR",'Pivot RakBank AED'!$A$3,"Mese",7,"Tipologia",$A187,"Viaggio",$A$183)),0,GETPIVOTDATA("Somma di DARE EUR",'Pivot RakBank AED'!$A$3,"Mese",7,"Tipologia",$A187,"Viaggio",$A$183))
-IF(ISERROR(GETPIVOTDATA("Somma di AVERE EUR",'Pivot RakBank AED'!$A$3,"Mese",7,"Tipologia",$A187,"Viaggio",$A$183)),0,GETPIVOTDATA("Somma di AVERE EUR",'Pivot RakBank AED'!$A$3,"Mese",7,"Tipologia",$A187,"Viaggio",$A$183))</f>
        <v>0</v>
      </c>
      <c r="J187" s="270">
        <f>IF(ISERROR(GETPIVOTDATA("Somma di DARE",'Pivot Fineco Sa'!$A$3,"Mese",8,"Tipologia",$A187,"Viaggio",$A$183)),0,GETPIVOTDATA("Somma di DARE",'Pivot Fineco Sa'!$A$3,"Mese",8,"Tipologia",$A187,"Viaggio",$A$183))
+IF(ISERROR(GETPIVOTDATA("Somma di DARE",'Pivot Fineco St'!$A$3,"Mese",8,"Tipologia",$A187,"Viaggio",$A$183)),0,GETPIVOTDATA("Somma di DARE",'Pivot Fineco St'!$A$3,"Mese",8,"Tipologia",$A187,"Viaggio",$A$183))
+IF(Contanti!$AG42='Conto Economico'!$A$183,Contanti!$AD42)
+IF(ISERROR(GETPIVOTDATA("Somma di DARE",'Pivot BBVA'!$A$3,"Mese",8,"Tipologia",$A187,"Viaggio",$A$183)),0,GETPIVOTDATA("Somma di DARE",'Pivot BBVA'!$A$3,"Mese",8,"Tipologia",$A187,"Viaggio",$A$183))
+IF(ISERROR(GETPIVOTDATA("Somma di DARE",'Pivot Amex'!$A$3,"Mese",8,"Tipologia",$A187,"Viaggio",$A$183)),0,GETPIVOTDATA("Somma di DARE",'Pivot Amex'!$A$3,"Mese",8,"Tipologia",$A187,"Viaggio",$A$183))
-IF(ISERROR(GETPIVOTDATA("Somma di AVERE",'Pivot Amex'!$A$3,"Mese",8,"Tipologia",$A187,"Viaggio",$A$183)),0,GETPIVOTDATA("Somma di AVERE",'Pivot Amex'!$A$3,"Mese",8,"Tipologia",$A187,"Viaggio",$A$183))
-IF(ISERROR(GETPIVOTDATA("Somma di AVERE",'Pivot BBVA'!$A$3,"Mese",8,"Tipologia",$A187,"Viaggio",$A$183)),0,GETPIVOTDATA("Somma di AVERE",'Pivot BBVA'!$A$3,"Mese",8,"Tipologia",$A187,"Viaggio",$A$183))
-IF(ISERROR(GETPIVOTDATA("Somma di AVERE",'Pivot Fineco St'!$A$3,"Mese",8,"Tipologia",$A187,"Viaggio",$A$183)),0,GETPIVOTDATA("Somma di AVERE",'Pivot Fineco St'!$A$3,"Mese",8,"Tipologia",$A187,"Viaggio",$A$183))
-IF(ISERROR(GETPIVOTDATA("Somma di AVERE",'Pivot Fineco Sa'!$A$3,"Mese",8,"Tipologia",$A187,"Viaggio",$A$183)),0,GETPIVOTDATA("Somma di AVERE",'Pivot Fineco Sa'!$A$3,"Mese",8,"Tipologia",$A187,"Viaggio",$A$183))
+IF(ISERROR(GETPIVOTDATA("Somma di DARE",'Pivot PP Visa'!$A$3,"Mese",8,"Tipologia",$A187,"Viaggio",$A$183)),0,GETPIVOTDATA("Somma di DARE",'Pivot PP Visa'!$A$3,"Mese",8,"Tipologia",$A187,"Viaggio",$A$183))
-IF(ISERROR(GETPIVOTDATA("Somma di AVERE",'Pivot PP Visa'!$A$3,"Mese",8,"Tipologia",$A187,"Viaggio",$A$183)),0,GETPIVOTDATA("Somma di AVERE",'Pivot PP Visa'!$A$3,"Mese",8,"Tipologia",$A187,"Viaggio",$A$183))
+IF(ISERROR(GETPIVOTDATA("Somma di DARE",'Pivot Revolut'!$A$3,"Mese",8,"Tipologia",$A187,"Viaggio",$A$183)),0,GETPIVOTDATA("Somma di DARE",'Pivot Revolut'!$A$3,"Mese",8,"Tipologia",$A187,"Viaggio",$A$183))
-IF(ISERROR(GETPIVOTDATA("Somma di AVERE",'Pivot Revolut'!$A$3,"Mese",8,"Tipologia",$A187,"Viaggio",$A$183)),0,GETPIVOTDATA("Somma di AVERE",'Pivot Revolut'!$A$3,"Mese",8,"Tipologia",$A187,"Viaggio",$A$183))
+IF(ISERROR(GETPIVOTDATA("Somma di DARE",'Pivot RakBank EUR'!$A$3,"Mese",8,"Tipologia",$A187,"Viaggio",$A$183)),0,GETPIVOTDATA("Somma di DARE",'Pivot RakBank EUR'!$A$3,"Mese",8,"Tipologia",$A187,"Viaggio",$A$183))
-IF(ISERROR(GETPIVOTDATA("Somma di AVERE",'Pivot RakBank EUR'!$A$3,"Mese",8,"Tipologia",$A187,"Viaggio",$A$183)),0,GETPIVOTDATA("Somma di AVERE",'Pivot RakBank EUR'!$A$3,"Mese",8,"Tipologia",$A187,"Viaggio",$A$183))
+IF(ISERROR(GETPIVOTDATA("Somma di DARE EUR",'Pivot RakBank AED'!$A$3,"Mese",8,"Tipologia",$A187,"Viaggio",$A$183)),0,GETPIVOTDATA("Somma di DARE EUR",'Pivot RakBank AED'!$A$3,"Mese",8,"Tipologia",$A187,"Viaggio",$A$183))
-IF(ISERROR(GETPIVOTDATA("Somma di AVERE EUR",'Pivot RakBank AED'!$A$3,"Mese",8,"Tipologia",$A187,"Viaggio",$A$183)),0,GETPIVOTDATA("Somma di AVERE EUR",'Pivot RakBank AED'!$A$3,"Mese",8,"Tipologia",$A187,"Viaggio",$A$183))</f>
        <v>0</v>
      </c>
      <c r="K187" s="270">
        <f>IF(ISERROR(GETPIVOTDATA("Somma di DARE",'Pivot Fineco Sa'!$A$3,"Mese",9,"Tipologia",$A187,"Viaggio",$A$183)),0,GETPIVOTDATA("Somma di DARE",'Pivot Fineco Sa'!$A$3,"Mese",9,"Tipologia",$A187,"Viaggio",$A$183))
+IF(ISERROR(GETPIVOTDATA("Somma di DARE",'Pivot Fineco St'!$A$3,"Mese",9,"Tipologia",$A187,"Viaggio",$A$183)),0,GETPIVOTDATA("Somma di DARE",'Pivot Fineco St'!$A$3,"Mese",9,"Tipologia",$A187,"Viaggio",$A$183))
+IF(Contanti!$AK42='Conto Economico'!$A$183,Contanti!$AH42)
+IF(ISERROR(GETPIVOTDATA("Somma di DARE",'Pivot BBVA'!$A$3,"Mese",9,"Tipologia",$A187,"Viaggio",$A$183)),0,GETPIVOTDATA("Somma di DARE",'Pivot BBVA'!$A$3,"Mese",9,"Tipologia",$A187,"Viaggio",$A$183))
+IF(ISERROR(GETPIVOTDATA("Somma di DARE",'Pivot Amex'!$A$3,"Mese",9,"Tipologia",$A187,"Viaggio",$A$183)),0,GETPIVOTDATA("Somma di DARE",'Pivot Amex'!$A$3,"Mese",9,"Tipologia",$A187,"Viaggio",$A$183))
-IF(ISERROR(GETPIVOTDATA("Somma di AVERE",'Pivot Amex'!$A$3,"Mese",9,"Tipologia",$A187,"Viaggio",$A$183)),0,GETPIVOTDATA("Somma di AVERE",'Pivot Amex'!$A$3,"Mese",9,"Tipologia",$A187,"Viaggio",$A$183))
-IF(ISERROR(GETPIVOTDATA("Somma di AVERE",'Pivot BBVA'!$A$3,"Mese",9,"Tipologia",$A187,"Viaggio",$A$183)),0,GETPIVOTDATA("Somma di AVERE",'Pivot BBVA'!$A$3,"Mese",9,"Tipologia",$A187,"Viaggio",$A$183))
-IF(ISERROR(GETPIVOTDATA("Somma di AVERE",'Pivot Fineco St'!$A$3,"Mese",9,"Tipologia",$A187,"Viaggio",$A$183)),0,GETPIVOTDATA("Somma di AVERE",'Pivot Fineco St'!$A$3,"Mese",9,"Tipologia",$A187,"Viaggio",$A$183))
-IF(ISERROR(GETPIVOTDATA("Somma di AVERE",'Pivot Fineco Sa'!$A$3,"Mese",9,"Tipologia",$A187,"Viaggio",$A$183)),0,GETPIVOTDATA("Somma di AVERE",'Pivot Fineco Sa'!$A$3,"Mese",9,"Tipologia",$A187,"Viaggio",$A$183))
+IF(ISERROR(GETPIVOTDATA("Somma di DARE",'Pivot PP Visa'!$A$3,"Mese",9,"Tipologia",$A187,"Viaggio",$A$183)),0,GETPIVOTDATA("Somma di DARE",'Pivot PP Visa'!$A$3,"Mese",9,"Tipologia",$A187,"Viaggio",$A$183))
-IF(ISERROR(GETPIVOTDATA("Somma di AVERE",'Pivot PP Visa'!$A$3,"Mese",9,"Tipologia",$A187,"Viaggio",$A$183)),0,GETPIVOTDATA("Somma di AVERE",'Pivot PP Visa'!$A$3,"Mese",9,"Tipologia",$A187,"Viaggio",$A$183))
+IF(ISERROR(GETPIVOTDATA("Somma di DARE",'Pivot Revolut'!$A$3,"Mese",9,"Tipologia",$A187,"Viaggio",$A$183)),0,GETPIVOTDATA("Somma di DARE",'Pivot Revolut'!$A$3,"Mese",9,"Tipologia",$A187,"Viaggio",$A$183))
-IF(ISERROR(GETPIVOTDATA("Somma di AVERE",'Pivot Revolut'!$A$3,"Mese",9,"Tipologia",$A187,"Viaggio",$A$183)),0,GETPIVOTDATA("Somma di AVERE",'Pivot Revolut'!$A$3,"Mese",9,"Tipologia",$A187,"Viaggio",$A$183))
+IF(ISERROR(GETPIVOTDATA("Somma di DARE",'Pivot RakBank EUR'!$A$3,"Mese",9,"Tipologia",$A187,"Viaggio",$A$183)),0,GETPIVOTDATA("Somma di DARE",'Pivot RakBank EUR'!$A$3,"Mese",9,"Tipologia",$A187,"Viaggio",$A$183))
-IF(ISERROR(GETPIVOTDATA("Somma di AVERE",'Pivot RakBank EUR'!$A$3,"Mese",9,"Tipologia",$A187,"Viaggio",$A$183)),0,GETPIVOTDATA("Somma di AVERE",'Pivot RakBank EUR'!$A$3,"Mese",9,"Tipologia",$A187,"Viaggio",$A$183))
+IF(ISERROR(GETPIVOTDATA("Somma di DARE EUR",'Pivot RakBank AED'!$A$3,"Mese",9,"Tipologia",$A187,"Viaggio",$A$183)),0,GETPIVOTDATA("Somma di DARE EUR",'Pivot RakBank AED'!$A$3,"Mese",9,"Tipologia",$A187,"Viaggio",$A$183))
-IF(ISERROR(GETPIVOTDATA("Somma di AVERE EUR",'Pivot RakBank AED'!$A$3,"Mese",9,"Tipologia",$A187,"Viaggio",$A$183)),0,GETPIVOTDATA("Somma di AVERE EUR",'Pivot RakBank AED'!$A$3,"Mese",9,"Tipologia",$A187,"Viaggio",$A$183))</f>
        <v>0</v>
      </c>
      <c r="L187" s="270">
        <f>IF(ISERROR(GETPIVOTDATA("Somma di DARE",'Pivot Fineco Sa'!$A$3,"Mese",10,"Tipologia",$A187,"Viaggio",$A$183)),0,GETPIVOTDATA("Somma di DARE",'Pivot Fineco Sa'!$A$3,"Mese",10,"Tipologia",$A187,"Viaggio",$A$183))
+IF(ISERROR(GETPIVOTDATA("Somma di DARE",'Pivot Fineco St'!$A$3,"Mese",10,"Tipologia",$A187,"Viaggio",$A$183)),0,GETPIVOTDATA("Somma di DARE",'Pivot Fineco St'!$A$3,"Mese",10,"Tipologia",$A187,"Viaggio",$A$183))
+IF(Contanti!$AO42='Conto Economico'!$A$183,Contanti!$AL42)
+IF(ISERROR(GETPIVOTDATA("Somma di DARE",'Pivot BBVA'!$A$3,"Mese",10,"Tipologia",$A187,"Viaggio",$A$183)),0,GETPIVOTDATA("Somma di DARE",'Pivot BBVA'!$A$3,"Mese",10,"Tipologia",$A187,"Viaggio",$A$183))
+IF(ISERROR(GETPIVOTDATA("Somma di DARE",'Pivot Amex'!$A$3,"Mese",10,"Tipologia",$A187,"Viaggio",$A$183)),0,GETPIVOTDATA("Somma di DARE",'Pivot Amex'!$A$3,"Mese",10,"Tipologia",$A187,"Viaggio",$A$183))
-IF(ISERROR(GETPIVOTDATA("Somma di AVERE",'Pivot Amex'!$A$3,"Mese",10,"Tipologia",$A187,"Viaggio",$A$183)),0,GETPIVOTDATA("Somma di AVERE",'Pivot Amex'!$A$3,"Mese",10,"Tipologia",$A187,"Viaggio",$A$183))
-IF(ISERROR(GETPIVOTDATA("Somma di AVERE",'Pivot BBVA'!$A$3,"Mese",10,"Tipologia",$A187,"Viaggio",$A$183)),0,GETPIVOTDATA("Somma di AVERE",'Pivot BBVA'!$A$3,"Mese",10,"Tipologia",$A187,"Viaggio",$A$183))
-IF(ISERROR(GETPIVOTDATA("Somma di AVERE",'Pivot Fineco St'!$A$3,"Mese",10,"Tipologia",$A187,"Viaggio",$A$183)),0,GETPIVOTDATA("Somma di AVERE",'Pivot Fineco St'!$A$3,"Mese",10,"Tipologia",$A187,"Viaggio",$A$183))
-IF(ISERROR(GETPIVOTDATA("Somma di AVERE",'Pivot Fineco Sa'!$A$3,"Mese",10,"Tipologia",$A187,"Viaggio",$A$183)),0,GETPIVOTDATA("Somma di AVERE",'Pivot Fineco Sa'!$A$3,"Mese",10,"Tipologia",$A187,"Viaggio",$A$183))
+IF(ISERROR(GETPIVOTDATA("Somma di DARE",'Pivot PP Visa'!$A$3,"Mese",10,"Tipologia",$A187,"Viaggio",$A$183)),0,GETPIVOTDATA("Somma di DARE",'Pivot PP Visa'!$A$3,"Mese",10,"Tipologia",$A187,"Viaggio",$A$183))
-IF(ISERROR(GETPIVOTDATA("Somma di AVERE",'Pivot PP Visa'!$A$3,"Mese",10,"Tipologia",$A187,"Viaggio",$A$183)),0,GETPIVOTDATA("Somma di AVERE",'Pivot PP Visa'!$A$3,"Mese",10,"Tipologia",$A187,"Viaggio",$A$183))
+IF(ISERROR(GETPIVOTDATA("Somma di DARE",'Pivot Revolut'!$A$3,"Mese",10,"Tipologia",$A187,"Viaggio",$A$183)),0,GETPIVOTDATA("Somma di DARE",'Pivot Revolut'!$A$3,"Mese",10,"Tipologia",$A187,"Viaggio",$A$183))
-IF(ISERROR(GETPIVOTDATA("Somma di AVERE",'Pivot Revolut'!$A$3,"Mese",10,"Tipologia",$A187,"Viaggio",$A$183)),0,GETPIVOTDATA("Somma di AVERE",'Pivot Revolut'!$A$3,"Mese",10,"Tipologia",$A187,"Viaggio",$A$183))
+IF(ISERROR(GETPIVOTDATA("Somma di DARE",'Pivot RakBank EUR'!$A$3,"Mese",10,"Tipologia",$A187,"Viaggio",$A$183)),0,GETPIVOTDATA("Somma di DARE",'Pivot RakBank EUR'!$A$3,"Mese",10,"Tipologia",$A187,"Viaggio",$A$183))
-IF(ISERROR(GETPIVOTDATA("Somma di AVERE",'Pivot RakBank EUR'!$A$3,"Mese",10,"Tipologia",$A187,"Viaggio",$A$183)),0,GETPIVOTDATA("Somma di AVERE",'Pivot RakBank EUR'!$A$3,"Mese",10,"Tipologia",$A187,"Viaggio",$A$183))
+IF(ISERROR(GETPIVOTDATA("Somma di DARE EUR",'Pivot RakBank AED'!$A$3,"Mese",10,"Tipologia",$A187,"Viaggio",$A$183)),0,GETPIVOTDATA("Somma di DARE EUR",'Pivot RakBank AED'!$A$3,"Mese",10,"Tipologia",$A187,"Viaggio",$A$183))
-IF(ISERROR(GETPIVOTDATA("Somma di AVERE EUR",'Pivot RakBank AED'!$A$3,"Mese",10,"Tipologia",$A187,"Viaggio",$A$183)),0,GETPIVOTDATA("Somma di AVERE EUR",'Pivot RakBank AED'!$A$3,"Mese",10,"Tipologia",$A187,"Viaggio",$A$183))</f>
        <v>0</v>
      </c>
      <c r="M187" s="270">
        <f>IF(ISERROR(GETPIVOTDATA("Somma di DARE",'Pivot Fineco Sa'!$A$3,"Mese",11,"Tipologia",$A187,"Viaggio",$A$183)),0,GETPIVOTDATA("Somma di DARE",'Pivot Fineco Sa'!$A$3,"Mese",11,"Tipologia",$A187,"Viaggio",$A$183))
+IF(ISERROR(GETPIVOTDATA("Somma di DARE",'Pivot Fineco St'!$A$3,"Mese",11,"Tipologia",$A187,"Viaggio",$A$183)),0,GETPIVOTDATA("Somma di DARE",'Pivot Fineco St'!$A$3,"Mese",11,"Tipologia",$A187,"Viaggio",$A$183))
+IF(Contanti!$AS42='Conto Economico'!$A$183,Contanti!$AP42)
+IF(ISERROR(GETPIVOTDATA("Somma di DARE",'Pivot BBVA'!$A$3,"Mese",11,"Tipologia",$A187,"Viaggio",$A$183)),0,GETPIVOTDATA("Somma di DARE",'Pivot BBVA'!$A$3,"Mese",11,"Tipologia",$A187,"Viaggio",$A$183))
+IF(ISERROR(GETPIVOTDATA("Somma di DARE",'Pivot Amex'!$A$3,"Mese",11,"Tipologia",$A187,"Viaggio",$A$183)),0,GETPIVOTDATA("Somma di DARE",'Pivot Amex'!$A$3,"Mese",11,"Tipologia",$A187,"Viaggio",$A$183))
-IF(ISERROR(GETPIVOTDATA("Somma di AVERE",'Pivot Amex'!$A$3,"Mese",11,"Tipologia",$A187,"Viaggio",$A$183)),0,GETPIVOTDATA("Somma di AVERE",'Pivot Amex'!$A$3,"Mese",11,"Tipologia",$A187,"Viaggio",$A$183))
-IF(ISERROR(GETPIVOTDATA("Somma di AVERE",'Pivot BBVA'!$A$3,"Mese",11,"Tipologia",$A187,"Viaggio",$A$183)),0,GETPIVOTDATA("Somma di AVERE",'Pivot BBVA'!$A$3,"Mese",11,"Tipologia",$A187,"Viaggio",$A$183))
-IF(ISERROR(GETPIVOTDATA("Somma di AVERE",'Pivot Fineco St'!$A$3,"Mese",11,"Tipologia",$A187,"Viaggio",$A$183)),0,GETPIVOTDATA("Somma di AVERE",'Pivot Fineco St'!$A$3,"Mese",11,"Tipologia",$A187,"Viaggio",$A$183))
-IF(ISERROR(GETPIVOTDATA("Somma di AVERE",'Pivot Fineco Sa'!$A$3,"Mese",11,"Tipologia",$A187,"Viaggio",$A$183)),0,GETPIVOTDATA("Somma di AVERE",'Pivot Fineco Sa'!$A$3,"Mese",11,"Tipologia",$A187,"Viaggio",$A$183))
+IF(ISERROR(GETPIVOTDATA("Somma di DARE",'Pivot PP Visa'!$A$3,"Mese",11,"Tipologia",$A187,"Viaggio",$A$183)),0,GETPIVOTDATA("Somma di DARE",'Pivot PP Visa'!$A$3,"Mese",11,"Tipologia",$A187,"Viaggio",$A$183))
-IF(ISERROR(GETPIVOTDATA("Somma di AVERE",'Pivot PP Visa'!$A$3,"Mese",11,"Tipologia",$A187,"Viaggio",$A$183)),0,GETPIVOTDATA("Somma di AVERE",'Pivot PP Visa'!$A$3,"Mese",11,"Tipologia",$A187,"Viaggio",$A$183))
+IF(ISERROR(GETPIVOTDATA("Somma di DARE",'Pivot Revolut'!$A$3,"Mese",11,"Tipologia",$A187,"Viaggio",$A$183)),0,GETPIVOTDATA("Somma di DARE",'Pivot Revolut'!$A$3,"Mese",11,"Tipologia",$A187,"Viaggio",$A$183))
-IF(ISERROR(GETPIVOTDATA("Somma di AVERE",'Pivot Revolut'!$A$3,"Mese",11,"Tipologia",$A187,"Viaggio",$A$183)),0,GETPIVOTDATA("Somma di AVERE",'Pivot Revolut'!$A$3,"Mese",11,"Tipologia",$A187,"Viaggio",$A$183))
+IF(ISERROR(GETPIVOTDATA("Somma di DARE",'Pivot RakBank EUR'!$A$3,"Mese",11,"Tipologia",$A187,"Viaggio",$A$183)),0,GETPIVOTDATA("Somma di DARE",'Pivot RakBank EUR'!$A$3,"Mese",11,"Tipologia",$A187,"Viaggio",$A$183))
-IF(ISERROR(GETPIVOTDATA("Somma di AVERE",'Pivot RakBank EUR'!$A$3,"Mese",11,"Tipologia",$A187,"Viaggio",$A$183)),0,GETPIVOTDATA("Somma di AVERE",'Pivot RakBank EUR'!$A$3,"Mese",11,"Tipologia",$A187,"Viaggio",$A$183))
+IF(ISERROR(GETPIVOTDATA("Somma di DARE EUR",'Pivot RakBank AED'!$A$3,"Mese",11,"Tipologia",$A187,"Viaggio",$A$183)),0,GETPIVOTDATA("Somma di DARE EUR",'Pivot RakBank AED'!$A$3,"Mese",11,"Tipologia",$A187,"Viaggio",$A$183))
-IF(ISERROR(GETPIVOTDATA("Somma di AVERE EUR",'Pivot RakBank AED'!$A$3,"Mese",11,"Tipologia",$A187,"Viaggio",$A$183)),0,GETPIVOTDATA("Somma di AVERE EUR",'Pivot RakBank AED'!$A$3,"Mese",11,"Tipologia",$A187,"Viaggio",$A$183))</f>
        <v>0</v>
      </c>
      <c r="N187" s="270">
        <f>IF(ISERROR(GETPIVOTDATA("Somma di DARE",'Pivot Fineco Sa'!$A$3,"Mese",12,"Tipologia",$A187,"Viaggio",$A$183)),0,GETPIVOTDATA("Somma di DARE",'Pivot Fineco Sa'!$A$3,"Mese",12,"Tipologia",$A187,"Viaggio",$A$183))
+IF(ISERROR(GETPIVOTDATA("Somma di DARE",'Pivot Fineco St'!$A$3,"Mese",12,"Tipologia",$A187,"Viaggio",$A$183)),0,GETPIVOTDATA("Somma di DARE",'Pivot Fineco St'!$A$3,"Mese",12,"Tipologia",$A187,"Viaggio",$A$183))
+IF(Contanti!$AW42='Conto Economico'!$A$183,Contanti!$AT42)
+IF(ISERROR(GETPIVOTDATA("Somma di DARE",'Pivot BBVA'!$A$3,"Mese",12,"Tipologia",$A187,"Viaggio",$A$183)),0,GETPIVOTDATA("Somma di DARE",'Pivot BBVA'!$A$3,"Mese",12,"Tipologia",$A187,"Viaggio",$A$183))
+IF(ISERROR(GETPIVOTDATA("Somma di DARE",'Pivot Amex'!$A$3,"Mese",12,"Tipologia",$A187,"Viaggio",$A$183)),0,GETPIVOTDATA("Somma di DARE",'Pivot Amex'!$A$3,"Mese",12,"Tipologia",$A187,"Viaggio",$A$183))
-IF(ISERROR(GETPIVOTDATA("Somma di AVERE",'Pivot Amex'!$A$3,"Mese",12,"Tipologia",$A187,"Viaggio",$A$183)),0,GETPIVOTDATA("Somma di AVERE",'Pivot Amex'!$A$3,"Mese",12,"Tipologia",$A187,"Viaggio",$A$183))
-IF(ISERROR(GETPIVOTDATA("Somma di AVERE",'Pivot BBVA'!$A$3,"Mese",12,"Tipologia",$A187,"Viaggio",$A$183)),0,GETPIVOTDATA("Somma di AVERE",'Pivot BBVA'!$A$3,"Mese",12,"Tipologia",$A187,"Viaggio",$A$183))
-IF(ISERROR(GETPIVOTDATA("Somma di AVERE",'Pivot Fineco St'!$A$3,"Mese",12,"Tipologia",$A187,"Viaggio",$A$183)),0,GETPIVOTDATA("Somma di AVERE",'Pivot Fineco St'!$A$3,"Mese",12,"Tipologia",$A187,"Viaggio",$A$183))
-IF(ISERROR(GETPIVOTDATA("Somma di AVERE",'Pivot Fineco Sa'!$A$3,"Mese",12,"Tipologia",$A187,"Viaggio",$A$183)),0,GETPIVOTDATA("Somma di AVERE",'Pivot Fineco Sa'!$A$3,"Mese",12,"Tipologia",$A187,"Viaggio",$A$183))
+IF(ISERROR(GETPIVOTDATA("Somma di DARE",'Pivot PP Visa'!$A$3,"Mese",12,"Tipologia",$A187,"Viaggio",$A$183)),0,GETPIVOTDATA("Somma di DARE",'Pivot PP Visa'!$A$3,"Mese",12,"Tipologia",$A187,"Viaggio",$A$183))
-IF(ISERROR(GETPIVOTDATA("Somma di AVERE",'Pivot PP Visa'!$A$3,"Mese",12,"Tipologia",$A187,"Viaggio",$A$183)),0,GETPIVOTDATA("Somma di AVERE",'Pivot PP Visa'!$A$3,"Mese",12,"Tipologia",$A187,"Viaggio",$A$183))
+IF(ISERROR(GETPIVOTDATA("Somma di DARE",'Pivot Revolut'!$A$3,"Mese",12,"Tipologia",$A187,"Viaggio",$A$183)),0,GETPIVOTDATA("Somma di DARE",'Pivot Revolut'!$A$3,"Mese",12,"Tipologia",$A187,"Viaggio",$A$183))
-IF(ISERROR(GETPIVOTDATA("Somma di AVERE",'Pivot Revolut'!$A$3,"Mese",12,"Tipologia",$A187,"Viaggio",$A$183)),0,GETPIVOTDATA("Somma di AVERE",'Pivot Revolut'!$A$3,"Mese",12,"Tipologia",$A187,"Viaggio",$A$183))
+IF(ISERROR(GETPIVOTDATA("Somma di DARE",'Pivot RakBank EUR'!$A$3,"Mese",12,"Tipologia",$A187,"Viaggio",$A$183)),0,GETPIVOTDATA("Somma di DARE",'Pivot RakBank EUR'!$A$3,"Mese",12,"Tipologia",$A187,"Viaggio",$A$183))
-IF(ISERROR(GETPIVOTDATA("Somma di AVERE",'Pivot RakBank EUR'!$A$3,"Mese",12,"Tipologia",$A187,"Viaggio",$A$183)),0,GETPIVOTDATA("Somma di AVERE",'Pivot RakBank EUR'!$A$3,"Mese",12,"Tipologia",$A187,"Viaggio",$A$183))
+IF(ISERROR(GETPIVOTDATA("Somma di DARE EUR",'Pivot RakBank AED'!$A$3,"Mese",12,"Tipologia",$A187,"Viaggio",$A$183)),0,GETPIVOTDATA("Somma di DARE EUR",'Pivot RakBank AED'!$A$3,"Mese",12,"Tipologia",$A187,"Viaggio",$A$183))
-IF(ISERROR(GETPIVOTDATA("Somma di AVERE EUR",'Pivot RakBank AED'!$A$3,"Mese",12,"Tipologia",$A187,"Viaggio",$A$183)),0,GETPIVOTDATA("Somma di AVERE EUR",'Pivot RakBank AED'!$A$3,"Mese",12,"Tipologia",$A187,"Viaggio",$A$183))</f>
        <v>0</v>
      </c>
      <c r="O187" s="271">
        <f t="shared" si="25"/>
        <v>0</v>
      </c>
      <c r="P187" s="270"/>
    </row>
    <row r="188" spans="1:16" s="131" customFormat="1" ht="14" outlineLevel="1" x14ac:dyDescent="0.2">
      <c r="A188" s="269" t="s">
        <v>177</v>
      </c>
      <c r="B188" s="269"/>
      <c r="C188" s="270">
        <f>IF(ISERROR(GETPIVOTDATA("Somma di DARE",'Pivot Fineco Sa'!$A$3,"Mese",1,"Tipologia",$A188,"Viaggio",$A$183)),0,GETPIVOTDATA("Somma di DARE",'Pivot Fineco Sa'!$A$3,"Mese",1,"Tipologia",$A188,"Viaggio",$A$183))
+IF(ISERROR(GETPIVOTDATA("Somma di DARE",'Pivot Fineco St'!$A$3,"Mese",1,"Tipologia",$A188,"Viaggio",$A$183)),0,GETPIVOTDATA("Somma di DARE",'Pivot Fineco St'!$A$3,"Mese",1,"Tipologia",$A188,"Viaggio",$A$183))
+IF(Contanti!$E43='Conto Economico'!$A$183,Contanti!$B43)
+IF(ISERROR(GETPIVOTDATA("Somma di DARE",'Pivot BBVA'!$A$3,"Mese",1,"Tipologia",$A188,"Viaggio",$A$183)),0,GETPIVOTDATA("Somma di DARE",'Pivot BBVA'!$A$3,"Mese",1,"Tipologia",$A188,"Viaggio",$A$183))
+IF(ISERROR(GETPIVOTDATA("Somma di DARE",'Pivot Amex'!$A$3,"Mese",1,"Tipologia",$A188,"Viaggio",$A$183)),0,GETPIVOTDATA("Somma di DARE",'Pivot Amex'!$A$3,"Mese",1,"Tipologia",$A188,"Viaggio",$A$183))
-IF(ISERROR(GETPIVOTDATA("Somma di AVERE",'Pivot Amex'!$A$3,"Mese",1,"Tipologia",$A188,"Viaggio",$A$183)),0,GETPIVOTDATA("Somma di AVERE",'Pivot Amex'!$A$3,"Mese",1,"Tipologia",$A188,"Viaggio",$A$183))
-IF(ISERROR(GETPIVOTDATA("Somma di AVERE",'Pivot BBVA'!$A$3,"Mese",1,"Tipologia",$A188,"Viaggio",$A$183)),0,GETPIVOTDATA("Somma di AVERE",'Pivot BBVA'!$A$3,"Mese",1,"Tipologia",$A188,"Viaggio",$A$183))
-IF(ISERROR(GETPIVOTDATA("Somma di AVERE",'Pivot Fineco St'!$A$3,"Mese",1,"Tipologia",$A188,"Viaggio",$A$183)),0,GETPIVOTDATA("Somma di AVERE",'Pivot Fineco St'!$A$3,"Mese",1,"Tipologia",$A188,"Viaggio",$A$183))
-IF(ISERROR(GETPIVOTDATA("Somma di AVERE",'Pivot Fineco Sa'!$A$3,"Mese",1,"Tipologia",$A188,"Viaggio",$A$183)),0,GETPIVOTDATA("Somma di AVERE",'Pivot Fineco Sa'!$A$3,"Mese",1,"Tipologia",$A188,"Viaggio",$A$183))
+IF(ISERROR(GETPIVOTDATA("Somma di DARE",'Pivot PP Visa'!$A$3,"Mese",1,"Tipologia",$A188,"Viaggio",$A$183)),0,GETPIVOTDATA("Somma di DARE",'Pivot PP Visa'!$A$3,"Mese",1,"Tipologia",$A188,"Viaggio",$A$183))
-IF(ISERROR(GETPIVOTDATA("Somma di AVERE",'Pivot PP Visa'!$A$3,"Mese",1,"Tipologia",$A188,"Viaggio",$A$183)),0,GETPIVOTDATA("Somma di AVERE",'Pivot PP Visa'!$A$3,"Mese",1,"Tipologia",$A188,"Viaggio",$A$183))
+IF(ISERROR(GETPIVOTDATA("Somma di DARE",'Pivot Revolut'!$A$3,"Mese",1,"Tipologia",$A188,"Viaggio",$A$183)),0,GETPIVOTDATA("Somma di DARE",'Pivot Revolut'!$A$3,"Mese",1,"Tipologia",$A188,"Viaggio",$A$183))
-IF(ISERROR(GETPIVOTDATA("Somma di AVERE",'Pivot Revolut'!$A$3,"Mese",1,"Tipologia",$A188,"Viaggio",$A$183)),0,GETPIVOTDATA("Somma di AVERE",'Pivot Revolut'!$A$3,"Mese",1,"Tipologia",$A188,"Viaggio",$A$183))
+IF(ISERROR(GETPIVOTDATA("Somma di DARE",'Pivot RakBank EUR'!$A$3,"Mese",1,"Tipologia",$A188,"Viaggio",$A$183)),0,GETPIVOTDATA("Somma di DARE",'Pivot RakBank EUR'!$A$3,"Mese",1,"Tipologia",$A188,"Viaggio",$A$183))
-IF(ISERROR(GETPIVOTDATA("Somma di AVERE",'Pivot RakBank EUR'!$A$3,"Mese",1,"Tipologia",$A188,"Viaggio",$A$183)),0,GETPIVOTDATA("Somma di AVERE",'Pivot RakBank EUR'!$A$3,"Mese",1,"Tipologia",$A188,"Viaggio",$A$183))
+IF(ISERROR(GETPIVOTDATA("Somma di DARE EUR",'Pivot RakBank AED'!$A$3,"Mese",1,"Tipologia",$A188,"Viaggio",$A$183)),0,GETPIVOTDATA("Somma di DARE EUR",'Pivot RakBank AED'!$A$3,"Mese",1,"Tipologia",$A188,"Viaggio",$A$183))
-IF(ISERROR(GETPIVOTDATA("Somma di AVERE EUR",'Pivot RakBank AED'!$A$3,"Mese",1,"Tipologia",$A188,"Viaggio",$A$183)),0,GETPIVOTDATA("Somma di AVERE EUR",'Pivot RakBank AED'!$A$3,"Mese",1,"Tipologia",$A188,"Viaggio",$A$183))</f>
        <v>0</v>
      </c>
      <c r="D188" s="270">
        <f>IF(ISERROR(GETPIVOTDATA("Somma di DARE",'Pivot Fineco Sa'!$A$3,"Mese",2,"Tipologia",$A188,"Viaggio",$A$183)),0,GETPIVOTDATA("Somma di DARE",'Pivot Fineco Sa'!$A$3,"Mese",2,"Tipologia",$A188,"Viaggio",$A$183))
+IF(ISERROR(GETPIVOTDATA("Somma di DARE",'Pivot Fineco St'!$A$3,"Mese",2,"Tipologia",$A188,"Viaggio",$A$183)),0,GETPIVOTDATA("Somma di DARE",'Pivot Fineco St'!$A$3,"Mese",2,"Tipologia",$A188,"Viaggio",$A$183))
+IF(Contanti!$I43='Conto Economico'!$A$183,Contanti!$F43)
+IF(ISERROR(GETPIVOTDATA("Somma di DARE",'Pivot BBVA'!$A$3,"Mese",2,"Tipologia",$A188,"Viaggio",$A$183)),0,GETPIVOTDATA("Somma di DARE",'Pivot BBVA'!$A$3,"Mese",2,"Tipologia",$A188,"Viaggio",$A$183))
+IF(ISERROR(GETPIVOTDATA("Somma di DARE",'Pivot Amex'!$A$3,"Mese",2,"Tipologia",$A188,"Viaggio",$A$183)),0,GETPIVOTDATA("Somma di DARE",'Pivot Amex'!$A$3,"Mese",2,"Tipologia",$A188,"Viaggio",$A$183))
-IF(ISERROR(GETPIVOTDATA("Somma di AVERE",'Pivot Amex'!$A$3,"Mese",2,"Tipologia",$A188,"Viaggio",$A$183)),0,GETPIVOTDATA("Somma di AVERE",'Pivot Amex'!$A$3,"Mese",2,"Tipologia",$A188,"Viaggio",$A$183))
-IF(ISERROR(GETPIVOTDATA("Somma di AVERE",'Pivot BBVA'!$A$3,"Mese",2,"Tipologia",$A188,"Viaggio",$A$183)),0,GETPIVOTDATA("Somma di AVERE",'Pivot BBVA'!$A$3,"Mese",2,"Tipologia",$A188,"Viaggio",$A$183))
-IF(ISERROR(GETPIVOTDATA("Somma di AVERE",'Pivot Fineco St'!$A$3,"Mese",2,"Tipologia",$A188,"Viaggio",$A$183)),0,GETPIVOTDATA("Somma di AVERE",'Pivot Fineco St'!$A$3,"Mese",2,"Tipologia",$A188,"Viaggio",$A$183))
-IF(ISERROR(GETPIVOTDATA("Somma di AVERE",'Pivot Fineco Sa'!$A$3,"Mese",2,"Tipologia",$A188,"Viaggio",$A$183)),0,GETPIVOTDATA("Somma di AVERE",'Pivot Fineco Sa'!$A$3,"Mese",2,"Tipologia",$A188,"Viaggio",$A$183))
+IF(ISERROR(GETPIVOTDATA("Somma di DARE",'Pivot PP Visa'!$A$3,"Mese",2,"Tipologia",$A188,"Viaggio",$A$183)),0,GETPIVOTDATA("Somma di DARE",'Pivot PP Visa'!$A$3,"Mese",2,"Tipologia",$A188,"Viaggio",$A$183))
-IF(ISERROR(GETPIVOTDATA("Somma di AVERE",'Pivot PP Visa'!$A$3,"Mese",2,"Tipologia",$A188,"Viaggio",$A$183)),0,GETPIVOTDATA("Somma di AVERE",'Pivot PP Visa'!$A$3,"Mese",2,"Tipologia",$A188,"Viaggio",$A$183))
+IF(ISERROR(GETPIVOTDATA("Somma di DARE",'Pivot Revolut'!$A$3,"Mese",2,"Tipologia",$A188,"Viaggio",$A$183)),0,GETPIVOTDATA("Somma di DARE",'Pivot Revolut'!$A$3,"Mese",2,"Tipologia",$A188,"Viaggio",$A$183))
-IF(ISERROR(GETPIVOTDATA("Somma di AVERE",'Pivot Revolut'!$A$3,"Mese",2,"Tipologia",$A188,"Viaggio",$A$183)),0,GETPIVOTDATA("Somma di AVERE",'Pivot Revolut'!$A$3,"Mese",2,"Tipologia",$A188,"Viaggio",$A$183))
+IF(ISERROR(GETPIVOTDATA("Somma di DARE",'Pivot RakBank EUR'!$A$3,"Mese",2,"Tipologia",$A188,"Viaggio",$A$183)),0,GETPIVOTDATA("Somma di DARE",'Pivot RakBank EUR'!$A$3,"Mese",2,"Tipologia",$A188,"Viaggio",$A$183))
-IF(ISERROR(GETPIVOTDATA("Somma di AVERE",'Pivot RakBank EUR'!$A$3,"Mese",2,"Tipologia",$A188,"Viaggio",$A$183)),0,GETPIVOTDATA("Somma di AVERE",'Pivot RakBank EUR'!$A$3,"Mese",2,"Tipologia",$A188,"Viaggio",$A$183))
+IF(ISERROR(GETPIVOTDATA("Somma di DARE EUR",'Pivot RakBank AED'!$A$3,"Mese",2,"Tipologia",$A188,"Viaggio",$A$183)),0,GETPIVOTDATA("Somma di DARE EUR",'Pivot RakBank AED'!$A$3,"Mese",2,"Tipologia",$A188,"Viaggio",$A$183))
-IF(ISERROR(GETPIVOTDATA("Somma di AVERE EUR",'Pivot RakBank AED'!$A$3,"Mese",2,"Tipologia",$A188,"Viaggio",$A$183)),0,GETPIVOTDATA("Somma di AVERE EUR",'Pivot RakBank AED'!$A$3,"Mese",2,"Tipologia",$A188,"Viaggio",$A$183))</f>
        <v>0</v>
      </c>
      <c r="E188" s="270">
        <f>IF(ISERROR(GETPIVOTDATA("Somma di DARE",'Pivot Fineco Sa'!$A$3,"Mese",3,"Tipologia",$A188,"Viaggio",$A$183)),0,GETPIVOTDATA("Somma di DARE",'Pivot Fineco Sa'!$A$3,"Mese",3,"Tipologia",$A188,"Viaggio",$A$183))
+IF(ISERROR(GETPIVOTDATA("Somma di DARE",'Pivot Fineco St'!$A$3,"Mese",3,"Tipologia",$A188,"Viaggio",$A$183)),0,GETPIVOTDATA("Somma di DARE",'Pivot Fineco St'!$A$3,"Mese",3,"Tipologia",$A188,"Viaggio",$A$183))
+IF(Contanti!$M43='Conto Economico'!$A$183,Contanti!$J43)
+IF(ISERROR(GETPIVOTDATA("Somma di DARE",'Pivot BBVA'!$A$3,"Mese",3,"Tipologia",$A188,"Viaggio",$A$183)),0,GETPIVOTDATA("Somma di DARE",'Pivot BBVA'!$A$3,"Mese",3,"Tipologia",$A188,"Viaggio",$A$183))
+IF(ISERROR(GETPIVOTDATA("Somma di DARE",'Pivot Amex'!$A$3,"Mese",3,"Tipologia",$A188,"Viaggio",$A$183)),0,GETPIVOTDATA("Somma di DARE",'Pivot Amex'!$A$3,"Mese",3,"Tipologia",$A188,"Viaggio",$A$183))
-IF(ISERROR(GETPIVOTDATA("Somma di AVERE",'Pivot Amex'!$A$3,"Mese",3,"Tipologia",$A188,"Viaggio",$A$183)),0,GETPIVOTDATA("Somma di AVERE",'Pivot Amex'!$A$3,"Mese",3,"Tipologia",$A188,"Viaggio",$A$183))
-IF(ISERROR(GETPIVOTDATA("Somma di AVERE",'Pivot BBVA'!$A$3,"Mese",3,"Tipologia",$A188,"Viaggio",$A$183)),0,GETPIVOTDATA("Somma di AVERE",'Pivot BBVA'!$A$3,"Mese",3,"Tipologia",$A188,"Viaggio",$A$183))
-IF(ISERROR(GETPIVOTDATA("Somma di AVERE",'Pivot Fineco St'!$A$3,"Mese",3,"Tipologia",$A188,"Viaggio",$A$183)),0,GETPIVOTDATA("Somma di AVERE",'Pivot Fineco St'!$A$3,"Mese",3,"Tipologia",$A188,"Viaggio",$A$183))
-IF(ISERROR(GETPIVOTDATA("Somma di AVERE",'Pivot Fineco Sa'!$A$3,"Mese",3,"Tipologia",$A188,"Viaggio",$A$183)),0,GETPIVOTDATA("Somma di AVERE",'Pivot Fineco Sa'!$A$3,"Mese",3,"Tipologia",$A188,"Viaggio",$A$183))
+IF(ISERROR(GETPIVOTDATA("Somma di DARE",'Pivot PP Visa'!$A$3,"Mese",3,"Tipologia",$A188,"Viaggio",$A$183)),0,GETPIVOTDATA("Somma di DARE",'Pivot PP Visa'!$A$3,"Mese",3,"Tipologia",$A188,"Viaggio",$A$183))
-IF(ISERROR(GETPIVOTDATA("Somma di AVERE",'Pivot PP Visa'!$A$3,"Mese",3,"Tipologia",$A188,"Viaggio",$A$183)),0,GETPIVOTDATA("Somma di AVERE",'Pivot PP Visa'!$A$3,"Mese",3,"Tipologia",$A188,"Viaggio",$A$183))
+IF(ISERROR(GETPIVOTDATA("Somma di DARE",'Pivot Revolut'!$A$3,"Mese",3,"Tipologia",$A188,"Viaggio",$A$183)),0,GETPIVOTDATA("Somma di DARE",'Pivot Revolut'!$A$3,"Mese",3,"Tipologia",$A188,"Viaggio",$A$183))
-IF(ISERROR(GETPIVOTDATA("Somma di AVERE",'Pivot Revolut'!$A$3,"Mese",3,"Tipologia",$A188,"Viaggio",$A$183)),0,GETPIVOTDATA("Somma di AVERE",'Pivot Revolut'!$A$3,"Mese",3,"Tipologia",$A188,"Viaggio",$A$183))
+IF(ISERROR(GETPIVOTDATA("Somma di DARE",'Pivot RakBank EUR'!$A$3,"Mese",3,"Tipologia",$A188,"Viaggio",$A$183)),0,GETPIVOTDATA("Somma di DARE",'Pivot RakBank EUR'!$A$3,"Mese",3,"Tipologia",$A188,"Viaggio",$A$183))
-IF(ISERROR(GETPIVOTDATA("Somma di AVERE",'Pivot RakBank EUR'!$A$3,"Mese",3,"Tipologia",$A188,"Viaggio",$A$183)),0,GETPIVOTDATA("Somma di AVERE",'Pivot RakBank EUR'!$A$3,"Mese",3,"Tipologia",$A188,"Viaggio",$A$183))
+IF(ISERROR(GETPIVOTDATA("Somma di DARE EUR",'Pivot RakBank AED'!$A$3,"Mese",3,"Tipologia",$A188,"Viaggio",$A$183)),0,GETPIVOTDATA("Somma di DARE EUR",'Pivot RakBank AED'!$A$3,"Mese",3,"Tipologia",$A188,"Viaggio",$A$183))
-IF(ISERROR(GETPIVOTDATA("Somma di AVERE EUR",'Pivot RakBank AED'!$A$3,"Mese",3,"Tipologia",$A188,"Viaggio",$A$183)),0,GETPIVOTDATA("Somma di AVERE EUR",'Pivot RakBank AED'!$A$3,"Mese",3,"Tipologia",$A188,"Viaggio",$A$183))</f>
        <v>0</v>
      </c>
      <c r="F188" s="270">
        <f>IF(ISERROR(GETPIVOTDATA("Somma di DARE",'Pivot Fineco Sa'!$A$3,"Mese",4,"Tipologia",$A188,"Viaggio",$A$183)),0,GETPIVOTDATA("Somma di DARE",'Pivot Fineco Sa'!$A$3,"Mese",4,"Tipologia",$A188,"Viaggio",$A$183))
+IF(ISERROR(GETPIVOTDATA("Somma di DARE",'Pivot Fineco St'!$A$3,"Mese",4,"Tipologia",$A188,"Viaggio",$A$183)),0,GETPIVOTDATA("Somma di DARE",'Pivot Fineco St'!$A$3,"Mese",4,"Tipologia",$A188,"Viaggio",$A$183))
+IF(Contanti!$Q43='Conto Economico'!$A$183,Contanti!$N43)
+IF(ISERROR(GETPIVOTDATA("Somma di DARE",'Pivot BBVA'!$A$3,"Mese",4,"Tipologia",$A188,"Viaggio",$A$183)),0,GETPIVOTDATA("Somma di DARE",'Pivot BBVA'!$A$3,"Mese",4,"Tipologia",$A188,"Viaggio",$A$183))
+IF(ISERROR(GETPIVOTDATA("Somma di DARE",'Pivot Amex'!$A$3,"Mese",4,"Tipologia",$A188,"Viaggio",$A$183)),0,GETPIVOTDATA("Somma di DARE",'Pivot Amex'!$A$3,"Mese",4,"Tipologia",$A188,"Viaggio",$A$183))
-IF(ISERROR(GETPIVOTDATA("Somma di AVERE",'Pivot Amex'!$A$3,"Mese",4,"Tipologia",$A188,"Viaggio",$A$183)),0,GETPIVOTDATA("Somma di AVERE",'Pivot Amex'!$A$3,"Mese",4,"Tipologia",$A188,"Viaggio",$A$183))
-IF(ISERROR(GETPIVOTDATA("Somma di AVERE",'Pivot BBVA'!$A$3,"Mese",4,"Tipologia",$A188,"Viaggio",$A$183)),0,GETPIVOTDATA("Somma di AVERE",'Pivot BBVA'!$A$3,"Mese",4,"Tipologia",$A188,"Viaggio",$A$183))
-IF(ISERROR(GETPIVOTDATA("Somma di AVERE",'Pivot Fineco St'!$A$3,"Mese",4,"Tipologia",$A188,"Viaggio",$A$183)),0,GETPIVOTDATA("Somma di AVERE",'Pivot Fineco St'!$A$3,"Mese",4,"Tipologia",$A188,"Viaggio",$A$183))
-IF(ISERROR(GETPIVOTDATA("Somma di AVERE",'Pivot Fineco Sa'!$A$3,"Mese",4,"Tipologia",$A188,"Viaggio",$A$183)),0,GETPIVOTDATA("Somma di AVERE",'Pivot Fineco Sa'!$A$3,"Mese",4,"Tipologia",$A188,"Viaggio",$A$183))
+IF(ISERROR(GETPIVOTDATA("Somma di DARE",'Pivot PP Visa'!$A$3,"Mese",4,"Tipologia",$A188,"Viaggio",$A$183)),0,GETPIVOTDATA("Somma di DARE",'Pivot PP Visa'!$A$3,"Mese",4,"Tipologia",$A188,"Viaggio",$A$183))
-IF(ISERROR(GETPIVOTDATA("Somma di AVERE",'Pivot PP Visa'!$A$3,"Mese",4,"Tipologia",$A188,"Viaggio",$A$183)),0,GETPIVOTDATA("Somma di AVERE",'Pivot PP Visa'!$A$3,"Mese",4,"Tipologia",$A188,"Viaggio",$A$183))
+IF(ISERROR(GETPIVOTDATA("Somma di DARE",'Pivot Revolut'!$A$3,"Mese",4,"Tipologia",$A188,"Viaggio",$A$183)),0,GETPIVOTDATA("Somma di DARE",'Pivot Revolut'!$A$3,"Mese",4,"Tipologia",$A188,"Viaggio",$A$183))
-IF(ISERROR(GETPIVOTDATA("Somma di AVERE",'Pivot Revolut'!$A$3,"Mese",4,"Tipologia",$A188,"Viaggio",$A$183)),0,GETPIVOTDATA("Somma di AVERE",'Pivot Revolut'!$A$3,"Mese",4,"Tipologia",$A188,"Viaggio",$A$183))
+IF(ISERROR(GETPIVOTDATA("Somma di DARE",'Pivot RakBank EUR'!$A$3,"Mese",4,"Tipologia",$A188,"Viaggio",$A$183)),0,GETPIVOTDATA("Somma di DARE",'Pivot RakBank EUR'!$A$3,"Mese",4,"Tipologia",$A188,"Viaggio",$A$183))
-IF(ISERROR(GETPIVOTDATA("Somma di AVERE",'Pivot RakBank EUR'!$A$3,"Mese",4,"Tipologia",$A188,"Viaggio",$A$183)),0,GETPIVOTDATA("Somma di AVERE",'Pivot RakBank EUR'!$A$3,"Mese",4,"Tipologia",$A188,"Viaggio",$A$183))
+IF(ISERROR(GETPIVOTDATA("Somma di DARE EUR",'Pivot RakBank AED'!$A$3,"Mese",4,"Tipologia",$A188,"Viaggio",$A$183)),0,GETPIVOTDATA("Somma di DARE EUR",'Pivot RakBank AED'!$A$3,"Mese",4,"Tipologia",$A188,"Viaggio",$A$183))
-IF(ISERROR(GETPIVOTDATA("Somma di AVERE EUR",'Pivot RakBank AED'!$A$3,"Mese",4,"Tipologia",$A188,"Viaggio",$A$183)),0,GETPIVOTDATA("Somma di AVERE EUR",'Pivot RakBank AED'!$A$3,"Mese",4,"Tipologia",$A188,"Viaggio",$A$183))</f>
        <v>0</v>
      </c>
      <c r="G188" s="270">
        <f>IF(ISERROR(GETPIVOTDATA("Somma di DARE",'Pivot Fineco Sa'!$A$3,"Mese",5,"Tipologia",$A188,"Viaggio",$A$183)),0,GETPIVOTDATA("Somma di DARE",'Pivot Fineco Sa'!$A$3,"Mese",5,"Tipologia",$A188,"Viaggio",$A$183))
+IF(ISERROR(GETPIVOTDATA("Somma di DARE",'Pivot Fineco St'!$A$3,"Mese",5,"Tipologia",$A188,"Viaggio",$A$183)),0,GETPIVOTDATA("Somma di DARE",'Pivot Fineco St'!$A$3,"Mese",5,"Tipologia",$A188,"Viaggio",$A$183))
+IF(Contanti!$U43='Conto Economico'!$A$183,Contanti!$R43)
+IF(ISERROR(GETPIVOTDATA("Somma di DARE",'Pivot BBVA'!$A$3,"Mese",5,"Tipologia",$A188,"Viaggio",$A$183)),0,GETPIVOTDATA("Somma di DARE",'Pivot BBVA'!$A$3,"Mese",5,"Tipologia",$A188,"Viaggio",$A$183))
+IF(ISERROR(GETPIVOTDATA("Somma di DARE",'Pivot Amex'!$A$3,"Mese",5,"Tipologia",$A188,"Viaggio",$A$183)),0,GETPIVOTDATA("Somma di DARE",'Pivot Amex'!$A$3,"Mese",5,"Tipologia",$A188,"Viaggio",$A$183))
-IF(ISERROR(GETPIVOTDATA("Somma di AVERE",'Pivot Amex'!$A$3,"Mese",5,"Tipologia",$A188,"Viaggio",$A$183)),0,GETPIVOTDATA("Somma di AVERE",'Pivot Amex'!$A$3,"Mese",5,"Tipologia",$A188,"Viaggio",$A$183))
-IF(ISERROR(GETPIVOTDATA("Somma di AVERE",'Pivot BBVA'!$A$3,"Mese",5,"Tipologia",$A188,"Viaggio",$A$183)),0,GETPIVOTDATA("Somma di AVERE",'Pivot BBVA'!$A$3,"Mese",5,"Tipologia",$A188,"Viaggio",$A$183))
-IF(ISERROR(GETPIVOTDATA("Somma di AVERE",'Pivot Fineco St'!$A$3,"Mese",5,"Tipologia",$A188,"Viaggio",$A$183)),0,GETPIVOTDATA("Somma di AVERE",'Pivot Fineco St'!$A$3,"Mese",5,"Tipologia",$A188,"Viaggio",$A$183))
-IF(ISERROR(GETPIVOTDATA("Somma di AVERE",'Pivot Fineco Sa'!$A$3,"Mese",5,"Tipologia",$A188,"Viaggio",$A$183)),0,GETPIVOTDATA("Somma di AVERE",'Pivot Fineco Sa'!$A$3,"Mese",5,"Tipologia",$A188,"Viaggio",$A$183))
+IF(ISERROR(GETPIVOTDATA("Somma di DARE",'Pivot PP Visa'!$A$3,"Mese",5,"Tipologia",$A188,"Viaggio",$A$183)),0,GETPIVOTDATA("Somma di DARE",'Pivot PP Visa'!$A$3,"Mese",5,"Tipologia",$A188,"Viaggio",$A$183))
-IF(ISERROR(GETPIVOTDATA("Somma di AVERE",'Pivot PP Visa'!$A$3,"Mese",5,"Tipologia",$A188,"Viaggio",$A$183)),0,GETPIVOTDATA("Somma di AVERE",'Pivot PP Visa'!$A$3,"Mese",5,"Tipologia",$A188,"Viaggio",$A$183))
+IF(ISERROR(GETPIVOTDATA("Somma di DARE",'Pivot Revolut'!$A$3,"Mese",5,"Tipologia",$A188,"Viaggio",$A$183)),0,GETPIVOTDATA("Somma di DARE",'Pivot Revolut'!$A$3,"Mese",5,"Tipologia",$A188,"Viaggio",$A$183))
-IF(ISERROR(GETPIVOTDATA("Somma di AVERE",'Pivot Revolut'!$A$3,"Mese",5,"Tipologia",$A188,"Viaggio",$A$183)),0,GETPIVOTDATA("Somma di AVERE",'Pivot Revolut'!$A$3,"Mese",5,"Tipologia",$A188,"Viaggio",$A$183))
+IF(ISERROR(GETPIVOTDATA("Somma di DARE",'Pivot RakBank EUR'!$A$3,"Mese",5,"Tipologia",$A188,"Viaggio",$A$183)),0,GETPIVOTDATA("Somma di DARE",'Pivot RakBank EUR'!$A$3,"Mese",5,"Tipologia",$A188,"Viaggio",$A$183))
-IF(ISERROR(GETPIVOTDATA("Somma di AVERE",'Pivot RakBank EUR'!$A$3,"Mese",5,"Tipologia",$A188,"Viaggio",$A$183)),0,GETPIVOTDATA("Somma di AVERE",'Pivot RakBank EUR'!$A$3,"Mese",5,"Tipologia",$A188,"Viaggio",$A$183))
+IF(ISERROR(GETPIVOTDATA("Somma di DARE EUR",'Pivot RakBank AED'!$A$3,"Mese",5,"Tipologia",$A188,"Viaggio",$A$183)),0,GETPIVOTDATA("Somma di DARE EUR",'Pivot RakBank AED'!$A$3,"Mese",5,"Tipologia",$A188,"Viaggio",$A$183))
-IF(ISERROR(GETPIVOTDATA("Somma di AVERE EUR",'Pivot RakBank AED'!$A$3,"Mese",5,"Tipologia",$A188,"Viaggio",$A$183)),0,GETPIVOTDATA("Somma di AVERE EUR",'Pivot RakBank AED'!$A$3,"Mese",5,"Tipologia",$A188,"Viaggio",$A$183))</f>
        <v>0</v>
      </c>
      <c r="H188" s="270">
        <f>IF(ISERROR(GETPIVOTDATA("Somma di DARE",'Pivot Fineco Sa'!$A$3,"Mese",6,"Tipologia",$A188,"Viaggio",$A$183)),0,GETPIVOTDATA("Somma di DARE",'Pivot Fineco Sa'!$A$3,"Mese",6,"Tipologia",$A188,"Viaggio",$A$183))
+IF(ISERROR(GETPIVOTDATA("Somma di DARE",'Pivot Fineco St'!$A$3,"Mese",6,"Tipologia",$A188,"Viaggio",$A$183)),0,GETPIVOTDATA("Somma di DARE",'Pivot Fineco St'!$A$3,"Mese",6,"Tipologia",$A188,"Viaggio",$A$183))
+IF(Contanti!$Y43='Conto Economico'!$A$183,Contanti!$V43)
+IF(ISERROR(GETPIVOTDATA("Somma di DARE",'Pivot BBVA'!$A$3,"Mese",6,"Tipologia",$A188,"Viaggio",$A$183)),0,GETPIVOTDATA("Somma di DARE",'Pivot BBVA'!$A$3,"Mese",6,"Tipologia",$A188,"Viaggio",$A$183))
+IF(ISERROR(GETPIVOTDATA("Somma di DARE",'Pivot Amex'!$A$3,"Mese",6,"Tipologia",$A188,"Viaggio",$A$183)),0,GETPIVOTDATA("Somma di DARE",'Pivot Amex'!$A$3,"Mese",6,"Tipologia",$A188,"Viaggio",$A$183))
-IF(ISERROR(GETPIVOTDATA("Somma di AVERE",'Pivot Amex'!$A$3,"Mese",6,"Tipologia",$A188,"Viaggio",$A$183)),0,GETPIVOTDATA("Somma di AVERE",'Pivot Amex'!$A$3,"Mese",6,"Tipologia",$A188,"Viaggio",$A$183))
-IF(ISERROR(GETPIVOTDATA("Somma di AVERE",'Pivot BBVA'!$A$3,"Mese",6,"Tipologia",$A188,"Viaggio",$A$183)),0,GETPIVOTDATA("Somma di AVERE",'Pivot BBVA'!$A$3,"Mese",6,"Tipologia",$A188,"Viaggio",$A$183))
-IF(ISERROR(GETPIVOTDATA("Somma di AVERE",'Pivot Fineco St'!$A$3,"Mese",6,"Tipologia",$A188,"Viaggio",$A$183)),0,GETPIVOTDATA("Somma di AVERE",'Pivot Fineco St'!$A$3,"Mese",6,"Tipologia",$A188,"Viaggio",$A$183))
-IF(ISERROR(GETPIVOTDATA("Somma di AVERE",'Pivot Fineco Sa'!$A$3,"Mese",6,"Tipologia",$A188,"Viaggio",$A$183)),0,GETPIVOTDATA("Somma di AVERE",'Pivot Fineco Sa'!$A$3,"Mese",6,"Tipologia",$A188,"Viaggio",$A$183))
+IF(ISERROR(GETPIVOTDATA("Somma di DARE",'Pivot PP Visa'!$A$3,"Mese",6,"Tipologia",$A188,"Viaggio",$A$183)),0,GETPIVOTDATA("Somma di DARE",'Pivot PP Visa'!$A$3,"Mese",6,"Tipologia",$A188,"Viaggio",$A$183))
-IF(ISERROR(GETPIVOTDATA("Somma di AVERE",'Pivot PP Visa'!$A$3,"Mese",6,"Tipologia",$A188,"Viaggio",$A$183)),0,GETPIVOTDATA("Somma di AVERE",'Pivot PP Visa'!$A$3,"Mese",6,"Tipologia",$A188,"Viaggio",$A$183))
+IF(ISERROR(GETPIVOTDATA("Somma di DARE",'Pivot Revolut'!$A$3,"Mese",6,"Tipologia",$A188,"Viaggio",$A$183)),0,GETPIVOTDATA("Somma di DARE",'Pivot Revolut'!$A$3,"Mese",6,"Tipologia",$A188,"Viaggio",$A$183))
-IF(ISERROR(GETPIVOTDATA("Somma di AVERE",'Pivot Revolut'!$A$3,"Mese",6,"Tipologia",$A188,"Viaggio",$A$183)),0,GETPIVOTDATA("Somma di AVERE",'Pivot Revolut'!$A$3,"Mese",6,"Tipologia",$A188,"Viaggio",$A$183))
+IF(ISERROR(GETPIVOTDATA("Somma di DARE",'Pivot RakBank EUR'!$A$3,"Mese",6,"Tipologia",$A188,"Viaggio",$A$183)),0,GETPIVOTDATA("Somma di DARE",'Pivot RakBank EUR'!$A$3,"Mese",6,"Tipologia",$A188,"Viaggio",$A$183))
-IF(ISERROR(GETPIVOTDATA("Somma di AVERE",'Pivot RakBank EUR'!$A$3,"Mese",6,"Tipologia",$A188,"Viaggio",$A$183)),0,GETPIVOTDATA("Somma di AVERE",'Pivot RakBank EUR'!$A$3,"Mese",6,"Tipologia",$A188,"Viaggio",$A$183))
+IF(ISERROR(GETPIVOTDATA("Somma di DARE EUR",'Pivot RakBank AED'!$A$3,"Mese",6,"Tipologia",$A188,"Viaggio",$A$183)),0,GETPIVOTDATA("Somma di DARE EUR",'Pivot RakBank AED'!$A$3,"Mese",6,"Tipologia",$A188,"Viaggio",$A$183))
-IF(ISERROR(GETPIVOTDATA("Somma di AVERE EUR",'Pivot RakBank AED'!$A$3,"Mese",6,"Tipologia",$A188,"Viaggio",$A$183)),0,GETPIVOTDATA("Somma di AVERE EUR",'Pivot RakBank AED'!$A$3,"Mese",6,"Tipologia",$A188,"Viaggio",$A$183))</f>
        <v>0</v>
      </c>
      <c r="I188" s="270">
        <f>IF(ISERROR(GETPIVOTDATA("Somma di DARE",'Pivot Fineco Sa'!$A$3,"Mese",7,"Tipologia",$A188,"Viaggio",$A$183)),0,GETPIVOTDATA("Somma di DARE",'Pivot Fineco Sa'!$A$3,"Mese",7,"Tipologia",$A188,"Viaggio",$A$183))
+IF(ISERROR(GETPIVOTDATA("Somma di DARE",'Pivot Fineco St'!$A$3,"Mese",7,"Tipologia",$A188,"Viaggio",$A$183)),0,GETPIVOTDATA("Somma di DARE",'Pivot Fineco St'!$A$3,"Mese",7,"Tipologia",$A188,"Viaggio",$A$183))
+IF(Contanti!$AC43='Conto Economico'!$A$183,Contanti!$Z43)
+IF(ISERROR(GETPIVOTDATA("Somma di DARE",'Pivot BBVA'!$A$3,"Mese",7,"Tipologia",$A188,"Viaggio",$A$183)),0,GETPIVOTDATA("Somma di DARE",'Pivot BBVA'!$A$3,"Mese",7,"Tipologia",$A188,"Viaggio",$A$183))
+IF(ISERROR(GETPIVOTDATA("Somma di DARE",'Pivot Amex'!$A$3,"Mese",7,"Tipologia",$A188,"Viaggio",$A$183)),0,GETPIVOTDATA("Somma di DARE",'Pivot Amex'!$A$3,"Mese",7,"Tipologia",$A188,"Viaggio",$A$183))
-IF(ISERROR(GETPIVOTDATA("Somma di AVERE",'Pivot Amex'!$A$3,"Mese",7,"Tipologia",$A188,"Viaggio",$A$183)),0,GETPIVOTDATA("Somma di AVERE",'Pivot Amex'!$A$3,"Mese",7,"Tipologia",$A188,"Viaggio",$A$183))
-IF(ISERROR(GETPIVOTDATA("Somma di AVERE",'Pivot BBVA'!$A$3,"Mese",7,"Tipologia",$A188,"Viaggio",$A$183)),0,GETPIVOTDATA("Somma di AVERE",'Pivot BBVA'!$A$3,"Mese",7,"Tipologia",$A188,"Viaggio",$A$183))
-IF(ISERROR(GETPIVOTDATA("Somma di AVERE",'Pivot Fineco St'!$A$3,"Mese",7,"Tipologia",$A188,"Viaggio",$A$183)),0,GETPIVOTDATA("Somma di AVERE",'Pivot Fineco St'!$A$3,"Mese",7,"Tipologia",$A188,"Viaggio",$A$183))
-IF(ISERROR(GETPIVOTDATA("Somma di AVERE",'Pivot Fineco Sa'!$A$3,"Mese",7,"Tipologia",$A188,"Viaggio",$A$183)),0,GETPIVOTDATA("Somma di AVERE",'Pivot Fineco Sa'!$A$3,"Mese",7,"Tipologia",$A188,"Viaggio",$A$183))
+IF(ISERROR(GETPIVOTDATA("Somma di DARE",'Pivot PP Visa'!$A$3,"Mese",7,"Tipologia",$A188,"Viaggio",$A$183)),0,GETPIVOTDATA("Somma di DARE",'Pivot PP Visa'!$A$3,"Mese",7,"Tipologia",$A188,"Viaggio",$A$183))
-IF(ISERROR(GETPIVOTDATA("Somma di AVERE",'Pivot PP Visa'!$A$3,"Mese",7,"Tipologia",$A188,"Viaggio",$A$183)),0,GETPIVOTDATA("Somma di AVERE",'Pivot PP Visa'!$A$3,"Mese",7,"Tipologia",$A188,"Viaggio",$A$183))
+IF(ISERROR(GETPIVOTDATA("Somma di DARE",'Pivot Revolut'!$A$3,"Mese",7,"Tipologia",$A188,"Viaggio",$A$183)),0,GETPIVOTDATA("Somma di DARE",'Pivot Revolut'!$A$3,"Mese",7,"Tipologia",$A188,"Viaggio",$A$183))
-IF(ISERROR(GETPIVOTDATA("Somma di AVERE",'Pivot Revolut'!$A$3,"Mese",7,"Tipologia",$A188,"Viaggio",$A$183)),0,GETPIVOTDATA("Somma di AVERE",'Pivot Revolut'!$A$3,"Mese",7,"Tipologia",$A188,"Viaggio",$A$183))
+IF(ISERROR(GETPIVOTDATA("Somma di DARE",'Pivot RakBank EUR'!$A$3,"Mese",7,"Tipologia",$A188,"Viaggio",$A$183)),0,GETPIVOTDATA("Somma di DARE",'Pivot RakBank EUR'!$A$3,"Mese",7,"Tipologia",$A188,"Viaggio",$A$183))
-IF(ISERROR(GETPIVOTDATA("Somma di AVERE",'Pivot RakBank EUR'!$A$3,"Mese",7,"Tipologia",$A188,"Viaggio",$A$183)),0,GETPIVOTDATA("Somma di AVERE",'Pivot RakBank EUR'!$A$3,"Mese",7,"Tipologia",$A188,"Viaggio",$A$183))
+IF(ISERROR(GETPIVOTDATA("Somma di DARE EUR",'Pivot RakBank AED'!$A$3,"Mese",7,"Tipologia",$A188,"Viaggio",$A$183)),0,GETPIVOTDATA("Somma di DARE EUR",'Pivot RakBank AED'!$A$3,"Mese",7,"Tipologia",$A188,"Viaggio",$A$183))
-IF(ISERROR(GETPIVOTDATA("Somma di AVERE EUR",'Pivot RakBank AED'!$A$3,"Mese",7,"Tipologia",$A188,"Viaggio",$A$183)),0,GETPIVOTDATA("Somma di AVERE EUR",'Pivot RakBank AED'!$A$3,"Mese",7,"Tipologia",$A188,"Viaggio",$A$183))</f>
        <v>0</v>
      </c>
      <c r="J188" s="270">
        <f>IF(ISERROR(GETPIVOTDATA("Somma di DARE",'Pivot Fineco Sa'!$A$3,"Mese",8,"Tipologia",$A188,"Viaggio",$A$183)),0,GETPIVOTDATA("Somma di DARE",'Pivot Fineco Sa'!$A$3,"Mese",8,"Tipologia",$A188,"Viaggio",$A$183))
+IF(ISERROR(GETPIVOTDATA("Somma di DARE",'Pivot Fineco St'!$A$3,"Mese",8,"Tipologia",$A188,"Viaggio",$A$183)),0,GETPIVOTDATA("Somma di DARE",'Pivot Fineco St'!$A$3,"Mese",8,"Tipologia",$A188,"Viaggio",$A$183))
+IF(Contanti!$AG43='Conto Economico'!$A$183,Contanti!$AD43)
+IF(ISERROR(GETPIVOTDATA("Somma di DARE",'Pivot BBVA'!$A$3,"Mese",8,"Tipologia",$A188,"Viaggio",$A$183)),0,GETPIVOTDATA("Somma di DARE",'Pivot BBVA'!$A$3,"Mese",8,"Tipologia",$A188,"Viaggio",$A$183))
+IF(ISERROR(GETPIVOTDATA("Somma di DARE",'Pivot Amex'!$A$3,"Mese",8,"Tipologia",$A188,"Viaggio",$A$183)),0,GETPIVOTDATA("Somma di DARE",'Pivot Amex'!$A$3,"Mese",8,"Tipologia",$A188,"Viaggio",$A$183))
-IF(ISERROR(GETPIVOTDATA("Somma di AVERE",'Pivot Amex'!$A$3,"Mese",8,"Tipologia",$A188,"Viaggio",$A$183)),0,GETPIVOTDATA("Somma di AVERE",'Pivot Amex'!$A$3,"Mese",8,"Tipologia",$A188,"Viaggio",$A$183))
-IF(ISERROR(GETPIVOTDATA("Somma di AVERE",'Pivot BBVA'!$A$3,"Mese",8,"Tipologia",$A188,"Viaggio",$A$183)),0,GETPIVOTDATA("Somma di AVERE",'Pivot BBVA'!$A$3,"Mese",8,"Tipologia",$A188,"Viaggio",$A$183))
-IF(ISERROR(GETPIVOTDATA("Somma di AVERE",'Pivot Fineco St'!$A$3,"Mese",8,"Tipologia",$A188,"Viaggio",$A$183)),0,GETPIVOTDATA("Somma di AVERE",'Pivot Fineco St'!$A$3,"Mese",8,"Tipologia",$A188,"Viaggio",$A$183))
-IF(ISERROR(GETPIVOTDATA("Somma di AVERE",'Pivot Fineco Sa'!$A$3,"Mese",8,"Tipologia",$A188,"Viaggio",$A$183)),0,GETPIVOTDATA("Somma di AVERE",'Pivot Fineco Sa'!$A$3,"Mese",8,"Tipologia",$A188,"Viaggio",$A$183))
+IF(ISERROR(GETPIVOTDATA("Somma di DARE",'Pivot PP Visa'!$A$3,"Mese",8,"Tipologia",$A188,"Viaggio",$A$183)),0,GETPIVOTDATA("Somma di DARE",'Pivot PP Visa'!$A$3,"Mese",8,"Tipologia",$A188,"Viaggio",$A$183))
-IF(ISERROR(GETPIVOTDATA("Somma di AVERE",'Pivot PP Visa'!$A$3,"Mese",8,"Tipologia",$A188,"Viaggio",$A$183)),0,GETPIVOTDATA("Somma di AVERE",'Pivot PP Visa'!$A$3,"Mese",8,"Tipologia",$A188,"Viaggio",$A$183))
+IF(ISERROR(GETPIVOTDATA("Somma di DARE",'Pivot Revolut'!$A$3,"Mese",8,"Tipologia",$A188,"Viaggio",$A$183)),0,GETPIVOTDATA("Somma di DARE",'Pivot Revolut'!$A$3,"Mese",8,"Tipologia",$A188,"Viaggio",$A$183))
-IF(ISERROR(GETPIVOTDATA("Somma di AVERE",'Pivot Revolut'!$A$3,"Mese",8,"Tipologia",$A188,"Viaggio",$A$183)),0,GETPIVOTDATA("Somma di AVERE",'Pivot Revolut'!$A$3,"Mese",8,"Tipologia",$A188,"Viaggio",$A$183))
+IF(ISERROR(GETPIVOTDATA("Somma di DARE",'Pivot RakBank EUR'!$A$3,"Mese",8,"Tipologia",$A188,"Viaggio",$A$183)),0,GETPIVOTDATA("Somma di DARE",'Pivot RakBank EUR'!$A$3,"Mese",8,"Tipologia",$A188,"Viaggio",$A$183))
-IF(ISERROR(GETPIVOTDATA("Somma di AVERE",'Pivot RakBank EUR'!$A$3,"Mese",8,"Tipologia",$A188,"Viaggio",$A$183)),0,GETPIVOTDATA("Somma di AVERE",'Pivot RakBank EUR'!$A$3,"Mese",8,"Tipologia",$A188,"Viaggio",$A$183))
+IF(ISERROR(GETPIVOTDATA("Somma di DARE EUR",'Pivot RakBank AED'!$A$3,"Mese",8,"Tipologia",$A188,"Viaggio",$A$183)),0,GETPIVOTDATA("Somma di DARE EUR",'Pivot RakBank AED'!$A$3,"Mese",8,"Tipologia",$A188,"Viaggio",$A$183))
-IF(ISERROR(GETPIVOTDATA("Somma di AVERE EUR",'Pivot RakBank AED'!$A$3,"Mese",8,"Tipologia",$A188,"Viaggio",$A$183)),0,GETPIVOTDATA("Somma di AVERE EUR",'Pivot RakBank AED'!$A$3,"Mese",8,"Tipologia",$A188,"Viaggio",$A$183))</f>
        <v>0</v>
      </c>
      <c r="K188" s="270">
        <f>IF(ISERROR(GETPIVOTDATA("Somma di DARE",'Pivot Fineco Sa'!$A$3,"Mese",9,"Tipologia",$A188,"Viaggio",$A$183)),0,GETPIVOTDATA("Somma di DARE",'Pivot Fineco Sa'!$A$3,"Mese",9,"Tipologia",$A188,"Viaggio",$A$183))
+IF(ISERROR(GETPIVOTDATA("Somma di DARE",'Pivot Fineco St'!$A$3,"Mese",9,"Tipologia",$A188,"Viaggio",$A$183)),0,GETPIVOTDATA("Somma di DARE",'Pivot Fineco St'!$A$3,"Mese",9,"Tipologia",$A188,"Viaggio",$A$183))
+IF(Contanti!$AK43='Conto Economico'!$A$183,Contanti!$AH43)
+IF(ISERROR(GETPIVOTDATA("Somma di DARE",'Pivot BBVA'!$A$3,"Mese",9,"Tipologia",$A188,"Viaggio",$A$183)),0,GETPIVOTDATA("Somma di DARE",'Pivot BBVA'!$A$3,"Mese",9,"Tipologia",$A188,"Viaggio",$A$183))
+IF(ISERROR(GETPIVOTDATA("Somma di DARE",'Pivot Amex'!$A$3,"Mese",9,"Tipologia",$A188,"Viaggio",$A$183)),0,GETPIVOTDATA("Somma di DARE",'Pivot Amex'!$A$3,"Mese",9,"Tipologia",$A188,"Viaggio",$A$183))
-IF(ISERROR(GETPIVOTDATA("Somma di AVERE",'Pivot Amex'!$A$3,"Mese",9,"Tipologia",$A188,"Viaggio",$A$183)),0,GETPIVOTDATA("Somma di AVERE",'Pivot Amex'!$A$3,"Mese",9,"Tipologia",$A188,"Viaggio",$A$183))
-IF(ISERROR(GETPIVOTDATA("Somma di AVERE",'Pivot BBVA'!$A$3,"Mese",9,"Tipologia",$A188,"Viaggio",$A$183)),0,GETPIVOTDATA("Somma di AVERE",'Pivot BBVA'!$A$3,"Mese",9,"Tipologia",$A188,"Viaggio",$A$183))
-IF(ISERROR(GETPIVOTDATA("Somma di AVERE",'Pivot Fineco St'!$A$3,"Mese",9,"Tipologia",$A188,"Viaggio",$A$183)),0,GETPIVOTDATA("Somma di AVERE",'Pivot Fineco St'!$A$3,"Mese",9,"Tipologia",$A188,"Viaggio",$A$183))
-IF(ISERROR(GETPIVOTDATA("Somma di AVERE",'Pivot Fineco Sa'!$A$3,"Mese",9,"Tipologia",$A188,"Viaggio",$A$183)),0,GETPIVOTDATA("Somma di AVERE",'Pivot Fineco Sa'!$A$3,"Mese",9,"Tipologia",$A188,"Viaggio",$A$183))
+IF(ISERROR(GETPIVOTDATA("Somma di DARE",'Pivot PP Visa'!$A$3,"Mese",9,"Tipologia",$A188,"Viaggio",$A$183)),0,GETPIVOTDATA("Somma di DARE",'Pivot PP Visa'!$A$3,"Mese",9,"Tipologia",$A188,"Viaggio",$A$183))
-IF(ISERROR(GETPIVOTDATA("Somma di AVERE",'Pivot PP Visa'!$A$3,"Mese",9,"Tipologia",$A188,"Viaggio",$A$183)),0,GETPIVOTDATA("Somma di AVERE",'Pivot PP Visa'!$A$3,"Mese",9,"Tipologia",$A188,"Viaggio",$A$183))
+IF(ISERROR(GETPIVOTDATA("Somma di DARE",'Pivot Revolut'!$A$3,"Mese",9,"Tipologia",$A188,"Viaggio",$A$183)),0,GETPIVOTDATA("Somma di DARE",'Pivot Revolut'!$A$3,"Mese",9,"Tipologia",$A188,"Viaggio",$A$183))
-IF(ISERROR(GETPIVOTDATA("Somma di AVERE",'Pivot Revolut'!$A$3,"Mese",9,"Tipologia",$A188,"Viaggio",$A$183)),0,GETPIVOTDATA("Somma di AVERE",'Pivot Revolut'!$A$3,"Mese",9,"Tipologia",$A188,"Viaggio",$A$183))
+IF(ISERROR(GETPIVOTDATA("Somma di DARE",'Pivot RakBank EUR'!$A$3,"Mese",9,"Tipologia",$A188,"Viaggio",$A$183)),0,GETPIVOTDATA("Somma di DARE",'Pivot RakBank EUR'!$A$3,"Mese",9,"Tipologia",$A188,"Viaggio",$A$183))
-IF(ISERROR(GETPIVOTDATA("Somma di AVERE",'Pivot RakBank EUR'!$A$3,"Mese",9,"Tipologia",$A188,"Viaggio",$A$183)),0,GETPIVOTDATA("Somma di AVERE",'Pivot RakBank EUR'!$A$3,"Mese",9,"Tipologia",$A188,"Viaggio",$A$183))
+IF(ISERROR(GETPIVOTDATA("Somma di DARE EUR",'Pivot RakBank AED'!$A$3,"Mese",9,"Tipologia",$A188,"Viaggio",$A$183)),0,GETPIVOTDATA("Somma di DARE EUR",'Pivot RakBank AED'!$A$3,"Mese",9,"Tipologia",$A188,"Viaggio",$A$183))
-IF(ISERROR(GETPIVOTDATA("Somma di AVERE EUR",'Pivot RakBank AED'!$A$3,"Mese",9,"Tipologia",$A188,"Viaggio",$A$183)),0,GETPIVOTDATA("Somma di AVERE EUR",'Pivot RakBank AED'!$A$3,"Mese",9,"Tipologia",$A188,"Viaggio",$A$183))</f>
        <v>0</v>
      </c>
      <c r="L188" s="270">
        <f>IF(ISERROR(GETPIVOTDATA("Somma di DARE",'Pivot Fineco Sa'!$A$3,"Mese",10,"Tipologia",$A188,"Viaggio",$A$183)),0,GETPIVOTDATA("Somma di DARE",'Pivot Fineco Sa'!$A$3,"Mese",10,"Tipologia",$A188,"Viaggio",$A$183))
+IF(ISERROR(GETPIVOTDATA("Somma di DARE",'Pivot Fineco St'!$A$3,"Mese",10,"Tipologia",$A188,"Viaggio",$A$183)),0,GETPIVOTDATA("Somma di DARE",'Pivot Fineco St'!$A$3,"Mese",10,"Tipologia",$A188,"Viaggio",$A$183))
+IF(Contanti!$AO43='Conto Economico'!$A$183,Contanti!$AL43)
+IF(ISERROR(GETPIVOTDATA("Somma di DARE",'Pivot BBVA'!$A$3,"Mese",10,"Tipologia",$A188,"Viaggio",$A$183)),0,GETPIVOTDATA("Somma di DARE",'Pivot BBVA'!$A$3,"Mese",10,"Tipologia",$A188,"Viaggio",$A$183))
+IF(ISERROR(GETPIVOTDATA("Somma di DARE",'Pivot Amex'!$A$3,"Mese",10,"Tipologia",$A188,"Viaggio",$A$183)),0,GETPIVOTDATA("Somma di DARE",'Pivot Amex'!$A$3,"Mese",10,"Tipologia",$A188,"Viaggio",$A$183))
-IF(ISERROR(GETPIVOTDATA("Somma di AVERE",'Pivot Amex'!$A$3,"Mese",10,"Tipologia",$A188,"Viaggio",$A$183)),0,GETPIVOTDATA("Somma di AVERE",'Pivot Amex'!$A$3,"Mese",10,"Tipologia",$A188,"Viaggio",$A$183))
-IF(ISERROR(GETPIVOTDATA("Somma di AVERE",'Pivot BBVA'!$A$3,"Mese",10,"Tipologia",$A188,"Viaggio",$A$183)),0,GETPIVOTDATA("Somma di AVERE",'Pivot BBVA'!$A$3,"Mese",10,"Tipologia",$A188,"Viaggio",$A$183))
-IF(ISERROR(GETPIVOTDATA("Somma di AVERE",'Pivot Fineco St'!$A$3,"Mese",10,"Tipologia",$A188,"Viaggio",$A$183)),0,GETPIVOTDATA("Somma di AVERE",'Pivot Fineco St'!$A$3,"Mese",10,"Tipologia",$A188,"Viaggio",$A$183))
-IF(ISERROR(GETPIVOTDATA("Somma di AVERE",'Pivot Fineco Sa'!$A$3,"Mese",10,"Tipologia",$A188,"Viaggio",$A$183)),0,GETPIVOTDATA("Somma di AVERE",'Pivot Fineco Sa'!$A$3,"Mese",10,"Tipologia",$A188,"Viaggio",$A$183))
+IF(ISERROR(GETPIVOTDATA("Somma di DARE",'Pivot PP Visa'!$A$3,"Mese",10,"Tipologia",$A188,"Viaggio",$A$183)),0,GETPIVOTDATA("Somma di DARE",'Pivot PP Visa'!$A$3,"Mese",10,"Tipologia",$A188,"Viaggio",$A$183))
-IF(ISERROR(GETPIVOTDATA("Somma di AVERE",'Pivot PP Visa'!$A$3,"Mese",10,"Tipologia",$A188,"Viaggio",$A$183)),0,GETPIVOTDATA("Somma di AVERE",'Pivot PP Visa'!$A$3,"Mese",10,"Tipologia",$A188,"Viaggio",$A$183))
+IF(ISERROR(GETPIVOTDATA("Somma di DARE",'Pivot Revolut'!$A$3,"Mese",10,"Tipologia",$A188,"Viaggio",$A$183)),0,GETPIVOTDATA("Somma di DARE",'Pivot Revolut'!$A$3,"Mese",10,"Tipologia",$A188,"Viaggio",$A$183))
-IF(ISERROR(GETPIVOTDATA("Somma di AVERE",'Pivot Revolut'!$A$3,"Mese",10,"Tipologia",$A188,"Viaggio",$A$183)),0,GETPIVOTDATA("Somma di AVERE",'Pivot Revolut'!$A$3,"Mese",10,"Tipologia",$A188,"Viaggio",$A$183))
+IF(ISERROR(GETPIVOTDATA("Somma di DARE",'Pivot RakBank EUR'!$A$3,"Mese",10,"Tipologia",$A188,"Viaggio",$A$183)),0,GETPIVOTDATA("Somma di DARE",'Pivot RakBank EUR'!$A$3,"Mese",10,"Tipologia",$A188,"Viaggio",$A$183))
-IF(ISERROR(GETPIVOTDATA("Somma di AVERE",'Pivot RakBank EUR'!$A$3,"Mese",10,"Tipologia",$A188,"Viaggio",$A$183)),0,GETPIVOTDATA("Somma di AVERE",'Pivot RakBank EUR'!$A$3,"Mese",10,"Tipologia",$A188,"Viaggio",$A$183))
+IF(ISERROR(GETPIVOTDATA("Somma di DARE EUR",'Pivot RakBank AED'!$A$3,"Mese",10,"Tipologia",$A188,"Viaggio",$A$183)),0,GETPIVOTDATA("Somma di DARE EUR",'Pivot RakBank AED'!$A$3,"Mese",10,"Tipologia",$A188,"Viaggio",$A$183))
-IF(ISERROR(GETPIVOTDATA("Somma di AVERE EUR",'Pivot RakBank AED'!$A$3,"Mese",10,"Tipologia",$A188,"Viaggio",$A$183)),0,GETPIVOTDATA("Somma di AVERE EUR",'Pivot RakBank AED'!$A$3,"Mese",10,"Tipologia",$A188,"Viaggio",$A$183))</f>
        <v>0</v>
      </c>
      <c r="M188" s="270">
        <f>IF(ISERROR(GETPIVOTDATA("Somma di DARE",'Pivot Fineco Sa'!$A$3,"Mese",11,"Tipologia",$A188,"Viaggio",$A$183)),0,GETPIVOTDATA("Somma di DARE",'Pivot Fineco Sa'!$A$3,"Mese",11,"Tipologia",$A188,"Viaggio",$A$183))
+IF(ISERROR(GETPIVOTDATA("Somma di DARE",'Pivot Fineco St'!$A$3,"Mese",11,"Tipologia",$A188,"Viaggio",$A$183)),0,GETPIVOTDATA("Somma di DARE",'Pivot Fineco St'!$A$3,"Mese",11,"Tipologia",$A188,"Viaggio",$A$183))
+IF(Contanti!$AS43='Conto Economico'!$A$183,Contanti!$AP43)
+IF(ISERROR(GETPIVOTDATA("Somma di DARE",'Pivot BBVA'!$A$3,"Mese",11,"Tipologia",$A188,"Viaggio",$A$183)),0,GETPIVOTDATA("Somma di DARE",'Pivot BBVA'!$A$3,"Mese",11,"Tipologia",$A188,"Viaggio",$A$183))
+IF(ISERROR(GETPIVOTDATA("Somma di DARE",'Pivot Amex'!$A$3,"Mese",11,"Tipologia",$A188,"Viaggio",$A$183)),0,GETPIVOTDATA("Somma di DARE",'Pivot Amex'!$A$3,"Mese",11,"Tipologia",$A188,"Viaggio",$A$183))
-IF(ISERROR(GETPIVOTDATA("Somma di AVERE",'Pivot Amex'!$A$3,"Mese",11,"Tipologia",$A188,"Viaggio",$A$183)),0,GETPIVOTDATA("Somma di AVERE",'Pivot Amex'!$A$3,"Mese",11,"Tipologia",$A188,"Viaggio",$A$183))
-IF(ISERROR(GETPIVOTDATA("Somma di AVERE",'Pivot BBVA'!$A$3,"Mese",11,"Tipologia",$A188,"Viaggio",$A$183)),0,GETPIVOTDATA("Somma di AVERE",'Pivot BBVA'!$A$3,"Mese",11,"Tipologia",$A188,"Viaggio",$A$183))
-IF(ISERROR(GETPIVOTDATA("Somma di AVERE",'Pivot Fineco St'!$A$3,"Mese",11,"Tipologia",$A188,"Viaggio",$A$183)),0,GETPIVOTDATA("Somma di AVERE",'Pivot Fineco St'!$A$3,"Mese",11,"Tipologia",$A188,"Viaggio",$A$183))
-IF(ISERROR(GETPIVOTDATA("Somma di AVERE",'Pivot Fineco Sa'!$A$3,"Mese",11,"Tipologia",$A188,"Viaggio",$A$183)),0,GETPIVOTDATA("Somma di AVERE",'Pivot Fineco Sa'!$A$3,"Mese",11,"Tipologia",$A188,"Viaggio",$A$183))
+IF(ISERROR(GETPIVOTDATA("Somma di DARE",'Pivot PP Visa'!$A$3,"Mese",11,"Tipologia",$A188,"Viaggio",$A$183)),0,GETPIVOTDATA("Somma di DARE",'Pivot PP Visa'!$A$3,"Mese",11,"Tipologia",$A188,"Viaggio",$A$183))
-IF(ISERROR(GETPIVOTDATA("Somma di AVERE",'Pivot PP Visa'!$A$3,"Mese",11,"Tipologia",$A188,"Viaggio",$A$183)),0,GETPIVOTDATA("Somma di AVERE",'Pivot PP Visa'!$A$3,"Mese",11,"Tipologia",$A188,"Viaggio",$A$183))
+IF(ISERROR(GETPIVOTDATA("Somma di DARE",'Pivot Revolut'!$A$3,"Mese",11,"Tipologia",$A188,"Viaggio",$A$183)),0,GETPIVOTDATA("Somma di DARE",'Pivot Revolut'!$A$3,"Mese",11,"Tipologia",$A188,"Viaggio",$A$183))
-IF(ISERROR(GETPIVOTDATA("Somma di AVERE",'Pivot Revolut'!$A$3,"Mese",11,"Tipologia",$A188,"Viaggio",$A$183)),0,GETPIVOTDATA("Somma di AVERE",'Pivot Revolut'!$A$3,"Mese",11,"Tipologia",$A188,"Viaggio",$A$183))
+IF(ISERROR(GETPIVOTDATA("Somma di DARE",'Pivot RakBank EUR'!$A$3,"Mese",11,"Tipologia",$A188,"Viaggio",$A$183)),0,GETPIVOTDATA("Somma di DARE",'Pivot RakBank EUR'!$A$3,"Mese",11,"Tipologia",$A188,"Viaggio",$A$183))
-IF(ISERROR(GETPIVOTDATA("Somma di AVERE",'Pivot RakBank EUR'!$A$3,"Mese",11,"Tipologia",$A188,"Viaggio",$A$183)),0,GETPIVOTDATA("Somma di AVERE",'Pivot RakBank EUR'!$A$3,"Mese",11,"Tipologia",$A188,"Viaggio",$A$183))
+IF(ISERROR(GETPIVOTDATA("Somma di DARE EUR",'Pivot RakBank AED'!$A$3,"Mese",11,"Tipologia",$A188,"Viaggio",$A$183)),0,GETPIVOTDATA("Somma di DARE EUR",'Pivot RakBank AED'!$A$3,"Mese",11,"Tipologia",$A188,"Viaggio",$A$183))
-IF(ISERROR(GETPIVOTDATA("Somma di AVERE EUR",'Pivot RakBank AED'!$A$3,"Mese",11,"Tipologia",$A188,"Viaggio",$A$183)),0,GETPIVOTDATA("Somma di AVERE EUR",'Pivot RakBank AED'!$A$3,"Mese",11,"Tipologia",$A188,"Viaggio",$A$183))</f>
        <v>0</v>
      </c>
      <c r="N188" s="270">
        <f>IF(ISERROR(GETPIVOTDATA("Somma di DARE",'Pivot Fineco Sa'!$A$3,"Mese",12,"Tipologia",$A188,"Viaggio",$A$183)),0,GETPIVOTDATA("Somma di DARE",'Pivot Fineco Sa'!$A$3,"Mese",12,"Tipologia",$A188,"Viaggio",$A$183))
+IF(ISERROR(GETPIVOTDATA("Somma di DARE",'Pivot Fineco St'!$A$3,"Mese",12,"Tipologia",$A188,"Viaggio",$A$183)),0,GETPIVOTDATA("Somma di DARE",'Pivot Fineco St'!$A$3,"Mese",12,"Tipologia",$A188,"Viaggio",$A$183))
+IF(Contanti!$AW43='Conto Economico'!$A$183,Contanti!$AT43)
+IF(ISERROR(GETPIVOTDATA("Somma di DARE",'Pivot BBVA'!$A$3,"Mese",12,"Tipologia",$A188,"Viaggio",$A$183)),0,GETPIVOTDATA("Somma di DARE",'Pivot BBVA'!$A$3,"Mese",12,"Tipologia",$A188,"Viaggio",$A$183))
+IF(ISERROR(GETPIVOTDATA("Somma di DARE",'Pivot Amex'!$A$3,"Mese",12,"Tipologia",$A188,"Viaggio",$A$183)),0,GETPIVOTDATA("Somma di DARE",'Pivot Amex'!$A$3,"Mese",12,"Tipologia",$A188,"Viaggio",$A$183))
-IF(ISERROR(GETPIVOTDATA("Somma di AVERE",'Pivot Amex'!$A$3,"Mese",12,"Tipologia",$A188,"Viaggio",$A$183)),0,GETPIVOTDATA("Somma di AVERE",'Pivot Amex'!$A$3,"Mese",12,"Tipologia",$A188,"Viaggio",$A$183))
-IF(ISERROR(GETPIVOTDATA("Somma di AVERE",'Pivot BBVA'!$A$3,"Mese",12,"Tipologia",$A188,"Viaggio",$A$183)),0,GETPIVOTDATA("Somma di AVERE",'Pivot BBVA'!$A$3,"Mese",12,"Tipologia",$A188,"Viaggio",$A$183))
-IF(ISERROR(GETPIVOTDATA("Somma di AVERE",'Pivot Fineco St'!$A$3,"Mese",12,"Tipologia",$A188,"Viaggio",$A$183)),0,GETPIVOTDATA("Somma di AVERE",'Pivot Fineco St'!$A$3,"Mese",12,"Tipologia",$A188,"Viaggio",$A$183))
-IF(ISERROR(GETPIVOTDATA("Somma di AVERE",'Pivot Fineco Sa'!$A$3,"Mese",12,"Tipologia",$A188,"Viaggio",$A$183)),0,GETPIVOTDATA("Somma di AVERE",'Pivot Fineco Sa'!$A$3,"Mese",12,"Tipologia",$A188,"Viaggio",$A$183))
+IF(ISERROR(GETPIVOTDATA("Somma di DARE",'Pivot PP Visa'!$A$3,"Mese",12,"Tipologia",$A188,"Viaggio",$A$183)),0,GETPIVOTDATA("Somma di DARE",'Pivot PP Visa'!$A$3,"Mese",12,"Tipologia",$A188,"Viaggio",$A$183))
-IF(ISERROR(GETPIVOTDATA("Somma di AVERE",'Pivot PP Visa'!$A$3,"Mese",12,"Tipologia",$A188,"Viaggio",$A$183)),0,GETPIVOTDATA("Somma di AVERE",'Pivot PP Visa'!$A$3,"Mese",12,"Tipologia",$A188,"Viaggio",$A$183))
+IF(ISERROR(GETPIVOTDATA("Somma di DARE",'Pivot Revolut'!$A$3,"Mese",12,"Tipologia",$A188,"Viaggio",$A$183)),0,GETPIVOTDATA("Somma di DARE",'Pivot Revolut'!$A$3,"Mese",12,"Tipologia",$A188,"Viaggio",$A$183))
-IF(ISERROR(GETPIVOTDATA("Somma di AVERE",'Pivot Revolut'!$A$3,"Mese",12,"Tipologia",$A188,"Viaggio",$A$183)),0,GETPIVOTDATA("Somma di AVERE",'Pivot Revolut'!$A$3,"Mese",12,"Tipologia",$A188,"Viaggio",$A$183))
+IF(ISERROR(GETPIVOTDATA("Somma di DARE",'Pivot RakBank EUR'!$A$3,"Mese",12,"Tipologia",$A188,"Viaggio",$A$183)),0,GETPIVOTDATA("Somma di DARE",'Pivot RakBank EUR'!$A$3,"Mese",12,"Tipologia",$A188,"Viaggio",$A$183))
-IF(ISERROR(GETPIVOTDATA("Somma di AVERE",'Pivot RakBank EUR'!$A$3,"Mese",12,"Tipologia",$A188,"Viaggio",$A$183)),0,GETPIVOTDATA("Somma di AVERE",'Pivot RakBank EUR'!$A$3,"Mese",12,"Tipologia",$A188,"Viaggio",$A$183))
+IF(ISERROR(GETPIVOTDATA("Somma di DARE EUR",'Pivot RakBank AED'!$A$3,"Mese",12,"Tipologia",$A188,"Viaggio",$A$183)),0,GETPIVOTDATA("Somma di DARE EUR",'Pivot RakBank AED'!$A$3,"Mese",12,"Tipologia",$A188,"Viaggio",$A$183))
-IF(ISERROR(GETPIVOTDATA("Somma di AVERE EUR",'Pivot RakBank AED'!$A$3,"Mese",12,"Tipologia",$A188,"Viaggio",$A$183)),0,GETPIVOTDATA("Somma di AVERE EUR",'Pivot RakBank AED'!$A$3,"Mese",12,"Tipologia",$A188,"Viaggio",$A$183))</f>
        <v>0</v>
      </c>
      <c r="O188" s="271">
        <f t="shared" si="25"/>
        <v>0</v>
      </c>
      <c r="P188" s="270"/>
    </row>
    <row r="189" spans="1:16" s="131" customFormat="1" ht="14" outlineLevel="1" x14ac:dyDescent="0.2">
      <c r="A189" s="269" t="s">
        <v>99</v>
      </c>
      <c r="B189" s="269"/>
      <c r="C189" s="270">
        <f>IF(ISERROR(GETPIVOTDATA("Somma di DARE",'Pivot Fineco Sa'!$A$3,"Mese",1,"Tipologia",$A189,"Viaggio",$A$183)),0,GETPIVOTDATA("Somma di DARE",'Pivot Fineco Sa'!$A$3,"Mese",1,"Tipologia",$A189,"Viaggio",$A$183))
+IF(ISERROR(GETPIVOTDATA("Somma di DARE",'Pivot Fineco St'!$A$3,"Mese",1,"Tipologia",$A189,"Viaggio",$A$183)),0,GETPIVOTDATA("Somma di DARE",'Pivot Fineco St'!$A$3,"Mese",1,"Tipologia",$A189,"Viaggio",$A$183))
+IF(Contanti!$E44='Conto Economico'!$A$183,Contanti!$B44)
+IF(ISERROR(GETPIVOTDATA("Somma di DARE",'Pivot BBVA'!$A$3,"Mese",1,"Tipologia",$A189,"Viaggio",$A$183)),0,GETPIVOTDATA("Somma di DARE",'Pivot BBVA'!$A$3,"Mese",1,"Tipologia",$A189,"Viaggio",$A$183))
+IF(ISERROR(GETPIVOTDATA("Somma di DARE",'Pivot Amex'!$A$3,"Mese",1,"Tipologia",$A189,"Viaggio",$A$183)),0,GETPIVOTDATA("Somma di DARE",'Pivot Amex'!$A$3,"Mese",1,"Tipologia",$A189,"Viaggio",$A$183))
-IF(ISERROR(GETPIVOTDATA("Somma di AVERE",'Pivot Amex'!$A$3,"Mese",1,"Tipologia",$A189,"Viaggio",$A$183)),0,GETPIVOTDATA("Somma di AVERE",'Pivot Amex'!$A$3,"Mese",1,"Tipologia",$A189,"Viaggio",$A$183))
-IF(ISERROR(GETPIVOTDATA("Somma di AVERE",'Pivot BBVA'!$A$3,"Mese",1,"Tipologia",$A189,"Viaggio",$A$183)),0,GETPIVOTDATA("Somma di AVERE",'Pivot BBVA'!$A$3,"Mese",1,"Tipologia",$A189,"Viaggio",$A$183))
-IF(ISERROR(GETPIVOTDATA("Somma di AVERE",'Pivot Fineco St'!$A$3,"Mese",1,"Tipologia",$A189,"Viaggio",$A$183)),0,GETPIVOTDATA("Somma di AVERE",'Pivot Fineco St'!$A$3,"Mese",1,"Tipologia",$A189,"Viaggio",$A$183))
-IF(ISERROR(GETPIVOTDATA("Somma di AVERE",'Pivot Fineco Sa'!$A$3,"Mese",1,"Tipologia",$A189,"Viaggio",$A$183)),0,GETPIVOTDATA("Somma di AVERE",'Pivot Fineco Sa'!$A$3,"Mese",1,"Tipologia",$A189,"Viaggio",$A$183))
+IF(ISERROR(GETPIVOTDATA("Somma di DARE",'Pivot PP Visa'!$A$3,"Mese",1,"Tipologia",$A189,"Viaggio",$A$183)),0,GETPIVOTDATA("Somma di DARE",'Pivot PP Visa'!$A$3,"Mese",1,"Tipologia",$A189,"Viaggio",$A$183))
-IF(ISERROR(GETPIVOTDATA("Somma di AVERE",'Pivot PP Visa'!$A$3,"Mese",1,"Tipologia",$A189,"Viaggio",$A$183)),0,GETPIVOTDATA("Somma di AVERE",'Pivot PP Visa'!$A$3,"Mese",1,"Tipologia",$A189,"Viaggio",$A$183))
+IF(ISERROR(GETPIVOTDATA("Somma di DARE",'Pivot Revolut'!$A$3,"Mese",1,"Tipologia",$A189,"Viaggio",$A$183)),0,GETPIVOTDATA("Somma di DARE",'Pivot Revolut'!$A$3,"Mese",1,"Tipologia",$A189,"Viaggio",$A$183))
-IF(ISERROR(GETPIVOTDATA("Somma di AVERE",'Pivot Revolut'!$A$3,"Mese",1,"Tipologia",$A189,"Viaggio",$A$183)),0,GETPIVOTDATA("Somma di AVERE",'Pivot Revolut'!$A$3,"Mese",1,"Tipologia",$A189,"Viaggio",$A$183))
+IF(ISERROR(GETPIVOTDATA("Somma di DARE",'Pivot RakBank EUR'!$A$3,"Mese",1,"Tipologia",$A189,"Viaggio",$A$183)),0,GETPIVOTDATA("Somma di DARE",'Pivot RakBank EUR'!$A$3,"Mese",1,"Tipologia",$A189,"Viaggio",$A$183))
-IF(ISERROR(GETPIVOTDATA("Somma di AVERE",'Pivot RakBank EUR'!$A$3,"Mese",1,"Tipologia",$A189,"Viaggio",$A$183)),0,GETPIVOTDATA("Somma di AVERE",'Pivot RakBank EUR'!$A$3,"Mese",1,"Tipologia",$A189,"Viaggio",$A$183))
+IF(ISERROR(GETPIVOTDATA("Somma di DARE EUR",'Pivot RakBank AED'!$A$3,"Mese",1,"Tipologia",$A189,"Viaggio",$A$183)),0,GETPIVOTDATA("Somma di DARE EUR",'Pivot RakBank AED'!$A$3,"Mese",1,"Tipologia",$A189,"Viaggio",$A$183))
-IF(ISERROR(GETPIVOTDATA("Somma di AVERE EUR",'Pivot RakBank AED'!$A$3,"Mese",1,"Tipologia",$A189,"Viaggio",$A$183)),0,GETPIVOTDATA("Somma di AVERE EUR",'Pivot RakBank AED'!$A$3,"Mese",1,"Tipologia",$A189,"Viaggio",$A$183))</f>
        <v>0</v>
      </c>
      <c r="D189" s="270">
        <f>IF(ISERROR(GETPIVOTDATA("Somma di DARE",'Pivot Fineco Sa'!$A$3,"Mese",2,"Tipologia",$A189,"Viaggio",$A$183)),0,GETPIVOTDATA("Somma di DARE",'Pivot Fineco Sa'!$A$3,"Mese",2,"Tipologia",$A189,"Viaggio",$A$183))
+IF(ISERROR(GETPIVOTDATA("Somma di DARE",'Pivot Fineco St'!$A$3,"Mese",2,"Tipologia",$A189,"Viaggio",$A$183)),0,GETPIVOTDATA("Somma di DARE",'Pivot Fineco St'!$A$3,"Mese",2,"Tipologia",$A189,"Viaggio",$A$183))
+IF(Contanti!$I44='Conto Economico'!$A$183,Contanti!$F44)
+IF(ISERROR(GETPIVOTDATA("Somma di DARE",'Pivot BBVA'!$A$3,"Mese",2,"Tipologia",$A189,"Viaggio",$A$183)),0,GETPIVOTDATA("Somma di DARE",'Pivot BBVA'!$A$3,"Mese",2,"Tipologia",$A189,"Viaggio",$A$183))
+IF(ISERROR(GETPIVOTDATA("Somma di DARE",'Pivot Amex'!$A$3,"Mese",2,"Tipologia",$A189,"Viaggio",$A$183)),0,GETPIVOTDATA("Somma di DARE",'Pivot Amex'!$A$3,"Mese",2,"Tipologia",$A189,"Viaggio",$A$183))
-IF(ISERROR(GETPIVOTDATA("Somma di AVERE",'Pivot Amex'!$A$3,"Mese",2,"Tipologia",$A189,"Viaggio",$A$183)),0,GETPIVOTDATA("Somma di AVERE",'Pivot Amex'!$A$3,"Mese",2,"Tipologia",$A189,"Viaggio",$A$183))
-IF(ISERROR(GETPIVOTDATA("Somma di AVERE",'Pivot BBVA'!$A$3,"Mese",2,"Tipologia",$A189,"Viaggio",$A$183)),0,GETPIVOTDATA("Somma di AVERE",'Pivot BBVA'!$A$3,"Mese",2,"Tipologia",$A189,"Viaggio",$A$183))
-IF(ISERROR(GETPIVOTDATA("Somma di AVERE",'Pivot Fineco St'!$A$3,"Mese",2,"Tipologia",$A189,"Viaggio",$A$183)),0,GETPIVOTDATA("Somma di AVERE",'Pivot Fineco St'!$A$3,"Mese",2,"Tipologia",$A189,"Viaggio",$A$183))
-IF(ISERROR(GETPIVOTDATA("Somma di AVERE",'Pivot Fineco Sa'!$A$3,"Mese",2,"Tipologia",$A189,"Viaggio",$A$183)),0,GETPIVOTDATA("Somma di AVERE",'Pivot Fineco Sa'!$A$3,"Mese",2,"Tipologia",$A189,"Viaggio",$A$183))
+IF(ISERROR(GETPIVOTDATA("Somma di DARE",'Pivot PP Visa'!$A$3,"Mese",2,"Tipologia",$A189,"Viaggio",$A$183)),0,GETPIVOTDATA("Somma di DARE",'Pivot PP Visa'!$A$3,"Mese",2,"Tipologia",$A189,"Viaggio",$A$183))
-IF(ISERROR(GETPIVOTDATA("Somma di AVERE",'Pivot PP Visa'!$A$3,"Mese",2,"Tipologia",$A189,"Viaggio",$A$183)),0,GETPIVOTDATA("Somma di AVERE",'Pivot PP Visa'!$A$3,"Mese",2,"Tipologia",$A189,"Viaggio",$A$183))
+IF(ISERROR(GETPIVOTDATA("Somma di DARE",'Pivot Revolut'!$A$3,"Mese",2,"Tipologia",$A189,"Viaggio",$A$183)),0,GETPIVOTDATA("Somma di DARE",'Pivot Revolut'!$A$3,"Mese",2,"Tipologia",$A189,"Viaggio",$A$183))
-IF(ISERROR(GETPIVOTDATA("Somma di AVERE",'Pivot Revolut'!$A$3,"Mese",2,"Tipologia",$A189,"Viaggio",$A$183)),0,GETPIVOTDATA("Somma di AVERE",'Pivot Revolut'!$A$3,"Mese",2,"Tipologia",$A189,"Viaggio",$A$183))
+IF(ISERROR(GETPIVOTDATA("Somma di DARE",'Pivot RakBank EUR'!$A$3,"Mese",2,"Tipologia",$A189,"Viaggio",$A$183)),0,GETPIVOTDATA("Somma di DARE",'Pivot RakBank EUR'!$A$3,"Mese",2,"Tipologia",$A189,"Viaggio",$A$183))
-IF(ISERROR(GETPIVOTDATA("Somma di AVERE",'Pivot RakBank EUR'!$A$3,"Mese",2,"Tipologia",$A189,"Viaggio",$A$183)),0,GETPIVOTDATA("Somma di AVERE",'Pivot RakBank EUR'!$A$3,"Mese",2,"Tipologia",$A189,"Viaggio",$A$183))
+IF(ISERROR(GETPIVOTDATA("Somma di DARE EUR",'Pivot RakBank AED'!$A$3,"Mese",2,"Tipologia",$A189,"Viaggio",$A$183)),0,GETPIVOTDATA("Somma di DARE EUR",'Pivot RakBank AED'!$A$3,"Mese",2,"Tipologia",$A189,"Viaggio",$A$183))
-IF(ISERROR(GETPIVOTDATA("Somma di AVERE EUR",'Pivot RakBank AED'!$A$3,"Mese",2,"Tipologia",$A189,"Viaggio",$A$183)),0,GETPIVOTDATA("Somma di AVERE EUR",'Pivot RakBank AED'!$A$3,"Mese",2,"Tipologia",$A189,"Viaggio",$A$183))</f>
        <v>0</v>
      </c>
      <c r="E189" s="270">
        <f>IF(ISERROR(GETPIVOTDATA("Somma di DARE",'Pivot Fineco Sa'!$A$3,"Mese",3,"Tipologia",$A189,"Viaggio",$A$183)),0,GETPIVOTDATA("Somma di DARE",'Pivot Fineco Sa'!$A$3,"Mese",3,"Tipologia",$A189,"Viaggio",$A$183))
+IF(ISERROR(GETPIVOTDATA("Somma di DARE",'Pivot Fineco St'!$A$3,"Mese",3,"Tipologia",$A189,"Viaggio",$A$183)),0,GETPIVOTDATA("Somma di DARE",'Pivot Fineco St'!$A$3,"Mese",3,"Tipologia",$A189,"Viaggio",$A$183))
+IF(Contanti!$M44='Conto Economico'!$A$183,Contanti!$J44)
+IF(ISERROR(GETPIVOTDATA("Somma di DARE",'Pivot BBVA'!$A$3,"Mese",3,"Tipologia",$A189,"Viaggio",$A$183)),0,GETPIVOTDATA("Somma di DARE",'Pivot BBVA'!$A$3,"Mese",3,"Tipologia",$A189,"Viaggio",$A$183))
+IF(ISERROR(GETPIVOTDATA("Somma di DARE",'Pivot Amex'!$A$3,"Mese",3,"Tipologia",$A189,"Viaggio",$A$183)),0,GETPIVOTDATA("Somma di DARE",'Pivot Amex'!$A$3,"Mese",3,"Tipologia",$A189,"Viaggio",$A$183))
-IF(ISERROR(GETPIVOTDATA("Somma di AVERE",'Pivot Amex'!$A$3,"Mese",3,"Tipologia",$A189,"Viaggio",$A$183)),0,GETPIVOTDATA("Somma di AVERE",'Pivot Amex'!$A$3,"Mese",3,"Tipologia",$A189,"Viaggio",$A$183))
-IF(ISERROR(GETPIVOTDATA("Somma di AVERE",'Pivot BBVA'!$A$3,"Mese",3,"Tipologia",$A189,"Viaggio",$A$183)),0,GETPIVOTDATA("Somma di AVERE",'Pivot BBVA'!$A$3,"Mese",3,"Tipologia",$A189,"Viaggio",$A$183))
-IF(ISERROR(GETPIVOTDATA("Somma di AVERE",'Pivot Fineco St'!$A$3,"Mese",3,"Tipologia",$A189,"Viaggio",$A$183)),0,GETPIVOTDATA("Somma di AVERE",'Pivot Fineco St'!$A$3,"Mese",3,"Tipologia",$A189,"Viaggio",$A$183))
-IF(ISERROR(GETPIVOTDATA("Somma di AVERE",'Pivot Fineco Sa'!$A$3,"Mese",3,"Tipologia",$A189,"Viaggio",$A$183)),0,GETPIVOTDATA("Somma di AVERE",'Pivot Fineco Sa'!$A$3,"Mese",3,"Tipologia",$A189,"Viaggio",$A$183))
+IF(ISERROR(GETPIVOTDATA("Somma di DARE",'Pivot PP Visa'!$A$3,"Mese",3,"Tipologia",$A189,"Viaggio",$A$183)),0,GETPIVOTDATA("Somma di DARE",'Pivot PP Visa'!$A$3,"Mese",3,"Tipologia",$A189,"Viaggio",$A$183))
-IF(ISERROR(GETPIVOTDATA("Somma di AVERE",'Pivot PP Visa'!$A$3,"Mese",3,"Tipologia",$A189,"Viaggio",$A$183)),0,GETPIVOTDATA("Somma di AVERE",'Pivot PP Visa'!$A$3,"Mese",3,"Tipologia",$A189,"Viaggio",$A$183))
+IF(ISERROR(GETPIVOTDATA("Somma di DARE",'Pivot Revolut'!$A$3,"Mese",3,"Tipologia",$A189,"Viaggio",$A$183)),0,GETPIVOTDATA("Somma di DARE",'Pivot Revolut'!$A$3,"Mese",3,"Tipologia",$A189,"Viaggio",$A$183))
-IF(ISERROR(GETPIVOTDATA("Somma di AVERE",'Pivot Revolut'!$A$3,"Mese",3,"Tipologia",$A189,"Viaggio",$A$183)),0,GETPIVOTDATA("Somma di AVERE",'Pivot Revolut'!$A$3,"Mese",3,"Tipologia",$A189,"Viaggio",$A$183))
+IF(ISERROR(GETPIVOTDATA("Somma di DARE",'Pivot RakBank EUR'!$A$3,"Mese",3,"Tipologia",$A189,"Viaggio",$A$183)),0,GETPIVOTDATA("Somma di DARE",'Pivot RakBank EUR'!$A$3,"Mese",3,"Tipologia",$A189,"Viaggio",$A$183))
-IF(ISERROR(GETPIVOTDATA("Somma di AVERE",'Pivot RakBank EUR'!$A$3,"Mese",3,"Tipologia",$A189,"Viaggio",$A$183)),0,GETPIVOTDATA("Somma di AVERE",'Pivot RakBank EUR'!$A$3,"Mese",3,"Tipologia",$A189,"Viaggio",$A$183))
+IF(ISERROR(GETPIVOTDATA("Somma di DARE EUR",'Pivot RakBank AED'!$A$3,"Mese",3,"Tipologia",$A189,"Viaggio",$A$183)),0,GETPIVOTDATA("Somma di DARE EUR",'Pivot RakBank AED'!$A$3,"Mese",3,"Tipologia",$A189,"Viaggio",$A$183))
-IF(ISERROR(GETPIVOTDATA("Somma di AVERE EUR",'Pivot RakBank AED'!$A$3,"Mese",3,"Tipologia",$A189,"Viaggio",$A$183)),0,GETPIVOTDATA("Somma di AVERE EUR",'Pivot RakBank AED'!$A$3,"Mese",3,"Tipologia",$A189,"Viaggio",$A$183))</f>
        <v>0</v>
      </c>
      <c r="F189" s="270">
        <f>IF(ISERROR(GETPIVOTDATA("Somma di DARE",'Pivot Fineco Sa'!$A$3,"Mese",4,"Tipologia",$A189,"Viaggio",$A$183)),0,GETPIVOTDATA("Somma di DARE",'Pivot Fineco Sa'!$A$3,"Mese",4,"Tipologia",$A189,"Viaggio",$A$183))
+IF(ISERROR(GETPIVOTDATA("Somma di DARE",'Pivot Fineco St'!$A$3,"Mese",4,"Tipologia",$A189,"Viaggio",$A$183)),0,GETPIVOTDATA("Somma di DARE",'Pivot Fineco St'!$A$3,"Mese",4,"Tipologia",$A189,"Viaggio",$A$183))
+IF(Contanti!$Q44='Conto Economico'!$A$183,Contanti!$N44)
+IF(ISERROR(GETPIVOTDATA("Somma di DARE",'Pivot BBVA'!$A$3,"Mese",4,"Tipologia",$A189,"Viaggio",$A$183)),0,GETPIVOTDATA("Somma di DARE",'Pivot BBVA'!$A$3,"Mese",4,"Tipologia",$A189,"Viaggio",$A$183))
+IF(ISERROR(GETPIVOTDATA("Somma di DARE",'Pivot Amex'!$A$3,"Mese",4,"Tipologia",$A189,"Viaggio",$A$183)),0,GETPIVOTDATA("Somma di DARE",'Pivot Amex'!$A$3,"Mese",4,"Tipologia",$A189,"Viaggio",$A$183))
-IF(ISERROR(GETPIVOTDATA("Somma di AVERE",'Pivot Amex'!$A$3,"Mese",4,"Tipologia",$A189,"Viaggio",$A$183)),0,GETPIVOTDATA("Somma di AVERE",'Pivot Amex'!$A$3,"Mese",4,"Tipologia",$A189,"Viaggio",$A$183))
-IF(ISERROR(GETPIVOTDATA("Somma di AVERE",'Pivot BBVA'!$A$3,"Mese",4,"Tipologia",$A189,"Viaggio",$A$183)),0,GETPIVOTDATA("Somma di AVERE",'Pivot BBVA'!$A$3,"Mese",4,"Tipologia",$A189,"Viaggio",$A$183))
-IF(ISERROR(GETPIVOTDATA("Somma di AVERE",'Pivot Fineco St'!$A$3,"Mese",4,"Tipologia",$A189,"Viaggio",$A$183)),0,GETPIVOTDATA("Somma di AVERE",'Pivot Fineco St'!$A$3,"Mese",4,"Tipologia",$A189,"Viaggio",$A$183))
-IF(ISERROR(GETPIVOTDATA("Somma di AVERE",'Pivot Fineco Sa'!$A$3,"Mese",4,"Tipologia",$A189,"Viaggio",$A$183)),0,GETPIVOTDATA("Somma di AVERE",'Pivot Fineco Sa'!$A$3,"Mese",4,"Tipologia",$A189,"Viaggio",$A$183))
+IF(ISERROR(GETPIVOTDATA("Somma di DARE",'Pivot PP Visa'!$A$3,"Mese",4,"Tipologia",$A189,"Viaggio",$A$183)),0,GETPIVOTDATA("Somma di DARE",'Pivot PP Visa'!$A$3,"Mese",4,"Tipologia",$A189,"Viaggio",$A$183))
-IF(ISERROR(GETPIVOTDATA("Somma di AVERE",'Pivot PP Visa'!$A$3,"Mese",4,"Tipologia",$A189,"Viaggio",$A$183)),0,GETPIVOTDATA("Somma di AVERE",'Pivot PP Visa'!$A$3,"Mese",4,"Tipologia",$A189,"Viaggio",$A$183))
+IF(ISERROR(GETPIVOTDATA("Somma di DARE",'Pivot Revolut'!$A$3,"Mese",4,"Tipologia",$A189,"Viaggio",$A$183)),0,GETPIVOTDATA("Somma di DARE",'Pivot Revolut'!$A$3,"Mese",4,"Tipologia",$A189,"Viaggio",$A$183))
-IF(ISERROR(GETPIVOTDATA("Somma di AVERE",'Pivot Revolut'!$A$3,"Mese",4,"Tipologia",$A189,"Viaggio",$A$183)),0,GETPIVOTDATA("Somma di AVERE",'Pivot Revolut'!$A$3,"Mese",4,"Tipologia",$A189,"Viaggio",$A$183))
+IF(ISERROR(GETPIVOTDATA("Somma di DARE",'Pivot RakBank EUR'!$A$3,"Mese",4,"Tipologia",$A189,"Viaggio",$A$183)),0,GETPIVOTDATA("Somma di DARE",'Pivot RakBank EUR'!$A$3,"Mese",4,"Tipologia",$A189,"Viaggio",$A$183))
-IF(ISERROR(GETPIVOTDATA("Somma di AVERE",'Pivot RakBank EUR'!$A$3,"Mese",4,"Tipologia",$A189,"Viaggio",$A$183)),0,GETPIVOTDATA("Somma di AVERE",'Pivot RakBank EUR'!$A$3,"Mese",4,"Tipologia",$A189,"Viaggio",$A$183))
+IF(ISERROR(GETPIVOTDATA("Somma di DARE EUR",'Pivot RakBank AED'!$A$3,"Mese",4,"Tipologia",$A189,"Viaggio",$A$183)),0,GETPIVOTDATA("Somma di DARE EUR",'Pivot RakBank AED'!$A$3,"Mese",4,"Tipologia",$A189,"Viaggio",$A$183))
-IF(ISERROR(GETPIVOTDATA("Somma di AVERE EUR",'Pivot RakBank AED'!$A$3,"Mese",4,"Tipologia",$A189,"Viaggio",$A$183)),0,GETPIVOTDATA("Somma di AVERE EUR",'Pivot RakBank AED'!$A$3,"Mese",4,"Tipologia",$A189,"Viaggio",$A$183))</f>
        <v>0</v>
      </c>
      <c r="G189" s="270">
        <f>IF(ISERROR(GETPIVOTDATA("Somma di DARE",'Pivot Fineco Sa'!$A$3,"Mese",5,"Tipologia",$A189,"Viaggio",$A$183)),0,GETPIVOTDATA("Somma di DARE",'Pivot Fineco Sa'!$A$3,"Mese",5,"Tipologia",$A189,"Viaggio",$A$183))
+IF(ISERROR(GETPIVOTDATA("Somma di DARE",'Pivot Fineco St'!$A$3,"Mese",5,"Tipologia",$A189,"Viaggio",$A$183)),0,GETPIVOTDATA("Somma di DARE",'Pivot Fineco St'!$A$3,"Mese",5,"Tipologia",$A189,"Viaggio",$A$183))
+IF(Contanti!$U44='Conto Economico'!$A$183,Contanti!$R44)
+IF(ISERROR(GETPIVOTDATA("Somma di DARE",'Pivot BBVA'!$A$3,"Mese",5,"Tipologia",$A189,"Viaggio",$A$183)),0,GETPIVOTDATA("Somma di DARE",'Pivot BBVA'!$A$3,"Mese",5,"Tipologia",$A189,"Viaggio",$A$183))
+IF(ISERROR(GETPIVOTDATA("Somma di DARE",'Pivot Amex'!$A$3,"Mese",5,"Tipologia",$A189,"Viaggio",$A$183)),0,GETPIVOTDATA("Somma di DARE",'Pivot Amex'!$A$3,"Mese",5,"Tipologia",$A189,"Viaggio",$A$183))
-IF(ISERROR(GETPIVOTDATA("Somma di AVERE",'Pivot Amex'!$A$3,"Mese",5,"Tipologia",$A189,"Viaggio",$A$183)),0,GETPIVOTDATA("Somma di AVERE",'Pivot Amex'!$A$3,"Mese",5,"Tipologia",$A189,"Viaggio",$A$183))
-IF(ISERROR(GETPIVOTDATA("Somma di AVERE",'Pivot BBVA'!$A$3,"Mese",5,"Tipologia",$A189,"Viaggio",$A$183)),0,GETPIVOTDATA("Somma di AVERE",'Pivot BBVA'!$A$3,"Mese",5,"Tipologia",$A189,"Viaggio",$A$183))
-IF(ISERROR(GETPIVOTDATA("Somma di AVERE",'Pivot Fineco St'!$A$3,"Mese",5,"Tipologia",$A189,"Viaggio",$A$183)),0,GETPIVOTDATA("Somma di AVERE",'Pivot Fineco St'!$A$3,"Mese",5,"Tipologia",$A189,"Viaggio",$A$183))
-IF(ISERROR(GETPIVOTDATA("Somma di AVERE",'Pivot Fineco Sa'!$A$3,"Mese",5,"Tipologia",$A189,"Viaggio",$A$183)),0,GETPIVOTDATA("Somma di AVERE",'Pivot Fineco Sa'!$A$3,"Mese",5,"Tipologia",$A189,"Viaggio",$A$183))
+IF(ISERROR(GETPIVOTDATA("Somma di DARE",'Pivot PP Visa'!$A$3,"Mese",5,"Tipologia",$A189,"Viaggio",$A$183)),0,GETPIVOTDATA("Somma di DARE",'Pivot PP Visa'!$A$3,"Mese",5,"Tipologia",$A189,"Viaggio",$A$183))
-IF(ISERROR(GETPIVOTDATA("Somma di AVERE",'Pivot PP Visa'!$A$3,"Mese",5,"Tipologia",$A189,"Viaggio",$A$183)),0,GETPIVOTDATA("Somma di AVERE",'Pivot PP Visa'!$A$3,"Mese",5,"Tipologia",$A189,"Viaggio",$A$183))
+IF(ISERROR(GETPIVOTDATA("Somma di DARE",'Pivot Revolut'!$A$3,"Mese",5,"Tipologia",$A189,"Viaggio",$A$183)),0,GETPIVOTDATA("Somma di DARE",'Pivot Revolut'!$A$3,"Mese",5,"Tipologia",$A189,"Viaggio",$A$183))
-IF(ISERROR(GETPIVOTDATA("Somma di AVERE",'Pivot Revolut'!$A$3,"Mese",5,"Tipologia",$A189,"Viaggio",$A$183)),0,GETPIVOTDATA("Somma di AVERE",'Pivot Revolut'!$A$3,"Mese",5,"Tipologia",$A189,"Viaggio",$A$183))
+IF(ISERROR(GETPIVOTDATA("Somma di DARE",'Pivot RakBank EUR'!$A$3,"Mese",5,"Tipologia",$A189,"Viaggio",$A$183)),0,GETPIVOTDATA("Somma di DARE",'Pivot RakBank EUR'!$A$3,"Mese",5,"Tipologia",$A189,"Viaggio",$A$183))
-IF(ISERROR(GETPIVOTDATA("Somma di AVERE",'Pivot RakBank EUR'!$A$3,"Mese",5,"Tipologia",$A189,"Viaggio",$A$183)),0,GETPIVOTDATA("Somma di AVERE",'Pivot RakBank EUR'!$A$3,"Mese",5,"Tipologia",$A189,"Viaggio",$A$183))
+IF(ISERROR(GETPIVOTDATA("Somma di DARE EUR",'Pivot RakBank AED'!$A$3,"Mese",5,"Tipologia",$A189,"Viaggio",$A$183)),0,GETPIVOTDATA("Somma di DARE EUR",'Pivot RakBank AED'!$A$3,"Mese",5,"Tipologia",$A189,"Viaggio",$A$183))
-IF(ISERROR(GETPIVOTDATA("Somma di AVERE EUR",'Pivot RakBank AED'!$A$3,"Mese",5,"Tipologia",$A189,"Viaggio",$A$183)),0,GETPIVOTDATA("Somma di AVERE EUR",'Pivot RakBank AED'!$A$3,"Mese",5,"Tipologia",$A189,"Viaggio",$A$183))</f>
        <v>0</v>
      </c>
      <c r="H189" s="270">
        <f>IF(ISERROR(GETPIVOTDATA("Somma di DARE",'Pivot Fineco Sa'!$A$3,"Mese",6,"Tipologia",$A189,"Viaggio",$A$183)),0,GETPIVOTDATA("Somma di DARE",'Pivot Fineco Sa'!$A$3,"Mese",6,"Tipologia",$A189,"Viaggio",$A$183))
+IF(ISERROR(GETPIVOTDATA("Somma di DARE",'Pivot Fineco St'!$A$3,"Mese",6,"Tipologia",$A189,"Viaggio",$A$183)),0,GETPIVOTDATA("Somma di DARE",'Pivot Fineco St'!$A$3,"Mese",6,"Tipologia",$A189,"Viaggio",$A$183))
+IF(Contanti!$Y44='Conto Economico'!$A$183,Contanti!$V44)
+IF(ISERROR(GETPIVOTDATA("Somma di DARE",'Pivot BBVA'!$A$3,"Mese",6,"Tipologia",$A189,"Viaggio",$A$183)),0,GETPIVOTDATA("Somma di DARE",'Pivot BBVA'!$A$3,"Mese",6,"Tipologia",$A189,"Viaggio",$A$183))
+IF(ISERROR(GETPIVOTDATA("Somma di DARE",'Pivot Amex'!$A$3,"Mese",6,"Tipologia",$A189,"Viaggio",$A$183)),0,GETPIVOTDATA("Somma di DARE",'Pivot Amex'!$A$3,"Mese",6,"Tipologia",$A189,"Viaggio",$A$183))
-IF(ISERROR(GETPIVOTDATA("Somma di AVERE",'Pivot Amex'!$A$3,"Mese",6,"Tipologia",$A189,"Viaggio",$A$183)),0,GETPIVOTDATA("Somma di AVERE",'Pivot Amex'!$A$3,"Mese",6,"Tipologia",$A189,"Viaggio",$A$183))
-IF(ISERROR(GETPIVOTDATA("Somma di AVERE",'Pivot BBVA'!$A$3,"Mese",6,"Tipologia",$A189,"Viaggio",$A$183)),0,GETPIVOTDATA("Somma di AVERE",'Pivot BBVA'!$A$3,"Mese",6,"Tipologia",$A189,"Viaggio",$A$183))
-IF(ISERROR(GETPIVOTDATA("Somma di AVERE",'Pivot Fineco St'!$A$3,"Mese",6,"Tipologia",$A189,"Viaggio",$A$183)),0,GETPIVOTDATA("Somma di AVERE",'Pivot Fineco St'!$A$3,"Mese",6,"Tipologia",$A189,"Viaggio",$A$183))
-IF(ISERROR(GETPIVOTDATA("Somma di AVERE",'Pivot Fineco Sa'!$A$3,"Mese",6,"Tipologia",$A189,"Viaggio",$A$183)),0,GETPIVOTDATA("Somma di AVERE",'Pivot Fineco Sa'!$A$3,"Mese",6,"Tipologia",$A189,"Viaggio",$A$183))
+IF(ISERROR(GETPIVOTDATA("Somma di DARE",'Pivot PP Visa'!$A$3,"Mese",6,"Tipologia",$A189,"Viaggio",$A$183)),0,GETPIVOTDATA("Somma di DARE",'Pivot PP Visa'!$A$3,"Mese",6,"Tipologia",$A189,"Viaggio",$A$183))
-IF(ISERROR(GETPIVOTDATA("Somma di AVERE",'Pivot PP Visa'!$A$3,"Mese",6,"Tipologia",$A189,"Viaggio",$A$183)),0,GETPIVOTDATA("Somma di AVERE",'Pivot PP Visa'!$A$3,"Mese",6,"Tipologia",$A189,"Viaggio",$A$183))
+IF(ISERROR(GETPIVOTDATA("Somma di DARE",'Pivot Revolut'!$A$3,"Mese",6,"Tipologia",$A189,"Viaggio",$A$183)),0,GETPIVOTDATA("Somma di DARE",'Pivot Revolut'!$A$3,"Mese",6,"Tipologia",$A189,"Viaggio",$A$183))
-IF(ISERROR(GETPIVOTDATA("Somma di AVERE",'Pivot Revolut'!$A$3,"Mese",6,"Tipologia",$A189,"Viaggio",$A$183)),0,GETPIVOTDATA("Somma di AVERE",'Pivot Revolut'!$A$3,"Mese",6,"Tipologia",$A189,"Viaggio",$A$183))
+IF(ISERROR(GETPIVOTDATA("Somma di DARE",'Pivot RakBank EUR'!$A$3,"Mese",6,"Tipologia",$A189,"Viaggio",$A$183)),0,GETPIVOTDATA("Somma di DARE",'Pivot RakBank EUR'!$A$3,"Mese",6,"Tipologia",$A189,"Viaggio",$A$183))
-IF(ISERROR(GETPIVOTDATA("Somma di AVERE",'Pivot RakBank EUR'!$A$3,"Mese",6,"Tipologia",$A189,"Viaggio",$A$183)),0,GETPIVOTDATA("Somma di AVERE",'Pivot RakBank EUR'!$A$3,"Mese",6,"Tipologia",$A189,"Viaggio",$A$183))
+IF(ISERROR(GETPIVOTDATA("Somma di DARE EUR",'Pivot RakBank AED'!$A$3,"Mese",6,"Tipologia",$A189,"Viaggio",$A$183)),0,GETPIVOTDATA("Somma di DARE EUR",'Pivot RakBank AED'!$A$3,"Mese",6,"Tipologia",$A189,"Viaggio",$A$183))
-IF(ISERROR(GETPIVOTDATA("Somma di AVERE EUR",'Pivot RakBank AED'!$A$3,"Mese",6,"Tipologia",$A189,"Viaggio",$A$183)),0,GETPIVOTDATA("Somma di AVERE EUR",'Pivot RakBank AED'!$A$3,"Mese",6,"Tipologia",$A189,"Viaggio",$A$183))</f>
        <v>0</v>
      </c>
      <c r="I189" s="270">
        <f>IF(ISERROR(GETPIVOTDATA("Somma di DARE",'Pivot Fineco Sa'!$A$3,"Mese",7,"Tipologia",$A189,"Viaggio",$A$183)),0,GETPIVOTDATA("Somma di DARE",'Pivot Fineco Sa'!$A$3,"Mese",7,"Tipologia",$A189,"Viaggio",$A$183))
+IF(ISERROR(GETPIVOTDATA("Somma di DARE",'Pivot Fineco St'!$A$3,"Mese",7,"Tipologia",$A189,"Viaggio",$A$183)),0,GETPIVOTDATA("Somma di DARE",'Pivot Fineco St'!$A$3,"Mese",7,"Tipologia",$A189,"Viaggio",$A$183))
+IF(Contanti!$AC44='Conto Economico'!$A$183,Contanti!$Z44)
+IF(ISERROR(GETPIVOTDATA("Somma di DARE",'Pivot BBVA'!$A$3,"Mese",7,"Tipologia",$A189,"Viaggio",$A$183)),0,GETPIVOTDATA("Somma di DARE",'Pivot BBVA'!$A$3,"Mese",7,"Tipologia",$A189,"Viaggio",$A$183))
+IF(ISERROR(GETPIVOTDATA("Somma di DARE",'Pivot Amex'!$A$3,"Mese",7,"Tipologia",$A189,"Viaggio",$A$183)),0,GETPIVOTDATA("Somma di DARE",'Pivot Amex'!$A$3,"Mese",7,"Tipologia",$A189,"Viaggio",$A$183))
-IF(ISERROR(GETPIVOTDATA("Somma di AVERE",'Pivot Amex'!$A$3,"Mese",7,"Tipologia",$A189,"Viaggio",$A$183)),0,GETPIVOTDATA("Somma di AVERE",'Pivot Amex'!$A$3,"Mese",7,"Tipologia",$A189,"Viaggio",$A$183))
-IF(ISERROR(GETPIVOTDATA("Somma di AVERE",'Pivot BBVA'!$A$3,"Mese",7,"Tipologia",$A189,"Viaggio",$A$183)),0,GETPIVOTDATA("Somma di AVERE",'Pivot BBVA'!$A$3,"Mese",7,"Tipologia",$A189,"Viaggio",$A$183))
-IF(ISERROR(GETPIVOTDATA("Somma di AVERE",'Pivot Fineco St'!$A$3,"Mese",7,"Tipologia",$A189,"Viaggio",$A$183)),0,GETPIVOTDATA("Somma di AVERE",'Pivot Fineco St'!$A$3,"Mese",7,"Tipologia",$A189,"Viaggio",$A$183))
-IF(ISERROR(GETPIVOTDATA("Somma di AVERE",'Pivot Fineco Sa'!$A$3,"Mese",7,"Tipologia",$A189,"Viaggio",$A$183)),0,GETPIVOTDATA("Somma di AVERE",'Pivot Fineco Sa'!$A$3,"Mese",7,"Tipologia",$A189,"Viaggio",$A$183))
+IF(ISERROR(GETPIVOTDATA("Somma di DARE",'Pivot PP Visa'!$A$3,"Mese",7,"Tipologia",$A189,"Viaggio",$A$183)),0,GETPIVOTDATA("Somma di DARE",'Pivot PP Visa'!$A$3,"Mese",7,"Tipologia",$A189,"Viaggio",$A$183))
-IF(ISERROR(GETPIVOTDATA("Somma di AVERE",'Pivot PP Visa'!$A$3,"Mese",7,"Tipologia",$A189,"Viaggio",$A$183)),0,GETPIVOTDATA("Somma di AVERE",'Pivot PP Visa'!$A$3,"Mese",7,"Tipologia",$A189,"Viaggio",$A$183))
+IF(ISERROR(GETPIVOTDATA("Somma di DARE",'Pivot Revolut'!$A$3,"Mese",7,"Tipologia",$A189,"Viaggio",$A$183)),0,GETPIVOTDATA("Somma di DARE",'Pivot Revolut'!$A$3,"Mese",7,"Tipologia",$A189,"Viaggio",$A$183))
-IF(ISERROR(GETPIVOTDATA("Somma di AVERE",'Pivot Revolut'!$A$3,"Mese",7,"Tipologia",$A189,"Viaggio",$A$183)),0,GETPIVOTDATA("Somma di AVERE",'Pivot Revolut'!$A$3,"Mese",7,"Tipologia",$A189,"Viaggio",$A$183))
+IF(ISERROR(GETPIVOTDATA("Somma di DARE",'Pivot RakBank EUR'!$A$3,"Mese",7,"Tipologia",$A189,"Viaggio",$A$183)),0,GETPIVOTDATA("Somma di DARE",'Pivot RakBank EUR'!$A$3,"Mese",7,"Tipologia",$A189,"Viaggio",$A$183))
-IF(ISERROR(GETPIVOTDATA("Somma di AVERE",'Pivot RakBank EUR'!$A$3,"Mese",7,"Tipologia",$A189,"Viaggio",$A$183)),0,GETPIVOTDATA("Somma di AVERE",'Pivot RakBank EUR'!$A$3,"Mese",7,"Tipologia",$A189,"Viaggio",$A$183))
+IF(ISERROR(GETPIVOTDATA("Somma di DARE EUR",'Pivot RakBank AED'!$A$3,"Mese",7,"Tipologia",$A189,"Viaggio",$A$183)),0,GETPIVOTDATA("Somma di DARE EUR",'Pivot RakBank AED'!$A$3,"Mese",7,"Tipologia",$A189,"Viaggio",$A$183))
-IF(ISERROR(GETPIVOTDATA("Somma di AVERE EUR",'Pivot RakBank AED'!$A$3,"Mese",7,"Tipologia",$A189,"Viaggio",$A$183)),0,GETPIVOTDATA("Somma di AVERE EUR",'Pivot RakBank AED'!$A$3,"Mese",7,"Tipologia",$A189,"Viaggio",$A$183))</f>
        <v>0</v>
      </c>
      <c r="J189" s="270">
        <f>IF(ISERROR(GETPIVOTDATA("Somma di DARE",'Pivot Fineco Sa'!$A$3,"Mese",8,"Tipologia",$A189,"Viaggio",$A$183)),0,GETPIVOTDATA("Somma di DARE",'Pivot Fineco Sa'!$A$3,"Mese",8,"Tipologia",$A189,"Viaggio",$A$183))
+IF(ISERROR(GETPIVOTDATA("Somma di DARE",'Pivot Fineco St'!$A$3,"Mese",8,"Tipologia",$A189,"Viaggio",$A$183)),0,GETPIVOTDATA("Somma di DARE",'Pivot Fineco St'!$A$3,"Mese",8,"Tipologia",$A189,"Viaggio",$A$183))
+IF(Contanti!$AG44='Conto Economico'!$A$183,Contanti!$AD44)
+IF(ISERROR(GETPIVOTDATA("Somma di DARE",'Pivot BBVA'!$A$3,"Mese",8,"Tipologia",$A189,"Viaggio",$A$183)),0,GETPIVOTDATA("Somma di DARE",'Pivot BBVA'!$A$3,"Mese",8,"Tipologia",$A189,"Viaggio",$A$183))
+IF(ISERROR(GETPIVOTDATA("Somma di DARE",'Pivot Amex'!$A$3,"Mese",8,"Tipologia",$A189,"Viaggio",$A$183)),0,GETPIVOTDATA("Somma di DARE",'Pivot Amex'!$A$3,"Mese",8,"Tipologia",$A189,"Viaggio",$A$183))
-IF(ISERROR(GETPIVOTDATA("Somma di AVERE",'Pivot Amex'!$A$3,"Mese",8,"Tipologia",$A189,"Viaggio",$A$183)),0,GETPIVOTDATA("Somma di AVERE",'Pivot Amex'!$A$3,"Mese",8,"Tipologia",$A189,"Viaggio",$A$183))
-IF(ISERROR(GETPIVOTDATA("Somma di AVERE",'Pivot BBVA'!$A$3,"Mese",8,"Tipologia",$A189,"Viaggio",$A$183)),0,GETPIVOTDATA("Somma di AVERE",'Pivot BBVA'!$A$3,"Mese",8,"Tipologia",$A189,"Viaggio",$A$183))
-IF(ISERROR(GETPIVOTDATA("Somma di AVERE",'Pivot Fineco St'!$A$3,"Mese",8,"Tipologia",$A189,"Viaggio",$A$183)),0,GETPIVOTDATA("Somma di AVERE",'Pivot Fineco St'!$A$3,"Mese",8,"Tipologia",$A189,"Viaggio",$A$183))
-IF(ISERROR(GETPIVOTDATA("Somma di AVERE",'Pivot Fineco Sa'!$A$3,"Mese",8,"Tipologia",$A189,"Viaggio",$A$183)),0,GETPIVOTDATA("Somma di AVERE",'Pivot Fineco Sa'!$A$3,"Mese",8,"Tipologia",$A189,"Viaggio",$A$183))
+IF(ISERROR(GETPIVOTDATA("Somma di DARE",'Pivot PP Visa'!$A$3,"Mese",8,"Tipologia",$A189,"Viaggio",$A$183)),0,GETPIVOTDATA("Somma di DARE",'Pivot PP Visa'!$A$3,"Mese",8,"Tipologia",$A189,"Viaggio",$A$183))
-IF(ISERROR(GETPIVOTDATA("Somma di AVERE",'Pivot PP Visa'!$A$3,"Mese",8,"Tipologia",$A189,"Viaggio",$A$183)),0,GETPIVOTDATA("Somma di AVERE",'Pivot PP Visa'!$A$3,"Mese",8,"Tipologia",$A189,"Viaggio",$A$183))
+IF(ISERROR(GETPIVOTDATA("Somma di DARE",'Pivot Revolut'!$A$3,"Mese",8,"Tipologia",$A189,"Viaggio",$A$183)),0,GETPIVOTDATA("Somma di DARE",'Pivot Revolut'!$A$3,"Mese",8,"Tipologia",$A189,"Viaggio",$A$183))
-IF(ISERROR(GETPIVOTDATA("Somma di AVERE",'Pivot Revolut'!$A$3,"Mese",8,"Tipologia",$A189,"Viaggio",$A$183)),0,GETPIVOTDATA("Somma di AVERE",'Pivot Revolut'!$A$3,"Mese",8,"Tipologia",$A189,"Viaggio",$A$183))
+IF(ISERROR(GETPIVOTDATA("Somma di DARE",'Pivot RakBank EUR'!$A$3,"Mese",8,"Tipologia",$A189,"Viaggio",$A$183)),0,GETPIVOTDATA("Somma di DARE",'Pivot RakBank EUR'!$A$3,"Mese",8,"Tipologia",$A189,"Viaggio",$A$183))
-IF(ISERROR(GETPIVOTDATA("Somma di AVERE",'Pivot RakBank EUR'!$A$3,"Mese",8,"Tipologia",$A189,"Viaggio",$A$183)),0,GETPIVOTDATA("Somma di AVERE",'Pivot RakBank EUR'!$A$3,"Mese",8,"Tipologia",$A189,"Viaggio",$A$183))
+IF(ISERROR(GETPIVOTDATA("Somma di DARE EUR",'Pivot RakBank AED'!$A$3,"Mese",8,"Tipologia",$A189,"Viaggio",$A$183)),0,GETPIVOTDATA("Somma di DARE EUR",'Pivot RakBank AED'!$A$3,"Mese",8,"Tipologia",$A189,"Viaggio",$A$183))
-IF(ISERROR(GETPIVOTDATA("Somma di AVERE EUR",'Pivot RakBank AED'!$A$3,"Mese",8,"Tipologia",$A189,"Viaggio",$A$183)),0,GETPIVOTDATA("Somma di AVERE EUR",'Pivot RakBank AED'!$A$3,"Mese",8,"Tipologia",$A189,"Viaggio",$A$183))</f>
        <v>0</v>
      </c>
      <c r="K189" s="270">
        <f>IF(ISERROR(GETPIVOTDATA("Somma di DARE",'Pivot Fineco Sa'!$A$3,"Mese",9,"Tipologia",$A189,"Viaggio",$A$183)),0,GETPIVOTDATA("Somma di DARE",'Pivot Fineco Sa'!$A$3,"Mese",9,"Tipologia",$A189,"Viaggio",$A$183))
+IF(ISERROR(GETPIVOTDATA("Somma di DARE",'Pivot Fineco St'!$A$3,"Mese",9,"Tipologia",$A189,"Viaggio",$A$183)),0,GETPIVOTDATA("Somma di DARE",'Pivot Fineco St'!$A$3,"Mese",9,"Tipologia",$A189,"Viaggio",$A$183))
+IF(Contanti!$AK44='Conto Economico'!$A$183,Contanti!$AH44)
+IF(ISERROR(GETPIVOTDATA("Somma di DARE",'Pivot BBVA'!$A$3,"Mese",9,"Tipologia",$A189,"Viaggio",$A$183)),0,GETPIVOTDATA("Somma di DARE",'Pivot BBVA'!$A$3,"Mese",9,"Tipologia",$A189,"Viaggio",$A$183))
+IF(ISERROR(GETPIVOTDATA("Somma di DARE",'Pivot Amex'!$A$3,"Mese",9,"Tipologia",$A189,"Viaggio",$A$183)),0,GETPIVOTDATA("Somma di DARE",'Pivot Amex'!$A$3,"Mese",9,"Tipologia",$A189,"Viaggio",$A$183))
-IF(ISERROR(GETPIVOTDATA("Somma di AVERE",'Pivot Amex'!$A$3,"Mese",9,"Tipologia",$A189,"Viaggio",$A$183)),0,GETPIVOTDATA("Somma di AVERE",'Pivot Amex'!$A$3,"Mese",9,"Tipologia",$A189,"Viaggio",$A$183))
-IF(ISERROR(GETPIVOTDATA("Somma di AVERE",'Pivot BBVA'!$A$3,"Mese",9,"Tipologia",$A189,"Viaggio",$A$183)),0,GETPIVOTDATA("Somma di AVERE",'Pivot BBVA'!$A$3,"Mese",9,"Tipologia",$A189,"Viaggio",$A$183))
-IF(ISERROR(GETPIVOTDATA("Somma di AVERE",'Pivot Fineco St'!$A$3,"Mese",9,"Tipologia",$A189,"Viaggio",$A$183)),0,GETPIVOTDATA("Somma di AVERE",'Pivot Fineco St'!$A$3,"Mese",9,"Tipologia",$A189,"Viaggio",$A$183))
-IF(ISERROR(GETPIVOTDATA("Somma di AVERE",'Pivot Fineco Sa'!$A$3,"Mese",9,"Tipologia",$A189,"Viaggio",$A$183)),0,GETPIVOTDATA("Somma di AVERE",'Pivot Fineco Sa'!$A$3,"Mese",9,"Tipologia",$A189,"Viaggio",$A$183))
+IF(ISERROR(GETPIVOTDATA("Somma di DARE",'Pivot PP Visa'!$A$3,"Mese",9,"Tipologia",$A189,"Viaggio",$A$183)),0,GETPIVOTDATA("Somma di DARE",'Pivot PP Visa'!$A$3,"Mese",9,"Tipologia",$A189,"Viaggio",$A$183))
-IF(ISERROR(GETPIVOTDATA("Somma di AVERE",'Pivot PP Visa'!$A$3,"Mese",9,"Tipologia",$A189,"Viaggio",$A$183)),0,GETPIVOTDATA("Somma di AVERE",'Pivot PP Visa'!$A$3,"Mese",9,"Tipologia",$A189,"Viaggio",$A$183))
+IF(ISERROR(GETPIVOTDATA("Somma di DARE",'Pivot Revolut'!$A$3,"Mese",9,"Tipologia",$A189,"Viaggio",$A$183)),0,GETPIVOTDATA("Somma di DARE",'Pivot Revolut'!$A$3,"Mese",9,"Tipologia",$A189,"Viaggio",$A$183))
-IF(ISERROR(GETPIVOTDATA("Somma di AVERE",'Pivot Revolut'!$A$3,"Mese",9,"Tipologia",$A189,"Viaggio",$A$183)),0,GETPIVOTDATA("Somma di AVERE",'Pivot Revolut'!$A$3,"Mese",9,"Tipologia",$A189,"Viaggio",$A$183))
+IF(ISERROR(GETPIVOTDATA("Somma di DARE",'Pivot RakBank EUR'!$A$3,"Mese",9,"Tipologia",$A189,"Viaggio",$A$183)),0,GETPIVOTDATA("Somma di DARE",'Pivot RakBank EUR'!$A$3,"Mese",9,"Tipologia",$A189,"Viaggio",$A$183))
-IF(ISERROR(GETPIVOTDATA("Somma di AVERE",'Pivot RakBank EUR'!$A$3,"Mese",9,"Tipologia",$A189,"Viaggio",$A$183)),0,GETPIVOTDATA("Somma di AVERE",'Pivot RakBank EUR'!$A$3,"Mese",9,"Tipologia",$A189,"Viaggio",$A$183))
+IF(ISERROR(GETPIVOTDATA("Somma di DARE EUR",'Pivot RakBank AED'!$A$3,"Mese",9,"Tipologia",$A189,"Viaggio",$A$183)),0,GETPIVOTDATA("Somma di DARE EUR",'Pivot RakBank AED'!$A$3,"Mese",9,"Tipologia",$A189,"Viaggio",$A$183))
-IF(ISERROR(GETPIVOTDATA("Somma di AVERE EUR",'Pivot RakBank AED'!$A$3,"Mese",9,"Tipologia",$A189,"Viaggio",$A$183)),0,GETPIVOTDATA("Somma di AVERE EUR",'Pivot RakBank AED'!$A$3,"Mese",9,"Tipologia",$A189,"Viaggio",$A$183))</f>
        <v>0</v>
      </c>
      <c r="L189" s="270">
        <f>IF(ISERROR(GETPIVOTDATA("Somma di DARE",'Pivot Fineco Sa'!$A$3,"Mese",10,"Tipologia",$A189,"Viaggio",$A$183)),0,GETPIVOTDATA("Somma di DARE",'Pivot Fineco Sa'!$A$3,"Mese",10,"Tipologia",$A189,"Viaggio",$A$183))
+IF(ISERROR(GETPIVOTDATA("Somma di DARE",'Pivot Fineco St'!$A$3,"Mese",10,"Tipologia",$A189,"Viaggio",$A$183)),0,GETPIVOTDATA("Somma di DARE",'Pivot Fineco St'!$A$3,"Mese",10,"Tipologia",$A189,"Viaggio",$A$183))
+IF(Contanti!$AO44='Conto Economico'!$A$183,Contanti!$AL44)
+IF(ISERROR(GETPIVOTDATA("Somma di DARE",'Pivot BBVA'!$A$3,"Mese",10,"Tipologia",$A189,"Viaggio",$A$183)),0,GETPIVOTDATA("Somma di DARE",'Pivot BBVA'!$A$3,"Mese",10,"Tipologia",$A189,"Viaggio",$A$183))
+IF(ISERROR(GETPIVOTDATA("Somma di DARE",'Pivot Amex'!$A$3,"Mese",10,"Tipologia",$A189,"Viaggio",$A$183)),0,GETPIVOTDATA("Somma di DARE",'Pivot Amex'!$A$3,"Mese",10,"Tipologia",$A189,"Viaggio",$A$183))
-IF(ISERROR(GETPIVOTDATA("Somma di AVERE",'Pivot Amex'!$A$3,"Mese",10,"Tipologia",$A189,"Viaggio",$A$183)),0,GETPIVOTDATA("Somma di AVERE",'Pivot Amex'!$A$3,"Mese",10,"Tipologia",$A189,"Viaggio",$A$183))
-IF(ISERROR(GETPIVOTDATA("Somma di AVERE",'Pivot BBVA'!$A$3,"Mese",10,"Tipologia",$A189,"Viaggio",$A$183)),0,GETPIVOTDATA("Somma di AVERE",'Pivot BBVA'!$A$3,"Mese",10,"Tipologia",$A189,"Viaggio",$A$183))
-IF(ISERROR(GETPIVOTDATA("Somma di AVERE",'Pivot Fineco St'!$A$3,"Mese",10,"Tipologia",$A189,"Viaggio",$A$183)),0,GETPIVOTDATA("Somma di AVERE",'Pivot Fineco St'!$A$3,"Mese",10,"Tipologia",$A189,"Viaggio",$A$183))
-IF(ISERROR(GETPIVOTDATA("Somma di AVERE",'Pivot Fineco Sa'!$A$3,"Mese",10,"Tipologia",$A189,"Viaggio",$A$183)),0,GETPIVOTDATA("Somma di AVERE",'Pivot Fineco Sa'!$A$3,"Mese",10,"Tipologia",$A189,"Viaggio",$A$183))
+IF(ISERROR(GETPIVOTDATA("Somma di DARE",'Pivot PP Visa'!$A$3,"Mese",10,"Tipologia",$A189,"Viaggio",$A$183)),0,GETPIVOTDATA("Somma di DARE",'Pivot PP Visa'!$A$3,"Mese",10,"Tipologia",$A189,"Viaggio",$A$183))
-IF(ISERROR(GETPIVOTDATA("Somma di AVERE",'Pivot PP Visa'!$A$3,"Mese",10,"Tipologia",$A189,"Viaggio",$A$183)),0,GETPIVOTDATA("Somma di AVERE",'Pivot PP Visa'!$A$3,"Mese",10,"Tipologia",$A189,"Viaggio",$A$183))
+IF(ISERROR(GETPIVOTDATA("Somma di DARE",'Pivot Revolut'!$A$3,"Mese",10,"Tipologia",$A189,"Viaggio",$A$183)),0,GETPIVOTDATA("Somma di DARE",'Pivot Revolut'!$A$3,"Mese",10,"Tipologia",$A189,"Viaggio",$A$183))
-IF(ISERROR(GETPIVOTDATA("Somma di AVERE",'Pivot Revolut'!$A$3,"Mese",10,"Tipologia",$A189,"Viaggio",$A$183)),0,GETPIVOTDATA("Somma di AVERE",'Pivot Revolut'!$A$3,"Mese",10,"Tipologia",$A189,"Viaggio",$A$183))
+IF(ISERROR(GETPIVOTDATA("Somma di DARE",'Pivot RakBank EUR'!$A$3,"Mese",10,"Tipologia",$A189,"Viaggio",$A$183)),0,GETPIVOTDATA("Somma di DARE",'Pivot RakBank EUR'!$A$3,"Mese",10,"Tipologia",$A189,"Viaggio",$A$183))
-IF(ISERROR(GETPIVOTDATA("Somma di AVERE",'Pivot RakBank EUR'!$A$3,"Mese",10,"Tipologia",$A189,"Viaggio",$A$183)),0,GETPIVOTDATA("Somma di AVERE",'Pivot RakBank EUR'!$A$3,"Mese",10,"Tipologia",$A189,"Viaggio",$A$183))
+IF(ISERROR(GETPIVOTDATA("Somma di DARE EUR",'Pivot RakBank AED'!$A$3,"Mese",10,"Tipologia",$A189,"Viaggio",$A$183)),0,GETPIVOTDATA("Somma di DARE EUR",'Pivot RakBank AED'!$A$3,"Mese",10,"Tipologia",$A189,"Viaggio",$A$183))
-IF(ISERROR(GETPIVOTDATA("Somma di AVERE EUR",'Pivot RakBank AED'!$A$3,"Mese",10,"Tipologia",$A189,"Viaggio",$A$183)),0,GETPIVOTDATA("Somma di AVERE EUR",'Pivot RakBank AED'!$A$3,"Mese",10,"Tipologia",$A189,"Viaggio",$A$183))</f>
        <v>0</v>
      </c>
      <c r="M189" s="270">
        <f>IF(ISERROR(GETPIVOTDATA("Somma di DARE",'Pivot Fineco Sa'!$A$3,"Mese",11,"Tipologia",$A189,"Viaggio",$A$183)),0,GETPIVOTDATA("Somma di DARE",'Pivot Fineco Sa'!$A$3,"Mese",11,"Tipologia",$A189,"Viaggio",$A$183))
+IF(ISERROR(GETPIVOTDATA("Somma di DARE",'Pivot Fineco St'!$A$3,"Mese",11,"Tipologia",$A189,"Viaggio",$A$183)),0,GETPIVOTDATA("Somma di DARE",'Pivot Fineco St'!$A$3,"Mese",11,"Tipologia",$A189,"Viaggio",$A$183))
+IF(Contanti!$AS44='Conto Economico'!$A$183,Contanti!$AP44)
+IF(ISERROR(GETPIVOTDATA("Somma di DARE",'Pivot BBVA'!$A$3,"Mese",11,"Tipologia",$A189,"Viaggio",$A$183)),0,GETPIVOTDATA("Somma di DARE",'Pivot BBVA'!$A$3,"Mese",11,"Tipologia",$A189,"Viaggio",$A$183))
+IF(ISERROR(GETPIVOTDATA("Somma di DARE",'Pivot Amex'!$A$3,"Mese",11,"Tipologia",$A189,"Viaggio",$A$183)),0,GETPIVOTDATA("Somma di DARE",'Pivot Amex'!$A$3,"Mese",11,"Tipologia",$A189,"Viaggio",$A$183))
-IF(ISERROR(GETPIVOTDATA("Somma di AVERE",'Pivot Amex'!$A$3,"Mese",11,"Tipologia",$A189,"Viaggio",$A$183)),0,GETPIVOTDATA("Somma di AVERE",'Pivot Amex'!$A$3,"Mese",11,"Tipologia",$A189,"Viaggio",$A$183))
-IF(ISERROR(GETPIVOTDATA("Somma di AVERE",'Pivot BBVA'!$A$3,"Mese",11,"Tipologia",$A189,"Viaggio",$A$183)),0,GETPIVOTDATA("Somma di AVERE",'Pivot BBVA'!$A$3,"Mese",11,"Tipologia",$A189,"Viaggio",$A$183))
-IF(ISERROR(GETPIVOTDATA("Somma di AVERE",'Pivot Fineco St'!$A$3,"Mese",11,"Tipologia",$A189,"Viaggio",$A$183)),0,GETPIVOTDATA("Somma di AVERE",'Pivot Fineco St'!$A$3,"Mese",11,"Tipologia",$A189,"Viaggio",$A$183))
-IF(ISERROR(GETPIVOTDATA("Somma di AVERE",'Pivot Fineco Sa'!$A$3,"Mese",11,"Tipologia",$A189,"Viaggio",$A$183)),0,GETPIVOTDATA("Somma di AVERE",'Pivot Fineco Sa'!$A$3,"Mese",11,"Tipologia",$A189,"Viaggio",$A$183))
+IF(ISERROR(GETPIVOTDATA("Somma di DARE",'Pivot PP Visa'!$A$3,"Mese",11,"Tipologia",$A189,"Viaggio",$A$183)),0,GETPIVOTDATA("Somma di DARE",'Pivot PP Visa'!$A$3,"Mese",11,"Tipologia",$A189,"Viaggio",$A$183))
-IF(ISERROR(GETPIVOTDATA("Somma di AVERE",'Pivot PP Visa'!$A$3,"Mese",11,"Tipologia",$A189,"Viaggio",$A$183)),0,GETPIVOTDATA("Somma di AVERE",'Pivot PP Visa'!$A$3,"Mese",11,"Tipologia",$A189,"Viaggio",$A$183))
+IF(ISERROR(GETPIVOTDATA("Somma di DARE",'Pivot Revolut'!$A$3,"Mese",11,"Tipologia",$A189,"Viaggio",$A$183)),0,GETPIVOTDATA("Somma di DARE",'Pivot Revolut'!$A$3,"Mese",11,"Tipologia",$A189,"Viaggio",$A$183))
-IF(ISERROR(GETPIVOTDATA("Somma di AVERE",'Pivot Revolut'!$A$3,"Mese",11,"Tipologia",$A189,"Viaggio",$A$183)),0,GETPIVOTDATA("Somma di AVERE",'Pivot Revolut'!$A$3,"Mese",11,"Tipologia",$A189,"Viaggio",$A$183))
+IF(ISERROR(GETPIVOTDATA("Somma di DARE",'Pivot RakBank EUR'!$A$3,"Mese",11,"Tipologia",$A189,"Viaggio",$A$183)),0,GETPIVOTDATA("Somma di DARE",'Pivot RakBank EUR'!$A$3,"Mese",11,"Tipologia",$A189,"Viaggio",$A$183))
-IF(ISERROR(GETPIVOTDATA("Somma di AVERE",'Pivot RakBank EUR'!$A$3,"Mese",11,"Tipologia",$A189,"Viaggio",$A$183)),0,GETPIVOTDATA("Somma di AVERE",'Pivot RakBank EUR'!$A$3,"Mese",11,"Tipologia",$A189,"Viaggio",$A$183))
+IF(ISERROR(GETPIVOTDATA("Somma di DARE EUR",'Pivot RakBank AED'!$A$3,"Mese",11,"Tipologia",$A189,"Viaggio",$A$183)),0,GETPIVOTDATA("Somma di DARE EUR",'Pivot RakBank AED'!$A$3,"Mese",11,"Tipologia",$A189,"Viaggio",$A$183))
-IF(ISERROR(GETPIVOTDATA("Somma di AVERE EUR",'Pivot RakBank AED'!$A$3,"Mese",11,"Tipologia",$A189,"Viaggio",$A$183)),0,GETPIVOTDATA("Somma di AVERE EUR",'Pivot RakBank AED'!$A$3,"Mese",11,"Tipologia",$A189,"Viaggio",$A$183))</f>
        <v>0</v>
      </c>
      <c r="N189" s="270">
        <f>IF(ISERROR(GETPIVOTDATA("Somma di DARE",'Pivot Fineco Sa'!$A$3,"Mese",12,"Tipologia",$A189,"Viaggio",$A$183)),0,GETPIVOTDATA("Somma di DARE",'Pivot Fineco Sa'!$A$3,"Mese",12,"Tipologia",$A189,"Viaggio",$A$183))
+IF(ISERROR(GETPIVOTDATA("Somma di DARE",'Pivot Fineco St'!$A$3,"Mese",12,"Tipologia",$A189,"Viaggio",$A$183)),0,GETPIVOTDATA("Somma di DARE",'Pivot Fineco St'!$A$3,"Mese",12,"Tipologia",$A189,"Viaggio",$A$183))
+IF(Contanti!$AW44='Conto Economico'!$A$183,Contanti!$AT44)
+IF(ISERROR(GETPIVOTDATA("Somma di DARE",'Pivot BBVA'!$A$3,"Mese",12,"Tipologia",$A189,"Viaggio",$A$183)),0,GETPIVOTDATA("Somma di DARE",'Pivot BBVA'!$A$3,"Mese",12,"Tipologia",$A189,"Viaggio",$A$183))
+IF(ISERROR(GETPIVOTDATA("Somma di DARE",'Pivot Amex'!$A$3,"Mese",12,"Tipologia",$A189,"Viaggio",$A$183)),0,GETPIVOTDATA("Somma di DARE",'Pivot Amex'!$A$3,"Mese",12,"Tipologia",$A189,"Viaggio",$A$183))
-IF(ISERROR(GETPIVOTDATA("Somma di AVERE",'Pivot Amex'!$A$3,"Mese",12,"Tipologia",$A189,"Viaggio",$A$183)),0,GETPIVOTDATA("Somma di AVERE",'Pivot Amex'!$A$3,"Mese",12,"Tipologia",$A189,"Viaggio",$A$183))
-IF(ISERROR(GETPIVOTDATA("Somma di AVERE",'Pivot BBVA'!$A$3,"Mese",12,"Tipologia",$A189,"Viaggio",$A$183)),0,GETPIVOTDATA("Somma di AVERE",'Pivot BBVA'!$A$3,"Mese",12,"Tipologia",$A189,"Viaggio",$A$183))
-IF(ISERROR(GETPIVOTDATA("Somma di AVERE",'Pivot Fineco St'!$A$3,"Mese",12,"Tipologia",$A189,"Viaggio",$A$183)),0,GETPIVOTDATA("Somma di AVERE",'Pivot Fineco St'!$A$3,"Mese",12,"Tipologia",$A189,"Viaggio",$A$183))
-IF(ISERROR(GETPIVOTDATA("Somma di AVERE",'Pivot Fineco Sa'!$A$3,"Mese",12,"Tipologia",$A189,"Viaggio",$A$183)),0,GETPIVOTDATA("Somma di AVERE",'Pivot Fineco Sa'!$A$3,"Mese",12,"Tipologia",$A189,"Viaggio",$A$183))
+IF(ISERROR(GETPIVOTDATA("Somma di DARE",'Pivot PP Visa'!$A$3,"Mese",12,"Tipologia",$A189,"Viaggio",$A$183)),0,GETPIVOTDATA("Somma di DARE",'Pivot PP Visa'!$A$3,"Mese",12,"Tipologia",$A189,"Viaggio",$A$183))
-IF(ISERROR(GETPIVOTDATA("Somma di AVERE",'Pivot PP Visa'!$A$3,"Mese",12,"Tipologia",$A189,"Viaggio",$A$183)),0,GETPIVOTDATA("Somma di AVERE",'Pivot PP Visa'!$A$3,"Mese",12,"Tipologia",$A189,"Viaggio",$A$183))
+IF(ISERROR(GETPIVOTDATA("Somma di DARE",'Pivot Revolut'!$A$3,"Mese",12,"Tipologia",$A189,"Viaggio",$A$183)),0,GETPIVOTDATA("Somma di DARE",'Pivot Revolut'!$A$3,"Mese",12,"Tipologia",$A189,"Viaggio",$A$183))
-IF(ISERROR(GETPIVOTDATA("Somma di AVERE",'Pivot Revolut'!$A$3,"Mese",12,"Tipologia",$A189,"Viaggio",$A$183)),0,GETPIVOTDATA("Somma di AVERE",'Pivot Revolut'!$A$3,"Mese",12,"Tipologia",$A189,"Viaggio",$A$183))
+IF(ISERROR(GETPIVOTDATA("Somma di DARE",'Pivot RakBank EUR'!$A$3,"Mese",12,"Tipologia",$A189,"Viaggio",$A$183)),0,GETPIVOTDATA("Somma di DARE",'Pivot RakBank EUR'!$A$3,"Mese",12,"Tipologia",$A189,"Viaggio",$A$183))
-IF(ISERROR(GETPIVOTDATA("Somma di AVERE",'Pivot RakBank EUR'!$A$3,"Mese",12,"Tipologia",$A189,"Viaggio",$A$183)),0,GETPIVOTDATA("Somma di AVERE",'Pivot RakBank EUR'!$A$3,"Mese",12,"Tipologia",$A189,"Viaggio",$A$183))
+IF(ISERROR(GETPIVOTDATA("Somma di DARE EUR",'Pivot RakBank AED'!$A$3,"Mese",12,"Tipologia",$A189,"Viaggio",$A$183)),0,GETPIVOTDATA("Somma di DARE EUR",'Pivot RakBank AED'!$A$3,"Mese",12,"Tipologia",$A189,"Viaggio",$A$183))
-IF(ISERROR(GETPIVOTDATA("Somma di AVERE EUR",'Pivot RakBank AED'!$A$3,"Mese",12,"Tipologia",$A189,"Viaggio",$A$183)),0,GETPIVOTDATA("Somma di AVERE EUR",'Pivot RakBank AED'!$A$3,"Mese",12,"Tipologia",$A189,"Viaggio",$A$183))</f>
        <v>0</v>
      </c>
      <c r="O189" s="271">
        <f t="shared" si="25"/>
        <v>0</v>
      </c>
      <c r="P189" s="270"/>
    </row>
    <row r="190" spans="1:16" s="131" customFormat="1" ht="14" outlineLevel="1" x14ac:dyDescent="0.2">
      <c r="A190" s="269" t="s">
        <v>243</v>
      </c>
      <c r="B190" s="269"/>
      <c r="C190" s="270">
        <f>IF(ISERROR(GETPIVOTDATA("Somma di DARE",'Pivot Fineco Sa'!$A$3,"Mese",1,"Tipologia",$A190,"Viaggio",$A$183)),0,GETPIVOTDATA("Somma di DARE",'Pivot Fineco Sa'!$A$3,"Mese",1,"Tipologia",$A190,"Viaggio",$A$183))
+IF(ISERROR(GETPIVOTDATA("Somma di DARE",'Pivot Fineco St'!$A$3,"Mese",1,"Tipologia",$A190,"Viaggio",$A$183)),0,GETPIVOTDATA("Somma di DARE",'Pivot Fineco St'!$A$3,"Mese",1,"Tipologia",$A190,"Viaggio",$A$183))
+IF(Contanti!$E45='Conto Economico'!$A$183,Contanti!$B45)
+IF(ISERROR(GETPIVOTDATA("Somma di DARE",'Pivot BBVA'!$A$3,"Mese",1,"Tipologia",$A190,"Viaggio",$A$183)),0,GETPIVOTDATA("Somma di DARE",'Pivot BBVA'!$A$3,"Mese",1,"Tipologia",$A190,"Viaggio",$A$183))
+IF(ISERROR(GETPIVOTDATA("Somma di DARE",'Pivot Amex'!$A$3,"Mese",1,"Tipologia",$A190,"Viaggio",$A$183)),0,GETPIVOTDATA("Somma di DARE",'Pivot Amex'!$A$3,"Mese",1,"Tipologia",$A190,"Viaggio",$A$183))
-IF(ISERROR(GETPIVOTDATA("Somma di AVERE",'Pivot Amex'!$A$3,"Mese",1,"Tipologia",$A190,"Viaggio",$A$183)),0,GETPIVOTDATA("Somma di AVERE",'Pivot Amex'!$A$3,"Mese",1,"Tipologia",$A190,"Viaggio",$A$183))
-IF(ISERROR(GETPIVOTDATA("Somma di AVERE",'Pivot BBVA'!$A$3,"Mese",1,"Tipologia",$A190,"Viaggio",$A$183)),0,GETPIVOTDATA("Somma di AVERE",'Pivot BBVA'!$A$3,"Mese",1,"Tipologia",$A190,"Viaggio",$A$183))
-IF(ISERROR(GETPIVOTDATA("Somma di AVERE",'Pivot Fineco St'!$A$3,"Mese",1,"Tipologia",$A190,"Viaggio",$A$183)),0,GETPIVOTDATA("Somma di AVERE",'Pivot Fineco St'!$A$3,"Mese",1,"Tipologia",$A190,"Viaggio",$A$183))
-IF(ISERROR(GETPIVOTDATA("Somma di AVERE",'Pivot Fineco Sa'!$A$3,"Mese",1,"Tipologia",$A190,"Viaggio",$A$183)),0,GETPIVOTDATA("Somma di AVERE",'Pivot Fineco Sa'!$A$3,"Mese",1,"Tipologia",$A190,"Viaggio",$A$183))
+IF(ISERROR(GETPIVOTDATA("Somma di DARE",'Pivot PP Visa'!$A$3,"Mese",1,"Tipologia",$A190,"Viaggio",$A$183)),0,GETPIVOTDATA("Somma di DARE",'Pivot PP Visa'!$A$3,"Mese",1,"Tipologia",$A190,"Viaggio",$A$183))
-IF(ISERROR(GETPIVOTDATA("Somma di AVERE",'Pivot PP Visa'!$A$3,"Mese",1,"Tipologia",$A190,"Viaggio",$A$183)),0,GETPIVOTDATA("Somma di AVERE",'Pivot PP Visa'!$A$3,"Mese",1,"Tipologia",$A190,"Viaggio",$A$183))
+IF(ISERROR(GETPIVOTDATA("Somma di DARE",'Pivot Revolut'!$A$3,"Mese",1,"Tipologia",$A190,"Viaggio",$A$183)),0,GETPIVOTDATA("Somma di DARE",'Pivot Revolut'!$A$3,"Mese",1,"Tipologia",$A190,"Viaggio",$A$183))
-IF(ISERROR(GETPIVOTDATA("Somma di AVERE",'Pivot Revolut'!$A$3,"Mese",1,"Tipologia",$A190,"Viaggio",$A$183)),0,GETPIVOTDATA("Somma di AVERE",'Pivot Revolut'!$A$3,"Mese",1,"Tipologia",$A190,"Viaggio",$A$183))
+IF(ISERROR(GETPIVOTDATA("Somma di DARE",'Pivot RakBank EUR'!$A$3,"Mese",1,"Tipologia",$A190,"Viaggio",$A$183)),0,GETPIVOTDATA("Somma di DARE",'Pivot RakBank EUR'!$A$3,"Mese",1,"Tipologia",$A190,"Viaggio",$A$183))
-IF(ISERROR(GETPIVOTDATA("Somma di AVERE",'Pivot RakBank EUR'!$A$3,"Mese",1,"Tipologia",$A190,"Viaggio",$A$183)),0,GETPIVOTDATA("Somma di AVERE",'Pivot RakBank EUR'!$A$3,"Mese",1,"Tipologia",$A190,"Viaggio",$A$183))
+IF(ISERROR(GETPIVOTDATA("Somma di DARE EUR",'Pivot RakBank AED'!$A$3,"Mese",1,"Tipologia",$A190,"Viaggio",$A$183)),0,GETPIVOTDATA("Somma di DARE EUR",'Pivot RakBank AED'!$A$3,"Mese",1,"Tipologia",$A190,"Viaggio",$A$183))
-IF(ISERROR(GETPIVOTDATA("Somma di AVERE EUR",'Pivot RakBank AED'!$A$3,"Mese",1,"Tipologia",$A190,"Viaggio",$A$183)),0,GETPIVOTDATA("Somma di AVERE EUR",'Pivot RakBank AED'!$A$3,"Mese",1,"Tipologia",$A190,"Viaggio",$A$183))</f>
        <v>0</v>
      </c>
      <c r="D190" s="270">
        <f>IF(ISERROR(GETPIVOTDATA("Somma di DARE",'Pivot Fineco Sa'!$A$3,"Mese",2,"Tipologia",$A190,"Viaggio",$A$183)),0,GETPIVOTDATA("Somma di DARE",'Pivot Fineco Sa'!$A$3,"Mese",2,"Tipologia",$A190,"Viaggio",$A$183))
+IF(ISERROR(GETPIVOTDATA("Somma di DARE",'Pivot Fineco St'!$A$3,"Mese",2,"Tipologia",$A190,"Viaggio",$A$183)),0,GETPIVOTDATA("Somma di DARE",'Pivot Fineco St'!$A$3,"Mese",2,"Tipologia",$A190,"Viaggio",$A$183))
+IF(Contanti!$I45='Conto Economico'!$A$183,Contanti!$F45)
+IF(ISERROR(GETPIVOTDATA("Somma di DARE",'Pivot BBVA'!$A$3,"Mese",2,"Tipologia",$A190,"Viaggio",$A$183)),0,GETPIVOTDATA("Somma di DARE",'Pivot BBVA'!$A$3,"Mese",2,"Tipologia",$A190,"Viaggio",$A$183))
+IF(ISERROR(GETPIVOTDATA("Somma di DARE",'Pivot Amex'!$A$3,"Mese",2,"Tipologia",$A190,"Viaggio",$A$183)),0,GETPIVOTDATA("Somma di DARE",'Pivot Amex'!$A$3,"Mese",2,"Tipologia",$A190,"Viaggio",$A$183))
-IF(ISERROR(GETPIVOTDATA("Somma di AVERE",'Pivot Amex'!$A$3,"Mese",2,"Tipologia",$A190,"Viaggio",$A$183)),0,GETPIVOTDATA("Somma di AVERE",'Pivot Amex'!$A$3,"Mese",2,"Tipologia",$A190,"Viaggio",$A$183))
-IF(ISERROR(GETPIVOTDATA("Somma di AVERE",'Pivot BBVA'!$A$3,"Mese",2,"Tipologia",$A190,"Viaggio",$A$183)),0,GETPIVOTDATA("Somma di AVERE",'Pivot BBVA'!$A$3,"Mese",2,"Tipologia",$A190,"Viaggio",$A$183))
-IF(ISERROR(GETPIVOTDATA("Somma di AVERE",'Pivot Fineco St'!$A$3,"Mese",2,"Tipologia",$A190,"Viaggio",$A$183)),0,GETPIVOTDATA("Somma di AVERE",'Pivot Fineco St'!$A$3,"Mese",2,"Tipologia",$A190,"Viaggio",$A$183))
-IF(ISERROR(GETPIVOTDATA("Somma di AVERE",'Pivot Fineco Sa'!$A$3,"Mese",2,"Tipologia",$A190,"Viaggio",$A$183)),0,GETPIVOTDATA("Somma di AVERE",'Pivot Fineco Sa'!$A$3,"Mese",2,"Tipologia",$A190,"Viaggio",$A$183))
+IF(ISERROR(GETPIVOTDATA("Somma di DARE",'Pivot PP Visa'!$A$3,"Mese",2,"Tipologia",$A190,"Viaggio",$A$183)),0,GETPIVOTDATA("Somma di DARE",'Pivot PP Visa'!$A$3,"Mese",2,"Tipologia",$A190,"Viaggio",$A$183))
-IF(ISERROR(GETPIVOTDATA("Somma di AVERE",'Pivot PP Visa'!$A$3,"Mese",2,"Tipologia",$A190,"Viaggio",$A$183)),0,GETPIVOTDATA("Somma di AVERE",'Pivot PP Visa'!$A$3,"Mese",2,"Tipologia",$A190,"Viaggio",$A$183))
+IF(ISERROR(GETPIVOTDATA("Somma di DARE",'Pivot Revolut'!$A$3,"Mese",2,"Tipologia",$A190,"Viaggio",$A$183)),0,GETPIVOTDATA("Somma di DARE",'Pivot Revolut'!$A$3,"Mese",2,"Tipologia",$A190,"Viaggio",$A$183))
-IF(ISERROR(GETPIVOTDATA("Somma di AVERE",'Pivot Revolut'!$A$3,"Mese",2,"Tipologia",$A190,"Viaggio",$A$183)),0,GETPIVOTDATA("Somma di AVERE",'Pivot Revolut'!$A$3,"Mese",2,"Tipologia",$A190,"Viaggio",$A$183))
+IF(ISERROR(GETPIVOTDATA("Somma di DARE",'Pivot RakBank EUR'!$A$3,"Mese",2,"Tipologia",$A190,"Viaggio",$A$183)),0,GETPIVOTDATA("Somma di DARE",'Pivot RakBank EUR'!$A$3,"Mese",2,"Tipologia",$A190,"Viaggio",$A$183))
-IF(ISERROR(GETPIVOTDATA("Somma di AVERE",'Pivot RakBank EUR'!$A$3,"Mese",2,"Tipologia",$A190,"Viaggio",$A$183)),0,GETPIVOTDATA("Somma di AVERE",'Pivot RakBank EUR'!$A$3,"Mese",2,"Tipologia",$A190,"Viaggio",$A$183))
+IF(ISERROR(GETPIVOTDATA("Somma di DARE EUR",'Pivot RakBank AED'!$A$3,"Mese",2,"Tipologia",$A190,"Viaggio",$A$183)),0,GETPIVOTDATA("Somma di DARE EUR",'Pivot RakBank AED'!$A$3,"Mese",2,"Tipologia",$A190,"Viaggio",$A$183))
-IF(ISERROR(GETPIVOTDATA("Somma di AVERE EUR",'Pivot RakBank AED'!$A$3,"Mese",2,"Tipologia",$A190,"Viaggio",$A$183)),0,GETPIVOTDATA("Somma di AVERE EUR",'Pivot RakBank AED'!$A$3,"Mese",2,"Tipologia",$A190,"Viaggio",$A$183))</f>
        <v>0</v>
      </c>
      <c r="E190" s="270">
        <f>IF(ISERROR(GETPIVOTDATA("Somma di DARE",'Pivot Fineco Sa'!$A$3,"Mese",3,"Tipologia",$A190,"Viaggio",$A$183)),0,GETPIVOTDATA("Somma di DARE",'Pivot Fineco Sa'!$A$3,"Mese",3,"Tipologia",$A190,"Viaggio",$A$183))
+IF(ISERROR(GETPIVOTDATA("Somma di DARE",'Pivot Fineco St'!$A$3,"Mese",3,"Tipologia",$A190,"Viaggio",$A$183)),0,GETPIVOTDATA("Somma di DARE",'Pivot Fineco St'!$A$3,"Mese",3,"Tipologia",$A190,"Viaggio",$A$183))
+IF(Contanti!$M45='Conto Economico'!$A$183,Contanti!$J45)
+IF(ISERROR(GETPIVOTDATA("Somma di DARE",'Pivot BBVA'!$A$3,"Mese",3,"Tipologia",$A190,"Viaggio",$A$183)),0,GETPIVOTDATA("Somma di DARE",'Pivot BBVA'!$A$3,"Mese",3,"Tipologia",$A190,"Viaggio",$A$183))
+IF(ISERROR(GETPIVOTDATA("Somma di DARE",'Pivot Amex'!$A$3,"Mese",3,"Tipologia",$A190,"Viaggio",$A$183)),0,GETPIVOTDATA("Somma di DARE",'Pivot Amex'!$A$3,"Mese",3,"Tipologia",$A190,"Viaggio",$A$183))
-IF(ISERROR(GETPIVOTDATA("Somma di AVERE",'Pivot Amex'!$A$3,"Mese",3,"Tipologia",$A190,"Viaggio",$A$183)),0,GETPIVOTDATA("Somma di AVERE",'Pivot Amex'!$A$3,"Mese",3,"Tipologia",$A190,"Viaggio",$A$183))
-IF(ISERROR(GETPIVOTDATA("Somma di AVERE",'Pivot BBVA'!$A$3,"Mese",3,"Tipologia",$A190,"Viaggio",$A$183)),0,GETPIVOTDATA("Somma di AVERE",'Pivot BBVA'!$A$3,"Mese",3,"Tipologia",$A190,"Viaggio",$A$183))
-IF(ISERROR(GETPIVOTDATA("Somma di AVERE",'Pivot Fineco St'!$A$3,"Mese",3,"Tipologia",$A190,"Viaggio",$A$183)),0,GETPIVOTDATA("Somma di AVERE",'Pivot Fineco St'!$A$3,"Mese",3,"Tipologia",$A190,"Viaggio",$A$183))
-IF(ISERROR(GETPIVOTDATA("Somma di AVERE",'Pivot Fineco Sa'!$A$3,"Mese",3,"Tipologia",$A190,"Viaggio",$A$183)),0,GETPIVOTDATA("Somma di AVERE",'Pivot Fineco Sa'!$A$3,"Mese",3,"Tipologia",$A190,"Viaggio",$A$183))
+IF(ISERROR(GETPIVOTDATA("Somma di DARE",'Pivot PP Visa'!$A$3,"Mese",3,"Tipologia",$A190,"Viaggio",$A$183)),0,GETPIVOTDATA("Somma di DARE",'Pivot PP Visa'!$A$3,"Mese",3,"Tipologia",$A190,"Viaggio",$A$183))
-IF(ISERROR(GETPIVOTDATA("Somma di AVERE",'Pivot PP Visa'!$A$3,"Mese",3,"Tipologia",$A190,"Viaggio",$A$183)),0,GETPIVOTDATA("Somma di AVERE",'Pivot PP Visa'!$A$3,"Mese",3,"Tipologia",$A190,"Viaggio",$A$183))
+IF(ISERROR(GETPIVOTDATA("Somma di DARE",'Pivot Revolut'!$A$3,"Mese",3,"Tipologia",$A190,"Viaggio",$A$183)),0,GETPIVOTDATA("Somma di DARE",'Pivot Revolut'!$A$3,"Mese",3,"Tipologia",$A190,"Viaggio",$A$183))
-IF(ISERROR(GETPIVOTDATA("Somma di AVERE",'Pivot Revolut'!$A$3,"Mese",3,"Tipologia",$A190,"Viaggio",$A$183)),0,GETPIVOTDATA("Somma di AVERE",'Pivot Revolut'!$A$3,"Mese",3,"Tipologia",$A190,"Viaggio",$A$183))
+IF(ISERROR(GETPIVOTDATA("Somma di DARE",'Pivot RakBank EUR'!$A$3,"Mese",3,"Tipologia",$A190,"Viaggio",$A$183)),0,GETPIVOTDATA("Somma di DARE",'Pivot RakBank EUR'!$A$3,"Mese",3,"Tipologia",$A190,"Viaggio",$A$183))
-IF(ISERROR(GETPIVOTDATA("Somma di AVERE",'Pivot RakBank EUR'!$A$3,"Mese",3,"Tipologia",$A190,"Viaggio",$A$183)),0,GETPIVOTDATA("Somma di AVERE",'Pivot RakBank EUR'!$A$3,"Mese",3,"Tipologia",$A190,"Viaggio",$A$183))
+IF(ISERROR(GETPIVOTDATA("Somma di DARE EUR",'Pivot RakBank AED'!$A$3,"Mese",3,"Tipologia",$A190,"Viaggio",$A$183)),0,GETPIVOTDATA("Somma di DARE EUR",'Pivot RakBank AED'!$A$3,"Mese",3,"Tipologia",$A190,"Viaggio",$A$183))
-IF(ISERROR(GETPIVOTDATA("Somma di AVERE EUR",'Pivot RakBank AED'!$A$3,"Mese",3,"Tipologia",$A190,"Viaggio",$A$183)),0,GETPIVOTDATA("Somma di AVERE EUR",'Pivot RakBank AED'!$A$3,"Mese",3,"Tipologia",$A190,"Viaggio",$A$183))</f>
        <v>0</v>
      </c>
      <c r="F190" s="270">
        <f>IF(ISERROR(GETPIVOTDATA("Somma di DARE",'Pivot Fineco Sa'!$A$3,"Mese",4,"Tipologia",$A190,"Viaggio",$A$183)),0,GETPIVOTDATA("Somma di DARE",'Pivot Fineco Sa'!$A$3,"Mese",4,"Tipologia",$A190,"Viaggio",$A$183))
+IF(ISERROR(GETPIVOTDATA("Somma di DARE",'Pivot Fineco St'!$A$3,"Mese",4,"Tipologia",$A190,"Viaggio",$A$183)),0,GETPIVOTDATA("Somma di DARE",'Pivot Fineco St'!$A$3,"Mese",4,"Tipologia",$A190,"Viaggio",$A$183))
+IF(Contanti!$Q45='Conto Economico'!$A$183,Contanti!$N45)
+IF(ISERROR(GETPIVOTDATA("Somma di DARE",'Pivot BBVA'!$A$3,"Mese",4,"Tipologia",$A190,"Viaggio",$A$183)),0,GETPIVOTDATA("Somma di DARE",'Pivot BBVA'!$A$3,"Mese",4,"Tipologia",$A190,"Viaggio",$A$183))
+IF(ISERROR(GETPIVOTDATA("Somma di DARE",'Pivot Amex'!$A$3,"Mese",4,"Tipologia",$A190,"Viaggio",$A$183)),0,GETPIVOTDATA("Somma di DARE",'Pivot Amex'!$A$3,"Mese",4,"Tipologia",$A190,"Viaggio",$A$183))
-IF(ISERROR(GETPIVOTDATA("Somma di AVERE",'Pivot Amex'!$A$3,"Mese",4,"Tipologia",$A190,"Viaggio",$A$183)),0,GETPIVOTDATA("Somma di AVERE",'Pivot Amex'!$A$3,"Mese",4,"Tipologia",$A190,"Viaggio",$A$183))
-IF(ISERROR(GETPIVOTDATA("Somma di AVERE",'Pivot BBVA'!$A$3,"Mese",4,"Tipologia",$A190,"Viaggio",$A$183)),0,GETPIVOTDATA("Somma di AVERE",'Pivot BBVA'!$A$3,"Mese",4,"Tipologia",$A190,"Viaggio",$A$183))
-IF(ISERROR(GETPIVOTDATA("Somma di AVERE",'Pivot Fineco St'!$A$3,"Mese",4,"Tipologia",$A190,"Viaggio",$A$183)),0,GETPIVOTDATA("Somma di AVERE",'Pivot Fineco St'!$A$3,"Mese",4,"Tipologia",$A190,"Viaggio",$A$183))
-IF(ISERROR(GETPIVOTDATA("Somma di AVERE",'Pivot Fineco Sa'!$A$3,"Mese",4,"Tipologia",$A190,"Viaggio",$A$183)),0,GETPIVOTDATA("Somma di AVERE",'Pivot Fineco Sa'!$A$3,"Mese",4,"Tipologia",$A190,"Viaggio",$A$183))
+IF(ISERROR(GETPIVOTDATA("Somma di DARE",'Pivot PP Visa'!$A$3,"Mese",4,"Tipologia",$A190,"Viaggio",$A$183)),0,GETPIVOTDATA("Somma di DARE",'Pivot PP Visa'!$A$3,"Mese",4,"Tipologia",$A190,"Viaggio",$A$183))
-IF(ISERROR(GETPIVOTDATA("Somma di AVERE",'Pivot PP Visa'!$A$3,"Mese",4,"Tipologia",$A190,"Viaggio",$A$183)),0,GETPIVOTDATA("Somma di AVERE",'Pivot PP Visa'!$A$3,"Mese",4,"Tipologia",$A190,"Viaggio",$A$183))
+IF(ISERROR(GETPIVOTDATA("Somma di DARE",'Pivot Revolut'!$A$3,"Mese",4,"Tipologia",$A190,"Viaggio",$A$183)),0,GETPIVOTDATA("Somma di DARE",'Pivot Revolut'!$A$3,"Mese",4,"Tipologia",$A190,"Viaggio",$A$183))
-IF(ISERROR(GETPIVOTDATA("Somma di AVERE",'Pivot Revolut'!$A$3,"Mese",4,"Tipologia",$A190,"Viaggio",$A$183)),0,GETPIVOTDATA("Somma di AVERE",'Pivot Revolut'!$A$3,"Mese",4,"Tipologia",$A190,"Viaggio",$A$183))
+IF(ISERROR(GETPIVOTDATA("Somma di DARE",'Pivot RakBank EUR'!$A$3,"Mese",4,"Tipologia",$A190,"Viaggio",$A$183)),0,GETPIVOTDATA("Somma di DARE",'Pivot RakBank EUR'!$A$3,"Mese",4,"Tipologia",$A190,"Viaggio",$A$183))
-IF(ISERROR(GETPIVOTDATA("Somma di AVERE",'Pivot RakBank EUR'!$A$3,"Mese",4,"Tipologia",$A190,"Viaggio",$A$183)),0,GETPIVOTDATA("Somma di AVERE",'Pivot RakBank EUR'!$A$3,"Mese",4,"Tipologia",$A190,"Viaggio",$A$183))
+IF(ISERROR(GETPIVOTDATA("Somma di DARE EUR",'Pivot RakBank AED'!$A$3,"Mese",4,"Tipologia",$A190,"Viaggio",$A$183)),0,GETPIVOTDATA("Somma di DARE EUR",'Pivot RakBank AED'!$A$3,"Mese",4,"Tipologia",$A190,"Viaggio",$A$183))
-IF(ISERROR(GETPIVOTDATA("Somma di AVERE EUR",'Pivot RakBank AED'!$A$3,"Mese",4,"Tipologia",$A190,"Viaggio",$A$183)),0,GETPIVOTDATA("Somma di AVERE EUR",'Pivot RakBank AED'!$A$3,"Mese",4,"Tipologia",$A190,"Viaggio",$A$183))</f>
        <v>0</v>
      </c>
      <c r="G190" s="270">
        <f>IF(ISERROR(GETPIVOTDATA("Somma di DARE",'Pivot Fineco Sa'!$A$3,"Mese",5,"Tipologia",$A190,"Viaggio",$A$183)),0,GETPIVOTDATA("Somma di DARE",'Pivot Fineco Sa'!$A$3,"Mese",5,"Tipologia",$A190,"Viaggio",$A$183))
+IF(ISERROR(GETPIVOTDATA("Somma di DARE",'Pivot Fineco St'!$A$3,"Mese",5,"Tipologia",$A190,"Viaggio",$A$183)),0,GETPIVOTDATA("Somma di DARE",'Pivot Fineco St'!$A$3,"Mese",5,"Tipologia",$A190,"Viaggio",$A$183))
+IF(Contanti!$U45='Conto Economico'!$A$183,Contanti!$R45)
+IF(ISERROR(GETPIVOTDATA("Somma di DARE",'Pivot BBVA'!$A$3,"Mese",5,"Tipologia",$A190,"Viaggio",$A$183)),0,GETPIVOTDATA("Somma di DARE",'Pivot BBVA'!$A$3,"Mese",5,"Tipologia",$A190,"Viaggio",$A$183))
+IF(ISERROR(GETPIVOTDATA("Somma di DARE",'Pivot Amex'!$A$3,"Mese",5,"Tipologia",$A190,"Viaggio",$A$183)),0,GETPIVOTDATA("Somma di DARE",'Pivot Amex'!$A$3,"Mese",5,"Tipologia",$A190,"Viaggio",$A$183))
-IF(ISERROR(GETPIVOTDATA("Somma di AVERE",'Pivot Amex'!$A$3,"Mese",5,"Tipologia",$A190,"Viaggio",$A$183)),0,GETPIVOTDATA("Somma di AVERE",'Pivot Amex'!$A$3,"Mese",5,"Tipologia",$A190,"Viaggio",$A$183))
-IF(ISERROR(GETPIVOTDATA("Somma di AVERE",'Pivot BBVA'!$A$3,"Mese",5,"Tipologia",$A190,"Viaggio",$A$183)),0,GETPIVOTDATA("Somma di AVERE",'Pivot BBVA'!$A$3,"Mese",5,"Tipologia",$A190,"Viaggio",$A$183))
-IF(ISERROR(GETPIVOTDATA("Somma di AVERE",'Pivot Fineco St'!$A$3,"Mese",5,"Tipologia",$A190,"Viaggio",$A$183)),0,GETPIVOTDATA("Somma di AVERE",'Pivot Fineco St'!$A$3,"Mese",5,"Tipologia",$A190,"Viaggio",$A$183))
-IF(ISERROR(GETPIVOTDATA("Somma di AVERE",'Pivot Fineco Sa'!$A$3,"Mese",5,"Tipologia",$A190,"Viaggio",$A$183)),0,GETPIVOTDATA("Somma di AVERE",'Pivot Fineco Sa'!$A$3,"Mese",5,"Tipologia",$A190,"Viaggio",$A$183))
+IF(ISERROR(GETPIVOTDATA("Somma di DARE",'Pivot PP Visa'!$A$3,"Mese",5,"Tipologia",$A190,"Viaggio",$A$183)),0,GETPIVOTDATA("Somma di DARE",'Pivot PP Visa'!$A$3,"Mese",5,"Tipologia",$A190,"Viaggio",$A$183))
-IF(ISERROR(GETPIVOTDATA("Somma di AVERE",'Pivot PP Visa'!$A$3,"Mese",5,"Tipologia",$A190,"Viaggio",$A$183)),0,GETPIVOTDATA("Somma di AVERE",'Pivot PP Visa'!$A$3,"Mese",5,"Tipologia",$A190,"Viaggio",$A$183))
+IF(ISERROR(GETPIVOTDATA("Somma di DARE",'Pivot Revolut'!$A$3,"Mese",5,"Tipologia",$A190,"Viaggio",$A$183)),0,GETPIVOTDATA("Somma di DARE",'Pivot Revolut'!$A$3,"Mese",5,"Tipologia",$A190,"Viaggio",$A$183))
-IF(ISERROR(GETPIVOTDATA("Somma di AVERE",'Pivot Revolut'!$A$3,"Mese",5,"Tipologia",$A190,"Viaggio",$A$183)),0,GETPIVOTDATA("Somma di AVERE",'Pivot Revolut'!$A$3,"Mese",5,"Tipologia",$A190,"Viaggio",$A$183))
+IF(ISERROR(GETPIVOTDATA("Somma di DARE",'Pivot RakBank EUR'!$A$3,"Mese",5,"Tipologia",$A190,"Viaggio",$A$183)),0,GETPIVOTDATA("Somma di DARE",'Pivot RakBank EUR'!$A$3,"Mese",5,"Tipologia",$A190,"Viaggio",$A$183))
-IF(ISERROR(GETPIVOTDATA("Somma di AVERE",'Pivot RakBank EUR'!$A$3,"Mese",5,"Tipologia",$A190,"Viaggio",$A$183)),0,GETPIVOTDATA("Somma di AVERE",'Pivot RakBank EUR'!$A$3,"Mese",5,"Tipologia",$A190,"Viaggio",$A$183))
+IF(ISERROR(GETPIVOTDATA("Somma di DARE EUR",'Pivot RakBank AED'!$A$3,"Mese",5,"Tipologia",$A190,"Viaggio",$A$183)),0,GETPIVOTDATA("Somma di DARE EUR",'Pivot RakBank AED'!$A$3,"Mese",5,"Tipologia",$A190,"Viaggio",$A$183))
-IF(ISERROR(GETPIVOTDATA("Somma di AVERE EUR",'Pivot RakBank AED'!$A$3,"Mese",5,"Tipologia",$A190,"Viaggio",$A$183)),0,GETPIVOTDATA("Somma di AVERE EUR",'Pivot RakBank AED'!$A$3,"Mese",5,"Tipologia",$A190,"Viaggio",$A$183))</f>
        <v>0</v>
      </c>
      <c r="H190" s="270">
        <f>IF(ISERROR(GETPIVOTDATA("Somma di DARE",'Pivot Fineco Sa'!$A$3,"Mese",6,"Tipologia",$A190,"Viaggio",$A$183)),0,GETPIVOTDATA("Somma di DARE",'Pivot Fineco Sa'!$A$3,"Mese",6,"Tipologia",$A190,"Viaggio",$A$183))
+IF(ISERROR(GETPIVOTDATA("Somma di DARE",'Pivot Fineco St'!$A$3,"Mese",6,"Tipologia",$A190,"Viaggio",$A$183)),0,GETPIVOTDATA("Somma di DARE",'Pivot Fineco St'!$A$3,"Mese",6,"Tipologia",$A190,"Viaggio",$A$183))
+IF(Contanti!$Y45='Conto Economico'!$A$183,Contanti!$V45)
+IF(ISERROR(GETPIVOTDATA("Somma di DARE",'Pivot BBVA'!$A$3,"Mese",6,"Tipologia",$A190,"Viaggio",$A$183)),0,GETPIVOTDATA("Somma di DARE",'Pivot BBVA'!$A$3,"Mese",6,"Tipologia",$A190,"Viaggio",$A$183))
+IF(ISERROR(GETPIVOTDATA("Somma di DARE",'Pivot Amex'!$A$3,"Mese",6,"Tipologia",$A190,"Viaggio",$A$183)),0,GETPIVOTDATA("Somma di DARE",'Pivot Amex'!$A$3,"Mese",6,"Tipologia",$A190,"Viaggio",$A$183))
-IF(ISERROR(GETPIVOTDATA("Somma di AVERE",'Pivot Amex'!$A$3,"Mese",6,"Tipologia",$A190,"Viaggio",$A$183)),0,GETPIVOTDATA("Somma di AVERE",'Pivot Amex'!$A$3,"Mese",6,"Tipologia",$A190,"Viaggio",$A$183))
-IF(ISERROR(GETPIVOTDATA("Somma di AVERE",'Pivot BBVA'!$A$3,"Mese",6,"Tipologia",$A190,"Viaggio",$A$183)),0,GETPIVOTDATA("Somma di AVERE",'Pivot BBVA'!$A$3,"Mese",6,"Tipologia",$A190,"Viaggio",$A$183))
-IF(ISERROR(GETPIVOTDATA("Somma di AVERE",'Pivot Fineco St'!$A$3,"Mese",6,"Tipologia",$A190,"Viaggio",$A$183)),0,GETPIVOTDATA("Somma di AVERE",'Pivot Fineco St'!$A$3,"Mese",6,"Tipologia",$A190,"Viaggio",$A$183))
-IF(ISERROR(GETPIVOTDATA("Somma di AVERE",'Pivot Fineco Sa'!$A$3,"Mese",6,"Tipologia",$A190,"Viaggio",$A$183)),0,GETPIVOTDATA("Somma di AVERE",'Pivot Fineco Sa'!$A$3,"Mese",6,"Tipologia",$A190,"Viaggio",$A$183))
+IF(ISERROR(GETPIVOTDATA("Somma di DARE",'Pivot PP Visa'!$A$3,"Mese",6,"Tipologia",$A190,"Viaggio",$A$183)),0,GETPIVOTDATA("Somma di DARE",'Pivot PP Visa'!$A$3,"Mese",6,"Tipologia",$A190,"Viaggio",$A$183))
-IF(ISERROR(GETPIVOTDATA("Somma di AVERE",'Pivot PP Visa'!$A$3,"Mese",6,"Tipologia",$A190,"Viaggio",$A$183)),0,GETPIVOTDATA("Somma di AVERE",'Pivot PP Visa'!$A$3,"Mese",6,"Tipologia",$A190,"Viaggio",$A$183))
+IF(ISERROR(GETPIVOTDATA("Somma di DARE",'Pivot Revolut'!$A$3,"Mese",6,"Tipologia",$A190,"Viaggio",$A$183)),0,GETPIVOTDATA("Somma di DARE",'Pivot Revolut'!$A$3,"Mese",6,"Tipologia",$A190,"Viaggio",$A$183))
-IF(ISERROR(GETPIVOTDATA("Somma di AVERE",'Pivot Revolut'!$A$3,"Mese",6,"Tipologia",$A190,"Viaggio",$A$183)),0,GETPIVOTDATA("Somma di AVERE",'Pivot Revolut'!$A$3,"Mese",6,"Tipologia",$A190,"Viaggio",$A$183))
+IF(ISERROR(GETPIVOTDATA("Somma di DARE",'Pivot RakBank EUR'!$A$3,"Mese",6,"Tipologia",$A190,"Viaggio",$A$183)),0,GETPIVOTDATA("Somma di DARE",'Pivot RakBank EUR'!$A$3,"Mese",6,"Tipologia",$A190,"Viaggio",$A$183))
-IF(ISERROR(GETPIVOTDATA("Somma di AVERE",'Pivot RakBank EUR'!$A$3,"Mese",6,"Tipologia",$A190,"Viaggio",$A$183)),0,GETPIVOTDATA("Somma di AVERE",'Pivot RakBank EUR'!$A$3,"Mese",6,"Tipologia",$A190,"Viaggio",$A$183))
+IF(ISERROR(GETPIVOTDATA("Somma di DARE EUR",'Pivot RakBank AED'!$A$3,"Mese",6,"Tipologia",$A190,"Viaggio",$A$183)),0,GETPIVOTDATA("Somma di DARE EUR",'Pivot RakBank AED'!$A$3,"Mese",6,"Tipologia",$A190,"Viaggio",$A$183))
-IF(ISERROR(GETPIVOTDATA("Somma di AVERE EUR",'Pivot RakBank AED'!$A$3,"Mese",6,"Tipologia",$A190,"Viaggio",$A$183)),0,GETPIVOTDATA("Somma di AVERE EUR",'Pivot RakBank AED'!$A$3,"Mese",6,"Tipologia",$A190,"Viaggio",$A$183))</f>
        <v>0</v>
      </c>
      <c r="I190" s="270">
        <f>IF(ISERROR(GETPIVOTDATA("Somma di DARE",'Pivot Fineco Sa'!$A$3,"Mese",7,"Tipologia",$A190,"Viaggio",$A$183)),0,GETPIVOTDATA("Somma di DARE",'Pivot Fineco Sa'!$A$3,"Mese",7,"Tipologia",$A190,"Viaggio",$A$183))
+IF(ISERROR(GETPIVOTDATA("Somma di DARE",'Pivot Fineco St'!$A$3,"Mese",7,"Tipologia",$A190,"Viaggio",$A$183)),0,GETPIVOTDATA("Somma di DARE",'Pivot Fineco St'!$A$3,"Mese",7,"Tipologia",$A190,"Viaggio",$A$183))
+IF(Contanti!$AC45='Conto Economico'!$A$183,Contanti!$Z45)
+IF(ISERROR(GETPIVOTDATA("Somma di DARE",'Pivot BBVA'!$A$3,"Mese",7,"Tipologia",$A190,"Viaggio",$A$183)),0,GETPIVOTDATA("Somma di DARE",'Pivot BBVA'!$A$3,"Mese",7,"Tipologia",$A190,"Viaggio",$A$183))
+IF(ISERROR(GETPIVOTDATA("Somma di DARE",'Pivot Amex'!$A$3,"Mese",7,"Tipologia",$A190,"Viaggio",$A$183)),0,GETPIVOTDATA("Somma di DARE",'Pivot Amex'!$A$3,"Mese",7,"Tipologia",$A190,"Viaggio",$A$183))
-IF(ISERROR(GETPIVOTDATA("Somma di AVERE",'Pivot Amex'!$A$3,"Mese",7,"Tipologia",$A190,"Viaggio",$A$183)),0,GETPIVOTDATA("Somma di AVERE",'Pivot Amex'!$A$3,"Mese",7,"Tipologia",$A190,"Viaggio",$A$183))
-IF(ISERROR(GETPIVOTDATA("Somma di AVERE",'Pivot BBVA'!$A$3,"Mese",7,"Tipologia",$A190,"Viaggio",$A$183)),0,GETPIVOTDATA("Somma di AVERE",'Pivot BBVA'!$A$3,"Mese",7,"Tipologia",$A190,"Viaggio",$A$183))
-IF(ISERROR(GETPIVOTDATA("Somma di AVERE",'Pivot Fineco St'!$A$3,"Mese",7,"Tipologia",$A190,"Viaggio",$A$183)),0,GETPIVOTDATA("Somma di AVERE",'Pivot Fineco St'!$A$3,"Mese",7,"Tipologia",$A190,"Viaggio",$A$183))
-IF(ISERROR(GETPIVOTDATA("Somma di AVERE",'Pivot Fineco Sa'!$A$3,"Mese",7,"Tipologia",$A190,"Viaggio",$A$183)),0,GETPIVOTDATA("Somma di AVERE",'Pivot Fineco Sa'!$A$3,"Mese",7,"Tipologia",$A190,"Viaggio",$A$183))
+IF(ISERROR(GETPIVOTDATA("Somma di DARE",'Pivot PP Visa'!$A$3,"Mese",7,"Tipologia",$A190,"Viaggio",$A$183)),0,GETPIVOTDATA("Somma di DARE",'Pivot PP Visa'!$A$3,"Mese",7,"Tipologia",$A190,"Viaggio",$A$183))
-IF(ISERROR(GETPIVOTDATA("Somma di AVERE",'Pivot PP Visa'!$A$3,"Mese",7,"Tipologia",$A190,"Viaggio",$A$183)),0,GETPIVOTDATA("Somma di AVERE",'Pivot PP Visa'!$A$3,"Mese",7,"Tipologia",$A190,"Viaggio",$A$183))
+IF(ISERROR(GETPIVOTDATA("Somma di DARE",'Pivot Revolut'!$A$3,"Mese",7,"Tipologia",$A190,"Viaggio",$A$183)),0,GETPIVOTDATA("Somma di DARE",'Pivot Revolut'!$A$3,"Mese",7,"Tipologia",$A190,"Viaggio",$A$183))
-IF(ISERROR(GETPIVOTDATA("Somma di AVERE",'Pivot Revolut'!$A$3,"Mese",7,"Tipologia",$A190,"Viaggio",$A$183)),0,GETPIVOTDATA("Somma di AVERE",'Pivot Revolut'!$A$3,"Mese",7,"Tipologia",$A190,"Viaggio",$A$183))
+IF(ISERROR(GETPIVOTDATA("Somma di DARE",'Pivot RakBank EUR'!$A$3,"Mese",7,"Tipologia",$A190,"Viaggio",$A$183)),0,GETPIVOTDATA("Somma di DARE",'Pivot RakBank EUR'!$A$3,"Mese",7,"Tipologia",$A190,"Viaggio",$A$183))
-IF(ISERROR(GETPIVOTDATA("Somma di AVERE",'Pivot RakBank EUR'!$A$3,"Mese",7,"Tipologia",$A190,"Viaggio",$A$183)),0,GETPIVOTDATA("Somma di AVERE",'Pivot RakBank EUR'!$A$3,"Mese",7,"Tipologia",$A190,"Viaggio",$A$183))
+IF(ISERROR(GETPIVOTDATA("Somma di DARE EUR",'Pivot RakBank AED'!$A$3,"Mese",7,"Tipologia",$A190,"Viaggio",$A$183)),0,GETPIVOTDATA("Somma di DARE EUR",'Pivot RakBank AED'!$A$3,"Mese",7,"Tipologia",$A190,"Viaggio",$A$183))
-IF(ISERROR(GETPIVOTDATA("Somma di AVERE EUR",'Pivot RakBank AED'!$A$3,"Mese",7,"Tipologia",$A190,"Viaggio",$A$183)),0,GETPIVOTDATA("Somma di AVERE EUR",'Pivot RakBank AED'!$A$3,"Mese",7,"Tipologia",$A190,"Viaggio",$A$183))</f>
        <v>0</v>
      </c>
      <c r="J190" s="270">
        <f>IF(ISERROR(GETPIVOTDATA("Somma di DARE",'Pivot Fineco Sa'!$A$3,"Mese",8,"Tipologia",$A190,"Viaggio",$A$183)),0,GETPIVOTDATA("Somma di DARE",'Pivot Fineco Sa'!$A$3,"Mese",8,"Tipologia",$A190,"Viaggio",$A$183))
+IF(ISERROR(GETPIVOTDATA("Somma di DARE",'Pivot Fineco St'!$A$3,"Mese",8,"Tipologia",$A190,"Viaggio",$A$183)),0,GETPIVOTDATA("Somma di DARE",'Pivot Fineco St'!$A$3,"Mese",8,"Tipologia",$A190,"Viaggio",$A$183))
+IF(Contanti!$AG45='Conto Economico'!$A$183,Contanti!$AD45)
+IF(ISERROR(GETPIVOTDATA("Somma di DARE",'Pivot BBVA'!$A$3,"Mese",8,"Tipologia",$A190,"Viaggio",$A$183)),0,GETPIVOTDATA("Somma di DARE",'Pivot BBVA'!$A$3,"Mese",8,"Tipologia",$A190,"Viaggio",$A$183))
+IF(ISERROR(GETPIVOTDATA("Somma di DARE",'Pivot Amex'!$A$3,"Mese",8,"Tipologia",$A190,"Viaggio",$A$183)),0,GETPIVOTDATA("Somma di DARE",'Pivot Amex'!$A$3,"Mese",8,"Tipologia",$A190,"Viaggio",$A$183))
-IF(ISERROR(GETPIVOTDATA("Somma di AVERE",'Pivot Amex'!$A$3,"Mese",8,"Tipologia",$A190,"Viaggio",$A$183)),0,GETPIVOTDATA("Somma di AVERE",'Pivot Amex'!$A$3,"Mese",8,"Tipologia",$A190,"Viaggio",$A$183))
-IF(ISERROR(GETPIVOTDATA("Somma di AVERE",'Pivot BBVA'!$A$3,"Mese",8,"Tipologia",$A190,"Viaggio",$A$183)),0,GETPIVOTDATA("Somma di AVERE",'Pivot BBVA'!$A$3,"Mese",8,"Tipologia",$A190,"Viaggio",$A$183))
-IF(ISERROR(GETPIVOTDATA("Somma di AVERE",'Pivot Fineco St'!$A$3,"Mese",8,"Tipologia",$A190,"Viaggio",$A$183)),0,GETPIVOTDATA("Somma di AVERE",'Pivot Fineco St'!$A$3,"Mese",8,"Tipologia",$A190,"Viaggio",$A$183))
-IF(ISERROR(GETPIVOTDATA("Somma di AVERE",'Pivot Fineco Sa'!$A$3,"Mese",8,"Tipologia",$A190,"Viaggio",$A$183)),0,GETPIVOTDATA("Somma di AVERE",'Pivot Fineco Sa'!$A$3,"Mese",8,"Tipologia",$A190,"Viaggio",$A$183))
+IF(ISERROR(GETPIVOTDATA("Somma di DARE",'Pivot PP Visa'!$A$3,"Mese",8,"Tipologia",$A190,"Viaggio",$A$183)),0,GETPIVOTDATA("Somma di DARE",'Pivot PP Visa'!$A$3,"Mese",8,"Tipologia",$A190,"Viaggio",$A$183))
-IF(ISERROR(GETPIVOTDATA("Somma di AVERE",'Pivot PP Visa'!$A$3,"Mese",8,"Tipologia",$A190,"Viaggio",$A$183)),0,GETPIVOTDATA("Somma di AVERE",'Pivot PP Visa'!$A$3,"Mese",8,"Tipologia",$A190,"Viaggio",$A$183))
+IF(ISERROR(GETPIVOTDATA("Somma di DARE",'Pivot Revolut'!$A$3,"Mese",8,"Tipologia",$A190,"Viaggio",$A$183)),0,GETPIVOTDATA("Somma di DARE",'Pivot Revolut'!$A$3,"Mese",8,"Tipologia",$A190,"Viaggio",$A$183))
-IF(ISERROR(GETPIVOTDATA("Somma di AVERE",'Pivot Revolut'!$A$3,"Mese",8,"Tipologia",$A190,"Viaggio",$A$183)),0,GETPIVOTDATA("Somma di AVERE",'Pivot Revolut'!$A$3,"Mese",8,"Tipologia",$A190,"Viaggio",$A$183))
+IF(ISERROR(GETPIVOTDATA("Somma di DARE",'Pivot RakBank EUR'!$A$3,"Mese",8,"Tipologia",$A190,"Viaggio",$A$183)),0,GETPIVOTDATA("Somma di DARE",'Pivot RakBank EUR'!$A$3,"Mese",8,"Tipologia",$A190,"Viaggio",$A$183))
-IF(ISERROR(GETPIVOTDATA("Somma di AVERE",'Pivot RakBank EUR'!$A$3,"Mese",8,"Tipologia",$A190,"Viaggio",$A$183)),0,GETPIVOTDATA("Somma di AVERE",'Pivot RakBank EUR'!$A$3,"Mese",8,"Tipologia",$A190,"Viaggio",$A$183))
+IF(ISERROR(GETPIVOTDATA("Somma di DARE EUR",'Pivot RakBank AED'!$A$3,"Mese",8,"Tipologia",$A190,"Viaggio",$A$183)),0,GETPIVOTDATA("Somma di DARE EUR",'Pivot RakBank AED'!$A$3,"Mese",8,"Tipologia",$A190,"Viaggio",$A$183))
-IF(ISERROR(GETPIVOTDATA("Somma di AVERE EUR",'Pivot RakBank AED'!$A$3,"Mese",8,"Tipologia",$A190,"Viaggio",$A$183)),0,GETPIVOTDATA("Somma di AVERE EUR",'Pivot RakBank AED'!$A$3,"Mese",8,"Tipologia",$A190,"Viaggio",$A$183))</f>
        <v>0</v>
      </c>
      <c r="K190" s="270">
        <f>IF(ISERROR(GETPIVOTDATA("Somma di DARE",'Pivot Fineco Sa'!$A$3,"Mese",9,"Tipologia",$A190,"Viaggio",$A$183)),0,GETPIVOTDATA("Somma di DARE",'Pivot Fineco Sa'!$A$3,"Mese",9,"Tipologia",$A190,"Viaggio",$A$183))
+IF(ISERROR(GETPIVOTDATA("Somma di DARE",'Pivot Fineco St'!$A$3,"Mese",9,"Tipologia",$A190,"Viaggio",$A$183)),0,GETPIVOTDATA("Somma di DARE",'Pivot Fineco St'!$A$3,"Mese",9,"Tipologia",$A190,"Viaggio",$A$183))
+IF(Contanti!$AK45='Conto Economico'!$A$183,Contanti!$AH45)
+IF(ISERROR(GETPIVOTDATA("Somma di DARE",'Pivot BBVA'!$A$3,"Mese",9,"Tipologia",$A190,"Viaggio",$A$183)),0,GETPIVOTDATA("Somma di DARE",'Pivot BBVA'!$A$3,"Mese",9,"Tipologia",$A190,"Viaggio",$A$183))
+IF(ISERROR(GETPIVOTDATA("Somma di DARE",'Pivot Amex'!$A$3,"Mese",9,"Tipologia",$A190,"Viaggio",$A$183)),0,GETPIVOTDATA("Somma di DARE",'Pivot Amex'!$A$3,"Mese",9,"Tipologia",$A190,"Viaggio",$A$183))
-IF(ISERROR(GETPIVOTDATA("Somma di AVERE",'Pivot Amex'!$A$3,"Mese",9,"Tipologia",$A190,"Viaggio",$A$183)),0,GETPIVOTDATA("Somma di AVERE",'Pivot Amex'!$A$3,"Mese",9,"Tipologia",$A190,"Viaggio",$A$183))
-IF(ISERROR(GETPIVOTDATA("Somma di AVERE",'Pivot BBVA'!$A$3,"Mese",9,"Tipologia",$A190,"Viaggio",$A$183)),0,GETPIVOTDATA("Somma di AVERE",'Pivot BBVA'!$A$3,"Mese",9,"Tipologia",$A190,"Viaggio",$A$183))
-IF(ISERROR(GETPIVOTDATA("Somma di AVERE",'Pivot Fineco St'!$A$3,"Mese",9,"Tipologia",$A190,"Viaggio",$A$183)),0,GETPIVOTDATA("Somma di AVERE",'Pivot Fineco St'!$A$3,"Mese",9,"Tipologia",$A190,"Viaggio",$A$183))
-IF(ISERROR(GETPIVOTDATA("Somma di AVERE",'Pivot Fineco Sa'!$A$3,"Mese",9,"Tipologia",$A190,"Viaggio",$A$183)),0,GETPIVOTDATA("Somma di AVERE",'Pivot Fineco Sa'!$A$3,"Mese",9,"Tipologia",$A190,"Viaggio",$A$183))
+IF(ISERROR(GETPIVOTDATA("Somma di DARE",'Pivot PP Visa'!$A$3,"Mese",9,"Tipologia",$A190,"Viaggio",$A$183)),0,GETPIVOTDATA("Somma di DARE",'Pivot PP Visa'!$A$3,"Mese",9,"Tipologia",$A190,"Viaggio",$A$183))
-IF(ISERROR(GETPIVOTDATA("Somma di AVERE",'Pivot PP Visa'!$A$3,"Mese",9,"Tipologia",$A190,"Viaggio",$A$183)),0,GETPIVOTDATA("Somma di AVERE",'Pivot PP Visa'!$A$3,"Mese",9,"Tipologia",$A190,"Viaggio",$A$183))
+IF(ISERROR(GETPIVOTDATA("Somma di DARE",'Pivot Revolut'!$A$3,"Mese",9,"Tipologia",$A190,"Viaggio",$A$183)),0,GETPIVOTDATA("Somma di DARE",'Pivot Revolut'!$A$3,"Mese",9,"Tipologia",$A190,"Viaggio",$A$183))
-IF(ISERROR(GETPIVOTDATA("Somma di AVERE",'Pivot Revolut'!$A$3,"Mese",9,"Tipologia",$A190,"Viaggio",$A$183)),0,GETPIVOTDATA("Somma di AVERE",'Pivot Revolut'!$A$3,"Mese",9,"Tipologia",$A190,"Viaggio",$A$183))
+IF(ISERROR(GETPIVOTDATA("Somma di DARE",'Pivot RakBank EUR'!$A$3,"Mese",9,"Tipologia",$A190,"Viaggio",$A$183)),0,GETPIVOTDATA("Somma di DARE",'Pivot RakBank EUR'!$A$3,"Mese",9,"Tipologia",$A190,"Viaggio",$A$183))
-IF(ISERROR(GETPIVOTDATA("Somma di AVERE",'Pivot RakBank EUR'!$A$3,"Mese",9,"Tipologia",$A190,"Viaggio",$A$183)),0,GETPIVOTDATA("Somma di AVERE",'Pivot RakBank EUR'!$A$3,"Mese",9,"Tipologia",$A190,"Viaggio",$A$183))
+IF(ISERROR(GETPIVOTDATA("Somma di DARE EUR",'Pivot RakBank AED'!$A$3,"Mese",9,"Tipologia",$A190,"Viaggio",$A$183)),0,GETPIVOTDATA("Somma di DARE EUR",'Pivot RakBank AED'!$A$3,"Mese",9,"Tipologia",$A190,"Viaggio",$A$183))
-IF(ISERROR(GETPIVOTDATA("Somma di AVERE EUR",'Pivot RakBank AED'!$A$3,"Mese",9,"Tipologia",$A190,"Viaggio",$A$183)),0,GETPIVOTDATA("Somma di AVERE EUR",'Pivot RakBank AED'!$A$3,"Mese",9,"Tipologia",$A190,"Viaggio",$A$183))</f>
        <v>0</v>
      </c>
      <c r="L190" s="270">
        <f>IF(ISERROR(GETPIVOTDATA("Somma di DARE",'Pivot Fineco Sa'!$A$3,"Mese",10,"Tipologia",$A190,"Viaggio",$A$183)),0,GETPIVOTDATA("Somma di DARE",'Pivot Fineco Sa'!$A$3,"Mese",10,"Tipologia",$A190,"Viaggio",$A$183))
+IF(ISERROR(GETPIVOTDATA("Somma di DARE",'Pivot Fineco St'!$A$3,"Mese",10,"Tipologia",$A190,"Viaggio",$A$183)),0,GETPIVOTDATA("Somma di DARE",'Pivot Fineco St'!$A$3,"Mese",10,"Tipologia",$A190,"Viaggio",$A$183))
+IF(Contanti!$AO45='Conto Economico'!$A$183,Contanti!$AL45)
+IF(ISERROR(GETPIVOTDATA("Somma di DARE",'Pivot BBVA'!$A$3,"Mese",10,"Tipologia",$A190,"Viaggio",$A$183)),0,GETPIVOTDATA("Somma di DARE",'Pivot BBVA'!$A$3,"Mese",10,"Tipologia",$A190,"Viaggio",$A$183))
+IF(ISERROR(GETPIVOTDATA("Somma di DARE",'Pivot Amex'!$A$3,"Mese",10,"Tipologia",$A190,"Viaggio",$A$183)),0,GETPIVOTDATA("Somma di DARE",'Pivot Amex'!$A$3,"Mese",10,"Tipologia",$A190,"Viaggio",$A$183))
-IF(ISERROR(GETPIVOTDATA("Somma di AVERE",'Pivot Amex'!$A$3,"Mese",10,"Tipologia",$A190,"Viaggio",$A$183)),0,GETPIVOTDATA("Somma di AVERE",'Pivot Amex'!$A$3,"Mese",10,"Tipologia",$A190,"Viaggio",$A$183))
-IF(ISERROR(GETPIVOTDATA("Somma di AVERE",'Pivot BBVA'!$A$3,"Mese",10,"Tipologia",$A190,"Viaggio",$A$183)),0,GETPIVOTDATA("Somma di AVERE",'Pivot BBVA'!$A$3,"Mese",10,"Tipologia",$A190,"Viaggio",$A$183))
-IF(ISERROR(GETPIVOTDATA("Somma di AVERE",'Pivot Fineco St'!$A$3,"Mese",10,"Tipologia",$A190,"Viaggio",$A$183)),0,GETPIVOTDATA("Somma di AVERE",'Pivot Fineco St'!$A$3,"Mese",10,"Tipologia",$A190,"Viaggio",$A$183))
-IF(ISERROR(GETPIVOTDATA("Somma di AVERE",'Pivot Fineco Sa'!$A$3,"Mese",10,"Tipologia",$A190,"Viaggio",$A$183)),0,GETPIVOTDATA("Somma di AVERE",'Pivot Fineco Sa'!$A$3,"Mese",10,"Tipologia",$A190,"Viaggio",$A$183))
+IF(ISERROR(GETPIVOTDATA("Somma di DARE",'Pivot PP Visa'!$A$3,"Mese",10,"Tipologia",$A190,"Viaggio",$A$183)),0,GETPIVOTDATA("Somma di DARE",'Pivot PP Visa'!$A$3,"Mese",10,"Tipologia",$A190,"Viaggio",$A$183))
-IF(ISERROR(GETPIVOTDATA("Somma di AVERE",'Pivot PP Visa'!$A$3,"Mese",10,"Tipologia",$A190,"Viaggio",$A$183)),0,GETPIVOTDATA("Somma di AVERE",'Pivot PP Visa'!$A$3,"Mese",10,"Tipologia",$A190,"Viaggio",$A$183))
+IF(ISERROR(GETPIVOTDATA("Somma di DARE",'Pivot Revolut'!$A$3,"Mese",10,"Tipologia",$A190,"Viaggio",$A$183)),0,GETPIVOTDATA("Somma di DARE",'Pivot Revolut'!$A$3,"Mese",10,"Tipologia",$A190,"Viaggio",$A$183))
-IF(ISERROR(GETPIVOTDATA("Somma di AVERE",'Pivot Revolut'!$A$3,"Mese",10,"Tipologia",$A190,"Viaggio",$A$183)),0,GETPIVOTDATA("Somma di AVERE",'Pivot Revolut'!$A$3,"Mese",10,"Tipologia",$A190,"Viaggio",$A$183))
+IF(ISERROR(GETPIVOTDATA("Somma di DARE",'Pivot RakBank EUR'!$A$3,"Mese",10,"Tipologia",$A190,"Viaggio",$A$183)),0,GETPIVOTDATA("Somma di DARE",'Pivot RakBank EUR'!$A$3,"Mese",10,"Tipologia",$A190,"Viaggio",$A$183))
-IF(ISERROR(GETPIVOTDATA("Somma di AVERE",'Pivot RakBank EUR'!$A$3,"Mese",10,"Tipologia",$A190,"Viaggio",$A$183)),0,GETPIVOTDATA("Somma di AVERE",'Pivot RakBank EUR'!$A$3,"Mese",10,"Tipologia",$A190,"Viaggio",$A$183))
+IF(ISERROR(GETPIVOTDATA("Somma di DARE EUR",'Pivot RakBank AED'!$A$3,"Mese",10,"Tipologia",$A190,"Viaggio",$A$183)),0,GETPIVOTDATA("Somma di DARE EUR",'Pivot RakBank AED'!$A$3,"Mese",10,"Tipologia",$A190,"Viaggio",$A$183))
-IF(ISERROR(GETPIVOTDATA("Somma di AVERE EUR",'Pivot RakBank AED'!$A$3,"Mese",10,"Tipologia",$A190,"Viaggio",$A$183)),0,GETPIVOTDATA("Somma di AVERE EUR",'Pivot RakBank AED'!$A$3,"Mese",10,"Tipologia",$A190,"Viaggio",$A$183))</f>
        <v>0</v>
      </c>
      <c r="M190" s="270">
        <f>IF(ISERROR(GETPIVOTDATA("Somma di DARE",'Pivot Fineco Sa'!$A$3,"Mese",11,"Tipologia",$A190,"Viaggio",$A$183)),0,GETPIVOTDATA("Somma di DARE",'Pivot Fineco Sa'!$A$3,"Mese",11,"Tipologia",$A190,"Viaggio",$A$183))
+IF(ISERROR(GETPIVOTDATA("Somma di DARE",'Pivot Fineco St'!$A$3,"Mese",11,"Tipologia",$A190,"Viaggio",$A$183)),0,GETPIVOTDATA("Somma di DARE",'Pivot Fineco St'!$A$3,"Mese",11,"Tipologia",$A190,"Viaggio",$A$183))
+IF(Contanti!$AS45='Conto Economico'!$A$183,Contanti!$AP45)
+IF(ISERROR(GETPIVOTDATA("Somma di DARE",'Pivot BBVA'!$A$3,"Mese",11,"Tipologia",$A190,"Viaggio",$A$183)),0,GETPIVOTDATA("Somma di DARE",'Pivot BBVA'!$A$3,"Mese",11,"Tipologia",$A190,"Viaggio",$A$183))
+IF(ISERROR(GETPIVOTDATA("Somma di DARE",'Pivot Amex'!$A$3,"Mese",11,"Tipologia",$A190,"Viaggio",$A$183)),0,GETPIVOTDATA("Somma di DARE",'Pivot Amex'!$A$3,"Mese",11,"Tipologia",$A190,"Viaggio",$A$183))
-IF(ISERROR(GETPIVOTDATA("Somma di AVERE",'Pivot Amex'!$A$3,"Mese",11,"Tipologia",$A190,"Viaggio",$A$183)),0,GETPIVOTDATA("Somma di AVERE",'Pivot Amex'!$A$3,"Mese",11,"Tipologia",$A190,"Viaggio",$A$183))
-IF(ISERROR(GETPIVOTDATA("Somma di AVERE",'Pivot BBVA'!$A$3,"Mese",11,"Tipologia",$A190,"Viaggio",$A$183)),0,GETPIVOTDATA("Somma di AVERE",'Pivot BBVA'!$A$3,"Mese",11,"Tipologia",$A190,"Viaggio",$A$183))
-IF(ISERROR(GETPIVOTDATA("Somma di AVERE",'Pivot Fineco St'!$A$3,"Mese",11,"Tipologia",$A190,"Viaggio",$A$183)),0,GETPIVOTDATA("Somma di AVERE",'Pivot Fineco St'!$A$3,"Mese",11,"Tipologia",$A190,"Viaggio",$A$183))
-IF(ISERROR(GETPIVOTDATA("Somma di AVERE",'Pivot Fineco Sa'!$A$3,"Mese",11,"Tipologia",$A190,"Viaggio",$A$183)),0,GETPIVOTDATA("Somma di AVERE",'Pivot Fineco Sa'!$A$3,"Mese",11,"Tipologia",$A190,"Viaggio",$A$183))
+IF(ISERROR(GETPIVOTDATA("Somma di DARE",'Pivot PP Visa'!$A$3,"Mese",11,"Tipologia",$A190,"Viaggio",$A$183)),0,GETPIVOTDATA("Somma di DARE",'Pivot PP Visa'!$A$3,"Mese",11,"Tipologia",$A190,"Viaggio",$A$183))
-IF(ISERROR(GETPIVOTDATA("Somma di AVERE",'Pivot PP Visa'!$A$3,"Mese",11,"Tipologia",$A190,"Viaggio",$A$183)),0,GETPIVOTDATA("Somma di AVERE",'Pivot PP Visa'!$A$3,"Mese",11,"Tipologia",$A190,"Viaggio",$A$183))
+IF(ISERROR(GETPIVOTDATA("Somma di DARE",'Pivot Revolut'!$A$3,"Mese",11,"Tipologia",$A190,"Viaggio",$A$183)),0,GETPIVOTDATA("Somma di DARE",'Pivot Revolut'!$A$3,"Mese",11,"Tipologia",$A190,"Viaggio",$A$183))
-IF(ISERROR(GETPIVOTDATA("Somma di AVERE",'Pivot Revolut'!$A$3,"Mese",11,"Tipologia",$A190,"Viaggio",$A$183)),0,GETPIVOTDATA("Somma di AVERE",'Pivot Revolut'!$A$3,"Mese",11,"Tipologia",$A190,"Viaggio",$A$183))
+IF(ISERROR(GETPIVOTDATA("Somma di DARE",'Pivot RakBank EUR'!$A$3,"Mese",11,"Tipologia",$A190,"Viaggio",$A$183)),0,GETPIVOTDATA("Somma di DARE",'Pivot RakBank EUR'!$A$3,"Mese",11,"Tipologia",$A190,"Viaggio",$A$183))
-IF(ISERROR(GETPIVOTDATA("Somma di AVERE",'Pivot RakBank EUR'!$A$3,"Mese",11,"Tipologia",$A190,"Viaggio",$A$183)),0,GETPIVOTDATA("Somma di AVERE",'Pivot RakBank EUR'!$A$3,"Mese",11,"Tipologia",$A190,"Viaggio",$A$183))
+IF(ISERROR(GETPIVOTDATA("Somma di DARE EUR",'Pivot RakBank AED'!$A$3,"Mese",11,"Tipologia",$A190,"Viaggio",$A$183)),0,GETPIVOTDATA("Somma di DARE EUR",'Pivot RakBank AED'!$A$3,"Mese",11,"Tipologia",$A190,"Viaggio",$A$183))
-IF(ISERROR(GETPIVOTDATA("Somma di AVERE EUR",'Pivot RakBank AED'!$A$3,"Mese",11,"Tipologia",$A190,"Viaggio",$A$183)),0,GETPIVOTDATA("Somma di AVERE EUR",'Pivot RakBank AED'!$A$3,"Mese",11,"Tipologia",$A190,"Viaggio",$A$183))</f>
        <v>0</v>
      </c>
      <c r="N190" s="270">
        <f>IF(ISERROR(GETPIVOTDATA("Somma di DARE",'Pivot Fineco Sa'!$A$3,"Mese",12,"Tipologia",$A190,"Viaggio",$A$183)),0,GETPIVOTDATA("Somma di DARE",'Pivot Fineco Sa'!$A$3,"Mese",12,"Tipologia",$A190,"Viaggio",$A$183))
+IF(ISERROR(GETPIVOTDATA("Somma di DARE",'Pivot Fineco St'!$A$3,"Mese",12,"Tipologia",$A190,"Viaggio",$A$183)),0,GETPIVOTDATA("Somma di DARE",'Pivot Fineco St'!$A$3,"Mese",12,"Tipologia",$A190,"Viaggio",$A$183))
+IF(Contanti!$AW45='Conto Economico'!$A$183,Contanti!$AT45)
+IF(ISERROR(GETPIVOTDATA("Somma di DARE",'Pivot BBVA'!$A$3,"Mese",12,"Tipologia",$A190,"Viaggio",$A$183)),0,GETPIVOTDATA("Somma di DARE",'Pivot BBVA'!$A$3,"Mese",12,"Tipologia",$A190,"Viaggio",$A$183))
+IF(ISERROR(GETPIVOTDATA("Somma di DARE",'Pivot Amex'!$A$3,"Mese",12,"Tipologia",$A190,"Viaggio",$A$183)),0,GETPIVOTDATA("Somma di DARE",'Pivot Amex'!$A$3,"Mese",12,"Tipologia",$A190,"Viaggio",$A$183))
-IF(ISERROR(GETPIVOTDATA("Somma di AVERE",'Pivot Amex'!$A$3,"Mese",12,"Tipologia",$A190,"Viaggio",$A$183)),0,GETPIVOTDATA("Somma di AVERE",'Pivot Amex'!$A$3,"Mese",12,"Tipologia",$A190,"Viaggio",$A$183))
-IF(ISERROR(GETPIVOTDATA("Somma di AVERE",'Pivot BBVA'!$A$3,"Mese",12,"Tipologia",$A190,"Viaggio",$A$183)),0,GETPIVOTDATA("Somma di AVERE",'Pivot BBVA'!$A$3,"Mese",12,"Tipologia",$A190,"Viaggio",$A$183))
-IF(ISERROR(GETPIVOTDATA("Somma di AVERE",'Pivot Fineco St'!$A$3,"Mese",12,"Tipologia",$A190,"Viaggio",$A$183)),0,GETPIVOTDATA("Somma di AVERE",'Pivot Fineco St'!$A$3,"Mese",12,"Tipologia",$A190,"Viaggio",$A$183))
-IF(ISERROR(GETPIVOTDATA("Somma di AVERE",'Pivot Fineco Sa'!$A$3,"Mese",12,"Tipologia",$A190,"Viaggio",$A$183)),0,GETPIVOTDATA("Somma di AVERE",'Pivot Fineco Sa'!$A$3,"Mese",12,"Tipologia",$A190,"Viaggio",$A$183))
+IF(ISERROR(GETPIVOTDATA("Somma di DARE",'Pivot PP Visa'!$A$3,"Mese",12,"Tipologia",$A190,"Viaggio",$A$183)),0,GETPIVOTDATA("Somma di DARE",'Pivot PP Visa'!$A$3,"Mese",12,"Tipologia",$A190,"Viaggio",$A$183))
-IF(ISERROR(GETPIVOTDATA("Somma di AVERE",'Pivot PP Visa'!$A$3,"Mese",12,"Tipologia",$A190,"Viaggio",$A$183)),0,GETPIVOTDATA("Somma di AVERE",'Pivot PP Visa'!$A$3,"Mese",12,"Tipologia",$A190,"Viaggio",$A$183))
+IF(ISERROR(GETPIVOTDATA("Somma di DARE",'Pivot Revolut'!$A$3,"Mese",12,"Tipologia",$A190,"Viaggio",$A$183)),0,GETPIVOTDATA("Somma di DARE",'Pivot Revolut'!$A$3,"Mese",12,"Tipologia",$A190,"Viaggio",$A$183))
-IF(ISERROR(GETPIVOTDATA("Somma di AVERE",'Pivot Revolut'!$A$3,"Mese",12,"Tipologia",$A190,"Viaggio",$A$183)),0,GETPIVOTDATA("Somma di AVERE",'Pivot Revolut'!$A$3,"Mese",12,"Tipologia",$A190,"Viaggio",$A$183))
+IF(ISERROR(GETPIVOTDATA("Somma di DARE",'Pivot RakBank EUR'!$A$3,"Mese",12,"Tipologia",$A190,"Viaggio",$A$183)),0,GETPIVOTDATA("Somma di DARE",'Pivot RakBank EUR'!$A$3,"Mese",12,"Tipologia",$A190,"Viaggio",$A$183))
-IF(ISERROR(GETPIVOTDATA("Somma di AVERE",'Pivot RakBank EUR'!$A$3,"Mese",12,"Tipologia",$A190,"Viaggio",$A$183)),0,GETPIVOTDATA("Somma di AVERE",'Pivot RakBank EUR'!$A$3,"Mese",12,"Tipologia",$A190,"Viaggio",$A$183))
+IF(ISERROR(GETPIVOTDATA("Somma di DARE EUR",'Pivot RakBank AED'!$A$3,"Mese",12,"Tipologia",$A190,"Viaggio",$A$183)),0,GETPIVOTDATA("Somma di DARE EUR",'Pivot RakBank AED'!$A$3,"Mese",12,"Tipologia",$A190,"Viaggio",$A$183))
-IF(ISERROR(GETPIVOTDATA("Somma di AVERE EUR",'Pivot RakBank AED'!$A$3,"Mese",12,"Tipologia",$A190,"Viaggio",$A$183)),0,GETPIVOTDATA("Somma di AVERE EUR",'Pivot RakBank AED'!$A$3,"Mese",12,"Tipologia",$A190,"Viaggio",$A$183))</f>
        <v>0</v>
      </c>
      <c r="O190" s="271">
        <f t="shared" si="25"/>
        <v>0</v>
      </c>
      <c r="P190" s="270"/>
    </row>
    <row r="191" spans="1:16" s="131" customFormat="1" ht="14" outlineLevel="1" x14ac:dyDescent="0.2">
      <c r="A191" s="269" t="s">
        <v>170</v>
      </c>
      <c r="B191" s="269"/>
      <c r="C191" s="270">
        <f>IF(ISERROR(GETPIVOTDATA("Somma di DARE",'Pivot Fineco Sa'!$A$3,"Mese",1,"Tipologia",$A191,"Viaggio",$A$183)),0,GETPIVOTDATA("Somma di DARE",'Pivot Fineco Sa'!$A$3,"Mese",1,"Tipologia",$A191,"Viaggio",$A$183))
+IF(ISERROR(GETPIVOTDATA("Somma di DARE",'Pivot Fineco St'!$A$3,"Mese",1,"Tipologia",$A191,"Viaggio",$A$183)),0,GETPIVOTDATA("Somma di DARE",'Pivot Fineco St'!$A$3,"Mese",1,"Tipologia",$A191,"Viaggio",$A$183))
+IF(Contanti!$E46='Conto Economico'!$A$183,Contanti!$B46)
+IF(ISERROR(GETPIVOTDATA("Somma di DARE",'Pivot BBVA'!$A$3,"Mese",1,"Tipologia",$A191,"Viaggio",$A$183)),0,GETPIVOTDATA("Somma di DARE",'Pivot BBVA'!$A$3,"Mese",1,"Tipologia",$A191,"Viaggio",$A$183))
+IF(ISERROR(GETPIVOTDATA("Somma di DARE",'Pivot Amex'!$A$3,"Mese",1,"Tipologia",$A191,"Viaggio",$A$183)),0,GETPIVOTDATA("Somma di DARE",'Pivot Amex'!$A$3,"Mese",1,"Tipologia",$A191,"Viaggio",$A$183))
-IF(ISERROR(GETPIVOTDATA("Somma di AVERE",'Pivot Amex'!$A$3,"Mese",1,"Tipologia",$A191,"Viaggio",$A$183)),0,GETPIVOTDATA("Somma di AVERE",'Pivot Amex'!$A$3,"Mese",1,"Tipologia",$A191,"Viaggio",$A$183))
-IF(ISERROR(GETPIVOTDATA("Somma di AVERE",'Pivot BBVA'!$A$3,"Mese",1,"Tipologia",$A191,"Viaggio",$A$183)),0,GETPIVOTDATA("Somma di AVERE",'Pivot BBVA'!$A$3,"Mese",1,"Tipologia",$A191,"Viaggio",$A$183))
-IF(ISERROR(GETPIVOTDATA("Somma di AVERE",'Pivot Fineco St'!$A$3,"Mese",1,"Tipologia",$A191,"Viaggio",$A$183)),0,GETPIVOTDATA("Somma di AVERE",'Pivot Fineco St'!$A$3,"Mese",1,"Tipologia",$A191,"Viaggio",$A$183))
-IF(ISERROR(GETPIVOTDATA("Somma di AVERE",'Pivot Fineco Sa'!$A$3,"Mese",1,"Tipologia",$A191,"Viaggio",$A$183)),0,GETPIVOTDATA("Somma di AVERE",'Pivot Fineco Sa'!$A$3,"Mese",1,"Tipologia",$A191,"Viaggio",$A$183))
+IF(ISERROR(GETPIVOTDATA("Somma di DARE",'Pivot PP Visa'!$A$3,"Mese",1,"Tipologia",$A191,"Viaggio",$A$183)),0,GETPIVOTDATA("Somma di DARE",'Pivot PP Visa'!$A$3,"Mese",1,"Tipologia",$A191,"Viaggio",$A$183))
-IF(ISERROR(GETPIVOTDATA("Somma di AVERE",'Pivot PP Visa'!$A$3,"Mese",1,"Tipologia",$A191,"Viaggio",$A$183)),0,GETPIVOTDATA("Somma di AVERE",'Pivot PP Visa'!$A$3,"Mese",1,"Tipologia",$A191,"Viaggio",$A$183))
+IF(ISERROR(GETPIVOTDATA("Somma di DARE",'Pivot Revolut'!$A$3,"Mese",1,"Tipologia",$A191,"Viaggio",$A$183)),0,GETPIVOTDATA("Somma di DARE",'Pivot Revolut'!$A$3,"Mese",1,"Tipologia",$A191,"Viaggio",$A$183))
-IF(ISERROR(GETPIVOTDATA("Somma di AVERE",'Pivot Revolut'!$A$3,"Mese",1,"Tipologia",$A191,"Viaggio",$A$183)),0,GETPIVOTDATA("Somma di AVERE",'Pivot Revolut'!$A$3,"Mese",1,"Tipologia",$A191,"Viaggio",$A$183))
+IF(ISERROR(GETPIVOTDATA("Somma di DARE",'Pivot RakBank EUR'!$A$3,"Mese",1,"Tipologia",$A191,"Viaggio",$A$183)),0,GETPIVOTDATA("Somma di DARE",'Pivot RakBank EUR'!$A$3,"Mese",1,"Tipologia",$A191,"Viaggio",$A$183))
-IF(ISERROR(GETPIVOTDATA("Somma di AVERE",'Pivot RakBank EUR'!$A$3,"Mese",1,"Tipologia",$A191,"Viaggio",$A$183)),0,GETPIVOTDATA("Somma di AVERE",'Pivot RakBank EUR'!$A$3,"Mese",1,"Tipologia",$A191,"Viaggio",$A$183))
+IF(ISERROR(GETPIVOTDATA("Somma di DARE EUR",'Pivot RakBank AED'!$A$3,"Mese",1,"Tipologia",$A191,"Viaggio",$A$183)),0,GETPIVOTDATA("Somma di DARE EUR",'Pivot RakBank AED'!$A$3,"Mese",1,"Tipologia",$A191,"Viaggio",$A$183))
-IF(ISERROR(GETPIVOTDATA("Somma di AVERE EUR",'Pivot RakBank AED'!$A$3,"Mese",1,"Tipologia",$A191,"Viaggio",$A$183)),0,GETPIVOTDATA("Somma di AVERE EUR",'Pivot RakBank AED'!$A$3,"Mese",1,"Tipologia",$A191,"Viaggio",$A$183))</f>
        <v>0</v>
      </c>
      <c r="D191" s="270">
        <f>IF(ISERROR(GETPIVOTDATA("Somma di DARE",'Pivot Fineco Sa'!$A$3,"Mese",2,"Tipologia",$A191,"Viaggio",$A$183)),0,GETPIVOTDATA("Somma di DARE",'Pivot Fineco Sa'!$A$3,"Mese",2,"Tipologia",$A191,"Viaggio",$A$183))
+IF(ISERROR(GETPIVOTDATA("Somma di DARE",'Pivot Fineco St'!$A$3,"Mese",2,"Tipologia",$A191,"Viaggio",$A$183)),0,GETPIVOTDATA("Somma di DARE",'Pivot Fineco St'!$A$3,"Mese",2,"Tipologia",$A191,"Viaggio",$A$183))
+IF(Contanti!$I46='Conto Economico'!$A$183,Contanti!$F46)
+IF(ISERROR(GETPIVOTDATA("Somma di DARE",'Pivot BBVA'!$A$3,"Mese",2,"Tipologia",$A191,"Viaggio",$A$183)),0,GETPIVOTDATA("Somma di DARE",'Pivot BBVA'!$A$3,"Mese",2,"Tipologia",$A191,"Viaggio",$A$183))
+IF(ISERROR(GETPIVOTDATA("Somma di DARE",'Pivot Amex'!$A$3,"Mese",2,"Tipologia",$A191,"Viaggio",$A$183)),0,GETPIVOTDATA("Somma di DARE",'Pivot Amex'!$A$3,"Mese",2,"Tipologia",$A191,"Viaggio",$A$183))
-IF(ISERROR(GETPIVOTDATA("Somma di AVERE",'Pivot Amex'!$A$3,"Mese",2,"Tipologia",$A191,"Viaggio",$A$183)),0,GETPIVOTDATA("Somma di AVERE",'Pivot Amex'!$A$3,"Mese",2,"Tipologia",$A191,"Viaggio",$A$183))
-IF(ISERROR(GETPIVOTDATA("Somma di AVERE",'Pivot BBVA'!$A$3,"Mese",2,"Tipologia",$A191,"Viaggio",$A$183)),0,GETPIVOTDATA("Somma di AVERE",'Pivot BBVA'!$A$3,"Mese",2,"Tipologia",$A191,"Viaggio",$A$183))
-IF(ISERROR(GETPIVOTDATA("Somma di AVERE",'Pivot Fineco St'!$A$3,"Mese",2,"Tipologia",$A191,"Viaggio",$A$183)),0,GETPIVOTDATA("Somma di AVERE",'Pivot Fineco St'!$A$3,"Mese",2,"Tipologia",$A191,"Viaggio",$A$183))
-IF(ISERROR(GETPIVOTDATA("Somma di AVERE",'Pivot Fineco Sa'!$A$3,"Mese",2,"Tipologia",$A191,"Viaggio",$A$183)),0,GETPIVOTDATA("Somma di AVERE",'Pivot Fineco Sa'!$A$3,"Mese",2,"Tipologia",$A191,"Viaggio",$A$183))
+IF(ISERROR(GETPIVOTDATA("Somma di DARE",'Pivot PP Visa'!$A$3,"Mese",2,"Tipologia",$A191,"Viaggio",$A$183)),0,GETPIVOTDATA("Somma di DARE",'Pivot PP Visa'!$A$3,"Mese",2,"Tipologia",$A191,"Viaggio",$A$183))
-IF(ISERROR(GETPIVOTDATA("Somma di AVERE",'Pivot PP Visa'!$A$3,"Mese",2,"Tipologia",$A191,"Viaggio",$A$183)),0,GETPIVOTDATA("Somma di AVERE",'Pivot PP Visa'!$A$3,"Mese",2,"Tipologia",$A191,"Viaggio",$A$183))
+IF(ISERROR(GETPIVOTDATA("Somma di DARE",'Pivot Revolut'!$A$3,"Mese",2,"Tipologia",$A191,"Viaggio",$A$183)),0,GETPIVOTDATA("Somma di DARE",'Pivot Revolut'!$A$3,"Mese",2,"Tipologia",$A191,"Viaggio",$A$183))
-IF(ISERROR(GETPIVOTDATA("Somma di AVERE",'Pivot Revolut'!$A$3,"Mese",2,"Tipologia",$A191,"Viaggio",$A$183)),0,GETPIVOTDATA("Somma di AVERE",'Pivot Revolut'!$A$3,"Mese",2,"Tipologia",$A191,"Viaggio",$A$183))
+IF(ISERROR(GETPIVOTDATA("Somma di DARE",'Pivot RakBank EUR'!$A$3,"Mese",2,"Tipologia",$A191,"Viaggio",$A$183)),0,GETPIVOTDATA("Somma di DARE",'Pivot RakBank EUR'!$A$3,"Mese",2,"Tipologia",$A191,"Viaggio",$A$183))
-IF(ISERROR(GETPIVOTDATA("Somma di AVERE",'Pivot RakBank EUR'!$A$3,"Mese",2,"Tipologia",$A191,"Viaggio",$A$183)),0,GETPIVOTDATA("Somma di AVERE",'Pivot RakBank EUR'!$A$3,"Mese",2,"Tipologia",$A191,"Viaggio",$A$183))
+IF(ISERROR(GETPIVOTDATA("Somma di DARE EUR",'Pivot RakBank AED'!$A$3,"Mese",2,"Tipologia",$A191,"Viaggio",$A$183)),0,GETPIVOTDATA("Somma di DARE EUR",'Pivot RakBank AED'!$A$3,"Mese",2,"Tipologia",$A191,"Viaggio",$A$183))
-IF(ISERROR(GETPIVOTDATA("Somma di AVERE EUR",'Pivot RakBank AED'!$A$3,"Mese",2,"Tipologia",$A191,"Viaggio",$A$183)),0,GETPIVOTDATA("Somma di AVERE EUR",'Pivot RakBank AED'!$A$3,"Mese",2,"Tipologia",$A191,"Viaggio",$A$183))</f>
        <v>0</v>
      </c>
      <c r="E191" s="270">
        <f>IF(ISERROR(GETPIVOTDATA("Somma di DARE",'Pivot Fineco Sa'!$A$3,"Mese",3,"Tipologia",$A191,"Viaggio",$A$183)),0,GETPIVOTDATA("Somma di DARE",'Pivot Fineco Sa'!$A$3,"Mese",3,"Tipologia",$A191,"Viaggio",$A$183))
+IF(ISERROR(GETPIVOTDATA("Somma di DARE",'Pivot Fineco St'!$A$3,"Mese",3,"Tipologia",$A191,"Viaggio",$A$183)),0,GETPIVOTDATA("Somma di DARE",'Pivot Fineco St'!$A$3,"Mese",3,"Tipologia",$A191,"Viaggio",$A$183))
+IF(Contanti!$M46='Conto Economico'!$A$183,Contanti!$J46)
+IF(ISERROR(GETPIVOTDATA("Somma di DARE",'Pivot BBVA'!$A$3,"Mese",3,"Tipologia",$A191,"Viaggio",$A$183)),0,GETPIVOTDATA("Somma di DARE",'Pivot BBVA'!$A$3,"Mese",3,"Tipologia",$A191,"Viaggio",$A$183))
+IF(ISERROR(GETPIVOTDATA("Somma di DARE",'Pivot Amex'!$A$3,"Mese",3,"Tipologia",$A191,"Viaggio",$A$183)),0,GETPIVOTDATA("Somma di DARE",'Pivot Amex'!$A$3,"Mese",3,"Tipologia",$A191,"Viaggio",$A$183))
-IF(ISERROR(GETPIVOTDATA("Somma di AVERE",'Pivot Amex'!$A$3,"Mese",3,"Tipologia",$A191,"Viaggio",$A$183)),0,GETPIVOTDATA("Somma di AVERE",'Pivot Amex'!$A$3,"Mese",3,"Tipologia",$A191,"Viaggio",$A$183))
-IF(ISERROR(GETPIVOTDATA("Somma di AVERE",'Pivot BBVA'!$A$3,"Mese",3,"Tipologia",$A191,"Viaggio",$A$183)),0,GETPIVOTDATA("Somma di AVERE",'Pivot BBVA'!$A$3,"Mese",3,"Tipologia",$A191,"Viaggio",$A$183))
-IF(ISERROR(GETPIVOTDATA("Somma di AVERE",'Pivot Fineco St'!$A$3,"Mese",3,"Tipologia",$A191,"Viaggio",$A$183)),0,GETPIVOTDATA("Somma di AVERE",'Pivot Fineco St'!$A$3,"Mese",3,"Tipologia",$A191,"Viaggio",$A$183))
-IF(ISERROR(GETPIVOTDATA("Somma di AVERE",'Pivot Fineco Sa'!$A$3,"Mese",3,"Tipologia",$A191,"Viaggio",$A$183)),0,GETPIVOTDATA("Somma di AVERE",'Pivot Fineco Sa'!$A$3,"Mese",3,"Tipologia",$A191,"Viaggio",$A$183))
+IF(ISERROR(GETPIVOTDATA("Somma di DARE",'Pivot PP Visa'!$A$3,"Mese",3,"Tipologia",$A191,"Viaggio",$A$183)),0,GETPIVOTDATA("Somma di DARE",'Pivot PP Visa'!$A$3,"Mese",3,"Tipologia",$A191,"Viaggio",$A$183))
-IF(ISERROR(GETPIVOTDATA("Somma di AVERE",'Pivot PP Visa'!$A$3,"Mese",3,"Tipologia",$A191,"Viaggio",$A$183)),0,GETPIVOTDATA("Somma di AVERE",'Pivot PP Visa'!$A$3,"Mese",3,"Tipologia",$A191,"Viaggio",$A$183))
+IF(ISERROR(GETPIVOTDATA("Somma di DARE",'Pivot Revolut'!$A$3,"Mese",3,"Tipologia",$A191,"Viaggio",$A$183)),0,GETPIVOTDATA("Somma di DARE",'Pivot Revolut'!$A$3,"Mese",3,"Tipologia",$A191,"Viaggio",$A$183))
-IF(ISERROR(GETPIVOTDATA("Somma di AVERE",'Pivot Revolut'!$A$3,"Mese",3,"Tipologia",$A191,"Viaggio",$A$183)),0,GETPIVOTDATA("Somma di AVERE",'Pivot Revolut'!$A$3,"Mese",3,"Tipologia",$A191,"Viaggio",$A$183))
+IF(ISERROR(GETPIVOTDATA("Somma di DARE",'Pivot RakBank EUR'!$A$3,"Mese",3,"Tipologia",$A191,"Viaggio",$A$183)),0,GETPIVOTDATA("Somma di DARE",'Pivot RakBank EUR'!$A$3,"Mese",3,"Tipologia",$A191,"Viaggio",$A$183))
-IF(ISERROR(GETPIVOTDATA("Somma di AVERE",'Pivot RakBank EUR'!$A$3,"Mese",3,"Tipologia",$A191,"Viaggio",$A$183)),0,GETPIVOTDATA("Somma di AVERE",'Pivot RakBank EUR'!$A$3,"Mese",3,"Tipologia",$A191,"Viaggio",$A$183))
+IF(ISERROR(GETPIVOTDATA("Somma di DARE EUR",'Pivot RakBank AED'!$A$3,"Mese",3,"Tipologia",$A191,"Viaggio",$A$183)),0,GETPIVOTDATA("Somma di DARE EUR",'Pivot RakBank AED'!$A$3,"Mese",3,"Tipologia",$A191,"Viaggio",$A$183))
-IF(ISERROR(GETPIVOTDATA("Somma di AVERE EUR",'Pivot RakBank AED'!$A$3,"Mese",3,"Tipologia",$A191,"Viaggio",$A$183)),0,GETPIVOTDATA("Somma di AVERE EUR",'Pivot RakBank AED'!$A$3,"Mese",3,"Tipologia",$A191,"Viaggio",$A$183))</f>
        <v>0</v>
      </c>
      <c r="F191" s="270">
        <f>IF(ISERROR(GETPIVOTDATA("Somma di DARE",'Pivot Fineco Sa'!$A$3,"Mese",4,"Tipologia",$A191,"Viaggio",$A$183)),0,GETPIVOTDATA("Somma di DARE",'Pivot Fineco Sa'!$A$3,"Mese",4,"Tipologia",$A191,"Viaggio",$A$183))
+IF(ISERROR(GETPIVOTDATA("Somma di DARE",'Pivot Fineco St'!$A$3,"Mese",4,"Tipologia",$A191,"Viaggio",$A$183)),0,GETPIVOTDATA("Somma di DARE",'Pivot Fineco St'!$A$3,"Mese",4,"Tipologia",$A191,"Viaggio",$A$183))
+IF(Contanti!$Q46='Conto Economico'!$A$183,Contanti!$N46)
+IF(ISERROR(GETPIVOTDATA("Somma di DARE",'Pivot BBVA'!$A$3,"Mese",4,"Tipologia",$A191,"Viaggio",$A$183)),0,GETPIVOTDATA("Somma di DARE",'Pivot BBVA'!$A$3,"Mese",4,"Tipologia",$A191,"Viaggio",$A$183))
+IF(ISERROR(GETPIVOTDATA("Somma di DARE",'Pivot Amex'!$A$3,"Mese",4,"Tipologia",$A191,"Viaggio",$A$183)),0,GETPIVOTDATA("Somma di DARE",'Pivot Amex'!$A$3,"Mese",4,"Tipologia",$A191,"Viaggio",$A$183))
-IF(ISERROR(GETPIVOTDATA("Somma di AVERE",'Pivot Amex'!$A$3,"Mese",4,"Tipologia",$A191,"Viaggio",$A$183)),0,GETPIVOTDATA("Somma di AVERE",'Pivot Amex'!$A$3,"Mese",4,"Tipologia",$A191,"Viaggio",$A$183))
-IF(ISERROR(GETPIVOTDATA("Somma di AVERE",'Pivot BBVA'!$A$3,"Mese",4,"Tipologia",$A191,"Viaggio",$A$183)),0,GETPIVOTDATA("Somma di AVERE",'Pivot BBVA'!$A$3,"Mese",4,"Tipologia",$A191,"Viaggio",$A$183))
-IF(ISERROR(GETPIVOTDATA("Somma di AVERE",'Pivot Fineco St'!$A$3,"Mese",4,"Tipologia",$A191,"Viaggio",$A$183)),0,GETPIVOTDATA("Somma di AVERE",'Pivot Fineco St'!$A$3,"Mese",4,"Tipologia",$A191,"Viaggio",$A$183))
-IF(ISERROR(GETPIVOTDATA("Somma di AVERE",'Pivot Fineco Sa'!$A$3,"Mese",4,"Tipologia",$A191,"Viaggio",$A$183)),0,GETPIVOTDATA("Somma di AVERE",'Pivot Fineco Sa'!$A$3,"Mese",4,"Tipologia",$A191,"Viaggio",$A$183))
+IF(ISERROR(GETPIVOTDATA("Somma di DARE",'Pivot PP Visa'!$A$3,"Mese",4,"Tipologia",$A191,"Viaggio",$A$183)),0,GETPIVOTDATA("Somma di DARE",'Pivot PP Visa'!$A$3,"Mese",4,"Tipologia",$A191,"Viaggio",$A$183))
-IF(ISERROR(GETPIVOTDATA("Somma di AVERE",'Pivot PP Visa'!$A$3,"Mese",4,"Tipologia",$A191,"Viaggio",$A$183)),0,GETPIVOTDATA("Somma di AVERE",'Pivot PP Visa'!$A$3,"Mese",4,"Tipologia",$A191,"Viaggio",$A$183))
+IF(ISERROR(GETPIVOTDATA("Somma di DARE",'Pivot Revolut'!$A$3,"Mese",4,"Tipologia",$A191,"Viaggio",$A$183)),0,GETPIVOTDATA("Somma di DARE",'Pivot Revolut'!$A$3,"Mese",4,"Tipologia",$A191,"Viaggio",$A$183))
-IF(ISERROR(GETPIVOTDATA("Somma di AVERE",'Pivot Revolut'!$A$3,"Mese",4,"Tipologia",$A191,"Viaggio",$A$183)),0,GETPIVOTDATA("Somma di AVERE",'Pivot Revolut'!$A$3,"Mese",4,"Tipologia",$A191,"Viaggio",$A$183))
+IF(ISERROR(GETPIVOTDATA("Somma di DARE",'Pivot RakBank EUR'!$A$3,"Mese",4,"Tipologia",$A191,"Viaggio",$A$183)),0,GETPIVOTDATA("Somma di DARE",'Pivot RakBank EUR'!$A$3,"Mese",4,"Tipologia",$A191,"Viaggio",$A$183))
-IF(ISERROR(GETPIVOTDATA("Somma di AVERE",'Pivot RakBank EUR'!$A$3,"Mese",4,"Tipologia",$A191,"Viaggio",$A$183)),0,GETPIVOTDATA("Somma di AVERE",'Pivot RakBank EUR'!$A$3,"Mese",4,"Tipologia",$A191,"Viaggio",$A$183))
+IF(ISERROR(GETPIVOTDATA("Somma di DARE EUR",'Pivot RakBank AED'!$A$3,"Mese",4,"Tipologia",$A191,"Viaggio",$A$183)),0,GETPIVOTDATA("Somma di DARE EUR",'Pivot RakBank AED'!$A$3,"Mese",4,"Tipologia",$A191,"Viaggio",$A$183))
-IF(ISERROR(GETPIVOTDATA("Somma di AVERE EUR",'Pivot RakBank AED'!$A$3,"Mese",4,"Tipologia",$A191,"Viaggio",$A$183)),0,GETPIVOTDATA("Somma di AVERE EUR",'Pivot RakBank AED'!$A$3,"Mese",4,"Tipologia",$A191,"Viaggio",$A$183))</f>
        <v>0</v>
      </c>
      <c r="G191" s="270">
        <f>IF(ISERROR(GETPIVOTDATA("Somma di DARE",'Pivot Fineco Sa'!$A$3,"Mese",5,"Tipologia",$A191,"Viaggio",$A$183)),0,GETPIVOTDATA("Somma di DARE",'Pivot Fineco Sa'!$A$3,"Mese",5,"Tipologia",$A191,"Viaggio",$A$183))
+IF(ISERROR(GETPIVOTDATA("Somma di DARE",'Pivot Fineco St'!$A$3,"Mese",5,"Tipologia",$A191,"Viaggio",$A$183)),0,GETPIVOTDATA("Somma di DARE",'Pivot Fineco St'!$A$3,"Mese",5,"Tipologia",$A191,"Viaggio",$A$183))
+IF(Contanti!$U46='Conto Economico'!$A$183,Contanti!$R46)
+IF(ISERROR(GETPIVOTDATA("Somma di DARE",'Pivot BBVA'!$A$3,"Mese",5,"Tipologia",$A191,"Viaggio",$A$183)),0,GETPIVOTDATA("Somma di DARE",'Pivot BBVA'!$A$3,"Mese",5,"Tipologia",$A191,"Viaggio",$A$183))
+IF(ISERROR(GETPIVOTDATA("Somma di DARE",'Pivot Amex'!$A$3,"Mese",5,"Tipologia",$A191,"Viaggio",$A$183)),0,GETPIVOTDATA("Somma di DARE",'Pivot Amex'!$A$3,"Mese",5,"Tipologia",$A191,"Viaggio",$A$183))
-IF(ISERROR(GETPIVOTDATA("Somma di AVERE",'Pivot Amex'!$A$3,"Mese",5,"Tipologia",$A191,"Viaggio",$A$183)),0,GETPIVOTDATA("Somma di AVERE",'Pivot Amex'!$A$3,"Mese",5,"Tipologia",$A191,"Viaggio",$A$183))
-IF(ISERROR(GETPIVOTDATA("Somma di AVERE",'Pivot BBVA'!$A$3,"Mese",5,"Tipologia",$A191,"Viaggio",$A$183)),0,GETPIVOTDATA("Somma di AVERE",'Pivot BBVA'!$A$3,"Mese",5,"Tipologia",$A191,"Viaggio",$A$183))
-IF(ISERROR(GETPIVOTDATA("Somma di AVERE",'Pivot Fineco St'!$A$3,"Mese",5,"Tipologia",$A191,"Viaggio",$A$183)),0,GETPIVOTDATA("Somma di AVERE",'Pivot Fineco St'!$A$3,"Mese",5,"Tipologia",$A191,"Viaggio",$A$183))
-IF(ISERROR(GETPIVOTDATA("Somma di AVERE",'Pivot Fineco Sa'!$A$3,"Mese",5,"Tipologia",$A191,"Viaggio",$A$183)),0,GETPIVOTDATA("Somma di AVERE",'Pivot Fineco Sa'!$A$3,"Mese",5,"Tipologia",$A191,"Viaggio",$A$183))
+IF(ISERROR(GETPIVOTDATA("Somma di DARE",'Pivot PP Visa'!$A$3,"Mese",5,"Tipologia",$A191,"Viaggio",$A$183)),0,GETPIVOTDATA("Somma di DARE",'Pivot PP Visa'!$A$3,"Mese",5,"Tipologia",$A191,"Viaggio",$A$183))
-IF(ISERROR(GETPIVOTDATA("Somma di AVERE",'Pivot PP Visa'!$A$3,"Mese",5,"Tipologia",$A191,"Viaggio",$A$183)),0,GETPIVOTDATA("Somma di AVERE",'Pivot PP Visa'!$A$3,"Mese",5,"Tipologia",$A191,"Viaggio",$A$183))
+IF(ISERROR(GETPIVOTDATA("Somma di DARE",'Pivot Revolut'!$A$3,"Mese",5,"Tipologia",$A191,"Viaggio",$A$183)),0,GETPIVOTDATA("Somma di DARE",'Pivot Revolut'!$A$3,"Mese",5,"Tipologia",$A191,"Viaggio",$A$183))
-IF(ISERROR(GETPIVOTDATA("Somma di AVERE",'Pivot Revolut'!$A$3,"Mese",5,"Tipologia",$A191,"Viaggio",$A$183)),0,GETPIVOTDATA("Somma di AVERE",'Pivot Revolut'!$A$3,"Mese",5,"Tipologia",$A191,"Viaggio",$A$183))
+IF(ISERROR(GETPIVOTDATA("Somma di DARE",'Pivot RakBank EUR'!$A$3,"Mese",5,"Tipologia",$A191,"Viaggio",$A$183)),0,GETPIVOTDATA("Somma di DARE",'Pivot RakBank EUR'!$A$3,"Mese",5,"Tipologia",$A191,"Viaggio",$A$183))
-IF(ISERROR(GETPIVOTDATA("Somma di AVERE",'Pivot RakBank EUR'!$A$3,"Mese",5,"Tipologia",$A191,"Viaggio",$A$183)),0,GETPIVOTDATA("Somma di AVERE",'Pivot RakBank EUR'!$A$3,"Mese",5,"Tipologia",$A191,"Viaggio",$A$183))
+IF(ISERROR(GETPIVOTDATA("Somma di DARE EUR",'Pivot RakBank AED'!$A$3,"Mese",5,"Tipologia",$A191,"Viaggio",$A$183)),0,GETPIVOTDATA("Somma di DARE EUR",'Pivot RakBank AED'!$A$3,"Mese",5,"Tipologia",$A191,"Viaggio",$A$183))
-IF(ISERROR(GETPIVOTDATA("Somma di AVERE EUR",'Pivot RakBank AED'!$A$3,"Mese",5,"Tipologia",$A191,"Viaggio",$A$183)),0,GETPIVOTDATA("Somma di AVERE EUR",'Pivot RakBank AED'!$A$3,"Mese",5,"Tipologia",$A191,"Viaggio",$A$183))</f>
        <v>0</v>
      </c>
      <c r="H191" s="270">
        <f>IF(ISERROR(GETPIVOTDATA("Somma di DARE",'Pivot Fineco Sa'!$A$3,"Mese",6,"Tipologia",$A191,"Viaggio",$A$183)),0,GETPIVOTDATA("Somma di DARE",'Pivot Fineco Sa'!$A$3,"Mese",6,"Tipologia",$A191,"Viaggio",$A$183))
+IF(ISERROR(GETPIVOTDATA("Somma di DARE",'Pivot Fineco St'!$A$3,"Mese",6,"Tipologia",$A191,"Viaggio",$A$183)),0,GETPIVOTDATA("Somma di DARE",'Pivot Fineco St'!$A$3,"Mese",6,"Tipologia",$A191,"Viaggio",$A$183))
+IF(Contanti!$Y46='Conto Economico'!$A$183,Contanti!$V46)
+IF(ISERROR(GETPIVOTDATA("Somma di DARE",'Pivot BBVA'!$A$3,"Mese",6,"Tipologia",$A191,"Viaggio",$A$183)),0,GETPIVOTDATA("Somma di DARE",'Pivot BBVA'!$A$3,"Mese",6,"Tipologia",$A191,"Viaggio",$A$183))
+IF(ISERROR(GETPIVOTDATA("Somma di DARE",'Pivot Amex'!$A$3,"Mese",6,"Tipologia",$A191,"Viaggio",$A$183)),0,GETPIVOTDATA("Somma di DARE",'Pivot Amex'!$A$3,"Mese",6,"Tipologia",$A191,"Viaggio",$A$183))
-IF(ISERROR(GETPIVOTDATA("Somma di AVERE",'Pivot Amex'!$A$3,"Mese",6,"Tipologia",$A191,"Viaggio",$A$183)),0,GETPIVOTDATA("Somma di AVERE",'Pivot Amex'!$A$3,"Mese",6,"Tipologia",$A191,"Viaggio",$A$183))
-IF(ISERROR(GETPIVOTDATA("Somma di AVERE",'Pivot BBVA'!$A$3,"Mese",6,"Tipologia",$A191,"Viaggio",$A$183)),0,GETPIVOTDATA("Somma di AVERE",'Pivot BBVA'!$A$3,"Mese",6,"Tipologia",$A191,"Viaggio",$A$183))
-IF(ISERROR(GETPIVOTDATA("Somma di AVERE",'Pivot Fineco St'!$A$3,"Mese",6,"Tipologia",$A191,"Viaggio",$A$183)),0,GETPIVOTDATA("Somma di AVERE",'Pivot Fineco St'!$A$3,"Mese",6,"Tipologia",$A191,"Viaggio",$A$183))
-IF(ISERROR(GETPIVOTDATA("Somma di AVERE",'Pivot Fineco Sa'!$A$3,"Mese",6,"Tipologia",$A191,"Viaggio",$A$183)),0,GETPIVOTDATA("Somma di AVERE",'Pivot Fineco Sa'!$A$3,"Mese",6,"Tipologia",$A191,"Viaggio",$A$183))
+IF(ISERROR(GETPIVOTDATA("Somma di DARE",'Pivot PP Visa'!$A$3,"Mese",6,"Tipologia",$A191,"Viaggio",$A$183)),0,GETPIVOTDATA("Somma di DARE",'Pivot PP Visa'!$A$3,"Mese",6,"Tipologia",$A191,"Viaggio",$A$183))
-IF(ISERROR(GETPIVOTDATA("Somma di AVERE",'Pivot PP Visa'!$A$3,"Mese",6,"Tipologia",$A191,"Viaggio",$A$183)),0,GETPIVOTDATA("Somma di AVERE",'Pivot PP Visa'!$A$3,"Mese",6,"Tipologia",$A191,"Viaggio",$A$183))
+IF(ISERROR(GETPIVOTDATA("Somma di DARE",'Pivot Revolut'!$A$3,"Mese",6,"Tipologia",$A191,"Viaggio",$A$183)),0,GETPIVOTDATA("Somma di DARE",'Pivot Revolut'!$A$3,"Mese",6,"Tipologia",$A191,"Viaggio",$A$183))
-IF(ISERROR(GETPIVOTDATA("Somma di AVERE",'Pivot Revolut'!$A$3,"Mese",6,"Tipologia",$A191,"Viaggio",$A$183)),0,GETPIVOTDATA("Somma di AVERE",'Pivot Revolut'!$A$3,"Mese",6,"Tipologia",$A191,"Viaggio",$A$183))
+IF(ISERROR(GETPIVOTDATA("Somma di DARE",'Pivot RakBank EUR'!$A$3,"Mese",6,"Tipologia",$A191,"Viaggio",$A$183)),0,GETPIVOTDATA("Somma di DARE",'Pivot RakBank EUR'!$A$3,"Mese",6,"Tipologia",$A191,"Viaggio",$A$183))
-IF(ISERROR(GETPIVOTDATA("Somma di AVERE",'Pivot RakBank EUR'!$A$3,"Mese",6,"Tipologia",$A191,"Viaggio",$A$183)),0,GETPIVOTDATA("Somma di AVERE",'Pivot RakBank EUR'!$A$3,"Mese",6,"Tipologia",$A191,"Viaggio",$A$183))
+IF(ISERROR(GETPIVOTDATA("Somma di DARE EUR",'Pivot RakBank AED'!$A$3,"Mese",6,"Tipologia",$A191,"Viaggio",$A$183)),0,GETPIVOTDATA("Somma di DARE EUR",'Pivot RakBank AED'!$A$3,"Mese",6,"Tipologia",$A191,"Viaggio",$A$183))
-IF(ISERROR(GETPIVOTDATA("Somma di AVERE EUR",'Pivot RakBank AED'!$A$3,"Mese",6,"Tipologia",$A191,"Viaggio",$A$183)),0,GETPIVOTDATA("Somma di AVERE EUR",'Pivot RakBank AED'!$A$3,"Mese",6,"Tipologia",$A191,"Viaggio",$A$183))</f>
        <v>0</v>
      </c>
      <c r="I191" s="270">
        <f>IF(ISERROR(GETPIVOTDATA("Somma di DARE",'Pivot Fineco Sa'!$A$3,"Mese",7,"Tipologia",$A191,"Viaggio",$A$183)),0,GETPIVOTDATA("Somma di DARE",'Pivot Fineco Sa'!$A$3,"Mese",7,"Tipologia",$A191,"Viaggio",$A$183))
+IF(ISERROR(GETPIVOTDATA("Somma di DARE",'Pivot Fineco St'!$A$3,"Mese",7,"Tipologia",$A191,"Viaggio",$A$183)),0,GETPIVOTDATA("Somma di DARE",'Pivot Fineco St'!$A$3,"Mese",7,"Tipologia",$A191,"Viaggio",$A$183))
+IF(Contanti!$AC46='Conto Economico'!$A$183,Contanti!$Z46)
+IF(ISERROR(GETPIVOTDATA("Somma di DARE",'Pivot BBVA'!$A$3,"Mese",7,"Tipologia",$A191,"Viaggio",$A$183)),0,GETPIVOTDATA("Somma di DARE",'Pivot BBVA'!$A$3,"Mese",7,"Tipologia",$A191,"Viaggio",$A$183))
+IF(ISERROR(GETPIVOTDATA("Somma di DARE",'Pivot Amex'!$A$3,"Mese",7,"Tipologia",$A191,"Viaggio",$A$183)),0,GETPIVOTDATA("Somma di DARE",'Pivot Amex'!$A$3,"Mese",7,"Tipologia",$A191,"Viaggio",$A$183))
-IF(ISERROR(GETPIVOTDATA("Somma di AVERE",'Pivot Amex'!$A$3,"Mese",7,"Tipologia",$A191,"Viaggio",$A$183)),0,GETPIVOTDATA("Somma di AVERE",'Pivot Amex'!$A$3,"Mese",7,"Tipologia",$A191,"Viaggio",$A$183))
-IF(ISERROR(GETPIVOTDATA("Somma di AVERE",'Pivot BBVA'!$A$3,"Mese",7,"Tipologia",$A191,"Viaggio",$A$183)),0,GETPIVOTDATA("Somma di AVERE",'Pivot BBVA'!$A$3,"Mese",7,"Tipologia",$A191,"Viaggio",$A$183))
-IF(ISERROR(GETPIVOTDATA("Somma di AVERE",'Pivot Fineco St'!$A$3,"Mese",7,"Tipologia",$A191,"Viaggio",$A$183)),0,GETPIVOTDATA("Somma di AVERE",'Pivot Fineco St'!$A$3,"Mese",7,"Tipologia",$A191,"Viaggio",$A$183))
-IF(ISERROR(GETPIVOTDATA("Somma di AVERE",'Pivot Fineco Sa'!$A$3,"Mese",7,"Tipologia",$A191,"Viaggio",$A$183)),0,GETPIVOTDATA("Somma di AVERE",'Pivot Fineco Sa'!$A$3,"Mese",7,"Tipologia",$A191,"Viaggio",$A$183))
+IF(ISERROR(GETPIVOTDATA("Somma di DARE",'Pivot PP Visa'!$A$3,"Mese",7,"Tipologia",$A191,"Viaggio",$A$183)),0,GETPIVOTDATA("Somma di DARE",'Pivot PP Visa'!$A$3,"Mese",7,"Tipologia",$A191,"Viaggio",$A$183))
-IF(ISERROR(GETPIVOTDATA("Somma di AVERE",'Pivot PP Visa'!$A$3,"Mese",7,"Tipologia",$A191,"Viaggio",$A$183)),0,GETPIVOTDATA("Somma di AVERE",'Pivot PP Visa'!$A$3,"Mese",7,"Tipologia",$A191,"Viaggio",$A$183))
+IF(ISERROR(GETPIVOTDATA("Somma di DARE",'Pivot Revolut'!$A$3,"Mese",7,"Tipologia",$A191,"Viaggio",$A$183)),0,GETPIVOTDATA("Somma di DARE",'Pivot Revolut'!$A$3,"Mese",7,"Tipologia",$A191,"Viaggio",$A$183))
-IF(ISERROR(GETPIVOTDATA("Somma di AVERE",'Pivot Revolut'!$A$3,"Mese",7,"Tipologia",$A191,"Viaggio",$A$183)),0,GETPIVOTDATA("Somma di AVERE",'Pivot Revolut'!$A$3,"Mese",7,"Tipologia",$A191,"Viaggio",$A$183))
+IF(ISERROR(GETPIVOTDATA("Somma di DARE",'Pivot RakBank EUR'!$A$3,"Mese",7,"Tipologia",$A191,"Viaggio",$A$183)),0,GETPIVOTDATA("Somma di DARE",'Pivot RakBank EUR'!$A$3,"Mese",7,"Tipologia",$A191,"Viaggio",$A$183))
-IF(ISERROR(GETPIVOTDATA("Somma di AVERE",'Pivot RakBank EUR'!$A$3,"Mese",7,"Tipologia",$A191,"Viaggio",$A$183)),0,GETPIVOTDATA("Somma di AVERE",'Pivot RakBank EUR'!$A$3,"Mese",7,"Tipologia",$A191,"Viaggio",$A$183))
+IF(ISERROR(GETPIVOTDATA("Somma di DARE EUR",'Pivot RakBank AED'!$A$3,"Mese",7,"Tipologia",$A191,"Viaggio",$A$183)),0,GETPIVOTDATA("Somma di DARE EUR",'Pivot RakBank AED'!$A$3,"Mese",7,"Tipologia",$A191,"Viaggio",$A$183))
-IF(ISERROR(GETPIVOTDATA("Somma di AVERE EUR",'Pivot RakBank AED'!$A$3,"Mese",7,"Tipologia",$A191,"Viaggio",$A$183)),0,GETPIVOTDATA("Somma di AVERE EUR",'Pivot RakBank AED'!$A$3,"Mese",7,"Tipologia",$A191,"Viaggio",$A$183))</f>
        <v>0</v>
      </c>
      <c r="J191" s="270">
        <f>IF(ISERROR(GETPIVOTDATA("Somma di DARE",'Pivot Fineco Sa'!$A$3,"Mese",8,"Tipologia",$A191,"Viaggio",$A$183)),0,GETPIVOTDATA("Somma di DARE",'Pivot Fineco Sa'!$A$3,"Mese",8,"Tipologia",$A191,"Viaggio",$A$183))
+IF(ISERROR(GETPIVOTDATA("Somma di DARE",'Pivot Fineco St'!$A$3,"Mese",8,"Tipologia",$A191,"Viaggio",$A$183)),0,GETPIVOTDATA("Somma di DARE",'Pivot Fineco St'!$A$3,"Mese",8,"Tipologia",$A191,"Viaggio",$A$183))
+IF(Contanti!$AG46='Conto Economico'!$A$183,Contanti!$AD46)
+IF(ISERROR(GETPIVOTDATA("Somma di DARE",'Pivot BBVA'!$A$3,"Mese",8,"Tipologia",$A191,"Viaggio",$A$183)),0,GETPIVOTDATA("Somma di DARE",'Pivot BBVA'!$A$3,"Mese",8,"Tipologia",$A191,"Viaggio",$A$183))
+IF(ISERROR(GETPIVOTDATA("Somma di DARE",'Pivot Amex'!$A$3,"Mese",8,"Tipologia",$A191,"Viaggio",$A$183)),0,GETPIVOTDATA("Somma di DARE",'Pivot Amex'!$A$3,"Mese",8,"Tipologia",$A191,"Viaggio",$A$183))
-IF(ISERROR(GETPIVOTDATA("Somma di AVERE",'Pivot Amex'!$A$3,"Mese",8,"Tipologia",$A191,"Viaggio",$A$183)),0,GETPIVOTDATA("Somma di AVERE",'Pivot Amex'!$A$3,"Mese",8,"Tipologia",$A191,"Viaggio",$A$183))
-IF(ISERROR(GETPIVOTDATA("Somma di AVERE",'Pivot BBVA'!$A$3,"Mese",8,"Tipologia",$A191,"Viaggio",$A$183)),0,GETPIVOTDATA("Somma di AVERE",'Pivot BBVA'!$A$3,"Mese",8,"Tipologia",$A191,"Viaggio",$A$183))
-IF(ISERROR(GETPIVOTDATA("Somma di AVERE",'Pivot Fineco St'!$A$3,"Mese",8,"Tipologia",$A191,"Viaggio",$A$183)),0,GETPIVOTDATA("Somma di AVERE",'Pivot Fineco St'!$A$3,"Mese",8,"Tipologia",$A191,"Viaggio",$A$183))
-IF(ISERROR(GETPIVOTDATA("Somma di AVERE",'Pivot Fineco Sa'!$A$3,"Mese",8,"Tipologia",$A191,"Viaggio",$A$183)),0,GETPIVOTDATA("Somma di AVERE",'Pivot Fineco Sa'!$A$3,"Mese",8,"Tipologia",$A191,"Viaggio",$A$183))
+IF(ISERROR(GETPIVOTDATA("Somma di DARE",'Pivot PP Visa'!$A$3,"Mese",8,"Tipologia",$A191,"Viaggio",$A$183)),0,GETPIVOTDATA("Somma di DARE",'Pivot PP Visa'!$A$3,"Mese",8,"Tipologia",$A191,"Viaggio",$A$183))
-IF(ISERROR(GETPIVOTDATA("Somma di AVERE",'Pivot PP Visa'!$A$3,"Mese",8,"Tipologia",$A191,"Viaggio",$A$183)),0,GETPIVOTDATA("Somma di AVERE",'Pivot PP Visa'!$A$3,"Mese",8,"Tipologia",$A191,"Viaggio",$A$183))
+IF(ISERROR(GETPIVOTDATA("Somma di DARE",'Pivot Revolut'!$A$3,"Mese",8,"Tipologia",$A191,"Viaggio",$A$183)),0,GETPIVOTDATA("Somma di DARE",'Pivot Revolut'!$A$3,"Mese",8,"Tipologia",$A191,"Viaggio",$A$183))
-IF(ISERROR(GETPIVOTDATA("Somma di AVERE",'Pivot Revolut'!$A$3,"Mese",8,"Tipologia",$A191,"Viaggio",$A$183)),0,GETPIVOTDATA("Somma di AVERE",'Pivot Revolut'!$A$3,"Mese",8,"Tipologia",$A191,"Viaggio",$A$183))
+IF(ISERROR(GETPIVOTDATA("Somma di DARE",'Pivot RakBank EUR'!$A$3,"Mese",8,"Tipologia",$A191,"Viaggio",$A$183)),0,GETPIVOTDATA("Somma di DARE",'Pivot RakBank EUR'!$A$3,"Mese",8,"Tipologia",$A191,"Viaggio",$A$183))
-IF(ISERROR(GETPIVOTDATA("Somma di AVERE",'Pivot RakBank EUR'!$A$3,"Mese",8,"Tipologia",$A191,"Viaggio",$A$183)),0,GETPIVOTDATA("Somma di AVERE",'Pivot RakBank EUR'!$A$3,"Mese",8,"Tipologia",$A191,"Viaggio",$A$183))
+IF(ISERROR(GETPIVOTDATA("Somma di DARE EUR",'Pivot RakBank AED'!$A$3,"Mese",8,"Tipologia",$A191,"Viaggio",$A$183)),0,GETPIVOTDATA("Somma di DARE EUR",'Pivot RakBank AED'!$A$3,"Mese",8,"Tipologia",$A191,"Viaggio",$A$183))
-IF(ISERROR(GETPIVOTDATA("Somma di AVERE EUR",'Pivot RakBank AED'!$A$3,"Mese",8,"Tipologia",$A191,"Viaggio",$A$183)),0,GETPIVOTDATA("Somma di AVERE EUR",'Pivot RakBank AED'!$A$3,"Mese",8,"Tipologia",$A191,"Viaggio",$A$183))</f>
        <v>0</v>
      </c>
      <c r="K191" s="270">
        <f>IF(ISERROR(GETPIVOTDATA("Somma di DARE",'Pivot Fineco Sa'!$A$3,"Mese",9,"Tipologia",$A191,"Viaggio",$A$183)),0,GETPIVOTDATA("Somma di DARE",'Pivot Fineco Sa'!$A$3,"Mese",9,"Tipologia",$A191,"Viaggio",$A$183))
+IF(ISERROR(GETPIVOTDATA("Somma di DARE",'Pivot Fineco St'!$A$3,"Mese",9,"Tipologia",$A191,"Viaggio",$A$183)),0,GETPIVOTDATA("Somma di DARE",'Pivot Fineco St'!$A$3,"Mese",9,"Tipologia",$A191,"Viaggio",$A$183))
+IF(Contanti!$AK46='Conto Economico'!$A$183,Contanti!$AH46)
+IF(ISERROR(GETPIVOTDATA("Somma di DARE",'Pivot BBVA'!$A$3,"Mese",9,"Tipologia",$A191,"Viaggio",$A$183)),0,GETPIVOTDATA("Somma di DARE",'Pivot BBVA'!$A$3,"Mese",9,"Tipologia",$A191,"Viaggio",$A$183))
+IF(ISERROR(GETPIVOTDATA("Somma di DARE",'Pivot Amex'!$A$3,"Mese",9,"Tipologia",$A191,"Viaggio",$A$183)),0,GETPIVOTDATA("Somma di DARE",'Pivot Amex'!$A$3,"Mese",9,"Tipologia",$A191,"Viaggio",$A$183))
-IF(ISERROR(GETPIVOTDATA("Somma di AVERE",'Pivot Amex'!$A$3,"Mese",9,"Tipologia",$A191,"Viaggio",$A$183)),0,GETPIVOTDATA("Somma di AVERE",'Pivot Amex'!$A$3,"Mese",9,"Tipologia",$A191,"Viaggio",$A$183))
-IF(ISERROR(GETPIVOTDATA("Somma di AVERE",'Pivot BBVA'!$A$3,"Mese",9,"Tipologia",$A191,"Viaggio",$A$183)),0,GETPIVOTDATA("Somma di AVERE",'Pivot BBVA'!$A$3,"Mese",9,"Tipologia",$A191,"Viaggio",$A$183))
-IF(ISERROR(GETPIVOTDATA("Somma di AVERE",'Pivot Fineco St'!$A$3,"Mese",9,"Tipologia",$A191,"Viaggio",$A$183)),0,GETPIVOTDATA("Somma di AVERE",'Pivot Fineco St'!$A$3,"Mese",9,"Tipologia",$A191,"Viaggio",$A$183))
-IF(ISERROR(GETPIVOTDATA("Somma di AVERE",'Pivot Fineco Sa'!$A$3,"Mese",9,"Tipologia",$A191,"Viaggio",$A$183)),0,GETPIVOTDATA("Somma di AVERE",'Pivot Fineco Sa'!$A$3,"Mese",9,"Tipologia",$A191,"Viaggio",$A$183))
+IF(ISERROR(GETPIVOTDATA("Somma di DARE",'Pivot PP Visa'!$A$3,"Mese",9,"Tipologia",$A191,"Viaggio",$A$183)),0,GETPIVOTDATA("Somma di DARE",'Pivot PP Visa'!$A$3,"Mese",9,"Tipologia",$A191,"Viaggio",$A$183))
-IF(ISERROR(GETPIVOTDATA("Somma di AVERE",'Pivot PP Visa'!$A$3,"Mese",9,"Tipologia",$A191,"Viaggio",$A$183)),0,GETPIVOTDATA("Somma di AVERE",'Pivot PP Visa'!$A$3,"Mese",9,"Tipologia",$A191,"Viaggio",$A$183))
+IF(ISERROR(GETPIVOTDATA("Somma di DARE",'Pivot Revolut'!$A$3,"Mese",9,"Tipologia",$A191,"Viaggio",$A$183)),0,GETPIVOTDATA("Somma di DARE",'Pivot Revolut'!$A$3,"Mese",9,"Tipologia",$A191,"Viaggio",$A$183))
-IF(ISERROR(GETPIVOTDATA("Somma di AVERE",'Pivot Revolut'!$A$3,"Mese",9,"Tipologia",$A191,"Viaggio",$A$183)),0,GETPIVOTDATA("Somma di AVERE",'Pivot Revolut'!$A$3,"Mese",9,"Tipologia",$A191,"Viaggio",$A$183))
+IF(ISERROR(GETPIVOTDATA("Somma di DARE",'Pivot RakBank EUR'!$A$3,"Mese",9,"Tipologia",$A191,"Viaggio",$A$183)),0,GETPIVOTDATA("Somma di DARE",'Pivot RakBank EUR'!$A$3,"Mese",9,"Tipologia",$A191,"Viaggio",$A$183))
-IF(ISERROR(GETPIVOTDATA("Somma di AVERE",'Pivot RakBank EUR'!$A$3,"Mese",9,"Tipologia",$A191,"Viaggio",$A$183)),0,GETPIVOTDATA("Somma di AVERE",'Pivot RakBank EUR'!$A$3,"Mese",9,"Tipologia",$A191,"Viaggio",$A$183))
+IF(ISERROR(GETPIVOTDATA("Somma di DARE EUR",'Pivot RakBank AED'!$A$3,"Mese",9,"Tipologia",$A191,"Viaggio",$A$183)),0,GETPIVOTDATA("Somma di DARE EUR",'Pivot RakBank AED'!$A$3,"Mese",9,"Tipologia",$A191,"Viaggio",$A$183))
-IF(ISERROR(GETPIVOTDATA("Somma di AVERE EUR",'Pivot RakBank AED'!$A$3,"Mese",9,"Tipologia",$A191,"Viaggio",$A$183)),0,GETPIVOTDATA("Somma di AVERE EUR",'Pivot RakBank AED'!$A$3,"Mese",9,"Tipologia",$A191,"Viaggio",$A$183))</f>
        <v>0</v>
      </c>
      <c r="L191" s="270">
        <f>IF(ISERROR(GETPIVOTDATA("Somma di DARE",'Pivot Fineco Sa'!$A$3,"Mese",10,"Tipologia",$A191,"Viaggio",$A$183)),0,GETPIVOTDATA("Somma di DARE",'Pivot Fineco Sa'!$A$3,"Mese",10,"Tipologia",$A191,"Viaggio",$A$183))
+IF(ISERROR(GETPIVOTDATA("Somma di DARE",'Pivot Fineco St'!$A$3,"Mese",10,"Tipologia",$A191,"Viaggio",$A$183)),0,GETPIVOTDATA("Somma di DARE",'Pivot Fineco St'!$A$3,"Mese",10,"Tipologia",$A191,"Viaggio",$A$183))
+IF(Contanti!$AO46='Conto Economico'!$A$183,Contanti!$AL46)
+IF(ISERROR(GETPIVOTDATA("Somma di DARE",'Pivot BBVA'!$A$3,"Mese",10,"Tipologia",$A191,"Viaggio",$A$183)),0,GETPIVOTDATA("Somma di DARE",'Pivot BBVA'!$A$3,"Mese",10,"Tipologia",$A191,"Viaggio",$A$183))
+IF(ISERROR(GETPIVOTDATA("Somma di DARE",'Pivot Amex'!$A$3,"Mese",10,"Tipologia",$A191,"Viaggio",$A$183)),0,GETPIVOTDATA("Somma di DARE",'Pivot Amex'!$A$3,"Mese",10,"Tipologia",$A191,"Viaggio",$A$183))
-IF(ISERROR(GETPIVOTDATA("Somma di AVERE",'Pivot Amex'!$A$3,"Mese",10,"Tipologia",$A191,"Viaggio",$A$183)),0,GETPIVOTDATA("Somma di AVERE",'Pivot Amex'!$A$3,"Mese",10,"Tipologia",$A191,"Viaggio",$A$183))
-IF(ISERROR(GETPIVOTDATA("Somma di AVERE",'Pivot BBVA'!$A$3,"Mese",10,"Tipologia",$A191,"Viaggio",$A$183)),0,GETPIVOTDATA("Somma di AVERE",'Pivot BBVA'!$A$3,"Mese",10,"Tipologia",$A191,"Viaggio",$A$183))
-IF(ISERROR(GETPIVOTDATA("Somma di AVERE",'Pivot Fineco St'!$A$3,"Mese",10,"Tipologia",$A191,"Viaggio",$A$183)),0,GETPIVOTDATA("Somma di AVERE",'Pivot Fineco St'!$A$3,"Mese",10,"Tipologia",$A191,"Viaggio",$A$183))
-IF(ISERROR(GETPIVOTDATA("Somma di AVERE",'Pivot Fineco Sa'!$A$3,"Mese",10,"Tipologia",$A191,"Viaggio",$A$183)),0,GETPIVOTDATA("Somma di AVERE",'Pivot Fineco Sa'!$A$3,"Mese",10,"Tipologia",$A191,"Viaggio",$A$183))
+IF(ISERROR(GETPIVOTDATA("Somma di DARE",'Pivot PP Visa'!$A$3,"Mese",10,"Tipologia",$A191,"Viaggio",$A$183)),0,GETPIVOTDATA("Somma di DARE",'Pivot PP Visa'!$A$3,"Mese",10,"Tipologia",$A191,"Viaggio",$A$183))
-IF(ISERROR(GETPIVOTDATA("Somma di AVERE",'Pivot PP Visa'!$A$3,"Mese",10,"Tipologia",$A191,"Viaggio",$A$183)),0,GETPIVOTDATA("Somma di AVERE",'Pivot PP Visa'!$A$3,"Mese",10,"Tipologia",$A191,"Viaggio",$A$183))
+IF(ISERROR(GETPIVOTDATA("Somma di DARE",'Pivot Revolut'!$A$3,"Mese",10,"Tipologia",$A191,"Viaggio",$A$183)),0,GETPIVOTDATA("Somma di DARE",'Pivot Revolut'!$A$3,"Mese",10,"Tipologia",$A191,"Viaggio",$A$183))
-IF(ISERROR(GETPIVOTDATA("Somma di AVERE",'Pivot Revolut'!$A$3,"Mese",10,"Tipologia",$A191,"Viaggio",$A$183)),0,GETPIVOTDATA("Somma di AVERE",'Pivot Revolut'!$A$3,"Mese",10,"Tipologia",$A191,"Viaggio",$A$183))
+IF(ISERROR(GETPIVOTDATA("Somma di DARE",'Pivot RakBank EUR'!$A$3,"Mese",10,"Tipologia",$A191,"Viaggio",$A$183)),0,GETPIVOTDATA("Somma di DARE",'Pivot RakBank EUR'!$A$3,"Mese",10,"Tipologia",$A191,"Viaggio",$A$183))
-IF(ISERROR(GETPIVOTDATA("Somma di AVERE",'Pivot RakBank EUR'!$A$3,"Mese",10,"Tipologia",$A191,"Viaggio",$A$183)),0,GETPIVOTDATA("Somma di AVERE",'Pivot RakBank EUR'!$A$3,"Mese",10,"Tipologia",$A191,"Viaggio",$A$183))
+IF(ISERROR(GETPIVOTDATA("Somma di DARE EUR",'Pivot RakBank AED'!$A$3,"Mese",10,"Tipologia",$A191,"Viaggio",$A$183)),0,GETPIVOTDATA("Somma di DARE EUR",'Pivot RakBank AED'!$A$3,"Mese",10,"Tipologia",$A191,"Viaggio",$A$183))
-IF(ISERROR(GETPIVOTDATA("Somma di AVERE EUR",'Pivot RakBank AED'!$A$3,"Mese",10,"Tipologia",$A191,"Viaggio",$A$183)),0,GETPIVOTDATA("Somma di AVERE EUR",'Pivot RakBank AED'!$A$3,"Mese",10,"Tipologia",$A191,"Viaggio",$A$183))</f>
        <v>0</v>
      </c>
      <c r="M191" s="270">
        <f>IF(ISERROR(GETPIVOTDATA("Somma di DARE",'Pivot Fineco Sa'!$A$3,"Mese",11,"Tipologia",$A191,"Viaggio",$A$183)),0,GETPIVOTDATA("Somma di DARE",'Pivot Fineco Sa'!$A$3,"Mese",11,"Tipologia",$A191,"Viaggio",$A$183))
+IF(ISERROR(GETPIVOTDATA("Somma di DARE",'Pivot Fineco St'!$A$3,"Mese",11,"Tipologia",$A191,"Viaggio",$A$183)),0,GETPIVOTDATA("Somma di DARE",'Pivot Fineco St'!$A$3,"Mese",11,"Tipologia",$A191,"Viaggio",$A$183))
+IF(Contanti!$AS46='Conto Economico'!$A$183,Contanti!$AP46)
+IF(ISERROR(GETPIVOTDATA("Somma di DARE",'Pivot BBVA'!$A$3,"Mese",11,"Tipologia",$A191,"Viaggio",$A$183)),0,GETPIVOTDATA("Somma di DARE",'Pivot BBVA'!$A$3,"Mese",11,"Tipologia",$A191,"Viaggio",$A$183))
+IF(ISERROR(GETPIVOTDATA("Somma di DARE",'Pivot Amex'!$A$3,"Mese",11,"Tipologia",$A191,"Viaggio",$A$183)),0,GETPIVOTDATA("Somma di DARE",'Pivot Amex'!$A$3,"Mese",11,"Tipologia",$A191,"Viaggio",$A$183))
-IF(ISERROR(GETPIVOTDATA("Somma di AVERE",'Pivot Amex'!$A$3,"Mese",11,"Tipologia",$A191,"Viaggio",$A$183)),0,GETPIVOTDATA("Somma di AVERE",'Pivot Amex'!$A$3,"Mese",11,"Tipologia",$A191,"Viaggio",$A$183))
-IF(ISERROR(GETPIVOTDATA("Somma di AVERE",'Pivot BBVA'!$A$3,"Mese",11,"Tipologia",$A191,"Viaggio",$A$183)),0,GETPIVOTDATA("Somma di AVERE",'Pivot BBVA'!$A$3,"Mese",11,"Tipologia",$A191,"Viaggio",$A$183))
-IF(ISERROR(GETPIVOTDATA("Somma di AVERE",'Pivot Fineco St'!$A$3,"Mese",11,"Tipologia",$A191,"Viaggio",$A$183)),0,GETPIVOTDATA("Somma di AVERE",'Pivot Fineco St'!$A$3,"Mese",11,"Tipologia",$A191,"Viaggio",$A$183))
-IF(ISERROR(GETPIVOTDATA("Somma di AVERE",'Pivot Fineco Sa'!$A$3,"Mese",11,"Tipologia",$A191,"Viaggio",$A$183)),0,GETPIVOTDATA("Somma di AVERE",'Pivot Fineco Sa'!$A$3,"Mese",11,"Tipologia",$A191,"Viaggio",$A$183))
+IF(ISERROR(GETPIVOTDATA("Somma di DARE",'Pivot PP Visa'!$A$3,"Mese",11,"Tipologia",$A191,"Viaggio",$A$183)),0,GETPIVOTDATA("Somma di DARE",'Pivot PP Visa'!$A$3,"Mese",11,"Tipologia",$A191,"Viaggio",$A$183))
-IF(ISERROR(GETPIVOTDATA("Somma di AVERE",'Pivot PP Visa'!$A$3,"Mese",11,"Tipologia",$A191,"Viaggio",$A$183)),0,GETPIVOTDATA("Somma di AVERE",'Pivot PP Visa'!$A$3,"Mese",11,"Tipologia",$A191,"Viaggio",$A$183))
+IF(ISERROR(GETPIVOTDATA("Somma di DARE",'Pivot Revolut'!$A$3,"Mese",11,"Tipologia",$A191,"Viaggio",$A$183)),0,GETPIVOTDATA("Somma di DARE",'Pivot Revolut'!$A$3,"Mese",11,"Tipologia",$A191,"Viaggio",$A$183))
-IF(ISERROR(GETPIVOTDATA("Somma di AVERE",'Pivot Revolut'!$A$3,"Mese",11,"Tipologia",$A191,"Viaggio",$A$183)),0,GETPIVOTDATA("Somma di AVERE",'Pivot Revolut'!$A$3,"Mese",11,"Tipologia",$A191,"Viaggio",$A$183))
+IF(ISERROR(GETPIVOTDATA("Somma di DARE",'Pivot RakBank EUR'!$A$3,"Mese",11,"Tipologia",$A191,"Viaggio",$A$183)),0,GETPIVOTDATA("Somma di DARE",'Pivot RakBank EUR'!$A$3,"Mese",11,"Tipologia",$A191,"Viaggio",$A$183))
-IF(ISERROR(GETPIVOTDATA("Somma di AVERE",'Pivot RakBank EUR'!$A$3,"Mese",11,"Tipologia",$A191,"Viaggio",$A$183)),0,GETPIVOTDATA("Somma di AVERE",'Pivot RakBank EUR'!$A$3,"Mese",11,"Tipologia",$A191,"Viaggio",$A$183))
+IF(ISERROR(GETPIVOTDATA("Somma di DARE EUR",'Pivot RakBank AED'!$A$3,"Mese",11,"Tipologia",$A191,"Viaggio",$A$183)),0,GETPIVOTDATA("Somma di DARE EUR",'Pivot RakBank AED'!$A$3,"Mese",11,"Tipologia",$A191,"Viaggio",$A$183))
-IF(ISERROR(GETPIVOTDATA("Somma di AVERE EUR",'Pivot RakBank AED'!$A$3,"Mese",11,"Tipologia",$A191,"Viaggio",$A$183)),0,GETPIVOTDATA("Somma di AVERE EUR",'Pivot RakBank AED'!$A$3,"Mese",11,"Tipologia",$A191,"Viaggio",$A$183))</f>
        <v>0</v>
      </c>
      <c r="N191" s="270">
        <f>IF(ISERROR(GETPIVOTDATA("Somma di DARE",'Pivot Fineco Sa'!$A$3,"Mese",12,"Tipologia",$A191,"Viaggio",$A$183)),0,GETPIVOTDATA("Somma di DARE",'Pivot Fineco Sa'!$A$3,"Mese",12,"Tipologia",$A191,"Viaggio",$A$183))
+IF(ISERROR(GETPIVOTDATA("Somma di DARE",'Pivot Fineco St'!$A$3,"Mese",12,"Tipologia",$A191,"Viaggio",$A$183)),0,GETPIVOTDATA("Somma di DARE",'Pivot Fineco St'!$A$3,"Mese",12,"Tipologia",$A191,"Viaggio",$A$183))
+IF(Contanti!$AW46='Conto Economico'!$A$183,Contanti!$AT46)
+IF(ISERROR(GETPIVOTDATA("Somma di DARE",'Pivot BBVA'!$A$3,"Mese",12,"Tipologia",$A191,"Viaggio",$A$183)),0,GETPIVOTDATA("Somma di DARE",'Pivot BBVA'!$A$3,"Mese",12,"Tipologia",$A191,"Viaggio",$A$183))
+IF(ISERROR(GETPIVOTDATA("Somma di DARE",'Pivot Amex'!$A$3,"Mese",12,"Tipologia",$A191,"Viaggio",$A$183)),0,GETPIVOTDATA("Somma di DARE",'Pivot Amex'!$A$3,"Mese",12,"Tipologia",$A191,"Viaggio",$A$183))
-IF(ISERROR(GETPIVOTDATA("Somma di AVERE",'Pivot Amex'!$A$3,"Mese",12,"Tipologia",$A191,"Viaggio",$A$183)),0,GETPIVOTDATA("Somma di AVERE",'Pivot Amex'!$A$3,"Mese",12,"Tipologia",$A191,"Viaggio",$A$183))
-IF(ISERROR(GETPIVOTDATA("Somma di AVERE",'Pivot BBVA'!$A$3,"Mese",12,"Tipologia",$A191,"Viaggio",$A$183)),0,GETPIVOTDATA("Somma di AVERE",'Pivot BBVA'!$A$3,"Mese",12,"Tipologia",$A191,"Viaggio",$A$183))
-IF(ISERROR(GETPIVOTDATA("Somma di AVERE",'Pivot Fineco St'!$A$3,"Mese",12,"Tipologia",$A191,"Viaggio",$A$183)),0,GETPIVOTDATA("Somma di AVERE",'Pivot Fineco St'!$A$3,"Mese",12,"Tipologia",$A191,"Viaggio",$A$183))
-IF(ISERROR(GETPIVOTDATA("Somma di AVERE",'Pivot Fineco Sa'!$A$3,"Mese",12,"Tipologia",$A191,"Viaggio",$A$183)),0,GETPIVOTDATA("Somma di AVERE",'Pivot Fineco Sa'!$A$3,"Mese",12,"Tipologia",$A191,"Viaggio",$A$183))
+IF(ISERROR(GETPIVOTDATA("Somma di DARE",'Pivot PP Visa'!$A$3,"Mese",12,"Tipologia",$A191,"Viaggio",$A$183)),0,GETPIVOTDATA("Somma di DARE",'Pivot PP Visa'!$A$3,"Mese",12,"Tipologia",$A191,"Viaggio",$A$183))
-IF(ISERROR(GETPIVOTDATA("Somma di AVERE",'Pivot PP Visa'!$A$3,"Mese",12,"Tipologia",$A191,"Viaggio",$A$183)),0,GETPIVOTDATA("Somma di AVERE",'Pivot PP Visa'!$A$3,"Mese",12,"Tipologia",$A191,"Viaggio",$A$183))
+IF(ISERROR(GETPIVOTDATA("Somma di DARE",'Pivot Revolut'!$A$3,"Mese",12,"Tipologia",$A191,"Viaggio",$A$183)),0,GETPIVOTDATA("Somma di DARE",'Pivot Revolut'!$A$3,"Mese",12,"Tipologia",$A191,"Viaggio",$A$183))
-IF(ISERROR(GETPIVOTDATA("Somma di AVERE",'Pivot Revolut'!$A$3,"Mese",12,"Tipologia",$A191,"Viaggio",$A$183)),0,GETPIVOTDATA("Somma di AVERE",'Pivot Revolut'!$A$3,"Mese",12,"Tipologia",$A191,"Viaggio",$A$183))
+IF(ISERROR(GETPIVOTDATA("Somma di DARE",'Pivot RakBank EUR'!$A$3,"Mese",12,"Tipologia",$A191,"Viaggio",$A$183)),0,GETPIVOTDATA("Somma di DARE",'Pivot RakBank EUR'!$A$3,"Mese",12,"Tipologia",$A191,"Viaggio",$A$183))
-IF(ISERROR(GETPIVOTDATA("Somma di AVERE",'Pivot RakBank EUR'!$A$3,"Mese",12,"Tipologia",$A191,"Viaggio",$A$183)),0,GETPIVOTDATA("Somma di AVERE",'Pivot RakBank EUR'!$A$3,"Mese",12,"Tipologia",$A191,"Viaggio",$A$183))
+IF(ISERROR(GETPIVOTDATA("Somma di DARE EUR",'Pivot RakBank AED'!$A$3,"Mese",12,"Tipologia",$A191,"Viaggio",$A$183)),0,GETPIVOTDATA("Somma di DARE EUR",'Pivot RakBank AED'!$A$3,"Mese",12,"Tipologia",$A191,"Viaggio",$A$183))
-IF(ISERROR(GETPIVOTDATA("Somma di AVERE EUR",'Pivot RakBank AED'!$A$3,"Mese",12,"Tipologia",$A191,"Viaggio",$A$183)),0,GETPIVOTDATA("Somma di AVERE EUR",'Pivot RakBank AED'!$A$3,"Mese",12,"Tipologia",$A191,"Viaggio",$A$183))</f>
        <v>0</v>
      </c>
      <c r="O191" s="271">
        <f t="shared" si="25"/>
        <v>0</v>
      </c>
      <c r="P191" s="270"/>
    </row>
    <row r="192" spans="1:16" s="131" customFormat="1" ht="14" outlineLevel="1" x14ac:dyDescent="0.2">
      <c r="A192" s="269" t="s">
        <v>101</v>
      </c>
      <c r="B192" s="269"/>
      <c r="C192" s="270">
        <f>IF(ISERROR(GETPIVOTDATA("Somma di DARE",'Pivot Fineco Sa'!$A$3,"Mese",1,"Tipologia",$A192,"Viaggio",$A$183)),0,GETPIVOTDATA("Somma di DARE",'Pivot Fineco Sa'!$A$3,"Mese",1,"Tipologia",$A192,"Viaggio",$A$183))
+IF(ISERROR(GETPIVOTDATA("Somma di DARE",'Pivot Fineco St'!$A$3,"Mese",1,"Tipologia",$A192,"Viaggio",$A$183)),0,GETPIVOTDATA("Somma di DARE",'Pivot Fineco St'!$A$3,"Mese",1,"Tipologia",$A192,"Viaggio",$A$183))
+IF(Contanti!$E47='Conto Economico'!$A$183,Contanti!$B47)
+IF(ISERROR(GETPIVOTDATA("Somma di DARE",'Pivot BBVA'!$A$3,"Mese",1,"Tipologia",$A192,"Viaggio",$A$183)),0,GETPIVOTDATA("Somma di DARE",'Pivot BBVA'!$A$3,"Mese",1,"Tipologia",$A192,"Viaggio",$A$183))
+IF(ISERROR(GETPIVOTDATA("Somma di DARE",'Pivot Amex'!$A$3,"Mese",1,"Tipologia",$A192,"Viaggio",$A$183)),0,GETPIVOTDATA("Somma di DARE",'Pivot Amex'!$A$3,"Mese",1,"Tipologia",$A192,"Viaggio",$A$183))
-IF(ISERROR(GETPIVOTDATA("Somma di AVERE",'Pivot Amex'!$A$3,"Mese",1,"Tipologia",$A192,"Viaggio",$A$183)),0,GETPIVOTDATA("Somma di AVERE",'Pivot Amex'!$A$3,"Mese",1,"Tipologia",$A192,"Viaggio",$A$183))
-IF(ISERROR(GETPIVOTDATA("Somma di AVERE",'Pivot BBVA'!$A$3,"Mese",1,"Tipologia",$A192,"Viaggio",$A$183)),0,GETPIVOTDATA("Somma di AVERE",'Pivot BBVA'!$A$3,"Mese",1,"Tipologia",$A192,"Viaggio",$A$183))
-IF(ISERROR(GETPIVOTDATA("Somma di AVERE",'Pivot Fineco St'!$A$3,"Mese",1,"Tipologia",$A192,"Viaggio",$A$183)),0,GETPIVOTDATA("Somma di AVERE",'Pivot Fineco St'!$A$3,"Mese",1,"Tipologia",$A192,"Viaggio",$A$183))
-IF(ISERROR(GETPIVOTDATA("Somma di AVERE",'Pivot Fineco Sa'!$A$3,"Mese",1,"Tipologia",$A192,"Viaggio",$A$183)),0,GETPIVOTDATA("Somma di AVERE",'Pivot Fineco Sa'!$A$3,"Mese",1,"Tipologia",$A192,"Viaggio",$A$183))
+IF(ISERROR(GETPIVOTDATA("Somma di DARE",'Pivot PP Visa'!$A$3,"Mese",1,"Tipologia",$A192,"Viaggio",$A$183)),0,GETPIVOTDATA("Somma di DARE",'Pivot PP Visa'!$A$3,"Mese",1,"Tipologia",$A192,"Viaggio",$A$183))
-IF(ISERROR(GETPIVOTDATA("Somma di AVERE",'Pivot PP Visa'!$A$3,"Mese",1,"Tipologia",$A192,"Viaggio",$A$183)),0,GETPIVOTDATA("Somma di AVERE",'Pivot PP Visa'!$A$3,"Mese",1,"Tipologia",$A192,"Viaggio",$A$183))
+IF(ISERROR(GETPIVOTDATA("Somma di DARE",'Pivot Revolut'!$A$3,"Mese",1,"Tipologia",$A192,"Viaggio",$A$183)),0,GETPIVOTDATA("Somma di DARE",'Pivot Revolut'!$A$3,"Mese",1,"Tipologia",$A192,"Viaggio",$A$183))
-IF(ISERROR(GETPIVOTDATA("Somma di AVERE",'Pivot Revolut'!$A$3,"Mese",1,"Tipologia",$A192,"Viaggio",$A$183)),0,GETPIVOTDATA("Somma di AVERE",'Pivot Revolut'!$A$3,"Mese",1,"Tipologia",$A192,"Viaggio",$A$183))
+IF(ISERROR(GETPIVOTDATA("Somma di DARE",'Pivot RakBank EUR'!$A$3,"Mese",1,"Tipologia",$A192,"Viaggio",$A$183)),0,GETPIVOTDATA("Somma di DARE",'Pivot RakBank EUR'!$A$3,"Mese",1,"Tipologia",$A192,"Viaggio",$A$183))
-IF(ISERROR(GETPIVOTDATA("Somma di AVERE",'Pivot RakBank EUR'!$A$3,"Mese",1,"Tipologia",$A192,"Viaggio",$A$183)),0,GETPIVOTDATA("Somma di AVERE",'Pivot RakBank EUR'!$A$3,"Mese",1,"Tipologia",$A192,"Viaggio",$A$183))
+IF(ISERROR(GETPIVOTDATA("Somma di DARE EUR",'Pivot RakBank AED'!$A$3,"Mese",1,"Tipologia",$A192,"Viaggio",$A$183)),0,GETPIVOTDATA("Somma di DARE EUR",'Pivot RakBank AED'!$A$3,"Mese",1,"Tipologia",$A192,"Viaggio",$A$183))
-IF(ISERROR(GETPIVOTDATA("Somma di AVERE EUR",'Pivot RakBank AED'!$A$3,"Mese",1,"Tipologia",$A192,"Viaggio",$A$183)),0,GETPIVOTDATA("Somma di AVERE EUR",'Pivot RakBank AED'!$A$3,"Mese",1,"Tipologia",$A192,"Viaggio",$A$183))</f>
        <v>0</v>
      </c>
      <c r="D192" s="270">
        <f>IF(ISERROR(GETPIVOTDATA("Somma di DARE",'Pivot Fineco Sa'!$A$3,"Mese",2,"Tipologia",$A192,"Viaggio",$A$183)),0,GETPIVOTDATA("Somma di DARE",'Pivot Fineco Sa'!$A$3,"Mese",2,"Tipologia",$A192,"Viaggio",$A$183))
+IF(ISERROR(GETPIVOTDATA("Somma di DARE",'Pivot Fineco St'!$A$3,"Mese",2,"Tipologia",$A192,"Viaggio",$A$183)),0,GETPIVOTDATA("Somma di DARE",'Pivot Fineco St'!$A$3,"Mese",2,"Tipologia",$A192,"Viaggio",$A$183))
+IF(Contanti!$I47='Conto Economico'!$A$183,Contanti!$F47)
+IF(ISERROR(GETPIVOTDATA("Somma di DARE",'Pivot BBVA'!$A$3,"Mese",2,"Tipologia",$A192,"Viaggio",$A$183)),0,GETPIVOTDATA("Somma di DARE",'Pivot BBVA'!$A$3,"Mese",2,"Tipologia",$A192,"Viaggio",$A$183))
+IF(ISERROR(GETPIVOTDATA("Somma di DARE",'Pivot Amex'!$A$3,"Mese",2,"Tipologia",$A192,"Viaggio",$A$183)),0,GETPIVOTDATA("Somma di DARE",'Pivot Amex'!$A$3,"Mese",2,"Tipologia",$A192,"Viaggio",$A$183))
-IF(ISERROR(GETPIVOTDATA("Somma di AVERE",'Pivot Amex'!$A$3,"Mese",2,"Tipologia",$A192,"Viaggio",$A$183)),0,GETPIVOTDATA("Somma di AVERE",'Pivot Amex'!$A$3,"Mese",2,"Tipologia",$A192,"Viaggio",$A$183))
-IF(ISERROR(GETPIVOTDATA("Somma di AVERE",'Pivot BBVA'!$A$3,"Mese",2,"Tipologia",$A192,"Viaggio",$A$183)),0,GETPIVOTDATA("Somma di AVERE",'Pivot BBVA'!$A$3,"Mese",2,"Tipologia",$A192,"Viaggio",$A$183))
-IF(ISERROR(GETPIVOTDATA("Somma di AVERE",'Pivot Fineco St'!$A$3,"Mese",2,"Tipologia",$A192,"Viaggio",$A$183)),0,GETPIVOTDATA("Somma di AVERE",'Pivot Fineco St'!$A$3,"Mese",2,"Tipologia",$A192,"Viaggio",$A$183))
-IF(ISERROR(GETPIVOTDATA("Somma di AVERE",'Pivot Fineco Sa'!$A$3,"Mese",2,"Tipologia",$A192,"Viaggio",$A$183)),0,GETPIVOTDATA("Somma di AVERE",'Pivot Fineco Sa'!$A$3,"Mese",2,"Tipologia",$A192,"Viaggio",$A$183))
+IF(ISERROR(GETPIVOTDATA("Somma di DARE",'Pivot PP Visa'!$A$3,"Mese",2,"Tipologia",$A192,"Viaggio",$A$183)),0,GETPIVOTDATA("Somma di DARE",'Pivot PP Visa'!$A$3,"Mese",2,"Tipologia",$A192,"Viaggio",$A$183))
-IF(ISERROR(GETPIVOTDATA("Somma di AVERE",'Pivot PP Visa'!$A$3,"Mese",2,"Tipologia",$A192,"Viaggio",$A$183)),0,GETPIVOTDATA("Somma di AVERE",'Pivot PP Visa'!$A$3,"Mese",2,"Tipologia",$A192,"Viaggio",$A$183))
+IF(ISERROR(GETPIVOTDATA("Somma di DARE",'Pivot Revolut'!$A$3,"Mese",2,"Tipologia",$A192,"Viaggio",$A$183)),0,GETPIVOTDATA("Somma di DARE",'Pivot Revolut'!$A$3,"Mese",2,"Tipologia",$A192,"Viaggio",$A$183))
-IF(ISERROR(GETPIVOTDATA("Somma di AVERE",'Pivot Revolut'!$A$3,"Mese",2,"Tipologia",$A192,"Viaggio",$A$183)),0,GETPIVOTDATA("Somma di AVERE",'Pivot Revolut'!$A$3,"Mese",2,"Tipologia",$A192,"Viaggio",$A$183))
+IF(ISERROR(GETPIVOTDATA("Somma di DARE",'Pivot RakBank EUR'!$A$3,"Mese",2,"Tipologia",$A192,"Viaggio",$A$183)),0,GETPIVOTDATA("Somma di DARE",'Pivot RakBank EUR'!$A$3,"Mese",2,"Tipologia",$A192,"Viaggio",$A$183))
-IF(ISERROR(GETPIVOTDATA("Somma di AVERE",'Pivot RakBank EUR'!$A$3,"Mese",2,"Tipologia",$A192,"Viaggio",$A$183)),0,GETPIVOTDATA("Somma di AVERE",'Pivot RakBank EUR'!$A$3,"Mese",2,"Tipologia",$A192,"Viaggio",$A$183))
+IF(ISERROR(GETPIVOTDATA("Somma di DARE EUR",'Pivot RakBank AED'!$A$3,"Mese",2,"Tipologia",$A192,"Viaggio",$A$183)),0,GETPIVOTDATA("Somma di DARE EUR",'Pivot RakBank AED'!$A$3,"Mese",2,"Tipologia",$A192,"Viaggio",$A$183))
-IF(ISERROR(GETPIVOTDATA("Somma di AVERE EUR",'Pivot RakBank AED'!$A$3,"Mese",2,"Tipologia",$A192,"Viaggio",$A$183)),0,GETPIVOTDATA("Somma di AVERE EUR",'Pivot RakBank AED'!$A$3,"Mese",2,"Tipologia",$A192,"Viaggio",$A$183))</f>
        <v>0</v>
      </c>
      <c r="E192" s="270">
        <f>IF(ISERROR(GETPIVOTDATA("Somma di DARE",'Pivot Fineco Sa'!$A$3,"Mese",3,"Tipologia",$A192,"Viaggio",$A$183)),0,GETPIVOTDATA("Somma di DARE",'Pivot Fineco Sa'!$A$3,"Mese",3,"Tipologia",$A192,"Viaggio",$A$183))
+IF(ISERROR(GETPIVOTDATA("Somma di DARE",'Pivot Fineco St'!$A$3,"Mese",3,"Tipologia",$A192,"Viaggio",$A$183)),0,GETPIVOTDATA("Somma di DARE",'Pivot Fineco St'!$A$3,"Mese",3,"Tipologia",$A192,"Viaggio",$A$183))
+IF(Contanti!$M47='Conto Economico'!$A$183,Contanti!$J47)
+IF(ISERROR(GETPIVOTDATA("Somma di DARE",'Pivot BBVA'!$A$3,"Mese",3,"Tipologia",$A192,"Viaggio",$A$183)),0,GETPIVOTDATA("Somma di DARE",'Pivot BBVA'!$A$3,"Mese",3,"Tipologia",$A192,"Viaggio",$A$183))
+IF(ISERROR(GETPIVOTDATA("Somma di DARE",'Pivot Amex'!$A$3,"Mese",3,"Tipologia",$A192,"Viaggio",$A$183)),0,GETPIVOTDATA("Somma di DARE",'Pivot Amex'!$A$3,"Mese",3,"Tipologia",$A192,"Viaggio",$A$183))
-IF(ISERROR(GETPIVOTDATA("Somma di AVERE",'Pivot Amex'!$A$3,"Mese",3,"Tipologia",$A192,"Viaggio",$A$183)),0,GETPIVOTDATA("Somma di AVERE",'Pivot Amex'!$A$3,"Mese",3,"Tipologia",$A192,"Viaggio",$A$183))
-IF(ISERROR(GETPIVOTDATA("Somma di AVERE",'Pivot BBVA'!$A$3,"Mese",3,"Tipologia",$A192,"Viaggio",$A$183)),0,GETPIVOTDATA("Somma di AVERE",'Pivot BBVA'!$A$3,"Mese",3,"Tipologia",$A192,"Viaggio",$A$183))
-IF(ISERROR(GETPIVOTDATA("Somma di AVERE",'Pivot Fineco St'!$A$3,"Mese",3,"Tipologia",$A192,"Viaggio",$A$183)),0,GETPIVOTDATA("Somma di AVERE",'Pivot Fineco St'!$A$3,"Mese",3,"Tipologia",$A192,"Viaggio",$A$183))
-IF(ISERROR(GETPIVOTDATA("Somma di AVERE",'Pivot Fineco Sa'!$A$3,"Mese",3,"Tipologia",$A192,"Viaggio",$A$183)),0,GETPIVOTDATA("Somma di AVERE",'Pivot Fineco Sa'!$A$3,"Mese",3,"Tipologia",$A192,"Viaggio",$A$183))
+IF(ISERROR(GETPIVOTDATA("Somma di DARE",'Pivot PP Visa'!$A$3,"Mese",3,"Tipologia",$A192,"Viaggio",$A$183)),0,GETPIVOTDATA("Somma di DARE",'Pivot PP Visa'!$A$3,"Mese",3,"Tipologia",$A192,"Viaggio",$A$183))
-IF(ISERROR(GETPIVOTDATA("Somma di AVERE",'Pivot PP Visa'!$A$3,"Mese",3,"Tipologia",$A192,"Viaggio",$A$183)),0,GETPIVOTDATA("Somma di AVERE",'Pivot PP Visa'!$A$3,"Mese",3,"Tipologia",$A192,"Viaggio",$A$183))
+IF(ISERROR(GETPIVOTDATA("Somma di DARE",'Pivot Revolut'!$A$3,"Mese",3,"Tipologia",$A192,"Viaggio",$A$183)),0,GETPIVOTDATA("Somma di DARE",'Pivot Revolut'!$A$3,"Mese",3,"Tipologia",$A192,"Viaggio",$A$183))
-IF(ISERROR(GETPIVOTDATA("Somma di AVERE",'Pivot Revolut'!$A$3,"Mese",3,"Tipologia",$A192,"Viaggio",$A$183)),0,GETPIVOTDATA("Somma di AVERE",'Pivot Revolut'!$A$3,"Mese",3,"Tipologia",$A192,"Viaggio",$A$183))
+IF(ISERROR(GETPIVOTDATA("Somma di DARE",'Pivot RakBank EUR'!$A$3,"Mese",3,"Tipologia",$A192,"Viaggio",$A$183)),0,GETPIVOTDATA("Somma di DARE",'Pivot RakBank EUR'!$A$3,"Mese",3,"Tipologia",$A192,"Viaggio",$A$183))
-IF(ISERROR(GETPIVOTDATA("Somma di AVERE",'Pivot RakBank EUR'!$A$3,"Mese",3,"Tipologia",$A192,"Viaggio",$A$183)),0,GETPIVOTDATA("Somma di AVERE",'Pivot RakBank EUR'!$A$3,"Mese",3,"Tipologia",$A192,"Viaggio",$A$183))
+IF(ISERROR(GETPIVOTDATA("Somma di DARE EUR",'Pivot RakBank AED'!$A$3,"Mese",3,"Tipologia",$A192,"Viaggio",$A$183)),0,GETPIVOTDATA("Somma di DARE EUR",'Pivot RakBank AED'!$A$3,"Mese",3,"Tipologia",$A192,"Viaggio",$A$183))
-IF(ISERROR(GETPIVOTDATA("Somma di AVERE EUR",'Pivot RakBank AED'!$A$3,"Mese",3,"Tipologia",$A192,"Viaggio",$A$183)),0,GETPIVOTDATA("Somma di AVERE EUR",'Pivot RakBank AED'!$A$3,"Mese",3,"Tipologia",$A192,"Viaggio",$A$183))</f>
        <v>0</v>
      </c>
      <c r="F192" s="270">
        <f>IF(ISERROR(GETPIVOTDATA("Somma di DARE",'Pivot Fineco Sa'!$A$3,"Mese",4,"Tipologia",$A192,"Viaggio",$A$183)),0,GETPIVOTDATA("Somma di DARE",'Pivot Fineco Sa'!$A$3,"Mese",4,"Tipologia",$A192,"Viaggio",$A$183))
+IF(ISERROR(GETPIVOTDATA("Somma di DARE",'Pivot Fineco St'!$A$3,"Mese",4,"Tipologia",$A192,"Viaggio",$A$183)),0,GETPIVOTDATA("Somma di DARE",'Pivot Fineco St'!$A$3,"Mese",4,"Tipologia",$A192,"Viaggio",$A$183))
+IF(Contanti!$Q47='Conto Economico'!$A$183,Contanti!$N47)
+IF(ISERROR(GETPIVOTDATA("Somma di DARE",'Pivot BBVA'!$A$3,"Mese",4,"Tipologia",$A192,"Viaggio",$A$183)),0,GETPIVOTDATA("Somma di DARE",'Pivot BBVA'!$A$3,"Mese",4,"Tipologia",$A192,"Viaggio",$A$183))
+IF(ISERROR(GETPIVOTDATA("Somma di DARE",'Pivot Amex'!$A$3,"Mese",4,"Tipologia",$A192,"Viaggio",$A$183)),0,GETPIVOTDATA("Somma di DARE",'Pivot Amex'!$A$3,"Mese",4,"Tipologia",$A192,"Viaggio",$A$183))
-IF(ISERROR(GETPIVOTDATA("Somma di AVERE",'Pivot Amex'!$A$3,"Mese",4,"Tipologia",$A192,"Viaggio",$A$183)),0,GETPIVOTDATA("Somma di AVERE",'Pivot Amex'!$A$3,"Mese",4,"Tipologia",$A192,"Viaggio",$A$183))
-IF(ISERROR(GETPIVOTDATA("Somma di AVERE",'Pivot BBVA'!$A$3,"Mese",4,"Tipologia",$A192,"Viaggio",$A$183)),0,GETPIVOTDATA("Somma di AVERE",'Pivot BBVA'!$A$3,"Mese",4,"Tipologia",$A192,"Viaggio",$A$183))
-IF(ISERROR(GETPIVOTDATA("Somma di AVERE",'Pivot Fineco St'!$A$3,"Mese",4,"Tipologia",$A192,"Viaggio",$A$183)),0,GETPIVOTDATA("Somma di AVERE",'Pivot Fineco St'!$A$3,"Mese",4,"Tipologia",$A192,"Viaggio",$A$183))
-IF(ISERROR(GETPIVOTDATA("Somma di AVERE",'Pivot Fineco Sa'!$A$3,"Mese",4,"Tipologia",$A192,"Viaggio",$A$183)),0,GETPIVOTDATA("Somma di AVERE",'Pivot Fineco Sa'!$A$3,"Mese",4,"Tipologia",$A192,"Viaggio",$A$183))
+IF(ISERROR(GETPIVOTDATA("Somma di DARE",'Pivot PP Visa'!$A$3,"Mese",4,"Tipologia",$A192,"Viaggio",$A$183)),0,GETPIVOTDATA("Somma di DARE",'Pivot PP Visa'!$A$3,"Mese",4,"Tipologia",$A192,"Viaggio",$A$183))
-IF(ISERROR(GETPIVOTDATA("Somma di AVERE",'Pivot PP Visa'!$A$3,"Mese",4,"Tipologia",$A192,"Viaggio",$A$183)),0,GETPIVOTDATA("Somma di AVERE",'Pivot PP Visa'!$A$3,"Mese",4,"Tipologia",$A192,"Viaggio",$A$183))
+IF(ISERROR(GETPIVOTDATA("Somma di DARE",'Pivot Revolut'!$A$3,"Mese",4,"Tipologia",$A192,"Viaggio",$A$183)),0,GETPIVOTDATA("Somma di DARE",'Pivot Revolut'!$A$3,"Mese",4,"Tipologia",$A192,"Viaggio",$A$183))
-IF(ISERROR(GETPIVOTDATA("Somma di AVERE",'Pivot Revolut'!$A$3,"Mese",4,"Tipologia",$A192,"Viaggio",$A$183)),0,GETPIVOTDATA("Somma di AVERE",'Pivot Revolut'!$A$3,"Mese",4,"Tipologia",$A192,"Viaggio",$A$183))
+IF(ISERROR(GETPIVOTDATA("Somma di DARE",'Pivot RakBank EUR'!$A$3,"Mese",4,"Tipologia",$A192,"Viaggio",$A$183)),0,GETPIVOTDATA("Somma di DARE",'Pivot RakBank EUR'!$A$3,"Mese",4,"Tipologia",$A192,"Viaggio",$A$183))
-IF(ISERROR(GETPIVOTDATA("Somma di AVERE",'Pivot RakBank EUR'!$A$3,"Mese",4,"Tipologia",$A192,"Viaggio",$A$183)),0,GETPIVOTDATA("Somma di AVERE",'Pivot RakBank EUR'!$A$3,"Mese",4,"Tipologia",$A192,"Viaggio",$A$183))
+IF(ISERROR(GETPIVOTDATA("Somma di DARE EUR",'Pivot RakBank AED'!$A$3,"Mese",4,"Tipologia",$A192,"Viaggio",$A$183)),0,GETPIVOTDATA("Somma di DARE EUR",'Pivot RakBank AED'!$A$3,"Mese",4,"Tipologia",$A192,"Viaggio",$A$183))
-IF(ISERROR(GETPIVOTDATA("Somma di AVERE EUR",'Pivot RakBank AED'!$A$3,"Mese",4,"Tipologia",$A192,"Viaggio",$A$183)),0,GETPIVOTDATA("Somma di AVERE EUR",'Pivot RakBank AED'!$A$3,"Mese",4,"Tipologia",$A192,"Viaggio",$A$183))</f>
        <v>0</v>
      </c>
      <c r="G192" s="270">
        <f>IF(ISERROR(GETPIVOTDATA("Somma di DARE",'Pivot Fineco Sa'!$A$3,"Mese",5,"Tipologia",$A192,"Viaggio",$A$183)),0,GETPIVOTDATA("Somma di DARE",'Pivot Fineco Sa'!$A$3,"Mese",5,"Tipologia",$A192,"Viaggio",$A$183))
+IF(ISERROR(GETPIVOTDATA("Somma di DARE",'Pivot Fineco St'!$A$3,"Mese",5,"Tipologia",$A192,"Viaggio",$A$183)),0,GETPIVOTDATA("Somma di DARE",'Pivot Fineco St'!$A$3,"Mese",5,"Tipologia",$A192,"Viaggio",$A$183))
+IF(Contanti!$U47='Conto Economico'!$A$183,Contanti!$R47)
+IF(ISERROR(GETPIVOTDATA("Somma di DARE",'Pivot BBVA'!$A$3,"Mese",5,"Tipologia",$A192,"Viaggio",$A$183)),0,GETPIVOTDATA("Somma di DARE",'Pivot BBVA'!$A$3,"Mese",5,"Tipologia",$A192,"Viaggio",$A$183))
+IF(ISERROR(GETPIVOTDATA("Somma di DARE",'Pivot Amex'!$A$3,"Mese",5,"Tipologia",$A192,"Viaggio",$A$183)),0,GETPIVOTDATA("Somma di DARE",'Pivot Amex'!$A$3,"Mese",5,"Tipologia",$A192,"Viaggio",$A$183))
-IF(ISERROR(GETPIVOTDATA("Somma di AVERE",'Pivot Amex'!$A$3,"Mese",5,"Tipologia",$A192,"Viaggio",$A$183)),0,GETPIVOTDATA("Somma di AVERE",'Pivot Amex'!$A$3,"Mese",5,"Tipologia",$A192,"Viaggio",$A$183))
-IF(ISERROR(GETPIVOTDATA("Somma di AVERE",'Pivot BBVA'!$A$3,"Mese",5,"Tipologia",$A192,"Viaggio",$A$183)),0,GETPIVOTDATA("Somma di AVERE",'Pivot BBVA'!$A$3,"Mese",5,"Tipologia",$A192,"Viaggio",$A$183))
-IF(ISERROR(GETPIVOTDATA("Somma di AVERE",'Pivot Fineco St'!$A$3,"Mese",5,"Tipologia",$A192,"Viaggio",$A$183)),0,GETPIVOTDATA("Somma di AVERE",'Pivot Fineco St'!$A$3,"Mese",5,"Tipologia",$A192,"Viaggio",$A$183))
-IF(ISERROR(GETPIVOTDATA("Somma di AVERE",'Pivot Fineco Sa'!$A$3,"Mese",5,"Tipologia",$A192,"Viaggio",$A$183)),0,GETPIVOTDATA("Somma di AVERE",'Pivot Fineco Sa'!$A$3,"Mese",5,"Tipologia",$A192,"Viaggio",$A$183))
+IF(ISERROR(GETPIVOTDATA("Somma di DARE",'Pivot PP Visa'!$A$3,"Mese",5,"Tipologia",$A192,"Viaggio",$A$183)),0,GETPIVOTDATA("Somma di DARE",'Pivot PP Visa'!$A$3,"Mese",5,"Tipologia",$A192,"Viaggio",$A$183))
-IF(ISERROR(GETPIVOTDATA("Somma di AVERE",'Pivot PP Visa'!$A$3,"Mese",5,"Tipologia",$A192,"Viaggio",$A$183)),0,GETPIVOTDATA("Somma di AVERE",'Pivot PP Visa'!$A$3,"Mese",5,"Tipologia",$A192,"Viaggio",$A$183))
+IF(ISERROR(GETPIVOTDATA("Somma di DARE",'Pivot Revolut'!$A$3,"Mese",5,"Tipologia",$A192,"Viaggio",$A$183)),0,GETPIVOTDATA("Somma di DARE",'Pivot Revolut'!$A$3,"Mese",5,"Tipologia",$A192,"Viaggio",$A$183))
-IF(ISERROR(GETPIVOTDATA("Somma di AVERE",'Pivot Revolut'!$A$3,"Mese",5,"Tipologia",$A192,"Viaggio",$A$183)),0,GETPIVOTDATA("Somma di AVERE",'Pivot Revolut'!$A$3,"Mese",5,"Tipologia",$A192,"Viaggio",$A$183))
+IF(ISERROR(GETPIVOTDATA("Somma di DARE",'Pivot RakBank EUR'!$A$3,"Mese",5,"Tipologia",$A192,"Viaggio",$A$183)),0,GETPIVOTDATA("Somma di DARE",'Pivot RakBank EUR'!$A$3,"Mese",5,"Tipologia",$A192,"Viaggio",$A$183))
-IF(ISERROR(GETPIVOTDATA("Somma di AVERE",'Pivot RakBank EUR'!$A$3,"Mese",5,"Tipologia",$A192,"Viaggio",$A$183)),0,GETPIVOTDATA("Somma di AVERE",'Pivot RakBank EUR'!$A$3,"Mese",5,"Tipologia",$A192,"Viaggio",$A$183))
+IF(ISERROR(GETPIVOTDATA("Somma di DARE EUR",'Pivot RakBank AED'!$A$3,"Mese",5,"Tipologia",$A192,"Viaggio",$A$183)),0,GETPIVOTDATA("Somma di DARE EUR",'Pivot RakBank AED'!$A$3,"Mese",5,"Tipologia",$A192,"Viaggio",$A$183))
-IF(ISERROR(GETPIVOTDATA("Somma di AVERE EUR",'Pivot RakBank AED'!$A$3,"Mese",5,"Tipologia",$A192,"Viaggio",$A$183)),0,GETPIVOTDATA("Somma di AVERE EUR",'Pivot RakBank AED'!$A$3,"Mese",5,"Tipologia",$A192,"Viaggio",$A$183))</f>
        <v>0</v>
      </c>
      <c r="H192" s="270">
        <f>IF(ISERROR(GETPIVOTDATA("Somma di DARE",'Pivot Fineco Sa'!$A$3,"Mese",6,"Tipologia",$A192,"Viaggio",$A$183)),0,GETPIVOTDATA("Somma di DARE",'Pivot Fineco Sa'!$A$3,"Mese",6,"Tipologia",$A192,"Viaggio",$A$183))
+IF(ISERROR(GETPIVOTDATA("Somma di DARE",'Pivot Fineco St'!$A$3,"Mese",6,"Tipologia",$A192,"Viaggio",$A$183)),0,GETPIVOTDATA("Somma di DARE",'Pivot Fineco St'!$A$3,"Mese",6,"Tipologia",$A192,"Viaggio",$A$183))
+IF(Contanti!$Y47='Conto Economico'!$A$183,Contanti!$V47)
+IF(ISERROR(GETPIVOTDATA("Somma di DARE",'Pivot BBVA'!$A$3,"Mese",6,"Tipologia",$A192,"Viaggio",$A$183)),0,GETPIVOTDATA("Somma di DARE",'Pivot BBVA'!$A$3,"Mese",6,"Tipologia",$A192,"Viaggio",$A$183))
+IF(ISERROR(GETPIVOTDATA("Somma di DARE",'Pivot Amex'!$A$3,"Mese",6,"Tipologia",$A192,"Viaggio",$A$183)),0,GETPIVOTDATA("Somma di DARE",'Pivot Amex'!$A$3,"Mese",6,"Tipologia",$A192,"Viaggio",$A$183))
-IF(ISERROR(GETPIVOTDATA("Somma di AVERE",'Pivot Amex'!$A$3,"Mese",6,"Tipologia",$A192,"Viaggio",$A$183)),0,GETPIVOTDATA("Somma di AVERE",'Pivot Amex'!$A$3,"Mese",6,"Tipologia",$A192,"Viaggio",$A$183))
-IF(ISERROR(GETPIVOTDATA("Somma di AVERE",'Pivot BBVA'!$A$3,"Mese",6,"Tipologia",$A192,"Viaggio",$A$183)),0,GETPIVOTDATA("Somma di AVERE",'Pivot BBVA'!$A$3,"Mese",6,"Tipologia",$A192,"Viaggio",$A$183))
-IF(ISERROR(GETPIVOTDATA("Somma di AVERE",'Pivot Fineco St'!$A$3,"Mese",6,"Tipologia",$A192,"Viaggio",$A$183)),0,GETPIVOTDATA("Somma di AVERE",'Pivot Fineco St'!$A$3,"Mese",6,"Tipologia",$A192,"Viaggio",$A$183))
-IF(ISERROR(GETPIVOTDATA("Somma di AVERE",'Pivot Fineco Sa'!$A$3,"Mese",6,"Tipologia",$A192,"Viaggio",$A$183)),0,GETPIVOTDATA("Somma di AVERE",'Pivot Fineco Sa'!$A$3,"Mese",6,"Tipologia",$A192,"Viaggio",$A$183))
+IF(ISERROR(GETPIVOTDATA("Somma di DARE",'Pivot PP Visa'!$A$3,"Mese",6,"Tipologia",$A192,"Viaggio",$A$183)),0,GETPIVOTDATA("Somma di DARE",'Pivot PP Visa'!$A$3,"Mese",6,"Tipologia",$A192,"Viaggio",$A$183))
-IF(ISERROR(GETPIVOTDATA("Somma di AVERE",'Pivot PP Visa'!$A$3,"Mese",6,"Tipologia",$A192,"Viaggio",$A$183)),0,GETPIVOTDATA("Somma di AVERE",'Pivot PP Visa'!$A$3,"Mese",6,"Tipologia",$A192,"Viaggio",$A$183))
+IF(ISERROR(GETPIVOTDATA("Somma di DARE",'Pivot Revolut'!$A$3,"Mese",6,"Tipologia",$A192,"Viaggio",$A$183)),0,GETPIVOTDATA("Somma di DARE",'Pivot Revolut'!$A$3,"Mese",6,"Tipologia",$A192,"Viaggio",$A$183))
-IF(ISERROR(GETPIVOTDATA("Somma di AVERE",'Pivot Revolut'!$A$3,"Mese",6,"Tipologia",$A192,"Viaggio",$A$183)),0,GETPIVOTDATA("Somma di AVERE",'Pivot Revolut'!$A$3,"Mese",6,"Tipologia",$A192,"Viaggio",$A$183))
+IF(ISERROR(GETPIVOTDATA("Somma di DARE",'Pivot RakBank EUR'!$A$3,"Mese",6,"Tipologia",$A192,"Viaggio",$A$183)),0,GETPIVOTDATA("Somma di DARE",'Pivot RakBank EUR'!$A$3,"Mese",6,"Tipologia",$A192,"Viaggio",$A$183))
-IF(ISERROR(GETPIVOTDATA("Somma di AVERE",'Pivot RakBank EUR'!$A$3,"Mese",6,"Tipologia",$A192,"Viaggio",$A$183)),0,GETPIVOTDATA("Somma di AVERE",'Pivot RakBank EUR'!$A$3,"Mese",6,"Tipologia",$A192,"Viaggio",$A$183))
+IF(ISERROR(GETPIVOTDATA("Somma di DARE EUR",'Pivot RakBank AED'!$A$3,"Mese",6,"Tipologia",$A192,"Viaggio",$A$183)),0,GETPIVOTDATA("Somma di DARE EUR",'Pivot RakBank AED'!$A$3,"Mese",6,"Tipologia",$A192,"Viaggio",$A$183))
-IF(ISERROR(GETPIVOTDATA("Somma di AVERE EUR",'Pivot RakBank AED'!$A$3,"Mese",6,"Tipologia",$A192,"Viaggio",$A$183)),0,GETPIVOTDATA("Somma di AVERE EUR",'Pivot RakBank AED'!$A$3,"Mese",6,"Tipologia",$A192,"Viaggio",$A$183))</f>
        <v>0</v>
      </c>
      <c r="I192" s="270">
        <f>IF(ISERROR(GETPIVOTDATA("Somma di DARE",'Pivot Fineco Sa'!$A$3,"Mese",7,"Tipologia",$A192,"Viaggio",$A$183)),0,GETPIVOTDATA("Somma di DARE",'Pivot Fineco Sa'!$A$3,"Mese",7,"Tipologia",$A192,"Viaggio",$A$183))
+IF(ISERROR(GETPIVOTDATA("Somma di DARE",'Pivot Fineco St'!$A$3,"Mese",7,"Tipologia",$A192,"Viaggio",$A$183)),0,GETPIVOTDATA("Somma di DARE",'Pivot Fineco St'!$A$3,"Mese",7,"Tipologia",$A192,"Viaggio",$A$183))
+IF(Contanti!$AC47='Conto Economico'!$A$183,Contanti!$Z47)
+IF(ISERROR(GETPIVOTDATA("Somma di DARE",'Pivot BBVA'!$A$3,"Mese",7,"Tipologia",$A192,"Viaggio",$A$183)),0,GETPIVOTDATA("Somma di DARE",'Pivot BBVA'!$A$3,"Mese",7,"Tipologia",$A192,"Viaggio",$A$183))
+IF(ISERROR(GETPIVOTDATA("Somma di DARE",'Pivot Amex'!$A$3,"Mese",7,"Tipologia",$A192,"Viaggio",$A$183)),0,GETPIVOTDATA("Somma di DARE",'Pivot Amex'!$A$3,"Mese",7,"Tipologia",$A192,"Viaggio",$A$183))
-IF(ISERROR(GETPIVOTDATA("Somma di AVERE",'Pivot Amex'!$A$3,"Mese",7,"Tipologia",$A192,"Viaggio",$A$183)),0,GETPIVOTDATA("Somma di AVERE",'Pivot Amex'!$A$3,"Mese",7,"Tipologia",$A192,"Viaggio",$A$183))
-IF(ISERROR(GETPIVOTDATA("Somma di AVERE",'Pivot BBVA'!$A$3,"Mese",7,"Tipologia",$A192,"Viaggio",$A$183)),0,GETPIVOTDATA("Somma di AVERE",'Pivot BBVA'!$A$3,"Mese",7,"Tipologia",$A192,"Viaggio",$A$183))
-IF(ISERROR(GETPIVOTDATA("Somma di AVERE",'Pivot Fineco St'!$A$3,"Mese",7,"Tipologia",$A192,"Viaggio",$A$183)),0,GETPIVOTDATA("Somma di AVERE",'Pivot Fineco St'!$A$3,"Mese",7,"Tipologia",$A192,"Viaggio",$A$183))
-IF(ISERROR(GETPIVOTDATA("Somma di AVERE",'Pivot Fineco Sa'!$A$3,"Mese",7,"Tipologia",$A192,"Viaggio",$A$183)),0,GETPIVOTDATA("Somma di AVERE",'Pivot Fineco Sa'!$A$3,"Mese",7,"Tipologia",$A192,"Viaggio",$A$183))
+IF(ISERROR(GETPIVOTDATA("Somma di DARE",'Pivot PP Visa'!$A$3,"Mese",7,"Tipologia",$A192,"Viaggio",$A$183)),0,GETPIVOTDATA("Somma di DARE",'Pivot PP Visa'!$A$3,"Mese",7,"Tipologia",$A192,"Viaggio",$A$183))
-IF(ISERROR(GETPIVOTDATA("Somma di AVERE",'Pivot PP Visa'!$A$3,"Mese",7,"Tipologia",$A192,"Viaggio",$A$183)),0,GETPIVOTDATA("Somma di AVERE",'Pivot PP Visa'!$A$3,"Mese",7,"Tipologia",$A192,"Viaggio",$A$183))
+IF(ISERROR(GETPIVOTDATA("Somma di DARE",'Pivot Revolut'!$A$3,"Mese",7,"Tipologia",$A192,"Viaggio",$A$183)),0,GETPIVOTDATA("Somma di DARE",'Pivot Revolut'!$A$3,"Mese",7,"Tipologia",$A192,"Viaggio",$A$183))
-IF(ISERROR(GETPIVOTDATA("Somma di AVERE",'Pivot Revolut'!$A$3,"Mese",7,"Tipologia",$A192,"Viaggio",$A$183)),0,GETPIVOTDATA("Somma di AVERE",'Pivot Revolut'!$A$3,"Mese",7,"Tipologia",$A192,"Viaggio",$A$183))
+IF(ISERROR(GETPIVOTDATA("Somma di DARE",'Pivot RakBank EUR'!$A$3,"Mese",7,"Tipologia",$A192,"Viaggio",$A$183)),0,GETPIVOTDATA("Somma di DARE",'Pivot RakBank EUR'!$A$3,"Mese",7,"Tipologia",$A192,"Viaggio",$A$183))
-IF(ISERROR(GETPIVOTDATA("Somma di AVERE",'Pivot RakBank EUR'!$A$3,"Mese",7,"Tipologia",$A192,"Viaggio",$A$183)),0,GETPIVOTDATA("Somma di AVERE",'Pivot RakBank EUR'!$A$3,"Mese",7,"Tipologia",$A192,"Viaggio",$A$183))
+IF(ISERROR(GETPIVOTDATA("Somma di DARE EUR",'Pivot RakBank AED'!$A$3,"Mese",7,"Tipologia",$A192,"Viaggio",$A$183)),0,GETPIVOTDATA("Somma di DARE EUR",'Pivot RakBank AED'!$A$3,"Mese",7,"Tipologia",$A192,"Viaggio",$A$183))
-IF(ISERROR(GETPIVOTDATA("Somma di AVERE EUR",'Pivot RakBank AED'!$A$3,"Mese",7,"Tipologia",$A192,"Viaggio",$A$183)),0,GETPIVOTDATA("Somma di AVERE EUR",'Pivot RakBank AED'!$A$3,"Mese",7,"Tipologia",$A192,"Viaggio",$A$183))</f>
        <v>0</v>
      </c>
      <c r="J192" s="270">
        <f>IF(ISERROR(GETPIVOTDATA("Somma di DARE",'Pivot Fineco Sa'!$A$3,"Mese",8,"Tipologia",$A192,"Viaggio",$A$183)),0,GETPIVOTDATA("Somma di DARE",'Pivot Fineco Sa'!$A$3,"Mese",8,"Tipologia",$A192,"Viaggio",$A$183))
+IF(ISERROR(GETPIVOTDATA("Somma di DARE",'Pivot Fineco St'!$A$3,"Mese",8,"Tipologia",$A192,"Viaggio",$A$183)),0,GETPIVOTDATA("Somma di DARE",'Pivot Fineco St'!$A$3,"Mese",8,"Tipologia",$A192,"Viaggio",$A$183))
+IF(Contanti!$AG47='Conto Economico'!$A$183,Contanti!$AD47)
+IF(ISERROR(GETPIVOTDATA("Somma di DARE",'Pivot BBVA'!$A$3,"Mese",8,"Tipologia",$A192,"Viaggio",$A$183)),0,GETPIVOTDATA("Somma di DARE",'Pivot BBVA'!$A$3,"Mese",8,"Tipologia",$A192,"Viaggio",$A$183))
+IF(ISERROR(GETPIVOTDATA("Somma di DARE",'Pivot Amex'!$A$3,"Mese",8,"Tipologia",$A192,"Viaggio",$A$183)),0,GETPIVOTDATA("Somma di DARE",'Pivot Amex'!$A$3,"Mese",8,"Tipologia",$A192,"Viaggio",$A$183))
-IF(ISERROR(GETPIVOTDATA("Somma di AVERE",'Pivot Amex'!$A$3,"Mese",8,"Tipologia",$A192,"Viaggio",$A$183)),0,GETPIVOTDATA("Somma di AVERE",'Pivot Amex'!$A$3,"Mese",8,"Tipologia",$A192,"Viaggio",$A$183))
-IF(ISERROR(GETPIVOTDATA("Somma di AVERE",'Pivot BBVA'!$A$3,"Mese",8,"Tipologia",$A192,"Viaggio",$A$183)),0,GETPIVOTDATA("Somma di AVERE",'Pivot BBVA'!$A$3,"Mese",8,"Tipologia",$A192,"Viaggio",$A$183))
-IF(ISERROR(GETPIVOTDATA("Somma di AVERE",'Pivot Fineco St'!$A$3,"Mese",8,"Tipologia",$A192,"Viaggio",$A$183)),0,GETPIVOTDATA("Somma di AVERE",'Pivot Fineco St'!$A$3,"Mese",8,"Tipologia",$A192,"Viaggio",$A$183))
-IF(ISERROR(GETPIVOTDATA("Somma di AVERE",'Pivot Fineco Sa'!$A$3,"Mese",8,"Tipologia",$A192,"Viaggio",$A$183)),0,GETPIVOTDATA("Somma di AVERE",'Pivot Fineco Sa'!$A$3,"Mese",8,"Tipologia",$A192,"Viaggio",$A$183))
+IF(ISERROR(GETPIVOTDATA("Somma di DARE",'Pivot PP Visa'!$A$3,"Mese",8,"Tipologia",$A192,"Viaggio",$A$183)),0,GETPIVOTDATA("Somma di DARE",'Pivot PP Visa'!$A$3,"Mese",8,"Tipologia",$A192,"Viaggio",$A$183))
-IF(ISERROR(GETPIVOTDATA("Somma di AVERE",'Pivot PP Visa'!$A$3,"Mese",8,"Tipologia",$A192,"Viaggio",$A$183)),0,GETPIVOTDATA("Somma di AVERE",'Pivot PP Visa'!$A$3,"Mese",8,"Tipologia",$A192,"Viaggio",$A$183))
+IF(ISERROR(GETPIVOTDATA("Somma di DARE",'Pivot Revolut'!$A$3,"Mese",8,"Tipologia",$A192,"Viaggio",$A$183)),0,GETPIVOTDATA("Somma di DARE",'Pivot Revolut'!$A$3,"Mese",8,"Tipologia",$A192,"Viaggio",$A$183))
-IF(ISERROR(GETPIVOTDATA("Somma di AVERE",'Pivot Revolut'!$A$3,"Mese",8,"Tipologia",$A192,"Viaggio",$A$183)),0,GETPIVOTDATA("Somma di AVERE",'Pivot Revolut'!$A$3,"Mese",8,"Tipologia",$A192,"Viaggio",$A$183))
+IF(ISERROR(GETPIVOTDATA("Somma di DARE",'Pivot RakBank EUR'!$A$3,"Mese",8,"Tipologia",$A192,"Viaggio",$A$183)),0,GETPIVOTDATA("Somma di DARE",'Pivot RakBank EUR'!$A$3,"Mese",8,"Tipologia",$A192,"Viaggio",$A$183))
-IF(ISERROR(GETPIVOTDATA("Somma di AVERE",'Pivot RakBank EUR'!$A$3,"Mese",8,"Tipologia",$A192,"Viaggio",$A$183)),0,GETPIVOTDATA("Somma di AVERE",'Pivot RakBank EUR'!$A$3,"Mese",8,"Tipologia",$A192,"Viaggio",$A$183))
+IF(ISERROR(GETPIVOTDATA("Somma di DARE EUR",'Pivot RakBank AED'!$A$3,"Mese",8,"Tipologia",$A192,"Viaggio",$A$183)),0,GETPIVOTDATA("Somma di DARE EUR",'Pivot RakBank AED'!$A$3,"Mese",8,"Tipologia",$A192,"Viaggio",$A$183))
-IF(ISERROR(GETPIVOTDATA("Somma di AVERE EUR",'Pivot RakBank AED'!$A$3,"Mese",8,"Tipologia",$A192,"Viaggio",$A$183)),0,GETPIVOTDATA("Somma di AVERE EUR",'Pivot RakBank AED'!$A$3,"Mese",8,"Tipologia",$A192,"Viaggio",$A$183))</f>
        <v>0</v>
      </c>
      <c r="K192" s="270">
        <f>IF(ISERROR(GETPIVOTDATA("Somma di DARE",'Pivot Fineco Sa'!$A$3,"Mese",9,"Tipologia",$A192,"Viaggio",$A$183)),0,GETPIVOTDATA("Somma di DARE",'Pivot Fineco Sa'!$A$3,"Mese",9,"Tipologia",$A192,"Viaggio",$A$183))
+IF(ISERROR(GETPIVOTDATA("Somma di DARE",'Pivot Fineco St'!$A$3,"Mese",9,"Tipologia",$A192,"Viaggio",$A$183)),0,GETPIVOTDATA("Somma di DARE",'Pivot Fineco St'!$A$3,"Mese",9,"Tipologia",$A192,"Viaggio",$A$183))
+IF(Contanti!$AK47='Conto Economico'!$A$183,Contanti!$AH47)
+IF(ISERROR(GETPIVOTDATA("Somma di DARE",'Pivot BBVA'!$A$3,"Mese",9,"Tipologia",$A192,"Viaggio",$A$183)),0,GETPIVOTDATA("Somma di DARE",'Pivot BBVA'!$A$3,"Mese",9,"Tipologia",$A192,"Viaggio",$A$183))
+IF(ISERROR(GETPIVOTDATA("Somma di DARE",'Pivot Amex'!$A$3,"Mese",9,"Tipologia",$A192,"Viaggio",$A$183)),0,GETPIVOTDATA("Somma di DARE",'Pivot Amex'!$A$3,"Mese",9,"Tipologia",$A192,"Viaggio",$A$183))
-IF(ISERROR(GETPIVOTDATA("Somma di AVERE",'Pivot Amex'!$A$3,"Mese",9,"Tipologia",$A192,"Viaggio",$A$183)),0,GETPIVOTDATA("Somma di AVERE",'Pivot Amex'!$A$3,"Mese",9,"Tipologia",$A192,"Viaggio",$A$183))
-IF(ISERROR(GETPIVOTDATA("Somma di AVERE",'Pivot BBVA'!$A$3,"Mese",9,"Tipologia",$A192,"Viaggio",$A$183)),0,GETPIVOTDATA("Somma di AVERE",'Pivot BBVA'!$A$3,"Mese",9,"Tipologia",$A192,"Viaggio",$A$183))
-IF(ISERROR(GETPIVOTDATA("Somma di AVERE",'Pivot Fineco St'!$A$3,"Mese",9,"Tipologia",$A192,"Viaggio",$A$183)),0,GETPIVOTDATA("Somma di AVERE",'Pivot Fineco St'!$A$3,"Mese",9,"Tipologia",$A192,"Viaggio",$A$183))
-IF(ISERROR(GETPIVOTDATA("Somma di AVERE",'Pivot Fineco Sa'!$A$3,"Mese",9,"Tipologia",$A192,"Viaggio",$A$183)),0,GETPIVOTDATA("Somma di AVERE",'Pivot Fineco Sa'!$A$3,"Mese",9,"Tipologia",$A192,"Viaggio",$A$183))
+IF(ISERROR(GETPIVOTDATA("Somma di DARE",'Pivot PP Visa'!$A$3,"Mese",9,"Tipologia",$A192,"Viaggio",$A$183)),0,GETPIVOTDATA("Somma di DARE",'Pivot PP Visa'!$A$3,"Mese",9,"Tipologia",$A192,"Viaggio",$A$183))
-IF(ISERROR(GETPIVOTDATA("Somma di AVERE",'Pivot PP Visa'!$A$3,"Mese",9,"Tipologia",$A192,"Viaggio",$A$183)),0,GETPIVOTDATA("Somma di AVERE",'Pivot PP Visa'!$A$3,"Mese",9,"Tipologia",$A192,"Viaggio",$A$183))
+IF(ISERROR(GETPIVOTDATA("Somma di DARE",'Pivot Revolut'!$A$3,"Mese",9,"Tipologia",$A192,"Viaggio",$A$183)),0,GETPIVOTDATA("Somma di DARE",'Pivot Revolut'!$A$3,"Mese",9,"Tipologia",$A192,"Viaggio",$A$183))
-IF(ISERROR(GETPIVOTDATA("Somma di AVERE",'Pivot Revolut'!$A$3,"Mese",9,"Tipologia",$A192,"Viaggio",$A$183)),0,GETPIVOTDATA("Somma di AVERE",'Pivot Revolut'!$A$3,"Mese",9,"Tipologia",$A192,"Viaggio",$A$183))
+IF(ISERROR(GETPIVOTDATA("Somma di DARE",'Pivot RakBank EUR'!$A$3,"Mese",9,"Tipologia",$A192,"Viaggio",$A$183)),0,GETPIVOTDATA("Somma di DARE",'Pivot RakBank EUR'!$A$3,"Mese",9,"Tipologia",$A192,"Viaggio",$A$183))
-IF(ISERROR(GETPIVOTDATA("Somma di AVERE",'Pivot RakBank EUR'!$A$3,"Mese",9,"Tipologia",$A192,"Viaggio",$A$183)),0,GETPIVOTDATA("Somma di AVERE",'Pivot RakBank EUR'!$A$3,"Mese",9,"Tipologia",$A192,"Viaggio",$A$183))
+IF(ISERROR(GETPIVOTDATA("Somma di DARE EUR",'Pivot RakBank AED'!$A$3,"Mese",9,"Tipologia",$A192,"Viaggio",$A$183)),0,GETPIVOTDATA("Somma di DARE EUR",'Pivot RakBank AED'!$A$3,"Mese",9,"Tipologia",$A192,"Viaggio",$A$183))
-IF(ISERROR(GETPIVOTDATA("Somma di AVERE EUR",'Pivot RakBank AED'!$A$3,"Mese",9,"Tipologia",$A192,"Viaggio",$A$183)),0,GETPIVOTDATA("Somma di AVERE EUR",'Pivot RakBank AED'!$A$3,"Mese",9,"Tipologia",$A192,"Viaggio",$A$183))</f>
        <v>0</v>
      </c>
      <c r="L192" s="270">
        <f>IF(ISERROR(GETPIVOTDATA("Somma di DARE",'Pivot Fineco Sa'!$A$3,"Mese",10,"Tipologia",$A192,"Viaggio",$A$183)),0,GETPIVOTDATA("Somma di DARE",'Pivot Fineco Sa'!$A$3,"Mese",10,"Tipologia",$A192,"Viaggio",$A$183))
+IF(ISERROR(GETPIVOTDATA("Somma di DARE",'Pivot Fineco St'!$A$3,"Mese",10,"Tipologia",$A192,"Viaggio",$A$183)),0,GETPIVOTDATA("Somma di DARE",'Pivot Fineco St'!$A$3,"Mese",10,"Tipologia",$A192,"Viaggio",$A$183))
+IF(Contanti!$AO47='Conto Economico'!$A$183,Contanti!$AL47)
+IF(ISERROR(GETPIVOTDATA("Somma di DARE",'Pivot BBVA'!$A$3,"Mese",10,"Tipologia",$A192,"Viaggio",$A$183)),0,GETPIVOTDATA("Somma di DARE",'Pivot BBVA'!$A$3,"Mese",10,"Tipologia",$A192,"Viaggio",$A$183))
+IF(ISERROR(GETPIVOTDATA("Somma di DARE",'Pivot Amex'!$A$3,"Mese",10,"Tipologia",$A192,"Viaggio",$A$183)),0,GETPIVOTDATA("Somma di DARE",'Pivot Amex'!$A$3,"Mese",10,"Tipologia",$A192,"Viaggio",$A$183))
-IF(ISERROR(GETPIVOTDATA("Somma di AVERE",'Pivot Amex'!$A$3,"Mese",10,"Tipologia",$A192,"Viaggio",$A$183)),0,GETPIVOTDATA("Somma di AVERE",'Pivot Amex'!$A$3,"Mese",10,"Tipologia",$A192,"Viaggio",$A$183))
-IF(ISERROR(GETPIVOTDATA("Somma di AVERE",'Pivot BBVA'!$A$3,"Mese",10,"Tipologia",$A192,"Viaggio",$A$183)),0,GETPIVOTDATA("Somma di AVERE",'Pivot BBVA'!$A$3,"Mese",10,"Tipologia",$A192,"Viaggio",$A$183))
-IF(ISERROR(GETPIVOTDATA("Somma di AVERE",'Pivot Fineco St'!$A$3,"Mese",10,"Tipologia",$A192,"Viaggio",$A$183)),0,GETPIVOTDATA("Somma di AVERE",'Pivot Fineco St'!$A$3,"Mese",10,"Tipologia",$A192,"Viaggio",$A$183))
-IF(ISERROR(GETPIVOTDATA("Somma di AVERE",'Pivot Fineco Sa'!$A$3,"Mese",10,"Tipologia",$A192,"Viaggio",$A$183)),0,GETPIVOTDATA("Somma di AVERE",'Pivot Fineco Sa'!$A$3,"Mese",10,"Tipologia",$A192,"Viaggio",$A$183))
+IF(ISERROR(GETPIVOTDATA("Somma di DARE",'Pivot PP Visa'!$A$3,"Mese",10,"Tipologia",$A192,"Viaggio",$A$183)),0,GETPIVOTDATA("Somma di DARE",'Pivot PP Visa'!$A$3,"Mese",10,"Tipologia",$A192,"Viaggio",$A$183))
-IF(ISERROR(GETPIVOTDATA("Somma di AVERE",'Pivot PP Visa'!$A$3,"Mese",10,"Tipologia",$A192,"Viaggio",$A$183)),0,GETPIVOTDATA("Somma di AVERE",'Pivot PP Visa'!$A$3,"Mese",10,"Tipologia",$A192,"Viaggio",$A$183))
+IF(ISERROR(GETPIVOTDATA("Somma di DARE",'Pivot Revolut'!$A$3,"Mese",10,"Tipologia",$A192,"Viaggio",$A$183)),0,GETPIVOTDATA("Somma di DARE",'Pivot Revolut'!$A$3,"Mese",10,"Tipologia",$A192,"Viaggio",$A$183))
-IF(ISERROR(GETPIVOTDATA("Somma di AVERE",'Pivot Revolut'!$A$3,"Mese",10,"Tipologia",$A192,"Viaggio",$A$183)),0,GETPIVOTDATA("Somma di AVERE",'Pivot Revolut'!$A$3,"Mese",10,"Tipologia",$A192,"Viaggio",$A$183))
+IF(ISERROR(GETPIVOTDATA("Somma di DARE",'Pivot RakBank EUR'!$A$3,"Mese",10,"Tipologia",$A192,"Viaggio",$A$183)),0,GETPIVOTDATA("Somma di DARE",'Pivot RakBank EUR'!$A$3,"Mese",10,"Tipologia",$A192,"Viaggio",$A$183))
-IF(ISERROR(GETPIVOTDATA("Somma di AVERE",'Pivot RakBank EUR'!$A$3,"Mese",10,"Tipologia",$A192,"Viaggio",$A$183)),0,GETPIVOTDATA("Somma di AVERE",'Pivot RakBank EUR'!$A$3,"Mese",10,"Tipologia",$A192,"Viaggio",$A$183))
+IF(ISERROR(GETPIVOTDATA("Somma di DARE EUR",'Pivot RakBank AED'!$A$3,"Mese",10,"Tipologia",$A192,"Viaggio",$A$183)),0,GETPIVOTDATA("Somma di DARE EUR",'Pivot RakBank AED'!$A$3,"Mese",10,"Tipologia",$A192,"Viaggio",$A$183))
-IF(ISERROR(GETPIVOTDATA("Somma di AVERE EUR",'Pivot RakBank AED'!$A$3,"Mese",10,"Tipologia",$A192,"Viaggio",$A$183)),0,GETPIVOTDATA("Somma di AVERE EUR",'Pivot RakBank AED'!$A$3,"Mese",10,"Tipologia",$A192,"Viaggio",$A$183))</f>
        <v>0</v>
      </c>
      <c r="M192" s="270">
        <f>IF(ISERROR(GETPIVOTDATA("Somma di DARE",'Pivot Fineco Sa'!$A$3,"Mese",11,"Tipologia",$A192,"Viaggio",$A$183)),0,GETPIVOTDATA("Somma di DARE",'Pivot Fineco Sa'!$A$3,"Mese",11,"Tipologia",$A192,"Viaggio",$A$183))
+IF(ISERROR(GETPIVOTDATA("Somma di DARE",'Pivot Fineco St'!$A$3,"Mese",11,"Tipologia",$A192,"Viaggio",$A$183)),0,GETPIVOTDATA("Somma di DARE",'Pivot Fineco St'!$A$3,"Mese",11,"Tipologia",$A192,"Viaggio",$A$183))
+IF(Contanti!$AS47='Conto Economico'!$A$183,Contanti!$AP47)
+IF(ISERROR(GETPIVOTDATA("Somma di DARE",'Pivot BBVA'!$A$3,"Mese",11,"Tipologia",$A192,"Viaggio",$A$183)),0,GETPIVOTDATA("Somma di DARE",'Pivot BBVA'!$A$3,"Mese",11,"Tipologia",$A192,"Viaggio",$A$183))
+IF(ISERROR(GETPIVOTDATA("Somma di DARE",'Pivot Amex'!$A$3,"Mese",11,"Tipologia",$A192,"Viaggio",$A$183)),0,GETPIVOTDATA("Somma di DARE",'Pivot Amex'!$A$3,"Mese",11,"Tipologia",$A192,"Viaggio",$A$183))
-IF(ISERROR(GETPIVOTDATA("Somma di AVERE",'Pivot Amex'!$A$3,"Mese",11,"Tipologia",$A192,"Viaggio",$A$183)),0,GETPIVOTDATA("Somma di AVERE",'Pivot Amex'!$A$3,"Mese",11,"Tipologia",$A192,"Viaggio",$A$183))
-IF(ISERROR(GETPIVOTDATA("Somma di AVERE",'Pivot BBVA'!$A$3,"Mese",11,"Tipologia",$A192,"Viaggio",$A$183)),0,GETPIVOTDATA("Somma di AVERE",'Pivot BBVA'!$A$3,"Mese",11,"Tipologia",$A192,"Viaggio",$A$183))
-IF(ISERROR(GETPIVOTDATA("Somma di AVERE",'Pivot Fineco St'!$A$3,"Mese",11,"Tipologia",$A192,"Viaggio",$A$183)),0,GETPIVOTDATA("Somma di AVERE",'Pivot Fineco St'!$A$3,"Mese",11,"Tipologia",$A192,"Viaggio",$A$183))
-IF(ISERROR(GETPIVOTDATA("Somma di AVERE",'Pivot Fineco Sa'!$A$3,"Mese",11,"Tipologia",$A192,"Viaggio",$A$183)),0,GETPIVOTDATA("Somma di AVERE",'Pivot Fineco Sa'!$A$3,"Mese",11,"Tipologia",$A192,"Viaggio",$A$183))
+IF(ISERROR(GETPIVOTDATA("Somma di DARE",'Pivot PP Visa'!$A$3,"Mese",11,"Tipologia",$A192,"Viaggio",$A$183)),0,GETPIVOTDATA("Somma di DARE",'Pivot PP Visa'!$A$3,"Mese",11,"Tipologia",$A192,"Viaggio",$A$183))
-IF(ISERROR(GETPIVOTDATA("Somma di AVERE",'Pivot PP Visa'!$A$3,"Mese",11,"Tipologia",$A192,"Viaggio",$A$183)),0,GETPIVOTDATA("Somma di AVERE",'Pivot PP Visa'!$A$3,"Mese",11,"Tipologia",$A192,"Viaggio",$A$183))
+IF(ISERROR(GETPIVOTDATA("Somma di DARE",'Pivot Revolut'!$A$3,"Mese",11,"Tipologia",$A192,"Viaggio",$A$183)),0,GETPIVOTDATA("Somma di DARE",'Pivot Revolut'!$A$3,"Mese",11,"Tipologia",$A192,"Viaggio",$A$183))
-IF(ISERROR(GETPIVOTDATA("Somma di AVERE",'Pivot Revolut'!$A$3,"Mese",11,"Tipologia",$A192,"Viaggio",$A$183)),0,GETPIVOTDATA("Somma di AVERE",'Pivot Revolut'!$A$3,"Mese",11,"Tipologia",$A192,"Viaggio",$A$183))
+IF(ISERROR(GETPIVOTDATA("Somma di DARE",'Pivot RakBank EUR'!$A$3,"Mese",11,"Tipologia",$A192,"Viaggio",$A$183)),0,GETPIVOTDATA("Somma di DARE",'Pivot RakBank EUR'!$A$3,"Mese",11,"Tipologia",$A192,"Viaggio",$A$183))
-IF(ISERROR(GETPIVOTDATA("Somma di AVERE",'Pivot RakBank EUR'!$A$3,"Mese",11,"Tipologia",$A192,"Viaggio",$A$183)),0,GETPIVOTDATA("Somma di AVERE",'Pivot RakBank EUR'!$A$3,"Mese",11,"Tipologia",$A192,"Viaggio",$A$183))
+IF(ISERROR(GETPIVOTDATA("Somma di DARE EUR",'Pivot RakBank AED'!$A$3,"Mese",11,"Tipologia",$A192,"Viaggio",$A$183)),0,GETPIVOTDATA("Somma di DARE EUR",'Pivot RakBank AED'!$A$3,"Mese",11,"Tipologia",$A192,"Viaggio",$A$183))
-IF(ISERROR(GETPIVOTDATA("Somma di AVERE EUR",'Pivot RakBank AED'!$A$3,"Mese",11,"Tipologia",$A192,"Viaggio",$A$183)),0,GETPIVOTDATA("Somma di AVERE EUR",'Pivot RakBank AED'!$A$3,"Mese",11,"Tipologia",$A192,"Viaggio",$A$183))</f>
        <v>0</v>
      </c>
      <c r="N192" s="270">
        <f>IF(ISERROR(GETPIVOTDATA("Somma di DARE",'Pivot Fineco Sa'!$A$3,"Mese",12,"Tipologia",$A192,"Viaggio",$A$183)),0,GETPIVOTDATA("Somma di DARE",'Pivot Fineco Sa'!$A$3,"Mese",12,"Tipologia",$A192,"Viaggio",$A$183))
+IF(ISERROR(GETPIVOTDATA("Somma di DARE",'Pivot Fineco St'!$A$3,"Mese",12,"Tipologia",$A192,"Viaggio",$A$183)),0,GETPIVOTDATA("Somma di DARE",'Pivot Fineco St'!$A$3,"Mese",12,"Tipologia",$A192,"Viaggio",$A$183))
+IF(Contanti!$AW47='Conto Economico'!$A$183,Contanti!$AT47)
+IF(ISERROR(GETPIVOTDATA("Somma di DARE",'Pivot BBVA'!$A$3,"Mese",12,"Tipologia",$A192,"Viaggio",$A$183)),0,GETPIVOTDATA("Somma di DARE",'Pivot BBVA'!$A$3,"Mese",12,"Tipologia",$A192,"Viaggio",$A$183))
+IF(ISERROR(GETPIVOTDATA("Somma di DARE",'Pivot Amex'!$A$3,"Mese",12,"Tipologia",$A192,"Viaggio",$A$183)),0,GETPIVOTDATA("Somma di DARE",'Pivot Amex'!$A$3,"Mese",12,"Tipologia",$A192,"Viaggio",$A$183))
-IF(ISERROR(GETPIVOTDATA("Somma di AVERE",'Pivot Amex'!$A$3,"Mese",12,"Tipologia",$A192,"Viaggio",$A$183)),0,GETPIVOTDATA("Somma di AVERE",'Pivot Amex'!$A$3,"Mese",12,"Tipologia",$A192,"Viaggio",$A$183))
-IF(ISERROR(GETPIVOTDATA("Somma di AVERE",'Pivot BBVA'!$A$3,"Mese",12,"Tipologia",$A192,"Viaggio",$A$183)),0,GETPIVOTDATA("Somma di AVERE",'Pivot BBVA'!$A$3,"Mese",12,"Tipologia",$A192,"Viaggio",$A$183))
-IF(ISERROR(GETPIVOTDATA("Somma di AVERE",'Pivot Fineco St'!$A$3,"Mese",12,"Tipologia",$A192,"Viaggio",$A$183)),0,GETPIVOTDATA("Somma di AVERE",'Pivot Fineco St'!$A$3,"Mese",12,"Tipologia",$A192,"Viaggio",$A$183))
-IF(ISERROR(GETPIVOTDATA("Somma di AVERE",'Pivot Fineco Sa'!$A$3,"Mese",12,"Tipologia",$A192,"Viaggio",$A$183)),0,GETPIVOTDATA("Somma di AVERE",'Pivot Fineco Sa'!$A$3,"Mese",12,"Tipologia",$A192,"Viaggio",$A$183))
+IF(ISERROR(GETPIVOTDATA("Somma di DARE",'Pivot PP Visa'!$A$3,"Mese",12,"Tipologia",$A192,"Viaggio",$A$183)),0,GETPIVOTDATA("Somma di DARE",'Pivot PP Visa'!$A$3,"Mese",12,"Tipologia",$A192,"Viaggio",$A$183))
-IF(ISERROR(GETPIVOTDATA("Somma di AVERE",'Pivot PP Visa'!$A$3,"Mese",12,"Tipologia",$A192,"Viaggio",$A$183)),0,GETPIVOTDATA("Somma di AVERE",'Pivot PP Visa'!$A$3,"Mese",12,"Tipologia",$A192,"Viaggio",$A$183))
+IF(ISERROR(GETPIVOTDATA("Somma di DARE",'Pivot Revolut'!$A$3,"Mese",12,"Tipologia",$A192,"Viaggio",$A$183)),0,GETPIVOTDATA("Somma di DARE",'Pivot Revolut'!$A$3,"Mese",12,"Tipologia",$A192,"Viaggio",$A$183))
-IF(ISERROR(GETPIVOTDATA("Somma di AVERE",'Pivot Revolut'!$A$3,"Mese",12,"Tipologia",$A192,"Viaggio",$A$183)),0,GETPIVOTDATA("Somma di AVERE",'Pivot Revolut'!$A$3,"Mese",12,"Tipologia",$A192,"Viaggio",$A$183))
+IF(ISERROR(GETPIVOTDATA("Somma di DARE",'Pivot RakBank EUR'!$A$3,"Mese",12,"Tipologia",$A192,"Viaggio",$A$183)),0,GETPIVOTDATA("Somma di DARE",'Pivot RakBank EUR'!$A$3,"Mese",12,"Tipologia",$A192,"Viaggio",$A$183))
-IF(ISERROR(GETPIVOTDATA("Somma di AVERE",'Pivot RakBank EUR'!$A$3,"Mese",12,"Tipologia",$A192,"Viaggio",$A$183)),0,GETPIVOTDATA("Somma di AVERE",'Pivot RakBank EUR'!$A$3,"Mese",12,"Tipologia",$A192,"Viaggio",$A$183))
+IF(ISERROR(GETPIVOTDATA("Somma di DARE EUR",'Pivot RakBank AED'!$A$3,"Mese",12,"Tipologia",$A192,"Viaggio",$A$183)),0,GETPIVOTDATA("Somma di DARE EUR",'Pivot RakBank AED'!$A$3,"Mese",12,"Tipologia",$A192,"Viaggio",$A$183))
-IF(ISERROR(GETPIVOTDATA("Somma di AVERE EUR",'Pivot RakBank AED'!$A$3,"Mese",12,"Tipologia",$A192,"Viaggio",$A$183)),0,GETPIVOTDATA("Somma di AVERE EUR",'Pivot RakBank AED'!$A$3,"Mese",12,"Tipologia",$A192,"Viaggio",$A$183))</f>
        <v>0</v>
      </c>
      <c r="O192" s="271">
        <f t="shared" si="25"/>
        <v>0</v>
      </c>
      <c r="P192" s="270"/>
    </row>
    <row r="193" spans="1:16" s="131" customFormat="1" ht="14" outlineLevel="1" x14ac:dyDescent="0.2">
      <c r="A193" s="269" t="s">
        <v>103</v>
      </c>
      <c r="B193" s="269"/>
      <c r="C193" s="270">
        <f>IF(ISERROR(GETPIVOTDATA("Somma di DARE",'Pivot Fineco Sa'!$A$3,"Mese",1,"Tipologia",$A193,"Viaggio",$A$183)),0,GETPIVOTDATA("Somma di DARE",'Pivot Fineco Sa'!$A$3,"Mese",1,"Tipologia",$A193,"Viaggio",$A$183))
+IF(ISERROR(GETPIVOTDATA("Somma di DARE",'Pivot Fineco St'!$A$3,"Mese",1,"Tipologia",$A193,"Viaggio",$A$183)),0,GETPIVOTDATA("Somma di DARE",'Pivot Fineco St'!$A$3,"Mese",1,"Tipologia",$A193,"Viaggio",$A$183))
+IF(Contanti!$E48='Conto Economico'!$A$183,Contanti!$B48)
+IF(ISERROR(GETPIVOTDATA("Somma di DARE",'Pivot BBVA'!$A$3,"Mese",1,"Tipologia",$A193,"Viaggio",$A$183)),0,GETPIVOTDATA("Somma di DARE",'Pivot BBVA'!$A$3,"Mese",1,"Tipologia",$A193,"Viaggio",$A$183))
+IF(ISERROR(GETPIVOTDATA("Somma di DARE",'Pivot Amex'!$A$3,"Mese",1,"Tipologia",$A193,"Viaggio",$A$183)),0,GETPIVOTDATA("Somma di DARE",'Pivot Amex'!$A$3,"Mese",1,"Tipologia",$A193,"Viaggio",$A$183))
-IF(ISERROR(GETPIVOTDATA("Somma di AVERE",'Pivot Amex'!$A$3,"Mese",1,"Tipologia",$A193,"Viaggio",$A$183)),0,GETPIVOTDATA("Somma di AVERE",'Pivot Amex'!$A$3,"Mese",1,"Tipologia",$A193,"Viaggio",$A$183))
-IF(ISERROR(GETPIVOTDATA("Somma di AVERE",'Pivot BBVA'!$A$3,"Mese",1,"Tipologia",$A193,"Viaggio",$A$183)),0,GETPIVOTDATA("Somma di AVERE",'Pivot BBVA'!$A$3,"Mese",1,"Tipologia",$A193,"Viaggio",$A$183))
-IF(ISERROR(GETPIVOTDATA("Somma di AVERE",'Pivot Fineco St'!$A$3,"Mese",1,"Tipologia",$A193,"Viaggio",$A$183)),0,GETPIVOTDATA("Somma di AVERE",'Pivot Fineco St'!$A$3,"Mese",1,"Tipologia",$A193,"Viaggio",$A$183))
-IF(ISERROR(GETPIVOTDATA("Somma di AVERE",'Pivot Fineco Sa'!$A$3,"Mese",1,"Tipologia",$A193,"Viaggio",$A$183)),0,GETPIVOTDATA("Somma di AVERE",'Pivot Fineco Sa'!$A$3,"Mese",1,"Tipologia",$A193,"Viaggio",$A$183))
+IF(ISERROR(GETPIVOTDATA("Somma di DARE",'Pivot PP Visa'!$A$3,"Mese",1,"Tipologia",$A193,"Viaggio",$A$183)),0,GETPIVOTDATA("Somma di DARE",'Pivot PP Visa'!$A$3,"Mese",1,"Tipologia",$A193,"Viaggio",$A$183))
-IF(ISERROR(GETPIVOTDATA("Somma di AVERE",'Pivot PP Visa'!$A$3,"Mese",1,"Tipologia",$A193,"Viaggio",$A$183)),0,GETPIVOTDATA("Somma di AVERE",'Pivot PP Visa'!$A$3,"Mese",1,"Tipologia",$A193,"Viaggio",$A$183))
+IF(ISERROR(GETPIVOTDATA("Somma di DARE",'Pivot Revolut'!$A$3,"Mese",1,"Tipologia",$A193,"Viaggio",$A$183)),0,GETPIVOTDATA("Somma di DARE",'Pivot Revolut'!$A$3,"Mese",1,"Tipologia",$A193,"Viaggio",$A$183))
-IF(ISERROR(GETPIVOTDATA("Somma di AVERE",'Pivot Revolut'!$A$3,"Mese",1,"Tipologia",$A193,"Viaggio",$A$183)),0,GETPIVOTDATA("Somma di AVERE",'Pivot Revolut'!$A$3,"Mese",1,"Tipologia",$A193,"Viaggio",$A$183))
+IF(ISERROR(GETPIVOTDATA("Somma di DARE",'Pivot RakBank EUR'!$A$3,"Mese",1,"Tipologia",$A193,"Viaggio",$A$183)),0,GETPIVOTDATA("Somma di DARE",'Pivot RakBank EUR'!$A$3,"Mese",1,"Tipologia",$A193,"Viaggio",$A$183))
-IF(ISERROR(GETPIVOTDATA("Somma di AVERE",'Pivot RakBank EUR'!$A$3,"Mese",1,"Tipologia",$A193,"Viaggio",$A$183)),0,GETPIVOTDATA("Somma di AVERE",'Pivot RakBank EUR'!$A$3,"Mese",1,"Tipologia",$A193,"Viaggio",$A$183))
+IF(ISERROR(GETPIVOTDATA("Somma di DARE EUR",'Pivot RakBank AED'!$A$3,"Mese",1,"Tipologia",$A193,"Viaggio",$A$183)),0,GETPIVOTDATA("Somma di DARE EUR",'Pivot RakBank AED'!$A$3,"Mese",1,"Tipologia",$A193,"Viaggio",$A$183))
-IF(ISERROR(GETPIVOTDATA("Somma di AVERE EUR",'Pivot RakBank AED'!$A$3,"Mese",1,"Tipologia",$A193,"Viaggio",$A$183)),0,GETPIVOTDATA("Somma di AVERE EUR",'Pivot RakBank AED'!$A$3,"Mese",1,"Tipologia",$A193,"Viaggio",$A$183))</f>
        <v>0</v>
      </c>
      <c r="D193" s="270">
        <f>IF(ISERROR(GETPIVOTDATA("Somma di DARE",'Pivot Fineco Sa'!$A$3,"Mese",2,"Tipologia",$A193,"Viaggio",$A$183)),0,GETPIVOTDATA("Somma di DARE",'Pivot Fineco Sa'!$A$3,"Mese",2,"Tipologia",$A193,"Viaggio",$A$183))
+IF(ISERROR(GETPIVOTDATA("Somma di DARE",'Pivot Fineco St'!$A$3,"Mese",2,"Tipologia",$A193,"Viaggio",$A$183)),0,GETPIVOTDATA("Somma di DARE",'Pivot Fineco St'!$A$3,"Mese",2,"Tipologia",$A193,"Viaggio",$A$183))
+IF(Contanti!$I48='Conto Economico'!$A$183,Contanti!$F48)
+IF(ISERROR(GETPIVOTDATA("Somma di DARE",'Pivot BBVA'!$A$3,"Mese",2,"Tipologia",$A193,"Viaggio",$A$183)),0,GETPIVOTDATA("Somma di DARE",'Pivot BBVA'!$A$3,"Mese",2,"Tipologia",$A193,"Viaggio",$A$183))
+IF(ISERROR(GETPIVOTDATA("Somma di DARE",'Pivot Amex'!$A$3,"Mese",2,"Tipologia",$A193,"Viaggio",$A$183)),0,GETPIVOTDATA("Somma di DARE",'Pivot Amex'!$A$3,"Mese",2,"Tipologia",$A193,"Viaggio",$A$183))
-IF(ISERROR(GETPIVOTDATA("Somma di AVERE",'Pivot Amex'!$A$3,"Mese",2,"Tipologia",$A193,"Viaggio",$A$183)),0,GETPIVOTDATA("Somma di AVERE",'Pivot Amex'!$A$3,"Mese",2,"Tipologia",$A193,"Viaggio",$A$183))
-IF(ISERROR(GETPIVOTDATA("Somma di AVERE",'Pivot BBVA'!$A$3,"Mese",2,"Tipologia",$A193,"Viaggio",$A$183)),0,GETPIVOTDATA("Somma di AVERE",'Pivot BBVA'!$A$3,"Mese",2,"Tipologia",$A193,"Viaggio",$A$183))
-IF(ISERROR(GETPIVOTDATA("Somma di AVERE",'Pivot Fineco St'!$A$3,"Mese",2,"Tipologia",$A193,"Viaggio",$A$183)),0,GETPIVOTDATA("Somma di AVERE",'Pivot Fineco St'!$A$3,"Mese",2,"Tipologia",$A193,"Viaggio",$A$183))
-IF(ISERROR(GETPIVOTDATA("Somma di AVERE",'Pivot Fineco Sa'!$A$3,"Mese",2,"Tipologia",$A193,"Viaggio",$A$183)),0,GETPIVOTDATA("Somma di AVERE",'Pivot Fineco Sa'!$A$3,"Mese",2,"Tipologia",$A193,"Viaggio",$A$183))
+IF(ISERROR(GETPIVOTDATA("Somma di DARE",'Pivot PP Visa'!$A$3,"Mese",2,"Tipologia",$A193,"Viaggio",$A$183)),0,GETPIVOTDATA("Somma di DARE",'Pivot PP Visa'!$A$3,"Mese",2,"Tipologia",$A193,"Viaggio",$A$183))
-IF(ISERROR(GETPIVOTDATA("Somma di AVERE",'Pivot PP Visa'!$A$3,"Mese",2,"Tipologia",$A193,"Viaggio",$A$183)),0,GETPIVOTDATA("Somma di AVERE",'Pivot PP Visa'!$A$3,"Mese",2,"Tipologia",$A193,"Viaggio",$A$183))
+IF(ISERROR(GETPIVOTDATA("Somma di DARE",'Pivot Revolut'!$A$3,"Mese",2,"Tipologia",$A193,"Viaggio",$A$183)),0,GETPIVOTDATA("Somma di DARE",'Pivot Revolut'!$A$3,"Mese",2,"Tipologia",$A193,"Viaggio",$A$183))
-IF(ISERROR(GETPIVOTDATA("Somma di AVERE",'Pivot Revolut'!$A$3,"Mese",2,"Tipologia",$A193,"Viaggio",$A$183)),0,GETPIVOTDATA("Somma di AVERE",'Pivot Revolut'!$A$3,"Mese",2,"Tipologia",$A193,"Viaggio",$A$183))
+IF(ISERROR(GETPIVOTDATA("Somma di DARE",'Pivot RakBank EUR'!$A$3,"Mese",2,"Tipologia",$A193,"Viaggio",$A$183)),0,GETPIVOTDATA("Somma di DARE",'Pivot RakBank EUR'!$A$3,"Mese",2,"Tipologia",$A193,"Viaggio",$A$183))
-IF(ISERROR(GETPIVOTDATA("Somma di AVERE",'Pivot RakBank EUR'!$A$3,"Mese",2,"Tipologia",$A193,"Viaggio",$A$183)),0,GETPIVOTDATA("Somma di AVERE",'Pivot RakBank EUR'!$A$3,"Mese",2,"Tipologia",$A193,"Viaggio",$A$183))
+IF(ISERROR(GETPIVOTDATA("Somma di DARE EUR",'Pivot RakBank AED'!$A$3,"Mese",2,"Tipologia",$A193,"Viaggio",$A$183)),0,GETPIVOTDATA("Somma di DARE EUR",'Pivot RakBank AED'!$A$3,"Mese",2,"Tipologia",$A193,"Viaggio",$A$183))
-IF(ISERROR(GETPIVOTDATA("Somma di AVERE EUR",'Pivot RakBank AED'!$A$3,"Mese",2,"Tipologia",$A193,"Viaggio",$A$183)),0,GETPIVOTDATA("Somma di AVERE EUR",'Pivot RakBank AED'!$A$3,"Mese",2,"Tipologia",$A193,"Viaggio",$A$183))</f>
        <v>0</v>
      </c>
      <c r="E193" s="270">
        <f>IF(ISERROR(GETPIVOTDATA("Somma di DARE",'Pivot Fineco Sa'!$A$3,"Mese",3,"Tipologia",$A193,"Viaggio",$A$183)),0,GETPIVOTDATA("Somma di DARE",'Pivot Fineco Sa'!$A$3,"Mese",3,"Tipologia",$A193,"Viaggio",$A$183))
+IF(ISERROR(GETPIVOTDATA("Somma di DARE",'Pivot Fineco St'!$A$3,"Mese",3,"Tipologia",$A193,"Viaggio",$A$183)),0,GETPIVOTDATA("Somma di DARE",'Pivot Fineco St'!$A$3,"Mese",3,"Tipologia",$A193,"Viaggio",$A$183))
+IF(Contanti!$M48='Conto Economico'!$A$183,Contanti!$J48)
+IF(ISERROR(GETPIVOTDATA("Somma di DARE",'Pivot BBVA'!$A$3,"Mese",3,"Tipologia",$A193,"Viaggio",$A$183)),0,GETPIVOTDATA("Somma di DARE",'Pivot BBVA'!$A$3,"Mese",3,"Tipologia",$A193,"Viaggio",$A$183))
+IF(ISERROR(GETPIVOTDATA("Somma di DARE",'Pivot Amex'!$A$3,"Mese",3,"Tipologia",$A193,"Viaggio",$A$183)),0,GETPIVOTDATA("Somma di DARE",'Pivot Amex'!$A$3,"Mese",3,"Tipologia",$A193,"Viaggio",$A$183))
-IF(ISERROR(GETPIVOTDATA("Somma di AVERE",'Pivot Amex'!$A$3,"Mese",3,"Tipologia",$A193,"Viaggio",$A$183)),0,GETPIVOTDATA("Somma di AVERE",'Pivot Amex'!$A$3,"Mese",3,"Tipologia",$A193,"Viaggio",$A$183))
-IF(ISERROR(GETPIVOTDATA("Somma di AVERE",'Pivot BBVA'!$A$3,"Mese",3,"Tipologia",$A193,"Viaggio",$A$183)),0,GETPIVOTDATA("Somma di AVERE",'Pivot BBVA'!$A$3,"Mese",3,"Tipologia",$A193,"Viaggio",$A$183))
-IF(ISERROR(GETPIVOTDATA("Somma di AVERE",'Pivot Fineco St'!$A$3,"Mese",3,"Tipologia",$A193,"Viaggio",$A$183)),0,GETPIVOTDATA("Somma di AVERE",'Pivot Fineco St'!$A$3,"Mese",3,"Tipologia",$A193,"Viaggio",$A$183))
-IF(ISERROR(GETPIVOTDATA("Somma di AVERE",'Pivot Fineco Sa'!$A$3,"Mese",3,"Tipologia",$A193,"Viaggio",$A$183)),0,GETPIVOTDATA("Somma di AVERE",'Pivot Fineco Sa'!$A$3,"Mese",3,"Tipologia",$A193,"Viaggio",$A$183))
+IF(ISERROR(GETPIVOTDATA("Somma di DARE",'Pivot PP Visa'!$A$3,"Mese",3,"Tipologia",$A193,"Viaggio",$A$183)),0,GETPIVOTDATA("Somma di DARE",'Pivot PP Visa'!$A$3,"Mese",3,"Tipologia",$A193,"Viaggio",$A$183))
-IF(ISERROR(GETPIVOTDATA("Somma di AVERE",'Pivot PP Visa'!$A$3,"Mese",3,"Tipologia",$A193,"Viaggio",$A$183)),0,GETPIVOTDATA("Somma di AVERE",'Pivot PP Visa'!$A$3,"Mese",3,"Tipologia",$A193,"Viaggio",$A$183))
+IF(ISERROR(GETPIVOTDATA("Somma di DARE",'Pivot Revolut'!$A$3,"Mese",3,"Tipologia",$A193,"Viaggio",$A$183)),0,GETPIVOTDATA("Somma di DARE",'Pivot Revolut'!$A$3,"Mese",3,"Tipologia",$A193,"Viaggio",$A$183))
-IF(ISERROR(GETPIVOTDATA("Somma di AVERE",'Pivot Revolut'!$A$3,"Mese",3,"Tipologia",$A193,"Viaggio",$A$183)),0,GETPIVOTDATA("Somma di AVERE",'Pivot Revolut'!$A$3,"Mese",3,"Tipologia",$A193,"Viaggio",$A$183))
+IF(ISERROR(GETPIVOTDATA("Somma di DARE",'Pivot RakBank EUR'!$A$3,"Mese",3,"Tipologia",$A193,"Viaggio",$A$183)),0,GETPIVOTDATA("Somma di DARE",'Pivot RakBank EUR'!$A$3,"Mese",3,"Tipologia",$A193,"Viaggio",$A$183))
-IF(ISERROR(GETPIVOTDATA("Somma di AVERE",'Pivot RakBank EUR'!$A$3,"Mese",3,"Tipologia",$A193,"Viaggio",$A$183)),0,GETPIVOTDATA("Somma di AVERE",'Pivot RakBank EUR'!$A$3,"Mese",3,"Tipologia",$A193,"Viaggio",$A$183))
+IF(ISERROR(GETPIVOTDATA("Somma di DARE EUR",'Pivot RakBank AED'!$A$3,"Mese",3,"Tipologia",$A193,"Viaggio",$A$183)),0,GETPIVOTDATA("Somma di DARE EUR",'Pivot RakBank AED'!$A$3,"Mese",3,"Tipologia",$A193,"Viaggio",$A$183))
-IF(ISERROR(GETPIVOTDATA("Somma di AVERE EUR",'Pivot RakBank AED'!$A$3,"Mese",3,"Tipologia",$A193,"Viaggio",$A$183)),0,GETPIVOTDATA("Somma di AVERE EUR",'Pivot RakBank AED'!$A$3,"Mese",3,"Tipologia",$A193,"Viaggio",$A$183))</f>
        <v>0</v>
      </c>
      <c r="F193" s="270">
        <f>IF(ISERROR(GETPIVOTDATA("Somma di DARE",'Pivot Fineco Sa'!$A$3,"Mese",4,"Tipologia",$A193,"Viaggio",$A$183)),0,GETPIVOTDATA("Somma di DARE",'Pivot Fineco Sa'!$A$3,"Mese",4,"Tipologia",$A193,"Viaggio",$A$183))
+IF(ISERROR(GETPIVOTDATA("Somma di DARE",'Pivot Fineco St'!$A$3,"Mese",4,"Tipologia",$A193,"Viaggio",$A$183)),0,GETPIVOTDATA("Somma di DARE",'Pivot Fineco St'!$A$3,"Mese",4,"Tipologia",$A193,"Viaggio",$A$183))
+IF(Contanti!$Q48='Conto Economico'!$A$183,Contanti!$N48)
+IF(ISERROR(GETPIVOTDATA("Somma di DARE",'Pivot BBVA'!$A$3,"Mese",4,"Tipologia",$A193,"Viaggio",$A$183)),0,GETPIVOTDATA("Somma di DARE",'Pivot BBVA'!$A$3,"Mese",4,"Tipologia",$A193,"Viaggio",$A$183))
+IF(ISERROR(GETPIVOTDATA("Somma di DARE",'Pivot Amex'!$A$3,"Mese",4,"Tipologia",$A193,"Viaggio",$A$183)),0,GETPIVOTDATA("Somma di DARE",'Pivot Amex'!$A$3,"Mese",4,"Tipologia",$A193,"Viaggio",$A$183))
-IF(ISERROR(GETPIVOTDATA("Somma di AVERE",'Pivot Amex'!$A$3,"Mese",4,"Tipologia",$A193,"Viaggio",$A$183)),0,GETPIVOTDATA("Somma di AVERE",'Pivot Amex'!$A$3,"Mese",4,"Tipologia",$A193,"Viaggio",$A$183))
-IF(ISERROR(GETPIVOTDATA("Somma di AVERE",'Pivot BBVA'!$A$3,"Mese",4,"Tipologia",$A193,"Viaggio",$A$183)),0,GETPIVOTDATA("Somma di AVERE",'Pivot BBVA'!$A$3,"Mese",4,"Tipologia",$A193,"Viaggio",$A$183))
-IF(ISERROR(GETPIVOTDATA("Somma di AVERE",'Pivot Fineco St'!$A$3,"Mese",4,"Tipologia",$A193,"Viaggio",$A$183)),0,GETPIVOTDATA("Somma di AVERE",'Pivot Fineco St'!$A$3,"Mese",4,"Tipologia",$A193,"Viaggio",$A$183))
-IF(ISERROR(GETPIVOTDATA("Somma di AVERE",'Pivot Fineco Sa'!$A$3,"Mese",4,"Tipologia",$A193,"Viaggio",$A$183)),0,GETPIVOTDATA("Somma di AVERE",'Pivot Fineco Sa'!$A$3,"Mese",4,"Tipologia",$A193,"Viaggio",$A$183))
+IF(ISERROR(GETPIVOTDATA("Somma di DARE",'Pivot PP Visa'!$A$3,"Mese",4,"Tipologia",$A193,"Viaggio",$A$183)),0,GETPIVOTDATA("Somma di DARE",'Pivot PP Visa'!$A$3,"Mese",4,"Tipologia",$A193,"Viaggio",$A$183))
-IF(ISERROR(GETPIVOTDATA("Somma di AVERE",'Pivot PP Visa'!$A$3,"Mese",4,"Tipologia",$A193,"Viaggio",$A$183)),0,GETPIVOTDATA("Somma di AVERE",'Pivot PP Visa'!$A$3,"Mese",4,"Tipologia",$A193,"Viaggio",$A$183))
+IF(ISERROR(GETPIVOTDATA("Somma di DARE",'Pivot Revolut'!$A$3,"Mese",4,"Tipologia",$A193,"Viaggio",$A$183)),0,GETPIVOTDATA("Somma di DARE",'Pivot Revolut'!$A$3,"Mese",4,"Tipologia",$A193,"Viaggio",$A$183))
-IF(ISERROR(GETPIVOTDATA("Somma di AVERE",'Pivot Revolut'!$A$3,"Mese",4,"Tipologia",$A193,"Viaggio",$A$183)),0,GETPIVOTDATA("Somma di AVERE",'Pivot Revolut'!$A$3,"Mese",4,"Tipologia",$A193,"Viaggio",$A$183))
+IF(ISERROR(GETPIVOTDATA("Somma di DARE",'Pivot RakBank EUR'!$A$3,"Mese",4,"Tipologia",$A193,"Viaggio",$A$183)),0,GETPIVOTDATA("Somma di DARE",'Pivot RakBank EUR'!$A$3,"Mese",4,"Tipologia",$A193,"Viaggio",$A$183))
-IF(ISERROR(GETPIVOTDATA("Somma di AVERE",'Pivot RakBank EUR'!$A$3,"Mese",4,"Tipologia",$A193,"Viaggio",$A$183)),0,GETPIVOTDATA("Somma di AVERE",'Pivot RakBank EUR'!$A$3,"Mese",4,"Tipologia",$A193,"Viaggio",$A$183))
+IF(ISERROR(GETPIVOTDATA("Somma di DARE EUR",'Pivot RakBank AED'!$A$3,"Mese",4,"Tipologia",$A193,"Viaggio",$A$183)),0,GETPIVOTDATA("Somma di DARE EUR",'Pivot RakBank AED'!$A$3,"Mese",4,"Tipologia",$A193,"Viaggio",$A$183))
-IF(ISERROR(GETPIVOTDATA("Somma di AVERE EUR",'Pivot RakBank AED'!$A$3,"Mese",4,"Tipologia",$A193,"Viaggio",$A$183)),0,GETPIVOTDATA("Somma di AVERE EUR",'Pivot RakBank AED'!$A$3,"Mese",4,"Tipologia",$A193,"Viaggio",$A$183))</f>
        <v>0</v>
      </c>
      <c r="G193" s="270">
        <f>IF(ISERROR(GETPIVOTDATA("Somma di DARE",'Pivot Fineco Sa'!$A$3,"Mese",5,"Tipologia",$A193,"Viaggio",$A$183)),0,GETPIVOTDATA("Somma di DARE",'Pivot Fineco Sa'!$A$3,"Mese",5,"Tipologia",$A193,"Viaggio",$A$183))
+IF(ISERROR(GETPIVOTDATA("Somma di DARE",'Pivot Fineco St'!$A$3,"Mese",5,"Tipologia",$A193,"Viaggio",$A$183)),0,GETPIVOTDATA("Somma di DARE",'Pivot Fineco St'!$A$3,"Mese",5,"Tipologia",$A193,"Viaggio",$A$183))
+IF(Contanti!$U48='Conto Economico'!$A$183,Contanti!$R48)
+IF(ISERROR(GETPIVOTDATA("Somma di DARE",'Pivot BBVA'!$A$3,"Mese",5,"Tipologia",$A193,"Viaggio",$A$183)),0,GETPIVOTDATA("Somma di DARE",'Pivot BBVA'!$A$3,"Mese",5,"Tipologia",$A193,"Viaggio",$A$183))
+IF(ISERROR(GETPIVOTDATA("Somma di DARE",'Pivot Amex'!$A$3,"Mese",5,"Tipologia",$A193,"Viaggio",$A$183)),0,GETPIVOTDATA("Somma di DARE",'Pivot Amex'!$A$3,"Mese",5,"Tipologia",$A193,"Viaggio",$A$183))
-IF(ISERROR(GETPIVOTDATA("Somma di AVERE",'Pivot Amex'!$A$3,"Mese",5,"Tipologia",$A193,"Viaggio",$A$183)),0,GETPIVOTDATA("Somma di AVERE",'Pivot Amex'!$A$3,"Mese",5,"Tipologia",$A193,"Viaggio",$A$183))
-IF(ISERROR(GETPIVOTDATA("Somma di AVERE",'Pivot BBVA'!$A$3,"Mese",5,"Tipologia",$A193,"Viaggio",$A$183)),0,GETPIVOTDATA("Somma di AVERE",'Pivot BBVA'!$A$3,"Mese",5,"Tipologia",$A193,"Viaggio",$A$183))
-IF(ISERROR(GETPIVOTDATA("Somma di AVERE",'Pivot Fineco St'!$A$3,"Mese",5,"Tipologia",$A193,"Viaggio",$A$183)),0,GETPIVOTDATA("Somma di AVERE",'Pivot Fineco St'!$A$3,"Mese",5,"Tipologia",$A193,"Viaggio",$A$183))
-IF(ISERROR(GETPIVOTDATA("Somma di AVERE",'Pivot Fineco Sa'!$A$3,"Mese",5,"Tipologia",$A193,"Viaggio",$A$183)),0,GETPIVOTDATA("Somma di AVERE",'Pivot Fineco Sa'!$A$3,"Mese",5,"Tipologia",$A193,"Viaggio",$A$183))
+IF(ISERROR(GETPIVOTDATA("Somma di DARE",'Pivot PP Visa'!$A$3,"Mese",5,"Tipologia",$A193,"Viaggio",$A$183)),0,GETPIVOTDATA("Somma di DARE",'Pivot PP Visa'!$A$3,"Mese",5,"Tipologia",$A193,"Viaggio",$A$183))
-IF(ISERROR(GETPIVOTDATA("Somma di AVERE",'Pivot PP Visa'!$A$3,"Mese",5,"Tipologia",$A193,"Viaggio",$A$183)),0,GETPIVOTDATA("Somma di AVERE",'Pivot PP Visa'!$A$3,"Mese",5,"Tipologia",$A193,"Viaggio",$A$183))
+IF(ISERROR(GETPIVOTDATA("Somma di DARE",'Pivot Revolut'!$A$3,"Mese",5,"Tipologia",$A193,"Viaggio",$A$183)),0,GETPIVOTDATA("Somma di DARE",'Pivot Revolut'!$A$3,"Mese",5,"Tipologia",$A193,"Viaggio",$A$183))
-IF(ISERROR(GETPIVOTDATA("Somma di AVERE",'Pivot Revolut'!$A$3,"Mese",5,"Tipologia",$A193,"Viaggio",$A$183)),0,GETPIVOTDATA("Somma di AVERE",'Pivot Revolut'!$A$3,"Mese",5,"Tipologia",$A193,"Viaggio",$A$183))
+IF(ISERROR(GETPIVOTDATA("Somma di DARE",'Pivot RakBank EUR'!$A$3,"Mese",5,"Tipologia",$A193,"Viaggio",$A$183)),0,GETPIVOTDATA("Somma di DARE",'Pivot RakBank EUR'!$A$3,"Mese",5,"Tipologia",$A193,"Viaggio",$A$183))
-IF(ISERROR(GETPIVOTDATA("Somma di AVERE",'Pivot RakBank EUR'!$A$3,"Mese",5,"Tipologia",$A193,"Viaggio",$A$183)),0,GETPIVOTDATA("Somma di AVERE",'Pivot RakBank EUR'!$A$3,"Mese",5,"Tipologia",$A193,"Viaggio",$A$183))
+IF(ISERROR(GETPIVOTDATA("Somma di DARE EUR",'Pivot RakBank AED'!$A$3,"Mese",5,"Tipologia",$A193,"Viaggio",$A$183)),0,GETPIVOTDATA("Somma di DARE EUR",'Pivot RakBank AED'!$A$3,"Mese",5,"Tipologia",$A193,"Viaggio",$A$183))
-IF(ISERROR(GETPIVOTDATA("Somma di AVERE EUR",'Pivot RakBank AED'!$A$3,"Mese",5,"Tipologia",$A193,"Viaggio",$A$183)),0,GETPIVOTDATA("Somma di AVERE EUR",'Pivot RakBank AED'!$A$3,"Mese",5,"Tipologia",$A193,"Viaggio",$A$183))</f>
        <v>0</v>
      </c>
      <c r="H193" s="270">
        <f>IF(ISERROR(GETPIVOTDATA("Somma di DARE",'Pivot Fineco Sa'!$A$3,"Mese",6,"Tipologia",$A193,"Viaggio",$A$183)),0,GETPIVOTDATA("Somma di DARE",'Pivot Fineco Sa'!$A$3,"Mese",6,"Tipologia",$A193,"Viaggio",$A$183))
+IF(ISERROR(GETPIVOTDATA("Somma di DARE",'Pivot Fineco St'!$A$3,"Mese",6,"Tipologia",$A193,"Viaggio",$A$183)),0,GETPIVOTDATA("Somma di DARE",'Pivot Fineco St'!$A$3,"Mese",6,"Tipologia",$A193,"Viaggio",$A$183))
+IF(Contanti!$Y48='Conto Economico'!$A$183,Contanti!$V48)
+IF(ISERROR(GETPIVOTDATA("Somma di DARE",'Pivot BBVA'!$A$3,"Mese",6,"Tipologia",$A193,"Viaggio",$A$183)),0,GETPIVOTDATA("Somma di DARE",'Pivot BBVA'!$A$3,"Mese",6,"Tipologia",$A193,"Viaggio",$A$183))
+IF(ISERROR(GETPIVOTDATA("Somma di DARE",'Pivot Amex'!$A$3,"Mese",6,"Tipologia",$A193,"Viaggio",$A$183)),0,GETPIVOTDATA("Somma di DARE",'Pivot Amex'!$A$3,"Mese",6,"Tipologia",$A193,"Viaggio",$A$183))
-IF(ISERROR(GETPIVOTDATA("Somma di AVERE",'Pivot Amex'!$A$3,"Mese",6,"Tipologia",$A193,"Viaggio",$A$183)),0,GETPIVOTDATA("Somma di AVERE",'Pivot Amex'!$A$3,"Mese",6,"Tipologia",$A193,"Viaggio",$A$183))
-IF(ISERROR(GETPIVOTDATA("Somma di AVERE",'Pivot BBVA'!$A$3,"Mese",6,"Tipologia",$A193,"Viaggio",$A$183)),0,GETPIVOTDATA("Somma di AVERE",'Pivot BBVA'!$A$3,"Mese",6,"Tipologia",$A193,"Viaggio",$A$183))
-IF(ISERROR(GETPIVOTDATA("Somma di AVERE",'Pivot Fineco St'!$A$3,"Mese",6,"Tipologia",$A193,"Viaggio",$A$183)),0,GETPIVOTDATA("Somma di AVERE",'Pivot Fineco St'!$A$3,"Mese",6,"Tipologia",$A193,"Viaggio",$A$183))
-IF(ISERROR(GETPIVOTDATA("Somma di AVERE",'Pivot Fineco Sa'!$A$3,"Mese",6,"Tipologia",$A193,"Viaggio",$A$183)),0,GETPIVOTDATA("Somma di AVERE",'Pivot Fineco Sa'!$A$3,"Mese",6,"Tipologia",$A193,"Viaggio",$A$183))
+IF(ISERROR(GETPIVOTDATA("Somma di DARE",'Pivot PP Visa'!$A$3,"Mese",6,"Tipologia",$A193,"Viaggio",$A$183)),0,GETPIVOTDATA("Somma di DARE",'Pivot PP Visa'!$A$3,"Mese",6,"Tipologia",$A193,"Viaggio",$A$183))
-IF(ISERROR(GETPIVOTDATA("Somma di AVERE",'Pivot PP Visa'!$A$3,"Mese",6,"Tipologia",$A193,"Viaggio",$A$183)),0,GETPIVOTDATA("Somma di AVERE",'Pivot PP Visa'!$A$3,"Mese",6,"Tipologia",$A193,"Viaggio",$A$183))
+IF(ISERROR(GETPIVOTDATA("Somma di DARE",'Pivot Revolut'!$A$3,"Mese",6,"Tipologia",$A193,"Viaggio",$A$183)),0,GETPIVOTDATA("Somma di DARE",'Pivot Revolut'!$A$3,"Mese",6,"Tipologia",$A193,"Viaggio",$A$183))
-IF(ISERROR(GETPIVOTDATA("Somma di AVERE",'Pivot Revolut'!$A$3,"Mese",6,"Tipologia",$A193,"Viaggio",$A$183)),0,GETPIVOTDATA("Somma di AVERE",'Pivot Revolut'!$A$3,"Mese",6,"Tipologia",$A193,"Viaggio",$A$183))
+IF(ISERROR(GETPIVOTDATA("Somma di DARE",'Pivot RakBank EUR'!$A$3,"Mese",6,"Tipologia",$A193,"Viaggio",$A$183)),0,GETPIVOTDATA("Somma di DARE",'Pivot RakBank EUR'!$A$3,"Mese",6,"Tipologia",$A193,"Viaggio",$A$183))
-IF(ISERROR(GETPIVOTDATA("Somma di AVERE",'Pivot RakBank EUR'!$A$3,"Mese",6,"Tipologia",$A193,"Viaggio",$A$183)),0,GETPIVOTDATA("Somma di AVERE",'Pivot RakBank EUR'!$A$3,"Mese",6,"Tipologia",$A193,"Viaggio",$A$183))
+IF(ISERROR(GETPIVOTDATA("Somma di DARE EUR",'Pivot RakBank AED'!$A$3,"Mese",6,"Tipologia",$A193,"Viaggio",$A$183)),0,GETPIVOTDATA("Somma di DARE EUR",'Pivot RakBank AED'!$A$3,"Mese",6,"Tipologia",$A193,"Viaggio",$A$183))
-IF(ISERROR(GETPIVOTDATA("Somma di AVERE EUR",'Pivot RakBank AED'!$A$3,"Mese",6,"Tipologia",$A193,"Viaggio",$A$183)),0,GETPIVOTDATA("Somma di AVERE EUR",'Pivot RakBank AED'!$A$3,"Mese",6,"Tipologia",$A193,"Viaggio",$A$183))</f>
        <v>0</v>
      </c>
      <c r="I193" s="270">
        <f>IF(ISERROR(GETPIVOTDATA("Somma di DARE",'Pivot Fineco Sa'!$A$3,"Mese",7,"Tipologia",$A193,"Viaggio",$A$183)),0,GETPIVOTDATA("Somma di DARE",'Pivot Fineco Sa'!$A$3,"Mese",7,"Tipologia",$A193,"Viaggio",$A$183))
+IF(ISERROR(GETPIVOTDATA("Somma di DARE",'Pivot Fineco St'!$A$3,"Mese",7,"Tipologia",$A193,"Viaggio",$A$183)),0,GETPIVOTDATA("Somma di DARE",'Pivot Fineco St'!$A$3,"Mese",7,"Tipologia",$A193,"Viaggio",$A$183))
+IF(Contanti!$AC48='Conto Economico'!$A$183,Contanti!$Z48)
+IF(ISERROR(GETPIVOTDATA("Somma di DARE",'Pivot BBVA'!$A$3,"Mese",7,"Tipologia",$A193,"Viaggio",$A$183)),0,GETPIVOTDATA("Somma di DARE",'Pivot BBVA'!$A$3,"Mese",7,"Tipologia",$A193,"Viaggio",$A$183))
+IF(ISERROR(GETPIVOTDATA("Somma di DARE",'Pivot Amex'!$A$3,"Mese",7,"Tipologia",$A193,"Viaggio",$A$183)),0,GETPIVOTDATA("Somma di DARE",'Pivot Amex'!$A$3,"Mese",7,"Tipologia",$A193,"Viaggio",$A$183))
-IF(ISERROR(GETPIVOTDATA("Somma di AVERE",'Pivot Amex'!$A$3,"Mese",7,"Tipologia",$A193,"Viaggio",$A$183)),0,GETPIVOTDATA("Somma di AVERE",'Pivot Amex'!$A$3,"Mese",7,"Tipologia",$A193,"Viaggio",$A$183))
-IF(ISERROR(GETPIVOTDATA("Somma di AVERE",'Pivot BBVA'!$A$3,"Mese",7,"Tipologia",$A193,"Viaggio",$A$183)),0,GETPIVOTDATA("Somma di AVERE",'Pivot BBVA'!$A$3,"Mese",7,"Tipologia",$A193,"Viaggio",$A$183))
-IF(ISERROR(GETPIVOTDATA("Somma di AVERE",'Pivot Fineco St'!$A$3,"Mese",7,"Tipologia",$A193,"Viaggio",$A$183)),0,GETPIVOTDATA("Somma di AVERE",'Pivot Fineco St'!$A$3,"Mese",7,"Tipologia",$A193,"Viaggio",$A$183))
-IF(ISERROR(GETPIVOTDATA("Somma di AVERE",'Pivot Fineco Sa'!$A$3,"Mese",7,"Tipologia",$A193,"Viaggio",$A$183)),0,GETPIVOTDATA("Somma di AVERE",'Pivot Fineco Sa'!$A$3,"Mese",7,"Tipologia",$A193,"Viaggio",$A$183))
+IF(ISERROR(GETPIVOTDATA("Somma di DARE",'Pivot PP Visa'!$A$3,"Mese",7,"Tipologia",$A193,"Viaggio",$A$183)),0,GETPIVOTDATA("Somma di DARE",'Pivot PP Visa'!$A$3,"Mese",7,"Tipologia",$A193,"Viaggio",$A$183))
-IF(ISERROR(GETPIVOTDATA("Somma di AVERE",'Pivot PP Visa'!$A$3,"Mese",7,"Tipologia",$A193,"Viaggio",$A$183)),0,GETPIVOTDATA("Somma di AVERE",'Pivot PP Visa'!$A$3,"Mese",7,"Tipologia",$A193,"Viaggio",$A$183))
+IF(ISERROR(GETPIVOTDATA("Somma di DARE",'Pivot Revolut'!$A$3,"Mese",7,"Tipologia",$A193,"Viaggio",$A$183)),0,GETPIVOTDATA("Somma di DARE",'Pivot Revolut'!$A$3,"Mese",7,"Tipologia",$A193,"Viaggio",$A$183))
-IF(ISERROR(GETPIVOTDATA("Somma di AVERE",'Pivot Revolut'!$A$3,"Mese",7,"Tipologia",$A193,"Viaggio",$A$183)),0,GETPIVOTDATA("Somma di AVERE",'Pivot Revolut'!$A$3,"Mese",7,"Tipologia",$A193,"Viaggio",$A$183))
+IF(ISERROR(GETPIVOTDATA("Somma di DARE",'Pivot RakBank EUR'!$A$3,"Mese",7,"Tipologia",$A193,"Viaggio",$A$183)),0,GETPIVOTDATA("Somma di DARE",'Pivot RakBank EUR'!$A$3,"Mese",7,"Tipologia",$A193,"Viaggio",$A$183))
-IF(ISERROR(GETPIVOTDATA("Somma di AVERE",'Pivot RakBank EUR'!$A$3,"Mese",7,"Tipologia",$A193,"Viaggio",$A$183)),0,GETPIVOTDATA("Somma di AVERE",'Pivot RakBank EUR'!$A$3,"Mese",7,"Tipologia",$A193,"Viaggio",$A$183))
+IF(ISERROR(GETPIVOTDATA("Somma di DARE EUR",'Pivot RakBank AED'!$A$3,"Mese",7,"Tipologia",$A193,"Viaggio",$A$183)),0,GETPIVOTDATA("Somma di DARE EUR",'Pivot RakBank AED'!$A$3,"Mese",7,"Tipologia",$A193,"Viaggio",$A$183))
-IF(ISERROR(GETPIVOTDATA("Somma di AVERE EUR",'Pivot RakBank AED'!$A$3,"Mese",7,"Tipologia",$A193,"Viaggio",$A$183)),0,GETPIVOTDATA("Somma di AVERE EUR",'Pivot RakBank AED'!$A$3,"Mese",7,"Tipologia",$A193,"Viaggio",$A$183))</f>
        <v>0</v>
      </c>
      <c r="J193" s="270">
        <f>IF(ISERROR(GETPIVOTDATA("Somma di DARE",'Pivot Fineco Sa'!$A$3,"Mese",8,"Tipologia",$A193,"Viaggio",$A$183)),0,GETPIVOTDATA("Somma di DARE",'Pivot Fineco Sa'!$A$3,"Mese",8,"Tipologia",$A193,"Viaggio",$A$183))
+IF(ISERROR(GETPIVOTDATA("Somma di DARE",'Pivot Fineco St'!$A$3,"Mese",8,"Tipologia",$A193,"Viaggio",$A$183)),0,GETPIVOTDATA("Somma di DARE",'Pivot Fineco St'!$A$3,"Mese",8,"Tipologia",$A193,"Viaggio",$A$183))
+IF(Contanti!$AG48='Conto Economico'!$A$183,Contanti!$AD48)
+IF(ISERROR(GETPIVOTDATA("Somma di DARE",'Pivot BBVA'!$A$3,"Mese",8,"Tipologia",$A193,"Viaggio",$A$183)),0,GETPIVOTDATA("Somma di DARE",'Pivot BBVA'!$A$3,"Mese",8,"Tipologia",$A193,"Viaggio",$A$183))
+IF(ISERROR(GETPIVOTDATA("Somma di DARE",'Pivot Amex'!$A$3,"Mese",8,"Tipologia",$A193,"Viaggio",$A$183)),0,GETPIVOTDATA("Somma di DARE",'Pivot Amex'!$A$3,"Mese",8,"Tipologia",$A193,"Viaggio",$A$183))
-IF(ISERROR(GETPIVOTDATA("Somma di AVERE",'Pivot Amex'!$A$3,"Mese",8,"Tipologia",$A193,"Viaggio",$A$183)),0,GETPIVOTDATA("Somma di AVERE",'Pivot Amex'!$A$3,"Mese",8,"Tipologia",$A193,"Viaggio",$A$183))
-IF(ISERROR(GETPIVOTDATA("Somma di AVERE",'Pivot BBVA'!$A$3,"Mese",8,"Tipologia",$A193,"Viaggio",$A$183)),0,GETPIVOTDATA("Somma di AVERE",'Pivot BBVA'!$A$3,"Mese",8,"Tipologia",$A193,"Viaggio",$A$183))
-IF(ISERROR(GETPIVOTDATA("Somma di AVERE",'Pivot Fineco St'!$A$3,"Mese",8,"Tipologia",$A193,"Viaggio",$A$183)),0,GETPIVOTDATA("Somma di AVERE",'Pivot Fineco St'!$A$3,"Mese",8,"Tipologia",$A193,"Viaggio",$A$183))
-IF(ISERROR(GETPIVOTDATA("Somma di AVERE",'Pivot Fineco Sa'!$A$3,"Mese",8,"Tipologia",$A193,"Viaggio",$A$183)),0,GETPIVOTDATA("Somma di AVERE",'Pivot Fineco Sa'!$A$3,"Mese",8,"Tipologia",$A193,"Viaggio",$A$183))
+IF(ISERROR(GETPIVOTDATA("Somma di DARE",'Pivot PP Visa'!$A$3,"Mese",8,"Tipologia",$A193,"Viaggio",$A$183)),0,GETPIVOTDATA("Somma di DARE",'Pivot PP Visa'!$A$3,"Mese",8,"Tipologia",$A193,"Viaggio",$A$183))
-IF(ISERROR(GETPIVOTDATA("Somma di AVERE",'Pivot PP Visa'!$A$3,"Mese",8,"Tipologia",$A193,"Viaggio",$A$183)),0,GETPIVOTDATA("Somma di AVERE",'Pivot PP Visa'!$A$3,"Mese",8,"Tipologia",$A193,"Viaggio",$A$183))
+IF(ISERROR(GETPIVOTDATA("Somma di DARE",'Pivot Revolut'!$A$3,"Mese",8,"Tipologia",$A193,"Viaggio",$A$183)),0,GETPIVOTDATA("Somma di DARE",'Pivot Revolut'!$A$3,"Mese",8,"Tipologia",$A193,"Viaggio",$A$183))
-IF(ISERROR(GETPIVOTDATA("Somma di AVERE",'Pivot Revolut'!$A$3,"Mese",8,"Tipologia",$A193,"Viaggio",$A$183)),0,GETPIVOTDATA("Somma di AVERE",'Pivot Revolut'!$A$3,"Mese",8,"Tipologia",$A193,"Viaggio",$A$183))
+IF(ISERROR(GETPIVOTDATA("Somma di DARE",'Pivot RakBank EUR'!$A$3,"Mese",8,"Tipologia",$A193,"Viaggio",$A$183)),0,GETPIVOTDATA("Somma di DARE",'Pivot RakBank EUR'!$A$3,"Mese",8,"Tipologia",$A193,"Viaggio",$A$183))
-IF(ISERROR(GETPIVOTDATA("Somma di AVERE",'Pivot RakBank EUR'!$A$3,"Mese",8,"Tipologia",$A193,"Viaggio",$A$183)),0,GETPIVOTDATA("Somma di AVERE",'Pivot RakBank EUR'!$A$3,"Mese",8,"Tipologia",$A193,"Viaggio",$A$183))
+IF(ISERROR(GETPIVOTDATA("Somma di DARE EUR",'Pivot RakBank AED'!$A$3,"Mese",8,"Tipologia",$A193,"Viaggio",$A$183)),0,GETPIVOTDATA("Somma di DARE EUR",'Pivot RakBank AED'!$A$3,"Mese",8,"Tipologia",$A193,"Viaggio",$A$183))
-IF(ISERROR(GETPIVOTDATA("Somma di AVERE EUR",'Pivot RakBank AED'!$A$3,"Mese",8,"Tipologia",$A193,"Viaggio",$A$183)),0,GETPIVOTDATA("Somma di AVERE EUR",'Pivot RakBank AED'!$A$3,"Mese",8,"Tipologia",$A193,"Viaggio",$A$183))</f>
        <v>0</v>
      </c>
      <c r="K193" s="270">
        <f>IF(ISERROR(GETPIVOTDATA("Somma di DARE",'Pivot Fineco Sa'!$A$3,"Mese",9,"Tipologia",$A193,"Viaggio",$A$183)),0,GETPIVOTDATA("Somma di DARE",'Pivot Fineco Sa'!$A$3,"Mese",9,"Tipologia",$A193,"Viaggio",$A$183))
+IF(ISERROR(GETPIVOTDATA("Somma di DARE",'Pivot Fineco St'!$A$3,"Mese",9,"Tipologia",$A193,"Viaggio",$A$183)),0,GETPIVOTDATA("Somma di DARE",'Pivot Fineco St'!$A$3,"Mese",9,"Tipologia",$A193,"Viaggio",$A$183))
+IF(Contanti!$AK48='Conto Economico'!$A$183,Contanti!$AH48)
+IF(ISERROR(GETPIVOTDATA("Somma di DARE",'Pivot BBVA'!$A$3,"Mese",9,"Tipologia",$A193,"Viaggio",$A$183)),0,GETPIVOTDATA("Somma di DARE",'Pivot BBVA'!$A$3,"Mese",9,"Tipologia",$A193,"Viaggio",$A$183))
+IF(ISERROR(GETPIVOTDATA("Somma di DARE",'Pivot Amex'!$A$3,"Mese",9,"Tipologia",$A193,"Viaggio",$A$183)),0,GETPIVOTDATA("Somma di DARE",'Pivot Amex'!$A$3,"Mese",9,"Tipologia",$A193,"Viaggio",$A$183))
-IF(ISERROR(GETPIVOTDATA("Somma di AVERE",'Pivot Amex'!$A$3,"Mese",9,"Tipologia",$A193,"Viaggio",$A$183)),0,GETPIVOTDATA("Somma di AVERE",'Pivot Amex'!$A$3,"Mese",9,"Tipologia",$A193,"Viaggio",$A$183))
-IF(ISERROR(GETPIVOTDATA("Somma di AVERE",'Pivot BBVA'!$A$3,"Mese",9,"Tipologia",$A193,"Viaggio",$A$183)),0,GETPIVOTDATA("Somma di AVERE",'Pivot BBVA'!$A$3,"Mese",9,"Tipologia",$A193,"Viaggio",$A$183))
-IF(ISERROR(GETPIVOTDATA("Somma di AVERE",'Pivot Fineco St'!$A$3,"Mese",9,"Tipologia",$A193,"Viaggio",$A$183)),0,GETPIVOTDATA("Somma di AVERE",'Pivot Fineco St'!$A$3,"Mese",9,"Tipologia",$A193,"Viaggio",$A$183))
-IF(ISERROR(GETPIVOTDATA("Somma di AVERE",'Pivot Fineco Sa'!$A$3,"Mese",9,"Tipologia",$A193,"Viaggio",$A$183)),0,GETPIVOTDATA("Somma di AVERE",'Pivot Fineco Sa'!$A$3,"Mese",9,"Tipologia",$A193,"Viaggio",$A$183))
+IF(ISERROR(GETPIVOTDATA("Somma di DARE",'Pivot PP Visa'!$A$3,"Mese",9,"Tipologia",$A193,"Viaggio",$A$183)),0,GETPIVOTDATA("Somma di DARE",'Pivot PP Visa'!$A$3,"Mese",9,"Tipologia",$A193,"Viaggio",$A$183))
-IF(ISERROR(GETPIVOTDATA("Somma di AVERE",'Pivot PP Visa'!$A$3,"Mese",9,"Tipologia",$A193,"Viaggio",$A$183)),0,GETPIVOTDATA("Somma di AVERE",'Pivot PP Visa'!$A$3,"Mese",9,"Tipologia",$A193,"Viaggio",$A$183))
+IF(ISERROR(GETPIVOTDATA("Somma di DARE",'Pivot Revolut'!$A$3,"Mese",9,"Tipologia",$A193,"Viaggio",$A$183)),0,GETPIVOTDATA("Somma di DARE",'Pivot Revolut'!$A$3,"Mese",9,"Tipologia",$A193,"Viaggio",$A$183))
-IF(ISERROR(GETPIVOTDATA("Somma di AVERE",'Pivot Revolut'!$A$3,"Mese",9,"Tipologia",$A193,"Viaggio",$A$183)),0,GETPIVOTDATA("Somma di AVERE",'Pivot Revolut'!$A$3,"Mese",9,"Tipologia",$A193,"Viaggio",$A$183))
+IF(ISERROR(GETPIVOTDATA("Somma di DARE",'Pivot RakBank EUR'!$A$3,"Mese",9,"Tipologia",$A193,"Viaggio",$A$183)),0,GETPIVOTDATA("Somma di DARE",'Pivot RakBank EUR'!$A$3,"Mese",9,"Tipologia",$A193,"Viaggio",$A$183))
-IF(ISERROR(GETPIVOTDATA("Somma di AVERE",'Pivot RakBank EUR'!$A$3,"Mese",9,"Tipologia",$A193,"Viaggio",$A$183)),0,GETPIVOTDATA("Somma di AVERE",'Pivot RakBank EUR'!$A$3,"Mese",9,"Tipologia",$A193,"Viaggio",$A$183))
+IF(ISERROR(GETPIVOTDATA("Somma di DARE EUR",'Pivot RakBank AED'!$A$3,"Mese",9,"Tipologia",$A193,"Viaggio",$A$183)),0,GETPIVOTDATA("Somma di DARE EUR",'Pivot RakBank AED'!$A$3,"Mese",9,"Tipologia",$A193,"Viaggio",$A$183))
-IF(ISERROR(GETPIVOTDATA("Somma di AVERE EUR",'Pivot RakBank AED'!$A$3,"Mese",9,"Tipologia",$A193,"Viaggio",$A$183)),0,GETPIVOTDATA("Somma di AVERE EUR",'Pivot RakBank AED'!$A$3,"Mese",9,"Tipologia",$A193,"Viaggio",$A$183))</f>
        <v>0</v>
      </c>
      <c r="L193" s="270">
        <f>IF(ISERROR(GETPIVOTDATA("Somma di DARE",'Pivot Fineco Sa'!$A$3,"Mese",10,"Tipologia",$A193,"Viaggio",$A$183)),0,GETPIVOTDATA("Somma di DARE",'Pivot Fineco Sa'!$A$3,"Mese",10,"Tipologia",$A193,"Viaggio",$A$183))
+IF(ISERROR(GETPIVOTDATA("Somma di DARE",'Pivot Fineco St'!$A$3,"Mese",10,"Tipologia",$A193,"Viaggio",$A$183)),0,GETPIVOTDATA("Somma di DARE",'Pivot Fineco St'!$A$3,"Mese",10,"Tipologia",$A193,"Viaggio",$A$183))
+IF(Contanti!$AO48='Conto Economico'!$A$183,Contanti!$AL48)
+IF(ISERROR(GETPIVOTDATA("Somma di DARE",'Pivot BBVA'!$A$3,"Mese",10,"Tipologia",$A193,"Viaggio",$A$183)),0,GETPIVOTDATA("Somma di DARE",'Pivot BBVA'!$A$3,"Mese",10,"Tipologia",$A193,"Viaggio",$A$183))
+IF(ISERROR(GETPIVOTDATA("Somma di DARE",'Pivot Amex'!$A$3,"Mese",10,"Tipologia",$A193,"Viaggio",$A$183)),0,GETPIVOTDATA("Somma di DARE",'Pivot Amex'!$A$3,"Mese",10,"Tipologia",$A193,"Viaggio",$A$183))
-IF(ISERROR(GETPIVOTDATA("Somma di AVERE",'Pivot Amex'!$A$3,"Mese",10,"Tipologia",$A193,"Viaggio",$A$183)),0,GETPIVOTDATA("Somma di AVERE",'Pivot Amex'!$A$3,"Mese",10,"Tipologia",$A193,"Viaggio",$A$183))
-IF(ISERROR(GETPIVOTDATA("Somma di AVERE",'Pivot BBVA'!$A$3,"Mese",10,"Tipologia",$A193,"Viaggio",$A$183)),0,GETPIVOTDATA("Somma di AVERE",'Pivot BBVA'!$A$3,"Mese",10,"Tipologia",$A193,"Viaggio",$A$183))
-IF(ISERROR(GETPIVOTDATA("Somma di AVERE",'Pivot Fineco St'!$A$3,"Mese",10,"Tipologia",$A193,"Viaggio",$A$183)),0,GETPIVOTDATA("Somma di AVERE",'Pivot Fineco St'!$A$3,"Mese",10,"Tipologia",$A193,"Viaggio",$A$183))
-IF(ISERROR(GETPIVOTDATA("Somma di AVERE",'Pivot Fineco Sa'!$A$3,"Mese",10,"Tipologia",$A193,"Viaggio",$A$183)),0,GETPIVOTDATA("Somma di AVERE",'Pivot Fineco Sa'!$A$3,"Mese",10,"Tipologia",$A193,"Viaggio",$A$183))
+IF(ISERROR(GETPIVOTDATA("Somma di DARE",'Pivot PP Visa'!$A$3,"Mese",10,"Tipologia",$A193,"Viaggio",$A$183)),0,GETPIVOTDATA("Somma di DARE",'Pivot PP Visa'!$A$3,"Mese",10,"Tipologia",$A193,"Viaggio",$A$183))
-IF(ISERROR(GETPIVOTDATA("Somma di AVERE",'Pivot PP Visa'!$A$3,"Mese",10,"Tipologia",$A193,"Viaggio",$A$183)),0,GETPIVOTDATA("Somma di AVERE",'Pivot PP Visa'!$A$3,"Mese",10,"Tipologia",$A193,"Viaggio",$A$183))
+IF(ISERROR(GETPIVOTDATA("Somma di DARE",'Pivot Revolut'!$A$3,"Mese",10,"Tipologia",$A193,"Viaggio",$A$183)),0,GETPIVOTDATA("Somma di DARE",'Pivot Revolut'!$A$3,"Mese",10,"Tipologia",$A193,"Viaggio",$A$183))
-IF(ISERROR(GETPIVOTDATA("Somma di AVERE",'Pivot Revolut'!$A$3,"Mese",10,"Tipologia",$A193,"Viaggio",$A$183)),0,GETPIVOTDATA("Somma di AVERE",'Pivot Revolut'!$A$3,"Mese",10,"Tipologia",$A193,"Viaggio",$A$183))
+IF(ISERROR(GETPIVOTDATA("Somma di DARE",'Pivot RakBank EUR'!$A$3,"Mese",10,"Tipologia",$A193,"Viaggio",$A$183)),0,GETPIVOTDATA("Somma di DARE",'Pivot RakBank EUR'!$A$3,"Mese",10,"Tipologia",$A193,"Viaggio",$A$183))
-IF(ISERROR(GETPIVOTDATA("Somma di AVERE",'Pivot RakBank EUR'!$A$3,"Mese",10,"Tipologia",$A193,"Viaggio",$A$183)),0,GETPIVOTDATA("Somma di AVERE",'Pivot RakBank EUR'!$A$3,"Mese",10,"Tipologia",$A193,"Viaggio",$A$183))
+IF(ISERROR(GETPIVOTDATA("Somma di DARE EUR",'Pivot RakBank AED'!$A$3,"Mese",10,"Tipologia",$A193,"Viaggio",$A$183)),0,GETPIVOTDATA("Somma di DARE EUR",'Pivot RakBank AED'!$A$3,"Mese",10,"Tipologia",$A193,"Viaggio",$A$183))
-IF(ISERROR(GETPIVOTDATA("Somma di AVERE EUR",'Pivot RakBank AED'!$A$3,"Mese",10,"Tipologia",$A193,"Viaggio",$A$183)),0,GETPIVOTDATA("Somma di AVERE EUR",'Pivot RakBank AED'!$A$3,"Mese",10,"Tipologia",$A193,"Viaggio",$A$183))</f>
        <v>0</v>
      </c>
      <c r="M193" s="270">
        <f>IF(ISERROR(GETPIVOTDATA("Somma di DARE",'Pivot Fineco Sa'!$A$3,"Mese",11,"Tipologia",$A193,"Viaggio",$A$183)),0,GETPIVOTDATA("Somma di DARE",'Pivot Fineco Sa'!$A$3,"Mese",11,"Tipologia",$A193,"Viaggio",$A$183))
+IF(ISERROR(GETPIVOTDATA("Somma di DARE",'Pivot Fineco St'!$A$3,"Mese",11,"Tipologia",$A193,"Viaggio",$A$183)),0,GETPIVOTDATA("Somma di DARE",'Pivot Fineco St'!$A$3,"Mese",11,"Tipologia",$A193,"Viaggio",$A$183))
+IF(Contanti!$AS48='Conto Economico'!$A$183,Contanti!$AP48)
+IF(ISERROR(GETPIVOTDATA("Somma di DARE",'Pivot BBVA'!$A$3,"Mese",11,"Tipologia",$A193,"Viaggio",$A$183)),0,GETPIVOTDATA("Somma di DARE",'Pivot BBVA'!$A$3,"Mese",11,"Tipologia",$A193,"Viaggio",$A$183))
+IF(ISERROR(GETPIVOTDATA("Somma di DARE",'Pivot Amex'!$A$3,"Mese",11,"Tipologia",$A193,"Viaggio",$A$183)),0,GETPIVOTDATA("Somma di DARE",'Pivot Amex'!$A$3,"Mese",11,"Tipologia",$A193,"Viaggio",$A$183))
-IF(ISERROR(GETPIVOTDATA("Somma di AVERE",'Pivot Amex'!$A$3,"Mese",11,"Tipologia",$A193,"Viaggio",$A$183)),0,GETPIVOTDATA("Somma di AVERE",'Pivot Amex'!$A$3,"Mese",11,"Tipologia",$A193,"Viaggio",$A$183))
-IF(ISERROR(GETPIVOTDATA("Somma di AVERE",'Pivot BBVA'!$A$3,"Mese",11,"Tipologia",$A193,"Viaggio",$A$183)),0,GETPIVOTDATA("Somma di AVERE",'Pivot BBVA'!$A$3,"Mese",11,"Tipologia",$A193,"Viaggio",$A$183))
-IF(ISERROR(GETPIVOTDATA("Somma di AVERE",'Pivot Fineco St'!$A$3,"Mese",11,"Tipologia",$A193,"Viaggio",$A$183)),0,GETPIVOTDATA("Somma di AVERE",'Pivot Fineco St'!$A$3,"Mese",11,"Tipologia",$A193,"Viaggio",$A$183))
-IF(ISERROR(GETPIVOTDATA("Somma di AVERE",'Pivot Fineco Sa'!$A$3,"Mese",11,"Tipologia",$A193,"Viaggio",$A$183)),0,GETPIVOTDATA("Somma di AVERE",'Pivot Fineco Sa'!$A$3,"Mese",11,"Tipologia",$A193,"Viaggio",$A$183))
+IF(ISERROR(GETPIVOTDATA("Somma di DARE",'Pivot PP Visa'!$A$3,"Mese",11,"Tipologia",$A193,"Viaggio",$A$183)),0,GETPIVOTDATA("Somma di DARE",'Pivot PP Visa'!$A$3,"Mese",11,"Tipologia",$A193,"Viaggio",$A$183))
-IF(ISERROR(GETPIVOTDATA("Somma di AVERE",'Pivot PP Visa'!$A$3,"Mese",11,"Tipologia",$A193,"Viaggio",$A$183)),0,GETPIVOTDATA("Somma di AVERE",'Pivot PP Visa'!$A$3,"Mese",11,"Tipologia",$A193,"Viaggio",$A$183))
+IF(ISERROR(GETPIVOTDATA("Somma di DARE",'Pivot Revolut'!$A$3,"Mese",11,"Tipologia",$A193,"Viaggio",$A$183)),0,GETPIVOTDATA("Somma di DARE",'Pivot Revolut'!$A$3,"Mese",11,"Tipologia",$A193,"Viaggio",$A$183))
-IF(ISERROR(GETPIVOTDATA("Somma di AVERE",'Pivot Revolut'!$A$3,"Mese",11,"Tipologia",$A193,"Viaggio",$A$183)),0,GETPIVOTDATA("Somma di AVERE",'Pivot Revolut'!$A$3,"Mese",11,"Tipologia",$A193,"Viaggio",$A$183))
+IF(ISERROR(GETPIVOTDATA("Somma di DARE",'Pivot RakBank EUR'!$A$3,"Mese",11,"Tipologia",$A193,"Viaggio",$A$183)),0,GETPIVOTDATA("Somma di DARE",'Pivot RakBank EUR'!$A$3,"Mese",11,"Tipologia",$A193,"Viaggio",$A$183))
-IF(ISERROR(GETPIVOTDATA("Somma di AVERE",'Pivot RakBank EUR'!$A$3,"Mese",11,"Tipologia",$A193,"Viaggio",$A$183)),0,GETPIVOTDATA("Somma di AVERE",'Pivot RakBank EUR'!$A$3,"Mese",11,"Tipologia",$A193,"Viaggio",$A$183))
+IF(ISERROR(GETPIVOTDATA("Somma di DARE EUR",'Pivot RakBank AED'!$A$3,"Mese",11,"Tipologia",$A193,"Viaggio",$A$183)),0,GETPIVOTDATA("Somma di DARE EUR",'Pivot RakBank AED'!$A$3,"Mese",11,"Tipologia",$A193,"Viaggio",$A$183))
-IF(ISERROR(GETPIVOTDATA("Somma di AVERE EUR",'Pivot RakBank AED'!$A$3,"Mese",11,"Tipologia",$A193,"Viaggio",$A$183)),0,GETPIVOTDATA("Somma di AVERE EUR",'Pivot RakBank AED'!$A$3,"Mese",11,"Tipologia",$A193,"Viaggio",$A$183))</f>
        <v>0</v>
      </c>
      <c r="N193" s="270">
        <f>IF(ISERROR(GETPIVOTDATA("Somma di DARE",'Pivot Fineco Sa'!$A$3,"Mese",12,"Tipologia",$A193,"Viaggio",$A$183)),0,GETPIVOTDATA("Somma di DARE",'Pivot Fineco Sa'!$A$3,"Mese",12,"Tipologia",$A193,"Viaggio",$A$183))
+IF(ISERROR(GETPIVOTDATA("Somma di DARE",'Pivot Fineco St'!$A$3,"Mese",12,"Tipologia",$A193,"Viaggio",$A$183)),0,GETPIVOTDATA("Somma di DARE",'Pivot Fineco St'!$A$3,"Mese",12,"Tipologia",$A193,"Viaggio",$A$183))
+IF(Contanti!$AW48='Conto Economico'!$A$183,Contanti!$AT48)
+IF(ISERROR(GETPIVOTDATA("Somma di DARE",'Pivot BBVA'!$A$3,"Mese",12,"Tipologia",$A193,"Viaggio",$A$183)),0,GETPIVOTDATA("Somma di DARE",'Pivot BBVA'!$A$3,"Mese",12,"Tipologia",$A193,"Viaggio",$A$183))
+IF(ISERROR(GETPIVOTDATA("Somma di DARE",'Pivot Amex'!$A$3,"Mese",12,"Tipologia",$A193,"Viaggio",$A$183)),0,GETPIVOTDATA("Somma di DARE",'Pivot Amex'!$A$3,"Mese",12,"Tipologia",$A193,"Viaggio",$A$183))
-IF(ISERROR(GETPIVOTDATA("Somma di AVERE",'Pivot Amex'!$A$3,"Mese",12,"Tipologia",$A193,"Viaggio",$A$183)),0,GETPIVOTDATA("Somma di AVERE",'Pivot Amex'!$A$3,"Mese",12,"Tipologia",$A193,"Viaggio",$A$183))
-IF(ISERROR(GETPIVOTDATA("Somma di AVERE",'Pivot BBVA'!$A$3,"Mese",12,"Tipologia",$A193,"Viaggio",$A$183)),0,GETPIVOTDATA("Somma di AVERE",'Pivot BBVA'!$A$3,"Mese",12,"Tipologia",$A193,"Viaggio",$A$183))
-IF(ISERROR(GETPIVOTDATA("Somma di AVERE",'Pivot Fineco St'!$A$3,"Mese",12,"Tipologia",$A193,"Viaggio",$A$183)),0,GETPIVOTDATA("Somma di AVERE",'Pivot Fineco St'!$A$3,"Mese",12,"Tipologia",$A193,"Viaggio",$A$183))
-IF(ISERROR(GETPIVOTDATA("Somma di AVERE",'Pivot Fineco Sa'!$A$3,"Mese",12,"Tipologia",$A193,"Viaggio",$A$183)),0,GETPIVOTDATA("Somma di AVERE",'Pivot Fineco Sa'!$A$3,"Mese",12,"Tipologia",$A193,"Viaggio",$A$183))
+IF(ISERROR(GETPIVOTDATA("Somma di DARE",'Pivot PP Visa'!$A$3,"Mese",12,"Tipologia",$A193,"Viaggio",$A$183)),0,GETPIVOTDATA("Somma di DARE",'Pivot PP Visa'!$A$3,"Mese",12,"Tipologia",$A193,"Viaggio",$A$183))
-IF(ISERROR(GETPIVOTDATA("Somma di AVERE",'Pivot PP Visa'!$A$3,"Mese",12,"Tipologia",$A193,"Viaggio",$A$183)),0,GETPIVOTDATA("Somma di AVERE",'Pivot PP Visa'!$A$3,"Mese",12,"Tipologia",$A193,"Viaggio",$A$183))
+IF(ISERROR(GETPIVOTDATA("Somma di DARE",'Pivot Revolut'!$A$3,"Mese",12,"Tipologia",$A193,"Viaggio",$A$183)),0,GETPIVOTDATA("Somma di DARE",'Pivot Revolut'!$A$3,"Mese",12,"Tipologia",$A193,"Viaggio",$A$183))
-IF(ISERROR(GETPIVOTDATA("Somma di AVERE",'Pivot Revolut'!$A$3,"Mese",12,"Tipologia",$A193,"Viaggio",$A$183)),0,GETPIVOTDATA("Somma di AVERE",'Pivot Revolut'!$A$3,"Mese",12,"Tipologia",$A193,"Viaggio",$A$183))
+IF(ISERROR(GETPIVOTDATA("Somma di DARE",'Pivot RakBank EUR'!$A$3,"Mese",12,"Tipologia",$A193,"Viaggio",$A$183)),0,GETPIVOTDATA("Somma di DARE",'Pivot RakBank EUR'!$A$3,"Mese",12,"Tipologia",$A193,"Viaggio",$A$183))
-IF(ISERROR(GETPIVOTDATA("Somma di AVERE",'Pivot RakBank EUR'!$A$3,"Mese",12,"Tipologia",$A193,"Viaggio",$A$183)),0,GETPIVOTDATA("Somma di AVERE",'Pivot RakBank EUR'!$A$3,"Mese",12,"Tipologia",$A193,"Viaggio",$A$183))
+IF(ISERROR(GETPIVOTDATA("Somma di DARE EUR",'Pivot RakBank AED'!$A$3,"Mese",12,"Tipologia",$A193,"Viaggio",$A$183)),0,GETPIVOTDATA("Somma di DARE EUR",'Pivot RakBank AED'!$A$3,"Mese",12,"Tipologia",$A193,"Viaggio",$A$183))
-IF(ISERROR(GETPIVOTDATA("Somma di AVERE EUR",'Pivot RakBank AED'!$A$3,"Mese",12,"Tipologia",$A193,"Viaggio",$A$183)),0,GETPIVOTDATA("Somma di AVERE EUR",'Pivot RakBank AED'!$A$3,"Mese",12,"Tipologia",$A193,"Viaggio",$A$183))</f>
        <v>0</v>
      </c>
      <c r="O193" s="271">
        <f t="shared" si="25"/>
        <v>0</v>
      </c>
      <c r="P193" s="270"/>
    </row>
    <row r="194" spans="1:16" s="131" customFormat="1" ht="14" outlineLevel="1" x14ac:dyDescent="0.2">
      <c r="A194" s="269" t="s">
        <v>102</v>
      </c>
      <c r="B194" s="269"/>
      <c r="C194" s="270">
        <f>IF(ISERROR(GETPIVOTDATA("Somma di DARE",'Pivot Fineco Sa'!$A$3,"Mese",1,"Tipologia",$A194,"Viaggio",$A$183)),0,GETPIVOTDATA("Somma di DARE",'Pivot Fineco Sa'!$A$3,"Mese",1,"Tipologia",$A194,"Viaggio",$A$183))
+IF(ISERROR(GETPIVOTDATA("Somma di DARE",'Pivot Fineco St'!$A$3,"Mese",1,"Tipologia",$A194,"Viaggio",$A$183)),0,GETPIVOTDATA("Somma di DARE",'Pivot Fineco St'!$A$3,"Mese",1,"Tipologia",$A194,"Viaggio",$A$183))
+IF(Contanti!$E49='Conto Economico'!$A$183,Contanti!$B49)
+IF(ISERROR(GETPIVOTDATA("Somma di DARE",'Pivot BBVA'!$A$3,"Mese",1,"Tipologia",$A194,"Viaggio",$A$183)),0,GETPIVOTDATA("Somma di DARE",'Pivot BBVA'!$A$3,"Mese",1,"Tipologia",$A194,"Viaggio",$A$183))
+IF(ISERROR(GETPIVOTDATA("Somma di DARE",'Pivot Amex'!$A$3,"Mese",1,"Tipologia",$A194,"Viaggio",$A$183)),0,GETPIVOTDATA("Somma di DARE",'Pivot Amex'!$A$3,"Mese",1,"Tipologia",$A194,"Viaggio",$A$183))
-IF(ISERROR(GETPIVOTDATA("Somma di AVERE",'Pivot Amex'!$A$3,"Mese",1,"Tipologia",$A194,"Viaggio",$A$183)),0,GETPIVOTDATA("Somma di AVERE",'Pivot Amex'!$A$3,"Mese",1,"Tipologia",$A194,"Viaggio",$A$183))
-IF(ISERROR(GETPIVOTDATA("Somma di AVERE",'Pivot BBVA'!$A$3,"Mese",1,"Tipologia",$A194,"Viaggio",$A$183)),0,GETPIVOTDATA("Somma di AVERE",'Pivot BBVA'!$A$3,"Mese",1,"Tipologia",$A194,"Viaggio",$A$183))
-IF(ISERROR(GETPIVOTDATA("Somma di AVERE",'Pivot Fineco St'!$A$3,"Mese",1,"Tipologia",$A194,"Viaggio",$A$183)),0,GETPIVOTDATA("Somma di AVERE",'Pivot Fineco St'!$A$3,"Mese",1,"Tipologia",$A194,"Viaggio",$A$183))
-IF(ISERROR(GETPIVOTDATA("Somma di AVERE",'Pivot Fineco Sa'!$A$3,"Mese",1,"Tipologia",$A194,"Viaggio",$A$183)),0,GETPIVOTDATA("Somma di AVERE",'Pivot Fineco Sa'!$A$3,"Mese",1,"Tipologia",$A194,"Viaggio",$A$183))
+IF(ISERROR(GETPIVOTDATA("Somma di DARE",'Pivot PP Visa'!$A$3,"Mese",1,"Tipologia",$A194,"Viaggio",$A$183)),0,GETPIVOTDATA("Somma di DARE",'Pivot PP Visa'!$A$3,"Mese",1,"Tipologia",$A194,"Viaggio",$A$183))
-IF(ISERROR(GETPIVOTDATA("Somma di AVERE",'Pivot PP Visa'!$A$3,"Mese",1,"Tipologia",$A194,"Viaggio",$A$183)),0,GETPIVOTDATA("Somma di AVERE",'Pivot PP Visa'!$A$3,"Mese",1,"Tipologia",$A194,"Viaggio",$A$183))
+IF(ISERROR(GETPIVOTDATA("Somma di DARE",'Pivot Revolut'!$A$3,"Mese",1,"Tipologia",$A194,"Viaggio",$A$183)),0,GETPIVOTDATA("Somma di DARE",'Pivot Revolut'!$A$3,"Mese",1,"Tipologia",$A194,"Viaggio",$A$183))
-IF(ISERROR(GETPIVOTDATA("Somma di AVERE",'Pivot Revolut'!$A$3,"Mese",1,"Tipologia",$A194,"Viaggio",$A$183)),0,GETPIVOTDATA("Somma di AVERE",'Pivot Revolut'!$A$3,"Mese",1,"Tipologia",$A194,"Viaggio",$A$183))
+IF(ISERROR(GETPIVOTDATA("Somma di DARE",'Pivot RakBank EUR'!$A$3,"Mese",1,"Tipologia",$A194,"Viaggio",$A$183)),0,GETPIVOTDATA("Somma di DARE",'Pivot RakBank EUR'!$A$3,"Mese",1,"Tipologia",$A194,"Viaggio",$A$183))
-IF(ISERROR(GETPIVOTDATA("Somma di AVERE",'Pivot RakBank EUR'!$A$3,"Mese",1,"Tipologia",$A194,"Viaggio",$A$183)),0,GETPIVOTDATA("Somma di AVERE",'Pivot RakBank EUR'!$A$3,"Mese",1,"Tipologia",$A194,"Viaggio",$A$183))
+IF(ISERROR(GETPIVOTDATA("Somma di DARE EUR",'Pivot RakBank AED'!$A$3,"Mese",1,"Tipologia",$A194,"Viaggio",$A$183)),0,GETPIVOTDATA("Somma di DARE EUR",'Pivot RakBank AED'!$A$3,"Mese",1,"Tipologia",$A194,"Viaggio",$A$183))
-IF(ISERROR(GETPIVOTDATA("Somma di AVERE EUR",'Pivot RakBank AED'!$A$3,"Mese",1,"Tipologia",$A194,"Viaggio",$A$183)),0,GETPIVOTDATA("Somma di AVERE EUR",'Pivot RakBank AED'!$A$3,"Mese",1,"Tipologia",$A194,"Viaggio",$A$183))</f>
        <v>0</v>
      </c>
      <c r="D194" s="270">
        <f>IF(ISERROR(GETPIVOTDATA("Somma di DARE",'Pivot Fineco Sa'!$A$3,"Mese",2,"Tipologia",$A194,"Viaggio",$A$183)),0,GETPIVOTDATA("Somma di DARE",'Pivot Fineco Sa'!$A$3,"Mese",2,"Tipologia",$A194,"Viaggio",$A$183))
+IF(ISERROR(GETPIVOTDATA("Somma di DARE",'Pivot Fineco St'!$A$3,"Mese",2,"Tipologia",$A194,"Viaggio",$A$183)),0,GETPIVOTDATA("Somma di DARE",'Pivot Fineco St'!$A$3,"Mese",2,"Tipologia",$A194,"Viaggio",$A$183))
+IF(Contanti!$I49='Conto Economico'!$A$183,Contanti!$F49)
+IF(ISERROR(GETPIVOTDATA("Somma di DARE",'Pivot BBVA'!$A$3,"Mese",2,"Tipologia",$A194,"Viaggio",$A$183)),0,GETPIVOTDATA("Somma di DARE",'Pivot BBVA'!$A$3,"Mese",2,"Tipologia",$A194,"Viaggio",$A$183))
+IF(ISERROR(GETPIVOTDATA("Somma di DARE",'Pivot Amex'!$A$3,"Mese",2,"Tipologia",$A194,"Viaggio",$A$183)),0,GETPIVOTDATA("Somma di DARE",'Pivot Amex'!$A$3,"Mese",2,"Tipologia",$A194,"Viaggio",$A$183))
-IF(ISERROR(GETPIVOTDATA("Somma di AVERE",'Pivot Amex'!$A$3,"Mese",2,"Tipologia",$A194,"Viaggio",$A$183)),0,GETPIVOTDATA("Somma di AVERE",'Pivot Amex'!$A$3,"Mese",2,"Tipologia",$A194,"Viaggio",$A$183))
-IF(ISERROR(GETPIVOTDATA("Somma di AVERE",'Pivot BBVA'!$A$3,"Mese",2,"Tipologia",$A194,"Viaggio",$A$183)),0,GETPIVOTDATA("Somma di AVERE",'Pivot BBVA'!$A$3,"Mese",2,"Tipologia",$A194,"Viaggio",$A$183))
-IF(ISERROR(GETPIVOTDATA("Somma di AVERE",'Pivot Fineco St'!$A$3,"Mese",2,"Tipologia",$A194,"Viaggio",$A$183)),0,GETPIVOTDATA("Somma di AVERE",'Pivot Fineco St'!$A$3,"Mese",2,"Tipologia",$A194,"Viaggio",$A$183))
-IF(ISERROR(GETPIVOTDATA("Somma di AVERE",'Pivot Fineco Sa'!$A$3,"Mese",2,"Tipologia",$A194,"Viaggio",$A$183)),0,GETPIVOTDATA("Somma di AVERE",'Pivot Fineco Sa'!$A$3,"Mese",2,"Tipologia",$A194,"Viaggio",$A$183))
+IF(ISERROR(GETPIVOTDATA("Somma di DARE",'Pivot PP Visa'!$A$3,"Mese",2,"Tipologia",$A194,"Viaggio",$A$183)),0,GETPIVOTDATA("Somma di DARE",'Pivot PP Visa'!$A$3,"Mese",2,"Tipologia",$A194,"Viaggio",$A$183))
-IF(ISERROR(GETPIVOTDATA("Somma di AVERE",'Pivot PP Visa'!$A$3,"Mese",2,"Tipologia",$A194,"Viaggio",$A$183)),0,GETPIVOTDATA("Somma di AVERE",'Pivot PP Visa'!$A$3,"Mese",2,"Tipologia",$A194,"Viaggio",$A$183))
+IF(ISERROR(GETPIVOTDATA("Somma di DARE",'Pivot Revolut'!$A$3,"Mese",2,"Tipologia",$A194,"Viaggio",$A$183)),0,GETPIVOTDATA("Somma di DARE",'Pivot Revolut'!$A$3,"Mese",2,"Tipologia",$A194,"Viaggio",$A$183))
-IF(ISERROR(GETPIVOTDATA("Somma di AVERE",'Pivot Revolut'!$A$3,"Mese",2,"Tipologia",$A194,"Viaggio",$A$183)),0,GETPIVOTDATA("Somma di AVERE",'Pivot Revolut'!$A$3,"Mese",2,"Tipologia",$A194,"Viaggio",$A$183))
+IF(ISERROR(GETPIVOTDATA("Somma di DARE",'Pivot RakBank EUR'!$A$3,"Mese",2,"Tipologia",$A194,"Viaggio",$A$183)),0,GETPIVOTDATA("Somma di DARE",'Pivot RakBank EUR'!$A$3,"Mese",2,"Tipologia",$A194,"Viaggio",$A$183))
-IF(ISERROR(GETPIVOTDATA("Somma di AVERE",'Pivot RakBank EUR'!$A$3,"Mese",2,"Tipologia",$A194,"Viaggio",$A$183)),0,GETPIVOTDATA("Somma di AVERE",'Pivot RakBank EUR'!$A$3,"Mese",2,"Tipologia",$A194,"Viaggio",$A$183))
+IF(ISERROR(GETPIVOTDATA("Somma di DARE EUR",'Pivot RakBank AED'!$A$3,"Mese",2,"Tipologia",$A194,"Viaggio",$A$183)),0,GETPIVOTDATA("Somma di DARE EUR",'Pivot RakBank AED'!$A$3,"Mese",2,"Tipologia",$A194,"Viaggio",$A$183))
-IF(ISERROR(GETPIVOTDATA("Somma di AVERE EUR",'Pivot RakBank AED'!$A$3,"Mese",2,"Tipologia",$A194,"Viaggio",$A$183)),0,GETPIVOTDATA("Somma di AVERE EUR",'Pivot RakBank AED'!$A$3,"Mese",2,"Tipologia",$A194,"Viaggio",$A$183))</f>
        <v>0</v>
      </c>
      <c r="E194" s="270">
        <f>IF(ISERROR(GETPIVOTDATA("Somma di DARE",'Pivot Fineco Sa'!$A$3,"Mese",3,"Tipologia",$A194,"Viaggio",$A$183)),0,GETPIVOTDATA("Somma di DARE",'Pivot Fineco Sa'!$A$3,"Mese",3,"Tipologia",$A194,"Viaggio",$A$183))
+IF(ISERROR(GETPIVOTDATA("Somma di DARE",'Pivot Fineco St'!$A$3,"Mese",3,"Tipologia",$A194,"Viaggio",$A$183)),0,GETPIVOTDATA("Somma di DARE",'Pivot Fineco St'!$A$3,"Mese",3,"Tipologia",$A194,"Viaggio",$A$183))
+IF(Contanti!$M49='Conto Economico'!$A$183,Contanti!$J49)
+IF(ISERROR(GETPIVOTDATA("Somma di DARE",'Pivot BBVA'!$A$3,"Mese",3,"Tipologia",$A194,"Viaggio",$A$183)),0,GETPIVOTDATA("Somma di DARE",'Pivot BBVA'!$A$3,"Mese",3,"Tipologia",$A194,"Viaggio",$A$183))
+IF(ISERROR(GETPIVOTDATA("Somma di DARE",'Pivot Amex'!$A$3,"Mese",3,"Tipologia",$A194,"Viaggio",$A$183)),0,GETPIVOTDATA("Somma di DARE",'Pivot Amex'!$A$3,"Mese",3,"Tipologia",$A194,"Viaggio",$A$183))
-IF(ISERROR(GETPIVOTDATA("Somma di AVERE",'Pivot Amex'!$A$3,"Mese",3,"Tipologia",$A194,"Viaggio",$A$183)),0,GETPIVOTDATA("Somma di AVERE",'Pivot Amex'!$A$3,"Mese",3,"Tipologia",$A194,"Viaggio",$A$183))
-IF(ISERROR(GETPIVOTDATA("Somma di AVERE",'Pivot BBVA'!$A$3,"Mese",3,"Tipologia",$A194,"Viaggio",$A$183)),0,GETPIVOTDATA("Somma di AVERE",'Pivot BBVA'!$A$3,"Mese",3,"Tipologia",$A194,"Viaggio",$A$183))
-IF(ISERROR(GETPIVOTDATA("Somma di AVERE",'Pivot Fineco St'!$A$3,"Mese",3,"Tipologia",$A194,"Viaggio",$A$183)),0,GETPIVOTDATA("Somma di AVERE",'Pivot Fineco St'!$A$3,"Mese",3,"Tipologia",$A194,"Viaggio",$A$183))
-IF(ISERROR(GETPIVOTDATA("Somma di AVERE",'Pivot Fineco Sa'!$A$3,"Mese",3,"Tipologia",$A194,"Viaggio",$A$183)),0,GETPIVOTDATA("Somma di AVERE",'Pivot Fineco Sa'!$A$3,"Mese",3,"Tipologia",$A194,"Viaggio",$A$183))
+IF(ISERROR(GETPIVOTDATA("Somma di DARE",'Pivot PP Visa'!$A$3,"Mese",3,"Tipologia",$A194,"Viaggio",$A$183)),0,GETPIVOTDATA("Somma di DARE",'Pivot PP Visa'!$A$3,"Mese",3,"Tipologia",$A194,"Viaggio",$A$183))
-IF(ISERROR(GETPIVOTDATA("Somma di AVERE",'Pivot PP Visa'!$A$3,"Mese",3,"Tipologia",$A194,"Viaggio",$A$183)),0,GETPIVOTDATA("Somma di AVERE",'Pivot PP Visa'!$A$3,"Mese",3,"Tipologia",$A194,"Viaggio",$A$183))
+IF(ISERROR(GETPIVOTDATA("Somma di DARE",'Pivot Revolut'!$A$3,"Mese",3,"Tipologia",$A194,"Viaggio",$A$183)),0,GETPIVOTDATA("Somma di DARE",'Pivot Revolut'!$A$3,"Mese",3,"Tipologia",$A194,"Viaggio",$A$183))
-IF(ISERROR(GETPIVOTDATA("Somma di AVERE",'Pivot Revolut'!$A$3,"Mese",3,"Tipologia",$A194,"Viaggio",$A$183)),0,GETPIVOTDATA("Somma di AVERE",'Pivot Revolut'!$A$3,"Mese",3,"Tipologia",$A194,"Viaggio",$A$183))
+IF(ISERROR(GETPIVOTDATA("Somma di DARE",'Pivot RakBank EUR'!$A$3,"Mese",3,"Tipologia",$A194,"Viaggio",$A$183)),0,GETPIVOTDATA("Somma di DARE",'Pivot RakBank EUR'!$A$3,"Mese",3,"Tipologia",$A194,"Viaggio",$A$183))
-IF(ISERROR(GETPIVOTDATA("Somma di AVERE",'Pivot RakBank EUR'!$A$3,"Mese",3,"Tipologia",$A194,"Viaggio",$A$183)),0,GETPIVOTDATA("Somma di AVERE",'Pivot RakBank EUR'!$A$3,"Mese",3,"Tipologia",$A194,"Viaggio",$A$183))
+IF(ISERROR(GETPIVOTDATA("Somma di DARE EUR",'Pivot RakBank AED'!$A$3,"Mese",3,"Tipologia",$A194,"Viaggio",$A$183)),0,GETPIVOTDATA("Somma di DARE EUR",'Pivot RakBank AED'!$A$3,"Mese",3,"Tipologia",$A194,"Viaggio",$A$183))
-IF(ISERROR(GETPIVOTDATA("Somma di AVERE EUR",'Pivot RakBank AED'!$A$3,"Mese",3,"Tipologia",$A194,"Viaggio",$A$183)),0,GETPIVOTDATA("Somma di AVERE EUR",'Pivot RakBank AED'!$A$3,"Mese",3,"Tipologia",$A194,"Viaggio",$A$183))</f>
        <v>0</v>
      </c>
      <c r="F194" s="270">
        <f>IF(ISERROR(GETPIVOTDATA("Somma di DARE",'Pivot Fineco Sa'!$A$3,"Mese",4,"Tipologia",$A194,"Viaggio",$A$183)),0,GETPIVOTDATA("Somma di DARE",'Pivot Fineco Sa'!$A$3,"Mese",4,"Tipologia",$A194,"Viaggio",$A$183))
+IF(ISERROR(GETPIVOTDATA("Somma di DARE",'Pivot Fineco St'!$A$3,"Mese",4,"Tipologia",$A194,"Viaggio",$A$183)),0,GETPIVOTDATA("Somma di DARE",'Pivot Fineco St'!$A$3,"Mese",4,"Tipologia",$A194,"Viaggio",$A$183))
+IF(Contanti!$Q49='Conto Economico'!$A$183,Contanti!$N49)
+IF(ISERROR(GETPIVOTDATA("Somma di DARE",'Pivot BBVA'!$A$3,"Mese",4,"Tipologia",$A194,"Viaggio",$A$183)),0,GETPIVOTDATA("Somma di DARE",'Pivot BBVA'!$A$3,"Mese",4,"Tipologia",$A194,"Viaggio",$A$183))
+IF(ISERROR(GETPIVOTDATA("Somma di DARE",'Pivot Amex'!$A$3,"Mese",4,"Tipologia",$A194,"Viaggio",$A$183)),0,GETPIVOTDATA("Somma di DARE",'Pivot Amex'!$A$3,"Mese",4,"Tipologia",$A194,"Viaggio",$A$183))
-IF(ISERROR(GETPIVOTDATA("Somma di AVERE",'Pivot Amex'!$A$3,"Mese",4,"Tipologia",$A194,"Viaggio",$A$183)),0,GETPIVOTDATA("Somma di AVERE",'Pivot Amex'!$A$3,"Mese",4,"Tipologia",$A194,"Viaggio",$A$183))
-IF(ISERROR(GETPIVOTDATA("Somma di AVERE",'Pivot BBVA'!$A$3,"Mese",4,"Tipologia",$A194,"Viaggio",$A$183)),0,GETPIVOTDATA("Somma di AVERE",'Pivot BBVA'!$A$3,"Mese",4,"Tipologia",$A194,"Viaggio",$A$183))
-IF(ISERROR(GETPIVOTDATA("Somma di AVERE",'Pivot Fineco St'!$A$3,"Mese",4,"Tipologia",$A194,"Viaggio",$A$183)),0,GETPIVOTDATA("Somma di AVERE",'Pivot Fineco St'!$A$3,"Mese",4,"Tipologia",$A194,"Viaggio",$A$183))
-IF(ISERROR(GETPIVOTDATA("Somma di AVERE",'Pivot Fineco Sa'!$A$3,"Mese",4,"Tipologia",$A194,"Viaggio",$A$183)),0,GETPIVOTDATA("Somma di AVERE",'Pivot Fineco Sa'!$A$3,"Mese",4,"Tipologia",$A194,"Viaggio",$A$183))
+IF(ISERROR(GETPIVOTDATA("Somma di DARE",'Pivot PP Visa'!$A$3,"Mese",4,"Tipologia",$A194,"Viaggio",$A$183)),0,GETPIVOTDATA("Somma di DARE",'Pivot PP Visa'!$A$3,"Mese",4,"Tipologia",$A194,"Viaggio",$A$183))
-IF(ISERROR(GETPIVOTDATA("Somma di AVERE",'Pivot PP Visa'!$A$3,"Mese",4,"Tipologia",$A194,"Viaggio",$A$183)),0,GETPIVOTDATA("Somma di AVERE",'Pivot PP Visa'!$A$3,"Mese",4,"Tipologia",$A194,"Viaggio",$A$183))
+IF(ISERROR(GETPIVOTDATA("Somma di DARE",'Pivot Revolut'!$A$3,"Mese",4,"Tipologia",$A194,"Viaggio",$A$183)),0,GETPIVOTDATA("Somma di DARE",'Pivot Revolut'!$A$3,"Mese",4,"Tipologia",$A194,"Viaggio",$A$183))
-IF(ISERROR(GETPIVOTDATA("Somma di AVERE",'Pivot Revolut'!$A$3,"Mese",4,"Tipologia",$A194,"Viaggio",$A$183)),0,GETPIVOTDATA("Somma di AVERE",'Pivot Revolut'!$A$3,"Mese",4,"Tipologia",$A194,"Viaggio",$A$183))
+IF(ISERROR(GETPIVOTDATA("Somma di DARE",'Pivot RakBank EUR'!$A$3,"Mese",4,"Tipologia",$A194,"Viaggio",$A$183)),0,GETPIVOTDATA("Somma di DARE",'Pivot RakBank EUR'!$A$3,"Mese",4,"Tipologia",$A194,"Viaggio",$A$183))
-IF(ISERROR(GETPIVOTDATA("Somma di AVERE",'Pivot RakBank EUR'!$A$3,"Mese",4,"Tipologia",$A194,"Viaggio",$A$183)),0,GETPIVOTDATA("Somma di AVERE",'Pivot RakBank EUR'!$A$3,"Mese",4,"Tipologia",$A194,"Viaggio",$A$183))
+IF(ISERROR(GETPIVOTDATA("Somma di DARE EUR",'Pivot RakBank AED'!$A$3,"Mese",4,"Tipologia",$A194,"Viaggio",$A$183)),0,GETPIVOTDATA("Somma di DARE EUR",'Pivot RakBank AED'!$A$3,"Mese",4,"Tipologia",$A194,"Viaggio",$A$183))
-IF(ISERROR(GETPIVOTDATA("Somma di AVERE EUR",'Pivot RakBank AED'!$A$3,"Mese",4,"Tipologia",$A194,"Viaggio",$A$183)),0,GETPIVOTDATA("Somma di AVERE EUR",'Pivot RakBank AED'!$A$3,"Mese",4,"Tipologia",$A194,"Viaggio",$A$183))</f>
        <v>0</v>
      </c>
      <c r="G194" s="270">
        <f>IF(ISERROR(GETPIVOTDATA("Somma di DARE",'Pivot Fineco Sa'!$A$3,"Mese",5,"Tipologia",$A194,"Viaggio",$A$183)),0,GETPIVOTDATA("Somma di DARE",'Pivot Fineco Sa'!$A$3,"Mese",5,"Tipologia",$A194,"Viaggio",$A$183))
+IF(ISERROR(GETPIVOTDATA("Somma di DARE",'Pivot Fineco St'!$A$3,"Mese",5,"Tipologia",$A194,"Viaggio",$A$183)),0,GETPIVOTDATA("Somma di DARE",'Pivot Fineco St'!$A$3,"Mese",5,"Tipologia",$A194,"Viaggio",$A$183))
+IF(Contanti!$U49='Conto Economico'!$A$183,Contanti!$R49)
+IF(ISERROR(GETPIVOTDATA("Somma di DARE",'Pivot BBVA'!$A$3,"Mese",5,"Tipologia",$A194,"Viaggio",$A$183)),0,GETPIVOTDATA("Somma di DARE",'Pivot BBVA'!$A$3,"Mese",5,"Tipologia",$A194,"Viaggio",$A$183))
+IF(ISERROR(GETPIVOTDATA("Somma di DARE",'Pivot Amex'!$A$3,"Mese",5,"Tipologia",$A194,"Viaggio",$A$183)),0,GETPIVOTDATA("Somma di DARE",'Pivot Amex'!$A$3,"Mese",5,"Tipologia",$A194,"Viaggio",$A$183))
-IF(ISERROR(GETPIVOTDATA("Somma di AVERE",'Pivot Amex'!$A$3,"Mese",5,"Tipologia",$A194,"Viaggio",$A$183)),0,GETPIVOTDATA("Somma di AVERE",'Pivot Amex'!$A$3,"Mese",5,"Tipologia",$A194,"Viaggio",$A$183))
-IF(ISERROR(GETPIVOTDATA("Somma di AVERE",'Pivot BBVA'!$A$3,"Mese",5,"Tipologia",$A194,"Viaggio",$A$183)),0,GETPIVOTDATA("Somma di AVERE",'Pivot BBVA'!$A$3,"Mese",5,"Tipologia",$A194,"Viaggio",$A$183))
-IF(ISERROR(GETPIVOTDATA("Somma di AVERE",'Pivot Fineco St'!$A$3,"Mese",5,"Tipologia",$A194,"Viaggio",$A$183)),0,GETPIVOTDATA("Somma di AVERE",'Pivot Fineco St'!$A$3,"Mese",5,"Tipologia",$A194,"Viaggio",$A$183))
-IF(ISERROR(GETPIVOTDATA("Somma di AVERE",'Pivot Fineco Sa'!$A$3,"Mese",5,"Tipologia",$A194,"Viaggio",$A$183)),0,GETPIVOTDATA("Somma di AVERE",'Pivot Fineco Sa'!$A$3,"Mese",5,"Tipologia",$A194,"Viaggio",$A$183))
+IF(ISERROR(GETPIVOTDATA("Somma di DARE",'Pivot PP Visa'!$A$3,"Mese",5,"Tipologia",$A194,"Viaggio",$A$183)),0,GETPIVOTDATA("Somma di DARE",'Pivot PP Visa'!$A$3,"Mese",5,"Tipologia",$A194,"Viaggio",$A$183))
-IF(ISERROR(GETPIVOTDATA("Somma di AVERE",'Pivot PP Visa'!$A$3,"Mese",5,"Tipologia",$A194,"Viaggio",$A$183)),0,GETPIVOTDATA("Somma di AVERE",'Pivot PP Visa'!$A$3,"Mese",5,"Tipologia",$A194,"Viaggio",$A$183))
+IF(ISERROR(GETPIVOTDATA("Somma di DARE",'Pivot Revolut'!$A$3,"Mese",5,"Tipologia",$A194,"Viaggio",$A$183)),0,GETPIVOTDATA("Somma di DARE",'Pivot Revolut'!$A$3,"Mese",5,"Tipologia",$A194,"Viaggio",$A$183))
-IF(ISERROR(GETPIVOTDATA("Somma di AVERE",'Pivot Revolut'!$A$3,"Mese",5,"Tipologia",$A194,"Viaggio",$A$183)),0,GETPIVOTDATA("Somma di AVERE",'Pivot Revolut'!$A$3,"Mese",5,"Tipologia",$A194,"Viaggio",$A$183))
+IF(ISERROR(GETPIVOTDATA("Somma di DARE",'Pivot RakBank EUR'!$A$3,"Mese",5,"Tipologia",$A194,"Viaggio",$A$183)),0,GETPIVOTDATA("Somma di DARE",'Pivot RakBank EUR'!$A$3,"Mese",5,"Tipologia",$A194,"Viaggio",$A$183))
-IF(ISERROR(GETPIVOTDATA("Somma di AVERE",'Pivot RakBank EUR'!$A$3,"Mese",5,"Tipologia",$A194,"Viaggio",$A$183)),0,GETPIVOTDATA("Somma di AVERE",'Pivot RakBank EUR'!$A$3,"Mese",5,"Tipologia",$A194,"Viaggio",$A$183))
+IF(ISERROR(GETPIVOTDATA("Somma di DARE EUR",'Pivot RakBank AED'!$A$3,"Mese",5,"Tipologia",$A194,"Viaggio",$A$183)),0,GETPIVOTDATA("Somma di DARE EUR",'Pivot RakBank AED'!$A$3,"Mese",5,"Tipologia",$A194,"Viaggio",$A$183))
-IF(ISERROR(GETPIVOTDATA("Somma di AVERE EUR",'Pivot RakBank AED'!$A$3,"Mese",5,"Tipologia",$A194,"Viaggio",$A$183)),0,GETPIVOTDATA("Somma di AVERE EUR",'Pivot RakBank AED'!$A$3,"Mese",5,"Tipologia",$A194,"Viaggio",$A$183))</f>
        <v>0</v>
      </c>
      <c r="H194" s="270">
        <f>IF(ISERROR(GETPIVOTDATA("Somma di DARE",'Pivot Fineco Sa'!$A$3,"Mese",6,"Tipologia",$A194,"Viaggio",$A$183)),0,GETPIVOTDATA("Somma di DARE",'Pivot Fineco Sa'!$A$3,"Mese",6,"Tipologia",$A194,"Viaggio",$A$183))
+IF(ISERROR(GETPIVOTDATA("Somma di DARE",'Pivot Fineco St'!$A$3,"Mese",6,"Tipologia",$A194,"Viaggio",$A$183)),0,GETPIVOTDATA("Somma di DARE",'Pivot Fineco St'!$A$3,"Mese",6,"Tipologia",$A194,"Viaggio",$A$183))
+IF(Contanti!$Y49='Conto Economico'!$A$183,Contanti!$V49)
+IF(ISERROR(GETPIVOTDATA("Somma di DARE",'Pivot BBVA'!$A$3,"Mese",6,"Tipologia",$A194,"Viaggio",$A$183)),0,GETPIVOTDATA("Somma di DARE",'Pivot BBVA'!$A$3,"Mese",6,"Tipologia",$A194,"Viaggio",$A$183))
+IF(ISERROR(GETPIVOTDATA("Somma di DARE",'Pivot Amex'!$A$3,"Mese",6,"Tipologia",$A194,"Viaggio",$A$183)),0,GETPIVOTDATA("Somma di DARE",'Pivot Amex'!$A$3,"Mese",6,"Tipologia",$A194,"Viaggio",$A$183))
-IF(ISERROR(GETPIVOTDATA("Somma di AVERE",'Pivot Amex'!$A$3,"Mese",6,"Tipologia",$A194,"Viaggio",$A$183)),0,GETPIVOTDATA("Somma di AVERE",'Pivot Amex'!$A$3,"Mese",6,"Tipologia",$A194,"Viaggio",$A$183))
-IF(ISERROR(GETPIVOTDATA("Somma di AVERE",'Pivot BBVA'!$A$3,"Mese",6,"Tipologia",$A194,"Viaggio",$A$183)),0,GETPIVOTDATA("Somma di AVERE",'Pivot BBVA'!$A$3,"Mese",6,"Tipologia",$A194,"Viaggio",$A$183))
-IF(ISERROR(GETPIVOTDATA("Somma di AVERE",'Pivot Fineco St'!$A$3,"Mese",6,"Tipologia",$A194,"Viaggio",$A$183)),0,GETPIVOTDATA("Somma di AVERE",'Pivot Fineco St'!$A$3,"Mese",6,"Tipologia",$A194,"Viaggio",$A$183))
-IF(ISERROR(GETPIVOTDATA("Somma di AVERE",'Pivot Fineco Sa'!$A$3,"Mese",6,"Tipologia",$A194,"Viaggio",$A$183)),0,GETPIVOTDATA("Somma di AVERE",'Pivot Fineco Sa'!$A$3,"Mese",6,"Tipologia",$A194,"Viaggio",$A$183))
+IF(ISERROR(GETPIVOTDATA("Somma di DARE",'Pivot PP Visa'!$A$3,"Mese",6,"Tipologia",$A194,"Viaggio",$A$183)),0,GETPIVOTDATA("Somma di DARE",'Pivot PP Visa'!$A$3,"Mese",6,"Tipologia",$A194,"Viaggio",$A$183))
-IF(ISERROR(GETPIVOTDATA("Somma di AVERE",'Pivot PP Visa'!$A$3,"Mese",6,"Tipologia",$A194,"Viaggio",$A$183)),0,GETPIVOTDATA("Somma di AVERE",'Pivot PP Visa'!$A$3,"Mese",6,"Tipologia",$A194,"Viaggio",$A$183))
+IF(ISERROR(GETPIVOTDATA("Somma di DARE",'Pivot Revolut'!$A$3,"Mese",6,"Tipologia",$A194,"Viaggio",$A$183)),0,GETPIVOTDATA("Somma di DARE",'Pivot Revolut'!$A$3,"Mese",6,"Tipologia",$A194,"Viaggio",$A$183))
-IF(ISERROR(GETPIVOTDATA("Somma di AVERE",'Pivot Revolut'!$A$3,"Mese",6,"Tipologia",$A194,"Viaggio",$A$183)),0,GETPIVOTDATA("Somma di AVERE",'Pivot Revolut'!$A$3,"Mese",6,"Tipologia",$A194,"Viaggio",$A$183))
+IF(ISERROR(GETPIVOTDATA("Somma di DARE",'Pivot RakBank EUR'!$A$3,"Mese",6,"Tipologia",$A194,"Viaggio",$A$183)),0,GETPIVOTDATA("Somma di DARE",'Pivot RakBank EUR'!$A$3,"Mese",6,"Tipologia",$A194,"Viaggio",$A$183))
-IF(ISERROR(GETPIVOTDATA("Somma di AVERE",'Pivot RakBank EUR'!$A$3,"Mese",6,"Tipologia",$A194,"Viaggio",$A$183)),0,GETPIVOTDATA("Somma di AVERE",'Pivot RakBank EUR'!$A$3,"Mese",6,"Tipologia",$A194,"Viaggio",$A$183))
+IF(ISERROR(GETPIVOTDATA("Somma di DARE EUR",'Pivot RakBank AED'!$A$3,"Mese",6,"Tipologia",$A194,"Viaggio",$A$183)),0,GETPIVOTDATA("Somma di DARE EUR",'Pivot RakBank AED'!$A$3,"Mese",6,"Tipologia",$A194,"Viaggio",$A$183))
-IF(ISERROR(GETPIVOTDATA("Somma di AVERE EUR",'Pivot RakBank AED'!$A$3,"Mese",6,"Tipologia",$A194,"Viaggio",$A$183)),0,GETPIVOTDATA("Somma di AVERE EUR",'Pivot RakBank AED'!$A$3,"Mese",6,"Tipologia",$A194,"Viaggio",$A$183))</f>
        <v>0</v>
      </c>
      <c r="I194" s="270">
        <f>IF(ISERROR(GETPIVOTDATA("Somma di DARE",'Pivot Fineco Sa'!$A$3,"Mese",7,"Tipologia",$A194,"Viaggio",$A$183)),0,GETPIVOTDATA("Somma di DARE",'Pivot Fineco Sa'!$A$3,"Mese",7,"Tipologia",$A194,"Viaggio",$A$183))
+IF(ISERROR(GETPIVOTDATA("Somma di DARE",'Pivot Fineco St'!$A$3,"Mese",7,"Tipologia",$A194,"Viaggio",$A$183)),0,GETPIVOTDATA("Somma di DARE",'Pivot Fineco St'!$A$3,"Mese",7,"Tipologia",$A194,"Viaggio",$A$183))
+IF(Contanti!$AC49='Conto Economico'!$A$183,Contanti!$Z49)
+IF(ISERROR(GETPIVOTDATA("Somma di DARE",'Pivot BBVA'!$A$3,"Mese",7,"Tipologia",$A194,"Viaggio",$A$183)),0,GETPIVOTDATA("Somma di DARE",'Pivot BBVA'!$A$3,"Mese",7,"Tipologia",$A194,"Viaggio",$A$183))
+IF(ISERROR(GETPIVOTDATA("Somma di DARE",'Pivot Amex'!$A$3,"Mese",7,"Tipologia",$A194,"Viaggio",$A$183)),0,GETPIVOTDATA("Somma di DARE",'Pivot Amex'!$A$3,"Mese",7,"Tipologia",$A194,"Viaggio",$A$183))
-IF(ISERROR(GETPIVOTDATA("Somma di AVERE",'Pivot Amex'!$A$3,"Mese",7,"Tipologia",$A194,"Viaggio",$A$183)),0,GETPIVOTDATA("Somma di AVERE",'Pivot Amex'!$A$3,"Mese",7,"Tipologia",$A194,"Viaggio",$A$183))
-IF(ISERROR(GETPIVOTDATA("Somma di AVERE",'Pivot BBVA'!$A$3,"Mese",7,"Tipologia",$A194,"Viaggio",$A$183)),0,GETPIVOTDATA("Somma di AVERE",'Pivot BBVA'!$A$3,"Mese",7,"Tipologia",$A194,"Viaggio",$A$183))
-IF(ISERROR(GETPIVOTDATA("Somma di AVERE",'Pivot Fineco St'!$A$3,"Mese",7,"Tipologia",$A194,"Viaggio",$A$183)),0,GETPIVOTDATA("Somma di AVERE",'Pivot Fineco St'!$A$3,"Mese",7,"Tipologia",$A194,"Viaggio",$A$183))
-IF(ISERROR(GETPIVOTDATA("Somma di AVERE",'Pivot Fineco Sa'!$A$3,"Mese",7,"Tipologia",$A194,"Viaggio",$A$183)),0,GETPIVOTDATA("Somma di AVERE",'Pivot Fineco Sa'!$A$3,"Mese",7,"Tipologia",$A194,"Viaggio",$A$183))
+IF(ISERROR(GETPIVOTDATA("Somma di DARE",'Pivot PP Visa'!$A$3,"Mese",7,"Tipologia",$A194,"Viaggio",$A$183)),0,GETPIVOTDATA("Somma di DARE",'Pivot PP Visa'!$A$3,"Mese",7,"Tipologia",$A194,"Viaggio",$A$183))
-IF(ISERROR(GETPIVOTDATA("Somma di AVERE",'Pivot PP Visa'!$A$3,"Mese",7,"Tipologia",$A194,"Viaggio",$A$183)),0,GETPIVOTDATA("Somma di AVERE",'Pivot PP Visa'!$A$3,"Mese",7,"Tipologia",$A194,"Viaggio",$A$183))
+IF(ISERROR(GETPIVOTDATA("Somma di DARE",'Pivot Revolut'!$A$3,"Mese",7,"Tipologia",$A194,"Viaggio",$A$183)),0,GETPIVOTDATA("Somma di DARE",'Pivot Revolut'!$A$3,"Mese",7,"Tipologia",$A194,"Viaggio",$A$183))
-IF(ISERROR(GETPIVOTDATA("Somma di AVERE",'Pivot Revolut'!$A$3,"Mese",7,"Tipologia",$A194,"Viaggio",$A$183)),0,GETPIVOTDATA("Somma di AVERE",'Pivot Revolut'!$A$3,"Mese",7,"Tipologia",$A194,"Viaggio",$A$183))
+IF(ISERROR(GETPIVOTDATA("Somma di DARE",'Pivot RakBank EUR'!$A$3,"Mese",7,"Tipologia",$A194,"Viaggio",$A$183)),0,GETPIVOTDATA("Somma di DARE",'Pivot RakBank EUR'!$A$3,"Mese",7,"Tipologia",$A194,"Viaggio",$A$183))
-IF(ISERROR(GETPIVOTDATA("Somma di AVERE",'Pivot RakBank EUR'!$A$3,"Mese",7,"Tipologia",$A194,"Viaggio",$A$183)),0,GETPIVOTDATA("Somma di AVERE",'Pivot RakBank EUR'!$A$3,"Mese",7,"Tipologia",$A194,"Viaggio",$A$183))
+IF(ISERROR(GETPIVOTDATA("Somma di DARE EUR",'Pivot RakBank AED'!$A$3,"Mese",7,"Tipologia",$A194,"Viaggio",$A$183)),0,GETPIVOTDATA("Somma di DARE EUR",'Pivot RakBank AED'!$A$3,"Mese",7,"Tipologia",$A194,"Viaggio",$A$183))
-IF(ISERROR(GETPIVOTDATA("Somma di AVERE EUR",'Pivot RakBank AED'!$A$3,"Mese",7,"Tipologia",$A194,"Viaggio",$A$183)),0,GETPIVOTDATA("Somma di AVERE EUR",'Pivot RakBank AED'!$A$3,"Mese",7,"Tipologia",$A194,"Viaggio",$A$183))</f>
        <v>0</v>
      </c>
      <c r="J194" s="270">
        <f>IF(ISERROR(GETPIVOTDATA("Somma di DARE",'Pivot Fineco Sa'!$A$3,"Mese",8,"Tipologia",$A194,"Viaggio",$A$183)),0,GETPIVOTDATA("Somma di DARE",'Pivot Fineco Sa'!$A$3,"Mese",8,"Tipologia",$A194,"Viaggio",$A$183))
+IF(ISERROR(GETPIVOTDATA("Somma di DARE",'Pivot Fineco St'!$A$3,"Mese",8,"Tipologia",$A194,"Viaggio",$A$183)),0,GETPIVOTDATA("Somma di DARE",'Pivot Fineco St'!$A$3,"Mese",8,"Tipologia",$A194,"Viaggio",$A$183))
+IF(Contanti!$AG49='Conto Economico'!$A$183,Contanti!$AD49)
+IF(ISERROR(GETPIVOTDATA("Somma di DARE",'Pivot BBVA'!$A$3,"Mese",8,"Tipologia",$A194,"Viaggio",$A$183)),0,GETPIVOTDATA("Somma di DARE",'Pivot BBVA'!$A$3,"Mese",8,"Tipologia",$A194,"Viaggio",$A$183))
+IF(ISERROR(GETPIVOTDATA("Somma di DARE",'Pivot Amex'!$A$3,"Mese",8,"Tipologia",$A194,"Viaggio",$A$183)),0,GETPIVOTDATA("Somma di DARE",'Pivot Amex'!$A$3,"Mese",8,"Tipologia",$A194,"Viaggio",$A$183))
-IF(ISERROR(GETPIVOTDATA("Somma di AVERE",'Pivot Amex'!$A$3,"Mese",8,"Tipologia",$A194,"Viaggio",$A$183)),0,GETPIVOTDATA("Somma di AVERE",'Pivot Amex'!$A$3,"Mese",8,"Tipologia",$A194,"Viaggio",$A$183))
-IF(ISERROR(GETPIVOTDATA("Somma di AVERE",'Pivot BBVA'!$A$3,"Mese",8,"Tipologia",$A194,"Viaggio",$A$183)),0,GETPIVOTDATA("Somma di AVERE",'Pivot BBVA'!$A$3,"Mese",8,"Tipologia",$A194,"Viaggio",$A$183))
-IF(ISERROR(GETPIVOTDATA("Somma di AVERE",'Pivot Fineco St'!$A$3,"Mese",8,"Tipologia",$A194,"Viaggio",$A$183)),0,GETPIVOTDATA("Somma di AVERE",'Pivot Fineco St'!$A$3,"Mese",8,"Tipologia",$A194,"Viaggio",$A$183))
-IF(ISERROR(GETPIVOTDATA("Somma di AVERE",'Pivot Fineco Sa'!$A$3,"Mese",8,"Tipologia",$A194,"Viaggio",$A$183)),0,GETPIVOTDATA("Somma di AVERE",'Pivot Fineco Sa'!$A$3,"Mese",8,"Tipologia",$A194,"Viaggio",$A$183))
+IF(ISERROR(GETPIVOTDATA("Somma di DARE",'Pivot PP Visa'!$A$3,"Mese",8,"Tipologia",$A194,"Viaggio",$A$183)),0,GETPIVOTDATA("Somma di DARE",'Pivot PP Visa'!$A$3,"Mese",8,"Tipologia",$A194,"Viaggio",$A$183))
-IF(ISERROR(GETPIVOTDATA("Somma di AVERE",'Pivot PP Visa'!$A$3,"Mese",8,"Tipologia",$A194,"Viaggio",$A$183)),0,GETPIVOTDATA("Somma di AVERE",'Pivot PP Visa'!$A$3,"Mese",8,"Tipologia",$A194,"Viaggio",$A$183))
+IF(ISERROR(GETPIVOTDATA("Somma di DARE",'Pivot Revolut'!$A$3,"Mese",8,"Tipologia",$A194,"Viaggio",$A$183)),0,GETPIVOTDATA("Somma di DARE",'Pivot Revolut'!$A$3,"Mese",8,"Tipologia",$A194,"Viaggio",$A$183))
-IF(ISERROR(GETPIVOTDATA("Somma di AVERE",'Pivot Revolut'!$A$3,"Mese",8,"Tipologia",$A194,"Viaggio",$A$183)),0,GETPIVOTDATA("Somma di AVERE",'Pivot Revolut'!$A$3,"Mese",8,"Tipologia",$A194,"Viaggio",$A$183))
+IF(ISERROR(GETPIVOTDATA("Somma di DARE",'Pivot RakBank EUR'!$A$3,"Mese",8,"Tipologia",$A194,"Viaggio",$A$183)),0,GETPIVOTDATA("Somma di DARE",'Pivot RakBank EUR'!$A$3,"Mese",8,"Tipologia",$A194,"Viaggio",$A$183))
-IF(ISERROR(GETPIVOTDATA("Somma di AVERE",'Pivot RakBank EUR'!$A$3,"Mese",8,"Tipologia",$A194,"Viaggio",$A$183)),0,GETPIVOTDATA("Somma di AVERE",'Pivot RakBank EUR'!$A$3,"Mese",8,"Tipologia",$A194,"Viaggio",$A$183))
+IF(ISERROR(GETPIVOTDATA("Somma di DARE EUR",'Pivot RakBank AED'!$A$3,"Mese",8,"Tipologia",$A194,"Viaggio",$A$183)),0,GETPIVOTDATA("Somma di DARE EUR",'Pivot RakBank AED'!$A$3,"Mese",8,"Tipologia",$A194,"Viaggio",$A$183))
-IF(ISERROR(GETPIVOTDATA("Somma di AVERE EUR",'Pivot RakBank AED'!$A$3,"Mese",8,"Tipologia",$A194,"Viaggio",$A$183)),0,GETPIVOTDATA("Somma di AVERE EUR",'Pivot RakBank AED'!$A$3,"Mese",8,"Tipologia",$A194,"Viaggio",$A$183))</f>
        <v>0</v>
      </c>
      <c r="K194" s="270">
        <f>IF(ISERROR(GETPIVOTDATA("Somma di DARE",'Pivot Fineco Sa'!$A$3,"Mese",9,"Tipologia",$A194,"Viaggio",$A$183)),0,GETPIVOTDATA("Somma di DARE",'Pivot Fineco Sa'!$A$3,"Mese",9,"Tipologia",$A194,"Viaggio",$A$183))
+IF(ISERROR(GETPIVOTDATA("Somma di DARE",'Pivot Fineco St'!$A$3,"Mese",9,"Tipologia",$A194,"Viaggio",$A$183)),0,GETPIVOTDATA("Somma di DARE",'Pivot Fineco St'!$A$3,"Mese",9,"Tipologia",$A194,"Viaggio",$A$183))
+IF(Contanti!$AK49='Conto Economico'!$A$183,Contanti!$AH49)
+IF(ISERROR(GETPIVOTDATA("Somma di DARE",'Pivot BBVA'!$A$3,"Mese",9,"Tipologia",$A194,"Viaggio",$A$183)),0,GETPIVOTDATA("Somma di DARE",'Pivot BBVA'!$A$3,"Mese",9,"Tipologia",$A194,"Viaggio",$A$183))
+IF(ISERROR(GETPIVOTDATA("Somma di DARE",'Pivot Amex'!$A$3,"Mese",9,"Tipologia",$A194,"Viaggio",$A$183)),0,GETPIVOTDATA("Somma di DARE",'Pivot Amex'!$A$3,"Mese",9,"Tipologia",$A194,"Viaggio",$A$183))
-IF(ISERROR(GETPIVOTDATA("Somma di AVERE",'Pivot Amex'!$A$3,"Mese",9,"Tipologia",$A194,"Viaggio",$A$183)),0,GETPIVOTDATA("Somma di AVERE",'Pivot Amex'!$A$3,"Mese",9,"Tipologia",$A194,"Viaggio",$A$183))
-IF(ISERROR(GETPIVOTDATA("Somma di AVERE",'Pivot BBVA'!$A$3,"Mese",9,"Tipologia",$A194,"Viaggio",$A$183)),0,GETPIVOTDATA("Somma di AVERE",'Pivot BBVA'!$A$3,"Mese",9,"Tipologia",$A194,"Viaggio",$A$183))
-IF(ISERROR(GETPIVOTDATA("Somma di AVERE",'Pivot Fineco St'!$A$3,"Mese",9,"Tipologia",$A194,"Viaggio",$A$183)),0,GETPIVOTDATA("Somma di AVERE",'Pivot Fineco St'!$A$3,"Mese",9,"Tipologia",$A194,"Viaggio",$A$183))
-IF(ISERROR(GETPIVOTDATA("Somma di AVERE",'Pivot Fineco Sa'!$A$3,"Mese",9,"Tipologia",$A194,"Viaggio",$A$183)),0,GETPIVOTDATA("Somma di AVERE",'Pivot Fineco Sa'!$A$3,"Mese",9,"Tipologia",$A194,"Viaggio",$A$183))
+IF(ISERROR(GETPIVOTDATA("Somma di DARE",'Pivot PP Visa'!$A$3,"Mese",9,"Tipologia",$A194,"Viaggio",$A$183)),0,GETPIVOTDATA("Somma di DARE",'Pivot PP Visa'!$A$3,"Mese",9,"Tipologia",$A194,"Viaggio",$A$183))
-IF(ISERROR(GETPIVOTDATA("Somma di AVERE",'Pivot PP Visa'!$A$3,"Mese",9,"Tipologia",$A194,"Viaggio",$A$183)),0,GETPIVOTDATA("Somma di AVERE",'Pivot PP Visa'!$A$3,"Mese",9,"Tipologia",$A194,"Viaggio",$A$183))
+IF(ISERROR(GETPIVOTDATA("Somma di DARE",'Pivot Revolut'!$A$3,"Mese",9,"Tipologia",$A194,"Viaggio",$A$183)),0,GETPIVOTDATA("Somma di DARE",'Pivot Revolut'!$A$3,"Mese",9,"Tipologia",$A194,"Viaggio",$A$183))
-IF(ISERROR(GETPIVOTDATA("Somma di AVERE",'Pivot Revolut'!$A$3,"Mese",9,"Tipologia",$A194,"Viaggio",$A$183)),0,GETPIVOTDATA("Somma di AVERE",'Pivot Revolut'!$A$3,"Mese",9,"Tipologia",$A194,"Viaggio",$A$183))
+IF(ISERROR(GETPIVOTDATA("Somma di DARE",'Pivot RakBank EUR'!$A$3,"Mese",9,"Tipologia",$A194,"Viaggio",$A$183)),0,GETPIVOTDATA("Somma di DARE",'Pivot RakBank EUR'!$A$3,"Mese",9,"Tipologia",$A194,"Viaggio",$A$183))
-IF(ISERROR(GETPIVOTDATA("Somma di AVERE",'Pivot RakBank EUR'!$A$3,"Mese",9,"Tipologia",$A194,"Viaggio",$A$183)),0,GETPIVOTDATA("Somma di AVERE",'Pivot RakBank EUR'!$A$3,"Mese",9,"Tipologia",$A194,"Viaggio",$A$183))
+IF(ISERROR(GETPIVOTDATA("Somma di DARE EUR",'Pivot RakBank AED'!$A$3,"Mese",9,"Tipologia",$A194,"Viaggio",$A$183)),0,GETPIVOTDATA("Somma di DARE EUR",'Pivot RakBank AED'!$A$3,"Mese",9,"Tipologia",$A194,"Viaggio",$A$183))
-IF(ISERROR(GETPIVOTDATA("Somma di AVERE EUR",'Pivot RakBank AED'!$A$3,"Mese",9,"Tipologia",$A194,"Viaggio",$A$183)),0,GETPIVOTDATA("Somma di AVERE EUR",'Pivot RakBank AED'!$A$3,"Mese",9,"Tipologia",$A194,"Viaggio",$A$183))</f>
        <v>0</v>
      </c>
      <c r="L194" s="270">
        <f>IF(ISERROR(GETPIVOTDATA("Somma di DARE",'Pivot Fineco Sa'!$A$3,"Mese",10,"Tipologia",$A194,"Viaggio",$A$183)),0,GETPIVOTDATA("Somma di DARE",'Pivot Fineco Sa'!$A$3,"Mese",10,"Tipologia",$A194,"Viaggio",$A$183))
+IF(ISERROR(GETPIVOTDATA("Somma di DARE",'Pivot Fineco St'!$A$3,"Mese",10,"Tipologia",$A194,"Viaggio",$A$183)),0,GETPIVOTDATA("Somma di DARE",'Pivot Fineco St'!$A$3,"Mese",10,"Tipologia",$A194,"Viaggio",$A$183))
+IF(Contanti!$AO49='Conto Economico'!$A$183,Contanti!$AL49)
+IF(ISERROR(GETPIVOTDATA("Somma di DARE",'Pivot BBVA'!$A$3,"Mese",10,"Tipologia",$A194,"Viaggio",$A$183)),0,GETPIVOTDATA("Somma di DARE",'Pivot BBVA'!$A$3,"Mese",10,"Tipologia",$A194,"Viaggio",$A$183))
+IF(ISERROR(GETPIVOTDATA("Somma di DARE",'Pivot Amex'!$A$3,"Mese",10,"Tipologia",$A194,"Viaggio",$A$183)),0,GETPIVOTDATA("Somma di DARE",'Pivot Amex'!$A$3,"Mese",10,"Tipologia",$A194,"Viaggio",$A$183))
-IF(ISERROR(GETPIVOTDATA("Somma di AVERE",'Pivot Amex'!$A$3,"Mese",10,"Tipologia",$A194,"Viaggio",$A$183)),0,GETPIVOTDATA("Somma di AVERE",'Pivot Amex'!$A$3,"Mese",10,"Tipologia",$A194,"Viaggio",$A$183))
-IF(ISERROR(GETPIVOTDATA("Somma di AVERE",'Pivot BBVA'!$A$3,"Mese",10,"Tipologia",$A194,"Viaggio",$A$183)),0,GETPIVOTDATA("Somma di AVERE",'Pivot BBVA'!$A$3,"Mese",10,"Tipologia",$A194,"Viaggio",$A$183))
-IF(ISERROR(GETPIVOTDATA("Somma di AVERE",'Pivot Fineco St'!$A$3,"Mese",10,"Tipologia",$A194,"Viaggio",$A$183)),0,GETPIVOTDATA("Somma di AVERE",'Pivot Fineco St'!$A$3,"Mese",10,"Tipologia",$A194,"Viaggio",$A$183))
-IF(ISERROR(GETPIVOTDATA("Somma di AVERE",'Pivot Fineco Sa'!$A$3,"Mese",10,"Tipologia",$A194,"Viaggio",$A$183)),0,GETPIVOTDATA("Somma di AVERE",'Pivot Fineco Sa'!$A$3,"Mese",10,"Tipologia",$A194,"Viaggio",$A$183))
+IF(ISERROR(GETPIVOTDATA("Somma di DARE",'Pivot PP Visa'!$A$3,"Mese",10,"Tipologia",$A194,"Viaggio",$A$183)),0,GETPIVOTDATA("Somma di DARE",'Pivot PP Visa'!$A$3,"Mese",10,"Tipologia",$A194,"Viaggio",$A$183))
-IF(ISERROR(GETPIVOTDATA("Somma di AVERE",'Pivot PP Visa'!$A$3,"Mese",10,"Tipologia",$A194,"Viaggio",$A$183)),0,GETPIVOTDATA("Somma di AVERE",'Pivot PP Visa'!$A$3,"Mese",10,"Tipologia",$A194,"Viaggio",$A$183))
+IF(ISERROR(GETPIVOTDATA("Somma di DARE",'Pivot Revolut'!$A$3,"Mese",10,"Tipologia",$A194,"Viaggio",$A$183)),0,GETPIVOTDATA("Somma di DARE",'Pivot Revolut'!$A$3,"Mese",10,"Tipologia",$A194,"Viaggio",$A$183))
-IF(ISERROR(GETPIVOTDATA("Somma di AVERE",'Pivot Revolut'!$A$3,"Mese",10,"Tipologia",$A194,"Viaggio",$A$183)),0,GETPIVOTDATA("Somma di AVERE",'Pivot Revolut'!$A$3,"Mese",10,"Tipologia",$A194,"Viaggio",$A$183))
+IF(ISERROR(GETPIVOTDATA("Somma di DARE",'Pivot RakBank EUR'!$A$3,"Mese",10,"Tipologia",$A194,"Viaggio",$A$183)),0,GETPIVOTDATA("Somma di DARE",'Pivot RakBank EUR'!$A$3,"Mese",10,"Tipologia",$A194,"Viaggio",$A$183))
-IF(ISERROR(GETPIVOTDATA("Somma di AVERE",'Pivot RakBank EUR'!$A$3,"Mese",10,"Tipologia",$A194,"Viaggio",$A$183)),0,GETPIVOTDATA("Somma di AVERE",'Pivot RakBank EUR'!$A$3,"Mese",10,"Tipologia",$A194,"Viaggio",$A$183))
+IF(ISERROR(GETPIVOTDATA("Somma di DARE EUR",'Pivot RakBank AED'!$A$3,"Mese",10,"Tipologia",$A194,"Viaggio",$A$183)),0,GETPIVOTDATA("Somma di DARE EUR",'Pivot RakBank AED'!$A$3,"Mese",10,"Tipologia",$A194,"Viaggio",$A$183))
-IF(ISERROR(GETPIVOTDATA("Somma di AVERE EUR",'Pivot RakBank AED'!$A$3,"Mese",10,"Tipologia",$A194,"Viaggio",$A$183)),0,GETPIVOTDATA("Somma di AVERE EUR",'Pivot RakBank AED'!$A$3,"Mese",10,"Tipologia",$A194,"Viaggio",$A$183))</f>
        <v>0</v>
      </c>
      <c r="M194" s="270">
        <f>IF(ISERROR(GETPIVOTDATA("Somma di DARE",'Pivot Fineco Sa'!$A$3,"Mese",11,"Tipologia",$A194,"Viaggio",$A$183)),0,GETPIVOTDATA("Somma di DARE",'Pivot Fineco Sa'!$A$3,"Mese",11,"Tipologia",$A194,"Viaggio",$A$183))
+IF(ISERROR(GETPIVOTDATA("Somma di DARE",'Pivot Fineco St'!$A$3,"Mese",11,"Tipologia",$A194,"Viaggio",$A$183)),0,GETPIVOTDATA("Somma di DARE",'Pivot Fineco St'!$A$3,"Mese",11,"Tipologia",$A194,"Viaggio",$A$183))
+IF(Contanti!$AS49='Conto Economico'!$A$183,Contanti!$AP49)
+IF(ISERROR(GETPIVOTDATA("Somma di DARE",'Pivot BBVA'!$A$3,"Mese",11,"Tipologia",$A194,"Viaggio",$A$183)),0,GETPIVOTDATA("Somma di DARE",'Pivot BBVA'!$A$3,"Mese",11,"Tipologia",$A194,"Viaggio",$A$183))
+IF(ISERROR(GETPIVOTDATA("Somma di DARE",'Pivot Amex'!$A$3,"Mese",11,"Tipologia",$A194,"Viaggio",$A$183)),0,GETPIVOTDATA("Somma di DARE",'Pivot Amex'!$A$3,"Mese",11,"Tipologia",$A194,"Viaggio",$A$183))
-IF(ISERROR(GETPIVOTDATA("Somma di AVERE",'Pivot Amex'!$A$3,"Mese",11,"Tipologia",$A194,"Viaggio",$A$183)),0,GETPIVOTDATA("Somma di AVERE",'Pivot Amex'!$A$3,"Mese",11,"Tipologia",$A194,"Viaggio",$A$183))
-IF(ISERROR(GETPIVOTDATA("Somma di AVERE",'Pivot BBVA'!$A$3,"Mese",11,"Tipologia",$A194,"Viaggio",$A$183)),0,GETPIVOTDATA("Somma di AVERE",'Pivot BBVA'!$A$3,"Mese",11,"Tipologia",$A194,"Viaggio",$A$183))
-IF(ISERROR(GETPIVOTDATA("Somma di AVERE",'Pivot Fineco St'!$A$3,"Mese",11,"Tipologia",$A194,"Viaggio",$A$183)),0,GETPIVOTDATA("Somma di AVERE",'Pivot Fineco St'!$A$3,"Mese",11,"Tipologia",$A194,"Viaggio",$A$183))
-IF(ISERROR(GETPIVOTDATA("Somma di AVERE",'Pivot Fineco Sa'!$A$3,"Mese",11,"Tipologia",$A194,"Viaggio",$A$183)),0,GETPIVOTDATA("Somma di AVERE",'Pivot Fineco Sa'!$A$3,"Mese",11,"Tipologia",$A194,"Viaggio",$A$183))
+IF(ISERROR(GETPIVOTDATA("Somma di DARE",'Pivot PP Visa'!$A$3,"Mese",11,"Tipologia",$A194,"Viaggio",$A$183)),0,GETPIVOTDATA("Somma di DARE",'Pivot PP Visa'!$A$3,"Mese",11,"Tipologia",$A194,"Viaggio",$A$183))
-IF(ISERROR(GETPIVOTDATA("Somma di AVERE",'Pivot PP Visa'!$A$3,"Mese",11,"Tipologia",$A194,"Viaggio",$A$183)),0,GETPIVOTDATA("Somma di AVERE",'Pivot PP Visa'!$A$3,"Mese",11,"Tipologia",$A194,"Viaggio",$A$183))
+IF(ISERROR(GETPIVOTDATA("Somma di DARE",'Pivot Revolut'!$A$3,"Mese",11,"Tipologia",$A194,"Viaggio",$A$183)),0,GETPIVOTDATA("Somma di DARE",'Pivot Revolut'!$A$3,"Mese",11,"Tipologia",$A194,"Viaggio",$A$183))
-IF(ISERROR(GETPIVOTDATA("Somma di AVERE",'Pivot Revolut'!$A$3,"Mese",11,"Tipologia",$A194,"Viaggio",$A$183)),0,GETPIVOTDATA("Somma di AVERE",'Pivot Revolut'!$A$3,"Mese",11,"Tipologia",$A194,"Viaggio",$A$183))
+IF(ISERROR(GETPIVOTDATA("Somma di DARE",'Pivot RakBank EUR'!$A$3,"Mese",11,"Tipologia",$A194,"Viaggio",$A$183)),0,GETPIVOTDATA("Somma di DARE",'Pivot RakBank EUR'!$A$3,"Mese",11,"Tipologia",$A194,"Viaggio",$A$183))
-IF(ISERROR(GETPIVOTDATA("Somma di AVERE",'Pivot RakBank EUR'!$A$3,"Mese",11,"Tipologia",$A194,"Viaggio",$A$183)),0,GETPIVOTDATA("Somma di AVERE",'Pivot RakBank EUR'!$A$3,"Mese",11,"Tipologia",$A194,"Viaggio",$A$183))
+IF(ISERROR(GETPIVOTDATA("Somma di DARE EUR",'Pivot RakBank AED'!$A$3,"Mese",11,"Tipologia",$A194,"Viaggio",$A$183)),0,GETPIVOTDATA("Somma di DARE EUR",'Pivot RakBank AED'!$A$3,"Mese",11,"Tipologia",$A194,"Viaggio",$A$183))
-IF(ISERROR(GETPIVOTDATA("Somma di AVERE EUR",'Pivot RakBank AED'!$A$3,"Mese",11,"Tipologia",$A194,"Viaggio",$A$183)),0,GETPIVOTDATA("Somma di AVERE EUR",'Pivot RakBank AED'!$A$3,"Mese",11,"Tipologia",$A194,"Viaggio",$A$183))</f>
        <v>0</v>
      </c>
      <c r="N194" s="270">
        <f>IF(ISERROR(GETPIVOTDATA("Somma di DARE",'Pivot Fineco Sa'!$A$3,"Mese",12,"Tipologia",$A194,"Viaggio",$A$183)),0,GETPIVOTDATA("Somma di DARE",'Pivot Fineco Sa'!$A$3,"Mese",12,"Tipologia",$A194,"Viaggio",$A$183))
+IF(ISERROR(GETPIVOTDATA("Somma di DARE",'Pivot Fineco St'!$A$3,"Mese",12,"Tipologia",$A194,"Viaggio",$A$183)),0,GETPIVOTDATA("Somma di DARE",'Pivot Fineco St'!$A$3,"Mese",12,"Tipologia",$A194,"Viaggio",$A$183))
+IF(Contanti!$AW49='Conto Economico'!$A$183,Contanti!$AT49)
+IF(ISERROR(GETPIVOTDATA("Somma di DARE",'Pivot BBVA'!$A$3,"Mese",12,"Tipologia",$A194,"Viaggio",$A$183)),0,GETPIVOTDATA("Somma di DARE",'Pivot BBVA'!$A$3,"Mese",12,"Tipologia",$A194,"Viaggio",$A$183))
+IF(ISERROR(GETPIVOTDATA("Somma di DARE",'Pivot Amex'!$A$3,"Mese",12,"Tipologia",$A194,"Viaggio",$A$183)),0,GETPIVOTDATA("Somma di DARE",'Pivot Amex'!$A$3,"Mese",12,"Tipologia",$A194,"Viaggio",$A$183))
-IF(ISERROR(GETPIVOTDATA("Somma di AVERE",'Pivot Amex'!$A$3,"Mese",12,"Tipologia",$A194,"Viaggio",$A$183)),0,GETPIVOTDATA("Somma di AVERE",'Pivot Amex'!$A$3,"Mese",12,"Tipologia",$A194,"Viaggio",$A$183))
-IF(ISERROR(GETPIVOTDATA("Somma di AVERE",'Pivot BBVA'!$A$3,"Mese",12,"Tipologia",$A194,"Viaggio",$A$183)),0,GETPIVOTDATA("Somma di AVERE",'Pivot BBVA'!$A$3,"Mese",12,"Tipologia",$A194,"Viaggio",$A$183))
-IF(ISERROR(GETPIVOTDATA("Somma di AVERE",'Pivot Fineco St'!$A$3,"Mese",12,"Tipologia",$A194,"Viaggio",$A$183)),0,GETPIVOTDATA("Somma di AVERE",'Pivot Fineco St'!$A$3,"Mese",12,"Tipologia",$A194,"Viaggio",$A$183))
-IF(ISERROR(GETPIVOTDATA("Somma di AVERE",'Pivot Fineco Sa'!$A$3,"Mese",12,"Tipologia",$A194,"Viaggio",$A$183)),0,GETPIVOTDATA("Somma di AVERE",'Pivot Fineco Sa'!$A$3,"Mese",12,"Tipologia",$A194,"Viaggio",$A$183))
+IF(ISERROR(GETPIVOTDATA("Somma di DARE",'Pivot PP Visa'!$A$3,"Mese",12,"Tipologia",$A194,"Viaggio",$A$183)),0,GETPIVOTDATA("Somma di DARE",'Pivot PP Visa'!$A$3,"Mese",12,"Tipologia",$A194,"Viaggio",$A$183))
-IF(ISERROR(GETPIVOTDATA("Somma di AVERE",'Pivot PP Visa'!$A$3,"Mese",12,"Tipologia",$A194,"Viaggio",$A$183)),0,GETPIVOTDATA("Somma di AVERE",'Pivot PP Visa'!$A$3,"Mese",12,"Tipologia",$A194,"Viaggio",$A$183))
+IF(ISERROR(GETPIVOTDATA("Somma di DARE",'Pivot Revolut'!$A$3,"Mese",12,"Tipologia",$A194,"Viaggio",$A$183)),0,GETPIVOTDATA("Somma di DARE",'Pivot Revolut'!$A$3,"Mese",12,"Tipologia",$A194,"Viaggio",$A$183))
-IF(ISERROR(GETPIVOTDATA("Somma di AVERE",'Pivot Revolut'!$A$3,"Mese",12,"Tipologia",$A194,"Viaggio",$A$183)),0,GETPIVOTDATA("Somma di AVERE",'Pivot Revolut'!$A$3,"Mese",12,"Tipologia",$A194,"Viaggio",$A$183))
+IF(ISERROR(GETPIVOTDATA("Somma di DARE",'Pivot RakBank EUR'!$A$3,"Mese",12,"Tipologia",$A194,"Viaggio",$A$183)),0,GETPIVOTDATA("Somma di DARE",'Pivot RakBank EUR'!$A$3,"Mese",12,"Tipologia",$A194,"Viaggio",$A$183))
-IF(ISERROR(GETPIVOTDATA("Somma di AVERE",'Pivot RakBank EUR'!$A$3,"Mese",12,"Tipologia",$A194,"Viaggio",$A$183)),0,GETPIVOTDATA("Somma di AVERE",'Pivot RakBank EUR'!$A$3,"Mese",12,"Tipologia",$A194,"Viaggio",$A$183))
+IF(ISERROR(GETPIVOTDATA("Somma di DARE EUR",'Pivot RakBank AED'!$A$3,"Mese",12,"Tipologia",$A194,"Viaggio",$A$183)),0,GETPIVOTDATA("Somma di DARE EUR",'Pivot RakBank AED'!$A$3,"Mese",12,"Tipologia",$A194,"Viaggio",$A$183))
-IF(ISERROR(GETPIVOTDATA("Somma di AVERE EUR",'Pivot RakBank AED'!$A$3,"Mese",12,"Tipologia",$A194,"Viaggio",$A$183)),0,GETPIVOTDATA("Somma di AVERE EUR",'Pivot RakBank AED'!$A$3,"Mese",12,"Tipologia",$A194,"Viaggio",$A$183))</f>
        <v>0</v>
      </c>
      <c r="O194" s="271">
        <f t="shared" si="25"/>
        <v>0</v>
      </c>
      <c r="P194" s="270"/>
    </row>
    <row r="195" spans="1:16" s="125" customFormat="1" ht="21" customHeight="1" x14ac:dyDescent="0.2">
      <c r="A195" s="259"/>
      <c r="B195" s="259"/>
      <c r="C195" s="260"/>
      <c r="D195" s="260"/>
      <c r="E195" s="260"/>
      <c r="F195" s="260"/>
      <c r="G195" s="260"/>
      <c r="H195" s="260"/>
      <c r="I195" s="260"/>
      <c r="J195" s="260"/>
      <c r="K195" s="260"/>
      <c r="L195" s="260"/>
      <c r="M195" s="260"/>
      <c r="N195" s="260"/>
      <c r="O195" s="260"/>
      <c r="P195" s="260"/>
    </row>
    <row r="196" spans="1:16" s="250" customFormat="1" ht="21" customHeight="1" x14ac:dyDescent="0.2">
      <c r="A196" s="247" t="s">
        <v>150</v>
      </c>
      <c r="B196" s="247"/>
      <c r="C196" s="248">
        <f>SUM(C197:C204)</f>
        <v>168.80000000000004</v>
      </c>
      <c r="D196" s="248">
        <f t="shared" ref="D196:N196" si="26">SUM(D197:D204)</f>
        <v>153.88999999999999</v>
      </c>
      <c r="E196" s="248">
        <f t="shared" si="26"/>
        <v>700.96</v>
      </c>
      <c r="F196" s="248">
        <f t="shared" si="26"/>
        <v>165.75</v>
      </c>
      <c r="G196" s="248">
        <f t="shared" si="26"/>
        <v>193</v>
      </c>
      <c r="H196" s="248">
        <f t="shared" si="26"/>
        <v>335.64000000000004</v>
      </c>
      <c r="I196" s="248">
        <f t="shared" si="26"/>
        <v>265.45000000000005</v>
      </c>
      <c r="J196" s="248">
        <f t="shared" si="26"/>
        <v>0</v>
      </c>
      <c r="K196" s="248">
        <f t="shared" si="26"/>
        <v>0</v>
      </c>
      <c r="L196" s="248">
        <f t="shared" si="26"/>
        <v>0</v>
      </c>
      <c r="M196" s="248">
        <f t="shared" si="26"/>
        <v>0</v>
      </c>
      <c r="N196" s="248">
        <f t="shared" si="26"/>
        <v>0</v>
      </c>
      <c r="O196" s="249">
        <f t="shared" ref="O196:O204" si="27">SUM(C196:N196)</f>
        <v>1983.4900000000002</v>
      </c>
      <c r="P196" s="248">
        <f ca="1">SUM(P197:P204)</f>
        <v>283.35571428571427</v>
      </c>
    </row>
    <row r="197" spans="1:16" s="125" customFormat="1" ht="21" customHeight="1" x14ac:dyDescent="0.2">
      <c r="A197" s="251" t="s">
        <v>146</v>
      </c>
      <c r="B197" s="251"/>
      <c r="C197" s="243">
        <f>IFERROR(GETPIVOTDATA("Somma di DARE EUR",'Pivot RakBank AED'!$A$3,"Mese",1,"Tipologia",$A197),0)
- IFERROR(GETPIVOTDATA("Somma di AVERE EUR",'Pivot RakBank AED'!$A$3,"Mese",1,"Tipologia",$A197),0)
+IFERROR(GETPIVOTDATA("Somma di DARE",'Pivot RakBank EUR'!$A$3,"Mese",1,"Tipologia",$A197),0)
- IFERROR(GETPIVOTDATA("Somma di AVERE",'Pivot RakBank EUR'!$A$3,"Mese",1,"Tipologia",$A197),0)
+IFERROR(GETPIVOTDATA("Somma di DARE",'Pivot Fineco Sa'!$A$3,"Mese",1,"Tipologia",$A197),0)
+ IFERROR(GETPIVOTDATA("Somma di DARE",'Pivot Fineco St'!$A$3,"Mese",1,"Tipologia",$A197),0)
+ Contanti!B59
+ IFERROR(GETPIVOTDATA("Somma di DARE",'Pivot BBVA'!$A$3,"Mese",1,"Tipologia",$A197),0)
+ IFERROR(GETPIVOTDATA("Somma di DARE",'Pivot Amex'!$A$3,"Mese",1,"Tipologia",$A197),0)
- IFERROR(GETPIVOTDATA("Somma di AVERE",'Pivot Amex'!$A$3,"Mese",1,"Tipologia",$A197),0)
- IFERROR(GETPIVOTDATA("Somma di AVERE",'Pivot BBVA'!$A$3,"Mese",1,"Tipologia",$A197),0)
- IFERROR(GETPIVOTDATA("Somma di AVERE",'Pivot Fineco St'!$A$3,"Mese",1,"Tipologia",$A197),0)
- IFERROR(GETPIVOTDATA("Somma di AVERE",'Pivot Fineco Sa'!$A$3,"Mese",1,"Tipologia",$A197),0)
+ IFERROR(GETPIVOTDATA("Somma di DARE",'Pivot PP Visa'!$A$3,"Mese",1,"Tipologia",$A197),0)
- IFERROR(GETPIVOTDATA("Somma di AVERE",'Pivot PP Visa'!$A$3,"Mese",1,"Tipologia",$A197),0)
+ IFERROR(GETPIVOTDATA("Somma di DARE",'Pivot Revolut'!$A$3,"Mese",1,"Tipologia",$A197),0)
- IFERROR(GETPIVOTDATA("Somma di AVERE",'Pivot Revolut'!$A$3,"Mese",1,"Tipologia",$A197),0)</f>
        <v>0</v>
      </c>
      <c r="D197" s="243">
        <f>IFERROR(GETPIVOTDATA("Somma di DARE EUR",'Pivot RakBank AED'!$A$3,"Mese",2,"Tipologia",$A197),0)
- IFERROR(GETPIVOTDATA("Somma di AVERE EUR",'Pivot RakBank AED'!$A$3,"Mese",2,"Tipologia",$A197),0)
+IFERROR(GETPIVOTDATA("Somma di DARE",'Pivot RakBank EUR'!$A$3,"Mese",2,"Tipologia",$A197),0)
- IFERROR(GETPIVOTDATA("Somma di AVERE",'Pivot RakBank EUR'!$A$3,"Mese",2,"Tipologia",$A197),0)
+IFERROR(GETPIVOTDATA("Somma di DARE",'Pivot Fineco Sa'!$A$3,"Mese",2,"Tipologia",$A197),0)
+ IFERROR(GETPIVOTDATA("Somma di DARE",'Pivot Fineco St'!$A$3,"Mese",2,"Tipologia",$A197),0)
+ Contanti!F59
+ IFERROR(GETPIVOTDATA("Somma di DARE",'Pivot BBVA'!$A$3,"Mese",2,"Tipologia",$A197),0)
+ IFERROR(GETPIVOTDATA("Somma di DARE",'Pivot Amex'!$A$3,"Mese",2,"Tipologia",$A197),0)
- IFERROR(GETPIVOTDATA("Somma di AVERE",'Pivot Amex'!$A$3,"Mese",2,"Tipologia",$A197),0)
- IFERROR(GETPIVOTDATA("Somma di AVERE",'Pivot BBVA'!$A$3,"Mese",2,"Tipologia",$A197),0)
- IFERROR(GETPIVOTDATA("Somma di AVERE",'Pivot Fineco St'!$A$3,"Mese",2,"Tipologia",$A197),0)
- IFERROR(GETPIVOTDATA("Somma di AVERE",'Pivot Fineco Sa'!$A$3,"Mese",2,"Tipologia",$A197),0)
+ IFERROR(GETPIVOTDATA("Somma di DARE",'Pivot PP Visa'!$A$3,"Mese",2,"Tipologia",$A197),0)
- IFERROR(GETPIVOTDATA("Somma di AVERE",'Pivot PP Visa'!$A$3,"Mese",2,"Tipologia",$A197),0)
+ IFERROR(GETPIVOTDATA("Somma di DARE",'Pivot Revolut'!$A$3,"Mese",2,"Tipologia",$A197),0)
- IFERROR(GETPIVOTDATA("Somma di AVERE",'Pivot Revolut'!$A$3,"Mese",2,"Tipologia",$A197),0)</f>
        <v>0</v>
      </c>
      <c r="E197" s="243">
        <f>IFERROR(GETPIVOTDATA("Somma di DARE EUR",'Pivot RakBank AED'!$A$3,"Mese",3,"Tipologia",$A197),0)
- IFERROR(GETPIVOTDATA("Somma di AVERE EUR",'Pivot RakBank AED'!$A$3,"Mese",3,"Tipologia",$A197),0)
+IFERROR(GETPIVOTDATA("Somma di DARE",'Pivot RakBank EUR'!$A$3,"Mese",3,"Tipologia",$A197),0)
- IFERROR(GETPIVOTDATA("Somma di AVERE",'Pivot RakBank EUR'!$A$3,"Mese",3,"Tipologia",$A197),0)
+IFERROR(GETPIVOTDATA("Somma di DARE",'Pivot Fineco Sa'!$A$3,"Mese",3,"Tipologia",$A197),0)
+ IFERROR(GETPIVOTDATA("Somma di DARE",'Pivot Fineco St'!$A$3,"Mese",3,"Tipologia",$A197),0)
+ Contanti!J59
+ IFERROR(GETPIVOTDATA("Somma di DARE",'Pivot BBVA'!$A$3,"Mese",3,"Tipologia",$A197),0)
+ IFERROR(GETPIVOTDATA("Somma di DARE",'Pivot Amex'!$A$3,"Mese",3,"Tipologia",$A197),0)
- IFERROR(GETPIVOTDATA("Somma di AVERE",'Pivot Amex'!$A$3,"Mese",3,"Tipologia",$A197),0)
- IFERROR(GETPIVOTDATA("Somma di AVERE",'Pivot BBVA'!$A$3,"Mese",3,"Tipologia",$A197),0)
- IFERROR(GETPIVOTDATA("Somma di AVERE",'Pivot Fineco St'!$A$3,"Mese",3,"Tipologia",$A197),0)
- IFERROR(GETPIVOTDATA("Somma di AVERE",'Pivot Fineco Sa'!$A$3,"Mese",3,"Tipologia",$A197),0)
+ IFERROR(GETPIVOTDATA("Somma di DARE",'Pivot PP Visa'!$A$3,"Mese",3,"Tipologia",$A197),0)
- IFERROR(GETPIVOTDATA("Somma di AVERE",'Pivot PP Visa'!$A$3,"Mese",3,"Tipologia",$A197),0)
+ IFERROR(GETPIVOTDATA("Somma di DARE",'Pivot Revolut'!$A$3,"Mese",3,"Tipologia",$A197),0)
- IFERROR(GETPIVOTDATA("Somma di AVERE",'Pivot Revolut'!$A$3,"Mese",3,"Tipologia",$A197),0)</f>
        <v>517.78</v>
      </c>
      <c r="F197" s="243">
        <f>IFERROR(GETPIVOTDATA("Somma di DARE EUR",'Pivot RakBank AED'!$A$3,"Mese",4,"Tipologia",$A197),0)
- IFERROR(GETPIVOTDATA("Somma di AVERE EUR",'Pivot RakBank AED'!$A$3,"Mese",4,"Tipologia",$A197),0)
+IFERROR(GETPIVOTDATA("Somma di DARE",'Pivot RakBank EUR'!$A$3,"Mese",4,"Tipologia",$A197),0)
- IFERROR(GETPIVOTDATA("Somma di AVERE",'Pivot RakBank EUR'!$A$3,"Mese",4,"Tipologia",$A197),0)
+IFERROR(GETPIVOTDATA("Somma di DARE",'Pivot Fineco Sa'!$A$3,"Mese",4,"Tipologia",$A197),0)
+ IFERROR(GETPIVOTDATA("Somma di DARE",'Pivot Fineco St'!$A$3,"Mese",4,"Tipologia",$A197),0)
+ Contanti!N59
+ IFERROR(GETPIVOTDATA("Somma di DARE",'Pivot BBVA'!$A$3,"Mese",4,"Tipologia",$A197),0)
+ IFERROR(GETPIVOTDATA("Somma di DARE",'Pivot Amex'!$A$3,"Mese",4,"Tipologia",$A197),0)
- IFERROR(GETPIVOTDATA("Somma di AVERE",'Pivot Amex'!$A$3,"Mese",4,"Tipologia",$A197),0)
- IFERROR(GETPIVOTDATA("Somma di AVERE",'Pivot BBVA'!$A$3,"Mese",4,"Tipologia",$A197),0)
- IFERROR(GETPIVOTDATA("Somma di AVERE",'Pivot Fineco St'!$A$3,"Mese",4,"Tipologia",$A197),0)
- IFERROR(GETPIVOTDATA("Somma di AVERE",'Pivot Fineco Sa'!$A$3,"Mese",4,"Tipologia",$A197),0)
+ IFERROR(GETPIVOTDATA("Somma di DARE",'Pivot PP Visa'!$A$3,"Mese",4,"Tipologia",$A197),0)
- IFERROR(GETPIVOTDATA("Somma di AVERE",'Pivot PP Visa'!$A$3,"Mese",4,"Tipologia",$A197),0)
+ IFERROR(GETPIVOTDATA("Somma di DARE",'Pivot Revolut'!$A$3,"Mese",4,"Tipologia",$A197),0)
- IFERROR(GETPIVOTDATA("Somma di AVERE",'Pivot Revolut'!$A$3,"Mese",4,"Tipologia",$A197),0)</f>
        <v>0</v>
      </c>
      <c r="G197" s="243">
        <f>IFERROR(GETPIVOTDATA("Somma di DARE EUR",'Pivot RakBank AED'!$A$3,"Mese",5,"Tipologia",$A197),0)
- IFERROR(GETPIVOTDATA("Somma di AVERE EUR",'Pivot RakBank AED'!$A$3,"Mese",5,"Tipologia",$A197),0)
+IFERROR(GETPIVOTDATA("Somma di DARE",'Pivot RakBank EUR'!$A$3,"Mese",5,"Tipologia",$A197),0)
- IFERROR(GETPIVOTDATA("Somma di AVERE",'Pivot RakBank EUR'!$A$3,"Mese",5,"Tipologia",$A197),0)
+IFERROR(GETPIVOTDATA("Somma di DARE",'Pivot Fineco Sa'!$A$3,"Mese",5,"Tipologia",$A197),0)
+ IFERROR(GETPIVOTDATA("Somma di DARE",'Pivot Fineco St'!$A$3,"Mese",5,"Tipologia",$A197),0)
+ Contanti!R59
+ IFERROR(GETPIVOTDATA("Somma di DARE",'Pivot BBVA'!$A$3,"Mese",5,"Tipologia",$A197),0)
+ IFERROR(GETPIVOTDATA("Somma di DARE",'Pivot Amex'!$A$3,"Mese",5,"Tipologia",$A197),0)
- IFERROR(GETPIVOTDATA("Somma di AVERE",'Pivot Amex'!$A$3,"Mese",5,"Tipologia",$A197),0)
- IFERROR(GETPIVOTDATA("Somma di AVERE",'Pivot BBVA'!$A$3,"Mese",5,"Tipologia",$A197),0)
- IFERROR(GETPIVOTDATA("Somma di AVERE",'Pivot Fineco St'!$A$3,"Mese",5,"Tipologia",$A197),0)
- IFERROR(GETPIVOTDATA("Somma di AVERE",'Pivot Fineco Sa'!$A$3,"Mese",5,"Tipologia",$A197),0)
+ IFERROR(GETPIVOTDATA("Somma di DARE",'Pivot PP Visa'!$A$3,"Mese",5,"Tipologia",$A197),0)
- IFERROR(GETPIVOTDATA("Somma di AVERE",'Pivot PP Visa'!$A$3,"Mese",5,"Tipologia",$A197),0)
+ IFERROR(GETPIVOTDATA("Somma di DARE",'Pivot Revolut'!$A$3,"Mese",5,"Tipologia",$A197),0)
- IFERROR(GETPIVOTDATA("Somma di AVERE",'Pivot Revolut'!$A$3,"Mese",5,"Tipologia",$A197),0)</f>
        <v>0</v>
      </c>
      <c r="H197" s="243">
        <f>IFERROR(GETPIVOTDATA("Somma di DARE EUR",'Pivot RakBank AED'!$A$3,"Mese",6,"Tipologia",$A197),0)
- IFERROR(GETPIVOTDATA("Somma di AVERE EUR",'Pivot RakBank AED'!$A$3,"Mese",6,"Tipologia",$A197),0)
+IFERROR(GETPIVOTDATA("Somma di DARE",'Pivot RakBank EUR'!$A$3,"Mese",6,"Tipologia",$A197),0)
- IFERROR(GETPIVOTDATA("Somma di AVERE",'Pivot RakBank EUR'!$A$3,"Mese",6,"Tipologia",$A197),0)
+IFERROR(GETPIVOTDATA("Somma di DARE",'Pivot Fineco Sa'!$A$3,"Mese",6,"Tipologia",$A197),0)
+ IFERROR(GETPIVOTDATA("Somma di DARE",'Pivot Fineco St'!$A$3,"Mese",6,"Tipologia",$A197),0)
+ Contanti!V59
+ IFERROR(GETPIVOTDATA("Somma di DARE",'Pivot BBVA'!$A$3,"Mese",6,"Tipologia",$A197),0)
+ IFERROR(GETPIVOTDATA("Somma di DARE",'Pivot Amex'!$A$3,"Mese",6,"Tipologia",$A197),0)
- IFERROR(GETPIVOTDATA("Somma di AVERE",'Pivot Amex'!$A$3,"Mese",6,"Tipologia",$A197),0)
- IFERROR(GETPIVOTDATA("Somma di AVERE",'Pivot BBVA'!$A$3,"Mese",6,"Tipologia",$A197),0)
- IFERROR(GETPIVOTDATA("Somma di AVERE",'Pivot Fineco St'!$A$3,"Mese",6,"Tipologia",$A197),0)
- IFERROR(GETPIVOTDATA("Somma di AVERE",'Pivot Fineco Sa'!$A$3,"Mese",6,"Tipologia",$A197),0)
+ IFERROR(GETPIVOTDATA("Somma di DARE",'Pivot PP Visa'!$A$3,"Mese",6,"Tipologia",$A197),0)
- IFERROR(GETPIVOTDATA("Somma di AVERE",'Pivot PP Visa'!$A$3,"Mese",6,"Tipologia",$A197),0)
+ IFERROR(GETPIVOTDATA("Somma di DARE",'Pivot Revolut'!$A$3,"Mese",6,"Tipologia",$A197),0)
- IFERROR(GETPIVOTDATA("Somma di AVERE",'Pivot Revolut'!$A$3,"Mese",6,"Tipologia",$A197),0)</f>
        <v>0</v>
      </c>
      <c r="I197" s="243">
        <f>IFERROR(GETPIVOTDATA("Somma di DARE EUR",'Pivot RakBank AED'!$A$3,"Mese",7,"Tipologia",$A197),0)
- IFERROR(GETPIVOTDATA("Somma di AVERE EUR",'Pivot RakBank AED'!$A$3,"Mese",7,"Tipologia",$A197),0)
+IFERROR(GETPIVOTDATA("Somma di DARE",'Pivot RakBank EUR'!$A$3,"Mese",7,"Tipologia",$A197),0)
- IFERROR(GETPIVOTDATA("Somma di AVERE",'Pivot RakBank EUR'!$A$3,"Mese",7,"Tipologia",$A197),0)
+IFERROR(GETPIVOTDATA("Somma di DARE",'Pivot Fineco Sa'!$A$3,"Mese",7,"Tipologia",$A197),0)
+ IFERROR(GETPIVOTDATA("Somma di DARE",'Pivot Fineco St'!$A$3,"Mese",7,"Tipologia",$A197),0)
+ Contanti!Z59
+ IFERROR(GETPIVOTDATA("Somma di DARE",'Pivot BBVA'!$A$3,"Mese",7,"Tipologia",$A197),0)
+ IFERROR(GETPIVOTDATA("Somma di DARE",'Pivot Amex'!$A$3,"Mese",7,"Tipologia",$A197),0)
- IFERROR(GETPIVOTDATA("Somma di AVERE",'Pivot Amex'!$A$3,"Mese",7,"Tipologia",$A197),0)
- IFERROR(GETPIVOTDATA("Somma di AVERE",'Pivot BBVA'!$A$3,"Mese",7,"Tipologia",$A197),0)
- IFERROR(GETPIVOTDATA("Somma di AVERE",'Pivot Fineco St'!$A$3,"Mese",7,"Tipologia",$A197),0)
- IFERROR(GETPIVOTDATA("Somma di AVERE",'Pivot Fineco Sa'!$A$3,"Mese",7,"Tipologia",$A197),0)
+ IFERROR(GETPIVOTDATA("Somma di DARE",'Pivot PP Visa'!$A$3,"Mese",7,"Tipologia",$A197),0)
- IFERROR(GETPIVOTDATA("Somma di AVERE",'Pivot PP Visa'!$A$3,"Mese",7,"Tipologia",$A197),0)
+ IFERROR(GETPIVOTDATA("Somma di DARE",'Pivot Revolut'!$A$3,"Mese",7,"Tipologia",$A197),0)
- IFERROR(GETPIVOTDATA("Somma di AVERE",'Pivot Revolut'!$A$3,"Mese",7,"Tipologia",$A197),0)</f>
        <v>0</v>
      </c>
      <c r="J197" s="243">
        <f>IFERROR(GETPIVOTDATA("Somma di DARE EUR",'Pivot RakBank AED'!$A$3,"Mese",8,"Tipologia",$A197),0)
- IFERROR(GETPIVOTDATA("Somma di AVERE EUR",'Pivot RakBank AED'!$A$3,"Mese",8,"Tipologia",$A197),0)
+IFERROR(GETPIVOTDATA("Somma di DARE",'Pivot RakBank EUR'!$A$3,"Mese",8,"Tipologia",$A197),0)
- IFERROR(GETPIVOTDATA("Somma di AVERE",'Pivot RakBank EUR'!$A$3,"Mese",8,"Tipologia",$A197),0)
+IFERROR(GETPIVOTDATA("Somma di DARE",'Pivot Fineco Sa'!$A$3,"Mese",8,"Tipologia",$A197),0)
+ IFERROR(GETPIVOTDATA("Somma di DARE",'Pivot Fineco St'!$A$3,"Mese",8,"Tipologia",$A197),0)
+ Contanti!AD59
+ IFERROR(GETPIVOTDATA("Somma di DARE",'Pivot BBVA'!$A$3,"Mese",8,"Tipologia",$A197),0)
+ IFERROR(GETPIVOTDATA("Somma di DARE",'Pivot Amex'!$A$3,"Mese",8,"Tipologia",$A197),0)
- IFERROR(GETPIVOTDATA("Somma di AVERE",'Pivot Amex'!$A$3,"Mese",8,"Tipologia",$A197),0)
- IFERROR(GETPIVOTDATA("Somma di AVERE",'Pivot BBVA'!$A$3,"Mese",8,"Tipologia",$A197),0)
- IFERROR(GETPIVOTDATA("Somma di AVERE",'Pivot Fineco St'!$A$3,"Mese",8,"Tipologia",$A197),0)
- IFERROR(GETPIVOTDATA("Somma di AVERE",'Pivot Fineco Sa'!$A$3,"Mese",8,"Tipologia",$A197),0)
+ IFERROR(GETPIVOTDATA("Somma di DARE",'Pivot PP Visa'!$A$3,"Mese",8,"Tipologia",$A197),0)
- IFERROR(GETPIVOTDATA("Somma di AVERE",'Pivot PP Visa'!$A$3,"Mese",8,"Tipologia",$A197),0)
+ IFERROR(GETPIVOTDATA("Somma di DARE",'Pivot Revolut'!$A$3,"Mese",8,"Tipologia",$A197),0)
- IFERROR(GETPIVOTDATA("Somma di AVERE",'Pivot Revolut'!$A$3,"Mese",8,"Tipologia",$A197),0)</f>
        <v>0</v>
      </c>
      <c r="K197" s="243">
        <f>IFERROR(GETPIVOTDATA("Somma di DARE EUR",'Pivot RakBank AED'!$A$3,"Mese",9,"Tipologia",$A197),0)
- IFERROR(GETPIVOTDATA("Somma di AVERE EUR",'Pivot RakBank AED'!$A$3,"Mese",9,"Tipologia",$A197),0)
+IFERROR(GETPIVOTDATA("Somma di DARE",'Pivot RakBank EUR'!$A$3,"Mese",9,"Tipologia",$A197),0)
- IFERROR(GETPIVOTDATA("Somma di AVERE",'Pivot RakBank EUR'!$A$3,"Mese",9,"Tipologia",$A197),0)
+IFERROR(GETPIVOTDATA("Somma di DARE",'Pivot Fineco Sa'!$A$3,"Mese",9,"Tipologia",$A197),0)
+ IFERROR(GETPIVOTDATA("Somma di DARE",'Pivot Fineco St'!$A$3,"Mese",9,"Tipologia",$A197),0)
+ Contanti!AH59
+ IFERROR(GETPIVOTDATA("Somma di DARE",'Pivot BBVA'!$A$3,"Mese",9,"Tipologia",$A197),0)
+ IFERROR(GETPIVOTDATA("Somma di DARE",'Pivot Amex'!$A$3,"Mese",9,"Tipologia",$A197),0)
- IFERROR(GETPIVOTDATA("Somma di AVERE",'Pivot Amex'!$A$3,"Mese",9,"Tipologia",$A197),0)
- IFERROR(GETPIVOTDATA("Somma di AVERE",'Pivot BBVA'!$A$3,"Mese",9,"Tipologia",$A197),0)
- IFERROR(GETPIVOTDATA("Somma di AVERE",'Pivot Fineco St'!$A$3,"Mese",9,"Tipologia",$A197),0)
- IFERROR(GETPIVOTDATA("Somma di AVERE",'Pivot Fineco Sa'!$A$3,"Mese",9,"Tipologia",$A197),0)
+ IFERROR(GETPIVOTDATA("Somma di DARE",'Pivot PP Visa'!$A$3,"Mese",9,"Tipologia",$A197),0)
- IFERROR(GETPIVOTDATA("Somma di AVERE",'Pivot PP Visa'!$A$3,"Mese",9,"Tipologia",$A197),0)
+ IFERROR(GETPIVOTDATA("Somma di DARE",'Pivot Revolut'!$A$3,"Mese",9,"Tipologia",$A197),0)
- IFERROR(GETPIVOTDATA("Somma di AVERE",'Pivot Revolut'!$A$3,"Mese",9,"Tipologia",$A197),0)</f>
        <v>0</v>
      </c>
      <c r="L197" s="243">
        <f>IFERROR(GETPIVOTDATA("Somma di DARE EUR",'Pivot RakBank AED'!$A$3,"Mese",10,"Tipologia",$A197),0)
- IFERROR(GETPIVOTDATA("Somma di AVERE EUR",'Pivot RakBank AED'!$A$3,"Mese",10,"Tipologia",$A197),0)
+IFERROR(GETPIVOTDATA("Somma di DARE",'Pivot RakBank EUR'!$A$3,"Mese",10,"Tipologia",$A197),0)
- IFERROR(GETPIVOTDATA("Somma di AVERE",'Pivot RakBank EUR'!$A$3,"Mese",10,"Tipologia",$A197),0)
+IFERROR(GETPIVOTDATA("Somma di DARE",'Pivot Fineco Sa'!$A$3,"Mese",10,"Tipologia",$A197),0)
+ IFERROR(GETPIVOTDATA("Somma di DARE",'Pivot Fineco St'!$A$3,"Mese",10,"Tipologia",$A197),0)
+ Contanti!AL59
+ IFERROR(GETPIVOTDATA("Somma di DARE",'Pivot BBVA'!$A$3,"Mese",10,"Tipologia",$A197),0)
+ IFERROR(GETPIVOTDATA("Somma di DARE",'Pivot Amex'!$A$3,"Mese",10,"Tipologia",$A197),0)
- IFERROR(GETPIVOTDATA("Somma di AVERE",'Pivot Amex'!$A$3,"Mese",10,"Tipologia",$A197),0)
- IFERROR(GETPIVOTDATA("Somma di AVERE",'Pivot BBVA'!$A$3,"Mese",10,"Tipologia",$A197),0)
- IFERROR(GETPIVOTDATA("Somma di AVERE",'Pivot Fineco St'!$A$3,"Mese",10,"Tipologia",$A197),0)
- IFERROR(GETPIVOTDATA("Somma di AVERE",'Pivot Fineco Sa'!$A$3,"Mese",10,"Tipologia",$A197),0)
+ IFERROR(GETPIVOTDATA("Somma di DARE",'Pivot PP Visa'!$A$3,"Mese",10,"Tipologia",$A197),0)
- IFERROR(GETPIVOTDATA("Somma di AVERE",'Pivot PP Visa'!$A$3,"Mese",10,"Tipologia",$A197),0)
+ IFERROR(GETPIVOTDATA("Somma di DARE",'Pivot Revolut'!$A$3,"Mese",10,"Tipologia",$A197),0)
- IFERROR(GETPIVOTDATA("Somma di AVERE",'Pivot Revolut'!$A$3,"Mese",10,"Tipologia",$A197),0)</f>
        <v>0</v>
      </c>
      <c r="M197" s="243">
        <f>IFERROR(GETPIVOTDATA("Somma di DARE EUR",'Pivot RakBank AED'!$A$3,"Mese",11,"Tipologia",$A197),0)
- IFERROR(GETPIVOTDATA("Somma di AVERE EUR",'Pivot RakBank AED'!$A$3,"Mese",11,"Tipologia",$A197),0)
+IFERROR(GETPIVOTDATA("Somma di DARE",'Pivot RakBank EUR'!$A$3,"Mese",11,"Tipologia",$A197),0)
- IFERROR(GETPIVOTDATA("Somma di AVERE",'Pivot RakBank EUR'!$A$3,"Mese",11,"Tipologia",$A197),0)
+IFERROR(GETPIVOTDATA("Somma di DARE",'Pivot Fineco Sa'!$A$3,"Mese",11,"Tipologia",$A197),0)
+ IFERROR(GETPIVOTDATA("Somma di DARE",'Pivot Fineco St'!$A$3,"Mese",11,"Tipologia",$A197),0)
+ Contanti!AP59
+ IFERROR(GETPIVOTDATA("Somma di DARE",'Pivot BBVA'!$A$3,"Mese",11,"Tipologia",$A197),0)
+ IFERROR(GETPIVOTDATA("Somma di DARE",'Pivot Amex'!$A$3,"Mese",11,"Tipologia",$A197),0)
- IFERROR(GETPIVOTDATA("Somma di AVERE",'Pivot Amex'!$A$3,"Mese",11,"Tipologia",$A197),0)
- IFERROR(GETPIVOTDATA("Somma di AVERE",'Pivot BBVA'!$A$3,"Mese",11,"Tipologia",$A197),0)
- IFERROR(GETPIVOTDATA("Somma di AVERE",'Pivot Fineco St'!$A$3,"Mese",11,"Tipologia",$A197),0)
- IFERROR(GETPIVOTDATA("Somma di AVERE",'Pivot Fineco Sa'!$A$3,"Mese",11,"Tipologia",$A197),0)
+ IFERROR(GETPIVOTDATA("Somma di DARE",'Pivot PP Visa'!$A$3,"Mese",11,"Tipologia",$A197),0)
- IFERROR(GETPIVOTDATA("Somma di AVERE",'Pivot PP Visa'!$A$3,"Mese",11,"Tipologia",$A197),0)
+ IFERROR(GETPIVOTDATA("Somma di DARE",'Pivot Revolut'!$A$3,"Mese",11,"Tipologia",$A197),0)
- IFERROR(GETPIVOTDATA("Somma di AVERE",'Pivot Revolut'!$A$3,"Mese",11,"Tipologia",$A197),0)</f>
        <v>0</v>
      </c>
      <c r="N197" s="243">
        <f>IFERROR(GETPIVOTDATA("Somma di DARE EUR",'Pivot RakBank AED'!$A$3,"Mese",12,"Tipologia",$A197),0)
- IFERROR(GETPIVOTDATA("Somma di AVERE EUR",'Pivot RakBank AED'!$A$3,"Mese",12,"Tipologia",$A197),0)
+IFERROR(GETPIVOTDATA("Somma di DARE",'Pivot RakBank EUR'!$A$3,"Mese",12,"Tipologia",$A197),0)
- IFERROR(GETPIVOTDATA("Somma di AVERE",'Pivot RakBank EUR'!$A$3,"Mese",12,"Tipologia",$A197),0)
+IFERROR(GETPIVOTDATA("Somma di DARE",'Pivot Fineco Sa'!$A$3,"Mese",12,"Tipologia",$A197),0)
+ IFERROR(GETPIVOTDATA("Somma di DARE",'Pivot Fineco St'!$A$3,"Mese",12,"Tipologia",$A197),0)
+ Contanti!AT59
+ IFERROR(GETPIVOTDATA("Somma di DARE",'Pivot BBVA'!$A$3,"Mese",12,"Tipologia",$A197),0)
+ IFERROR(GETPIVOTDATA("Somma di DARE",'Pivot Amex'!$A$3,"Mese",12,"Tipologia",$A197),0)
- IFERROR(GETPIVOTDATA("Somma di AVERE",'Pivot Amex'!$A$3,"Mese",12,"Tipologia",$A197),0)
- IFERROR(GETPIVOTDATA("Somma di AVERE",'Pivot BBVA'!$A$3,"Mese",12,"Tipologia",$A197),0)
- IFERROR(GETPIVOTDATA("Somma di AVERE",'Pivot Fineco St'!$A$3,"Mese",12,"Tipologia",$A197),0)
- IFERROR(GETPIVOTDATA("Somma di AVERE",'Pivot Fineco Sa'!$A$3,"Mese",12,"Tipologia",$A197),0)
+ IFERROR(GETPIVOTDATA("Somma di DARE",'Pivot PP Visa'!$A$3,"Mese",12,"Tipologia",$A197),0)
- IFERROR(GETPIVOTDATA("Somma di AVERE",'Pivot PP Visa'!$A$3,"Mese",12,"Tipologia",$A197),0)
+ IFERROR(GETPIVOTDATA("Somma di DARE",'Pivot Revolut'!$A$3,"Mese",12,"Tipologia",$A197),0)
- IFERROR(GETPIVOTDATA("Somma di AVERE",'Pivot Revolut'!$A$3,"Mese",12,"Tipologia",$A197),0)</f>
        <v>0</v>
      </c>
      <c r="O197" s="252">
        <f t="shared" si="27"/>
        <v>517.78</v>
      </c>
      <c r="P197" s="243">
        <f t="shared" ref="P197:P204" ca="1" si="28">O197/(MONTH(TODAY()))</f>
        <v>73.968571428571423</v>
      </c>
    </row>
    <row r="198" spans="1:16" s="125" customFormat="1" ht="21" customHeight="1" x14ac:dyDescent="0.2">
      <c r="A198" s="251" t="s">
        <v>145</v>
      </c>
      <c r="B198" s="251"/>
      <c r="C198" s="243">
        <f>IFERROR(GETPIVOTDATA("Somma di DARE EUR",'Pivot RakBank AED'!$A$3,"Mese",1,"Tipologia",$A198),0)
- IFERROR(GETPIVOTDATA("Somma di AVERE EUR",'Pivot RakBank AED'!$A$3,"Mese",1,"Tipologia",$A198),0)
+IFERROR(GETPIVOTDATA("Somma di DARE",'Pivot RakBank EUR'!$A$3,"Mese",1,"Tipologia",$A198),0)
- IFERROR(GETPIVOTDATA("Somma di AVERE",'Pivot RakBank EUR'!$A$3,"Mese",1,"Tipologia",$A198),0)
+IFERROR(GETPIVOTDATA("Somma di DARE",'Pivot Fineco Sa'!$A$3,"Mese",1,"Tipologia",$A198),0)
+ IFERROR(GETPIVOTDATA("Somma di DARE",'Pivot Fineco St'!$A$3,"Mese",1,"Tipologia",$A198),0)
+ Contanti!B60
+ IFERROR(GETPIVOTDATA("Somma di DARE",'Pivot BBVA'!$A$3,"Mese",1,"Tipologia",$A198),0)
+ IFERROR(GETPIVOTDATA("Somma di DARE",'Pivot Amex'!$A$3,"Mese",1,"Tipologia",$A198),0)
- IFERROR(GETPIVOTDATA("Somma di AVERE",'Pivot Amex'!$A$3,"Mese",1,"Tipologia",$A198),0)
- IFERROR(GETPIVOTDATA("Somma di AVERE",'Pivot BBVA'!$A$3,"Mese",1,"Tipologia",$A198),0)
- IFERROR(GETPIVOTDATA("Somma di AVERE",'Pivot Fineco St'!$A$3,"Mese",1,"Tipologia",$A198),0)
- IFERROR(GETPIVOTDATA("Somma di AVERE",'Pivot Fineco Sa'!$A$3,"Mese",1,"Tipologia",$A198),0)
+ IFERROR(GETPIVOTDATA("Somma di DARE",'Pivot PP Visa'!$A$3,"Mese",1,"Tipologia",$A198),0)
- IFERROR(GETPIVOTDATA("Somma di AVERE",'Pivot PP Visa'!$A$3,"Mese",1,"Tipologia",$A198),0)
+ IFERROR(GETPIVOTDATA("Somma di DARE",'Pivot Revolut'!$A$3,"Mese",1,"Tipologia",$A198),0)
- IFERROR(GETPIVOTDATA("Somma di AVERE",'Pivot Revolut'!$A$3,"Mese",1,"Tipologia",$A198),0)</f>
        <v>151.10000000000002</v>
      </c>
      <c r="D198" s="243">
        <f>IFERROR(GETPIVOTDATA("Somma di DARE EUR",'Pivot RakBank AED'!$A$3,"Mese",2,"Tipologia",$A198),0)
- IFERROR(GETPIVOTDATA("Somma di AVERE EUR",'Pivot RakBank AED'!$A$3,"Mese",2,"Tipologia",$A198),0)
+IFERROR(GETPIVOTDATA("Somma di DARE",'Pivot RakBank EUR'!$A$3,"Mese",2,"Tipologia",$A198),0)
- IFERROR(GETPIVOTDATA("Somma di AVERE",'Pivot RakBank EUR'!$A$3,"Mese",2,"Tipologia",$A198),0)
+IFERROR(GETPIVOTDATA("Somma di DARE",'Pivot Fineco Sa'!$A$3,"Mese",2,"Tipologia",$A198),0)
+ IFERROR(GETPIVOTDATA("Somma di DARE",'Pivot Fineco St'!$A$3,"Mese",2,"Tipologia",$A198),0)
+ Contanti!F60
+ IFERROR(GETPIVOTDATA("Somma di DARE",'Pivot BBVA'!$A$3,"Mese",2,"Tipologia",$A198),0)
+ IFERROR(GETPIVOTDATA("Somma di DARE",'Pivot Amex'!$A$3,"Mese",2,"Tipologia",$A198),0)
- IFERROR(GETPIVOTDATA("Somma di AVERE",'Pivot Amex'!$A$3,"Mese",2,"Tipologia",$A198),0)
- IFERROR(GETPIVOTDATA("Somma di AVERE",'Pivot BBVA'!$A$3,"Mese",2,"Tipologia",$A198),0)
- IFERROR(GETPIVOTDATA("Somma di AVERE",'Pivot Fineco St'!$A$3,"Mese",2,"Tipologia",$A198),0)
- IFERROR(GETPIVOTDATA("Somma di AVERE",'Pivot Fineco Sa'!$A$3,"Mese",2,"Tipologia",$A198),0)
+ IFERROR(GETPIVOTDATA("Somma di DARE",'Pivot PP Visa'!$A$3,"Mese",2,"Tipologia",$A198),0)
- IFERROR(GETPIVOTDATA("Somma di AVERE",'Pivot PP Visa'!$A$3,"Mese",2,"Tipologia",$A198),0)
+ IFERROR(GETPIVOTDATA("Somma di DARE",'Pivot Revolut'!$A$3,"Mese",2,"Tipologia",$A198),0)
- IFERROR(GETPIVOTDATA("Somma di AVERE",'Pivot Revolut'!$A$3,"Mese",2,"Tipologia",$A198),0)</f>
        <v>141.04</v>
      </c>
      <c r="E198" s="243">
        <f>IFERROR(GETPIVOTDATA("Somma di DARE EUR",'Pivot RakBank AED'!$A$3,"Mese",3,"Tipologia",$A198),0)
- IFERROR(GETPIVOTDATA("Somma di AVERE EUR",'Pivot RakBank AED'!$A$3,"Mese",3,"Tipologia",$A198),0)
+IFERROR(GETPIVOTDATA("Somma di DARE",'Pivot RakBank EUR'!$A$3,"Mese",3,"Tipologia",$A198),0)
- IFERROR(GETPIVOTDATA("Somma di AVERE",'Pivot RakBank EUR'!$A$3,"Mese",3,"Tipologia",$A198),0)
+IFERROR(GETPIVOTDATA("Somma di DARE",'Pivot Fineco Sa'!$A$3,"Mese",3,"Tipologia",$A198),0)
+ IFERROR(GETPIVOTDATA("Somma di DARE",'Pivot Fineco St'!$A$3,"Mese",3,"Tipologia",$A198),0)
+ Contanti!J60
+ IFERROR(GETPIVOTDATA("Somma di DARE",'Pivot BBVA'!$A$3,"Mese",3,"Tipologia",$A198),0)
+ IFERROR(GETPIVOTDATA("Somma di DARE",'Pivot Amex'!$A$3,"Mese",3,"Tipologia",$A198),0)
- IFERROR(GETPIVOTDATA("Somma di AVERE",'Pivot Amex'!$A$3,"Mese",3,"Tipologia",$A198),0)
- IFERROR(GETPIVOTDATA("Somma di AVERE",'Pivot BBVA'!$A$3,"Mese",3,"Tipologia",$A198),0)
- IFERROR(GETPIVOTDATA("Somma di AVERE",'Pivot Fineco St'!$A$3,"Mese",3,"Tipologia",$A198),0)
- IFERROR(GETPIVOTDATA("Somma di AVERE",'Pivot Fineco Sa'!$A$3,"Mese",3,"Tipologia",$A198),0)
+ IFERROR(GETPIVOTDATA("Somma di DARE",'Pivot PP Visa'!$A$3,"Mese",3,"Tipologia",$A198),0)
- IFERROR(GETPIVOTDATA("Somma di AVERE",'Pivot PP Visa'!$A$3,"Mese",3,"Tipologia",$A198),0)
+ IFERROR(GETPIVOTDATA("Somma di DARE",'Pivot Revolut'!$A$3,"Mese",3,"Tipologia",$A198),0)
- IFERROR(GETPIVOTDATA("Somma di AVERE",'Pivot Revolut'!$A$3,"Mese",3,"Tipologia",$A198),0)</f>
        <v>176.98000000000002</v>
      </c>
      <c r="F198" s="243">
        <f>IFERROR(GETPIVOTDATA("Somma di DARE EUR",'Pivot RakBank AED'!$A$3,"Mese",4,"Tipologia",$A198),0)
- IFERROR(GETPIVOTDATA("Somma di AVERE EUR",'Pivot RakBank AED'!$A$3,"Mese",4,"Tipologia",$A198),0)
+IFERROR(GETPIVOTDATA("Somma di DARE",'Pivot RakBank EUR'!$A$3,"Mese",4,"Tipologia",$A198),0)
- IFERROR(GETPIVOTDATA("Somma di AVERE",'Pivot RakBank EUR'!$A$3,"Mese",4,"Tipologia",$A198),0)
+IFERROR(GETPIVOTDATA("Somma di DARE",'Pivot Fineco Sa'!$A$3,"Mese",4,"Tipologia",$A198),0)
+ IFERROR(GETPIVOTDATA("Somma di DARE",'Pivot Fineco St'!$A$3,"Mese",4,"Tipologia",$A198),0)
+ Contanti!N60
+ IFERROR(GETPIVOTDATA("Somma di DARE",'Pivot BBVA'!$A$3,"Mese",4,"Tipologia",$A198),0)
+ IFERROR(GETPIVOTDATA("Somma di DARE",'Pivot Amex'!$A$3,"Mese",4,"Tipologia",$A198),0)
- IFERROR(GETPIVOTDATA("Somma di AVERE",'Pivot Amex'!$A$3,"Mese",4,"Tipologia",$A198),0)
- IFERROR(GETPIVOTDATA("Somma di AVERE",'Pivot BBVA'!$A$3,"Mese",4,"Tipologia",$A198),0)
- IFERROR(GETPIVOTDATA("Somma di AVERE",'Pivot Fineco St'!$A$3,"Mese",4,"Tipologia",$A198),0)
- IFERROR(GETPIVOTDATA("Somma di AVERE",'Pivot Fineco Sa'!$A$3,"Mese",4,"Tipologia",$A198),0)
+ IFERROR(GETPIVOTDATA("Somma di DARE",'Pivot PP Visa'!$A$3,"Mese",4,"Tipologia",$A198),0)
- IFERROR(GETPIVOTDATA("Somma di AVERE",'Pivot PP Visa'!$A$3,"Mese",4,"Tipologia",$A198),0)
+ IFERROR(GETPIVOTDATA("Somma di DARE",'Pivot Revolut'!$A$3,"Mese",4,"Tipologia",$A198),0)
- IFERROR(GETPIVOTDATA("Somma di AVERE",'Pivot Revolut'!$A$3,"Mese",4,"Tipologia",$A198),0)</f>
        <v>160</v>
      </c>
      <c r="G198" s="243">
        <f>IFERROR(GETPIVOTDATA("Somma di DARE EUR",'Pivot RakBank AED'!$A$3,"Mese",5,"Tipologia",$A198),0)
- IFERROR(GETPIVOTDATA("Somma di AVERE EUR",'Pivot RakBank AED'!$A$3,"Mese",5,"Tipologia",$A198),0)
+IFERROR(GETPIVOTDATA("Somma di DARE",'Pivot RakBank EUR'!$A$3,"Mese",5,"Tipologia",$A198),0)
- IFERROR(GETPIVOTDATA("Somma di AVERE",'Pivot RakBank EUR'!$A$3,"Mese",5,"Tipologia",$A198),0)
+IFERROR(GETPIVOTDATA("Somma di DARE",'Pivot Fineco Sa'!$A$3,"Mese",5,"Tipologia",$A198),0)
+ IFERROR(GETPIVOTDATA("Somma di DARE",'Pivot Fineco St'!$A$3,"Mese",5,"Tipologia",$A198),0)
+ Contanti!R60
+ IFERROR(GETPIVOTDATA("Somma di DARE",'Pivot BBVA'!$A$3,"Mese",5,"Tipologia",$A198),0)
+ IFERROR(GETPIVOTDATA("Somma di DARE",'Pivot Amex'!$A$3,"Mese",5,"Tipologia",$A198),0)
- IFERROR(GETPIVOTDATA("Somma di AVERE",'Pivot Amex'!$A$3,"Mese",5,"Tipologia",$A198),0)
- IFERROR(GETPIVOTDATA("Somma di AVERE",'Pivot BBVA'!$A$3,"Mese",5,"Tipologia",$A198),0)
- IFERROR(GETPIVOTDATA("Somma di AVERE",'Pivot Fineco St'!$A$3,"Mese",5,"Tipologia",$A198),0)
- IFERROR(GETPIVOTDATA("Somma di AVERE",'Pivot Fineco Sa'!$A$3,"Mese",5,"Tipologia",$A198),0)
+ IFERROR(GETPIVOTDATA("Somma di DARE",'Pivot PP Visa'!$A$3,"Mese",5,"Tipologia",$A198),0)
- IFERROR(GETPIVOTDATA("Somma di AVERE",'Pivot PP Visa'!$A$3,"Mese",5,"Tipologia",$A198),0)
+ IFERROR(GETPIVOTDATA("Somma di DARE",'Pivot Revolut'!$A$3,"Mese",5,"Tipologia",$A198),0)
- IFERROR(GETPIVOTDATA("Somma di AVERE",'Pivot Revolut'!$A$3,"Mese",5,"Tipologia",$A198),0)</f>
        <v>190.7</v>
      </c>
      <c r="H198" s="243">
        <f>IFERROR(GETPIVOTDATA("Somma di DARE EUR",'Pivot RakBank AED'!$A$3,"Mese",6,"Tipologia",$A198),0)
- IFERROR(GETPIVOTDATA("Somma di AVERE EUR",'Pivot RakBank AED'!$A$3,"Mese",6,"Tipologia",$A198),0)
+IFERROR(GETPIVOTDATA("Somma di DARE",'Pivot RakBank EUR'!$A$3,"Mese",6,"Tipologia",$A198),0)
- IFERROR(GETPIVOTDATA("Somma di AVERE",'Pivot RakBank EUR'!$A$3,"Mese",6,"Tipologia",$A198),0)
+IFERROR(GETPIVOTDATA("Somma di DARE",'Pivot Fineco Sa'!$A$3,"Mese",6,"Tipologia",$A198),0)
+ IFERROR(GETPIVOTDATA("Somma di DARE",'Pivot Fineco St'!$A$3,"Mese",6,"Tipologia",$A198),0)
+ Contanti!V60
+ IFERROR(GETPIVOTDATA("Somma di DARE",'Pivot BBVA'!$A$3,"Mese",6,"Tipologia",$A198),0)
+ IFERROR(GETPIVOTDATA("Somma di DARE",'Pivot Amex'!$A$3,"Mese",6,"Tipologia",$A198),0)
- IFERROR(GETPIVOTDATA("Somma di AVERE",'Pivot Amex'!$A$3,"Mese",6,"Tipologia",$A198),0)
- IFERROR(GETPIVOTDATA("Somma di AVERE",'Pivot BBVA'!$A$3,"Mese",6,"Tipologia",$A198),0)
- IFERROR(GETPIVOTDATA("Somma di AVERE",'Pivot Fineco St'!$A$3,"Mese",6,"Tipologia",$A198),0)
- IFERROR(GETPIVOTDATA("Somma di AVERE",'Pivot Fineco Sa'!$A$3,"Mese",6,"Tipologia",$A198),0)
+ IFERROR(GETPIVOTDATA("Somma di DARE",'Pivot PP Visa'!$A$3,"Mese",6,"Tipologia",$A198),0)
- IFERROR(GETPIVOTDATA("Somma di AVERE",'Pivot PP Visa'!$A$3,"Mese",6,"Tipologia",$A198),0)
+ IFERROR(GETPIVOTDATA("Somma di DARE",'Pivot Revolut'!$A$3,"Mese",6,"Tipologia",$A198),0)
- IFERROR(GETPIVOTDATA("Somma di AVERE",'Pivot Revolut'!$A$3,"Mese",6,"Tipologia",$A198),0)</f>
        <v>230.28</v>
      </c>
      <c r="I198" s="243">
        <f>IFERROR(GETPIVOTDATA("Somma di DARE EUR",'Pivot RakBank AED'!$A$3,"Mese",7,"Tipologia",$A198),0)
- IFERROR(GETPIVOTDATA("Somma di AVERE EUR",'Pivot RakBank AED'!$A$3,"Mese",7,"Tipologia",$A198),0)
+IFERROR(GETPIVOTDATA("Somma di DARE",'Pivot RakBank EUR'!$A$3,"Mese",7,"Tipologia",$A198),0)
- IFERROR(GETPIVOTDATA("Somma di AVERE",'Pivot RakBank EUR'!$A$3,"Mese",7,"Tipologia",$A198),0)
+IFERROR(GETPIVOTDATA("Somma di DARE",'Pivot Fineco Sa'!$A$3,"Mese",7,"Tipologia",$A198),0)
+ IFERROR(GETPIVOTDATA("Somma di DARE",'Pivot Fineco St'!$A$3,"Mese",7,"Tipologia",$A198),0)
+ Contanti!Z60
+ IFERROR(GETPIVOTDATA("Somma di DARE",'Pivot BBVA'!$A$3,"Mese",7,"Tipologia",$A198),0)
+ IFERROR(GETPIVOTDATA("Somma di DARE",'Pivot Amex'!$A$3,"Mese",7,"Tipologia",$A198),0)
- IFERROR(GETPIVOTDATA("Somma di AVERE",'Pivot Amex'!$A$3,"Mese",7,"Tipologia",$A198),0)
- IFERROR(GETPIVOTDATA("Somma di AVERE",'Pivot BBVA'!$A$3,"Mese",7,"Tipologia",$A198),0)
- IFERROR(GETPIVOTDATA("Somma di AVERE",'Pivot Fineco St'!$A$3,"Mese",7,"Tipologia",$A198),0)
- IFERROR(GETPIVOTDATA("Somma di AVERE",'Pivot Fineco Sa'!$A$3,"Mese",7,"Tipologia",$A198),0)
+ IFERROR(GETPIVOTDATA("Somma di DARE",'Pivot PP Visa'!$A$3,"Mese",7,"Tipologia",$A198),0)
- IFERROR(GETPIVOTDATA("Somma di AVERE",'Pivot PP Visa'!$A$3,"Mese",7,"Tipologia",$A198),0)
+ IFERROR(GETPIVOTDATA("Somma di DARE",'Pivot Revolut'!$A$3,"Mese",7,"Tipologia",$A198),0)
- IFERROR(GETPIVOTDATA("Somma di AVERE",'Pivot Revolut'!$A$3,"Mese",7,"Tipologia",$A198),0)</f>
        <v>100</v>
      </c>
      <c r="J198" s="243">
        <f>IFERROR(GETPIVOTDATA("Somma di DARE EUR",'Pivot RakBank AED'!$A$3,"Mese",8,"Tipologia",$A198),0)
- IFERROR(GETPIVOTDATA("Somma di AVERE EUR",'Pivot RakBank AED'!$A$3,"Mese",8,"Tipologia",$A198),0)
+IFERROR(GETPIVOTDATA("Somma di DARE",'Pivot RakBank EUR'!$A$3,"Mese",8,"Tipologia",$A198),0)
- IFERROR(GETPIVOTDATA("Somma di AVERE",'Pivot RakBank EUR'!$A$3,"Mese",8,"Tipologia",$A198),0)
+IFERROR(GETPIVOTDATA("Somma di DARE",'Pivot Fineco Sa'!$A$3,"Mese",8,"Tipologia",$A198),0)
+ IFERROR(GETPIVOTDATA("Somma di DARE",'Pivot Fineco St'!$A$3,"Mese",8,"Tipologia",$A198),0)
+ Contanti!AD60
+ IFERROR(GETPIVOTDATA("Somma di DARE",'Pivot BBVA'!$A$3,"Mese",8,"Tipologia",$A198),0)
+ IFERROR(GETPIVOTDATA("Somma di DARE",'Pivot Amex'!$A$3,"Mese",8,"Tipologia",$A198),0)
- IFERROR(GETPIVOTDATA("Somma di AVERE",'Pivot Amex'!$A$3,"Mese",8,"Tipologia",$A198),0)
- IFERROR(GETPIVOTDATA("Somma di AVERE",'Pivot BBVA'!$A$3,"Mese",8,"Tipologia",$A198),0)
- IFERROR(GETPIVOTDATA("Somma di AVERE",'Pivot Fineco St'!$A$3,"Mese",8,"Tipologia",$A198),0)
- IFERROR(GETPIVOTDATA("Somma di AVERE",'Pivot Fineco Sa'!$A$3,"Mese",8,"Tipologia",$A198),0)
+ IFERROR(GETPIVOTDATA("Somma di DARE",'Pivot PP Visa'!$A$3,"Mese",8,"Tipologia",$A198),0)
- IFERROR(GETPIVOTDATA("Somma di AVERE",'Pivot PP Visa'!$A$3,"Mese",8,"Tipologia",$A198),0)
+ IFERROR(GETPIVOTDATA("Somma di DARE",'Pivot Revolut'!$A$3,"Mese",8,"Tipologia",$A198),0)
- IFERROR(GETPIVOTDATA("Somma di AVERE",'Pivot Revolut'!$A$3,"Mese",8,"Tipologia",$A198),0)</f>
        <v>0</v>
      </c>
      <c r="K198" s="243">
        <f>IFERROR(GETPIVOTDATA("Somma di DARE EUR",'Pivot RakBank AED'!$A$3,"Mese",9,"Tipologia",$A198),0)
- IFERROR(GETPIVOTDATA("Somma di AVERE EUR",'Pivot RakBank AED'!$A$3,"Mese",9,"Tipologia",$A198),0)
+IFERROR(GETPIVOTDATA("Somma di DARE",'Pivot RakBank EUR'!$A$3,"Mese",9,"Tipologia",$A198),0)
- IFERROR(GETPIVOTDATA("Somma di AVERE",'Pivot RakBank EUR'!$A$3,"Mese",9,"Tipologia",$A198),0)
+IFERROR(GETPIVOTDATA("Somma di DARE",'Pivot Fineco Sa'!$A$3,"Mese",9,"Tipologia",$A198),0)
+ IFERROR(GETPIVOTDATA("Somma di DARE",'Pivot Fineco St'!$A$3,"Mese",9,"Tipologia",$A198),0)
+ Contanti!AH60
+ IFERROR(GETPIVOTDATA("Somma di DARE",'Pivot BBVA'!$A$3,"Mese",9,"Tipologia",$A198),0)
+ IFERROR(GETPIVOTDATA("Somma di DARE",'Pivot Amex'!$A$3,"Mese",9,"Tipologia",$A198),0)
- IFERROR(GETPIVOTDATA("Somma di AVERE",'Pivot Amex'!$A$3,"Mese",9,"Tipologia",$A198),0)
- IFERROR(GETPIVOTDATA("Somma di AVERE",'Pivot BBVA'!$A$3,"Mese",9,"Tipologia",$A198),0)
- IFERROR(GETPIVOTDATA("Somma di AVERE",'Pivot Fineco St'!$A$3,"Mese",9,"Tipologia",$A198),0)
- IFERROR(GETPIVOTDATA("Somma di AVERE",'Pivot Fineco Sa'!$A$3,"Mese",9,"Tipologia",$A198),0)
+ IFERROR(GETPIVOTDATA("Somma di DARE",'Pivot PP Visa'!$A$3,"Mese",9,"Tipologia",$A198),0)
- IFERROR(GETPIVOTDATA("Somma di AVERE",'Pivot PP Visa'!$A$3,"Mese",9,"Tipologia",$A198),0)
+ IFERROR(GETPIVOTDATA("Somma di DARE",'Pivot Revolut'!$A$3,"Mese",9,"Tipologia",$A198),0)
- IFERROR(GETPIVOTDATA("Somma di AVERE",'Pivot Revolut'!$A$3,"Mese",9,"Tipologia",$A198),0)</f>
        <v>0</v>
      </c>
      <c r="L198" s="243">
        <f>IFERROR(GETPIVOTDATA("Somma di DARE EUR",'Pivot RakBank AED'!$A$3,"Mese",10,"Tipologia",$A198),0)
- IFERROR(GETPIVOTDATA("Somma di AVERE EUR",'Pivot RakBank AED'!$A$3,"Mese",10,"Tipologia",$A198),0)
+IFERROR(GETPIVOTDATA("Somma di DARE",'Pivot RakBank EUR'!$A$3,"Mese",10,"Tipologia",$A198),0)
- IFERROR(GETPIVOTDATA("Somma di AVERE",'Pivot RakBank EUR'!$A$3,"Mese",10,"Tipologia",$A198),0)
+IFERROR(GETPIVOTDATA("Somma di DARE",'Pivot Fineco Sa'!$A$3,"Mese",10,"Tipologia",$A198),0)
+ IFERROR(GETPIVOTDATA("Somma di DARE",'Pivot Fineco St'!$A$3,"Mese",10,"Tipologia",$A198),0)
+ Contanti!AL60
+ IFERROR(GETPIVOTDATA("Somma di DARE",'Pivot BBVA'!$A$3,"Mese",10,"Tipologia",$A198),0)
+ IFERROR(GETPIVOTDATA("Somma di DARE",'Pivot Amex'!$A$3,"Mese",10,"Tipologia",$A198),0)
- IFERROR(GETPIVOTDATA("Somma di AVERE",'Pivot Amex'!$A$3,"Mese",10,"Tipologia",$A198),0)
- IFERROR(GETPIVOTDATA("Somma di AVERE",'Pivot BBVA'!$A$3,"Mese",10,"Tipologia",$A198),0)
- IFERROR(GETPIVOTDATA("Somma di AVERE",'Pivot Fineco St'!$A$3,"Mese",10,"Tipologia",$A198),0)
- IFERROR(GETPIVOTDATA("Somma di AVERE",'Pivot Fineco Sa'!$A$3,"Mese",10,"Tipologia",$A198),0)
+ IFERROR(GETPIVOTDATA("Somma di DARE",'Pivot PP Visa'!$A$3,"Mese",10,"Tipologia",$A198),0)
- IFERROR(GETPIVOTDATA("Somma di AVERE",'Pivot PP Visa'!$A$3,"Mese",10,"Tipologia",$A198),0)
+ IFERROR(GETPIVOTDATA("Somma di DARE",'Pivot Revolut'!$A$3,"Mese",10,"Tipologia",$A198),0)
- IFERROR(GETPIVOTDATA("Somma di AVERE",'Pivot Revolut'!$A$3,"Mese",10,"Tipologia",$A198),0)</f>
        <v>0</v>
      </c>
      <c r="M198" s="243">
        <f>IFERROR(GETPIVOTDATA("Somma di DARE EUR",'Pivot RakBank AED'!$A$3,"Mese",11,"Tipologia",$A198),0)
- IFERROR(GETPIVOTDATA("Somma di AVERE EUR",'Pivot RakBank AED'!$A$3,"Mese",11,"Tipologia",$A198),0)
+IFERROR(GETPIVOTDATA("Somma di DARE",'Pivot RakBank EUR'!$A$3,"Mese",11,"Tipologia",$A198),0)
- IFERROR(GETPIVOTDATA("Somma di AVERE",'Pivot RakBank EUR'!$A$3,"Mese",11,"Tipologia",$A198),0)
+IFERROR(GETPIVOTDATA("Somma di DARE",'Pivot Fineco Sa'!$A$3,"Mese",11,"Tipologia",$A198),0)
+ IFERROR(GETPIVOTDATA("Somma di DARE",'Pivot Fineco St'!$A$3,"Mese",11,"Tipologia",$A198),0)
+ Contanti!AP60
+ IFERROR(GETPIVOTDATA("Somma di DARE",'Pivot BBVA'!$A$3,"Mese",11,"Tipologia",$A198),0)
+ IFERROR(GETPIVOTDATA("Somma di DARE",'Pivot Amex'!$A$3,"Mese",11,"Tipologia",$A198),0)
- IFERROR(GETPIVOTDATA("Somma di AVERE",'Pivot Amex'!$A$3,"Mese",11,"Tipologia",$A198),0)
- IFERROR(GETPIVOTDATA("Somma di AVERE",'Pivot BBVA'!$A$3,"Mese",11,"Tipologia",$A198),0)
- IFERROR(GETPIVOTDATA("Somma di AVERE",'Pivot Fineco St'!$A$3,"Mese",11,"Tipologia",$A198),0)
- IFERROR(GETPIVOTDATA("Somma di AVERE",'Pivot Fineco Sa'!$A$3,"Mese",11,"Tipologia",$A198),0)
+ IFERROR(GETPIVOTDATA("Somma di DARE",'Pivot PP Visa'!$A$3,"Mese",11,"Tipologia",$A198),0)
- IFERROR(GETPIVOTDATA("Somma di AVERE",'Pivot PP Visa'!$A$3,"Mese",11,"Tipologia",$A198),0)
+ IFERROR(GETPIVOTDATA("Somma di DARE",'Pivot Revolut'!$A$3,"Mese",11,"Tipologia",$A198),0)
- IFERROR(GETPIVOTDATA("Somma di AVERE",'Pivot Revolut'!$A$3,"Mese",11,"Tipologia",$A198),0)</f>
        <v>0</v>
      </c>
      <c r="N198" s="243">
        <f>IFERROR(GETPIVOTDATA("Somma di DARE EUR",'Pivot RakBank AED'!$A$3,"Mese",12,"Tipologia",$A198),0)
- IFERROR(GETPIVOTDATA("Somma di AVERE EUR",'Pivot RakBank AED'!$A$3,"Mese",12,"Tipologia",$A198),0)
+IFERROR(GETPIVOTDATA("Somma di DARE",'Pivot RakBank EUR'!$A$3,"Mese",12,"Tipologia",$A198),0)
- IFERROR(GETPIVOTDATA("Somma di AVERE",'Pivot RakBank EUR'!$A$3,"Mese",12,"Tipologia",$A198),0)
+IFERROR(GETPIVOTDATA("Somma di DARE",'Pivot Fineco Sa'!$A$3,"Mese",12,"Tipologia",$A198),0)
+ IFERROR(GETPIVOTDATA("Somma di DARE",'Pivot Fineco St'!$A$3,"Mese",12,"Tipologia",$A198),0)
+ Contanti!AT60
+ IFERROR(GETPIVOTDATA("Somma di DARE",'Pivot BBVA'!$A$3,"Mese",12,"Tipologia",$A198),0)
+ IFERROR(GETPIVOTDATA("Somma di DARE",'Pivot Amex'!$A$3,"Mese",12,"Tipologia",$A198),0)
- IFERROR(GETPIVOTDATA("Somma di AVERE",'Pivot Amex'!$A$3,"Mese",12,"Tipologia",$A198),0)
- IFERROR(GETPIVOTDATA("Somma di AVERE",'Pivot BBVA'!$A$3,"Mese",12,"Tipologia",$A198),0)
- IFERROR(GETPIVOTDATA("Somma di AVERE",'Pivot Fineco St'!$A$3,"Mese",12,"Tipologia",$A198),0)
- IFERROR(GETPIVOTDATA("Somma di AVERE",'Pivot Fineco Sa'!$A$3,"Mese",12,"Tipologia",$A198),0)
+ IFERROR(GETPIVOTDATA("Somma di DARE",'Pivot PP Visa'!$A$3,"Mese",12,"Tipologia",$A198),0)
- IFERROR(GETPIVOTDATA("Somma di AVERE",'Pivot PP Visa'!$A$3,"Mese",12,"Tipologia",$A198),0)
+ IFERROR(GETPIVOTDATA("Somma di DARE",'Pivot Revolut'!$A$3,"Mese",12,"Tipologia",$A198),0)
- IFERROR(GETPIVOTDATA("Somma di AVERE",'Pivot Revolut'!$A$3,"Mese",12,"Tipologia",$A198),0)</f>
        <v>0</v>
      </c>
      <c r="O198" s="252">
        <f t="shared" si="27"/>
        <v>1150.0999999999999</v>
      </c>
      <c r="P198" s="243">
        <f t="shared" ca="1" si="28"/>
        <v>164.29999999999998</v>
      </c>
    </row>
    <row r="199" spans="1:16" s="125" customFormat="1" ht="21" customHeight="1" x14ac:dyDescent="0.2">
      <c r="A199" s="251" t="s">
        <v>147</v>
      </c>
      <c r="B199" s="251"/>
      <c r="C199" s="243">
        <f>IFERROR(GETPIVOTDATA("Somma di DARE EUR",'Pivot RakBank AED'!$A$3,"Mese",1,"Tipologia",$A199),0)
- IFERROR(GETPIVOTDATA("Somma di AVERE EUR",'Pivot RakBank AED'!$A$3,"Mese",1,"Tipologia",$A199),0)
+IFERROR(GETPIVOTDATA("Somma di DARE",'Pivot RakBank EUR'!$A$3,"Mese",1,"Tipologia",$A199),0)
- IFERROR(GETPIVOTDATA("Somma di AVERE",'Pivot RakBank EUR'!$A$3,"Mese",1,"Tipologia",$A199),0)
+IFERROR(GETPIVOTDATA("Somma di DARE",'Pivot Fineco Sa'!$A$3,"Mese",1,"Tipologia",$A199),0)
+ IFERROR(GETPIVOTDATA("Somma di DARE",'Pivot Fineco St'!$A$3,"Mese",1,"Tipologia",$A199),0)
+ Contanti!B61
+ IFERROR(GETPIVOTDATA("Somma di DARE",'Pivot BBVA'!$A$3,"Mese",1,"Tipologia",$A199),0)
+ IFERROR(GETPIVOTDATA("Somma di DARE",'Pivot Amex'!$A$3,"Mese",1,"Tipologia",$A199),0)
- IFERROR(GETPIVOTDATA("Somma di AVERE",'Pivot Amex'!$A$3,"Mese",1,"Tipologia",$A199),0)
- IFERROR(GETPIVOTDATA("Somma di AVERE",'Pivot BBVA'!$A$3,"Mese",1,"Tipologia",$A199),0)
- IFERROR(GETPIVOTDATA("Somma di AVERE",'Pivot Fineco St'!$A$3,"Mese",1,"Tipologia",$A199),0)
- IFERROR(GETPIVOTDATA("Somma di AVERE",'Pivot Fineco Sa'!$A$3,"Mese",1,"Tipologia",$A199),0)
+ IFERROR(GETPIVOTDATA("Somma di DARE",'Pivot PP Visa'!$A$3,"Mese",1,"Tipologia",$A199),0)
- IFERROR(GETPIVOTDATA("Somma di AVERE",'Pivot PP Visa'!$A$3,"Mese",1,"Tipologia",$A199),0)
+ IFERROR(GETPIVOTDATA("Somma di DARE",'Pivot Revolut'!$A$3,"Mese",1,"Tipologia",$A199),0)
- IFERROR(GETPIVOTDATA("Somma di AVERE",'Pivot Revolut'!$A$3,"Mese",1,"Tipologia",$A199),0)</f>
        <v>0</v>
      </c>
      <c r="D199" s="243">
        <f>IFERROR(GETPIVOTDATA("Somma di DARE EUR",'Pivot RakBank AED'!$A$3,"Mese",2,"Tipologia",$A199),0)
- IFERROR(GETPIVOTDATA("Somma di AVERE EUR",'Pivot RakBank AED'!$A$3,"Mese",2,"Tipologia",$A199),0)
+IFERROR(GETPIVOTDATA("Somma di DARE",'Pivot RakBank EUR'!$A$3,"Mese",2,"Tipologia",$A199),0)
- IFERROR(GETPIVOTDATA("Somma di AVERE",'Pivot RakBank EUR'!$A$3,"Mese",2,"Tipologia",$A199),0)
+IFERROR(GETPIVOTDATA("Somma di DARE",'Pivot Fineco Sa'!$A$3,"Mese",2,"Tipologia",$A199),0)
+ IFERROR(GETPIVOTDATA("Somma di DARE",'Pivot Fineco St'!$A$3,"Mese",2,"Tipologia",$A199),0)
+ Contanti!F61
+ IFERROR(GETPIVOTDATA("Somma di DARE",'Pivot BBVA'!$A$3,"Mese",2,"Tipologia",$A199),0)
+ IFERROR(GETPIVOTDATA("Somma di DARE",'Pivot Amex'!$A$3,"Mese",2,"Tipologia",$A199),0)
- IFERROR(GETPIVOTDATA("Somma di AVERE",'Pivot Amex'!$A$3,"Mese",2,"Tipologia",$A199),0)
- IFERROR(GETPIVOTDATA("Somma di AVERE",'Pivot BBVA'!$A$3,"Mese",2,"Tipologia",$A199),0)
- IFERROR(GETPIVOTDATA("Somma di AVERE",'Pivot Fineco St'!$A$3,"Mese",2,"Tipologia",$A199),0)
- IFERROR(GETPIVOTDATA("Somma di AVERE",'Pivot Fineco Sa'!$A$3,"Mese",2,"Tipologia",$A199),0)
+ IFERROR(GETPIVOTDATA("Somma di DARE",'Pivot PP Visa'!$A$3,"Mese",2,"Tipologia",$A199),0)
- IFERROR(GETPIVOTDATA("Somma di AVERE",'Pivot PP Visa'!$A$3,"Mese",2,"Tipologia",$A199),0)
+ IFERROR(GETPIVOTDATA("Somma di DARE",'Pivot Revolut'!$A$3,"Mese",2,"Tipologia",$A199),0)
- IFERROR(GETPIVOTDATA("Somma di AVERE",'Pivot Revolut'!$A$3,"Mese",2,"Tipologia",$A199),0)</f>
        <v>0</v>
      </c>
      <c r="E199" s="243">
        <f>IFERROR(GETPIVOTDATA("Somma di DARE EUR",'Pivot RakBank AED'!$A$3,"Mese",3,"Tipologia",$A199),0)
- IFERROR(GETPIVOTDATA("Somma di AVERE EUR",'Pivot RakBank AED'!$A$3,"Mese",3,"Tipologia",$A199),0)
+IFERROR(GETPIVOTDATA("Somma di DARE",'Pivot RakBank EUR'!$A$3,"Mese",3,"Tipologia",$A199),0)
- IFERROR(GETPIVOTDATA("Somma di AVERE",'Pivot RakBank EUR'!$A$3,"Mese",3,"Tipologia",$A199),0)
+IFERROR(GETPIVOTDATA("Somma di DARE",'Pivot Fineco Sa'!$A$3,"Mese",3,"Tipologia",$A199),0)
+ IFERROR(GETPIVOTDATA("Somma di DARE",'Pivot Fineco St'!$A$3,"Mese",3,"Tipologia",$A199),0)
+ Contanti!J61
+ IFERROR(GETPIVOTDATA("Somma di DARE",'Pivot BBVA'!$A$3,"Mese",3,"Tipologia",$A199),0)
+ IFERROR(GETPIVOTDATA("Somma di DARE",'Pivot Amex'!$A$3,"Mese",3,"Tipologia",$A199),0)
- IFERROR(GETPIVOTDATA("Somma di AVERE",'Pivot Amex'!$A$3,"Mese",3,"Tipologia",$A199),0)
- IFERROR(GETPIVOTDATA("Somma di AVERE",'Pivot BBVA'!$A$3,"Mese",3,"Tipologia",$A199),0)
- IFERROR(GETPIVOTDATA("Somma di AVERE",'Pivot Fineco St'!$A$3,"Mese",3,"Tipologia",$A199),0)
- IFERROR(GETPIVOTDATA("Somma di AVERE",'Pivot Fineco Sa'!$A$3,"Mese",3,"Tipologia",$A199),0)
+ IFERROR(GETPIVOTDATA("Somma di DARE",'Pivot PP Visa'!$A$3,"Mese",3,"Tipologia",$A199),0)
- IFERROR(GETPIVOTDATA("Somma di AVERE",'Pivot PP Visa'!$A$3,"Mese",3,"Tipologia",$A199),0)
+ IFERROR(GETPIVOTDATA("Somma di DARE",'Pivot Revolut'!$A$3,"Mese",3,"Tipologia",$A199),0)
- IFERROR(GETPIVOTDATA("Somma di AVERE",'Pivot Revolut'!$A$3,"Mese",3,"Tipologia",$A199),0)</f>
        <v>0</v>
      </c>
      <c r="F199" s="243">
        <f>IFERROR(GETPIVOTDATA("Somma di DARE EUR",'Pivot RakBank AED'!$A$3,"Mese",4,"Tipologia",$A199),0)
- IFERROR(GETPIVOTDATA("Somma di AVERE EUR",'Pivot RakBank AED'!$A$3,"Mese",4,"Tipologia",$A199),0)
+IFERROR(GETPIVOTDATA("Somma di DARE",'Pivot RakBank EUR'!$A$3,"Mese",4,"Tipologia",$A199),0)
- IFERROR(GETPIVOTDATA("Somma di AVERE",'Pivot RakBank EUR'!$A$3,"Mese",4,"Tipologia",$A199),0)
+IFERROR(GETPIVOTDATA("Somma di DARE",'Pivot Fineco Sa'!$A$3,"Mese",4,"Tipologia",$A199),0)
+ IFERROR(GETPIVOTDATA("Somma di DARE",'Pivot Fineco St'!$A$3,"Mese",4,"Tipologia",$A199),0)
+ Contanti!N61
+ IFERROR(GETPIVOTDATA("Somma di DARE",'Pivot BBVA'!$A$3,"Mese",4,"Tipologia",$A199),0)
+ IFERROR(GETPIVOTDATA("Somma di DARE",'Pivot Amex'!$A$3,"Mese",4,"Tipologia",$A199),0)
- IFERROR(GETPIVOTDATA("Somma di AVERE",'Pivot Amex'!$A$3,"Mese",4,"Tipologia",$A199),0)
- IFERROR(GETPIVOTDATA("Somma di AVERE",'Pivot BBVA'!$A$3,"Mese",4,"Tipologia",$A199),0)
- IFERROR(GETPIVOTDATA("Somma di AVERE",'Pivot Fineco St'!$A$3,"Mese",4,"Tipologia",$A199),0)
- IFERROR(GETPIVOTDATA("Somma di AVERE",'Pivot Fineco Sa'!$A$3,"Mese",4,"Tipologia",$A199),0)
+ IFERROR(GETPIVOTDATA("Somma di DARE",'Pivot PP Visa'!$A$3,"Mese",4,"Tipologia",$A199),0)
- IFERROR(GETPIVOTDATA("Somma di AVERE",'Pivot PP Visa'!$A$3,"Mese",4,"Tipologia",$A199),0)
+ IFERROR(GETPIVOTDATA("Somma di DARE",'Pivot Revolut'!$A$3,"Mese",4,"Tipologia",$A199),0)
- IFERROR(GETPIVOTDATA("Somma di AVERE",'Pivot Revolut'!$A$3,"Mese",4,"Tipologia",$A199),0)</f>
        <v>0</v>
      </c>
      <c r="G199" s="243">
        <f>IFERROR(GETPIVOTDATA("Somma di DARE EUR",'Pivot RakBank AED'!$A$3,"Mese",5,"Tipologia",$A199),0)
- IFERROR(GETPIVOTDATA("Somma di AVERE EUR",'Pivot RakBank AED'!$A$3,"Mese",5,"Tipologia",$A199),0)
+IFERROR(GETPIVOTDATA("Somma di DARE",'Pivot RakBank EUR'!$A$3,"Mese",5,"Tipologia",$A199),0)
- IFERROR(GETPIVOTDATA("Somma di AVERE",'Pivot RakBank EUR'!$A$3,"Mese",5,"Tipologia",$A199),0)
+IFERROR(GETPIVOTDATA("Somma di DARE",'Pivot Fineco Sa'!$A$3,"Mese",5,"Tipologia",$A199),0)
+ IFERROR(GETPIVOTDATA("Somma di DARE",'Pivot Fineco St'!$A$3,"Mese",5,"Tipologia",$A199),0)
+ Contanti!R61
+ IFERROR(GETPIVOTDATA("Somma di DARE",'Pivot BBVA'!$A$3,"Mese",5,"Tipologia",$A199),0)
+ IFERROR(GETPIVOTDATA("Somma di DARE",'Pivot Amex'!$A$3,"Mese",5,"Tipologia",$A199),0)
- IFERROR(GETPIVOTDATA("Somma di AVERE",'Pivot Amex'!$A$3,"Mese",5,"Tipologia",$A199),0)
- IFERROR(GETPIVOTDATA("Somma di AVERE",'Pivot BBVA'!$A$3,"Mese",5,"Tipologia",$A199),0)
- IFERROR(GETPIVOTDATA("Somma di AVERE",'Pivot Fineco St'!$A$3,"Mese",5,"Tipologia",$A199),0)
- IFERROR(GETPIVOTDATA("Somma di AVERE",'Pivot Fineco Sa'!$A$3,"Mese",5,"Tipologia",$A199),0)
+ IFERROR(GETPIVOTDATA("Somma di DARE",'Pivot PP Visa'!$A$3,"Mese",5,"Tipologia",$A199),0)
- IFERROR(GETPIVOTDATA("Somma di AVERE",'Pivot PP Visa'!$A$3,"Mese",5,"Tipologia",$A199),0)
+ IFERROR(GETPIVOTDATA("Somma di DARE",'Pivot Revolut'!$A$3,"Mese",5,"Tipologia",$A199),0)
- IFERROR(GETPIVOTDATA("Somma di AVERE",'Pivot Revolut'!$A$3,"Mese",5,"Tipologia",$A199),0)</f>
        <v>0</v>
      </c>
      <c r="H199" s="243">
        <f>IFERROR(GETPIVOTDATA("Somma di DARE EUR",'Pivot RakBank AED'!$A$3,"Mese",6,"Tipologia",$A199),0)
- IFERROR(GETPIVOTDATA("Somma di AVERE EUR",'Pivot RakBank AED'!$A$3,"Mese",6,"Tipologia",$A199),0)
+IFERROR(GETPIVOTDATA("Somma di DARE",'Pivot RakBank EUR'!$A$3,"Mese",6,"Tipologia",$A199),0)
- IFERROR(GETPIVOTDATA("Somma di AVERE",'Pivot RakBank EUR'!$A$3,"Mese",6,"Tipologia",$A199),0)
+IFERROR(GETPIVOTDATA("Somma di DARE",'Pivot Fineco Sa'!$A$3,"Mese",6,"Tipologia",$A199),0)
+ IFERROR(GETPIVOTDATA("Somma di DARE",'Pivot Fineco St'!$A$3,"Mese",6,"Tipologia",$A199),0)
+ Contanti!V61
+ IFERROR(GETPIVOTDATA("Somma di DARE",'Pivot BBVA'!$A$3,"Mese",6,"Tipologia",$A199),0)
+ IFERROR(GETPIVOTDATA("Somma di DARE",'Pivot Amex'!$A$3,"Mese",6,"Tipologia",$A199),0)
- IFERROR(GETPIVOTDATA("Somma di AVERE",'Pivot Amex'!$A$3,"Mese",6,"Tipologia",$A199),0)
- IFERROR(GETPIVOTDATA("Somma di AVERE",'Pivot BBVA'!$A$3,"Mese",6,"Tipologia",$A199),0)
- IFERROR(GETPIVOTDATA("Somma di AVERE",'Pivot Fineco St'!$A$3,"Mese",6,"Tipologia",$A199),0)
- IFERROR(GETPIVOTDATA("Somma di AVERE",'Pivot Fineco Sa'!$A$3,"Mese",6,"Tipologia",$A199),0)
+ IFERROR(GETPIVOTDATA("Somma di DARE",'Pivot PP Visa'!$A$3,"Mese",6,"Tipologia",$A199),0)
- IFERROR(GETPIVOTDATA("Somma di AVERE",'Pivot PP Visa'!$A$3,"Mese",6,"Tipologia",$A199),0)
+ IFERROR(GETPIVOTDATA("Somma di DARE",'Pivot Revolut'!$A$3,"Mese",6,"Tipologia",$A199),0)
- IFERROR(GETPIVOTDATA("Somma di AVERE",'Pivot Revolut'!$A$3,"Mese",6,"Tipologia",$A199),0)</f>
        <v>0</v>
      </c>
      <c r="I199" s="243">
        <f>IFERROR(GETPIVOTDATA("Somma di DARE EUR",'Pivot RakBank AED'!$A$3,"Mese",7,"Tipologia",$A199),0)
- IFERROR(GETPIVOTDATA("Somma di AVERE EUR",'Pivot RakBank AED'!$A$3,"Mese",7,"Tipologia",$A199),0)
+IFERROR(GETPIVOTDATA("Somma di DARE",'Pivot RakBank EUR'!$A$3,"Mese",7,"Tipologia",$A199),0)
- IFERROR(GETPIVOTDATA("Somma di AVERE",'Pivot RakBank EUR'!$A$3,"Mese",7,"Tipologia",$A199),0)
+IFERROR(GETPIVOTDATA("Somma di DARE",'Pivot Fineco Sa'!$A$3,"Mese",7,"Tipologia",$A199),0)
+ IFERROR(GETPIVOTDATA("Somma di DARE",'Pivot Fineco St'!$A$3,"Mese",7,"Tipologia",$A199),0)
+ Contanti!Z61
+ IFERROR(GETPIVOTDATA("Somma di DARE",'Pivot BBVA'!$A$3,"Mese",7,"Tipologia",$A199),0)
+ IFERROR(GETPIVOTDATA("Somma di DARE",'Pivot Amex'!$A$3,"Mese",7,"Tipologia",$A199),0)
- IFERROR(GETPIVOTDATA("Somma di AVERE",'Pivot Amex'!$A$3,"Mese",7,"Tipologia",$A199),0)
- IFERROR(GETPIVOTDATA("Somma di AVERE",'Pivot BBVA'!$A$3,"Mese",7,"Tipologia",$A199),0)
- IFERROR(GETPIVOTDATA("Somma di AVERE",'Pivot Fineco St'!$A$3,"Mese",7,"Tipologia",$A199),0)
- IFERROR(GETPIVOTDATA("Somma di AVERE",'Pivot Fineco Sa'!$A$3,"Mese",7,"Tipologia",$A199),0)
+ IFERROR(GETPIVOTDATA("Somma di DARE",'Pivot PP Visa'!$A$3,"Mese",7,"Tipologia",$A199),0)
- IFERROR(GETPIVOTDATA("Somma di AVERE",'Pivot PP Visa'!$A$3,"Mese",7,"Tipologia",$A199),0)
+ IFERROR(GETPIVOTDATA("Somma di DARE",'Pivot Revolut'!$A$3,"Mese",7,"Tipologia",$A199),0)
- IFERROR(GETPIVOTDATA("Somma di AVERE",'Pivot Revolut'!$A$3,"Mese",7,"Tipologia",$A199),0)</f>
        <v>165.1</v>
      </c>
      <c r="J199" s="243">
        <f>IFERROR(GETPIVOTDATA("Somma di DARE EUR",'Pivot RakBank AED'!$A$3,"Mese",8,"Tipologia",$A199),0)
- IFERROR(GETPIVOTDATA("Somma di AVERE EUR",'Pivot RakBank AED'!$A$3,"Mese",8,"Tipologia",$A199),0)
+IFERROR(GETPIVOTDATA("Somma di DARE",'Pivot RakBank EUR'!$A$3,"Mese",8,"Tipologia",$A199),0)
- IFERROR(GETPIVOTDATA("Somma di AVERE",'Pivot RakBank EUR'!$A$3,"Mese",8,"Tipologia",$A199),0)
+IFERROR(GETPIVOTDATA("Somma di DARE",'Pivot Fineco Sa'!$A$3,"Mese",8,"Tipologia",$A199),0)
+ IFERROR(GETPIVOTDATA("Somma di DARE",'Pivot Fineco St'!$A$3,"Mese",8,"Tipologia",$A199),0)
+ Contanti!AD61
+ IFERROR(GETPIVOTDATA("Somma di DARE",'Pivot BBVA'!$A$3,"Mese",8,"Tipologia",$A199),0)
+ IFERROR(GETPIVOTDATA("Somma di DARE",'Pivot Amex'!$A$3,"Mese",8,"Tipologia",$A199),0)
- IFERROR(GETPIVOTDATA("Somma di AVERE",'Pivot Amex'!$A$3,"Mese",8,"Tipologia",$A199),0)
- IFERROR(GETPIVOTDATA("Somma di AVERE",'Pivot BBVA'!$A$3,"Mese",8,"Tipologia",$A199),0)
- IFERROR(GETPIVOTDATA("Somma di AVERE",'Pivot Fineco St'!$A$3,"Mese",8,"Tipologia",$A199),0)
- IFERROR(GETPIVOTDATA("Somma di AVERE",'Pivot Fineco Sa'!$A$3,"Mese",8,"Tipologia",$A199),0)
+ IFERROR(GETPIVOTDATA("Somma di DARE",'Pivot PP Visa'!$A$3,"Mese",8,"Tipologia",$A199),0)
- IFERROR(GETPIVOTDATA("Somma di AVERE",'Pivot PP Visa'!$A$3,"Mese",8,"Tipologia",$A199),0)
+ IFERROR(GETPIVOTDATA("Somma di DARE",'Pivot Revolut'!$A$3,"Mese",8,"Tipologia",$A199),0)
- IFERROR(GETPIVOTDATA("Somma di AVERE",'Pivot Revolut'!$A$3,"Mese",8,"Tipologia",$A199),0)</f>
        <v>0</v>
      </c>
      <c r="K199" s="243">
        <f>IFERROR(GETPIVOTDATA("Somma di DARE EUR",'Pivot RakBank AED'!$A$3,"Mese",9,"Tipologia",$A199),0)
- IFERROR(GETPIVOTDATA("Somma di AVERE EUR",'Pivot RakBank AED'!$A$3,"Mese",9,"Tipologia",$A199),0)
+IFERROR(GETPIVOTDATA("Somma di DARE",'Pivot RakBank EUR'!$A$3,"Mese",9,"Tipologia",$A199),0)
- IFERROR(GETPIVOTDATA("Somma di AVERE",'Pivot RakBank EUR'!$A$3,"Mese",9,"Tipologia",$A199),0)
+IFERROR(GETPIVOTDATA("Somma di DARE",'Pivot Fineco Sa'!$A$3,"Mese",9,"Tipologia",$A199),0)
+ IFERROR(GETPIVOTDATA("Somma di DARE",'Pivot Fineco St'!$A$3,"Mese",9,"Tipologia",$A199),0)
+ Contanti!AH61
+ IFERROR(GETPIVOTDATA("Somma di DARE",'Pivot BBVA'!$A$3,"Mese",9,"Tipologia",$A199),0)
+ IFERROR(GETPIVOTDATA("Somma di DARE",'Pivot Amex'!$A$3,"Mese",9,"Tipologia",$A199),0)
- IFERROR(GETPIVOTDATA("Somma di AVERE",'Pivot Amex'!$A$3,"Mese",9,"Tipologia",$A199),0)
- IFERROR(GETPIVOTDATA("Somma di AVERE",'Pivot BBVA'!$A$3,"Mese",9,"Tipologia",$A199),0)
- IFERROR(GETPIVOTDATA("Somma di AVERE",'Pivot Fineco St'!$A$3,"Mese",9,"Tipologia",$A199),0)
- IFERROR(GETPIVOTDATA("Somma di AVERE",'Pivot Fineco Sa'!$A$3,"Mese",9,"Tipologia",$A199),0)
+ IFERROR(GETPIVOTDATA("Somma di DARE",'Pivot PP Visa'!$A$3,"Mese",9,"Tipologia",$A199),0)
- IFERROR(GETPIVOTDATA("Somma di AVERE",'Pivot PP Visa'!$A$3,"Mese",9,"Tipologia",$A199),0)
+ IFERROR(GETPIVOTDATA("Somma di DARE",'Pivot Revolut'!$A$3,"Mese",9,"Tipologia",$A199),0)
- IFERROR(GETPIVOTDATA("Somma di AVERE",'Pivot Revolut'!$A$3,"Mese",9,"Tipologia",$A199),0)</f>
        <v>0</v>
      </c>
      <c r="L199" s="243">
        <f>IFERROR(GETPIVOTDATA("Somma di DARE EUR",'Pivot RakBank AED'!$A$3,"Mese",10,"Tipologia",$A199),0)
- IFERROR(GETPIVOTDATA("Somma di AVERE EUR",'Pivot RakBank AED'!$A$3,"Mese",10,"Tipologia",$A199),0)
+IFERROR(GETPIVOTDATA("Somma di DARE",'Pivot RakBank EUR'!$A$3,"Mese",10,"Tipologia",$A199),0)
- IFERROR(GETPIVOTDATA("Somma di AVERE",'Pivot RakBank EUR'!$A$3,"Mese",10,"Tipologia",$A199),0)
+IFERROR(GETPIVOTDATA("Somma di DARE",'Pivot Fineco Sa'!$A$3,"Mese",10,"Tipologia",$A199),0)
+ IFERROR(GETPIVOTDATA("Somma di DARE",'Pivot Fineco St'!$A$3,"Mese",10,"Tipologia",$A199),0)
+ Contanti!AL61
+ IFERROR(GETPIVOTDATA("Somma di DARE",'Pivot BBVA'!$A$3,"Mese",10,"Tipologia",$A199),0)
+ IFERROR(GETPIVOTDATA("Somma di DARE",'Pivot Amex'!$A$3,"Mese",10,"Tipologia",$A199),0)
- IFERROR(GETPIVOTDATA("Somma di AVERE",'Pivot Amex'!$A$3,"Mese",10,"Tipologia",$A199),0)
- IFERROR(GETPIVOTDATA("Somma di AVERE",'Pivot BBVA'!$A$3,"Mese",10,"Tipologia",$A199),0)
- IFERROR(GETPIVOTDATA("Somma di AVERE",'Pivot Fineco St'!$A$3,"Mese",10,"Tipologia",$A199),0)
- IFERROR(GETPIVOTDATA("Somma di AVERE",'Pivot Fineco Sa'!$A$3,"Mese",10,"Tipologia",$A199),0)
+ IFERROR(GETPIVOTDATA("Somma di DARE",'Pivot PP Visa'!$A$3,"Mese",10,"Tipologia",$A199),0)
- IFERROR(GETPIVOTDATA("Somma di AVERE",'Pivot PP Visa'!$A$3,"Mese",10,"Tipologia",$A199),0)
+ IFERROR(GETPIVOTDATA("Somma di DARE",'Pivot Revolut'!$A$3,"Mese",10,"Tipologia",$A199),0)
- IFERROR(GETPIVOTDATA("Somma di AVERE",'Pivot Revolut'!$A$3,"Mese",10,"Tipologia",$A199),0)</f>
        <v>0</v>
      </c>
      <c r="M199" s="243">
        <f>IFERROR(GETPIVOTDATA("Somma di DARE EUR",'Pivot RakBank AED'!$A$3,"Mese",11,"Tipologia",$A199),0)
- IFERROR(GETPIVOTDATA("Somma di AVERE EUR",'Pivot RakBank AED'!$A$3,"Mese",11,"Tipologia",$A199),0)
+IFERROR(GETPIVOTDATA("Somma di DARE",'Pivot RakBank EUR'!$A$3,"Mese",11,"Tipologia",$A199),0)
- IFERROR(GETPIVOTDATA("Somma di AVERE",'Pivot RakBank EUR'!$A$3,"Mese",11,"Tipologia",$A199),0)
+IFERROR(GETPIVOTDATA("Somma di DARE",'Pivot Fineco Sa'!$A$3,"Mese",11,"Tipologia",$A199),0)
+ IFERROR(GETPIVOTDATA("Somma di DARE",'Pivot Fineco St'!$A$3,"Mese",11,"Tipologia",$A199),0)
+ Contanti!AP61
+ IFERROR(GETPIVOTDATA("Somma di DARE",'Pivot BBVA'!$A$3,"Mese",11,"Tipologia",$A199),0)
+ IFERROR(GETPIVOTDATA("Somma di DARE",'Pivot Amex'!$A$3,"Mese",11,"Tipologia",$A199),0)
- IFERROR(GETPIVOTDATA("Somma di AVERE",'Pivot Amex'!$A$3,"Mese",11,"Tipologia",$A199),0)
- IFERROR(GETPIVOTDATA("Somma di AVERE",'Pivot BBVA'!$A$3,"Mese",11,"Tipologia",$A199),0)
- IFERROR(GETPIVOTDATA("Somma di AVERE",'Pivot Fineco St'!$A$3,"Mese",11,"Tipologia",$A199),0)
- IFERROR(GETPIVOTDATA("Somma di AVERE",'Pivot Fineco Sa'!$A$3,"Mese",11,"Tipologia",$A199),0)
+ IFERROR(GETPIVOTDATA("Somma di DARE",'Pivot PP Visa'!$A$3,"Mese",11,"Tipologia",$A199),0)
- IFERROR(GETPIVOTDATA("Somma di AVERE",'Pivot PP Visa'!$A$3,"Mese",11,"Tipologia",$A199),0)
+ IFERROR(GETPIVOTDATA("Somma di DARE",'Pivot Revolut'!$A$3,"Mese",11,"Tipologia",$A199),0)
- IFERROR(GETPIVOTDATA("Somma di AVERE",'Pivot Revolut'!$A$3,"Mese",11,"Tipologia",$A199),0)</f>
        <v>0</v>
      </c>
      <c r="N199" s="243">
        <f>IFERROR(GETPIVOTDATA("Somma di DARE EUR",'Pivot RakBank AED'!$A$3,"Mese",12,"Tipologia",$A199),0)
- IFERROR(GETPIVOTDATA("Somma di AVERE EUR",'Pivot RakBank AED'!$A$3,"Mese",12,"Tipologia",$A199),0)
+IFERROR(GETPIVOTDATA("Somma di DARE",'Pivot RakBank EUR'!$A$3,"Mese",12,"Tipologia",$A199),0)
- IFERROR(GETPIVOTDATA("Somma di AVERE",'Pivot RakBank EUR'!$A$3,"Mese",12,"Tipologia",$A199),0)
+IFERROR(GETPIVOTDATA("Somma di DARE",'Pivot Fineco Sa'!$A$3,"Mese",12,"Tipologia",$A199),0)
+ IFERROR(GETPIVOTDATA("Somma di DARE",'Pivot Fineco St'!$A$3,"Mese",12,"Tipologia",$A199),0)
+ Contanti!AT61
+ IFERROR(GETPIVOTDATA("Somma di DARE",'Pivot BBVA'!$A$3,"Mese",12,"Tipologia",$A199),0)
+ IFERROR(GETPIVOTDATA("Somma di DARE",'Pivot Amex'!$A$3,"Mese",12,"Tipologia",$A199),0)
- IFERROR(GETPIVOTDATA("Somma di AVERE",'Pivot Amex'!$A$3,"Mese",12,"Tipologia",$A199),0)
- IFERROR(GETPIVOTDATA("Somma di AVERE",'Pivot BBVA'!$A$3,"Mese",12,"Tipologia",$A199),0)
- IFERROR(GETPIVOTDATA("Somma di AVERE",'Pivot Fineco St'!$A$3,"Mese",12,"Tipologia",$A199),0)
- IFERROR(GETPIVOTDATA("Somma di AVERE",'Pivot Fineco Sa'!$A$3,"Mese",12,"Tipologia",$A199),0)
+ IFERROR(GETPIVOTDATA("Somma di DARE",'Pivot PP Visa'!$A$3,"Mese",12,"Tipologia",$A199),0)
- IFERROR(GETPIVOTDATA("Somma di AVERE",'Pivot PP Visa'!$A$3,"Mese",12,"Tipologia",$A199),0)
+ IFERROR(GETPIVOTDATA("Somma di DARE",'Pivot Revolut'!$A$3,"Mese",12,"Tipologia",$A199),0)
- IFERROR(GETPIVOTDATA("Somma di AVERE",'Pivot Revolut'!$A$3,"Mese",12,"Tipologia",$A199),0)</f>
        <v>0</v>
      </c>
      <c r="O199" s="252">
        <f t="shared" si="27"/>
        <v>165.1</v>
      </c>
      <c r="P199" s="243">
        <f t="shared" ca="1" si="28"/>
        <v>23.585714285714285</v>
      </c>
    </row>
    <row r="200" spans="1:16" s="125" customFormat="1" ht="21" customHeight="1" x14ac:dyDescent="0.2">
      <c r="A200" s="251" t="s">
        <v>181</v>
      </c>
      <c r="B200" s="251"/>
      <c r="C200" s="243">
        <f>IFERROR(GETPIVOTDATA("Somma di DARE EUR",'Pivot RakBank AED'!$A$3,"Mese",1,"Tipologia",$A200),0)
- IFERROR(GETPIVOTDATA("Somma di AVERE EUR",'Pivot RakBank AED'!$A$3,"Mese",1,"Tipologia",$A200),0)
+IFERROR(GETPIVOTDATA("Somma di DARE",'Pivot RakBank EUR'!$A$3,"Mese",1,"Tipologia",$A200),0)
- IFERROR(GETPIVOTDATA("Somma di AVERE",'Pivot RakBank EUR'!$A$3,"Mese",1,"Tipologia",$A200),0)
+IFERROR(GETPIVOTDATA("Somma di DARE",'Pivot Fineco Sa'!$A$3,"Mese",1,"Tipologia",$A200),0)
+ IFERROR(GETPIVOTDATA("Somma di DARE",'Pivot Fineco St'!$A$3,"Mese",1,"Tipologia",$A200),0)
+ Contanti!B62
+ IFERROR(GETPIVOTDATA("Somma di DARE",'Pivot BBVA'!$A$3,"Mese",1,"Tipologia",$A200),0)
+ IFERROR(GETPIVOTDATA("Somma di DARE",'Pivot Amex'!$A$3,"Mese",1,"Tipologia",$A200),0)
- IFERROR(GETPIVOTDATA("Somma di AVERE",'Pivot Amex'!$A$3,"Mese",1,"Tipologia",$A200),0)
- IFERROR(GETPIVOTDATA("Somma di AVERE",'Pivot BBVA'!$A$3,"Mese",1,"Tipologia",$A200),0)
- IFERROR(GETPIVOTDATA("Somma di AVERE",'Pivot Fineco St'!$A$3,"Mese",1,"Tipologia",$A200),0)
- IFERROR(GETPIVOTDATA("Somma di AVERE",'Pivot Fineco Sa'!$A$3,"Mese",1,"Tipologia",$A200),0)
+ IFERROR(GETPIVOTDATA("Somma di DARE",'Pivot PP Visa'!$A$3,"Mese",1,"Tipologia",$A200),0)
- IFERROR(GETPIVOTDATA("Somma di AVERE",'Pivot PP Visa'!$A$3,"Mese",1,"Tipologia",$A200),0)
+ IFERROR(GETPIVOTDATA("Somma di DARE",'Pivot Revolut'!$A$3,"Mese",1,"Tipologia",$A200),0)
- IFERROR(GETPIVOTDATA("Somma di AVERE",'Pivot Revolut'!$A$3,"Mese",1,"Tipologia",$A200),0)</f>
        <v>0</v>
      </c>
      <c r="D200" s="243">
        <f>IFERROR(GETPIVOTDATA("Somma di DARE EUR",'Pivot RakBank AED'!$A$3,"Mese",2,"Tipologia",$A200),0)
- IFERROR(GETPIVOTDATA("Somma di AVERE EUR",'Pivot RakBank AED'!$A$3,"Mese",2,"Tipologia",$A200),0)
+IFERROR(GETPIVOTDATA("Somma di DARE",'Pivot RakBank EUR'!$A$3,"Mese",2,"Tipologia",$A200),0)
- IFERROR(GETPIVOTDATA("Somma di AVERE",'Pivot RakBank EUR'!$A$3,"Mese",2,"Tipologia",$A200),0)
+IFERROR(GETPIVOTDATA("Somma di DARE",'Pivot Fineco Sa'!$A$3,"Mese",2,"Tipologia",$A200),0)
+ IFERROR(GETPIVOTDATA("Somma di DARE",'Pivot Fineco St'!$A$3,"Mese",2,"Tipologia",$A200),0)
+ Contanti!F62
+ IFERROR(GETPIVOTDATA("Somma di DARE",'Pivot BBVA'!$A$3,"Mese",2,"Tipologia",$A200),0)
+ IFERROR(GETPIVOTDATA("Somma di DARE",'Pivot Amex'!$A$3,"Mese",2,"Tipologia",$A200),0)
- IFERROR(GETPIVOTDATA("Somma di AVERE",'Pivot Amex'!$A$3,"Mese",2,"Tipologia",$A200),0)
- IFERROR(GETPIVOTDATA("Somma di AVERE",'Pivot BBVA'!$A$3,"Mese",2,"Tipologia",$A200),0)
- IFERROR(GETPIVOTDATA("Somma di AVERE",'Pivot Fineco St'!$A$3,"Mese",2,"Tipologia",$A200),0)
- IFERROR(GETPIVOTDATA("Somma di AVERE",'Pivot Fineco Sa'!$A$3,"Mese",2,"Tipologia",$A200),0)
+ IFERROR(GETPIVOTDATA("Somma di DARE",'Pivot PP Visa'!$A$3,"Mese",2,"Tipologia",$A200),0)
- IFERROR(GETPIVOTDATA("Somma di AVERE",'Pivot PP Visa'!$A$3,"Mese",2,"Tipologia",$A200),0)
+ IFERROR(GETPIVOTDATA("Somma di DARE",'Pivot Revolut'!$A$3,"Mese",2,"Tipologia",$A200),0)
- IFERROR(GETPIVOTDATA("Somma di AVERE",'Pivot Revolut'!$A$3,"Mese",2,"Tipologia",$A200),0)</f>
        <v>0</v>
      </c>
      <c r="E200" s="243">
        <f>IFERROR(GETPIVOTDATA("Somma di DARE EUR",'Pivot RakBank AED'!$A$3,"Mese",3,"Tipologia",$A200),0)
- IFERROR(GETPIVOTDATA("Somma di AVERE EUR",'Pivot RakBank AED'!$A$3,"Mese",3,"Tipologia",$A200),0)
+IFERROR(GETPIVOTDATA("Somma di DARE",'Pivot RakBank EUR'!$A$3,"Mese",3,"Tipologia",$A200),0)
- IFERROR(GETPIVOTDATA("Somma di AVERE",'Pivot RakBank EUR'!$A$3,"Mese",3,"Tipologia",$A200),0)
+IFERROR(GETPIVOTDATA("Somma di DARE",'Pivot Fineco Sa'!$A$3,"Mese",3,"Tipologia",$A200),0)
+ IFERROR(GETPIVOTDATA("Somma di DARE",'Pivot Fineco St'!$A$3,"Mese",3,"Tipologia",$A200),0)
+ Contanti!J62
+ IFERROR(GETPIVOTDATA("Somma di DARE",'Pivot BBVA'!$A$3,"Mese",3,"Tipologia",$A200),0)
+ IFERROR(GETPIVOTDATA("Somma di DARE",'Pivot Amex'!$A$3,"Mese",3,"Tipologia",$A200),0)
- IFERROR(GETPIVOTDATA("Somma di AVERE",'Pivot Amex'!$A$3,"Mese",3,"Tipologia",$A200),0)
- IFERROR(GETPIVOTDATA("Somma di AVERE",'Pivot BBVA'!$A$3,"Mese",3,"Tipologia",$A200),0)
- IFERROR(GETPIVOTDATA("Somma di AVERE",'Pivot Fineco St'!$A$3,"Mese",3,"Tipologia",$A200),0)
- IFERROR(GETPIVOTDATA("Somma di AVERE",'Pivot Fineco Sa'!$A$3,"Mese",3,"Tipologia",$A200),0)
+ IFERROR(GETPIVOTDATA("Somma di DARE",'Pivot PP Visa'!$A$3,"Mese",3,"Tipologia",$A200),0)
- IFERROR(GETPIVOTDATA("Somma di AVERE",'Pivot PP Visa'!$A$3,"Mese",3,"Tipologia",$A200),0)
+ IFERROR(GETPIVOTDATA("Somma di DARE",'Pivot Revolut'!$A$3,"Mese",3,"Tipologia",$A200),0)
- IFERROR(GETPIVOTDATA("Somma di AVERE",'Pivot Revolut'!$A$3,"Mese",3,"Tipologia",$A200),0)</f>
        <v>0</v>
      </c>
      <c r="F200" s="243">
        <f>IFERROR(GETPIVOTDATA("Somma di DARE EUR",'Pivot RakBank AED'!$A$3,"Mese",4,"Tipologia",$A200),0)
- IFERROR(GETPIVOTDATA("Somma di AVERE EUR",'Pivot RakBank AED'!$A$3,"Mese",4,"Tipologia",$A200),0)
+IFERROR(GETPIVOTDATA("Somma di DARE",'Pivot RakBank EUR'!$A$3,"Mese",4,"Tipologia",$A200),0)
- IFERROR(GETPIVOTDATA("Somma di AVERE",'Pivot RakBank EUR'!$A$3,"Mese",4,"Tipologia",$A200),0)
+IFERROR(GETPIVOTDATA("Somma di DARE",'Pivot Fineco Sa'!$A$3,"Mese",4,"Tipologia",$A200),0)
+ IFERROR(GETPIVOTDATA("Somma di DARE",'Pivot Fineco St'!$A$3,"Mese",4,"Tipologia",$A200),0)
+ Contanti!N62
+ IFERROR(GETPIVOTDATA("Somma di DARE",'Pivot BBVA'!$A$3,"Mese",4,"Tipologia",$A200),0)
+ IFERROR(GETPIVOTDATA("Somma di DARE",'Pivot Amex'!$A$3,"Mese",4,"Tipologia",$A200),0)
- IFERROR(GETPIVOTDATA("Somma di AVERE",'Pivot Amex'!$A$3,"Mese",4,"Tipologia",$A200),0)
- IFERROR(GETPIVOTDATA("Somma di AVERE",'Pivot BBVA'!$A$3,"Mese",4,"Tipologia",$A200),0)
- IFERROR(GETPIVOTDATA("Somma di AVERE",'Pivot Fineco St'!$A$3,"Mese",4,"Tipologia",$A200),0)
- IFERROR(GETPIVOTDATA("Somma di AVERE",'Pivot Fineco Sa'!$A$3,"Mese",4,"Tipologia",$A200),0)
+ IFERROR(GETPIVOTDATA("Somma di DARE",'Pivot PP Visa'!$A$3,"Mese",4,"Tipologia",$A200),0)
- IFERROR(GETPIVOTDATA("Somma di AVERE",'Pivot PP Visa'!$A$3,"Mese",4,"Tipologia",$A200),0)
+ IFERROR(GETPIVOTDATA("Somma di DARE",'Pivot Revolut'!$A$3,"Mese",4,"Tipologia",$A200),0)
- IFERROR(GETPIVOTDATA("Somma di AVERE",'Pivot Revolut'!$A$3,"Mese",4,"Tipologia",$A200),0)</f>
        <v>0</v>
      </c>
      <c r="G200" s="243">
        <f>IFERROR(GETPIVOTDATA("Somma di DARE EUR",'Pivot RakBank AED'!$A$3,"Mese",5,"Tipologia",$A200),0)
- IFERROR(GETPIVOTDATA("Somma di AVERE EUR",'Pivot RakBank AED'!$A$3,"Mese",5,"Tipologia",$A200),0)
+IFERROR(GETPIVOTDATA("Somma di DARE",'Pivot RakBank EUR'!$A$3,"Mese",5,"Tipologia",$A200),0)
- IFERROR(GETPIVOTDATA("Somma di AVERE",'Pivot RakBank EUR'!$A$3,"Mese",5,"Tipologia",$A200),0)
+IFERROR(GETPIVOTDATA("Somma di DARE",'Pivot Fineco Sa'!$A$3,"Mese",5,"Tipologia",$A200),0)
+ IFERROR(GETPIVOTDATA("Somma di DARE",'Pivot Fineco St'!$A$3,"Mese",5,"Tipologia",$A200),0)
+ Contanti!R62
+ IFERROR(GETPIVOTDATA("Somma di DARE",'Pivot BBVA'!$A$3,"Mese",5,"Tipologia",$A200),0)
+ IFERROR(GETPIVOTDATA("Somma di DARE",'Pivot Amex'!$A$3,"Mese",5,"Tipologia",$A200),0)
- IFERROR(GETPIVOTDATA("Somma di AVERE",'Pivot Amex'!$A$3,"Mese",5,"Tipologia",$A200),0)
- IFERROR(GETPIVOTDATA("Somma di AVERE",'Pivot BBVA'!$A$3,"Mese",5,"Tipologia",$A200),0)
- IFERROR(GETPIVOTDATA("Somma di AVERE",'Pivot Fineco St'!$A$3,"Mese",5,"Tipologia",$A200),0)
- IFERROR(GETPIVOTDATA("Somma di AVERE",'Pivot Fineco Sa'!$A$3,"Mese",5,"Tipologia",$A200),0)
+ IFERROR(GETPIVOTDATA("Somma di DARE",'Pivot PP Visa'!$A$3,"Mese",5,"Tipologia",$A200),0)
- IFERROR(GETPIVOTDATA("Somma di AVERE",'Pivot PP Visa'!$A$3,"Mese",5,"Tipologia",$A200),0)
+ IFERROR(GETPIVOTDATA("Somma di DARE",'Pivot Revolut'!$A$3,"Mese",5,"Tipologia",$A200),0)
- IFERROR(GETPIVOTDATA("Somma di AVERE",'Pivot Revolut'!$A$3,"Mese",5,"Tipologia",$A200),0)</f>
        <v>0</v>
      </c>
      <c r="H200" s="243">
        <f>IFERROR(GETPIVOTDATA("Somma di DARE EUR",'Pivot RakBank AED'!$A$3,"Mese",6,"Tipologia",$A200),0)
- IFERROR(GETPIVOTDATA("Somma di AVERE EUR",'Pivot RakBank AED'!$A$3,"Mese",6,"Tipologia",$A200),0)
+IFERROR(GETPIVOTDATA("Somma di DARE",'Pivot RakBank EUR'!$A$3,"Mese",6,"Tipologia",$A200),0)
- IFERROR(GETPIVOTDATA("Somma di AVERE",'Pivot RakBank EUR'!$A$3,"Mese",6,"Tipologia",$A200),0)
+IFERROR(GETPIVOTDATA("Somma di DARE",'Pivot Fineco Sa'!$A$3,"Mese",6,"Tipologia",$A200),0)
+ IFERROR(GETPIVOTDATA("Somma di DARE",'Pivot Fineco St'!$A$3,"Mese",6,"Tipologia",$A200),0)
+ Contanti!V62
+ IFERROR(GETPIVOTDATA("Somma di DARE",'Pivot BBVA'!$A$3,"Mese",6,"Tipologia",$A200),0)
+ IFERROR(GETPIVOTDATA("Somma di DARE",'Pivot Amex'!$A$3,"Mese",6,"Tipologia",$A200),0)
- IFERROR(GETPIVOTDATA("Somma di AVERE",'Pivot Amex'!$A$3,"Mese",6,"Tipologia",$A200),0)
- IFERROR(GETPIVOTDATA("Somma di AVERE",'Pivot BBVA'!$A$3,"Mese",6,"Tipologia",$A200),0)
- IFERROR(GETPIVOTDATA("Somma di AVERE",'Pivot Fineco St'!$A$3,"Mese",6,"Tipologia",$A200),0)
- IFERROR(GETPIVOTDATA("Somma di AVERE",'Pivot Fineco Sa'!$A$3,"Mese",6,"Tipologia",$A200),0)
+ IFERROR(GETPIVOTDATA("Somma di DARE",'Pivot PP Visa'!$A$3,"Mese",6,"Tipologia",$A200),0)
- IFERROR(GETPIVOTDATA("Somma di AVERE",'Pivot PP Visa'!$A$3,"Mese",6,"Tipologia",$A200),0)
+ IFERROR(GETPIVOTDATA("Somma di DARE",'Pivot Revolut'!$A$3,"Mese",6,"Tipologia",$A200),0)
- IFERROR(GETPIVOTDATA("Somma di AVERE",'Pivot Revolut'!$A$3,"Mese",6,"Tipologia",$A200),0)</f>
        <v>0</v>
      </c>
      <c r="I200" s="243">
        <f>IFERROR(GETPIVOTDATA("Somma di DARE EUR",'Pivot RakBank AED'!$A$3,"Mese",7,"Tipologia",$A200),0)
- IFERROR(GETPIVOTDATA("Somma di AVERE EUR",'Pivot RakBank AED'!$A$3,"Mese",7,"Tipologia",$A200),0)
+IFERROR(GETPIVOTDATA("Somma di DARE",'Pivot RakBank EUR'!$A$3,"Mese",7,"Tipologia",$A200),0)
- IFERROR(GETPIVOTDATA("Somma di AVERE",'Pivot RakBank EUR'!$A$3,"Mese",7,"Tipologia",$A200),0)
+IFERROR(GETPIVOTDATA("Somma di DARE",'Pivot Fineco Sa'!$A$3,"Mese",7,"Tipologia",$A200),0)
+ IFERROR(GETPIVOTDATA("Somma di DARE",'Pivot Fineco St'!$A$3,"Mese",7,"Tipologia",$A200),0)
+ Contanti!Z62
+ IFERROR(GETPIVOTDATA("Somma di DARE",'Pivot BBVA'!$A$3,"Mese",7,"Tipologia",$A200),0)
+ IFERROR(GETPIVOTDATA("Somma di DARE",'Pivot Amex'!$A$3,"Mese",7,"Tipologia",$A200),0)
- IFERROR(GETPIVOTDATA("Somma di AVERE",'Pivot Amex'!$A$3,"Mese",7,"Tipologia",$A200),0)
- IFERROR(GETPIVOTDATA("Somma di AVERE",'Pivot BBVA'!$A$3,"Mese",7,"Tipologia",$A200),0)
- IFERROR(GETPIVOTDATA("Somma di AVERE",'Pivot Fineco St'!$A$3,"Mese",7,"Tipologia",$A200),0)
- IFERROR(GETPIVOTDATA("Somma di AVERE",'Pivot Fineco Sa'!$A$3,"Mese",7,"Tipologia",$A200),0)
+ IFERROR(GETPIVOTDATA("Somma di DARE",'Pivot PP Visa'!$A$3,"Mese",7,"Tipologia",$A200),0)
- IFERROR(GETPIVOTDATA("Somma di AVERE",'Pivot PP Visa'!$A$3,"Mese",7,"Tipologia",$A200),0)
+ IFERROR(GETPIVOTDATA("Somma di DARE",'Pivot Revolut'!$A$3,"Mese",7,"Tipologia",$A200),0)
- IFERROR(GETPIVOTDATA("Somma di AVERE",'Pivot Revolut'!$A$3,"Mese",7,"Tipologia",$A200),0)</f>
        <v>0</v>
      </c>
      <c r="J200" s="243">
        <f>IFERROR(GETPIVOTDATA("Somma di DARE EUR",'Pivot RakBank AED'!$A$3,"Mese",8,"Tipologia",$A200),0)
- IFERROR(GETPIVOTDATA("Somma di AVERE EUR",'Pivot RakBank AED'!$A$3,"Mese",8,"Tipologia",$A200),0)
+IFERROR(GETPIVOTDATA("Somma di DARE",'Pivot RakBank EUR'!$A$3,"Mese",8,"Tipologia",$A200),0)
- IFERROR(GETPIVOTDATA("Somma di AVERE",'Pivot RakBank EUR'!$A$3,"Mese",8,"Tipologia",$A200),0)
+IFERROR(GETPIVOTDATA("Somma di DARE",'Pivot Fineco Sa'!$A$3,"Mese",8,"Tipologia",$A200),0)
+ IFERROR(GETPIVOTDATA("Somma di DARE",'Pivot Fineco St'!$A$3,"Mese",8,"Tipologia",$A200),0)
+ Contanti!AD62
+ IFERROR(GETPIVOTDATA("Somma di DARE",'Pivot BBVA'!$A$3,"Mese",8,"Tipologia",$A200),0)
+ IFERROR(GETPIVOTDATA("Somma di DARE",'Pivot Amex'!$A$3,"Mese",8,"Tipologia",$A200),0)
- IFERROR(GETPIVOTDATA("Somma di AVERE",'Pivot Amex'!$A$3,"Mese",8,"Tipologia",$A200),0)
- IFERROR(GETPIVOTDATA("Somma di AVERE",'Pivot BBVA'!$A$3,"Mese",8,"Tipologia",$A200),0)
- IFERROR(GETPIVOTDATA("Somma di AVERE",'Pivot Fineco St'!$A$3,"Mese",8,"Tipologia",$A200),0)
- IFERROR(GETPIVOTDATA("Somma di AVERE",'Pivot Fineco Sa'!$A$3,"Mese",8,"Tipologia",$A200),0)
+ IFERROR(GETPIVOTDATA("Somma di DARE",'Pivot PP Visa'!$A$3,"Mese",8,"Tipologia",$A200),0)
- IFERROR(GETPIVOTDATA("Somma di AVERE",'Pivot PP Visa'!$A$3,"Mese",8,"Tipologia",$A200),0)
+ IFERROR(GETPIVOTDATA("Somma di DARE",'Pivot Revolut'!$A$3,"Mese",8,"Tipologia",$A200),0)
- IFERROR(GETPIVOTDATA("Somma di AVERE",'Pivot Revolut'!$A$3,"Mese",8,"Tipologia",$A200),0)</f>
        <v>0</v>
      </c>
      <c r="K200" s="243">
        <f>IFERROR(GETPIVOTDATA("Somma di DARE EUR",'Pivot RakBank AED'!$A$3,"Mese",9,"Tipologia",$A200),0)
- IFERROR(GETPIVOTDATA("Somma di AVERE EUR",'Pivot RakBank AED'!$A$3,"Mese",9,"Tipologia",$A200),0)
+IFERROR(GETPIVOTDATA("Somma di DARE",'Pivot RakBank EUR'!$A$3,"Mese",9,"Tipologia",$A200),0)
- IFERROR(GETPIVOTDATA("Somma di AVERE",'Pivot RakBank EUR'!$A$3,"Mese",9,"Tipologia",$A200),0)
+IFERROR(GETPIVOTDATA("Somma di DARE",'Pivot Fineco Sa'!$A$3,"Mese",9,"Tipologia",$A200),0)
+ IFERROR(GETPIVOTDATA("Somma di DARE",'Pivot Fineco St'!$A$3,"Mese",9,"Tipologia",$A200),0)
+ Contanti!AH62
+ IFERROR(GETPIVOTDATA("Somma di DARE",'Pivot BBVA'!$A$3,"Mese",9,"Tipologia",$A200),0)
+ IFERROR(GETPIVOTDATA("Somma di DARE",'Pivot Amex'!$A$3,"Mese",9,"Tipologia",$A200),0)
- IFERROR(GETPIVOTDATA("Somma di AVERE",'Pivot Amex'!$A$3,"Mese",9,"Tipologia",$A200),0)
- IFERROR(GETPIVOTDATA("Somma di AVERE",'Pivot BBVA'!$A$3,"Mese",9,"Tipologia",$A200),0)
- IFERROR(GETPIVOTDATA("Somma di AVERE",'Pivot Fineco St'!$A$3,"Mese",9,"Tipologia",$A200),0)
- IFERROR(GETPIVOTDATA("Somma di AVERE",'Pivot Fineco Sa'!$A$3,"Mese",9,"Tipologia",$A200),0)
+ IFERROR(GETPIVOTDATA("Somma di DARE",'Pivot PP Visa'!$A$3,"Mese",9,"Tipologia",$A200),0)
- IFERROR(GETPIVOTDATA("Somma di AVERE",'Pivot PP Visa'!$A$3,"Mese",9,"Tipologia",$A200),0)
+ IFERROR(GETPIVOTDATA("Somma di DARE",'Pivot Revolut'!$A$3,"Mese",9,"Tipologia",$A200),0)
- IFERROR(GETPIVOTDATA("Somma di AVERE",'Pivot Revolut'!$A$3,"Mese",9,"Tipologia",$A200),0)</f>
        <v>0</v>
      </c>
      <c r="L200" s="243">
        <f>IFERROR(GETPIVOTDATA("Somma di DARE EUR",'Pivot RakBank AED'!$A$3,"Mese",10,"Tipologia",$A200),0)
- IFERROR(GETPIVOTDATA("Somma di AVERE EUR",'Pivot RakBank AED'!$A$3,"Mese",10,"Tipologia",$A200),0)
+IFERROR(GETPIVOTDATA("Somma di DARE",'Pivot RakBank EUR'!$A$3,"Mese",10,"Tipologia",$A200),0)
- IFERROR(GETPIVOTDATA("Somma di AVERE",'Pivot RakBank EUR'!$A$3,"Mese",10,"Tipologia",$A200),0)
+IFERROR(GETPIVOTDATA("Somma di DARE",'Pivot Fineco Sa'!$A$3,"Mese",10,"Tipologia",$A200),0)
+ IFERROR(GETPIVOTDATA("Somma di DARE",'Pivot Fineco St'!$A$3,"Mese",10,"Tipologia",$A200),0)
+ Contanti!AL62
+ IFERROR(GETPIVOTDATA("Somma di DARE",'Pivot BBVA'!$A$3,"Mese",10,"Tipologia",$A200),0)
+ IFERROR(GETPIVOTDATA("Somma di DARE",'Pivot Amex'!$A$3,"Mese",10,"Tipologia",$A200),0)
- IFERROR(GETPIVOTDATA("Somma di AVERE",'Pivot Amex'!$A$3,"Mese",10,"Tipologia",$A200),0)
- IFERROR(GETPIVOTDATA("Somma di AVERE",'Pivot BBVA'!$A$3,"Mese",10,"Tipologia",$A200),0)
- IFERROR(GETPIVOTDATA("Somma di AVERE",'Pivot Fineco St'!$A$3,"Mese",10,"Tipologia",$A200),0)
- IFERROR(GETPIVOTDATA("Somma di AVERE",'Pivot Fineco Sa'!$A$3,"Mese",10,"Tipologia",$A200),0)
+ IFERROR(GETPIVOTDATA("Somma di DARE",'Pivot PP Visa'!$A$3,"Mese",10,"Tipologia",$A200),0)
- IFERROR(GETPIVOTDATA("Somma di AVERE",'Pivot PP Visa'!$A$3,"Mese",10,"Tipologia",$A200),0)
+ IFERROR(GETPIVOTDATA("Somma di DARE",'Pivot Revolut'!$A$3,"Mese",10,"Tipologia",$A200),0)
- IFERROR(GETPIVOTDATA("Somma di AVERE",'Pivot Revolut'!$A$3,"Mese",10,"Tipologia",$A200),0)</f>
        <v>0</v>
      </c>
      <c r="M200" s="243">
        <f>IFERROR(GETPIVOTDATA("Somma di DARE EUR",'Pivot RakBank AED'!$A$3,"Mese",11,"Tipologia",$A200),0)
- IFERROR(GETPIVOTDATA("Somma di AVERE EUR",'Pivot RakBank AED'!$A$3,"Mese",11,"Tipologia",$A200),0)
+IFERROR(GETPIVOTDATA("Somma di DARE",'Pivot RakBank EUR'!$A$3,"Mese",11,"Tipologia",$A200),0)
- IFERROR(GETPIVOTDATA("Somma di AVERE",'Pivot RakBank EUR'!$A$3,"Mese",11,"Tipologia",$A200),0)
+IFERROR(GETPIVOTDATA("Somma di DARE",'Pivot Fineco Sa'!$A$3,"Mese",11,"Tipologia",$A200),0)
+ IFERROR(GETPIVOTDATA("Somma di DARE",'Pivot Fineco St'!$A$3,"Mese",11,"Tipologia",$A200),0)
+ Contanti!AP62
+ IFERROR(GETPIVOTDATA("Somma di DARE",'Pivot BBVA'!$A$3,"Mese",11,"Tipologia",$A200),0)
+ IFERROR(GETPIVOTDATA("Somma di DARE",'Pivot Amex'!$A$3,"Mese",11,"Tipologia",$A200),0)
- IFERROR(GETPIVOTDATA("Somma di AVERE",'Pivot Amex'!$A$3,"Mese",11,"Tipologia",$A200),0)
- IFERROR(GETPIVOTDATA("Somma di AVERE",'Pivot BBVA'!$A$3,"Mese",11,"Tipologia",$A200),0)
- IFERROR(GETPIVOTDATA("Somma di AVERE",'Pivot Fineco St'!$A$3,"Mese",11,"Tipologia",$A200),0)
- IFERROR(GETPIVOTDATA("Somma di AVERE",'Pivot Fineco Sa'!$A$3,"Mese",11,"Tipologia",$A200),0)
+ IFERROR(GETPIVOTDATA("Somma di DARE",'Pivot PP Visa'!$A$3,"Mese",11,"Tipologia",$A200),0)
- IFERROR(GETPIVOTDATA("Somma di AVERE",'Pivot PP Visa'!$A$3,"Mese",11,"Tipologia",$A200),0)
+ IFERROR(GETPIVOTDATA("Somma di DARE",'Pivot Revolut'!$A$3,"Mese",11,"Tipologia",$A200),0)
- IFERROR(GETPIVOTDATA("Somma di AVERE",'Pivot Revolut'!$A$3,"Mese",11,"Tipologia",$A200),0)</f>
        <v>0</v>
      </c>
      <c r="N200" s="243">
        <f>IFERROR(GETPIVOTDATA("Somma di DARE EUR",'Pivot RakBank AED'!$A$3,"Mese",12,"Tipologia",$A200),0)
- IFERROR(GETPIVOTDATA("Somma di AVERE EUR",'Pivot RakBank AED'!$A$3,"Mese",12,"Tipologia",$A200),0)
+IFERROR(GETPIVOTDATA("Somma di DARE",'Pivot RakBank EUR'!$A$3,"Mese",12,"Tipologia",$A200),0)
- IFERROR(GETPIVOTDATA("Somma di AVERE",'Pivot RakBank EUR'!$A$3,"Mese",12,"Tipologia",$A200),0)
+IFERROR(GETPIVOTDATA("Somma di DARE",'Pivot Fineco Sa'!$A$3,"Mese",12,"Tipologia",$A200),0)
+ IFERROR(GETPIVOTDATA("Somma di DARE",'Pivot Fineco St'!$A$3,"Mese",12,"Tipologia",$A200),0)
+ Contanti!AT62
+ IFERROR(GETPIVOTDATA("Somma di DARE",'Pivot BBVA'!$A$3,"Mese",12,"Tipologia",$A200),0)
+ IFERROR(GETPIVOTDATA("Somma di DARE",'Pivot Amex'!$A$3,"Mese",12,"Tipologia",$A200),0)
- IFERROR(GETPIVOTDATA("Somma di AVERE",'Pivot Amex'!$A$3,"Mese",12,"Tipologia",$A200),0)
- IFERROR(GETPIVOTDATA("Somma di AVERE",'Pivot BBVA'!$A$3,"Mese",12,"Tipologia",$A200),0)
- IFERROR(GETPIVOTDATA("Somma di AVERE",'Pivot Fineco St'!$A$3,"Mese",12,"Tipologia",$A200),0)
- IFERROR(GETPIVOTDATA("Somma di AVERE",'Pivot Fineco Sa'!$A$3,"Mese",12,"Tipologia",$A200),0)
+ IFERROR(GETPIVOTDATA("Somma di DARE",'Pivot PP Visa'!$A$3,"Mese",12,"Tipologia",$A200),0)
- IFERROR(GETPIVOTDATA("Somma di AVERE",'Pivot PP Visa'!$A$3,"Mese",12,"Tipologia",$A200),0)
+ IFERROR(GETPIVOTDATA("Somma di DARE",'Pivot Revolut'!$A$3,"Mese",12,"Tipologia",$A200),0)
- IFERROR(GETPIVOTDATA("Somma di AVERE",'Pivot Revolut'!$A$3,"Mese",12,"Tipologia",$A200),0)</f>
        <v>0</v>
      </c>
      <c r="O200" s="252">
        <f t="shared" si="27"/>
        <v>0</v>
      </c>
      <c r="P200" s="243">
        <f t="shared" ca="1" si="28"/>
        <v>0</v>
      </c>
    </row>
    <row r="201" spans="1:16" s="125" customFormat="1" ht="21" customHeight="1" x14ac:dyDescent="0.2">
      <c r="A201" s="251" t="s">
        <v>939</v>
      </c>
      <c r="B201" s="251"/>
      <c r="C201" s="243">
        <f>IFERROR(GETPIVOTDATA("Somma di DARE EUR",'Pivot RakBank AED'!$A$3,"Mese",1,"Tipologia",$A201),0)
- IFERROR(GETPIVOTDATA("Somma di AVERE EUR",'Pivot RakBank AED'!$A$3,"Mese",1,"Tipologia",$A201),0)
+IFERROR(GETPIVOTDATA("Somma di DARE",'Pivot RakBank EUR'!$A$3,"Mese",1,"Tipologia",$A201),0)
- IFERROR(GETPIVOTDATA("Somma di AVERE",'Pivot RakBank EUR'!$A$3,"Mese",1,"Tipologia",$A201),0)
+IFERROR(GETPIVOTDATA("Somma di DARE",'Pivot Fineco Sa'!$A$3,"Mese",1,"Tipologia",$A201),0)
+ IFERROR(GETPIVOTDATA("Somma di DARE",'Pivot Fineco St'!$A$3,"Mese",1,"Tipologia",$A201),0)
+ Contanti!B63
+ IFERROR(GETPIVOTDATA("Somma di DARE",'Pivot BBVA'!$A$3,"Mese",1,"Tipologia",$A201),0)
+ IFERROR(GETPIVOTDATA("Somma di DARE",'Pivot Amex'!$A$3,"Mese",1,"Tipologia",$A201),0)
- IFERROR(GETPIVOTDATA("Somma di AVERE",'Pivot Amex'!$A$3,"Mese",1,"Tipologia",$A201),0)
- IFERROR(GETPIVOTDATA("Somma di AVERE",'Pivot BBVA'!$A$3,"Mese",1,"Tipologia",$A201),0)
- IFERROR(GETPIVOTDATA("Somma di AVERE",'Pivot Fineco St'!$A$3,"Mese",1,"Tipologia",$A201),0)
- IFERROR(GETPIVOTDATA("Somma di AVERE",'Pivot Fineco Sa'!$A$3,"Mese",1,"Tipologia",$A201),0)
+ IFERROR(GETPIVOTDATA("Somma di DARE",'Pivot PP Visa'!$A$3,"Mese",1,"Tipologia",$A201),0)
- IFERROR(GETPIVOTDATA("Somma di AVERE",'Pivot PP Visa'!$A$3,"Mese",1,"Tipologia",$A201),0)
+ IFERROR(GETPIVOTDATA("Somma di DARE",'Pivot Revolut'!$A$3,"Mese",1,"Tipologia",$A201),0)
- IFERROR(GETPIVOTDATA("Somma di AVERE",'Pivot Revolut'!$A$3,"Mese",1,"Tipologia",$A201),0)</f>
        <v>0</v>
      </c>
      <c r="D201" s="243">
        <f>IFERROR(GETPIVOTDATA("Somma di DARE EUR",'Pivot RakBank AED'!$A$3,"Mese",2,"Tipologia",$A201),0)
- IFERROR(GETPIVOTDATA("Somma di AVERE EUR",'Pivot RakBank AED'!$A$3,"Mese",2,"Tipologia",$A201),0)
+IFERROR(GETPIVOTDATA("Somma di DARE",'Pivot RakBank EUR'!$A$3,"Mese",2,"Tipologia",$A201),0)
- IFERROR(GETPIVOTDATA("Somma di AVERE",'Pivot RakBank EUR'!$A$3,"Mese",2,"Tipologia",$A201),0)
+IFERROR(GETPIVOTDATA("Somma di DARE",'Pivot Fineco Sa'!$A$3,"Mese",2,"Tipologia",$A201),0)
+ IFERROR(GETPIVOTDATA("Somma di DARE",'Pivot Fineco St'!$A$3,"Mese",2,"Tipologia",$A201),0)
+ Contanti!F63
+ IFERROR(GETPIVOTDATA("Somma di DARE",'Pivot BBVA'!$A$3,"Mese",2,"Tipologia",$A201),0)
+ IFERROR(GETPIVOTDATA("Somma di DARE",'Pivot Amex'!$A$3,"Mese",2,"Tipologia",$A201),0)
- IFERROR(GETPIVOTDATA("Somma di AVERE",'Pivot Amex'!$A$3,"Mese",2,"Tipologia",$A201),0)
- IFERROR(GETPIVOTDATA("Somma di AVERE",'Pivot BBVA'!$A$3,"Mese",2,"Tipologia",$A201),0)
- IFERROR(GETPIVOTDATA("Somma di AVERE",'Pivot Fineco St'!$A$3,"Mese",2,"Tipologia",$A201),0)
- IFERROR(GETPIVOTDATA("Somma di AVERE",'Pivot Fineco Sa'!$A$3,"Mese",2,"Tipologia",$A201),0)
+ IFERROR(GETPIVOTDATA("Somma di DARE",'Pivot PP Visa'!$A$3,"Mese",2,"Tipologia",$A201),0)
- IFERROR(GETPIVOTDATA("Somma di AVERE",'Pivot PP Visa'!$A$3,"Mese",2,"Tipologia",$A201),0)
+ IFERROR(GETPIVOTDATA("Somma di DARE",'Pivot Revolut'!$A$3,"Mese",2,"Tipologia",$A201),0)
- IFERROR(GETPIVOTDATA("Somma di AVERE",'Pivot Revolut'!$A$3,"Mese",2,"Tipologia",$A201),0)</f>
        <v>0</v>
      </c>
      <c r="E201" s="243">
        <f>IFERROR(GETPIVOTDATA("Somma di DARE EUR",'Pivot RakBank AED'!$A$3,"Mese",3,"Tipologia",$A201),0)
- IFERROR(GETPIVOTDATA("Somma di AVERE EUR",'Pivot RakBank AED'!$A$3,"Mese",3,"Tipologia",$A201),0)
+IFERROR(GETPIVOTDATA("Somma di DARE",'Pivot RakBank EUR'!$A$3,"Mese",3,"Tipologia",$A201),0)
- IFERROR(GETPIVOTDATA("Somma di AVERE",'Pivot RakBank EUR'!$A$3,"Mese",3,"Tipologia",$A201),0)
+IFERROR(GETPIVOTDATA("Somma di DARE",'Pivot Fineco Sa'!$A$3,"Mese",3,"Tipologia",$A201),0)
+ IFERROR(GETPIVOTDATA("Somma di DARE",'Pivot Fineco St'!$A$3,"Mese",3,"Tipologia",$A201),0)
+ Contanti!J63
+ IFERROR(GETPIVOTDATA("Somma di DARE",'Pivot BBVA'!$A$3,"Mese",3,"Tipologia",$A201),0)
+ IFERROR(GETPIVOTDATA("Somma di DARE",'Pivot Amex'!$A$3,"Mese",3,"Tipologia",$A201),0)
- IFERROR(GETPIVOTDATA("Somma di AVERE",'Pivot Amex'!$A$3,"Mese",3,"Tipologia",$A201),0)
- IFERROR(GETPIVOTDATA("Somma di AVERE",'Pivot BBVA'!$A$3,"Mese",3,"Tipologia",$A201),0)
- IFERROR(GETPIVOTDATA("Somma di AVERE",'Pivot Fineco St'!$A$3,"Mese",3,"Tipologia",$A201),0)
- IFERROR(GETPIVOTDATA("Somma di AVERE",'Pivot Fineco Sa'!$A$3,"Mese",3,"Tipologia",$A201),0)
+ IFERROR(GETPIVOTDATA("Somma di DARE",'Pivot PP Visa'!$A$3,"Mese",3,"Tipologia",$A201),0)
- IFERROR(GETPIVOTDATA("Somma di AVERE",'Pivot PP Visa'!$A$3,"Mese",3,"Tipologia",$A201),0)
+ IFERROR(GETPIVOTDATA("Somma di DARE",'Pivot Revolut'!$A$3,"Mese",3,"Tipologia",$A201),0)
- IFERROR(GETPIVOTDATA("Somma di AVERE",'Pivot Revolut'!$A$3,"Mese",3,"Tipologia",$A201),0)</f>
        <v>0</v>
      </c>
      <c r="F201" s="243">
        <f>IFERROR(GETPIVOTDATA("Somma di DARE EUR",'Pivot RakBank AED'!$A$3,"Mese",4,"Tipologia",$A201),0)
- IFERROR(GETPIVOTDATA("Somma di AVERE EUR",'Pivot RakBank AED'!$A$3,"Mese",4,"Tipologia",$A201),0)
+IFERROR(GETPIVOTDATA("Somma di DARE",'Pivot RakBank EUR'!$A$3,"Mese",4,"Tipologia",$A201),0)
- IFERROR(GETPIVOTDATA("Somma di AVERE",'Pivot RakBank EUR'!$A$3,"Mese",4,"Tipologia",$A201),0)
+IFERROR(GETPIVOTDATA("Somma di DARE",'Pivot Fineco Sa'!$A$3,"Mese",4,"Tipologia",$A201),0)
+ IFERROR(GETPIVOTDATA("Somma di DARE",'Pivot Fineco St'!$A$3,"Mese",4,"Tipologia",$A201),0)
+ Contanti!N63
+ IFERROR(GETPIVOTDATA("Somma di DARE",'Pivot BBVA'!$A$3,"Mese",4,"Tipologia",$A201),0)
+ IFERROR(GETPIVOTDATA("Somma di DARE",'Pivot Amex'!$A$3,"Mese",4,"Tipologia",$A201),0)
- IFERROR(GETPIVOTDATA("Somma di AVERE",'Pivot Amex'!$A$3,"Mese",4,"Tipologia",$A201),0)
- IFERROR(GETPIVOTDATA("Somma di AVERE",'Pivot BBVA'!$A$3,"Mese",4,"Tipologia",$A201),0)
- IFERROR(GETPIVOTDATA("Somma di AVERE",'Pivot Fineco St'!$A$3,"Mese",4,"Tipologia",$A201),0)
- IFERROR(GETPIVOTDATA("Somma di AVERE",'Pivot Fineco Sa'!$A$3,"Mese",4,"Tipologia",$A201),0)
+ IFERROR(GETPIVOTDATA("Somma di DARE",'Pivot PP Visa'!$A$3,"Mese",4,"Tipologia",$A201),0)
- IFERROR(GETPIVOTDATA("Somma di AVERE",'Pivot PP Visa'!$A$3,"Mese",4,"Tipologia",$A201),0)
+ IFERROR(GETPIVOTDATA("Somma di DARE",'Pivot Revolut'!$A$3,"Mese",4,"Tipologia",$A201),0)
- IFERROR(GETPIVOTDATA("Somma di AVERE",'Pivot Revolut'!$A$3,"Mese",4,"Tipologia",$A201),0)</f>
        <v>0</v>
      </c>
      <c r="G201" s="243">
        <f>IFERROR(GETPIVOTDATA("Somma di DARE EUR",'Pivot RakBank AED'!$A$3,"Mese",5,"Tipologia",$A201),0)
- IFERROR(GETPIVOTDATA("Somma di AVERE EUR",'Pivot RakBank AED'!$A$3,"Mese",5,"Tipologia",$A201),0)
+IFERROR(GETPIVOTDATA("Somma di DARE",'Pivot RakBank EUR'!$A$3,"Mese",5,"Tipologia",$A201),0)
- IFERROR(GETPIVOTDATA("Somma di AVERE",'Pivot RakBank EUR'!$A$3,"Mese",5,"Tipologia",$A201),0)
+IFERROR(GETPIVOTDATA("Somma di DARE",'Pivot Fineco Sa'!$A$3,"Mese",5,"Tipologia",$A201),0)
+ IFERROR(GETPIVOTDATA("Somma di DARE",'Pivot Fineco St'!$A$3,"Mese",5,"Tipologia",$A201),0)
+ Contanti!R63
+ IFERROR(GETPIVOTDATA("Somma di DARE",'Pivot BBVA'!$A$3,"Mese",5,"Tipologia",$A201),0)
+ IFERROR(GETPIVOTDATA("Somma di DARE",'Pivot Amex'!$A$3,"Mese",5,"Tipologia",$A201),0)
- IFERROR(GETPIVOTDATA("Somma di AVERE",'Pivot Amex'!$A$3,"Mese",5,"Tipologia",$A201),0)
- IFERROR(GETPIVOTDATA("Somma di AVERE",'Pivot BBVA'!$A$3,"Mese",5,"Tipologia",$A201),0)
- IFERROR(GETPIVOTDATA("Somma di AVERE",'Pivot Fineco St'!$A$3,"Mese",5,"Tipologia",$A201),0)
- IFERROR(GETPIVOTDATA("Somma di AVERE",'Pivot Fineco Sa'!$A$3,"Mese",5,"Tipologia",$A201),0)
+ IFERROR(GETPIVOTDATA("Somma di DARE",'Pivot PP Visa'!$A$3,"Mese",5,"Tipologia",$A201),0)
- IFERROR(GETPIVOTDATA("Somma di AVERE",'Pivot PP Visa'!$A$3,"Mese",5,"Tipologia",$A201),0)
+ IFERROR(GETPIVOTDATA("Somma di DARE",'Pivot Revolut'!$A$3,"Mese",5,"Tipologia",$A201),0)
- IFERROR(GETPIVOTDATA("Somma di AVERE",'Pivot Revolut'!$A$3,"Mese",5,"Tipologia",$A201),0)</f>
        <v>0</v>
      </c>
      <c r="H201" s="243">
        <f>IFERROR(GETPIVOTDATA("Somma di DARE EUR",'Pivot RakBank AED'!$A$3,"Mese",6,"Tipologia",$A201),0)
- IFERROR(GETPIVOTDATA("Somma di AVERE EUR",'Pivot RakBank AED'!$A$3,"Mese",6,"Tipologia",$A201),0)
+IFERROR(GETPIVOTDATA("Somma di DARE",'Pivot RakBank EUR'!$A$3,"Mese",6,"Tipologia",$A201),0)
- IFERROR(GETPIVOTDATA("Somma di AVERE",'Pivot RakBank EUR'!$A$3,"Mese",6,"Tipologia",$A201),0)
+IFERROR(GETPIVOTDATA("Somma di DARE",'Pivot Fineco Sa'!$A$3,"Mese",6,"Tipologia",$A201),0)
+ IFERROR(GETPIVOTDATA("Somma di DARE",'Pivot Fineco St'!$A$3,"Mese",6,"Tipologia",$A201),0)
+ Contanti!V63
+ IFERROR(GETPIVOTDATA("Somma di DARE",'Pivot BBVA'!$A$3,"Mese",6,"Tipologia",$A201),0)
+ IFERROR(GETPIVOTDATA("Somma di DARE",'Pivot Amex'!$A$3,"Mese",6,"Tipologia",$A201),0)
- IFERROR(GETPIVOTDATA("Somma di AVERE",'Pivot Amex'!$A$3,"Mese",6,"Tipologia",$A201),0)
- IFERROR(GETPIVOTDATA("Somma di AVERE",'Pivot BBVA'!$A$3,"Mese",6,"Tipologia",$A201),0)
- IFERROR(GETPIVOTDATA("Somma di AVERE",'Pivot Fineco St'!$A$3,"Mese",6,"Tipologia",$A201),0)
- IFERROR(GETPIVOTDATA("Somma di AVERE",'Pivot Fineco Sa'!$A$3,"Mese",6,"Tipologia",$A201),0)
+ IFERROR(GETPIVOTDATA("Somma di DARE",'Pivot PP Visa'!$A$3,"Mese",6,"Tipologia",$A201),0)
- IFERROR(GETPIVOTDATA("Somma di AVERE",'Pivot PP Visa'!$A$3,"Mese",6,"Tipologia",$A201),0)
+ IFERROR(GETPIVOTDATA("Somma di DARE",'Pivot Revolut'!$A$3,"Mese",6,"Tipologia",$A201),0)
- IFERROR(GETPIVOTDATA("Somma di AVERE",'Pivot Revolut'!$A$3,"Mese",6,"Tipologia",$A201),0)</f>
        <v>0</v>
      </c>
      <c r="I201" s="243">
        <f>IFERROR(GETPIVOTDATA("Somma di DARE EUR",'Pivot RakBank AED'!$A$3,"Mese",7,"Tipologia",$A201),0)
- IFERROR(GETPIVOTDATA("Somma di AVERE EUR",'Pivot RakBank AED'!$A$3,"Mese",7,"Tipologia",$A201),0)
+IFERROR(GETPIVOTDATA("Somma di DARE",'Pivot RakBank EUR'!$A$3,"Mese",7,"Tipologia",$A201),0)
- IFERROR(GETPIVOTDATA("Somma di AVERE",'Pivot RakBank EUR'!$A$3,"Mese",7,"Tipologia",$A201),0)
+IFERROR(GETPIVOTDATA("Somma di DARE",'Pivot Fineco Sa'!$A$3,"Mese",7,"Tipologia",$A201),0)
+ IFERROR(GETPIVOTDATA("Somma di DARE",'Pivot Fineco St'!$A$3,"Mese",7,"Tipologia",$A201),0)
+ Contanti!Z63
+ IFERROR(GETPIVOTDATA("Somma di DARE",'Pivot BBVA'!$A$3,"Mese",7,"Tipologia",$A201),0)
+ IFERROR(GETPIVOTDATA("Somma di DARE",'Pivot Amex'!$A$3,"Mese",7,"Tipologia",$A201),0)
- IFERROR(GETPIVOTDATA("Somma di AVERE",'Pivot Amex'!$A$3,"Mese",7,"Tipologia",$A201),0)
- IFERROR(GETPIVOTDATA("Somma di AVERE",'Pivot BBVA'!$A$3,"Mese",7,"Tipologia",$A201),0)
- IFERROR(GETPIVOTDATA("Somma di AVERE",'Pivot Fineco St'!$A$3,"Mese",7,"Tipologia",$A201),0)
- IFERROR(GETPIVOTDATA("Somma di AVERE",'Pivot Fineco Sa'!$A$3,"Mese",7,"Tipologia",$A201),0)
+ IFERROR(GETPIVOTDATA("Somma di DARE",'Pivot PP Visa'!$A$3,"Mese",7,"Tipologia",$A201),0)
- IFERROR(GETPIVOTDATA("Somma di AVERE",'Pivot PP Visa'!$A$3,"Mese",7,"Tipologia",$A201),0)
+ IFERROR(GETPIVOTDATA("Somma di DARE",'Pivot Revolut'!$A$3,"Mese",7,"Tipologia",$A201),0)
- IFERROR(GETPIVOTDATA("Somma di AVERE",'Pivot Revolut'!$A$3,"Mese",7,"Tipologia",$A201),0)</f>
        <v>0</v>
      </c>
      <c r="J201" s="243">
        <f>IFERROR(GETPIVOTDATA("Somma di DARE EUR",'Pivot RakBank AED'!$A$3,"Mese",8,"Tipologia",$A201),0)
- IFERROR(GETPIVOTDATA("Somma di AVERE EUR",'Pivot RakBank AED'!$A$3,"Mese",8,"Tipologia",$A201),0)
+IFERROR(GETPIVOTDATA("Somma di DARE",'Pivot RakBank EUR'!$A$3,"Mese",8,"Tipologia",$A201),0)
- IFERROR(GETPIVOTDATA("Somma di AVERE",'Pivot RakBank EUR'!$A$3,"Mese",8,"Tipologia",$A201),0)
+IFERROR(GETPIVOTDATA("Somma di DARE",'Pivot Fineco Sa'!$A$3,"Mese",8,"Tipologia",$A201),0)
+ IFERROR(GETPIVOTDATA("Somma di DARE",'Pivot Fineco St'!$A$3,"Mese",8,"Tipologia",$A201),0)
+ Contanti!AD63
+ IFERROR(GETPIVOTDATA("Somma di DARE",'Pivot BBVA'!$A$3,"Mese",8,"Tipologia",$A201),0)
+ IFERROR(GETPIVOTDATA("Somma di DARE",'Pivot Amex'!$A$3,"Mese",8,"Tipologia",$A201),0)
- IFERROR(GETPIVOTDATA("Somma di AVERE",'Pivot Amex'!$A$3,"Mese",8,"Tipologia",$A201),0)
- IFERROR(GETPIVOTDATA("Somma di AVERE",'Pivot BBVA'!$A$3,"Mese",8,"Tipologia",$A201),0)
- IFERROR(GETPIVOTDATA("Somma di AVERE",'Pivot Fineco St'!$A$3,"Mese",8,"Tipologia",$A201),0)
- IFERROR(GETPIVOTDATA("Somma di AVERE",'Pivot Fineco Sa'!$A$3,"Mese",8,"Tipologia",$A201),0)
+ IFERROR(GETPIVOTDATA("Somma di DARE",'Pivot PP Visa'!$A$3,"Mese",8,"Tipologia",$A201),0)
- IFERROR(GETPIVOTDATA("Somma di AVERE",'Pivot PP Visa'!$A$3,"Mese",8,"Tipologia",$A201),0)
+ IFERROR(GETPIVOTDATA("Somma di DARE",'Pivot Revolut'!$A$3,"Mese",8,"Tipologia",$A201),0)
- IFERROR(GETPIVOTDATA("Somma di AVERE",'Pivot Revolut'!$A$3,"Mese",8,"Tipologia",$A201),0)</f>
        <v>0</v>
      </c>
      <c r="K201" s="243">
        <f>IFERROR(GETPIVOTDATA("Somma di DARE EUR",'Pivot RakBank AED'!$A$3,"Mese",9,"Tipologia",$A201),0)
- IFERROR(GETPIVOTDATA("Somma di AVERE EUR",'Pivot RakBank AED'!$A$3,"Mese",9,"Tipologia",$A201),0)
+IFERROR(GETPIVOTDATA("Somma di DARE",'Pivot RakBank EUR'!$A$3,"Mese",9,"Tipologia",$A201),0)
- IFERROR(GETPIVOTDATA("Somma di AVERE",'Pivot RakBank EUR'!$A$3,"Mese",9,"Tipologia",$A201),0)
+IFERROR(GETPIVOTDATA("Somma di DARE",'Pivot Fineco Sa'!$A$3,"Mese",9,"Tipologia",$A201),0)
+ IFERROR(GETPIVOTDATA("Somma di DARE",'Pivot Fineco St'!$A$3,"Mese",9,"Tipologia",$A201),0)
+ Contanti!AH63
+ IFERROR(GETPIVOTDATA("Somma di DARE",'Pivot BBVA'!$A$3,"Mese",9,"Tipologia",$A201),0)
+ IFERROR(GETPIVOTDATA("Somma di DARE",'Pivot Amex'!$A$3,"Mese",9,"Tipologia",$A201),0)
- IFERROR(GETPIVOTDATA("Somma di AVERE",'Pivot Amex'!$A$3,"Mese",9,"Tipologia",$A201),0)
- IFERROR(GETPIVOTDATA("Somma di AVERE",'Pivot BBVA'!$A$3,"Mese",9,"Tipologia",$A201),0)
- IFERROR(GETPIVOTDATA("Somma di AVERE",'Pivot Fineco St'!$A$3,"Mese",9,"Tipologia",$A201),0)
- IFERROR(GETPIVOTDATA("Somma di AVERE",'Pivot Fineco Sa'!$A$3,"Mese",9,"Tipologia",$A201),0)
+ IFERROR(GETPIVOTDATA("Somma di DARE",'Pivot PP Visa'!$A$3,"Mese",9,"Tipologia",$A201),0)
- IFERROR(GETPIVOTDATA("Somma di AVERE",'Pivot PP Visa'!$A$3,"Mese",9,"Tipologia",$A201),0)
+ IFERROR(GETPIVOTDATA("Somma di DARE",'Pivot Revolut'!$A$3,"Mese",9,"Tipologia",$A201),0)
- IFERROR(GETPIVOTDATA("Somma di AVERE",'Pivot Revolut'!$A$3,"Mese",9,"Tipologia",$A201),0)</f>
        <v>0</v>
      </c>
      <c r="L201" s="243">
        <f>IFERROR(GETPIVOTDATA("Somma di DARE EUR",'Pivot RakBank AED'!$A$3,"Mese",10,"Tipologia",$A201),0)
- IFERROR(GETPIVOTDATA("Somma di AVERE EUR",'Pivot RakBank AED'!$A$3,"Mese",10,"Tipologia",$A201),0)
+IFERROR(GETPIVOTDATA("Somma di DARE",'Pivot RakBank EUR'!$A$3,"Mese",10,"Tipologia",$A201),0)
- IFERROR(GETPIVOTDATA("Somma di AVERE",'Pivot RakBank EUR'!$A$3,"Mese",10,"Tipologia",$A201),0)
+IFERROR(GETPIVOTDATA("Somma di DARE",'Pivot Fineco Sa'!$A$3,"Mese",10,"Tipologia",$A201),0)
+ IFERROR(GETPIVOTDATA("Somma di DARE",'Pivot Fineco St'!$A$3,"Mese",10,"Tipologia",$A201),0)
+ Contanti!AL63
+ IFERROR(GETPIVOTDATA("Somma di DARE",'Pivot BBVA'!$A$3,"Mese",10,"Tipologia",$A201),0)
+ IFERROR(GETPIVOTDATA("Somma di DARE",'Pivot Amex'!$A$3,"Mese",10,"Tipologia",$A201),0)
- IFERROR(GETPIVOTDATA("Somma di AVERE",'Pivot Amex'!$A$3,"Mese",10,"Tipologia",$A201),0)
- IFERROR(GETPIVOTDATA("Somma di AVERE",'Pivot BBVA'!$A$3,"Mese",10,"Tipologia",$A201),0)
- IFERROR(GETPIVOTDATA("Somma di AVERE",'Pivot Fineco St'!$A$3,"Mese",10,"Tipologia",$A201),0)
- IFERROR(GETPIVOTDATA("Somma di AVERE",'Pivot Fineco Sa'!$A$3,"Mese",10,"Tipologia",$A201),0)
+ IFERROR(GETPIVOTDATA("Somma di DARE",'Pivot PP Visa'!$A$3,"Mese",10,"Tipologia",$A201),0)
- IFERROR(GETPIVOTDATA("Somma di AVERE",'Pivot PP Visa'!$A$3,"Mese",10,"Tipologia",$A201),0)
+ IFERROR(GETPIVOTDATA("Somma di DARE",'Pivot Revolut'!$A$3,"Mese",10,"Tipologia",$A201),0)
- IFERROR(GETPIVOTDATA("Somma di AVERE",'Pivot Revolut'!$A$3,"Mese",10,"Tipologia",$A201),0)</f>
        <v>0</v>
      </c>
      <c r="M201" s="243">
        <f>IFERROR(GETPIVOTDATA("Somma di DARE EUR",'Pivot RakBank AED'!$A$3,"Mese",11,"Tipologia",$A201),0)
- IFERROR(GETPIVOTDATA("Somma di AVERE EUR",'Pivot RakBank AED'!$A$3,"Mese",11,"Tipologia",$A201),0)
+IFERROR(GETPIVOTDATA("Somma di DARE",'Pivot RakBank EUR'!$A$3,"Mese",11,"Tipologia",$A201),0)
- IFERROR(GETPIVOTDATA("Somma di AVERE",'Pivot RakBank EUR'!$A$3,"Mese",11,"Tipologia",$A201),0)
+IFERROR(GETPIVOTDATA("Somma di DARE",'Pivot Fineco Sa'!$A$3,"Mese",11,"Tipologia",$A201),0)
+ IFERROR(GETPIVOTDATA("Somma di DARE",'Pivot Fineco St'!$A$3,"Mese",11,"Tipologia",$A201),0)
+ Contanti!AP63
+ IFERROR(GETPIVOTDATA("Somma di DARE",'Pivot BBVA'!$A$3,"Mese",11,"Tipologia",$A201),0)
+ IFERROR(GETPIVOTDATA("Somma di DARE",'Pivot Amex'!$A$3,"Mese",11,"Tipologia",$A201),0)
- IFERROR(GETPIVOTDATA("Somma di AVERE",'Pivot Amex'!$A$3,"Mese",11,"Tipologia",$A201),0)
- IFERROR(GETPIVOTDATA("Somma di AVERE",'Pivot BBVA'!$A$3,"Mese",11,"Tipologia",$A201),0)
- IFERROR(GETPIVOTDATA("Somma di AVERE",'Pivot Fineco St'!$A$3,"Mese",11,"Tipologia",$A201),0)
- IFERROR(GETPIVOTDATA("Somma di AVERE",'Pivot Fineco Sa'!$A$3,"Mese",11,"Tipologia",$A201),0)
+ IFERROR(GETPIVOTDATA("Somma di DARE",'Pivot PP Visa'!$A$3,"Mese",11,"Tipologia",$A201),0)
- IFERROR(GETPIVOTDATA("Somma di AVERE",'Pivot PP Visa'!$A$3,"Mese",11,"Tipologia",$A201),0)
+ IFERROR(GETPIVOTDATA("Somma di DARE",'Pivot Revolut'!$A$3,"Mese",11,"Tipologia",$A201),0)
- IFERROR(GETPIVOTDATA("Somma di AVERE",'Pivot Revolut'!$A$3,"Mese",11,"Tipologia",$A201),0)</f>
        <v>0</v>
      </c>
      <c r="N201" s="243">
        <f>IFERROR(GETPIVOTDATA("Somma di DARE EUR",'Pivot RakBank AED'!$A$3,"Mese",12,"Tipologia",$A201),0)
- IFERROR(GETPIVOTDATA("Somma di AVERE EUR",'Pivot RakBank AED'!$A$3,"Mese",12,"Tipologia",$A201),0)
+IFERROR(GETPIVOTDATA("Somma di DARE",'Pivot RakBank EUR'!$A$3,"Mese",12,"Tipologia",$A201),0)
- IFERROR(GETPIVOTDATA("Somma di AVERE",'Pivot RakBank EUR'!$A$3,"Mese",12,"Tipologia",$A201),0)
+IFERROR(GETPIVOTDATA("Somma di DARE",'Pivot Fineco Sa'!$A$3,"Mese",12,"Tipologia",$A201),0)
+ IFERROR(GETPIVOTDATA("Somma di DARE",'Pivot Fineco St'!$A$3,"Mese",12,"Tipologia",$A201),0)
+ Contanti!AT63
+ IFERROR(GETPIVOTDATA("Somma di DARE",'Pivot BBVA'!$A$3,"Mese",12,"Tipologia",$A201),0)
+ IFERROR(GETPIVOTDATA("Somma di DARE",'Pivot Amex'!$A$3,"Mese",12,"Tipologia",$A201),0)
- IFERROR(GETPIVOTDATA("Somma di AVERE",'Pivot Amex'!$A$3,"Mese",12,"Tipologia",$A201),0)
- IFERROR(GETPIVOTDATA("Somma di AVERE",'Pivot BBVA'!$A$3,"Mese",12,"Tipologia",$A201),0)
- IFERROR(GETPIVOTDATA("Somma di AVERE",'Pivot Fineco St'!$A$3,"Mese",12,"Tipologia",$A201),0)
- IFERROR(GETPIVOTDATA("Somma di AVERE",'Pivot Fineco Sa'!$A$3,"Mese",12,"Tipologia",$A201),0)
+ IFERROR(GETPIVOTDATA("Somma di DARE",'Pivot PP Visa'!$A$3,"Mese",12,"Tipologia",$A201),0)
- IFERROR(GETPIVOTDATA("Somma di AVERE",'Pivot PP Visa'!$A$3,"Mese",12,"Tipologia",$A201),0)
+ IFERROR(GETPIVOTDATA("Somma di DARE",'Pivot Revolut'!$A$3,"Mese",12,"Tipologia",$A201),0)
- IFERROR(GETPIVOTDATA("Somma di AVERE",'Pivot Revolut'!$A$3,"Mese",12,"Tipologia",$A201),0)</f>
        <v>0</v>
      </c>
      <c r="O201" s="252">
        <f t="shared" ref="O201" si="29">SUM(C201:N201)</f>
        <v>0</v>
      </c>
      <c r="P201" s="243">
        <f t="shared" ref="P201" ca="1" si="30">O201/(MONTH(TODAY()))</f>
        <v>0</v>
      </c>
    </row>
    <row r="202" spans="1:16" s="125" customFormat="1" ht="21" customHeight="1" x14ac:dyDescent="0.2">
      <c r="A202" s="251" t="s">
        <v>232</v>
      </c>
      <c r="B202" s="251"/>
      <c r="C202" s="243">
        <f>IFERROR(GETPIVOTDATA("Somma di DARE EUR",'Pivot RakBank AED'!$A$3,"Mese",1,"Tipologia",$A202),0)
- IFERROR(GETPIVOTDATA("Somma di AVERE EUR",'Pivot RakBank AED'!$A$3,"Mese",1,"Tipologia",$A202),0)
+IFERROR(GETPIVOTDATA("Somma di DARE",'Pivot RakBank EUR'!$A$3,"Mese",1,"Tipologia",$A202),0)
- IFERROR(GETPIVOTDATA("Somma di AVERE",'Pivot RakBank EUR'!$A$3,"Mese",1,"Tipologia",$A202),0)
+IFERROR(GETPIVOTDATA("Somma di DARE",'Pivot Fineco Sa'!$A$3,"Mese",1,"Tipologia",$A202),0)
+ IFERROR(GETPIVOTDATA("Somma di DARE",'Pivot Fineco St'!$A$3,"Mese",1,"Tipologia",$A202),0)
+ Contanti!B64
+ IFERROR(GETPIVOTDATA("Somma di DARE",'Pivot BBVA'!$A$3,"Mese",1,"Tipologia",$A202),0)
+ IFERROR(GETPIVOTDATA("Somma di DARE",'Pivot Amex'!$A$3,"Mese",1,"Tipologia",$A202),0)
- IFERROR(GETPIVOTDATA("Somma di AVERE",'Pivot Amex'!$A$3,"Mese",1,"Tipologia",$A202),0)
- IFERROR(GETPIVOTDATA("Somma di AVERE",'Pivot BBVA'!$A$3,"Mese",1,"Tipologia",$A202),0)
- IFERROR(GETPIVOTDATA("Somma di AVERE",'Pivot Fineco St'!$A$3,"Mese",1,"Tipologia",$A202),0)
- IFERROR(GETPIVOTDATA("Somma di AVERE",'Pivot Fineco Sa'!$A$3,"Mese",1,"Tipologia",$A202),0)
+ IFERROR(GETPIVOTDATA("Somma di DARE",'Pivot PP Visa'!$A$3,"Mese",1,"Tipologia",$A202),0)
- IFERROR(GETPIVOTDATA("Somma di AVERE",'Pivot PP Visa'!$A$3,"Mese",1,"Tipologia",$A202),0)
+ IFERROR(GETPIVOTDATA("Somma di DARE",'Pivot Revolut'!$A$3,"Mese",1,"Tipologia",$A202),0)
- IFERROR(GETPIVOTDATA("Somma di AVERE",'Pivot Revolut'!$A$3,"Mese",1,"Tipologia",$A202),0)</f>
        <v>0</v>
      </c>
      <c r="D202" s="243">
        <f>IFERROR(GETPIVOTDATA("Somma di DARE EUR",'Pivot RakBank AED'!$A$3,"Mese",2,"Tipologia",$A202),0)
- IFERROR(GETPIVOTDATA("Somma di AVERE EUR",'Pivot RakBank AED'!$A$3,"Mese",2,"Tipologia",$A202),0)
+IFERROR(GETPIVOTDATA("Somma di DARE",'Pivot RakBank EUR'!$A$3,"Mese",2,"Tipologia",$A202),0)
- IFERROR(GETPIVOTDATA("Somma di AVERE",'Pivot RakBank EUR'!$A$3,"Mese",2,"Tipologia",$A202),0)
+IFERROR(GETPIVOTDATA("Somma di DARE",'Pivot Fineco Sa'!$A$3,"Mese",2,"Tipologia",$A202),0)
+ IFERROR(GETPIVOTDATA("Somma di DARE",'Pivot Fineco St'!$A$3,"Mese",2,"Tipologia",$A202),0)
+ Contanti!F64
+ IFERROR(GETPIVOTDATA("Somma di DARE",'Pivot BBVA'!$A$3,"Mese",2,"Tipologia",$A202),0)
+ IFERROR(GETPIVOTDATA("Somma di DARE",'Pivot Amex'!$A$3,"Mese",2,"Tipologia",$A202),0)
- IFERROR(GETPIVOTDATA("Somma di AVERE",'Pivot Amex'!$A$3,"Mese",2,"Tipologia",$A202),0)
- IFERROR(GETPIVOTDATA("Somma di AVERE",'Pivot BBVA'!$A$3,"Mese",2,"Tipologia",$A202),0)
- IFERROR(GETPIVOTDATA("Somma di AVERE",'Pivot Fineco St'!$A$3,"Mese",2,"Tipologia",$A202),0)
- IFERROR(GETPIVOTDATA("Somma di AVERE",'Pivot Fineco Sa'!$A$3,"Mese",2,"Tipologia",$A202),0)
+ IFERROR(GETPIVOTDATA("Somma di DARE",'Pivot PP Visa'!$A$3,"Mese",2,"Tipologia",$A202),0)
- IFERROR(GETPIVOTDATA("Somma di AVERE",'Pivot PP Visa'!$A$3,"Mese",2,"Tipologia",$A202),0)
+ IFERROR(GETPIVOTDATA("Somma di DARE",'Pivot Revolut'!$A$3,"Mese",2,"Tipologia",$A202),0)
- IFERROR(GETPIVOTDATA("Somma di AVERE",'Pivot Revolut'!$A$3,"Mese",2,"Tipologia",$A202),0)</f>
        <v>0</v>
      </c>
      <c r="E202" s="243">
        <f>IFERROR(GETPIVOTDATA("Somma di DARE EUR",'Pivot RakBank AED'!$A$3,"Mese",3,"Tipologia",$A202),0)
- IFERROR(GETPIVOTDATA("Somma di AVERE EUR",'Pivot RakBank AED'!$A$3,"Mese",3,"Tipologia",$A202),0)
+IFERROR(GETPIVOTDATA("Somma di DARE",'Pivot RakBank EUR'!$A$3,"Mese",3,"Tipologia",$A202),0)
- IFERROR(GETPIVOTDATA("Somma di AVERE",'Pivot RakBank EUR'!$A$3,"Mese",3,"Tipologia",$A202),0)
+IFERROR(GETPIVOTDATA("Somma di DARE",'Pivot Fineco Sa'!$A$3,"Mese",3,"Tipologia",$A202),0)
+ IFERROR(GETPIVOTDATA("Somma di DARE",'Pivot Fineco St'!$A$3,"Mese",3,"Tipologia",$A202),0)
+ Contanti!J64
+ IFERROR(GETPIVOTDATA("Somma di DARE",'Pivot BBVA'!$A$3,"Mese",3,"Tipologia",$A202),0)
+ IFERROR(GETPIVOTDATA("Somma di DARE",'Pivot Amex'!$A$3,"Mese",3,"Tipologia",$A202),0)
- IFERROR(GETPIVOTDATA("Somma di AVERE",'Pivot Amex'!$A$3,"Mese",3,"Tipologia",$A202),0)
- IFERROR(GETPIVOTDATA("Somma di AVERE",'Pivot BBVA'!$A$3,"Mese",3,"Tipologia",$A202),0)
- IFERROR(GETPIVOTDATA("Somma di AVERE",'Pivot Fineco St'!$A$3,"Mese",3,"Tipologia",$A202),0)
- IFERROR(GETPIVOTDATA("Somma di AVERE",'Pivot Fineco Sa'!$A$3,"Mese",3,"Tipologia",$A202),0)
+ IFERROR(GETPIVOTDATA("Somma di DARE",'Pivot PP Visa'!$A$3,"Mese",3,"Tipologia",$A202),0)
- IFERROR(GETPIVOTDATA("Somma di AVERE",'Pivot PP Visa'!$A$3,"Mese",3,"Tipologia",$A202),0)
+ IFERROR(GETPIVOTDATA("Somma di DARE",'Pivot Revolut'!$A$3,"Mese",3,"Tipologia",$A202),0)
- IFERROR(GETPIVOTDATA("Somma di AVERE",'Pivot Revolut'!$A$3,"Mese",3,"Tipologia",$A202),0)</f>
        <v>0</v>
      </c>
      <c r="F202" s="243">
        <f>IFERROR(GETPIVOTDATA("Somma di DARE EUR",'Pivot RakBank AED'!$A$3,"Mese",4,"Tipologia",$A202),0)
- IFERROR(GETPIVOTDATA("Somma di AVERE EUR",'Pivot RakBank AED'!$A$3,"Mese",4,"Tipologia",$A202),0)
+IFERROR(GETPIVOTDATA("Somma di DARE",'Pivot RakBank EUR'!$A$3,"Mese",4,"Tipologia",$A202),0)
- IFERROR(GETPIVOTDATA("Somma di AVERE",'Pivot RakBank EUR'!$A$3,"Mese",4,"Tipologia",$A202),0)
+IFERROR(GETPIVOTDATA("Somma di DARE",'Pivot Fineco Sa'!$A$3,"Mese",4,"Tipologia",$A202),0)
+ IFERROR(GETPIVOTDATA("Somma di DARE",'Pivot Fineco St'!$A$3,"Mese",4,"Tipologia",$A202),0)
+ Contanti!N64
+ IFERROR(GETPIVOTDATA("Somma di DARE",'Pivot BBVA'!$A$3,"Mese",4,"Tipologia",$A202),0)
+ IFERROR(GETPIVOTDATA("Somma di DARE",'Pivot Amex'!$A$3,"Mese",4,"Tipologia",$A202),0)
- IFERROR(GETPIVOTDATA("Somma di AVERE",'Pivot Amex'!$A$3,"Mese",4,"Tipologia",$A202),0)
- IFERROR(GETPIVOTDATA("Somma di AVERE",'Pivot BBVA'!$A$3,"Mese",4,"Tipologia",$A202),0)
- IFERROR(GETPIVOTDATA("Somma di AVERE",'Pivot Fineco St'!$A$3,"Mese",4,"Tipologia",$A202),0)
- IFERROR(GETPIVOTDATA("Somma di AVERE",'Pivot Fineco Sa'!$A$3,"Mese",4,"Tipologia",$A202),0)
+ IFERROR(GETPIVOTDATA("Somma di DARE",'Pivot PP Visa'!$A$3,"Mese",4,"Tipologia",$A202),0)
- IFERROR(GETPIVOTDATA("Somma di AVERE",'Pivot PP Visa'!$A$3,"Mese",4,"Tipologia",$A202),0)
+ IFERROR(GETPIVOTDATA("Somma di DARE",'Pivot Revolut'!$A$3,"Mese",4,"Tipologia",$A202),0)
- IFERROR(GETPIVOTDATA("Somma di AVERE",'Pivot Revolut'!$A$3,"Mese",4,"Tipologia",$A202),0)</f>
        <v>0</v>
      </c>
      <c r="G202" s="243">
        <f>IFERROR(GETPIVOTDATA("Somma di DARE EUR",'Pivot RakBank AED'!$A$3,"Mese",5,"Tipologia",$A202),0)
- IFERROR(GETPIVOTDATA("Somma di AVERE EUR",'Pivot RakBank AED'!$A$3,"Mese",5,"Tipologia",$A202),0)
+IFERROR(GETPIVOTDATA("Somma di DARE",'Pivot RakBank EUR'!$A$3,"Mese",5,"Tipologia",$A202),0)
- IFERROR(GETPIVOTDATA("Somma di AVERE",'Pivot RakBank EUR'!$A$3,"Mese",5,"Tipologia",$A202),0)
+IFERROR(GETPIVOTDATA("Somma di DARE",'Pivot Fineco Sa'!$A$3,"Mese",5,"Tipologia",$A202),0)
+ IFERROR(GETPIVOTDATA("Somma di DARE",'Pivot Fineco St'!$A$3,"Mese",5,"Tipologia",$A202),0)
+ Contanti!R64
+ IFERROR(GETPIVOTDATA("Somma di DARE",'Pivot BBVA'!$A$3,"Mese",5,"Tipologia",$A202),0)
+ IFERROR(GETPIVOTDATA("Somma di DARE",'Pivot Amex'!$A$3,"Mese",5,"Tipologia",$A202),0)
- IFERROR(GETPIVOTDATA("Somma di AVERE",'Pivot Amex'!$A$3,"Mese",5,"Tipologia",$A202),0)
- IFERROR(GETPIVOTDATA("Somma di AVERE",'Pivot BBVA'!$A$3,"Mese",5,"Tipologia",$A202),0)
- IFERROR(GETPIVOTDATA("Somma di AVERE",'Pivot Fineco St'!$A$3,"Mese",5,"Tipologia",$A202),0)
- IFERROR(GETPIVOTDATA("Somma di AVERE",'Pivot Fineco Sa'!$A$3,"Mese",5,"Tipologia",$A202),0)
+ IFERROR(GETPIVOTDATA("Somma di DARE",'Pivot PP Visa'!$A$3,"Mese",5,"Tipologia",$A202),0)
- IFERROR(GETPIVOTDATA("Somma di AVERE",'Pivot PP Visa'!$A$3,"Mese",5,"Tipologia",$A202),0)
+ IFERROR(GETPIVOTDATA("Somma di DARE",'Pivot Revolut'!$A$3,"Mese",5,"Tipologia",$A202),0)
- IFERROR(GETPIVOTDATA("Somma di AVERE",'Pivot Revolut'!$A$3,"Mese",5,"Tipologia",$A202),0)</f>
        <v>0</v>
      </c>
      <c r="H202" s="243">
        <f>IFERROR(GETPIVOTDATA("Somma di DARE EUR",'Pivot RakBank AED'!$A$3,"Mese",6,"Tipologia",$A202),0)
- IFERROR(GETPIVOTDATA("Somma di AVERE EUR",'Pivot RakBank AED'!$A$3,"Mese",6,"Tipologia",$A202),0)
+IFERROR(GETPIVOTDATA("Somma di DARE",'Pivot RakBank EUR'!$A$3,"Mese",6,"Tipologia",$A202),0)
- IFERROR(GETPIVOTDATA("Somma di AVERE",'Pivot RakBank EUR'!$A$3,"Mese",6,"Tipologia",$A202),0)
+IFERROR(GETPIVOTDATA("Somma di DARE",'Pivot Fineco Sa'!$A$3,"Mese",6,"Tipologia",$A202),0)
+ IFERROR(GETPIVOTDATA("Somma di DARE",'Pivot Fineco St'!$A$3,"Mese",6,"Tipologia",$A202),0)
+ Contanti!V64
+ IFERROR(GETPIVOTDATA("Somma di DARE",'Pivot BBVA'!$A$3,"Mese",6,"Tipologia",$A202),0)
+ IFERROR(GETPIVOTDATA("Somma di DARE",'Pivot Amex'!$A$3,"Mese",6,"Tipologia",$A202),0)
- IFERROR(GETPIVOTDATA("Somma di AVERE",'Pivot Amex'!$A$3,"Mese",6,"Tipologia",$A202),0)
- IFERROR(GETPIVOTDATA("Somma di AVERE",'Pivot BBVA'!$A$3,"Mese",6,"Tipologia",$A202),0)
- IFERROR(GETPIVOTDATA("Somma di AVERE",'Pivot Fineco St'!$A$3,"Mese",6,"Tipologia",$A202),0)
- IFERROR(GETPIVOTDATA("Somma di AVERE",'Pivot Fineco Sa'!$A$3,"Mese",6,"Tipologia",$A202),0)
+ IFERROR(GETPIVOTDATA("Somma di DARE",'Pivot PP Visa'!$A$3,"Mese",6,"Tipologia",$A202),0)
- IFERROR(GETPIVOTDATA("Somma di AVERE",'Pivot PP Visa'!$A$3,"Mese",6,"Tipologia",$A202),0)
+ IFERROR(GETPIVOTDATA("Somma di DARE",'Pivot Revolut'!$A$3,"Mese",6,"Tipologia",$A202),0)
- IFERROR(GETPIVOTDATA("Somma di AVERE",'Pivot Revolut'!$A$3,"Mese",6,"Tipologia",$A202),0)</f>
        <v>101.56</v>
      </c>
      <c r="I202" s="243">
        <f>IFERROR(GETPIVOTDATA("Somma di DARE EUR",'Pivot RakBank AED'!$A$3,"Mese",7,"Tipologia",$A202),0)
- IFERROR(GETPIVOTDATA("Somma di AVERE EUR",'Pivot RakBank AED'!$A$3,"Mese",7,"Tipologia",$A202),0)
+IFERROR(GETPIVOTDATA("Somma di DARE",'Pivot RakBank EUR'!$A$3,"Mese",7,"Tipologia",$A202),0)
- IFERROR(GETPIVOTDATA("Somma di AVERE",'Pivot RakBank EUR'!$A$3,"Mese",7,"Tipologia",$A202),0)
+IFERROR(GETPIVOTDATA("Somma di DARE",'Pivot Fineco Sa'!$A$3,"Mese",7,"Tipologia",$A202),0)
+ IFERROR(GETPIVOTDATA("Somma di DARE",'Pivot Fineco St'!$A$3,"Mese",7,"Tipologia",$A202),0)
+ Contanti!Z64
+ IFERROR(GETPIVOTDATA("Somma di DARE",'Pivot BBVA'!$A$3,"Mese",7,"Tipologia",$A202),0)
+ IFERROR(GETPIVOTDATA("Somma di DARE",'Pivot Amex'!$A$3,"Mese",7,"Tipologia",$A202),0)
- IFERROR(GETPIVOTDATA("Somma di AVERE",'Pivot Amex'!$A$3,"Mese",7,"Tipologia",$A202),0)
- IFERROR(GETPIVOTDATA("Somma di AVERE",'Pivot BBVA'!$A$3,"Mese",7,"Tipologia",$A202),0)
- IFERROR(GETPIVOTDATA("Somma di AVERE",'Pivot Fineco St'!$A$3,"Mese",7,"Tipologia",$A202),0)
- IFERROR(GETPIVOTDATA("Somma di AVERE",'Pivot Fineco Sa'!$A$3,"Mese",7,"Tipologia",$A202),0)
+ IFERROR(GETPIVOTDATA("Somma di DARE",'Pivot PP Visa'!$A$3,"Mese",7,"Tipologia",$A202),0)
- IFERROR(GETPIVOTDATA("Somma di AVERE",'Pivot PP Visa'!$A$3,"Mese",7,"Tipologia",$A202),0)
+ IFERROR(GETPIVOTDATA("Somma di DARE",'Pivot Revolut'!$A$3,"Mese",7,"Tipologia",$A202),0)
- IFERROR(GETPIVOTDATA("Somma di AVERE",'Pivot Revolut'!$A$3,"Mese",7,"Tipologia",$A202),0)</f>
        <v>0</v>
      </c>
      <c r="J202" s="243">
        <f>IFERROR(GETPIVOTDATA("Somma di DARE EUR",'Pivot RakBank AED'!$A$3,"Mese",8,"Tipologia",$A202),0)
- IFERROR(GETPIVOTDATA("Somma di AVERE EUR",'Pivot RakBank AED'!$A$3,"Mese",8,"Tipologia",$A202),0)
+IFERROR(GETPIVOTDATA("Somma di DARE",'Pivot RakBank EUR'!$A$3,"Mese",8,"Tipologia",$A202),0)
- IFERROR(GETPIVOTDATA("Somma di AVERE",'Pivot RakBank EUR'!$A$3,"Mese",8,"Tipologia",$A202),0)
+IFERROR(GETPIVOTDATA("Somma di DARE",'Pivot Fineco Sa'!$A$3,"Mese",8,"Tipologia",$A202),0)
+ IFERROR(GETPIVOTDATA("Somma di DARE",'Pivot Fineco St'!$A$3,"Mese",8,"Tipologia",$A202),0)
+ Contanti!AD64
+ IFERROR(GETPIVOTDATA("Somma di DARE",'Pivot BBVA'!$A$3,"Mese",8,"Tipologia",$A202),0)
+ IFERROR(GETPIVOTDATA("Somma di DARE",'Pivot Amex'!$A$3,"Mese",8,"Tipologia",$A202),0)
- IFERROR(GETPIVOTDATA("Somma di AVERE",'Pivot Amex'!$A$3,"Mese",8,"Tipologia",$A202),0)
- IFERROR(GETPIVOTDATA("Somma di AVERE",'Pivot BBVA'!$A$3,"Mese",8,"Tipologia",$A202),0)
- IFERROR(GETPIVOTDATA("Somma di AVERE",'Pivot Fineco St'!$A$3,"Mese",8,"Tipologia",$A202),0)
- IFERROR(GETPIVOTDATA("Somma di AVERE",'Pivot Fineco Sa'!$A$3,"Mese",8,"Tipologia",$A202),0)
+ IFERROR(GETPIVOTDATA("Somma di DARE",'Pivot PP Visa'!$A$3,"Mese",8,"Tipologia",$A202),0)
- IFERROR(GETPIVOTDATA("Somma di AVERE",'Pivot PP Visa'!$A$3,"Mese",8,"Tipologia",$A202),0)
+ IFERROR(GETPIVOTDATA("Somma di DARE",'Pivot Revolut'!$A$3,"Mese",8,"Tipologia",$A202),0)
- IFERROR(GETPIVOTDATA("Somma di AVERE",'Pivot Revolut'!$A$3,"Mese",8,"Tipologia",$A202),0)</f>
        <v>0</v>
      </c>
      <c r="K202" s="243">
        <f>IFERROR(GETPIVOTDATA("Somma di DARE EUR",'Pivot RakBank AED'!$A$3,"Mese",9,"Tipologia",$A202),0)
- IFERROR(GETPIVOTDATA("Somma di AVERE EUR",'Pivot RakBank AED'!$A$3,"Mese",9,"Tipologia",$A202),0)
+IFERROR(GETPIVOTDATA("Somma di DARE",'Pivot RakBank EUR'!$A$3,"Mese",9,"Tipologia",$A202),0)
- IFERROR(GETPIVOTDATA("Somma di AVERE",'Pivot RakBank EUR'!$A$3,"Mese",9,"Tipologia",$A202),0)
+IFERROR(GETPIVOTDATA("Somma di DARE",'Pivot Fineco Sa'!$A$3,"Mese",9,"Tipologia",$A202),0)
+ IFERROR(GETPIVOTDATA("Somma di DARE",'Pivot Fineco St'!$A$3,"Mese",9,"Tipologia",$A202),0)
+ Contanti!AH64
+ IFERROR(GETPIVOTDATA("Somma di DARE",'Pivot BBVA'!$A$3,"Mese",9,"Tipologia",$A202),0)
+ IFERROR(GETPIVOTDATA("Somma di DARE",'Pivot Amex'!$A$3,"Mese",9,"Tipologia",$A202),0)
- IFERROR(GETPIVOTDATA("Somma di AVERE",'Pivot Amex'!$A$3,"Mese",9,"Tipologia",$A202),0)
- IFERROR(GETPIVOTDATA("Somma di AVERE",'Pivot BBVA'!$A$3,"Mese",9,"Tipologia",$A202),0)
- IFERROR(GETPIVOTDATA("Somma di AVERE",'Pivot Fineco St'!$A$3,"Mese",9,"Tipologia",$A202),0)
- IFERROR(GETPIVOTDATA("Somma di AVERE",'Pivot Fineco Sa'!$A$3,"Mese",9,"Tipologia",$A202),0)
+ IFERROR(GETPIVOTDATA("Somma di DARE",'Pivot PP Visa'!$A$3,"Mese",9,"Tipologia",$A202),0)
- IFERROR(GETPIVOTDATA("Somma di AVERE",'Pivot PP Visa'!$A$3,"Mese",9,"Tipologia",$A202),0)
+ IFERROR(GETPIVOTDATA("Somma di DARE",'Pivot Revolut'!$A$3,"Mese",9,"Tipologia",$A202),0)
- IFERROR(GETPIVOTDATA("Somma di AVERE",'Pivot Revolut'!$A$3,"Mese",9,"Tipologia",$A202),0)</f>
        <v>0</v>
      </c>
      <c r="L202" s="243">
        <f>IFERROR(GETPIVOTDATA("Somma di DARE EUR",'Pivot RakBank AED'!$A$3,"Mese",10,"Tipologia",$A202),0)
- IFERROR(GETPIVOTDATA("Somma di AVERE EUR",'Pivot RakBank AED'!$A$3,"Mese",10,"Tipologia",$A202),0)
+IFERROR(GETPIVOTDATA("Somma di DARE",'Pivot RakBank EUR'!$A$3,"Mese",10,"Tipologia",$A202),0)
- IFERROR(GETPIVOTDATA("Somma di AVERE",'Pivot RakBank EUR'!$A$3,"Mese",10,"Tipologia",$A202),0)
+IFERROR(GETPIVOTDATA("Somma di DARE",'Pivot Fineco Sa'!$A$3,"Mese",10,"Tipologia",$A202),0)
+ IFERROR(GETPIVOTDATA("Somma di DARE",'Pivot Fineco St'!$A$3,"Mese",10,"Tipologia",$A202),0)
+ Contanti!AL64
+ IFERROR(GETPIVOTDATA("Somma di DARE",'Pivot BBVA'!$A$3,"Mese",10,"Tipologia",$A202),0)
+ IFERROR(GETPIVOTDATA("Somma di DARE",'Pivot Amex'!$A$3,"Mese",10,"Tipologia",$A202),0)
- IFERROR(GETPIVOTDATA("Somma di AVERE",'Pivot Amex'!$A$3,"Mese",10,"Tipologia",$A202),0)
- IFERROR(GETPIVOTDATA("Somma di AVERE",'Pivot BBVA'!$A$3,"Mese",10,"Tipologia",$A202),0)
- IFERROR(GETPIVOTDATA("Somma di AVERE",'Pivot Fineco St'!$A$3,"Mese",10,"Tipologia",$A202),0)
- IFERROR(GETPIVOTDATA("Somma di AVERE",'Pivot Fineco Sa'!$A$3,"Mese",10,"Tipologia",$A202),0)
+ IFERROR(GETPIVOTDATA("Somma di DARE",'Pivot PP Visa'!$A$3,"Mese",10,"Tipologia",$A202),0)
- IFERROR(GETPIVOTDATA("Somma di AVERE",'Pivot PP Visa'!$A$3,"Mese",10,"Tipologia",$A202),0)
+ IFERROR(GETPIVOTDATA("Somma di DARE",'Pivot Revolut'!$A$3,"Mese",10,"Tipologia",$A202),0)
- IFERROR(GETPIVOTDATA("Somma di AVERE",'Pivot Revolut'!$A$3,"Mese",10,"Tipologia",$A202),0)</f>
        <v>0</v>
      </c>
      <c r="M202" s="243">
        <f>IFERROR(GETPIVOTDATA("Somma di DARE EUR",'Pivot RakBank AED'!$A$3,"Mese",11,"Tipologia",$A202),0)
- IFERROR(GETPIVOTDATA("Somma di AVERE EUR",'Pivot RakBank AED'!$A$3,"Mese",11,"Tipologia",$A202),0)
+IFERROR(GETPIVOTDATA("Somma di DARE",'Pivot RakBank EUR'!$A$3,"Mese",11,"Tipologia",$A202),0)
- IFERROR(GETPIVOTDATA("Somma di AVERE",'Pivot RakBank EUR'!$A$3,"Mese",11,"Tipologia",$A202),0)
+IFERROR(GETPIVOTDATA("Somma di DARE",'Pivot Fineco Sa'!$A$3,"Mese",11,"Tipologia",$A202),0)
+ IFERROR(GETPIVOTDATA("Somma di DARE",'Pivot Fineco St'!$A$3,"Mese",11,"Tipologia",$A202),0)
+ Contanti!AP64
+ IFERROR(GETPIVOTDATA("Somma di DARE",'Pivot BBVA'!$A$3,"Mese",11,"Tipologia",$A202),0)
+ IFERROR(GETPIVOTDATA("Somma di DARE",'Pivot Amex'!$A$3,"Mese",11,"Tipologia",$A202),0)
- IFERROR(GETPIVOTDATA("Somma di AVERE",'Pivot Amex'!$A$3,"Mese",11,"Tipologia",$A202),0)
- IFERROR(GETPIVOTDATA("Somma di AVERE",'Pivot BBVA'!$A$3,"Mese",11,"Tipologia",$A202),0)
- IFERROR(GETPIVOTDATA("Somma di AVERE",'Pivot Fineco St'!$A$3,"Mese",11,"Tipologia",$A202),0)
- IFERROR(GETPIVOTDATA("Somma di AVERE",'Pivot Fineco Sa'!$A$3,"Mese",11,"Tipologia",$A202),0)
+ IFERROR(GETPIVOTDATA("Somma di DARE",'Pivot PP Visa'!$A$3,"Mese",11,"Tipologia",$A202),0)
- IFERROR(GETPIVOTDATA("Somma di AVERE",'Pivot PP Visa'!$A$3,"Mese",11,"Tipologia",$A202),0)
+ IFERROR(GETPIVOTDATA("Somma di DARE",'Pivot Revolut'!$A$3,"Mese",11,"Tipologia",$A202),0)
- IFERROR(GETPIVOTDATA("Somma di AVERE",'Pivot Revolut'!$A$3,"Mese",11,"Tipologia",$A202),0)</f>
        <v>0</v>
      </c>
      <c r="N202" s="243">
        <f>IFERROR(GETPIVOTDATA("Somma di DARE EUR",'Pivot RakBank AED'!$A$3,"Mese",12,"Tipologia",$A202),0)
- IFERROR(GETPIVOTDATA("Somma di AVERE EUR",'Pivot RakBank AED'!$A$3,"Mese",12,"Tipologia",$A202),0)
+IFERROR(GETPIVOTDATA("Somma di DARE",'Pivot RakBank EUR'!$A$3,"Mese",12,"Tipologia",$A202),0)
- IFERROR(GETPIVOTDATA("Somma di AVERE",'Pivot RakBank EUR'!$A$3,"Mese",12,"Tipologia",$A202),0)
+IFERROR(GETPIVOTDATA("Somma di DARE",'Pivot Fineco Sa'!$A$3,"Mese",12,"Tipologia",$A202),0)
+ IFERROR(GETPIVOTDATA("Somma di DARE",'Pivot Fineco St'!$A$3,"Mese",12,"Tipologia",$A202),0)
+ Contanti!AT64
+ IFERROR(GETPIVOTDATA("Somma di DARE",'Pivot BBVA'!$A$3,"Mese",12,"Tipologia",$A202),0)
+ IFERROR(GETPIVOTDATA("Somma di DARE",'Pivot Amex'!$A$3,"Mese",12,"Tipologia",$A202),0)
- IFERROR(GETPIVOTDATA("Somma di AVERE",'Pivot Amex'!$A$3,"Mese",12,"Tipologia",$A202),0)
- IFERROR(GETPIVOTDATA("Somma di AVERE",'Pivot BBVA'!$A$3,"Mese",12,"Tipologia",$A202),0)
- IFERROR(GETPIVOTDATA("Somma di AVERE",'Pivot Fineco St'!$A$3,"Mese",12,"Tipologia",$A202),0)
- IFERROR(GETPIVOTDATA("Somma di AVERE",'Pivot Fineco Sa'!$A$3,"Mese",12,"Tipologia",$A202),0)
+ IFERROR(GETPIVOTDATA("Somma di DARE",'Pivot PP Visa'!$A$3,"Mese",12,"Tipologia",$A202),0)
- IFERROR(GETPIVOTDATA("Somma di AVERE",'Pivot PP Visa'!$A$3,"Mese",12,"Tipologia",$A202),0)
+ IFERROR(GETPIVOTDATA("Somma di DARE",'Pivot Revolut'!$A$3,"Mese",12,"Tipologia",$A202),0)
- IFERROR(GETPIVOTDATA("Somma di AVERE",'Pivot Revolut'!$A$3,"Mese",12,"Tipologia",$A202),0)</f>
        <v>0</v>
      </c>
      <c r="O202" s="252">
        <f t="shared" si="27"/>
        <v>101.56</v>
      </c>
      <c r="P202" s="243">
        <f t="shared" ca="1" si="28"/>
        <v>14.508571428571429</v>
      </c>
    </row>
    <row r="203" spans="1:16" s="125" customFormat="1" ht="21" customHeight="1" x14ac:dyDescent="0.2">
      <c r="A203" s="251" t="s">
        <v>85</v>
      </c>
      <c r="B203" s="251"/>
      <c r="C203" s="243">
        <f>IFERROR(GETPIVOTDATA("Somma di DARE EUR",'Pivot RakBank AED'!$A$3,"Mese",1,"Tipologia",$A203),0)
- IFERROR(GETPIVOTDATA("Somma di AVERE EUR",'Pivot RakBank AED'!$A$3,"Mese",1,"Tipologia",$A203),0)
+IFERROR(GETPIVOTDATA("Somma di DARE",'Pivot RakBank EUR'!$A$3,"Mese",1,"Tipologia",$A203),0)
- IFERROR(GETPIVOTDATA("Somma di AVERE",'Pivot RakBank EUR'!$A$3,"Mese",1,"Tipologia",$A203),0)
+IFERROR(GETPIVOTDATA("Somma di DARE",'Pivot Fineco Sa'!$A$3,"Mese",1,"Tipologia",$A203),0)
+ IFERROR(GETPIVOTDATA("Somma di DARE",'Pivot Fineco St'!$A$3,"Mese",1,"Tipologia",$A203),0)
+ Contanti!B65
+ IFERROR(GETPIVOTDATA("Somma di DARE",'Pivot BBVA'!$A$3,"Mese",1,"Tipologia",$A203),0)
+ IFERROR(GETPIVOTDATA("Somma di DARE",'Pivot Amex'!$A$3,"Mese",1,"Tipologia",$A203),0)
- IFERROR(GETPIVOTDATA("Somma di AVERE",'Pivot Amex'!$A$3,"Mese",1,"Tipologia",$A203),0)
- IFERROR(GETPIVOTDATA("Somma di AVERE",'Pivot BBVA'!$A$3,"Mese",1,"Tipologia",$A203),0)
- IFERROR(GETPIVOTDATA("Somma di AVERE",'Pivot Fineco St'!$A$3,"Mese",1,"Tipologia",$A203),0)
- IFERROR(GETPIVOTDATA("Somma di AVERE",'Pivot Fineco Sa'!$A$3,"Mese",1,"Tipologia",$A203),0)
+ IFERROR(GETPIVOTDATA("Somma di DARE",'Pivot PP Visa'!$A$3,"Mese",1,"Tipologia",$A203),0)
- IFERROR(GETPIVOTDATA("Somma di AVERE",'Pivot PP Visa'!$A$3,"Mese",1,"Tipologia",$A203),0)
+ IFERROR(GETPIVOTDATA("Somma di DARE",'Pivot Revolut'!$A$3,"Mese",1,"Tipologia",$A203),0)
- IFERROR(GETPIVOTDATA("Somma di AVERE",'Pivot Revolut'!$A$3,"Mese",1,"Tipologia",$A203),0)</f>
        <v>2.2999999999999998</v>
      </c>
      <c r="D203" s="243">
        <f>IFERROR(GETPIVOTDATA("Somma di DARE EUR",'Pivot RakBank AED'!$A$3,"Mese",2,"Tipologia",$A203),0)
- IFERROR(GETPIVOTDATA("Somma di AVERE EUR",'Pivot RakBank AED'!$A$3,"Mese",2,"Tipologia",$A203),0)
+IFERROR(GETPIVOTDATA("Somma di DARE",'Pivot RakBank EUR'!$A$3,"Mese",2,"Tipologia",$A203),0)
- IFERROR(GETPIVOTDATA("Somma di AVERE",'Pivot RakBank EUR'!$A$3,"Mese",2,"Tipologia",$A203),0)
+IFERROR(GETPIVOTDATA("Somma di DARE",'Pivot Fineco Sa'!$A$3,"Mese",2,"Tipologia",$A203),0)
+ IFERROR(GETPIVOTDATA("Somma di DARE",'Pivot Fineco St'!$A$3,"Mese",2,"Tipologia",$A203),0)
+ Contanti!F65
+ IFERROR(GETPIVOTDATA("Somma di DARE",'Pivot BBVA'!$A$3,"Mese",2,"Tipologia",$A203),0)
+ IFERROR(GETPIVOTDATA("Somma di DARE",'Pivot Amex'!$A$3,"Mese",2,"Tipologia",$A203),0)
- IFERROR(GETPIVOTDATA("Somma di AVERE",'Pivot Amex'!$A$3,"Mese",2,"Tipologia",$A203),0)
- IFERROR(GETPIVOTDATA("Somma di AVERE",'Pivot BBVA'!$A$3,"Mese",2,"Tipologia",$A203),0)
- IFERROR(GETPIVOTDATA("Somma di AVERE",'Pivot Fineco St'!$A$3,"Mese",2,"Tipologia",$A203),0)
- IFERROR(GETPIVOTDATA("Somma di AVERE",'Pivot Fineco Sa'!$A$3,"Mese",2,"Tipologia",$A203),0)
+ IFERROR(GETPIVOTDATA("Somma di DARE",'Pivot PP Visa'!$A$3,"Mese",2,"Tipologia",$A203),0)
- IFERROR(GETPIVOTDATA("Somma di AVERE",'Pivot PP Visa'!$A$3,"Mese",2,"Tipologia",$A203),0)
+ IFERROR(GETPIVOTDATA("Somma di DARE",'Pivot Revolut'!$A$3,"Mese",2,"Tipologia",$A203),0)
- IFERROR(GETPIVOTDATA("Somma di AVERE",'Pivot Revolut'!$A$3,"Mese",2,"Tipologia",$A203),0)</f>
        <v>0</v>
      </c>
      <c r="E203" s="243">
        <f>IFERROR(GETPIVOTDATA("Somma di DARE EUR",'Pivot RakBank AED'!$A$3,"Mese",3,"Tipologia",$A203),0)
- IFERROR(GETPIVOTDATA("Somma di AVERE EUR",'Pivot RakBank AED'!$A$3,"Mese",3,"Tipologia",$A203),0)
+IFERROR(GETPIVOTDATA("Somma di DARE",'Pivot RakBank EUR'!$A$3,"Mese",3,"Tipologia",$A203),0)
- IFERROR(GETPIVOTDATA("Somma di AVERE",'Pivot RakBank EUR'!$A$3,"Mese",3,"Tipologia",$A203),0)
+IFERROR(GETPIVOTDATA("Somma di DARE",'Pivot Fineco Sa'!$A$3,"Mese",3,"Tipologia",$A203),0)
+ IFERROR(GETPIVOTDATA("Somma di DARE",'Pivot Fineco St'!$A$3,"Mese",3,"Tipologia",$A203),0)
+ Contanti!J65
+ IFERROR(GETPIVOTDATA("Somma di DARE",'Pivot BBVA'!$A$3,"Mese",3,"Tipologia",$A203),0)
+ IFERROR(GETPIVOTDATA("Somma di DARE",'Pivot Amex'!$A$3,"Mese",3,"Tipologia",$A203),0)
- IFERROR(GETPIVOTDATA("Somma di AVERE",'Pivot Amex'!$A$3,"Mese",3,"Tipologia",$A203),0)
- IFERROR(GETPIVOTDATA("Somma di AVERE",'Pivot BBVA'!$A$3,"Mese",3,"Tipologia",$A203),0)
- IFERROR(GETPIVOTDATA("Somma di AVERE",'Pivot Fineco St'!$A$3,"Mese",3,"Tipologia",$A203),0)
- IFERROR(GETPIVOTDATA("Somma di AVERE",'Pivot Fineco Sa'!$A$3,"Mese",3,"Tipologia",$A203),0)
+ IFERROR(GETPIVOTDATA("Somma di DARE",'Pivot PP Visa'!$A$3,"Mese",3,"Tipologia",$A203),0)
- IFERROR(GETPIVOTDATA("Somma di AVERE",'Pivot PP Visa'!$A$3,"Mese",3,"Tipologia",$A203),0)
+ IFERROR(GETPIVOTDATA("Somma di DARE",'Pivot Revolut'!$A$3,"Mese",3,"Tipologia",$A203),0)
- IFERROR(GETPIVOTDATA("Somma di AVERE",'Pivot Revolut'!$A$3,"Mese",3,"Tipologia",$A203),0)</f>
        <v>0</v>
      </c>
      <c r="F203" s="243">
        <f>IFERROR(GETPIVOTDATA("Somma di DARE EUR",'Pivot RakBank AED'!$A$3,"Mese",4,"Tipologia",$A203),0)
- IFERROR(GETPIVOTDATA("Somma di AVERE EUR",'Pivot RakBank AED'!$A$3,"Mese",4,"Tipologia",$A203),0)
+IFERROR(GETPIVOTDATA("Somma di DARE",'Pivot RakBank EUR'!$A$3,"Mese",4,"Tipologia",$A203),0)
- IFERROR(GETPIVOTDATA("Somma di AVERE",'Pivot RakBank EUR'!$A$3,"Mese",4,"Tipologia",$A203),0)
+IFERROR(GETPIVOTDATA("Somma di DARE",'Pivot Fineco Sa'!$A$3,"Mese",4,"Tipologia",$A203),0)
+ IFERROR(GETPIVOTDATA("Somma di DARE",'Pivot Fineco St'!$A$3,"Mese",4,"Tipologia",$A203),0)
+ Contanti!N65
+ IFERROR(GETPIVOTDATA("Somma di DARE",'Pivot BBVA'!$A$3,"Mese",4,"Tipologia",$A203),0)
+ IFERROR(GETPIVOTDATA("Somma di DARE",'Pivot Amex'!$A$3,"Mese",4,"Tipologia",$A203),0)
- IFERROR(GETPIVOTDATA("Somma di AVERE",'Pivot Amex'!$A$3,"Mese",4,"Tipologia",$A203),0)
- IFERROR(GETPIVOTDATA("Somma di AVERE",'Pivot BBVA'!$A$3,"Mese",4,"Tipologia",$A203),0)
- IFERROR(GETPIVOTDATA("Somma di AVERE",'Pivot Fineco St'!$A$3,"Mese",4,"Tipologia",$A203),0)
- IFERROR(GETPIVOTDATA("Somma di AVERE",'Pivot Fineco Sa'!$A$3,"Mese",4,"Tipologia",$A203),0)
+ IFERROR(GETPIVOTDATA("Somma di DARE",'Pivot PP Visa'!$A$3,"Mese",4,"Tipologia",$A203),0)
- IFERROR(GETPIVOTDATA("Somma di AVERE",'Pivot PP Visa'!$A$3,"Mese",4,"Tipologia",$A203),0)
+ IFERROR(GETPIVOTDATA("Somma di DARE",'Pivot Revolut'!$A$3,"Mese",4,"Tipologia",$A203),0)
- IFERROR(GETPIVOTDATA("Somma di AVERE",'Pivot Revolut'!$A$3,"Mese",4,"Tipologia",$A203),0)</f>
        <v>0</v>
      </c>
      <c r="G203" s="243">
        <f>IFERROR(GETPIVOTDATA("Somma di DARE EUR",'Pivot RakBank AED'!$A$3,"Mese",5,"Tipologia",$A203),0)
- IFERROR(GETPIVOTDATA("Somma di AVERE EUR",'Pivot RakBank AED'!$A$3,"Mese",5,"Tipologia",$A203),0)
+IFERROR(GETPIVOTDATA("Somma di DARE",'Pivot RakBank EUR'!$A$3,"Mese",5,"Tipologia",$A203),0)
- IFERROR(GETPIVOTDATA("Somma di AVERE",'Pivot RakBank EUR'!$A$3,"Mese",5,"Tipologia",$A203),0)
+IFERROR(GETPIVOTDATA("Somma di DARE",'Pivot Fineco Sa'!$A$3,"Mese",5,"Tipologia",$A203),0)
+ IFERROR(GETPIVOTDATA("Somma di DARE",'Pivot Fineco St'!$A$3,"Mese",5,"Tipologia",$A203),0)
+ Contanti!R65
+ IFERROR(GETPIVOTDATA("Somma di DARE",'Pivot BBVA'!$A$3,"Mese",5,"Tipologia",$A203),0)
+ IFERROR(GETPIVOTDATA("Somma di DARE",'Pivot Amex'!$A$3,"Mese",5,"Tipologia",$A203),0)
- IFERROR(GETPIVOTDATA("Somma di AVERE",'Pivot Amex'!$A$3,"Mese",5,"Tipologia",$A203),0)
- IFERROR(GETPIVOTDATA("Somma di AVERE",'Pivot BBVA'!$A$3,"Mese",5,"Tipologia",$A203),0)
- IFERROR(GETPIVOTDATA("Somma di AVERE",'Pivot Fineco St'!$A$3,"Mese",5,"Tipologia",$A203),0)
- IFERROR(GETPIVOTDATA("Somma di AVERE",'Pivot Fineco Sa'!$A$3,"Mese",5,"Tipologia",$A203),0)
+ IFERROR(GETPIVOTDATA("Somma di DARE",'Pivot PP Visa'!$A$3,"Mese",5,"Tipologia",$A203),0)
- IFERROR(GETPIVOTDATA("Somma di AVERE",'Pivot PP Visa'!$A$3,"Mese",5,"Tipologia",$A203),0)
+ IFERROR(GETPIVOTDATA("Somma di DARE",'Pivot Revolut'!$A$3,"Mese",5,"Tipologia",$A203),0)
- IFERROR(GETPIVOTDATA("Somma di AVERE",'Pivot Revolut'!$A$3,"Mese",5,"Tipologia",$A203),0)</f>
        <v>2.2999999999999998</v>
      </c>
      <c r="H203" s="243">
        <f>IFERROR(GETPIVOTDATA("Somma di DARE EUR",'Pivot RakBank AED'!$A$3,"Mese",6,"Tipologia",$A203),0)
- IFERROR(GETPIVOTDATA("Somma di AVERE EUR",'Pivot RakBank AED'!$A$3,"Mese",6,"Tipologia",$A203),0)
+IFERROR(GETPIVOTDATA("Somma di DARE",'Pivot RakBank EUR'!$A$3,"Mese",6,"Tipologia",$A203),0)
- IFERROR(GETPIVOTDATA("Somma di AVERE",'Pivot RakBank EUR'!$A$3,"Mese",6,"Tipologia",$A203),0)
+IFERROR(GETPIVOTDATA("Somma di DARE",'Pivot Fineco Sa'!$A$3,"Mese",6,"Tipologia",$A203),0)
+ IFERROR(GETPIVOTDATA("Somma di DARE",'Pivot Fineco St'!$A$3,"Mese",6,"Tipologia",$A203),0)
+ Contanti!V65
+ IFERROR(GETPIVOTDATA("Somma di DARE",'Pivot BBVA'!$A$3,"Mese",6,"Tipologia",$A203),0)
+ IFERROR(GETPIVOTDATA("Somma di DARE",'Pivot Amex'!$A$3,"Mese",6,"Tipologia",$A203),0)
- IFERROR(GETPIVOTDATA("Somma di AVERE",'Pivot Amex'!$A$3,"Mese",6,"Tipologia",$A203),0)
- IFERROR(GETPIVOTDATA("Somma di AVERE",'Pivot BBVA'!$A$3,"Mese",6,"Tipologia",$A203),0)
- IFERROR(GETPIVOTDATA("Somma di AVERE",'Pivot Fineco St'!$A$3,"Mese",6,"Tipologia",$A203),0)
- IFERROR(GETPIVOTDATA("Somma di AVERE",'Pivot Fineco Sa'!$A$3,"Mese",6,"Tipologia",$A203),0)
+ IFERROR(GETPIVOTDATA("Somma di DARE",'Pivot PP Visa'!$A$3,"Mese",6,"Tipologia",$A203),0)
- IFERROR(GETPIVOTDATA("Somma di AVERE",'Pivot PP Visa'!$A$3,"Mese",6,"Tipologia",$A203),0)
+ IFERROR(GETPIVOTDATA("Somma di DARE",'Pivot Revolut'!$A$3,"Mese",6,"Tipologia",$A203),0)
- IFERROR(GETPIVOTDATA("Somma di AVERE",'Pivot Revolut'!$A$3,"Mese",6,"Tipologia",$A203),0)</f>
        <v>0</v>
      </c>
      <c r="I203" s="243">
        <f>IFERROR(GETPIVOTDATA("Somma di DARE EUR",'Pivot RakBank AED'!$A$3,"Mese",7,"Tipologia",$A203),0)
- IFERROR(GETPIVOTDATA("Somma di AVERE EUR",'Pivot RakBank AED'!$A$3,"Mese",7,"Tipologia",$A203),0)
+IFERROR(GETPIVOTDATA("Somma di DARE",'Pivot RakBank EUR'!$A$3,"Mese",7,"Tipologia",$A203),0)
- IFERROR(GETPIVOTDATA("Somma di AVERE",'Pivot RakBank EUR'!$A$3,"Mese",7,"Tipologia",$A203),0)
+IFERROR(GETPIVOTDATA("Somma di DARE",'Pivot Fineco Sa'!$A$3,"Mese",7,"Tipologia",$A203),0)
+ IFERROR(GETPIVOTDATA("Somma di DARE",'Pivot Fineco St'!$A$3,"Mese",7,"Tipologia",$A203),0)
+ Contanti!Z65
+ IFERROR(GETPIVOTDATA("Somma di DARE",'Pivot BBVA'!$A$3,"Mese",7,"Tipologia",$A203),0)
+ IFERROR(GETPIVOTDATA("Somma di DARE",'Pivot Amex'!$A$3,"Mese",7,"Tipologia",$A203),0)
- IFERROR(GETPIVOTDATA("Somma di AVERE",'Pivot Amex'!$A$3,"Mese",7,"Tipologia",$A203),0)
- IFERROR(GETPIVOTDATA("Somma di AVERE",'Pivot BBVA'!$A$3,"Mese",7,"Tipologia",$A203),0)
- IFERROR(GETPIVOTDATA("Somma di AVERE",'Pivot Fineco St'!$A$3,"Mese",7,"Tipologia",$A203),0)
- IFERROR(GETPIVOTDATA("Somma di AVERE",'Pivot Fineco Sa'!$A$3,"Mese",7,"Tipologia",$A203),0)
+ IFERROR(GETPIVOTDATA("Somma di DARE",'Pivot PP Visa'!$A$3,"Mese",7,"Tipologia",$A203),0)
- IFERROR(GETPIVOTDATA("Somma di AVERE",'Pivot PP Visa'!$A$3,"Mese",7,"Tipologia",$A203),0)
+ IFERROR(GETPIVOTDATA("Somma di DARE",'Pivot Revolut'!$A$3,"Mese",7,"Tipologia",$A203),0)
- IFERROR(GETPIVOTDATA("Somma di AVERE",'Pivot Revolut'!$A$3,"Mese",7,"Tipologia",$A203),0)</f>
        <v>0</v>
      </c>
      <c r="J203" s="243">
        <f>IFERROR(GETPIVOTDATA("Somma di DARE EUR",'Pivot RakBank AED'!$A$3,"Mese",8,"Tipologia",$A203),0)
- IFERROR(GETPIVOTDATA("Somma di AVERE EUR",'Pivot RakBank AED'!$A$3,"Mese",8,"Tipologia",$A203),0)
+IFERROR(GETPIVOTDATA("Somma di DARE",'Pivot RakBank EUR'!$A$3,"Mese",8,"Tipologia",$A203),0)
- IFERROR(GETPIVOTDATA("Somma di AVERE",'Pivot RakBank EUR'!$A$3,"Mese",8,"Tipologia",$A203),0)
+IFERROR(GETPIVOTDATA("Somma di DARE",'Pivot Fineco Sa'!$A$3,"Mese",8,"Tipologia",$A203),0)
+ IFERROR(GETPIVOTDATA("Somma di DARE",'Pivot Fineco St'!$A$3,"Mese",8,"Tipologia",$A203),0)
+ Contanti!AD65
+ IFERROR(GETPIVOTDATA("Somma di DARE",'Pivot BBVA'!$A$3,"Mese",8,"Tipologia",$A203),0)
+ IFERROR(GETPIVOTDATA("Somma di DARE",'Pivot Amex'!$A$3,"Mese",8,"Tipologia",$A203),0)
- IFERROR(GETPIVOTDATA("Somma di AVERE",'Pivot Amex'!$A$3,"Mese",8,"Tipologia",$A203),0)
- IFERROR(GETPIVOTDATA("Somma di AVERE",'Pivot BBVA'!$A$3,"Mese",8,"Tipologia",$A203),0)
- IFERROR(GETPIVOTDATA("Somma di AVERE",'Pivot Fineco St'!$A$3,"Mese",8,"Tipologia",$A203),0)
- IFERROR(GETPIVOTDATA("Somma di AVERE",'Pivot Fineco Sa'!$A$3,"Mese",8,"Tipologia",$A203),0)
+ IFERROR(GETPIVOTDATA("Somma di DARE",'Pivot PP Visa'!$A$3,"Mese",8,"Tipologia",$A203),0)
- IFERROR(GETPIVOTDATA("Somma di AVERE",'Pivot PP Visa'!$A$3,"Mese",8,"Tipologia",$A203),0)
+ IFERROR(GETPIVOTDATA("Somma di DARE",'Pivot Revolut'!$A$3,"Mese",8,"Tipologia",$A203),0)
- IFERROR(GETPIVOTDATA("Somma di AVERE",'Pivot Revolut'!$A$3,"Mese",8,"Tipologia",$A203),0)</f>
        <v>0</v>
      </c>
      <c r="K203" s="243">
        <f>IFERROR(GETPIVOTDATA("Somma di DARE EUR",'Pivot RakBank AED'!$A$3,"Mese",9,"Tipologia",$A203),0)
- IFERROR(GETPIVOTDATA("Somma di AVERE EUR",'Pivot RakBank AED'!$A$3,"Mese",9,"Tipologia",$A203),0)
+IFERROR(GETPIVOTDATA("Somma di DARE",'Pivot RakBank EUR'!$A$3,"Mese",9,"Tipologia",$A203),0)
- IFERROR(GETPIVOTDATA("Somma di AVERE",'Pivot RakBank EUR'!$A$3,"Mese",9,"Tipologia",$A203),0)
+IFERROR(GETPIVOTDATA("Somma di DARE",'Pivot Fineco Sa'!$A$3,"Mese",9,"Tipologia",$A203),0)
+ IFERROR(GETPIVOTDATA("Somma di DARE",'Pivot Fineco St'!$A$3,"Mese",9,"Tipologia",$A203),0)
+ Contanti!AH65
+ IFERROR(GETPIVOTDATA("Somma di DARE",'Pivot BBVA'!$A$3,"Mese",9,"Tipologia",$A203),0)
+ IFERROR(GETPIVOTDATA("Somma di DARE",'Pivot Amex'!$A$3,"Mese",9,"Tipologia",$A203),0)
- IFERROR(GETPIVOTDATA("Somma di AVERE",'Pivot Amex'!$A$3,"Mese",9,"Tipologia",$A203),0)
- IFERROR(GETPIVOTDATA("Somma di AVERE",'Pivot BBVA'!$A$3,"Mese",9,"Tipologia",$A203),0)
- IFERROR(GETPIVOTDATA("Somma di AVERE",'Pivot Fineco St'!$A$3,"Mese",9,"Tipologia",$A203),0)
- IFERROR(GETPIVOTDATA("Somma di AVERE",'Pivot Fineco Sa'!$A$3,"Mese",9,"Tipologia",$A203),0)
+ IFERROR(GETPIVOTDATA("Somma di DARE",'Pivot PP Visa'!$A$3,"Mese",9,"Tipologia",$A203),0)
- IFERROR(GETPIVOTDATA("Somma di AVERE",'Pivot PP Visa'!$A$3,"Mese",9,"Tipologia",$A203),0)
+ IFERROR(GETPIVOTDATA("Somma di DARE",'Pivot Revolut'!$A$3,"Mese",9,"Tipologia",$A203),0)
- IFERROR(GETPIVOTDATA("Somma di AVERE",'Pivot Revolut'!$A$3,"Mese",9,"Tipologia",$A203),0)</f>
        <v>0</v>
      </c>
      <c r="L203" s="243">
        <f>IFERROR(GETPIVOTDATA("Somma di DARE EUR",'Pivot RakBank AED'!$A$3,"Mese",10,"Tipologia",$A203),0)
- IFERROR(GETPIVOTDATA("Somma di AVERE EUR",'Pivot RakBank AED'!$A$3,"Mese",10,"Tipologia",$A203),0)
+IFERROR(GETPIVOTDATA("Somma di DARE",'Pivot RakBank EUR'!$A$3,"Mese",10,"Tipologia",$A203),0)
- IFERROR(GETPIVOTDATA("Somma di AVERE",'Pivot RakBank EUR'!$A$3,"Mese",10,"Tipologia",$A203),0)
+IFERROR(GETPIVOTDATA("Somma di DARE",'Pivot Fineco Sa'!$A$3,"Mese",10,"Tipologia",$A203),0)
+ IFERROR(GETPIVOTDATA("Somma di DARE",'Pivot Fineco St'!$A$3,"Mese",10,"Tipologia",$A203),0)
+ Contanti!AL65
+ IFERROR(GETPIVOTDATA("Somma di DARE",'Pivot BBVA'!$A$3,"Mese",10,"Tipologia",$A203),0)
+ IFERROR(GETPIVOTDATA("Somma di DARE",'Pivot Amex'!$A$3,"Mese",10,"Tipologia",$A203),0)
- IFERROR(GETPIVOTDATA("Somma di AVERE",'Pivot Amex'!$A$3,"Mese",10,"Tipologia",$A203),0)
- IFERROR(GETPIVOTDATA("Somma di AVERE",'Pivot BBVA'!$A$3,"Mese",10,"Tipologia",$A203),0)
- IFERROR(GETPIVOTDATA("Somma di AVERE",'Pivot Fineco St'!$A$3,"Mese",10,"Tipologia",$A203),0)
- IFERROR(GETPIVOTDATA("Somma di AVERE",'Pivot Fineco Sa'!$A$3,"Mese",10,"Tipologia",$A203),0)
+ IFERROR(GETPIVOTDATA("Somma di DARE",'Pivot PP Visa'!$A$3,"Mese",10,"Tipologia",$A203),0)
- IFERROR(GETPIVOTDATA("Somma di AVERE",'Pivot PP Visa'!$A$3,"Mese",10,"Tipologia",$A203),0)
+ IFERROR(GETPIVOTDATA("Somma di DARE",'Pivot Revolut'!$A$3,"Mese",10,"Tipologia",$A203),0)
- IFERROR(GETPIVOTDATA("Somma di AVERE",'Pivot Revolut'!$A$3,"Mese",10,"Tipologia",$A203),0)</f>
        <v>0</v>
      </c>
      <c r="M203" s="243">
        <f>IFERROR(GETPIVOTDATA("Somma di DARE EUR",'Pivot RakBank AED'!$A$3,"Mese",11,"Tipologia",$A203),0)
- IFERROR(GETPIVOTDATA("Somma di AVERE EUR",'Pivot RakBank AED'!$A$3,"Mese",11,"Tipologia",$A203),0)
+IFERROR(GETPIVOTDATA("Somma di DARE",'Pivot RakBank EUR'!$A$3,"Mese",11,"Tipologia",$A203),0)
- IFERROR(GETPIVOTDATA("Somma di AVERE",'Pivot RakBank EUR'!$A$3,"Mese",11,"Tipologia",$A203),0)
+IFERROR(GETPIVOTDATA("Somma di DARE",'Pivot Fineco Sa'!$A$3,"Mese",11,"Tipologia",$A203),0)
+ IFERROR(GETPIVOTDATA("Somma di DARE",'Pivot Fineco St'!$A$3,"Mese",11,"Tipologia",$A203),0)
+ Contanti!AP65
+ IFERROR(GETPIVOTDATA("Somma di DARE",'Pivot BBVA'!$A$3,"Mese",11,"Tipologia",$A203),0)
+ IFERROR(GETPIVOTDATA("Somma di DARE",'Pivot Amex'!$A$3,"Mese",11,"Tipologia",$A203),0)
- IFERROR(GETPIVOTDATA("Somma di AVERE",'Pivot Amex'!$A$3,"Mese",11,"Tipologia",$A203),0)
- IFERROR(GETPIVOTDATA("Somma di AVERE",'Pivot BBVA'!$A$3,"Mese",11,"Tipologia",$A203),0)
- IFERROR(GETPIVOTDATA("Somma di AVERE",'Pivot Fineco St'!$A$3,"Mese",11,"Tipologia",$A203),0)
- IFERROR(GETPIVOTDATA("Somma di AVERE",'Pivot Fineco Sa'!$A$3,"Mese",11,"Tipologia",$A203),0)
+ IFERROR(GETPIVOTDATA("Somma di DARE",'Pivot PP Visa'!$A$3,"Mese",11,"Tipologia",$A203),0)
- IFERROR(GETPIVOTDATA("Somma di AVERE",'Pivot PP Visa'!$A$3,"Mese",11,"Tipologia",$A203),0)
+ IFERROR(GETPIVOTDATA("Somma di DARE",'Pivot Revolut'!$A$3,"Mese",11,"Tipologia",$A203),0)
- IFERROR(GETPIVOTDATA("Somma di AVERE",'Pivot Revolut'!$A$3,"Mese",11,"Tipologia",$A203),0)</f>
        <v>0</v>
      </c>
      <c r="N203" s="243">
        <f>IFERROR(GETPIVOTDATA("Somma di DARE EUR",'Pivot RakBank AED'!$A$3,"Mese",12,"Tipologia",$A203),0)
- IFERROR(GETPIVOTDATA("Somma di AVERE EUR",'Pivot RakBank AED'!$A$3,"Mese",12,"Tipologia",$A203),0)
+IFERROR(GETPIVOTDATA("Somma di DARE",'Pivot RakBank EUR'!$A$3,"Mese",12,"Tipologia",$A203),0)
- IFERROR(GETPIVOTDATA("Somma di AVERE",'Pivot RakBank EUR'!$A$3,"Mese",12,"Tipologia",$A203),0)
+IFERROR(GETPIVOTDATA("Somma di DARE",'Pivot Fineco Sa'!$A$3,"Mese",12,"Tipologia",$A203),0)
+ IFERROR(GETPIVOTDATA("Somma di DARE",'Pivot Fineco St'!$A$3,"Mese",12,"Tipologia",$A203),0)
+ Contanti!AT65
+ IFERROR(GETPIVOTDATA("Somma di DARE",'Pivot BBVA'!$A$3,"Mese",12,"Tipologia",$A203),0)
+ IFERROR(GETPIVOTDATA("Somma di DARE",'Pivot Amex'!$A$3,"Mese",12,"Tipologia",$A203),0)
- IFERROR(GETPIVOTDATA("Somma di AVERE",'Pivot Amex'!$A$3,"Mese",12,"Tipologia",$A203),0)
- IFERROR(GETPIVOTDATA("Somma di AVERE",'Pivot BBVA'!$A$3,"Mese",12,"Tipologia",$A203),0)
- IFERROR(GETPIVOTDATA("Somma di AVERE",'Pivot Fineco St'!$A$3,"Mese",12,"Tipologia",$A203),0)
- IFERROR(GETPIVOTDATA("Somma di AVERE",'Pivot Fineco Sa'!$A$3,"Mese",12,"Tipologia",$A203),0)
+ IFERROR(GETPIVOTDATA("Somma di DARE",'Pivot PP Visa'!$A$3,"Mese",12,"Tipologia",$A203),0)
- IFERROR(GETPIVOTDATA("Somma di AVERE",'Pivot PP Visa'!$A$3,"Mese",12,"Tipologia",$A203),0)
+ IFERROR(GETPIVOTDATA("Somma di DARE",'Pivot Revolut'!$A$3,"Mese",12,"Tipologia",$A203),0)
- IFERROR(GETPIVOTDATA("Somma di AVERE",'Pivot Revolut'!$A$3,"Mese",12,"Tipologia",$A203),0)</f>
        <v>0</v>
      </c>
      <c r="O203" s="252">
        <f t="shared" si="27"/>
        <v>4.5999999999999996</v>
      </c>
      <c r="P203" s="243">
        <f t="shared" ca="1" si="28"/>
        <v>0.65714285714285714</v>
      </c>
    </row>
    <row r="204" spans="1:16" s="125" customFormat="1" ht="21" customHeight="1" x14ac:dyDescent="0.2">
      <c r="A204" s="251" t="s">
        <v>74</v>
      </c>
      <c r="B204" s="251"/>
      <c r="C204" s="243">
        <f>IFERROR(GETPIVOTDATA("Somma di DARE EUR",'Pivot RakBank AED'!$A$3,"Mese",1,"Tipologia",$A204),0)
- IFERROR(GETPIVOTDATA("Somma di AVERE EUR",'Pivot RakBank AED'!$A$3,"Mese",1,"Tipologia",$A204),0)
+IFERROR(GETPIVOTDATA("Somma di DARE",'Pivot RakBank EUR'!$A$3,"Mese",1,"Tipologia",$A204),0)
- IFERROR(GETPIVOTDATA("Somma di AVERE",'Pivot RakBank EUR'!$A$3,"Mese",1,"Tipologia",$A204),0)
+IFERROR(GETPIVOTDATA("Somma di DARE",'Pivot Fineco Sa'!$A$3,"Mese",1,"Tipologia",$A204),0)
+ IFERROR(GETPIVOTDATA("Somma di DARE",'Pivot Fineco St'!$A$3,"Mese",1,"Tipologia",$A204),0)
+ Contanti!B66
+ IFERROR(GETPIVOTDATA("Somma di DARE",'Pivot BBVA'!$A$3,"Mese",1,"Tipologia",$A204),0)
+ IFERROR(GETPIVOTDATA("Somma di DARE",'Pivot Amex'!$A$3,"Mese",1,"Tipologia",$A204),0)
- IFERROR(GETPIVOTDATA("Somma di AVERE",'Pivot Amex'!$A$3,"Mese",1,"Tipologia",$A204),0)
- IFERROR(GETPIVOTDATA("Somma di AVERE",'Pivot BBVA'!$A$3,"Mese",1,"Tipologia",$A204),0)
- IFERROR(GETPIVOTDATA("Somma di AVERE",'Pivot Fineco St'!$A$3,"Mese",1,"Tipologia",$A204),0)
- IFERROR(GETPIVOTDATA("Somma di AVERE",'Pivot Fineco Sa'!$A$3,"Mese",1,"Tipologia",$A204),0)
+ IFERROR(GETPIVOTDATA("Somma di DARE",'Pivot PP Visa'!$A$3,"Mese",1,"Tipologia",$A204),0)
- IFERROR(GETPIVOTDATA("Somma di AVERE",'Pivot PP Visa'!$A$3,"Mese",1,"Tipologia",$A204),0)
+ IFERROR(GETPIVOTDATA("Somma di DARE",'Pivot Revolut'!$A$3,"Mese",1,"Tipologia",$A204),0)
- IFERROR(GETPIVOTDATA("Somma di AVERE",'Pivot Revolut'!$A$3,"Mese",1,"Tipologia",$A204),0)</f>
        <v>15.399999999999999</v>
      </c>
      <c r="D204" s="243">
        <f>IFERROR(GETPIVOTDATA("Somma di DARE EUR",'Pivot RakBank AED'!$A$3,"Mese",2,"Tipologia",$A204),0)
- IFERROR(GETPIVOTDATA("Somma di AVERE EUR",'Pivot RakBank AED'!$A$3,"Mese",2,"Tipologia",$A204),0)
+IFERROR(GETPIVOTDATA("Somma di DARE",'Pivot RakBank EUR'!$A$3,"Mese",2,"Tipologia",$A204),0)
- IFERROR(GETPIVOTDATA("Somma di AVERE",'Pivot RakBank EUR'!$A$3,"Mese",2,"Tipologia",$A204),0)
+IFERROR(GETPIVOTDATA("Somma di DARE",'Pivot Fineco Sa'!$A$3,"Mese",2,"Tipologia",$A204),0)
+ IFERROR(GETPIVOTDATA("Somma di DARE",'Pivot Fineco St'!$A$3,"Mese",2,"Tipologia",$A204),0)
+ Contanti!F66
+ IFERROR(GETPIVOTDATA("Somma di DARE",'Pivot BBVA'!$A$3,"Mese",2,"Tipologia",$A204),0)
+ IFERROR(GETPIVOTDATA("Somma di DARE",'Pivot Amex'!$A$3,"Mese",2,"Tipologia",$A204),0)
- IFERROR(GETPIVOTDATA("Somma di AVERE",'Pivot Amex'!$A$3,"Mese",2,"Tipologia",$A204),0)
- IFERROR(GETPIVOTDATA("Somma di AVERE",'Pivot BBVA'!$A$3,"Mese",2,"Tipologia",$A204),0)
- IFERROR(GETPIVOTDATA("Somma di AVERE",'Pivot Fineco St'!$A$3,"Mese",2,"Tipologia",$A204),0)
- IFERROR(GETPIVOTDATA("Somma di AVERE",'Pivot Fineco Sa'!$A$3,"Mese",2,"Tipologia",$A204),0)
+ IFERROR(GETPIVOTDATA("Somma di DARE",'Pivot PP Visa'!$A$3,"Mese",2,"Tipologia",$A204),0)
- IFERROR(GETPIVOTDATA("Somma di AVERE",'Pivot PP Visa'!$A$3,"Mese",2,"Tipologia",$A204),0)
+ IFERROR(GETPIVOTDATA("Somma di DARE",'Pivot Revolut'!$A$3,"Mese",2,"Tipologia",$A204),0)
- IFERROR(GETPIVOTDATA("Somma di AVERE",'Pivot Revolut'!$A$3,"Mese",2,"Tipologia",$A204),0)</f>
        <v>12.85</v>
      </c>
      <c r="E204" s="243">
        <f>IFERROR(GETPIVOTDATA("Somma di DARE EUR",'Pivot RakBank AED'!$A$3,"Mese",3,"Tipologia",$A204),0)
- IFERROR(GETPIVOTDATA("Somma di AVERE EUR",'Pivot RakBank AED'!$A$3,"Mese",3,"Tipologia",$A204),0)
+IFERROR(GETPIVOTDATA("Somma di DARE",'Pivot RakBank EUR'!$A$3,"Mese",3,"Tipologia",$A204),0)
- IFERROR(GETPIVOTDATA("Somma di AVERE",'Pivot RakBank EUR'!$A$3,"Mese",3,"Tipologia",$A204),0)
+IFERROR(GETPIVOTDATA("Somma di DARE",'Pivot Fineco Sa'!$A$3,"Mese",3,"Tipologia",$A204),0)
+ IFERROR(GETPIVOTDATA("Somma di DARE",'Pivot Fineco St'!$A$3,"Mese",3,"Tipologia",$A204),0)
+ Contanti!J66
+ IFERROR(GETPIVOTDATA("Somma di DARE",'Pivot BBVA'!$A$3,"Mese",3,"Tipologia",$A204),0)
+ IFERROR(GETPIVOTDATA("Somma di DARE",'Pivot Amex'!$A$3,"Mese",3,"Tipologia",$A204),0)
- IFERROR(GETPIVOTDATA("Somma di AVERE",'Pivot Amex'!$A$3,"Mese",3,"Tipologia",$A204),0)
- IFERROR(GETPIVOTDATA("Somma di AVERE",'Pivot BBVA'!$A$3,"Mese",3,"Tipologia",$A204),0)
- IFERROR(GETPIVOTDATA("Somma di AVERE",'Pivot Fineco St'!$A$3,"Mese",3,"Tipologia",$A204),0)
- IFERROR(GETPIVOTDATA("Somma di AVERE",'Pivot Fineco Sa'!$A$3,"Mese",3,"Tipologia",$A204),0)
+ IFERROR(GETPIVOTDATA("Somma di DARE",'Pivot PP Visa'!$A$3,"Mese",3,"Tipologia",$A204),0)
- IFERROR(GETPIVOTDATA("Somma di AVERE",'Pivot PP Visa'!$A$3,"Mese",3,"Tipologia",$A204),0)
+ IFERROR(GETPIVOTDATA("Somma di DARE",'Pivot Revolut'!$A$3,"Mese",3,"Tipologia",$A204),0)
- IFERROR(GETPIVOTDATA("Somma di AVERE",'Pivot Revolut'!$A$3,"Mese",3,"Tipologia",$A204),0)</f>
        <v>6.2</v>
      </c>
      <c r="F204" s="243">
        <f>IFERROR(GETPIVOTDATA("Somma di DARE EUR",'Pivot RakBank AED'!$A$3,"Mese",4,"Tipologia",$A204),0)
- IFERROR(GETPIVOTDATA("Somma di AVERE EUR",'Pivot RakBank AED'!$A$3,"Mese",4,"Tipologia",$A204),0)
+IFERROR(GETPIVOTDATA("Somma di DARE",'Pivot RakBank EUR'!$A$3,"Mese",4,"Tipologia",$A204),0)
- IFERROR(GETPIVOTDATA("Somma di AVERE",'Pivot RakBank EUR'!$A$3,"Mese",4,"Tipologia",$A204),0)
+IFERROR(GETPIVOTDATA("Somma di DARE",'Pivot Fineco Sa'!$A$3,"Mese",4,"Tipologia",$A204),0)
+ IFERROR(GETPIVOTDATA("Somma di DARE",'Pivot Fineco St'!$A$3,"Mese",4,"Tipologia",$A204),0)
+ Contanti!N66
+ IFERROR(GETPIVOTDATA("Somma di DARE",'Pivot BBVA'!$A$3,"Mese",4,"Tipologia",$A204),0)
+ IFERROR(GETPIVOTDATA("Somma di DARE",'Pivot Amex'!$A$3,"Mese",4,"Tipologia",$A204),0)
- IFERROR(GETPIVOTDATA("Somma di AVERE",'Pivot Amex'!$A$3,"Mese",4,"Tipologia",$A204),0)
- IFERROR(GETPIVOTDATA("Somma di AVERE",'Pivot BBVA'!$A$3,"Mese",4,"Tipologia",$A204),0)
- IFERROR(GETPIVOTDATA("Somma di AVERE",'Pivot Fineco St'!$A$3,"Mese",4,"Tipologia",$A204),0)
- IFERROR(GETPIVOTDATA("Somma di AVERE",'Pivot Fineco Sa'!$A$3,"Mese",4,"Tipologia",$A204),0)
+ IFERROR(GETPIVOTDATA("Somma di DARE",'Pivot PP Visa'!$A$3,"Mese",4,"Tipologia",$A204),0)
- IFERROR(GETPIVOTDATA("Somma di AVERE",'Pivot PP Visa'!$A$3,"Mese",4,"Tipologia",$A204),0)
+ IFERROR(GETPIVOTDATA("Somma di DARE",'Pivot Revolut'!$A$3,"Mese",4,"Tipologia",$A204),0)
- IFERROR(GETPIVOTDATA("Somma di AVERE",'Pivot Revolut'!$A$3,"Mese",4,"Tipologia",$A204),0)</f>
        <v>5.75</v>
      </c>
      <c r="G204" s="243">
        <f>IFERROR(GETPIVOTDATA("Somma di DARE EUR",'Pivot RakBank AED'!$A$3,"Mese",5,"Tipologia",$A204),0)
- IFERROR(GETPIVOTDATA("Somma di AVERE EUR",'Pivot RakBank AED'!$A$3,"Mese",5,"Tipologia",$A204),0)
+IFERROR(GETPIVOTDATA("Somma di DARE",'Pivot RakBank EUR'!$A$3,"Mese",5,"Tipologia",$A204),0)
- IFERROR(GETPIVOTDATA("Somma di AVERE",'Pivot RakBank EUR'!$A$3,"Mese",5,"Tipologia",$A204),0)
+IFERROR(GETPIVOTDATA("Somma di DARE",'Pivot Fineco Sa'!$A$3,"Mese",5,"Tipologia",$A204),0)
+ IFERROR(GETPIVOTDATA("Somma di DARE",'Pivot Fineco St'!$A$3,"Mese",5,"Tipologia",$A204),0)
+ Contanti!R66
+ IFERROR(GETPIVOTDATA("Somma di DARE",'Pivot BBVA'!$A$3,"Mese",5,"Tipologia",$A204),0)
+ IFERROR(GETPIVOTDATA("Somma di DARE",'Pivot Amex'!$A$3,"Mese",5,"Tipologia",$A204),0)
- IFERROR(GETPIVOTDATA("Somma di AVERE",'Pivot Amex'!$A$3,"Mese",5,"Tipologia",$A204),0)
- IFERROR(GETPIVOTDATA("Somma di AVERE",'Pivot BBVA'!$A$3,"Mese",5,"Tipologia",$A204),0)
- IFERROR(GETPIVOTDATA("Somma di AVERE",'Pivot Fineco St'!$A$3,"Mese",5,"Tipologia",$A204),0)
- IFERROR(GETPIVOTDATA("Somma di AVERE",'Pivot Fineco Sa'!$A$3,"Mese",5,"Tipologia",$A204),0)
+ IFERROR(GETPIVOTDATA("Somma di DARE",'Pivot PP Visa'!$A$3,"Mese",5,"Tipologia",$A204),0)
- IFERROR(GETPIVOTDATA("Somma di AVERE",'Pivot PP Visa'!$A$3,"Mese",5,"Tipologia",$A204),0)
+ IFERROR(GETPIVOTDATA("Somma di DARE",'Pivot Revolut'!$A$3,"Mese",5,"Tipologia",$A204),0)
- IFERROR(GETPIVOTDATA("Somma di AVERE",'Pivot Revolut'!$A$3,"Mese",5,"Tipologia",$A204),0)</f>
        <v>0</v>
      </c>
      <c r="H204" s="243">
        <f>IFERROR(GETPIVOTDATA("Somma di DARE EUR",'Pivot RakBank AED'!$A$3,"Mese",6,"Tipologia",$A204),0)
- IFERROR(GETPIVOTDATA("Somma di AVERE EUR",'Pivot RakBank AED'!$A$3,"Mese",6,"Tipologia",$A204),0)
+IFERROR(GETPIVOTDATA("Somma di DARE",'Pivot RakBank EUR'!$A$3,"Mese",6,"Tipologia",$A204),0)
- IFERROR(GETPIVOTDATA("Somma di AVERE",'Pivot RakBank EUR'!$A$3,"Mese",6,"Tipologia",$A204),0)
+IFERROR(GETPIVOTDATA("Somma di DARE",'Pivot Fineco Sa'!$A$3,"Mese",6,"Tipologia",$A204),0)
+ IFERROR(GETPIVOTDATA("Somma di DARE",'Pivot Fineco St'!$A$3,"Mese",6,"Tipologia",$A204),0)
+ Contanti!V66
+ IFERROR(GETPIVOTDATA("Somma di DARE",'Pivot BBVA'!$A$3,"Mese",6,"Tipologia",$A204),0)
+ IFERROR(GETPIVOTDATA("Somma di DARE",'Pivot Amex'!$A$3,"Mese",6,"Tipologia",$A204),0)
- IFERROR(GETPIVOTDATA("Somma di AVERE",'Pivot Amex'!$A$3,"Mese",6,"Tipologia",$A204),0)
- IFERROR(GETPIVOTDATA("Somma di AVERE",'Pivot BBVA'!$A$3,"Mese",6,"Tipologia",$A204),0)
- IFERROR(GETPIVOTDATA("Somma di AVERE",'Pivot Fineco St'!$A$3,"Mese",6,"Tipologia",$A204),0)
- IFERROR(GETPIVOTDATA("Somma di AVERE",'Pivot Fineco Sa'!$A$3,"Mese",6,"Tipologia",$A204),0)
+ IFERROR(GETPIVOTDATA("Somma di DARE",'Pivot PP Visa'!$A$3,"Mese",6,"Tipologia",$A204),0)
- IFERROR(GETPIVOTDATA("Somma di AVERE",'Pivot PP Visa'!$A$3,"Mese",6,"Tipologia",$A204),0)
+ IFERROR(GETPIVOTDATA("Somma di DARE",'Pivot Revolut'!$A$3,"Mese",6,"Tipologia",$A204),0)
- IFERROR(GETPIVOTDATA("Somma di AVERE",'Pivot Revolut'!$A$3,"Mese",6,"Tipologia",$A204),0)</f>
        <v>3.8</v>
      </c>
      <c r="I204" s="243">
        <f>IFERROR(GETPIVOTDATA("Somma di DARE EUR",'Pivot RakBank AED'!$A$3,"Mese",7,"Tipologia",$A204),0)
- IFERROR(GETPIVOTDATA("Somma di AVERE EUR",'Pivot RakBank AED'!$A$3,"Mese",7,"Tipologia",$A204),0)
+IFERROR(GETPIVOTDATA("Somma di DARE",'Pivot RakBank EUR'!$A$3,"Mese",7,"Tipologia",$A204),0)
- IFERROR(GETPIVOTDATA("Somma di AVERE",'Pivot RakBank EUR'!$A$3,"Mese",7,"Tipologia",$A204),0)
+IFERROR(GETPIVOTDATA("Somma di DARE",'Pivot Fineco Sa'!$A$3,"Mese",7,"Tipologia",$A204),0)
+ IFERROR(GETPIVOTDATA("Somma di DARE",'Pivot Fineco St'!$A$3,"Mese",7,"Tipologia",$A204),0)
+ Contanti!Z66
+ IFERROR(GETPIVOTDATA("Somma di DARE",'Pivot BBVA'!$A$3,"Mese",7,"Tipologia",$A204),0)
+ IFERROR(GETPIVOTDATA("Somma di DARE",'Pivot Amex'!$A$3,"Mese",7,"Tipologia",$A204),0)
- IFERROR(GETPIVOTDATA("Somma di AVERE",'Pivot Amex'!$A$3,"Mese",7,"Tipologia",$A204),0)
- IFERROR(GETPIVOTDATA("Somma di AVERE",'Pivot BBVA'!$A$3,"Mese",7,"Tipologia",$A204),0)
- IFERROR(GETPIVOTDATA("Somma di AVERE",'Pivot Fineco St'!$A$3,"Mese",7,"Tipologia",$A204),0)
- IFERROR(GETPIVOTDATA("Somma di AVERE",'Pivot Fineco Sa'!$A$3,"Mese",7,"Tipologia",$A204),0)
+ IFERROR(GETPIVOTDATA("Somma di DARE",'Pivot PP Visa'!$A$3,"Mese",7,"Tipologia",$A204),0)
- IFERROR(GETPIVOTDATA("Somma di AVERE",'Pivot PP Visa'!$A$3,"Mese",7,"Tipologia",$A204),0)
+ IFERROR(GETPIVOTDATA("Somma di DARE",'Pivot Revolut'!$A$3,"Mese",7,"Tipologia",$A204),0)
- IFERROR(GETPIVOTDATA("Somma di AVERE",'Pivot Revolut'!$A$3,"Mese",7,"Tipologia",$A204),0)</f>
        <v>0.35</v>
      </c>
      <c r="J204" s="243">
        <f>IFERROR(GETPIVOTDATA("Somma di DARE EUR",'Pivot RakBank AED'!$A$3,"Mese",8,"Tipologia",$A204),0)
- IFERROR(GETPIVOTDATA("Somma di AVERE EUR",'Pivot RakBank AED'!$A$3,"Mese",8,"Tipologia",$A204),0)
+IFERROR(GETPIVOTDATA("Somma di DARE",'Pivot RakBank EUR'!$A$3,"Mese",8,"Tipologia",$A204),0)
- IFERROR(GETPIVOTDATA("Somma di AVERE",'Pivot RakBank EUR'!$A$3,"Mese",8,"Tipologia",$A204),0)
+IFERROR(GETPIVOTDATA("Somma di DARE",'Pivot Fineco Sa'!$A$3,"Mese",8,"Tipologia",$A204),0)
+ IFERROR(GETPIVOTDATA("Somma di DARE",'Pivot Fineco St'!$A$3,"Mese",8,"Tipologia",$A204),0)
+ Contanti!AD66
+ IFERROR(GETPIVOTDATA("Somma di DARE",'Pivot BBVA'!$A$3,"Mese",8,"Tipologia",$A204),0)
+ IFERROR(GETPIVOTDATA("Somma di DARE",'Pivot Amex'!$A$3,"Mese",8,"Tipologia",$A204),0)
- IFERROR(GETPIVOTDATA("Somma di AVERE",'Pivot Amex'!$A$3,"Mese",8,"Tipologia",$A204),0)
- IFERROR(GETPIVOTDATA("Somma di AVERE",'Pivot BBVA'!$A$3,"Mese",8,"Tipologia",$A204),0)
- IFERROR(GETPIVOTDATA("Somma di AVERE",'Pivot Fineco St'!$A$3,"Mese",8,"Tipologia",$A204),0)
- IFERROR(GETPIVOTDATA("Somma di AVERE",'Pivot Fineco Sa'!$A$3,"Mese",8,"Tipologia",$A204),0)
+ IFERROR(GETPIVOTDATA("Somma di DARE",'Pivot PP Visa'!$A$3,"Mese",8,"Tipologia",$A204),0)
- IFERROR(GETPIVOTDATA("Somma di AVERE",'Pivot PP Visa'!$A$3,"Mese",8,"Tipologia",$A204),0)
+ IFERROR(GETPIVOTDATA("Somma di DARE",'Pivot Revolut'!$A$3,"Mese",8,"Tipologia",$A204),0)
- IFERROR(GETPIVOTDATA("Somma di AVERE",'Pivot Revolut'!$A$3,"Mese",8,"Tipologia",$A204),0)</f>
        <v>0</v>
      </c>
      <c r="K204" s="243">
        <f>IFERROR(GETPIVOTDATA("Somma di DARE EUR",'Pivot RakBank AED'!$A$3,"Mese",9,"Tipologia",$A204),0)
- IFERROR(GETPIVOTDATA("Somma di AVERE EUR",'Pivot RakBank AED'!$A$3,"Mese",9,"Tipologia",$A204),0)
+IFERROR(GETPIVOTDATA("Somma di DARE",'Pivot RakBank EUR'!$A$3,"Mese",9,"Tipologia",$A204),0)
- IFERROR(GETPIVOTDATA("Somma di AVERE",'Pivot RakBank EUR'!$A$3,"Mese",9,"Tipologia",$A204),0)
+IFERROR(GETPIVOTDATA("Somma di DARE",'Pivot Fineco Sa'!$A$3,"Mese",9,"Tipologia",$A204),0)
+ IFERROR(GETPIVOTDATA("Somma di DARE",'Pivot Fineco St'!$A$3,"Mese",9,"Tipologia",$A204),0)
+ Contanti!AH66
+ IFERROR(GETPIVOTDATA("Somma di DARE",'Pivot BBVA'!$A$3,"Mese",9,"Tipologia",$A204),0)
+ IFERROR(GETPIVOTDATA("Somma di DARE",'Pivot Amex'!$A$3,"Mese",9,"Tipologia",$A204),0)
- IFERROR(GETPIVOTDATA("Somma di AVERE",'Pivot Amex'!$A$3,"Mese",9,"Tipologia",$A204),0)
- IFERROR(GETPIVOTDATA("Somma di AVERE",'Pivot BBVA'!$A$3,"Mese",9,"Tipologia",$A204),0)
- IFERROR(GETPIVOTDATA("Somma di AVERE",'Pivot Fineco St'!$A$3,"Mese",9,"Tipologia",$A204),0)
- IFERROR(GETPIVOTDATA("Somma di AVERE",'Pivot Fineco Sa'!$A$3,"Mese",9,"Tipologia",$A204),0)
+ IFERROR(GETPIVOTDATA("Somma di DARE",'Pivot PP Visa'!$A$3,"Mese",9,"Tipologia",$A204),0)
- IFERROR(GETPIVOTDATA("Somma di AVERE",'Pivot PP Visa'!$A$3,"Mese",9,"Tipologia",$A204),0)
+ IFERROR(GETPIVOTDATA("Somma di DARE",'Pivot Revolut'!$A$3,"Mese",9,"Tipologia",$A204),0)
- IFERROR(GETPIVOTDATA("Somma di AVERE",'Pivot Revolut'!$A$3,"Mese",9,"Tipologia",$A204),0)</f>
        <v>0</v>
      </c>
      <c r="L204" s="243">
        <f>IFERROR(GETPIVOTDATA("Somma di DARE EUR",'Pivot RakBank AED'!$A$3,"Mese",10,"Tipologia",$A204),0)
- IFERROR(GETPIVOTDATA("Somma di AVERE EUR",'Pivot RakBank AED'!$A$3,"Mese",10,"Tipologia",$A204),0)
+IFERROR(GETPIVOTDATA("Somma di DARE",'Pivot RakBank EUR'!$A$3,"Mese",10,"Tipologia",$A204),0)
- IFERROR(GETPIVOTDATA("Somma di AVERE",'Pivot RakBank EUR'!$A$3,"Mese",10,"Tipologia",$A204),0)
+IFERROR(GETPIVOTDATA("Somma di DARE",'Pivot Fineco Sa'!$A$3,"Mese",10,"Tipologia",$A204),0)
+ IFERROR(GETPIVOTDATA("Somma di DARE",'Pivot Fineco St'!$A$3,"Mese",10,"Tipologia",$A204),0)
+ Contanti!AL66
+ IFERROR(GETPIVOTDATA("Somma di DARE",'Pivot BBVA'!$A$3,"Mese",10,"Tipologia",$A204),0)
+ IFERROR(GETPIVOTDATA("Somma di DARE",'Pivot Amex'!$A$3,"Mese",10,"Tipologia",$A204),0)
- IFERROR(GETPIVOTDATA("Somma di AVERE",'Pivot Amex'!$A$3,"Mese",10,"Tipologia",$A204),0)
- IFERROR(GETPIVOTDATA("Somma di AVERE",'Pivot BBVA'!$A$3,"Mese",10,"Tipologia",$A204),0)
- IFERROR(GETPIVOTDATA("Somma di AVERE",'Pivot Fineco St'!$A$3,"Mese",10,"Tipologia",$A204),0)
- IFERROR(GETPIVOTDATA("Somma di AVERE",'Pivot Fineco Sa'!$A$3,"Mese",10,"Tipologia",$A204),0)
+ IFERROR(GETPIVOTDATA("Somma di DARE",'Pivot PP Visa'!$A$3,"Mese",10,"Tipologia",$A204),0)
- IFERROR(GETPIVOTDATA("Somma di AVERE",'Pivot PP Visa'!$A$3,"Mese",10,"Tipologia",$A204),0)
+ IFERROR(GETPIVOTDATA("Somma di DARE",'Pivot Revolut'!$A$3,"Mese",10,"Tipologia",$A204),0)
- IFERROR(GETPIVOTDATA("Somma di AVERE",'Pivot Revolut'!$A$3,"Mese",10,"Tipologia",$A204),0)</f>
        <v>0</v>
      </c>
      <c r="M204" s="243">
        <f>IFERROR(GETPIVOTDATA("Somma di DARE EUR",'Pivot RakBank AED'!$A$3,"Mese",11,"Tipologia",$A204),0)
- IFERROR(GETPIVOTDATA("Somma di AVERE EUR",'Pivot RakBank AED'!$A$3,"Mese",11,"Tipologia",$A204),0)
+IFERROR(GETPIVOTDATA("Somma di DARE",'Pivot RakBank EUR'!$A$3,"Mese",11,"Tipologia",$A204),0)
- IFERROR(GETPIVOTDATA("Somma di AVERE",'Pivot RakBank EUR'!$A$3,"Mese",11,"Tipologia",$A204),0)
+IFERROR(GETPIVOTDATA("Somma di DARE",'Pivot Fineco Sa'!$A$3,"Mese",11,"Tipologia",$A204),0)
+ IFERROR(GETPIVOTDATA("Somma di DARE",'Pivot Fineco St'!$A$3,"Mese",11,"Tipologia",$A204),0)
+ Contanti!AP66
+ IFERROR(GETPIVOTDATA("Somma di DARE",'Pivot BBVA'!$A$3,"Mese",11,"Tipologia",$A204),0)
+ IFERROR(GETPIVOTDATA("Somma di DARE",'Pivot Amex'!$A$3,"Mese",11,"Tipologia",$A204),0)
- IFERROR(GETPIVOTDATA("Somma di AVERE",'Pivot Amex'!$A$3,"Mese",11,"Tipologia",$A204),0)
- IFERROR(GETPIVOTDATA("Somma di AVERE",'Pivot BBVA'!$A$3,"Mese",11,"Tipologia",$A204),0)
- IFERROR(GETPIVOTDATA("Somma di AVERE",'Pivot Fineco St'!$A$3,"Mese",11,"Tipologia",$A204),0)
- IFERROR(GETPIVOTDATA("Somma di AVERE",'Pivot Fineco Sa'!$A$3,"Mese",11,"Tipologia",$A204),0)
+ IFERROR(GETPIVOTDATA("Somma di DARE",'Pivot PP Visa'!$A$3,"Mese",11,"Tipologia",$A204),0)
- IFERROR(GETPIVOTDATA("Somma di AVERE",'Pivot PP Visa'!$A$3,"Mese",11,"Tipologia",$A204),0)
+ IFERROR(GETPIVOTDATA("Somma di DARE",'Pivot Revolut'!$A$3,"Mese",11,"Tipologia",$A204),0)
- IFERROR(GETPIVOTDATA("Somma di AVERE",'Pivot Revolut'!$A$3,"Mese",11,"Tipologia",$A204),0)</f>
        <v>0</v>
      </c>
      <c r="N204" s="243">
        <f>IFERROR(GETPIVOTDATA("Somma di DARE EUR",'Pivot RakBank AED'!$A$3,"Mese",12,"Tipologia",$A204),0)
- IFERROR(GETPIVOTDATA("Somma di AVERE EUR",'Pivot RakBank AED'!$A$3,"Mese",12,"Tipologia",$A204),0)
+IFERROR(GETPIVOTDATA("Somma di DARE",'Pivot RakBank EUR'!$A$3,"Mese",12,"Tipologia",$A204),0)
- IFERROR(GETPIVOTDATA("Somma di AVERE",'Pivot RakBank EUR'!$A$3,"Mese",12,"Tipologia",$A204),0)
+IFERROR(GETPIVOTDATA("Somma di DARE",'Pivot Fineco Sa'!$A$3,"Mese",12,"Tipologia",$A204),0)
+ IFERROR(GETPIVOTDATA("Somma di DARE",'Pivot Fineco St'!$A$3,"Mese",12,"Tipologia",$A204),0)
+ Contanti!AT66
+ IFERROR(GETPIVOTDATA("Somma di DARE",'Pivot BBVA'!$A$3,"Mese",12,"Tipologia",$A204),0)
+ IFERROR(GETPIVOTDATA("Somma di DARE",'Pivot Amex'!$A$3,"Mese",12,"Tipologia",$A204),0)
- IFERROR(GETPIVOTDATA("Somma di AVERE",'Pivot Amex'!$A$3,"Mese",12,"Tipologia",$A204),0)
- IFERROR(GETPIVOTDATA("Somma di AVERE",'Pivot BBVA'!$A$3,"Mese",12,"Tipologia",$A204),0)
- IFERROR(GETPIVOTDATA("Somma di AVERE",'Pivot Fineco St'!$A$3,"Mese",12,"Tipologia",$A204),0)
- IFERROR(GETPIVOTDATA("Somma di AVERE",'Pivot Fineco Sa'!$A$3,"Mese",12,"Tipologia",$A204),0)
+ IFERROR(GETPIVOTDATA("Somma di DARE",'Pivot PP Visa'!$A$3,"Mese",12,"Tipologia",$A204),0)
- IFERROR(GETPIVOTDATA("Somma di AVERE",'Pivot PP Visa'!$A$3,"Mese",12,"Tipologia",$A204),0)
+ IFERROR(GETPIVOTDATA("Somma di DARE",'Pivot Revolut'!$A$3,"Mese",12,"Tipologia",$A204),0)
- IFERROR(GETPIVOTDATA("Somma di AVERE",'Pivot Revolut'!$A$3,"Mese",12,"Tipologia",$A204),0)</f>
        <v>0</v>
      </c>
      <c r="O204" s="252">
        <f t="shared" si="27"/>
        <v>44.35</v>
      </c>
      <c r="P204" s="243">
        <f t="shared" ca="1" si="28"/>
        <v>6.3357142857142863</v>
      </c>
    </row>
    <row r="205" spans="1:16" s="125" customFormat="1" ht="21" customHeight="1" x14ac:dyDescent="0.2">
      <c r="A205" s="259"/>
      <c r="B205" s="259"/>
      <c r="C205" s="260"/>
      <c r="D205" s="260"/>
      <c r="E205" s="260"/>
      <c r="F205" s="260"/>
      <c r="G205" s="260"/>
      <c r="H205" s="260"/>
      <c r="I205" s="260"/>
      <c r="J205" s="260"/>
      <c r="K205" s="260"/>
      <c r="L205" s="260"/>
      <c r="M205" s="260"/>
      <c r="N205" s="260"/>
      <c r="O205" s="260"/>
      <c r="P205" s="260"/>
    </row>
    <row r="206" spans="1:16" s="250" customFormat="1" ht="21" customHeight="1" x14ac:dyDescent="0.2">
      <c r="A206" s="247" t="s">
        <v>396</v>
      </c>
      <c r="B206" s="247"/>
      <c r="C206" s="248">
        <f>SUM(C207:C209)</f>
        <v>663.75</v>
      </c>
      <c r="D206" s="248">
        <f t="shared" ref="D206:N206" si="31">SUM(D207:D209)</f>
        <v>0</v>
      </c>
      <c r="E206" s="248">
        <f t="shared" si="31"/>
        <v>0</v>
      </c>
      <c r="F206" s="248">
        <f t="shared" si="31"/>
        <v>663.75</v>
      </c>
      <c r="G206" s="248">
        <f t="shared" si="31"/>
        <v>834.99</v>
      </c>
      <c r="H206" s="248">
        <f t="shared" si="31"/>
        <v>0</v>
      </c>
      <c r="I206" s="248">
        <f t="shared" si="31"/>
        <v>663.75</v>
      </c>
      <c r="J206" s="248">
        <f t="shared" si="31"/>
        <v>0</v>
      </c>
      <c r="K206" s="248">
        <f t="shared" si="31"/>
        <v>0</v>
      </c>
      <c r="L206" s="248">
        <f t="shared" si="31"/>
        <v>0</v>
      </c>
      <c r="M206" s="248">
        <f t="shared" si="31"/>
        <v>0</v>
      </c>
      <c r="N206" s="248">
        <f t="shared" si="31"/>
        <v>0</v>
      </c>
      <c r="O206" s="249">
        <f t="shared" ref="O206" si="32">SUM(C206:N206)</f>
        <v>2826.24</v>
      </c>
      <c r="P206" s="248">
        <f ca="1">SUM(P207:P209)</f>
        <v>403.74857142857144</v>
      </c>
    </row>
    <row r="207" spans="1:16" s="250" customFormat="1" ht="21" customHeight="1" x14ac:dyDescent="0.2">
      <c r="A207" s="251" t="s">
        <v>81</v>
      </c>
      <c r="B207" s="251"/>
      <c r="C207" s="243">
        <f>IFERROR(GETPIVOTDATA("Somma di DARE EUR",'Pivot RakBank AED'!$A$3,"Mese",1,"Tipologia",$A207),0)
- IFERROR(GETPIVOTDATA("Somma di AVERE EUR",'Pivot RakBank AED'!$A$3,"Mese",1,"Tipologia",$A207),0)
+IFERROR(GETPIVOTDATA("Somma di DARE",'Pivot RakBank EUR'!$A$3,"Mese",1,"Tipologia",$A207),0)
- IFERROR(GETPIVOTDATA("Somma di AVERE",'Pivot RakBank EUR'!$A$3,"Mese",1,"Tipologia",$A207),0)
+IFERROR(GETPIVOTDATA("Somma di DARE",'Pivot Fineco Sa'!$A$3,"Mese",1,"Tipologia",$A207),0)
+ IFERROR(GETPIVOTDATA("Somma di DARE",'Pivot Fineco St'!$A$3,"Mese",1,"Tipologia",$A207),0)
+ Contanti!B69
+ IFERROR(GETPIVOTDATA("Somma di DARE",'Pivot BBVA'!$A$3,"Mese",1,"Tipologia",$A207),0)
+ IFERROR(GETPIVOTDATA("Somma di DARE",'Pivot Amex'!$A$3,"Mese",1,"Tipologia",$A207),0)
- IFERROR(GETPIVOTDATA("Somma di AVERE",'Pivot Amex'!$A$3,"Mese",1,"Tipologia",$A207),0)
- IFERROR(GETPIVOTDATA("Somma di AVERE",'Pivot BBVA'!$A$3,"Mese",1,"Tipologia",$A207),0)
- IFERROR(GETPIVOTDATA("Somma di AVERE",'Pivot Fineco St'!$A$3,"Mese",1,"Tipologia",$A207),0)
- IFERROR(GETPIVOTDATA("Somma di AVERE",'Pivot Fineco Sa'!$A$3,"Mese",1,"Tipologia",$A207),0)
+ IFERROR(GETPIVOTDATA("Somma di DARE",'Pivot PP Visa'!$A$3,"Mese",1,"Tipologia",$A207),0)
- IFERROR(GETPIVOTDATA("Somma di AVERE",'Pivot PP Visa'!$A$3,"Mese",1,"Tipologia",$A207),0)
+ IFERROR(GETPIVOTDATA("Somma di DARE",'Pivot Revolut'!$A$3,"Mese",1,"Tipologia",$A207),0)
- IFERROR(GETPIVOTDATA("Somma di AVERE",'Pivot Revolut'!$A$3,"Mese",1,"Tipologia",$A207),0)</f>
        <v>0</v>
      </c>
      <c r="D207" s="243">
        <f>IFERROR(GETPIVOTDATA("Somma di DARE EUR",'Pivot RakBank AED'!$A$3,"Mese",2,"Tipologia",$A207),0)
- IFERROR(GETPIVOTDATA("Somma di AVERE EUR",'Pivot RakBank AED'!$A$3,"Mese",2,"Tipologia",$A207),0)
+IFERROR(GETPIVOTDATA("Somma di DARE",'Pivot RakBank EUR'!$A$3,"Mese",2,"Tipologia",$A207),0)
- IFERROR(GETPIVOTDATA("Somma di AVERE",'Pivot RakBank EUR'!$A$3,"Mese",2,"Tipologia",$A207),0)
+IFERROR(GETPIVOTDATA("Somma di DARE",'Pivot Fineco Sa'!$A$3,"Mese",2,"Tipologia",$A207),0)
+ IFERROR(GETPIVOTDATA("Somma di DARE",'Pivot Fineco St'!$A$3,"Mese",2,"Tipologia",$A207),0)
+ Contanti!F69
+ IFERROR(GETPIVOTDATA("Somma di DARE",'Pivot BBVA'!$A$3,"Mese",2,"Tipologia",$A207),0)
+ IFERROR(GETPIVOTDATA("Somma di DARE",'Pivot Amex'!$A$3,"Mese",2,"Tipologia",$A207),0)
- IFERROR(GETPIVOTDATA("Somma di AVERE",'Pivot Amex'!$A$3,"Mese",2,"Tipologia",$A207),0)
- IFERROR(GETPIVOTDATA("Somma di AVERE",'Pivot BBVA'!$A$3,"Mese",2,"Tipologia",$A207),0)
- IFERROR(GETPIVOTDATA("Somma di AVERE",'Pivot Fineco St'!$A$3,"Mese",2,"Tipologia",$A207),0)
- IFERROR(GETPIVOTDATA("Somma di AVERE",'Pivot Fineco Sa'!$A$3,"Mese",2,"Tipologia",$A207),0)
+ IFERROR(GETPIVOTDATA("Somma di DARE",'Pivot PP Visa'!$A$3,"Mese",2,"Tipologia",$A207),0)
- IFERROR(GETPIVOTDATA("Somma di AVERE",'Pivot PP Visa'!$A$3,"Mese",2,"Tipologia",$A207),0)
+ IFERROR(GETPIVOTDATA("Somma di DARE",'Pivot Revolut'!$A$3,"Mese",2,"Tipologia",$A207),0)
- IFERROR(GETPIVOTDATA("Somma di AVERE",'Pivot Revolut'!$A$3,"Mese",2,"Tipologia",$A207),0)</f>
        <v>0</v>
      </c>
      <c r="E207" s="243">
        <f>IFERROR(GETPIVOTDATA("Somma di DARE EUR",'Pivot RakBank AED'!$A$3,"Mese",3,"Tipologia",$A207),0)
- IFERROR(GETPIVOTDATA("Somma di AVERE EUR",'Pivot RakBank AED'!$A$3,"Mese",3,"Tipologia",$A207),0)
+IFERROR(GETPIVOTDATA("Somma di DARE",'Pivot RakBank EUR'!$A$3,"Mese",3,"Tipologia",$A207),0)
- IFERROR(GETPIVOTDATA("Somma di AVERE",'Pivot RakBank EUR'!$A$3,"Mese",3,"Tipologia",$A207),0)
+IFERROR(GETPIVOTDATA("Somma di DARE",'Pivot Fineco Sa'!$A$3,"Mese",3,"Tipologia",$A207),0)
+ IFERROR(GETPIVOTDATA("Somma di DARE",'Pivot Fineco St'!$A$3,"Mese",3,"Tipologia",$A207),0)
+ Contanti!J69
+ IFERROR(GETPIVOTDATA("Somma di DARE",'Pivot BBVA'!$A$3,"Mese",3,"Tipologia",$A207),0)
+ IFERROR(GETPIVOTDATA("Somma di DARE",'Pivot Amex'!$A$3,"Mese",3,"Tipologia",$A207),0)
- IFERROR(GETPIVOTDATA("Somma di AVERE",'Pivot Amex'!$A$3,"Mese",3,"Tipologia",$A207),0)
- IFERROR(GETPIVOTDATA("Somma di AVERE",'Pivot BBVA'!$A$3,"Mese",3,"Tipologia",$A207),0)
- IFERROR(GETPIVOTDATA("Somma di AVERE",'Pivot Fineco St'!$A$3,"Mese",3,"Tipologia",$A207),0)
- IFERROR(GETPIVOTDATA("Somma di AVERE",'Pivot Fineco Sa'!$A$3,"Mese",3,"Tipologia",$A207),0)
+ IFERROR(GETPIVOTDATA("Somma di DARE",'Pivot PP Visa'!$A$3,"Mese",3,"Tipologia",$A207),0)
- IFERROR(GETPIVOTDATA("Somma di AVERE",'Pivot PP Visa'!$A$3,"Mese",3,"Tipologia",$A207),0)
+ IFERROR(GETPIVOTDATA("Somma di DARE",'Pivot Revolut'!$A$3,"Mese",3,"Tipologia",$A207),0)
- IFERROR(GETPIVOTDATA("Somma di AVERE",'Pivot Revolut'!$A$3,"Mese",3,"Tipologia",$A207),0)</f>
        <v>0</v>
      </c>
      <c r="F207" s="243">
        <f>IFERROR(GETPIVOTDATA("Somma di DARE EUR",'Pivot RakBank AED'!$A$3,"Mese",4,"Tipologia",$A207),0)
- IFERROR(GETPIVOTDATA("Somma di AVERE EUR",'Pivot RakBank AED'!$A$3,"Mese",4,"Tipologia",$A207),0)
+IFERROR(GETPIVOTDATA("Somma di DARE",'Pivot RakBank EUR'!$A$3,"Mese",4,"Tipologia",$A207),0)
- IFERROR(GETPIVOTDATA("Somma di AVERE",'Pivot RakBank EUR'!$A$3,"Mese",4,"Tipologia",$A207),0)
+IFERROR(GETPIVOTDATA("Somma di DARE",'Pivot Fineco Sa'!$A$3,"Mese",4,"Tipologia",$A207),0)
+ IFERROR(GETPIVOTDATA("Somma di DARE",'Pivot Fineco St'!$A$3,"Mese",4,"Tipologia",$A207),0)
+ Contanti!N69
+ IFERROR(GETPIVOTDATA("Somma di DARE",'Pivot BBVA'!$A$3,"Mese",4,"Tipologia",$A207),0)
+ IFERROR(GETPIVOTDATA("Somma di DARE",'Pivot Amex'!$A$3,"Mese",4,"Tipologia",$A207),0)
- IFERROR(GETPIVOTDATA("Somma di AVERE",'Pivot Amex'!$A$3,"Mese",4,"Tipologia",$A207),0)
- IFERROR(GETPIVOTDATA("Somma di AVERE",'Pivot BBVA'!$A$3,"Mese",4,"Tipologia",$A207),0)
- IFERROR(GETPIVOTDATA("Somma di AVERE",'Pivot Fineco St'!$A$3,"Mese",4,"Tipologia",$A207),0)
- IFERROR(GETPIVOTDATA("Somma di AVERE",'Pivot Fineco Sa'!$A$3,"Mese",4,"Tipologia",$A207),0)
+ IFERROR(GETPIVOTDATA("Somma di DARE",'Pivot PP Visa'!$A$3,"Mese",4,"Tipologia",$A207),0)
- IFERROR(GETPIVOTDATA("Somma di AVERE",'Pivot PP Visa'!$A$3,"Mese",4,"Tipologia",$A207),0)
+ IFERROR(GETPIVOTDATA("Somma di DARE",'Pivot Revolut'!$A$3,"Mese",4,"Tipologia",$A207),0)
- IFERROR(GETPIVOTDATA("Somma di AVERE",'Pivot Revolut'!$A$3,"Mese",4,"Tipologia",$A207),0)</f>
        <v>0</v>
      </c>
      <c r="G207" s="243">
        <f>IFERROR(GETPIVOTDATA("Somma di DARE EUR",'Pivot RakBank AED'!$A$3,"Mese",5,"Tipologia",$A207),0)
- IFERROR(GETPIVOTDATA("Somma di AVERE EUR",'Pivot RakBank AED'!$A$3,"Mese",5,"Tipologia",$A207),0)
+IFERROR(GETPIVOTDATA("Somma di DARE",'Pivot RakBank EUR'!$A$3,"Mese",5,"Tipologia",$A207),0)
- IFERROR(GETPIVOTDATA("Somma di AVERE",'Pivot RakBank EUR'!$A$3,"Mese",5,"Tipologia",$A207),0)
+IFERROR(GETPIVOTDATA("Somma di DARE",'Pivot Fineco Sa'!$A$3,"Mese",5,"Tipologia",$A207),0)
+ IFERROR(GETPIVOTDATA("Somma di DARE",'Pivot Fineco St'!$A$3,"Mese",5,"Tipologia",$A207),0)
+ Contanti!R69
+ IFERROR(GETPIVOTDATA("Somma di DARE",'Pivot BBVA'!$A$3,"Mese",5,"Tipologia",$A207),0)
+ IFERROR(GETPIVOTDATA("Somma di DARE",'Pivot Amex'!$A$3,"Mese",5,"Tipologia",$A207),0)
- IFERROR(GETPIVOTDATA("Somma di AVERE",'Pivot Amex'!$A$3,"Mese",5,"Tipologia",$A207),0)
- IFERROR(GETPIVOTDATA("Somma di AVERE",'Pivot BBVA'!$A$3,"Mese",5,"Tipologia",$A207),0)
- IFERROR(GETPIVOTDATA("Somma di AVERE",'Pivot Fineco St'!$A$3,"Mese",5,"Tipologia",$A207),0)
- IFERROR(GETPIVOTDATA("Somma di AVERE",'Pivot Fineco Sa'!$A$3,"Mese",5,"Tipologia",$A207),0)
+ IFERROR(GETPIVOTDATA("Somma di DARE",'Pivot PP Visa'!$A$3,"Mese",5,"Tipologia",$A207),0)
- IFERROR(GETPIVOTDATA("Somma di AVERE",'Pivot PP Visa'!$A$3,"Mese",5,"Tipologia",$A207),0)
+ IFERROR(GETPIVOTDATA("Somma di DARE",'Pivot Revolut'!$A$3,"Mese",5,"Tipologia",$A207),0)
- IFERROR(GETPIVOTDATA("Somma di AVERE",'Pivot Revolut'!$A$3,"Mese",5,"Tipologia",$A207),0)</f>
        <v>0</v>
      </c>
      <c r="H207" s="243">
        <f>IFERROR(GETPIVOTDATA("Somma di DARE EUR",'Pivot RakBank AED'!$A$3,"Mese",6,"Tipologia",$A207),0)
- IFERROR(GETPIVOTDATA("Somma di AVERE EUR",'Pivot RakBank AED'!$A$3,"Mese",6,"Tipologia",$A207),0)
+IFERROR(GETPIVOTDATA("Somma di DARE",'Pivot RakBank EUR'!$A$3,"Mese",6,"Tipologia",$A207),0)
- IFERROR(GETPIVOTDATA("Somma di AVERE",'Pivot RakBank EUR'!$A$3,"Mese",6,"Tipologia",$A207),0)
+IFERROR(GETPIVOTDATA("Somma di DARE",'Pivot Fineco Sa'!$A$3,"Mese",6,"Tipologia",$A207),0)
+ IFERROR(GETPIVOTDATA("Somma di DARE",'Pivot Fineco St'!$A$3,"Mese",6,"Tipologia",$A207),0)
+ Contanti!V69
+ IFERROR(GETPIVOTDATA("Somma di DARE",'Pivot BBVA'!$A$3,"Mese",6,"Tipologia",$A207),0)
+ IFERROR(GETPIVOTDATA("Somma di DARE",'Pivot Amex'!$A$3,"Mese",6,"Tipologia",$A207),0)
- IFERROR(GETPIVOTDATA("Somma di AVERE",'Pivot Amex'!$A$3,"Mese",6,"Tipologia",$A207),0)
- IFERROR(GETPIVOTDATA("Somma di AVERE",'Pivot BBVA'!$A$3,"Mese",6,"Tipologia",$A207),0)
- IFERROR(GETPIVOTDATA("Somma di AVERE",'Pivot Fineco St'!$A$3,"Mese",6,"Tipologia",$A207),0)
- IFERROR(GETPIVOTDATA("Somma di AVERE",'Pivot Fineco Sa'!$A$3,"Mese",6,"Tipologia",$A207),0)
+ IFERROR(GETPIVOTDATA("Somma di DARE",'Pivot PP Visa'!$A$3,"Mese",6,"Tipologia",$A207),0)
- IFERROR(GETPIVOTDATA("Somma di AVERE",'Pivot PP Visa'!$A$3,"Mese",6,"Tipologia",$A207),0)
+ IFERROR(GETPIVOTDATA("Somma di DARE",'Pivot Revolut'!$A$3,"Mese",6,"Tipologia",$A207),0)
- IFERROR(GETPIVOTDATA("Somma di AVERE",'Pivot Revolut'!$A$3,"Mese",6,"Tipologia",$A207),0)</f>
        <v>0</v>
      </c>
      <c r="I207" s="243">
        <f>IFERROR(GETPIVOTDATA("Somma di DARE EUR",'Pivot RakBank AED'!$A$3,"Mese",7,"Tipologia",$A207),0)
- IFERROR(GETPIVOTDATA("Somma di AVERE EUR",'Pivot RakBank AED'!$A$3,"Mese",7,"Tipologia",$A207),0)
+IFERROR(GETPIVOTDATA("Somma di DARE",'Pivot RakBank EUR'!$A$3,"Mese",7,"Tipologia",$A207),0)
- IFERROR(GETPIVOTDATA("Somma di AVERE",'Pivot RakBank EUR'!$A$3,"Mese",7,"Tipologia",$A207),0)
+IFERROR(GETPIVOTDATA("Somma di DARE",'Pivot Fineco Sa'!$A$3,"Mese",7,"Tipologia",$A207),0)
+ IFERROR(GETPIVOTDATA("Somma di DARE",'Pivot Fineco St'!$A$3,"Mese",7,"Tipologia",$A207),0)
+ Contanti!Z69
+ IFERROR(GETPIVOTDATA("Somma di DARE",'Pivot BBVA'!$A$3,"Mese",7,"Tipologia",$A207),0)
+ IFERROR(GETPIVOTDATA("Somma di DARE",'Pivot Amex'!$A$3,"Mese",7,"Tipologia",$A207),0)
- IFERROR(GETPIVOTDATA("Somma di AVERE",'Pivot Amex'!$A$3,"Mese",7,"Tipologia",$A207),0)
- IFERROR(GETPIVOTDATA("Somma di AVERE",'Pivot BBVA'!$A$3,"Mese",7,"Tipologia",$A207),0)
- IFERROR(GETPIVOTDATA("Somma di AVERE",'Pivot Fineco St'!$A$3,"Mese",7,"Tipologia",$A207),0)
- IFERROR(GETPIVOTDATA("Somma di AVERE",'Pivot Fineco Sa'!$A$3,"Mese",7,"Tipologia",$A207),0)
+ IFERROR(GETPIVOTDATA("Somma di DARE",'Pivot PP Visa'!$A$3,"Mese",7,"Tipologia",$A207),0)
- IFERROR(GETPIVOTDATA("Somma di AVERE",'Pivot PP Visa'!$A$3,"Mese",7,"Tipologia",$A207),0)
+ IFERROR(GETPIVOTDATA("Somma di DARE",'Pivot Revolut'!$A$3,"Mese",7,"Tipologia",$A207),0)
- IFERROR(GETPIVOTDATA("Somma di AVERE",'Pivot Revolut'!$A$3,"Mese",7,"Tipologia",$A207),0)</f>
        <v>0</v>
      </c>
      <c r="J207" s="243">
        <f>IFERROR(GETPIVOTDATA("Somma di DARE EUR",'Pivot RakBank AED'!$A$3,"Mese",8,"Tipologia",$A207),0)
- IFERROR(GETPIVOTDATA("Somma di AVERE EUR",'Pivot RakBank AED'!$A$3,"Mese",8,"Tipologia",$A207),0)
+IFERROR(GETPIVOTDATA("Somma di DARE",'Pivot RakBank EUR'!$A$3,"Mese",8,"Tipologia",$A207),0)
- IFERROR(GETPIVOTDATA("Somma di AVERE",'Pivot RakBank EUR'!$A$3,"Mese",8,"Tipologia",$A207),0)
+IFERROR(GETPIVOTDATA("Somma di DARE",'Pivot Fineco Sa'!$A$3,"Mese",8,"Tipologia",$A207),0)
+ IFERROR(GETPIVOTDATA("Somma di DARE",'Pivot Fineco St'!$A$3,"Mese",8,"Tipologia",$A207),0)
+ Contanti!AD69
+ IFERROR(GETPIVOTDATA("Somma di DARE",'Pivot BBVA'!$A$3,"Mese",8,"Tipologia",$A207),0)
+ IFERROR(GETPIVOTDATA("Somma di DARE",'Pivot Amex'!$A$3,"Mese",8,"Tipologia",$A207),0)
- IFERROR(GETPIVOTDATA("Somma di AVERE",'Pivot Amex'!$A$3,"Mese",8,"Tipologia",$A207),0)
- IFERROR(GETPIVOTDATA("Somma di AVERE",'Pivot BBVA'!$A$3,"Mese",8,"Tipologia",$A207),0)
- IFERROR(GETPIVOTDATA("Somma di AVERE",'Pivot Fineco St'!$A$3,"Mese",8,"Tipologia",$A207),0)
- IFERROR(GETPIVOTDATA("Somma di AVERE",'Pivot Fineco Sa'!$A$3,"Mese",8,"Tipologia",$A207),0)
+ IFERROR(GETPIVOTDATA("Somma di DARE",'Pivot PP Visa'!$A$3,"Mese",8,"Tipologia",$A207),0)
- IFERROR(GETPIVOTDATA("Somma di AVERE",'Pivot PP Visa'!$A$3,"Mese",8,"Tipologia",$A207),0)
+ IFERROR(GETPIVOTDATA("Somma di DARE",'Pivot Revolut'!$A$3,"Mese",8,"Tipologia",$A207),0)
- IFERROR(GETPIVOTDATA("Somma di AVERE",'Pivot Revolut'!$A$3,"Mese",8,"Tipologia",$A207),0)</f>
        <v>0</v>
      </c>
      <c r="K207" s="243">
        <f>IFERROR(GETPIVOTDATA("Somma di DARE EUR",'Pivot RakBank AED'!$A$3,"Mese",9,"Tipologia",$A207),0)
- IFERROR(GETPIVOTDATA("Somma di AVERE EUR",'Pivot RakBank AED'!$A$3,"Mese",9,"Tipologia",$A207),0)
+IFERROR(GETPIVOTDATA("Somma di DARE",'Pivot RakBank EUR'!$A$3,"Mese",9,"Tipologia",$A207),0)
- IFERROR(GETPIVOTDATA("Somma di AVERE",'Pivot RakBank EUR'!$A$3,"Mese",9,"Tipologia",$A207),0)
+IFERROR(GETPIVOTDATA("Somma di DARE",'Pivot Fineco Sa'!$A$3,"Mese",9,"Tipologia",$A207),0)
+ IFERROR(GETPIVOTDATA("Somma di DARE",'Pivot Fineco St'!$A$3,"Mese",9,"Tipologia",$A207),0)
+ Contanti!AH69
+ IFERROR(GETPIVOTDATA("Somma di DARE",'Pivot BBVA'!$A$3,"Mese",9,"Tipologia",$A207),0)
+ IFERROR(GETPIVOTDATA("Somma di DARE",'Pivot Amex'!$A$3,"Mese",9,"Tipologia",$A207),0)
- IFERROR(GETPIVOTDATA("Somma di AVERE",'Pivot Amex'!$A$3,"Mese",9,"Tipologia",$A207),0)
- IFERROR(GETPIVOTDATA("Somma di AVERE",'Pivot BBVA'!$A$3,"Mese",9,"Tipologia",$A207),0)
- IFERROR(GETPIVOTDATA("Somma di AVERE",'Pivot Fineco St'!$A$3,"Mese",9,"Tipologia",$A207),0)
- IFERROR(GETPIVOTDATA("Somma di AVERE",'Pivot Fineco Sa'!$A$3,"Mese",9,"Tipologia",$A207),0)
+ IFERROR(GETPIVOTDATA("Somma di DARE",'Pivot PP Visa'!$A$3,"Mese",9,"Tipologia",$A207),0)
- IFERROR(GETPIVOTDATA("Somma di AVERE",'Pivot PP Visa'!$A$3,"Mese",9,"Tipologia",$A207),0)
+ IFERROR(GETPIVOTDATA("Somma di DARE",'Pivot Revolut'!$A$3,"Mese",9,"Tipologia",$A207),0)
- IFERROR(GETPIVOTDATA("Somma di AVERE",'Pivot Revolut'!$A$3,"Mese",9,"Tipologia",$A207),0)</f>
        <v>0</v>
      </c>
      <c r="L207" s="243">
        <f>IFERROR(GETPIVOTDATA("Somma di DARE EUR",'Pivot RakBank AED'!$A$3,"Mese",10,"Tipologia",$A207),0)
- IFERROR(GETPIVOTDATA("Somma di AVERE EUR",'Pivot RakBank AED'!$A$3,"Mese",10,"Tipologia",$A207),0)
+IFERROR(GETPIVOTDATA("Somma di DARE",'Pivot RakBank EUR'!$A$3,"Mese",10,"Tipologia",$A207),0)
- IFERROR(GETPIVOTDATA("Somma di AVERE",'Pivot RakBank EUR'!$A$3,"Mese",10,"Tipologia",$A207),0)
+IFERROR(GETPIVOTDATA("Somma di DARE",'Pivot Fineco Sa'!$A$3,"Mese",10,"Tipologia",$A207),0)
+ IFERROR(GETPIVOTDATA("Somma di DARE",'Pivot Fineco St'!$A$3,"Mese",10,"Tipologia",$A207),0)
+ Contanti!AL69
+ IFERROR(GETPIVOTDATA("Somma di DARE",'Pivot BBVA'!$A$3,"Mese",10,"Tipologia",$A207),0)
+ IFERROR(GETPIVOTDATA("Somma di DARE",'Pivot Amex'!$A$3,"Mese",10,"Tipologia",$A207),0)
- IFERROR(GETPIVOTDATA("Somma di AVERE",'Pivot Amex'!$A$3,"Mese",10,"Tipologia",$A207),0)
- IFERROR(GETPIVOTDATA("Somma di AVERE",'Pivot BBVA'!$A$3,"Mese",10,"Tipologia",$A207),0)
- IFERROR(GETPIVOTDATA("Somma di AVERE",'Pivot Fineco St'!$A$3,"Mese",10,"Tipologia",$A207),0)
- IFERROR(GETPIVOTDATA("Somma di AVERE",'Pivot Fineco Sa'!$A$3,"Mese",10,"Tipologia",$A207),0)
+ IFERROR(GETPIVOTDATA("Somma di DARE",'Pivot PP Visa'!$A$3,"Mese",10,"Tipologia",$A207),0)
- IFERROR(GETPIVOTDATA("Somma di AVERE",'Pivot PP Visa'!$A$3,"Mese",10,"Tipologia",$A207),0)
+ IFERROR(GETPIVOTDATA("Somma di DARE",'Pivot Revolut'!$A$3,"Mese",10,"Tipologia",$A207),0)
- IFERROR(GETPIVOTDATA("Somma di AVERE",'Pivot Revolut'!$A$3,"Mese",10,"Tipologia",$A207),0)</f>
        <v>0</v>
      </c>
      <c r="M207" s="243">
        <f>IFERROR(GETPIVOTDATA("Somma di DARE EUR",'Pivot RakBank AED'!$A$3,"Mese",11,"Tipologia",$A207),0)
- IFERROR(GETPIVOTDATA("Somma di AVERE EUR",'Pivot RakBank AED'!$A$3,"Mese",11,"Tipologia",$A207),0)
+IFERROR(GETPIVOTDATA("Somma di DARE",'Pivot RakBank EUR'!$A$3,"Mese",11,"Tipologia",$A207),0)
- IFERROR(GETPIVOTDATA("Somma di AVERE",'Pivot RakBank EUR'!$A$3,"Mese",11,"Tipologia",$A207),0)
+IFERROR(GETPIVOTDATA("Somma di DARE",'Pivot Fineco Sa'!$A$3,"Mese",11,"Tipologia",$A207),0)
+ IFERROR(GETPIVOTDATA("Somma di DARE",'Pivot Fineco St'!$A$3,"Mese",11,"Tipologia",$A207),0)
+ Contanti!AP69
+ IFERROR(GETPIVOTDATA("Somma di DARE",'Pivot BBVA'!$A$3,"Mese",11,"Tipologia",$A207),0)
+ IFERROR(GETPIVOTDATA("Somma di DARE",'Pivot Amex'!$A$3,"Mese",11,"Tipologia",$A207),0)
- IFERROR(GETPIVOTDATA("Somma di AVERE",'Pivot Amex'!$A$3,"Mese",11,"Tipologia",$A207),0)
- IFERROR(GETPIVOTDATA("Somma di AVERE",'Pivot BBVA'!$A$3,"Mese",11,"Tipologia",$A207),0)
- IFERROR(GETPIVOTDATA("Somma di AVERE",'Pivot Fineco St'!$A$3,"Mese",11,"Tipologia",$A207),0)
- IFERROR(GETPIVOTDATA("Somma di AVERE",'Pivot Fineco Sa'!$A$3,"Mese",11,"Tipologia",$A207),0)
+ IFERROR(GETPIVOTDATA("Somma di DARE",'Pivot PP Visa'!$A$3,"Mese",11,"Tipologia",$A207),0)
- IFERROR(GETPIVOTDATA("Somma di AVERE",'Pivot PP Visa'!$A$3,"Mese",11,"Tipologia",$A207),0)
+ IFERROR(GETPIVOTDATA("Somma di DARE",'Pivot Revolut'!$A$3,"Mese",11,"Tipologia",$A207),0)
- IFERROR(GETPIVOTDATA("Somma di AVERE",'Pivot Revolut'!$A$3,"Mese",11,"Tipologia",$A207),0)</f>
        <v>0</v>
      </c>
      <c r="N207" s="243">
        <f>IFERROR(GETPIVOTDATA("Somma di DARE EUR",'Pivot RakBank AED'!$A$3,"Mese",12,"Tipologia",$A207),0)
- IFERROR(GETPIVOTDATA("Somma di AVERE EUR",'Pivot RakBank AED'!$A$3,"Mese",12,"Tipologia",$A207),0)
+IFERROR(GETPIVOTDATA("Somma di DARE",'Pivot RakBank EUR'!$A$3,"Mese",12,"Tipologia",$A207),0)
- IFERROR(GETPIVOTDATA("Somma di AVERE",'Pivot RakBank EUR'!$A$3,"Mese",12,"Tipologia",$A207),0)
+IFERROR(GETPIVOTDATA("Somma di DARE",'Pivot Fineco Sa'!$A$3,"Mese",12,"Tipologia",$A207),0)
+ IFERROR(GETPIVOTDATA("Somma di DARE",'Pivot Fineco St'!$A$3,"Mese",12,"Tipologia",$A207),0)
+ Contanti!AT69
+ IFERROR(GETPIVOTDATA("Somma di DARE",'Pivot BBVA'!$A$3,"Mese",12,"Tipologia",$A207),0)
+ IFERROR(GETPIVOTDATA("Somma di DARE",'Pivot Amex'!$A$3,"Mese",12,"Tipologia",$A207),0)
- IFERROR(GETPIVOTDATA("Somma di AVERE",'Pivot Amex'!$A$3,"Mese",12,"Tipologia",$A207),0)
- IFERROR(GETPIVOTDATA("Somma di AVERE",'Pivot BBVA'!$A$3,"Mese",12,"Tipologia",$A207),0)
- IFERROR(GETPIVOTDATA("Somma di AVERE",'Pivot Fineco St'!$A$3,"Mese",12,"Tipologia",$A207),0)
- IFERROR(GETPIVOTDATA("Somma di AVERE",'Pivot Fineco Sa'!$A$3,"Mese",12,"Tipologia",$A207),0)
+ IFERROR(GETPIVOTDATA("Somma di DARE",'Pivot PP Visa'!$A$3,"Mese",12,"Tipologia",$A207),0)
- IFERROR(GETPIVOTDATA("Somma di AVERE",'Pivot PP Visa'!$A$3,"Mese",12,"Tipologia",$A207),0)
+ IFERROR(GETPIVOTDATA("Somma di DARE",'Pivot Revolut'!$A$3,"Mese",12,"Tipologia",$A207),0)
- IFERROR(GETPIVOTDATA("Somma di AVERE",'Pivot Revolut'!$A$3,"Mese",12,"Tipologia",$A207),0)</f>
        <v>0</v>
      </c>
      <c r="O207" s="252">
        <f>SUM(C207:N207)</f>
        <v>0</v>
      </c>
      <c r="P207" s="243">
        <f t="shared" ref="P207:P209" ca="1" si="33">O207/(MONTH(TODAY()))</f>
        <v>0</v>
      </c>
    </row>
    <row r="208" spans="1:16" s="125" customFormat="1" ht="21" customHeight="1" x14ac:dyDescent="0.2">
      <c r="A208" s="251" t="s">
        <v>82</v>
      </c>
      <c r="B208" s="251"/>
      <c r="C208" s="243">
        <f>IFERROR(GETPIVOTDATA("Somma di DARE EUR",'Pivot RakBank AED'!$A$3,"Mese",1,"Tipologia",$A208),0)
- IFERROR(GETPIVOTDATA("Somma di AVERE EUR",'Pivot RakBank AED'!$A$3,"Mese",1,"Tipologia",$A208),0)
+IFERROR(GETPIVOTDATA("Somma di DARE",'Pivot RakBank EUR'!$A$3,"Mese",1,"Tipologia",$A208),0)
- IFERROR(GETPIVOTDATA("Somma di AVERE",'Pivot RakBank EUR'!$A$3,"Mese",1,"Tipologia",$A208),0)
+IFERROR(GETPIVOTDATA("Somma di DARE",'Pivot Fineco Sa'!$A$3,"Mese",1,"Tipologia",$A208),0)
+ IFERROR(GETPIVOTDATA("Somma di DARE",'Pivot Fineco St'!$A$3,"Mese",1,"Tipologia",$A208),0)
+ Contanti!B70
+ IFERROR(GETPIVOTDATA("Somma di DARE",'Pivot BBVA'!$A$3,"Mese",1,"Tipologia",$A208),0)
+ IFERROR(GETPIVOTDATA("Somma di DARE",'Pivot Amex'!$A$3,"Mese",1,"Tipologia",$A208),0)
- IFERROR(GETPIVOTDATA("Somma di AVERE",'Pivot Amex'!$A$3,"Mese",1,"Tipologia",$A208),0)
- IFERROR(GETPIVOTDATA("Somma di AVERE",'Pivot BBVA'!$A$3,"Mese",1,"Tipologia",$A208),0)
- IFERROR(GETPIVOTDATA("Somma di AVERE",'Pivot Fineco St'!$A$3,"Mese",1,"Tipologia",$A208),0)
- IFERROR(GETPIVOTDATA("Somma di AVERE",'Pivot Fineco Sa'!$A$3,"Mese",1,"Tipologia",$A208),0)
+ IFERROR(GETPIVOTDATA("Somma di DARE",'Pivot PP Visa'!$A$3,"Mese",1,"Tipologia",$A208),0)
- IFERROR(GETPIVOTDATA("Somma di AVERE",'Pivot PP Visa'!$A$3,"Mese",1,"Tipologia",$A208),0)
+ IFERROR(GETPIVOTDATA("Somma di DARE",'Pivot Revolut'!$A$3,"Mese",1,"Tipologia",$A208),0)
- IFERROR(GETPIVOTDATA("Somma di AVERE",'Pivot Revolut'!$A$3,"Mese",1,"Tipologia",$A208),0)</f>
        <v>663.75</v>
      </c>
      <c r="D208" s="243">
        <f>IFERROR(GETPIVOTDATA("Somma di DARE EUR",'Pivot RakBank AED'!$A$3,"Mese",2,"Tipologia",$A208),0)
- IFERROR(GETPIVOTDATA("Somma di AVERE EUR",'Pivot RakBank AED'!$A$3,"Mese",2,"Tipologia",$A208),0)
+IFERROR(GETPIVOTDATA("Somma di DARE",'Pivot RakBank EUR'!$A$3,"Mese",2,"Tipologia",$A208),0)
- IFERROR(GETPIVOTDATA("Somma di AVERE",'Pivot RakBank EUR'!$A$3,"Mese",2,"Tipologia",$A208),0)
+IFERROR(GETPIVOTDATA("Somma di DARE",'Pivot Fineco Sa'!$A$3,"Mese",2,"Tipologia",$A208),0)
+ IFERROR(GETPIVOTDATA("Somma di DARE",'Pivot Fineco St'!$A$3,"Mese",2,"Tipologia",$A208),0)
+ Contanti!F70
+ IFERROR(GETPIVOTDATA("Somma di DARE",'Pivot BBVA'!$A$3,"Mese",2,"Tipologia",$A208),0)
+ IFERROR(GETPIVOTDATA("Somma di DARE",'Pivot Amex'!$A$3,"Mese",2,"Tipologia",$A208),0)
- IFERROR(GETPIVOTDATA("Somma di AVERE",'Pivot Amex'!$A$3,"Mese",2,"Tipologia",$A208),0)
- IFERROR(GETPIVOTDATA("Somma di AVERE",'Pivot BBVA'!$A$3,"Mese",2,"Tipologia",$A208),0)
- IFERROR(GETPIVOTDATA("Somma di AVERE",'Pivot Fineco St'!$A$3,"Mese",2,"Tipologia",$A208),0)
- IFERROR(GETPIVOTDATA("Somma di AVERE",'Pivot Fineco Sa'!$A$3,"Mese",2,"Tipologia",$A208),0)
+ IFERROR(GETPIVOTDATA("Somma di DARE",'Pivot PP Visa'!$A$3,"Mese",2,"Tipologia",$A208),0)
- IFERROR(GETPIVOTDATA("Somma di AVERE",'Pivot PP Visa'!$A$3,"Mese",2,"Tipologia",$A208),0)
+ IFERROR(GETPIVOTDATA("Somma di DARE",'Pivot Revolut'!$A$3,"Mese",2,"Tipologia",$A208),0)
- IFERROR(GETPIVOTDATA("Somma di AVERE",'Pivot Revolut'!$A$3,"Mese",2,"Tipologia",$A208),0)</f>
        <v>0</v>
      </c>
      <c r="E208" s="243">
        <f>IFERROR(GETPIVOTDATA("Somma di DARE EUR",'Pivot RakBank AED'!$A$3,"Mese",3,"Tipologia",$A208),0)
- IFERROR(GETPIVOTDATA("Somma di AVERE EUR",'Pivot RakBank AED'!$A$3,"Mese",3,"Tipologia",$A208),0)
+IFERROR(GETPIVOTDATA("Somma di DARE",'Pivot RakBank EUR'!$A$3,"Mese",3,"Tipologia",$A208),0)
- IFERROR(GETPIVOTDATA("Somma di AVERE",'Pivot RakBank EUR'!$A$3,"Mese",3,"Tipologia",$A208),0)
+IFERROR(GETPIVOTDATA("Somma di DARE",'Pivot Fineco Sa'!$A$3,"Mese",3,"Tipologia",$A208),0)
+ IFERROR(GETPIVOTDATA("Somma di DARE",'Pivot Fineco St'!$A$3,"Mese",3,"Tipologia",$A208),0)
+ Contanti!J70
+ IFERROR(GETPIVOTDATA("Somma di DARE",'Pivot BBVA'!$A$3,"Mese",3,"Tipologia",$A208),0)
+ IFERROR(GETPIVOTDATA("Somma di DARE",'Pivot Amex'!$A$3,"Mese",3,"Tipologia",$A208),0)
- IFERROR(GETPIVOTDATA("Somma di AVERE",'Pivot Amex'!$A$3,"Mese",3,"Tipologia",$A208),0)
- IFERROR(GETPIVOTDATA("Somma di AVERE",'Pivot BBVA'!$A$3,"Mese",3,"Tipologia",$A208),0)
- IFERROR(GETPIVOTDATA("Somma di AVERE",'Pivot Fineco St'!$A$3,"Mese",3,"Tipologia",$A208),0)
- IFERROR(GETPIVOTDATA("Somma di AVERE",'Pivot Fineco Sa'!$A$3,"Mese",3,"Tipologia",$A208),0)
+ IFERROR(GETPIVOTDATA("Somma di DARE",'Pivot PP Visa'!$A$3,"Mese",3,"Tipologia",$A208),0)
- IFERROR(GETPIVOTDATA("Somma di AVERE",'Pivot PP Visa'!$A$3,"Mese",3,"Tipologia",$A208),0)
+ IFERROR(GETPIVOTDATA("Somma di DARE",'Pivot Revolut'!$A$3,"Mese",3,"Tipologia",$A208),0)
- IFERROR(GETPIVOTDATA("Somma di AVERE",'Pivot Revolut'!$A$3,"Mese",3,"Tipologia",$A208),0)</f>
        <v>0</v>
      </c>
      <c r="F208" s="243">
        <f>IFERROR(GETPIVOTDATA("Somma di DARE EUR",'Pivot RakBank AED'!$A$3,"Mese",4,"Tipologia",$A208),0)
- IFERROR(GETPIVOTDATA("Somma di AVERE EUR",'Pivot RakBank AED'!$A$3,"Mese",4,"Tipologia",$A208),0)
+IFERROR(GETPIVOTDATA("Somma di DARE",'Pivot RakBank EUR'!$A$3,"Mese",4,"Tipologia",$A208),0)
- IFERROR(GETPIVOTDATA("Somma di AVERE",'Pivot RakBank EUR'!$A$3,"Mese",4,"Tipologia",$A208),0)
+IFERROR(GETPIVOTDATA("Somma di DARE",'Pivot Fineco Sa'!$A$3,"Mese",4,"Tipologia",$A208),0)
+ IFERROR(GETPIVOTDATA("Somma di DARE",'Pivot Fineco St'!$A$3,"Mese",4,"Tipologia",$A208),0)
+ Contanti!N70
+ IFERROR(GETPIVOTDATA("Somma di DARE",'Pivot BBVA'!$A$3,"Mese",4,"Tipologia",$A208),0)
+ IFERROR(GETPIVOTDATA("Somma di DARE",'Pivot Amex'!$A$3,"Mese",4,"Tipologia",$A208),0)
- IFERROR(GETPIVOTDATA("Somma di AVERE",'Pivot Amex'!$A$3,"Mese",4,"Tipologia",$A208),0)
- IFERROR(GETPIVOTDATA("Somma di AVERE",'Pivot BBVA'!$A$3,"Mese",4,"Tipologia",$A208),0)
- IFERROR(GETPIVOTDATA("Somma di AVERE",'Pivot Fineco St'!$A$3,"Mese",4,"Tipologia",$A208),0)
- IFERROR(GETPIVOTDATA("Somma di AVERE",'Pivot Fineco Sa'!$A$3,"Mese",4,"Tipologia",$A208),0)
+ IFERROR(GETPIVOTDATA("Somma di DARE",'Pivot PP Visa'!$A$3,"Mese",4,"Tipologia",$A208),0)
- IFERROR(GETPIVOTDATA("Somma di AVERE",'Pivot PP Visa'!$A$3,"Mese",4,"Tipologia",$A208),0)
+ IFERROR(GETPIVOTDATA("Somma di DARE",'Pivot Revolut'!$A$3,"Mese",4,"Tipologia",$A208),0)
- IFERROR(GETPIVOTDATA("Somma di AVERE",'Pivot Revolut'!$A$3,"Mese",4,"Tipologia",$A208),0)</f>
        <v>663.75</v>
      </c>
      <c r="G208" s="243">
        <f>IFERROR(GETPIVOTDATA("Somma di DARE EUR",'Pivot RakBank AED'!$A$3,"Mese",5,"Tipologia",$A208),0)
- IFERROR(GETPIVOTDATA("Somma di AVERE EUR",'Pivot RakBank AED'!$A$3,"Mese",5,"Tipologia",$A208),0)
+IFERROR(GETPIVOTDATA("Somma di DARE",'Pivot RakBank EUR'!$A$3,"Mese",5,"Tipologia",$A208),0)
- IFERROR(GETPIVOTDATA("Somma di AVERE",'Pivot RakBank EUR'!$A$3,"Mese",5,"Tipologia",$A208),0)
+IFERROR(GETPIVOTDATA("Somma di DARE",'Pivot Fineco Sa'!$A$3,"Mese",5,"Tipologia",$A208),0)
+ IFERROR(GETPIVOTDATA("Somma di DARE",'Pivot Fineco St'!$A$3,"Mese",5,"Tipologia",$A208),0)
+ Contanti!R70
+ IFERROR(GETPIVOTDATA("Somma di DARE",'Pivot BBVA'!$A$3,"Mese",5,"Tipologia",$A208),0)
+ IFERROR(GETPIVOTDATA("Somma di DARE",'Pivot Amex'!$A$3,"Mese",5,"Tipologia",$A208),0)
- IFERROR(GETPIVOTDATA("Somma di AVERE",'Pivot Amex'!$A$3,"Mese",5,"Tipologia",$A208),0)
- IFERROR(GETPIVOTDATA("Somma di AVERE",'Pivot BBVA'!$A$3,"Mese",5,"Tipologia",$A208),0)
- IFERROR(GETPIVOTDATA("Somma di AVERE",'Pivot Fineco St'!$A$3,"Mese",5,"Tipologia",$A208),0)
- IFERROR(GETPIVOTDATA("Somma di AVERE",'Pivot Fineco Sa'!$A$3,"Mese",5,"Tipologia",$A208),0)
+ IFERROR(GETPIVOTDATA("Somma di DARE",'Pivot PP Visa'!$A$3,"Mese",5,"Tipologia",$A208),0)
- IFERROR(GETPIVOTDATA("Somma di AVERE",'Pivot PP Visa'!$A$3,"Mese",5,"Tipologia",$A208),0)
+ IFERROR(GETPIVOTDATA("Somma di DARE",'Pivot Revolut'!$A$3,"Mese",5,"Tipologia",$A208),0)
- IFERROR(GETPIVOTDATA("Somma di AVERE",'Pivot Revolut'!$A$3,"Mese",5,"Tipologia",$A208),0)</f>
        <v>0</v>
      </c>
      <c r="H208" s="243">
        <f>IFERROR(GETPIVOTDATA("Somma di DARE EUR",'Pivot RakBank AED'!$A$3,"Mese",6,"Tipologia",$A208),0)
- IFERROR(GETPIVOTDATA("Somma di AVERE EUR",'Pivot RakBank AED'!$A$3,"Mese",6,"Tipologia",$A208),0)
+IFERROR(GETPIVOTDATA("Somma di DARE",'Pivot RakBank EUR'!$A$3,"Mese",6,"Tipologia",$A208),0)
- IFERROR(GETPIVOTDATA("Somma di AVERE",'Pivot RakBank EUR'!$A$3,"Mese",6,"Tipologia",$A208),0)
+IFERROR(GETPIVOTDATA("Somma di DARE",'Pivot Fineco Sa'!$A$3,"Mese",6,"Tipologia",$A208),0)
+ IFERROR(GETPIVOTDATA("Somma di DARE",'Pivot Fineco St'!$A$3,"Mese",6,"Tipologia",$A208),0)
+ Contanti!V70
+ IFERROR(GETPIVOTDATA("Somma di DARE",'Pivot BBVA'!$A$3,"Mese",6,"Tipologia",$A208),0)
+ IFERROR(GETPIVOTDATA("Somma di DARE",'Pivot Amex'!$A$3,"Mese",6,"Tipologia",$A208),0)
- IFERROR(GETPIVOTDATA("Somma di AVERE",'Pivot Amex'!$A$3,"Mese",6,"Tipologia",$A208),0)
- IFERROR(GETPIVOTDATA("Somma di AVERE",'Pivot BBVA'!$A$3,"Mese",6,"Tipologia",$A208),0)
- IFERROR(GETPIVOTDATA("Somma di AVERE",'Pivot Fineco St'!$A$3,"Mese",6,"Tipologia",$A208),0)
- IFERROR(GETPIVOTDATA("Somma di AVERE",'Pivot Fineco Sa'!$A$3,"Mese",6,"Tipologia",$A208),0)
+ IFERROR(GETPIVOTDATA("Somma di DARE",'Pivot PP Visa'!$A$3,"Mese",6,"Tipologia",$A208),0)
- IFERROR(GETPIVOTDATA("Somma di AVERE",'Pivot PP Visa'!$A$3,"Mese",6,"Tipologia",$A208),0)
+ IFERROR(GETPIVOTDATA("Somma di DARE",'Pivot Revolut'!$A$3,"Mese",6,"Tipologia",$A208),0)
- IFERROR(GETPIVOTDATA("Somma di AVERE",'Pivot Revolut'!$A$3,"Mese",6,"Tipologia",$A208),0)</f>
        <v>0</v>
      </c>
      <c r="I208" s="243">
        <f>IFERROR(GETPIVOTDATA("Somma di DARE EUR",'Pivot RakBank AED'!$A$3,"Mese",7,"Tipologia",$A208),0)
- IFERROR(GETPIVOTDATA("Somma di AVERE EUR",'Pivot RakBank AED'!$A$3,"Mese",7,"Tipologia",$A208),0)
+IFERROR(GETPIVOTDATA("Somma di DARE",'Pivot RakBank EUR'!$A$3,"Mese",7,"Tipologia",$A208),0)
- IFERROR(GETPIVOTDATA("Somma di AVERE",'Pivot RakBank EUR'!$A$3,"Mese",7,"Tipologia",$A208),0)
+IFERROR(GETPIVOTDATA("Somma di DARE",'Pivot Fineco Sa'!$A$3,"Mese",7,"Tipologia",$A208),0)
+ IFERROR(GETPIVOTDATA("Somma di DARE",'Pivot Fineco St'!$A$3,"Mese",7,"Tipologia",$A208),0)
+ Contanti!Z70
+ IFERROR(GETPIVOTDATA("Somma di DARE",'Pivot BBVA'!$A$3,"Mese",7,"Tipologia",$A208),0)
+ IFERROR(GETPIVOTDATA("Somma di DARE",'Pivot Amex'!$A$3,"Mese",7,"Tipologia",$A208),0)
- IFERROR(GETPIVOTDATA("Somma di AVERE",'Pivot Amex'!$A$3,"Mese",7,"Tipologia",$A208),0)
- IFERROR(GETPIVOTDATA("Somma di AVERE",'Pivot BBVA'!$A$3,"Mese",7,"Tipologia",$A208),0)
- IFERROR(GETPIVOTDATA("Somma di AVERE",'Pivot Fineco St'!$A$3,"Mese",7,"Tipologia",$A208),0)
- IFERROR(GETPIVOTDATA("Somma di AVERE",'Pivot Fineco Sa'!$A$3,"Mese",7,"Tipologia",$A208),0)
+ IFERROR(GETPIVOTDATA("Somma di DARE",'Pivot PP Visa'!$A$3,"Mese",7,"Tipologia",$A208),0)
- IFERROR(GETPIVOTDATA("Somma di AVERE",'Pivot PP Visa'!$A$3,"Mese",7,"Tipologia",$A208),0)
+ IFERROR(GETPIVOTDATA("Somma di DARE",'Pivot Revolut'!$A$3,"Mese",7,"Tipologia",$A208),0)
- IFERROR(GETPIVOTDATA("Somma di AVERE",'Pivot Revolut'!$A$3,"Mese",7,"Tipologia",$A208),0)</f>
        <v>663.75</v>
      </c>
      <c r="J208" s="243">
        <f>IFERROR(GETPIVOTDATA("Somma di DARE EUR",'Pivot RakBank AED'!$A$3,"Mese",8,"Tipologia",$A208),0)
- IFERROR(GETPIVOTDATA("Somma di AVERE EUR",'Pivot RakBank AED'!$A$3,"Mese",8,"Tipologia",$A208),0)
+IFERROR(GETPIVOTDATA("Somma di DARE",'Pivot RakBank EUR'!$A$3,"Mese",8,"Tipologia",$A208),0)
- IFERROR(GETPIVOTDATA("Somma di AVERE",'Pivot RakBank EUR'!$A$3,"Mese",8,"Tipologia",$A208),0)
+IFERROR(GETPIVOTDATA("Somma di DARE",'Pivot Fineco Sa'!$A$3,"Mese",8,"Tipologia",$A208),0)
+ IFERROR(GETPIVOTDATA("Somma di DARE",'Pivot Fineco St'!$A$3,"Mese",8,"Tipologia",$A208),0)
+ Contanti!AD70
+ IFERROR(GETPIVOTDATA("Somma di DARE",'Pivot BBVA'!$A$3,"Mese",8,"Tipologia",$A208),0)
+ IFERROR(GETPIVOTDATA("Somma di DARE",'Pivot Amex'!$A$3,"Mese",8,"Tipologia",$A208),0)
- IFERROR(GETPIVOTDATA("Somma di AVERE",'Pivot Amex'!$A$3,"Mese",8,"Tipologia",$A208),0)
- IFERROR(GETPIVOTDATA("Somma di AVERE",'Pivot BBVA'!$A$3,"Mese",8,"Tipologia",$A208),0)
- IFERROR(GETPIVOTDATA("Somma di AVERE",'Pivot Fineco St'!$A$3,"Mese",8,"Tipologia",$A208),0)
- IFERROR(GETPIVOTDATA("Somma di AVERE",'Pivot Fineco Sa'!$A$3,"Mese",8,"Tipologia",$A208),0)
+ IFERROR(GETPIVOTDATA("Somma di DARE",'Pivot PP Visa'!$A$3,"Mese",8,"Tipologia",$A208),0)
- IFERROR(GETPIVOTDATA("Somma di AVERE",'Pivot PP Visa'!$A$3,"Mese",8,"Tipologia",$A208),0)
+ IFERROR(GETPIVOTDATA("Somma di DARE",'Pivot Revolut'!$A$3,"Mese",8,"Tipologia",$A208),0)
- IFERROR(GETPIVOTDATA("Somma di AVERE",'Pivot Revolut'!$A$3,"Mese",8,"Tipologia",$A208),0)</f>
        <v>0</v>
      </c>
      <c r="K208" s="243">
        <f>IFERROR(GETPIVOTDATA("Somma di DARE EUR",'Pivot RakBank AED'!$A$3,"Mese",9,"Tipologia",$A208),0)
- IFERROR(GETPIVOTDATA("Somma di AVERE EUR",'Pivot RakBank AED'!$A$3,"Mese",9,"Tipologia",$A208),0)
+IFERROR(GETPIVOTDATA("Somma di DARE",'Pivot RakBank EUR'!$A$3,"Mese",9,"Tipologia",$A208),0)
- IFERROR(GETPIVOTDATA("Somma di AVERE",'Pivot RakBank EUR'!$A$3,"Mese",9,"Tipologia",$A208),0)
+IFERROR(GETPIVOTDATA("Somma di DARE",'Pivot Fineco Sa'!$A$3,"Mese",9,"Tipologia",$A208),0)
+ IFERROR(GETPIVOTDATA("Somma di DARE",'Pivot Fineco St'!$A$3,"Mese",9,"Tipologia",$A208),0)
+ Contanti!AH70
+ IFERROR(GETPIVOTDATA("Somma di DARE",'Pivot BBVA'!$A$3,"Mese",9,"Tipologia",$A208),0)
+ IFERROR(GETPIVOTDATA("Somma di DARE",'Pivot Amex'!$A$3,"Mese",9,"Tipologia",$A208),0)
- IFERROR(GETPIVOTDATA("Somma di AVERE",'Pivot Amex'!$A$3,"Mese",9,"Tipologia",$A208),0)
- IFERROR(GETPIVOTDATA("Somma di AVERE",'Pivot BBVA'!$A$3,"Mese",9,"Tipologia",$A208),0)
- IFERROR(GETPIVOTDATA("Somma di AVERE",'Pivot Fineco St'!$A$3,"Mese",9,"Tipologia",$A208),0)
- IFERROR(GETPIVOTDATA("Somma di AVERE",'Pivot Fineco Sa'!$A$3,"Mese",9,"Tipologia",$A208),0)
+ IFERROR(GETPIVOTDATA("Somma di DARE",'Pivot PP Visa'!$A$3,"Mese",9,"Tipologia",$A208),0)
- IFERROR(GETPIVOTDATA("Somma di AVERE",'Pivot PP Visa'!$A$3,"Mese",9,"Tipologia",$A208),0)
+ IFERROR(GETPIVOTDATA("Somma di DARE",'Pivot Revolut'!$A$3,"Mese",9,"Tipologia",$A208),0)
- IFERROR(GETPIVOTDATA("Somma di AVERE",'Pivot Revolut'!$A$3,"Mese",9,"Tipologia",$A208),0)</f>
        <v>0</v>
      </c>
      <c r="L208" s="243">
        <f>IFERROR(GETPIVOTDATA("Somma di DARE EUR",'Pivot RakBank AED'!$A$3,"Mese",10,"Tipologia",$A208),0)
- IFERROR(GETPIVOTDATA("Somma di AVERE EUR",'Pivot RakBank AED'!$A$3,"Mese",10,"Tipologia",$A208),0)
+IFERROR(GETPIVOTDATA("Somma di DARE",'Pivot RakBank EUR'!$A$3,"Mese",10,"Tipologia",$A208),0)
- IFERROR(GETPIVOTDATA("Somma di AVERE",'Pivot RakBank EUR'!$A$3,"Mese",10,"Tipologia",$A208),0)
+IFERROR(GETPIVOTDATA("Somma di DARE",'Pivot Fineco Sa'!$A$3,"Mese",10,"Tipologia",$A208),0)
+ IFERROR(GETPIVOTDATA("Somma di DARE",'Pivot Fineco St'!$A$3,"Mese",10,"Tipologia",$A208),0)
+ Contanti!AL70
+ IFERROR(GETPIVOTDATA("Somma di DARE",'Pivot BBVA'!$A$3,"Mese",10,"Tipologia",$A208),0)
+ IFERROR(GETPIVOTDATA("Somma di DARE",'Pivot Amex'!$A$3,"Mese",10,"Tipologia",$A208),0)
- IFERROR(GETPIVOTDATA("Somma di AVERE",'Pivot Amex'!$A$3,"Mese",10,"Tipologia",$A208),0)
- IFERROR(GETPIVOTDATA("Somma di AVERE",'Pivot BBVA'!$A$3,"Mese",10,"Tipologia",$A208),0)
- IFERROR(GETPIVOTDATA("Somma di AVERE",'Pivot Fineco St'!$A$3,"Mese",10,"Tipologia",$A208),0)
- IFERROR(GETPIVOTDATA("Somma di AVERE",'Pivot Fineco Sa'!$A$3,"Mese",10,"Tipologia",$A208),0)
+ IFERROR(GETPIVOTDATA("Somma di DARE",'Pivot PP Visa'!$A$3,"Mese",10,"Tipologia",$A208),0)
- IFERROR(GETPIVOTDATA("Somma di AVERE",'Pivot PP Visa'!$A$3,"Mese",10,"Tipologia",$A208),0)
+ IFERROR(GETPIVOTDATA("Somma di DARE",'Pivot Revolut'!$A$3,"Mese",10,"Tipologia",$A208),0)
- IFERROR(GETPIVOTDATA("Somma di AVERE",'Pivot Revolut'!$A$3,"Mese",10,"Tipologia",$A208),0)</f>
        <v>0</v>
      </c>
      <c r="M208" s="243">
        <f>IFERROR(GETPIVOTDATA("Somma di DARE EUR",'Pivot RakBank AED'!$A$3,"Mese",11,"Tipologia",$A208),0)
- IFERROR(GETPIVOTDATA("Somma di AVERE EUR",'Pivot RakBank AED'!$A$3,"Mese",11,"Tipologia",$A208),0)
+IFERROR(GETPIVOTDATA("Somma di DARE",'Pivot RakBank EUR'!$A$3,"Mese",11,"Tipologia",$A208),0)
- IFERROR(GETPIVOTDATA("Somma di AVERE",'Pivot RakBank EUR'!$A$3,"Mese",11,"Tipologia",$A208),0)
+IFERROR(GETPIVOTDATA("Somma di DARE",'Pivot Fineco Sa'!$A$3,"Mese",11,"Tipologia",$A208),0)
+ IFERROR(GETPIVOTDATA("Somma di DARE",'Pivot Fineco St'!$A$3,"Mese",11,"Tipologia",$A208),0)
+ Contanti!AP70
+ IFERROR(GETPIVOTDATA("Somma di DARE",'Pivot BBVA'!$A$3,"Mese",11,"Tipologia",$A208),0)
+ IFERROR(GETPIVOTDATA("Somma di DARE",'Pivot Amex'!$A$3,"Mese",11,"Tipologia",$A208),0)
- IFERROR(GETPIVOTDATA("Somma di AVERE",'Pivot Amex'!$A$3,"Mese",11,"Tipologia",$A208),0)
- IFERROR(GETPIVOTDATA("Somma di AVERE",'Pivot BBVA'!$A$3,"Mese",11,"Tipologia",$A208),0)
- IFERROR(GETPIVOTDATA("Somma di AVERE",'Pivot Fineco St'!$A$3,"Mese",11,"Tipologia",$A208),0)
- IFERROR(GETPIVOTDATA("Somma di AVERE",'Pivot Fineco Sa'!$A$3,"Mese",11,"Tipologia",$A208),0)
+ IFERROR(GETPIVOTDATA("Somma di DARE",'Pivot PP Visa'!$A$3,"Mese",11,"Tipologia",$A208),0)
- IFERROR(GETPIVOTDATA("Somma di AVERE",'Pivot PP Visa'!$A$3,"Mese",11,"Tipologia",$A208),0)
+ IFERROR(GETPIVOTDATA("Somma di DARE",'Pivot Revolut'!$A$3,"Mese",11,"Tipologia",$A208),0)
- IFERROR(GETPIVOTDATA("Somma di AVERE",'Pivot Revolut'!$A$3,"Mese",11,"Tipologia",$A208),0)</f>
        <v>0</v>
      </c>
      <c r="N208" s="243">
        <f>IFERROR(GETPIVOTDATA("Somma di DARE EUR",'Pivot RakBank AED'!$A$3,"Mese",12,"Tipologia",$A208),0)
- IFERROR(GETPIVOTDATA("Somma di AVERE EUR",'Pivot RakBank AED'!$A$3,"Mese",12,"Tipologia",$A208),0)
+IFERROR(GETPIVOTDATA("Somma di DARE",'Pivot RakBank EUR'!$A$3,"Mese",12,"Tipologia",$A208),0)
- IFERROR(GETPIVOTDATA("Somma di AVERE",'Pivot RakBank EUR'!$A$3,"Mese",12,"Tipologia",$A208),0)
+IFERROR(GETPIVOTDATA("Somma di DARE",'Pivot Fineco Sa'!$A$3,"Mese",12,"Tipologia",$A208),0)
+ IFERROR(GETPIVOTDATA("Somma di DARE",'Pivot Fineco St'!$A$3,"Mese",12,"Tipologia",$A208),0)
+ Contanti!AT70
+ IFERROR(GETPIVOTDATA("Somma di DARE",'Pivot BBVA'!$A$3,"Mese",12,"Tipologia",$A208),0)
+ IFERROR(GETPIVOTDATA("Somma di DARE",'Pivot Amex'!$A$3,"Mese",12,"Tipologia",$A208),0)
- IFERROR(GETPIVOTDATA("Somma di AVERE",'Pivot Amex'!$A$3,"Mese",12,"Tipologia",$A208),0)
- IFERROR(GETPIVOTDATA("Somma di AVERE",'Pivot BBVA'!$A$3,"Mese",12,"Tipologia",$A208),0)
- IFERROR(GETPIVOTDATA("Somma di AVERE",'Pivot Fineco St'!$A$3,"Mese",12,"Tipologia",$A208),0)
- IFERROR(GETPIVOTDATA("Somma di AVERE",'Pivot Fineco Sa'!$A$3,"Mese",12,"Tipologia",$A208),0)
+ IFERROR(GETPIVOTDATA("Somma di DARE",'Pivot PP Visa'!$A$3,"Mese",12,"Tipologia",$A208),0)
- IFERROR(GETPIVOTDATA("Somma di AVERE",'Pivot PP Visa'!$A$3,"Mese",12,"Tipologia",$A208),0)
+ IFERROR(GETPIVOTDATA("Somma di DARE",'Pivot Revolut'!$A$3,"Mese",12,"Tipologia",$A208),0)
- IFERROR(GETPIVOTDATA("Somma di AVERE",'Pivot Revolut'!$A$3,"Mese",12,"Tipologia",$A208),0)</f>
        <v>0</v>
      </c>
      <c r="O208" s="252">
        <f t="shared" ref="O208:O209" si="34">SUM(C208:N208)</f>
        <v>1991.25</v>
      </c>
      <c r="P208" s="243">
        <f t="shared" ca="1" si="33"/>
        <v>284.46428571428572</v>
      </c>
    </row>
    <row r="209" spans="1:16" s="125" customFormat="1" ht="21" customHeight="1" x14ac:dyDescent="0.2">
      <c r="A209" s="251" t="s">
        <v>189</v>
      </c>
      <c r="B209" s="251"/>
      <c r="C209" s="243">
        <f>IFERROR(GETPIVOTDATA("Somma di DARE EUR",'Pivot RakBank AED'!$A$3,"Mese",1,"Tipologia",$A209),0)
- IFERROR(GETPIVOTDATA("Somma di AVERE EUR",'Pivot RakBank AED'!$A$3,"Mese",1,"Tipologia",$A209),0)
+IFERROR(GETPIVOTDATA("Somma di DARE",'Pivot RakBank EUR'!$A$3,"Mese",1,"Tipologia",$A209),0)
- IFERROR(GETPIVOTDATA("Somma di AVERE",'Pivot RakBank EUR'!$A$3,"Mese",1,"Tipologia",$A209),0)
+IFERROR(GETPIVOTDATA("Somma di DARE",'Pivot Fineco Sa'!$A$3,"Mese",1,"Tipologia",$A209),0)
+ IFERROR(GETPIVOTDATA("Somma di DARE",'Pivot Fineco St'!$A$3,"Mese",1,"Tipologia",$A209),0)
+ Contanti!B71
+ IFERROR(GETPIVOTDATA("Somma di DARE",'Pivot BBVA'!$A$3,"Mese",1,"Tipologia",$A209),0)
+ IFERROR(GETPIVOTDATA("Somma di DARE",'Pivot Amex'!$A$3,"Mese",1,"Tipologia",$A209),0)
- IFERROR(GETPIVOTDATA("Somma di AVERE",'Pivot Amex'!$A$3,"Mese",1,"Tipologia",$A209),0)
- IFERROR(GETPIVOTDATA("Somma di AVERE",'Pivot BBVA'!$A$3,"Mese",1,"Tipologia",$A209),0)
- IFERROR(GETPIVOTDATA("Somma di AVERE",'Pivot Fineco St'!$A$3,"Mese",1,"Tipologia",$A209),0)
- IFERROR(GETPIVOTDATA("Somma di AVERE",'Pivot Fineco Sa'!$A$3,"Mese",1,"Tipologia",$A209),0)
+ IFERROR(GETPIVOTDATA("Somma di DARE",'Pivot PP Visa'!$A$3,"Mese",1,"Tipologia",$A209),0)
- IFERROR(GETPIVOTDATA("Somma di AVERE",'Pivot PP Visa'!$A$3,"Mese",1,"Tipologia",$A209),0)
+ IFERROR(GETPIVOTDATA("Somma di DARE",'Pivot Revolut'!$A$3,"Mese",1,"Tipologia",$A209),0)
- IFERROR(GETPIVOTDATA("Somma di AVERE",'Pivot Revolut'!$A$3,"Mese",1,"Tipologia",$A209),0)</f>
        <v>0</v>
      </c>
      <c r="D209" s="243">
        <f>IFERROR(GETPIVOTDATA("Somma di DARE EUR",'Pivot RakBank AED'!$A$3,"Mese",2,"Tipologia",$A209),0)
- IFERROR(GETPIVOTDATA("Somma di AVERE EUR",'Pivot RakBank AED'!$A$3,"Mese",2,"Tipologia",$A209),0)
+IFERROR(GETPIVOTDATA("Somma di DARE",'Pivot RakBank EUR'!$A$3,"Mese",2,"Tipologia",$A209),0)
- IFERROR(GETPIVOTDATA("Somma di AVERE",'Pivot RakBank EUR'!$A$3,"Mese",2,"Tipologia",$A209),0)
+IFERROR(GETPIVOTDATA("Somma di DARE",'Pivot Fineco Sa'!$A$3,"Mese",2,"Tipologia",$A209),0)
+ IFERROR(GETPIVOTDATA("Somma di DARE",'Pivot Fineco St'!$A$3,"Mese",2,"Tipologia",$A209),0)
+ Contanti!F71
+ IFERROR(GETPIVOTDATA("Somma di DARE",'Pivot BBVA'!$A$3,"Mese",2,"Tipologia",$A209),0)
+ IFERROR(GETPIVOTDATA("Somma di DARE",'Pivot Amex'!$A$3,"Mese",2,"Tipologia",$A209),0)
- IFERROR(GETPIVOTDATA("Somma di AVERE",'Pivot Amex'!$A$3,"Mese",2,"Tipologia",$A209),0)
- IFERROR(GETPIVOTDATA("Somma di AVERE",'Pivot BBVA'!$A$3,"Mese",2,"Tipologia",$A209),0)
- IFERROR(GETPIVOTDATA("Somma di AVERE",'Pivot Fineco St'!$A$3,"Mese",2,"Tipologia",$A209),0)
- IFERROR(GETPIVOTDATA("Somma di AVERE",'Pivot Fineco Sa'!$A$3,"Mese",2,"Tipologia",$A209),0)
+ IFERROR(GETPIVOTDATA("Somma di DARE",'Pivot PP Visa'!$A$3,"Mese",2,"Tipologia",$A209),0)
- IFERROR(GETPIVOTDATA("Somma di AVERE",'Pivot PP Visa'!$A$3,"Mese",2,"Tipologia",$A209),0)
+ IFERROR(GETPIVOTDATA("Somma di DARE",'Pivot Revolut'!$A$3,"Mese",2,"Tipologia",$A209),0)
- IFERROR(GETPIVOTDATA("Somma di AVERE",'Pivot Revolut'!$A$3,"Mese",2,"Tipologia",$A209),0)</f>
        <v>0</v>
      </c>
      <c r="E209" s="243">
        <f>IFERROR(GETPIVOTDATA("Somma di DARE EUR",'Pivot RakBank AED'!$A$3,"Mese",3,"Tipologia",$A209),0)
- IFERROR(GETPIVOTDATA("Somma di AVERE EUR",'Pivot RakBank AED'!$A$3,"Mese",3,"Tipologia",$A209),0)
+IFERROR(GETPIVOTDATA("Somma di DARE",'Pivot RakBank EUR'!$A$3,"Mese",3,"Tipologia",$A209),0)
- IFERROR(GETPIVOTDATA("Somma di AVERE",'Pivot RakBank EUR'!$A$3,"Mese",3,"Tipologia",$A209),0)
+IFERROR(GETPIVOTDATA("Somma di DARE",'Pivot Fineco Sa'!$A$3,"Mese",3,"Tipologia",$A209),0)
+ IFERROR(GETPIVOTDATA("Somma di DARE",'Pivot Fineco St'!$A$3,"Mese",3,"Tipologia",$A209),0)
+ Contanti!J71
+ IFERROR(GETPIVOTDATA("Somma di DARE",'Pivot BBVA'!$A$3,"Mese",3,"Tipologia",$A209),0)
+ IFERROR(GETPIVOTDATA("Somma di DARE",'Pivot Amex'!$A$3,"Mese",3,"Tipologia",$A209),0)
- IFERROR(GETPIVOTDATA("Somma di AVERE",'Pivot Amex'!$A$3,"Mese",3,"Tipologia",$A209),0)
- IFERROR(GETPIVOTDATA("Somma di AVERE",'Pivot BBVA'!$A$3,"Mese",3,"Tipologia",$A209),0)
- IFERROR(GETPIVOTDATA("Somma di AVERE",'Pivot Fineco St'!$A$3,"Mese",3,"Tipologia",$A209),0)
- IFERROR(GETPIVOTDATA("Somma di AVERE",'Pivot Fineco Sa'!$A$3,"Mese",3,"Tipologia",$A209),0)
+ IFERROR(GETPIVOTDATA("Somma di DARE",'Pivot PP Visa'!$A$3,"Mese",3,"Tipologia",$A209),0)
- IFERROR(GETPIVOTDATA("Somma di AVERE",'Pivot PP Visa'!$A$3,"Mese",3,"Tipologia",$A209),0)
+ IFERROR(GETPIVOTDATA("Somma di DARE",'Pivot Revolut'!$A$3,"Mese",3,"Tipologia",$A209),0)
- IFERROR(GETPIVOTDATA("Somma di AVERE",'Pivot Revolut'!$A$3,"Mese",3,"Tipologia",$A209),0)</f>
        <v>0</v>
      </c>
      <c r="F209" s="243">
        <f>IFERROR(GETPIVOTDATA("Somma di DARE EUR",'Pivot RakBank AED'!$A$3,"Mese",4,"Tipologia",$A209),0)
- IFERROR(GETPIVOTDATA("Somma di AVERE EUR",'Pivot RakBank AED'!$A$3,"Mese",4,"Tipologia",$A209),0)
+IFERROR(GETPIVOTDATA("Somma di DARE",'Pivot RakBank EUR'!$A$3,"Mese",4,"Tipologia",$A209),0)
- IFERROR(GETPIVOTDATA("Somma di AVERE",'Pivot RakBank EUR'!$A$3,"Mese",4,"Tipologia",$A209),0)
+IFERROR(GETPIVOTDATA("Somma di DARE",'Pivot Fineco Sa'!$A$3,"Mese",4,"Tipologia",$A209),0)
+ IFERROR(GETPIVOTDATA("Somma di DARE",'Pivot Fineco St'!$A$3,"Mese",4,"Tipologia",$A209),0)
+ Contanti!N71
+ IFERROR(GETPIVOTDATA("Somma di DARE",'Pivot BBVA'!$A$3,"Mese",4,"Tipologia",$A209),0)
+ IFERROR(GETPIVOTDATA("Somma di DARE",'Pivot Amex'!$A$3,"Mese",4,"Tipologia",$A209),0)
- IFERROR(GETPIVOTDATA("Somma di AVERE",'Pivot Amex'!$A$3,"Mese",4,"Tipologia",$A209),0)
- IFERROR(GETPIVOTDATA("Somma di AVERE",'Pivot BBVA'!$A$3,"Mese",4,"Tipologia",$A209),0)
- IFERROR(GETPIVOTDATA("Somma di AVERE",'Pivot Fineco St'!$A$3,"Mese",4,"Tipologia",$A209),0)
- IFERROR(GETPIVOTDATA("Somma di AVERE",'Pivot Fineco Sa'!$A$3,"Mese",4,"Tipologia",$A209),0)
+ IFERROR(GETPIVOTDATA("Somma di DARE",'Pivot PP Visa'!$A$3,"Mese",4,"Tipologia",$A209),0)
- IFERROR(GETPIVOTDATA("Somma di AVERE",'Pivot PP Visa'!$A$3,"Mese",4,"Tipologia",$A209),0)
+ IFERROR(GETPIVOTDATA("Somma di DARE",'Pivot Revolut'!$A$3,"Mese",4,"Tipologia",$A209),0)
- IFERROR(GETPIVOTDATA("Somma di AVERE",'Pivot Revolut'!$A$3,"Mese",4,"Tipologia",$A209),0)</f>
        <v>0</v>
      </c>
      <c r="G209" s="243">
        <f>IFERROR(GETPIVOTDATA("Somma di DARE EUR",'Pivot RakBank AED'!$A$3,"Mese",5,"Tipologia",$A209),0)
- IFERROR(GETPIVOTDATA("Somma di AVERE EUR",'Pivot RakBank AED'!$A$3,"Mese",5,"Tipologia",$A209),0)
+IFERROR(GETPIVOTDATA("Somma di DARE",'Pivot RakBank EUR'!$A$3,"Mese",5,"Tipologia",$A209),0)
- IFERROR(GETPIVOTDATA("Somma di AVERE",'Pivot RakBank EUR'!$A$3,"Mese",5,"Tipologia",$A209),0)
+IFERROR(GETPIVOTDATA("Somma di DARE",'Pivot Fineco Sa'!$A$3,"Mese",5,"Tipologia",$A209),0)
+ IFERROR(GETPIVOTDATA("Somma di DARE",'Pivot Fineco St'!$A$3,"Mese",5,"Tipologia",$A209),0)
+ Contanti!R71
+ IFERROR(GETPIVOTDATA("Somma di DARE",'Pivot BBVA'!$A$3,"Mese",5,"Tipologia",$A209),0)
+ IFERROR(GETPIVOTDATA("Somma di DARE",'Pivot Amex'!$A$3,"Mese",5,"Tipologia",$A209),0)
- IFERROR(GETPIVOTDATA("Somma di AVERE",'Pivot Amex'!$A$3,"Mese",5,"Tipologia",$A209),0)
- IFERROR(GETPIVOTDATA("Somma di AVERE",'Pivot BBVA'!$A$3,"Mese",5,"Tipologia",$A209),0)
- IFERROR(GETPIVOTDATA("Somma di AVERE",'Pivot Fineco St'!$A$3,"Mese",5,"Tipologia",$A209),0)
- IFERROR(GETPIVOTDATA("Somma di AVERE",'Pivot Fineco Sa'!$A$3,"Mese",5,"Tipologia",$A209),0)
+ IFERROR(GETPIVOTDATA("Somma di DARE",'Pivot PP Visa'!$A$3,"Mese",5,"Tipologia",$A209),0)
- IFERROR(GETPIVOTDATA("Somma di AVERE",'Pivot PP Visa'!$A$3,"Mese",5,"Tipologia",$A209),0)
+ IFERROR(GETPIVOTDATA("Somma di DARE",'Pivot Revolut'!$A$3,"Mese",5,"Tipologia",$A209),0)
- IFERROR(GETPIVOTDATA("Somma di AVERE",'Pivot Revolut'!$A$3,"Mese",5,"Tipologia",$A209),0)</f>
        <v>834.99</v>
      </c>
      <c r="H209" s="243">
        <f>IFERROR(GETPIVOTDATA("Somma di DARE EUR",'Pivot RakBank AED'!$A$3,"Mese",6,"Tipologia",$A209),0)
- IFERROR(GETPIVOTDATA("Somma di AVERE EUR",'Pivot RakBank AED'!$A$3,"Mese",6,"Tipologia",$A209),0)
+IFERROR(GETPIVOTDATA("Somma di DARE",'Pivot RakBank EUR'!$A$3,"Mese",6,"Tipologia",$A209),0)
- IFERROR(GETPIVOTDATA("Somma di AVERE",'Pivot RakBank EUR'!$A$3,"Mese",6,"Tipologia",$A209),0)
+IFERROR(GETPIVOTDATA("Somma di DARE",'Pivot Fineco Sa'!$A$3,"Mese",6,"Tipologia",$A209),0)
+ IFERROR(GETPIVOTDATA("Somma di DARE",'Pivot Fineco St'!$A$3,"Mese",6,"Tipologia",$A209),0)
+ Contanti!V71
+ IFERROR(GETPIVOTDATA("Somma di DARE",'Pivot BBVA'!$A$3,"Mese",6,"Tipologia",$A209),0)
+ IFERROR(GETPIVOTDATA("Somma di DARE",'Pivot Amex'!$A$3,"Mese",6,"Tipologia",$A209),0)
- IFERROR(GETPIVOTDATA("Somma di AVERE",'Pivot Amex'!$A$3,"Mese",6,"Tipologia",$A209),0)
- IFERROR(GETPIVOTDATA("Somma di AVERE",'Pivot BBVA'!$A$3,"Mese",6,"Tipologia",$A209),0)
- IFERROR(GETPIVOTDATA("Somma di AVERE",'Pivot Fineco St'!$A$3,"Mese",6,"Tipologia",$A209),0)
- IFERROR(GETPIVOTDATA("Somma di AVERE",'Pivot Fineco Sa'!$A$3,"Mese",6,"Tipologia",$A209),0)
+ IFERROR(GETPIVOTDATA("Somma di DARE",'Pivot PP Visa'!$A$3,"Mese",6,"Tipologia",$A209),0)
- IFERROR(GETPIVOTDATA("Somma di AVERE",'Pivot PP Visa'!$A$3,"Mese",6,"Tipologia",$A209),0)
+ IFERROR(GETPIVOTDATA("Somma di DARE",'Pivot Revolut'!$A$3,"Mese",6,"Tipologia",$A209),0)
- IFERROR(GETPIVOTDATA("Somma di AVERE",'Pivot Revolut'!$A$3,"Mese",6,"Tipologia",$A209),0)</f>
        <v>0</v>
      </c>
      <c r="I209" s="243">
        <f>IFERROR(GETPIVOTDATA("Somma di DARE EUR",'Pivot RakBank AED'!$A$3,"Mese",7,"Tipologia",$A209),0)
- IFERROR(GETPIVOTDATA("Somma di AVERE EUR",'Pivot RakBank AED'!$A$3,"Mese",7,"Tipologia",$A209),0)
+IFERROR(GETPIVOTDATA("Somma di DARE",'Pivot RakBank EUR'!$A$3,"Mese",7,"Tipologia",$A209),0)
- IFERROR(GETPIVOTDATA("Somma di AVERE",'Pivot RakBank EUR'!$A$3,"Mese",7,"Tipologia",$A209),0)
+IFERROR(GETPIVOTDATA("Somma di DARE",'Pivot Fineco Sa'!$A$3,"Mese",7,"Tipologia",$A209),0)
+ IFERROR(GETPIVOTDATA("Somma di DARE",'Pivot Fineco St'!$A$3,"Mese",7,"Tipologia",$A209),0)
+ Contanti!Z71
+ IFERROR(GETPIVOTDATA("Somma di DARE",'Pivot BBVA'!$A$3,"Mese",7,"Tipologia",$A209),0)
+ IFERROR(GETPIVOTDATA("Somma di DARE",'Pivot Amex'!$A$3,"Mese",7,"Tipologia",$A209),0)
- IFERROR(GETPIVOTDATA("Somma di AVERE",'Pivot Amex'!$A$3,"Mese",7,"Tipologia",$A209),0)
- IFERROR(GETPIVOTDATA("Somma di AVERE",'Pivot BBVA'!$A$3,"Mese",7,"Tipologia",$A209),0)
- IFERROR(GETPIVOTDATA("Somma di AVERE",'Pivot Fineco St'!$A$3,"Mese",7,"Tipologia",$A209),0)
- IFERROR(GETPIVOTDATA("Somma di AVERE",'Pivot Fineco Sa'!$A$3,"Mese",7,"Tipologia",$A209),0)
+ IFERROR(GETPIVOTDATA("Somma di DARE",'Pivot PP Visa'!$A$3,"Mese",7,"Tipologia",$A209),0)
- IFERROR(GETPIVOTDATA("Somma di AVERE",'Pivot PP Visa'!$A$3,"Mese",7,"Tipologia",$A209),0)
+ IFERROR(GETPIVOTDATA("Somma di DARE",'Pivot Revolut'!$A$3,"Mese",7,"Tipologia",$A209),0)
- IFERROR(GETPIVOTDATA("Somma di AVERE",'Pivot Revolut'!$A$3,"Mese",7,"Tipologia",$A209),0)</f>
        <v>0</v>
      </c>
      <c r="J209" s="243">
        <f>IFERROR(GETPIVOTDATA("Somma di DARE EUR",'Pivot RakBank AED'!$A$3,"Mese",8,"Tipologia",$A209),0)
- IFERROR(GETPIVOTDATA("Somma di AVERE EUR",'Pivot RakBank AED'!$A$3,"Mese",8,"Tipologia",$A209),0)
+IFERROR(GETPIVOTDATA("Somma di DARE",'Pivot RakBank EUR'!$A$3,"Mese",8,"Tipologia",$A209),0)
- IFERROR(GETPIVOTDATA("Somma di AVERE",'Pivot RakBank EUR'!$A$3,"Mese",8,"Tipologia",$A209),0)
+IFERROR(GETPIVOTDATA("Somma di DARE",'Pivot Fineco Sa'!$A$3,"Mese",8,"Tipologia",$A209),0)
+ IFERROR(GETPIVOTDATA("Somma di DARE",'Pivot Fineco St'!$A$3,"Mese",8,"Tipologia",$A209),0)
+ Contanti!AD71
+ IFERROR(GETPIVOTDATA("Somma di DARE",'Pivot BBVA'!$A$3,"Mese",8,"Tipologia",$A209),0)
+ IFERROR(GETPIVOTDATA("Somma di DARE",'Pivot Amex'!$A$3,"Mese",8,"Tipologia",$A209),0)
- IFERROR(GETPIVOTDATA("Somma di AVERE",'Pivot Amex'!$A$3,"Mese",8,"Tipologia",$A209),0)
- IFERROR(GETPIVOTDATA("Somma di AVERE",'Pivot BBVA'!$A$3,"Mese",8,"Tipologia",$A209),0)
- IFERROR(GETPIVOTDATA("Somma di AVERE",'Pivot Fineco St'!$A$3,"Mese",8,"Tipologia",$A209),0)
- IFERROR(GETPIVOTDATA("Somma di AVERE",'Pivot Fineco Sa'!$A$3,"Mese",8,"Tipologia",$A209),0)
+ IFERROR(GETPIVOTDATA("Somma di DARE",'Pivot PP Visa'!$A$3,"Mese",8,"Tipologia",$A209),0)
- IFERROR(GETPIVOTDATA("Somma di AVERE",'Pivot PP Visa'!$A$3,"Mese",8,"Tipologia",$A209),0)
+ IFERROR(GETPIVOTDATA("Somma di DARE",'Pivot Revolut'!$A$3,"Mese",8,"Tipologia",$A209),0)
- IFERROR(GETPIVOTDATA("Somma di AVERE",'Pivot Revolut'!$A$3,"Mese",8,"Tipologia",$A209),0)</f>
        <v>0</v>
      </c>
      <c r="K209" s="243">
        <f>IFERROR(GETPIVOTDATA("Somma di DARE EUR",'Pivot RakBank AED'!$A$3,"Mese",9,"Tipologia",$A209),0)
- IFERROR(GETPIVOTDATA("Somma di AVERE EUR",'Pivot RakBank AED'!$A$3,"Mese",9,"Tipologia",$A209),0)
+IFERROR(GETPIVOTDATA("Somma di DARE",'Pivot RakBank EUR'!$A$3,"Mese",9,"Tipologia",$A209),0)
- IFERROR(GETPIVOTDATA("Somma di AVERE",'Pivot RakBank EUR'!$A$3,"Mese",9,"Tipologia",$A209),0)
+IFERROR(GETPIVOTDATA("Somma di DARE",'Pivot Fineco Sa'!$A$3,"Mese",9,"Tipologia",$A209),0)
+ IFERROR(GETPIVOTDATA("Somma di DARE",'Pivot Fineco St'!$A$3,"Mese",9,"Tipologia",$A209),0)
+ Contanti!AH71
+ IFERROR(GETPIVOTDATA("Somma di DARE",'Pivot BBVA'!$A$3,"Mese",9,"Tipologia",$A209),0)
+ IFERROR(GETPIVOTDATA("Somma di DARE",'Pivot Amex'!$A$3,"Mese",9,"Tipologia",$A209),0)
- IFERROR(GETPIVOTDATA("Somma di AVERE",'Pivot Amex'!$A$3,"Mese",9,"Tipologia",$A209),0)
- IFERROR(GETPIVOTDATA("Somma di AVERE",'Pivot BBVA'!$A$3,"Mese",9,"Tipologia",$A209),0)
- IFERROR(GETPIVOTDATA("Somma di AVERE",'Pivot Fineco St'!$A$3,"Mese",9,"Tipologia",$A209),0)
- IFERROR(GETPIVOTDATA("Somma di AVERE",'Pivot Fineco Sa'!$A$3,"Mese",9,"Tipologia",$A209),0)
+ IFERROR(GETPIVOTDATA("Somma di DARE",'Pivot PP Visa'!$A$3,"Mese",9,"Tipologia",$A209),0)
- IFERROR(GETPIVOTDATA("Somma di AVERE",'Pivot PP Visa'!$A$3,"Mese",9,"Tipologia",$A209),0)
+ IFERROR(GETPIVOTDATA("Somma di DARE",'Pivot Revolut'!$A$3,"Mese",9,"Tipologia",$A209),0)
- IFERROR(GETPIVOTDATA("Somma di AVERE",'Pivot Revolut'!$A$3,"Mese",9,"Tipologia",$A209),0)</f>
        <v>0</v>
      </c>
      <c r="L209" s="243">
        <f>IFERROR(GETPIVOTDATA("Somma di DARE EUR",'Pivot RakBank AED'!$A$3,"Mese",10,"Tipologia",$A209),0)
- IFERROR(GETPIVOTDATA("Somma di AVERE EUR",'Pivot RakBank AED'!$A$3,"Mese",10,"Tipologia",$A209),0)
+IFERROR(GETPIVOTDATA("Somma di DARE",'Pivot RakBank EUR'!$A$3,"Mese",10,"Tipologia",$A209),0)
- IFERROR(GETPIVOTDATA("Somma di AVERE",'Pivot RakBank EUR'!$A$3,"Mese",10,"Tipologia",$A209),0)
+IFERROR(GETPIVOTDATA("Somma di DARE",'Pivot Fineco Sa'!$A$3,"Mese",10,"Tipologia",$A209),0)
+ IFERROR(GETPIVOTDATA("Somma di DARE",'Pivot Fineco St'!$A$3,"Mese",10,"Tipologia",$A209),0)
+ Contanti!AL71
+ IFERROR(GETPIVOTDATA("Somma di DARE",'Pivot BBVA'!$A$3,"Mese",10,"Tipologia",$A209),0)
+ IFERROR(GETPIVOTDATA("Somma di DARE",'Pivot Amex'!$A$3,"Mese",10,"Tipologia",$A209),0)
- IFERROR(GETPIVOTDATA("Somma di AVERE",'Pivot Amex'!$A$3,"Mese",10,"Tipologia",$A209),0)
- IFERROR(GETPIVOTDATA("Somma di AVERE",'Pivot BBVA'!$A$3,"Mese",10,"Tipologia",$A209),0)
- IFERROR(GETPIVOTDATA("Somma di AVERE",'Pivot Fineco St'!$A$3,"Mese",10,"Tipologia",$A209),0)
- IFERROR(GETPIVOTDATA("Somma di AVERE",'Pivot Fineco Sa'!$A$3,"Mese",10,"Tipologia",$A209),0)
+ IFERROR(GETPIVOTDATA("Somma di DARE",'Pivot PP Visa'!$A$3,"Mese",10,"Tipologia",$A209),0)
- IFERROR(GETPIVOTDATA("Somma di AVERE",'Pivot PP Visa'!$A$3,"Mese",10,"Tipologia",$A209),0)
+ IFERROR(GETPIVOTDATA("Somma di DARE",'Pivot Revolut'!$A$3,"Mese",10,"Tipologia",$A209),0)
- IFERROR(GETPIVOTDATA("Somma di AVERE",'Pivot Revolut'!$A$3,"Mese",10,"Tipologia",$A209),0)</f>
        <v>0</v>
      </c>
      <c r="M209" s="243">
        <f>IFERROR(GETPIVOTDATA("Somma di DARE EUR",'Pivot RakBank AED'!$A$3,"Mese",11,"Tipologia",$A209),0)
- IFERROR(GETPIVOTDATA("Somma di AVERE EUR",'Pivot RakBank AED'!$A$3,"Mese",11,"Tipologia",$A209),0)
+IFERROR(GETPIVOTDATA("Somma di DARE",'Pivot RakBank EUR'!$A$3,"Mese",11,"Tipologia",$A209),0)
- IFERROR(GETPIVOTDATA("Somma di AVERE",'Pivot RakBank EUR'!$A$3,"Mese",11,"Tipologia",$A209),0)
+IFERROR(GETPIVOTDATA("Somma di DARE",'Pivot Fineco Sa'!$A$3,"Mese",11,"Tipologia",$A209),0)
+ IFERROR(GETPIVOTDATA("Somma di DARE",'Pivot Fineco St'!$A$3,"Mese",11,"Tipologia",$A209),0)
+ Contanti!AP71
+ IFERROR(GETPIVOTDATA("Somma di DARE",'Pivot BBVA'!$A$3,"Mese",11,"Tipologia",$A209),0)
+ IFERROR(GETPIVOTDATA("Somma di DARE",'Pivot Amex'!$A$3,"Mese",11,"Tipologia",$A209),0)
- IFERROR(GETPIVOTDATA("Somma di AVERE",'Pivot Amex'!$A$3,"Mese",11,"Tipologia",$A209),0)
- IFERROR(GETPIVOTDATA("Somma di AVERE",'Pivot BBVA'!$A$3,"Mese",11,"Tipologia",$A209),0)
- IFERROR(GETPIVOTDATA("Somma di AVERE",'Pivot Fineco St'!$A$3,"Mese",11,"Tipologia",$A209),0)
- IFERROR(GETPIVOTDATA("Somma di AVERE",'Pivot Fineco Sa'!$A$3,"Mese",11,"Tipologia",$A209),0)
+ IFERROR(GETPIVOTDATA("Somma di DARE",'Pivot PP Visa'!$A$3,"Mese",11,"Tipologia",$A209),0)
- IFERROR(GETPIVOTDATA("Somma di AVERE",'Pivot PP Visa'!$A$3,"Mese",11,"Tipologia",$A209),0)
+ IFERROR(GETPIVOTDATA("Somma di DARE",'Pivot Revolut'!$A$3,"Mese",11,"Tipologia",$A209),0)
- IFERROR(GETPIVOTDATA("Somma di AVERE",'Pivot Revolut'!$A$3,"Mese",11,"Tipologia",$A209),0)</f>
        <v>0</v>
      </c>
      <c r="N209" s="243">
        <f>IFERROR(GETPIVOTDATA("Somma di DARE EUR",'Pivot RakBank AED'!$A$3,"Mese",12,"Tipologia",$A209),0)
- IFERROR(GETPIVOTDATA("Somma di AVERE EUR",'Pivot RakBank AED'!$A$3,"Mese",12,"Tipologia",$A209),0)
+IFERROR(GETPIVOTDATA("Somma di DARE",'Pivot RakBank EUR'!$A$3,"Mese",12,"Tipologia",$A209),0)
- IFERROR(GETPIVOTDATA("Somma di AVERE",'Pivot RakBank EUR'!$A$3,"Mese",12,"Tipologia",$A209),0)
+IFERROR(GETPIVOTDATA("Somma di DARE",'Pivot Fineco Sa'!$A$3,"Mese",12,"Tipologia",$A209),0)
+ IFERROR(GETPIVOTDATA("Somma di DARE",'Pivot Fineco St'!$A$3,"Mese",12,"Tipologia",$A209),0)
+ Contanti!AT71
+ IFERROR(GETPIVOTDATA("Somma di DARE",'Pivot BBVA'!$A$3,"Mese",12,"Tipologia",$A209),0)
+ IFERROR(GETPIVOTDATA("Somma di DARE",'Pivot Amex'!$A$3,"Mese",12,"Tipologia",$A209),0)
- IFERROR(GETPIVOTDATA("Somma di AVERE",'Pivot Amex'!$A$3,"Mese",12,"Tipologia",$A209),0)
- IFERROR(GETPIVOTDATA("Somma di AVERE",'Pivot BBVA'!$A$3,"Mese",12,"Tipologia",$A209),0)
- IFERROR(GETPIVOTDATA("Somma di AVERE",'Pivot Fineco St'!$A$3,"Mese",12,"Tipologia",$A209),0)
- IFERROR(GETPIVOTDATA("Somma di AVERE",'Pivot Fineco Sa'!$A$3,"Mese",12,"Tipologia",$A209),0)
+ IFERROR(GETPIVOTDATA("Somma di DARE",'Pivot PP Visa'!$A$3,"Mese",12,"Tipologia",$A209),0)
- IFERROR(GETPIVOTDATA("Somma di AVERE",'Pivot PP Visa'!$A$3,"Mese",12,"Tipologia",$A209),0)
+ IFERROR(GETPIVOTDATA("Somma di DARE",'Pivot Revolut'!$A$3,"Mese",12,"Tipologia",$A209),0)
- IFERROR(GETPIVOTDATA("Somma di AVERE",'Pivot Revolut'!$A$3,"Mese",12,"Tipologia",$A209),0)</f>
        <v>0</v>
      </c>
      <c r="O209" s="252">
        <f t="shared" si="34"/>
        <v>834.99</v>
      </c>
      <c r="P209" s="243">
        <f t="shared" ca="1" si="33"/>
        <v>119.28428571428572</v>
      </c>
    </row>
    <row r="210" spans="1:16" s="125" customFormat="1" ht="21" customHeight="1" x14ac:dyDescent="0.2">
      <c r="A210" s="259"/>
      <c r="B210" s="259"/>
      <c r="C210" s="260"/>
      <c r="D210" s="260"/>
      <c r="E210" s="260"/>
      <c r="F210" s="260"/>
      <c r="G210" s="260"/>
      <c r="H210" s="260"/>
      <c r="I210" s="260"/>
      <c r="J210" s="260"/>
      <c r="K210" s="260"/>
      <c r="L210" s="260"/>
      <c r="M210" s="260"/>
      <c r="N210" s="260"/>
      <c r="O210" s="260"/>
      <c r="P210" s="260"/>
    </row>
    <row r="211" spans="1:16" s="125" customFormat="1" ht="21" customHeight="1" x14ac:dyDescent="0.2">
      <c r="A211" s="247" t="s">
        <v>185</v>
      </c>
      <c r="B211" s="247"/>
      <c r="C211" s="248">
        <f t="shared" ref="C211:N211" si="35">SUM(C212:C216)</f>
        <v>318.7</v>
      </c>
      <c r="D211" s="248">
        <f t="shared" si="35"/>
        <v>126.9</v>
      </c>
      <c r="E211" s="248">
        <f t="shared" si="35"/>
        <v>157.20000000000002</v>
      </c>
      <c r="F211" s="248">
        <f t="shared" si="35"/>
        <v>416.5</v>
      </c>
      <c r="G211" s="248">
        <f t="shared" si="35"/>
        <v>7.9</v>
      </c>
      <c r="H211" s="248">
        <f t="shared" si="35"/>
        <v>171.20000000000002</v>
      </c>
      <c r="I211" s="248">
        <f t="shared" si="35"/>
        <v>108</v>
      </c>
      <c r="J211" s="248">
        <f t="shared" si="35"/>
        <v>0</v>
      </c>
      <c r="K211" s="248">
        <f t="shared" si="35"/>
        <v>0</v>
      </c>
      <c r="L211" s="248">
        <f t="shared" si="35"/>
        <v>0</v>
      </c>
      <c r="M211" s="248">
        <f t="shared" si="35"/>
        <v>0</v>
      </c>
      <c r="N211" s="248">
        <f t="shared" si="35"/>
        <v>0</v>
      </c>
      <c r="O211" s="249">
        <f t="shared" ref="O211:O216" si="36">SUM(C211:N211)</f>
        <v>1306.4000000000001</v>
      </c>
      <c r="P211" s="248">
        <f ca="1">SUM(P212:P216)</f>
        <v>186.62857142857143</v>
      </c>
    </row>
    <row r="212" spans="1:16" s="125" customFormat="1" ht="21" customHeight="1" x14ac:dyDescent="0.2">
      <c r="A212" s="251" t="s">
        <v>109</v>
      </c>
      <c r="B212" s="251"/>
      <c r="C212" s="243">
        <f>IFERROR(GETPIVOTDATA("Somma di DARE EUR",'Pivot RakBank AED'!$A$3,"Mese",1,"Tipologia",$A212),0)
- IFERROR(GETPIVOTDATA("Somma di AVERE EUR",'Pivot RakBank AED'!$A$3,"Mese",1,"Tipologia",$A212),0)
+IFERROR(GETPIVOTDATA("Somma di DARE",'Pivot RakBank EUR'!$A$3,"Mese",1,"Tipologia",$A212),0)
- IFERROR(GETPIVOTDATA("Somma di AVERE",'Pivot RakBank EUR'!$A$3,"Mese",1,"Tipologia",$A212),0)
+IFERROR(GETPIVOTDATA("Somma di DARE",'Pivot Fineco Sa'!$A$3,"Mese",1,"Tipologia",$A212),0)
+ IFERROR(GETPIVOTDATA("Somma di DARE",'Pivot Fineco St'!$A$3,"Mese",1,"Tipologia",$A212),0)
+ Contanti!B74
+ IFERROR(GETPIVOTDATA("Somma di DARE",'Pivot BBVA'!$A$3,"Mese",1,"Tipologia",$A212),0)
+ IFERROR(GETPIVOTDATA("Somma di DARE",'Pivot Amex'!$A$3,"Mese",1,"Tipologia",$A212),0)
- IFERROR(GETPIVOTDATA("Somma di AVERE",'Pivot Amex'!$A$3,"Mese",1,"Tipologia",$A212),0)
- IFERROR(GETPIVOTDATA("Somma di AVERE",'Pivot BBVA'!$A$3,"Mese",1,"Tipologia",$A212),0)
- IFERROR(GETPIVOTDATA("Somma di AVERE",'Pivot Fineco St'!$A$3,"Mese",1,"Tipologia",$A212),0)
- IFERROR(GETPIVOTDATA("Somma di AVERE",'Pivot Fineco Sa'!$A$3,"Mese",1,"Tipologia",$A212),0)
+ IFERROR(GETPIVOTDATA("Somma di DARE",'Pivot PP Visa'!$A$3,"Mese",1,"Tipologia",$A212),0)
- IFERROR(GETPIVOTDATA("Somma di AVERE",'Pivot PP Visa'!$A$3,"Mese",1,"Tipologia",$A212),0)
+ IFERROR(GETPIVOTDATA("Somma di DARE",'Pivot Revolut'!$A$3,"Mese",1,"Tipologia",$A212),0)
- IFERROR(GETPIVOTDATA("Somma di AVERE",'Pivot Revolut'!$A$3,"Mese",1,"Tipologia",$A212),0)</f>
        <v>0</v>
      </c>
      <c r="D212" s="243">
        <f>IFERROR(GETPIVOTDATA("Somma di DARE EUR",'Pivot RakBank AED'!$A$3,"Mese",2,"Tipologia",$A212),0)
- IFERROR(GETPIVOTDATA("Somma di AVERE EUR",'Pivot RakBank AED'!$A$3,"Mese",2,"Tipologia",$A212),0)
+IFERROR(GETPIVOTDATA("Somma di DARE",'Pivot RakBank EUR'!$A$3,"Mese",2,"Tipologia",$A212),0)
- IFERROR(GETPIVOTDATA("Somma di AVERE",'Pivot RakBank EUR'!$A$3,"Mese",2,"Tipologia",$A212),0)
+IFERROR(GETPIVOTDATA("Somma di DARE",'Pivot Fineco Sa'!$A$3,"Mese",2,"Tipologia",$A212),0)
+ IFERROR(GETPIVOTDATA("Somma di DARE",'Pivot Fineco St'!$A$3,"Mese",2,"Tipologia",$A212),0)
+ Contanti!F74
+ IFERROR(GETPIVOTDATA("Somma di DARE",'Pivot BBVA'!$A$3,"Mese",2,"Tipologia",$A212),0)
+ IFERROR(GETPIVOTDATA("Somma di DARE",'Pivot Amex'!$A$3,"Mese",2,"Tipologia",$A212),0)
- IFERROR(GETPIVOTDATA("Somma di AVERE",'Pivot Amex'!$A$3,"Mese",2,"Tipologia",$A212),0)
- IFERROR(GETPIVOTDATA("Somma di AVERE",'Pivot BBVA'!$A$3,"Mese",2,"Tipologia",$A212),0)
- IFERROR(GETPIVOTDATA("Somma di AVERE",'Pivot Fineco St'!$A$3,"Mese",2,"Tipologia",$A212),0)
- IFERROR(GETPIVOTDATA("Somma di AVERE",'Pivot Fineco Sa'!$A$3,"Mese",2,"Tipologia",$A212),0)
+ IFERROR(GETPIVOTDATA("Somma di DARE",'Pivot PP Visa'!$A$3,"Mese",2,"Tipologia",$A212),0)
- IFERROR(GETPIVOTDATA("Somma di AVERE",'Pivot PP Visa'!$A$3,"Mese",2,"Tipologia",$A212),0)
+ IFERROR(GETPIVOTDATA("Somma di DARE",'Pivot Revolut'!$A$3,"Mese",2,"Tipologia",$A212),0)
- IFERROR(GETPIVOTDATA("Somma di AVERE",'Pivot Revolut'!$A$3,"Mese",2,"Tipologia",$A212),0)</f>
        <v>0</v>
      </c>
      <c r="E212" s="243">
        <f>IFERROR(GETPIVOTDATA("Somma di DARE EUR",'Pivot RakBank AED'!$A$3,"Mese",3,"Tipologia",$A212),0)
- IFERROR(GETPIVOTDATA("Somma di AVERE EUR",'Pivot RakBank AED'!$A$3,"Mese",3,"Tipologia",$A212),0)
+IFERROR(GETPIVOTDATA("Somma di DARE",'Pivot RakBank EUR'!$A$3,"Mese",3,"Tipologia",$A212),0)
- IFERROR(GETPIVOTDATA("Somma di AVERE",'Pivot RakBank EUR'!$A$3,"Mese",3,"Tipologia",$A212),0)
+IFERROR(GETPIVOTDATA("Somma di DARE",'Pivot Fineco Sa'!$A$3,"Mese",3,"Tipologia",$A212),0)
+ IFERROR(GETPIVOTDATA("Somma di DARE",'Pivot Fineco St'!$A$3,"Mese",3,"Tipologia",$A212),0)
+ Contanti!J74
+ IFERROR(GETPIVOTDATA("Somma di DARE",'Pivot BBVA'!$A$3,"Mese",3,"Tipologia",$A212),0)
+ IFERROR(GETPIVOTDATA("Somma di DARE",'Pivot Amex'!$A$3,"Mese",3,"Tipologia",$A212),0)
- IFERROR(GETPIVOTDATA("Somma di AVERE",'Pivot Amex'!$A$3,"Mese",3,"Tipologia",$A212),0)
- IFERROR(GETPIVOTDATA("Somma di AVERE",'Pivot BBVA'!$A$3,"Mese",3,"Tipologia",$A212),0)
- IFERROR(GETPIVOTDATA("Somma di AVERE",'Pivot Fineco St'!$A$3,"Mese",3,"Tipologia",$A212),0)
- IFERROR(GETPIVOTDATA("Somma di AVERE",'Pivot Fineco Sa'!$A$3,"Mese",3,"Tipologia",$A212),0)
+ IFERROR(GETPIVOTDATA("Somma di DARE",'Pivot PP Visa'!$A$3,"Mese",3,"Tipologia",$A212),0)
- IFERROR(GETPIVOTDATA("Somma di AVERE",'Pivot PP Visa'!$A$3,"Mese",3,"Tipologia",$A212),0)
+ IFERROR(GETPIVOTDATA("Somma di DARE",'Pivot Revolut'!$A$3,"Mese",3,"Tipologia",$A212),0)
- IFERROR(GETPIVOTDATA("Somma di AVERE",'Pivot Revolut'!$A$3,"Mese",3,"Tipologia",$A212),0)</f>
        <v>0</v>
      </c>
      <c r="F212" s="243">
        <f>IFERROR(GETPIVOTDATA("Somma di DARE EUR",'Pivot RakBank AED'!$A$3,"Mese",4,"Tipologia",$A212),0)
- IFERROR(GETPIVOTDATA("Somma di AVERE EUR",'Pivot RakBank AED'!$A$3,"Mese",4,"Tipologia",$A212),0)
+IFERROR(GETPIVOTDATA("Somma di DARE",'Pivot RakBank EUR'!$A$3,"Mese",4,"Tipologia",$A212),0)
- IFERROR(GETPIVOTDATA("Somma di AVERE",'Pivot RakBank EUR'!$A$3,"Mese",4,"Tipologia",$A212),0)
+IFERROR(GETPIVOTDATA("Somma di DARE",'Pivot Fineco Sa'!$A$3,"Mese",4,"Tipologia",$A212),0)
+ IFERROR(GETPIVOTDATA("Somma di DARE",'Pivot Fineco St'!$A$3,"Mese",4,"Tipologia",$A212),0)
+ Contanti!N74
+ IFERROR(GETPIVOTDATA("Somma di DARE",'Pivot BBVA'!$A$3,"Mese",4,"Tipologia",$A212),0)
+ IFERROR(GETPIVOTDATA("Somma di DARE",'Pivot Amex'!$A$3,"Mese",4,"Tipologia",$A212),0)
- IFERROR(GETPIVOTDATA("Somma di AVERE",'Pivot Amex'!$A$3,"Mese",4,"Tipologia",$A212),0)
- IFERROR(GETPIVOTDATA("Somma di AVERE",'Pivot BBVA'!$A$3,"Mese",4,"Tipologia",$A212),0)
- IFERROR(GETPIVOTDATA("Somma di AVERE",'Pivot Fineco St'!$A$3,"Mese",4,"Tipologia",$A212),0)
- IFERROR(GETPIVOTDATA("Somma di AVERE",'Pivot Fineco Sa'!$A$3,"Mese",4,"Tipologia",$A212),0)
+ IFERROR(GETPIVOTDATA("Somma di DARE",'Pivot PP Visa'!$A$3,"Mese",4,"Tipologia",$A212),0)
- IFERROR(GETPIVOTDATA("Somma di AVERE",'Pivot PP Visa'!$A$3,"Mese",4,"Tipologia",$A212),0)
+ IFERROR(GETPIVOTDATA("Somma di DARE",'Pivot Revolut'!$A$3,"Mese",4,"Tipologia",$A212),0)
- IFERROR(GETPIVOTDATA("Somma di AVERE",'Pivot Revolut'!$A$3,"Mese",4,"Tipologia",$A212),0)</f>
        <v>0</v>
      </c>
      <c r="G212" s="243">
        <f>IFERROR(GETPIVOTDATA("Somma di DARE EUR",'Pivot RakBank AED'!$A$3,"Mese",5,"Tipologia",$A212),0)
- IFERROR(GETPIVOTDATA("Somma di AVERE EUR",'Pivot RakBank AED'!$A$3,"Mese",5,"Tipologia",$A212),0)
+IFERROR(GETPIVOTDATA("Somma di DARE",'Pivot RakBank EUR'!$A$3,"Mese",5,"Tipologia",$A212),0)
- IFERROR(GETPIVOTDATA("Somma di AVERE",'Pivot RakBank EUR'!$A$3,"Mese",5,"Tipologia",$A212),0)
+IFERROR(GETPIVOTDATA("Somma di DARE",'Pivot Fineco Sa'!$A$3,"Mese",5,"Tipologia",$A212),0)
+ IFERROR(GETPIVOTDATA("Somma di DARE",'Pivot Fineco St'!$A$3,"Mese",5,"Tipologia",$A212),0)
+ Contanti!R74
+ IFERROR(GETPIVOTDATA("Somma di DARE",'Pivot BBVA'!$A$3,"Mese",5,"Tipologia",$A212),0)
+ IFERROR(GETPIVOTDATA("Somma di DARE",'Pivot Amex'!$A$3,"Mese",5,"Tipologia",$A212),0)
- IFERROR(GETPIVOTDATA("Somma di AVERE",'Pivot Amex'!$A$3,"Mese",5,"Tipologia",$A212),0)
- IFERROR(GETPIVOTDATA("Somma di AVERE",'Pivot BBVA'!$A$3,"Mese",5,"Tipologia",$A212),0)
- IFERROR(GETPIVOTDATA("Somma di AVERE",'Pivot Fineco St'!$A$3,"Mese",5,"Tipologia",$A212),0)
- IFERROR(GETPIVOTDATA("Somma di AVERE",'Pivot Fineco Sa'!$A$3,"Mese",5,"Tipologia",$A212),0)
+ IFERROR(GETPIVOTDATA("Somma di DARE",'Pivot PP Visa'!$A$3,"Mese",5,"Tipologia",$A212),0)
- IFERROR(GETPIVOTDATA("Somma di AVERE",'Pivot PP Visa'!$A$3,"Mese",5,"Tipologia",$A212),0)
+ IFERROR(GETPIVOTDATA("Somma di DARE",'Pivot Revolut'!$A$3,"Mese",5,"Tipologia",$A212),0)
- IFERROR(GETPIVOTDATA("Somma di AVERE",'Pivot Revolut'!$A$3,"Mese",5,"Tipologia",$A212),0)</f>
        <v>0</v>
      </c>
      <c r="H212" s="243">
        <f>IFERROR(GETPIVOTDATA("Somma di DARE EUR",'Pivot RakBank AED'!$A$3,"Mese",6,"Tipologia",$A212),0)
- IFERROR(GETPIVOTDATA("Somma di AVERE EUR",'Pivot RakBank AED'!$A$3,"Mese",6,"Tipologia",$A212),0)
+IFERROR(GETPIVOTDATA("Somma di DARE",'Pivot RakBank EUR'!$A$3,"Mese",6,"Tipologia",$A212),0)
- IFERROR(GETPIVOTDATA("Somma di AVERE",'Pivot RakBank EUR'!$A$3,"Mese",6,"Tipologia",$A212),0)
+IFERROR(GETPIVOTDATA("Somma di DARE",'Pivot Fineco Sa'!$A$3,"Mese",6,"Tipologia",$A212),0)
+ IFERROR(GETPIVOTDATA("Somma di DARE",'Pivot Fineco St'!$A$3,"Mese",6,"Tipologia",$A212),0)
+ Contanti!V74
+ IFERROR(GETPIVOTDATA("Somma di DARE",'Pivot BBVA'!$A$3,"Mese",6,"Tipologia",$A212),0)
+ IFERROR(GETPIVOTDATA("Somma di DARE",'Pivot Amex'!$A$3,"Mese",6,"Tipologia",$A212),0)
- IFERROR(GETPIVOTDATA("Somma di AVERE",'Pivot Amex'!$A$3,"Mese",6,"Tipologia",$A212),0)
- IFERROR(GETPIVOTDATA("Somma di AVERE",'Pivot BBVA'!$A$3,"Mese",6,"Tipologia",$A212),0)
- IFERROR(GETPIVOTDATA("Somma di AVERE",'Pivot Fineco St'!$A$3,"Mese",6,"Tipologia",$A212),0)
- IFERROR(GETPIVOTDATA("Somma di AVERE",'Pivot Fineco Sa'!$A$3,"Mese",6,"Tipologia",$A212),0)
+ IFERROR(GETPIVOTDATA("Somma di DARE",'Pivot PP Visa'!$A$3,"Mese",6,"Tipologia",$A212),0)
- IFERROR(GETPIVOTDATA("Somma di AVERE",'Pivot PP Visa'!$A$3,"Mese",6,"Tipologia",$A212),0)
+ IFERROR(GETPIVOTDATA("Somma di DARE",'Pivot Revolut'!$A$3,"Mese",6,"Tipologia",$A212),0)
- IFERROR(GETPIVOTDATA("Somma di AVERE",'Pivot Revolut'!$A$3,"Mese",6,"Tipologia",$A212),0)</f>
        <v>0</v>
      </c>
      <c r="I212" s="243">
        <f>IFERROR(GETPIVOTDATA("Somma di DARE EUR",'Pivot RakBank AED'!$A$3,"Mese",7,"Tipologia",$A212),0)
- IFERROR(GETPIVOTDATA("Somma di AVERE EUR",'Pivot RakBank AED'!$A$3,"Mese",7,"Tipologia",$A212),0)
+IFERROR(GETPIVOTDATA("Somma di DARE",'Pivot RakBank EUR'!$A$3,"Mese",7,"Tipologia",$A212),0)
- IFERROR(GETPIVOTDATA("Somma di AVERE",'Pivot RakBank EUR'!$A$3,"Mese",7,"Tipologia",$A212),0)
+IFERROR(GETPIVOTDATA("Somma di DARE",'Pivot Fineco Sa'!$A$3,"Mese",7,"Tipologia",$A212),0)
+ IFERROR(GETPIVOTDATA("Somma di DARE",'Pivot Fineco St'!$A$3,"Mese",7,"Tipologia",$A212),0)
+ Contanti!Z74
+ IFERROR(GETPIVOTDATA("Somma di DARE",'Pivot BBVA'!$A$3,"Mese",7,"Tipologia",$A212),0)
+ IFERROR(GETPIVOTDATA("Somma di DARE",'Pivot Amex'!$A$3,"Mese",7,"Tipologia",$A212),0)
- IFERROR(GETPIVOTDATA("Somma di AVERE",'Pivot Amex'!$A$3,"Mese",7,"Tipologia",$A212),0)
- IFERROR(GETPIVOTDATA("Somma di AVERE",'Pivot BBVA'!$A$3,"Mese",7,"Tipologia",$A212),0)
- IFERROR(GETPIVOTDATA("Somma di AVERE",'Pivot Fineco St'!$A$3,"Mese",7,"Tipologia",$A212),0)
- IFERROR(GETPIVOTDATA("Somma di AVERE",'Pivot Fineco Sa'!$A$3,"Mese",7,"Tipologia",$A212),0)
+ IFERROR(GETPIVOTDATA("Somma di DARE",'Pivot PP Visa'!$A$3,"Mese",7,"Tipologia",$A212),0)
- IFERROR(GETPIVOTDATA("Somma di AVERE",'Pivot PP Visa'!$A$3,"Mese",7,"Tipologia",$A212),0)
+ IFERROR(GETPIVOTDATA("Somma di DARE",'Pivot Revolut'!$A$3,"Mese",7,"Tipologia",$A212),0)
- IFERROR(GETPIVOTDATA("Somma di AVERE",'Pivot Revolut'!$A$3,"Mese",7,"Tipologia",$A212),0)</f>
        <v>0</v>
      </c>
      <c r="J212" s="243">
        <f>IFERROR(GETPIVOTDATA("Somma di DARE EUR",'Pivot RakBank AED'!$A$3,"Mese",8,"Tipologia",$A212),0)
- IFERROR(GETPIVOTDATA("Somma di AVERE EUR",'Pivot RakBank AED'!$A$3,"Mese",8,"Tipologia",$A212),0)
+IFERROR(GETPIVOTDATA("Somma di DARE",'Pivot RakBank EUR'!$A$3,"Mese",8,"Tipologia",$A212),0)
- IFERROR(GETPIVOTDATA("Somma di AVERE",'Pivot RakBank EUR'!$A$3,"Mese",8,"Tipologia",$A212),0)
+IFERROR(GETPIVOTDATA("Somma di DARE",'Pivot Fineco Sa'!$A$3,"Mese",8,"Tipologia",$A212),0)
+ IFERROR(GETPIVOTDATA("Somma di DARE",'Pivot Fineco St'!$A$3,"Mese",8,"Tipologia",$A212),0)
+ Contanti!AD74
+ IFERROR(GETPIVOTDATA("Somma di DARE",'Pivot BBVA'!$A$3,"Mese",8,"Tipologia",$A212),0)
+ IFERROR(GETPIVOTDATA("Somma di DARE",'Pivot Amex'!$A$3,"Mese",8,"Tipologia",$A212),0)
- IFERROR(GETPIVOTDATA("Somma di AVERE",'Pivot Amex'!$A$3,"Mese",8,"Tipologia",$A212),0)
- IFERROR(GETPIVOTDATA("Somma di AVERE",'Pivot BBVA'!$A$3,"Mese",8,"Tipologia",$A212),0)
- IFERROR(GETPIVOTDATA("Somma di AVERE",'Pivot Fineco St'!$A$3,"Mese",8,"Tipologia",$A212),0)
- IFERROR(GETPIVOTDATA("Somma di AVERE",'Pivot Fineco Sa'!$A$3,"Mese",8,"Tipologia",$A212),0)
+ IFERROR(GETPIVOTDATA("Somma di DARE",'Pivot PP Visa'!$A$3,"Mese",8,"Tipologia",$A212),0)
- IFERROR(GETPIVOTDATA("Somma di AVERE",'Pivot PP Visa'!$A$3,"Mese",8,"Tipologia",$A212),0)
+ IFERROR(GETPIVOTDATA("Somma di DARE",'Pivot Revolut'!$A$3,"Mese",8,"Tipologia",$A212),0)
- IFERROR(GETPIVOTDATA("Somma di AVERE",'Pivot Revolut'!$A$3,"Mese",8,"Tipologia",$A212),0)</f>
        <v>0</v>
      </c>
      <c r="K212" s="243">
        <f>IFERROR(GETPIVOTDATA("Somma di DARE EUR",'Pivot RakBank AED'!$A$3,"Mese",9,"Tipologia",$A212),0)
- IFERROR(GETPIVOTDATA("Somma di AVERE EUR",'Pivot RakBank AED'!$A$3,"Mese",9,"Tipologia",$A212),0)
+IFERROR(GETPIVOTDATA("Somma di DARE",'Pivot RakBank EUR'!$A$3,"Mese",9,"Tipologia",$A212),0)
- IFERROR(GETPIVOTDATA("Somma di AVERE",'Pivot RakBank EUR'!$A$3,"Mese",9,"Tipologia",$A212),0)
+IFERROR(GETPIVOTDATA("Somma di DARE",'Pivot Fineco Sa'!$A$3,"Mese",9,"Tipologia",$A212),0)
+ IFERROR(GETPIVOTDATA("Somma di DARE",'Pivot Fineco St'!$A$3,"Mese",9,"Tipologia",$A212),0)
+ Contanti!AH74
+ IFERROR(GETPIVOTDATA("Somma di DARE",'Pivot BBVA'!$A$3,"Mese",9,"Tipologia",$A212),0)
+ IFERROR(GETPIVOTDATA("Somma di DARE",'Pivot Amex'!$A$3,"Mese",9,"Tipologia",$A212),0)
- IFERROR(GETPIVOTDATA("Somma di AVERE",'Pivot Amex'!$A$3,"Mese",9,"Tipologia",$A212),0)
- IFERROR(GETPIVOTDATA("Somma di AVERE",'Pivot BBVA'!$A$3,"Mese",9,"Tipologia",$A212),0)
- IFERROR(GETPIVOTDATA("Somma di AVERE",'Pivot Fineco St'!$A$3,"Mese",9,"Tipologia",$A212),0)
- IFERROR(GETPIVOTDATA("Somma di AVERE",'Pivot Fineco Sa'!$A$3,"Mese",9,"Tipologia",$A212),0)
+ IFERROR(GETPIVOTDATA("Somma di DARE",'Pivot PP Visa'!$A$3,"Mese",9,"Tipologia",$A212),0)
- IFERROR(GETPIVOTDATA("Somma di AVERE",'Pivot PP Visa'!$A$3,"Mese",9,"Tipologia",$A212),0)
+ IFERROR(GETPIVOTDATA("Somma di DARE",'Pivot Revolut'!$A$3,"Mese",9,"Tipologia",$A212),0)
- IFERROR(GETPIVOTDATA("Somma di AVERE",'Pivot Revolut'!$A$3,"Mese",9,"Tipologia",$A212),0)</f>
        <v>0</v>
      </c>
      <c r="L212" s="243">
        <f>IFERROR(GETPIVOTDATA("Somma di DARE EUR",'Pivot RakBank AED'!$A$3,"Mese",10,"Tipologia",$A212),0)
- IFERROR(GETPIVOTDATA("Somma di AVERE EUR",'Pivot RakBank AED'!$A$3,"Mese",10,"Tipologia",$A212),0)
+IFERROR(GETPIVOTDATA("Somma di DARE",'Pivot RakBank EUR'!$A$3,"Mese",10,"Tipologia",$A212),0)
- IFERROR(GETPIVOTDATA("Somma di AVERE",'Pivot RakBank EUR'!$A$3,"Mese",10,"Tipologia",$A212),0)
+IFERROR(GETPIVOTDATA("Somma di DARE",'Pivot Fineco Sa'!$A$3,"Mese",10,"Tipologia",$A212),0)
+ IFERROR(GETPIVOTDATA("Somma di DARE",'Pivot Fineco St'!$A$3,"Mese",10,"Tipologia",$A212),0)
+ Contanti!AL74
+ IFERROR(GETPIVOTDATA("Somma di DARE",'Pivot BBVA'!$A$3,"Mese",10,"Tipologia",$A212),0)
+ IFERROR(GETPIVOTDATA("Somma di DARE",'Pivot Amex'!$A$3,"Mese",10,"Tipologia",$A212),0)
- IFERROR(GETPIVOTDATA("Somma di AVERE",'Pivot Amex'!$A$3,"Mese",10,"Tipologia",$A212),0)
- IFERROR(GETPIVOTDATA("Somma di AVERE",'Pivot BBVA'!$A$3,"Mese",10,"Tipologia",$A212),0)
- IFERROR(GETPIVOTDATA("Somma di AVERE",'Pivot Fineco St'!$A$3,"Mese",10,"Tipologia",$A212),0)
- IFERROR(GETPIVOTDATA("Somma di AVERE",'Pivot Fineco Sa'!$A$3,"Mese",10,"Tipologia",$A212),0)
+ IFERROR(GETPIVOTDATA("Somma di DARE",'Pivot PP Visa'!$A$3,"Mese",10,"Tipologia",$A212),0)
- IFERROR(GETPIVOTDATA("Somma di AVERE",'Pivot PP Visa'!$A$3,"Mese",10,"Tipologia",$A212),0)
+ IFERROR(GETPIVOTDATA("Somma di DARE",'Pivot Revolut'!$A$3,"Mese",10,"Tipologia",$A212),0)
- IFERROR(GETPIVOTDATA("Somma di AVERE",'Pivot Revolut'!$A$3,"Mese",10,"Tipologia",$A212),0)</f>
        <v>0</v>
      </c>
      <c r="M212" s="243">
        <f>IFERROR(GETPIVOTDATA("Somma di DARE EUR",'Pivot RakBank AED'!$A$3,"Mese",11,"Tipologia",$A212),0)
- IFERROR(GETPIVOTDATA("Somma di AVERE EUR",'Pivot RakBank AED'!$A$3,"Mese",11,"Tipologia",$A212),0)
+IFERROR(GETPIVOTDATA("Somma di DARE",'Pivot RakBank EUR'!$A$3,"Mese",11,"Tipologia",$A212),0)
- IFERROR(GETPIVOTDATA("Somma di AVERE",'Pivot RakBank EUR'!$A$3,"Mese",11,"Tipologia",$A212),0)
+IFERROR(GETPIVOTDATA("Somma di DARE",'Pivot Fineco Sa'!$A$3,"Mese",11,"Tipologia",$A212),0)
+ IFERROR(GETPIVOTDATA("Somma di DARE",'Pivot Fineco St'!$A$3,"Mese",11,"Tipologia",$A212),0)
+ Contanti!AP74
+ IFERROR(GETPIVOTDATA("Somma di DARE",'Pivot BBVA'!$A$3,"Mese",11,"Tipologia",$A212),0)
+ IFERROR(GETPIVOTDATA("Somma di DARE",'Pivot Amex'!$A$3,"Mese",11,"Tipologia",$A212),0)
- IFERROR(GETPIVOTDATA("Somma di AVERE",'Pivot Amex'!$A$3,"Mese",11,"Tipologia",$A212),0)
- IFERROR(GETPIVOTDATA("Somma di AVERE",'Pivot BBVA'!$A$3,"Mese",11,"Tipologia",$A212),0)
- IFERROR(GETPIVOTDATA("Somma di AVERE",'Pivot Fineco St'!$A$3,"Mese",11,"Tipologia",$A212),0)
- IFERROR(GETPIVOTDATA("Somma di AVERE",'Pivot Fineco Sa'!$A$3,"Mese",11,"Tipologia",$A212),0)
+ IFERROR(GETPIVOTDATA("Somma di DARE",'Pivot PP Visa'!$A$3,"Mese",11,"Tipologia",$A212),0)
- IFERROR(GETPIVOTDATA("Somma di AVERE",'Pivot PP Visa'!$A$3,"Mese",11,"Tipologia",$A212),0)
+ IFERROR(GETPIVOTDATA("Somma di DARE",'Pivot Revolut'!$A$3,"Mese",11,"Tipologia",$A212),0)
- IFERROR(GETPIVOTDATA("Somma di AVERE",'Pivot Revolut'!$A$3,"Mese",11,"Tipologia",$A212),0)</f>
        <v>0</v>
      </c>
      <c r="N212" s="243">
        <f>IFERROR(GETPIVOTDATA("Somma di DARE EUR",'Pivot RakBank AED'!$A$3,"Mese",12,"Tipologia",$A212),0)
- IFERROR(GETPIVOTDATA("Somma di AVERE EUR",'Pivot RakBank AED'!$A$3,"Mese",12,"Tipologia",$A212),0)
+IFERROR(GETPIVOTDATA("Somma di DARE",'Pivot RakBank EUR'!$A$3,"Mese",12,"Tipologia",$A212),0)
- IFERROR(GETPIVOTDATA("Somma di AVERE",'Pivot RakBank EUR'!$A$3,"Mese",12,"Tipologia",$A212),0)
+IFERROR(GETPIVOTDATA("Somma di DARE",'Pivot Fineco Sa'!$A$3,"Mese",12,"Tipologia",$A212),0)
+ IFERROR(GETPIVOTDATA("Somma di DARE",'Pivot Fineco St'!$A$3,"Mese",12,"Tipologia",$A212),0)
+ Contanti!AT74
+ IFERROR(GETPIVOTDATA("Somma di DARE",'Pivot BBVA'!$A$3,"Mese",12,"Tipologia",$A212),0)
+ IFERROR(GETPIVOTDATA("Somma di DARE",'Pivot Amex'!$A$3,"Mese",12,"Tipologia",$A212),0)
- IFERROR(GETPIVOTDATA("Somma di AVERE",'Pivot Amex'!$A$3,"Mese",12,"Tipologia",$A212),0)
- IFERROR(GETPIVOTDATA("Somma di AVERE",'Pivot BBVA'!$A$3,"Mese",12,"Tipologia",$A212),0)
- IFERROR(GETPIVOTDATA("Somma di AVERE",'Pivot Fineco St'!$A$3,"Mese",12,"Tipologia",$A212),0)
- IFERROR(GETPIVOTDATA("Somma di AVERE",'Pivot Fineco Sa'!$A$3,"Mese",12,"Tipologia",$A212),0)
+ IFERROR(GETPIVOTDATA("Somma di DARE",'Pivot PP Visa'!$A$3,"Mese",12,"Tipologia",$A212),0)
- IFERROR(GETPIVOTDATA("Somma di AVERE",'Pivot PP Visa'!$A$3,"Mese",12,"Tipologia",$A212),0)
+ IFERROR(GETPIVOTDATA("Somma di DARE",'Pivot Revolut'!$A$3,"Mese",12,"Tipologia",$A212),0)
- IFERROR(GETPIVOTDATA("Somma di AVERE",'Pivot Revolut'!$A$3,"Mese",12,"Tipologia",$A212),0)</f>
        <v>0</v>
      </c>
      <c r="O212" s="252">
        <f t="shared" si="36"/>
        <v>0</v>
      </c>
      <c r="P212" s="243">
        <f t="shared" ref="P212:P216" ca="1" si="37">O212/(MONTH(TODAY()))</f>
        <v>0</v>
      </c>
    </row>
    <row r="213" spans="1:16" s="125" customFormat="1" ht="21" customHeight="1" x14ac:dyDescent="0.2">
      <c r="A213" s="251" t="s">
        <v>123</v>
      </c>
      <c r="B213" s="251"/>
      <c r="C213" s="243">
        <f>IFERROR(GETPIVOTDATA("Somma di DARE EUR",'Pivot RakBank AED'!$A$3,"Mese",1,"Tipologia",$A213),0)
- IFERROR(GETPIVOTDATA("Somma di AVERE EUR",'Pivot RakBank AED'!$A$3,"Mese",1,"Tipologia",$A213),0)
+IFERROR(GETPIVOTDATA("Somma di DARE",'Pivot RakBank EUR'!$A$3,"Mese",1,"Tipologia",$A213),0)
- IFERROR(GETPIVOTDATA("Somma di AVERE",'Pivot RakBank EUR'!$A$3,"Mese",1,"Tipologia",$A213),0)
+IFERROR(GETPIVOTDATA("Somma di DARE",'Pivot Fineco Sa'!$A$3,"Mese",1,"Tipologia",$A213),0)
+ IFERROR(GETPIVOTDATA("Somma di DARE",'Pivot Fineco St'!$A$3,"Mese",1,"Tipologia",$A213),0)
+ Contanti!B75
+ IFERROR(GETPIVOTDATA("Somma di DARE",'Pivot BBVA'!$A$3,"Mese",1,"Tipologia",$A213),0)
+ IFERROR(GETPIVOTDATA("Somma di DARE",'Pivot Amex'!$A$3,"Mese",1,"Tipologia",$A213),0)
- IFERROR(GETPIVOTDATA("Somma di AVERE",'Pivot Amex'!$A$3,"Mese",1,"Tipologia",$A213),0)
- IFERROR(GETPIVOTDATA("Somma di AVERE",'Pivot BBVA'!$A$3,"Mese",1,"Tipologia",$A213),0)
- IFERROR(GETPIVOTDATA("Somma di AVERE",'Pivot Fineco St'!$A$3,"Mese",1,"Tipologia",$A213),0)
- IFERROR(GETPIVOTDATA("Somma di AVERE",'Pivot Fineco Sa'!$A$3,"Mese",1,"Tipologia",$A213),0)
+ IFERROR(GETPIVOTDATA("Somma di DARE",'Pivot PP Visa'!$A$3,"Mese",1,"Tipologia",$A213),0)
- IFERROR(GETPIVOTDATA("Somma di AVERE",'Pivot PP Visa'!$A$3,"Mese",1,"Tipologia",$A213),0)
+ IFERROR(GETPIVOTDATA("Somma di DARE",'Pivot Revolut'!$A$3,"Mese",1,"Tipologia",$A213),0)
- IFERROR(GETPIVOTDATA("Somma di AVERE",'Pivot Revolut'!$A$3,"Mese",1,"Tipologia",$A213),0)</f>
        <v>310.8</v>
      </c>
      <c r="D213" s="243">
        <f>IFERROR(GETPIVOTDATA("Somma di DARE EUR",'Pivot RakBank AED'!$A$3,"Mese",2,"Tipologia",$A213),0)
- IFERROR(GETPIVOTDATA("Somma di AVERE EUR",'Pivot RakBank AED'!$A$3,"Mese",2,"Tipologia",$A213),0)
+IFERROR(GETPIVOTDATA("Somma di DARE",'Pivot RakBank EUR'!$A$3,"Mese",2,"Tipologia",$A213),0)
- IFERROR(GETPIVOTDATA("Somma di AVERE",'Pivot RakBank EUR'!$A$3,"Mese",2,"Tipologia",$A213),0)
+IFERROR(GETPIVOTDATA("Somma di DARE",'Pivot Fineco Sa'!$A$3,"Mese",2,"Tipologia",$A213),0)
+ IFERROR(GETPIVOTDATA("Somma di DARE",'Pivot Fineco St'!$A$3,"Mese",2,"Tipologia",$A213),0)
+ Contanti!F75
+ IFERROR(GETPIVOTDATA("Somma di DARE",'Pivot BBVA'!$A$3,"Mese",2,"Tipologia",$A213),0)
+ IFERROR(GETPIVOTDATA("Somma di DARE",'Pivot Amex'!$A$3,"Mese",2,"Tipologia",$A213),0)
- IFERROR(GETPIVOTDATA("Somma di AVERE",'Pivot Amex'!$A$3,"Mese",2,"Tipologia",$A213),0)
- IFERROR(GETPIVOTDATA("Somma di AVERE",'Pivot BBVA'!$A$3,"Mese",2,"Tipologia",$A213),0)
- IFERROR(GETPIVOTDATA("Somma di AVERE",'Pivot Fineco St'!$A$3,"Mese",2,"Tipologia",$A213),0)
- IFERROR(GETPIVOTDATA("Somma di AVERE",'Pivot Fineco Sa'!$A$3,"Mese",2,"Tipologia",$A213),0)
+ IFERROR(GETPIVOTDATA("Somma di DARE",'Pivot PP Visa'!$A$3,"Mese",2,"Tipologia",$A213),0)
- IFERROR(GETPIVOTDATA("Somma di AVERE",'Pivot PP Visa'!$A$3,"Mese",2,"Tipologia",$A213),0)
+ IFERROR(GETPIVOTDATA("Somma di DARE",'Pivot Revolut'!$A$3,"Mese",2,"Tipologia",$A213),0)
- IFERROR(GETPIVOTDATA("Somma di AVERE",'Pivot Revolut'!$A$3,"Mese",2,"Tipologia",$A213),0)</f>
        <v>119</v>
      </c>
      <c r="E213" s="243">
        <f>IFERROR(GETPIVOTDATA("Somma di DARE EUR",'Pivot RakBank AED'!$A$3,"Mese",3,"Tipologia",$A213),0)
- IFERROR(GETPIVOTDATA("Somma di AVERE EUR",'Pivot RakBank AED'!$A$3,"Mese",3,"Tipologia",$A213),0)
+IFERROR(GETPIVOTDATA("Somma di DARE",'Pivot RakBank EUR'!$A$3,"Mese",3,"Tipologia",$A213),0)
- IFERROR(GETPIVOTDATA("Somma di AVERE",'Pivot RakBank EUR'!$A$3,"Mese",3,"Tipologia",$A213),0)
+IFERROR(GETPIVOTDATA("Somma di DARE",'Pivot Fineco Sa'!$A$3,"Mese",3,"Tipologia",$A213),0)
+ IFERROR(GETPIVOTDATA("Somma di DARE",'Pivot Fineco St'!$A$3,"Mese",3,"Tipologia",$A213),0)
+ Contanti!J75
+ IFERROR(GETPIVOTDATA("Somma di DARE",'Pivot BBVA'!$A$3,"Mese",3,"Tipologia",$A213),0)
+ IFERROR(GETPIVOTDATA("Somma di DARE",'Pivot Amex'!$A$3,"Mese",3,"Tipologia",$A213),0)
- IFERROR(GETPIVOTDATA("Somma di AVERE",'Pivot Amex'!$A$3,"Mese",3,"Tipologia",$A213),0)
- IFERROR(GETPIVOTDATA("Somma di AVERE",'Pivot BBVA'!$A$3,"Mese",3,"Tipologia",$A213),0)
- IFERROR(GETPIVOTDATA("Somma di AVERE",'Pivot Fineco St'!$A$3,"Mese",3,"Tipologia",$A213),0)
- IFERROR(GETPIVOTDATA("Somma di AVERE",'Pivot Fineco Sa'!$A$3,"Mese",3,"Tipologia",$A213),0)
+ IFERROR(GETPIVOTDATA("Somma di DARE",'Pivot PP Visa'!$A$3,"Mese",3,"Tipologia",$A213),0)
- IFERROR(GETPIVOTDATA("Somma di AVERE",'Pivot PP Visa'!$A$3,"Mese",3,"Tipologia",$A213),0)
+ IFERROR(GETPIVOTDATA("Somma di DARE",'Pivot Revolut'!$A$3,"Mese",3,"Tipologia",$A213),0)
- IFERROR(GETPIVOTDATA("Somma di AVERE",'Pivot Revolut'!$A$3,"Mese",3,"Tipologia",$A213),0)</f>
        <v>149.30000000000001</v>
      </c>
      <c r="F213" s="243">
        <f>IFERROR(GETPIVOTDATA("Somma di DARE EUR",'Pivot RakBank AED'!$A$3,"Mese",4,"Tipologia",$A213),0)
- IFERROR(GETPIVOTDATA("Somma di AVERE EUR",'Pivot RakBank AED'!$A$3,"Mese",4,"Tipologia",$A213),0)
+IFERROR(GETPIVOTDATA("Somma di DARE",'Pivot RakBank EUR'!$A$3,"Mese",4,"Tipologia",$A213),0)
- IFERROR(GETPIVOTDATA("Somma di AVERE",'Pivot RakBank EUR'!$A$3,"Mese",4,"Tipologia",$A213),0)
+IFERROR(GETPIVOTDATA("Somma di DARE",'Pivot Fineco Sa'!$A$3,"Mese",4,"Tipologia",$A213),0)
+ IFERROR(GETPIVOTDATA("Somma di DARE",'Pivot Fineco St'!$A$3,"Mese",4,"Tipologia",$A213),0)
+ Contanti!N75
+ IFERROR(GETPIVOTDATA("Somma di DARE",'Pivot BBVA'!$A$3,"Mese",4,"Tipologia",$A213),0)
+ IFERROR(GETPIVOTDATA("Somma di DARE",'Pivot Amex'!$A$3,"Mese",4,"Tipologia",$A213),0)
- IFERROR(GETPIVOTDATA("Somma di AVERE",'Pivot Amex'!$A$3,"Mese",4,"Tipologia",$A213),0)
- IFERROR(GETPIVOTDATA("Somma di AVERE",'Pivot BBVA'!$A$3,"Mese",4,"Tipologia",$A213),0)
- IFERROR(GETPIVOTDATA("Somma di AVERE",'Pivot Fineco St'!$A$3,"Mese",4,"Tipologia",$A213),0)
- IFERROR(GETPIVOTDATA("Somma di AVERE",'Pivot Fineco Sa'!$A$3,"Mese",4,"Tipologia",$A213),0)
+ IFERROR(GETPIVOTDATA("Somma di DARE",'Pivot PP Visa'!$A$3,"Mese",4,"Tipologia",$A213),0)
- IFERROR(GETPIVOTDATA("Somma di AVERE",'Pivot PP Visa'!$A$3,"Mese",4,"Tipologia",$A213),0)
+ IFERROR(GETPIVOTDATA("Somma di DARE",'Pivot Revolut'!$A$3,"Mese",4,"Tipologia",$A213),0)
- IFERROR(GETPIVOTDATA("Somma di AVERE",'Pivot Revolut'!$A$3,"Mese",4,"Tipologia",$A213),0)</f>
        <v>408.6</v>
      </c>
      <c r="G213" s="243">
        <f>IFERROR(GETPIVOTDATA("Somma di DARE EUR",'Pivot RakBank AED'!$A$3,"Mese",5,"Tipologia",$A213),0)
- IFERROR(GETPIVOTDATA("Somma di AVERE EUR",'Pivot RakBank AED'!$A$3,"Mese",5,"Tipologia",$A213),0)
+IFERROR(GETPIVOTDATA("Somma di DARE",'Pivot RakBank EUR'!$A$3,"Mese",5,"Tipologia",$A213),0)
- IFERROR(GETPIVOTDATA("Somma di AVERE",'Pivot RakBank EUR'!$A$3,"Mese",5,"Tipologia",$A213),0)
+IFERROR(GETPIVOTDATA("Somma di DARE",'Pivot Fineco Sa'!$A$3,"Mese",5,"Tipologia",$A213),0)
+ IFERROR(GETPIVOTDATA("Somma di DARE",'Pivot Fineco St'!$A$3,"Mese",5,"Tipologia",$A213),0)
+ Contanti!R75
+ IFERROR(GETPIVOTDATA("Somma di DARE",'Pivot BBVA'!$A$3,"Mese",5,"Tipologia",$A213),0)
+ IFERROR(GETPIVOTDATA("Somma di DARE",'Pivot Amex'!$A$3,"Mese",5,"Tipologia",$A213),0)
- IFERROR(GETPIVOTDATA("Somma di AVERE",'Pivot Amex'!$A$3,"Mese",5,"Tipologia",$A213),0)
- IFERROR(GETPIVOTDATA("Somma di AVERE",'Pivot BBVA'!$A$3,"Mese",5,"Tipologia",$A213),0)
- IFERROR(GETPIVOTDATA("Somma di AVERE",'Pivot Fineco St'!$A$3,"Mese",5,"Tipologia",$A213),0)
- IFERROR(GETPIVOTDATA("Somma di AVERE",'Pivot Fineco Sa'!$A$3,"Mese",5,"Tipologia",$A213),0)
+ IFERROR(GETPIVOTDATA("Somma di DARE",'Pivot PP Visa'!$A$3,"Mese",5,"Tipologia",$A213),0)
- IFERROR(GETPIVOTDATA("Somma di AVERE",'Pivot PP Visa'!$A$3,"Mese",5,"Tipologia",$A213),0)
+ IFERROR(GETPIVOTDATA("Somma di DARE",'Pivot Revolut'!$A$3,"Mese",5,"Tipologia",$A213),0)
- IFERROR(GETPIVOTDATA("Somma di AVERE",'Pivot Revolut'!$A$3,"Mese",5,"Tipologia",$A213),0)</f>
        <v>0</v>
      </c>
      <c r="H213" s="243">
        <f>IFERROR(GETPIVOTDATA("Somma di DARE EUR",'Pivot RakBank AED'!$A$3,"Mese",6,"Tipologia",$A213),0)
- IFERROR(GETPIVOTDATA("Somma di AVERE EUR",'Pivot RakBank AED'!$A$3,"Mese",6,"Tipologia",$A213),0)
+IFERROR(GETPIVOTDATA("Somma di DARE",'Pivot RakBank EUR'!$A$3,"Mese",6,"Tipologia",$A213),0)
- IFERROR(GETPIVOTDATA("Somma di AVERE",'Pivot RakBank EUR'!$A$3,"Mese",6,"Tipologia",$A213),0)
+IFERROR(GETPIVOTDATA("Somma di DARE",'Pivot Fineco Sa'!$A$3,"Mese",6,"Tipologia",$A213),0)
+ IFERROR(GETPIVOTDATA("Somma di DARE",'Pivot Fineco St'!$A$3,"Mese",6,"Tipologia",$A213),0)
+ Contanti!V75
+ IFERROR(GETPIVOTDATA("Somma di DARE",'Pivot BBVA'!$A$3,"Mese",6,"Tipologia",$A213),0)
+ IFERROR(GETPIVOTDATA("Somma di DARE",'Pivot Amex'!$A$3,"Mese",6,"Tipologia",$A213),0)
- IFERROR(GETPIVOTDATA("Somma di AVERE",'Pivot Amex'!$A$3,"Mese",6,"Tipologia",$A213),0)
- IFERROR(GETPIVOTDATA("Somma di AVERE",'Pivot BBVA'!$A$3,"Mese",6,"Tipologia",$A213),0)
- IFERROR(GETPIVOTDATA("Somma di AVERE",'Pivot Fineco St'!$A$3,"Mese",6,"Tipologia",$A213),0)
- IFERROR(GETPIVOTDATA("Somma di AVERE",'Pivot Fineco Sa'!$A$3,"Mese",6,"Tipologia",$A213),0)
+ IFERROR(GETPIVOTDATA("Somma di DARE",'Pivot PP Visa'!$A$3,"Mese",6,"Tipologia",$A213),0)
- IFERROR(GETPIVOTDATA("Somma di AVERE",'Pivot PP Visa'!$A$3,"Mese",6,"Tipologia",$A213),0)
+ IFERROR(GETPIVOTDATA("Somma di DARE",'Pivot Revolut'!$A$3,"Mese",6,"Tipologia",$A213),0)
- IFERROR(GETPIVOTDATA("Somma di AVERE",'Pivot Revolut'!$A$3,"Mese",6,"Tipologia",$A213),0)</f>
        <v>149.30000000000001</v>
      </c>
      <c r="I213" s="243">
        <f>IFERROR(GETPIVOTDATA("Somma di DARE EUR",'Pivot RakBank AED'!$A$3,"Mese",7,"Tipologia",$A213),0)
- IFERROR(GETPIVOTDATA("Somma di AVERE EUR",'Pivot RakBank AED'!$A$3,"Mese",7,"Tipologia",$A213),0)
+IFERROR(GETPIVOTDATA("Somma di DARE",'Pivot RakBank EUR'!$A$3,"Mese",7,"Tipologia",$A213),0)
- IFERROR(GETPIVOTDATA("Somma di AVERE",'Pivot RakBank EUR'!$A$3,"Mese",7,"Tipologia",$A213),0)
+IFERROR(GETPIVOTDATA("Somma di DARE",'Pivot Fineco Sa'!$A$3,"Mese",7,"Tipologia",$A213),0)
+ IFERROR(GETPIVOTDATA("Somma di DARE",'Pivot Fineco St'!$A$3,"Mese",7,"Tipologia",$A213),0)
+ Contanti!Z75
+ IFERROR(GETPIVOTDATA("Somma di DARE",'Pivot BBVA'!$A$3,"Mese",7,"Tipologia",$A213),0)
+ IFERROR(GETPIVOTDATA("Somma di DARE",'Pivot Amex'!$A$3,"Mese",7,"Tipologia",$A213),0)
- IFERROR(GETPIVOTDATA("Somma di AVERE",'Pivot Amex'!$A$3,"Mese",7,"Tipologia",$A213),0)
- IFERROR(GETPIVOTDATA("Somma di AVERE",'Pivot BBVA'!$A$3,"Mese",7,"Tipologia",$A213),0)
- IFERROR(GETPIVOTDATA("Somma di AVERE",'Pivot Fineco St'!$A$3,"Mese",7,"Tipologia",$A213),0)
- IFERROR(GETPIVOTDATA("Somma di AVERE",'Pivot Fineco Sa'!$A$3,"Mese",7,"Tipologia",$A213),0)
+ IFERROR(GETPIVOTDATA("Somma di DARE",'Pivot PP Visa'!$A$3,"Mese",7,"Tipologia",$A213),0)
- IFERROR(GETPIVOTDATA("Somma di AVERE",'Pivot PP Visa'!$A$3,"Mese",7,"Tipologia",$A213),0)
+ IFERROR(GETPIVOTDATA("Somma di DARE",'Pivot Revolut'!$A$3,"Mese",7,"Tipologia",$A213),0)
- IFERROR(GETPIVOTDATA("Somma di AVERE",'Pivot Revolut'!$A$3,"Mese",7,"Tipologia",$A213),0)</f>
        <v>108</v>
      </c>
      <c r="J213" s="243">
        <f>IFERROR(GETPIVOTDATA("Somma di DARE EUR",'Pivot RakBank AED'!$A$3,"Mese",8,"Tipologia",$A213),0)
- IFERROR(GETPIVOTDATA("Somma di AVERE EUR",'Pivot RakBank AED'!$A$3,"Mese",8,"Tipologia",$A213),0)
+IFERROR(GETPIVOTDATA("Somma di DARE",'Pivot RakBank EUR'!$A$3,"Mese",8,"Tipologia",$A213),0)
- IFERROR(GETPIVOTDATA("Somma di AVERE",'Pivot RakBank EUR'!$A$3,"Mese",8,"Tipologia",$A213),0)
+IFERROR(GETPIVOTDATA("Somma di DARE",'Pivot Fineco Sa'!$A$3,"Mese",8,"Tipologia",$A213),0)
+ IFERROR(GETPIVOTDATA("Somma di DARE",'Pivot Fineco St'!$A$3,"Mese",8,"Tipologia",$A213),0)
+ Contanti!AD75
+ IFERROR(GETPIVOTDATA("Somma di DARE",'Pivot BBVA'!$A$3,"Mese",8,"Tipologia",$A213),0)
+ IFERROR(GETPIVOTDATA("Somma di DARE",'Pivot Amex'!$A$3,"Mese",8,"Tipologia",$A213),0)
- IFERROR(GETPIVOTDATA("Somma di AVERE",'Pivot Amex'!$A$3,"Mese",8,"Tipologia",$A213),0)
- IFERROR(GETPIVOTDATA("Somma di AVERE",'Pivot BBVA'!$A$3,"Mese",8,"Tipologia",$A213),0)
- IFERROR(GETPIVOTDATA("Somma di AVERE",'Pivot Fineco St'!$A$3,"Mese",8,"Tipologia",$A213),0)
- IFERROR(GETPIVOTDATA("Somma di AVERE",'Pivot Fineco Sa'!$A$3,"Mese",8,"Tipologia",$A213),0)
+ IFERROR(GETPIVOTDATA("Somma di DARE",'Pivot PP Visa'!$A$3,"Mese",8,"Tipologia",$A213),0)
- IFERROR(GETPIVOTDATA("Somma di AVERE",'Pivot PP Visa'!$A$3,"Mese",8,"Tipologia",$A213),0)
+ IFERROR(GETPIVOTDATA("Somma di DARE",'Pivot Revolut'!$A$3,"Mese",8,"Tipologia",$A213),0)
- IFERROR(GETPIVOTDATA("Somma di AVERE",'Pivot Revolut'!$A$3,"Mese",8,"Tipologia",$A213),0)</f>
        <v>0</v>
      </c>
      <c r="K213" s="243">
        <f>IFERROR(GETPIVOTDATA("Somma di DARE EUR",'Pivot RakBank AED'!$A$3,"Mese",9,"Tipologia",$A213),0)
- IFERROR(GETPIVOTDATA("Somma di AVERE EUR",'Pivot RakBank AED'!$A$3,"Mese",9,"Tipologia",$A213),0)
+IFERROR(GETPIVOTDATA("Somma di DARE",'Pivot RakBank EUR'!$A$3,"Mese",9,"Tipologia",$A213),0)
- IFERROR(GETPIVOTDATA("Somma di AVERE",'Pivot RakBank EUR'!$A$3,"Mese",9,"Tipologia",$A213),0)
+IFERROR(GETPIVOTDATA("Somma di DARE",'Pivot Fineco Sa'!$A$3,"Mese",9,"Tipologia",$A213),0)
+ IFERROR(GETPIVOTDATA("Somma di DARE",'Pivot Fineco St'!$A$3,"Mese",9,"Tipologia",$A213),0)
+ Contanti!AH75
+ IFERROR(GETPIVOTDATA("Somma di DARE",'Pivot BBVA'!$A$3,"Mese",9,"Tipologia",$A213),0)
+ IFERROR(GETPIVOTDATA("Somma di DARE",'Pivot Amex'!$A$3,"Mese",9,"Tipologia",$A213),0)
- IFERROR(GETPIVOTDATA("Somma di AVERE",'Pivot Amex'!$A$3,"Mese",9,"Tipologia",$A213),0)
- IFERROR(GETPIVOTDATA("Somma di AVERE",'Pivot BBVA'!$A$3,"Mese",9,"Tipologia",$A213),0)
- IFERROR(GETPIVOTDATA("Somma di AVERE",'Pivot Fineco St'!$A$3,"Mese",9,"Tipologia",$A213),0)
- IFERROR(GETPIVOTDATA("Somma di AVERE",'Pivot Fineco Sa'!$A$3,"Mese",9,"Tipologia",$A213),0)
+ IFERROR(GETPIVOTDATA("Somma di DARE",'Pivot PP Visa'!$A$3,"Mese",9,"Tipologia",$A213),0)
- IFERROR(GETPIVOTDATA("Somma di AVERE",'Pivot PP Visa'!$A$3,"Mese",9,"Tipologia",$A213),0)
+ IFERROR(GETPIVOTDATA("Somma di DARE",'Pivot Revolut'!$A$3,"Mese",9,"Tipologia",$A213),0)
- IFERROR(GETPIVOTDATA("Somma di AVERE",'Pivot Revolut'!$A$3,"Mese",9,"Tipologia",$A213),0)</f>
        <v>0</v>
      </c>
      <c r="L213" s="243">
        <f>IFERROR(GETPIVOTDATA("Somma di DARE EUR",'Pivot RakBank AED'!$A$3,"Mese",10,"Tipologia",$A213),0)
- IFERROR(GETPIVOTDATA("Somma di AVERE EUR",'Pivot RakBank AED'!$A$3,"Mese",10,"Tipologia",$A213),0)
+IFERROR(GETPIVOTDATA("Somma di DARE",'Pivot RakBank EUR'!$A$3,"Mese",10,"Tipologia",$A213),0)
- IFERROR(GETPIVOTDATA("Somma di AVERE",'Pivot RakBank EUR'!$A$3,"Mese",10,"Tipologia",$A213),0)
+IFERROR(GETPIVOTDATA("Somma di DARE",'Pivot Fineco Sa'!$A$3,"Mese",10,"Tipologia",$A213),0)
+ IFERROR(GETPIVOTDATA("Somma di DARE",'Pivot Fineco St'!$A$3,"Mese",10,"Tipologia",$A213),0)
+ Contanti!AL75
+ IFERROR(GETPIVOTDATA("Somma di DARE",'Pivot BBVA'!$A$3,"Mese",10,"Tipologia",$A213),0)
+ IFERROR(GETPIVOTDATA("Somma di DARE",'Pivot Amex'!$A$3,"Mese",10,"Tipologia",$A213),0)
- IFERROR(GETPIVOTDATA("Somma di AVERE",'Pivot Amex'!$A$3,"Mese",10,"Tipologia",$A213),0)
- IFERROR(GETPIVOTDATA("Somma di AVERE",'Pivot BBVA'!$A$3,"Mese",10,"Tipologia",$A213),0)
- IFERROR(GETPIVOTDATA("Somma di AVERE",'Pivot Fineco St'!$A$3,"Mese",10,"Tipologia",$A213),0)
- IFERROR(GETPIVOTDATA("Somma di AVERE",'Pivot Fineco Sa'!$A$3,"Mese",10,"Tipologia",$A213),0)
+ IFERROR(GETPIVOTDATA("Somma di DARE",'Pivot PP Visa'!$A$3,"Mese",10,"Tipologia",$A213),0)
- IFERROR(GETPIVOTDATA("Somma di AVERE",'Pivot PP Visa'!$A$3,"Mese",10,"Tipologia",$A213),0)
+ IFERROR(GETPIVOTDATA("Somma di DARE",'Pivot Revolut'!$A$3,"Mese",10,"Tipologia",$A213),0)
- IFERROR(GETPIVOTDATA("Somma di AVERE",'Pivot Revolut'!$A$3,"Mese",10,"Tipologia",$A213),0)</f>
        <v>0</v>
      </c>
      <c r="M213" s="243">
        <f>IFERROR(GETPIVOTDATA("Somma di DARE EUR",'Pivot RakBank AED'!$A$3,"Mese",11,"Tipologia",$A213),0)
- IFERROR(GETPIVOTDATA("Somma di AVERE EUR",'Pivot RakBank AED'!$A$3,"Mese",11,"Tipologia",$A213),0)
+IFERROR(GETPIVOTDATA("Somma di DARE",'Pivot RakBank EUR'!$A$3,"Mese",11,"Tipologia",$A213),0)
- IFERROR(GETPIVOTDATA("Somma di AVERE",'Pivot RakBank EUR'!$A$3,"Mese",11,"Tipologia",$A213),0)
+IFERROR(GETPIVOTDATA("Somma di DARE",'Pivot Fineco Sa'!$A$3,"Mese",11,"Tipologia",$A213),0)
+ IFERROR(GETPIVOTDATA("Somma di DARE",'Pivot Fineco St'!$A$3,"Mese",11,"Tipologia",$A213),0)
+ Contanti!AP75
+ IFERROR(GETPIVOTDATA("Somma di DARE",'Pivot BBVA'!$A$3,"Mese",11,"Tipologia",$A213),0)
+ IFERROR(GETPIVOTDATA("Somma di DARE",'Pivot Amex'!$A$3,"Mese",11,"Tipologia",$A213),0)
- IFERROR(GETPIVOTDATA("Somma di AVERE",'Pivot Amex'!$A$3,"Mese",11,"Tipologia",$A213),0)
- IFERROR(GETPIVOTDATA("Somma di AVERE",'Pivot BBVA'!$A$3,"Mese",11,"Tipologia",$A213),0)
- IFERROR(GETPIVOTDATA("Somma di AVERE",'Pivot Fineco St'!$A$3,"Mese",11,"Tipologia",$A213),0)
- IFERROR(GETPIVOTDATA("Somma di AVERE",'Pivot Fineco Sa'!$A$3,"Mese",11,"Tipologia",$A213),0)
+ IFERROR(GETPIVOTDATA("Somma di DARE",'Pivot PP Visa'!$A$3,"Mese",11,"Tipologia",$A213),0)
- IFERROR(GETPIVOTDATA("Somma di AVERE",'Pivot PP Visa'!$A$3,"Mese",11,"Tipologia",$A213),0)
+ IFERROR(GETPIVOTDATA("Somma di DARE",'Pivot Revolut'!$A$3,"Mese",11,"Tipologia",$A213),0)
- IFERROR(GETPIVOTDATA("Somma di AVERE",'Pivot Revolut'!$A$3,"Mese",11,"Tipologia",$A213),0)</f>
        <v>0</v>
      </c>
      <c r="N213" s="243">
        <f>IFERROR(GETPIVOTDATA("Somma di DARE EUR",'Pivot RakBank AED'!$A$3,"Mese",12,"Tipologia",$A213),0)
- IFERROR(GETPIVOTDATA("Somma di AVERE EUR",'Pivot RakBank AED'!$A$3,"Mese",12,"Tipologia",$A213),0)
+IFERROR(GETPIVOTDATA("Somma di DARE",'Pivot RakBank EUR'!$A$3,"Mese",12,"Tipologia",$A213),0)
- IFERROR(GETPIVOTDATA("Somma di AVERE",'Pivot RakBank EUR'!$A$3,"Mese",12,"Tipologia",$A213),0)
+IFERROR(GETPIVOTDATA("Somma di DARE",'Pivot Fineco Sa'!$A$3,"Mese",12,"Tipologia",$A213),0)
+ IFERROR(GETPIVOTDATA("Somma di DARE",'Pivot Fineco St'!$A$3,"Mese",12,"Tipologia",$A213),0)
+ Contanti!AT75
+ IFERROR(GETPIVOTDATA("Somma di DARE",'Pivot BBVA'!$A$3,"Mese",12,"Tipologia",$A213),0)
+ IFERROR(GETPIVOTDATA("Somma di DARE",'Pivot Amex'!$A$3,"Mese",12,"Tipologia",$A213),0)
- IFERROR(GETPIVOTDATA("Somma di AVERE",'Pivot Amex'!$A$3,"Mese",12,"Tipologia",$A213),0)
- IFERROR(GETPIVOTDATA("Somma di AVERE",'Pivot BBVA'!$A$3,"Mese",12,"Tipologia",$A213),0)
- IFERROR(GETPIVOTDATA("Somma di AVERE",'Pivot Fineco St'!$A$3,"Mese",12,"Tipologia",$A213),0)
- IFERROR(GETPIVOTDATA("Somma di AVERE",'Pivot Fineco Sa'!$A$3,"Mese",12,"Tipologia",$A213),0)
+ IFERROR(GETPIVOTDATA("Somma di DARE",'Pivot PP Visa'!$A$3,"Mese",12,"Tipologia",$A213),0)
- IFERROR(GETPIVOTDATA("Somma di AVERE",'Pivot PP Visa'!$A$3,"Mese",12,"Tipologia",$A213),0)
+ IFERROR(GETPIVOTDATA("Somma di DARE",'Pivot Revolut'!$A$3,"Mese",12,"Tipologia",$A213),0)
- IFERROR(GETPIVOTDATA("Somma di AVERE",'Pivot Revolut'!$A$3,"Mese",12,"Tipologia",$A213),0)</f>
        <v>0</v>
      </c>
      <c r="O213" s="252">
        <f t="shared" si="36"/>
        <v>1245</v>
      </c>
      <c r="P213" s="243">
        <f t="shared" ca="1" si="37"/>
        <v>177.85714285714286</v>
      </c>
    </row>
    <row r="214" spans="1:16" s="125" customFormat="1" ht="21" customHeight="1" x14ac:dyDescent="0.2">
      <c r="A214" s="251" t="s">
        <v>288</v>
      </c>
      <c r="B214" s="251"/>
      <c r="C214" s="243">
        <f>IFERROR(GETPIVOTDATA("Somma di DARE EUR",'Pivot RakBank AED'!$A$3,"Mese",1,"Tipologia",$A214),0)
- IFERROR(GETPIVOTDATA("Somma di AVERE EUR",'Pivot RakBank AED'!$A$3,"Mese",1,"Tipologia",$A214),0)
+IFERROR(GETPIVOTDATA("Somma di DARE",'Pivot RakBank EUR'!$A$3,"Mese",1,"Tipologia",$A214),0)
- IFERROR(GETPIVOTDATA("Somma di AVERE",'Pivot RakBank EUR'!$A$3,"Mese",1,"Tipologia",$A214),0)
+IFERROR(GETPIVOTDATA("Somma di DARE",'Pivot Fineco Sa'!$A$3,"Mese",1,"Tipologia",$A214),0)
+ IFERROR(GETPIVOTDATA("Somma di DARE",'Pivot Fineco St'!$A$3,"Mese",1,"Tipologia",$A214),0)
+ Contanti!B76
+ IFERROR(GETPIVOTDATA("Somma di DARE",'Pivot BBVA'!$A$3,"Mese",1,"Tipologia",$A214),0)
+ IFERROR(GETPIVOTDATA("Somma di DARE",'Pivot Amex'!$A$3,"Mese",1,"Tipologia",$A214),0)
- IFERROR(GETPIVOTDATA("Somma di AVERE",'Pivot Amex'!$A$3,"Mese",1,"Tipologia",$A214),0)
- IFERROR(GETPIVOTDATA("Somma di AVERE",'Pivot BBVA'!$A$3,"Mese",1,"Tipologia",$A214),0)
- IFERROR(GETPIVOTDATA("Somma di AVERE",'Pivot Fineco St'!$A$3,"Mese",1,"Tipologia",$A214),0)
- IFERROR(GETPIVOTDATA("Somma di AVERE",'Pivot Fineco Sa'!$A$3,"Mese",1,"Tipologia",$A214),0)
+ IFERROR(GETPIVOTDATA("Somma di DARE",'Pivot PP Visa'!$A$3,"Mese",1,"Tipologia",$A214),0)
- IFERROR(GETPIVOTDATA("Somma di AVERE",'Pivot PP Visa'!$A$3,"Mese",1,"Tipologia",$A214),0)
+ IFERROR(GETPIVOTDATA("Somma di DARE",'Pivot Revolut'!$A$3,"Mese",1,"Tipologia",$A214),0)
- IFERROR(GETPIVOTDATA("Somma di AVERE",'Pivot Revolut'!$A$3,"Mese",1,"Tipologia",$A214),0)</f>
        <v>7.9</v>
      </c>
      <c r="D214" s="243">
        <f>IFERROR(GETPIVOTDATA("Somma di DARE EUR",'Pivot RakBank AED'!$A$3,"Mese",2,"Tipologia",$A214),0)
- IFERROR(GETPIVOTDATA("Somma di AVERE EUR",'Pivot RakBank AED'!$A$3,"Mese",2,"Tipologia",$A214),0)
+IFERROR(GETPIVOTDATA("Somma di DARE",'Pivot RakBank EUR'!$A$3,"Mese",2,"Tipologia",$A214),0)
- IFERROR(GETPIVOTDATA("Somma di AVERE",'Pivot RakBank EUR'!$A$3,"Mese",2,"Tipologia",$A214),0)
+IFERROR(GETPIVOTDATA("Somma di DARE",'Pivot Fineco Sa'!$A$3,"Mese",2,"Tipologia",$A214),0)
+ IFERROR(GETPIVOTDATA("Somma di DARE",'Pivot Fineco St'!$A$3,"Mese",2,"Tipologia",$A214),0)
+ Contanti!F76
+ IFERROR(GETPIVOTDATA("Somma di DARE",'Pivot BBVA'!$A$3,"Mese",2,"Tipologia",$A214),0)
+ IFERROR(GETPIVOTDATA("Somma di DARE",'Pivot Amex'!$A$3,"Mese",2,"Tipologia",$A214),0)
- IFERROR(GETPIVOTDATA("Somma di AVERE",'Pivot Amex'!$A$3,"Mese",2,"Tipologia",$A214),0)
- IFERROR(GETPIVOTDATA("Somma di AVERE",'Pivot BBVA'!$A$3,"Mese",2,"Tipologia",$A214),0)
- IFERROR(GETPIVOTDATA("Somma di AVERE",'Pivot Fineco St'!$A$3,"Mese",2,"Tipologia",$A214),0)
- IFERROR(GETPIVOTDATA("Somma di AVERE",'Pivot Fineco Sa'!$A$3,"Mese",2,"Tipologia",$A214),0)
+ IFERROR(GETPIVOTDATA("Somma di DARE",'Pivot PP Visa'!$A$3,"Mese",2,"Tipologia",$A214),0)
- IFERROR(GETPIVOTDATA("Somma di AVERE",'Pivot PP Visa'!$A$3,"Mese",2,"Tipologia",$A214),0)
+ IFERROR(GETPIVOTDATA("Somma di DARE",'Pivot Revolut'!$A$3,"Mese",2,"Tipologia",$A214),0)
- IFERROR(GETPIVOTDATA("Somma di AVERE",'Pivot Revolut'!$A$3,"Mese",2,"Tipologia",$A214),0)</f>
        <v>7.9</v>
      </c>
      <c r="E214" s="243">
        <f>IFERROR(GETPIVOTDATA("Somma di DARE EUR",'Pivot RakBank AED'!$A$3,"Mese",3,"Tipologia",$A214),0)
- IFERROR(GETPIVOTDATA("Somma di AVERE EUR",'Pivot RakBank AED'!$A$3,"Mese",3,"Tipologia",$A214),0)
+IFERROR(GETPIVOTDATA("Somma di DARE",'Pivot RakBank EUR'!$A$3,"Mese",3,"Tipologia",$A214),0)
- IFERROR(GETPIVOTDATA("Somma di AVERE",'Pivot RakBank EUR'!$A$3,"Mese",3,"Tipologia",$A214),0)
+IFERROR(GETPIVOTDATA("Somma di DARE",'Pivot Fineco Sa'!$A$3,"Mese",3,"Tipologia",$A214),0)
+ IFERROR(GETPIVOTDATA("Somma di DARE",'Pivot Fineco St'!$A$3,"Mese",3,"Tipologia",$A214),0)
+ Contanti!J76
+ IFERROR(GETPIVOTDATA("Somma di DARE",'Pivot BBVA'!$A$3,"Mese",3,"Tipologia",$A214),0)
+ IFERROR(GETPIVOTDATA("Somma di DARE",'Pivot Amex'!$A$3,"Mese",3,"Tipologia",$A214),0)
- IFERROR(GETPIVOTDATA("Somma di AVERE",'Pivot Amex'!$A$3,"Mese",3,"Tipologia",$A214),0)
- IFERROR(GETPIVOTDATA("Somma di AVERE",'Pivot BBVA'!$A$3,"Mese",3,"Tipologia",$A214),0)
- IFERROR(GETPIVOTDATA("Somma di AVERE",'Pivot Fineco St'!$A$3,"Mese",3,"Tipologia",$A214),0)
- IFERROR(GETPIVOTDATA("Somma di AVERE",'Pivot Fineco Sa'!$A$3,"Mese",3,"Tipologia",$A214),0)
+ IFERROR(GETPIVOTDATA("Somma di DARE",'Pivot PP Visa'!$A$3,"Mese",3,"Tipologia",$A214),0)
- IFERROR(GETPIVOTDATA("Somma di AVERE",'Pivot PP Visa'!$A$3,"Mese",3,"Tipologia",$A214),0)
+ IFERROR(GETPIVOTDATA("Somma di DARE",'Pivot Revolut'!$A$3,"Mese",3,"Tipologia",$A214),0)
- IFERROR(GETPIVOTDATA("Somma di AVERE",'Pivot Revolut'!$A$3,"Mese",3,"Tipologia",$A214),0)</f>
        <v>7.9</v>
      </c>
      <c r="F214" s="243">
        <f>IFERROR(GETPIVOTDATA("Somma di DARE EUR",'Pivot RakBank AED'!$A$3,"Mese",4,"Tipologia",$A214),0)
- IFERROR(GETPIVOTDATA("Somma di AVERE EUR",'Pivot RakBank AED'!$A$3,"Mese",4,"Tipologia",$A214),0)
+IFERROR(GETPIVOTDATA("Somma di DARE",'Pivot RakBank EUR'!$A$3,"Mese",4,"Tipologia",$A214),0)
- IFERROR(GETPIVOTDATA("Somma di AVERE",'Pivot RakBank EUR'!$A$3,"Mese",4,"Tipologia",$A214),0)
+IFERROR(GETPIVOTDATA("Somma di DARE",'Pivot Fineco Sa'!$A$3,"Mese",4,"Tipologia",$A214),0)
+ IFERROR(GETPIVOTDATA("Somma di DARE",'Pivot Fineco St'!$A$3,"Mese",4,"Tipologia",$A214),0)
+ Contanti!N76
+ IFERROR(GETPIVOTDATA("Somma di DARE",'Pivot BBVA'!$A$3,"Mese",4,"Tipologia",$A214),0)
+ IFERROR(GETPIVOTDATA("Somma di DARE",'Pivot Amex'!$A$3,"Mese",4,"Tipologia",$A214),0)
- IFERROR(GETPIVOTDATA("Somma di AVERE",'Pivot Amex'!$A$3,"Mese",4,"Tipologia",$A214),0)
- IFERROR(GETPIVOTDATA("Somma di AVERE",'Pivot BBVA'!$A$3,"Mese",4,"Tipologia",$A214),0)
- IFERROR(GETPIVOTDATA("Somma di AVERE",'Pivot Fineco St'!$A$3,"Mese",4,"Tipologia",$A214),0)
- IFERROR(GETPIVOTDATA("Somma di AVERE",'Pivot Fineco Sa'!$A$3,"Mese",4,"Tipologia",$A214),0)
+ IFERROR(GETPIVOTDATA("Somma di DARE",'Pivot PP Visa'!$A$3,"Mese",4,"Tipologia",$A214),0)
- IFERROR(GETPIVOTDATA("Somma di AVERE",'Pivot PP Visa'!$A$3,"Mese",4,"Tipologia",$A214),0)
+ IFERROR(GETPIVOTDATA("Somma di DARE",'Pivot Revolut'!$A$3,"Mese",4,"Tipologia",$A214),0)
- IFERROR(GETPIVOTDATA("Somma di AVERE",'Pivot Revolut'!$A$3,"Mese",4,"Tipologia",$A214),0)</f>
        <v>7.9</v>
      </c>
      <c r="G214" s="243">
        <f>IFERROR(GETPIVOTDATA("Somma di DARE EUR",'Pivot RakBank AED'!$A$3,"Mese",5,"Tipologia",$A214),0)
- IFERROR(GETPIVOTDATA("Somma di AVERE EUR",'Pivot RakBank AED'!$A$3,"Mese",5,"Tipologia",$A214),0)
+IFERROR(GETPIVOTDATA("Somma di DARE",'Pivot RakBank EUR'!$A$3,"Mese",5,"Tipologia",$A214),0)
- IFERROR(GETPIVOTDATA("Somma di AVERE",'Pivot RakBank EUR'!$A$3,"Mese",5,"Tipologia",$A214),0)
+IFERROR(GETPIVOTDATA("Somma di DARE",'Pivot Fineco Sa'!$A$3,"Mese",5,"Tipologia",$A214),0)
+ IFERROR(GETPIVOTDATA("Somma di DARE",'Pivot Fineco St'!$A$3,"Mese",5,"Tipologia",$A214),0)
+ Contanti!R76
+ IFERROR(GETPIVOTDATA("Somma di DARE",'Pivot BBVA'!$A$3,"Mese",5,"Tipologia",$A214),0)
+ IFERROR(GETPIVOTDATA("Somma di DARE",'Pivot Amex'!$A$3,"Mese",5,"Tipologia",$A214),0)
- IFERROR(GETPIVOTDATA("Somma di AVERE",'Pivot Amex'!$A$3,"Mese",5,"Tipologia",$A214),0)
- IFERROR(GETPIVOTDATA("Somma di AVERE",'Pivot BBVA'!$A$3,"Mese",5,"Tipologia",$A214),0)
- IFERROR(GETPIVOTDATA("Somma di AVERE",'Pivot Fineco St'!$A$3,"Mese",5,"Tipologia",$A214),0)
- IFERROR(GETPIVOTDATA("Somma di AVERE",'Pivot Fineco Sa'!$A$3,"Mese",5,"Tipologia",$A214),0)
+ IFERROR(GETPIVOTDATA("Somma di DARE",'Pivot PP Visa'!$A$3,"Mese",5,"Tipologia",$A214),0)
- IFERROR(GETPIVOTDATA("Somma di AVERE",'Pivot PP Visa'!$A$3,"Mese",5,"Tipologia",$A214),0)
+ IFERROR(GETPIVOTDATA("Somma di DARE",'Pivot Revolut'!$A$3,"Mese",5,"Tipologia",$A214),0)
- IFERROR(GETPIVOTDATA("Somma di AVERE",'Pivot Revolut'!$A$3,"Mese",5,"Tipologia",$A214),0)</f>
        <v>7.9</v>
      </c>
      <c r="H214" s="243">
        <f>IFERROR(GETPIVOTDATA("Somma di DARE EUR",'Pivot RakBank AED'!$A$3,"Mese",6,"Tipologia",$A214),0)
- IFERROR(GETPIVOTDATA("Somma di AVERE EUR",'Pivot RakBank AED'!$A$3,"Mese",6,"Tipologia",$A214),0)
+IFERROR(GETPIVOTDATA("Somma di DARE",'Pivot RakBank EUR'!$A$3,"Mese",6,"Tipologia",$A214),0)
- IFERROR(GETPIVOTDATA("Somma di AVERE",'Pivot RakBank EUR'!$A$3,"Mese",6,"Tipologia",$A214),0)
+IFERROR(GETPIVOTDATA("Somma di DARE",'Pivot Fineco Sa'!$A$3,"Mese",6,"Tipologia",$A214),0)
+ IFERROR(GETPIVOTDATA("Somma di DARE",'Pivot Fineco St'!$A$3,"Mese",6,"Tipologia",$A214),0)
+ Contanti!V76
+ IFERROR(GETPIVOTDATA("Somma di DARE",'Pivot BBVA'!$A$3,"Mese",6,"Tipologia",$A214),0)
+ IFERROR(GETPIVOTDATA("Somma di DARE",'Pivot Amex'!$A$3,"Mese",6,"Tipologia",$A214),0)
- IFERROR(GETPIVOTDATA("Somma di AVERE",'Pivot Amex'!$A$3,"Mese",6,"Tipologia",$A214),0)
- IFERROR(GETPIVOTDATA("Somma di AVERE",'Pivot BBVA'!$A$3,"Mese",6,"Tipologia",$A214),0)
- IFERROR(GETPIVOTDATA("Somma di AVERE",'Pivot Fineco St'!$A$3,"Mese",6,"Tipologia",$A214),0)
- IFERROR(GETPIVOTDATA("Somma di AVERE",'Pivot Fineco Sa'!$A$3,"Mese",6,"Tipologia",$A214),0)
+ IFERROR(GETPIVOTDATA("Somma di DARE",'Pivot PP Visa'!$A$3,"Mese",6,"Tipologia",$A214),0)
- IFERROR(GETPIVOTDATA("Somma di AVERE",'Pivot PP Visa'!$A$3,"Mese",6,"Tipologia",$A214),0)
+ IFERROR(GETPIVOTDATA("Somma di DARE",'Pivot Revolut'!$A$3,"Mese",6,"Tipologia",$A214),0)
- IFERROR(GETPIVOTDATA("Somma di AVERE",'Pivot Revolut'!$A$3,"Mese",6,"Tipologia",$A214),0)</f>
        <v>7.9</v>
      </c>
      <c r="I214" s="243">
        <f>IFERROR(GETPIVOTDATA("Somma di DARE EUR",'Pivot RakBank AED'!$A$3,"Mese",7,"Tipologia",$A214),0)
- IFERROR(GETPIVOTDATA("Somma di AVERE EUR",'Pivot RakBank AED'!$A$3,"Mese",7,"Tipologia",$A214),0)
+IFERROR(GETPIVOTDATA("Somma di DARE",'Pivot RakBank EUR'!$A$3,"Mese",7,"Tipologia",$A214),0)
- IFERROR(GETPIVOTDATA("Somma di AVERE",'Pivot RakBank EUR'!$A$3,"Mese",7,"Tipologia",$A214),0)
+IFERROR(GETPIVOTDATA("Somma di DARE",'Pivot Fineco Sa'!$A$3,"Mese",7,"Tipologia",$A214),0)
+ IFERROR(GETPIVOTDATA("Somma di DARE",'Pivot Fineco St'!$A$3,"Mese",7,"Tipologia",$A214),0)
+ Contanti!Z76
+ IFERROR(GETPIVOTDATA("Somma di DARE",'Pivot BBVA'!$A$3,"Mese",7,"Tipologia",$A214),0)
+ IFERROR(GETPIVOTDATA("Somma di DARE",'Pivot Amex'!$A$3,"Mese",7,"Tipologia",$A214),0)
- IFERROR(GETPIVOTDATA("Somma di AVERE",'Pivot Amex'!$A$3,"Mese",7,"Tipologia",$A214),0)
- IFERROR(GETPIVOTDATA("Somma di AVERE",'Pivot BBVA'!$A$3,"Mese",7,"Tipologia",$A214),0)
- IFERROR(GETPIVOTDATA("Somma di AVERE",'Pivot Fineco St'!$A$3,"Mese",7,"Tipologia",$A214),0)
- IFERROR(GETPIVOTDATA("Somma di AVERE",'Pivot Fineco Sa'!$A$3,"Mese",7,"Tipologia",$A214),0)
+ IFERROR(GETPIVOTDATA("Somma di DARE",'Pivot PP Visa'!$A$3,"Mese",7,"Tipologia",$A214),0)
- IFERROR(GETPIVOTDATA("Somma di AVERE",'Pivot PP Visa'!$A$3,"Mese",7,"Tipologia",$A214),0)
+ IFERROR(GETPIVOTDATA("Somma di DARE",'Pivot Revolut'!$A$3,"Mese",7,"Tipologia",$A214),0)
- IFERROR(GETPIVOTDATA("Somma di AVERE",'Pivot Revolut'!$A$3,"Mese",7,"Tipologia",$A214),0)</f>
        <v>0</v>
      </c>
      <c r="J214" s="243">
        <f>IFERROR(GETPIVOTDATA("Somma di DARE EUR",'Pivot RakBank AED'!$A$3,"Mese",8,"Tipologia",$A214),0)
- IFERROR(GETPIVOTDATA("Somma di AVERE EUR",'Pivot RakBank AED'!$A$3,"Mese",8,"Tipologia",$A214),0)
+IFERROR(GETPIVOTDATA("Somma di DARE",'Pivot RakBank EUR'!$A$3,"Mese",8,"Tipologia",$A214),0)
- IFERROR(GETPIVOTDATA("Somma di AVERE",'Pivot RakBank EUR'!$A$3,"Mese",8,"Tipologia",$A214),0)
+IFERROR(GETPIVOTDATA("Somma di DARE",'Pivot Fineco Sa'!$A$3,"Mese",8,"Tipologia",$A214),0)
+ IFERROR(GETPIVOTDATA("Somma di DARE",'Pivot Fineco St'!$A$3,"Mese",8,"Tipologia",$A214),0)
+ Contanti!AD76
+ IFERROR(GETPIVOTDATA("Somma di DARE",'Pivot BBVA'!$A$3,"Mese",8,"Tipologia",$A214),0)
+ IFERROR(GETPIVOTDATA("Somma di DARE",'Pivot Amex'!$A$3,"Mese",8,"Tipologia",$A214),0)
- IFERROR(GETPIVOTDATA("Somma di AVERE",'Pivot Amex'!$A$3,"Mese",8,"Tipologia",$A214),0)
- IFERROR(GETPIVOTDATA("Somma di AVERE",'Pivot BBVA'!$A$3,"Mese",8,"Tipologia",$A214),0)
- IFERROR(GETPIVOTDATA("Somma di AVERE",'Pivot Fineco St'!$A$3,"Mese",8,"Tipologia",$A214),0)
- IFERROR(GETPIVOTDATA("Somma di AVERE",'Pivot Fineco Sa'!$A$3,"Mese",8,"Tipologia",$A214),0)
+ IFERROR(GETPIVOTDATA("Somma di DARE",'Pivot PP Visa'!$A$3,"Mese",8,"Tipologia",$A214),0)
- IFERROR(GETPIVOTDATA("Somma di AVERE",'Pivot PP Visa'!$A$3,"Mese",8,"Tipologia",$A214),0)
+ IFERROR(GETPIVOTDATA("Somma di DARE",'Pivot Revolut'!$A$3,"Mese",8,"Tipologia",$A214),0)
- IFERROR(GETPIVOTDATA("Somma di AVERE",'Pivot Revolut'!$A$3,"Mese",8,"Tipologia",$A214),0)</f>
        <v>0</v>
      </c>
      <c r="K214" s="243">
        <f>IFERROR(GETPIVOTDATA("Somma di DARE EUR",'Pivot RakBank AED'!$A$3,"Mese",9,"Tipologia",$A214),0)
- IFERROR(GETPIVOTDATA("Somma di AVERE EUR",'Pivot RakBank AED'!$A$3,"Mese",9,"Tipologia",$A214),0)
+IFERROR(GETPIVOTDATA("Somma di DARE",'Pivot RakBank EUR'!$A$3,"Mese",9,"Tipologia",$A214),0)
- IFERROR(GETPIVOTDATA("Somma di AVERE",'Pivot RakBank EUR'!$A$3,"Mese",9,"Tipologia",$A214),0)
+IFERROR(GETPIVOTDATA("Somma di DARE",'Pivot Fineco Sa'!$A$3,"Mese",9,"Tipologia",$A214),0)
+ IFERROR(GETPIVOTDATA("Somma di DARE",'Pivot Fineco St'!$A$3,"Mese",9,"Tipologia",$A214),0)
+ Contanti!AH76
+ IFERROR(GETPIVOTDATA("Somma di DARE",'Pivot BBVA'!$A$3,"Mese",9,"Tipologia",$A214),0)
+ IFERROR(GETPIVOTDATA("Somma di DARE",'Pivot Amex'!$A$3,"Mese",9,"Tipologia",$A214),0)
- IFERROR(GETPIVOTDATA("Somma di AVERE",'Pivot Amex'!$A$3,"Mese",9,"Tipologia",$A214),0)
- IFERROR(GETPIVOTDATA("Somma di AVERE",'Pivot BBVA'!$A$3,"Mese",9,"Tipologia",$A214),0)
- IFERROR(GETPIVOTDATA("Somma di AVERE",'Pivot Fineco St'!$A$3,"Mese",9,"Tipologia",$A214),0)
- IFERROR(GETPIVOTDATA("Somma di AVERE",'Pivot Fineco Sa'!$A$3,"Mese",9,"Tipologia",$A214),0)
+ IFERROR(GETPIVOTDATA("Somma di DARE",'Pivot PP Visa'!$A$3,"Mese",9,"Tipologia",$A214),0)
- IFERROR(GETPIVOTDATA("Somma di AVERE",'Pivot PP Visa'!$A$3,"Mese",9,"Tipologia",$A214),0)
+ IFERROR(GETPIVOTDATA("Somma di DARE",'Pivot Revolut'!$A$3,"Mese",9,"Tipologia",$A214),0)
- IFERROR(GETPIVOTDATA("Somma di AVERE",'Pivot Revolut'!$A$3,"Mese",9,"Tipologia",$A214),0)</f>
        <v>0</v>
      </c>
      <c r="L214" s="243">
        <f>IFERROR(GETPIVOTDATA("Somma di DARE EUR",'Pivot RakBank AED'!$A$3,"Mese",10,"Tipologia",$A214),0)
- IFERROR(GETPIVOTDATA("Somma di AVERE EUR",'Pivot RakBank AED'!$A$3,"Mese",10,"Tipologia",$A214),0)
+IFERROR(GETPIVOTDATA("Somma di DARE",'Pivot RakBank EUR'!$A$3,"Mese",10,"Tipologia",$A214),0)
- IFERROR(GETPIVOTDATA("Somma di AVERE",'Pivot RakBank EUR'!$A$3,"Mese",10,"Tipologia",$A214),0)
+IFERROR(GETPIVOTDATA("Somma di DARE",'Pivot Fineco Sa'!$A$3,"Mese",10,"Tipologia",$A214),0)
+ IFERROR(GETPIVOTDATA("Somma di DARE",'Pivot Fineco St'!$A$3,"Mese",10,"Tipologia",$A214),0)
+ Contanti!AL76
+ IFERROR(GETPIVOTDATA("Somma di DARE",'Pivot BBVA'!$A$3,"Mese",10,"Tipologia",$A214),0)
+ IFERROR(GETPIVOTDATA("Somma di DARE",'Pivot Amex'!$A$3,"Mese",10,"Tipologia",$A214),0)
- IFERROR(GETPIVOTDATA("Somma di AVERE",'Pivot Amex'!$A$3,"Mese",10,"Tipologia",$A214),0)
- IFERROR(GETPIVOTDATA("Somma di AVERE",'Pivot BBVA'!$A$3,"Mese",10,"Tipologia",$A214),0)
- IFERROR(GETPIVOTDATA("Somma di AVERE",'Pivot Fineco St'!$A$3,"Mese",10,"Tipologia",$A214),0)
- IFERROR(GETPIVOTDATA("Somma di AVERE",'Pivot Fineco Sa'!$A$3,"Mese",10,"Tipologia",$A214),0)
+ IFERROR(GETPIVOTDATA("Somma di DARE",'Pivot PP Visa'!$A$3,"Mese",10,"Tipologia",$A214),0)
- IFERROR(GETPIVOTDATA("Somma di AVERE",'Pivot PP Visa'!$A$3,"Mese",10,"Tipologia",$A214),0)
+ IFERROR(GETPIVOTDATA("Somma di DARE",'Pivot Revolut'!$A$3,"Mese",10,"Tipologia",$A214),0)
- IFERROR(GETPIVOTDATA("Somma di AVERE",'Pivot Revolut'!$A$3,"Mese",10,"Tipologia",$A214),0)</f>
        <v>0</v>
      </c>
      <c r="M214" s="243">
        <f>IFERROR(GETPIVOTDATA("Somma di DARE EUR",'Pivot RakBank AED'!$A$3,"Mese",11,"Tipologia",$A214),0)
- IFERROR(GETPIVOTDATA("Somma di AVERE EUR",'Pivot RakBank AED'!$A$3,"Mese",11,"Tipologia",$A214),0)
+IFERROR(GETPIVOTDATA("Somma di DARE",'Pivot RakBank EUR'!$A$3,"Mese",11,"Tipologia",$A214),0)
- IFERROR(GETPIVOTDATA("Somma di AVERE",'Pivot RakBank EUR'!$A$3,"Mese",11,"Tipologia",$A214),0)
+IFERROR(GETPIVOTDATA("Somma di DARE",'Pivot Fineco Sa'!$A$3,"Mese",11,"Tipologia",$A214),0)
+ IFERROR(GETPIVOTDATA("Somma di DARE",'Pivot Fineco St'!$A$3,"Mese",11,"Tipologia",$A214),0)
+ Contanti!AP76
+ IFERROR(GETPIVOTDATA("Somma di DARE",'Pivot BBVA'!$A$3,"Mese",11,"Tipologia",$A214),0)
+ IFERROR(GETPIVOTDATA("Somma di DARE",'Pivot Amex'!$A$3,"Mese",11,"Tipologia",$A214),0)
- IFERROR(GETPIVOTDATA("Somma di AVERE",'Pivot Amex'!$A$3,"Mese",11,"Tipologia",$A214),0)
- IFERROR(GETPIVOTDATA("Somma di AVERE",'Pivot BBVA'!$A$3,"Mese",11,"Tipologia",$A214),0)
- IFERROR(GETPIVOTDATA("Somma di AVERE",'Pivot Fineco St'!$A$3,"Mese",11,"Tipologia",$A214),0)
- IFERROR(GETPIVOTDATA("Somma di AVERE",'Pivot Fineco Sa'!$A$3,"Mese",11,"Tipologia",$A214),0)
+ IFERROR(GETPIVOTDATA("Somma di DARE",'Pivot PP Visa'!$A$3,"Mese",11,"Tipologia",$A214),0)
- IFERROR(GETPIVOTDATA("Somma di AVERE",'Pivot PP Visa'!$A$3,"Mese",11,"Tipologia",$A214),0)
+ IFERROR(GETPIVOTDATA("Somma di DARE",'Pivot Revolut'!$A$3,"Mese",11,"Tipologia",$A214),0)
- IFERROR(GETPIVOTDATA("Somma di AVERE",'Pivot Revolut'!$A$3,"Mese",11,"Tipologia",$A214),0)</f>
        <v>0</v>
      </c>
      <c r="N214" s="243">
        <f>IFERROR(GETPIVOTDATA("Somma di DARE EUR",'Pivot RakBank AED'!$A$3,"Mese",12,"Tipologia",$A214),0)
- IFERROR(GETPIVOTDATA("Somma di AVERE EUR",'Pivot RakBank AED'!$A$3,"Mese",12,"Tipologia",$A214),0)
+IFERROR(GETPIVOTDATA("Somma di DARE",'Pivot RakBank EUR'!$A$3,"Mese",12,"Tipologia",$A214),0)
- IFERROR(GETPIVOTDATA("Somma di AVERE",'Pivot RakBank EUR'!$A$3,"Mese",12,"Tipologia",$A214),0)
+IFERROR(GETPIVOTDATA("Somma di DARE",'Pivot Fineco Sa'!$A$3,"Mese",12,"Tipologia",$A214),0)
+ IFERROR(GETPIVOTDATA("Somma di DARE",'Pivot Fineco St'!$A$3,"Mese",12,"Tipologia",$A214),0)
+ Contanti!AT76
+ IFERROR(GETPIVOTDATA("Somma di DARE",'Pivot BBVA'!$A$3,"Mese",12,"Tipologia",$A214),0)
+ IFERROR(GETPIVOTDATA("Somma di DARE",'Pivot Amex'!$A$3,"Mese",12,"Tipologia",$A214),0)
- IFERROR(GETPIVOTDATA("Somma di AVERE",'Pivot Amex'!$A$3,"Mese",12,"Tipologia",$A214),0)
- IFERROR(GETPIVOTDATA("Somma di AVERE",'Pivot BBVA'!$A$3,"Mese",12,"Tipologia",$A214),0)
- IFERROR(GETPIVOTDATA("Somma di AVERE",'Pivot Fineco St'!$A$3,"Mese",12,"Tipologia",$A214),0)
- IFERROR(GETPIVOTDATA("Somma di AVERE",'Pivot Fineco Sa'!$A$3,"Mese",12,"Tipologia",$A214),0)
+ IFERROR(GETPIVOTDATA("Somma di DARE",'Pivot PP Visa'!$A$3,"Mese",12,"Tipologia",$A214),0)
- IFERROR(GETPIVOTDATA("Somma di AVERE",'Pivot PP Visa'!$A$3,"Mese",12,"Tipologia",$A214),0)
+ IFERROR(GETPIVOTDATA("Somma di DARE",'Pivot Revolut'!$A$3,"Mese",12,"Tipologia",$A214),0)
- IFERROR(GETPIVOTDATA("Somma di AVERE",'Pivot Revolut'!$A$3,"Mese",12,"Tipologia",$A214),0)</f>
        <v>0</v>
      </c>
      <c r="O214" s="252">
        <f t="shared" si="36"/>
        <v>47.4</v>
      </c>
      <c r="P214" s="243">
        <f t="shared" ca="1" si="37"/>
        <v>6.7714285714285714</v>
      </c>
    </row>
    <row r="215" spans="1:16" s="125" customFormat="1" ht="21" customHeight="1" x14ac:dyDescent="0.2">
      <c r="A215" s="251" t="s">
        <v>89</v>
      </c>
      <c r="B215" s="251"/>
      <c r="C215" s="243">
        <f>IFERROR(GETPIVOTDATA("Somma di DARE EUR",'Pivot RakBank AED'!$A$3,"Mese",1,"Tipologia",$A215),0)
- IFERROR(GETPIVOTDATA("Somma di AVERE EUR",'Pivot RakBank AED'!$A$3,"Mese",1,"Tipologia",$A215),0)
+IFERROR(GETPIVOTDATA("Somma di DARE",'Pivot RakBank EUR'!$A$3,"Mese",1,"Tipologia",$A215),0)
- IFERROR(GETPIVOTDATA("Somma di AVERE",'Pivot RakBank EUR'!$A$3,"Mese",1,"Tipologia",$A215),0)
+IFERROR(GETPIVOTDATA("Somma di DARE",'Pivot Fineco Sa'!$A$3,"Mese",1,"Tipologia",$A215),0)
+ IFERROR(GETPIVOTDATA("Somma di DARE",'Pivot Fineco St'!$A$3,"Mese",1,"Tipologia",$A215),0)
+ Contanti!B77
+ IFERROR(GETPIVOTDATA("Somma di DARE",'Pivot BBVA'!$A$3,"Mese",1,"Tipologia",$A215),0)
+ IFERROR(GETPIVOTDATA("Somma di DARE",'Pivot Amex'!$A$3,"Mese",1,"Tipologia",$A215),0)
- IFERROR(GETPIVOTDATA("Somma di AVERE",'Pivot Amex'!$A$3,"Mese",1,"Tipologia",$A215),0)
- IFERROR(GETPIVOTDATA("Somma di AVERE",'Pivot BBVA'!$A$3,"Mese",1,"Tipologia",$A215),0)
- IFERROR(GETPIVOTDATA("Somma di AVERE",'Pivot Fineco St'!$A$3,"Mese",1,"Tipologia",$A215),0)
- IFERROR(GETPIVOTDATA("Somma di AVERE",'Pivot Fineco Sa'!$A$3,"Mese",1,"Tipologia",$A215),0)
+ IFERROR(GETPIVOTDATA("Somma di DARE",'Pivot PP Visa'!$A$3,"Mese",1,"Tipologia",$A215),0)
- IFERROR(GETPIVOTDATA("Somma di AVERE",'Pivot PP Visa'!$A$3,"Mese",1,"Tipologia",$A215),0)
+ IFERROR(GETPIVOTDATA("Somma di DARE",'Pivot Revolut'!$A$3,"Mese",1,"Tipologia",$A215),0)
- IFERROR(GETPIVOTDATA("Somma di AVERE",'Pivot Revolut'!$A$3,"Mese",1,"Tipologia",$A215),0)</f>
        <v>0</v>
      </c>
      <c r="D215" s="243">
        <f>IFERROR(GETPIVOTDATA("Somma di DARE EUR",'Pivot RakBank AED'!$A$3,"Mese",2,"Tipologia",$A215),0)
- IFERROR(GETPIVOTDATA("Somma di AVERE EUR",'Pivot RakBank AED'!$A$3,"Mese",2,"Tipologia",$A215),0)
+IFERROR(GETPIVOTDATA("Somma di DARE",'Pivot RakBank EUR'!$A$3,"Mese",2,"Tipologia",$A215),0)
- IFERROR(GETPIVOTDATA("Somma di AVERE",'Pivot RakBank EUR'!$A$3,"Mese",2,"Tipologia",$A215),0)
+IFERROR(GETPIVOTDATA("Somma di DARE",'Pivot Fineco Sa'!$A$3,"Mese",2,"Tipologia",$A215),0)
+ IFERROR(GETPIVOTDATA("Somma di DARE",'Pivot Fineco St'!$A$3,"Mese",2,"Tipologia",$A215),0)
+ Contanti!F77
+ IFERROR(GETPIVOTDATA("Somma di DARE",'Pivot BBVA'!$A$3,"Mese",2,"Tipologia",$A215),0)
+ IFERROR(GETPIVOTDATA("Somma di DARE",'Pivot Amex'!$A$3,"Mese",2,"Tipologia",$A215),0)
- IFERROR(GETPIVOTDATA("Somma di AVERE",'Pivot Amex'!$A$3,"Mese",2,"Tipologia",$A215),0)
- IFERROR(GETPIVOTDATA("Somma di AVERE",'Pivot BBVA'!$A$3,"Mese",2,"Tipologia",$A215),0)
- IFERROR(GETPIVOTDATA("Somma di AVERE",'Pivot Fineco St'!$A$3,"Mese",2,"Tipologia",$A215),0)
- IFERROR(GETPIVOTDATA("Somma di AVERE",'Pivot Fineco Sa'!$A$3,"Mese",2,"Tipologia",$A215),0)
+ IFERROR(GETPIVOTDATA("Somma di DARE",'Pivot PP Visa'!$A$3,"Mese",2,"Tipologia",$A215),0)
- IFERROR(GETPIVOTDATA("Somma di AVERE",'Pivot PP Visa'!$A$3,"Mese",2,"Tipologia",$A215),0)
+ IFERROR(GETPIVOTDATA("Somma di DARE",'Pivot Revolut'!$A$3,"Mese",2,"Tipologia",$A215),0)
- IFERROR(GETPIVOTDATA("Somma di AVERE",'Pivot Revolut'!$A$3,"Mese",2,"Tipologia",$A215),0)</f>
        <v>0</v>
      </c>
      <c r="E215" s="243">
        <f>IFERROR(GETPIVOTDATA("Somma di DARE EUR",'Pivot RakBank AED'!$A$3,"Mese",3,"Tipologia",$A215),0)
- IFERROR(GETPIVOTDATA("Somma di AVERE EUR",'Pivot RakBank AED'!$A$3,"Mese",3,"Tipologia",$A215),0)
+IFERROR(GETPIVOTDATA("Somma di DARE",'Pivot RakBank EUR'!$A$3,"Mese",3,"Tipologia",$A215),0)
- IFERROR(GETPIVOTDATA("Somma di AVERE",'Pivot RakBank EUR'!$A$3,"Mese",3,"Tipologia",$A215),0)
+IFERROR(GETPIVOTDATA("Somma di DARE",'Pivot Fineco Sa'!$A$3,"Mese",3,"Tipologia",$A215),0)
+ IFERROR(GETPIVOTDATA("Somma di DARE",'Pivot Fineco St'!$A$3,"Mese",3,"Tipologia",$A215),0)
+ Contanti!J77
+ IFERROR(GETPIVOTDATA("Somma di DARE",'Pivot BBVA'!$A$3,"Mese",3,"Tipologia",$A215),0)
+ IFERROR(GETPIVOTDATA("Somma di DARE",'Pivot Amex'!$A$3,"Mese",3,"Tipologia",$A215),0)
- IFERROR(GETPIVOTDATA("Somma di AVERE",'Pivot Amex'!$A$3,"Mese",3,"Tipologia",$A215),0)
- IFERROR(GETPIVOTDATA("Somma di AVERE",'Pivot BBVA'!$A$3,"Mese",3,"Tipologia",$A215),0)
- IFERROR(GETPIVOTDATA("Somma di AVERE",'Pivot Fineco St'!$A$3,"Mese",3,"Tipologia",$A215),0)
- IFERROR(GETPIVOTDATA("Somma di AVERE",'Pivot Fineco Sa'!$A$3,"Mese",3,"Tipologia",$A215),0)
+ IFERROR(GETPIVOTDATA("Somma di DARE",'Pivot PP Visa'!$A$3,"Mese",3,"Tipologia",$A215),0)
- IFERROR(GETPIVOTDATA("Somma di AVERE",'Pivot PP Visa'!$A$3,"Mese",3,"Tipologia",$A215),0)
+ IFERROR(GETPIVOTDATA("Somma di DARE",'Pivot Revolut'!$A$3,"Mese",3,"Tipologia",$A215),0)
- IFERROR(GETPIVOTDATA("Somma di AVERE",'Pivot Revolut'!$A$3,"Mese",3,"Tipologia",$A215),0)</f>
        <v>0</v>
      </c>
      <c r="F215" s="243">
        <f>IFERROR(GETPIVOTDATA("Somma di DARE EUR",'Pivot RakBank AED'!$A$3,"Mese",4,"Tipologia",$A215),0)
- IFERROR(GETPIVOTDATA("Somma di AVERE EUR",'Pivot RakBank AED'!$A$3,"Mese",4,"Tipologia",$A215),0)
+IFERROR(GETPIVOTDATA("Somma di DARE",'Pivot RakBank EUR'!$A$3,"Mese",4,"Tipologia",$A215),0)
- IFERROR(GETPIVOTDATA("Somma di AVERE",'Pivot RakBank EUR'!$A$3,"Mese",4,"Tipologia",$A215),0)
+IFERROR(GETPIVOTDATA("Somma di DARE",'Pivot Fineco Sa'!$A$3,"Mese",4,"Tipologia",$A215),0)
+ IFERROR(GETPIVOTDATA("Somma di DARE",'Pivot Fineco St'!$A$3,"Mese",4,"Tipologia",$A215),0)
+ Contanti!N77
+ IFERROR(GETPIVOTDATA("Somma di DARE",'Pivot BBVA'!$A$3,"Mese",4,"Tipologia",$A215),0)
+ IFERROR(GETPIVOTDATA("Somma di DARE",'Pivot Amex'!$A$3,"Mese",4,"Tipologia",$A215),0)
- IFERROR(GETPIVOTDATA("Somma di AVERE",'Pivot Amex'!$A$3,"Mese",4,"Tipologia",$A215),0)
- IFERROR(GETPIVOTDATA("Somma di AVERE",'Pivot BBVA'!$A$3,"Mese",4,"Tipologia",$A215),0)
- IFERROR(GETPIVOTDATA("Somma di AVERE",'Pivot Fineco St'!$A$3,"Mese",4,"Tipologia",$A215),0)
- IFERROR(GETPIVOTDATA("Somma di AVERE",'Pivot Fineco Sa'!$A$3,"Mese",4,"Tipologia",$A215),0)
+ IFERROR(GETPIVOTDATA("Somma di DARE",'Pivot PP Visa'!$A$3,"Mese",4,"Tipologia",$A215),0)
- IFERROR(GETPIVOTDATA("Somma di AVERE",'Pivot PP Visa'!$A$3,"Mese",4,"Tipologia",$A215),0)
+ IFERROR(GETPIVOTDATA("Somma di DARE",'Pivot Revolut'!$A$3,"Mese",4,"Tipologia",$A215),0)
- IFERROR(GETPIVOTDATA("Somma di AVERE",'Pivot Revolut'!$A$3,"Mese",4,"Tipologia",$A215),0)</f>
        <v>0</v>
      </c>
      <c r="G215" s="243">
        <f>IFERROR(GETPIVOTDATA("Somma di DARE EUR",'Pivot RakBank AED'!$A$3,"Mese",5,"Tipologia",$A215),0)
- IFERROR(GETPIVOTDATA("Somma di AVERE EUR",'Pivot RakBank AED'!$A$3,"Mese",5,"Tipologia",$A215),0)
+IFERROR(GETPIVOTDATA("Somma di DARE",'Pivot RakBank EUR'!$A$3,"Mese",5,"Tipologia",$A215),0)
- IFERROR(GETPIVOTDATA("Somma di AVERE",'Pivot RakBank EUR'!$A$3,"Mese",5,"Tipologia",$A215),0)
+IFERROR(GETPIVOTDATA("Somma di DARE",'Pivot Fineco Sa'!$A$3,"Mese",5,"Tipologia",$A215),0)
+ IFERROR(GETPIVOTDATA("Somma di DARE",'Pivot Fineco St'!$A$3,"Mese",5,"Tipologia",$A215),0)
+ Contanti!R77
+ IFERROR(GETPIVOTDATA("Somma di DARE",'Pivot BBVA'!$A$3,"Mese",5,"Tipologia",$A215),0)
+ IFERROR(GETPIVOTDATA("Somma di DARE",'Pivot Amex'!$A$3,"Mese",5,"Tipologia",$A215),0)
- IFERROR(GETPIVOTDATA("Somma di AVERE",'Pivot Amex'!$A$3,"Mese",5,"Tipologia",$A215),0)
- IFERROR(GETPIVOTDATA("Somma di AVERE",'Pivot BBVA'!$A$3,"Mese",5,"Tipologia",$A215),0)
- IFERROR(GETPIVOTDATA("Somma di AVERE",'Pivot Fineco St'!$A$3,"Mese",5,"Tipologia",$A215),0)
- IFERROR(GETPIVOTDATA("Somma di AVERE",'Pivot Fineco Sa'!$A$3,"Mese",5,"Tipologia",$A215),0)
+ IFERROR(GETPIVOTDATA("Somma di DARE",'Pivot PP Visa'!$A$3,"Mese",5,"Tipologia",$A215),0)
- IFERROR(GETPIVOTDATA("Somma di AVERE",'Pivot PP Visa'!$A$3,"Mese",5,"Tipologia",$A215),0)
+ IFERROR(GETPIVOTDATA("Somma di DARE",'Pivot Revolut'!$A$3,"Mese",5,"Tipologia",$A215),0)
- IFERROR(GETPIVOTDATA("Somma di AVERE",'Pivot Revolut'!$A$3,"Mese",5,"Tipologia",$A215),0)</f>
        <v>0</v>
      </c>
      <c r="H215" s="243">
        <f>IFERROR(GETPIVOTDATA("Somma di DARE EUR",'Pivot RakBank AED'!$A$3,"Mese",6,"Tipologia",$A215),0)
- IFERROR(GETPIVOTDATA("Somma di AVERE EUR",'Pivot RakBank AED'!$A$3,"Mese",6,"Tipologia",$A215),0)
+IFERROR(GETPIVOTDATA("Somma di DARE",'Pivot RakBank EUR'!$A$3,"Mese",6,"Tipologia",$A215),0)
- IFERROR(GETPIVOTDATA("Somma di AVERE",'Pivot RakBank EUR'!$A$3,"Mese",6,"Tipologia",$A215),0)
+IFERROR(GETPIVOTDATA("Somma di DARE",'Pivot Fineco Sa'!$A$3,"Mese",6,"Tipologia",$A215),0)
+ IFERROR(GETPIVOTDATA("Somma di DARE",'Pivot Fineco St'!$A$3,"Mese",6,"Tipologia",$A215),0)
+ Contanti!V77
+ IFERROR(GETPIVOTDATA("Somma di DARE",'Pivot BBVA'!$A$3,"Mese",6,"Tipologia",$A215),0)
+ IFERROR(GETPIVOTDATA("Somma di DARE",'Pivot Amex'!$A$3,"Mese",6,"Tipologia",$A215),0)
- IFERROR(GETPIVOTDATA("Somma di AVERE",'Pivot Amex'!$A$3,"Mese",6,"Tipologia",$A215),0)
- IFERROR(GETPIVOTDATA("Somma di AVERE",'Pivot BBVA'!$A$3,"Mese",6,"Tipologia",$A215),0)
- IFERROR(GETPIVOTDATA("Somma di AVERE",'Pivot Fineco St'!$A$3,"Mese",6,"Tipologia",$A215),0)
- IFERROR(GETPIVOTDATA("Somma di AVERE",'Pivot Fineco Sa'!$A$3,"Mese",6,"Tipologia",$A215),0)
+ IFERROR(GETPIVOTDATA("Somma di DARE",'Pivot PP Visa'!$A$3,"Mese",6,"Tipologia",$A215),0)
- IFERROR(GETPIVOTDATA("Somma di AVERE",'Pivot PP Visa'!$A$3,"Mese",6,"Tipologia",$A215),0)
+ IFERROR(GETPIVOTDATA("Somma di DARE",'Pivot Revolut'!$A$3,"Mese",6,"Tipologia",$A215),0)
- IFERROR(GETPIVOTDATA("Somma di AVERE",'Pivot Revolut'!$A$3,"Mese",6,"Tipologia",$A215),0)</f>
        <v>0</v>
      </c>
      <c r="I215" s="243">
        <f>IFERROR(GETPIVOTDATA("Somma di DARE EUR",'Pivot RakBank AED'!$A$3,"Mese",7,"Tipologia",$A215),0)
- IFERROR(GETPIVOTDATA("Somma di AVERE EUR",'Pivot RakBank AED'!$A$3,"Mese",7,"Tipologia",$A215),0)
+IFERROR(GETPIVOTDATA("Somma di DARE",'Pivot RakBank EUR'!$A$3,"Mese",7,"Tipologia",$A215),0)
- IFERROR(GETPIVOTDATA("Somma di AVERE",'Pivot RakBank EUR'!$A$3,"Mese",7,"Tipologia",$A215),0)
+IFERROR(GETPIVOTDATA("Somma di DARE",'Pivot Fineco Sa'!$A$3,"Mese",7,"Tipologia",$A215),0)
+ IFERROR(GETPIVOTDATA("Somma di DARE",'Pivot Fineco St'!$A$3,"Mese",7,"Tipologia",$A215),0)
+ Contanti!Z77
+ IFERROR(GETPIVOTDATA("Somma di DARE",'Pivot BBVA'!$A$3,"Mese",7,"Tipologia",$A215),0)
+ IFERROR(GETPIVOTDATA("Somma di DARE",'Pivot Amex'!$A$3,"Mese",7,"Tipologia",$A215),0)
- IFERROR(GETPIVOTDATA("Somma di AVERE",'Pivot Amex'!$A$3,"Mese",7,"Tipologia",$A215),0)
- IFERROR(GETPIVOTDATA("Somma di AVERE",'Pivot BBVA'!$A$3,"Mese",7,"Tipologia",$A215),0)
- IFERROR(GETPIVOTDATA("Somma di AVERE",'Pivot Fineco St'!$A$3,"Mese",7,"Tipologia",$A215),0)
- IFERROR(GETPIVOTDATA("Somma di AVERE",'Pivot Fineco Sa'!$A$3,"Mese",7,"Tipologia",$A215),0)
+ IFERROR(GETPIVOTDATA("Somma di DARE",'Pivot PP Visa'!$A$3,"Mese",7,"Tipologia",$A215),0)
- IFERROR(GETPIVOTDATA("Somma di AVERE",'Pivot PP Visa'!$A$3,"Mese",7,"Tipologia",$A215),0)
+ IFERROR(GETPIVOTDATA("Somma di DARE",'Pivot Revolut'!$A$3,"Mese",7,"Tipologia",$A215),0)
- IFERROR(GETPIVOTDATA("Somma di AVERE",'Pivot Revolut'!$A$3,"Mese",7,"Tipologia",$A215),0)</f>
        <v>0</v>
      </c>
      <c r="J215" s="243">
        <f>IFERROR(GETPIVOTDATA("Somma di DARE EUR",'Pivot RakBank AED'!$A$3,"Mese",8,"Tipologia",$A215),0)
- IFERROR(GETPIVOTDATA("Somma di AVERE EUR",'Pivot RakBank AED'!$A$3,"Mese",8,"Tipologia",$A215),0)
+IFERROR(GETPIVOTDATA("Somma di DARE",'Pivot RakBank EUR'!$A$3,"Mese",8,"Tipologia",$A215),0)
- IFERROR(GETPIVOTDATA("Somma di AVERE",'Pivot RakBank EUR'!$A$3,"Mese",8,"Tipologia",$A215),0)
+IFERROR(GETPIVOTDATA("Somma di DARE",'Pivot Fineco Sa'!$A$3,"Mese",8,"Tipologia",$A215),0)
+ IFERROR(GETPIVOTDATA("Somma di DARE",'Pivot Fineco St'!$A$3,"Mese",8,"Tipologia",$A215),0)
+ Contanti!AD77
+ IFERROR(GETPIVOTDATA("Somma di DARE",'Pivot BBVA'!$A$3,"Mese",8,"Tipologia",$A215),0)
+ IFERROR(GETPIVOTDATA("Somma di DARE",'Pivot Amex'!$A$3,"Mese",8,"Tipologia",$A215),0)
- IFERROR(GETPIVOTDATA("Somma di AVERE",'Pivot Amex'!$A$3,"Mese",8,"Tipologia",$A215),0)
- IFERROR(GETPIVOTDATA("Somma di AVERE",'Pivot BBVA'!$A$3,"Mese",8,"Tipologia",$A215),0)
- IFERROR(GETPIVOTDATA("Somma di AVERE",'Pivot Fineco St'!$A$3,"Mese",8,"Tipologia",$A215),0)
- IFERROR(GETPIVOTDATA("Somma di AVERE",'Pivot Fineco Sa'!$A$3,"Mese",8,"Tipologia",$A215),0)
+ IFERROR(GETPIVOTDATA("Somma di DARE",'Pivot PP Visa'!$A$3,"Mese",8,"Tipologia",$A215),0)
- IFERROR(GETPIVOTDATA("Somma di AVERE",'Pivot PP Visa'!$A$3,"Mese",8,"Tipologia",$A215),0)
+ IFERROR(GETPIVOTDATA("Somma di DARE",'Pivot Revolut'!$A$3,"Mese",8,"Tipologia",$A215),0)
- IFERROR(GETPIVOTDATA("Somma di AVERE",'Pivot Revolut'!$A$3,"Mese",8,"Tipologia",$A215),0)</f>
        <v>0</v>
      </c>
      <c r="K215" s="243">
        <f>IFERROR(GETPIVOTDATA("Somma di DARE EUR",'Pivot RakBank AED'!$A$3,"Mese",9,"Tipologia",$A215),0)
- IFERROR(GETPIVOTDATA("Somma di AVERE EUR",'Pivot RakBank AED'!$A$3,"Mese",9,"Tipologia",$A215),0)
+IFERROR(GETPIVOTDATA("Somma di DARE",'Pivot RakBank EUR'!$A$3,"Mese",9,"Tipologia",$A215),0)
- IFERROR(GETPIVOTDATA("Somma di AVERE",'Pivot RakBank EUR'!$A$3,"Mese",9,"Tipologia",$A215),0)
+IFERROR(GETPIVOTDATA("Somma di DARE",'Pivot Fineco Sa'!$A$3,"Mese",9,"Tipologia",$A215),0)
+ IFERROR(GETPIVOTDATA("Somma di DARE",'Pivot Fineco St'!$A$3,"Mese",9,"Tipologia",$A215),0)
+ Contanti!AH77
+ IFERROR(GETPIVOTDATA("Somma di DARE",'Pivot BBVA'!$A$3,"Mese",9,"Tipologia",$A215),0)
+ IFERROR(GETPIVOTDATA("Somma di DARE",'Pivot Amex'!$A$3,"Mese",9,"Tipologia",$A215),0)
- IFERROR(GETPIVOTDATA("Somma di AVERE",'Pivot Amex'!$A$3,"Mese",9,"Tipologia",$A215),0)
- IFERROR(GETPIVOTDATA("Somma di AVERE",'Pivot BBVA'!$A$3,"Mese",9,"Tipologia",$A215),0)
- IFERROR(GETPIVOTDATA("Somma di AVERE",'Pivot Fineco St'!$A$3,"Mese",9,"Tipologia",$A215),0)
- IFERROR(GETPIVOTDATA("Somma di AVERE",'Pivot Fineco Sa'!$A$3,"Mese",9,"Tipologia",$A215),0)
+ IFERROR(GETPIVOTDATA("Somma di DARE",'Pivot PP Visa'!$A$3,"Mese",9,"Tipologia",$A215),0)
- IFERROR(GETPIVOTDATA("Somma di AVERE",'Pivot PP Visa'!$A$3,"Mese",9,"Tipologia",$A215),0)
+ IFERROR(GETPIVOTDATA("Somma di DARE",'Pivot Revolut'!$A$3,"Mese",9,"Tipologia",$A215),0)
- IFERROR(GETPIVOTDATA("Somma di AVERE",'Pivot Revolut'!$A$3,"Mese",9,"Tipologia",$A215),0)</f>
        <v>0</v>
      </c>
      <c r="L215" s="243">
        <f>IFERROR(GETPIVOTDATA("Somma di DARE EUR",'Pivot RakBank AED'!$A$3,"Mese",10,"Tipologia",$A215),0)
- IFERROR(GETPIVOTDATA("Somma di AVERE EUR",'Pivot RakBank AED'!$A$3,"Mese",10,"Tipologia",$A215),0)
+IFERROR(GETPIVOTDATA("Somma di DARE",'Pivot RakBank EUR'!$A$3,"Mese",10,"Tipologia",$A215),0)
- IFERROR(GETPIVOTDATA("Somma di AVERE",'Pivot RakBank EUR'!$A$3,"Mese",10,"Tipologia",$A215),0)
+IFERROR(GETPIVOTDATA("Somma di DARE",'Pivot Fineco Sa'!$A$3,"Mese",10,"Tipologia",$A215),0)
+ IFERROR(GETPIVOTDATA("Somma di DARE",'Pivot Fineco St'!$A$3,"Mese",10,"Tipologia",$A215),0)
+ Contanti!AL77
+ IFERROR(GETPIVOTDATA("Somma di DARE",'Pivot BBVA'!$A$3,"Mese",10,"Tipologia",$A215),0)
+ IFERROR(GETPIVOTDATA("Somma di DARE",'Pivot Amex'!$A$3,"Mese",10,"Tipologia",$A215),0)
- IFERROR(GETPIVOTDATA("Somma di AVERE",'Pivot Amex'!$A$3,"Mese",10,"Tipologia",$A215),0)
- IFERROR(GETPIVOTDATA("Somma di AVERE",'Pivot BBVA'!$A$3,"Mese",10,"Tipologia",$A215),0)
- IFERROR(GETPIVOTDATA("Somma di AVERE",'Pivot Fineco St'!$A$3,"Mese",10,"Tipologia",$A215),0)
- IFERROR(GETPIVOTDATA("Somma di AVERE",'Pivot Fineco Sa'!$A$3,"Mese",10,"Tipologia",$A215),0)
+ IFERROR(GETPIVOTDATA("Somma di DARE",'Pivot PP Visa'!$A$3,"Mese",10,"Tipologia",$A215),0)
- IFERROR(GETPIVOTDATA("Somma di AVERE",'Pivot PP Visa'!$A$3,"Mese",10,"Tipologia",$A215),0)
+ IFERROR(GETPIVOTDATA("Somma di DARE",'Pivot Revolut'!$A$3,"Mese",10,"Tipologia",$A215),0)
- IFERROR(GETPIVOTDATA("Somma di AVERE",'Pivot Revolut'!$A$3,"Mese",10,"Tipologia",$A215),0)</f>
        <v>0</v>
      </c>
      <c r="M215" s="243">
        <f>IFERROR(GETPIVOTDATA("Somma di DARE EUR",'Pivot RakBank AED'!$A$3,"Mese",11,"Tipologia",$A215),0)
- IFERROR(GETPIVOTDATA("Somma di AVERE EUR",'Pivot RakBank AED'!$A$3,"Mese",11,"Tipologia",$A215),0)
+IFERROR(GETPIVOTDATA("Somma di DARE",'Pivot RakBank EUR'!$A$3,"Mese",11,"Tipologia",$A215),0)
- IFERROR(GETPIVOTDATA("Somma di AVERE",'Pivot RakBank EUR'!$A$3,"Mese",11,"Tipologia",$A215),0)
+IFERROR(GETPIVOTDATA("Somma di DARE",'Pivot Fineco Sa'!$A$3,"Mese",11,"Tipologia",$A215),0)
+ IFERROR(GETPIVOTDATA("Somma di DARE",'Pivot Fineco St'!$A$3,"Mese",11,"Tipologia",$A215),0)
+ Contanti!AP77
+ IFERROR(GETPIVOTDATA("Somma di DARE",'Pivot BBVA'!$A$3,"Mese",11,"Tipologia",$A215),0)
+ IFERROR(GETPIVOTDATA("Somma di DARE",'Pivot Amex'!$A$3,"Mese",11,"Tipologia",$A215),0)
- IFERROR(GETPIVOTDATA("Somma di AVERE",'Pivot Amex'!$A$3,"Mese",11,"Tipologia",$A215),0)
- IFERROR(GETPIVOTDATA("Somma di AVERE",'Pivot BBVA'!$A$3,"Mese",11,"Tipologia",$A215),0)
- IFERROR(GETPIVOTDATA("Somma di AVERE",'Pivot Fineco St'!$A$3,"Mese",11,"Tipologia",$A215),0)
- IFERROR(GETPIVOTDATA("Somma di AVERE",'Pivot Fineco Sa'!$A$3,"Mese",11,"Tipologia",$A215),0)
+ IFERROR(GETPIVOTDATA("Somma di DARE",'Pivot PP Visa'!$A$3,"Mese",11,"Tipologia",$A215),0)
- IFERROR(GETPIVOTDATA("Somma di AVERE",'Pivot PP Visa'!$A$3,"Mese",11,"Tipologia",$A215),0)
+ IFERROR(GETPIVOTDATA("Somma di DARE",'Pivot Revolut'!$A$3,"Mese",11,"Tipologia",$A215),0)
- IFERROR(GETPIVOTDATA("Somma di AVERE",'Pivot Revolut'!$A$3,"Mese",11,"Tipologia",$A215),0)</f>
        <v>0</v>
      </c>
      <c r="N215" s="243">
        <f>IFERROR(GETPIVOTDATA("Somma di DARE EUR",'Pivot RakBank AED'!$A$3,"Mese",12,"Tipologia",$A215),0)
- IFERROR(GETPIVOTDATA("Somma di AVERE EUR",'Pivot RakBank AED'!$A$3,"Mese",12,"Tipologia",$A215),0)
+IFERROR(GETPIVOTDATA("Somma di DARE",'Pivot RakBank EUR'!$A$3,"Mese",12,"Tipologia",$A215),0)
- IFERROR(GETPIVOTDATA("Somma di AVERE",'Pivot RakBank EUR'!$A$3,"Mese",12,"Tipologia",$A215),0)
+IFERROR(GETPIVOTDATA("Somma di DARE",'Pivot Fineco Sa'!$A$3,"Mese",12,"Tipologia",$A215),0)
+ IFERROR(GETPIVOTDATA("Somma di DARE",'Pivot Fineco St'!$A$3,"Mese",12,"Tipologia",$A215),0)
+ Contanti!AT77
+ IFERROR(GETPIVOTDATA("Somma di DARE",'Pivot BBVA'!$A$3,"Mese",12,"Tipologia",$A215),0)
+ IFERROR(GETPIVOTDATA("Somma di DARE",'Pivot Amex'!$A$3,"Mese",12,"Tipologia",$A215),0)
- IFERROR(GETPIVOTDATA("Somma di AVERE",'Pivot Amex'!$A$3,"Mese",12,"Tipologia",$A215),0)
- IFERROR(GETPIVOTDATA("Somma di AVERE",'Pivot BBVA'!$A$3,"Mese",12,"Tipologia",$A215),0)
- IFERROR(GETPIVOTDATA("Somma di AVERE",'Pivot Fineco St'!$A$3,"Mese",12,"Tipologia",$A215),0)
- IFERROR(GETPIVOTDATA("Somma di AVERE",'Pivot Fineco Sa'!$A$3,"Mese",12,"Tipologia",$A215),0)
+ IFERROR(GETPIVOTDATA("Somma di DARE",'Pivot PP Visa'!$A$3,"Mese",12,"Tipologia",$A215),0)
- IFERROR(GETPIVOTDATA("Somma di AVERE",'Pivot PP Visa'!$A$3,"Mese",12,"Tipologia",$A215),0)
+ IFERROR(GETPIVOTDATA("Somma di DARE",'Pivot Revolut'!$A$3,"Mese",12,"Tipologia",$A215),0)
- IFERROR(GETPIVOTDATA("Somma di AVERE",'Pivot Revolut'!$A$3,"Mese",12,"Tipologia",$A215),0)</f>
        <v>0</v>
      </c>
      <c r="O215" s="252">
        <f t="shared" si="36"/>
        <v>0</v>
      </c>
      <c r="P215" s="243">
        <f t="shared" ca="1" si="37"/>
        <v>0</v>
      </c>
    </row>
    <row r="216" spans="1:16" s="125" customFormat="1" ht="21" customHeight="1" x14ac:dyDescent="0.2">
      <c r="A216" s="251" t="s">
        <v>184</v>
      </c>
      <c r="B216" s="251"/>
      <c r="C216" s="243">
        <f>IFERROR(GETPIVOTDATA("Somma di DARE EUR",'Pivot RakBank AED'!$A$3,"Mese",1,"Tipologia",$A216),0)
- IFERROR(GETPIVOTDATA("Somma di AVERE EUR",'Pivot RakBank AED'!$A$3,"Mese",1,"Tipologia",$A216),0)
+IFERROR(GETPIVOTDATA("Somma di DARE",'Pivot RakBank EUR'!$A$3,"Mese",1,"Tipologia",$A216),0)
- IFERROR(GETPIVOTDATA("Somma di AVERE",'Pivot RakBank EUR'!$A$3,"Mese",1,"Tipologia",$A216),0)
+IFERROR(GETPIVOTDATA("Somma di DARE",'Pivot Fineco Sa'!$A$3,"Mese",1,"Tipologia",$A216),0)
+ IFERROR(GETPIVOTDATA("Somma di DARE",'Pivot Fineco St'!$A$3,"Mese",1,"Tipologia",$A216),0)
+ Contanti!B78
+ IFERROR(GETPIVOTDATA("Somma di DARE",'Pivot BBVA'!$A$3,"Mese",1,"Tipologia",$A216),0)
+ IFERROR(GETPIVOTDATA("Somma di DARE",'Pivot Amex'!$A$3,"Mese",1,"Tipologia",$A216),0)
- IFERROR(GETPIVOTDATA("Somma di AVERE",'Pivot Amex'!$A$3,"Mese",1,"Tipologia",$A216),0)
- IFERROR(GETPIVOTDATA("Somma di AVERE",'Pivot BBVA'!$A$3,"Mese",1,"Tipologia",$A216),0)
- IFERROR(GETPIVOTDATA("Somma di AVERE",'Pivot Fineco St'!$A$3,"Mese",1,"Tipologia",$A216),0)
- IFERROR(GETPIVOTDATA("Somma di AVERE",'Pivot Fineco Sa'!$A$3,"Mese",1,"Tipologia",$A216),0)
+ IFERROR(GETPIVOTDATA("Somma di DARE",'Pivot PP Visa'!$A$3,"Mese",1,"Tipologia",$A216),0)
- IFERROR(GETPIVOTDATA("Somma di AVERE",'Pivot PP Visa'!$A$3,"Mese",1,"Tipologia",$A216),0)
+ IFERROR(GETPIVOTDATA("Somma di DARE",'Pivot Revolut'!$A$3,"Mese",1,"Tipologia",$A216),0)
- IFERROR(GETPIVOTDATA("Somma di AVERE",'Pivot Revolut'!$A$3,"Mese",1,"Tipologia",$A216),0)</f>
        <v>0</v>
      </c>
      <c r="D216" s="243">
        <f>IFERROR(GETPIVOTDATA("Somma di DARE EUR",'Pivot RakBank AED'!$A$3,"Mese",2,"Tipologia",$A216),0)
- IFERROR(GETPIVOTDATA("Somma di AVERE EUR",'Pivot RakBank AED'!$A$3,"Mese",2,"Tipologia",$A216),0)
+IFERROR(GETPIVOTDATA("Somma di DARE",'Pivot RakBank EUR'!$A$3,"Mese",2,"Tipologia",$A216),0)
- IFERROR(GETPIVOTDATA("Somma di AVERE",'Pivot RakBank EUR'!$A$3,"Mese",2,"Tipologia",$A216),0)
+IFERROR(GETPIVOTDATA("Somma di DARE",'Pivot Fineco Sa'!$A$3,"Mese",2,"Tipologia",$A216),0)
+ IFERROR(GETPIVOTDATA("Somma di DARE",'Pivot Fineco St'!$A$3,"Mese",2,"Tipologia",$A216),0)
+ Contanti!F78
+ IFERROR(GETPIVOTDATA("Somma di DARE",'Pivot BBVA'!$A$3,"Mese",2,"Tipologia",$A216),0)
+ IFERROR(GETPIVOTDATA("Somma di DARE",'Pivot Amex'!$A$3,"Mese",2,"Tipologia",$A216),0)
- IFERROR(GETPIVOTDATA("Somma di AVERE",'Pivot Amex'!$A$3,"Mese",2,"Tipologia",$A216),0)
- IFERROR(GETPIVOTDATA("Somma di AVERE",'Pivot BBVA'!$A$3,"Mese",2,"Tipologia",$A216),0)
- IFERROR(GETPIVOTDATA("Somma di AVERE",'Pivot Fineco St'!$A$3,"Mese",2,"Tipologia",$A216),0)
- IFERROR(GETPIVOTDATA("Somma di AVERE",'Pivot Fineco Sa'!$A$3,"Mese",2,"Tipologia",$A216),0)
+ IFERROR(GETPIVOTDATA("Somma di DARE",'Pivot PP Visa'!$A$3,"Mese",2,"Tipologia",$A216),0)
- IFERROR(GETPIVOTDATA("Somma di AVERE",'Pivot PP Visa'!$A$3,"Mese",2,"Tipologia",$A216),0)
+ IFERROR(GETPIVOTDATA("Somma di DARE",'Pivot Revolut'!$A$3,"Mese",2,"Tipologia",$A216),0)
- IFERROR(GETPIVOTDATA("Somma di AVERE",'Pivot Revolut'!$A$3,"Mese",2,"Tipologia",$A216),0)</f>
        <v>0</v>
      </c>
      <c r="E216" s="243">
        <f>IFERROR(GETPIVOTDATA("Somma di DARE EUR",'Pivot RakBank AED'!$A$3,"Mese",3,"Tipologia",$A216),0)
- IFERROR(GETPIVOTDATA("Somma di AVERE EUR",'Pivot RakBank AED'!$A$3,"Mese",3,"Tipologia",$A216),0)
+IFERROR(GETPIVOTDATA("Somma di DARE",'Pivot RakBank EUR'!$A$3,"Mese",3,"Tipologia",$A216),0)
- IFERROR(GETPIVOTDATA("Somma di AVERE",'Pivot RakBank EUR'!$A$3,"Mese",3,"Tipologia",$A216),0)
+IFERROR(GETPIVOTDATA("Somma di DARE",'Pivot Fineco Sa'!$A$3,"Mese",3,"Tipologia",$A216),0)
+ IFERROR(GETPIVOTDATA("Somma di DARE",'Pivot Fineco St'!$A$3,"Mese",3,"Tipologia",$A216),0)
+ Contanti!J78
+ IFERROR(GETPIVOTDATA("Somma di DARE",'Pivot BBVA'!$A$3,"Mese",3,"Tipologia",$A216),0)
+ IFERROR(GETPIVOTDATA("Somma di DARE",'Pivot Amex'!$A$3,"Mese",3,"Tipologia",$A216),0)
- IFERROR(GETPIVOTDATA("Somma di AVERE",'Pivot Amex'!$A$3,"Mese",3,"Tipologia",$A216),0)
- IFERROR(GETPIVOTDATA("Somma di AVERE",'Pivot BBVA'!$A$3,"Mese",3,"Tipologia",$A216),0)
- IFERROR(GETPIVOTDATA("Somma di AVERE",'Pivot Fineco St'!$A$3,"Mese",3,"Tipologia",$A216),0)
- IFERROR(GETPIVOTDATA("Somma di AVERE",'Pivot Fineco Sa'!$A$3,"Mese",3,"Tipologia",$A216),0)
+ IFERROR(GETPIVOTDATA("Somma di DARE",'Pivot PP Visa'!$A$3,"Mese",3,"Tipologia",$A216),0)
- IFERROR(GETPIVOTDATA("Somma di AVERE",'Pivot PP Visa'!$A$3,"Mese",3,"Tipologia",$A216),0)
+ IFERROR(GETPIVOTDATA("Somma di DARE",'Pivot Revolut'!$A$3,"Mese",3,"Tipologia",$A216),0)
- IFERROR(GETPIVOTDATA("Somma di AVERE",'Pivot Revolut'!$A$3,"Mese",3,"Tipologia",$A216),0)</f>
        <v>0</v>
      </c>
      <c r="F216" s="243">
        <f>IFERROR(GETPIVOTDATA("Somma di DARE EUR",'Pivot RakBank AED'!$A$3,"Mese",4,"Tipologia",$A216),0)
- IFERROR(GETPIVOTDATA("Somma di AVERE EUR",'Pivot RakBank AED'!$A$3,"Mese",4,"Tipologia",$A216),0)
+IFERROR(GETPIVOTDATA("Somma di DARE",'Pivot RakBank EUR'!$A$3,"Mese",4,"Tipologia",$A216),0)
- IFERROR(GETPIVOTDATA("Somma di AVERE",'Pivot RakBank EUR'!$A$3,"Mese",4,"Tipologia",$A216),0)
+IFERROR(GETPIVOTDATA("Somma di DARE",'Pivot Fineco Sa'!$A$3,"Mese",4,"Tipologia",$A216),0)
+ IFERROR(GETPIVOTDATA("Somma di DARE",'Pivot Fineco St'!$A$3,"Mese",4,"Tipologia",$A216),0)
+ Contanti!N78
+ IFERROR(GETPIVOTDATA("Somma di DARE",'Pivot BBVA'!$A$3,"Mese",4,"Tipologia",$A216),0)
+ IFERROR(GETPIVOTDATA("Somma di DARE",'Pivot Amex'!$A$3,"Mese",4,"Tipologia",$A216),0)
- IFERROR(GETPIVOTDATA("Somma di AVERE",'Pivot Amex'!$A$3,"Mese",4,"Tipologia",$A216),0)
- IFERROR(GETPIVOTDATA("Somma di AVERE",'Pivot BBVA'!$A$3,"Mese",4,"Tipologia",$A216),0)
- IFERROR(GETPIVOTDATA("Somma di AVERE",'Pivot Fineco St'!$A$3,"Mese",4,"Tipologia",$A216),0)
- IFERROR(GETPIVOTDATA("Somma di AVERE",'Pivot Fineco Sa'!$A$3,"Mese",4,"Tipologia",$A216),0)
+ IFERROR(GETPIVOTDATA("Somma di DARE",'Pivot PP Visa'!$A$3,"Mese",4,"Tipologia",$A216),0)
- IFERROR(GETPIVOTDATA("Somma di AVERE",'Pivot PP Visa'!$A$3,"Mese",4,"Tipologia",$A216),0)
+ IFERROR(GETPIVOTDATA("Somma di DARE",'Pivot Revolut'!$A$3,"Mese",4,"Tipologia",$A216),0)
- IFERROR(GETPIVOTDATA("Somma di AVERE",'Pivot Revolut'!$A$3,"Mese",4,"Tipologia",$A216),0)</f>
        <v>0</v>
      </c>
      <c r="G216" s="243">
        <f>IFERROR(GETPIVOTDATA("Somma di DARE EUR",'Pivot RakBank AED'!$A$3,"Mese",5,"Tipologia",$A216),0)
- IFERROR(GETPIVOTDATA("Somma di AVERE EUR",'Pivot RakBank AED'!$A$3,"Mese",5,"Tipologia",$A216),0)
+IFERROR(GETPIVOTDATA("Somma di DARE",'Pivot RakBank EUR'!$A$3,"Mese",5,"Tipologia",$A216),0)
- IFERROR(GETPIVOTDATA("Somma di AVERE",'Pivot RakBank EUR'!$A$3,"Mese",5,"Tipologia",$A216),0)
+IFERROR(GETPIVOTDATA("Somma di DARE",'Pivot Fineco Sa'!$A$3,"Mese",5,"Tipologia",$A216),0)
+ IFERROR(GETPIVOTDATA("Somma di DARE",'Pivot Fineco St'!$A$3,"Mese",5,"Tipologia",$A216),0)
+ Contanti!R78
+ IFERROR(GETPIVOTDATA("Somma di DARE",'Pivot BBVA'!$A$3,"Mese",5,"Tipologia",$A216),0)
+ IFERROR(GETPIVOTDATA("Somma di DARE",'Pivot Amex'!$A$3,"Mese",5,"Tipologia",$A216),0)
- IFERROR(GETPIVOTDATA("Somma di AVERE",'Pivot Amex'!$A$3,"Mese",5,"Tipologia",$A216),0)
- IFERROR(GETPIVOTDATA("Somma di AVERE",'Pivot BBVA'!$A$3,"Mese",5,"Tipologia",$A216),0)
- IFERROR(GETPIVOTDATA("Somma di AVERE",'Pivot Fineco St'!$A$3,"Mese",5,"Tipologia",$A216),0)
- IFERROR(GETPIVOTDATA("Somma di AVERE",'Pivot Fineco Sa'!$A$3,"Mese",5,"Tipologia",$A216),0)
+ IFERROR(GETPIVOTDATA("Somma di DARE",'Pivot PP Visa'!$A$3,"Mese",5,"Tipologia",$A216),0)
- IFERROR(GETPIVOTDATA("Somma di AVERE",'Pivot PP Visa'!$A$3,"Mese",5,"Tipologia",$A216),0)
+ IFERROR(GETPIVOTDATA("Somma di DARE",'Pivot Revolut'!$A$3,"Mese",5,"Tipologia",$A216),0)
- IFERROR(GETPIVOTDATA("Somma di AVERE",'Pivot Revolut'!$A$3,"Mese",5,"Tipologia",$A216),0)</f>
        <v>0</v>
      </c>
      <c r="H216" s="243">
        <f>IFERROR(GETPIVOTDATA("Somma di DARE EUR",'Pivot RakBank AED'!$A$3,"Mese",6,"Tipologia",$A216),0)
- IFERROR(GETPIVOTDATA("Somma di AVERE EUR",'Pivot RakBank AED'!$A$3,"Mese",6,"Tipologia",$A216),0)
+IFERROR(GETPIVOTDATA("Somma di DARE",'Pivot RakBank EUR'!$A$3,"Mese",6,"Tipologia",$A216),0)
- IFERROR(GETPIVOTDATA("Somma di AVERE",'Pivot RakBank EUR'!$A$3,"Mese",6,"Tipologia",$A216),0)
+IFERROR(GETPIVOTDATA("Somma di DARE",'Pivot Fineco Sa'!$A$3,"Mese",6,"Tipologia",$A216),0)
+ IFERROR(GETPIVOTDATA("Somma di DARE",'Pivot Fineco St'!$A$3,"Mese",6,"Tipologia",$A216),0)
+ Contanti!V78
+ IFERROR(GETPIVOTDATA("Somma di DARE",'Pivot BBVA'!$A$3,"Mese",6,"Tipologia",$A216),0)
+ IFERROR(GETPIVOTDATA("Somma di DARE",'Pivot Amex'!$A$3,"Mese",6,"Tipologia",$A216),0)
- IFERROR(GETPIVOTDATA("Somma di AVERE",'Pivot Amex'!$A$3,"Mese",6,"Tipologia",$A216),0)
- IFERROR(GETPIVOTDATA("Somma di AVERE",'Pivot BBVA'!$A$3,"Mese",6,"Tipologia",$A216),0)
- IFERROR(GETPIVOTDATA("Somma di AVERE",'Pivot Fineco St'!$A$3,"Mese",6,"Tipologia",$A216),0)
- IFERROR(GETPIVOTDATA("Somma di AVERE",'Pivot Fineco Sa'!$A$3,"Mese",6,"Tipologia",$A216),0)
+ IFERROR(GETPIVOTDATA("Somma di DARE",'Pivot PP Visa'!$A$3,"Mese",6,"Tipologia",$A216),0)
- IFERROR(GETPIVOTDATA("Somma di AVERE",'Pivot PP Visa'!$A$3,"Mese",6,"Tipologia",$A216),0)
+ IFERROR(GETPIVOTDATA("Somma di DARE",'Pivot Revolut'!$A$3,"Mese",6,"Tipologia",$A216),0)
- IFERROR(GETPIVOTDATA("Somma di AVERE",'Pivot Revolut'!$A$3,"Mese",6,"Tipologia",$A216),0)</f>
        <v>14</v>
      </c>
      <c r="I216" s="243">
        <f>IFERROR(GETPIVOTDATA("Somma di DARE EUR",'Pivot RakBank AED'!$A$3,"Mese",7,"Tipologia",$A216),0)
- IFERROR(GETPIVOTDATA("Somma di AVERE EUR",'Pivot RakBank AED'!$A$3,"Mese",7,"Tipologia",$A216),0)
+IFERROR(GETPIVOTDATA("Somma di DARE",'Pivot RakBank EUR'!$A$3,"Mese",7,"Tipologia",$A216),0)
- IFERROR(GETPIVOTDATA("Somma di AVERE",'Pivot RakBank EUR'!$A$3,"Mese",7,"Tipologia",$A216),0)
+IFERROR(GETPIVOTDATA("Somma di DARE",'Pivot Fineco Sa'!$A$3,"Mese",7,"Tipologia",$A216),0)
+ IFERROR(GETPIVOTDATA("Somma di DARE",'Pivot Fineco St'!$A$3,"Mese",7,"Tipologia",$A216),0)
+ Contanti!Z78
+ IFERROR(GETPIVOTDATA("Somma di DARE",'Pivot BBVA'!$A$3,"Mese",7,"Tipologia",$A216),0)
+ IFERROR(GETPIVOTDATA("Somma di DARE",'Pivot Amex'!$A$3,"Mese",7,"Tipologia",$A216),0)
- IFERROR(GETPIVOTDATA("Somma di AVERE",'Pivot Amex'!$A$3,"Mese",7,"Tipologia",$A216),0)
- IFERROR(GETPIVOTDATA("Somma di AVERE",'Pivot BBVA'!$A$3,"Mese",7,"Tipologia",$A216),0)
- IFERROR(GETPIVOTDATA("Somma di AVERE",'Pivot Fineco St'!$A$3,"Mese",7,"Tipologia",$A216),0)
- IFERROR(GETPIVOTDATA("Somma di AVERE",'Pivot Fineco Sa'!$A$3,"Mese",7,"Tipologia",$A216),0)
+ IFERROR(GETPIVOTDATA("Somma di DARE",'Pivot PP Visa'!$A$3,"Mese",7,"Tipologia",$A216),0)
- IFERROR(GETPIVOTDATA("Somma di AVERE",'Pivot PP Visa'!$A$3,"Mese",7,"Tipologia",$A216),0)
+ IFERROR(GETPIVOTDATA("Somma di DARE",'Pivot Revolut'!$A$3,"Mese",7,"Tipologia",$A216),0)
- IFERROR(GETPIVOTDATA("Somma di AVERE",'Pivot Revolut'!$A$3,"Mese",7,"Tipologia",$A216),0)</f>
        <v>0</v>
      </c>
      <c r="J216" s="243">
        <f>IFERROR(GETPIVOTDATA("Somma di DARE EUR",'Pivot RakBank AED'!$A$3,"Mese",8,"Tipologia",$A216),0)
- IFERROR(GETPIVOTDATA("Somma di AVERE EUR",'Pivot RakBank AED'!$A$3,"Mese",8,"Tipologia",$A216),0)
+IFERROR(GETPIVOTDATA("Somma di DARE",'Pivot RakBank EUR'!$A$3,"Mese",8,"Tipologia",$A216),0)
- IFERROR(GETPIVOTDATA("Somma di AVERE",'Pivot RakBank EUR'!$A$3,"Mese",8,"Tipologia",$A216),0)
+IFERROR(GETPIVOTDATA("Somma di DARE",'Pivot Fineco Sa'!$A$3,"Mese",8,"Tipologia",$A216),0)
+ IFERROR(GETPIVOTDATA("Somma di DARE",'Pivot Fineco St'!$A$3,"Mese",8,"Tipologia",$A216),0)
+ Contanti!AD78
+ IFERROR(GETPIVOTDATA("Somma di DARE",'Pivot BBVA'!$A$3,"Mese",8,"Tipologia",$A216),0)
+ IFERROR(GETPIVOTDATA("Somma di DARE",'Pivot Amex'!$A$3,"Mese",8,"Tipologia",$A216),0)
- IFERROR(GETPIVOTDATA("Somma di AVERE",'Pivot Amex'!$A$3,"Mese",8,"Tipologia",$A216),0)
- IFERROR(GETPIVOTDATA("Somma di AVERE",'Pivot BBVA'!$A$3,"Mese",8,"Tipologia",$A216),0)
- IFERROR(GETPIVOTDATA("Somma di AVERE",'Pivot Fineco St'!$A$3,"Mese",8,"Tipologia",$A216),0)
- IFERROR(GETPIVOTDATA("Somma di AVERE",'Pivot Fineco Sa'!$A$3,"Mese",8,"Tipologia",$A216),0)
+ IFERROR(GETPIVOTDATA("Somma di DARE",'Pivot PP Visa'!$A$3,"Mese",8,"Tipologia",$A216),0)
- IFERROR(GETPIVOTDATA("Somma di AVERE",'Pivot PP Visa'!$A$3,"Mese",8,"Tipologia",$A216),0)
+ IFERROR(GETPIVOTDATA("Somma di DARE",'Pivot Revolut'!$A$3,"Mese",8,"Tipologia",$A216),0)
- IFERROR(GETPIVOTDATA("Somma di AVERE",'Pivot Revolut'!$A$3,"Mese",8,"Tipologia",$A216),0)</f>
        <v>0</v>
      </c>
      <c r="K216" s="243">
        <f>IFERROR(GETPIVOTDATA("Somma di DARE EUR",'Pivot RakBank AED'!$A$3,"Mese",9,"Tipologia",$A216),0)
- IFERROR(GETPIVOTDATA("Somma di AVERE EUR",'Pivot RakBank AED'!$A$3,"Mese",9,"Tipologia",$A216),0)
+IFERROR(GETPIVOTDATA("Somma di DARE",'Pivot RakBank EUR'!$A$3,"Mese",9,"Tipologia",$A216),0)
- IFERROR(GETPIVOTDATA("Somma di AVERE",'Pivot RakBank EUR'!$A$3,"Mese",9,"Tipologia",$A216),0)
+IFERROR(GETPIVOTDATA("Somma di DARE",'Pivot Fineco Sa'!$A$3,"Mese",9,"Tipologia",$A216),0)
+ IFERROR(GETPIVOTDATA("Somma di DARE",'Pivot Fineco St'!$A$3,"Mese",9,"Tipologia",$A216),0)
+ Contanti!AH78
+ IFERROR(GETPIVOTDATA("Somma di DARE",'Pivot BBVA'!$A$3,"Mese",9,"Tipologia",$A216),0)
+ IFERROR(GETPIVOTDATA("Somma di DARE",'Pivot Amex'!$A$3,"Mese",9,"Tipologia",$A216),0)
- IFERROR(GETPIVOTDATA("Somma di AVERE",'Pivot Amex'!$A$3,"Mese",9,"Tipologia",$A216),0)
- IFERROR(GETPIVOTDATA("Somma di AVERE",'Pivot BBVA'!$A$3,"Mese",9,"Tipologia",$A216),0)
- IFERROR(GETPIVOTDATA("Somma di AVERE",'Pivot Fineco St'!$A$3,"Mese",9,"Tipologia",$A216),0)
- IFERROR(GETPIVOTDATA("Somma di AVERE",'Pivot Fineco Sa'!$A$3,"Mese",9,"Tipologia",$A216),0)
+ IFERROR(GETPIVOTDATA("Somma di DARE",'Pivot PP Visa'!$A$3,"Mese",9,"Tipologia",$A216),0)
- IFERROR(GETPIVOTDATA("Somma di AVERE",'Pivot PP Visa'!$A$3,"Mese",9,"Tipologia",$A216),0)
+ IFERROR(GETPIVOTDATA("Somma di DARE",'Pivot Revolut'!$A$3,"Mese",9,"Tipologia",$A216),0)
- IFERROR(GETPIVOTDATA("Somma di AVERE",'Pivot Revolut'!$A$3,"Mese",9,"Tipologia",$A216),0)</f>
        <v>0</v>
      </c>
      <c r="L216" s="243">
        <f>IFERROR(GETPIVOTDATA("Somma di DARE EUR",'Pivot RakBank AED'!$A$3,"Mese",10,"Tipologia",$A216),0)
- IFERROR(GETPIVOTDATA("Somma di AVERE EUR",'Pivot RakBank AED'!$A$3,"Mese",10,"Tipologia",$A216),0)
+IFERROR(GETPIVOTDATA("Somma di DARE",'Pivot RakBank EUR'!$A$3,"Mese",10,"Tipologia",$A216),0)
- IFERROR(GETPIVOTDATA("Somma di AVERE",'Pivot RakBank EUR'!$A$3,"Mese",10,"Tipologia",$A216),0)
+IFERROR(GETPIVOTDATA("Somma di DARE",'Pivot Fineco Sa'!$A$3,"Mese",10,"Tipologia",$A216),0)
+ IFERROR(GETPIVOTDATA("Somma di DARE",'Pivot Fineco St'!$A$3,"Mese",10,"Tipologia",$A216),0)
+ Contanti!AL78
+ IFERROR(GETPIVOTDATA("Somma di DARE",'Pivot BBVA'!$A$3,"Mese",10,"Tipologia",$A216),0)
+ IFERROR(GETPIVOTDATA("Somma di DARE",'Pivot Amex'!$A$3,"Mese",10,"Tipologia",$A216),0)
- IFERROR(GETPIVOTDATA("Somma di AVERE",'Pivot Amex'!$A$3,"Mese",10,"Tipologia",$A216),0)
- IFERROR(GETPIVOTDATA("Somma di AVERE",'Pivot BBVA'!$A$3,"Mese",10,"Tipologia",$A216),0)
- IFERROR(GETPIVOTDATA("Somma di AVERE",'Pivot Fineco St'!$A$3,"Mese",10,"Tipologia",$A216),0)
- IFERROR(GETPIVOTDATA("Somma di AVERE",'Pivot Fineco Sa'!$A$3,"Mese",10,"Tipologia",$A216),0)
+ IFERROR(GETPIVOTDATA("Somma di DARE",'Pivot PP Visa'!$A$3,"Mese",10,"Tipologia",$A216),0)
- IFERROR(GETPIVOTDATA("Somma di AVERE",'Pivot PP Visa'!$A$3,"Mese",10,"Tipologia",$A216),0)
+ IFERROR(GETPIVOTDATA("Somma di DARE",'Pivot Revolut'!$A$3,"Mese",10,"Tipologia",$A216),0)
- IFERROR(GETPIVOTDATA("Somma di AVERE",'Pivot Revolut'!$A$3,"Mese",10,"Tipologia",$A216),0)</f>
        <v>0</v>
      </c>
      <c r="M216" s="243">
        <f>IFERROR(GETPIVOTDATA("Somma di DARE EUR",'Pivot RakBank AED'!$A$3,"Mese",11,"Tipologia",$A216),0)
- IFERROR(GETPIVOTDATA("Somma di AVERE EUR",'Pivot RakBank AED'!$A$3,"Mese",11,"Tipologia",$A216),0)
+IFERROR(GETPIVOTDATA("Somma di DARE",'Pivot RakBank EUR'!$A$3,"Mese",11,"Tipologia",$A216),0)
- IFERROR(GETPIVOTDATA("Somma di AVERE",'Pivot RakBank EUR'!$A$3,"Mese",11,"Tipologia",$A216),0)
+IFERROR(GETPIVOTDATA("Somma di DARE",'Pivot Fineco Sa'!$A$3,"Mese",11,"Tipologia",$A216),0)
+ IFERROR(GETPIVOTDATA("Somma di DARE",'Pivot Fineco St'!$A$3,"Mese",11,"Tipologia",$A216),0)
+ Contanti!AP78
+ IFERROR(GETPIVOTDATA("Somma di DARE",'Pivot BBVA'!$A$3,"Mese",11,"Tipologia",$A216),0)
+ IFERROR(GETPIVOTDATA("Somma di DARE",'Pivot Amex'!$A$3,"Mese",11,"Tipologia",$A216),0)
- IFERROR(GETPIVOTDATA("Somma di AVERE",'Pivot Amex'!$A$3,"Mese",11,"Tipologia",$A216),0)
- IFERROR(GETPIVOTDATA("Somma di AVERE",'Pivot BBVA'!$A$3,"Mese",11,"Tipologia",$A216),0)
- IFERROR(GETPIVOTDATA("Somma di AVERE",'Pivot Fineco St'!$A$3,"Mese",11,"Tipologia",$A216),0)
- IFERROR(GETPIVOTDATA("Somma di AVERE",'Pivot Fineco Sa'!$A$3,"Mese",11,"Tipologia",$A216),0)
+ IFERROR(GETPIVOTDATA("Somma di DARE",'Pivot PP Visa'!$A$3,"Mese",11,"Tipologia",$A216),0)
- IFERROR(GETPIVOTDATA("Somma di AVERE",'Pivot PP Visa'!$A$3,"Mese",11,"Tipologia",$A216),0)
+ IFERROR(GETPIVOTDATA("Somma di DARE",'Pivot Revolut'!$A$3,"Mese",11,"Tipologia",$A216),0)
- IFERROR(GETPIVOTDATA("Somma di AVERE",'Pivot Revolut'!$A$3,"Mese",11,"Tipologia",$A216),0)</f>
        <v>0</v>
      </c>
      <c r="N216" s="243">
        <f>IFERROR(GETPIVOTDATA("Somma di DARE EUR",'Pivot RakBank AED'!$A$3,"Mese",12,"Tipologia",$A216),0)
- IFERROR(GETPIVOTDATA("Somma di AVERE EUR",'Pivot RakBank AED'!$A$3,"Mese",12,"Tipologia",$A216),0)
+IFERROR(GETPIVOTDATA("Somma di DARE",'Pivot RakBank EUR'!$A$3,"Mese",12,"Tipologia",$A216),0)
- IFERROR(GETPIVOTDATA("Somma di AVERE",'Pivot RakBank EUR'!$A$3,"Mese",12,"Tipologia",$A216),0)
+IFERROR(GETPIVOTDATA("Somma di DARE",'Pivot Fineco Sa'!$A$3,"Mese",12,"Tipologia",$A216),0)
+ IFERROR(GETPIVOTDATA("Somma di DARE",'Pivot Fineco St'!$A$3,"Mese",12,"Tipologia",$A216),0)
+ Contanti!AT78
+ IFERROR(GETPIVOTDATA("Somma di DARE",'Pivot BBVA'!$A$3,"Mese",12,"Tipologia",$A216),0)
+ IFERROR(GETPIVOTDATA("Somma di DARE",'Pivot Amex'!$A$3,"Mese",12,"Tipologia",$A216),0)
- IFERROR(GETPIVOTDATA("Somma di AVERE",'Pivot Amex'!$A$3,"Mese",12,"Tipologia",$A216),0)
- IFERROR(GETPIVOTDATA("Somma di AVERE",'Pivot BBVA'!$A$3,"Mese",12,"Tipologia",$A216),0)
- IFERROR(GETPIVOTDATA("Somma di AVERE",'Pivot Fineco St'!$A$3,"Mese",12,"Tipologia",$A216),0)
- IFERROR(GETPIVOTDATA("Somma di AVERE",'Pivot Fineco Sa'!$A$3,"Mese",12,"Tipologia",$A216),0)
+ IFERROR(GETPIVOTDATA("Somma di DARE",'Pivot PP Visa'!$A$3,"Mese",12,"Tipologia",$A216),0)
- IFERROR(GETPIVOTDATA("Somma di AVERE",'Pivot PP Visa'!$A$3,"Mese",12,"Tipologia",$A216),0)
+ IFERROR(GETPIVOTDATA("Somma di DARE",'Pivot Revolut'!$A$3,"Mese",12,"Tipologia",$A216),0)
- IFERROR(GETPIVOTDATA("Somma di AVERE",'Pivot Revolut'!$A$3,"Mese",12,"Tipologia",$A216),0)</f>
        <v>0</v>
      </c>
      <c r="O216" s="252">
        <f t="shared" si="36"/>
        <v>14</v>
      </c>
      <c r="P216" s="243">
        <f t="shared" ca="1" si="37"/>
        <v>2</v>
      </c>
    </row>
    <row r="217" spans="1:16" s="125" customFormat="1" ht="21" customHeight="1" x14ac:dyDescent="0.2">
      <c r="A217" s="259"/>
      <c r="B217" s="259"/>
      <c r="C217" s="260"/>
      <c r="D217" s="260"/>
      <c r="E217" s="260"/>
      <c r="F217" s="260"/>
      <c r="G217" s="260"/>
      <c r="H217" s="260"/>
      <c r="I217" s="260"/>
      <c r="J217" s="260"/>
      <c r="K217" s="260"/>
      <c r="L217" s="260"/>
      <c r="M217" s="260"/>
      <c r="N217" s="260"/>
      <c r="O217" s="260"/>
      <c r="P217" s="260"/>
    </row>
    <row r="218" spans="1:16" s="250" customFormat="1" ht="21" customHeight="1" x14ac:dyDescent="0.2">
      <c r="A218" s="247" t="s">
        <v>343</v>
      </c>
      <c r="B218" s="247"/>
      <c r="C218" s="248">
        <f>SUM(C219:C223)</f>
        <v>451.23</v>
      </c>
      <c r="D218" s="248">
        <f t="shared" ref="D218:N218" si="38">SUM(D219:D223)</f>
        <v>1981.8600000000001</v>
      </c>
      <c r="E218" s="248">
        <f t="shared" si="38"/>
        <v>875.73</v>
      </c>
      <c r="F218" s="248">
        <f t="shared" si="38"/>
        <v>874.28</v>
      </c>
      <c r="G218" s="248">
        <f t="shared" si="38"/>
        <v>584.15000000000009</v>
      </c>
      <c r="H218" s="248">
        <f t="shared" si="38"/>
        <v>359.38</v>
      </c>
      <c r="I218" s="248">
        <f t="shared" si="38"/>
        <v>352.47</v>
      </c>
      <c r="J218" s="248">
        <f t="shared" si="38"/>
        <v>0</v>
      </c>
      <c r="K218" s="248">
        <f t="shared" si="38"/>
        <v>0</v>
      </c>
      <c r="L218" s="248">
        <f t="shared" si="38"/>
        <v>0</v>
      </c>
      <c r="M218" s="248">
        <f t="shared" si="38"/>
        <v>0</v>
      </c>
      <c r="N218" s="248">
        <f t="shared" si="38"/>
        <v>0</v>
      </c>
      <c r="O218" s="249">
        <f t="shared" ref="O218:O223" si="39">SUM(C218:N218)</f>
        <v>5479.1</v>
      </c>
      <c r="P218" s="248">
        <f ca="1">SUM(P219:P223)</f>
        <v>782.7285714285714</v>
      </c>
    </row>
    <row r="219" spans="1:16" s="125" customFormat="1" ht="21" customHeight="1" x14ac:dyDescent="0.2">
      <c r="A219" s="251" t="s">
        <v>35</v>
      </c>
      <c r="B219" s="251"/>
      <c r="C219" s="243">
        <f>IFERROR(GETPIVOTDATA("Somma di DARE EUR",'Pivot RakBank AED'!$A$3,"Mese",1,"Tipologia",$A219),0)
- IFERROR(GETPIVOTDATA("Somma di AVERE EUR",'Pivot RakBank AED'!$A$3,"Mese",1,"Tipologia",$A219),0)
+IFERROR(GETPIVOTDATA("Somma di DARE",'Pivot RakBank EUR'!$A$3,"Mese",1,"Tipologia",$A219),0)
- IFERROR(GETPIVOTDATA("Somma di AVERE",'Pivot RakBank EUR'!$A$3,"Mese",1,"Tipologia",$A219),0)
+IFERROR(GETPIVOTDATA("Somma di DARE",'Pivot Fineco Sa'!$A$3,"Mese",1,"Tipologia",$A219),0)
+ IFERROR(GETPIVOTDATA("Somma di DARE",'Pivot Fineco St'!$A$3,"Mese",1,"Tipologia",$A219),0)
+ Contanti!B81
+ IFERROR(GETPIVOTDATA("Somma di DARE",'Pivot BBVA'!$A$3,"Mese",1,"Tipologia",$A219),0)
+ IFERROR(GETPIVOTDATA("Somma di DARE",'Pivot Amex'!$A$3,"Mese",1,"Tipologia",$A219),0)
- IFERROR(GETPIVOTDATA("Somma di AVERE",'Pivot Amex'!$A$3,"Mese",1,"Tipologia",$A219),0)
- IFERROR(GETPIVOTDATA("Somma di AVERE",'Pivot BBVA'!$A$3,"Mese",1,"Tipologia",$A219),0)
- IFERROR(GETPIVOTDATA("Somma di AVERE",'Pivot Fineco St'!$A$3,"Mese",1,"Tipologia",$A219),0)
- IFERROR(GETPIVOTDATA("Somma di AVERE",'Pivot Fineco Sa'!$A$3,"Mese",1,"Tipologia",$A219),0)
+ IFERROR(GETPIVOTDATA("Somma di DARE",'Pivot PP Visa'!$A$3,"Mese",1,"Tipologia",$A219),0)
- IFERROR(GETPIVOTDATA("Somma di AVERE",'Pivot PP Visa'!$A$3,"Mese",1,"Tipologia",$A219),0)
+ IFERROR(GETPIVOTDATA("Somma di DARE",'Pivot Revolut'!$A$3,"Mese",1,"Tipologia",$A219),0)
- IFERROR(GETPIVOTDATA("Somma di AVERE",'Pivot Revolut'!$A$3,"Mese",1,"Tipologia",$A219),0)</f>
        <v>76.23</v>
      </c>
      <c r="D219" s="243">
        <f>IFERROR(GETPIVOTDATA("Somma di DARE EUR",'Pivot RakBank AED'!$A$3,"Mese",2,"Tipologia",$A219),0)
- IFERROR(GETPIVOTDATA("Somma di AVERE EUR",'Pivot RakBank AED'!$A$3,"Mese",2,"Tipologia",$A219),0)
+IFERROR(GETPIVOTDATA("Somma di DARE",'Pivot RakBank EUR'!$A$3,"Mese",2,"Tipologia",$A219),0)
- IFERROR(GETPIVOTDATA("Somma di AVERE",'Pivot RakBank EUR'!$A$3,"Mese",2,"Tipologia",$A219),0)
+IFERROR(GETPIVOTDATA("Somma di DARE",'Pivot Fineco Sa'!$A$3,"Mese",2,"Tipologia",$A219),0)
+ IFERROR(GETPIVOTDATA("Somma di DARE",'Pivot Fineco St'!$A$3,"Mese",2,"Tipologia",$A219),0)
+ Contanti!F81
+ IFERROR(GETPIVOTDATA("Somma di DARE",'Pivot BBVA'!$A$3,"Mese",2,"Tipologia",$A219),0)
+ IFERROR(GETPIVOTDATA("Somma di DARE",'Pivot Amex'!$A$3,"Mese",2,"Tipologia",$A219),0)
- IFERROR(GETPIVOTDATA("Somma di AVERE",'Pivot Amex'!$A$3,"Mese",2,"Tipologia",$A219),0)
- IFERROR(GETPIVOTDATA("Somma di AVERE",'Pivot BBVA'!$A$3,"Mese",2,"Tipologia",$A219),0)
- IFERROR(GETPIVOTDATA("Somma di AVERE",'Pivot Fineco St'!$A$3,"Mese",2,"Tipologia",$A219),0)
- IFERROR(GETPIVOTDATA("Somma di AVERE",'Pivot Fineco Sa'!$A$3,"Mese",2,"Tipologia",$A219),0)
+ IFERROR(GETPIVOTDATA("Somma di DARE",'Pivot PP Visa'!$A$3,"Mese",2,"Tipologia",$A219),0)
- IFERROR(GETPIVOTDATA("Somma di AVERE",'Pivot PP Visa'!$A$3,"Mese",2,"Tipologia",$A219),0)
+ IFERROR(GETPIVOTDATA("Somma di DARE",'Pivot Revolut'!$A$3,"Mese",2,"Tipologia",$A219),0)
- IFERROR(GETPIVOTDATA("Somma di AVERE",'Pivot Revolut'!$A$3,"Mese",2,"Tipologia",$A219),0)</f>
        <v>-34.99</v>
      </c>
      <c r="E219" s="243">
        <f>IFERROR(GETPIVOTDATA("Somma di DARE EUR",'Pivot RakBank AED'!$A$3,"Mese",3,"Tipologia",$A219),0)
- IFERROR(GETPIVOTDATA("Somma di AVERE EUR",'Pivot RakBank AED'!$A$3,"Mese",3,"Tipologia",$A219),0)
+IFERROR(GETPIVOTDATA("Somma di DARE",'Pivot RakBank EUR'!$A$3,"Mese",3,"Tipologia",$A219),0)
- IFERROR(GETPIVOTDATA("Somma di AVERE",'Pivot RakBank EUR'!$A$3,"Mese",3,"Tipologia",$A219),0)
+IFERROR(GETPIVOTDATA("Somma di DARE",'Pivot Fineco Sa'!$A$3,"Mese",3,"Tipologia",$A219),0)
+ IFERROR(GETPIVOTDATA("Somma di DARE",'Pivot Fineco St'!$A$3,"Mese",3,"Tipologia",$A219),0)
+ Contanti!J81
+ IFERROR(GETPIVOTDATA("Somma di DARE",'Pivot BBVA'!$A$3,"Mese",3,"Tipologia",$A219),0)
+ IFERROR(GETPIVOTDATA("Somma di DARE",'Pivot Amex'!$A$3,"Mese",3,"Tipologia",$A219),0)
- IFERROR(GETPIVOTDATA("Somma di AVERE",'Pivot Amex'!$A$3,"Mese",3,"Tipologia",$A219),0)
- IFERROR(GETPIVOTDATA("Somma di AVERE",'Pivot BBVA'!$A$3,"Mese",3,"Tipologia",$A219),0)
- IFERROR(GETPIVOTDATA("Somma di AVERE",'Pivot Fineco St'!$A$3,"Mese",3,"Tipologia",$A219),0)
- IFERROR(GETPIVOTDATA("Somma di AVERE",'Pivot Fineco Sa'!$A$3,"Mese",3,"Tipologia",$A219),0)
+ IFERROR(GETPIVOTDATA("Somma di DARE",'Pivot PP Visa'!$A$3,"Mese",3,"Tipologia",$A219),0)
- IFERROR(GETPIVOTDATA("Somma di AVERE",'Pivot PP Visa'!$A$3,"Mese",3,"Tipologia",$A219),0)
+ IFERROR(GETPIVOTDATA("Somma di DARE",'Pivot Revolut'!$A$3,"Mese",3,"Tipologia",$A219),0)
- IFERROR(GETPIVOTDATA("Somma di AVERE",'Pivot Revolut'!$A$3,"Mese",3,"Tipologia",$A219),0)</f>
        <v>363.53999999999996</v>
      </c>
      <c r="F219" s="243">
        <f>IFERROR(GETPIVOTDATA("Somma di DARE EUR",'Pivot RakBank AED'!$A$3,"Mese",4,"Tipologia",$A219),0)
- IFERROR(GETPIVOTDATA("Somma di AVERE EUR",'Pivot RakBank AED'!$A$3,"Mese",4,"Tipologia",$A219),0)
+IFERROR(GETPIVOTDATA("Somma di DARE",'Pivot RakBank EUR'!$A$3,"Mese",4,"Tipologia",$A219),0)
- IFERROR(GETPIVOTDATA("Somma di AVERE",'Pivot RakBank EUR'!$A$3,"Mese",4,"Tipologia",$A219),0)
+IFERROR(GETPIVOTDATA("Somma di DARE",'Pivot Fineco Sa'!$A$3,"Mese",4,"Tipologia",$A219),0)
+ IFERROR(GETPIVOTDATA("Somma di DARE",'Pivot Fineco St'!$A$3,"Mese",4,"Tipologia",$A219),0)
+ Contanti!N81
+ IFERROR(GETPIVOTDATA("Somma di DARE",'Pivot BBVA'!$A$3,"Mese",4,"Tipologia",$A219),0)
+ IFERROR(GETPIVOTDATA("Somma di DARE",'Pivot Amex'!$A$3,"Mese",4,"Tipologia",$A219),0)
- IFERROR(GETPIVOTDATA("Somma di AVERE",'Pivot Amex'!$A$3,"Mese",4,"Tipologia",$A219),0)
- IFERROR(GETPIVOTDATA("Somma di AVERE",'Pivot BBVA'!$A$3,"Mese",4,"Tipologia",$A219),0)
- IFERROR(GETPIVOTDATA("Somma di AVERE",'Pivot Fineco St'!$A$3,"Mese",4,"Tipologia",$A219),0)
- IFERROR(GETPIVOTDATA("Somma di AVERE",'Pivot Fineco Sa'!$A$3,"Mese",4,"Tipologia",$A219),0)
+ IFERROR(GETPIVOTDATA("Somma di DARE",'Pivot PP Visa'!$A$3,"Mese",4,"Tipologia",$A219),0)
- IFERROR(GETPIVOTDATA("Somma di AVERE",'Pivot PP Visa'!$A$3,"Mese",4,"Tipologia",$A219),0)
+ IFERROR(GETPIVOTDATA("Somma di DARE",'Pivot Revolut'!$A$3,"Mese",4,"Tipologia",$A219),0)
- IFERROR(GETPIVOTDATA("Somma di AVERE",'Pivot Revolut'!$A$3,"Mese",4,"Tipologia",$A219),0)</f>
        <v>499.7</v>
      </c>
      <c r="G219" s="243">
        <f>IFERROR(GETPIVOTDATA("Somma di DARE EUR",'Pivot RakBank AED'!$A$3,"Mese",5,"Tipologia",$A219),0)
- IFERROR(GETPIVOTDATA("Somma di AVERE EUR",'Pivot RakBank AED'!$A$3,"Mese",5,"Tipologia",$A219),0)
+IFERROR(GETPIVOTDATA("Somma di DARE",'Pivot RakBank EUR'!$A$3,"Mese",5,"Tipologia",$A219),0)
- IFERROR(GETPIVOTDATA("Somma di AVERE",'Pivot RakBank EUR'!$A$3,"Mese",5,"Tipologia",$A219),0)
+IFERROR(GETPIVOTDATA("Somma di DARE",'Pivot Fineco Sa'!$A$3,"Mese",5,"Tipologia",$A219),0)
+ IFERROR(GETPIVOTDATA("Somma di DARE",'Pivot Fineco St'!$A$3,"Mese",5,"Tipologia",$A219),0)
+ Contanti!R81
+ IFERROR(GETPIVOTDATA("Somma di DARE",'Pivot BBVA'!$A$3,"Mese",5,"Tipologia",$A219),0)
+ IFERROR(GETPIVOTDATA("Somma di DARE",'Pivot Amex'!$A$3,"Mese",5,"Tipologia",$A219),0)
- IFERROR(GETPIVOTDATA("Somma di AVERE",'Pivot Amex'!$A$3,"Mese",5,"Tipologia",$A219),0)
- IFERROR(GETPIVOTDATA("Somma di AVERE",'Pivot BBVA'!$A$3,"Mese",5,"Tipologia",$A219),0)
- IFERROR(GETPIVOTDATA("Somma di AVERE",'Pivot Fineco St'!$A$3,"Mese",5,"Tipologia",$A219),0)
- IFERROR(GETPIVOTDATA("Somma di AVERE",'Pivot Fineco Sa'!$A$3,"Mese",5,"Tipologia",$A219),0)
+ IFERROR(GETPIVOTDATA("Somma di DARE",'Pivot PP Visa'!$A$3,"Mese",5,"Tipologia",$A219),0)
- IFERROR(GETPIVOTDATA("Somma di AVERE",'Pivot PP Visa'!$A$3,"Mese",5,"Tipologia",$A219),0)
+ IFERROR(GETPIVOTDATA("Somma di DARE",'Pivot Revolut'!$A$3,"Mese",5,"Tipologia",$A219),0)
- IFERROR(GETPIVOTDATA("Somma di AVERE",'Pivot Revolut'!$A$3,"Mese",5,"Tipologia",$A219),0)</f>
        <v>437.93</v>
      </c>
      <c r="H219" s="243">
        <f>IFERROR(GETPIVOTDATA("Somma di DARE EUR",'Pivot RakBank AED'!$A$3,"Mese",6,"Tipologia",$A219),0)
- IFERROR(GETPIVOTDATA("Somma di AVERE EUR",'Pivot RakBank AED'!$A$3,"Mese",6,"Tipologia",$A219),0)
+IFERROR(GETPIVOTDATA("Somma di DARE",'Pivot RakBank EUR'!$A$3,"Mese",6,"Tipologia",$A219),0)
- IFERROR(GETPIVOTDATA("Somma di AVERE",'Pivot RakBank EUR'!$A$3,"Mese",6,"Tipologia",$A219),0)
+IFERROR(GETPIVOTDATA("Somma di DARE",'Pivot Fineco Sa'!$A$3,"Mese",6,"Tipologia",$A219),0)
+ IFERROR(GETPIVOTDATA("Somma di DARE",'Pivot Fineco St'!$A$3,"Mese",6,"Tipologia",$A219),0)
+ Contanti!V81
+ IFERROR(GETPIVOTDATA("Somma di DARE",'Pivot BBVA'!$A$3,"Mese",6,"Tipologia",$A219),0)
+ IFERROR(GETPIVOTDATA("Somma di DARE",'Pivot Amex'!$A$3,"Mese",6,"Tipologia",$A219),0)
- IFERROR(GETPIVOTDATA("Somma di AVERE",'Pivot Amex'!$A$3,"Mese",6,"Tipologia",$A219),0)
- IFERROR(GETPIVOTDATA("Somma di AVERE",'Pivot BBVA'!$A$3,"Mese",6,"Tipologia",$A219),0)
- IFERROR(GETPIVOTDATA("Somma di AVERE",'Pivot Fineco St'!$A$3,"Mese",6,"Tipologia",$A219),0)
- IFERROR(GETPIVOTDATA("Somma di AVERE",'Pivot Fineco Sa'!$A$3,"Mese",6,"Tipologia",$A219),0)
+ IFERROR(GETPIVOTDATA("Somma di DARE",'Pivot PP Visa'!$A$3,"Mese",6,"Tipologia",$A219),0)
- IFERROR(GETPIVOTDATA("Somma di AVERE",'Pivot PP Visa'!$A$3,"Mese",6,"Tipologia",$A219),0)
+ IFERROR(GETPIVOTDATA("Somma di DARE",'Pivot Revolut'!$A$3,"Mese",6,"Tipologia",$A219),0)
- IFERROR(GETPIVOTDATA("Somma di AVERE",'Pivot Revolut'!$A$3,"Mese",6,"Tipologia",$A219),0)</f>
        <v>87.28</v>
      </c>
      <c r="I219" s="243">
        <f>IFERROR(GETPIVOTDATA("Somma di DARE EUR",'Pivot RakBank AED'!$A$3,"Mese",7,"Tipologia",$A219),0)
- IFERROR(GETPIVOTDATA("Somma di AVERE EUR",'Pivot RakBank AED'!$A$3,"Mese",7,"Tipologia",$A219),0)
+IFERROR(GETPIVOTDATA("Somma di DARE",'Pivot RakBank EUR'!$A$3,"Mese",7,"Tipologia",$A219),0)
- IFERROR(GETPIVOTDATA("Somma di AVERE",'Pivot RakBank EUR'!$A$3,"Mese",7,"Tipologia",$A219),0)
+IFERROR(GETPIVOTDATA("Somma di DARE",'Pivot Fineco Sa'!$A$3,"Mese",7,"Tipologia",$A219),0)
+ IFERROR(GETPIVOTDATA("Somma di DARE",'Pivot Fineco St'!$A$3,"Mese",7,"Tipologia",$A219),0)
+ Contanti!Z81
+ IFERROR(GETPIVOTDATA("Somma di DARE",'Pivot BBVA'!$A$3,"Mese",7,"Tipologia",$A219),0)
+ IFERROR(GETPIVOTDATA("Somma di DARE",'Pivot Amex'!$A$3,"Mese",7,"Tipologia",$A219),0)
- IFERROR(GETPIVOTDATA("Somma di AVERE",'Pivot Amex'!$A$3,"Mese",7,"Tipologia",$A219),0)
- IFERROR(GETPIVOTDATA("Somma di AVERE",'Pivot BBVA'!$A$3,"Mese",7,"Tipologia",$A219),0)
- IFERROR(GETPIVOTDATA("Somma di AVERE",'Pivot Fineco St'!$A$3,"Mese",7,"Tipologia",$A219),0)
- IFERROR(GETPIVOTDATA("Somma di AVERE",'Pivot Fineco Sa'!$A$3,"Mese",7,"Tipologia",$A219),0)
+ IFERROR(GETPIVOTDATA("Somma di DARE",'Pivot PP Visa'!$A$3,"Mese",7,"Tipologia",$A219),0)
- IFERROR(GETPIVOTDATA("Somma di AVERE",'Pivot PP Visa'!$A$3,"Mese",7,"Tipologia",$A219),0)
+ IFERROR(GETPIVOTDATA("Somma di DARE",'Pivot Revolut'!$A$3,"Mese",7,"Tipologia",$A219),0)
- IFERROR(GETPIVOTDATA("Somma di AVERE",'Pivot Revolut'!$A$3,"Mese",7,"Tipologia",$A219),0)</f>
        <v>137.47</v>
      </c>
      <c r="J219" s="243">
        <f>IFERROR(GETPIVOTDATA("Somma di DARE EUR",'Pivot RakBank AED'!$A$3,"Mese",8,"Tipologia",$A219),0)
- IFERROR(GETPIVOTDATA("Somma di AVERE EUR",'Pivot RakBank AED'!$A$3,"Mese",8,"Tipologia",$A219),0)
+IFERROR(GETPIVOTDATA("Somma di DARE",'Pivot RakBank EUR'!$A$3,"Mese",8,"Tipologia",$A219),0)
- IFERROR(GETPIVOTDATA("Somma di AVERE",'Pivot RakBank EUR'!$A$3,"Mese",8,"Tipologia",$A219),0)
+IFERROR(GETPIVOTDATA("Somma di DARE",'Pivot Fineco Sa'!$A$3,"Mese",8,"Tipologia",$A219),0)
+ IFERROR(GETPIVOTDATA("Somma di DARE",'Pivot Fineco St'!$A$3,"Mese",8,"Tipologia",$A219),0)
+ Contanti!AD81
+ IFERROR(GETPIVOTDATA("Somma di DARE",'Pivot BBVA'!$A$3,"Mese",8,"Tipologia",$A219),0)
+ IFERROR(GETPIVOTDATA("Somma di DARE",'Pivot Amex'!$A$3,"Mese",8,"Tipologia",$A219),0)
- IFERROR(GETPIVOTDATA("Somma di AVERE",'Pivot Amex'!$A$3,"Mese",8,"Tipologia",$A219),0)
- IFERROR(GETPIVOTDATA("Somma di AVERE",'Pivot BBVA'!$A$3,"Mese",8,"Tipologia",$A219),0)
- IFERROR(GETPIVOTDATA("Somma di AVERE",'Pivot Fineco St'!$A$3,"Mese",8,"Tipologia",$A219),0)
- IFERROR(GETPIVOTDATA("Somma di AVERE",'Pivot Fineco Sa'!$A$3,"Mese",8,"Tipologia",$A219),0)
+ IFERROR(GETPIVOTDATA("Somma di DARE",'Pivot PP Visa'!$A$3,"Mese",8,"Tipologia",$A219),0)
- IFERROR(GETPIVOTDATA("Somma di AVERE",'Pivot PP Visa'!$A$3,"Mese",8,"Tipologia",$A219),0)
+ IFERROR(GETPIVOTDATA("Somma di DARE",'Pivot Revolut'!$A$3,"Mese",8,"Tipologia",$A219),0)
- IFERROR(GETPIVOTDATA("Somma di AVERE",'Pivot Revolut'!$A$3,"Mese",8,"Tipologia",$A219),0)</f>
        <v>0</v>
      </c>
      <c r="K219" s="243">
        <f>IFERROR(GETPIVOTDATA("Somma di DARE EUR",'Pivot RakBank AED'!$A$3,"Mese",9,"Tipologia",$A219),0)
- IFERROR(GETPIVOTDATA("Somma di AVERE EUR",'Pivot RakBank AED'!$A$3,"Mese",9,"Tipologia",$A219),0)
+IFERROR(GETPIVOTDATA("Somma di DARE",'Pivot RakBank EUR'!$A$3,"Mese",9,"Tipologia",$A219),0)
- IFERROR(GETPIVOTDATA("Somma di AVERE",'Pivot RakBank EUR'!$A$3,"Mese",9,"Tipologia",$A219),0)
+IFERROR(GETPIVOTDATA("Somma di DARE",'Pivot Fineco Sa'!$A$3,"Mese",9,"Tipologia",$A219),0)
+ IFERROR(GETPIVOTDATA("Somma di DARE",'Pivot Fineco St'!$A$3,"Mese",9,"Tipologia",$A219),0)
+ Contanti!AH81
+ IFERROR(GETPIVOTDATA("Somma di DARE",'Pivot BBVA'!$A$3,"Mese",9,"Tipologia",$A219),0)
+ IFERROR(GETPIVOTDATA("Somma di DARE",'Pivot Amex'!$A$3,"Mese",9,"Tipologia",$A219),0)
- IFERROR(GETPIVOTDATA("Somma di AVERE",'Pivot Amex'!$A$3,"Mese",9,"Tipologia",$A219),0)
- IFERROR(GETPIVOTDATA("Somma di AVERE",'Pivot BBVA'!$A$3,"Mese",9,"Tipologia",$A219),0)
- IFERROR(GETPIVOTDATA("Somma di AVERE",'Pivot Fineco St'!$A$3,"Mese",9,"Tipologia",$A219),0)
- IFERROR(GETPIVOTDATA("Somma di AVERE",'Pivot Fineco Sa'!$A$3,"Mese",9,"Tipologia",$A219),0)
+ IFERROR(GETPIVOTDATA("Somma di DARE",'Pivot PP Visa'!$A$3,"Mese",9,"Tipologia",$A219),0)
- IFERROR(GETPIVOTDATA("Somma di AVERE",'Pivot PP Visa'!$A$3,"Mese",9,"Tipologia",$A219),0)
+ IFERROR(GETPIVOTDATA("Somma di DARE",'Pivot Revolut'!$A$3,"Mese",9,"Tipologia",$A219),0)
- IFERROR(GETPIVOTDATA("Somma di AVERE",'Pivot Revolut'!$A$3,"Mese",9,"Tipologia",$A219),0)</f>
        <v>0</v>
      </c>
      <c r="L219" s="243">
        <f>IFERROR(GETPIVOTDATA("Somma di DARE EUR",'Pivot RakBank AED'!$A$3,"Mese",10,"Tipologia",$A219),0)
- IFERROR(GETPIVOTDATA("Somma di AVERE EUR",'Pivot RakBank AED'!$A$3,"Mese",10,"Tipologia",$A219),0)
+IFERROR(GETPIVOTDATA("Somma di DARE",'Pivot RakBank EUR'!$A$3,"Mese",10,"Tipologia",$A219),0)
- IFERROR(GETPIVOTDATA("Somma di AVERE",'Pivot RakBank EUR'!$A$3,"Mese",10,"Tipologia",$A219),0)
+IFERROR(GETPIVOTDATA("Somma di DARE",'Pivot Fineco Sa'!$A$3,"Mese",10,"Tipologia",$A219),0)
+ IFERROR(GETPIVOTDATA("Somma di DARE",'Pivot Fineco St'!$A$3,"Mese",10,"Tipologia",$A219),0)
+ Contanti!AL81
+ IFERROR(GETPIVOTDATA("Somma di DARE",'Pivot BBVA'!$A$3,"Mese",10,"Tipologia",$A219),0)
+ IFERROR(GETPIVOTDATA("Somma di DARE",'Pivot Amex'!$A$3,"Mese",10,"Tipologia",$A219),0)
- IFERROR(GETPIVOTDATA("Somma di AVERE",'Pivot Amex'!$A$3,"Mese",10,"Tipologia",$A219),0)
- IFERROR(GETPIVOTDATA("Somma di AVERE",'Pivot BBVA'!$A$3,"Mese",10,"Tipologia",$A219),0)
- IFERROR(GETPIVOTDATA("Somma di AVERE",'Pivot Fineco St'!$A$3,"Mese",10,"Tipologia",$A219),0)
- IFERROR(GETPIVOTDATA("Somma di AVERE",'Pivot Fineco Sa'!$A$3,"Mese",10,"Tipologia",$A219),0)
+ IFERROR(GETPIVOTDATA("Somma di DARE",'Pivot PP Visa'!$A$3,"Mese",10,"Tipologia",$A219),0)
- IFERROR(GETPIVOTDATA("Somma di AVERE",'Pivot PP Visa'!$A$3,"Mese",10,"Tipologia",$A219),0)
+ IFERROR(GETPIVOTDATA("Somma di DARE",'Pivot Revolut'!$A$3,"Mese",10,"Tipologia",$A219),0)
- IFERROR(GETPIVOTDATA("Somma di AVERE",'Pivot Revolut'!$A$3,"Mese",10,"Tipologia",$A219),0)</f>
        <v>0</v>
      </c>
      <c r="M219" s="243">
        <f>IFERROR(GETPIVOTDATA("Somma di DARE EUR",'Pivot RakBank AED'!$A$3,"Mese",11,"Tipologia",$A219),0)
- IFERROR(GETPIVOTDATA("Somma di AVERE EUR",'Pivot RakBank AED'!$A$3,"Mese",11,"Tipologia",$A219),0)
+IFERROR(GETPIVOTDATA("Somma di DARE",'Pivot RakBank EUR'!$A$3,"Mese",11,"Tipologia",$A219),0)
- IFERROR(GETPIVOTDATA("Somma di AVERE",'Pivot RakBank EUR'!$A$3,"Mese",11,"Tipologia",$A219),0)
+IFERROR(GETPIVOTDATA("Somma di DARE",'Pivot Fineco Sa'!$A$3,"Mese",11,"Tipologia",$A219),0)
+ IFERROR(GETPIVOTDATA("Somma di DARE",'Pivot Fineco St'!$A$3,"Mese",11,"Tipologia",$A219),0)
+ Contanti!AP81
+ IFERROR(GETPIVOTDATA("Somma di DARE",'Pivot BBVA'!$A$3,"Mese",11,"Tipologia",$A219),0)
+ IFERROR(GETPIVOTDATA("Somma di DARE",'Pivot Amex'!$A$3,"Mese",11,"Tipologia",$A219),0)
- IFERROR(GETPIVOTDATA("Somma di AVERE",'Pivot Amex'!$A$3,"Mese",11,"Tipologia",$A219),0)
- IFERROR(GETPIVOTDATA("Somma di AVERE",'Pivot BBVA'!$A$3,"Mese",11,"Tipologia",$A219),0)
- IFERROR(GETPIVOTDATA("Somma di AVERE",'Pivot Fineco St'!$A$3,"Mese",11,"Tipologia",$A219),0)
- IFERROR(GETPIVOTDATA("Somma di AVERE",'Pivot Fineco Sa'!$A$3,"Mese",11,"Tipologia",$A219),0)
+ IFERROR(GETPIVOTDATA("Somma di DARE",'Pivot PP Visa'!$A$3,"Mese",11,"Tipologia",$A219),0)
- IFERROR(GETPIVOTDATA("Somma di AVERE",'Pivot PP Visa'!$A$3,"Mese",11,"Tipologia",$A219),0)
+ IFERROR(GETPIVOTDATA("Somma di DARE",'Pivot Revolut'!$A$3,"Mese",11,"Tipologia",$A219),0)
- IFERROR(GETPIVOTDATA("Somma di AVERE",'Pivot Revolut'!$A$3,"Mese",11,"Tipologia",$A219),0)</f>
        <v>0</v>
      </c>
      <c r="N219" s="243">
        <f>IFERROR(GETPIVOTDATA("Somma di DARE EUR",'Pivot RakBank AED'!$A$3,"Mese",12,"Tipologia",$A219),0)
- IFERROR(GETPIVOTDATA("Somma di AVERE EUR",'Pivot RakBank AED'!$A$3,"Mese",12,"Tipologia",$A219),0)
+IFERROR(GETPIVOTDATA("Somma di DARE",'Pivot RakBank EUR'!$A$3,"Mese",12,"Tipologia",$A219),0)
- IFERROR(GETPIVOTDATA("Somma di AVERE",'Pivot RakBank EUR'!$A$3,"Mese",12,"Tipologia",$A219),0)
+IFERROR(GETPIVOTDATA("Somma di DARE",'Pivot Fineco Sa'!$A$3,"Mese",12,"Tipologia",$A219),0)
+ IFERROR(GETPIVOTDATA("Somma di DARE",'Pivot Fineco St'!$A$3,"Mese",12,"Tipologia",$A219),0)
+ Contanti!AT81
+ IFERROR(GETPIVOTDATA("Somma di DARE",'Pivot BBVA'!$A$3,"Mese",12,"Tipologia",$A219),0)
+ IFERROR(GETPIVOTDATA("Somma di DARE",'Pivot Amex'!$A$3,"Mese",12,"Tipologia",$A219),0)
- IFERROR(GETPIVOTDATA("Somma di AVERE",'Pivot Amex'!$A$3,"Mese",12,"Tipologia",$A219),0)
- IFERROR(GETPIVOTDATA("Somma di AVERE",'Pivot BBVA'!$A$3,"Mese",12,"Tipologia",$A219),0)
- IFERROR(GETPIVOTDATA("Somma di AVERE",'Pivot Fineco St'!$A$3,"Mese",12,"Tipologia",$A219),0)
- IFERROR(GETPIVOTDATA("Somma di AVERE",'Pivot Fineco Sa'!$A$3,"Mese",12,"Tipologia",$A219),0)
+ IFERROR(GETPIVOTDATA("Somma di DARE",'Pivot PP Visa'!$A$3,"Mese",12,"Tipologia",$A219),0)
- IFERROR(GETPIVOTDATA("Somma di AVERE",'Pivot PP Visa'!$A$3,"Mese",12,"Tipologia",$A219),0)
+ IFERROR(GETPIVOTDATA("Somma di DARE",'Pivot Revolut'!$A$3,"Mese",12,"Tipologia",$A219),0)
- IFERROR(GETPIVOTDATA("Somma di AVERE",'Pivot Revolut'!$A$3,"Mese",12,"Tipologia",$A219),0)</f>
        <v>0</v>
      </c>
      <c r="O219" s="252">
        <f t="shared" si="39"/>
        <v>1567.16</v>
      </c>
      <c r="P219" s="243">
        <f t="shared" ref="P219:P223" ca="1" si="40">O219/(MONTH(TODAY()))</f>
        <v>223.88000000000002</v>
      </c>
    </row>
    <row r="220" spans="1:16" s="125" customFormat="1" ht="21" customHeight="1" x14ac:dyDescent="0.2">
      <c r="A220" s="251" t="s">
        <v>346</v>
      </c>
      <c r="B220" s="251"/>
      <c r="C220" s="243">
        <f>IFERROR(GETPIVOTDATA("Somma di DARE EUR",'Pivot RakBank AED'!$A$3,"Mese",1,"Tipologia",$A220),0)
- IFERROR(GETPIVOTDATA("Somma di AVERE EUR",'Pivot RakBank AED'!$A$3,"Mese",1,"Tipologia",$A220),0)
+IFERROR(GETPIVOTDATA("Somma di DARE",'Pivot RakBank EUR'!$A$3,"Mese",1,"Tipologia",$A220),0)
- IFERROR(GETPIVOTDATA("Somma di AVERE",'Pivot RakBank EUR'!$A$3,"Mese",1,"Tipologia",$A220),0)
+IFERROR(GETPIVOTDATA("Somma di DARE",'Pivot Fineco Sa'!$A$3,"Mese",1,"Tipologia",$A220),0)
+ IFERROR(GETPIVOTDATA("Somma di DARE",'Pivot Fineco St'!$A$3,"Mese",1,"Tipologia",$A220),0)
+ Contanti!B82
+ IFERROR(GETPIVOTDATA("Somma di DARE",'Pivot BBVA'!$A$3,"Mese",1,"Tipologia",$A220),0)
+ IFERROR(GETPIVOTDATA("Somma di DARE",'Pivot Amex'!$A$3,"Mese",1,"Tipologia",$A220),0)
- IFERROR(GETPIVOTDATA("Somma di AVERE",'Pivot Amex'!$A$3,"Mese",1,"Tipologia",$A220),0)
- IFERROR(GETPIVOTDATA("Somma di AVERE",'Pivot BBVA'!$A$3,"Mese",1,"Tipologia",$A220),0)
- IFERROR(GETPIVOTDATA("Somma di AVERE",'Pivot Fineco St'!$A$3,"Mese",1,"Tipologia",$A220),0)
- IFERROR(GETPIVOTDATA("Somma di AVERE",'Pivot Fineco Sa'!$A$3,"Mese",1,"Tipologia",$A220),0)
+ IFERROR(GETPIVOTDATA("Somma di DARE",'Pivot PP Visa'!$A$3,"Mese",1,"Tipologia",$A220),0)
- IFERROR(GETPIVOTDATA("Somma di AVERE",'Pivot PP Visa'!$A$3,"Mese",1,"Tipologia",$A220),0)
+ IFERROR(GETPIVOTDATA("Somma di DARE",'Pivot Revolut'!$A$3,"Mese",1,"Tipologia",$A220),0)
- IFERROR(GETPIVOTDATA("Somma di AVERE",'Pivot Revolut'!$A$3,"Mese",1,"Tipologia",$A220),0)</f>
        <v>0</v>
      </c>
      <c r="D220" s="243">
        <f>IFERROR(GETPIVOTDATA("Somma di DARE EUR",'Pivot RakBank AED'!$A$3,"Mese",2,"Tipologia",$A220),0)
- IFERROR(GETPIVOTDATA("Somma di AVERE EUR",'Pivot RakBank AED'!$A$3,"Mese",2,"Tipologia",$A220),0)
+IFERROR(GETPIVOTDATA("Somma di DARE",'Pivot RakBank EUR'!$A$3,"Mese",2,"Tipologia",$A220),0)
- IFERROR(GETPIVOTDATA("Somma di AVERE",'Pivot RakBank EUR'!$A$3,"Mese",2,"Tipologia",$A220),0)
+IFERROR(GETPIVOTDATA("Somma di DARE",'Pivot Fineco Sa'!$A$3,"Mese",2,"Tipologia",$A220),0)
+ IFERROR(GETPIVOTDATA("Somma di DARE",'Pivot Fineco St'!$A$3,"Mese",2,"Tipologia",$A220),0)
+ Contanti!F82
+ IFERROR(GETPIVOTDATA("Somma di DARE",'Pivot BBVA'!$A$3,"Mese",2,"Tipologia",$A220),0)
+ IFERROR(GETPIVOTDATA("Somma di DARE",'Pivot Amex'!$A$3,"Mese",2,"Tipologia",$A220),0)
- IFERROR(GETPIVOTDATA("Somma di AVERE",'Pivot Amex'!$A$3,"Mese",2,"Tipologia",$A220),0)
- IFERROR(GETPIVOTDATA("Somma di AVERE",'Pivot BBVA'!$A$3,"Mese",2,"Tipologia",$A220),0)
- IFERROR(GETPIVOTDATA("Somma di AVERE",'Pivot Fineco St'!$A$3,"Mese",2,"Tipologia",$A220),0)
- IFERROR(GETPIVOTDATA("Somma di AVERE",'Pivot Fineco Sa'!$A$3,"Mese",2,"Tipologia",$A220),0)
+ IFERROR(GETPIVOTDATA("Somma di DARE",'Pivot PP Visa'!$A$3,"Mese",2,"Tipologia",$A220),0)
- IFERROR(GETPIVOTDATA("Somma di AVERE",'Pivot PP Visa'!$A$3,"Mese",2,"Tipologia",$A220),0)
+ IFERROR(GETPIVOTDATA("Somma di DARE",'Pivot Revolut'!$A$3,"Mese",2,"Tipologia",$A220),0)
- IFERROR(GETPIVOTDATA("Somma di AVERE",'Pivot Revolut'!$A$3,"Mese",2,"Tipologia",$A220),0)</f>
        <v>0</v>
      </c>
      <c r="E220" s="243">
        <f>IFERROR(GETPIVOTDATA("Somma di DARE EUR",'Pivot RakBank AED'!$A$3,"Mese",3,"Tipologia",$A220),0)
- IFERROR(GETPIVOTDATA("Somma di AVERE EUR",'Pivot RakBank AED'!$A$3,"Mese",3,"Tipologia",$A220),0)
+IFERROR(GETPIVOTDATA("Somma di DARE",'Pivot RakBank EUR'!$A$3,"Mese",3,"Tipologia",$A220),0)
- IFERROR(GETPIVOTDATA("Somma di AVERE",'Pivot RakBank EUR'!$A$3,"Mese",3,"Tipologia",$A220),0)
+IFERROR(GETPIVOTDATA("Somma di DARE",'Pivot Fineco Sa'!$A$3,"Mese",3,"Tipologia",$A220),0)
+ IFERROR(GETPIVOTDATA("Somma di DARE",'Pivot Fineco St'!$A$3,"Mese",3,"Tipologia",$A220),0)
+ Contanti!J82
+ IFERROR(GETPIVOTDATA("Somma di DARE",'Pivot BBVA'!$A$3,"Mese",3,"Tipologia",$A220),0)
+ IFERROR(GETPIVOTDATA("Somma di DARE",'Pivot Amex'!$A$3,"Mese",3,"Tipologia",$A220),0)
- IFERROR(GETPIVOTDATA("Somma di AVERE",'Pivot Amex'!$A$3,"Mese",3,"Tipologia",$A220),0)
- IFERROR(GETPIVOTDATA("Somma di AVERE",'Pivot BBVA'!$A$3,"Mese",3,"Tipologia",$A220),0)
- IFERROR(GETPIVOTDATA("Somma di AVERE",'Pivot Fineco St'!$A$3,"Mese",3,"Tipologia",$A220),0)
- IFERROR(GETPIVOTDATA("Somma di AVERE",'Pivot Fineco Sa'!$A$3,"Mese",3,"Tipologia",$A220),0)
+ IFERROR(GETPIVOTDATA("Somma di DARE",'Pivot PP Visa'!$A$3,"Mese",3,"Tipologia",$A220),0)
- IFERROR(GETPIVOTDATA("Somma di AVERE",'Pivot PP Visa'!$A$3,"Mese",3,"Tipologia",$A220),0)
+ IFERROR(GETPIVOTDATA("Somma di DARE",'Pivot Revolut'!$A$3,"Mese",3,"Tipologia",$A220),0)
- IFERROR(GETPIVOTDATA("Somma di AVERE",'Pivot Revolut'!$A$3,"Mese",3,"Tipologia",$A220),0)</f>
        <v>0</v>
      </c>
      <c r="F220" s="243">
        <f>IFERROR(GETPIVOTDATA("Somma di DARE EUR",'Pivot RakBank AED'!$A$3,"Mese",4,"Tipologia",$A220),0)
- IFERROR(GETPIVOTDATA("Somma di AVERE EUR",'Pivot RakBank AED'!$A$3,"Mese",4,"Tipologia",$A220),0)
+IFERROR(GETPIVOTDATA("Somma di DARE",'Pivot RakBank EUR'!$A$3,"Mese",4,"Tipologia",$A220),0)
- IFERROR(GETPIVOTDATA("Somma di AVERE",'Pivot RakBank EUR'!$A$3,"Mese",4,"Tipologia",$A220),0)
+IFERROR(GETPIVOTDATA("Somma di DARE",'Pivot Fineco Sa'!$A$3,"Mese",4,"Tipologia",$A220),0)
+ IFERROR(GETPIVOTDATA("Somma di DARE",'Pivot Fineco St'!$A$3,"Mese",4,"Tipologia",$A220),0)
+ Contanti!N82
+ IFERROR(GETPIVOTDATA("Somma di DARE",'Pivot BBVA'!$A$3,"Mese",4,"Tipologia",$A220),0)
+ IFERROR(GETPIVOTDATA("Somma di DARE",'Pivot Amex'!$A$3,"Mese",4,"Tipologia",$A220),0)
- IFERROR(GETPIVOTDATA("Somma di AVERE",'Pivot Amex'!$A$3,"Mese",4,"Tipologia",$A220),0)
- IFERROR(GETPIVOTDATA("Somma di AVERE",'Pivot BBVA'!$A$3,"Mese",4,"Tipologia",$A220),0)
- IFERROR(GETPIVOTDATA("Somma di AVERE",'Pivot Fineco St'!$A$3,"Mese",4,"Tipologia",$A220),0)
- IFERROR(GETPIVOTDATA("Somma di AVERE",'Pivot Fineco Sa'!$A$3,"Mese",4,"Tipologia",$A220),0)
+ IFERROR(GETPIVOTDATA("Somma di DARE",'Pivot PP Visa'!$A$3,"Mese",4,"Tipologia",$A220),0)
- IFERROR(GETPIVOTDATA("Somma di AVERE",'Pivot PP Visa'!$A$3,"Mese",4,"Tipologia",$A220),0)
+ IFERROR(GETPIVOTDATA("Somma di DARE",'Pivot Revolut'!$A$3,"Mese",4,"Tipologia",$A220),0)
- IFERROR(GETPIVOTDATA("Somma di AVERE",'Pivot Revolut'!$A$3,"Mese",4,"Tipologia",$A220),0)</f>
        <v>0</v>
      </c>
      <c r="G220" s="243">
        <f>IFERROR(GETPIVOTDATA("Somma di DARE EUR",'Pivot RakBank AED'!$A$3,"Mese",5,"Tipologia",$A220),0)
- IFERROR(GETPIVOTDATA("Somma di AVERE EUR",'Pivot RakBank AED'!$A$3,"Mese",5,"Tipologia",$A220),0)
+IFERROR(GETPIVOTDATA("Somma di DARE",'Pivot RakBank EUR'!$A$3,"Mese",5,"Tipologia",$A220),0)
- IFERROR(GETPIVOTDATA("Somma di AVERE",'Pivot RakBank EUR'!$A$3,"Mese",5,"Tipologia",$A220),0)
+IFERROR(GETPIVOTDATA("Somma di DARE",'Pivot Fineco Sa'!$A$3,"Mese",5,"Tipologia",$A220),0)
+ IFERROR(GETPIVOTDATA("Somma di DARE",'Pivot Fineco St'!$A$3,"Mese",5,"Tipologia",$A220),0)
+ Contanti!R82
+ IFERROR(GETPIVOTDATA("Somma di DARE",'Pivot BBVA'!$A$3,"Mese",5,"Tipologia",$A220),0)
+ IFERROR(GETPIVOTDATA("Somma di DARE",'Pivot Amex'!$A$3,"Mese",5,"Tipologia",$A220),0)
- IFERROR(GETPIVOTDATA("Somma di AVERE",'Pivot Amex'!$A$3,"Mese",5,"Tipologia",$A220),0)
- IFERROR(GETPIVOTDATA("Somma di AVERE",'Pivot BBVA'!$A$3,"Mese",5,"Tipologia",$A220),0)
- IFERROR(GETPIVOTDATA("Somma di AVERE",'Pivot Fineco St'!$A$3,"Mese",5,"Tipologia",$A220),0)
- IFERROR(GETPIVOTDATA("Somma di AVERE",'Pivot Fineco Sa'!$A$3,"Mese",5,"Tipologia",$A220),0)
+ IFERROR(GETPIVOTDATA("Somma di DARE",'Pivot PP Visa'!$A$3,"Mese",5,"Tipologia",$A220),0)
- IFERROR(GETPIVOTDATA("Somma di AVERE",'Pivot PP Visa'!$A$3,"Mese",5,"Tipologia",$A220),0)
+ IFERROR(GETPIVOTDATA("Somma di DARE",'Pivot Revolut'!$A$3,"Mese",5,"Tipologia",$A220),0)
- IFERROR(GETPIVOTDATA("Somma di AVERE",'Pivot Revolut'!$A$3,"Mese",5,"Tipologia",$A220),0)</f>
        <v>0</v>
      </c>
      <c r="H220" s="243">
        <f>IFERROR(GETPIVOTDATA("Somma di DARE EUR",'Pivot RakBank AED'!$A$3,"Mese",6,"Tipologia",$A220),0)
- IFERROR(GETPIVOTDATA("Somma di AVERE EUR",'Pivot RakBank AED'!$A$3,"Mese",6,"Tipologia",$A220),0)
+IFERROR(GETPIVOTDATA("Somma di DARE",'Pivot RakBank EUR'!$A$3,"Mese",6,"Tipologia",$A220),0)
- IFERROR(GETPIVOTDATA("Somma di AVERE",'Pivot RakBank EUR'!$A$3,"Mese",6,"Tipologia",$A220),0)
+IFERROR(GETPIVOTDATA("Somma di DARE",'Pivot Fineco Sa'!$A$3,"Mese",6,"Tipologia",$A220),0)
+ IFERROR(GETPIVOTDATA("Somma di DARE",'Pivot Fineco St'!$A$3,"Mese",6,"Tipologia",$A220),0)
+ Contanti!V82
+ IFERROR(GETPIVOTDATA("Somma di DARE",'Pivot BBVA'!$A$3,"Mese",6,"Tipologia",$A220),0)
+ IFERROR(GETPIVOTDATA("Somma di DARE",'Pivot Amex'!$A$3,"Mese",6,"Tipologia",$A220),0)
- IFERROR(GETPIVOTDATA("Somma di AVERE",'Pivot Amex'!$A$3,"Mese",6,"Tipologia",$A220),0)
- IFERROR(GETPIVOTDATA("Somma di AVERE",'Pivot BBVA'!$A$3,"Mese",6,"Tipologia",$A220),0)
- IFERROR(GETPIVOTDATA("Somma di AVERE",'Pivot Fineco St'!$A$3,"Mese",6,"Tipologia",$A220),0)
- IFERROR(GETPIVOTDATA("Somma di AVERE",'Pivot Fineco Sa'!$A$3,"Mese",6,"Tipologia",$A220),0)
+ IFERROR(GETPIVOTDATA("Somma di DARE",'Pivot PP Visa'!$A$3,"Mese",6,"Tipologia",$A220),0)
- IFERROR(GETPIVOTDATA("Somma di AVERE",'Pivot PP Visa'!$A$3,"Mese",6,"Tipologia",$A220),0)
+ IFERROR(GETPIVOTDATA("Somma di DARE",'Pivot Revolut'!$A$3,"Mese",6,"Tipologia",$A220),0)
- IFERROR(GETPIVOTDATA("Somma di AVERE",'Pivot Revolut'!$A$3,"Mese",6,"Tipologia",$A220),0)</f>
        <v>65</v>
      </c>
      <c r="I220" s="243">
        <f>IFERROR(GETPIVOTDATA("Somma di DARE EUR",'Pivot RakBank AED'!$A$3,"Mese",7,"Tipologia",$A220),0)
- IFERROR(GETPIVOTDATA("Somma di AVERE EUR",'Pivot RakBank AED'!$A$3,"Mese",7,"Tipologia",$A220),0)
+IFERROR(GETPIVOTDATA("Somma di DARE",'Pivot RakBank EUR'!$A$3,"Mese",7,"Tipologia",$A220),0)
- IFERROR(GETPIVOTDATA("Somma di AVERE",'Pivot RakBank EUR'!$A$3,"Mese",7,"Tipologia",$A220),0)
+IFERROR(GETPIVOTDATA("Somma di DARE",'Pivot Fineco Sa'!$A$3,"Mese",7,"Tipologia",$A220),0)
+ IFERROR(GETPIVOTDATA("Somma di DARE",'Pivot Fineco St'!$A$3,"Mese",7,"Tipologia",$A220),0)
+ Contanti!Z82
+ IFERROR(GETPIVOTDATA("Somma di DARE",'Pivot BBVA'!$A$3,"Mese",7,"Tipologia",$A220),0)
+ IFERROR(GETPIVOTDATA("Somma di DARE",'Pivot Amex'!$A$3,"Mese",7,"Tipologia",$A220),0)
- IFERROR(GETPIVOTDATA("Somma di AVERE",'Pivot Amex'!$A$3,"Mese",7,"Tipologia",$A220),0)
- IFERROR(GETPIVOTDATA("Somma di AVERE",'Pivot BBVA'!$A$3,"Mese",7,"Tipologia",$A220),0)
- IFERROR(GETPIVOTDATA("Somma di AVERE",'Pivot Fineco St'!$A$3,"Mese",7,"Tipologia",$A220),0)
- IFERROR(GETPIVOTDATA("Somma di AVERE",'Pivot Fineco Sa'!$A$3,"Mese",7,"Tipologia",$A220),0)
+ IFERROR(GETPIVOTDATA("Somma di DARE",'Pivot PP Visa'!$A$3,"Mese",7,"Tipologia",$A220),0)
- IFERROR(GETPIVOTDATA("Somma di AVERE",'Pivot PP Visa'!$A$3,"Mese",7,"Tipologia",$A220),0)
+ IFERROR(GETPIVOTDATA("Somma di DARE",'Pivot Revolut'!$A$3,"Mese",7,"Tipologia",$A220),0)
- IFERROR(GETPIVOTDATA("Somma di AVERE",'Pivot Revolut'!$A$3,"Mese",7,"Tipologia",$A220),0)</f>
        <v>0</v>
      </c>
      <c r="J220" s="243">
        <f>IFERROR(GETPIVOTDATA("Somma di DARE EUR",'Pivot RakBank AED'!$A$3,"Mese",8,"Tipologia",$A220),0)
- IFERROR(GETPIVOTDATA("Somma di AVERE EUR",'Pivot RakBank AED'!$A$3,"Mese",8,"Tipologia",$A220),0)
+IFERROR(GETPIVOTDATA("Somma di DARE",'Pivot RakBank EUR'!$A$3,"Mese",8,"Tipologia",$A220),0)
- IFERROR(GETPIVOTDATA("Somma di AVERE",'Pivot RakBank EUR'!$A$3,"Mese",8,"Tipologia",$A220),0)
+IFERROR(GETPIVOTDATA("Somma di DARE",'Pivot Fineco Sa'!$A$3,"Mese",8,"Tipologia",$A220),0)
+ IFERROR(GETPIVOTDATA("Somma di DARE",'Pivot Fineco St'!$A$3,"Mese",8,"Tipologia",$A220),0)
+ Contanti!AD82
+ IFERROR(GETPIVOTDATA("Somma di DARE",'Pivot BBVA'!$A$3,"Mese",8,"Tipologia",$A220),0)
+ IFERROR(GETPIVOTDATA("Somma di DARE",'Pivot Amex'!$A$3,"Mese",8,"Tipologia",$A220),0)
- IFERROR(GETPIVOTDATA("Somma di AVERE",'Pivot Amex'!$A$3,"Mese",8,"Tipologia",$A220),0)
- IFERROR(GETPIVOTDATA("Somma di AVERE",'Pivot BBVA'!$A$3,"Mese",8,"Tipologia",$A220),0)
- IFERROR(GETPIVOTDATA("Somma di AVERE",'Pivot Fineco St'!$A$3,"Mese",8,"Tipologia",$A220),0)
- IFERROR(GETPIVOTDATA("Somma di AVERE",'Pivot Fineco Sa'!$A$3,"Mese",8,"Tipologia",$A220),0)
+ IFERROR(GETPIVOTDATA("Somma di DARE",'Pivot PP Visa'!$A$3,"Mese",8,"Tipologia",$A220),0)
- IFERROR(GETPIVOTDATA("Somma di AVERE",'Pivot PP Visa'!$A$3,"Mese",8,"Tipologia",$A220),0)
+ IFERROR(GETPIVOTDATA("Somma di DARE",'Pivot Revolut'!$A$3,"Mese",8,"Tipologia",$A220),0)
- IFERROR(GETPIVOTDATA("Somma di AVERE",'Pivot Revolut'!$A$3,"Mese",8,"Tipologia",$A220),0)</f>
        <v>0</v>
      </c>
      <c r="K220" s="243">
        <f>IFERROR(GETPIVOTDATA("Somma di DARE EUR",'Pivot RakBank AED'!$A$3,"Mese",9,"Tipologia",$A220),0)
- IFERROR(GETPIVOTDATA("Somma di AVERE EUR",'Pivot RakBank AED'!$A$3,"Mese",9,"Tipologia",$A220),0)
+IFERROR(GETPIVOTDATA("Somma di DARE",'Pivot RakBank EUR'!$A$3,"Mese",9,"Tipologia",$A220),0)
- IFERROR(GETPIVOTDATA("Somma di AVERE",'Pivot RakBank EUR'!$A$3,"Mese",9,"Tipologia",$A220),0)
+IFERROR(GETPIVOTDATA("Somma di DARE",'Pivot Fineco Sa'!$A$3,"Mese",9,"Tipologia",$A220),0)
+ IFERROR(GETPIVOTDATA("Somma di DARE",'Pivot Fineco St'!$A$3,"Mese",9,"Tipologia",$A220),0)
+ Contanti!AH82
+ IFERROR(GETPIVOTDATA("Somma di DARE",'Pivot BBVA'!$A$3,"Mese",9,"Tipologia",$A220),0)
+ IFERROR(GETPIVOTDATA("Somma di DARE",'Pivot Amex'!$A$3,"Mese",9,"Tipologia",$A220),0)
- IFERROR(GETPIVOTDATA("Somma di AVERE",'Pivot Amex'!$A$3,"Mese",9,"Tipologia",$A220),0)
- IFERROR(GETPIVOTDATA("Somma di AVERE",'Pivot BBVA'!$A$3,"Mese",9,"Tipologia",$A220),0)
- IFERROR(GETPIVOTDATA("Somma di AVERE",'Pivot Fineco St'!$A$3,"Mese",9,"Tipologia",$A220),0)
- IFERROR(GETPIVOTDATA("Somma di AVERE",'Pivot Fineco Sa'!$A$3,"Mese",9,"Tipologia",$A220),0)
+ IFERROR(GETPIVOTDATA("Somma di DARE",'Pivot PP Visa'!$A$3,"Mese",9,"Tipologia",$A220),0)
- IFERROR(GETPIVOTDATA("Somma di AVERE",'Pivot PP Visa'!$A$3,"Mese",9,"Tipologia",$A220),0)
+ IFERROR(GETPIVOTDATA("Somma di DARE",'Pivot Revolut'!$A$3,"Mese",9,"Tipologia",$A220),0)
- IFERROR(GETPIVOTDATA("Somma di AVERE",'Pivot Revolut'!$A$3,"Mese",9,"Tipologia",$A220),0)</f>
        <v>0</v>
      </c>
      <c r="L220" s="243">
        <f>IFERROR(GETPIVOTDATA("Somma di DARE EUR",'Pivot RakBank AED'!$A$3,"Mese",10,"Tipologia",$A220),0)
- IFERROR(GETPIVOTDATA("Somma di AVERE EUR",'Pivot RakBank AED'!$A$3,"Mese",10,"Tipologia",$A220),0)
+IFERROR(GETPIVOTDATA("Somma di DARE",'Pivot RakBank EUR'!$A$3,"Mese",10,"Tipologia",$A220),0)
- IFERROR(GETPIVOTDATA("Somma di AVERE",'Pivot RakBank EUR'!$A$3,"Mese",10,"Tipologia",$A220),0)
+IFERROR(GETPIVOTDATA("Somma di DARE",'Pivot Fineco Sa'!$A$3,"Mese",10,"Tipologia",$A220),0)
+ IFERROR(GETPIVOTDATA("Somma di DARE",'Pivot Fineco St'!$A$3,"Mese",10,"Tipologia",$A220),0)
+ Contanti!AL82
+ IFERROR(GETPIVOTDATA("Somma di DARE",'Pivot BBVA'!$A$3,"Mese",10,"Tipologia",$A220),0)
+ IFERROR(GETPIVOTDATA("Somma di DARE",'Pivot Amex'!$A$3,"Mese",10,"Tipologia",$A220),0)
- IFERROR(GETPIVOTDATA("Somma di AVERE",'Pivot Amex'!$A$3,"Mese",10,"Tipologia",$A220),0)
- IFERROR(GETPIVOTDATA("Somma di AVERE",'Pivot BBVA'!$A$3,"Mese",10,"Tipologia",$A220),0)
- IFERROR(GETPIVOTDATA("Somma di AVERE",'Pivot Fineco St'!$A$3,"Mese",10,"Tipologia",$A220),0)
- IFERROR(GETPIVOTDATA("Somma di AVERE",'Pivot Fineco Sa'!$A$3,"Mese",10,"Tipologia",$A220),0)
+ IFERROR(GETPIVOTDATA("Somma di DARE",'Pivot PP Visa'!$A$3,"Mese",10,"Tipologia",$A220),0)
- IFERROR(GETPIVOTDATA("Somma di AVERE",'Pivot PP Visa'!$A$3,"Mese",10,"Tipologia",$A220),0)
+ IFERROR(GETPIVOTDATA("Somma di DARE",'Pivot Revolut'!$A$3,"Mese",10,"Tipologia",$A220),0)
- IFERROR(GETPIVOTDATA("Somma di AVERE",'Pivot Revolut'!$A$3,"Mese",10,"Tipologia",$A220),0)</f>
        <v>0</v>
      </c>
      <c r="M220" s="243">
        <f>IFERROR(GETPIVOTDATA("Somma di DARE EUR",'Pivot RakBank AED'!$A$3,"Mese",11,"Tipologia",$A220),0)
- IFERROR(GETPIVOTDATA("Somma di AVERE EUR",'Pivot RakBank AED'!$A$3,"Mese",11,"Tipologia",$A220),0)
+IFERROR(GETPIVOTDATA("Somma di DARE",'Pivot RakBank EUR'!$A$3,"Mese",11,"Tipologia",$A220),0)
- IFERROR(GETPIVOTDATA("Somma di AVERE",'Pivot RakBank EUR'!$A$3,"Mese",11,"Tipologia",$A220),0)
+IFERROR(GETPIVOTDATA("Somma di DARE",'Pivot Fineco Sa'!$A$3,"Mese",11,"Tipologia",$A220),0)
+ IFERROR(GETPIVOTDATA("Somma di DARE",'Pivot Fineco St'!$A$3,"Mese",11,"Tipologia",$A220),0)
+ Contanti!AP82
+ IFERROR(GETPIVOTDATA("Somma di DARE",'Pivot BBVA'!$A$3,"Mese",11,"Tipologia",$A220),0)
+ IFERROR(GETPIVOTDATA("Somma di DARE",'Pivot Amex'!$A$3,"Mese",11,"Tipologia",$A220),0)
- IFERROR(GETPIVOTDATA("Somma di AVERE",'Pivot Amex'!$A$3,"Mese",11,"Tipologia",$A220),0)
- IFERROR(GETPIVOTDATA("Somma di AVERE",'Pivot BBVA'!$A$3,"Mese",11,"Tipologia",$A220),0)
- IFERROR(GETPIVOTDATA("Somma di AVERE",'Pivot Fineco St'!$A$3,"Mese",11,"Tipologia",$A220),0)
- IFERROR(GETPIVOTDATA("Somma di AVERE",'Pivot Fineco Sa'!$A$3,"Mese",11,"Tipologia",$A220),0)
+ IFERROR(GETPIVOTDATA("Somma di DARE",'Pivot PP Visa'!$A$3,"Mese",11,"Tipologia",$A220),0)
- IFERROR(GETPIVOTDATA("Somma di AVERE",'Pivot PP Visa'!$A$3,"Mese",11,"Tipologia",$A220),0)
+ IFERROR(GETPIVOTDATA("Somma di DARE",'Pivot Revolut'!$A$3,"Mese",11,"Tipologia",$A220),0)
- IFERROR(GETPIVOTDATA("Somma di AVERE",'Pivot Revolut'!$A$3,"Mese",11,"Tipologia",$A220),0)</f>
        <v>0</v>
      </c>
      <c r="N220" s="243">
        <f>IFERROR(GETPIVOTDATA("Somma di DARE EUR",'Pivot RakBank AED'!$A$3,"Mese",12,"Tipologia",$A220),0)
- IFERROR(GETPIVOTDATA("Somma di AVERE EUR",'Pivot RakBank AED'!$A$3,"Mese",12,"Tipologia",$A220),0)
+IFERROR(GETPIVOTDATA("Somma di DARE",'Pivot RakBank EUR'!$A$3,"Mese",12,"Tipologia",$A220),0)
- IFERROR(GETPIVOTDATA("Somma di AVERE",'Pivot RakBank EUR'!$A$3,"Mese",12,"Tipologia",$A220),0)
+IFERROR(GETPIVOTDATA("Somma di DARE",'Pivot Fineco Sa'!$A$3,"Mese",12,"Tipologia",$A220),0)
+ IFERROR(GETPIVOTDATA("Somma di DARE",'Pivot Fineco St'!$A$3,"Mese",12,"Tipologia",$A220),0)
+ Contanti!AT82
+ IFERROR(GETPIVOTDATA("Somma di DARE",'Pivot BBVA'!$A$3,"Mese",12,"Tipologia",$A220),0)
+ IFERROR(GETPIVOTDATA("Somma di DARE",'Pivot Amex'!$A$3,"Mese",12,"Tipologia",$A220),0)
- IFERROR(GETPIVOTDATA("Somma di AVERE",'Pivot Amex'!$A$3,"Mese",12,"Tipologia",$A220),0)
- IFERROR(GETPIVOTDATA("Somma di AVERE",'Pivot BBVA'!$A$3,"Mese",12,"Tipologia",$A220),0)
- IFERROR(GETPIVOTDATA("Somma di AVERE",'Pivot Fineco St'!$A$3,"Mese",12,"Tipologia",$A220),0)
- IFERROR(GETPIVOTDATA("Somma di AVERE",'Pivot Fineco Sa'!$A$3,"Mese",12,"Tipologia",$A220),0)
+ IFERROR(GETPIVOTDATA("Somma di DARE",'Pivot PP Visa'!$A$3,"Mese",12,"Tipologia",$A220),0)
- IFERROR(GETPIVOTDATA("Somma di AVERE",'Pivot PP Visa'!$A$3,"Mese",12,"Tipologia",$A220),0)
+ IFERROR(GETPIVOTDATA("Somma di DARE",'Pivot Revolut'!$A$3,"Mese",12,"Tipologia",$A220),0)
- IFERROR(GETPIVOTDATA("Somma di AVERE",'Pivot Revolut'!$A$3,"Mese",12,"Tipologia",$A220),0)</f>
        <v>0</v>
      </c>
      <c r="O220" s="252">
        <f t="shared" si="39"/>
        <v>65</v>
      </c>
      <c r="P220" s="243">
        <f t="shared" ca="1" si="40"/>
        <v>9.2857142857142865</v>
      </c>
    </row>
    <row r="221" spans="1:16" s="125" customFormat="1" ht="21" customHeight="1" x14ac:dyDescent="0.2">
      <c r="A221" s="251" t="s">
        <v>88</v>
      </c>
      <c r="B221" s="251"/>
      <c r="C221" s="243">
        <f>IFERROR(GETPIVOTDATA("Somma di DARE EUR",'Pivot RakBank AED'!$A$3,"Mese",1,"Tipologia",$A221),0)
- IFERROR(GETPIVOTDATA("Somma di AVERE EUR",'Pivot RakBank AED'!$A$3,"Mese",1,"Tipologia",$A221),0)
+IFERROR(GETPIVOTDATA("Somma di DARE",'Pivot RakBank EUR'!$A$3,"Mese",1,"Tipologia",$A221),0)
- IFERROR(GETPIVOTDATA("Somma di AVERE",'Pivot RakBank EUR'!$A$3,"Mese",1,"Tipologia",$A221),0)
+IFERROR(GETPIVOTDATA("Somma di DARE",'Pivot Fineco Sa'!$A$3,"Mese",1,"Tipologia",$A221),0)
+ IFERROR(GETPIVOTDATA("Somma di DARE",'Pivot Fineco St'!$A$3,"Mese",1,"Tipologia",$A221),0)
+ Contanti!B83
+ IFERROR(GETPIVOTDATA("Somma di DARE",'Pivot BBVA'!$A$3,"Mese",1,"Tipologia",$A221),0)
+ IFERROR(GETPIVOTDATA("Somma di DARE",'Pivot Amex'!$A$3,"Mese",1,"Tipologia",$A221),0)
- IFERROR(GETPIVOTDATA("Somma di AVERE",'Pivot Amex'!$A$3,"Mese",1,"Tipologia",$A221),0)
- IFERROR(GETPIVOTDATA("Somma di AVERE",'Pivot BBVA'!$A$3,"Mese",1,"Tipologia",$A221),0)
- IFERROR(GETPIVOTDATA("Somma di AVERE",'Pivot Fineco St'!$A$3,"Mese",1,"Tipologia",$A221),0)
- IFERROR(GETPIVOTDATA("Somma di AVERE",'Pivot Fineco Sa'!$A$3,"Mese",1,"Tipologia",$A221),0)
+ IFERROR(GETPIVOTDATA("Somma di DARE",'Pivot PP Visa'!$A$3,"Mese",1,"Tipologia",$A221),0)
- IFERROR(GETPIVOTDATA("Somma di AVERE",'Pivot PP Visa'!$A$3,"Mese",1,"Tipologia",$A221),0)
+ IFERROR(GETPIVOTDATA("Somma di DARE",'Pivot Revolut'!$A$3,"Mese",1,"Tipologia",$A221),0)
- IFERROR(GETPIVOTDATA("Somma di AVERE",'Pivot Revolut'!$A$3,"Mese",1,"Tipologia",$A221),0)</f>
        <v>66</v>
      </c>
      <c r="D221" s="243">
        <f>IFERROR(GETPIVOTDATA("Somma di DARE EUR",'Pivot RakBank AED'!$A$3,"Mese",2,"Tipologia",$A221),0)
- IFERROR(GETPIVOTDATA("Somma di AVERE EUR",'Pivot RakBank AED'!$A$3,"Mese",2,"Tipologia",$A221),0)
+IFERROR(GETPIVOTDATA("Somma di DARE",'Pivot RakBank EUR'!$A$3,"Mese",2,"Tipologia",$A221),0)
- IFERROR(GETPIVOTDATA("Somma di AVERE",'Pivot RakBank EUR'!$A$3,"Mese",2,"Tipologia",$A221),0)
+IFERROR(GETPIVOTDATA("Somma di DARE",'Pivot Fineco Sa'!$A$3,"Mese",2,"Tipologia",$A221),0)
+ IFERROR(GETPIVOTDATA("Somma di DARE",'Pivot Fineco St'!$A$3,"Mese",2,"Tipologia",$A221),0)
+ Contanti!F83
+ IFERROR(GETPIVOTDATA("Somma di DARE",'Pivot BBVA'!$A$3,"Mese",2,"Tipologia",$A221),0)
+ IFERROR(GETPIVOTDATA("Somma di DARE",'Pivot Amex'!$A$3,"Mese",2,"Tipologia",$A221),0)
- IFERROR(GETPIVOTDATA("Somma di AVERE",'Pivot Amex'!$A$3,"Mese",2,"Tipologia",$A221),0)
- IFERROR(GETPIVOTDATA("Somma di AVERE",'Pivot BBVA'!$A$3,"Mese",2,"Tipologia",$A221),0)
- IFERROR(GETPIVOTDATA("Somma di AVERE",'Pivot Fineco St'!$A$3,"Mese",2,"Tipologia",$A221),0)
- IFERROR(GETPIVOTDATA("Somma di AVERE",'Pivot Fineco Sa'!$A$3,"Mese",2,"Tipologia",$A221),0)
+ IFERROR(GETPIVOTDATA("Somma di DARE",'Pivot PP Visa'!$A$3,"Mese",2,"Tipologia",$A221),0)
- IFERROR(GETPIVOTDATA("Somma di AVERE",'Pivot PP Visa'!$A$3,"Mese",2,"Tipologia",$A221),0)
+ IFERROR(GETPIVOTDATA("Somma di DARE",'Pivot Revolut'!$A$3,"Mese",2,"Tipologia",$A221),0)
- IFERROR(GETPIVOTDATA("Somma di AVERE",'Pivot Revolut'!$A$3,"Mese",2,"Tipologia",$A221),0)</f>
        <v>35.86</v>
      </c>
      <c r="E221" s="243">
        <f>IFERROR(GETPIVOTDATA("Somma di DARE EUR",'Pivot RakBank AED'!$A$3,"Mese",3,"Tipologia",$A221),0)
- IFERROR(GETPIVOTDATA("Somma di AVERE EUR",'Pivot RakBank AED'!$A$3,"Mese",3,"Tipologia",$A221),0)
+IFERROR(GETPIVOTDATA("Somma di DARE",'Pivot RakBank EUR'!$A$3,"Mese",3,"Tipologia",$A221),0)
- IFERROR(GETPIVOTDATA("Somma di AVERE",'Pivot RakBank EUR'!$A$3,"Mese",3,"Tipologia",$A221),0)
+IFERROR(GETPIVOTDATA("Somma di DARE",'Pivot Fineco Sa'!$A$3,"Mese",3,"Tipologia",$A221),0)
+ IFERROR(GETPIVOTDATA("Somma di DARE",'Pivot Fineco St'!$A$3,"Mese",3,"Tipologia",$A221),0)
+ Contanti!J83
+ IFERROR(GETPIVOTDATA("Somma di DARE",'Pivot BBVA'!$A$3,"Mese",3,"Tipologia",$A221),0)
+ IFERROR(GETPIVOTDATA("Somma di DARE",'Pivot Amex'!$A$3,"Mese",3,"Tipologia",$A221),0)
- IFERROR(GETPIVOTDATA("Somma di AVERE",'Pivot Amex'!$A$3,"Mese",3,"Tipologia",$A221),0)
- IFERROR(GETPIVOTDATA("Somma di AVERE",'Pivot BBVA'!$A$3,"Mese",3,"Tipologia",$A221),0)
- IFERROR(GETPIVOTDATA("Somma di AVERE",'Pivot Fineco St'!$A$3,"Mese",3,"Tipologia",$A221),0)
- IFERROR(GETPIVOTDATA("Somma di AVERE",'Pivot Fineco Sa'!$A$3,"Mese",3,"Tipologia",$A221),0)
+ IFERROR(GETPIVOTDATA("Somma di DARE",'Pivot PP Visa'!$A$3,"Mese",3,"Tipologia",$A221),0)
- IFERROR(GETPIVOTDATA("Somma di AVERE",'Pivot PP Visa'!$A$3,"Mese",3,"Tipologia",$A221),0)
+ IFERROR(GETPIVOTDATA("Somma di DARE",'Pivot Revolut'!$A$3,"Mese",3,"Tipologia",$A221),0)
- IFERROR(GETPIVOTDATA("Somma di AVERE",'Pivot Revolut'!$A$3,"Mese",3,"Tipologia",$A221),0)</f>
        <v>63.190000000000005</v>
      </c>
      <c r="F221" s="243">
        <f>IFERROR(GETPIVOTDATA("Somma di DARE EUR",'Pivot RakBank AED'!$A$3,"Mese",4,"Tipologia",$A221),0)
- IFERROR(GETPIVOTDATA("Somma di AVERE EUR",'Pivot RakBank AED'!$A$3,"Mese",4,"Tipologia",$A221),0)
+IFERROR(GETPIVOTDATA("Somma di DARE",'Pivot RakBank EUR'!$A$3,"Mese",4,"Tipologia",$A221),0)
- IFERROR(GETPIVOTDATA("Somma di AVERE",'Pivot RakBank EUR'!$A$3,"Mese",4,"Tipologia",$A221),0)
+IFERROR(GETPIVOTDATA("Somma di DARE",'Pivot Fineco Sa'!$A$3,"Mese",4,"Tipologia",$A221),0)
+ IFERROR(GETPIVOTDATA("Somma di DARE",'Pivot Fineco St'!$A$3,"Mese",4,"Tipologia",$A221),0)
+ Contanti!N83
+ IFERROR(GETPIVOTDATA("Somma di DARE",'Pivot BBVA'!$A$3,"Mese",4,"Tipologia",$A221),0)
+ IFERROR(GETPIVOTDATA("Somma di DARE",'Pivot Amex'!$A$3,"Mese",4,"Tipologia",$A221),0)
- IFERROR(GETPIVOTDATA("Somma di AVERE",'Pivot Amex'!$A$3,"Mese",4,"Tipologia",$A221),0)
- IFERROR(GETPIVOTDATA("Somma di AVERE",'Pivot BBVA'!$A$3,"Mese",4,"Tipologia",$A221),0)
- IFERROR(GETPIVOTDATA("Somma di AVERE",'Pivot Fineco St'!$A$3,"Mese",4,"Tipologia",$A221),0)
- IFERROR(GETPIVOTDATA("Somma di AVERE",'Pivot Fineco Sa'!$A$3,"Mese",4,"Tipologia",$A221),0)
+ IFERROR(GETPIVOTDATA("Somma di DARE",'Pivot PP Visa'!$A$3,"Mese",4,"Tipologia",$A221),0)
- IFERROR(GETPIVOTDATA("Somma di AVERE",'Pivot PP Visa'!$A$3,"Mese",4,"Tipologia",$A221),0)
+ IFERROR(GETPIVOTDATA("Somma di DARE",'Pivot Revolut'!$A$3,"Mese",4,"Tipologia",$A221),0)
- IFERROR(GETPIVOTDATA("Somma di AVERE",'Pivot Revolut'!$A$3,"Mese",4,"Tipologia",$A221),0)</f>
        <v>130.57999999999998</v>
      </c>
      <c r="G221" s="243">
        <f>IFERROR(GETPIVOTDATA("Somma di DARE EUR",'Pivot RakBank AED'!$A$3,"Mese",5,"Tipologia",$A221),0)
- IFERROR(GETPIVOTDATA("Somma di AVERE EUR",'Pivot RakBank AED'!$A$3,"Mese",5,"Tipologia",$A221),0)
+IFERROR(GETPIVOTDATA("Somma di DARE",'Pivot RakBank EUR'!$A$3,"Mese",5,"Tipologia",$A221),0)
- IFERROR(GETPIVOTDATA("Somma di AVERE",'Pivot RakBank EUR'!$A$3,"Mese",5,"Tipologia",$A221),0)
+IFERROR(GETPIVOTDATA("Somma di DARE",'Pivot Fineco Sa'!$A$3,"Mese",5,"Tipologia",$A221),0)
+ IFERROR(GETPIVOTDATA("Somma di DARE",'Pivot Fineco St'!$A$3,"Mese",5,"Tipologia",$A221),0)
+ Contanti!R83
+ IFERROR(GETPIVOTDATA("Somma di DARE",'Pivot BBVA'!$A$3,"Mese",5,"Tipologia",$A221),0)
+ IFERROR(GETPIVOTDATA("Somma di DARE",'Pivot Amex'!$A$3,"Mese",5,"Tipologia",$A221),0)
- IFERROR(GETPIVOTDATA("Somma di AVERE",'Pivot Amex'!$A$3,"Mese",5,"Tipologia",$A221),0)
- IFERROR(GETPIVOTDATA("Somma di AVERE",'Pivot BBVA'!$A$3,"Mese",5,"Tipologia",$A221),0)
- IFERROR(GETPIVOTDATA("Somma di AVERE",'Pivot Fineco St'!$A$3,"Mese",5,"Tipologia",$A221),0)
- IFERROR(GETPIVOTDATA("Somma di AVERE",'Pivot Fineco Sa'!$A$3,"Mese",5,"Tipologia",$A221),0)
+ IFERROR(GETPIVOTDATA("Somma di DARE",'Pivot PP Visa'!$A$3,"Mese",5,"Tipologia",$A221),0)
- IFERROR(GETPIVOTDATA("Somma di AVERE",'Pivot PP Visa'!$A$3,"Mese",5,"Tipologia",$A221),0)
+ IFERROR(GETPIVOTDATA("Somma di DARE",'Pivot Revolut'!$A$3,"Mese",5,"Tipologia",$A221),0)
- IFERROR(GETPIVOTDATA("Somma di AVERE",'Pivot Revolut'!$A$3,"Mese",5,"Tipologia",$A221),0)</f>
        <v>46.220000000000006</v>
      </c>
      <c r="H221" s="243">
        <f>IFERROR(GETPIVOTDATA("Somma di DARE EUR",'Pivot RakBank AED'!$A$3,"Mese",6,"Tipologia",$A221),0)
- IFERROR(GETPIVOTDATA("Somma di AVERE EUR",'Pivot RakBank AED'!$A$3,"Mese",6,"Tipologia",$A221),0)
+IFERROR(GETPIVOTDATA("Somma di DARE",'Pivot RakBank EUR'!$A$3,"Mese",6,"Tipologia",$A221),0)
- IFERROR(GETPIVOTDATA("Somma di AVERE",'Pivot RakBank EUR'!$A$3,"Mese",6,"Tipologia",$A221),0)
+IFERROR(GETPIVOTDATA("Somma di DARE",'Pivot Fineco Sa'!$A$3,"Mese",6,"Tipologia",$A221),0)
+ IFERROR(GETPIVOTDATA("Somma di DARE",'Pivot Fineco St'!$A$3,"Mese",6,"Tipologia",$A221),0)
+ Contanti!V83
+ IFERROR(GETPIVOTDATA("Somma di DARE",'Pivot BBVA'!$A$3,"Mese",6,"Tipologia",$A221),0)
+ IFERROR(GETPIVOTDATA("Somma di DARE",'Pivot Amex'!$A$3,"Mese",6,"Tipologia",$A221),0)
- IFERROR(GETPIVOTDATA("Somma di AVERE",'Pivot Amex'!$A$3,"Mese",6,"Tipologia",$A221),0)
- IFERROR(GETPIVOTDATA("Somma di AVERE",'Pivot BBVA'!$A$3,"Mese",6,"Tipologia",$A221),0)
- IFERROR(GETPIVOTDATA("Somma di AVERE",'Pivot Fineco St'!$A$3,"Mese",6,"Tipologia",$A221),0)
- IFERROR(GETPIVOTDATA("Somma di AVERE",'Pivot Fineco Sa'!$A$3,"Mese",6,"Tipologia",$A221),0)
+ IFERROR(GETPIVOTDATA("Somma di DARE",'Pivot PP Visa'!$A$3,"Mese",6,"Tipologia",$A221),0)
- IFERROR(GETPIVOTDATA("Somma di AVERE",'Pivot PP Visa'!$A$3,"Mese",6,"Tipologia",$A221),0)
+ IFERROR(GETPIVOTDATA("Somma di DARE",'Pivot Revolut'!$A$3,"Mese",6,"Tipologia",$A221),0)
- IFERROR(GETPIVOTDATA("Somma di AVERE",'Pivot Revolut'!$A$3,"Mese",6,"Tipologia",$A221),0)</f>
        <v>63.1</v>
      </c>
      <c r="I221" s="243">
        <f>IFERROR(GETPIVOTDATA("Somma di DARE EUR",'Pivot RakBank AED'!$A$3,"Mese",7,"Tipologia",$A221),0)
- IFERROR(GETPIVOTDATA("Somma di AVERE EUR",'Pivot RakBank AED'!$A$3,"Mese",7,"Tipologia",$A221),0)
+IFERROR(GETPIVOTDATA("Somma di DARE",'Pivot RakBank EUR'!$A$3,"Mese",7,"Tipologia",$A221),0)
- IFERROR(GETPIVOTDATA("Somma di AVERE",'Pivot RakBank EUR'!$A$3,"Mese",7,"Tipologia",$A221),0)
+IFERROR(GETPIVOTDATA("Somma di DARE",'Pivot Fineco Sa'!$A$3,"Mese",7,"Tipologia",$A221),0)
+ IFERROR(GETPIVOTDATA("Somma di DARE",'Pivot Fineco St'!$A$3,"Mese",7,"Tipologia",$A221),0)
+ Contanti!Z83
+ IFERROR(GETPIVOTDATA("Somma di DARE",'Pivot BBVA'!$A$3,"Mese",7,"Tipologia",$A221),0)
+ IFERROR(GETPIVOTDATA("Somma di DARE",'Pivot Amex'!$A$3,"Mese",7,"Tipologia",$A221),0)
- IFERROR(GETPIVOTDATA("Somma di AVERE",'Pivot Amex'!$A$3,"Mese",7,"Tipologia",$A221),0)
- IFERROR(GETPIVOTDATA("Somma di AVERE",'Pivot BBVA'!$A$3,"Mese",7,"Tipologia",$A221),0)
- IFERROR(GETPIVOTDATA("Somma di AVERE",'Pivot Fineco St'!$A$3,"Mese",7,"Tipologia",$A221),0)
- IFERROR(GETPIVOTDATA("Somma di AVERE",'Pivot Fineco Sa'!$A$3,"Mese",7,"Tipologia",$A221),0)
+ IFERROR(GETPIVOTDATA("Somma di DARE",'Pivot PP Visa'!$A$3,"Mese",7,"Tipologia",$A221),0)
- IFERROR(GETPIVOTDATA("Somma di AVERE",'Pivot PP Visa'!$A$3,"Mese",7,"Tipologia",$A221),0)
+ IFERROR(GETPIVOTDATA("Somma di DARE",'Pivot Revolut'!$A$3,"Mese",7,"Tipologia",$A221),0)
- IFERROR(GETPIVOTDATA("Somma di AVERE",'Pivot Revolut'!$A$3,"Mese",7,"Tipologia",$A221),0)</f>
        <v>0</v>
      </c>
      <c r="J221" s="243">
        <f>IFERROR(GETPIVOTDATA("Somma di DARE EUR",'Pivot RakBank AED'!$A$3,"Mese",8,"Tipologia",$A221),0)
- IFERROR(GETPIVOTDATA("Somma di AVERE EUR",'Pivot RakBank AED'!$A$3,"Mese",8,"Tipologia",$A221),0)
+IFERROR(GETPIVOTDATA("Somma di DARE",'Pivot RakBank EUR'!$A$3,"Mese",8,"Tipologia",$A221),0)
- IFERROR(GETPIVOTDATA("Somma di AVERE",'Pivot RakBank EUR'!$A$3,"Mese",8,"Tipologia",$A221),0)
+IFERROR(GETPIVOTDATA("Somma di DARE",'Pivot Fineco Sa'!$A$3,"Mese",8,"Tipologia",$A221),0)
+ IFERROR(GETPIVOTDATA("Somma di DARE",'Pivot Fineco St'!$A$3,"Mese",8,"Tipologia",$A221),0)
+ Contanti!AD83
+ IFERROR(GETPIVOTDATA("Somma di DARE",'Pivot BBVA'!$A$3,"Mese",8,"Tipologia",$A221),0)
+ IFERROR(GETPIVOTDATA("Somma di DARE",'Pivot Amex'!$A$3,"Mese",8,"Tipologia",$A221),0)
- IFERROR(GETPIVOTDATA("Somma di AVERE",'Pivot Amex'!$A$3,"Mese",8,"Tipologia",$A221),0)
- IFERROR(GETPIVOTDATA("Somma di AVERE",'Pivot BBVA'!$A$3,"Mese",8,"Tipologia",$A221),0)
- IFERROR(GETPIVOTDATA("Somma di AVERE",'Pivot Fineco St'!$A$3,"Mese",8,"Tipologia",$A221),0)
- IFERROR(GETPIVOTDATA("Somma di AVERE",'Pivot Fineco Sa'!$A$3,"Mese",8,"Tipologia",$A221),0)
+ IFERROR(GETPIVOTDATA("Somma di DARE",'Pivot PP Visa'!$A$3,"Mese",8,"Tipologia",$A221),0)
- IFERROR(GETPIVOTDATA("Somma di AVERE",'Pivot PP Visa'!$A$3,"Mese",8,"Tipologia",$A221),0)
+ IFERROR(GETPIVOTDATA("Somma di DARE",'Pivot Revolut'!$A$3,"Mese",8,"Tipologia",$A221),0)
- IFERROR(GETPIVOTDATA("Somma di AVERE",'Pivot Revolut'!$A$3,"Mese",8,"Tipologia",$A221),0)</f>
        <v>0</v>
      </c>
      <c r="K221" s="243">
        <f>IFERROR(GETPIVOTDATA("Somma di DARE EUR",'Pivot RakBank AED'!$A$3,"Mese",9,"Tipologia",$A221),0)
- IFERROR(GETPIVOTDATA("Somma di AVERE EUR",'Pivot RakBank AED'!$A$3,"Mese",9,"Tipologia",$A221),0)
+IFERROR(GETPIVOTDATA("Somma di DARE",'Pivot RakBank EUR'!$A$3,"Mese",9,"Tipologia",$A221),0)
- IFERROR(GETPIVOTDATA("Somma di AVERE",'Pivot RakBank EUR'!$A$3,"Mese",9,"Tipologia",$A221),0)
+IFERROR(GETPIVOTDATA("Somma di DARE",'Pivot Fineco Sa'!$A$3,"Mese",9,"Tipologia",$A221),0)
+ IFERROR(GETPIVOTDATA("Somma di DARE",'Pivot Fineco St'!$A$3,"Mese",9,"Tipologia",$A221),0)
+ Contanti!AH83
+ IFERROR(GETPIVOTDATA("Somma di DARE",'Pivot BBVA'!$A$3,"Mese",9,"Tipologia",$A221),0)
+ IFERROR(GETPIVOTDATA("Somma di DARE",'Pivot Amex'!$A$3,"Mese",9,"Tipologia",$A221),0)
- IFERROR(GETPIVOTDATA("Somma di AVERE",'Pivot Amex'!$A$3,"Mese",9,"Tipologia",$A221),0)
- IFERROR(GETPIVOTDATA("Somma di AVERE",'Pivot BBVA'!$A$3,"Mese",9,"Tipologia",$A221),0)
- IFERROR(GETPIVOTDATA("Somma di AVERE",'Pivot Fineco St'!$A$3,"Mese",9,"Tipologia",$A221),0)
- IFERROR(GETPIVOTDATA("Somma di AVERE",'Pivot Fineco Sa'!$A$3,"Mese",9,"Tipologia",$A221),0)
+ IFERROR(GETPIVOTDATA("Somma di DARE",'Pivot PP Visa'!$A$3,"Mese",9,"Tipologia",$A221),0)
- IFERROR(GETPIVOTDATA("Somma di AVERE",'Pivot PP Visa'!$A$3,"Mese",9,"Tipologia",$A221),0)
+ IFERROR(GETPIVOTDATA("Somma di DARE",'Pivot Revolut'!$A$3,"Mese",9,"Tipologia",$A221),0)
- IFERROR(GETPIVOTDATA("Somma di AVERE",'Pivot Revolut'!$A$3,"Mese",9,"Tipologia",$A221),0)</f>
        <v>0</v>
      </c>
      <c r="L221" s="243">
        <f>IFERROR(GETPIVOTDATA("Somma di DARE EUR",'Pivot RakBank AED'!$A$3,"Mese",10,"Tipologia",$A221),0)
- IFERROR(GETPIVOTDATA("Somma di AVERE EUR",'Pivot RakBank AED'!$A$3,"Mese",10,"Tipologia",$A221),0)
+IFERROR(GETPIVOTDATA("Somma di DARE",'Pivot RakBank EUR'!$A$3,"Mese",10,"Tipologia",$A221),0)
- IFERROR(GETPIVOTDATA("Somma di AVERE",'Pivot RakBank EUR'!$A$3,"Mese",10,"Tipologia",$A221),0)
+IFERROR(GETPIVOTDATA("Somma di DARE",'Pivot Fineco Sa'!$A$3,"Mese",10,"Tipologia",$A221),0)
+ IFERROR(GETPIVOTDATA("Somma di DARE",'Pivot Fineco St'!$A$3,"Mese",10,"Tipologia",$A221),0)
+ Contanti!AL83
+ IFERROR(GETPIVOTDATA("Somma di DARE",'Pivot BBVA'!$A$3,"Mese",10,"Tipologia",$A221),0)
+ IFERROR(GETPIVOTDATA("Somma di DARE",'Pivot Amex'!$A$3,"Mese",10,"Tipologia",$A221),0)
- IFERROR(GETPIVOTDATA("Somma di AVERE",'Pivot Amex'!$A$3,"Mese",10,"Tipologia",$A221),0)
- IFERROR(GETPIVOTDATA("Somma di AVERE",'Pivot BBVA'!$A$3,"Mese",10,"Tipologia",$A221),0)
- IFERROR(GETPIVOTDATA("Somma di AVERE",'Pivot Fineco St'!$A$3,"Mese",10,"Tipologia",$A221),0)
- IFERROR(GETPIVOTDATA("Somma di AVERE",'Pivot Fineco Sa'!$A$3,"Mese",10,"Tipologia",$A221),0)
+ IFERROR(GETPIVOTDATA("Somma di DARE",'Pivot PP Visa'!$A$3,"Mese",10,"Tipologia",$A221),0)
- IFERROR(GETPIVOTDATA("Somma di AVERE",'Pivot PP Visa'!$A$3,"Mese",10,"Tipologia",$A221),0)
+ IFERROR(GETPIVOTDATA("Somma di DARE",'Pivot Revolut'!$A$3,"Mese",10,"Tipologia",$A221),0)
- IFERROR(GETPIVOTDATA("Somma di AVERE",'Pivot Revolut'!$A$3,"Mese",10,"Tipologia",$A221),0)</f>
        <v>0</v>
      </c>
      <c r="M221" s="243">
        <f>IFERROR(GETPIVOTDATA("Somma di DARE EUR",'Pivot RakBank AED'!$A$3,"Mese",11,"Tipologia",$A221),0)
- IFERROR(GETPIVOTDATA("Somma di AVERE EUR",'Pivot RakBank AED'!$A$3,"Mese",11,"Tipologia",$A221),0)
+IFERROR(GETPIVOTDATA("Somma di DARE",'Pivot RakBank EUR'!$A$3,"Mese",11,"Tipologia",$A221),0)
- IFERROR(GETPIVOTDATA("Somma di AVERE",'Pivot RakBank EUR'!$A$3,"Mese",11,"Tipologia",$A221),0)
+IFERROR(GETPIVOTDATA("Somma di DARE",'Pivot Fineco Sa'!$A$3,"Mese",11,"Tipologia",$A221),0)
+ IFERROR(GETPIVOTDATA("Somma di DARE",'Pivot Fineco St'!$A$3,"Mese",11,"Tipologia",$A221),0)
+ Contanti!AP83
+ IFERROR(GETPIVOTDATA("Somma di DARE",'Pivot BBVA'!$A$3,"Mese",11,"Tipologia",$A221),0)
+ IFERROR(GETPIVOTDATA("Somma di DARE",'Pivot Amex'!$A$3,"Mese",11,"Tipologia",$A221),0)
- IFERROR(GETPIVOTDATA("Somma di AVERE",'Pivot Amex'!$A$3,"Mese",11,"Tipologia",$A221),0)
- IFERROR(GETPIVOTDATA("Somma di AVERE",'Pivot BBVA'!$A$3,"Mese",11,"Tipologia",$A221),0)
- IFERROR(GETPIVOTDATA("Somma di AVERE",'Pivot Fineco St'!$A$3,"Mese",11,"Tipologia",$A221),0)
- IFERROR(GETPIVOTDATA("Somma di AVERE",'Pivot Fineco Sa'!$A$3,"Mese",11,"Tipologia",$A221),0)
+ IFERROR(GETPIVOTDATA("Somma di DARE",'Pivot PP Visa'!$A$3,"Mese",11,"Tipologia",$A221),0)
- IFERROR(GETPIVOTDATA("Somma di AVERE",'Pivot PP Visa'!$A$3,"Mese",11,"Tipologia",$A221),0)
+ IFERROR(GETPIVOTDATA("Somma di DARE",'Pivot Revolut'!$A$3,"Mese",11,"Tipologia",$A221),0)
- IFERROR(GETPIVOTDATA("Somma di AVERE",'Pivot Revolut'!$A$3,"Mese",11,"Tipologia",$A221),0)</f>
        <v>0</v>
      </c>
      <c r="N221" s="243">
        <f>IFERROR(GETPIVOTDATA("Somma di DARE EUR",'Pivot RakBank AED'!$A$3,"Mese",12,"Tipologia",$A221),0)
- IFERROR(GETPIVOTDATA("Somma di AVERE EUR",'Pivot RakBank AED'!$A$3,"Mese",12,"Tipologia",$A221),0)
+IFERROR(GETPIVOTDATA("Somma di DARE",'Pivot RakBank EUR'!$A$3,"Mese",12,"Tipologia",$A221),0)
- IFERROR(GETPIVOTDATA("Somma di AVERE",'Pivot RakBank EUR'!$A$3,"Mese",12,"Tipologia",$A221),0)
+IFERROR(GETPIVOTDATA("Somma di DARE",'Pivot Fineco Sa'!$A$3,"Mese",12,"Tipologia",$A221),0)
+ IFERROR(GETPIVOTDATA("Somma di DARE",'Pivot Fineco St'!$A$3,"Mese",12,"Tipologia",$A221),0)
+ Contanti!AT83
+ IFERROR(GETPIVOTDATA("Somma di DARE",'Pivot BBVA'!$A$3,"Mese",12,"Tipologia",$A221),0)
+ IFERROR(GETPIVOTDATA("Somma di DARE",'Pivot Amex'!$A$3,"Mese",12,"Tipologia",$A221),0)
- IFERROR(GETPIVOTDATA("Somma di AVERE",'Pivot Amex'!$A$3,"Mese",12,"Tipologia",$A221),0)
- IFERROR(GETPIVOTDATA("Somma di AVERE",'Pivot BBVA'!$A$3,"Mese",12,"Tipologia",$A221),0)
- IFERROR(GETPIVOTDATA("Somma di AVERE",'Pivot Fineco St'!$A$3,"Mese",12,"Tipologia",$A221),0)
- IFERROR(GETPIVOTDATA("Somma di AVERE",'Pivot Fineco Sa'!$A$3,"Mese",12,"Tipologia",$A221),0)
+ IFERROR(GETPIVOTDATA("Somma di DARE",'Pivot PP Visa'!$A$3,"Mese",12,"Tipologia",$A221),0)
- IFERROR(GETPIVOTDATA("Somma di AVERE",'Pivot PP Visa'!$A$3,"Mese",12,"Tipologia",$A221),0)
+ IFERROR(GETPIVOTDATA("Somma di DARE",'Pivot Revolut'!$A$3,"Mese",12,"Tipologia",$A221),0)
- IFERROR(GETPIVOTDATA("Somma di AVERE",'Pivot Revolut'!$A$3,"Mese",12,"Tipologia",$A221),0)</f>
        <v>0</v>
      </c>
      <c r="O221" s="252">
        <f t="shared" si="39"/>
        <v>404.95000000000005</v>
      </c>
      <c r="P221" s="243">
        <f t="shared" ca="1" si="40"/>
        <v>57.850000000000009</v>
      </c>
    </row>
    <row r="222" spans="1:16" s="125" customFormat="1" ht="21" customHeight="1" x14ac:dyDescent="0.2">
      <c r="A222" s="251" t="s">
        <v>84</v>
      </c>
      <c r="B222" s="251"/>
      <c r="C222" s="243">
        <f>IFERROR(GETPIVOTDATA("Somma di DARE EUR",'Pivot RakBank AED'!$A$3,"Mese",1,"Tipologia",$A222),0)
- IFERROR(GETPIVOTDATA("Somma di AVERE EUR",'Pivot RakBank AED'!$A$3,"Mese",1,"Tipologia",$A222),0)
+IFERROR(GETPIVOTDATA("Somma di DARE",'Pivot RakBank EUR'!$A$3,"Mese",1,"Tipologia",$A222),0)
- IFERROR(GETPIVOTDATA("Somma di AVERE",'Pivot RakBank EUR'!$A$3,"Mese",1,"Tipologia",$A222),0)
+IFERROR(GETPIVOTDATA("Somma di DARE",'Pivot Fineco Sa'!$A$3,"Mese",1,"Tipologia",$A222),0)
+ IFERROR(GETPIVOTDATA("Somma di DARE",'Pivot Fineco St'!$A$3,"Mese",1,"Tipologia",$A222),0)
+ Contanti!B84
+ IFERROR(GETPIVOTDATA("Somma di DARE",'Pivot BBVA'!$A$3,"Mese",1,"Tipologia",$A222),0)
+ IFERROR(GETPIVOTDATA("Somma di DARE",'Pivot Amex'!$A$3,"Mese",1,"Tipologia",$A222),0)
- IFERROR(GETPIVOTDATA("Somma di AVERE",'Pivot Amex'!$A$3,"Mese",1,"Tipologia",$A222),0)
- IFERROR(GETPIVOTDATA("Somma di AVERE",'Pivot BBVA'!$A$3,"Mese",1,"Tipologia",$A222),0)
- IFERROR(GETPIVOTDATA("Somma di AVERE",'Pivot Fineco St'!$A$3,"Mese",1,"Tipologia",$A222),0)
- IFERROR(GETPIVOTDATA("Somma di AVERE",'Pivot Fineco Sa'!$A$3,"Mese",1,"Tipologia",$A222),0)
+ IFERROR(GETPIVOTDATA("Somma di DARE",'Pivot PP Visa'!$A$3,"Mese",1,"Tipologia",$A222),0)
- IFERROR(GETPIVOTDATA("Somma di AVERE",'Pivot PP Visa'!$A$3,"Mese",1,"Tipologia",$A222),0)
+ IFERROR(GETPIVOTDATA("Somma di DARE",'Pivot Revolut'!$A$3,"Mese",1,"Tipologia",$A222),0)
- IFERROR(GETPIVOTDATA("Somma di AVERE",'Pivot Revolut'!$A$3,"Mese",1,"Tipologia",$A222),0)</f>
        <v>210</v>
      </c>
      <c r="D222" s="243">
        <f>IFERROR(GETPIVOTDATA("Somma di DARE EUR",'Pivot RakBank AED'!$A$3,"Mese",2,"Tipologia",$A222),0)
- IFERROR(GETPIVOTDATA("Somma di AVERE EUR",'Pivot RakBank AED'!$A$3,"Mese",2,"Tipologia",$A222),0)
+IFERROR(GETPIVOTDATA("Somma di DARE",'Pivot RakBank EUR'!$A$3,"Mese",2,"Tipologia",$A222),0)
- IFERROR(GETPIVOTDATA("Somma di AVERE",'Pivot RakBank EUR'!$A$3,"Mese",2,"Tipologia",$A222),0)
+IFERROR(GETPIVOTDATA("Somma di DARE",'Pivot Fineco Sa'!$A$3,"Mese",2,"Tipologia",$A222),0)
+ IFERROR(GETPIVOTDATA("Somma di DARE",'Pivot Fineco St'!$A$3,"Mese",2,"Tipologia",$A222),0)
+ Contanti!F84
+ IFERROR(GETPIVOTDATA("Somma di DARE",'Pivot BBVA'!$A$3,"Mese",2,"Tipologia",$A222),0)
+ IFERROR(GETPIVOTDATA("Somma di DARE",'Pivot Amex'!$A$3,"Mese",2,"Tipologia",$A222),0)
- IFERROR(GETPIVOTDATA("Somma di AVERE",'Pivot Amex'!$A$3,"Mese",2,"Tipologia",$A222),0)
- IFERROR(GETPIVOTDATA("Somma di AVERE",'Pivot BBVA'!$A$3,"Mese",2,"Tipologia",$A222),0)
- IFERROR(GETPIVOTDATA("Somma di AVERE",'Pivot Fineco St'!$A$3,"Mese",2,"Tipologia",$A222),0)
- IFERROR(GETPIVOTDATA("Somma di AVERE",'Pivot Fineco Sa'!$A$3,"Mese",2,"Tipologia",$A222),0)
+ IFERROR(GETPIVOTDATA("Somma di DARE",'Pivot PP Visa'!$A$3,"Mese",2,"Tipologia",$A222),0)
- IFERROR(GETPIVOTDATA("Somma di AVERE",'Pivot PP Visa'!$A$3,"Mese",2,"Tipologia",$A222),0)
+ IFERROR(GETPIVOTDATA("Somma di DARE",'Pivot Revolut'!$A$3,"Mese",2,"Tipologia",$A222),0)
- IFERROR(GETPIVOTDATA("Somma di AVERE",'Pivot Revolut'!$A$3,"Mese",2,"Tipologia",$A222),0)</f>
        <v>105</v>
      </c>
      <c r="E222" s="243">
        <f>IFERROR(GETPIVOTDATA("Somma di DARE EUR",'Pivot RakBank AED'!$A$3,"Mese",3,"Tipologia",$A222),0)
- IFERROR(GETPIVOTDATA("Somma di AVERE EUR",'Pivot RakBank AED'!$A$3,"Mese",3,"Tipologia",$A222),0)
+IFERROR(GETPIVOTDATA("Somma di DARE",'Pivot RakBank EUR'!$A$3,"Mese",3,"Tipologia",$A222),0)
- IFERROR(GETPIVOTDATA("Somma di AVERE",'Pivot RakBank EUR'!$A$3,"Mese",3,"Tipologia",$A222),0)
+IFERROR(GETPIVOTDATA("Somma di DARE",'Pivot Fineco Sa'!$A$3,"Mese",3,"Tipologia",$A222),0)
+ IFERROR(GETPIVOTDATA("Somma di DARE",'Pivot Fineco St'!$A$3,"Mese",3,"Tipologia",$A222),0)
+ Contanti!J84
+ IFERROR(GETPIVOTDATA("Somma di DARE",'Pivot BBVA'!$A$3,"Mese",3,"Tipologia",$A222),0)
+ IFERROR(GETPIVOTDATA("Somma di DARE",'Pivot Amex'!$A$3,"Mese",3,"Tipologia",$A222),0)
- IFERROR(GETPIVOTDATA("Somma di AVERE",'Pivot Amex'!$A$3,"Mese",3,"Tipologia",$A222),0)
- IFERROR(GETPIVOTDATA("Somma di AVERE",'Pivot BBVA'!$A$3,"Mese",3,"Tipologia",$A222),0)
- IFERROR(GETPIVOTDATA("Somma di AVERE",'Pivot Fineco St'!$A$3,"Mese",3,"Tipologia",$A222),0)
- IFERROR(GETPIVOTDATA("Somma di AVERE",'Pivot Fineco Sa'!$A$3,"Mese",3,"Tipologia",$A222),0)
+ IFERROR(GETPIVOTDATA("Somma di DARE",'Pivot PP Visa'!$A$3,"Mese",3,"Tipologia",$A222),0)
- IFERROR(GETPIVOTDATA("Somma di AVERE",'Pivot PP Visa'!$A$3,"Mese",3,"Tipologia",$A222),0)
+ IFERROR(GETPIVOTDATA("Somma di DARE",'Pivot Revolut'!$A$3,"Mese",3,"Tipologia",$A222),0)
- IFERROR(GETPIVOTDATA("Somma di AVERE",'Pivot Revolut'!$A$3,"Mese",3,"Tipologia",$A222),0)</f>
        <v>115</v>
      </c>
      <c r="F222" s="243">
        <f>IFERROR(GETPIVOTDATA("Somma di DARE EUR",'Pivot RakBank AED'!$A$3,"Mese",4,"Tipologia",$A222),0)
- IFERROR(GETPIVOTDATA("Somma di AVERE EUR",'Pivot RakBank AED'!$A$3,"Mese",4,"Tipologia",$A222),0)
+IFERROR(GETPIVOTDATA("Somma di DARE",'Pivot RakBank EUR'!$A$3,"Mese",4,"Tipologia",$A222),0)
- IFERROR(GETPIVOTDATA("Somma di AVERE",'Pivot RakBank EUR'!$A$3,"Mese",4,"Tipologia",$A222),0)
+IFERROR(GETPIVOTDATA("Somma di DARE",'Pivot Fineco Sa'!$A$3,"Mese",4,"Tipologia",$A222),0)
+ IFERROR(GETPIVOTDATA("Somma di DARE",'Pivot Fineco St'!$A$3,"Mese",4,"Tipologia",$A222),0)
+ Contanti!N84
+ IFERROR(GETPIVOTDATA("Somma di DARE",'Pivot BBVA'!$A$3,"Mese",4,"Tipologia",$A222),0)
+ IFERROR(GETPIVOTDATA("Somma di DARE",'Pivot Amex'!$A$3,"Mese",4,"Tipologia",$A222),0)
- IFERROR(GETPIVOTDATA("Somma di AVERE",'Pivot Amex'!$A$3,"Mese",4,"Tipologia",$A222),0)
- IFERROR(GETPIVOTDATA("Somma di AVERE",'Pivot BBVA'!$A$3,"Mese",4,"Tipologia",$A222),0)
- IFERROR(GETPIVOTDATA("Somma di AVERE",'Pivot Fineco St'!$A$3,"Mese",4,"Tipologia",$A222),0)
- IFERROR(GETPIVOTDATA("Somma di AVERE",'Pivot Fineco Sa'!$A$3,"Mese",4,"Tipologia",$A222),0)
+ IFERROR(GETPIVOTDATA("Somma di DARE",'Pivot PP Visa'!$A$3,"Mese",4,"Tipologia",$A222),0)
- IFERROR(GETPIVOTDATA("Somma di AVERE",'Pivot PP Visa'!$A$3,"Mese",4,"Tipologia",$A222),0)
+ IFERROR(GETPIVOTDATA("Somma di DARE",'Pivot Revolut'!$A$3,"Mese",4,"Tipologia",$A222),0)
- IFERROR(GETPIVOTDATA("Somma di AVERE",'Pivot Revolut'!$A$3,"Mese",4,"Tipologia",$A222),0)</f>
        <v>145</v>
      </c>
      <c r="G222" s="243">
        <f>IFERROR(GETPIVOTDATA("Somma di DARE EUR",'Pivot RakBank AED'!$A$3,"Mese",5,"Tipologia",$A222),0)
- IFERROR(GETPIVOTDATA("Somma di AVERE EUR",'Pivot RakBank AED'!$A$3,"Mese",5,"Tipologia",$A222),0)
+IFERROR(GETPIVOTDATA("Somma di DARE",'Pivot RakBank EUR'!$A$3,"Mese",5,"Tipologia",$A222),0)
- IFERROR(GETPIVOTDATA("Somma di AVERE",'Pivot RakBank EUR'!$A$3,"Mese",5,"Tipologia",$A222),0)
+IFERROR(GETPIVOTDATA("Somma di DARE",'Pivot Fineco Sa'!$A$3,"Mese",5,"Tipologia",$A222),0)
+ IFERROR(GETPIVOTDATA("Somma di DARE",'Pivot Fineco St'!$A$3,"Mese",5,"Tipologia",$A222),0)
+ Contanti!R84
+ IFERROR(GETPIVOTDATA("Somma di DARE",'Pivot BBVA'!$A$3,"Mese",5,"Tipologia",$A222),0)
+ IFERROR(GETPIVOTDATA("Somma di DARE",'Pivot Amex'!$A$3,"Mese",5,"Tipologia",$A222),0)
- IFERROR(GETPIVOTDATA("Somma di AVERE",'Pivot Amex'!$A$3,"Mese",5,"Tipologia",$A222),0)
- IFERROR(GETPIVOTDATA("Somma di AVERE",'Pivot BBVA'!$A$3,"Mese",5,"Tipologia",$A222),0)
- IFERROR(GETPIVOTDATA("Somma di AVERE",'Pivot Fineco St'!$A$3,"Mese",5,"Tipologia",$A222),0)
- IFERROR(GETPIVOTDATA("Somma di AVERE",'Pivot Fineco Sa'!$A$3,"Mese",5,"Tipologia",$A222),0)
+ IFERROR(GETPIVOTDATA("Somma di DARE",'Pivot PP Visa'!$A$3,"Mese",5,"Tipologia",$A222),0)
- IFERROR(GETPIVOTDATA("Somma di AVERE",'Pivot PP Visa'!$A$3,"Mese",5,"Tipologia",$A222),0)
+ IFERROR(GETPIVOTDATA("Somma di DARE",'Pivot Revolut'!$A$3,"Mese",5,"Tipologia",$A222),0)
- IFERROR(GETPIVOTDATA("Somma di AVERE",'Pivot Revolut'!$A$3,"Mese",5,"Tipologia",$A222),0)</f>
        <v>100</v>
      </c>
      <c r="H222" s="243">
        <f>IFERROR(GETPIVOTDATA("Somma di DARE EUR",'Pivot RakBank AED'!$A$3,"Mese",6,"Tipologia",$A222),0)
- IFERROR(GETPIVOTDATA("Somma di AVERE EUR",'Pivot RakBank AED'!$A$3,"Mese",6,"Tipologia",$A222),0)
+IFERROR(GETPIVOTDATA("Somma di DARE",'Pivot RakBank EUR'!$A$3,"Mese",6,"Tipologia",$A222),0)
- IFERROR(GETPIVOTDATA("Somma di AVERE",'Pivot RakBank EUR'!$A$3,"Mese",6,"Tipologia",$A222),0)
+IFERROR(GETPIVOTDATA("Somma di DARE",'Pivot Fineco Sa'!$A$3,"Mese",6,"Tipologia",$A222),0)
+ IFERROR(GETPIVOTDATA("Somma di DARE",'Pivot Fineco St'!$A$3,"Mese",6,"Tipologia",$A222),0)
+ Contanti!V84
+ IFERROR(GETPIVOTDATA("Somma di DARE",'Pivot BBVA'!$A$3,"Mese",6,"Tipologia",$A222),0)
+ IFERROR(GETPIVOTDATA("Somma di DARE",'Pivot Amex'!$A$3,"Mese",6,"Tipologia",$A222),0)
- IFERROR(GETPIVOTDATA("Somma di AVERE",'Pivot Amex'!$A$3,"Mese",6,"Tipologia",$A222),0)
- IFERROR(GETPIVOTDATA("Somma di AVERE",'Pivot BBVA'!$A$3,"Mese",6,"Tipologia",$A222),0)
- IFERROR(GETPIVOTDATA("Somma di AVERE",'Pivot Fineco St'!$A$3,"Mese",6,"Tipologia",$A222),0)
- IFERROR(GETPIVOTDATA("Somma di AVERE",'Pivot Fineco Sa'!$A$3,"Mese",6,"Tipologia",$A222),0)
+ IFERROR(GETPIVOTDATA("Somma di DARE",'Pivot PP Visa'!$A$3,"Mese",6,"Tipologia",$A222),0)
- IFERROR(GETPIVOTDATA("Somma di AVERE",'Pivot PP Visa'!$A$3,"Mese",6,"Tipologia",$A222),0)
+ IFERROR(GETPIVOTDATA("Somma di DARE",'Pivot Revolut'!$A$3,"Mese",6,"Tipologia",$A222),0)
- IFERROR(GETPIVOTDATA("Somma di AVERE",'Pivot Revolut'!$A$3,"Mese",6,"Tipologia",$A222),0)</f>
        <v>100</v>
      </c>
      <c r="I222" s="243">
        <f>IFERROR(GETPIVOTDATA("Somma di DARE EUR",'Pivot RakBank AED'!$A$3,"Mese",7,"Tipologia",$A222),0)
- IFERROR(GETPIVOTDATA("Somma di AVERE EUR",'Pivot RakBank AED'!$A$3,"Mese",7,"Tipologia",$A222),0)
+IFERROR(GETPIVOTDATA("Somma di DARE",'Pivot RakBank EUR'!$A$3,"Mese",7,"Tipologia",$A222),0)
- IFERROR(GETPIVOTDATA("Somma di AVERE",'Pivot RakBank EUR'!$A$3,"Mese",7,"Tipologia",$A222),0)
+IFERROR(GETPIVOTDATA("Somma di DARE",'Pivot Fineco Sa'!$A$3,"Mese",7,"Tipologia",$A222),0)
+ IFERROR(GETPIVOTDATA("Somma di DARE",'Pivot Fineco St'!$A$3,"Mese",7,"Tipologia",$A222),0)
+ Contanti!Z84
+ IFERROR(GETPIVOTDATA("Somma di DARE",'Pivot BBVA'!$A$3,"Mese",7,"Tipologia",$A222),0)
+ IFERROR(GETPIVOTDATA("Somma di DARE",'Pivot Amex'!$A$3,"Mese",7,"Tipologia",$A222),0)
- IFERROR(GETPIVOTDATA("Somma di AVERE",'Pivot Amex'!$A$3,"Mese",7,"Tipologia",$A222),0)
- IFERROR(GETPIVOTDATA("Somma di AVERE",'Pivot BBVA'!$A$3,"Mese",7,"Tipologia",$A222),0)
- IFERROR(GETPIVOTDATA("Somma di AVERE",'Pivot Fineco St'!$A$3,"Mese",7,"Tipologia",$A222),0)
- IFERROR(GETPIVOTDATA("Somma di AVERE",'Pivot Fineco Sa'!$A$3,"Mese",7,"Tipologia",$A222),0)
+ IFERROR(GETPIVOTDATA("Somma di DARE",'Pivot PP Visa'!$A$3,"Mese",7,"Tipologia",$A222),0)
- IFERROR(GETPIVOTDATA("Somma di AVERE",'Pivot PP Visa'!$A$3,"Mese",7,"Tipologia",$A222),0)
+ IFERROR(GETPIVOTDATA("Somma di DARE",'Pivot Revolut'!$A$3,"Mese",7,"Tipologia",$A222),0)
- IFERROR(GETPIVOTDATA("Somma di AVERE",'Pivot Revolut'!$A$3,"Mese",7,"Tipologia",$A222),0)</f>
        <v>105</v>
      </c>
      <c r="J222" s="243">
        <f>IFERROR(GETPIVOTDATA("Somma di DARE EUR",'Pivot RakBank AED'!$A$3,"Mese",8,"Tipologia",$A222),0)
- IFERROR(GETPIVOTDATA("Somma di AVERE EUR",'Pivot RakBank AED'!$A$3,"Mese",8,"Tipologia",$A222),0)
+IFERROR(GETPIVOTDATA("Somma di DARE",'Pivot RakBank EUR'!$A$3,"Mese",8,"Tipologia",$A222),0)
- IFERROR(GETPIVOTDATA("Somma di AVERE",'Pivot RakBank EUR'!$A$3,"Mese",8,"Tipologia",$A222),0)
+IFERROR(GETPIVOTDATA("Somma di DARE",'Pivot Fineco Sa'!$A$3,"Mese",8,"Tipologia",$A222),0)
+ IFERROR(GETPIVOTDATA("Somma di DARE",'Pivot Fineco St'!$A$3,"Mese",8,"Tipologia",$A222),0)
+ Contanti!AD84
+ IFERROR(GETPIVOTDATA("Somma di DARE",'Pivot BBVA'!$A$3,"Mese",8,"Tipologia",$A222),0)
+ IFERROR(GETPIVOTDATA("Somma di DARE",'Pivot Amex'!$A$3,"Mese",8,"Tipologia",$A222),0)
- IFERROR(GETPIVOTDATA("Somma di AVERE",'Pivot Amex'!$A$3,"Mese",8,"Tipologia",$A222),0)
- IFERROR(GETPIVOTDATA("Somma di AVERE",'Pivot BBVA'!$A$3,"Mese",8,"Tipologia",$A222),0)
- IFERROR(GETPIVOTDATA("Somma di AVERE",'Pivot Fineco St'!$A$3,"Mese",8,"Tipologia",$A222),0)
- IFERROR(GETPIVOTDATA("Somma di AVERE",'Pivot Fineco Sa'!$A$3,"Mese",8,"Tipologia",$A222),0)
+ IFERROR(GETPIVOTDATA("Somma di DARE",'Pivot PP Visa'!$A$3,"Mese",8,"Tipologia",$A222),0)
- IFERROR(GETPIVOTDATA("Somma di AVERE",'Pivot PP Visa'!$A$3,"Mese",8,"Tipologia",$A222),0)
+ IFERROR(GETPIVOTDATA("Somma di DARE",'Pivot Revolut'!$A$3,"Mese",8,"Tipologia",$A222),0)
- IFERROR(GETPIVOTDATA("Somma di AVERE",'Pivot Revolut'!$A$3,"Mese",8,"Tipologia",$A222),0)</f>
        <v>0</v>
      </c>
      <c r="K222" s="243">
        <f>IFERROR(GETPIVOTDATA("Somma di DARE EUR",'Pivot RakBank AED'!$A$3,"Mese",9,"Tipologia",$A222),0)
- IFERROR(GETPIVOTDATA("Somma di AVERE EUR",'Pivot RakBank AED'!$A$3,"Mese",9,"Tipologia",$A222),0)
+IFERROR(GETPIVOTDATA("Somma di DARE",'Pivot RakBank EUR'!$A$3,"Mese",9,"Tipologia",$A222),0)
- IFERROR(GETPIVOTDATA("Somma di AVERE",'Pivot RakBank EUR'!$A$3,"Mese",9,"Tipologia",$A222),0)
+IFERROR(GETPIVOTDATA("Somma di DARE",'Pivot Fineco Sa'!$A$3,"Mese",9,"Tipologia",$A222),0)
+ IFERROR(GETPIVOTDATA("Somma di DARE",'Pivot Fineco St'!$A$3,"Mese",9,"Tipologia",$A222),0)
+ Contanti!AH84
+ IFERROR(GETPIVOTDATA("Somma di DARE",'Pivot BBVA'!$A$3,"Mese",9,"Tipologia",$A222),0)
+ IFERROR(GETPIVOTDATA("Somma di DARE",'Pivot Amex'!$A$3,"Mese",9,"Tipologia",$A222),0)
- IFERROR(GETPIVOTDATA("Somma di AVERE",'Pivot Amex'!$A$3,"Mese",9,"Tipologia",$A222),0)
- IFERROR(GETPIVOTDATA("Somma di AVERE",'Pivot BBVA'!$A$3,"Mese",9,"Tipologia",$A222),0)
- IFERROR(GETPIVOTDATA("Somma di AVERE",'Pivot Fineco St'!$A$3,"Mese",9,"Tipologia",$A222),0)
- IFERROR(GETPIVOTDATA("Somma di AVERE",'Pivot Fineco Sa'!$A$3,"Mese",9,"Tipologia",$A222),0)
+ IFERROR(GETPIVOTDATA("Somma di DARE",'Pivot PP Visa'!$A$3,"Mese",9,"Tipologia",$A222),0)
- IFERROR(GETPIVOTDATA("Somma di AVERE",'Pivot PP Visa'!$A$3,"Mese",9,"Tipologia",$A222),0)
+ IFERROR(GETPIVOTDATA("Somma di DARE",'Pivot Revolut'!$A$3,"Mese",9,"Tipologia",$A222),0)
- IFERROR(GETPIVOTDATA("Somma di AVERE",'Pivot Revolut'!$A$3,"Mese",9,"Tipologia",$A222),0)</f>
        <v>0</v>
      </c>
      <c r="L222" s="243">
        <f>IFERROR(GETPIVOTDATA("Somma di DARE EUR",'Pivot RakBank AED'!$A$3,"Mese",10,"Tipologia",$A222),0)
- IFERROR(GETPIVOTDATA("Somma di AVERE EUR",'Pivot RakBank AED'!$A$3,"Mese",10,"Tipologia",$A222),0)
+IFERROR(GETPIVOTDATA("Somma di DARE",'Pivot RakBank EUR'!$A$3,"Mese",10,"Tipologia",$A222),0)
- IFERROR(GETPIVOTDATA("Somma di AVERE",'Pivot RakBank EUR'!$A$3,"Mese",10,"Tipologia",$A222),0)
+IFERROR(GETPIVOTDATA("Somma di DARE",'Pivot Fineco Sa'!$A$3,"Mese",10,"Tipologia",$A222),0)
+ IFERROR(GETPIVOTDATA("Somma di DARE",'Pivot Fineco St'!$A$3,"Mese",10,"Tipologia",$A222),0)
+ Contanti!AL84
+ IFERROR(GETPIVOTDATA("Somma di DARE",'Pivot BBVA'!$A$3,"Mese",10,"Tipologia",$A222),0)
+ IFERROR(GETPIVOTDATA("Somma di DARE",'Pivot Amex'!$A$3,"Mese",10,"Tipologia",$A222),0)
- IFERROR(GETPIVOTDATA("Somma di AVERE",'Pivot Amex'!$A$3,"Mese",10,"Tipologia",$A222),0)
- IFERROR(GETPIVOTDATA("Somma di AVERE",'Pivot BBVA'!$A$3,"Mese",10,"Tipologia",$A222),0)
- IFERROR(GETPIVOTDATA("Somma di AVERE",'Pivot Fineco St'!$A$3,"Mese",10,"Tipologia",$A222),0)
- IFERROR(GETPIVOTDATA("Somma di AVERE",'Pivot Fineco Sa'!$A$3,"Mese",10,"Tipologia",$A222),0)
+ IFERROR(GETPIVOTDATA("Somma di DARE",'Pivot PP Visa'!$A$3,"Mese",10,"Tipologia",$A222),0)
- IFERROR(GETPIVOTDATA("Somma di AVERE",'Pivot PP Visa'!$A$3,"Mese",10,"Tipologia",$A222),0)
+ IFERROR(GETPIVOTDATA("Somma di DARE",'Pivot Revolut'!$A$3,"Mese",10,"Tipologia",$A222),0)
- IFERROR(GETPIVOTDATA("Somma di AVERE",'Pivot Revolut'!$A$3,"Mese",10,"Tipologia",$A222),0)</f>
        <v>0</v>
      </c>
      <c r="M222" s="243">
        <f>IFERROR(GETPIVOTDATA("Somma di DARE EUR",'Pivot RakBank AED'!$A$3,"Mese",11,"Tipologia",$A222),0)
- IFERROR(GETPIVOTDATA("Somma di AVERE EUR",'Pivot RakBank AED'!$A$3,"Mese",11,"Tipologia",$A222),0)
+IFERROR(GETPIVOTDATA("Somma di DARE",'Pivot RakBank EUR'!$A$3,"Mese",11,"Tipologia",$A222),0)
- IFERROR(GETPIVOTDATA("Somma di AVERE",'Pivot RakBank EUR'!$A$3,"Mese",11,"Tipologia",$A222),0)
+IFERROR(GETPIVOTDATA("Somma di DARE",'Pivot Fineco Sa'!$A$3,"Mese",11,"Tipologia",$A222),0)
+ IFERROR(GETPIVOTDATA("Somma di DARE",'Pivot Fineco St'!$A$3,"Mese",11,"Tipologia",$A222),0)
+ Contanti!AP84
+ IFERROR(GETPIVOTDATA("Somma di DARE",'Pivot BBVA'!$A$3,"Mese",11,"Tipologia",$A222),0)
+ IFERROR(GETPIVOTDATA("Somma di DARE",'Pivot Amex'!$A$3,"Mese",11,"Tipologia",$A222),0)
- IFERROR(GETPIVOTDATA("Somma di AVERE",'Pivot Amex'!$A$3,"Mese",11,"Tipologia",$A222),0)
- IFERROR(GETPIVOTDATA("Somma di AVERE",'Pivot BBVA'!$A$3,"Mese",11,"Tipologia",$A222),0)
- IFERROR(GETPIVOTDATA("Somma di AVERE",'Pivot Fineco St'!$A$3,"Mese",11,"Tipologia",$A222),0)
- IFERROR(GETPIVOTDATA("Somma di AVERE",'Pivot Fineco Sa'!$A$3,"Mese",11,"Tipologia",$A222),0)
+ IFERROR(GETPIVOTDATA("Somma di DARE",'Pivot PP Visa'!$A$3,"Mese",11,"Tipologia",$A222),0)
- IFERROR(GETPIVOTDATA("Somma di AVERE",'Pivot PP Visa'!$A$3,"Mese",11,"Tipologia",$A222),0)
+ IFERROR(GETPIVOTDATA("Somma di DARE",'Pivot Revolut'!$A$3,"Mese",11,"Tipologia",$A222),0)
- IFERROR(GETPIVOTDATA("Somma di AVERE",'Pivot Revolut'!$A$3,"Mese",11,"Tipologia",$A222),0)</f>
        <v>0</v>
      </c>
      <c r="N222" s="243">
        <f>IFERROR(GETPIVOTDATA("Somma di DARE EUR",'Pivot RakBank AED'!$A$3,"Mese",12,"Tipologia",$A222),0)
- IFERROR(GETPIVOTDATA("Somma di AVERE EUR",'Pivot RakBank AED'!$A$3,"Mese",12,"Tipologia",$A222),0)
+IFERROR(GETPIVOTDATA("Somma di DARE",'Pivot RakBank EUR'!$A$3,"Mese",12,"Tipologia",$A222),0)
- IFERROR(GETPIVOTDATA("Somma di AVERE",'Pivot RakBank EUR'!$A$3,"Mese",12,"Tipologia",$A222),0)
+IFERROR(GETPIVOTDATA("Somma di DARE",'Pivot Fineco Sa'!$A$3,"Mese",12,"Tipologia",$A222),0)
+ IFERROR(GETPIVOTDATA("Somma di DARE",'Pivot Fineco St'!$A$3,"Mese",12,"Tipologia",$A222),0)
+ Contanti!AT84
+ IFERROR(GETPIVOTDATA("Somma di DARE",'Pivot BBVA'!$A$3,"Mese",12,"Tipologia",$A222),0)
+ IFERROR(GETPIVOTDATA("Somma di DARE",'Pivot Amex'!$A$3,"Mese",12,"Tipologia",$A222),0)
- IFERROR(GETPIVOTDATA("Somma di AVERE",'Pivot Amex'!$A$3,"Mese",12,"Tipologia",$A222),0)
- IFERROR(GETPIVOTDATA("Somma di AVERE",'Pivot BBVA'!$A$3,"Mese",12,"Tipologia",$A222),0)
- IFERROR(GETPIVOTDATA("Somma di AVERE",'Pivot Fineco St'!$A$3,"Mese",12,"Tipologia",$A222),0)
- IFERROR(GETPIVOTDATA("Somma di AVERE",'Pivot Fineco Sa'!$A$3,"Mese",12,"Tipologia",$A222),0)
+ IFERROR(GETPIVOTDATA("Somma di DARE",'Pivot PP Visa'!$A$3,"Mese",12,"Tipologia",$A222),0)
- IFERROR(GETPIVOTDATA("Somma di AVERE",'Pivot PP Visa'!$A$3,"Mese",12,"Tipologia",$A222),0)
+ IFERROR(GETPIVOTDATA("Somma di DARE",'Pivot Revolut'!$A$3,"Mese",12,"Tipologia",$A222),0)
- IFERROR(GETPIVOTDATA("Somma di AVERE",'Pivot Revolut'!$A$3,"Mese",12,"Tipologia",$A222),0)</f>
        <v>0</v>
      </c>
      <c r="O222" s="252">
        <f t="shared" si="39"/>
        <v>880</v>
      </c>
      <c r="P222" s="243">
        <f t="shared" ca="1" si="40"/>
        <v>125.71428571428571</v>
      </c>
    </row>
    <row r="223" spans="1:16" s="125" customFormat="1" ht="21" customHeight="1" x14ac:dyDescent="0.2">
      <c r="A223" s="251" t="s">
        <v>83</v>
      </c>
      <c r="B223" s="251"/>
      <c r="C223" s="243">
        <f>IFERROR(GETPIVOTDATA("Somma di DARE EUR",'Pivot RakBank AED'!$A$3,"Mese",1,"Tipologia",$A223),0)
- IFERROR(GETPIVOTDATA("Somma di AVERE EUR",'Pivot RakBank AED'!$A$3,"Mese",1,"Tipologia",$A223),0)
+IFERROR(GETPIVOTDATA("Somma di DARE",'Pivot RakBank EUR'!$A$3,"Mese",1,"Tipologia",$A223),0)
- IFERROR(GETPIVOTDATA("Somma di AVERE",'Pivot RakBank EUR'!$A$3,"Mese",1,"Tipologia",$A223),0)
+IFERROR(GETPIVOTDATA("Somma di DARE",'Pivot Fineco Sa'!$A$3,"Mese",1,"Tipologia",$A223),0)
+ IFERROR(GETPIVOTDATA("Somma di DARE",'Pivot Fineco St'!$A$3,"Mese",1,"Tipologia",$A223),0)
+ Contanti!B85
+ IFERROR(GETPIVOTDATA("Somma di DARE",'Pivot BBVA'!$A$3,"Mese",1,"Tipologia",$A223),0)
+ IFERROR(GETPIVOTDATA("Somma di DARE",'Pivot Amex'!$A$3,"Mese",1,"Tipologia",$A223),0)
- IFERROR(GETPIVOTDATA("Somma di AVERE",'Pivot Amex'!$A$3,"Mese",1,"Tipologia",$A223),0)
- IFERROR(GETPIVOTDATA("Somma di AVERE",'Pivot BBVA'!$A$3,"Mese",1,"Tipologia",$A223),0)
- IFERROR(GETPIVOTDATA("Somma di AVERE",'Pivot Fineco St'!$A$3,"Mese",1,"Tipologia",$A223),0)
- IFERROR(GETPIVOTDATA("Somma di AVERE",'Pivot Fineco Sa'!$A$3,"Mese",1,"Tipologia",$A223),0)
+ IFERROR(GETPIVOTDATA("Somma di DARE",'Pivot PP Visa'!$A$3,"Mese",1,"Tipologia",$A223),0)
- IFERROR(GETPIVOTDATA("Somma di AVERE",'Pivot PP Visa'!$A$3,"Mese",1,"Tipologia",$A223),0)
+ IFERROR(GETPIVOTDATA("Somma di DARE",'Pivot Revolut'!$A$3,"Mese",1,"Tipologia",$A223),0)
- IFERROR(GETPIVOTDATA("Somma di AVERE",'Pivot Revolut'!$A$3,"Mese",1,"Tipologia",$A223),0)</f>
        <v>99</v>
      </c>
      <c r="D223" s="243">
        <f>IFERROR(GETPIVOTDATA("Somma di DARE EUR",'Pivot RakBank AED'!$A$3,"Mese",2,"Tipologia",$A223),0)
- IFERROR(GETPIVOTDATA("Somma di AVERE EUR",'Pivot RakBank AED'!$A$3,"Mese",2,"Tipologia",$A223),0)
+IFERROR(GETPIVOTDATA("Somma di DARE",'Pivot RakBank EUR'!$A$3,"Mese",2,"Tipologia",$A223),0)
- IFERROR(GETPIVOTDATA("Somma di AVERE",'Pivot RakBank EUR'!$A$3,"Mese",2,"Tipologia",$A223),0)
+IFERROR(GETPIVOTDATA("Somma di DARE",'Pivot Fineco Sa'!$A$3,"Mese",2,"Tipologia",$A223),0)
+ IFERROR(GETPIVOTDATA("Somma di DARE",'Pivot Fineco St'!$A$3,"Mese",2,"Tipologia",$A223),0)
+ Contanti!F85
+ IFERROR(GETPIVOTDATA("Somma di DARE",'Pivot BBVA'!$A$3,"Mese",2,"Tipologia",$A223),0)
+ IFERROR(GETPIVOTDATA("Somma di DARE",'Pivot Amex'!$A$3,"Mese",2,"Tipologia",$A223),0)
- IFERROR(GETPIVOTDATA("Somma di AVERE",'Pivot Amex'!$A$3,"Mese",2,"Tipologia",$A223),0)
- IFERROR(GETPIVOTDATA("Somma di AVERE",'Pivot BBVA'!$A$3,"Mese",2,"Tipologia",$A223),0)
- IFERROR(GETPIVOTDATA("Somma di AVERE",'Pivot Fineco St'!$A$3,"Mese",2,"Tipologia",$A223),0)
- IFERROR(GETPIVOTDATA("Somma di AVERE",'Pivot Fineco Sa'!$A$3,"Mese",2,"Tipologia",$A223),0)
+ IFERROR(GETPIVOTDATA("Somma di DARE",'Pivot PP Visa'!$A$3,"Mese",2,"Tipologia",$A223),0)
- IFERROR(GETPIVOTDATA("Somma di AVERE",'Pivot PP Visa'!$A$3,"Mese",2,"Tipologia",$A223),0)
+ IFERROR(GETPIVOTDATA("Somma di DARE",'Pivot Revolut'!$A$3,"Mese",2,"Tipologia",$A223),0)
- IFERROR(GETPIVOTDATA("Somma di AVERE",'Pivot Revolut'!$A$3,"Mese",2,"Tipologia",$A223),0)</f>
        <v>1875.99</v>
      </c>
      <c r="E223" s="243">
        <f>IFERROR(GETPIVOTDATA("Somma di DARE EUR",'Pivot RakBank AED'!$A$3,"Mese",3,"Tipologia",$A223),0)
- IFERROR(GETPIVOTDATA("Somma di AVERE EUR",'Pivot RakBank AED'!$A$3,"Mese",3,"Tipologia",$A223),0)
+IFERROR(GETPIVOTDATA("Somma di DARE",'Pivot RakBank EUR'!$A$3,"Mese",3,"Tipologia",$A223),0)
- IFERROR(GETPIVOTDATA("Somma di AVERE",'Pivot RakBank EUR'!$A$3,"Mese",3,"Tipologia",$A223),0)
+IFERROR(GETPIVOTDATA("Somma di DARE",'Pivot Fineco Sa'!$A$3,"Mese",3,"Tipologia",$A223),0)
+ IFERROR(GETPIVOTDATA("Somma di DARE",'Pivot Fineco St'!$A$3,"Mese",3,"Tipologia",$A223),0)
+ Contanti!J85
+ IFERROR(GETPIVOTDATA("Somma di DARE",'Pivot BBVA'!$A$3,"Mese",3,"Tipologia",$A223),0)
+ IFERROR(GETPIVOTDATA("Somma di DARE",'Pivot Amex'!$A$3,"Mese",3,"Tipologia",$A223),0)
- IFERROR(GETPIVOTDATA("Somma di AVERE",'Pivot Amex'!$A$3,"Mese",3,"Tipologia",$A223),0)
- IFERROR(GETPIVOTDATA("Somma di AVERE",'Pivot BBVA'!$A$3,"Mese",3,"Tipologia",$A223),0)
- IFERROR(GETPIVOTDATA("Somma di AVERE",'Pivot Fineco St'!$A$3,"Mese",3,"Tipologia",$A223),0)
- IFERROR(GETPIVOTDATA("Somma di AVERE",'Pivot Fineco Sa'!$A$3,"Mese",3,"Tipologia",$A223),0)
+ IFERROR(GETPIVOTDATA("Somma di DARE",'Pivot PP Visa'!$A$3,"Mese",3,"Tipologia",$A223),0)
- IFERROR(GETPIVOTDATA("Somma di AVERE",'Pivot PP Visa'!$A$3,"Mese",3,"Tipologia",$A223),0)
+ IFERROR(GETPIVOTDATA("Somma di DARE",'Pivot Revolut'!$A$3,"Mese",3,"Tipologia",$A223),0)
- IFERROR(GETPIVOTDATA("Somma di AVERE",'Pivot Revolut'!$A$3,"Mese",3,"Tipologia",$A223),0)</f>
        <v>334</v>
      </c>
      <c r="F223" s="243">
        <f>IFERROR(GETPIVOTDATA("Somma di DARE EUR",'Pivot RakBank AED'!$A$3,"Mese",4,"Tipologia",$A223),0)
- IFERROR(GETPIVOTDATA("Somma di AVERE EUR",'Pivot RakBank AED'!$A$3,"Mese",4,"Tipologia",$A223),0)
+IFERROR(GETPIVOTDATA("Somma di DARE",'Pivot RakBank EUR'!$A$3,"Mese",4,"Tipologia",$A223),0)
- IFERROR(GETPIVOTDATA("Somma di AVERE",'Pivot RakBank EUR'!$A$3,"Mese",4,"Tipologia",$A223),0)
+IFERROR(GETPIVOTDATA("Somma di DARE",'Pivot Fineco Sa'!$A$3,"Mese",4,"Tipologia",$A223),0)
+ IFERROR(GETPIVOTDATA("Somma di DARE",'Pivot Fineco St'!$A$3,"Mese",4,"Tipologia",$A223),0)
+ Contanti!N85
+ IFERROR(GETPIVOTDATA("Somma di DARE",'Pivot BBVA'!$A$3,"Mese",4,"Tipologia",$A223),0)
+ IFERROR(GETPIVOTDATA("Somma di DARE",'Pivot Amex'!$A$3,"Mese",4,"Tipologia",$A223),0)
- IFERROR(GETPIVOTDATA("Somma di AVERE",'Pivot Amex'!$A$3,"Mese",4,"Tipologia",$A223),0)
- IFERROR(GETPIVOTDATA("Somma di AVERE",'Pivot BBVA'!$A$3,"Mese",4,"Tipologia",$A223),0)
- IFERROR(GETPIVOTDATA("Somma di AVERE",'Pivot Fineco St'!$A$3,"Mese",4,"Tipologia",$A223),0)
- IFERROR(GETPIVOTDATA("Somma di AVERE",'Pivot Fineco Sa'!$A$3,"Mese",4,"Tipologia",$A223),0)
+ IFERROR(GETPIVOTDATA("Somma di DARE",'Pivot PP Visa'!$A$3,"Mese",4,"Tipologia",$A223),0)
- IFERROR(GETPIVOTDATA("Somma di AVERE",'Pivot PP Visa'!$A$3,"Mese",4,"Tipologia",$A223),0)
+ IFERROR(GETPIVOTDATA("Somma di DARE",'Pivot Revolut'!$A$3,"Mese",4,"Tipologia",$A223),0)
- IFERROR(GETPIVOTDATA("Somma di AVERE",'Pivot Revolut'!$A$3,"Mese",4,"Tipologia",$A223),0)</f>
        <v>99</v>
      </c>
      <c r="G223" s="243">
        <f>IFERROR(GETPIVOTDATA("Somma di DARE EUR",'Pivot RakBank AED'!$A$3,"Mese",5,"Tipologia",$A223),0)
- IFERROR(GETPIVOTDATA("Somma di AVERE EUR",'Pivot RakBank AED'!$A$3,"Mese",5,"Tipologia",$A223),0)
+IFERROR(GETPIVOTDATA("Somma di DARE",'Pivot RakBank EUR'!$A$3,"Mese",5,"Tipologia",$A223),0)
- IFERROR(GETPIVOTDATA("Somma di AVERE",'Pivot RakBank EUR'!$A$3,"Mese",5,"Tipologia",$A223),0)
+IFERROR(GETPIVOTDATA("Somma di DARE",'Pivot Fineco Sa'!$A$3,"Mese",5,"Tipologia",$A223),0)
+ IFERROR(GETPIVOTDATA("Somma di DARE",'Pivot Fineco St'!$A$3,"Mese",5,"Tipologia",$A223),0)
+ Contanti!R85
+ IFERROR(GETPIVOTDATA("Somma di DARE",'Pivot BBVA'!$A$3,"Mese",5,"Tipologia",$A223),0)
+ IFERROR(GETPIVOTDATA("Somma di DARE",'Pivot Amex'!$A$3,"Mese",5,"Tipologia",$A223),0)
- IFERROR(GETPIVOTDATA("Somma di AVERE",'Pivot Amex'!$A$3,"Mese",5,"Tipologia",$A223),0)
- IFERROR(GETPIVOTDATA("Somma di AVERE",'Pivot BBVA'!$A$3,"Mese",5,"Tipologia",$A223),0)
- IFERROR(GETPIVOTDATA("Somma di AVERE",'Pivot Fineco St'!$A$3,"Mese",5,"Tipologia",$A223),0)
- IFERROR(GETPIVOTDATA("Somma di AVERE",'Pivot Fineco Sa'!$A$3,"Mese",5,"Tipologia",$A223),0)
+ IFERROR(GETPIVOTDATA("Somma di DARE",'Pivot PP Visa'!$A$3,"Mese",5,"Tipologia",$A223),0)
- IFERROR(GETPIVOTDATA("Somma di AVERE",'Pivot PP Visa'!$A$3,"Mese",5,"Tipologia",$A223),0)
+ IFERROR(GETPIVOTDATA("Somma di DARE",'Pivot Revolut'!$A$3,"Mese",5,"Tipologia",$A223),0)
- IFERROR(GETPIVOTDATA("Somma di AVERE",'Pivot Revolut'!$A$3,"Mese",5,"Tipologia",$A223),0)</f>
        <v>0</v>
      </c>
      <c r="H223" s="243">
        <f>IFERROR(GETPIVOTDATA("Somma di DARE EUR",'Pivot RakBank AED'!$A$3,"Mese",6,"Tipologia",$A223),0)
- IFERROR(GETPIVOTDATA("Somma di AVERE EUR",'Pivot RakBank AED'!$A$3,"Mese",6,"Tipologia",$A223),0)
+IFERROR(GETPIVOTDATA("Somma di DARE",'Pivot RakBank EUR'!$A$3,"Mese",6,"Tipologia",$A223),0)
- IFERROR(GETPIVOTDATA("Somma di AVERE",'Pivot RakBank EUR'!$A$3,"Mese",6,"Tipologia",$A223),0)
+IFERROR(GETPIVOTDATA("Somma di DARE",'Pivot Fineco Sa'!$A$3,"Mese",6,"Tipologia",$A223),0)
+ IFERROR(GETPIVOTDATA("Somma di DARE",'Pivot Fineco St'!$A$3,"Mese",6,"Tipologia",$A223),0)
+ Contanti!V85
+ IFERROR(GETPIVOTDATA("Somma di DARE",'Pivot BBVA'!$A$3,"Mese",6,"Tipologia",$A223),0)
+ IFERROR(GETPIVOTDATA("Somma di DARE",'Pivot Amex'!$A$3,"Mese",6,"Tipologia",$A223),0)
- IFERROR(GETPIVOTDATA("Somma di AVERE",'Pivot Amex'!$A$3,"Mese",6,"Tipologia",$A223),0)
- IFERROR(GETPIVOTDATA("Somma di AVERE",'Pivot BBVA'!$A$3,"Mese",6,"Tipologia",$A223),0)
- IFERROR(GETPIVOTDATA("Somma di AVERE",'Pivot Fineco St'!$A$3,"Mese",6,"Tipologia",$A223),0)
- IFERROR(GETPIVOTDATA("Somma di AVERE",'Pivot Fineco Sa'!$A$3,"Mese",6,"Tipologia",$A223),0)
+ IFERROR(GETPIVOTDATA("Somma di DARE",'Pivot PP Visa'!$A$3,"Mese",6,"Tipologia",$A223),0)
- IFERROR(GETPIVOTDATA("Somma di AVERE",'Pivot PP Visa'!$A$3,"Mese",6,"Tipologia",$A223),0)
+ IFERROR(GETPIVOTDATA("Somma di DARE",'Pivot Revolut'!$A$3,"Mese",6,"Tipologia",$A223),0)
- IFERROR(GETPIVOTDATA("Somma di AVERE",'Pivot Revolut'!$A$3,"Mese",6,"Tipologia",$A223),0)</f>
        <v>44</v>
      </c>
      <c r="I223" s="243">
        <f>IFERROR(GETPIVOTDATA("Somma di DARE EUR",'Pivot RakBank AED'!$A$3,"Mese",7,"Tipologia",$A223),0)
- IFERROR(GETPIVOTDATA("Somma di AVERE EUR",'Pivot RakBank AED'!$A$3,"Mese",7,"Tipologia",$A223),0)
+IFERROR(GETPIVOTDATA("Somma di DARE",'Pivot RakBank EUR'!$A$3,"Mese",7,"Tipologia",$A223),0)
- IFERROR(GETPIVOTDATA("Somma di AVERE",'Pivot RakBank EUR'!$A$3,"Mese",7,"Tipologia",$A223),0)
+IFERROR(GETPIVOTDATA("Somma di DARE",'Pivot Fineco Sa'!$A$3,"Mese",7,"Tipologia",$A223),0)
+ IFERROR(GETPIVOTDATA("Somma di DARE",'Pivot Fineco St'!$A$3,"Mese",7,"Tipologia",$A223),0)
+ Contanti!Z85
+ IFERROR(GETPIVOTDATA("Somma di DARE",'Pivot BBVA'!$A$3,"Mese",7,"Tipologia",$A223),0)
+ IFERROR(GETPIVOTDATA("Somma di DARE",'Pivot Amex'!$A$3,"Mese",7,"Tipologia",$A223),0)
- IFERROR(GETPIVOTDATA("Somma di AVERE",'Pivot Amex'!$A$3,"Mese",7,"Tipologia",$A223),0)
- IFERROR(GETPIVOTDATA("Somma di AVERE",'Pivot BBVA'!$A$3,"Mese",7,"Tipologia",$A223),0)
- IFERROR(GETPIVOTDATA("Somma di AVERE",'Pivot Fineco St'!$A$3,"Mese",7,"Tipologia",$A223),0)
- IFERROR(GETPIVOTDATA("Somma di AVERE",'Pivot Fineco Sa'!$A$3,"Mese",7,"Tipologia",$A223),0)
+ IFERROR(GETPIVOTDATA("Somma di DARE",'Pivot PP Visa'!$A$3,"Mese",7,"Tipologia",$A223),0)
- IFERROR(GETPIVOTDATA("Somma di AVERE",'Pivot PP Visa'!$A$3,"Mese",7,"Tipologia",$A223),0)
+ IFERROR(GETPIVOTDATA("Somma di DARE",'Pivot Revolut'!$A$3,"Mese",7,"Tipologia",$A223),0)
- IFERROR(GETPIVOTDATA("Somma di AVERE",'Pivot Revolut'!$A$3,"Mese",7,"Tipologia",$A223),0)</f>
        <v>110</v>
      </c>
      <c r="J223" s="243">
        <f>IFERROR(GETPIVOTDATA("Somma di DARE EUR",'Pivot RakBank AED'!$A$3,"Mese",8,"Tipologia",$A223),0)
- IFERROR(GETPIVOTDATA("Somma di AVERE EUR",'Pivot RakBank AED'!$A$3,"Mese",8,"Tipologia",$A223),0)
+IFERROR(GETPIVOTDATA("Somma di DARE",'Pivot RakBank EUR'!$A$3,"Mese",8,"Tipologia",$A223),0)
- IFERROR(GETPIVOTDATA("Somma di AVERE",'Pivot RakBank EUR'!$A$3,"Mese",8,"Tipologia",$A223),0)
+IFERROR(GETPIVOTDATA("Somma di DARE",'Pivot Fineco Sa'!$A$3,"Mese",8,"Tipologia",$A223),0)
+ IFERROR(GETPIVOTDATA("Somma di DARE",'Pivot Fineco St'!$A$3,"Mese",8,"Tipologia",$A223),0)
+ Contanti!AD85
+ IFERROR(GETPIVOTDATA("Somma di DARE",'Pivot BBVA'!$A$3,"Mese",8,"Tipologia",$A223),0)
+ IFERROR(GETPIVOTDATA("Somma di DARE",'Pivot Amex'!$A$3,"Mese",8,"Tipologia",$A223),0)
- IFERROR(GETPIVOTDATA("Somma di AVERE",'Pivot Amex'!$A$3,"Mese",8,"Tipologia",$A223),0)
- IFERROR(GETPIVOTDATA("Somma di AVERE",'Pivot BBVA'!$A$3,"Mese",8,"Tipologia",$A223),0)
- IFERROR(GETPIVOTDATA("Somma di AVERE",'Pivot Fineco St'!$A$3,"Mese",8,"Tipologia",$A223),0)
- IFERROR(GETPIVOTDATA("Somma di AVERE",'Pivot Fineco Sa'!$A$3,"Mese",8,"Tipologia",$A223),0)
+ IFERROR(GETPIVOTDATA("Somma di DARE",'Pivot PP Visa'!$A$3,"Mese",8,"Tipologia",$A223),0)
- IFERROR(GETPIVOTDATA("Somma di AVERE",'Pivot PP Visa'!$A$3,"Mese",8,"Tipologia",$A223),0)
+ IFERROR(GETPIVOTDATA("Somma di DARE",'Pivot Revolut'!$A$3,"Mese",8,"Tipologia",$A223),0)
- IFERROR(GETPIVOTDATA("Somma di AVERE",'Pivot Revolut'!$A$3,"Mese",8,"Tipologia",$A223),0)</f>
        <v>0</v>
      </c>
      <c r="K223" s="243">
        <f>IFERROR(GETPIVOTDATA("Somma di DARE EUR",'Pivot RakBank AED'!$A$3,"Mese",9,"Tipologia",$A223),0)
- IFERROR(GETPIVOTDATA("Somma di AVERE EUR",'Pivot RakBank AED'!$A$3,"Mese",9,"Tipologia",$A223),0)
+IFERROR(GETPIVOTDATA("Somma di DARE",'Pivot RakBank EUR'!$A$3,"Mese",9,"Tipologia",$A223),0)
- IFERROR(GETPIVOTDATA("Somma di AVERE",'Pivot RakBank EUR'!$A$3,"Mese",9,"Tipologia",$A223),0)
+IFERROR(GETPIVOTDATA("Somma di DARE",'Pivot Fineco Sa'!$A$3,"Mese",9,"Tipologia",$A223),0)
+ IFERROR(GETPIVOTDATA("Somma di DARE",'Pivot Fineco St'!$A$3,"Mese",9,"Tipologia",$A223),0)
+ Contanti!AH85
+ IFERROR(GETPIVOTDATA("Somma di DARE",'Pivot BBVA'!$A$3,"Mese",9,"Tipologia",$A223),0)
+ IFERROR(GETPIVOTDATA("Somma di DARE",'Pivot Amex'!$A$3,"Mese",9,"Tipologia",$A223),0)
- IFERROR(GETPIVOTDATA("Somma di AVERE",'Pivot Amex'!$A$3,"Mese",9,"Tipologia",$A223),0)
- IFERROR(GETPIVOTDATA("Somma di AVERE",'Pivot BBVA'!$A$3,"Mese",9,"Tipologia",$A223),0)
- IFERROR(GETPIVOTDATA("Somma di AVERE",'Pivot Fineco St'!$A$3,"Mese",9,"Tipologia",$A223),0)
- IFERROR(GETPIVOTDATA("Somma di AVERE",'Pivot Fineco Sa'!$A$3,"Mese",9,"Tipologia",$A223),0)
+ IFERROR(GETPIVOTDATA("Somma di DARE",'Pivot PP Visa'!$A$3,"Mese",9,"Tipologia",$A223),0)
- IFERROR(GETPIVOTDATA("Somma di AVERE",'Pivot PP Visa'!$A$3,"Mese",9,"Tipologia",$A223),0)
+ IFERROR(GETPIVOTDATA("Somma di DARE",'Pivot Revolut'!$A$3,"Mese",9,"Tipologia",$A223),0)
- IFERROR(GETPIVOTDATA("Somma di AVERE",'Pivot Revolut'!$A$3,"Mese",9,"Tipologia",$A223),0)</f>
        <v>0</v>
      </c>
      <c r="L223" s="243">
        <f>IFERROR(GETPIVOTDATA("Somma di DARE EUR",'Pivot RakBank AED'!$A$3,"Mese",10,"Tipologia",$A223),0)
- IFERROR(GETPIVOTDATA("Somma di AVERE EUR",'Pivot RakBank AED'!$A$3,"Mese",10,"Tipologia",$A223),0)
+IFERROR(GETPIVOTDATA("Somma di DARE",'Pivot RakBank EUR'!$A$3,"Mese",10,"Tipologia",$A223),0)
- IFERROR(GETPIVOTDATA("Somma di AVERE",'Pivot RakBank EUR'!$A$3,"Mese",10,"Tipologia",$A223),0)
+IFERROR(GETPIVOTDATA("Somma di DARE",'Pivot Fineco Sa'!$A$3,"Mese",10,"Tipologia",$A223),0)
+ IFERROR(GETPIVOTDATA("Somma di DARE",'Pivot Fineco St'!$A$3,"Mese",10,"Tipologia",$A223),0)
+ Contanti!AL85
+ IFERROR(GETPIVOTDATA("Somma di DARE",'Pivot BBVA'!$A$3,"Mese",10,"Tipologia",$A223),0)
+ IFERROR(GETPIVOTDATA("Somma di DARE",'Pivot Amex'!$A$3,"Mese",10,"Tipologia",$A223),0)
- IFERROR(GETPIVOTDATA("Somma di AVERE",'Pivot Amex'!$A$3,"Mese",10,"Tipologia",$A223),0)
- IFERROR(GETPIVOTDATA("Somma di AVERE",'Pivot BBVA'!$A$3,"Mese",10,"Tipologia",$A223),0)
- IFERROR(GETPIVOTDATA("Somma di AVERE",'Pivot Fineco St'!$A$3,"Mese",10,"Tipologia",$A223),0)
- IFERROR(GETPIVOTDATA("Somma di AVERE",'Pivot Fineco Sa'!$A$3,"Mese",10,"Tipologia",$A223),0)
+ IFERROR(GETPIVOTDATA("Somma di DARE",'Pivot PP Visa'!$A$3,"Mese",10,"Tipologia",$A223),0)
- IFERROR(GETPIVOTDATA("Somma di AVERE",'Pivot PP Visa'!$A$3,"Mese",10,"Tipologia",$A223),0)
+ IFERROR(GETPIVOTDATA("Somma di DARE",'Pivot Revolut'!$A$3,"Mese",10,"Tipologia",$A223),0)
- IFERROR(GETPIVOTDATA("Somma di AVERE",'Pivot Revolut'!$A$3,"Mese",10,"Tipologia",$A223),0)</f>
        <v>0</v>
      </c>
      <c r="M223" s="243">
        <f>IFERROR(GETPIVOTDATA("Somma di DARE EUR",'Pivot RakBank AED'!$A$3,"Mese",11,"Tipologia",$A223),0)
- IFERROR(GETPIVOTDATA("Somma di AVERE EUR",'Pivot RakBank AED'!$A$3,"Mese",11,"Tipologia",$A223),0)
+IFERROR(GETPIVOTDATA("Somma di DARE",'Pivot RakBank EUR'!$A$3,"Mese",11,"Tipologia",$A223),0)
- IFERROR(GETPIVOTDATA("Somma di AVERE",'Pivot RakBank EUR'!$A$3,"Mese",11,"Tipologia",$A223),0)
+IFERROR(GETPIVOTDATA("Somma di DARE",'Pivot Fineco Sa'!$A$3,"Mese",11,"Tipologia",$A223),0)
+ IFERROR(GETPIVOTDATA("Somma di DARE",'Pivot Fineco St'!$A$3,"Mese",11,"Tipologia",$A223),0)
+ Contanti!AP85
+ IFERROR(GETPIVOTDATA("Somma di DARE",'Pivot BBVA'!$A$3,"Mese",11,"Tipologia",$A223),0)
+ IFERROR(GETPIVOTDATA("Somma di DARE",'Pivot Amex'!$A$3,"Mese",11,"Tipologia",$A223),0)
- IFERROR(GETPIVOTDATA("Somma di AVERE",'Pivot Amex'!$A$3,"Mese",11,"Tipologia",$A223),0)
- IFERROR(GETPIVOTDATA("Somma di AVERE",'Pivot BBVA'!$A$3,"Mese",11,"Tipologia",$A223),0)
- IFERROR(GETPIVOTDATA("Somma di AVERE",'Pivot Fineco St'!$A$3,"Mese",11,"Tipologia",$A223),0)
- IFERROR(GETPIVOTDATA("Somma di AVERE",'Pivot Fineco Sa'!$A$3,"Mese",11,"Tipologia",$A223),0)
+ IFERROR(GETPIVOTDATA("Somma di DARE",'Pivot PP Visa'!$A$3,"Mese",11,"Tipologia",$A223),0)
- IFERROR(GETPIVOTDATA("Somma di AVERE",'Pivot PP Visa'!$A$3,"Mese",11,"Tipologia",$A223),0)
+ IFERROR(GETPIVOTDATA("Somma di DARE",'Pivot Revolut'!$A$3,"Mese",11,"Tipologia",$A223),0)
- IFERROR(GETPIVOTDATA("Somma di AVERE",'Pivot Revolut'!$A$3,"Mese",11,"Tipologia",$A223),0)</f>
        <v>0</v>
      </c>
      <c r="N223" s="243">
        <f>IFERROR(GETPIVOTDATA("Somma di DARE EUR",'Pivot RakBank AED'!$A$3,"Mese",12,"Tipologia",$A223),0)
- IFERROR(GETPIVOTDATA("Somma di AVERE EUR",'Pivot RakBank AED'!$A$3,"Mese",12,"Tipologia",$A223),0)
+IFERROR(GETPIVOTDATA("Somma di DARE",'Pivot RakBank EUR'!$A$3,"Mese",12,"Tipologia",$A223),0)
- IFERROR(GETPIVOTDATA("Somma di AVERE",'Pivot RakBank EUR'!$A$3,"Mese",12,"Tipologia",$A223),0)
+IFERROR(GETPIVOTDATA("Somma di DARE",'Pivot Fineco Sa'!$A$3,"Mese",12,"Tipologia",$A223),0)
+ IFERROR(GETPIVOTDATA("Somma di DARE",'Pivot Fineco St'!$A$3,"Mese",12,"Tipologia",$A223),0)
+ Contanti!AT85
+ IFERROR(GETPIVOTDATA("Somma di DARE",'Pivot BBVA'!$A$3,"Mese",12,"Tipologia",$A223),0)
+ IFERROR(GETPIVOTDATA("Somma di DARE",'Pivot Amex'!$A$3,"Mese",12,"Tipologia",$A223),0)
- IFERROR(GETPIVOTDATA("Somma di AVERE",'Pivot Amex'!$A$3,"Mese",12,"Tipologia",$A223),0)
- IFERROR(GETPIVOTDATA("Somma di AVERE",'Pivot BBVA'!$A$3,"Mese",12,"Tipologia",$A223),0)
- IFERROR(GETPIVOTDATA("Somma di AVERE",'Pivot Fineco St'!$A$3,"Mese",12,"Tipologia",$A223),0)
- IFERROR(GETPIVOTDATA("Somma di AVERE",'Pivot Fineco Sa'!$A$3,"Mese",12,"Tipologia",$A223),0)
+ IFERROR(GETPIVOTDATA("Somma di DARE",'Pivot PP Visa'!$A$3,"Mese",12,"Tipologia",$A223),0)
- IFERROR(GETPIVOTDATA("Somma di AVERE",'Pivot PP Visa'!$A$3,"Mese",12,"Tipologia",$A223),0)
+ IFERROR(GETPIVOTDATA("Somma di DARE",'Pivot Revolut'!$A$3,"Mese",12,"Tipologia",$A223),0)
- IFERROR(GETPIVOTDATA("Somma di AVERE",'Pivot Revolut'!$A$3,"Mese",12,"Tipologia",$A223),0)</f>
        <v>0</v>
      </c>
      <c r="O223" s="252">
        <f t="shared" si="39"/>
        <v>2561.9899999999998</v>
      </c>
      <c r="P223" s="243">
        <f t="shared" ca="1" si="40"/>
        <v>365.99857142857138</v>
      </c>
    </row>
    <row r="224" spans="1:16" s="125" customFormat="1" ht="21" customHeight="1" x14ac:dyDescent="0.2">
      <c r="A224" s="251"/>
      <c r="B224" s="251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60"/>
      <c r="O224" s="243"/>
      <c r="P224" s="243"/>
    </row>
    <row r="225" spans="1:16" s="125" customFormat="1" ht="21" customHeight="1" x14ac:dyDescent="0.2">
      <c r="A225" s="255" t="s">
        <v>90</v>
      </c>
      <c r="B225" s="255"/>
      <c r="C225" s="256">
        <f>SUM(C226:C229)</f>
        <v>138.86000000000001</v>
      </c>
      <c r="D225" s="256">
        <f t="shared" ref="D225:N225" si="41">SUM(D226:D229)</f>
        <v>100.25999999999999</v>
      </c>
      <c r="E225" s="256">
        <f t="shared" si="41"/>
        <v>88.699999999999989</v>
      </c>
      <c r="F225" s="256">
        <f t="shared" si="41"/>
        <v>108.74999999999999</v>
      </c>
      <c r="G225" s="256">
        <f t="shared" si="41"/>
        <v>132.25</v>
      </c>
      <c r="H225" s="256">
        <f t="shared" si="41"/>
        <v>13.52</v>
      </c>
      <c r="I225" s="256">
        <f t="shared" si="41"/>
        <v>0</v>
      </c>
      <c r="J225" s="256">
        <f t="shared" si="41"/>
        <v>0</v>
      </c>
      <c r="K225" s="256">
        <f t="shared" si="41"/>
        <v>0</v>
      </c>
      <c r="L225" s="256">
        <f t="shared" si="41"/>
        <v>0</v>
      </c>
      <c r="M225" s="256">
        <f t="shared" si="41"/>
        <v>0</v>
      </c>
      <c r="N225" s="256">
        <f t="shared" si="41"/>
        <v>0</v>
      </c>
      <c r="O225" s="257">
        <f>SUM(C225:N225)</f>
        <v>582.33999999999992</v>
      </c>
      <c r="P225" s="256">
        <f ca="1">SUM(P226:P229)</f>
        <v>83.191428571428574</v>
      </c>
    </row>
    <row r="226" spans="1:16" s="125" customFormat="1" ht="21" customHeight="1" x14ac:dyDescent="0.2">
      <c r="A226" s="251" t="s">
        <v>87</v>
      </c>
      <c r="B226" s="251"/>
      <c r="C226" s="243">
        <f>IFERROR(GETPIVOTDATA("Somma di DARE EUR",'Pivot RakBank AED'!$A$3,"Mese",1,"Tipologia",$A226),0)
- IFERROR(GETPIVOTDATA("Somma di AVERE EUR",'Pivot RakBank AED'!$A$3,"Mese",1,"Tipologia",$A226),0)
+IFERROR(GETPIVOTDATA("Somma di DARE",'Pivot RakBank EUR'!$A$3,"Mese",1,"Tipologia",$A226),0)
- IFERROR(GETPIVOTDATA("Somma di AVERE",'Pivot RakBank EUR'!$A$3,"Mese",1,"Tipologia",$A226),0)
+IFERROR(GETPIVOTDATA("Somma di DARE",'Pivot Fineco Sa'!$A$3,"Mese",1,"Tipologia",$A226),0)
+ IFERROR(GETPIVOTDATA("Somma di DARE",'Pivot Fineco St'!$A$3,"Mese",1,"Tipologia",$A226),0)
+ Contanti!B88
+ IFERROR(GETPIVOTDATA("Somma di DARE",'Pivot BBVA'!$A$3,"Mese",1,"Tipologia",$A226),0)
+ IFERROR(GETPIVOTDATA("Somma di DARE",'Pivot Amex'!$A$3,"Mese",1,"Tipologia",$A226),0)
- IFERROR(GETPIVOTDATA("Somma di AVERE",'Pivot Amex'!$A$3,"Mese",1,"Tipologia",$A226),0)
- IFERROR(GETPIVOTDATA("Somma di AVERE",'Pivot BBVA'!$A$3,"Mese",1,"Tipologia",$A226),0)
- IFERROR(GETPIVOTDATA("Somma di AVERE",'Pivot Fineco St'!$A$3,"Mese",1,"Tipologia",$A226),0)
- IFERROR(GETPIVOTDATA("Somma di AVERE",'Pivot Fineco Sa'!$A$3,"Mese",1,"Tipologia",$A226),0)
+ IFERROR(GETPIVOTDATA("Somma di DARE",'Pivot PP Visa'!$A$3,"Mese",1,"Tipologia",$A226),0)
- IFERROR(GETPIVOTDATA("Somma di AVERE",'Pivot PP Visa'!$A$3,"Mese",1,"Tipologia",$A226),0)
+ IFERROR(GETPIVOTDATA("Somma di DARE",'Pivot Revolut'!$A$3,"Mese",1,"Tipologia",$A226),0)
- IFERROR(GETPIVOTDATA("Somma di AVERE",'Pivot Revolut'!$A$3,"Mese",1,"Tipologia",$A226),0)</f>
        <v>0</v>
      </c>
      <c r="D226" s="243">
        <f>IFERROR(GETPIVOTDATA("Somma di DARE EUR",'Pivot RakBank AED'!$A$3,"Mese",2,"Tipologia",$A226),0)
- IFERROR(GETPIVOTDATA("Somma di AVERE EUR",'Pivot RakBank AED'!$A$3,"Mese",2,"Tipologia",$A226),0)
+IFERROR(GETPIVOTDATA("Somma di DARE",'Pivot RakBank EUR'!$A$3,"Mese",2,"Tipologia",$A226),0)
- IFERROR(GETPIVOTDATA("Somma di AVERE",'Pivot RakBank EUR'!$A$3,"Mese",2,"Tipologia",$A226),0)
+IFERROR(GETPIVOTDATA("Somma di DARE",'Pivot Fineco Sa'!$A$3,"Mese",2,"Tipologia",$A226),0)
+ IFERROR(GETPIVOTDATA("Somma di DARE",'Pivot Fineco St'!$A$3,"Mese",2,"Tipologia",$A226),0)
+ Contanti!F88
+ IFERROR(GETPIVOTDATA("Somma di DARE",'Pivot BBVA'!$A$3,"Mese",2,"Tipologia",$A226),0)
+ IFERROR(GETPIVOTDATA("Somma di DARE",'Pivot Amex'!$A$3,"Mese",2,"Tipologia",$A226),0)
- IFERROR(GETPIVOTDATA("Somma di AVERE",'Pivot Amex'!$A$3,"Mese",2,"Tipologia",$A226),0)
- IFERROR(GETPIVOTDATA("Somma di AVERE",'Pivot BBVA'!$A$3,"Mese",2,"Tipologia",$A226),0)
- IFERROR(GETPIVOTDATA("Somma di AVERE",'Pivot Fineco St'!$A$3,"Mese",2,"Tipologia",$A226),0)
- IFERROR(GETPIVOTDATA("Somma di AVERE",'Pivot Fineco Sa'!$A$3,"Mese",2,"Tipologia",$A226),0)
+ IFERROR(GETPIVOTDATA("Somma di DARE",'Pivot PP Visa'!$A$3,"Mese",2,"Tipologia",$A226),0)
- IFERROR(GETPIVOTDATA("Somma di AVERE",'Pivot PP Visa'!$A$3,"Mese",2,"Tipologia",$A226),0)
+ IFERROR(GETPIVOTDATA("Somma di DARE",'Pivot Revolut'!$A$3,"Mese",2,"Tipologia",$A226),0)
- IFERROR(GETPIVOTDATA("Somma di AVERE",'Pivot Revolut'!$A$3,"Mese",2,"Tipologia",$A226),0)</f>
        <v>0</v>
      </c>
      <c r="E226" s="243">
        <f>IFERROR(GETPIVOTDATA("Somma di DARE EUR",'Pivot RakBank AED'!$A$3,"Mese",3,"Tipologia",$A226),0)
- IFERROR(GETPIVOTDATA("Somma di AVERE EUR",'Pivot RakBank AED'!$A$3,"Mese",3,"Tipologia",$A226),0)
+IFERROR(GETPIVOTDATA("Somma di DARE",'Pivot RakBank EUR'!$A$3,"Mese",3,"Tipologia",$A226),0)
- IFERROR(GETPIVOTDATA("Somma di AVERE",'Pivot RakBank EUR'!$A$3,"Mese",3,"Tipologia",$A226),0)
+IFERROR(GETPIVOTDATA("Somma di DARE",'Pivot Fineco Sa'!$A$3,"Mese",3,"Tipologia",$A226),0)
+ IFERROR(GETPIVOTDATA("Somma di DARE",'Pivot Fineco St'!$A$3,"Mese",3,"Tipologia",$A226),0)
+ Contanti!J88
+ IFERROR(GETPIVOTDATA("Somma di DARE",'Pivot BBVA'!$A$3,"Mese",3,"Tipologia",$A226),0)
+ IFERROR(GETPIVOTDATA("Somma di DARE",'Pivot Amex'!$A$3,"Mese",3,"Tipologia",$A226),0)
- IFERROR(GETPIVOTDATA("Somma di AVERE",'Pivot Amex'!$A$3,"Mese",3,"Tipologia",$A226),0)
- IFERROR(GETPIVOTDATA("Somma di AVERE",'Pivot BBVA'!$A$3,"Mese",3,"Tipologia",$A226),0)
- IFERROR(GETPIVOTDATA("Somma di AVERE",'Pivot Fineco St'!$A$3,"Mese",3,"Tipologia",$A226),0)
- IFERROR(GETPIVOTDATA("Somma di AVERE",'Pivot Fineco Sa'!$A$3,"Mese",3,"Tipologia",$A226),0)
+ IFERROR(GETPIVOTDATA("Somma di DARE",'Pivot PP Visa'!$A$3,"Mese",3,"Tipologia",$A226),0)
- IFERROR(GETPIVOTDATA("Somma di AVERE",'Pivot PP Visa'!$A$3,"Mese",3,"Tipologia",$A226),0)
+ IFERROR(GETPIVOTDATA("Somma di DARE",'Pivot Revolut'!$A$3,"Mese",3,"Tipologia",$A226),0)
- IFERROR(GETPIVOTDATA("Somma di AVERE",'Pivot Revolut'!$A$3,"Mese",3,"Tipologia",$A226),0)</f>
        <v>0</v>
      </c>
      <c r="F226" s="243">
        <f>IFERROR(GETPIVOTDATA("Somma di DARE EUR",'Pivot RakBank AED'!$A$3,"Mese",4,"Tipologia",$A226),0)
- IFERROR(GETPIVOTDATA("Somma di AVERE EUR",'Pivot RakBank AED'!$A$3,"Mese",4,"Tipologia",$A226),0)
+IFERROR(GETPIVOTDATA("Somma di DARE",'Pivot RakBank EUR'!$A$3,"Mese",4,"Tipologia",$A226),0)
- IFERROR(GETPIVOTDATA("Somma di AVERE",'Pivot RakBank EUR'!$A$3,"Mese",4,"Tipologia",$A226),0)
+IFERROR(GETPIVOTDATA("Somma di DARE",'Pivot Fineco Sa'!$A$3,"Mese",4,"Tipologia",$A226),0)
+ IFERROR(GETPIVOTDATA("Somma di DARE",'Pivot Fineco St'!$A$3,"Mese",4,"Tipologia",$A226),0)
+ Contanti!N88
+ IFERROR(GETPIVOTDATA("Somma di DARE",'Pivot BBVA'!$A$3,"Mese",4,"Tipologia",$A226),0)
+ IFERROR(GETPIVOTDATA("Somma di DARE",'Pivot Amex'!$A$3,"Mese",4,"Tipologia",$A226),0)
- IFERROR(GETPIVOTDATA("Somma di AVERE",'Pivot Amex'!$A$3,"Mese",4,"Tipologia",$A226),0)
- IFERROR(GETPIVOTDATA("Somma di AVERE",'Pivot BBVA'!$A$3,"Mese",4,"Tipologia",$A226),0)
- IFERROR(GETPIVOTDATA("Somma di AVERE",'Pivot Fineco St'!$A$3,"Mese",4,"Tipologia",$A226),0)
- IFERROR(GETPIVOTDATA("Somma di AVERE",'Pivot Fineco Sa'!$A$3,"Mese",4,"Tipologia",$A226),0)
+ IFERROR(GETPIVOTDATA("Somma di DARE",'Pivot PP Visa'!$A$3,"Mese",4,"Tipologia",$A226),0)
- IFERROR(GETPIVOTDATA("Somma di AVERE",'Pivot PP Visa'!$A$3,"Mese",4,"Tipologia",$A226),0)
+ IFERROR(GETPIVOTDATA("Somma di DARE",'Pivot Revolut'!$A$3,"Mese",4,"Tipologia",$A226),0)
- IFERROR(GETPIVOTDATA("Somma di AVERE",'Pivot Revolut'!$A$3,"Mese",4,"Tipologia",$A226),0)</f>
        <v>0</v>
      </c>
      <c r="G226" s="243">
        <f>IFERROR(GETPIVOTDATA("Somma di DARE EUR",'Pivot RakBank AED'!$A$3,"Mese",5,"Tipologia",$A226),0)
- IFERROR(GETPIVOTDATA("Somma di AVERE EUR",'Pivot RakBank AED'!$A$3,"Mese",5,"Tipologia",$A226),0)
+IFERROR(GETPIVOTDATA("Somma di DARE",'Pivot RakBank EUR'!$A$3,"Mese",5,"Tipologia",$A226),0)
- IFERROR(GETPIVOTDATA("Somma di AVERE",'Pivot RakBank EUR'!$A$3,"Mese",5,"Tipologia",$A226),0)
+IFERROR(GETPIVOTDATA("Somma di DARE",'Pivot Fineco Sa'!$A$3,"Mese",5,"Tipologia",$A226),0)
+ IFERROR(GETPIVOTDATA("Somma di DARE",'Pivot Fineco St'!$A$3,"Mese",5,"Tipologia",$A226),0)
+ Contanti!R88
+ IFERROR(GETPIVOTDATA("Somma di DARE",'Pivot BBVA'!$A$3,"Mese",5,"Tipologia",$A226),0)
+ IFERROR(GETPIVOTDATA("Somma di DARE",'Pivot Amex'!$A$3,"Mese",5,"Tipologia",$A226),0)
- IFERROR(GETPIVOTDATA("Somma di AVERE",'Pivot Amex'!$A$3,"Mese",5,"Tipologia",$A226),0)
- IFERROR(GETPIVOTDATA("Somma di AVERE",'Pivot BBVA'!$A$3,"Mese",5,"Tipologia",$A226),0)
- IFERROR(GETPIVOTDATA("Somma di AVERE",'Pivot Fineco St'!$A$3,"Mese",5,"Tipologia",$A226),0)
- IFERROR(GETPIVOTDATA("Somma di AVERE",'Pivot Fineco Sa'!$A$3,"Mese",5,"Tipologia",$A226),0)
+ IFERROR(GETPIVOTDATA("Somma di DARE",'Pivot PP Visa'!$A$3,"Mese",5,"Tipologia",$A226),0)
- IFERROR(GETPIVOTDATA("Somma di AVERE",'Pivot PP Visa'!$A$3,"Mese",5,"Tipologia",$A226),0)
+ IFERROR(GETPIVOTDATA("Somma di DARE",'Pivot Revolut'!$A$3,"Mese",5,"Tipologia",$A226),0)
- IFERROR(GETPIVOTDATA("Somma di AVERE",'Pivot Revolut'!$A$3,"Mese",5,"Tipologia",$A226),0)</f>
        <v>0</v>
      </c>
      <c r="H226" s="243">
        <f>IFERROR(GETPIVOTDATA("Somma di DARE EUR",'Pivot RakBank AED'!$A$3,"Mese",6,"Tipologia",$A226),0)
- IFERROR(GETPIVOTDATA("Somma di AVERE EUR",'Pivot RakBank AED'!$A$3,"Mese",6,"Tipologia",$A226),0)
+IFERROR(GETPIVOTDATA("Somma di DARE",'Pivot RakBank EUR'!$A$3,"Mese",6,"Tipologia",$A226),0)
- IFERROR(GETPIVOTDATA("Somma di AVERE",'Pivot RakBank EUR'!$A$3,"Mese",6,"Tipologia",$A226),0)
+IFERROR(GETPIVOTDATA("Somma di DARE",'Pivot Fineco Sa'!$A$3,"Mese",6,"Tipologia",$A226),0)
+ IFERROR(GETPIVOTDATA("Somma di DARE",'Pivot Fineco St'!$A$3,"Mese",6,"Tipologia",$A226),0)
+ Contanti!V88
+ IFERROR(GETPIVOTDATA("Somma di DARE",'Pivot BBVA'!$A$3,"Mese",6,"Tipologia",$A226),0)
+ IFERROR(GETPIVOTDATA("Somma di DARE",'Pivot Amex'!$A$3,"Mese",6,"Tipologia",$A226),0)
- IFERROR(GETPIVOTDATA("Somma di AVERE",'Pivot Amex'!$A$3,"Mese",6,"Tipologia",$A226),0)
- IFERROR(GETPIVOTDATA("Somma di AVERE",'Pivot BBVA'!$A$3,"Mese",6,"Tipologia",$A226),0)
- IFERROR(GETPIVOTDATA("Somma di AVERE",'Pivot Fineco St'!$A$3,"Mese",6,"Tipologia",$A226),0)
- IFERROR(GETPIVOTDATA("Somma di AVERE",'Pivot Fineco Sa'!$A$3,"Mese",6,"Tipologia",$A226),0)
+ IFERROR(GETPIVOTDATA("Somma di DARE",'Pivot PP Visa'!$A$3,"Mese",6,"Tipologia",$A226),0)
- IFERROR(GETPIVOTDATA("Somma di AVERE",'Pivot PP Visa'!$A$3,"Mese",6,"Tipologia",$A226),0)
+ IFERROR(GETPIVOTDATA("Somma di DARE",'Pivot Revolut'!$A$3,"Mese",6,"Tipologia",$A226),0)
- IFERROR(GETPIVOTDATA("Somma di AVERE",'Pivot Revolut'!$A$3,"Mese",6,"Tipologia",$A226),0)</f>
        <v>0</v>
      </c>
      <c r="I226" s="243">
        <f>IFERROR(GETPIVOTDATA("Somma di DARE EUR",'Pivot RakBank AED'!$A$3,"Mese",7,"Tipologia",$A226),0)
- IFERROR(GETPIVOTDATA("Somma di AVERE EUR",'Pivot RakBank AED'!$A$3,"Mese",7,"Tipologia",$A226),0)
+IFERROR(GETPIVOTDATA("Somma di DARE",'Pivot RakBank EUR'!$A$3,"Mese",7,"Tipologia",$A226),0)
- IFERROR(GETPIVOTDATA("Somma di AVERE",'Pivot RakBank EUR'!$A$3,"Mese",7,"Tipologia",$A226),0)
+IFERROR(GETPIVOTDATA("Somma di DARE",'Pivot Fineco Sa'!$A$3,"Mese",7,"Tipologia",$A226),0)
+ IFERROR(GETPIVOTDATA("Somma di DARE",'Pivot Fineco St'!$A$3,"Mese",7,"Tipologia",$A226),0)
+ Contanti!Z88
+ IFERROR(GETPIVOTDATA("Somma di DARE",'Pivot BBVA'!$A$3,"Mese",7,"Tipologia",$A226),0)
+ IFERROR(GETPIVOTDATA("Somma di DARE",'Pivot Amex'!$A$3,"Mese",7,"Tipologia",$A226),0)
- IFERROR(GETPIVOTDATA("Somma di AVERE",'Pivot Amex'!$A$3,"Mese",7,"Tipologia",$A226),0)
- IFERROR(GETPIVOTDATA("Somma di AVERE",'Pivot BBVA'!$A$3,"Mese",7,"Tipologia",$A226),0)
- IFERROR(GETPIVOTDATA("Somma di AVERE",'Pivot Fineco St'!$A$3,"Mese",7,"Tipologia",$A226),0)
- IFERROR(GETPIVOTDATA("Somma di AVERE",'Pivot Fineco Sa'!$A$3,"Mese",7,"Tipologia",$A226),0)
+ IFERROR(GETPIVOTDATA("Somma di DARE",'Pivot PP Visa'!$A$3,"Mese",7,"Tipologia",$A226),0)
- IFERROR(GETPIVOTDATA("Somma di AVERE",'Pivot PP Visa'!$A$3,"Mese",7,"Tipologia",$A226),0)
+ IFERROR(GETPIVOTDATA("Somma di DARE",'Pivot Revolut'!$A$3,"Mese",7,"Tipologia",$A226),0)
- IFERROR(GETPIVOTDATA("Somma di AVERE",'Pivot Revolut'!$A$3,"Mese",7,"Tipologia",$A226),0)</f>
        <v>0</v>
      </c>
      <c r="J226" s="243">
        <f>IFERROR(GETPIVOTDATA("Somma di DARE EUR",'Pivot RakBank AED'!$A$3,"Mese",8,"Tipologia",$A226),0)
- IFERROR(GETPIVOTDATA("Somma di AVERE EUR",'Pivot RakBank AED'!$A$3,"Mese",8,"Tipologia",$A226),0)
+IFERROR(GETPIVOTDATA("Somma di DARE",'Pivot RakBank EUR'!$A$3,"Mese",8,"Tipologia",$A226),0)
- IFERROR(GETPIVOTDATA("Somma di AVERE",'Pivot RakBank EUR'!$A$3,"Mese",8,"Tipologia",$A226),0)
+IFERROR(GETPIVOTDATA("Somma di DARE",'Pivot Fineco Sa'!$A$3,"Mese",8,"Tipologia",$A226),0)
+ IFERROR(GETPIVOTDATA("Somma di DARE",'Pivot Fineco St'!$A$3,"Mese",8,"Tipologia",$A226),0)
+ Contanti!AD88
+ IFERROR(GETPIVOTDATA("Somma di DARE",'Pivot BBVA'!$A$3,"Mese",8,"Tipologia",$A226),0)
+ IFERROR(GETPIVOTDATA("Somma di DARE",'Pivot Amex'!$A$3,"Mese",8,"Tipologia",$A226),0)
- IFERROR(GETPIVOTDATA("Somma di AVERE",'Pivot Amex'!$A$3,"Mese",8,"Tipologia",$A226),0)
- IFERROR(GETPIVOTDATA("Somma di AVERE",'Pivot BBVA'!$A$3,"Mese",8,"Tipologia",$A226),0)
- IFERROR(GETPIVOTDATA("Somma di AVERE",'Pivot Fineco St'!$A$3,"Mese",8,"Tipologia",$A226),0)
- IFERROR(GETPIVOTDATA("Somma di AVERE",'Pivot Fineco Sa'!$A$3,"Mese",8,"Tipologia",$A226),0)
+ IFERROR(GETPIVOTDATA("Somma di DARE",'Pivot PP Visa'!$A$3,"Mese",8,"Tipologia",$A226),0)
- IFERROR(GETPIVOTDATA("Somma di AVERE",'Pivot PP Visa'!$A$3,"Mese",8,"Tipologia",$A226),0)
+ IFERROR(GETPIVOTDATA("Somma di DARE",'Pivot Revolut'!$A$3,"Mese",8,"Tipologia",$A226),0)
- IFERROR(GETPIVOTDATA("Somma di AVERE",'Pivot Revolut'!$A$3,"Mese",8,"Tipologia",$A226),0)</f>
        <v>0</v>
      </c>
      <c r="K226" s="243">
        <f>IFERROR(GETPIVOTDATA("Somma di DARE EUR",'Pivot RakBank AED'!$A$3,"Mese",9,"Tipologia",$A226),0)
- IFERROR(GETPIVOTDATA("Somma di AVERE EUR",'Pivot RakBank AED'!$A$3,"Mese",9,"Tipologia",$A226),0)
+IFERROR(GETPIVOTDATA("Somma di DARE",'Pivot RakBank EUR'!$A$3,"Mese",9,"Tipologia",$A226),0)
- IFERROR(GETPIVOTDATA("Somma di AVERE",'Pivot RakBank EUR'!$A$3,"Mese",9,"Tipologia",$A226),0)
+IFERROR(GETPIVOTDATA("Somma di DARE",'Pivot Fineco Sa'!$A$3,"Mese",9,"Tipologia",$A226),0)
+ IFERROR(GETPIVOTDATA("Somma di DARE",'Pivot Fineco St'!$A$3,"Mese",9,"Tipologia",$A226),0)
+ Contanti!AH88
+ IFERROR(GETPIVOTDATA("Somma di DARE",'Pivot BBVA'!$A$3,"Mese",9,"Tipologia",$A226),0)
+ IFERROR(GETPIVOTDATA("Somma di DARE",'Pivot Amex'!$A$3,"Mese",9,"Tipologia",$A226),0)
- IFERROR(GETPIVOTDATA("Somma di AVERE",'Pivot Amex'!$A$3,"Mese",9,"Tipologia",$A226),0)
- IFERROR(GETPIVOTDATA("Somma di AVERE",'Pivot BBVA'!$A$3,"Mese",9,"Tipologia",$A226),0)
- IFERROR(GETPIVOTDATA("Somma di AVERE",'Pivot Fineco St'!$A$3,"Mese",9,"Tipologia",$A226),0)
- IFERROR(GETPIVOTDATA("Somma di AVERE",'Pivot Fineco Sa'!$A$3,"Mese",9,"Tipologia",$A226),0)
+ IFERROR(GETPIVOTDATA("Somma di DARE",'Pivot PP Visa'!$A$3,"Mese",9,"Tipologia",$A226),0)
- IFERROR(GETPIVOTDATA("Somma di AVERE",'Pivot PP Visa'!$A$3,"Mese",9,"Tipologia",$A226),0)
+ IFERROR(GETPIVOTDATA("Somma di DARE",'Pivot Revolut'!$A$3,"Mese",9,"Tipologia",$A226),0)
- IFERROR(GETPIVOTDATA("Somma di AVERE",'Pivot Revolut'!$A$3,"Mese",9,"Tipologia",$A226),0)</f>
        <v>0</v>
      </c>
      <c r="L226" s="243">
        <f>IFERROR(GETPIVOTDATA("Somma di DARE EUR",'Pivot RakBank AED'!$A$3,"Mese",10,"Tipologia",$A226),0)
- IFERROR(GETPIVOTDATA("Somma di AVERE EUR",'Pivot RakBank AED'!$A$3,"Mese",10,"Tipologia",$A226),0)
+IFERROR(GETPIVOTDATA("Somma di DARE",'Pivot RakBank EUR'!$A$3,"Mese",10,"Tipologia",$A226),0)
- IFERROR(GETPIVOTDATA("Somma di AVERE",'Pivot RakBank EUR'!$A$3,"Mese",10,"Tipologia",$A226),0)
+IFERROR(GETPIVOTDATA("Somma di DARE",'Pivot Fineco Sa'!$A$3,"Mese",10,"Tipologia",$A226),0)
+ IFERROR(GETPIVOTDATA("Somma di DARE",'Pivot Fineco St'!$A$3,"Mese",10,"Tipologia",$A226),0)
+ Contanti!AL88
+ IFERROR(GETPIVOTDATA("Somma di DARE",'Pivot BBVA'!$A$3,"Mese",10,"Tipologia",$A226),0)
+ IFERROR(GETPIVOTDATA("Somma di DARE",'Pivot Amex'!$A$3,"Mese",10,"Tipologia",$A226),0)
- IFERROR(GETPIVOTDATA("Somma di AVERE",'Pivot Amex'!$A$3,"Mese",10,"Tipologia",$A226),0)
- IFERROR(GETPIVOTDATA("Somma di AVERE",'Pivot BBVA'!$A$3,"Mese",10,"Tipologia",$A226),0)
- IFERROR(GETPIVOTDATA("Somma di AVERE",'Pivot Fineco St'!$A$3,"Mese",10,"Tipologia",$A226),0)
- IFERROR(GETPIVOTDATA("Somma di AVERE",'Pivot Fineco Sa'!$A$3,"Mese",10,"Tipologia",$A226),0)
+ IFERROR(GETPIVOTDATA("Somma di DARE",'Pivot PP Visa'!$A$3,"Mese",10,"Tipologia",$A226),0)
- IFERROR(GETPIVOTDATA("Somma di AVERE",'Pivot PP Visa'!$A$3,"Mese",10,"Tipologia",$A226),0)
+ IFERROR(GETPIVOTDATA("Somma di DARE",'Pivot Revolut'!$A$3,"Mese",10,"Tipologia",$A226),0)
- IFERROR(GETPIVOTDATA("Somma di AVERE",'Pivot Revolut'!$A$3,"Mese",10,"Tipologia",$A226),0)</f>
        <v>0</v>
      </c>
      <c r="M226" s="243">
        <f>IFERROR(GETPIVOTDATA("Somma di DARE EUR",'Pivot RakBank AED'!$A$3,"Mese",11,"Tipologia",$A226),0)
- IFERROR(GETPIVOTDATA("Somma di AVERE EUR",'Pivot RakBank AED'!$A$3,"Mese",11,"Tipologia",$A226),0)
+IFERROR(GETPIVOTDATA("Somma di DARE",'Pivot RakBank EUR'!$A$3,"Mese",11,"Tipologia",$A226),0)
- IFERROR(GETPIVOTDATA("Somma di AVERE",'Pivot RakBank EUR'!$A$3,"Mese",11,"Tipologia",$A226),0)
+IFERROR(GETPIVOTDATA("Somma di DARE",'Pivot Fineco Sa'!$A$3,"Mese",11,"Tipologia",$A226),0)
+ IFERROR(GETPIVOTDATA("Somma di DARE",'Pivot Fineco St'!$A$3,"Mese",11,"Tipologia",$A226),0)
+ Contanti!AP88
+ IFERROR(GETPIVOTDATA("Somma di DARE",'Pivot BBVA'!$A$3,"Mese",11,"Tipologia",$A226),0)
+ IFERROR(GETPIVOTDATA("Somma di DARE",'Pivot Amex'!$A$3,"Mese",11,"Tipologia",$A226),0)
- IFERROR(GETPIVOTDATA("Somma di AVERE",'Pivot Amex'!$A$3,"Mese",11,"Tipologia",$A226),0)
- IFERROR(GETPIVOTDATA("Somma di AVERE",'Pivot BBVA'!$A$3,"Mese",11,"Tipologia",$A226),0)
- IFERROR(GETPIVOTDATA("Somma di AVERE",'Pivot Fineco St'!$A$3,"Mese",11,"Tipologia",$A226),0)
- IFERROR(GETPIVOTDATA("Somma di AVERE",'Pivot Fineco Sa'!$A$3,"Mese",11,"Tipologia",$A226),0)
+ IFERROR(GETPIVOTDATA("Somma di DARE",'Pivot PP Visa'!$A$3,"Mese",11,"Tipologia",$A226),0)
- IFERROR(GETPIVOTDATA("Somma di AVERE",'Pivot PP Visa'!$A$3,"Mese",11,"Tipologia",$A226),0)
+ IFERROR(GETPIVOTDATA("Somma di DARE",'Pivot Revolut'!$A$3,"Mese",11,"Tipologia",$A226),0)
- IFERROR(GETPIVOTDATA("Somma di AVERE",'Pivot Revolut'!$A$3,"Mese",11,"Tipologia",$A226),0)</f>
        <v>0</v>
      </c>
      <c r="N226" s="243">
        <f>IFERROR(GETPIVOTDATA("Somma di DARE EUR",'Pivot RakBank AED'!$A$3,"Mese",12,"Tipologia",$A226),0)
- IFERROR(GETPIVOTDATA("Somma di AVERE EUR",'Pivot RakBank AED'!$A$3,"Mese",12,"Tipologia",$A226),0)
+IFERROR(GETPIVOTDATA("Somma di DARE",'Pivot RakBank EUR'!$A$3,"Mese",12,"Tipologia",$A226),0)
- IFERROR(GETPIVOTDATA("Somma di AVERE",'Pivot RakBank EUR'!$A$3,"Mese",12,"Tipologia",$A226),0)
+IFERROR(GETPIVOTDATA("Somma di DARE",'Pivot Fineco Sa'!$A$3,"Mese",12,"Tipologia",$A226),0)
+ IFERROR(GETPIVOTDATA("Somma di DARE",'Pivot Fineco St'!$A$3,"Mese",12,"Tipologia",$A226),0)
+ Contanti!AT88
+ IFERROR(GETPIVOTDATA("Somma di DARE",'Pivot BBVA'!$A$3,"Mese",12,"Tipologia",$A226),0)
+ IFERROR(GETPIVOTDATA("Somma di DARE",'Pivot Amex'!$A$3,"Mese",12,"Tipologia",$A226),0)
- IFERROR(GETPIVOTDATA("Somma di AVERE",'Pivot Amex'!$A$3,"Mese",12,"Tipologia",$A226),0)
- IFERROR(GETPIVOTDATA("Somma di AVERE",'Pivot BBVA'!$A$3,"Mese",12,"Tipologia",$A226),0)
- IFERROR(GETPIVOTDATA("Somma di AVERE",'Pivot Fineco St'!$A$3,"Mese",12,"Tipologia",$A226),0)
- IFERROR(GETPIVOTDATA("Somma di AVERE",'Pivot Fineco Sa'!$A$3,"Mese",12,"Tipologia",$A226),0)
+ IFERROR(GETPIVOTDATA("Somma di DARE",'Pivot PP Visa'!$A$3,"Mese",12,"Tipologia",$A226),0)
- IFERROR(GETPIVOTDATA("Somma di AVERE",'Pivot PP Visa'!$A$3,"Mese",12,"Tipologia",$A226),0)
+ IFERROR(GETPIVOTDATA("Somma di DARE",'Pivot Revolut'!$A$3,"Mese",12,"Tipologia",$A226),0)
- IFERROR(GETPIVOTDATA("Somma di AVERE",'Pivot Revolut'!$A$3,"Mese",12,"Tipologia",$A226),0)</f>
        <v>0</v>
      </c>
      <c r="O226" s="252">
        <f>SUM(C226:N226)</f>
        <v>0</v>
      </c>
      <c r="P226" s="243">
        <f t="shared" ref="P226:P229" ca="1" si="42">O226/(MONTH(TODAY()))</f>
        <v>0</v>
      </c>
    </row>
    <row r="227" spans="1:16" s="125" customFormat="1" ht="21" customHeight="1" x14ac:dyDescent="0.2">
      <c r="A227" s="251" t="s">
        <v>270</v>
      </c>
      <c r="B227" s="251"/>
      <c r="C227" s="243">
        <f>IFERROR(GETPIVOTDATA("Somma di DARE EUR",'Pivot RakBank AED'!$A$3,"Mese",1,"Tipologia",$A227),0)
- IFERROR(GETPIVOTDATA("Somma di AVERE EUR",'Pivot RakBank AED'!$A$3,"Mese",1,"Tipologia",$A227),0)
+IFERROR(GETPIVOTDATA("Somma di DARE",'Pivot RakBank EUR'!$A$3,"Mese",1,"Tipologia",$A227),0)
- IFERROR(GETPIVOTDATA("Somma di AVERE",'Pivot RakBank EUR'!$A$3,"Mese",1,"Tipologia",$A227),0)
+IFERROR(GETPIVOTDATA("Somma di DARE",'Pivot Fineco Sa'!$A$3,"Mese",1,"Tipologia",$A227),0)
+ IFERROR(GETPIVOTDATA("Somma di DARE",'Pivot Fineco St'!$A$3,"Mese",1,"Tipologia",$A227),0)
+ Contanti!B89
+ IFERROR(GETPIVOTDATA("Somma di DARE",'Pivot BBVA'!$A$3,"Mese",1,"Tipologia",$A227),0)
+ IFERROR(GETPIVOTDATA("Somma di DARE",'Pivot Amex'!$A$3,"Mese",1,"Tipologia",$A227),0)
- IFERROR(GETPIVOTDATA("Somma di AVERE",'Pivot Amex'!$A$3,"Mese",1,"Tipologia",$A227),0)
- IFERROR(GETPIVOTDATA("Somma di AVERE",'Pivot BBVA'!$A$3,"Mese",1,"Tipologia",$A227),0)
- IFERROR(GETPIVOTDATA("Somma di AVERE",'Pivot Fineco St'!$A$3,"Mese",1,"Tipologia",$A227),0)
- IFERROR(GETPIVOTDATA("Somma di AVERE",'Pivot Fineco Sa'!$A$3,"Mese",1,"Tipologia",$A227),0)
+ IFERROR(GETPIVOTDATA("Somma di DARE",'Pivot PP Visa'!$A$3,"Mese",1,"Tipologia",$A227),0)
- IFERROR(GETPIVOTDATA("Somma di AVERE",'Pivot PP Visa'!$A$3,"Mese",1,"Tipologia",$A227),0)
+ IFERROR(GETPIVOTDATA("Somma di DARE",'Pivot Revolut'!$A$3,"Mese",1,"Tipologia",$A227),0)
- IFERROR(GETPIVOTDATA("Somma di AVERE",'Pivot Revolut'!$A$3,"Mese",1,"Tipologia",$A227),0)</f>
        <v>41.86</v>
      </c>
      <c r="D227" s="243">
        <f>IFERROR(GETPIVOTDATA("Somma di DARE EUR",'Pivot RakBank AED'!$A$3,"Mese",2,"Tipologia",$A227),0)
- IFERROR(GETPIVOTDATA("Somma di AVERE EUR",'Pivot RakBank AED'!$A$3,"Mese",2,"Tipologia",$A227),0)
+IFERROR(GETPIVOTDATA("Somma di DARE",'Pivot RakBank EUR'!$A$3,"Mese",2,"Tipologia",$A227),0)
- IFERROR(GETPIVOTDATA("Somma di AVERE",'Pivot RakBank EUR'!$A$3,"Mese",2,"Tipologia",$A227),0)
+IFERROR(GETPIVOTDATA("Somma di DARE",'Pivot Fineco Sa'!$A$3,"Mese",2,"Tipologia",$A227),0)
+ IFERROR(GETPIVOTDATA("Somma di DARE",'Pivot Fineco St'!$A$3,"Mese",2,"Tipologia",$A227),0)
+ Contanti!F89
+ IFERROR(GETPIVOTDATA("Somma di DARE",'Pivot BBVA'!$A$3,"Mese",2,"Tipologia",$A227),0)
+ IFERROR(GETPIVOTDATA("Somma di DARE",'Pivot Amex'!$A$3,"Mese",2,"Tipologia",$A227),0)
- IFERROR(GETPIVOTDATA("Somma di AVERE",'Pivot Amex'!$A$3,"Mese",2,"Tipologia",$A227),0)
- IFERROR(GETPIVOTDATA("Somma di AVERE",'Pivot BBVA'!$A$3,"Mese",2,"Tipologia",$A227),0)
- IFERROR(GETPIVOTDATA("Somma di AVERE",'Pivot Fineco St'!$A$3,"Mese",2,"Tipologia",$A227),0)
- IFERROR(GETPIVOTDATA("Somma di AVERE",'Pivot Fineco Sa'!$A$3,"Mese",2,"Tipologia",$A227),0)
+ IFERROR(GETPIVOTDATA("Somma di DARE",'Pivot PP Visa'!$A$3,"Mese",2,"Tipologia",$A227),0)
- IFERROR(GETPIVOTDATA("Somma di AVERE",'Pivot PP Visa'!$A$3,"Mese",2,"Tipologia",$A227),0)
+ IFERROR(GETPIVOTDATA("Somma di DARE",'Pivot Revolut'!$A$3,"Mese",2,"Tipologia",$A227),0)
- IFERROR(GETPIVOTDATA("Somma di AVERE",'Pivot Revolut'!$A$3,"Mese",2,"Tipologia",$A227),0)</f>
        <v>100.25999999999999</v>
      </c>
      <c r="E227" s="243">
        <f>IFERROR(GETPIVOTDATA("Somma di DARE EUR",'Pivot RakBank AED'!$A$3,"Mese",3,"Tipologia",$A227),0)
- IFERROR(GETPIVOTDATA("Somma di AVERE EUR",'Pivot RakBank AED'!$A$3,"Mese",3,"Tipologia",$A227),0)
+IFERROR(GETPIVOTDATA("Somma di DARE",'Pivot RakBank EUR'!$A$3,"Mese",3,"Tipologia",$A227),0)
- IFERROR(GETPIVOTDATA("Somma di AVERE",'Pivot RakBank EUR'!$A$3,"Mese",3,"Tipologia",$A227),0)
+IFERROR(GETPIVOTDATA("Somma di DARE",'Pivot Fineco Sa'!$A$3,"Mese",3,"Tipologia",$A227),0)
+ IFERROR(GETPIVOTDATA("Somma di DARE",'Pivot Fineco St'!$A$3,"Mese",3,"Tipologia",$A227),0)
+ Contanti!J89
+ IFERROR(GETPIVOTDATA("Somma di DARE",'Pivot BBVA'!$A$3,"Mese",3,"Tipologia",$A227),0)
+ IFERROR(GETPIVOTDATA("Somma di DARE",'Pivot Amex'!$A$3,"Mese",3,"Tipologia",$A227),0)
- IFERROR(GETPIVOTDATA("Somma di AVERE",'Pivot Amex'!$A$3,"Mese",3,"Tipologia",$A227),0)
- IFERROR(GETPIVOTDATA("Somma di AVERE",'Pivot BBVA'!$A$3,"Mese",3,"Tipologia",$A227),0)
- IFERROR(GETPIVOTDATA("Somma di AVERE",'Pivot Fineco St'!$A$3,"Mese",3,"Tipologia",$A227),0)
- IFERROR(GETPIVOTDATA("Somma di AVERE",'Pivot Fineco Sa'!$A$3,"Mese",3,"Tipologia",$A227),0)
+ IFERROR(GETPIVOTDATA("Somma di DARE",'Pivot PP Visa'!$A$3,"Mese",3,"Tipologia",$A227),0)
- IFERROR(GETPIVOTDATA("Somma di AVERE",'Pivot PP Visa'!$A$3,"Mese",3,"Tipologia",$A227),0)
+ IFERROR(GETPIVOTDATA("Somma di DARE",'Pivot Revolut'!$A$3,"Mese",3,"Tipologia",$A227),0)
- IFERROR(GETPIVOTDATA("Somma di AVERE",'Pivot Revolut'!$A$3,"Mese",3,"Tipologia",$A227),0)</f>
        <v>88.699999999999989</v>
      </c>
      <c r="F227" s="243">
        <f>IFERROR(GETPIVOTDATA("Somma di DARE EUR",'Pivot RakBank AED'!$A$3,"Mese",4,"Tipologia",$A227),0)
- IFERROR(GETPIVOTDATA("Somma di AVERE EUR",'Pivot RakBank AED'!$A$3,"Mese",4,"Tipologia",$A227),0)
+IFERROR(GETPIVOTDATA("Somma di DARE",'Pivot RakBank EUR'!$A$3,"Mese",4,"Tipologia",$A227),0)
- IFERROR(GETPIVOTDATA("Somma di AVERE",'Pivot RakBank EUR'!$A$3,"Mese",4,"Tipologia",$A227),0)
+IFERROR(GETPIVOTDATA("Somma di DARE",'Pivot Fineco Sa'!$A$3,"Mese",4,"Tipologia",$A227),0)
+ IFERROR(GETPIVOTDATA("Somma di DARE",'Pivot Fineco St'!$A$3,"Mese",4,"Tipologia",$A227),0)
+ Contanti!N89
+ IFERROR(GETPIVOTDATA("Somma di DARE",'Pivot BBVA'!$A$3,"Mese",4,"Tipologia",$A227),0)
+ IFERROR(GETPIVOTDATA("Somma di DARE",'Pivot Amex'!$A$3,"Mese",4,"Tipologia",$A227),0)
- IFERROR(GETPIVOTDATA("Somma di AVERE",'Pivot Amex'!$A$3,"Mese",4,"Tipologia",$A227),0)
- IFERROR(GETPIVOTDATA("Somma di AVERE",'Pivot BBVA'!$A$3,"Mese",4,"Tipologia",$A227),0)
- IFERROR(GETPIVOTDATA("Somma di AVERE",'Pivot Fineco St'!$A$3,"Mese",4,"Tipologia",$A227),0)
- IFERROR(GETPIVOTDATA("Somma di AVERE",'Pivot Fineco Sa'!$A$3,"Mese",4,"Tipologia",$A227),0)
+ IFERROR(GETPIVOTDATA("Somma di DARE",'Pivot PP Visa'!$A$3,"Mese",4,"Tipologia",$A227),0)
- IFERROR(GETPIVOTDATA("Somma di AVERE",'Pivot PP Visa'!$A$3,"Mese",4,"Tipologia",$A227),0)
+ IFERROR(GETPIVOTDATA("Somma di DARE",'Pivot Revolut'!$A$3,"Mese",4,"Tipologia",$A227),0)
- IFERROR(GETPIVOTDATA("Somma di AVERE",'Pivot Revolut'!$A$3,"Mese",4,"Tipologia",$A227),0)</f>
        <v>108.74999999999999</v>
      </c>
      <c r="G227" s="243">
        <f>IFERROR(GETPIVOTDATA("Somma di DARE EUR",'Pivot RakBank AED'!$A$3,"Mese",5,"Tipologia",$A227),0)
- IFERROR(GETPIVOTDATA("Somma di AVERE EUR",'Pivot RakBank AED'!$A$3,"Mese",5,"Tipologia",$A227),0)
+IFERROR(GETPIVOTDATA("Somma di DARE",'Pivot RakBank EUR'!$A$3,"Mese",5,"Tipologia",$A227),0)
- IFERROR(GETPIVOTDATA("Somma di AVERE",'Pivot RakBank EUR'!$A$3,"Mese",5,"Tipologia",$A227),0)
+IFERROR(GETPIVOTDATA("Somma di DARE",'Pivot Fineco Sa'!$A$3,"Mese",5,"Tipologia",$A227),0)
+ IFERROR(GETPIVOTDATA("Somma di DARE",'Pivot Fineco St'!$A$3,"Mese",5,"Tipologia",$A227),0)
+ Contanti!R89
+ IFERROR(GETPIVOTDATA("Somma di DARE",'Pivot BBVA'!$A$3,"Mese",5,"Tipologia",$A227),0)
+ IFERROR(GETPIVOTDATA("Somma di DARE",'Pivot Amex'!$A$3,"Mese",5,"Tipologia",$A227),0)
- IFERROR(GETPIVOTDATA("Somma di AVERE",'Pivot Amex'!$A$3,"Mese",5,"Tipologia",$A227),0)
- IFERROR(GETPIVOTDATA("Somma di AVERE",'Pivot BBVA'!$A$3,"Mese",5,"Tipologia",$A227),0)
- IFERROR(GETPIVOTDATA("Somma di AVERE",'Pivot Fineco St'!$A$3,"Mese",5,"Tipologia",$A227),0)
- IFERROR(GETPIVOTDATA("Somma di AVERE",'Pivot Fineco Sa'!$A$3,"Mese",5,"Tipologia",$A227),0)
+ IFERROR(GETPIVOTDATA("Somma di DARE",'Pivot PP Visa'!$A$3,"Mese",5,"Tipologia",$A227),0)
- IFERROR(GETPIVOTDATA("Somma di AVERE",'Pivot PP Visa'!$A$3,"Mese",5,"Tipologia",$A227),0)
+ IFERROR(GETPIVOTDATA("Somma di DARE",'Pivot Revolut'!$A$3,"Mese",5,"Tipologia",$A227),0)
- IFERROR(GETPIVOTDATA("Somma di AVERE",'Pivot Revolut'!$A$3,"Mese",5,"Tipologia",$A227),0)</f>
        <v>132.25</v>
      </c>
      <c r="H227" s="243">
        <f>IFERROR(GETPIVOTDATA("Somma di DARE EUR",'Pivot RakBank AED'!$A$3,"Mese",6,"Tipologia",$A227),0)
- IFERROR(GETPIVOTDATA("Somma di AVERE EUR",'Pivot RakBank AED'!$A$3,"Mese",6,"Tipologia",$A227),0)
+IFERROR(GETPIVOTDATA("Somma di DARE",'Pivot RakBank EUR'!$A$3,"Mese",6,"Tipologia",$A227),0)
- IFERROR(GETPIVOTDATA("Somma di AVERE",'Pivot RakBank EUR'!$A$3,"Mese",6,"Tipologia",$A227),0)
+IFERROR(GETPIVOTDATA("Somma di DARE",'Pivot Fineco Sa'!$A$3,"Mese",6,"Tipologia",$A227),0)
+ IFERROR(GETPIVOTDATA("Somma di DARE",'Pivot Fineco St'!$A$3,"Mese",6,"Tipologia",$A227),0)
+ Contanti!V89
+ IFERROR(GETPIVOTDATA("Somma di DARE",'Pivot BBVA'!$A$3,"Mese",6,"Tipologia",$A227),0)
+ IFERROR(GETPIVOTDATA("Somma di DARE",'Pivot Amex'!$A$3,"Mese",6,"Tipologia",$A227),0)
- IFERROR(GETPIVOTDATA("Somma di AVERE",'Pivot Amex'!$A$3,"Mese",6,"Tipologia",$A227),0)
- IFERROR(GETPIVOTDATA("Somma di AVERE",'Pivot BBVA'!$A$3,"Mese",6,"Tipologia",$A227),0)
- IFERROR(GETPIVOTDATA("Somma di AVERE",'Pivot Fineco St'!$A$3,"Mese",6,"Tipologia",$A227),0)
- IFERROR(GETPIVOTDATA("Somma di AVERE",'Pivot Fineco Sa'!$A$3,"Mese",6,"Tipologia",$A227),0)
+ IFERROR(GETPIVOTDATA("Somma di DARE",'Pivot PP Visa'!$A$3,"Mese",6,"Tipologia",$A227),0)
- IFERROR(GETPIVOTDATA("Somma di AVERE",'Pivot PP Visa'!$A$3,"Mese",6,"Tipologia",$A227),0)
+ IFERROR(GETPIVOTDATA("Somma di DARE",'Pivot Revolut'!$A$3,"Mese",6,"Tipologia",$A227),0)
- IFERROR(GETPIVOTDATA("Somma di AVERE",'Pivot Revolut'!$A$3,"Mese",6,"Tipologia",$A227),0)</f>
        <v>13.52</v>
      </c>
      <c r="I227" s="243">
        <f>IFERROR(GETPIVOTDATA("Somma di DARE EUR",'Pivot RakBank AED'!$A$3,"Mese",7,"Tipologia",$A227),0)
- IFERROR(GETPIVOTDATA("Somma di AVERE EUR",'Pivot RakBank AED'!$A$3,"Mese",7,"Tipologia",$A227),0)
+IFERROR(GETPIVOTDATA("Somma di DARE",'Pivot RakBank EUR'!$A$3,"Mese",7,"Tipologia",$A227),0)
- IFERROR(GETPIVOTDATA("Somma di AVERE",'Pivot RakBank EUR'!$A$3,"Mese",7,"Tipologia",$A227),0)
+IFERROR(GETPIVOTDATA("Somma di DARE",'Pivot Fineco Sa'!$A$3,"Mese",7,"Tipologia",$A227),0)
+ IFERROR(GETPIVOTDATA("Somma di DARE",'Pivot Fineco St'!$A$3,"Mese",7,"Tipologia",$A227),0)
+ Contanti!Z89
+ IFERROR(GETPIVOTDATA("Somma di DARE",'Pivot BBVA'!$A$3,"Mese",7,"Tipologia",$A227),0)
+ IFERROR(GETPIVOTDATA("Somma di DARE",'Pivot Amex'!$A$3,"Mese",7,"Tipologia",$A227),0)
- IFERROR(GETPIVOTDATA("Somma di AVERE",'Pivot Amex'!$A$3,"Mese",7,"Tipologia",$A227),0)
- IFERROR(GETPIVOTDATA("Somma di AVERE",'Pivot BBVA'!$A$3,"Mese",7,"Tipologia",$A227),0)
- IFERROR(GETPIVOTDATA("Somma di AVERE",'Pivot Fineco St'!$A$3,"Mese",7,"Tipologia",$A227),0)
- IFERROR(GETPIVOTDATA("Somma di AVERE",'Pivot Fineco Sa'!$A$3,"Mese",7,"Tipologia",$A227),0)
+ IFERROR(GETPIVOTDATA("Somma di DARE",'Pivot PP Visa'!$A$3,"Mese",7,"Tipologia",$A227),0)
- IFERROR(GETPIVOTDATA("Somma di AVERE",'Pivot PP Visa'!$A$3,"Mese",7,"Tipologia",$A227),0)
+ IFERROR(GETPIVOTDATA("Somma di DARE",'Pivot Revolut'!$A$3,"Mese",7,"Tipologia",$A227),0)
- IFERROR(GETPIVOTDATA("Somma di AVERE",'Pivot Revolut'!$A$3,"Mese",7,"Tipologia",$A227),0)</f>
        <v>0</v>
      </c>
      <c r="J227" s="243">
        <f>IFERROR(GETPIVOTDATA("Somma di DARE EUR",'Pivot RakBank AED'!$A$3,"Mese",8,"Tipologia",$A227),0)
- IFERROR(GETPIVOTDATA("Somma di AVERE EUR",'Pivot RakBank AED'!$A$3,"Mese",8,"Tipologia",$A227),0)
+IFERROR(GETPIVOTDATA("Somma di DARE",'Pivot RakBank EUR'!$A$3,"Mese",8,"Tipologia",$A227),0)
- IFERROR(GETPIVOTDATA("Somma di AVERE",'Pivot RakBank EUR'!$A$3,"Mese",8,"Tipologia",$A227),0)
+IFERROR(GETPIVOTDATA("Somma di DARE",'Pivot Fineco Sa'!$A$3,"Mese",8,"Tipologia",$A227),0)
+ IFERROR(GETPIVOTDATA("Somma di DARE",'Pivot Fineco St'!$A$3,"Mese",8,"Tipologia",$A227),0)
+ Contanti!AD89
+ IFERROR(GETPIVOTDATA("Somma di DARE",'Pivot BBVA'!$A$3,"Mese",8,"Tipologia",$A227),0)
+ IFERROR(GETPIVOTDATA("Somma di DARE",'Pivot Amex'!$A$3,"Mese",8,"Tipologia",$A227),0)
- IFERROR(GETPIVOTDATA("Somma di AVERE",'Pivot Amex'!$A$3,"Mese",8,"Tipologia",$A227),0)
- IFERROR(GETPIVOTDATA("Somma di AVERE",'Pivot BBVA'!$A$3,"Mese",8,"Tipologia",$A227),0)
- IFERROR(GETPIVOTDATA("Somma di AVERE",'Pivot Fineco St'!$A$3,"Mese",8,"Tipologia",$A227),0)
- IFERROR(GETPIVOTDATA("Somma di AVERE",'Pivot Fineco Sa'!$A$3,"Mese",8,"Tipologia",$A227),0)
+ IFERROR(GETPIVOTDATA("Somma di DARE",'Pivot PP Visa'!$A$3,"Mese",8,"Tipologia",$A227),0)
- IFERROR(GETPIVOTDATA("Somma di AVERE",'Pivot PP Visa'!$A$3,"Mese",8,"Tipologia",$A227),0)
+ IFERROR(GETPIVOTDATA("Somma di DARE",'Pivot Revolut'!$A$3,"Mese",8,"Tipologia",$A227),0)
- IFERROR(GETPIVOTDATA("Somma di AVERE",'Pivot Revolut'!$A$3,"Mese",8,"Tipologia",$A227),0)</f>
        <v>0</v>
      </c>
      <c r="K227" s="243">
        <f>IFERROR(GETPIVOTDATA("Somma di DARE EUR",'Pivot RakBank AED'!$A$3,"Mese",9,"Tipologia",$A227),0)
- IFERROR(GETPIVOTDATA("Somma di AVERE EUR",'Pivot RakBank AED'!$A$3,"Mese",9,"Tipologia",$A227),0)
+IFERROR(GETPIVOTDATA("Somma di DARE",'Pivot RakBank EUR'!$A$3,"Mese",9,"Tipologia",$A227),0)
- IFERROR(GETPIVOTDATA("Somma di AVERE",'Pivot RakBank EUR'!$A$3,"Mese",9,"Tipologia",$A227),0)
+IFERROR(GETPIVOTDATA("Somma di DARE",'Pivot Fineco Sa'!$A$3,"Mese",9,"Tipologia",$A227),0)
+ IFERROR(GETPIVOTDATA("Somma di DARE",'Pivot Fineco St'!$A$3,"Mese",9,"Tipologia",$A227),0)
+ Contanti!AH89
+ IFERROR(GETPIVOTDATA("Somma di DARE",'Pivot BBVA'!$A$3,"Mese",9,"Tipologia",$A227),0)
+ IFERROR(GETPIVOTDATA("Somma di DARE",'Pivot Amex'!$A$3,"Mese",9,"Tipologia",$A227),0)
- IFERROR(GETPIVOTDATA("Somma di AVERE",'Pivot Amex'!$A$3,"Mese",9,"Tipologia",$A227),0)
- IFERROR(GETPIVOTDATA("Somma di AVERE",'Pivot BBVA'!$A$3,"Mese",9,"Tipologia",$A227),0)
- IFERROR(GETPIVOTDATA("Somma di AVERE",'Pivot Fineco St'!$A$3,"Mese",9,"Tipologia",$A227),0)
- IFERROR(GETPIVOTDATA("Somma di AVERE",'Pivot Fineco Sa'!$A$3,"Mese",9,"Tipologia",$A227),0)
+ IFERROR(GETPIVOTDATA("Somma di DARE",'Pivot PP Visa'!$A$3,"Mese",9,"Tipologia",$A227),0)
- IFERROR(GETPIVOTDATA("Somma di AVERE",'Pivot PP Visa'!$A$3,"Mese",9,"Tipologia",$A227),0)
+ IFERROR(GETPIVOTDATA("Somma di DARE",'Pivot Revolut'!$A$3,"Mese",9,"Tipologia",$A227),0)
- IFERROR(GETPIVOTDATA("Somma di AVERE",'Pivot Revolut'!$A$3,"Mese",9,"Tipologia",$A227),0)</f>
        <v>0</v>
      </c>
      <c r="L227" s="243">
        <f>IFERROR(GETPIVOTDATA("Somma di DARE EUR",'Pivot RakBank AED'!$A$3,"Mese",10,"Tipologia",$A227),0)
- IFERROR(GETPIVOTDATA("Somma di AVERE EUR",'Pivot RakBank AED'!$A$3,"Mese",10,"Tipologia",$A227),0)
+IFERROR(GETPIVOTDATA("Somma di DARE",'Pivot RakBank EUR'!$A$3,"Mese",10,"Tipologia",$A227),0)
- IFERROR(GETPIVOTDATA("Somma di AVERE",'Pivot RakBank EUR'!$A$3,"Mese",10,"Tipologia",$A227),0)
+IFERROR(GETPIVOTDATA("Somma di DARE",'Pivot Fineco Sa'!$A$3,"Mese",10,"Tipologia",$A227),0)
+ IFERROR(GETPIVOTDATA("Somma di DARE",'Pivot Fineco St'!$A$3,"Mese",10,"Tipologia",$A227),0)
+ Contanti!AL89
+ IFERROR(GETPIVOTDATA("Somma di DARE",'Pivot BBVA'!$A$3,"Mese",10,"Tipologia",$A227),0)
+ IFERROR(GETPIVOTDATA("Somma di DARE",'Pivot Amex'!$A$3,"Mese",10,"Tipologia",$A227),0)
- IFERROR(GETPIVOTDATA("Somma di AVERE",'Pivot Amex'!$A$3,"Mese",10,"Tipologia",$A227),0)
- IFERROR(GETPIVOTDATA("Somma di AVERE",'Pivot BBVA'!$A$3,"Mese",10,"Tipologia",$A227),0)
- IFERROR(GETPIVOTDATA("Somma di AVERE",'Pivot Fineco St'!$A$3,"Mese",10,"Tipologia",$A227),0)
- IFERROR(GETPIVOTDATA("Somma di AVERE",'Pivot Fineco Sa'!$A$3,"Mese",10,"Tipologia",$A227),0)
+ IFERROR(GETPIVOTDATA("Somma di DARE",'Pivot PP Visa'!$A$3,"Mese",10,"Tipologia",$A227),0)
- IFERROR(GETPIVOTDATA("Somma di AVERE",'Pivot PP Visa'!$A$3,"Mese",10,"Tipologia",$A227),0)
+ IFERROR(GETPIVOTDATA("Somma di DARE",'Pivot Revolut'!$A$3,"Mese",10,"Tipologia",$A227),0)
- IFERROR(GETPIVOTDATA("Somma di AVERE",'Pivot Revolut'!$A$3,"Mese",10,"Tipologia",$A227),0)</f>
        <v>0</v>
      </c>
      <c r="M227" s="243">
        <f>IFERROR(GETPIVOTDATA("Somma di DARE EUR",'Pivot RakBank AED'!$A$3,"Mese",11,"Tipologia",$A227),0)
- IFERROR(GETPIVOTDATA("Somma di AVERE EUR",'Pivot RakBank AED'!$A$3,"Mese",11,"Tipologia",$A227),0)
+IFERROR(GETPIVOTDATA("Somma di DARE",'Pivot RakBank EUR'!$A$3,"Mese",11,"Tipologia",$A227),0)
- IFERROR(GETPIVOTDATA("Somma di AVERE",'Pivot RakBank EUR'!$A$3,"Mese",11,"Tipologia",$A227),0)
+IFERROR(GETPIVOTDATA("Somma di DARE",'Pivot Fineco Sa'!$A$3,"Mese",11,"Tipologia",$A227),0)
+ IFERROR(GETPIVOTDATA("Somma di DARE",'Pivot Fineco St'!$A$3,"Mese",11,"Tipologia",$A227),0)
+ Contanti!AP89
+ IFERROR(GETPIVOTDATA("Somma di DARE",'Pivot BBVA'!$A$3,"Mese",11,"Tipologia",$A227),0)
+ IFERROR(GETPIVOTDATA("Somma di DARE",'Pivot Amex'!$A$3,"Mese",11,"Tipologia",$A227),0)
- IFERROR(GETPIVOTDATA("Somma di AVERE",'Pivot Amex'!$A$3,"Mese",11,"Tipologia",$A227),0)
- IFERROR(GETPIVOTDATA("Somma di AVERE",'Pivot BBVA'!$A$3,"Mese",11,"Tipologia",$A227),0)
- IFERROR(GETPIVOTDATA("Somma di AVERE",'Pivot Fineco St'!$A$3,"Mese",11,"Tipologia",$A227),0)
- IFERROR(GETPIVOTDATA("Somma di AVERE",'Pivot Fineco Sa'!$A$3,"Mese",11,"Tipologia",$A227),0)
+ IFERROR(GETPIVOTDATA("Somma di DARE",'Pivot PP Visa'!$A$3,"Mese",11,"Tipologia",$A227),0)
- IFERROR(GETPIVOTDATA("Somma di AVERE",'Pivot PP Visa'!$A$3,"Mese",11,"Tipologia",$A227),0)
+ IFERROR(GETPIVOTDATA("Somma di DARE",'Pivot Revolut'!$A$3,"Mese",11,"Tipologia",$A227),0)
- IFERROR(GETPIVOTDATA("Somma di AVERE",'Pivot Revolut'!$A$3,"Mese",11,"Tipologia",$A227),0)</f>
        <v>0</v>
      </c>
      <c r="N227" s="243">
        <f>IFERROR(GETPIVOTDATA("Somma di DARE EUR",'Pivot RakBank AED'!$A$3,"Mese",12,"Tipologia",$A227),0)
- IFERROR(GETPIVOTDATA("Somma di AVERE EUR",'Pivot RakBank AED'!$A$3,"Mese",12,"Tipologia",$A227),0)
+IFERROR(GETPIVOTDATA("Somma di DARE",'Pivot RakBank EUR'!$A$3,"Mese",12,"Tipologia",$A227),0)
- IFERROR(GETPIVOTDATA("Somma di AVERE",'Pivot RakBank EUR'!$A$3,"Mese",12,"Tipologia",$A227),0)
+IFERROR(GETPIVOTDATA("Somma di DARE",'Pivot Fineco Sa'!$A$3,"Mese",12,"Tipologia",$A227),0)
+ IFERROR(GETPIVOTDATA("Somma di DARE",'Pivot Fineco St'!$A$3,"Mese",12,"Tipologia",$A227),0)
+ Contanti!AT89
+ IFERROR(GETPIVOTDATA("Somma di DARE",'Pivot BBVA'!$A$3,"Mese",12,"Tipologia",$A227),0)
+ IFERROR(GETPIVOTDATA("Somma di DARE",'Pivot Amex'!$A$3,"Mese",12,"Tipologia",$A227),0)
- IFERROR(GETPIVOTDATA("Somma di AVERE",'Pivot Amex'!$A$3,"Mese",12,"Tipologia",$A227),0)
- IFERROR(GETPIVOTDATA("Somma di AVERE",'Pivot BBVA'!$A$3,"Mese",12,"Tipologia",$A227),0)
- IFERROR(GETPIVOTDATA("Somma di AVERE",'Pivot Fineco St'!$A$3,"Mese",12,"Tipologia",$A227),0)
- IFERROR(GETPIVOTDATA("Somma di AVERE",'Pivot Fineco Sa'!$A$3,"Mese",12,"Tipologia",$A227),0)
+ IFERROR(GETPIVOTDATA("Somma di DARE",'Pivot PP Visa'!$A$3,"Mese",12,"Tipologia",$A227),0)
- IFERROR(GETPIVOTDATA("Somma di AVERE",'Pivot PP Visa'!$A$3,"Mese",12,"Tipologia",$A227),0)
+ IFERROR(GETPIVOTDATA("Somma di DARE",'Pivot Revolut'!$A$3,"Mese",12,"Tipologia",$A227),0)
- IFERROR(GETPIVOTDATA("Somma di AVERE",'Pivot Revolut'!$A$3,"Mese",12,"Tipologia",$A227),0)</f>
        <v>0</v>
      </c>
      <c r="O227" s="252">
        <f t="shared" ref="O227:O229" si="43">SUM(C227:N227)</f>
        <v>485.34</v>
      </c>
      <c r="P227" s="243">
        <f t="shared" ca="1" si="42"/>
        <v>69.334285714285713</v>
      </c>
    </row>
    <row r="228" spans="1:16" s="125" customFormat="1" ht="21" customHeight="1" x14ac:dyDescent="0.2">
      <c r="A228" s="251" t="s">
        <v>86</v>
      </c>
      <c r="B228" s="251"/>
      <c r="C228" s="243">
        <f>IFERROR(GETPIVOTDATA("Somma di DARE EUR",'Pivot RakBank AED'!$A$3,"Mese",1,"Tipologia",$A228),0)
- IFERROR(GETPIVOTDATA("Somma di AVERE EUR",'Pivot RakBank AED'!$A$3,"Mese",1,"Tipologia",$A228),0)
+IFERROR(GETPIVOTDATA("Somma di DARE",'Pivot RakBank EUR'!$A$3,"Mese",1,"Tipologia",$A228),0)
- IFERROR(GETPIVOTDATA("Somma di AVERE",'Pivot RakBank EUR'!$A$3,"Mese",1,"Tipologia",$A228),0)
+IFERROR(GETPIVOTDATA("Somma di DARE",'Pivot Fineco Sa'!$A$3,"Mese",1,"Tipologia",$A228),0)
+ IFERROR(GETPIVOTDATA("Somma di DARE",'Pivot Fineco St'!$A$3,"Mese",1,"Tipologia",$A228),0)
+ Contanti!B90
+ IFERROR(GETPIVOTDATA("Somma di DARE",'Pivot BBVA'!$A$3,"Mese",1,"Tipologia",$A228),0)
+ IFERROR(GETPIVOTDATA("Somma di DARE",'Pivot Amex'!$A$3,"Mese",1,"Tipologia",$A228),0)
- IFERROR(GETPIVOTDATA("Somma di AVERE",'Pivot Amex'!$A$3,"Mese",1,"Tipologia",$A228),0)
- IFERROR(GETPIVOTDATA("Somma di AVERE",'Pivot BBVA'!$A$3,"Mese",1,"Tipologia",$A228),0)
- IFERROR(GETPIVOTDATA("Somma di AVERE",'Pivot Fineco St'!$A$3,"Mese",1,"Tipologia",$A228),0)
- IFERROR(GETPIVOTDATA("Somma di AVERE",'Pivot Fineco Sa'!$A$3,"Mese",1,"Tipologia",$A228),0)
+ IFERROR(GETPIVOTDATA("Somma di DARE",'Pivot PP Visa'!$A$3,"Mese",1,"Tipologia",$A228),0)
- IFERROR(GETPIVOTDATA("Somma di AVERE",'Pivot PP Visa'!$A$3,"Mese",1,"Tipologia",$A228),0)
+ IFERROR(GETPIVOTDATA("Somma di DARE",'Pivot Revolut'!$A$3,"Mese",1,"Tipologia",$A228),0)
- IFERROR(GETPIVOTDATA("Somma di AVERE",'Pivot Revolut'!$A$3,"Mese",1,"Tipologia",$A228),0)</f>
        <v>0</v>
      </c>
      <c r="D228" s="243">
        <f>IFERROR(GETPIVOTDATA("Somma di DARE EUR",'Pivot RakBank AED'!$A$3,"Mese",2,"Tipologia",$A228),0)
- IFERROR(GETPIVOTDATA("Somma di AVERE EUR",'Pivot RakBank AED'!$A$3,"Mese",2,"Tipologia",$A228),0)
+IFERROR(GETPIVOTDATA("Somma di DARE",'Pivot RakBank EUR'!$A$3,"Mese",2,"Tipologia",$A228),0)
- IFERROR(GETPIVOTDATA("Somma di AVERE",'Pivot RakBank EUR'!$A$3,"Mese",2,"Tipologia",$A228),0)
+IFERROR(GETPIVOTDATA("Somma di DARE",'Pivot Fineco Sa'!$A$3,"Mese",2,"Tipologia",$A228),0)
+ IFERROR(GETPIVOTDATA("Somma di DARE",'Pivot Fineco St'!$A$3,"Mese",2,"Tipologia",$A228),0)
+ Contanti!F90
+ IFERROR(GETPIVOTDATA("Somma di DARE",'Pivot BBVA'!$A$3,"Mese",2,"Tipologia",$A228),0)
+ IFERROR(GETPIVOTDATA("Somma di DARE",'Pivot Amex'!$A$3,"Mese",2,"Tipologia",$A228),0)
- IFERROR(GETPIVOTDATA("Somma di AVERE",'Pivot Amex'!$A$3,"Mese",2,"Tipologia",$A228),0)
- IFERROR(GETPIVOTDATA("Somma di AVERE",'Pivot BBVA'!$A$3,"Mese",2,"Tipologia",$A228),0)
- IFERROR(GETPIVOTDATA("Somma di AVERE",'Pivot Fineco St'!$A$3,"Mese",2,"Tipologia",$A228),0)
- IFERROR(GETPIVOTDATA("Somma di AVERE",'Pivot Fineco Sa'!$A$3,"Mese",2,"Tipologia",$A228),0)
+ IFERROR(GETPIVOTDATA("Somma di DARE",'Pivot PP Visa'!$A$3,"Mese",2,"Tipologia",$A228),0)
- IFERROR(GETPIVOTDATA("Somma di AVERE",'Pivot PP Visa'!$A$3,"Mese",2,"Tipologia",$A228),0)
+ IFERROR(GETPIVOTDATA("Somma di DARE",'Pivot Revolut'!$A$3,"Mese",2,"Tipologia",$A228),0)
- IFERROR(GETPIVOTDATA("Somma di AVERE",'Pivot Revolut'!$A$3,"Mese",2,"Tipologia",$A228),0)</f>
        <v>0</v>
      </c>
      <c r="E228" s="243">
        <f>IFERROR(GETPIVOTDATA("Somma di DARE EUR",'Pivot RakBank AED'!$A$3,"Mese",3,"Tipologia",$A228),0)
- IFERROR(GETPIVOTDATA("Somma di AVERE EUR",'Pivot RakBank AED'!$A$3,"Mese",3,"Tipologia",$A228),0)
+IFERROR(GETPIVOTDATA("Somma di DARE",'Pivot RakBank EUR'!$A$3,"Mese",3,"Tipologia",$A228),0)
- IFERROR(GETPIVOTDATA("Somma di AVERE",'Pivot RakBank EUR'!$A$3,"Mese",3,"Tipologia",$A228),0)
+IFERROR(GETPIVOTDATA("Somma di DARE",'Pivot Fineco Sa'!$A$3,"Mese",3,"Tipologia",$A228),0)
+ IFERROR(GETPIVOTDATA("Somma di DARE",'Pivot Fineco St'!$A$3,"Mese",3,"Tipologia",$A228),0)
+ Contanti!J90
+ IFERROR(GETPIVOTDATA("Somma di DARE",'Pivot BBVA'!$A$3,"Mese",3,"Tipologia",$A228),0)
+ IFERROR(GETPIVOTDATA("Somma di DARE",'Pivot Amex'!$A$3,"Mese",3,"Tipologia",$A228),0)
- IFERROR(GETPIVOTDATA("Somma di AVERE",'Pivot Amex'!$A$3,"Mese",3,"Tipologia",$A228),0)
- IFERROR(GETPIVOTDATA("Somma di AVERE",'Pivot BBVA'!$A$3,"Mese",3,"Tipologia",$A228),0)
- IFERROR(GETPIVOTDATA("Somma di AVERE",'Pivot Fineco St'!$A$3,"Mese",3,"Tipologia",$A228),0)
- IFERROR(GETPIVOTDATA("Somma di AVERE",'Pivot Fineco Sa'!$A$3,"Mese",3,"Tipologia",$A228),0)
+ IFERROR(GETPIVOTDATA("Somma di DARE",'Pivot PP Visa'!$A$3,"Mese",3,"Tipologia",$A228),0)
- IFERROR(GETPIVOTDATA("Somma di AVERE",'Pivot PP Visa'!$A$3,"Mese",3,"Tipologia",$A228),0)
+ IFERROR(GETPIVOTDATA("Somma di DARE",'Pivot Revolut'!$A$3,"Mese",3,"Tipologia",$A228),0)
- IFERROR(GETPIVOTDATA("Somma di AVERE",'Pivot Revolut'!$A$3,"Mese",3,"Tipologia",$A228),0)</f>
        <v>0</v>
      </c>
      <c r="F228" s="243">
        <f>IFERROR(GETPIVOTDATA("Somma di DARE EUR",'Pivot RakBank AED'!$A$3,"Mese",4,"Tipologia",$A228),0)
- IFERROR(GETPIVOTDATA("Somma di AVERE EUR",'Pivot RakBank AED'!$A$3,"Mese",4,"Tipologia",$A228),0)
+IFERROR(GETPIVOTDATA("Somma di DARE",'Pivot RakBank EUR'!$A$3,"Mese",4,"Tipologia",$A228),0)
- IFERROR(GETPIVOTDATA("Somma di AVERE",'Pivot RakBank EUR'!$A$3,"Mese",4,"Tipologia",$A228),0)
+IFERROR(GETPIVOTDATA("Somma di DARE",'Pivot Fineco Sa'!$A$3,"Mese",4,"Tipologia",$A228),0)
+ IFERROR(GETPIVOTDATA("Somma di DARE",'Pivot Fineco St'!$A$3,"Mese",4,"Tipologia",$A228),0)
+ Contanti!N90
+ IFERROR(GETPIVOTDATA("Somma di DARE",'Pivot BBVA'!$A$3,"Mese",4,"Tipologia",$A228),0)
+ IFERROR(GETPIVOTDATA("Somma di DARE",'Pivot Amex'!$A$3,"Mese",4,"Tipologia",$A228),0)
- IFERROR(GETPIVOTDATA("Somma di AVERE",'Pivot Amex'!$A$3,"Mese",4,"Tipologia",$A228),0)
- IFERROR(GETPIVOTDATA("Somma di AVERE",'Pivot BBVA'!$A$3,"Mese",4,"Tipologia",$A228),0)
- IFERROR(GETPIVOTDATA("Somma di AVERE",'Pivot Fineco St'!$A$3,"Mese",4,"Tipologia",$A228),0)
- IFERROR(GETPIVOTDATA("Somma di AVERE",'Pivot Fineco Sa'!$A$3,"Mese",4,"Tipologia",$A228),0)
+ IFERROR(GETPIVOTDATA("Somma di DARE",'Pivot PP Visa'!$A$3,"Mese",4,"Tipologia",$A228),0)
- IFERROR(GETPIVOTDATA("Somma di AVERE",'Pivot PP Visa'!$A$3,"Mese",4,"Tipologia",$A228),0)
+ IFERROR(GETPIVOTDATA("Somma di DARE",'Pivot Revolut'!$A$3,"Mese",4,"Tipologia",$A228),0)
- IFERROR(GETPIVOTDATA("Somma di AVERE",'Pivot Revolut'!$A$3,"Mese",4,"Tipologia",$A228),0)</f>
        <v>0</v>
      </c>
      <c r="G228" s="243">
        <f>IFERROR(GETPIVOTDATA("Somma di DARE EUR",'Pivot RakBank AED'!$A$3,"Mese",5,"Tipologia",$A228),0)
- IFERROR(GETPIVOTDATA("Somma di AVERE EUR",'Pivot RakBank AED'!$A$3,"Mese",5,"Tipologia",$A228),0)
+IFERROR(GETPIVOTDATA("Somma di DARE",'Pivot RakBank EUR'!$A$3,"Mese",5,"Tipologia",$A228),0)
- IFERROR(GETPIVOTDATA("Somma di AVERE",'Pivot RakBank EUR'!$A$3,"Mese",5,"Tipologia",$A228),0)
+IFERROR(GETPIVOTDATA("Somma di DARE",'Pivot Fineco Sa'!$A$3,"Mese",5,"Tipologia",$A228),0)
+ IFERROR(GETPIVOTDATA("Somma di DARE",'Pivot Fineco St'!$A$3,"Mese",5,"Tipologia",$A228),0)
+ Contanti!R90
+ IFERROR(GETPIVOTDATA("Somma di DARE",'Pivot BBVA'!$A$3,"Mese",5,"Tipologia",$A228),0)
+ IFERROR(GETPIVOTDATA("Somma di DARE",'Pivot Amex'!$A$3,"Mese",5,"Tipologia",$A228),0)
- IFERROR(GETPIVOTDATA("Somma di AVERE",'Pivot Amex'!$A$3,"Mese",5,"Tipologia",$A228),0)
- IFERROR(GETPIVOTDATA("Somma di AVERE",'Pivot BBVA'!$A$3,"Mese",5,"Tipologia",$A228),0)
- IFERROR(GETPIVOTDATA("Somma di AVERE",'Pivot Fineco St'!$A$3,"Mese",5,"Tipologia",$A228),0)
- IFERROR(GETPIVOTDATA("Somma di AVERE",'Pivot Fineco Sa'!$A$3,"Mese",5,"Tipologia",$A228),0)
+ IFERROR(GETPIVOTDATA("Somma di DARE",'Pivot PP Visa'!$A$3,"Mese",5,"Tipologia",$A228),0)
- IFERROR(GETPIVOTDATA("Somma di AVERE",'Pivot PP Visa'!$A$3,"Mese",5,"Tipologia",$A228),0)
+ IFERROR(GETPIVOTDATA("Somma di DARE",'Pivot Revolut'!$A$3,"Mese",5,"Tipologia",$A228),0)
- IFERROR(GETPIVOTDATA("Somma di AVERE",'Pivot Revolut'!$A$3,"Mese",5,"Tipologia",$A228),0)</f>
        <v>0</v>
      </c>
      <c r="H228" s="243">
        <f>IFERROR(GETPIVOTDATA("Somma di DARE EUR",'Pivot RakBank AED'!$A$3,"Mese",6,"Tipologia",$A228),0)
- IFERROR(GETPIVOTDATA("Somma di AVERE EUR",'Pivot RakBank AED'!$A$3,"Mese",6,"Tipologia",$A228),0)
+IFERROR(GETPIVOTDATA("Somma di DARE",'Pivot RakBank EUR'!$A$3,"Mese",6,"Tipologia",$A228),0)
- IFERROR(GETPIVOTDATA("Somma di AVERE",'Pivot RakBank EUR'!$A$3,"Mese",6,"Tipologia",$A228),0)
+IFERROR(GETPIVOTDATA("Somma di DARE",'Pivot Fineco Sa'!$A$3,"Mese",6,"Tipologia",$A228),0)
+ IFERROR(GETPIVOTDATA("Somma di DARE",'Pivot Fineco St'!$A$3,"Mese",6,"Tipologia",$A228),0)
+ Contanti!V90
+ IFERROR(GETPIVOTDATA("Somma di DARE",'Pivot BBVA'!$A$3,"Mese",6,"Tipologia",$A228),0)
+ IFERROR(GETPIVOTDATA("Somma di DARE",'Pivot Amex'!$A$3,"Mese",6,"Tipologia",$A228),0)
- IFERROR(GETPIVOTDATA("Somma di AVERE",'Pivot Amex'!$A$3,"Mese",6,"Tipologia",$A228),0)
- IFERROR(GETPIVOTDATA("Somma di AVERE",'Pivot BBVA'!$A$3,"Mese",6,"Tipologia",$A228),0)
- IFERROR(GETPIVOTDATA("Somma di AVERE",'Pivot Fineco St'!$A$3,"Mese",6,"Tipologia",$A228),0)
- IFERROR(GETPIVOTDATA("Somma di AVERE",'Pivot Fineco Sa'!$A$3,"Mese",6,"Tipologia",$A228),0)
+ IFERROR(GETPIVOTDATA("Somma di DARE",'Pivot PP Visa'!$A$3,"Mese",6,"Tipologia",$A228),0)
- IFERROR(GETPIVOTDATA("Somma di AVERE",'Pivot PP Visa'!$A$3,"Mese",6,"Tipologia",$A228),0)
+ IFERROR(GETPIVOTDATA("Somma di DARE",'Pivot Revolut'!$A$3,"Mese",6,"Tipologia",$A228),0)
- IFERROR(GETPIVOTDATA("Somma di AVERE",'Pivot Revolut'!$A$3,"Mese",6,"Tipologia",$A228),0)</f>
        <v>0</v>
      </c>
      <c r="I228" s="243">
        <f>IFERROR(GETPIVOTDATA("Somma di DARE EUR",'Pivot RakBank AED'!$A$3,"Mese",7,"Tipologia",$A228),0)
- IFERROR(GETPIVOTDATA("Somma di AVERE EUR",'Pivot RakBank AED'!$A$3,"Mese",7,"Tipologia",$A228),0)
+IFERROR(GETPIVOTDATA("Somma di DARE",'Pivot RakBank EUR'!$A$3,"Mese",7,"Tipologia",$A228),0)
- IFERROR(GETPIVOTDATA("Somma di AVERE",'Pivot RakBank EUR'!$A$3,"Mese",7,"Tipologia",$A228),0)
+IFERROR(GETPIVOTDATA("Somma di DARE",'Pivot Fineco Sa'!$A$3,"Mese",7,"Tipologia",$A228),0)
+ IFERROR(GETPIVOTDATA("Somma di DARE",'Pivot Fineco St'!$A$3,"Mese",7,"Tipologia",$A228),0)
+ Contanti!Z90
+ IFERROR(GETPIVOTDATA("Somma di DARE",'Pivot BBVA'!$A$3,"Mese",7,"Tipologia",$A228),0)
+ IFERROR(GETPIVOTDATA("Somma di DARE",'Pivot Amex'!$A$3,"Mese",7,"Tipologia",$A228),0)
- IFERROR(GETPIVOTDATA("Somma di AVERE",'Pivot Amex'!$A$3,"Mese",7,"Tipologia",$A228),0)
- IFERROR(GETPIVOTDATA("Somma di AVERE",'Pivot BBVA'!$A$3,"Mese",7,"Tipologia",$A228),0)
- IFERROR(GETPIVOTDATA("Somma di AVERE",'Pivot Fineco St'!$A$3,"Mese",7,"Tipologia",$A228),0)
- IFERROR(GETPIVOTDATA("Somma di AVERE",'Pivot Fineco Sa'!$A$3,"Mese",7,"Tipologia",$A228),0)
+ IFERROR(GETPIVOTDATA("Somma di DARE",'Pivot PP Visa'!$A$3,"Mese",7,"Tipologia",$A228),0)
- IFERROR(GETPIVOTDATA("Somma di AVERE",'Pivot PP Visa'!$A$3,"Mese",7,"Tipologia",$A228),0)
+ IFERROR(GETPIVOTDATA("Somma di DARE",'Pivot Revolut'!$A$3,"Mese",7,"Tipologia",$A228),0)
- IFERROR(GETPIVOTDATA("Somma di AVERE",'Pivot Revolut'!$A$3,"Mese",7,"Tipologia",$A228),0)</f>
        <v>0</v>
      </c>
      <c r="J228" s="243">
        <f>IFERROR(GETPIVOTDATA("Somma di DARE EUR",'Pivot RakBank AED'!$A$3,"Mese",8,"Tipologia",$A228),0)
- IFERROR(GETPIVOTDATA("Somma di AVERE EUR",'Pivot RakBank AED'!$A$3,"Mese",8,"Tipologia",$A228),0)
+IFERROR(GETPIVOTDATA("Somma di DARE",'Pivot RakBank EUR'!$A$3,"Mese",8,"Tipologia",$A228),0)
- IFERROR(GETPIVOTDATA("Somma di AVERE",'Pivot RakBank EUR'!$A$3,"Mese",8,"Tipologia",$A228),0)
+IFERROR(GETPIVOTDATA("Somma di DARE",'Pivot Fineco Sa'!$A$3,"Mese",8,"Tipologia",$A228),0)
+ IFERROR(GETPIVOTDATA("Somma di DARE",'Pivot Fineco St'!$A$3,"Mese",8,"Tipologia",$A228),0)
+ Contanti!AD90
+ IFERROR(GETPIVOTDATA("Somma di DARE",'Pivot BBVA'!$A$3,"Mese",8,"Tipologia",$A228),0)
+ IFERROR(GETPIVOTDATA("Somma di DARE",'Pivot Amex'!$A$3,"Mese",8,"Tipologia",$A228),0)
- IFERROR(GETPIVOTDATA("Somma di AVERE",'Pivot Amex'!$A$3,"Mese",8,"Tipologia",$A228),0)
- IFERROR(GETPIVOTDATA("Somma di AVERE",'Pivot BBVA'!$A$3,"Mese",8,"Tipologia",$A228),0)
- IFERROR(GETPIVOTDATA("Somma di AVERE",'Pivot Fineco St'!$A$3,"Mese",8,"Tipologia",$A228),0)
- IFERROR(GETPIVOTDATA("Somma di AVERE",'Pivot Fineco Sa'!$A$3,"Mese",8,"Tipologia",$A228),0)
+ IFERROR(GETPIVOTDATA("Somma di DARE",'Pivot PP Visa'!$A$3,"Mese",8,"Tipologia",$A228),0)
- IFERROR(GETPIVOTDATA("Somma di AVERE",'Pivot PP Visa'!$A$3,"Mese",8,"Tipologia",$A228),0)
+ IFERROR(GETPIVOTDATA("Somma di DARE",'Pivot Revolut'!$A$3,"Mese",8,"Tipologia",$A228),0)
- IFERROR(GETPIVOTDATA("Somma di AVERE",'Pivot Revolut'!$A$3,"Mese",8,"Tipologia",$A228),0)</f>
        <v>0</v>
      </c>
      <c r="K228" s="243">
        <f>IFERROR(GETPIVOTDATA("Somma di DARE EUR",'Pivot RakBank AED'!$A$3,"Mese",9,"Tipologia",$A228),0)
- IFERROR(GETPIVOTDATA("Somma di AVERE EUR",'Pivot RakBank AED'!$A$3,"Mese",9,"Tipologia",$A228),0)
+IFERROR(GETPIVOTDATA("Somma di DARE",'Pivot RakBank EUR'!$A$3,"Mese",9,"Tipologia",$A228),0)
- IFERROR(GETPIVOTDATA("Somma di AVERE",'Pivot RakBank EUR'!$A$3,"Mese",9,"Tipologia",$A228),0)
+IFERROR(GETPIVOTDATA("Somma di DARE",'Pivot Fineco Sa'!$A$3,"Mese",9,"Tipologia",$A228),0)
+ IFERROR(GETPIVOTDATA("Somma di DARE",'Pivot Fineco St'!$A$3,"Mese",9,"Tipologia",$A228),0)
+ Contanti!AH90
+ IFERROR(GETPIVOTDATA("Somma di DARE",'Pivot BBVA'!$A$3,"Mese",9,"Tipologia",$A228),0)
+ IFERROR(GETPIVOTDATA("Somma di DARE",'Pivot Amex'!$A$3,"Mese",9,"Tipologia",$A228),0)
- IFERROR(GETPIVOTDATA("Somma di AVERE",'Pivot Amex'!$A$3,"Mese",9,"Tipologia",$A228),0)
- IFERROR(GETPIVOTDATA("Somma di AVERE",'Pivot BBVA'!$A$3,"Mese",9,"Tipologia",$A228),0)
- IFERROR(GETPIVOTDATA("Somma di AVERE",'Pivot Fineco St'!$A$3,"Mese",9,"Tipologia",$A228),0)
- IFERROR(GETPIVOTDATA("Somma di AVERE",'Pivot Fineco Sa'!$A$3,"Mese",9,"Tipologia",$A228),0)
+ IFERROR(GETPIVOTDATA("Somma di DARE",'Pivot PP Visa'!$A$3,"Mese",9,"Tipologia",$A228),0)
- IFERROR(GETPIVOTDATA("Somma di AVERE",'Pivot PP Visa'!$A$3,"Mese",9,"Tipologia",$A228),0)
+ IFERROR(GETPIVOTDATA("Somma di DARE",'Pivot Revolut'!$A$3,"Mese",9,"Tipologia",$A228),0)
- IFERROR(GETPIVOTDATA("Somma di AVERE",'Pivot Revolut'!$A$3,"Mese",9,"Tipologia",$A228),0)</f>
        <v>0</v>
      </c>
      <c r="L228" s="243">
        <f>IFERROR(GETPIVOTDATA("Somma di DARE EUR",'Pivot RakBank AED'!$A$3,"Mese",10,"Tipologia",$A228),0)
- IFERROR(GETPIVOTDATA("Somma di AVERE EUR",'Pivot RakBank AED'!$A$3,"Mese",10,"Tipologia",$A228),0)
+IFERROR(GETPIVOTDATA("Somma di DARE",'Pivot RakBank EUR'!$A$3,"Mese",10,"Tipologia",$A228),0)
- IFERROR(GETPIVOTDATA("Somma di AVERE",'Pivot RakBank EUR'!$A$3,"Mese",10,"Tipologia",$A228),0)
+IFERROR(GETPIVOTDATA("Somma di DARE",'Pivot Fineco Sa'!$A$3,"Mese",10,"Tipologia",$A228),0)
+ IFERROR(GETPIVOTDATA("Somma di DARE",'Pivot Fineco St'!$A$3,"Mese",10,"Tipologia",$A228),0)
+ Contanti!AL90
+ IFERROR(GETPIVOTDATA("Somma di DARE",'Pivot BBVA'!$A$3,"Mese",10,"Tipologia",$A228),0)
+ IFERROR(GETPIVOTDATA("Somma di DARE",'Pivot Amex'!$A$3,"Mese",10,"Tipologia",$A228),0)
- IFERROR(GETPIVOTDATA("Somma di AVERE",'Pivot Amex'!$A$3,"Mese",10,"Tipologia",$A228),0)
- IFERROR(GETPIVOTDATA("Somma di AVERE",'Pivot BBVA'!$A$3,"Mese",10,"Tipologia",$A228),0)
- IFERROR(GETPIVOTDATA("Somma di AVERE",'Pivot Fineco St'!$A$3,"Mese",10,"Tipologia",$A228),0)
- IFERROR(GETPIVOTDATA("Somma di AVERE",'Pivot Fineco Sa'!$A$3,"Mese",10,"Tipologia",$A228),0)
+ IFERROR(GETPIVOTDATA("Somma di DARE",'Pivot PP Visa'!$A$3,"Mese",10,"Tipologia",$A228),0)
- IFERROR(GETPIVOTDATA("Somma di AVERE",'Pivot PP Visa'!$A$3,"Mese",10,"Tipologia",$A228),0)
+ IFERROR(GETPIVOTDATA("Somma di DARE",'Pivot Revolut'!$A$3,"Mese",10,"Tipologia",$A228),0)
- IFERROR(GETPIVOTDATA("Somma di AVERE",'Pivot Revolut'!$A$3,"Mese",10,"Tipologia",$A228),0)</f>
        <v>0</v>
      </c>
      <c r="M228" s="243">
        <f>IFERROR(GETPIVOTDATA("Somma di DARE EUR",'Pivot RakBank AED'!$A$3,"Mese",11,"Tipologia",$A228),0)
- IFERROR(GETPIVOTDATA("Somma di AVERE EUR",'Pivot RakBank AED'!$A$3,"Mese",11,"Tipologia",$A228),0)
+IFERROR(GETPIVOTDATA("Somma di DARE",'Pivot RakBank EUR'!$A$3,"Mese",11,"Tipologia",$A228),0)
- IFERROR(GETPIVOTDATA("Somma di AVERE",'Pivot RakBank EUR'!$A$3,"Mese",11,"Tipologia",$A228),0)
+IFERROR(GETPIVOTDATA("Somma di DARE",'Pivot Fineco Sa'!$A$3,"Mese",11,"Tipologia",$A228),0)
+ IFERROR(GETPIVOTDATA("Somma di DARE",'Pivot Fineco St'!$A$3,"Mese",11,"Tipologia",$A228),0)
+ Contanti!AP90
+ IFERROR(GETPIVOTDATA("Somma di DARE",'Pivot BBVA'!$A$3,"Mese",11,"Tipologia",$A228),0)
+ IFERROR(GETPIVOTDATA("Somma di DARE",'Pivot Amex'!$A$3,"Mese",11,"Tipologia",$A228),0)
- IFERROR(GETPIVOTDATA("Somma di AVERE",'Pivot Amex'!$A$3,"Mese",11,"Tipologia",$A228),0)
- IFERROR(GETPIVOTDATA("Somma di AVERE",'Pivot BBVA'!$A$3,"Mese",11,"Tipologia",$A228),0)
- IFERROR(GETPIVOTDATA("Somma di AVERE",'Pivot Fineco St'!$A$3,"Mese",11,"Tipologia",$A228),0)
- IFERROR(GETPIVOTDATA("Somma di AVERE",'Pivot Fineco Sa'!$A$3,"Mese",11,"Tipologia",$A228),0)
+ IFERROR(GETPIVOTDATA("Somma di DARE",'Pivot PP Visa'!$A$3,"Mese",11,"Tipologia",$A228),0)
- IFERROR(GETPIVOTDATA("Somma di AVERE",'Pivot PP Visa'!$A$3,"Mese",11,"Tipologia",$A228),0)
+ IFERROR(GETPIVOTDATA("Somma di DARE",'Pivot Revolut'!$A$3,"Mese",11,"Tipologia",$A228),0)
- IFERROR(GETPIVOTDATA("Somma di AVERE",'Pivot Revolut'!$A$3,"Mese",11,"Tipologia",$A228),0)</f>
        <v>0</v>
      </c>
      <c r="N228" s="243">
        <f>IFERROR(GETPIVOTDATA("Somma di DARE EUR",'Pivot RakBank AED'!$A$3,"Mese",12,"Tipologia",$A228),0)
- IFERROR(GETPIVOTDATA("Somma di AVERE EUR",'Pivot RakBank AED'!$A$3,"Mese",12,"Tipologia",$A228),0)
+IFERROR(GETPIVOTDATA("Somma di DARE",'Pivot RakBank EUR'!$A$3,"Mese",12,"Tipologia",$A228),0)
- IFERROR(GETPIVOTDATA("Somma di AVERE",'Pivot RakBank EUR'!$A$3,"Mese",12,"Tipologia",$A228),0)
+IFERROR(GETPIVOTDATA("Somma di DARE",'Pivot Fineco Sa'!$A$3,"Mese",12,"Tipologia",$A228),0)
+ IFERROR(GETPIVOTDATA("Somma di DARE",'Pivot Fineco St'!$A$3,"Mese",12,"Tipologia",$A228),0)
+ Contanti!AT90
+ IFERROR(GETPIVOTDATA("Somma di DARE",'Pivot BBVA'!$A$3,"Mese",12,"Tipologia",$A228),0)
+ IFERROR(GETPIVOTDATA("Somma di DARE",'Pivot Amex'!$A$3,"Mese",12,"Tipologia",$A228),0)
- IFERROR(GETPIVOTDATA("Somma di AVERE",'Pivot Amex'!$A$3,"Mese",12,"Tipologia",$A228),0)
- IFERROR(GETPIVOTDATA("Somma di AVERE",'Pivot BBVA'!$A$3,"Mese",12,"Tipologia",$A228),0)
- IFERROR(GETPIVOTDATA("Somma di AVERE",'Pivot Fineco St'!$A$3,"Mese",12,"Tipologia",$A228),0)
- IFERROR(GETPIVOTDATA("Somma di AVERE",'Pivot Fineco Sa'!$A$3,"Mese",12,"Tipologia",$A228),0)
+ IFERROR(GETPIVOTDATA("Somma di DARE",'Pivot PP Visa'!$A$3,"Mese",12,"Tipologia",$A228),0)
- IFERROR(GETPIVOTDATA("Somma di AVERE",'Pivot PP Visa'!$A$3,"Mese",12,"Tipologia",$A228),0)
+ IFERROR(GETPIVOTDATA("Somma di DARE",'Pivot Revolut'!$A$3,"Mese",12,"Tipologia",$A228),0)
- IFERROR(GETPIVOTDATA("Somma di AVERE",'Pivot Revolut'!$A$3,"Mese",12,"Tipologia",$A228),0)</f>
        <v>0</v>
      </c>
      <c r="O228" s="252">
        <f t="shared" si="43"/>
        <v>0</v>
      </c>
      <c r="P228" s="243">
        <f t="shared" ca="1" si="42"/>
        <v>0</v>
      </c>
    </row>
    <row r="229" spans="1:16" s="125" customFormat="1" ht="21" customHeight="1" x14ac:dyDescent="0.2">
      <c r="A229" s="251" t="s">
        <v>303</v>
      </c>
      <c r="B229" s="251"/>
      <c r="C229" s="243">
        <f>IFERROR(GETPIVOTDATA("Somma di DARE EUR",'Pivot RakBank AED'!$A$3,"Mese",1,"Tipologia",$A229),0)
- IFERROR(GETPIVOTDATA("Somma di AVERE EUR",'Pivot RakBank AED'!$A$3,"Mese",1,"Tipologia",$A229),0)
+IFERROR(GETPIVOTDATA("Somma di DARE",'Pivot RakBank EUR'!$A$3,"Mese",1,"Tipologia",$A229),0)
- IFERROR(GETPIVOTDATA("Somma di AVERE",'Pivot RakBank EUR'!$A$3,"Mese",1,"Tipologia",$A229),0)
+IFERROR(GETPIVOTDATA("Somma di DARE",'Pivot Fineco Sa'!$A$3,"Mese",1,"Tipologia",$A229),0)
+ IFERROR(GETPIVOTDATA("Somma di DARE",'Pivot Fineco St'!$A$3,"Mese",1,"Tipologia",$A229),0)
+ Contanti!B91
+ IFERROR(GETPIVOTDATA("Somma di DARE",'Pivot BBVA'!$A$3,"Mese",1,"Tipologia",$A229),0)
+ IFERROR(GETPIVOTDATA("Somma di DARE",'Pivot Amex'!$A$3,"Mese",1,"Tipologia",$A229),0)
- IFERROR(GETPIVOTDATA("Somma di AVERE",'Pivot Amex'!$A$3,"Mese",1,"Tipologia",$A229),0)
- IFERROR(GETPIVOTDATA("Somma di AVERE",'Pivot BBVA'!$A$3,"Mese",1,"Tipologia",$A229),0)
- IFERROR(GETPIVOTDATA("Somma di AVERE",'Pivot Fineco St'!$A$3,"Mese",1,"Tipologia",$A229),0)
- IFERROR(GETPIVOTDATA("Somma di AVERE",'Pivot Fineco Sa'!$A$3,"Mese",1,"Tipologia",$A229),0)
+ IFERROR(GETPIVOTDATA("Somma di DARE",'Pivot PP Visa'!$A$3,"Mese",1,"Tipologia",$A229),0)
- IFERROR(GETPIVOTDATA("Somma di AVERE",'Pivot PP Visa'!$A$3,"Mese",1,"Tipologia",$A229),0)
+ IFERROR(GETPIVOTDATA("Somma di DARE",'Pivot Revolut'!$A$3,"Mese",1,"Tipologia",$A229),0)
- IFERROR(GETPIVOTDATA("Somma di AVERE",'Pivot Revolut'!$A$3,"Mese",1,"Tipologia",$A229),0)</f>
        <v>97</v>
      </c>
      <c r="D229" s="243">
        <f>IFERROR(GETPIVOTDATA("Somma di DARE EUR",'Pivot RakBank AED'!$A$3,"Mese",2,"Tipologia",$A229),0)
- IFERROR(GETPIVOTDATA("Somma di AVERE EUR",'Pivot RakBank AED'!$A$3,"Mese",2,"Tipologia",$A229),0)
+IFERROR(GETPIVOTDATA("Somma di DARE",'Pivot RakBank EUR'!$A$3,"Mese",2,"Tipologia",$A229),0)
- IFERROR(GETPIVOTDATA("Somma di AVERE",'Pivot RakBank EUR'!$A$3,"Mese",2,"Tipologia",$A229),0)
+IFERROR(GETPIVOTDATA("Somma di DARE",'Pivot Fineco Sa'!$A$3,"Mese",2,"Tipologia",$A229),0)
+ IFERROR(GETPIVOTDATA("Somma di DARE",'Pivot Fineco St'!$A$3,"Mese",2,"Tipologia",$A229),0)
+ Contanti!F91
+ IFERROR(GETPIVOTDATA("Somma di DARE",'Pivot BBVA'!$A$3,"Mese",2,"Tipologia",$A229),0)
+ IFERROR(GETPIVOTDATA("Somma di DARE",'Pivot Amex'!$A$3,"Mese",2,"Tipologia",$A229),0)
- IFERROR(GETPIVOTDATA("Somma di AVERE",'Pivot Amex'!$A$3,"Mese",2,"Tipologia",$A229),0)
- IFERROR(GETPIVOTDATA("Somma di AVERE",'Pivot BBVA'!$A$3,"Mese",2,"Tipologia",$A229),0)
- IFERROR(GETPIVOTDATA("Somma di AVERE",'Pivot Fineco St'!$A$3,"Mese",2,"Tipologia",$A229),0)
- IFERROR(GETPIVOTDATA("Somma di AVERE",'Pivot Fineco Sa'!$A$3,"Mese",2,"Tipologia",$A229),0)
+ IFERROR(GETPIVOTDATA("Somma di DARE",'Pivot PP Visa'!$A$3,"Mese",2,"Tipologia",$A229),0)
- IFERROR(GETPIVOTDATA("Somma di AVERE",'Pivot PP Visa'!$A$3,"Mese",2,"Tipologia",$A229),0)
+ IFERROR(GETPIVOTDATA("Somma di DARE",'Pivot Revolut'!$A$3,"Mese",2,"Tipologia",$A229),0)
- IFERROR(GETPIVOTDATA("Somma di AVERE",'Pivot Revolut'!$A$3,"Mese",2,"Tipologia",$A229),0)</f>
        <v>0</v>
      </c>
      <c r="E229" s="243">
        <f>IFERROR(GETPIVOTDATA("Somma di DARE EUR",'Pivot RakBank AED'!$A$3,"Mese",3,"Tipologia",$A229),0)
- IFERROR(GETPIVOTDATA("Somma di AVERE EUR",'Pivot RakBank AED'!$A$3,"Mese",3,"Tipologia",$A229),0)
+IFERROR(GETPIVOTDATA("Somma di DARE",'Pivot RakBank EUR'!$A$3,"Mese",3,"Tipologia",$A229),0)
- IFERROR(GETPIVOTDATA("Somma di AVERE",'Pivot RakBank EUR'!$A$3,"Mese",3,"Tipologia",$A229),0)
+IFERROR(GETPIVOTDATA("Somma di DARE",'Pivot Fineco Sa'!$A$3,"Mese",3,"Tipologia",$A229),0)
+ IFERROR(GETPIVOTDATA("Somma di DARE",'Pivot Fineco St'!$A$3,"Mese",3,"Tipologia",$A229),0)
+ Contanti!J91
+ IFERROR(GETPIVOTDATA("Somma di DARE",'Pivot BBVA'!$A$3,"Mese",3,"Tipologia",$A229),0)
+ IFERROR(GETPIVOTDATA("Somma di DARE",'Pivot Amex'!$A$3,"Mese",3,"Tipologia",$A229),0)
- IFERROR(GETPIVOTDATA("Somma di AVERE",'Pivot Amex'!$A$3,"Mese",3,"Tipologia",$A229),0)
- IFERROR(GETPIVOTDATA("Somma di AVERE",'Pivot BBVA'!$A$3,"Mese",3,"Tipologia",$A229),0)
- IFERROR(GETPIVOTDATA("Somma di AVERE",'Pivot Fineco St'!$A$3,"Mese",3,"Tipologia",$A229),0)
- IFERROR(GETPIVOTDATA("Somma di AVERE",'Pivot Fineco Sa'!$A$3,"Mese",3,"Tipologia",$A229),0)
+ IFERROR(GETPIVOTDATA("Somma di DARE",'Pivot PP Visa'!$A$3,"Mese",3,"Tipologia",$A229),0)
- IFERROR(GETPIVOTDATA("Somma di AVERE",'Pivot PP Visa'!$A$3,"Mese",3,"Tipologia",$A229),0)
+ IFERROR(GETPIVOTDATA("Somma di DARE",'Pivot Revolut'!$A$3,"Mese",3,"Tipologia",$A229),0)
- IFERROR(GETPIVOTDATA("Somma di AVERE",'Pivot Revolut'!$A$3,"Mese",3,"Tipologia",$A229),0)</f>
        <v>0</v>
      </c>
      <c r="F229" s="243">
        <f>IFERROR(GETPIVOTDATA("Somma di DARE EUR",'Pivot RakBank AED'!$A$3,"Mese",4,"Tipologia",$A229),0)
- IFERROR(GETPIVOTDATA("Somma di AVERE EUR",'Pivot RakBank AED'!$A$3,"Mese",4,"Tipologia",$A229),0)
+IFERROR(GETPIVOTDATA("Somma di DARE",'Pivot RakBank EUR'!$A$3,"Mese",4,"Tipologia",$A229),0)
- IFERROR(GETPIVOTDATA("Somma di AVERE",'Pivot RakBank EUR'!$A$3,"Mese",4,"Tipologia",$A229),0)
+IFERROR(GETPIVOTDATA("Somma di DARE",'Pivot Fineco Sa'!$A$3,"Mese",4,"Tipologia",$A229),0)
+ IFERROR(GETPIVOTDATA("Somma di DARE",'Pivot Fineco St'!$A$3,"Mese",4,"Tipologia",$A229),0)
+ Contanti!N91
+ IFERROR(GETPIVOTDATA("Somma di DARE",'Pivot BBVA'!$A$3,"Mese",4,"Tipologia",$A229),0)
+ IFERROR(GETPIVOTDATA("Somma di DARE",'Pivot Amex'!$A$3,"Mese",4,"Tipologia",$A229),0)
- IFERROR(GETPIVOTDATA("Somma di AVERE",'Pivot Amex'!$A$3,"Mese",4,"Tipologia",$A229),0)
- IFERROR(GETPIVOTDATA("Somma di AVERE",'Pivot BBVA'!$A$3,"Mese",4,"Tipologia",$A229),0)
- IFERROR(GETPIVOTDATA("Somma di AVERE",'Pivot Fineco St'!$A$3,"Mese",4,"Tipologia",$A229),0)
- IFERROR(GETPIVOTDATA("Somma di AVERE",'Pivot Fineco Sa'!$A$3,"Mese",4,"Tipologia",$A229),0)
+ IFERROR(GETPIVOTDATA("Somma di DARE",'Pivot PP Visa'!$A$3,"Mese",4,"Tipologia",$A229),0)
- IFERROR(GETPIVOTDATA("Somma di AVERE",'Pivot PP Visa'!$A$3,"Mese",4,"Tipologia",$A229),0)
+ IFERROR(GETPIVOTDATA("Somma di DARE",'Pivot Revolut'!$A$3,"Mese",4,"Tipologia",$A229),0)
- IFERROR(GETPIVOTDATA("Somma di AVERE",'Pivot Revolut'!$A$3,"Mese",4,"Tipologia",$A229),0)</f>
        <v>0</v>
      </c>
      <c r="G229" s="243">
        <f>IFERROR(GETPIVOTDATA("Somma di DARE EUR",'Pivot RakBank AED'!$A$3,"Mese",5,"Tipologia",$A229),0)
- IFERROR(GETPIVOTDATA("Somma di AVERE EUR",'Pivot RakBank AED'!$A$3,"Mese",5,"Tipologia",$A229),0)
+IFERROR(GETPIVOTDATA("Somma di DARE",'Pivot RakBank EUR'!$A$3,"Mese",5,"Tipologia",$A229),0)
- IFERROR(GETPIVOTDATA("Somma di AVERE",'Pivot RakBank EUR'!$A$3,"Mese",5,"Tipologia",$A229),0)
+IFERROR(GETPIVOTDATA("Somma di DARE",'Pivot Fineco Sa'!$A$3,"Mese",5,"Tipologia",$A229),0)
+ IFERROR(GETPIVOTDATA("Somma di DARE",'Pivot Fineco St'!$A$3,"Mese",5,"Tipologia",$A229),0)
+ Contanti!R91
+ IFERROR(GETPIVOTDATA("Somma di DARE",'Pivot BBVA'!$A$3,"Mese",5,"Tipologia",$A229),0)
+ IFERROR(GETPIVOTDATA("Somma di DARE",'Pivot Amex'!$A$3,"Mese",5,"Tipologia",$A229),0)
- IFERROR(GETPIVOTDATA("Somma di AVERE",'Pivot Amex'!$A$3,"Mese",5,"Tipologia",$A229),0)
- IFERROR(GETPIVOTDATA("Somma di AVERE",'Pivot BBVA'!$A$3,"Mese",5,"Tipologia",$A229),0)
- IFERROR(GETPIVOTDATA("Somma di AVERE",'Pivot Fineco St'!$A$3,"Mese",5,"Tipologia",$A229),0)
- IFERROR(GETPIVOTDATA("Somma di AVERE",'Pivot Fineco Sa'!$A$3,"Mese",5,"Tipologia",$A229),0)
+ IFERROR(GETPIVOTDATA("Somma di DARE",'Pivot PP Visa'!$A$3,"Mese",5,"Tipologia",$A229),0)
- IFERROR(GETPIVOTDATA("Somma di AVERE",'Pivot PP Visa'!$A$3,"Mese",5,"Tipologia",$A229),0)
+ IFERROR(GETPIVOTDATA("Somma di DARE",'Pivot Revolut'!$A$3,"Mese",5,"Tipologia",$A229),0)
- IFERROR(GETPIVOTDATA("Somma di AVERE",'Pivot Revolut'!$A$3,"Mese",5,"Tipologia",$A229),0)</f>
        <v>0</v>
      </c>
      <c r="H229" s="243">
        <f>IFERROR(GETPIVOTDATA("Somma di DARE EUR",'Pivot RakBank AED'!$A$3,"Mese",6,"Tipologia",$A229),0)
- IFERROR(GETPIVOTDATA("Somma di AVERE EUR",'Pivot RakBank AED'!$A$3,"Mese",6,"Tipologia",$A229),0)
+IFERROR(GETPIVOTDATA("Somma di DARE",'Pivot RakBank EUR'!$A$3,"Mese",6,"Tipologia",$A229),0)
- IFERROR(GETPIVOTDATA("Somma di AVERE",'Pivot RakBank EUR'!$A$3,"Mese",6,"Tipologia",$A229),0)
+IFERROR(GETPIVOTDATA("Somma di DARE",'Pivot Fineco Sa'!$A$3,"Mese",6,"Tipologia",$A229),0)
+ IFERROR(GETPIVOTDATA("Somma di DARE",'Pivot Fineco St'!$A$3,"Mese",6,"Tipologia",$A229),0)
+ Contanti!V91
+ IFERROR(GETPIVOTDATA("Somma di DARE",'Pivot BBVA'!$A$3,"Mese",6,"Tipologia",$A229),0)
+ IFERROR(GETPIVOTDATA("Somma di DARE",'Pivot Amex'!$A$3,"Mese",6,"Tipologia",$A229),0)
- IFERROR(GETPIVOTDATA("Somma di AVERE",'Pivot Amex'!$A$3,"Mese",6,"Tipologia",$A229),0)
- IFERROR(GETPIVOTDATA("Somma di AVERE",'Pivot BBVA'!$A$3,"Mese",6,"Tipologia",$A229),0)
- IFERROR(GETPIVOTDATA("Somma di AVERE",'Pivot Fineco St'!$A$3,"Mese",6,"Tipologia",$A229),0)
- IFERROR(GETPIVOTDATA("Somma di AVERE",'Pivot Fineco Sa'!$A$3,"Mese",6,"Tipologia",$A229),0)
+ IFERROR(GETPIVOTDATA("Somma di DARE",'Pivot PP Visa'!$A$3,"Mese",6,"Tipologia",$A229),0)
- IFERROR(GETPIVOTDATA("Somma di AVERE",'Pivot PP Visa'!$A$3,"Mese",6,"Tipologia",$A229),0)
+ IFERROR(GETPIVOTDATA("Somma di DARE",'Pivot Revolut'!$A$3,"Mese",6,"Tipologia",$A229),0)
- IFERROR(GETPIVOTDATA("Somma di AVERE",'Pivot Revolut'!$A$3,"Mese",6,"Tipologia",$A229),0)</f>
        <v>0</v>
      </c>
      <c r="I229" s="243">
        <f>IFERROR(GETPIVOTDATA("Somma di DARE EUR",'Pivot RakBank AED'!$A$3,"Mese",7,"Tipologia",$A229),0)
- IFERROR(GETPIVOTDATA("Somma di AVERE EUR",'Pivot RakBank AED'!$A$3,"Mese",7,"Tipologia",$A229),0)
+IFERROR(GETPIVOTDATA("Somma di DARE",'Pivot RakBank EUR'!$A$3,"Mese",7,"Tipologia",$A229),0)
- IFERROR(GETPIVOTDATA("Somma di AVERE",'Pivot RakBank EUR'!$A$3,"Mese",7,"Tipologia",$A229),0)
+IFERROR(GETPIVOTDATA("Somma di DARE",'Pivot Fineco Sa'!$A$3,"Mese",7,"Tipologia",$A229),0)
+ IFERROR(GETPIVOTDATA("Somma di DARE",'Pivot Fineco St'!$A$3,"Mese",7,"Tipologia",$A229),0)
+ Contanti!Z91
+ IFERROR(GETPIVOTDATA("Somma di DARE",'Pivot BBVA'!$A$3,"Mese",7,"Tipologia",$A229),0)
+ IFERROR(GETPIVOTDATA("Somma di DARE",'Pivot Amex'!$A$3,"Mese",7,"Tipologia",$A229),0)
- IFERROR(GETPIVOTDATA("Somma di AVERE",'Pivot Amex'!$A$3,"Mese",7,"Tipologia",$A229),0)
- IFERROR(GETPIVOTDATA("Somma di AVERE",'Pivot BBVA'!$A$3,"Mese",7,"Tipologia",$A229),0)
- IFERROR(GETPIVOTDATA("Somma di AVERE",'Pivot Fineco St'!$A$3,"Mese",7,"Tipologia",$A229),0)
- IFERROR(GETPIVOTDATA("Somma di AVERE",'Pivot Fineco Sa'!$A$3,"Mese",7,"Tipologia",$A229),0)
+ IFERROR(GETPIVOTDATA("Somma di DARE",'Pivot PP Visa'!$A$3,"Mese",7,"Tipologia",$A229),0)
- IFERROR(GETPIVOTDATA("Somma di AVERE",'Pivot PP Visa'!$A$3,"Mese",7,"Tipologia",$A229),0)
+ IFERROR(GETPIVOTDATA("Somma di DARE",'Pivot Revolut'!$A$3,"Mese",7,"Tipologia",$A229),0)
- IFERROR(GETPIVOTDATA("Somma di AVERE",'Pivot Revolut'!$A$3,"Mese",7,"Tipologia",$A229),0)</f>
        <v>0</v>
      </c>
      <c r="J229" s="243">
        <f>IFERROR(GETPIVOTDATA("Somma di DARE EUR",'Pivot RakBank AED'!$A$3,"Mese",8,"Tipologia",$A229),0)
- IFERROR(GETPIVOTDATA("Somma di AVERE EUR",'Pivot RakBank AED'!$A$3,"Mese",8,"Tipologia",$A229),0)
+IFERROR(GETPIVOTDATA("Somma di DARE",'Pivot RakBank EUR'!$A$3,"Mese",8,"Tipologia",$A229),0)
- IFERROR(GETPIVOTDATA("Somma di AVERE",'Pivot RakBank EUR'!$A$3,"Mese",8,"Tipologia",$A229),0)
+IFERROR(GETPIVOTDATA("Somma di DARE",'Pivot Fineco Sa'!$A$3,"Mese",8,"Tipologia",$A229),0)
+ IFERROR(GETPIVOTDATA("Somma di DARE",'Pivot Fineco St'!$A$3,"Mese",8,"Tipologia",$A229),0)
+ Contanti!AD91
+ IFERROR(GETPIVOTDATA("Somma di DARE",'Pivot BBVA'!$A$3,"Mese",8,"Tipologia",$A229),0)
+ IFERROR(GETPIVOTDATA("Somma di DARE",'Pivot Amex'!$A$3,"Mese",8,"Tipologia",$A229),0)
- IFERROR(GETPIVOTDATA("Somma di AVERE",'Pivot Amex'!$A$3,"Mese",8,"Tipologia",$A229),0)
- IFERROR(GETPIVOTDATA("Somma di AVERE",'Pivot BBVA'!$A$3,"Mese",8,"Tipologia",$A229),0)
- IFERROR(GETPIVOTDATA("Somma di AVERE",'Pivot Fineco St'!$A$3,"Mese",8,"Tipologia",$A229),0)
- IFERROR(GETPIVOTDATA("Somma di AVERE",'Pivot Fineco Sa'!$A$3,"Mese",8,"Tipologia",$A229),0)
+ IFERROR(GETPIVOTDATA("Somma di DARE",'Pivot PP Visa'!$A$3,"Mese",8,"Tipologia",$A229),0)
- IFERROR(GETPIVOTDATA("Somma di AVERE",'Pivot PP Visa'!$A$3,"Mese",8,"Tipologia",$A229),0)
+ IFERROR(GETPIVOTDATA("Somma di DARE",'Pivot Revolut'!$A$3,"Mese",8,"Tipologia",$A229),0)
- IFERROR(GETPIVOTDATA("Somma di AVERE",'Pivot Revolut'!$A$3,"Mese",8,"Tipologia",$A229),0)</f>
        <v>0</v>
      </c>
      <c r="K229" s="243">
        <f>IFERROR(GETPIVOTDATA("Somma di DARE EUR",'Pivot RakBank AED'!$A$3,"Mese",9,"Tipologia",$A229),0)
- IFERROR(GETPIVOTDATA("Somma di AVERE EUR",'Pivot RakBank AED'!$A$3,"Mese",9,"Tipologia",$A229),0)
+IFERROR(GETPIVOTDATA("Somma di DARE",'Pivot RakBank EUR'!$A$3,"Mese",9,"Tipologia",$A229),0)
- IFERROR(GETPIVOTDATA("Somma di AVERE",'Pivot RakBank EUR'!$A$3,"Mese",9,"Tipologia",$A229),0)
+IFERROR(GETPIVOTDATA("Somma di DARE",'Pivot Fineco Sa'!$A$3,"Mese",9,"Tipologia",$A229),0)
+ IFERROR(GETPIVOTDATA("Somma di DARE",'Pivot Fineco St'!$A$3,"Mese",9,"Tipologia",$A229),0)
+ Contanti!AH91
+ IFERROR(GETPIVOTDATA("Somma di DARE",'Pivot BBVA'!$A$3,"Mese",9,"Tipologia",$A229),0)
+ IFERROR(GETPIVOTDATA("Somma di DARE",'Pivot Amex'!$A$3,"Mese",9,"Tipologia",$A229),0)
- IFERROR(GETPIVOTDATA("Somma di AVERE",'Pivot Amex'!$A$3,"Mese",9,"Tipologia",$A229),0)
- IFERROR(GETPIVOTDATA("Somma di AVERE",'Pivot BBVA'!$A$3,"Mese",9,"Tipologia",$A229),0)
- IFERROR(GETPIVOTDATA("Somma di AVERE",'Pivot Fineco St'!$A$3,"Mese",9,"Tipologia",$A229),0)
- IFERROR(GETPIVOTDATA("Somma di AVERE",'Pivot Fineco Sa'!$A$3,"Mese",9,"Tipologia",$A229),0)
+ IFERROR(GETPIVOTDATA("Somma di DARE",'Pivot PP Visa'!$A$3,"Mese",9,"Tipologia",$A229),0)
- IFERROR(GETPIVOTDATA("Somma di AVERE",'Pivot PP Visa'!$A$3,"Mese",9,"Tipologia",$A229),0)
+ IFERROR(GETPIVOTDATA("Somma di DARE",'Pivot Revolut'!$A$3,"Mese",9,"Tipologia",$A229),0)
- IFERROR(GETPIVOTDATA("Somma di AVERE",'Pivot Revolut'!$A$3,"Mese",9,"Tipologia",$A229),0)</f>
        <v>0</v>
      </c>
      <c r="L229" s="243">
        <f>IFERROR(GETPIVOTDATA("Somma di DARE EUR",'Pivot RakBank AED'!$A$3,"Mese",10,"Tipologia",$A229),0)
- IFERROR(GETPIVOTDATA("Somma di AVERE EUR",'Pivot RakBank AED'!$A$3,"Mese",10,"Tipologia",$A229),0)
+IFERROR(GETPIVOTDATA("Somma di DARE",'Pivot RakBank EUR'!$A$3,"Mese",10,"Tipologia",$A229),0)
- IFERROR(GETPIVOTDATA("Somma di AVERE",'Pivot RakBank EUR'!$A$3,"Mese",10,"Tipologia",$A229),0)
+IFERROR(GETPIVOTDATA("Somma di DARE",'Pivot Fineco Sa'!$A$3,"Mese",10,"Tipologia",$A229),0)
+ IFERROR(GETPIVOTDATA("Somma di DARE",'Pivot Fineco St'!$A$3,"Mese",10,"Tipologia",$A229),0)
+ Contanti!AL91
+ IFERROR(GETPIVOTDATA("Somma di DARE",'Pivot BBVA'!$A$3,"Mese",10,"Tipologia",$A229),0)
+ IFERROR(GETPIVOTDATA("Somma di DARE",'Pivot Amex'!$A$3,"Mese",10,"Tipologia",$A229),0)
- IFERROR(GETPIVOTDATA("Somma di AVERE",'Pivot Amex'!$A$3,"Mese",10,"Tipologia",$A229),0)
- IFERROR(GETPIVOTDATA("Somma di AVERE",'Pivot BBVA'!$A$3,"Mese",10,"Tipologia",$A229),0)
- IFERROR(GETPIVOTDATA("Somma di AVERE",'Pivot Fineco St'!$A$3,"Mese",10,"Tipologia",$A229),0)
- IFERROR(GETPIVOTDATA("Somma di AVERE",'Pivot Fineco Sa'!$A$3,"Mese",10,"Tipologia",$A229),0)
+ IFERROR(GETPIVOTDATA("Somma di DARE",'Pivot PP Visa'!$A$3,"Mese",10,"Tipologia",$A229),0)
- IFERROR(GETPIVOTDATA("Somma di AVERE",'Pivot PP Visa'!$A$3,"Mese",10,"Tipologia",$A229),0)
+ IFERROR(GETPIVOTDATA("Somma di DARE",'Pivot Revolut'!$A$3,"Mese",10,"Tipologia",$A229),0)
- IFERROR(GETPIVOTDATA("Somma di AVERE",'Pivot Revolut'!$A$3,"Mese",10,"Tipologia",$A229),0)</f>
        <v>0</v>
      </c>
      <c r="M229" s="243">
        <f>IFERROR(GETPIVOTDATA("Somma di DARE EUR",'Pivot RakBank AED'!$A$3,"Mese",11,"Tipologia",$A229),0)
- IFERROR(GETPIVOTDATA("Somma di AVERE EUR",'Pivot RakBank AED'!$A$3,"Mese",11,"Tipologia",$A229),0)
+IFERROR(GETPIVOTDATA("Somma di DARE",'Pivot RakBank EUR'!$A$3,"Mese",11,"Tipologia",$A229),0)
- IFERROR(GETPIVOTDATA("Somma di AVERE",'Pivot RakBank EUR'!$A$3,"Mese",11,"Tipologia",$A229),0)
+IFERROR(GETPIVOTDATA("Somma di DARE",'Pivot Fineco Sa'!$A$3,"Mese",11,"Tipologia",$A229),0)
+ IFERROR(GETPIVOTDATA("Somma di DARE",'Pivot Fineco St'!$A$3,"Mese",11,"Tipologia",$A229),0)
+ Contanti!AP91
+ IFERROR(GETPIVOTDATA("Somma di DARE",'Pivot BBVA'!$A$3,"Mese",11,"Tipologia",$A229),0)
+ IFERROR(GETPIVOTDATA("Somma di DARE",'Pivot Amex'!$A$3,"Mese",11,"Tipologia",$A229),0)
- IFERROR(GETPIVOTDATA("Somma di AVERE",'Pivot Amex'!$A$3,"Mese",11,"Tipologia",$A229),0)
- IFERROR(GETPIVOTDATA("Somma di AVERE",'Pivot BBVA'!$A$3,"Mese",11,"Tipologia",$A229),0)
- IFERROR(GETPIVOTDATA("Somma di AVERE",'Pivot Fineco St'!$A$3,"Mese",11,"Tipologia",$A229),0)
- IFERROR(GETPIVOTDATA("Somma di AVERE",'Pivot Fineco Sa'!$A$3,"Mese",11,"Tipologia",$A229),0)
+ IFERROR(GETPIVOTDATA("Somma di DARE",'Pivot PP Visa'!$A$3,"Mese",11,"Tipologia",$A229),0)
- IFERROR(GETPIVOTDATA("Somma di AVERE",'Pivot PP Visa'!$A$3,"Mese",11,"Tipologia",$A229),0)
+ IFERROR(GETPIVOTDATA("Somma di DARE",'Pivot Revolut'!$A$3,"Mese",11,"Tipologia",$A229),0)
- IFERROR(GETPIVOTDATA("Somma di AVERE",'Pivot Revolut'!$A$3,"Mese",11,"Tipologia",$A229),0)</f>
        <v>0</v>
      </c>
      <c r="N229" s="243">
        <f>IFERROR(GETPIVOTDATA("Somma di DARE EUR",'Pivot RakBank AED'!$A$3,"Mese",12,"Tipologia",$A229),0)
- IFERROR(GETPIVOTDATA("Somma di AVERE EUR",'Pivot RakBank AED'!$A$3,"Mese",12,"Tipologia",$A229),0)
+IFERROR(GETPIVOTDATA("Somma di DARE",'Pivot RakBank EUR'!$A$3,"Mese",12,"Tipologia",$A229),0)
- IFERROR(GETPIVOTDATA("Somma di AVERE",'Pivot RakBank EUR'!$A$3,"Mese",12,"Tipologia",$A229),0)
+IFERROR(GETPIVOTDATA("Somma di DARE",'Pivot Fineco Sa'!$A$3,"Mese",12,"Tipologia",$A229),0)
+ IFERROR(GETPIVOTDATA("Somma di DARE",'Pivot Fineco St'!$A$3,"Mese",12,"Tipologia",$A229),0)
+ Contanti!AT91
+ IFERROR(GETPIVOTDATA("Somma di DARE",'Pivot BBVA'!$A$3,"Mese",12,"Tipologia",$A229),0)
+ IFERROR(GETPIVOTDATA("Somma di DARE",'Pivot Amex'!$A$3,"Mese",12,"Tipologia",$A229),0)
- IFERROR(GETPIVOTDATA("Somma di AVERE",'Pivot Amex'!$A$3,"Mese",12,"Tipologia",$A229),0)
- IFERROR(GETPIVOTDATA("Somma di AVERE",'Pivot BBVA'!$A$3,"Mese",12,"Tipologia",$A229),0)
- IFERROR(GETPIVOTDATA("Somma di AVERE",'Pivot Fineco St'!$A$3,"Mese",12,"Tipologia",$A229),0)
- IFERROR(GETPIVOTDATA("Somma di AVERE",'Pivot Fineco Sa'!$A$3,"Mese",12,"Tipologia",$A229),0)
+ IFERROR(GETPIVOTDATA("Somma di DARE",'Pivot PP Visa'!$A$3,"Mese",12,"Tipologia",$A229),0)
- IFERROR(GETPIVOTDATA("Somma di AVERE",'Pivot PP Visa'!$A$3,"Mese",12,"Tipologia",$A229),0)
+ IFERROR(GETPIVOTDATA("Somma di DARE",'Pivot Revolut'!$A$3,"Mese",12,"Tipologia",$A229),0)
- IFERROR(GETPIVOTDATA("Somma di AVERE",'Pivot Revolut'!$A$3,"Mese",12,"Tipologia",$A229),0)</f>
        <v>0</v>
      </c>
      <c r="O229" s="252">
        <f t="shared" si="43"/>
        <v>97</v>
      </c>
      <c r="P229" s="243">
        <f t="shared" ca="1" si="42"/>
        <v>13.857142857142858</v>
      </c>
    </row>
    <row r="230" spans="1:16" s="125" customFormat="1" ht="21" customHeight="1" x14ac:dyDescent="0.2">
      <c r="A230" s="251"/>
      <c r="B230" s="251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60"/>
      <c r="O230" s="243"/>
      <c r="P230" s="243"/>
    </row>
    <row r="231" spans="1:16" s="125" customFormat="1" ht="21" customHeight="1" x14ac:dyDescent="0.2">
      <c r="A231" s="255" t="s">
        <v>140</v>
      </c>
      <c r="B231" s="255"/>
      <c r="C231" s="256">
        <f t="shared" ref="C231:N231" si="44">SUM(C232:C234)</f>
        <v>0</v>
      </c>
      <c r="D231" s="256">
        <f t="shared" si="44"/>
        <v>0</v>
      </c>
      <c r="E231" s="256">
        <f t="shared" si="44"/>
        <v>0</v>
      </c>
      <c r="F231" s="256">
        <f t="shared" si="44"/>
        <v>0</v>
      </c>
      <c r="G231" s="256">
        <f t="shared" si="44"/>
        <v>0</v>
      </c>
      <c r="H231" s="256">
        <f t="shared" si="44"/>
        <v>0</v>
      </c>
      <c r="I231" s="256">
        <f t="shared" si="44"/>
        <v>548.01</v>
      </c>
      <c r="J231" s="256">
        <f t="shared" si="44"/>
        <v>0</v>
      </c>
      <c r="K231" s="256">
        <f t="shared" si="44"/>
        <v>0</v>
      </c>
      <c r="L231" s="256">
        <f t="shared" si="44"/>
        <v>0</v>
      </c>
      <c r="M231" s="256">
        <f t="shared" si="44"/>
        <v>0</v>
      </c>
      <c r="N231" s="256">
        <f t="shared" si="44"/>
        <v>0</v>
      </c>
      <c r="O231" s="257">
        <f>SUM(C231:N231)</f>
        <v>548.01</v>
      </c>
      <c r="P231" s="256">
        <f ca="1">SUM(P232:P234)</f>
        <v>78.287142857142854</v>
      </c>
    </row>
    <row r="232" spans="1:16" s="125" customFormat="1" ht="21" customHeight="1" x14ac:dyDescent="0.2">
      <c r="A232" s="251" t="s">
        <v>124</v>
      </c>
      <c r="B232" s="251"/>
      <c r="C232" s="243">
        <f>IFERROR(GETPIVOTDATA("Somma di DARE EUR",'Pivot RakBank AED'!$A$3,"Mese",1,"Tipologia",$A232),0)
- IFERROR(GETPIVOTDATA("Somma di AVERE EUR",'Pivot RakBank AED'!$A$3,"Mese",1,"Tipologia",$A232),0)
+IFERROR(GETPIVOTDATA("Somma di DARE",'Pivot RakBank EUR'!$A$3,"Mese",1,"Tipologia",$A232),0)
- IFERROR(GETPIVOTDATA("Somma di AVERE",'Pivot RakBank EUR'!$A$3,"Mese",1,"Tipologia",$A232),0)
+IFERROR(GETPIVOTDATA("Somma di DARE",'Pivot Fineco Sa'!$A$3,"Mese",1,"Tipologia",$A232),0)
+ IFERROR(GETPIVOTDATA("Somma di DARE",'Pivot Fineco St'!$A$3,"Mese",1,"Tipologia",$A232),0)
+ Contanti!B94
+ IFERROR(GETPIVOTDATA("Somma di DARE",'Pivot BBVA'!$A$3,"Mese",1,"Tipologia",$A232),0)
+ IFERROR(GETPIVOTDATA("Somma di DARE",'Pivot Amex'!$A$3,"Mese",1,"Tipologia",$A232),0)
- IFERROR(GETPIVOTDATA("Somma di AVERE",'Pivot Amex'!$A$3,"Mese",1,"Tipologia",$A232),0)
- IFERROR(GETPIVOTDATA("Somma di AVERE",'Pivot BBVA'!$A$3,"Mese",1,"Tipologia",$A232),0)
- IFERROR(GETPIVOTDATA("Somma di AVERE",'Pivot Fineco St'!$A$3,"Mese",1,"Tipologia",$A232),0)
- IFERROR(GETPIVOTDATA("Somma di AVERE",'Pivot Fineco Sa'!$A$3,"Mese",1,"Tipologia",$A232),0)
+ IFERROR(GETPIVOTDATA("Somma di DARE",'Pivot PP Visa'!$A$3,"Mese",1,"Tipologia",$A232),0)
- IFERROR(GETPIVOTDATA("Somma di AVERE",'Pivot PP Visa'!$A$3,"Mese",1,"Tipologia",$A232),0)
+ IFERROR(GETPIVOTDATA("Somma di DARE",'Pivot Revolut'!$A$3,"Mese",1,"Tipologia",$A232),0)
- IFERROR(GETPIVOTDATA("Somma di AVERE",'Pivot Revolut'!$A$3,"Mese",1,"Tipologia",$A232),0)</f>
        <v>0</v>
      </c>
      <c r="D232" s="243">
        <f>IFERROR(GETPIVOTDATA("Somma di DARE EUR",'Pivot RakBank AED'!$A$3,"Mese",2,"Tipologia",$A232),0)
- IFERROR(GETPIVOTDATA("Somma di AVERE EUR",'Pivot RakBank AED'!$A$3,"Mese",2,"Tipologia",$A232),0)
+IFERROR(GETPIVOTDATA("Somma di DARE",'Pivot RakBank EUR'!$A$3,"Mese",2,"Tipologia",$A232),0)
- IFERROR(GETPIVOTDATA("Somma di AVERE",'Pivot RakBank EUR'!$A$3,"Mese",2,"Tipologia",$A232),0)
+IFERROR(GETPIVOTDATA("Somma di DARE",'Pivot Fineco Sa'!$A$3,"Mese",2,"Tipologia",$A232),0)
+ IFERROR(GETPIVOTDATA("Somma di DARE",'Pivot Fineco St'!$A$3,"Mese",2,"Tipologia",$A232),0)
+ Contanti!F94
+ IFERROR(GETPIVOTDATA("Somma di DARE",'Pivot BBVA'!$A$3,"Mese",2,"Tipologia",$A232),0)
+ IFERROR(GETPIVOTDATA("Somma di DARE",'Pivot Amex'!$A$3,"Mese",2,"Tipologia",$A232),0)
- IFERROR(GETPIVOTDATA("Somma di AVERE",'Pivot Amex'!$A$3,"Mese",2,"Tipologia",$A232),0)
- IFERROR(GETPIVOTDATA("Somma di AVERE",'Pivot BBVA'!$A$3,"Mese",2,"Tipologia",$A232),0)
- IFERROR(GETPIVOTDATA("Somma di AVERE",'Pivot Fineco St'!$A$3,"Mese",2,"Tipologia",$A232),0)
- IFERROR(GETPIVOTDATA("Somma di AVERE",'Pivot Fineco Sa'!$A$3,"Mese",2,"Tipologia",$A232),0)
+ IFERROR(GETPIVOTDATA("Somma di DARE",'Pivot PP Visa'!$A$3,"Mese",2,"Tipologia",$A232),0)
- IFERROR(GETPIVOTDATA("Somma di AVERE",'Pivot PP Visa'!$A$3,"Mese",2,"Tipologia",$A232),0)
+ IFERROR(GETPIVOTDATA("Somma di DARE",'Pivot Revolut'!$A$3,"Mese",2,"Tipologia",$A232),0)
- IFERROR(GETPIVOTDATA("Somma di AVERE",'Pivot Revolut'!$A$3,"Mese",2,"Tipologia",$A232),0)</f>
        <v>0</v>
      </c>
      <c r="E232" s="243">
        <f>IFERROR(GETPIVOTDATA("Somma di DARE EUR",'Pivot RakBank AED'!$A$3,"Mese",3,"Tipologia",$A232),0)
- IFERROR(GETPIVOTDATA("Somma di AVERE EUR",'Pivot RakBank AED'!$A$3,"Mese",3,"Tipologia",$A232),0)
+IFERROR(GETPIVOTDATA("Somma di DARE",'Pivot RakBank EUR'!$A$3,"Mese",3,"Tipologia",$A232),0)
- IFERROR(GETPIVOTDATA("Somma di AVERE",'Pivot RakBank EUR'!$A$3,"Mese",3,"Tipologia",$A232),0)
+IFERROR(GETPIVOTDATA("Somma di DARE",'Pivot Fineco Sa'!$A$3,"Mese",3,"Tipologia",$A232),0)
+ IFERROR(GETPIVOTDATA("Somma di DARE",'Pivot Fineco St'!$A$3,"Mese",3,"Tipologia",$A232),0)
+ Contanti!J94
+ IFERROR(GETPIVOTDATA("Somma di DARE",'Pivot BBVA'!$A$3,"Mese",3,"Tipologia",$A232),0)
+ IFERROR(GETPIVOTDATA("Somma di DARE",'Pivot Amex'!$A$3,"Mese",3,"Tipologia",$A232),0)
- IFERROR(GETPIVOTDATA("Somma di AVERE",'Pivot Amex'!$A$3,"Mese",3,"Tipologia",$A232),0)
- IFERROR(GETPIVOTDATA("Somma di AVERE",'Pivot BBVA'!$A$3,"Mese",3,"Tipologia",$A232),0)
- IFERROR(GETPIVOTDATA("Somma di AVERE",'Pivot Fineco St'!$A$3,"Mese",3,"Tipologia",$A232),0)
- IFERROR(GETPIVOTDATA("Somma di AVERE",'Pivot Fineco Sa'!$A$3,"Mese",3,"Tipologia",$A232),0)
+ IFERROR(GETPIVOTDATA("Somma di DARE",'Pivot PP Visa'!$A$3,"Mese",3,"Tipologia",$A232),0)
- IFERROR(GETPIVOTDATA("Somma di AVERE",'Pivot PP Visa'!$A$3,"Mese",3,"Tipologia",$A232),0)
+ IFERROR(GETPIVOTDATA("Somma di DARE",'Pivot Revolut'!$A$3,"Mese",3,"Tipologia",$A232),0)
- IFERROR(GETPIVOTDATA("Somma di AVERE",'Pivot Revolut'!$A$3,"Mese",3,"Tipologia",$A232),0)</f>
        <v>0</v>
      </c>
      <c r="F232" s="243">
        <f>IFERROR(GETPIVOTDATA("Somma di DARE EUR",'Pivot RakBank AED'!$A$3,"Mese",4,"Tipologia",$A232),0)
- IFERROR(GETPIVOTDATA("Somma di AVERE EUR",'Pivot RakBank AED'!$A$3,"Mese",4,"Tipologia",$A232),0)
+IFERROR(GETPIVOTDATA("Somma di DARE",'Pivot RakBank EUR'!$A$3,"Mese",4,"Tipologia",$A232),0)
- IFERROR(GETPIVOTDATA("Somma di AVERE",'Pivot RakBank EUR'!$A$3,"Mese",4,"Tipologia",$A232),0)
+IFERROR(GETPIVOTDATA("Somma di DARE",'Pivot Fineco Sa'!$A$3,"Mese",4,"Tipologia",$A232),0)
+ IFERROR(GETPIVOTDATA("Somma di DARE",'Pivot Fineco St'!$A$3,"Mese",4,"Tipologia",$A232),0)
+ Contanti!N94
+ IFERROR(GETPIVOTDATA("Somma di DARE",'Pivot BBVA'!$A$3,"Mese",4,"Tipologia",$A232),0)
+ IFERROR(GETPIVOTDATA("Somma di DARE",'Pivot Amex'!$A$3,"Mese",4,"Tipologia",$A232),0)
- IFERROR(GETPIVOTDATA("Somma di AVERE",'Pivot Amex'!$A$3,"Mese",4,"Tipologia",$A232),0)
- IFERROR(GETPIVOTDATA("Somma di AVERE",'Pivot BBVA'!$A$3,"Mese",4,"Tipologia",$A232),0)
- IFERROR(GETPIVOTDATA("Somma di AVERE",'Pivot Fineco St'!$A$3,"Mese",4,"Tipologia",$A232),0)
- IFERROR(GETPIVOTDATA("Somma di AVERE",'Pivot Fineco Sa'!$A$3,"Mese",4,"Tipologia",$A232),0)
+ IFERROR(GETPIVOTDATA("Somma di DARE",'Pivot PP Visa'!$A$3,"Mese",4,"Tipologia",$A232),0)
- IFERROR(GETPIVOTDATA("Somma di AVERE",'Pivot PP Visa'!$A$3,"Mese",4,"Tipologia",$A232),0)
+ IFERROR(GETPIVOTDATA("Somma di DARE",'Pivot Revolut'!$A$3,"Mese",4,"Tipologia",$A232),0)
- IFERROR(GETPIVOTDATA("Somma di AVERE",'Pivot Revolut'!$A$3,"Mese",4,"Tipologia",$A232),0)</f>
        <v>0</v>
      </c>
      <c r="G232" s="243">
        <f>IFERROR(GETPIVOTDATA("Somma di DARE EUR",'Pivot RakBank AED'!$A$3,"Mese",5,"Tipologia",$A232),0)
- IFERROR(GETPIVOTDATA("Somma di AVERE EUR",'Pivot RakBank AED'!$A$3,"Mese",5,"Tipologia",$A232),0)
+IFERROR(GETPIVOTDATA("Somma di DARE",'Pivot RakBank EUR'!$A$3,"Mese",5,"Tipologia",$A232),0)
- IFERROR(GETPIVOTDATA("Somma di AVERE",'Pivot RakBank EUR'!$A$3,"Mese",5,"Tipologia",$A232),0)
+IFERROR(GETPIVOTDATA("Somma di DARE",'Pivot Fineco Sa'!$A$3,"Mese",5,"Tipologia",$A232),0)
+ IFERROR(GETPIVOTDATA("Somma di DARE",'Pivot Fineco St'!$A$3,"Mese",5,"Tipologia",$A232),0)
+ Contanti!R94
+ IFERROR(GETPIVOTDATA("Somma di DARE",'Pivot BBVA'!$A$3,"Mese",5,"Tipologia",$A232),0)
+ IFERROR(GETPIVOTDATA("Somma di DARE",'Pivot Amex'!$A$3,"Mese",5,"Tipologia",$A232),0)
- IFERROR(GETPIVOTDATA("Somma di AVERE",'Pivot Amex'!$A$3,"Mese",5,"Tipologia",$A232),0)
- IFERROR(GETPIVOTDATA("Somma di AVERE",'Pivot BBVA'!$A$3,"Mese",5,"Tipologia",$A232),0)
- IFERROR(GETPIVOTDATA("Somma di AVERE",'Pivot Fineco St'!$A$3,"Mese",5,"Tipologia",$A232),0)
- IFERROR(GETPIVOTDATA("Somma di AVERE",'Pivot Fineco Sa'!$A$3,"Mese",5,"Tipologia",$A232),0)
+ IFERROR(GETPIVOTDATA("Somma di DARE",'Pivot PP Visa'!$A$3,"Mese",5,"Tipologia",$A232),0)
- IFERROR(GETPIVOTDATA("Somma di AVERE",'Pivot PP Visa'!$A$3,"Mese",5,"Tipologia",$A232),0)
+ IFERROR(GETPIVOTDATA("Somma di DARE",'Pivot Revolut'!$A$3,"Mese",5,"Tipologia",$A232),0)
- IFERROR(GETPIVOTDATA("Somma di AVERE",'Pivot Revolut'!$A$3,"Mese",5,"Tipologia",$A232),0)</f>
        <v>0</v>
      </c>
      <c r="H232" s="243">
        <f>IFERROR(GETPIVOTDATA("Somma di DARE EUR",'Pivot RakBank AED'!$A$3,"Mese",6,"Tipologia",$A232),0)
- IFERROR(GETPIVOTDATA("Somma di AVERE EUR",'Pivot RakBank AED'!$A$3,"Mese",6,"Tipologia",$A232),0)
+IFERROR(GETPIVOTDATA("Somma di DARE",'Pivot RakBank EUR'!$A$3,"Mese",6,"Tipologia",$A232),0)
- IFERROR(GETPIVOTDATA("Somma di AVERE",'Pivot RakBank EUR'!$A$3,"Mese",6,"Tipologia",$A232),0)
+IFERROR(GETPIVOTDATA("Somma di DARE",'Pivot Fineco Sa'!$A$3,"Mese",6,"Tipologia",$A232),0)
+ IFERROR(GETPIVOTDATA("Somma di DARE",'Pivot Fineco St'!$A$3,"Mese",6,"Tipologia",$A232),0)
+ Contanti!V94
+ IFERROR(GETPIVOTDATA("Somma di DARE",'Pivot BBVA'!$A$3,"Mese",6,"Tipologia",$A232),0)
+ IFERROR(GETPIVOTDATA("Somma di DARE",'Pivot Amex'!$A$3,"Mese",6,"Tipologia",$A232),0)
- IFERROR(GETPIVOTDATA("Somma di AVERE",'Pivot Amex'!$A$3,"Mese",6,"Tipologia",$A232),0)
- IFERROR(GETPIVOTDATA("Somma di AVERE",'Pivot BBVA'!$A$3,"Mese",6,"Tipologia",$A232),0)
- IFERROR(GETPIVOTDATA("Somma di AVERE",'Pivot Fineco St'!$A$3,"Mese",6,"Tipologia",$A232),0)
- IFERROR(GETPIVOTDATA("Somma di AVERE",'Pivot Fineco Sa'!$A$3,"Mese",6,"Tipologia",$A232),0)
+ IFERROR(GETPIVOTDATA("Somma di DARE",'Pivot PP Visa'!$A$3,"Mese",6,"Tipologia",$A232),0)
- IFERROR(GETPIVOTDATA("Somma di AVERE",'Pivot PP Visa'!$A$3,"Mese",6,"Tipologia",$A232),0)
+ IFERROR(GETPIVOTDATA("Somma di DARE",'Pivot Revolut'!$A$3,"Mese",6,"Tipologia",$A232),0)
- IFERROR(GETPIVOTDATA("Somma di AVERE",'Pivot Revolut'!$A$3,"Mese",6,"Tipologia",$A232),0)</f>
        <v>0</v>
      </c>
      <c r="I232" s="243">
        <f>IFERROR(GETPIVOTDATA("Somma di DARE EUR",'Pivot RakBank AED'!$A$3,"Mese",7,"Tipologia",$A232),0)
- IFERROR(GETPIVOTDATA("Somma di AVERE EUR",'Pivot RakBank AED'!$A$3,"Mese",7,"Tipologia",$A232),0)
+IFERROR(GETPIVOTDATA("Somma di DARE",'Pivot RakBank EUR'!$A$3,"Mese",7,"Tipologia",$A232),0)
- IFERROR(GETPIVOTDATA("Somma di AVERE",'Pivot RakBank EUR'!$A$3,"Mese",7,"Tipologia",$A232),0)
+IFERROR(GETPIVOTDATA("Somma di DARE",'Pivot Fineco Sa'!$A$3,"Mese",7,"Tipologia",$A232),0)
+ IFERROR(GETPIVOTDATA("Somma di DARE",'Pivot Fineco St'!$A$3,"Mese",7,"Tipologia",$A232),0)
+ Contanti!Z94
+ IFERROR(GETPIVOTDATA("Somma di DARE",'Pivot BBVA'!$A$3,"Mese",7,"Tipologia",$A232),0)
+ IFERROR(GETPIVOTDATA("Somma di DARE",'Pivot Amex'!$A$3,"Mese",7,"Tipologia",$A232),0)
- IFERROR(GETPIVOTDATA("Somma di AVERE",'Pivot Amex'!$A$3,"Mese",7,"Tipologia",$A232),0)
- IFERROR(GETPIVOTDATA("Somma di AVERE",'Pivot BBVA'!$A$3,"Mese",7,"Tipologia",$A232),0)
- IFERROR(GETPIVOTDATA("Somma di AVERE",'Pivot Fineco St'!$A$3,"Mese",7,"Tipologia",$A232),0)
- IFERROR(GETPIVOTDATA("Somma di AVERE",'Pivot Fineco Sa'!$A$3,"Mese",7,"Tipologia",$A232),0)
+ IFERROR(GETPIVOTDATA("Somma di DARE",'Pivot PP Visa'!$A$3,"Mese",7,"Tipologia",$A232),0)
- IFERROR(GETPIVOTDATA("Somma di AVERE",'Pivot PP Visa'!$A$3,"Mese",7,"Tipologia",$A232),0)
+ IFERROR(GETPIVOTDATA("Somma di DARE",'Pivot Revolut'!$A$3,"Mese",7,"Tipologia",$A232),0)
- IFERROR(GETPIVOTDATA("Somma di AVERE",'Pivot Revolut'!$A$3,"Mese",7,"Tipologia",$A232),0)</f>
        <v>535.41</v>
      </c>
      <c r="J232" s="243">
        <f>IFERROR(GETPIVOTDATA("Somma di DARE EUR",'Pivot RakBank AED'!$A$3,"Mese",8,"Tipologia",$A232),0)
- IFERROR(GETPIVOTDATA("Somma di AVERE EUR",'Pivot RakBank AED'!$A$3,"Mese",8,"Tipologia",$A232),0)
+IFERROR(GETPIVOTDATA("Somma di DARE",'Pivot RakBank EUR'!$A$3,"Mese",8,"Tipologia",$A232),0)
- IFERROR(GETPIVOTDATA("Somma di AVERE",'Pivot RakBank EUR'!$A$3,"Mese",8,"Tipologia",$A232),0)
+IFERROR(GETPIVOTDATA("Somma di DARE",'Pivot Fineco Sa'!$A$3,"Mese",8,"Tipologia",$A232),0)
+ IFERROR(GETPIVOTDATA("Somma di DARE",'Pivot Fineco St'!$A$3,"Mese",8,"Tipologia",$A232),0)
+ Contanti!AD94
+ IFERROR(GETPIVOTDATA("Somma di DARE",'Pivot BBVA'!$A$3,"Mese",8,"Tipologia",$A232),0)
+ IFERROR(GETPIVOTDATA("Somma di DARE",'Pivot Amex'!$A$3,"Mese",8,"Tipologia",$A232),0)
- IFERROR(GETPIVOTDATA("Somma di AVERE",'Pivot Amex'!$A$3,"Mese",8,"Tipologia",$A232),0)
- IFERROR(GETPIVOTDATA("Somma di AVERE",'Pivot BBVA'!$A$3,"Mese",8,"Tipologia",$A232),0)
- IFERROR(GETPIVOTDATA("Somma di AVERE",'Pivot Fineco St'!$A$3,"Mese",8,"Tipologia",$A232),0)
- IFERROR(GETPIVOTDATA("Somma di AVERE",'Pivot Fineco Sa'!$A$3,"Mese",8,"Tipologia",$A232),0)
+ IFERROR(GETPIVOTDATA("Somma di DARE",'Pivot PP Visa'!$A$3,"Mese",8,"Tipologia",$A232),0)
- IFERROR(GETPIVOTDATA("Somma di AVERE",'Pivot PP Visa'!$A$3,"Mese",8,"Tipologia",$A232),0)
+ IFERROR(GETPIVOTDATA("Somma di DARE",'Pivot Revolut'!$A$3,"Mese",8,"Tipologia",$A232),0)
- IFERROR(GETPIVOTDATA("Somma di AVERE",'Pivot Revolut'!$A$3,"Mese",8,"Tipologia",$A232),0)</f>
        <v>0</v>
      </c>
      <c r="K232" s="243">
        <f>IFERROR(GETPIVOTDATA("Somma di DARE EUR",'Pivot RakBank AED'!$A$3,"Mese",9,"Tipologia",$A232),0)
- IFERROR(GETPIVOTDATA("Somma di AVERE EUR",'Pivot RakBank AED'!$A$3,"Mese",9,"Tipologia",$A232),0)
+IFERROR(GETPIVOTDATA("Somma di DARE",'Pivot RakBank EUR'!$A$3,"Mese",9,"Tipologia",$A232),0)
- IFERROR(GETPIVOTDATA("Somma di AVERE",'Pivot RakBank EUR'!$A$3,"Mese",9,"Tipologia",$A232),0)
+IFERROR(GETPIVOTDATA("Somma di DARE",'Pivot Fineco Sa'!$A$3,"Mese",9,"Tipologia",$A232),0)
+ IFERROR(GETPIVOTDATA("Somma di DARE",'Pivot Fineco St'!$A$3,"Mese",9,"Tipologia",$A232),0)
+ Contanti!AH94
+ IFERROR(GETPIVOTDATA("Somma di DARE",'Pivot BBVA'!$A$3,"Mese",9,"Tipologia",$A232),0)
+ IFERROR(GETPIVOTDATA("Somma di DARE",'Pivot Amex'!$A$3,"Mese",9,"Tipologia",$A232),0)
- IFERROR(GETPIVOTDATA("Somma di AVERE",'Pivot Amex'!$A$3,"Mese",9,"Tipologia",$A232),0)
- IFERROR(GETPIVOTDATA("Somma di AVERE",'Pivot BBVA'!$A$3,"Mese",9,"Tipologia",$A232),0)
- IFERROR(GETPIVOTDATA("Somma di AVERE",'Pivot Fineco St'!$A$3,"Mese",9,"Tipologia",$A232),0)
- IFERROR(GETPIVOTDATA("Somma di AVERE",'Pivot Fineco Sa'!$A$3,"Mese",9,"Tipologia",$A232),0)
+ IFERROR(GETPIVOTDATA("Somma di DARE",'Pivot PP Visa'!$A$3,"Mese",9,"Tipologia",$A232),0)
- IFERROR(GETPIVOTDATA("Somma di AVERE",'Pivot PP Visa'!$A$3,"Mese",9,"Tipologia",$A232),0)
+ IFERROR(GETPIVOTDATA("Somma di DARE",'Pivot Revolut'!$A$3,"Mese",9,"Tipologia",$A232),0)
- IFERROR(GETPIVOTDATA("Somma di AVERE",'Pivot Revolut'!$A$3,"Mese",9,"Tipologia",$A232),0)</f>
        <v>0</v>
      </c>
      <c r="L232" s="243">
        <f>IFERROR(GETPIVOTDATA("Somma di DARE EUR",'Pivot RakBank AED'!$A$3,"Mese",10,"Tipologia",$A232),0)
- IFERROR(GETPIVOTDATA("Somma di AVERE EUR",'Pivot RakBank AED'!$A$3,"Mese",10,"Tipologia",$A232),0)
+IFERROR(GETPIVOTDATA("Somma di DARE",'Pivot RakBank EUR'!$A$3,"Mese",10,"Tipologia",$A232),0)
- IFERROR(GETPIVOTDATA("Somma di AVERE",'Pivot RakBank EUR'!$A$3,"Mese",10,"Tipologia",$A232),0)
+IFERROR(GETPIVOTDATA("Somma di DARE",'Pivot Fineco Sa'!$A$3,"Mese",10,"Tipologia",$A232),0)
+ IFERROR(GETPIVOTDATA("Somma di DARE",'Pivot Fineco St'!$A$3,"Mese",10,"Tipologia",$A232),0)
+ Contanti!AL94
+ IFERROR(GETPIVOTDATA("Somma di DARE",'Pivot BBVA'!$A$3,"Mese",10,"Tipologia",$A232),0)
+ IFERROR(GETPIVOTDATA("Somma di DARE",'Pivot Amex'!$A$3,"Mese",10,"Tipologia",$A232),0)
- IFERROR(GETPIVOTDATA("Somma di AVERE",'Pivot Amex'!$A$3,"Mese",10,"Tipologia",$A232),0)
- IFERROR(GETPIVOTDATA("Somma di AVERE",'Pivot BBVA'!$A$3,"Mese",10,"Tipologia",$A232),0)
- IFERROR(GETPIVOTDATA("Somma di AVERE",'Pivot Fineco St'!$A$3,"Mese",10,"Tipologia",$A232),0)
- IFERROR(GETPIVOTDATA("Somma di AVERE",'Pivot Fineco Sa'!$A$3,"Mese",10,"Tipologia",$A232),0)
+ IFERROR(GETPIVOTDATA("Somma di DARE",'Pivot PP Visa'!$A$3,"Mese",10,"Tipologia",$A232),0)
- IFERROR(GETPIVOTDATA("Somma di AVERE",'Pivot PP Visa'!$A$3,"Mese",10,"Tipologia",$A232),0)
+ IFERROR(GETPIVOTDATA("Somma di DARE",'Pivot Revolut'!$A$3,"Mese",10,"Tipologia",$A232),0)
- IFERROR(GETPIVOTDATA("Somma di AVERE",'Pivot Revolut'!$A$3,"Mese",10,"Tipologia",$A232),0)</f>
        <v>0</v>
      </c>
      <c r="M232" s="243">
        <f>IFERROR(GETPIVOTDATA("Somma di DARE EUR",'Pivot RakBank AED'!$A$3,"Mese",11,"Tipologia",$A232),0)
- IFERROR(GETPIVOTDATA("Somma di AVERE EUR",'Pivot RakBank AED'!$A$3,"Mese",11,"Tipologia",$A232),0)
+IFERROR(GETPIVOTDATA("Somma di DARE",'Pivot RakBank EUR'!$A$3,"Mese",11,"Tipologia",$A232),0)
- IFERROR(GETPIVOTDATA("Somma di AVERE",'Pivot RakBank EUR'!$A$3,"Mese",11,"Tipologia",$A232),0)
+IFERROR(GETPIVOTDATA("Somma di DARE",'Pivot Fineco Sa'!$A$3,"Mese",11,"Tipologia",$A232),0)
+ IFERROR(GETPIVOTDATA("Somma di DARE",'Pivot Fineco St'!$A$3,"Mese",11,"Tipologia",$A232),0)
+ Contanti!AP94
+ IFERROR(GETPIVOTDATA("Somma di DARE",'Pivot BBVA'!$A$3,"Mese",11,"Tipologia",$A232),0)
+ IFERROR(GETPIVOTDATA("Somma di DARE",'Pivot Amex'!$A$3,"Mese",11,"Tipologia",$A232),0)
- IFERROR(GETPIVOTDATA("Somma di AVERE",'Pivot Amex'!$A$3,"Mese",11,"Tipologia",$A232),0)
- IFERROR(GETPIVOTDATA("Somma di AVERE",'Pivot BBVA'!$A$3,"Mese",11,"Tipologia",$A232),0)
- IFERROR(GETPIVOTDATA("Somma di AVERE",'Pivot Fineco St'!$A$3,"Mese",11,"Tipologia",$A232),0)
- IFERROR(GETPIVOTDATA("Somma di AVERE",'Pivot Fineco Sa'!$A$3,"Mese",11,"Tipologia",$A232),0)
+ IFERROR(GETPIVOTDATA("Somma di DARE",'Pivot PP Visa'!$A$3,"Mese",11,"Tipologia",$A232),0)
- IFERROR(GETPIVOTDATA("Somma di AVERE",'Pivot PP Visa'!$A$3,"Mese",11,"Tipologia",$A232),0)
+ IFERROR(GETPIVOTDATA("Somma di DARE",'Pivot Revolut'!$A$3,"Mese",11,"Tipologia",$A232),0)
- IFERROR(GETPIVOTDATA("Somma di AVERE",'Pivot Revolut'!$A$3,"Mese",11,"Tipologia",$A232),0)</f>
        <v>0</v>
      </c>
      <c r="N232" s="243">
        <f>IFERROR(GETPIVOTDATA("Somma di DARE EUR",'Pivot RakBank AED'!$A$3,"Mese",12,"Tipologia",$A232),0)
- IFERROR(GETPIVOTDATA("Somma di AVERE EUR",'Pivot RakBank AED'!$A$3,"Mese",12,"Tipologia",$A232),0)
+IFERROR(GETPIVOTDATA("Somma di DARE",'Pivot RakBank EUR'!$A$3,"Mese",12,"Tipologia",$A232),0)
- IFERROR(GETPIVOTDATA("Somma di AVERE",'Pivot RakBank EUR'!$A$3,"Mese",12,"Tipologia",$A232),0)
+IFERROR(GETPIVOTDATA("Somma di DARE",'Pivot Fineco Sa'!$A$3,"Mese",12,"Tipologia",$A232),0)
+ IFERROR(GETPIVOTDATA("Somma di DARE",'Pivot Fineco St'!$A$3,"Mese",12,"Tipologia",$A232),0)
+ Contanti!AT94
+ IFERROR(GETPIVOTDATA("Somma di DARE",'Pivot BBVA'!$A$3,"Mese",12,"Tipologia",$A232),0)
+ IFERROR(GETPIVOTDATA("Somma di DARE",'Pivot Amex'!$A$3,"Mese",12,"Tipologia",$A232),0)
- IFERROR(GETPIVOTDATA("Somma di AVERE",'Pivot Amex'!$A$3,"Mese",12,"Tipologia",$A232),0)
- IFERROR(GETPIVOTDATA("Somma di AVERE",'Pivot BBVA'!$A$3,"Mese",12,"Tipologia",$A232),0)
- IFERROR(GETPIVOTDATA("Somma di AVERE",'Pivot Fineco St'!$A$3,"Mese",12,"Tipologia",$A232),0)
- IFERROR(GETPIVOTDATA("Somma di AVERE",'Pivot Fineco Sa'!$A$3,"Mese",12,"Tipologia",$A232),0)
+ IFERROR(GETPIVOTDATA("Somma di DARE",'Pivot PP Visa'!$A$3,"Mese",12,"Tipologia",$A232),0)
- IFERROR(GETPIVOTDATA("Somma di AVERE",'Pivot PP Visa'!$A$3,"Mese",12,"Tipologia",$A232),0)
+ IFERROR(GETPIVOTDATA("Somma di DARE",'Pivot Revolut'!$A$3,"Mese",12,"Tipologia",$A232),0)
- IFERROR(GETPIVOTDATA("Somma di AVERE",'Pivot Revolut'!$A$3,"Mese",12,"Tipologia",$A232),0)</f>
        <v>0</v>
      </c>
      <c r="O232" s="252">
        <f>SUM(C232:N232)</f>
        <v>535.41</v>
      </c>
      <c r="P232" s="243">
        <f t="shared" ref="P232:P234" ca="1" si="45">O232/(MONTH(TODAY()))</f>
        <v>76.487142857142857</v>
      </c>
    </row>
    <row r="233" spans="1:16" s="125" customFormat="1" ht="21" customHeight="1" x14ac:dyDescent="0.2">
      <c r="A233" s="251" t="s">
        <v>140</v>
      </c>
      <c r="B233" s="251"/>
      <c r="C233" s="243">
        <f>IFERROR(GETPIVOTDATA("Somma di DARE EUR",'Pivot RakBank AED'!$A$3,"Mese",1,"Tipologia",$A233),0)
- IFERROR(GETPIVOTDATA("Somma di AVERE EUR",'Pivot RakBank AED'!$A$3,"Mese",1,"Tipologia",$A233),0)
+IFERROR(GETPIVOTDATA("Somma di DARE",'Pivot RakBank EUR'!$A$3,"Mese",1,"Tipologia",$A233),0)
- IFERROR(GETPIVOTDATA("Somma di AVERE",'Pivot RakBank EUR'!$A$3,"Mese",1,"Tipologia",$A233),0)
+IFERROR(GETPIVOTDATA("Somma di DARE",'Pivot Fineco Sa'!$A$3,"Mese",1,"Tipologia",$A233),0)
+ IFERROR(GETPIVOTDATA("Somma di DARE",'Pivot Fineco St'!$A$3,"Mese",1,"Tipologia",$A233),0)
+ Contanti!B95
+ IFERROR(GETPIVOTDATA("Somma di DARE",'Pivot BBVA'!$A$3,"Mese",1,"Tipologia",$A233),0)
+ IFERROR(GETPIVOTDATA("Somma di DARE",'Pivot Amex'!$A$3,"Mese",1,"Tipologia",$A233),0)
- IFERROR(GETPIVOTDATA("Somma di AVERE",'Pivot Amex'!$A$3,"Mese",1,"Tipologia",$A233),0)
- IFERROR(GETPIVOTDATA("Somma di AVERE",'Pivot BBVA'!$A$3,"Mese",1,"Tipologia",$A233),0)
- IFERROR(GETPIVOTDATA("Somma di AVERE",'Pivot Fineco St'!$A$3,"Mese",1,"Tipologia",$A233),0)
- IFERROR(GETPIVOTDATA("Somma di AVERE",'Pivot Fineco Sa'!$A$3,"Mese",1,"Tipologia",$A233),0)
+ IFERROR(GETPIVOTDATA("Somma di DARE",'Pivot PP Visa'!$A$3,"Mese",1,"Tipologia",$A233),0)
- IFERROR(GETPIVOTDATA("Somma di AVERE",'Pivot PP Visa'!$A$3,"Mese",1,"Tipologia",$A233),0)
+ IFERROR(GETPIVOTDATA("Somma di DARE",'Pivot Revolut'!$A$3,"Mese",1,"Tipologia",$A233),0)
- IFERROR(GETPIVOTDATA("Somma di AVERE",'Pivot Revolut'!$A$3,"Mese",1,"Tipologia",$A233),0)</f>
        <v>0</v>
      </c>
      <c r="D233" s="243">
        <f>IFERROR(GETPIVOTDATA("Somma di DARE EUR",'Pivot RakBank AED'!$A$3,"Mese",2,"Tipologia",$A233),0)
- IFERROR(GETPIVOTDATA("Somma di AVERE EUR",'Pivot RakBank AED'!$A$3,"Mese",2,"Tipologia",$A233),0)
+IFERROR(GETPIVOTDATA("Somma di DARE",'Pivot RakBank EUR'!$A$3,"Mese",2,"Tipologia",$A233),0)
- IFERROR(GETPIVOTDATA("Somma di AVERE",'Pivot RakBank EUR'!$A$3,"Mese",2,"Tipologia",$A233),0)
+IFERROR(GETPIVOTDATA("Somma di DARE",'Pivot Fineco Sa'!$A$3,"Mese",2,"Tipologia",$A233),0)
+ IFERROR(GETPIVOTDATA("Somma di DARE",'Pivot Fineco St'!$A$3,"Mese",2,"Tipologia",$A233),0)
+ Contanti!F95
+ IFERROR(GETPIVOTDATA("Somma di DARE",'Pivot BBVA'!$A$3,"Mese",2,"Tipologia",$A233),0)
+ IFERROR(GETPIVOTDATA("Somma di DARE",'Pivot Amex'!$A$3,"Mese",2,"Tipologia",$A233),0)
- IFERROR(GETPIVOTDATA("Somma di AVERE",'Pivot Amex'!$A$3,"Mese",2,"Tipologia",$A233),0)
- IFERROR(GETPIVOTDATA("Somma di AVERE",'Pivot BBVA'!$A$3,"Mese",2,"Tipologia",$A233),0)
- IFERROR(GETPIVOTDATA("Somma di AVERE",'Pivot Fineco St'!$A$3,"Mese",2,"Tipologia",$A233),0)
- IFERROR(GETPIVOTDATA("Somma di AVERE",'Pivot Fineco Sa'!$A$3,"Mese",2,"Tipologia",$A233),0)
+ IFERROR(GETPIVOTDATA("Somma di DARE",'Pivot PP Visa'!$A$3,"Mese",2,"Tipologia",$A233),0)
- IFERROR(GETPIVOTDATA("Somma di AVERE",'Pivot PP Visa'!$A$3,"Mese",2,"Tipologia",$A233),0)
+ IFERROR(GETPIVOTDATA("Somma di DARE",'Pivot Revolut'!$A$3,"Mese",2,"Tipologia",$A233),0)
- IFERROR(GETPIVOTDATA("Somma di AVERE",'Pivot Revolut'!$A$3,"Mese",2,"Tipologia",$A233),0)</f>
        <v>0</v>
      </c>
      <c r="E233" s="243">
        <f>IFERROR(GETPIVOTDATA("Somma di DARE EUR",'Pivot RakBank AED'!$A$3,"Mese",3,"Tipologia",$A233),0)
- IFERROR(GETPIVOTDATA("Somma di AVERE EUR",'Pivot RakBank AED'!$A$3,"Mese",3,"Tipologia",$A233),0)
+IFERROR(GETPIVOTDATA("Somma di DARE",'Pivot RakBank EUR'!$A$3,"Mese",3,"Tipologia",$A233),0)
- IFERROR(GETPIVOTDATA("Somma di AVERE",'Pivot RakBank EUR'!$A$3,"Mese",3,"Tipologia",$A233),0)
+IFERROR(GETPIVOTDATA("Somma di DARE",'Pivot Fineco Sa'!$A$3,"Mese",3,"Tipologia",$A233),0)
+ IFERROR(GETPIVOTDATA("Somma di DARE",'Pivot Fineco St'!$A$3,"Mese",3,"Tipologia",$A233),0)
+ Contanti!J95
+ IFERROR(GETPIVOTDATA("Somma di DARE",'Pivot BBVA'!$A$3,"Mese",3,"Tipologia",$A233),0)
+ IFERROR(GETPIVOTDATA("Somma di DARE",'Pivot Amex'!$A$3,"Mese",3,"Tipologia",$A233),0)
- IFERROR(GETPIVOTDATA("Somma di AVERE",'Pivot Amex'!$A$3,"Mese",3,"Tipologia",$A233),0)
- IFERROR(GETPIVOTDATA("Somma di AVERE",'Pivot BBVA'!$A$3,"Mese",3,"Tipologia",$A233),0)
- IFERROR(GETPIVOTDATA("Somma di AVERE",'Pivot Fineco St'!$A$3,"Mese",3,"Tipologia",$A233),0)
- IFERROR(GETPIVOTDATA("Somma di AVERE",'Pivot Fineco Sa'!$A$3,"Mese",3,"Tipologia",$A233),0)
+ IFERROR(GETPIVOTDATA("Somma di DARE",'Pivot PP Visa'!$A$3,"Mese",3,"Tipologia",$A233),0)
- IFERROR(GETPIVOTDATA("Somma di AVERE",'Pivot PP Visa'!$A$3,"Mese",3,"Tipologia",$A233),0)
+ IFERROR(GETPIVOTDATA("Somma di DARE",'Pivot Revolut'!$A$3,"Mese",3,"Tipologia",$A233),0)
- IFERROR(GETPIVOTDATA("Somma di AVERE",'Pivot Revolut'!$A$3,"Mese",3,"Tipologia",$A233),0)</f>
        <v>0</v>
      </c>
      <c r="F233" s="243">
        <f>IFERROR(GETPIVOTDATA("Somma di DARE EUR",'Pivot RakBank AED'!$A$3,"Mese",4,"Tipologia",$A233),0)
- IFERROR(GETPIVOTDATA("Somma di AVERE EUR",'Pivot RakBank AED'!$A$3,"Mese",4,"Tipologia",$A233),0)
+IFERROR(GETPIVOTDATA("Somma di DARE",'Pivot RakBank EUR'!$A$3,"Mese",4,"Tipologia",$A233),0)
- IFERROR(GETPIVOTDATA("Somma di AVERE",'Pivot RakBank EUR'!$A$3,"Mese",4,"Tipologia",$A233),0)
+IFERROR(GETPIVOTDATA("Somma di DARE",'Pivot Fineco Sa'!$A$3,"Mese",4,"Tipologia",$A233),0)
+ IFERROR(GETPIVOTDATA("Somma di DARE",'Pivot Fineco St'!$A$3,"Mese",4,"Tipologia",$A233),0)
+ Contanti!N95
+ IFERROR(GETPIVOTDATA("Somma di DARE",'Pivot BBVA'!$A$3,"Mese",4,"Tipologia",$A233),0)
+ IFERROR(GETPIVOTDATA("Somma di DARE",'Pivot Amex'!$A$3,"Mese",4,"Tipologia",$A233),0)
- IFERROR(GETPIVOTDATA("Somma di AVERE",'Pivot Amex'!$A$3,"Mese",4,"Tipologia",$A233),0)
- IFERROR(GETPIVOTDATA("Somma di AVERE",'Pivot BBVA'!$A$3,"Mese",4,"Tipologia",$A233),0)
- IFERROR(GETPIVOTDATA("Somma di AVERE",'Pivot Fineco St'!$A$3,"Mese",4,"Tipologia",$A233),0)
- IFERROR(GETPIVOTDATA("Somma di AVERE",'Pivot Fineco Sa'!$A$3,"Mese",4,"Tipologia",$A233),0)
+ IFERROR(GETPIVOTDATA("Somma di DARE",'Pivot PP Visa'!$A$3,"Mese",4,"Tipologia",$A233),0)
- IFERROR(GETPIVOTDATA("Somma di AVERE",'Pivot PP Visa'!$A$3,"Mese",4,"Tipologia",$A233),0)
+ IFERROR(GETPIVOTDATA("Somma di DARE",'Pivot Revolut'!$A$3,"Mese",4,"Tipologia",$A233),0)
- IFERROR(GETPIVOTDATA("Somma di AVERE",'Pivot Revolut'!$A$3,"Mese",4,"Tipologia",$A233),0)</f>
        <v>0</v>
      </c>
      <c r="G233" s="243">
        <f>IFERROR(GETPIVOTDATA("Somma di DARE EUR",'Pivot RakBank AED'!$A$3,"Mese",5,"Tipologia",$A233),0)
- IFERROR(GETPIVOTDATA("Somma di AVERE EUR",'Pivot RakBank AED'!$A$3,"Mese",5,"Tipologia",$A233),0)
+IFERROR(GETPIVOTDATA("Somma di DARE",'Pivot RakBank EUR'!$A$3,"Mese",5,"Tipologia",$A233),0)
- IFERROR(GETPIVOTDATA("Somma di AVERE",'Pivot RakBank EUR'!$A$3,"Mese",5,"Tipologia",$A233),0)
+IFERROR(GETPIVOTDATA("Somma di DARE",'Pivot Fineco Sa'!$A$3,"Mese",5,"Tipologia",$A233),0)
+ IFERROR(GETPIVOTDATA("Somma di DARE",'Pivot Fineco St'!$A$3,"Mese",5,"Tipologia",$A233),0)
+ Contanti!R95
+ IFERROR(GETPIVOTDATA("Somma di DARE",'Pivot BBVA'!$A$3,"Mese",5,"Tipologia",$A233),0)
+ IFERROR(GETPIVOTDATA("Somma di DARE",'Pivot Amex'!$A$3,"Mese",5,"Tipologia",$A233),0)
- IFERROR(GETPIVOTDATA("Somma di AVERE",'Pivot Amex'!$A$3,"Mese",5,"Tipologia",$A233),0)
- IFERROR(GETPIVOTDATA("Somma di AVERE",'Pivot BBVA'!$A$3,"Mese",5,"Tipologia",$A233),0)
- IFERROR(GETPIVOTDATA("Somma di AVERE",'Pivot Fineco St'!$A$3,"Mese",5,"Tipologia",$A233),0)
- IFERROR(GETPIVOTDATA("Somma di AVERE",'Pivot Fineco Sa'!$A$3,"Mese",5,"Tipologia",$A233),0)
+ IFERROR(GETPIVOTDATA("Somma di DARE",'Pivot PP Visa'!$A$3,"Mese",5,"Tipologia",$A233),0)
- IFERROR(GETPIVOTDATA("Somma di AVERE",'Pivot PP Visa'!$A$3,"Mese",5,"Tipologia",$A233),0)
+ IFERROR(GETPIVOTDATA("Somma di DARE",'Pivot Revolut'!$A$3,"Mese",5,"Tipologia",$A233),0)
- IFERROR(GETPIVOTDATA("Somma di AVERE",'Pivot Revolut'!$A$3,"Mese",5,"Tipologia",$A233),0)</f>
        <v>0</v>
      </c>
      <c r="H233" s="243">
        <f>IFERROR(GETPIVOTDATA("Somma di DARE EUR",'Pivot RakBank AED'!$A$3,"Mese",6,"Tipologia",$A233),0)
- IFERROR(GETPIVOTDATA("Somma di AVERE EUR",'Pivot RakBank AED'!$A$3,"Mese",6,"Tipologia",$A233),0)
+IFERROR(GETPIVOTDATA("Somma di DARE",'Pivot RakBank EUR'!$A$3,"Mese",6,"Tipologia",$A233),0)
- IFERROR(GETPIVOTDATA("Somma di AVERE",'Pivot RakBank EUR'!$A$3,"Mese",6,"Tipologia",$A233),0)
+IFERROR(GETPIVOTDATA("Somma di DARE",'Pivot Fineco Sa'!$A$3,"Mese",6,"Tipologia",$A233),0)
+ IFERROR(GETPIVOTDATA("Somma di DARE",'Pivot Fineco St'!$A$3,"Mese",6,"Tipologia",$A233),0)
+ Contanti!V95
+ IFERROR(GETPIVOTDATA("Somma di DARE",'Pivot BBVA'!$A$3,"Mese",6,"Tipologia",$A233),0)
+ IFERROR(GETPIVOTDATA("Somma di DARE",'Pivot Amex'!$A$3,"Mese",6,"Tipologia",$A233),0)
- IFERROR(GETPIVOTDATA("Somma di AVERE",'Pivot Amex'!$A$3,"Mese",6,"Tipologia",$A233),0)
- IFERROR(GETPIVOTDATA("Somma di AVERE",'Pivot BBVA'!$A$3,"Mese",6,"Tipologia",$A233),0)
- IFERROR(GETPIVOTDATA("Somma di AVERE",'Pivot Fineco St'!$A$3,"Mese",6,"Tipologia",$A233),0)
- IFERROR(GETPIVOTDATA("Somma di AVERE",'Pivot Fineco Sa'!$A$3,"Mese",6,"Tipologia",$A233),0)
+ IFERROR(GETPIVOTDATA("Somma di DARE",'Pivot PP Visa'!$A$3,"Mese",6,"Tipologia",$A233),0)
- IFERROR(GETPIVOTDATA("Somma di AVERE",'Pivot PP Visa'!$A$3,"Mese",6,"Tipologia",$A233),0)
+ IFERROR(GETPIVOTDATA("Somma di DARE",'Pivot Revolut'!$A$3,"Mese",6,"Tipologia",$A233),0)
- IFERROR(GETPIVOTDATA("Somma di AVERE",'Pivot Revolut'!$A$3,"Mese",6,"Tipologia",$A233),0)</f>
        <v>0</v>
      </c>
      <c r="I233" s="243">
        <f>IFERROR(GETPIVOTDATA("Somma di DARE EUR",'Pivot RakBank AED'!$A$3,"Mese",7,"Tipologia",$A233),0)
- IFERROR(GETPIVOTDATA("Somma di AVERE EUR",'Pivot RakBank AED'!$A$3,"Mese",7,"Tipologia",$A233),0)
+IFERROR(GETPIVOTDATA("Somma di DARE",'Pivot RakBank EUR'!$A$3,"Mese",7,"Tipologia",$A233),0)
- IFERROR(GETPIVOTDATA("Somma di AVERE",'Pivot RakBank EUR'!$A$3,"Mese",7,"Tipologia",$A233),0)
+IFERROR(GETPIVOTDATA("Somma di DARE",'Pivot Fineco Sa'!$A$3,"Mese",7,"Tipologia",$A233),0)
+ IFERROR(GETPIVOTDATA("Somma di DARE",'Pivot Fineco St'!$A$3,"Mese",7,"Tipologia",$A233),0)
+ Contanti!Z95
+ IFERROR(GETPIVOTDATA("Somma di DARE",'Pivot BBVA'!$A$3,"Mese",7,"Tipologia",$A233),0)
+ IFERROR(GETPIVOTDATA("Somma di DARE",'Pivot Amex'!$A$3,"Mese",7,"Tipologia",$A233),0)
- IFERROR(GETPIVOTDATA("Somma di AVERE",'Pivot Amex'!$A$3,"Mese",7,"Tipologia",$A233),0)
- IFERROR(GETPIVOTDATA("Somma di AVERE",'Pivot BBVA'!$A$3,"Mese",7,"Tipologia",$A233),0)
- IFERROR(GETPIVOTDATA("Somma di AVERE",'Pivot Fineco St'!$A$3,"Mese",7,"Tipologia",$A233),0)
- IFERROR(GETPIVOTDATA("Somma di AVERE",'Pivot Fineco Sa'!$A$3,"Mese",7,"Tipologia",$A233),0)
+ IFERROR(GETPIVOTDATA("Somma di DARE",'Pivot PP Visa'!$A$3,"Mese",7,"Tipologia",$A233),0)
- IFERROR(GETPIVOTDATA("Somma di AVERE",'Pivot PP Visa'!$A$3,"Mese",7,"Tipologia",$A233),0)
+ IFERROR(GETPIVOTDATA("Somma di DARE",'Pivot Revolut'!$A$3,"Mese",7,"Tipologia",$A233),0)
- IFERROR(GETPIVOTDATA("Somma di AVERE",'Pivot Revolut'!$A$3,"Mese",7,"Tipologia",$A233),0)</f>
        <v>12.6</v>
      </c>
      <c r="J233" s="243">
        <f>IFERROR(GETPIVOTDATA("Somma di DARE EUR",'Pivot RakBank AED'!$A$3,"Mese",8,"Tipologia",$A233),0)
- IFERROR(GETPIVOTDATA("Somma di AVERE EUR",'Pivot RakBank AED'!$A$3,"Mese",8,"Tipologia",$A233),0)
+IFERROR(GETPIVOTDATA("Somma di DARE",'Pivot RakBank EUR'!$A$3,"Mese",8,"Tipologia",$A233),0)
- IFERROR(GETPIVOTDATA("Somma di AVERE",'Pivot RakBank EUR'!$A$3,"Mese",8,"Tipologia",$A233),0)
+IFERROR(GETPIVOTDATA("Somma di DARE",'Pivot Fineco Sa'!$A$3,"Mese",8,"Tipologia",$A233),0)
+ IFERROR(GETPIVOTDATA("Somma di DARE",'Pivot Fineco St'!$A$3,"Mese",8,"Tipologia",$A233),0)
+ Contanti!AD95
+ IFERROR(GETPIVOTDATA("Somma di DARE",'Pivot BBVA'!$A$3,"Mese",8,"Tipologia",$A233),0)
+ IFERROR(GETPIVOTDATA("Somma di DARE",'Pivot Amex'!$A$3,"Mese",8,"Tipologia",$A233),0)
- IFERROR(GETPIVOTDATA("Somma di AVERE",'Pivot Amex'!$A$3,"Mese",8,"Tipologia",$A233),0)
- IFERROR(GETPIVOTDATA("Somma di AVERE",'Pivot BBVA'!$A$3,"Mese",8,"Tipologia",$A233),0)
- IFERROR(GETPIVOTDATA("Somma di AVERE",'Pivot Fineco St'!$A$3,"Mese",8,"Tipologia",$A233),0)
- IFERROR(GETPIVOTDATA("Somma di AVERE",'Pivot Fineco Sa'!$A$3,"Mese",8,"Tipologia",$A233),0)
+ IFERROR(GETPIVOTDATA("Somma di DARE",'Pivot PP Visa'!$A$3,"Mese",8,"Tipologia",$A233),0)
- IFERROR(GETPIVOTDATA("Somma di AVERE",'Pivot PP Visa'!$A$3,"Mese",8,"Tipologia",$A233),0)
+ IFERROR(GETPIVOTDATA("Somma di DARE",'Pivot Revolut'!$A$3,"Mese",8,"Tipologia",$A233),0)
- IFERROR(GETPIVOTDATA("Somma di AVERE",'Pivot Revolut'!$A$3,"Mese",8,"Tipologia",$A233),0)</f>
        <v>0</v>
      </c>
      <c r="K233" s="243">
        <f>IFERROR(GETPIVOTDATA("Somma di DARE EUR",'Pivot RakBank AED'!$A$3,"Mese",9,"Tipologia",$A233),0)
- IFERROR(GETPIVOTDATA("Somma di AVERE EUR",'Pivot RakBank AED'!$A$3,"Mese",9,"Tipologia",$A233),0)
+IFERROR(GETPIVOTDATA("Somma di DARE",'Pivot RakBank EUR'!$A$3,"Mese",9,"Tipologia",$A233),0)
- IFERROR(GETPIVOTDATA("Somma di AVERE",'Pivot RakBank EUR'!$A$3,"Mese",9,"Tipologia",$A233),0)
+IFERROR(GETPIVOTDATA("Somma di DARE",'Pivot Fineco Sa'!$A$3,"Mese",9,"Tipologia",$A233),0)
+ IFERROR(GETPIVOTDATA("Somma di DARE",'Pivot Fineco St'!$A$3,"Mese",9,"Tipologia",$A233),0)
+ Contanti!AH95
+ IFERROR(GETPIVOTDATA("Somma di DARE",'Pivot BBVA'!$A$3,"Mese",9,"Tipologia",$A233),0)
+ IFERROR(GETPIVOTDATA("Somma di DARE",'Pivot Amex'!$A$3,"Mese",9,"Tipologia",$A233),0)
- IFERROR(GETPIVOTDATA("Somma di AVERE",'Pivot Amex'!$A$3,"Mese",9,"Tipologia",$A233),0)
- IFERROR(GETPIVOTDATA("Somma di AVERE",'Pivot BBVA'!$A$3,"Mese",9,"Tipologia",$A233),0)
- IFERROR(GETPIVOTDATA("Somma di AVERE",'Pivot Fineco St'!$A$3,"Mese",9,"Tipologia",$A233),0)
- IFERROR(GETPIVOTDATA("Somma di AVERE",'Pivot Fineco Sa'!$A$3,"Mese",9,"Tipologia",$A233),0)
+ IFERROR(GETPIVOTDATA("Somma di DARE",'Pivot PP Visa'!$A$3,"Mese",9,"Tipologia",$A233),0)
- IFERROR(GETPIVOTDATA("Somma di AVERE",'Pivot PP Visa'!$A$3,"Mese",9,"Tipologia",$A233),0)
+ IFERROR(GETPIVOTDATA("Somma di DARE",'Pivot Revolut'!$A$3,"Mese",9,"Tipologia",$A233),0)
- IFERROR(GETPIVOTDATA("Somma di AVERE",'Pivot Revolut'!$A$3,"Mese",9,"Tipologia",$A233),0)</f>
        <v>0</v>
      </c>
      <c r="L233" s="243">
        <f>IFERROR(GETPIVOTDATA("Somma di DARE EUR",'Pivot RakBank AED'!$A$3,"Mese",10,"Tipologia",$A233),0)
- IFERROR(GETPIVOTDATA("Somma di AVERE EUR",'Pivot RakBank AED'!$A$3,"Mese",10,"Tipologia",$A233),0)
+IFERROR(GETPIVOTDATA("Somma di DARE",'Pivot RakBank EUR'!$A$3,"Mese",10,"Tipologia",$A233),0)
- IFERROR(GETPIVOTDATA("Somma di AVERE",'Pivot RakBank EUR'!$A$3,"Mese",10,"Tipologia",$A233),0)
+IFERROR(GETPIVOTDATA("Somma di DARE",'Pivot Fineco Sa'!$A$3,"Mese",10,"Tipologia",$A233),0)
+ IFERROR(GETPIVOTDATA("Somma di DARE",'Pivot Fineco St'!$A$3,"Mese",10,"Tipologia",$A233),0)
+ Contanti!AL95
+ IFERROR(GETPIVOTDATA("Somma di DARE",'Pivot BBVA'!$A$3,"Mese",10,"Tipologia",$A233),0)
+ IFERROR(GETPIVOTDATA("Somma di DARE",'Pivot Amex'!$A$3,"Mese",10,"Tipologia",$A233),0)
- IFERROR(GETPIVOTDATA("Somma di AVERE",'Pivot Amex'!$A$3,"Mese",10,"Tipologia",$A233),0)
- IFERROR(GETPIVOTDATA("Somma di AVERE",'Pivot BBVA'!$A$3,"Mese",10,"Tipologia",$A233),0)
- IFERROR(GETPIVOTDATA("Somma di AVERE",'Pivot Fineco St'!$A$3,"Mese",10,"Tipologia",$A233),0)
- IFERROR(GETPIVOTDATA("Somma di AVERE",'Pivot Fineco Sa'!$A$3,"Mese",10,"Tipologia",$A233),0)
+ IFERROR(GETPIVOTDATA("Somma di DARE",'Pivot PP Visa'!$A$3,"Mese",10,"Tipologia",$A233),0)
- IFERROR(GETPIVOTDATA("Somma di AVERE",'Pivot PP Visa'!$A$3,"Mese",10,"Tipologia",$A233),0)
+ IFERROR(GETPIVOTDATA("Somma di DARE",'Pivot Revolut'!$A$3,"Mese",10,"Tipologia",$A233),0)
- IFERROR(GETPIVOTDATA("Somma di AVERE",'Pivot Revolut'!$A$3,"Mese",10,"Tipologia",$A233),0)</f>
        <v>0</v>
      </c>
      <c r="M233" s="243">
        <f>IFERROR(GETPIVOTDATA("Somma di DARE EUR",'Pivot RakBank AED'!$A$3,"Mese",11,"Tipologia",$A233),0)
- IFERROR(GETPIVOTDATA("Somma di AVERE EUR",'Pivot RakBank AED'!$A$3,"Mese",11,"Tipologia",$A233),0)
+IFERROR(GETPIVOTDATA("Somma di DARE",'Pivot RakBank EUR'!$A$3,"Mese",11,"Tipologia",$A233),0)
- IFERROR(GETPIVOTDATA("Somma di AVERE",'Pivot RakBank EUR'!$A$3,"Mese",11,"Tipologia",$A233),0)
+IFERROR(GETPIVOTDATA("Somma di DARE",'Pivot Fineco Sa'!$A$3,"Mese",11,"Tipologia",$A233),0)
+ IFERROR(GETPIVOTDATA("Somma di DARE",'Pivot Fineco St'!$A$3,"Mese",11,"Tipologia",$A233),0)
+ Contanti!AP95
+ IFERROR(GETPIVOTDATA("Somma di DARE",'Pivot BBVA'!$A$3,"Mese",11,"Tipologia",$A233),0)
+ IFERROR(GETPIVOTDATA("Somma di DARE",'Pivot Amex'!$A$3,"Mese",11,"Tipologia",$A233),0)
- IFERROR(GETPIVOTDATA("Somma di AVERE",'Pivot Amex'!$A$3,"Mese",11,"Tipologia",$A233),0)
- IFERROR(GETPIVOTDATA("Somma di AVERE",'Pivot BBVA'!$A$3,"Mese",11,"Tipologia",$A233),0)
- IFERROR(GETPIVOTDATA("Somma di AVERE",'Pivot Fineco St'!$A$3,"Mese",11,"Tipologia",$A233),0)
- IFERROR(GETPIVOTDATA("Somma di AVERE",'Pivot Fineco Sa'!$A$3,"Mese",11,"Tipologia",$A233),0)
+ IFERROR(GETPIVOTDATA("Somma di DARE",'Pivot PP Visa'!$A$3,"Mese",11,"Tipologia",$A233),0)
- IFERROR(GETPIVOTDATA("Somma di AVERE",'Pivot PP Visa'!$A$3,"Mese",11,"Tipologia",$A233),0)
+ IFERROR(GETPIVOTDATA("Somma di DARE",'Pivot Revolut'!$A$3,"Mese",11,"Tipologia",$A233),0)
- IFERROR(GETPIVOTDATA("Somma di AVERE",'Pivot Revolut'!$A$3,"Mese",11,"Tipologia",$A233),0)</f>
        <v>0</v>
      </c>
      <c r="N233" s="243">
        <f>IFERROR(GETPIVOTDATA("Somma di DARE EUR",'Pivot RakBank AED'!$A$3,"Mese",12,"Tipologia",$A233),0)
- IFERROR(GETPIVOTDATA("Somma di AVERE EUR",'Pivot RakBank AED'!$A$3,"Mese",12,"Tipologia",$A233),0)
+IFERROR(GETPIVOTDATA("Somma di DARE",'Pivot RakBank EUR'!$A$3,"Mese",12,"Tipologia",$A233),0)
- IFERROR(GETPIVOTDATA("Somma di AVERE",'Pivot RakBank EUR'!$A$3,"Mese",12,"Tipologia",$A233),0)
+IFERROR(GETPIVOTDATA("Somma di DARE",'Pivot Fineco Sa'!$A$3,"Mese",12,"Tipologia",$A233),0)
+ IFERROR(GETPIVOTDATA("Somma di DARE",'Pivot Fineco St'!$A$3,"Mese",12,"Tipologia",$A233),0)
+ Contanti!AT95
+ IFERROR(GETPIVOTDATA("Somma di DARE",'Pivot BBVA'!$A$3,"Mese",12,"Tipologia",$A233),0)
+ IFERROR(GETPIVOTDATA("Somma di DARE",'Pivot Amex'!$A$3,"Mese",12,"Tipologia",$A233),0)
- IFERROR(GETPIVOTDATA("Somma di AVERE",'Pivot Amex'!$A$3,"Mese",12,"Tipologia",$A233),0)
- IFERROR(GETPIVOTDATA("Somma di AVERE",'Pivot BBVA'!$A$3,"Mese",12,"Tipologia",$A233),0)
- IFERROR(GETPIVOTDATA("Somma di AVERE",'Pivot Fineco St'!$A$3,"Mese",12,"Tipologia",$A233),0)
- IFERROR(GETPIVOTDATA("Somma di AVERE",'Pivot Fineco Sa'!$A$3,"Mese",12,"Tipologia",$A233),0)
+ IFERROR(GETPIVOTDATA("Somma di DARE",'Pivot PP Visa'!$A$3,"Mese",12,"Tipologia",$A233),0)
- IFERROR(GETPIVOTDATA("Somma di AVERE",'Pivot PP Visa'!$A$3,"Mese",12,"Tipologia",$A233),0)
+ IFERROR(GETPIVOTDATA("Somma di DARE",'Pivot Revolut'!$A$3,"Mese",12,"Tipologia",$A233),0)
- IFERROR(GETPIVOTDATA("Somma di AVERE",'Pivot Revolut'!$A$3,"Mese",12,"Tipologia",$A233),0)</f>
        <v>0</v>
      </c>
      <c r="O233" s="252">
        <f t="shared" ref="O233:O234" si="46">SUM(C233:N233)</f>
        <v>12.6</v>
      </c>
      <c r="P233" s="243">
        <f t="shared" ca="1" si="45"/>
        <v>1.8</v>
      </c>
    </row>
    <row r="234" spans="1:16" s="125" customFormat="1" ht="21" customHeight="1" x14ac:dyDescent="0.2">
      <c r="A234" s="251" t="s">
        <v>142</v>
      </c>
      <c r="B234" s="251"/>
      <c r="C234" s="243">
        <f>IFERROR(GETPIVOTDATA("Somma di DARE EUR",'Pivot RakBank AED'!$A$3,"Mese",1,"Tipologia",$A234),0)
- IFERROR(GETPIVOTDATA("Somma di AVERE EUR",'Pivot RakBank AED'!$A$3,"Mese",1,"Tipologia",$A234),0)
+IFERROR(GETPIVOTDATA("Somma di DARE",'Pivot RakBank EUR'!$A$3,"Mese",1,"Tipologia",$A234),0)
- IFERROR(GETPIVOTDATA("Somma di AVERE",'Pivot RakBank EUR'!$A$3,"Mese",1,"Tipologia",$A234),0)
+IFERROR(GETPIVOTDATA("Somma di DARE",'Pivot Fineco Sa'!$A$3,"Mese",1,"Tipologia",$A234),0)
+ IFERROR(GETPIVOTDATA("Somma di DARE",'Pivot Fineco St'!$A$3,"Mese",1,"Tipologia",$A234),0)
+ Contanti!B96
+ IFERROR(GETPIVOTDATA("Somma di DARE",'Pivot BBVA'!$A$3,"Mese",1,"Tipologia",$A234),0)
+ IFERROR(GETPIVOTDATA("Somma di DARE",'Pivot Amex'!$A$3,"Mese",1,"Tipologia",$A234),0)
- IFERROR(GETPIVOTDATA("Somma di AVERE",'Pivot Amex'!$A$3,"Mese",1,"Tipologia",$A234),0)
- IFERROR(GETPIVOTDATA("Somma di AVERE",'Pivot BBVA'!$A$3,"Mese",1,"Tipologia",$A234),0)
- IFERROR(GETPIVOTDATA("Somma di AVERE",'Pivot Fineco St'!$A$3,"Mese",1,"Tipologia",$A234),0)
- IFERROR(GETPIVOTDATA("Somma di AVERE",'Pivot Fineco Sa'!$A$3,"Mese",1,"Tipologia",$A234),0)
+ IFERROR(GETPIVOTDATA("Somma di DARE",'Pivot PP Visa'!$A$3,"Mese",1,"Tipologia",$A234),0)
- IFERROR(GETPIVOTDATA("Somma di AVERE",'Pivot PP Visa'!$A$3,"Mese",1,"Tipologia",$A234),0)
+ IFERROR(GETPIVOTDATA("Somma di DARE",'Pivot Revolut'!$A$3,"Mese",1,"Tipologia",$A234),0)
- IFERROR(GETPIVOTDATA("Somma di AVERE",'Pivot Revolut'!$A$3,"Mese",1,"Tipologia",$A234),0)</f>
        <v>0</v>
      </c>
      <c r="D234" s="243">
        <f>IFERROR(GETPIVOTDATA("Somma di DARE EUR",'Pivot RakBank AED'!$A$3,"Mese",2,"Tipologia",$A234),0)
- IFERROR(GETPIVOTDATA("Somma di AVERE EUR",'Pivot RakBank AED'!$A$3,"Mese",2,"Tipologia",$A234),0)
+IFERROR(GETPIVOTDATA("Somma di DARE",'Pivot RakBank EUR'!$A$3,"Mese",2,"Tipologia",$A234),0)
- IFERROR(GETPIVOTDATA("Somma di AVERE",'Pivot RakBank EUR'!$A$3,"Mese",2,"Tipologia",$A234),0)
+IFERROR(GETPIVOTDATA("Somma di DARE",'Pivot Fineco Sa'!$A$3,"Mese",2,"Tipologia",$A234),0)
+ IFERROR(GETPIVOTDATA("Somma di DARE",'Pivot Fineco St'!$A$3,"Mese",2,"Tipologia",$A234),0)
+ Contanti!F96
+ IFERROR(GETPIVOTDATA("Somma di DARE",'Pivot BBVA'!$A$3,"Mese",2,"Tipologia",$A234),0)
+ IFERROR(GETPIVOTDATA("Somma di DARE",'Pivot Amex'!$A$3,"Mese",2,"Tipologia",$A234),0)
- IFERROR(GETPIVOTDATA("Somma di AVERE",'Pivot Amex'!$A$3,"Mese",2,"Tipologia",$A234),0)
- IFERROR(GETPIVOTDATA("Somma di AVERE",'Pivot BBVA'!$A$3,"Mese",2,"Tipologia",$A234),0)
- IFERROR(GETPIVOTDATA("Somma di AVERE",'Pivot Fineco St'!$A$3,"Mese",2,"Tipologia",$A234),0)
- IFERROR(GETPIVOTDATA("Somma di AVERE",'Pivot Fineco Sa'!$A$3,"Mese",2,"Tipologia",$A234),0)
+ IFERROR(GETPIVOTDATA("Somma di DARE",'Pivot PP Visa'!$A$3,"Mese",2,"Tipologia",$A234),0)
- IFERROR(GETPIVOTDATA("Somma di AVERE",'Pivot PP Visa'!$A$3,"Mese",2,"Tipologia",$A234),0)
+ IFERROR(GETPIVOTDATA("Somma di DARE",'Pivot Revolut'!$A$3,"Mese",2,"Tipologia",$A234),0)
- IFERROR(GETPIVOTDATA("Somma di AVERE",'Pivot Revolut'!$A$3,"Mese",2,"Tipologia",$A234),0)</f>
        <v>0</v>
      </c>
      <c r="E234" s="243">
        <f>IFERROR(GETPIVOTDATA("Somma di DARE EUR",'Pivot RakBank AED'!$A$3,"Mese",3,"Tipologia",$A234),0)
- IFERROR(GETPIVOTDATA("Somma di AVERE EUR",'Pivot RakBank AED'!$A$3,"Mese",3,"Tipologia",$A234),0)
+IFERROR(GETPIVOTDATA("Somma di DARE",'Pivot RakBank EUR'!$A$3,"Mese",3,"Tipologia",$A234),0)
- IFERROR(GETPIVOTDATA("Somma di AVERE",'Pivot RakBank EUR'!$A$3,"Mese",3,"Tipologia",$A234),0)
+IFERROR(GETPIVOTDATA("Somma di DARE",'Pivot Fineco Sa'!$A$3,"Mese",3,"Tipologia",$A234),0)
+ IFERROR(GETPIVOTDATA("Somma di DARE",'Pivot Fineco St'!$A$3,"Mese",3,"Tipologia",$A234),0)
+ Contanti!J96
+ IFERROR(GETPIVOTDATA("Somma di DARE",'Pivot BBVA'!$A$3,"Mese",3,"Tipologia",$A234),0)
+ IFERROR(GETPIVOTDATA("Somma di DARE",'Pivot Amex'!$A$3,"Mese",3,"Tipologia",$A234),0)
- IFERROR(GETPIVOTDATA("Somma di AVERE",'Pivot Amex'!$A$3,"Mese",3,"Tipologia",$A234),0)
- IFERROR(GETPIVOTDATA("Somma di AVERE",'Pivot BBVA'!$A$3,"Mese",3,"Tipologia",$A234),0)
- IFERROR(GETPIVOTDATA("Somma di AVERE",'Pivot Fineco St'!$A$3,"Mese",3,"Tipologia",$A234),0)
- IFERROR(GETPIVOTDATA("Somma di AVERE",'Pivot Fineco Sa'!$A$3,"Mese",3,"Tipologia",$A234),0)
+ IFERROR(GETPIVOTDATA("Somma di DARE",'Pivot PP Visa'!$A$3,"Mese",3,"Tipologia",$A234),0)
- IFERROR(GETPIVOTDATA("Somma di AVERE",'Pivot PP Visa'!$A$3,"Mese",3,"Tipologia",$A234),0)
+ IFERROR(GETPIVOTDATA("Somma di DARE",'Pivot Revolut'!$A$3,"Mese",3,"Tipologia",$A234),0)
- IFERROR(GETPIVOTDATA("Somma di AVERE",'Pivot Revolut'!$A$3,"Mese",3,"Tipologia",$A234),0)</f>
        <v>0</v>
      </c>
      <c r="F234" s="243">
        <f>IFERROR(GETPIVOTDATA("Somma di DARE EUR",'Pivot RakBank AED'!$A$3,"Mese",4,"Tipologia",$A234),0)
- IFERROR(GETPIVOTDATA("Somma di AVERE EUR",'Pivot RakBank AED'!$A$3,"Mese",4,"Tipologia",$A234),0)
+IFERROR(GETPIVOTDATA("Somma di DARE",'Pivot RakBank EUR'!$A$3,"Mese",4,"Tipologia",$A234),0)
- IFERROR(GETPIVOTDATA("Somma di AVERE",'Pivot RakBank EUR'!$A$3,"Mese",4,"Tipologia",$A234),0)
+IFERROR(GETPIVOTDATA("Somma di DARE",'Pivot Fineco Sa'!$A$3,"Mese",4,"Tipologia",$A234),0)
+ IFERROR(GETPIVOTDATA("Somma di DARE",'Pivot Fineco St'!$A$3,"Mese",4,"Tipologia",$A234),0)
+ Contanti!N96
+ IFERROR(GETPIVOTDATA("Somma di DARE",'Pivot BBVA'!$A$3,"Mese",4,"Tipologia",$A234),0)
+ IFERROR(GETPIVOTDATA("Somma di DARE",'Pivot Amex'!$A$3,"Mese",4,"Tipologia",$A234),0)
- IFERROR(GETPIVOTDATA("Somma di AVERE",'Pivot Amex'!$A$3,"Mese",4,"Tipologia",$A234),0)
- IFERROR(GETPIVOTDATA("Somma di AVERE",'Pivot BBVA'!$A$3,"Mese",4,"Tipologia",$A234),0)
- IFERROR(GETPIVOTDATA("Somma di AVERE",'Pivot Fineco St'!$A$3,"Mese",4,"Tipologia",$A234),0)
- IFERROR(GETPIVOTDATA("Somma di AVERE",'Pivot Fineco Sa'!$A$3,"Mese",4,"Tipologia",$A234),0)
+ IFERROR(GETPIVOTDATA("Somma di DARE",'Pivot PP Visa'!$A$3,"Mese",4,"Tipologia",$A234),0)
- IFERROR(GETPIVOTDATA("Somma di AVERE",'Pivot PP Visa'!$A$3,"Mese",4,"Tipologia",$A234),0)
+ IFERROR(GETPIVOTDATA("Somma di DARE",'Pivot Revolut'!$A$3,"Mese",4,"Tipologia",$A234),0)
- IFERROR(GETPIVOTDATA("Somma di AVERE",'Pivot Revolut'!$A$3,"Mese",4,"Tipologia",$A234),0)</f>
        <v>0</v>
      </c>
      <c r="G234" s="243">
        <f>IFERROR(GETPIVOTDATA("Somma di DARE EUR",'Pivot RakBank AED'!$A$3,"Mese",5,"Tipologia",$A234),0)
- IFERROR(GETPIVOTDATA("Somma di AVERE EUR",'Pivot RakBank AED'!$A$3,"Mese",5,"Tipologia",$A234),0)
+IFERROR(GETPIVOTDATA("Somma di DARE",'Pivot RakBank EUR'!$A$3,"Mese",5,"Tipologia",$A234),0)
- IFERROR(GETPIVOTDATA("Somma di AVERE",'Pivot RakBank EUR'!$A$3,"Mese",5,"Tipologia",$A234),0)
+IFERROR(GETPIVOTDATA("Somma di DARE",'Pivot Fineco Sa'!$A$3,"Mese",5,"Tipologia",$A234),0)
+ IFERROR(GETPIVOTDATA("Somma di DARE",'Pivot Fineco St'!$A$3,"Mese",5,"Tipologia",$A234),0)
+ Contanti!R96
+ IFERROR(GETPIVOTDATA("Somma di DARE",'Pivot BBVA'!$A$3,"Mese",5,"Tipologia",$A234),0)
+ IFERROR(GETPIVOTDATA("Somma di DARE",'Pivot Amex'!$A$3,"Mese",5,"Tipologia",$A234),0)
- IFERROR(GETPIVOTDATA("Somma di AVERE",'Pivot Amex'!$A$3,"Mese",5,"Tipologia",$A234),0)
- IFERROR(GETPIVOTDATA("Somma di AVERE",'Pivot BBVA'!$A$3,"Mese",5,"Tipologia",$A234),0)
- IFERROR(GETPIVOTDATA("Somma di AVERE",'Pivot Fineco St'!$A$3,"Mese",5,"Tipologia",$A234),0)
- IFERROR(GETPIVOTDATA("Somma di AVERE",'Pivot Fineco Sa'!$A$3,"Mese",5,"Tipologia",$A234),0)
+ IFERROR(GETPIVOTDATA("Somma di DARE",'Pivot PP Visa'!$A$3,"Mese",5,"Tipologia",$A234),0)
- IFERROR(GETPIVOTDATA("Somma di AVERE",'Pivot PP Visa'!$A$3,"Mese",5,"Tipologia",$A234),0)
+ IFERROR(GETPIVOTDATA("Somma di DARE",'Pivot Revolut'!$A$3,"Mese",5,"Tipologia",$A234),0)
- IFERROR(GETPIVOTDATA("Somma di AVERE",'Pivot Revolut'!$A$3,"Mese",5,"Tipologia",$A234),0)</f>
        <v>0</v>
      </c>
      <c r="H234" s="243">
        <f>IFERROR(GETPIVOTDATA("Somma di DARE EUR",'Pivot RakBank AED'!$A$3,"Mese",6,"Tipologia",$A234),0)
- IFERROR(GETPIVOTDATA("Somma di AVERE EUR",'Pivot RakBank AED'!$A$3,"Mese",6,"Tipologia",$A234),0)
+IFERROR(GETPIVOTDATA("Somma di DARE",'Pivot RakBank EUR'!$A$3,"Mese",6,"Tipologia",$A234),0)
- IFERROR(GETPIVOTDATA("Somma di AVERE",'Pivot RakBank EUR'!$A$3,"Mese",6,"Tipologia",$A234),0)
+IFERROR(GETPIVOTDATA("Somma di DARE",'Pivot Fineco Sa'!$A$3,"Mese",6,"Tipologia",$A234),0)
+ IFERROR(GETPIVOTDATA("Somma di DARE",'Pivot Fineco St'!$A$3,"Mese",6,"Tipologia",$A234),0)
+ Contanti!V96
+ IFERROR(GETPIVOTDATA("Somma di DARE",'Pivot BBVA'!$A$3,"Mese",6,"Tipologia",$A234),0)
+ IFERROR(GETPIVOTDATA("Somma di DARE",'Pivot Amex'!$A$3,"Mese",6,"Tipologia",$A234),0)
- IFERROR(GETPIVOTDATA("Somma di AVERE",'Pivot Amex'!$A$3,"Mese",6,"Tipologia",$A234),0)
- IFERROR(GETPIVOTDATA("Somma di AVERE",'Pivot BBVA'!$A$3,"Mese",6,"Tipologia",$A234),0)
- IFERROR(GETPIVOTDATA("Somma di AVERE",'Pivot Fineco St'!$A$3,"Mese",6,"Tipologia",$A234),0)
- IFERROR(GETPIVOTDATA("Somma di AVERE",'Pivot Fineco Sa'!$A$3,"Mese",6,"Tipologia",$A234),0)
+ IFERROR(GETPIVOTDATA("Somma di DARE",'Pivot PP Visa'!$A$3,"Mese",6,"Tipologia",$A234),0)
- IFERROR(GETPIVOTDATA("Somma di AVERE",'Pivot PP Visa'!$A$3,"Mese",6,"Tipologia",$A234),0)
+ IFERROR(GETPIVOTDATA("Somma di DARE",'Pivot Revolut'!$A$3,"Mese",6,"Tipologia",$A234),0)
- IFERROR(GETPIVOTDATA("Somma di AVERE",'Pivot Revolut'!$A$3,"Mese",6,"Tipologia",$A234),0)</f>
        <v>0</v>
      </c>
      <c r="I234" s="243">
        <f>IFERROR(GETPIVOTDATA("Somma di DARE EUR",'Pivot RakBank AED'!$A$3,"Mese",7,"Tipologia",$A234),0)
- IFERROR(GETPIVOTDATA("Somma di AVERE EUR",'Pivot RakBank AED'!$A$3,"Mese",7,"Tipologia",$A234),0)
+IFERROR(GETPIVOTDATA("Somma di DARE",'Pivot RakBank EUR'!$A$3,"Mese",7,"Tipologia",$A234),0)
- IFERROR(GETPIVOTDATA("Somma di AVERE",'Pivot RakBank EUR'!$A$3,"Mese",7,"Tipologia",$A234),0)
+IFERROR(GETPIVOTDATA("Somma di DARE",'Pivot Fineco Sa'!$A$3,"Mese",7,"Tipologia",$A234),0)
+ IFERROR(GETPIVOTDATA("Somma di DARE",'Pivot Fineco St'!$A$3,"Mese",7,"Tipologia",$A234),0)
+ Contanti!Z96
+ IFERROR(GETPIVOTDATA("Somma di DARE",'Pivot BBVA'!$A$3,"Mese",7,"Tipologia",$A234),0)
+ IFERROR(GETPIVOTDATA("Somma di DARE",'Pivot Amex'!$A$3,"Mese",7,"Tipologia",$A234),0)
- IFERROR(GETPIVOTDATA("Somma di AVERE",'Pivot Amex'!$A$3,"Mese",7,"Tipologia",$A234),0)
- IFERROR(GETPIVOTDATA("Somma di AVERE",'Pivot BBVA'!$A$3,"Mese",7,"Tipologia",$A234),0)
- IFERROR(GETPIVOTDATA("Somma di AVERE",'Pivot Fineco St'!$A$3,"Mese",7,"Tipologia",$A234),0)
- IFERROR(GETPIVOTDATA("Somma di AVERE",'Pivot Fineco Sa'!$A$3,"Mese",7,"Tipologia",$A234),0)
+ IFERROR(GETPIVOTDATA("Somma di DARE",'Pivot PP Visa'!$A$3,"Mese",7,"Tipologia",$A234),0)
- IFERROR(GETPIVOTDATA("Somma di AVERE",'Pivot PP Visa'!$A$3,"Mese",7,"Tipologia",$A234),0)
+ IFERROR(GETPIVOTDATA("Somma di DARE",'Pivot Revolut'!$A$3,"Mese",7,"Tipologia",$A234),0)
- IFERROR(GETPIVOTDATA("Somma di AVERE",'Pivot Revolut'!$A$3,"Mese",7,"Tipologia",$A234),0)</f>
        <v>0</v>
      </c>
      <c r="J234" s="243">
        <f>IFERROR(GETPIVOTDATA("Somma di DARE EUR",'Pivot RakBank AED'!$A$3,"Mese",8,"Tipologia",$A234),0)
- IFERROR(GETPIVOTDATA("Somma di AVERE EUR",'Pivot RakBank AED'!$A$3,"Mese",8,"Tipologia",$A234),0)
+IFERROR(GETPIVOTDATA("Somma di DARE",'Pivot RakBank EUR'!$A$3,"Mese",8,"Tipologia",$A234),0)
- IFERROR(GETPIVOTDATA("Somma di AVERE",'Pivot RakBank EUR'!$A$3,"Mese",8,"Tipologia",$A234),0)
+IFERROR(GETPIVOTDATA("Somma di DARE",'Pivot Fineco Sa'!$A$3,"Mese",8,"Tipologia",$A234),0)
+ IFERROR(GETPIVOTDATA("Somma di DARE",'Pivot Fineco St'!$A$3,"Mese",8,"Tipologia",$A234),0)
+ Contanti!AD96
+ IFERROR(GETPIVOTDATA("Somma di DARE",'Pivot BBVA'!$A$3,"Mese",8,"Tipologia",$A234),0)
+ IFERROR(GETPIVOTDATA("Somma di DARE",'Pivot Amex'!$A$3,"Mese",8,"Tipologia",$A234),0)
- IFERROR(GETPIVOTDATA("Somma di AVERE",'Pivot Amex'!$A$3,"Mese",8,"Tipologia",$A234),0)
- IFERROR(GETPIVOTDATA("Somma di AVERE",'Pivot BBVA'!$A$3,"Mese",8,"Tipologia",$A234),0)
- IFERROR(GETPIVOTDATA("Somma di AVERE",'Pivot Fineco St'!$A$3,"Mese",8,"Tipologia",$A234),0)
- IFERROR(GETPIVOTDATA("Somma di AVERE",'Pivot Fineco Sa'!$A$3,"Mese",8,"Tipologia",$A234),0)
+ IFERROR(GETPIVOTDATA("Somma di DARE",'Pivot PP Visa'!$A$3,"Mese",8,"Tipologia",$A234),0)
- IFERROR(GETPIVOTDATA("Somma di AVERE",'Pivot PP Visa'!$A$3,"Mese",8,"Tipologia",$A234),0)
+ IFERROR(GETPIVOTDATA("Somma di DARE",'Pivot Revolut'!$A$3,"Mese",8,"Tipologia",$A234),0)
- IFERROR(GETPIVOTDATA("Somma di AVERE",'Pivot Revolut'!$A$3,"Mese",8,"Tipologia",$A234),0)</f>
        <v>0</v>
      </c>
      <c r="K234" s="243">
        <f>IFERROR(GETPIVOTDATA("Somma di DARE EUR",'Pivot RakBank AED'!$A$3,"Mese",9,"Tipologia",$A234),0)
- IFERROR(GETPIVOTDATA("Somma di AVERE EUR",'Pivot RakBank AED'!$A$3,"Mese",9,"Tipologia",$A234),0)
+IFERROR(GETPIVOTDATA("Somma di DARE",'Pivot RakBank EUR'!$A$3,"Mese",9,"Tipologia",$A234),0)
- IFERROR(GETPIVOTDATA("Somma di AVERE",'Pivot RakBank EUR'!$A$3,"Mese",9,"Tipologia",$A234),0)
+IFERROR(GETPIVOTDATA("Somma di DARE",'Pivot Fineco Sa'!$A$3,"Mese",9,"Tipologia",$A234),0)
+ IFERROR(GETPIVOTDATA("Somma di DARE",'Pivot Fineco St'!$A$3,"Mese",9,"Tipologia",$A234),0)
+ Contanti!AH96
+ IFERROR(GETPIVOTDATA("Somma di DARE",'Pivot BBVA'!$A$3,"Mese",9,"Tipologia",$A234),0)
+ IFERROR(GETPIVOTDATA("Somma di DARE",'Pivot Amex'!$A$3,"Mese",9,"Tipologia",$A234),0)
- IFERROR(GETPIVOTDATA("Somma di AVERE",'Pivot Amex'!$A$3,"Mese",9,"Tipologia",$A234),0)
- IFERROR(GETPIVOTDATA("Somma di AVERE",'Pivot BBVA'!$A$3,"Mese",9,"Tipologia",$A234),0)
- IFERROR(GETPIVOTDATA("Somma di AVERE",'Pivot Fineco St'!$A$3,"Mese",9,"Tipologia",$A234),0)
- IFERROR(GETPIVOTDATA("Somma di AVERE",'Pivot Fineco Sa'!$A$3,"Mese",9,"Tipologia",$A234),0)
+ IFERROR(GETPIVOTDATA("Somma di DARE",'Pivot PP Visa'!$A$3,"Mese",9,"Tipologia",$A234),0)
- IFERROR(GETPIVOTDATA("Somma di AVERE",'Pivot PP Visa'!$A$3,"Mese",9,"Tipologia",$A234),0)
+ IFERROR(GETPIVOTDATA("Somma di DARE",'Pivot Revolut'!$A$3,"Mese",9,"Tipologia",$A234),0)
- IFERROR(GETPIVOTDATA("Somma di AVERE",'Pivot Revolut'!$A$3,"Mese",9,"Tipologia",$A234),0)</f>
        <v>0</v>
      </c>
      <c r="L234" s="243">
        <f>IFERROR(GETPIVOTDATA("Somma di DARE EUR",'Pivot RakBank AED'!$A$3,"Mese",10,"Tipologia",$A234),0)
- IFERROR(GETPIVOTDATA("Somma di AVERE EUR",'Pivot RakBank AED'!$A$3,"Mese",10,"Tipologia",$A234),0)
+IFERROR(GETPIVOTDATA("Somma di DARE",'Pivot RakBank EUR'!$A$3,"Mese",10,"Tipologia",$A234),0)
- IFERROR(GETPIVOTDATA("Somma di AVERE",'Pivot RakBank EUR'!$A$3,"Mese",10,"Tipologia",$A234),0)
+IFERROR(GETPIVOTDATA("Somma di DARE",'Pivot Fineco Sa'!$A$3,"Mese",10,"Tipologia",$A234),0)
+ IFERROR(GETPIVOTDATA("Somma di DARE",'Pivot Fineco St'!$A$3,"Mese",10,"Tipologia",$A234),0)
+ Contanti!AL96
+ IFERROR(GETPIVOTDATA("Somma di DARE",'Pivot BBVA'!$A$3,"Mese",10,"Tipologia",$A234),0)
+ IFERROR(GETPIVOTDATA("Somma di DARE",'Pivot Amex'!$A$3,"Mese",10,"Tipologia",$A234),0)
- IFERROR(GETPIVOTDATA("Somma di AVERE",'Pivot Amex'!$A$3,"Mese",10,"Tipologia",$A234),0)
- IFERROR(GETPIVOTDATA("Somma di AVERE",'Pivot BBVA'!$A$3,"Mese",10,"Tipologia",$A234),0)
- IFERROR(GETPIVOTDATA("Somma di AVERE",'Pivot Fineco St'!$A$3,"Mese",10,"Tipologia",$A234),0)
- IFERROR(GETPIVOTDATA("Somma di AVERE",'Pivot Fineco Sa'!$A$3,"Mese",10,"Tipologia",$A234),0)
+ IFERROR(GETPIVOTDATA("Somma di DARE",'Pivot PP Visa'!$A$3,"Mese",10,"Tipologia",$A234),0)
- IFERROR(GETPIVOTDATA("Somma di AVERE",'Pivot PP Visa'!$A$3,"Mese",10,"Tipologia",$A234),0)
+ IFERROR(GETPIVOTDATA("Somma di DARE",'Pivot Revolut'!$A$3,"Mese",10,"Tipologia",$A234),0)
- IFERROR(GETPIVOTDATA("Somma di AVERE",'Pivot Revolut'!$A$3,"Mese",10,"Tipologia",$A234),0)</f>
        <v>0</v>
      </c>
      <c r="M234" s="243">
        <f>IFERROR(GETPIVOTDATA("Somma di DARE EUR",'Pivot RakBank AED'!$A$3,"Mese",11,"Tipologia",$A234),0)
- IFERROR(GETPIVOTDATA("Somma di AVERE EUR",'Pivot RakBank AED'!$A$3,"Mese",11,"Tipologia",$A234),0)
+IFERROR(GETPIVOTDATA("Somma di DARE",'Pivot RakBank EUR'!$A$3,"Mese",11,"Tipologia",$A234),0)
- IFERROR(GETPIVOTDATA("Somma di AVERE",'Pivot RakBank EUR'!$A$3,"Mese",11,"Tipologia",$A234),0)
+IFERROR(GETPIVOTDATA("Somma di DARE",'Pivot Fineco Sa'!$A$3,"Mese",11,"Tipologia",$A234),0)
+ IFERROR(GETPIVOTDATA("Somma di DARE",'Pivot Fineco St'!$A$3,"Mese",11,"Tipologia",$A234),0)
+ Contanti!AP96
+ IFERROR(GETPIVOTDATA("Somma di DARE",'Pivot BBVA'!$A$3,"Mese",11,"Tipologia",$A234),0)
+ IFERROR(GETPIVOTDATA("Somma di DARE",'Pivot Amex'!$A$3,"Mese",11,"Tipologia",$A234),0)
- IFERROR(GETPIVOTDATA("Somma di AVERE",'Pivot Amex'!$A$3,"Mese",11,"Tipologia",$A234),0)
- IFERROR(GETPIVOTDATA("Somma di AVERE",'Pivot BBVA'!$A$3,"Mese",11,"Tipologia",$A234),0)
- IFERROR(GETPIVOTDATA("Somma di AVERE",'Pivot Fineco St'!$A$3,"Mese",11,"Tipologia",$A234),0)
- IFERROR(GETPIVOTDATA("Somma di AVERE",'Pivot Fineco Sa'!$A$3,"Mese",11,"Tipologia",$A234),0)
+ IFERROR(GETPIVOTDATA("Somma di DARE",'Pivot PP Visa'!$A$3,"Mese",11,"Tipologia",$A234),0)
- IFERROR(GETPIVOTDATA("Somma di AVERE",'Pivot PP Visa'!$A$3,"Mese",11,"Tipologia",$A234),0)
+ IFERROR(GETPIVOTDATA("Somma di DARE",'Pivot Revolut'!$A$3,"Mese",11,"Tipologia",$A234),0)
- IFERROR(GETPIVOTDATA("Somma di AVERE",'Pivot Revolut'!$A$3,"Mese",11,"Tipologia",$A234),0)</f>
        <v>0</v>
      </c>
      <c r="N234" s="243">
        <f>IFERROR(GETPIVOTDATA("Somma di DARE EUR",'Pivot RakBank AED'!$A$3,"Mese",12,"Tipologia",$A234),0)
- IFERROR(GETPIVOTDATA("Somma di AVERE EUR",'Pivot RakBank AED'!$A$3,"Mese",12,"Tipologia",$A234),0)
+IFERROR(GETPIVOTDATA("Somma di DARE",'Pivot RakBank EUR'!$A$3,"Mese",12,"Tipologia",$A234),0)
- IFERROR(GETPIVOTDATA("Somma di AVERE",'Pivot RakBank EUR'!$A$3,"Mese",12,"Tipologia",$A234),0)
+IFERROR(GETPIVOTDATA("Somma di DARE",'Pivot Fineco Sa'!$A$3,"Mese",12,"Tipologia",$A234),0)
+ IFERROR(GETPIVOTDATA("Somma di DARE",'Pivot Fineco St'!$A$3,"Mese",12,"Tipologia",$A234),0)
+ Contanti!AT96
+ IFERROR(GETPIVOTDATA("Somma di DARE",'Pivot BBVA'!$A$3,"Mese",12,"Tipologia",$A234),0)
+ IFERROR(GETPIVOTDATA("Somma di DARE",'Pivot Amex'!$A$3,"Mese",12,"Tipologia",$A234),0)
- IFERROR(GETPIVOTDATA("Somma di AVERE",'Pivot Amex'!$A$3,"Mese",12,"Tipologia",$A234),0)
- IFERROR(GETPIVOTDATA("Somma di AVERE",'Pivot BBVA'!$A$3,"Mese",12,"Tipologia",$A234),0)
- IFERROR(GETPIVOTDATA("Somma di AVERE",'Pivot Fineco St'!$A$3,"Mese",12,"Tipologia",$A234),0)
- IFERROR(GETPIVOTDATA("Somma di AVERE",'Pivot Fineco Sa'!$A$3,"Mese",12,"Tipologia",$A234),0)
+ IFERROR(GETPIVOTDATA("Somma di DARE",'Pivot PP Visa'!$A$3,"Mese",12,"Tipologia",$A234),0)
- IFERROR(GETPIVOTDATA("Somma di AVERE",'Pivot PP Visa'!$A$3,"Mese",12,"Tipologia",$A234),0)
+ IFERROR(GETPIVOTDATA("Somma di DARE",'Pivot Revolut'!$A$3,"Mese",12,"Tipologia",$A234),0)
- IFERROR(GETPIVOTDATA("Somma di AVERE",'Pivot Revolut'!$A$3,"Mese",12,"Tipologia",$A234),0)</f>
        <v>0</v>
      </c>
      <c r="O234" s="252">
        <f t="shared" si="46"/>
        <v>0</v>
      </c>
      <c r="P234" s="243">
        <f t="shared" ca="1" si="45"/>
        <v>0</v>
      </c>
    </row>
    <row r="235" spans="1:16" s="125" customFormat="1" ht="21" customHeight="1" x14ac:dyDescent="0.2">
      <c r="A235" s="259"/>
      <c r="B235" s="259"/>
      <c r="C235" s="260"/>
      <c r="D235" s="260"/>
      <c r="E235" s="260"/>
      <c r="F235" s="260"/>
      <c r="G235" s="260"/>
      <c r="H235" s="260"/>
      <c r="I235" s="260"/>
      <c r="J235" s="260"/>
      <c r="K235" s="260"/>
      <c r="L235" s="260"/>
      <c r="M235" s="260"/>
      <c r="N235" s="260"/>
      <c r="O235" s="260"/>
      <c r="P235" s="260"/>
    </row>
    <row r="236" spans="1:16" s="125" customFormat="1" ht="21" customHeight="1" x14ac:dyDescent="0.2">
      <c r="A236" s="255" t="s">
        <v>141</v>
      </c>
      <c r="B236" s="255"/>
      <c r="C236" s="256">
        <f>SUM(C237:C239)</f>
        <v>2</v>
      </c>
      <c r="D236" s="256">
        <f t="shared" ref="D236:N236" si="47">SUM(D237:D239)</f>
        <v>2</v>
      </c>
      <c r="E236" s="256">
        <f t="shared" si="47"/>
        <v>590.25999999999988</v>
      </c>
      <c r="F236" s="256">
        <f t="shared" si="47"/>
        <v>2</v>
      </c>
      <c r="G236" s="256">
        <f t="shared" si="47"/>
        <v>882.74</v>
      </c>
      <c r="H236" s="256">
        <f t="shared" si="47"/>
        <v>551.76</v>
      </c>
      <c r="I236" s="256">
        <f t="shared" si="47"/>
        <v>0</v>
      </c>
      <c r="J236" s="256">
        <f t="shared" si="47"/>
        <v>0</v>
      </c>
      <c r="K236" s="256">
        <f t="shared" si="47"/>
        <v>0</v>
      </c>
      <c r="L236" s="256">
        <f t="shared" si="47"/>
        <v>0</v>
      </c>
      <c r="M236" s="256">
        <f t="shared" si="47"/>
        <v>0</v>
      </c>
      <c r="N236" s="256">
        <f t="shared" si="47"/>
        <v>0</v>
      </c>
      <c r="O236" s="257">
        <f>SUM(C236:N236)</f>
        <v>2030.76</v>
      </c>
      <c r="P236" s="256">
        <f ca="1">SUM(P237:P239)</f>
        <v>290.10857142857145</v>
      </c>
    </row>
    <row r="237" spans="1:16" s="125" customFormat="1" ht="21" customHeight="1" x14ac:dyDescent="0.2">
      <c r="A237" s="251" t="s">
        <v>141</v>
      </c>
      <c r="B237" s="251"/>
      <c r="C237" s="243">
        <f>IFERROR(GETPIVOTDATA("Somma di DARE EUR",'Pivot RakBank AED'!$A$3,"Mese",1,"Tipologia",$A237),0)
- IFERROR(GETPIVOTDATA("Somma di AVERE EUR",'Pivot RakBank AED'!$A$3,"Mese",1,"Tipologia",$A237),0)
+IFERROR(GETPIVOTDATA("Somma di DARE",'Pivot RakBank EUR'!$A$3,"Mese",1,"Tipologia",$A237),0)
- IFERROR(GETPIVOTDATA("Somma di AVERE",'Pivot RakBank EUR'!$A$3,"Mese",1,"Tipologia",$A237),0)
+IFERROR(GETPIVOTDATA("Somma di DARE",'Pivot Fineco Sa'!$A$3,"Mese",1,"Tipologia",$A237),0)
+ IFERROR(GETPIVOTDATA("Somma di DARE",'Pivot Fineco St'!$A$3,"Mese",1,"Tipologia",$A237),0)
+ Contanti!B99
+ IFERROR(GETPIVOTDATA("Somma di DARE",'Pivot BBVA'!$A$3,"Mese",1,"Tipologia",$A237),0)
+ IFERROR(GETPIVOTDATA("Somma di DARE",'Pivot Amex'!$A$3,"Mese",1,"Tipologia",$A237),0)
- IFERROR(GETPIVOTDATA("Somma di AVERE",'Pivot Amex'!$A$3,"Mese",1,"Tipologia",$A237),0)
- IFERROR(GETPIVOTDATA("Somma di AVERE",'Pivot BBVA'!$A$3,"Mese",1,"Tipologia",$A237),0)
- IFERROR(GETPIVOTDATA("Somma di AVERE",'Pivot Fineco St'!$A$3,"Mese",1,"Tipologia",$A237),0)
- IFERROR(GETPIVOTDATA("Somma di AVERE",'Pivot Fineco Sa'!$A$3,"Mese",1,"Tipologia",$A237),0)
+ IFERROR(GETPIVOTDATA("Somma di DARE",'Pivot PP Visa'!$A$3,"Mese",1,"Tipologia",$A237),0)
- IFERROR(GETPIVOTDATA("Somma di AVERE",'Pivot PP Visa'!$A$3,"Mese",1,"Tipologia",$A237),0)
+ IFERROR(GETPIVOTDATA("Somma di DARE",'Pivot Revolut'!$A$3,"Mese",1,"Tipologia",$A237),0)
- IFERROR(GETPIVOTDATA("Somma di AVERE",'Pivot Revolut'!$A$3,"Mese",1,"Tipologia",$A237),0)</f>
        <v>0</v>
      </c>
      <c r="D237" s="243">
        <f>IFERROR(GETPIVOTDATA("Somma di DARE EUR",'Pivot RakBank AED'!$A$3,"Mese",2,"Tipologia",$A237),0)
- IFERROR(GETPIVOTDATA("Somma di AVERE EUR",'Pivot RakBank AED'!$A$3,"Mese",2,"Tipologia",$A237),0)
+IFERROR(GETPIVOTDATA("Somma di DARE",'Pivot RakBank EUR'!$A$3,"Mese",2,"Tipologia",$A237),0)
- IFERROR(GETPIVOTDATA("Somma di AVERE",'Pivot RakBank EUR'!$A$3,"Mese",2,"Tipologia",$A237),0)
+IFERROR(GETPIVOTDATA("Somma di DARE",'Pivot Fineco Sa'!$A$3,"Mese",2,"Tipologia",$A237),0)
+ IFERROR(GETPIVOTDATA("Somma di DARE",'Pivot Fineco St'!$A$3,"Mese",2,"Tipologia",$A237),0)
+ Contanti!F99
+ IFERROR(GETPIVOTDATA("Somma di DARE",'Pivot BBVA'!$A$3,"Mese",2,"Tipologia",$A237),0)
+ IFERROR(GETPIVOTDATA("Somma di DARE",'Pivot Amex'!$A$3,"Mese",2,"Tipologia",$A237),0)
- IFERROR(GETPIVOTDATA("Somma di AVERE",'Pivot Amex'!$A$3,"Mese",2,"Tipologia",$A237),0)
- IFERROR(GETPIVOTDATA("Somma di AVERE",'Pivot BBVA'!$A$3,"Mese",2,"Tipologia",$A237),0)
- IFERROR(GETPIVOTDATA("Somma di AVERE",'Pivot Fineco St'!$A$3,"Mese",2,"Tipologia",$A237),0)
- IFERROR(GETPIVOTDATA("Somma di AVERE",'Pivot Fineco Sa'!$A$3,"Mese",2,"Tipologia",$A237),0)
+ IFERROR(GETPIVOTDATA("Somma di DARE",'Pivot PP Visa'!$A$3,"Mese",2,"Tipologia",$A237),0)
- IFERROR(GETPIVOTDATA("Somma di AVERE",'Pivot PP Visa'!$A$3,"Mese",2,"Tipologia",$A237),0)
+ IFERROR(GETPIVOTDATA("Somma di DARE",'Pivot Revolut'!$A$3,"Mese",2,"Tipologia",$A237),0)
- IFERROR(GETPIVOTDATA("Somma di AVERE",'Pivot Revolut'!$A$3,"Mese",2,"Tipologia",$A237),0)</f>
        <v>0</v>
      </c>
      <c r="E237" s="243">
        <f>IFERROR(GETPIVOTDATA("Somma di DARE EUR",'Pivot RakBank AED'!$A$3,"Mese",3,"Tipologia",$A237),0)
- IFERROR(GETPIVOTDATA("Somma di AVERE EUR",'Pivot RakBank AED'!$A$3,"Mese",3,"Tipologia",$A237),0)
+IFERROR(GETPIVOTDATA("Somma di DARE",'Pivot RakBank EUR'!$A$3,"Mese",3,"Tipologia",$A237),0)
- IFERROR(GETPIVOTDATA("Somma di AVERE",'Pivot RakBank EUR'!$A$3,"Mese",3,"Tipologia",$A237),0)
+IFERROR(GETPIVOTDATA("Somma di DARE",'Pivot Fineco Sa'!$A$3,"Mese",3,"Tipologia",$A237),0)
+ IFERROR(GETPIVOTDATA("Somma di DARE",'Pivot Fineco St'!$A$3,"Mese",3,"Tipologia",$A237),0)
+ Contanti!J99
+ IFERROR(GETPIVOTDATA("Somma di DARE",'Pivot BBVA'!$A$3,"Mese",3,"Tipologia",$A237),0)
+ IFERROR(GETPIVOTDATA("Somma di DARE",'Pivot Amex'!$A$3,"Mese",3,"Tipologia",$A237),0)
- IFERROR(GETPIVOTDATA("Somma di AVERE",'Pivot Amex'!$A$3,"Mese",3,"Tipologia",$A237),0)
- IFERROR(GETPIVOTDATA("Somma di AVERE",'Pivot BBVA'!$A$3,"Mese",3,"Tipologia",$A237),0)
- IFERROR(GETPIVOTDATA("Somma di AVERE",'Pivot Fineco St'!$A$3,"Mese",3,"Tipologia",$A237),0)
- IFERROR(GETPIVOTDATA("Somma di AVERE",'Pivot Fineco Sa'!$A$3,"Mese",3,"Tipologia",$A237),0)
+ IFERROR(GETPIVOTDATA("Somma di DARE",'Pivot PP Visa'!$A$3,"Mese",3,"Tipologia",$A237),0)
- IFERROR(GETPIVOTDATA("Somma di AVERE",'Pivot PP Visa'!$A$3,"Mese",3,"Tipologia",$A237),0)
+ IFERROR(GETPIVOTDATA("Somma di DARE",'Pivot Revolut'!$A$3,"Mese",3,"Tipologia",$A237),0)
- IFERROR(GETPIVOTDATA("Somma di AVERE",'Pivot Revolut'!$A$3,"Mese",3,"Tipologia",$A237),0)</f>
        <v>0</v>
      </c>
      <c r="F237" s="243">
        <f>IFERROR(GETPIVOTDATA("Somma di DARE EUR",'Pivot RakBank AED'!$A$3,"Mese",4,"Tipologia",$A237),0)
- IFERROR(GETPIVOTDATA("Somma di AVERE EUR",'Pivot RakBank AED'!$A$3,"Mese",4,"Tipologia",$A237),0)
+IFERROR(GETPIVOTDATA("Somma di DARE",'Pivot RakBank EUR'!$A$3,"Mese",4,"Tipologia",$A237),0)
- IFERROR(GETPIVOTDATA("Somma di AVERE",'Pivot RakBank EUR'!$A$3,"Mese",4,"Tipologia",$A237),0)
+IFERROR(GETPIVOTDATA("Somma di DARE",'Pivot Fineco Sa'!$A$3,"Mese",4,"Tipologia",$A237),0)
+ IFERROR(GETPIVOTDATA("Somma di DARE",'Pivot Fineco St'!$A$3,"Mese",4,"Tipologia",$A237),0)
+ Contanti!N99
+ IFERROR(GETPIVOTDATA("Somma di DARE",'Pivot BBVA'!$A$3,"Mese",4,"Tipologia",$A237),0)
+ IFERROR(GETPIVOTDATA("Somma di DARE",'Pivot Amex'!$A$3,"Mese",4,"Tipologia",$A237),0)
- IFERROR(GETPIVOTDATA("Somma di AVERE",'Pivot Amex'!$A$3,"Mese",4,"Tipologia",$A237),0)
- IFERROR(GETPIVOTDATA("Somma di AVERE",'Pivot BBVA'!$A$3,"Mese",4,"Tipologia",$A237),0)
- IFERROR(GETPIVOTDATA("Somma di AVERE",'Pivot Fineco St'!$A$3,"Mese",4,"Tipologia",$A237),0)
- IFERROR(GETPIVOTDATA("Somma di AVERE",'Pivot Fineco Sa'!$A$3,"Mese",4,"Tipologia",$A237),0)
+ IFERROR(GETPIVOTDATA("Somma di DARE",'Pivot PP Visa'!$A$3,"Mese",4,"Tipologia",$A237),0)
- IFERROR(GETPIVOTDATA("Somma di AVERE",'Pivot PP Visa'!$A$3,"Mese",4,"Tipologia",$A237),0)
+ IFERROR(GETPIVOTDATA("Somma di DARE",'Pivot Revolut'!$A$3,"Mese",4,"Tipologia",$A237),0)
- IFERROR(GETPIVOTDATA("Somma di AVERE",'Pivot Revolut'!$A$3,"Mese",4,"Tipologia",$A237),0)</f>
        <v>0</v>
      </c>
      <c r="G237" s="243">
        <f>IFERROR(GETPIVOTDATA("Somma di DARE EUR",'Pivot RakBank AED'!$A$3,"Mese",5,"Tipologia",$A237),0)
- IFERROR(GETPIVOTDATA("Somma di AVERE EUR",'Pivot RakBank AED'!$A$3,"Mese",5,"Tipologia",$A237),0)
+IFERROR(GETPIVOTDATA("Somma di DARE",'Pivot RakBank EUR'!$A$3,"Mese",5,"Tipologia",$A237),0)
- IFERROR(GETPIVOTDATA("Somma di AVERE",'Pivot RakBank EUR'!$A$3,"Mese",5,"Tipologia",$A237),0)
+IFERROR(GETPIVOTDATA("Somma di DARE",'Pivot Fineco Sa'!$A$3,"Mese",5,"Tipologia",$A237),0)
+ IFERROR(GETPIVOTDATA("Somma di DARE",'Pivot Fineco St'!$A$3,"Mese",5,"Tipologia",$A237),0)
+ Contanti!R99
+ IFERROR(GETPIVOTDATA("Somma di DARE",'Pivot BBVA'!$A$3,"Mese",5,"Tipologia",$A237),0)
+ IFERROR(GETPIVOTDATA("Somma di DARE",'Pivot Amex'!$A$3,"Mese",5,"Tipologia",$A237),0)
- IFERROR(GETPIVOTDATA("Somma di AVERE",'Pivot Amex'!$A$3,"Mese",5,"Tipologia",$A237),0)
- IFERROR(GETPIVOTDATA("Somma di AVERE",'Pivot BBVA'!$A$3,"Mese",5,"Tipologia",$A237),0)
- IFERROR(GETPIVOTDATA("Somma di AVERE",'Pivot Fineco St'!$A$3,"Mese",5,"Tipologia",$A237),0)
- IFERROR(GETPIVOTDATA("Somma di AVERE",'Pivot Fineco Sa'!$A$3,"Mese",5,"Tipologia",$A237),0)
+ IFERROR(GETPIVOTDATA("Somma di DARE",'Pivot PP Visa'!$A$3,"Mese",5,"Tipologia",$A237),0)
- IFERROR(GETPIVOTDATA("Somma di AVERE",'Pivot PP Visa'!$A$3,"Mese",5,"Tipologia",$A237),0)
+ IFERROR(GETPIVOTDATA("Somma di DARE",'Pivot Revolut'!$A$3,"Mese",5,"Tipologia",$A237),0)
- IFERROR(GETPIVOTDATA("Somma di AVERE",'Pivot Revolut'!$A$3,"Mese",5,"Tipologia",$A237),0)</f>
        <v>880.74</v>
      </c>
      <c r="H237" s="243">
        <f>IFERROR(GETPIVOTDATA("Somma di DARE EUR",'Pivot RakBank AED'!$A$3,"Mese",6,"Tipologia",$A237),0)
- IFERROR(GETPIVOTDATA("Somma di AVERE EUR",'Pivot RakBank AED'!$A$3,"Mese",6,"Tipologia",$A237),0)
+IFERROR(GETPIVOTDATA("Somma di DARE",'Pivot RakBank EUR'!$A$3,"Mese",6,"Tipologia",$A237),0)
- IFERROR(GETPIVOTDATA("Somma di AVERE",'Pivot RakBank EUR'!$A$3,"Mese",6,"Tipologia",$A237),0)
+IFERROR(GETPIVOTDATA("Somma di DARE",'Pivot Fineco Sa'!$A$3,"Mese",6,"Tipologia",$A237),0)
+ IFERROR(GETPIVOTDATA("Somma di DARE",'Pivot Fineco St'!$A$3,"Mese",6,"Tipologia",$A237),0)
+ Contanti!V99
+ IFERROR(GETPIVOTDATA("Somma di DARE",'Pivot BBVA'!$A$3,"Mese",6,"Tipologia",$A237),0)
+ IFERROR(GETPIVOTDATA("Somma di DARE",'Pivot Amex'!$A$3,"Mese",6,"Tipologia",$A237),0)
- IFERROR(GETPIVOTDATA("Somma di AVERE",'Pivot Amex'!$A$3,"Mese",6,"Tipologia",$A237),0)
- IFERROR(GETPIVOTDATA("Somma di AVERE",'Pivot BBVA'!$A$3,"Mese",6,"Tipologia",$A237),0)
- IFERROR(GETPIVOTDATA("Somma di AVERE",'Pivot Fineco St'!$A$3,"Mese",6,"Tipologia",$A237),0)
- IFERROR(GETPIVOTDATA("Somma di AVERE",'Pivot Fineco Sa'!$A$3,"Mese",6,"Tipologia",$A237),0)
+ IFERROR(GETPIVOTDATA("Somma di DARE",'Pivot PP Visa'!$A$3,"Mese",6,"Tipologia",$A237),0)
- IFERROR(GETPIVOTDATA("Somma di AVERE",'Pivot PP Visa'!$A$3,"Mese",6,"Tipologia",$A237),0)
+ IFERROR(GETPIVOTDATA("Somma di DARE",'Pivot Revolut'!$A$3,"Mese",6,"Tipologia",$A237),0)
- IFERROR(GETPIVOTDATA("Somma di AVERE",'Pivot Revolut'!$A$3,"Mese",6,"Tipologia",$A237),0)</f>
        <v>0</v>
      </c>
      <c r="I237" s="243">
        <f>IFERROR(GETPIVOTDATA("Somma di DARE EUR",'Pivot RakBank AED'!$A$3,"Mese",7,"Tipologia",$A237),0)
- IFERROR(GETPIVOTDATA("Somma di AVERE EUR",'Pivot RakBank AED'!$A$3,"Mese",7,"Tipologia",$A237),0)
+IFERROR(GETPIVOTDATA("Somma di DARE",'Pivot RakBank EUR'!$A$3,"Mese",7,"Tipologia",$A237),0)
- IFERROR(GETPIVOTDATA("Somma di AVERE",'Pivot RakBank EUR'!$A$3,"Mese",7,"Tipologia",$A237),0)
+IFERROR(GETPIVOTDATA("Somma di DARE",'Pivot Fineco Sa'!$A$3,"Mese",7,"Tipologia",$A237),0)
+ IFERROR(GETPIVOTDATA("Somma di DARE",'Pivot Fineco St'!$A$3,"Mese",7,"Tipologia",$A237),0)
+ Contanti!Z99
+ IFERROR(GETPIVOTDATA("Somma di DARE",'Pivot BBVA'!$A$3,"Mese",7,"Tipologia",$A237),0)
+ IFERROR(GETPIVOTDATA("Somma di DARE",'Pivot Amex'!$A$3,"Mese",7,"Tipologia",$A237),0)
- IFERROR(GETPIVOTDATA("Somma di AVERE",'Pivot Amex'!$A$3,"Mese",7,"Tipologia",$A237),0)
- IFERROR(GETPIVOTDATA("Somma di AVERE",'Pivot BBVA'!$A$3,"Mese",7,"Tipologia",$A237),0)
- IFERROR(GETPIVOTDATA("Somma di AVERE",'Pivot Fineco St'!$A$3,"Mese",7,"Tipologia",$A237),0)
- IFERROR(GETPIVOTDATA("Somma di AVERE",'Pivot Fineco Sa'!$A$3,"Mese",7,"Tipologia",$A237),0)
+ IFERROR(GETPIVOTDATA("Somma di DARE",'Pivot PP Visa'!$A$3,"Mese",7,"Tipologia",$A237),0)
- IFERROR(GETPIVOTDATA("Somma di AVERE",'Pivot PP Visa'!$A$3,"Mese",7,"Tipologia",$A237),0)
+ IFERROR(GETPIVOTDATA("Somma di DARE",'Pivot Revolut'!$A$3,"Mese",7,"Tipologia",$A237),0)
- IFERROR(GETPIVOTDATA("Somma di AVERE",'Pivot Revolut'!$A$3,"Mese",7,"Tipologia",$A237),0)</f>
        <v>0</v>
      </c>
      <c r="J237" s="243">
        <f>IFERROR(GETPIVOTDATA("Somma di DARE EUR",'Pivot RakBank AED'!$A$3,"Mese",8,"Tipologia",$A237),0)
- IFERROR(GETPIVOTDATA("Somma di AVERE EUR",'Pivot RakBank AED'!$A$3,"Mese",8,"Tipologia",$A237),0)
+IFERROR(GETPIVOTDATA("Somma di DARE",'Pivot RakBank EUR'!$A$3,"Mese",8,"Tipologia",$A237),0)
- IFERROR(GETPIVOTDATA("Somma di AVERE",'Pivot RakBank EUR'!$A$3,"Mese",8,"Tipologia",$A237),0)
+IFERROR(GETPIVOTDATA("Somma di DARE",'Pivot Fineco Sa'!$A$3,"Mese",8,"Tipologia",$A237),0)
+ IFERROR(GETPIVOTDATA("Somma di DARE",'Pivot Fineco St'!$A$3,"Mese",8,"Tipologia",$A237),0)
+ Contanti!AD99
+ IFERROR(GETPIVOTDATA("Somma di DARE",'Pivot BBVA'!$A$3,"Mese",8,"Tipologia",$A237),0)
+ IFERROR(GETPIVOTDATA("Somma di DARE",'Pivot Amex'!$A$3,"Mese",8,"Tipologia",$A237),0)
- IFERROR(GETPIVOTDATA("Somma di AVERE",'Pivot Amex'!$A$3,"Mese",8,"Tipologia",$A237),0)
- IFERROR(GETPIVOTDATA("Somma di AVERE",'Pivot BBVA'!$A$3,"Mese",8,"Tipologia",$A237),0)
- IFERROR(GETPIVOTDATA("Somma di AVERE",'Pivot Fineco St'!$A$3,"Mese",8,"Tipologia",$A237),0)
- IFERROR(GETPIVOTDATA("Somma di AVERE",'Pivot Fineco Sa'!$A$3,"Mese",8,"Tipologia",$A237),0)
+ IFERROR(GETPIVOTDATA("Somma di DARE",'Pivot PP Visa'!$A$3,"Mese",8,"Tipologia",$A237),0)
- IFERROR(GETPIVOTDATA("Somma di AVERE",'Pivot PP Visa'!$A$3,"Mese",8,"Tipologia",$A237),0)
+ IFERROR(GETPIVOTDATA("Somma di DARE",'Pivot Revolut'!$A$3,"Mese",8,"Tipologia",$A237),0)
- IFERROR(GETPIVOTDATA("Somma di AVERE",'Pivot Revolut'!$A$3,"Mese",8,"Tipologia",$A237),0)</f>
        <v>0</v>
      </c>
      <c r="K237" s="243">
        <f>IFERROR(GETPIVOTDATA("Somma di DARE EUR",'Pivot RakBank AED'!$A$3,"Mese",9,"Tipologia",$A237),0)
- IFERROR(GETPIVOTDATA("Somma di AVERE EUR",'Pivot RakBank AED'!$A$3,"Mese",9,"Tipologia",$A237),0)
+IFERROR(GETPIVOTDATA("Somma di DARE",'Pivot RakBank EUR'!$A$3,"Mese",9,"Tipologia",$A237),0)
- IFERROR(GETPIVOTDATA("Somma di AVERE",'Pivot RakBank EUR'!$A$3,"Mese",9,"Tipologia",$A237),0)
+IFERROR(GETPIVOTDATA("Somma di DARE",'Pivot Fineco Sa'!$A$3,"Mese",9,"Tipologia",$A237),0)
+ IFERROR(GETPIVOTDATA("Somma di DARE",'Pivot Fineco St'!$A$3,"Mese",9,"Tipologia",$A237),0)
+ Contanti!AH99
+ IFERROR(GETPIVOTDATA("Somma di DARE",'Pivot BBVA'!$A$3,"Mese",9,"Tipologia",$A237),0)
+ IFERROR(GETPIVOTDATA("Somma di DARE",'Pivot Amex'!$A$3,"Mese",9,"Tipologia",$A237),0)
- IFERROR(GETPIVOTDATA("Somma di AVERE",'Pivot Amex'!$A$3,"Mese",9,"Tipologia",$A237),0)
- IFERROR(GETPIVOTDATA("Somma di AVERE",'Pivot BBVA'!$A$3,"Mese",9,"Tipologia",$A237),0)
- IFERROR(GETPIVOTDATA("Somma di AVERE",'Pivot Fineco St'!$A$3,"Mese",9,"Tipologia",$A237),0)
- IFERROR(GETPIVOTDATA("Somma di AVERE",'Pivot Fineco Sa'!$A$3,"Mese",9,"Tipologia",$A237),0)
+ IFERROR(GETPIVOTDATA("Somma di DARE",'Pivot PP Visa'!$A$3,"Mese",9,"Tipologia",$A237),0)
- IFERROR(GETPIVOTDATA("Somma di AVERE",'Pivot PP Visa'!$A$3,"Mese",9,"Tipologia",$A237),0)
+ IFERROR(GETPIVOTDATA("Somma di DARE",'Pivot Revolut'!$A$3,"Mese",9,"Tipologia",$A237),0)
- IFERROR(GETPIVOTDATA("Somma di AVERE",'Pivot Revolut'!$A$3,"Mese",9,"Tipologia",$A237),0)</f>
        <v>0</v>
      </c>
      <c r="L237" s="243">
        <f>IFERROR(GETPIVOTDATA("Somma di DARE EUR",'Pivot RakBank AED'!$A$3,"Mese",10,"Tipologia",$A237),0)
- IFERROR(GETPIVOTDATA("Somma di AVERE EUR",'Pivot RakBank AED'!$A$3,"Mese",10,"Tipologia",$A237),0)
+IFERROR(GETPIVOTDATA("Somma di DARE",'Pivot RakBank EUR'!$A$3,"Mese",10,"Tipologia",$A237),0)
- IFERROR(GETPIVOTDATA("Somma di AVERE",'Pivot RakBank EUR'!$A$3,"Mese",10,"Tipologia",$A237),0)
+IFERROR(GETPIVOTDATA("Somma di DARE",'Pivot Fineco Sa'!$A$3,"Mese",10,"Tipologia",$A237),0)
+ IFERROR(GETPIVOTDATA("Somma di DARE",'Pivot Fineco St'!$A$3,"Mese",10,"Tipologia",$A237),0)
+ Contanti!AL99
+ IFERROR(GETPIVOTDATA("Somma di DARE",'Pivot BBVA'!$A$3,"Mese",10,"Tipologia",$A237),0)
+ IFERROR(GETPIVOTDATA("Somma di DARE",'Pivot Amex'!$A$3,"Mese",10,"Tipologia",$A237),0)
- IFERROR(GETPIVOTDATA("Somma di AVERE",'Pivot Amex'!$A$3,"Mese",10,"Tipologia",$A237),0)
- IFERROR(GETPIVOTDATA("Somma di AVERE",'Pivot BBVA'!$A$3,"Mese",10,"Tipologia",$A237),0)
- IFERROR(GETPIVOTDATA("Somma di AVERE",'Pivot Fineco St'!$A$3,"Mese",10,"Tipologia",$A237),0)
- IFERROR(GETPIVOTDATA("Somma di AVERE",'Pivot Fineco Sa'!$A$3,"Mese",10,"Tipologia",$A237),0)
+ IFERROR(GETPIVOTDATA("Somma di DARE",'Pivot PP Visa'!$A$3,"Mese",10,"Tipologia",$A237),0)
- IFERROR(GETPIVOTDATA("Somma di AVERE",'Pivot PP Visa'!$A$3,"Mese",10,"Tipologia",$A237),0)
+ IFERROR(GETPIVOTDATA("Somma di DARE",'Pivot Revolut'!$A$3,"Mese",10,"Tipologia",$A237),0)
- IFERROR(GETPIVOTDATA("Somma di AVERE",'Pivot Revolut'!$A$3,"Mese",10,"Tipologia",$A237),0)</f>
        <v>0</v>
      </c>
      <c r="M237" s="243">
        <f>IFERROR(GETPIVOTDATA("Somma di DARE EUR",'Pivot RakBank AED'!$A$3,"Mese",11,"Tipologia",$A237),0)
- IFERROR(GETPIVOTDATA("Somma di AVERE EUR",'Pivot RakBank AED'!$A$3,"Mese",11,"Tipologia",$A237),0)
+IFERROR(GETPIVOTDATA("Somma di DARE",'Pivot RakBank EUR'!$A$3,"Mese",11,"Tipologia",$A237),0)
- IFERROR(GETPIVOTDATA("Somma di AVERE",'Pivot RakBank EUR'!$A$3,"Mese",11,"Tipologia",$A237),0)
+IFERROR(GETPIVOTDATA("Somma di DARE",'Pivot Fineco Sa'!$A$3,"Mese",11,"Tipologia",$A237),0)
+ IFERROR(GETPIVOTDATA("Somma di DARE",'Pivot Fineco St'!$A$3,"Mese",11,"Tipologia",$A237),0)
+ Contanti!AP99
+ IFERROR(GETPIVOTDATA("Somma di DARE",'Pivot BBVA'!$A$3,"Mese",11,"Tipologia",$A237),0)
+ IFERROR(GETPIVOTDATA("Somma di DARE",'Pivot Amex'!$A$3,"Mese",11,"Tipologia",$A237),0)
- IFERROR(GETPIVOTDATA("Somma di AVERE",'Pivot Amex'!$A$3,"Mese",11,"Tipologia",$A237),0)
- IFERROR(GETPIVOTDATA("Somma di AVERE",'Pivot BBVA'!$A$3,"Mese",11,"Tipologia",$A237),0)
- IFERROR(GETPIVOTDATA("Somma di AVERE",'Pivot Fineco St'!$A$3,"Mese",11,"Tipologia",$A237),0)
- IFERROR(GETPIVOTDATA("Somma di AVERE",'Pivot Fineco Sa'!$A$3,"Mese",11,"Tipologia",$A237),0)
+ IFERROR(GETPIVOTDATA("Somma di DARE",'Pivot PP Visa'!$A$3,"Mese",11,"Tipologia",$A237),0)
- IFERROR(GETPIVOTDATA("Somma di AVERE",'Pivot PP Visa'!$A$3,"Mese",11,"Tipologia",$A237),0)
+ IFERROR(GETPIVOTDATA("Somma di DARE",'Pivot Revolut'!$A$3,"Mese",11,"Tipologia",$A237),0)
- IFERROR(GETPIVOTDATA("Somma di AVERE",'Pivot Revolut'!$A$3,"Mese",11,"Tipologia",$A237),0)</f>
        <v>0</v>
      </c>
      <c r="N237" s="243">
        <f>IFERROR(GETPIVOTDATA("Somma di DARE EUR",'Pivot RakBank AED'!$A$3,"Mese",12,"Tipologia",$A237),0)
- IFERROR(GETPIVOTDATA("Somma di AVERE EUR",'Pivot RakBank AED'!$A$3,"Mese",12,"Tipologia",$A237),0)
+IFERROR(GETPIVOTDATA("Somma di DARE",'Pivot RakBank EUR'!$A$3,"Mese",12,"Tipologia",$A237),0)
- IFERROR(GETPIVOTDATA("Somma di AVERE",'Pivot RakBank EUR'!$A$3,"Mese",12,"Tipologia",$A237),0)
+IFERROR(GETPIVOTDATA("Somma di DARE",'Pivot Fineco Sa'!$A$3,"Mese",12,"Tipologia",$A237),0)
+ IFERROR(GETPIVOTDATA("Somma di DARE",'Pivot Fineco St'!$A$3,"Mese",12,"Tipologia",$A237),0)
+ Contanti!AT99
+ IFERROR(GETPIVOTDATA("Somma di DARE",'Pivot BBVA'!$A$3,"Mese",12,"Tipologia",$A237),0)
+ IFERROR(GETPIVOTDATA("Somma di DARE",'Pivot Amex'!$A$3,"Mese",12,"Tipologia",$A237),0)
- IFERROR(GETPIVOTDATA("Somma di AVERE",'Pivot Amex'!$A$3,"Mese",12,"Tipologia",$A237),0)
- IFERROR(GETPIVOTDATA("Somma di AVERE",'Pivot BBVA'!$A$3,"Mese",12,"Tipologia",$A237),0)
- IFERROR(GETPIVOTDATA("Somma di AVERE",'Pivot Fineco St'!$A$3,"Mese",12,"Tipologia",$A237),0)
- IFERROR(GETPIVOTDATA("Somma di AVERE",'Pivot Fineco Sa'!$A$3,"Mese",12,"Tipologia",$A237),0)
+ IFERROR(GETPIVOTDATA("Somma di DARE",'Pivot PP Visa'!$A$3,"Mese",12,"Tipologia",$A237),0)
- IFERROR(GETPIVOTDATA("Somma di AVERE",'Pivot PP Visa'!$A$3,"Mese",12,"Tipologia",$A237),0)
+ IFERROR(GETPIVOTDATA("Somma di DARE",'Pivot Revolut'!$A$3,"Mese",12,"Tipologia",$A237),0)
- IFERROR(GETPIVOTDATA("Somma di AVERE",'Pivot Revolut'!$A$3,"Mese",12,"Tipologia",$A237),0)</f>
        <v>0</v>
      </c>
      <c r="O237" s="252">
        <f>SUM(C237:N237)</f>
        <v>880.74</v>
      </c>
      <c r="P237" s="243">
        <f t="shared" ref="P237:P239" ca="1" si="48">O237/(MONTH(TODAY()))</f>
        <v>125.82000000000001</v>
      </c>
    </row>
    <row r="238" spans="1:16" s="125" customFormat="1" ht="21" customHeight="1" x14ac:dyDescent="0.2">
      <c r="A238" s="251" t="s">
        <v>144</v>
      </c>
      <c r="B238" s="251"/>
      <c r="C238" s="243">
        <f>IFERROR(GETPIVOTDATA("Somma di DARE EUR",'Pivot RakBank AED'!$A$3,"Mese",1,"Tipologia",$A238),0)
- IFERROR(GETPIVOTDATA("Somma di AVERE EUR",'Pivot RakBank AED'!$A$3,"Mese",1,"Tipologia",$A238),0)
+IFERROR(GETPIVOTDATA("Somma di DARE",'Pivot RakBank EUR'!$A$3,"Mese",1,"Tipologia",$A238),0)
- IFERROR(GETPIVOTDATA("Somma di AVERE",'Pivot RakBank EUR'!$A$3,"Mese",1,"Tipologia",$A238),0)
+IFERROR(GETPIVOTDATA("Somma di DARE",'Pivot Fineco Sa'!$A$3,"Mese",1,"Tipologia",$A238),0)
+ IFERROR(GETPIVOTDATA("Somma di DARE",'Pivot Fineco St'!$A$3,"Mese",1,"Tipologia",$A238),0)
+ Contanti!B100
+ IFERROR(GETPIVOTDATA("Somma di DARE",'Pivot BBVA'!$A$3,"Mese",1,"Tipologia",$A238),0)
+ IFERROR(GETPIVOTDATA("Somma di DARE",'Pivot Amex'!$A$3,"Mese",1,"Tipologia",$A238),0)
- IFERROR(GETPIVOTDATA("Somma di AVERE",'Pivot Amex'!$A$3,"Mese",1,"Tipologia",$A238),0)
- IFERROR(GETPIVOTDATA("Somma di AVERE",'Pivot BBVA'!$A$3,"Mese",1,"Tipologia",$A238),0)
- IFERROR(GETPIVOTDATA("Somma di AVERE",'Pivot Fineco St'!$A$3,"Mese",1,"Tipologia",$A238),0)
- IFERROR(GETPIVOTDATA("Somma di AVERE",'Pivot Fineco Sa'!$A$3,"Mese",1,"Tipologia",$A238),0)
+ IFERROR(GETPIVOTDATA("Somma di DARE",'Pivot PP Visa'!$A$3,"Mese",1,"Tipologia",$A238),0)
- IFERROR(GETPIVOTDATA("Somma di AVERE",'Pivot PP Visa'!$A$3,"Mese",1,"Tipologia",$A238),0)
+ IFERROR(GETPIVOTDATA("Somma di DARE",'Pivot Revolut'!$A$3,"Mese",1,"Tipologia",$A238),0)
- IFERROR(GETPIVOTDATA("Somma di AVERE",'Pivot Revolut'!$A$3,"Mese",1,"Tipologia",$A238),0)</f>
        <v>2</v>
      </c>
      <c r="D238" s="243">
        <f>IFERROR(GETPIVOTDATA("Somma di DARE EUR",'Pivot RakBank AED'!$A$3,"Mese",2,"Tipologia",$A238),0)
- IFERROR(GETPIVOTDATA("Somma di AVERE EUR",'Pivot RakBank AED'!$A$3,"Mese",2,"Tipologia",$A238),0)
+IFERROR(GETPIVOTDATA("Somma di DARE",'Pivot RakBank EUR'!$A$3,"Mese",2,"Tipologia",$A238),0)
- IFERROR(GETPIVOTDATA("Somma di AVERE",'Pivot RakBank EUR'!$A$3,"Mese",2,"Tipologia",$A238),0)
+IFERROR(GETPIVOTDATA("Somma di DARE",'Pivot Fineco Sa'!$A$3,"Mese",2,"Tipologia",$A238),0)
+ IFERROR(GETPIVOTDATA("Somma di DARE",'Pivot Fineco St'!$A$3,"Mese",2,"Tipologia",$A238),0)
+ Contanti!F100
+ IFERROR(GETPIVOTDATA("Somma di DARE",'Pivot BBVA'!$A$3,"Mese",2,"Tipologia",$A238),0)
+ IFERROR(GETPIVOTDATA("Somma di DARE",'Pivot Amex'!$A$3,"Mese",2,"Tipologia",$A238),0)
- IFERROR(GETPIVOTDATA("Somma di AVERE",'Pivot Amex'!$A$3,"Mese",2,"Tipologia",$A238),0)
- IFERROR(GETPIVOTDATA("Somma di AVERE",'Pivot BBVA'!$A$3,"Mese",2,"Tipologia",$A238),0)
- IFERROR(GETPIVOTDATA("Somma di AVERE",'Pivot Fineco St'!$A$3,"Mese",2,"Tipologia",$A238),0)
- IFERROR(GETPIVOTDATA("Somma di AVERE",'Pivot Fineco Sa'!$A$3,"Mese",2,"Tipologia",$A238),0)
+ IFERROR(GETPIVOTDATA("Somma di DARE",'Pivot PP Visa'!$A$3,"Mese",2,"Tipologia",$A238),0)
- IFERROR(GETPIVOTDATA("Somma di AVERE",'Pivot PP Visa'!$A$3,"Mese",2,"Tipologia",$A238),0)
+ IFERROR(GETPIVOTDATA("Somma di DARE",'Pivot Revolut'!$A$3,"Mese",2,"Tipologia",$A238),0)
- IFERROR(GETPIVOTDATA("Somma di AVERE",'Pivot Revolut'!$A$3,"Mese",2,"Tipologia",$A238),0)</f>
        <v>2</v>
      </c>
      <c r="E238" s="243">
        <f>IFERROR(GETPIVOTDATA("Somma di DARE EUR",'Pivot RakBank AED'!$A$3,"Mese",3,"Tipologia",$A238),0)
- IFERROR(GETPIVOTDATA("Somma di AVERE EUR",'Pivot RakBank AED'!$A$3,"Mese",3,"Tipologia",$A238),0)
+IFERROR(GETPIVOTDATA("Somma di DARE",'Pivot RakBank EUR'!$A$3,"Mese",3,"Tipologia",$A238),0)
- IFERROR(GETPIVOTDATA("Somma di AVERE",'Pivot RakBank EUR'!$A$3,"Mese",3,"Tipologia",$A238),0)
+IFERROR(GETPIVOTDATA("Somma di DARE",'Pivot Fineco Sa'!$A$3,"Mese",3,"Tipologia",$A238),0)
+ IFERROR(GETPIVOTDATA("Somma di DARE",'Pivot Fineco St'!$A$3,"Mese",3,"Tipologia",$A238),0)
+ Contanti!J100
+ IFERROR(GETPIVOTDATA("Somma di DARE",'Pivot BBVA'!$A$3,"Mese",3,"Tipologia",$A238),0)
+ IFERROR(GETPIVOTDATA("Somma di DARE",'Pivot Amex'!$A$3,"Mese",3,"Tipologia",$A238),0)
- IFERROR(GETPIVOTDATA("Somma di AVERE",'Pivot Amex'!$A$3,"Mese",3,"Tipologia",$A238),0)
- IFERROR(GETPIVOTDATA("Somma di AVERE",'Pivot BBVA'!$A$3,"Mese",3,"Tipologia",$A238),0)
- IFERROR(GETPIVOTDATA("Somma di AVERE",'Pivot Fineco St'!$A$3,"Mese",3,"Tipologia",$A238),0)
- IFERROR(GETPIVOTDATA("Somma di AVERE",'Pivot Fineco Sa'!$A$3,"Mese",3,"Tipologia",$A238),0)
+ IFERROR(GETPIVOTDATA("Somma di DARE",'Pivot PP Visa'!$A$3,"Mese",3,"Tipologia",$A238),0)
- IFERROR(GETPIVOTDATA("Somma di AVERE",'Pivot PP Visa'!$A$3,"Mese",3,"Tipologia",$A238),0)
+ IFERROR(GETPIVOTDATA("Somma di DARE",'Pivot Revolut'!$A$3,"Mese",3,"Tipologia",$A238),0)
- IFERROR(GETPIVOTDATA("Somma di AVERE",'Pivot Revolut'!$A$3,"Mese",3,"Tipologia",$A238),0)</f>
        <v>590.25999999999988</v>
      </c>
      <c r="F238" s="243">
        <f>IFERROR(GETPIVOTDATA("Somma di DARE EUR",'Pivot RakBank AED'!$A$3,"Mese",4,"Tipologia",$A238),0)
- IFERROR(GETPIVOTDATA("Somma di AVERE EUR",'Pivot RakBank AED'!$A$3,"Mese",4,"Tipologia",$A238),0)
+IFERROR(GETPIVOTDATA("Somma di DARE",'Pivot RakBank EUR'!$A$3,"Mese",4,"Tipologia",$A238),0)
- IFERROR(GETPIVOTDATA("Somma di AVERE",'Pivot RakBank EUR'!$A$3,"Mese",4,"Tipologia",$A238),0)
+IFERROR(GETPIVOTDATA("Somma di DARE",'Pivot Fineco Sa'!$A$3,"Mese",4,"Tipologia",$A238),0)
+ IFERROR(GETPIVOTDATA("Somma di DARE",'Pivot Fineco St'!$A$3,"Mese",4,"Tipologia",$A238),0)
+ Contanti!N100
+ IFERROR(GETPIVOTDATA("Somma di DARE",'Pivot BBVA'!$A$3,"Mese",4,"Tipologia",$A238),0)
+ IFERROR(GETPIVOTDATA("Somma di DARE",'Pivot Amex'!$A$3,"Mese",4,"Tipologia",$A238),0)
- IFERROR(GETPIVOTDATA("Somma di AVERE",'Pivot Amex'!$A$3,"Mese",4,"Tipologia",$A238),0)
- IFERROR(GETPIVOTDATA("Somma di AVERE",'Pivot BBVA'!$A$3,"Mese",4,"Tipologia",$A238),0)
- IFERROR(GETPIVOTDATA("Somma di AVERE",'Pivot Fineco St'!$A$3,"Mese",4,"Tipologia",$A238),0)
- IFERROR(GETPIVOTDATA("Somma di AVERE",'Pivot Fineco Sa'!$A$3,"Mese",4,"Tipologia",$A238),0)
+ IFERROR(GETPIVOTDATA("Somma di DARE",'Pivot PP Visa'!$A$3,"Mese",4,"Tipologia",$A238),0)
- IFERROR(GETPIVOTDATA("Somma di AVERE",'Pivot PP Visa'!$A$3,"Mese",4,"Tipologia",$A238),0)
+ IFERROR(GETPIVOTDATA("Somma di DARE",'Pivot Revolut'!$A$3,"Mese",4,"Tipologia",$A238),0)
- IFERROR(GETPIVOTDATA("Somma di AVERE",'Pivot Revolut'!$A$3,"Mese",4,"Tipologia",$A238),0)</f>
        <v>2</v>
      </c>
      <c r="G238" s="243">
        <f>IFERROR(GETPIVOTDATA("Somma di DARE EUR",'Pivot RakBank AED'!$A$3,"Mese",5,"Tipologia",$A238),0)
- IFERROR(GETPIVOTDATA("Somma di AVERE EUR",'Pivot RakBank AED'!$A$3,"Mese",5,"Tipologia",$A238),0)
+IFERROR(GETPIVOTDATA("Somma di DARE",'Pivot RakBank EUR'!$A$3,"Mese",5,"Tipologia",$A238),0)
- IFERROR(GETPIVOTDATA("Somma di AVERE",'Pivot RakBank EUR'!$A$3,"Mese",5,"Tipologia",$A238),0)
+IFERROR(GETPIVOTDATA("Somma di DARE",'Pivot Fineco Sa'!$A$3,"Mese",5,"Tipologia",$A238),0)
+ IFERROR(GETPIVOTDATA("Somma di DARE",'Pivot Fineco St'!$A$3,"Mese",5,"Tipologia",$A238),0)
+ Contanti!R100
+ IFERROR(GETPIVOTDATA("Somma di DARE",'Pivot BBVA'!$A$3,"Mese",5,"Tipologia",$A238),0)
+ IFERROR(GETPIVOTDATA("Somma di DARE",'Pivot Amex'!$A$3,"Mese",5,"Tipologia",$A238),0)
- IFERROR(GETPIVOTDATA("Somma di AVERE",'Pivot Amex'!$A$3,"Mese",5,"Tipologia",$A238),0)
- IFERROR(GETPIVOTDATA("Somma di AVERE",'Pivot BBVA'!$A$3,"Mese",5,"Tipologia",$A238),0)
- IFERROR(GETPIVOTDATA("Somma di AVERE",'Pivot Fineco St'!$A$3,"Mese",5,"Tipologia",$A238),0)
- IFERROR(GETPIVOTDATA("Somma di AVERE",'Pivot Fineco Sa'!$A$3,"Mese",5,"Tipologia",$A238),0)
+ IFERROR(GETPIVOTDATA("Somma di DARE",'Pivot PP Visa'!$A$3,"Mese",5,"Tipologia",$A238),0)
- IFERROR(GETPIVOTDATA("Somma di AVERE",'Pivot PP Visa'!$A$3,"Mese",5,"Tipologia",$A238),0)
+ IFERROR(GETPIVOTDATA("Somma di DARE",'Pivot Revolut'!$A$3,"Mese",5,"Tipologia",$A238),0)
- IFERROR(GETPIVOTDATA("Somma di AVERE",'Pivot Revolut'!$A$3,"Mese",5,"Tipologia",$A238),0)</f>
        <v>2</v>
      </c>
      <c r="H238" s="243">
        <f>IFERROR(GETPIVOTDATA("Somma di DARE EUR",'Pivot RakBank AED'!$A$3,"Mese",6,"Tipologia",$A238),0)
- IFERROR(GETPIVOTDATA("Somma di AVERE EUR",'Pivot RakBank AED'!$A$3,"Mese",6,"Tipologia",$A238),0)
+IFERROR(GETPIVOTDATA("Somma di DARE",'Pivot RakBank EUR'!$A$3,"Mese",6,"Tipologia",$A238),0)
- IFERROR(GETPIVOTDATA("Somma di AVERE",'Pivot RakBank EUR'!$A$3,"Mese",6,"Tipologia",$A238),0)
+IFERROR(GETPIVOTDATA("Somma di DARE",'Pivot Fineco Sa'!$A$3,"Mese",6,"Tipologia",$A238),0)
+ IFERROR(GETPIVOTDATA("Somma di DARE",'Pivot Fineco St'!$A$3,"Mese",6,"Tipologia",$A238),0)
+ Contanti!V100
+ IFERROR(GETPIVOTDATA("Somma di DARE",'Pivot BBVA'!$A$3,"Mese",6,"Tipologia",$A238),0)
+ IFERROR(GETPIVOTDATA("Somma di DARE",'Pivot Amex'!$A$3,"Mese",6,"Tipologia",$A238),0)
- IFERROR(GETPIVOTDATA("Somma di AVERE",'Pivot Amex'!$A$3,"Mese",6,"Tipologia",$A238),0)
- IFERROR(GETPIVOTDATA("Somma di AVERE",'Pivot BBVA'!$A$3,"Mese",6,"Tipologia",$A238),0)
- IFERROR(GETPIVOTDATA("Somma di AVERE",'Pivot Fineco St'!$A$3,"Mese",6,"Tipologia",$A238),0)
- IFERROR(GETPIVOTDATA("Somma di AVERE",'Pivot Fineco Sa'!$A$3,"Mese",6,"Tipologia",$A238),0)
+ IFERROR(GETPIVOTDATA("Somma di DARE",'Pivot PP Visa'!$A$3,"Mese",6,"Tipologia",$A238),0)
- IFERROR(GETPIVOTDATA("Somma di AVERE",'Pivot PP Visa'!$A$3,"Mese",6,"Tipologia",$A238),0)
+ IFERROR(GETPIVOTDATA("Somma di DARE",'Pivot Revolut'!$A$3,"Mese",6,"Tipologia",$A238),0)
- IFERROR(GETPIVOTDATA("Somma di AVERE",'Pivot Revolut'!$A$3,"Mese",6,"Tipologia",$A238),0)</f>
        <v>551.76</v>
      </c>
      <c r="I238" s="243">
        <f>IFERROR(GETPIVOTDATA("Somma di DARE EUR",'Pivot RakBank AED'!$A$3,"Mese",7,"Tipologia",$A238),0)
- IFERROR(GETPIVOTDATA("Somma di AVERE EUR",'Pivot RakBank AED'!$A$3,"Mese",7,"Tipologia",$A238),0)
+IFERROR(GETPIVOTDATA("Somma di DARE",'Pivot RakBank EUR'!$A$3,"Mese",7,"Tipologia",$A238),0)
- IFERROR(GETPIVOTDATA("Somma di AVERE",'Pivot RakBank EUR'!$A$3,"Mese",7,"Tipologia",$A238),0)
+IFERROR(GETPIVOTDATA("Somma di DARE",'Pivot Fineco Sa'!$A$3,"Mese",7,"Tipologia",$A238),0)
+ IFERROR(GETPIVOTDATA("Somma di DARE",'Pivot Fineco St'!$A$3,"Mese",7,"Tipologia",$A238),0)
+ Contanti!Z100
+ IFERROR(GETPIVOTDATA("Somma di DARE",'Pivot BBVA'!$A$3,"Mese",7,"Tipologia",$A238),0)
+ IFERROR(GETPIVOTDATA("Somma di DARE",'Pivot Amex'!$A$3,"Mese",7,"Tipologia",$A238),0)
- IFERROR(GETPIVOTDATA("Somma di AVERE",'Pivot Amex'!$A$3,"Mese",7,"Tipologia",$A238),0)
- IFERROR(GETPIVOTDATA("Somma di AVERE",'Pivot BBVA'!$A$3,"Mese",7,"Tipologia",$A238),0)
- IFERROR(GETPIVOTDATA("Somma di AVERE",'Pivot Fineco St'!$A$3,"Mese",7,"Tipologia",$A238),0)
- IFERROR(GETPIVOTDATA("Somma di AVERE",'Pivot Fineco Sa'!$A$3,"Mese",7,"Tipologia",$A238),0)
+ IFERROR(GETPIVOTDATA("Somma di DARE",'Pivot PP Visa'!$A$3,"Mese",7,"Tipologia",$A238),0)
- IFERROR(GETPIVOTDATA("Somma di AVERE",'Pivot PP Visa'!$A$3,"Mese",7,"Tipologia",$A238),0)
+ IFERROR(GETPIVOTDATA("Somma di DARE",'Pivot Revolut'!$A$3,"Mese",7,"Tipologia",$A238),0)
- IFERROR(GETPIVOTDATA("Somma di AVERE",'Pivot Revolut'!$A$3,"Mese",7,"Tipologia",$A238),0)</f>
        <v>0</v>
      </c>
      <c r="J238" s="243">
        <f>IFERROR(GETPIVOTDATA("Somma di DARE EUR",'Pivot RakBank AED'!$A$3,"Mese",8,"Tipologia",$A238),0)
- IFERROR(GETPIVOTDATA("Somma di AVERE EUR",'Pivot RakBank AED'!$A$3,"Mese",8,"Tipologia",$A238),0)
+IFERROR(GETPIVOTDATA("Somma di DARE",'Pivot RakBank EUR'!$A$3,"Mese",8,"Tipologia",$A238),0)
- IFERROR(GETPIVOTDATA("Somma di AVERE",'Pivot RakBank EUR'!$A$3,"Mese",8,"Tipologia",$A238),0)
+IFERROR(GETPIVOTDATA("Somma di DARE",'Pivot Fineco Sa'!$A$3,"Mese",8,"Tipologia",$A238),0)
+ IFERROR(GETPIVOTDATA("Somma di DARE",'Pivot Fineco St'!$A$3,"Mese",8,"Tipologia",$A238),0)
+ Contanti!AD100
+ IFERROR(GETPIVOTDATA("Somma di DARE",'Pivot BBVA'!$A$3,"Mese",8,"Tipologia",$A238),0)
+ IFERROR(GETPIVOTDATA("Somma di DARE",'Pivot Amex'!$A$3,"Mese",8,"Tipologia",$A238),0)
- IFERROR(GETPIVOTDATA("Somma di AVERE",'Pivot Amex'!$A$3,"Mese",8,"Tipologia",$A238),0)
- IFERROR(GETPIVOTDATA("Somma di AVERE",'Pivot BBVA'!$A$3,"Mese",8,"Tipologia",$A238),0)
- IFERROR(GETPIVOTDATA("Somma di AVERE",'Pivot Fineco St'!$A$3,"Mese",8,"Tipologia",$A238),0)
- IFERROR(GETPIVOTDATA("Somma di AVERE",'Pivot Fineco Sa'!$A$3,"Mese",8,"Tipologia",$A238),0)
+ IFERROR(GETPIVOTDATA("Somma di DARE",'Pivot PP Visa'!$A$3,"Mese",8,"Tipologia",$A238),0)
- IFERROR(GETPIVOTDATA("Somma di AVERE",'Pivot PP Visa'!$A$3,"Mese",8,"Tipologia",$A238),0)
+ IFERROR(GETPIVOTDATA("Somma di DARE",'Pivot Revolut'!$A$3,"Mese",8,"Tipologia",$A238),0)
- IFERROR(GETPIVOTDATA("Somma di AVERE",'Pivot Revolut'!$A$3,"Mese",8,"Tipologia",$A238),0)</f>
        <v>0</v>
      </c>
      <c r="K238" s="243">
        <f>IFERROR(GETPIVOTDATA("Somma di DARE EUR",'Pivot RakBank AED'!$A$3,"Mese",9,"Tipologia",$A238),0)
- IFERROR(GETPIVOTDATA("Somma di AVERE EUR",'Pivot RakBank AED'!$A$3,"Mese",9,"Tipologia",$A238),0)
+IFERROR(GETPIVOTDATA("Somma di DARE",'Pivot RakBank EUR'!$A$3,"Mese",9,"Tipologia",$A238),0)
- IFERROR(GETPIVOTDATA("Somma di AVERE",'Pivot RakBank EUR'!$A$3,"Mese",9,"Tipologia",$A238),0)
+IFERROR(GETPIVOTDATA("Somma di DARE",'Pivot Fineco Sa'!$A$3,"Mese",9,"Tipologia",$A238),0)
+ IFERROR(GETPIVOTDATA("Somma di DARE",'Pivot Fineco St'!$A$3,"Mese",9,"Tipologia",$A238),0)
+ Contanti!AH100
+ IFERROR(GETPIVOTDATA("Somma di DARE",'Pivot BBVA'!$A$3,"Mese",9,"Tipologia",$A238),0)
+ IFERROR(GETPIVOTDATA("Somma di DARE",'Pivot Amex'!$A$3,"Mese",9,"Tipologia",$A238),0)
- IFERROR(GETPIVOTDATA("Somma di AVERE",'Pivot Amex'!$A$3,"Mese",9,"Tipologia",$A238),0)
- IFERROR(GETPIVOTDATA("Somma di AVERE",'Pivot BBVA'!$A$3,"Mese",9,"Tipologia",$A238),0)
- IFERROR(GETPIVOTDATA("Somma di AVERE",'Pivot Fineco St'!$A$3,"Mese",9,"Tipologia",$A238),0)
- IFERROR(GETPIVOTDATA("Somma di AVERE",'Pivot Fineco Sa'!$A$3,"Mese",9,"Tipologia",$A238),0)
+ IFERROR(GETPIVOTDATA("Somma di DARE",'Pivot PP Visa'!$A$3,"Mese",9,"Tipologia",$A238),0)
- IFERROR(GETPIVOTDATA("Somma di AVERE",'Pivot PP Visa'!$A$3,"Mese",9,"Tipologia",$A238),0)
+ IFERROR(GETPIVOTDATA("Somma di DARE",'Pivot Revolut'!$A$3,"Mese",9,"Tipologia",$A238),0)
- IFERROR(GETPIVOTDATA("Somma di AVERE",'Pivot Revolut'!$A$3,"Mese",9,"Tipologia",$A238),0)</f>
        <v>0</v>
      </c>
      <c r="L238" s="243">
        <f>IFERROR(GETPIVOTDATA("Somma di DARE EUR",'Pivot RakBank AED'!$A$3,"Mese",10,"Tipologia",$A238),0)
- IFERROR(GETPIVOTDATA("Somma di AVERE EUR",'Pivot RakBank AED'!$A$3,"Mese",10,"Tipologia",$A238),0)
+IFERROR(GETPIVOTDATA("Somma di DARE",'Pivot RakBank EUR'!$A$3,"Mese",10,"Tipologia",$A238),0)
- IFERROR(GETPIVOTDATA("Somma di AVERE",'Pivot RakBank EUR'!$A$3,"Mese",10,"Tipologia",$A238),0)
+IFERROR(GETPIVOTDATA("Somma di DARE",'Pivot Fineco Sa'!$A$3,"Mese",10,"Tipologia",$A238),0)
+ IFERROR(GETPIVOTDATA("Somma di DARE",'Pivot Fineco St'!$A$3,"Mese",10,"Tipologia",$A238),0)
+ Contanti!AL100
+ IFERROR(GETPIVOTDATA("Somma di DARE",'Pivot BBVA'!$A$3,"Mese",10,"Tipologia",$A238),0)
+ IFERROR(GETPIVOTDATA("Somma di DARE",'Pivot Amex'!$A$3,"Mese",10,"Tipologia",$A238),0)
- IFERROR(GETPIVOTDATA("Somma di AVERE",'Pivot Amex'!$A$3,"Mese",10,"Tipologia",$A238),0)
- IFERROR(GETPIVOTDATA("Somma di AVERE",'Pivot BBVA'!$A$3,"Mese",10,"Tipologia",$A238),0)
- IFERROR(GETPIVOTDATA("Somma di AVERE",'Pivot Fineco St'!$A$3,"Mese",10,"Tipologia",$A238),0)
- IFERROR(GETPIVOTDATA("Somma di AVERE",'Pivot Fineco Sa'!$A$3,"Mese",10,"Tipologia",$A238),0)
+ IFERROR(GETPIVOTDATA("Somma di DARE",'Pivot PP Visa'!$A$3,"Mese",10,"Tipologia",$A238),0)
- IFERROR(GETPIVOTDATA("Somma di AVERE",'Pivot PP Visa'!$A$3,"Mese",10,"Tipologia",$A238),0)
+ IFERROR(GETPIVOTDATA("Somma di DARE",'Pivot Revolut'!$A$3,"Mese",10,"Tipologia",$A238),0)
- IFERROR(GETPIVOTDATA("Somma di AVERE",'Pivot Revolut'!$A$3,"Mese",10,"Tipologia",$A238),0)</f>
        <v>0</v>
      </c>
      <c r="M238" s="243">
        <f>IFERROR(GETPIVOTDATA("Somma di DARE EUR",'Pivot RakBank AED'!$A$3,"Mese",11,"Tipologia",$A238),0)
- IFERROR(GETPIVOTDATA("Somma di AVERE EUR",'Pivot RakBank AED'!$A$3,"Mese",11,"Tipologia",$A238),0)
+IFERROR(GETPIVOTDATA("Somma di DARE",'Pivot RakBank EUR'!$A$3,"Mese",11,"Tipologia",$A238),0)
- IFERROR(GETPIVOTDATA("Somma di AVERE",'Pivot RakBank EUR'!$A$3,"Mese",11,"Tipologia",$A238),0)
+IFERROR(GETPIVOTDATA("Somma di DARE",'Pivot Fineco Sa'!$A$3,"Mese",11,"Tipologia",$A238),0)
+ IFERROR(GETPIVOTDATA("Somma di DARE",'Pivot Fineco St'!$A$3,"Mese",11,"Tipologia",$A238),0)
+ Contanti!AP100
+ IFERROR(GETPIVOTDATA("Somma di DARE",'Pivot BBVA'!$A$3,"Mese",11,"Tipologia",$A238),0)
+ IFERROR(GETPIVOTDATA("Somma di DARE",'Pivot Amex'!$A$3,"Mese",11,"Tipologia",$A238),0)
- IFERROR(GETPIVOTDATA("Somma di AVERE",'Pivot Amex'!$A$3,"Mese",11,"Tipologia",$A238),0)
- IFERROR(GETPIVOTDATA("Somma di AVERE",'Pivot BBVA'!$A$3,"Mese",11,"Tipologia",$A238),0)
- IFERROR(GETPIVOTDATA("Somma di AVERE",'Pivot Fineco St'!$A$3,"Mese",11,"Tipologia",$A238),0)
- IFERROR(GETPIVOTDATA("Somma di AVERE",'Pivot Fineco Sa'!$A$3,"Mese",11,"Tipologia",$A238),0)
+ IFERROR(GETPIVOTDATA("Somma di DARE",'Pivot PP Visa'!$A$3,"Mese",11,"Tipologia",$A238),0)
- IFERROR(GETPIVOTDATA("Somma di AVERE",'Pivot PP Visa'!$A$3,"Mese",11,"Tipologia",$A238),0)
+ IFERROR(GETPIVOTDATA("Somma di DARE",'Pivot Revolut'!$A$3,"Mese",11,"Tipologia",$A238),0)
- IFERROR(GETPIVOTDATA("Somma di AVERE",'Pivot Revolut'!$A$3,"Mese",11,"Tipologia",$A238),0)</f>
        <v>0</v>
      </c>
      <c r="N238" s="243">
        <f>IFERROR(GETPIVOTDATA("Somma di DARE EUR",'Pivot RakBank AED'!$A$3,"Mese",12,"Tipologia",$A238),0)
- IFERROR(GETPIVOTDATA("Somma di AVERE EUR",'Pivot RakBank AED'!$A$3,"Mese",12,"Tipologia",$A238),0)
+IFERROR(GETPIVOTDATA("Somma di DARE",'Pivot RakBank EUR'!$A$3,"Mese",12,"Tipologia",$A238),0)
- IFERROR(GETPIVOTDATA("Somma di AVERE",'Pivot RakBank EUR'!$A$3,"Mese",12,"Tipologia",$A238),0)
+IFERROR(GETPIVOTDATA("Somma di DARE",'Pivot Fineco Sa'!$A$3,"Mese",12,"Tipologia",$A238),0)
+ IFERROR(GETPIVOTDATA("Somma di DARE",'Pivot Fineco St'!$A$3,"Mese",12,"Tipologia",$A238),0)
+ Contanti!AT100
+ IFERROR(GETPIVOTDATA("Somma di DARE",'Pivot BBVA'!$A$3,"Mese",12,"Tipologia",$A238),0)
+ IFERROR(GETPIVOTDATA("Somma di DARE",'Pivot Amex'!$A$3,"Mese",12,"Tipologia",$A238),0)
- IFERROR(GETPIVOTDATA("Somma di AVERE",'Pivot Amex'!$A$3,"Mese",12,"Tipologia",$A238),0)
- IFERROR(GETPIVOTDATA("Somma di AVERE",'Pivot BBVA'!$A$3,"Mese",12,"Tipologia",$A238),0)
- IFERROR(GETPIVOTDATA("Somma di AVERE",'Pivot Fineco St'!$A$3,"Mese",12,"Tipologia",$A238),0)
- IFERROR(GETPIVOTDATA("Somma di AVERE",'Pivot Fineco Sa'!$A$3,"Mese",12,"Tipologia",$A238),0)
+ IFERROR(GETPIVOTDATA("Somma di DARE",'Pivot PP Visa'!$A$3,"Mese",12,"Tipologia",$A238),0)
- IFERROR(GETPIVOTDATA("Somma di AVERE",'Pivot PP Visa'!$A$3,"Mese",12,"Tipologia",$A238),0)
+ IFERROR(GETPIVOTDATA("Somma di DARE",'Pivot Revolut'!$A$3,"Mese",12,"Tipologia",$A238),0)
- IFERROR(GETPIVOTDATA("Somma di AVERE",'Pivot Revolut'!$A$3,"Mese",12,"Tipologia",$A238),0)</f>
        <v>0</v>
      </c>
      <c r="O238" s="252">
        <f t="shared" ref="O238:O239" si="49">SUM(C238:N238)</f>
        <v>1150.02</v>
      </c>
      <c r="P238" s="243">
        <f t="shared" ca="1" si="48"/>
        <v>164.28857142857143</v>
      </c>
    </row>
    <row r="239" spans="1:16" s="125" customFormat="1" ht="21" customHeight="1" x14ac:dyDescent="0.2">
      <c r="A239" s="251" t="s">
        <v>143</v>
      </c>
      <c r="B239" s="251"/>
      <c r="C239" s="243">
        <f>IFERROR(GETPIVOTDATA("Somma di DARE EUR",'Pivot RakBank AED'!$A$3,"Mese",1,"Tipologia",$A239),0)
- IFERROR(GETPIVOTDATA("Somma di AVERE EUR",'Pivot RakBank AED'!$A$3,"Mese",1,"Tipologia",$A239),0)
+IFERROR(GETPIVOTDATA("Somma di DARE",'Pivot RakBank EUR'!$A$3,"Mese",1,"Tipologia",$A239),0)
- IFERROR(GETPIVOTDATA("Somma di AVERE",'Pivot RakBank EUR'!$A$3,"Mese",1,"Tipologia",$A239),0)
+IFERROR(GETPIVOTDATA("Somma di DARE",'Pivot Fineco Sa'!$A$3,"Mese",1,"Tipologia",$A239),0)
+ IFERROR(GETPIVOTDATA("Somma di DARE",'Pivot Fineco St'!$A$3,"Mese",1,"Tipologia",$A239),0)
+ Contanti!B101
+ IFERROR(GETPIVOTDATA("Somma di DARE",'Pivot BBVA'!$A$3,"Mese",1,"Tipologia",$A239),0)
+ IFERROR(GETPIVOTDATA("Somma di DARE",'Pivot Amex'!$A$3,"Mese",1,"Tipologia",$A239),0)
- IFERROR(GETPIVOTDATA("Somma di AVERE",'Pivot Amex'!$A$3,"Mese",1,"Tipologia",$A239),0)
- IFERROR(GETPIVOTDATA("Somma di AVERE",'Pivot BBVA'!$A$3,"Mese",1,"Tipologia",$A239),0)
- IFERROR(GETPIVOTDATA("Somma di AVERE",'Pivot Fineco St'!$A$3,"Mese",1,"Tipologia",$A239),0)
- IFERROR(GETPIVOTDATA("Somma di AVERE",'Pivot Fineco Sa'!$A$3,"Mese",1,"Tipologia",$A239),0)
+ IFERROR(GETPIVOTDATA("Somma di DARE",'Pivot PP Visa'!$A$3,"Mese",1,"Tipologia",$A239),0)
- IFERROR(GETPIVOTDATA("Somma di AVERE",'Pivot PP Visa'!$A$3,"Mese",1,"Tipologia",$A239),0)
+ IFERROR(GETPIVOTDATA("Somma di DARE",'Pivot Revolut'!$A$3,"Mese",1,"Tipologia",$A239),0)
- IFERROR(GETPIVOTDATA("Somma di AVERE",'Pivot Revolut'!$A$3,"Mese",1,"Tipologia",$A239),0)</f>
        <v>0</v>
      </c>
      <c r="D239" s="243">
        <f>IFERROR(GETPIVOTDATA("Somma di DARE EUR",'Pivot RakBank AED'!$A$3,"Mese",2,"Tipologia",$A239),0)
- IFERROR(GETPIVOTDATA("Somma di AVERE EUR",'Pivot RakBank AED'!$A$3,"Mese",2,"Tipologia",$A239),0)
+IFERROR(GETPIVOTDATA("Somma di DARE",'Pivot RakBank EUR'!$A$3,"Mese",2,"Tipologia",$A239),0)
- IFERROR(GETPIVOTDATA("Somma di AVERE",'Pivot RakBank EUR'!$A$3,"Mese",2,"Tipologia",$A239),0)
+IFERROR(GETPIVOTDATA("Somma di DARE",'Pivot Fineco Sa'!$A$3,"Mese",2,"Tipologia",$A239),0)
+ IFERROR(GETPIVOTDATA("Somma di DARE",'Pivot Fineco St'!$A$3,"Mese",2,"Tipologia",$A239),0)
+ Contanti!F101
+ IFERROR(GETPIVOTDATA("Somma di DARE",'Pivot BBVA'!$A$3,"Mese",2,"Tipologia",$A239),0)
+ IFERROR(GETPIVOTDATA("Somma di DARE",'Pivot Amex'!$A$3,"Mese",2,"Tipologia",$A239),0)
- IFERROR(GETPIVOTDATA("Somma di AVERE",'Pivot Amex'!$A$3,"Mese",2,"Tipologia",$A239),0)
- IFERROR(GETPIVOTDATA("Somma di AVERE",'Pivot BBVA'!$A$3,"Mese",2,"Tipologia",$A239),0)
- IFERROR(GETPIVOTDATA("Somma di AVERE",'Pivot Fineco St'!$A$3,"Mese",2,"Tipologia",$A239),0)
- IFERROR(GETPIVOTDATA("Somma di AVERE",'Pivot Fineco Sa'!$A$3,"Mese",2,"Tipologia",$A239),0)
+ IFERROR(GETPIVOTDATA("Somma di DARE",'Pivot PP Visa'!$A$3,"Mese",2,"Tipologia",$A239),0)
- IFERROR(GETPIVOTDATA("Somma di AVERE",'Pivot PP Visa'!$A$3,"Mese",2,"Tipologia",$A239),0)
+ IFERROR(GETPIVOTDATA("Somma di DARE",'Pivot Revolut'!$A$3,"Mese",2,"Tipologia",$A239),0)
- IFERROR(GETPIVOTDATA("Somma di AVERE",'Pivot Revolut'!$A$3,"Mese",2,"Tipologia",$A239),0)</f>
        <v>0</v>
      </c>
      <c r="E239" s="243">
        <f>IFERROR(GETPIVOTDATA("Somma di DARE EUR",'Pivot RakBank AED'!$A$3,"Mese",3,"Tipologia",$A239),0)
- IFERROR(GETPIVOTDATA("Somma di AVERE EUR",'Pivot RakBank AED'!$A$3,"Mese",3,"Tipologia",$A239),0)
+IFERROR(GETPIVOTDATA("Somma di DARE",'Pivot RakBank EUR'!$A$3,"Mese",3,"Tipologia",$A239),0)
- IFERROR(GETPIVOTDATA("Somma di AVERE",'Pivot RakBank EUR'!$A$3,"Mese",3,"Tipologia",$A239),0)
+IFERROR(GETPIVOTDATA("Somma di DARE",'Pivot Fineco Sa'!$A$3,"Mese",3,"Tipologia",$A239),0)
+ IFERROR(GETPIVOTDATA("Somma di DARE",'Pivot Fineco St'!$A$3,"Mese",3,"Tipologia",$A239),0)
+ Contanti!J101
+ IFERROR(GETPIVOTDATA("Somma di DARE",'Pivot BBVA'!$A$3,"Mese",3,"Tipologia",$A239),0)
+ IFERROR(GETPIVOTDATA("Somma di DARE",'Pivot Amex'!$A$3,"Mese",3,"Tipologia",$A239),0)
- IFERROR(GETPIVOTDATA("Somma di AVERE",'Pivot Amex'!$A$3,"Mese",3,"Tipologia",$A239),0)
- IFERROR(GETPIVOTDATA("Somma di AVERE",'Pivot BBVA'!$A$3,"Mese",3,"Tipologia",$A239),0)
- IFERROR(GETPIVOTDATA("Somma di AVERE",'Pivot Fineco St'!$A$3,"Mese",3,"Tipologia",$A239),0)
- IFERROR(GETPIVOTDATA("Somma di AVERE",'Pivot Fineco Sa'!$A$3,"Mese",3,"Tipologia",$A239),0)
+ IFERROR(GETPIVOTDATA("Somma di DARE",'Pivot PP Visa'!$A$3,"Mese",3,"Tipologia",$A239),0)
- IFERROR(GETPIVOTDATA("Somma di AVERE",'Pivot PP Visa'!$A$3,"Mese",3,"Tipologia",$A239),0)
+ IFERROR(GETPIVOTDATA("Somma di DARE",'Pivot Revolut'!$A$3,"Mese",3,"Tipologia",$A239),0)
- IFERROR(GETPIVOTDATA("Somma di AVERE",'Pivot Revolut'!$A$3,"Mese",3,"Tipologia",$A239),0)</f>
        <v>0</v>
      </c>
      <c r="F239" s="243">
        <f>IFERROR(GETPIVOTDATA("Somma di DARE EUR",'Pivot RakBank AED'!$A$3,"Mese",4,"Tipologia",$A239),0)
- IFERROR(GETPIVOTDATA("Somma di AVERE EUR",'Pivot RakBank AED'!$A$3,"Mese",4,"Tipologia",$A239),0)
+IFERROR(GETPIVOTDATA("Somma di DARE",'Pivot RakBank EUR'!$A$3,"Mese",4,"Tipologia",$A239),0)
- IFERROR(GETPIVOTDATA("Somma di AVERE",'Pivot RakBank EUR'!$A$3,"Mese",4,"Tipologia",$A239),0)
+IFERROR(GETPIVOTDATA("Somma di DARE",'Pivot Fineco Sa'!$A$3,"Mese",4,"Tipologia",$A239),0)
+ IFERROR(GETPIVOTDATA("Somma di DARE",'Pivot Fineco St'!$A$3,"Mese",4,"Tipologia",$A239),0)
+ Contanti!N101
+ IFERROR(GETPIVOTDATA("Somma di DARE",'Pivot BBVA'!$A$3,"Mese",4,"Tipologia",$A239),0)
+ IFERROR(GETPIVOTDATA("Somma di DARE",'Pivot Amex'!$A$3,"Mese",4,"Tipologia",$A239),0)
- IFERROR(GETPIVOTDATA("Somma di AVERE",'Pivot Amex'!$A$3,"Mese",4,"Tipologia",$A239),0)
- IFERROR(GETPIVOTDATA("Somma di AVERE",'Pivot BBVA'!$A$3,"Mese",4,"Tipologia",$A239),0)
- IFERROR(GETPIVOTDATA("Somma di AVERE",'Pivot Fineco St'!$A$3,"Mese",4,"Tipologia",$A239),0)
- IFERROR(GETPIVOTDATA("Somma di AVERE",'Pivot Fineco Sa'!$A$3,"Mese",4,"Tipologia",$A239),0)
+ IFERROR(GETPIVOTDATA("Somma di DARE",'Pivot PP Visa'!$A$3,"Mese",4,"Tipologia",$A239),0)
- IFERROR(GETPIVOTDATA("Somma di AVERE",'Pivot PP Visa'!$A$3,"Mese",4,"Tipologia",$A239),0)
+ IFERROR(GETPIVOTDATA("Somma di DARE",'Pivot Revolut'!$A$3,"Mese",4,"Tipologia",$A239),0)
- IFERROR(GETPIVOTDATA("Somma di AVERE",'Pivot Revolut'!$A$3,"Mese",4,"Tipologia",$A239),0)</f>
        <v>0</v>
      </c>
      <c r="G239" s="243">
        <f>IFERROR(GETPIVOTDATA("Somma di DARE EUR",'Pivot RakBank AED'!$A$3,"Mese",5,"Tipologia",$A239),0)
- IFERROR(GETPIVOTDATA("Somma di AVERE EUR",'Pivot RakBank AED'!$A$3,"Mese",5,"Tipologia",$A239),0)
+IFERROR(GETPIVOTDATA("Somma di DARE",'Pivot RakBank EUR'!$A$3,"Mese",5,"Tipologia",$A239),0)
- IFERROR(GETPIVOTDATA("Somma di AVERE",'Pivot RakBank EUR'!$A$3,"Mese",5,"Tipologia",$A239),0)
+IFERROR(GETPIVOTDATA("Somma di DARE",'Pivot Fineco Sa'!$A$3,"Mese",5,"Tipologia",$A239),0)
+ IFERROR(GETPIVOTDATA("Somma di DARE",'Pivot Fineco St'!$A$3,"Mese",5,"Tipologia",$A239),0)
+ Contanti!R101
+ IFERROR(GETPIVOTDATA("Somma di DARE",'Pivot BBVA'!$A$3,"Mese",5,"Tipologia",$A239),0)
+ IFERROR(GETPIVOTDATA("Somma di DARE",'Pivot Amex'!$A$3,"Mese",5,"Tipologia",$A239),0)
- IFERROR(GETPIVOTDATA("Somma di AVERE",'Pivot Amex'!$A$3,"Mese",5,"Tipologia",$A239),0)
- IFERROR(GETPIVOTDATA("Somma di AVERE",'Pivot BBVA'!$A$3,"Mese",5,"Tipologia",$A239),0)
- IFERROR(GETPIVOTDATA("Somma di AVERE",'Pivot Fineco St'!$A$3,"Mese",5,"Tipologia",$A239),0)
- IFERROR(GETPIVOTDATA("Somma di AVERE",'Pivot Fineco Sa'!$A$3,"Mese",5,"Tipologia",$A239),0)
+ IFERROR(GETPIVOTDATA("Somma di DARE",'Pivot PP Visa'!$A$3,"Mese",5,"Tipologia",$A239),0)
- IFERROR(GETPIVOTDATA("Somma di AVERE",'Pivot PP Visa'!$A$3,"Mese",5,"Tipologia",$A239),0)
+ IFERROR(GETPIVOTDATA("Somma di DARE",'Pivot Revolut'!$A$3,"Mese",5,"Tipologia",$A239),0)
- IFERROR(GETPIVOTDATA("Somma di AVERE",'Pivot Revolut'!$A$3,"Mese",5,"Tipologia",$A239),0)</f>
        <v>0</v>
      </c>
      <c r="H239" s="243">
        <f>IFERROR(GETPIVOTDATA("Somma di DARE EUR",'Pivot RakBank AED'!$A$3,"Mese",6,"Tipologia",$A239),0)
- IFERROR(GETPIVOTDATA("Somma di AVERE EUR",'Pivot RakBank AED'!$A$3,"Mese",6,"Tipologia",$A239),0)
+IFERROR(GETPIVOTDATA("Somma di DARE",'Pivot RakBank EUR'!$A$3,"Mese",6,"Tipologia",$A239),0)
- IFERROR(GETPIVOTDATA("Somma di AVERE",'Pivot RakBank EUR'!$A$3,"Mese",6,"Tipologia",$A239),0)
+IFERROR(GETPIVOTDATA("Somma di DARE",'Pivot Fineco Sa'!$A$3,"Mese",6,"Tipologia",$A239),0)
+ IFERROR(GETPIVOTDATA("Somma di DARE",'Pivot Fineco St'!$A$3,"Mese",6,"Tipologia",$A239),0)
+ Contanti!V101
+ IFERROR(GETPIVOTDATA("Somma di DARE",'Pivot BBVA'!$A$3,"Mese",6,"Tipologia",$A239),0)
+ IFERROR(GETPIVOTDATA("Somma di DARE",'Pivot Amex'!$A$3,"Mese",6,"Tipologia",$A239),0)
- IFERROR(GETPIVOTDATA("Somma di AVERE",'Pivot Amex'!$A$3,"Mese",6,"Tipologia",$A239),0)
- IFERROR(GETPIVOTDATA("Somma di AVERE",'Pivot BBVA'!$A$3,"Mese",6,"Tipologia",$A239),0)
- IFERROR(GETPIVOTDATA("Somma di AVERE",'Pivot Fineco St'!$A$3,"Mese",6,"Tipologia",$A239),0)
- IFERROR(GETPIVOTDATA("Somma di AVERE",'Pivot Fineco Sa'!$A$3,"Mese",6,"Tipologia",$A239),0)
+ IFERROR(GETPIVOTDATA("Somma di DARE",'Pivot PP Visa'!$A$3,"Mese",6,"Tipologia",$A239),0)
- IFERROR(GETPIVOTDATA("Somma di AVERE",'Pivot PP Visa'!$A$3,"Mese",6,"Tipologia",$A239),0)
+ IFERROR(GETPIVOTDATA("Somma di DARE",'Pivot Revolut'!$A$3,"Mese",6,"Tipologia",$A239),0)
- IFERROR(GETPIVOTDATA("Somma di AVERE",'Pivot Revolut'!$A$3,"Mese",6,"Tipologia",$A239),0)</f>
        <v>0</v>
      </c>
      <c r="I239" s="243">
        <f>IFERROR(GETPIVOTDATA("Somma di DARE EUR",'Pivot RakBank AED'!$A$3,"Mese",7,"Tipologia",$A239),0)
- IFERROR(GETPIVOTDATA("Somma di AVERE EUR",'Pivot RakBank AED'!$A$3,"Mese",7,"Tipologia",$A239),0)
+IFERROR(GETPIVOTDATA("Somma di DARE",'Pivot RakBank EUR'!$A$3,"Mese",7,"Tipologia",$A239),0)
- IFERROR(GETPIVOTDATA("Somma di AVERE",'Pivot RakBank EUR'!$A$3,"Mese",7,"Tipologia",$A239),0)
+IFERROR(GETPIVOTDATA("Somma di DARE",'Pivot Fineco Sa'!$A$3,"Mese",7,"Tipologia",$A239),0)
+ IFERROR(GETPIVOTDATA("Somma di DARE",'Pivot Fineco St'!$A$3,"Mese",7,"Tipologia",$A239),0)
+ Contanti!Z101
+ IFERROR(GETPIVOTDATA("Somma di DARE",'Pivot BBVA'!$A$3,"Mese",7,"Tipologia",$A239),0)
+ IFERROR(GETPIVOTDATA("Somma di DARE",'Pivot Amex'!$A$3,"Mese",7,"Tipologia",$A239),0)
- IFERROR(GETPIVOTDATA("Somma di AVERE",'Pivot Amex'!$A$3,"Mese",7,"Tipologia",$A239),0)
- IFERROR(GETPIVOTDATA("Somma di AVERE",'Pivot BBVA'!$A$3,"Mese",7,"Tipologia",$A239),0)
- IFERROR(GETPIVOTDATA("Somma di AVERE",'Pivot Fineco St'!$A$3,"Mese",7,"Tipologia",$A239),0)
- IFERROR(GETPIVOTDATA("Somma di AVERE",'Pivot Fineco Sa'!$A$3,"Mese",7,"Tipologia",$A239),0)
+ IFERROR(GETPIVOTDATA("Somma di DARE",'Pivot PP Visa'!$A$3,"Mese",7,"Tipologia",$A239),0)
- IFERROR(GETPIVOTDATA("Somma di AVERE",'Pivot PP Visa'!$A$3,"Mese",7,"Tipologia",$A239),0)
+ IFERROR(GETPIVOTDATA("Somma di DARE",'Pivot Revolut'!$A$3,"Mese",7,"Tipologia",$A239),0)
- IFERROR(GETPIVOTDATA("Somma di AVERE",'Pivot Revolut'!$A$3,"Mese",7,"Tipologia",$A239),0)</f>
        <v>0</v>
      </c>
      <c r="J239" s="243">
        <f>IFERROR(GETPIVOTDATA("Somma di DARE EUR",'Pivot RakBank AED'!$A$3,"Mese",8,"Tipologia",$A239),0)
- IFERROR(GETPIVOTDATA("Somma di AVERE EUR",'Pivot RakBank AED'!$A$3,"Mese",8,"Tipologia",$A239),0)
+IFERROR(GETPIVOTDATA("Somma di DARE",'Pivot RakBank EUR'!$A$3,"Mese",8,"Tipologia",$A239),0)
- IFERROR(GETPIVOTDATA("Somma di AVERE",'Pivot RakBank EUR'!$A$3,"Mese",8,"Tipologia",$A239),0)
+IFERROR(GETPIVOTDATA("Somma di DARE",'Pivot Fineco Sa'!$A$3,"Mese",8,"Tipologia",$A239),0)
+ IFERROR(GETPIVOTDATA("Somma di DARE",'Pivot Fineco St'!$A$3,"Mese",8,"Tipologia",$A239),0)
+ Contanti!AD101
+ IFERROR(GETPIVOTDATA("Somma di DARE",'Pivot BBVA'!$A$3,"Mese",8,"Tipologia",$A239),0)
+ IFERROR(GETPIVOTDATA("Somma di DARE",'Pivot Amex'!$A$3,"Mese",8,"Tipologia",$A239),0)
- IFERROR(GETPIVOTDATA("Somma di AVERE",'Pivot Amex'!$A$3,"Mese",8,"Tipologia",$A239),0)
- IFERROR(GETPIVOTDATA("Somma di AVERE",'Pivot BBVA'!$A$3,"Mese",8,"Tipologia",$A239),0)
- IFERROR(GETPIVOTDATA("Somma di AVERE",'Pivot Fineco St'!$A$3,"Mese",8,"Tipologia",$A239),0)
- IFERROR(GETPIVOTDATA("Somma di AVERE",'Pivot Fineco Sa'!$A$3,"Mese",8,"Tipologia",$A239),0)
+ IFERROR(GETPIVOTDATA("Somma di DARE",'Pivot PP Visa'!$A$3,"Mese",8,"Tipologia",$A239),0)
- IFERROR(GETPIVOTDATA("Somma di AVERE",'Pivot PP Visa'!$A$3,"Mese",8,"Tipologia",$A239),0)
+ IFERROR(GETPIVOTDATA("Somma di DARE",'Pivot Revolut'!$A$3,"Mese",8,"Tipologia",$A239),0)
- IFERROR(GETPIVOTDATA("Somma di AVERE",'Pivot Revolut'!$A$3,"Mese",8,"Tipologia",$A239),0)</f>
        <v>0</v>
      </c>
      <c r="K239" s="243">
        <f>IFERROR(GETPIVOTDATA("Somma di DARE EUR",'Pivot RakBank AED'!$A$3,"Mese",9,"Tipologia",$A239),0)
- IFERROR(GETPIVOTDATA("Somma di AVERE EUR",'Pivot RakBank AED'!$A$3,"Mese",9,"Tipologia",$A239),0)
+IFERROR(GETPIVOTDATA("Somma di DARE",'Pivot RakBank EUR'!$A$3,"Mese",9,"Tipologia",$A239),0)
- IFERROR(GETPIVOTDATA("Somma di AVERE",'Pivot RakBank EUR'!$A$3,"Mese",9,"Tipologia",$A239),0)
+IFERROR(GETPIVOTDATA("Somma di DARE",'Pivot Fineco Sa'!$A$3,"Mese",9,"Tipologia",$A239),0)
+ IFERROR(GETPIVOTDATA("Somma di DARE",'Pivot Fineco St'!$A$3,"Mese",9,"Tipologia",$A239),0)
+ Contanti!AH101
+ IFERROR(GETPIVOTDATA("Somma di DARE",'Pivot BBVA'!$A$3,"Mese",9,"Tipologia",$A239),0)
+ IFERROR(GETPIVOTDATA("Somma di DARE",'Pivot Amex'!$A$3,"Mese",9,"Tipologia",$A239),0)
- IFERROR(GETPIVOTDATA("Somma di AVERE",'Pivot Amex'!$A$3,"Mese",9,"Tipologia",$A239),0)
- IFERROR(GETPIVOTDATA("Somma di AVERE",'Pivot BBVA'!$A$3,"Mese",9,"Tipologia",$A239),0)
- IFERROR(GETPIVOTDATA("Somma di AVERE",'Pivot Fineco St'!$A$3,"Mese",9,"Tipologia",$A239),0)
- IFERROR(GETPIVOTDATA("Somma di AVERE",'Pivot Fineco Sa'!$A$3,"Mese",9,"Tipologia",$A239),0)
+ IFERROR(GETPIVOTDATA("Somma di DARE",'Pivot PP Visa'!$A$3,"Mese",9,"Tipologia",$A239),0)
- IFERROR(GETPIVOTDATA("Somma di AVERE",'Pivot PP Visa'!$A$3,"Mese",9,"Tipologia",$A239),0)
+ IFERROR(GETPIVOTDATA("Somma di DARE",'Pivot Revolut'!$A$3,"Mese",9,"Tipologia",$A239),0)
- IFERROR(GETPIVOTDATA("Somma di AVERE",'Pivot Revolut'!$A$3,"Mese",9,"Tipologia",$A239),0)</f>
        <v>0</v>
      </c>
      <c r="L239" s="243">
        <f>IFERROR(GETPIVOTDATA("Somma di DARE EUR",'Pivot RakBank AED'!$A$3,"Mese",10,"Tipologia",$A239),0)
- IFERROR(GETPIVOTDATA("Somma di AVERE EUR",'Pivot RakBank AED'!$A$3,"Mese",10,"Tipologia",$A239),0)
+IFERROR(GETPIVOTDATA("Somma di DARE",'Pivot RakBank EUR'!$A$3,"Mese",10,"Tipologia",$A239),0)
- IFERROR(GETPIVOTDATA("Somma di AVERE",'Pivot RakBank EUR'!$A$3,"Mese",10,"Tipologia",$A239),0)
+IFERROR(GETPIVOTDATA("Somma di DARE",'Pivot Fineco Sa'!$A$3,"Mese",10,"Tipologia",$A239),0)
+ IFERROR(GETPIVOTDATA("Somma di DARE",'Pivot Fineco St'!$A$3,"Mese",10,"Tipologia",$A239),0)
+ Contanti!AL101
+ IFERROR(GETPIVOTDATA("Somma di DARE",'Pivot BBVA'!$A$3,"Mese",10,"Tipologia",$A239),0)
+ IFERROR(GETPIVOTDATA("Somma di DARE",'Pivot Amex'!$A$3,"Mese",10,"Tipologia",$A239),0)
- IFERROR(GETPIVOTDATA("Somma di AVERE",'Pivot Amex'!$A$3,"Mese",10,"Tipologia",$A239),0)
- IFERROR(GETPIVOTDATA("Somma di AVERE",'Pivot BBVA'!$A$3,"Mese",10,"Tipologia",$A239),0)
- IFERROR(GETPIVOTDATA("Somma di AVERE",'Pivot Fineco St'!$A$3,"Mese",10,"Tipologia",$A239),0)
- IFERROR(GETPIVOTDATA("Somma di AVERE",'Pivot Fineco Sa'!$A$3,"Mese",10,"Tipologia",$A239),0)
+ IFERROR(GETPIVOTDATA("Somma di DARE",'Pivot PP Visa'!$A$3,"Mese",10,"Tipologia",$A239),0)
- IFERROR(GETPIVOTDATA("Somma di AVERE",'Pivot PP Visa'!$A$3,"Mese",10,"Tipologia",$A239),0)
+ IFERROR(GETPIVOTDATA("Somma di DARE",'Pivot Revolut'!$A$3,"Mese",10,"Tipologia",$A239),0)
- IFERROR(GETPIVOTDATA("Somma di AVERE",'Pivot Revolut'!$A$3,"Mese",10,"Tipologia",$A239),0)</f>
        <v>0</v>
      </c>
      <c r="M239" s="243">
        <f>IFERROR(GETPIVOTDATA("Somma di DARE EUR",'Pivot RakBank AED'!$A$3,"Mese",11,"Tipologia",$A239),0)
- IFERROR(GETPIVOTDATA("Somma di AVERE EUR",'Pivot RakBank AED'!$A$3,"Mese",11,"Tipologia",$A239),0)
+IFERROR(GETPIVOTDATA("Somma di DARE",'Pivot RakBank EUR'!$A$3,"Mese",11,"Tipologia",$A239),0)
- IFERROR(GETPIVOTDATA("Somma di AVERE",'Pivot RakBank EUR'!$A$3,"Mese",11,"Tipologia",$A239),0)
+IFERROR(GETPIVOTDATA("Somma di DARE",'Pivot Fineco Sa'!$A$3,"Mese",11,"Tipologia",$A239),0)
+ IFERROR(GETPIVOTDATA("Somma di DARE",'Pivot Fineco St'!$A$3,"Mese",11,"Tipologia",$A239),0)
+ Contanti!AP101
+ IFERROR(GETPIVOTDATA("Somma di DARE",'Pivot BBVA'!$A$3,"Mese",11,"Tipologia",$A239),0)
+ IFERROR(GETPIVOTDATA("Somma di DARE",'Pivot Amex'!$A$3,"Mese",11,"Tipologia",$A239),0)
- IFERROR(GETPIVOTDATA("Somma di AVERE",'Pivot Amex'!$A$3,"Mese",11,"Tipologia",$A239),0)
- IFERROR(GETPIVOTDATA("Somma di AVERE",'Pivot BBVA'!$A$3,"Mese",11,"Tipologia",$A239),0)
- IFERROR(GETPIVOTDATA("Somma di AVERE",'Pivot Fineco St'!$A$3,"Mese",11,"Tipologia",$A239),0)
- IFERROR(GETPIVOTDATA("Somma di AVERE",'Pivot Fineco Sa'!$A$3,"Mese",11,"Tipologia",$A239),0)
+ IFERROR(GETPIVOTDATA("Somma di DARE",'Pivot PP Visa'!$A$3,"Mese",11,"Tipologia",$A239),0)
- IFERROR(GETPIVOTDATA("Somma di AVERE",'Pivot PP Visa'!$A$3,"Mese",11,"Tipologia",$A239),0)
+ IFERROR(GETPIVOTDATA("Somma di DARE",'Pivot Revolut'!$A$3,"Mese",11,"Tipologia",$A239),0)
- IFERROR(GETPIVOTDATA("Somma di AVERE",'Pivot Revolut'!$A$3,"Mese",11,"Tipologia",$A239),0)</f>
        <v>0</v>
      </c>
      <c r="N239" s="243">
        <f>IFERROR(GETPIVOTDATA("Somma di DARE EUR",'Pivot RakBank AED'!$A$3,"Mese",12,"Tipologia",$A239),0)
- IFERROR(GETPIVOTDATA("Somma di AVERE EUR",'Pivot RakBank AED'!$A$3,"Mese",12,"Tipologia",$A239),0)
+IFERROR(GETPIVOTDATA("Somma di DARE",'Pivot RakBank EUR'!$A$3,"Mese",12,"Tipologia",$A239),0)
- IFERROR(GETPIVOTDATA("Somma di AVERE",'Pivot RakBank EUR'!$A$3,"Mese",12,"Tipologia",$A239),0)
+IFERROR(GETPIVOTDATA("Somma di DARE",'Pivot Fineco Sa'!$A$3,"Mese",12,"Tipologia",$A239),0)
+ IFERROR(GETPIVOTDATA("Somma di DARE",'Pivot Fineco St'!$A$3,"Mese",12,"Tipologia",$A239),0)
+ Contanti!AT101
+ IFERROR(GETPIVOTDATA("Somma di DARE",'Pivot BBVA'!$A$3,"Mese",12,"Tipologia",$A239),0)
+ IFERROR(GETPIVOTDATA("Somma di DARE",'Pivot Amex'!$A$3,"Mese",12,"Tipologia",$A239),0)
- IFERROR(GETPIVOTDATA("Somma di AVERE",'Pivot Amex'!$A$3,"Mese",12,"Tipologia",$A239),0)
- IFERROR(GETPIVOTDATA("Somma di AVERE",'Pivot BBVA'!$A$3,"Mese",12,"Tipologia",$A239),0)
- IFERROR(GETPIVOTDATA("Somma di AVERE",'Pivot Fineco St'!$A$3,"Mese",12,"Tipologia",$A239),0)
- IFERROR(GETPIVOTDATA("Somma di AVERE",'Pivot Fineco Sa'!$A$3,"Mese",12,"Tipologia",$A239),0)
+ IFERROR(GETPIVOTDATA("Somma di DARE",'Pivot PP Visa'!$A$3,"Mese",12,"Tipologia",$A239),0)
- IFERROR(GETPIVOTDATA("Somma di AVERE",'Pivot PP Visa'!$A$3,"Mese",12,"Tipologia",$A239),0)
+ IFERROR(GETPIVOTDATA("Somma di DARE",'Pivot Revolut'!$A$3,"Mese",12,"Tipologia",$A239),0)
- IFERROR(GETPIVOTDATA("Somma di AVERE",'Pivot Revolut'!$A$3,"Mese",12,"Tipologia",$A239),0)</f>
        <v>0</v>
      </c>
      <c r="O239" s="252">
        <f t="shared" si="49"/>
        <v>0</v>
      </c>
      <c r="P239" s="243">
        <f t="shared" ca="1" si="48"/>
        <v>0</v>
      </c>
    </row>
    <row r="240" spans="1:16" s="125" customFormat="1" ht="21" customHeight="1" x14ac:dyDescent="0.2">
      <c r="A240" s="251"/>
      <c r="B240" s="251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60"/>
      <c r="O240" s="261"/>
      <c r="P240" s="243"/>
    </row>
    <row r="241" spans="1:16" s="125" customFormat="1" ht="21" customHeight="1" x14ac:dyDescent="0.2">
      <c r="A241" s="255" t="s">
        <v>245</v>
      </c>
      <c r="B241" s="255"/>
      <c r="C241" s="256">
        <f>SUM(C242:C244)</f>
        <v>510.61</v>
      </c>
      <c r="D241" s="256">
        <f t="shared" ref="D241:N241" si="50">SUM(D242:D244)</f>
        <v>490.35999999999996</v>
      </c>
      <c r="E241" s="256">
        <f t="shared" si="50"/>
        <v>487.59000000000009</v>
      </c>
      <c r="F241" s="256">
        <f t="shared" si="50"/>
        <v>792.07999999999993</v>
      </c>
      <c r="G241" s="256">
        <f t="shared" si="50"/>
        <v>462.69000000000005</v>
      </c>
      <c r="H241" s="256">
        <f t="shared" si="50"/>
        <v>484.42999999999989</v>
      </c>
      <c r="I241" s="256">
        <f t="shared" si="50"/>
        <v>0</v>
      </c>
      <c r="J241" s="256">
        <f t="shared" si="50"/>
        <v>0</v>
      </c>
      <c r="K241" s="256">
        <f t="shared" si="50"/>
        <v>0</v>
      </c>
      <c r="L241" s="256">
        <f t="shared" si="50"/>
        <v>0</v>
      </c>
      <c r="M241" s="256">
        <f t="shared" si="50"/>
        <v>0</v>
      </c>
      <c r="N241" s="379">
        <f t="shared" si="50"/>
        <v>0</v>
      </c>
      <c r="O241" s="257">
        <f>SUM(C241:N241)</f>
        <v>3227.76</v>
      </c>
      <c r="P241" s="256">
        <f ca="1">SUM(P242:P244)</f>
        <v>461.10857142857145</v>
      </c>
    </row>
    <row r="242" spans="1:16" s="125" customFormat="1" ht="21" customHeight="1" x14ac:dyDescent="0.2">
      <c r="A242" s="251" t="s">
        <v>97</v>
      </c>
      <c r="B242" s="251"/>
      <c r="C242" s="243">
        <f>IFERROR(GETPIVOTDATA("Somma di DARE EUR",'Pivot RakBank AED'!$A$3,"Mese",1,"Tipologia",$A242),0)
- IFERROR(GETPIVOTDATA("Somma di AVERE EUR",'Pivot RakBank AED'!$A$3,"Mese",1,"Tipologia",$A242),0)
+IFERROR(GETPIVOTDATA("Somma di DARE",'Pivot RakBank EUR'!$A$3,"Mese",1,"Tipologia",$A242),0)
- IFERROR(GETPIVOTDATA("Somma di AVERE",'Pivot RakBank EUR'!$A$3,"Mese",1,"Tipologia",$A242),0)
+IFERROR(GETPIVOTDATA("Somma di DARE",'Pivot Fineco Sa'!$A$3,"Mese",1,"Tipologia",$A242),0)
+ IFERROR(GETPIVOTDATA("Somma di DARE",'Pivot Fineco St'!$A$3,"Mese",1,"Tipologia",$A242),0)
+ Contanti!B104
+ IFERROR(GETPIVOTDATA("Somma di DARE",'Pivot BBVA'!$A$3,"Mese",1,"Tipologia",$A242),0)
+ IFERROR(GETPIVOTDATA("Somma di DARE",'Pivot Amex'!$A$3,"Mese",1,"Tipologia",$A242),0)
- IFERROR(GETPIVOTDATA("Somma di AVERE",'Pivot Amex'!$A$3,"Mese",1,"Tipologia",$A242),0)
- IFERROR(GETPIVOTDATA("Somma di AVERE",'Pivot BBVA'!$A$3,"Mese",1,"Tipologia",$A242),0)
- IFERROR(GETPIVOTDATA("Somma di AVERE",'Pivot Fineco St'!$A$3,"Mese",1,"Tipologia",$A242),0)
- IFERROR(GETPIVOTDATA("Somma di AVERE",'Pivot Fineco Sa'!$A$3,"Mese",1,"Tipologia",$A242),0)
+ IFERROR(GETPIVOTDATA("Somma di DARE",'Pivot PP Visa'!$A$3,"Mese",1,"Tipologia",$A242),0)
- IFERROR(GETPIVOTDATA("Somma di AVERE",'Pivot PP Visa'!$A$3,"Mese",1,"Tipologia",$A242),0)
+ IFERROR(GETPIVOTDATA("Somma di DARE",'Pivot Revolut'!$A$3,"Mese",1,"Tipologia",$A242),0)
- IFERROR(GETPIVOTDATA("Somma di AVERE",'Pivot Revolut'!$A$3,"Mese",1,"Tipologia",$A242),0)</f>
        <v>0</v>
      </c>
      <c r="D242" s="243">
        <f>IFERROR(GETPIVOTDATA("Somma di DARE EUR",'Pivot RakBank AED'!$A$3,"Mese",2,"Tipologia",$A242),0)
- IFERROR(GETPIVOTDATA("Somma di AVERE EUR",'Pivot RakBank AED'!$A$3,"Mese",2,"Tipologia",$A242),0)
+IFERROR(GETPIVOTDATA("Somma di DARE",'Pivot RakBank EUR'!$A$3,"Mese",2,"Tipologia",$A242),0)
- IFERROR(GETPIVOTDATA("Somma di AVERE",'Pivot RakBank EUR'!$A$3,"Mese",2,"Tipologia",$A242),0)
+IFERROR(GETPIVOTDATA("Somma di DARE",'Pivot Fineco Sa'!$A$3,"Mese",2,"Tipologia",$A242),0)
+ IFERROR(GETPIVOTDATA("Somma di DARE",'Pivot Fineco St'!$A$3,"Mese",2,"Tipologia",$A242),0)
+ Contanti!F104
+ IFERROR(GETPIVOTDATA("Somma di DARE",'Pivot BBVA'!$A$3,"Mese",2,"Tipologia",$A242),0)
+ IFERROR(GETPIVOTDATA("Somma di DARE",'Pivot Amex'!$A$3,"Mese",2,"Tipologia",$A242),0)
- IFERROR(GETPIVOTDATA("Somma di AVERE",'Pivot Amex'!$A$3,"Mese",2,"Tipologia",$A242),0)
- IFERROR(GETPIVOTDATA("Somma di AVERE",'Pivot BBVA'!$A$3,"Mese",2,"Tipologia",$A242),0)
- IFERROR(GETPIVOTDATA("Somma di AVERE",'Pivot Fineco St'!$A$3,"Mese",2,"Tipologia",$A242),0)
- IFERROR(GETPIVOTDATA("Somma di AVERE",'Pivot Fineco Sa'!$A$3,"Mese",2,"Tipologia",$A242),0)
+ IFERROR(GETPIVOTDATA("Somma di DARE",'Pivot PP Visa'!$A$3,"Mese",2,"Tipologia",$A242),0)
- IFERROR(GETPIVOTDATA("Somma di AVERE",'Pivot PP Visa'!$A$3,"Mese",2,"Tipologia",$A242),0)
+ IFERROR(GETPIVOTDATA("Somma di DARE",'Pivot Revolut'!$A$3,"Mese",2,"Tipologia",$A242),0)
- IFERROR(GETPIVOTDATA("Somma di AVERE",'Pivot Revolut'!$A$3,"Mese",2,"Tipologia",$A242),0)</f>
        <v>0</v>
      </c>
      <c r="E242" s="243">
        <f>IFERROR(GETPIVOTDATA("Somma di DARE EUR",'Pivot RakBank AED'!$A$3,"Mese",3,"Tipologia",$A242),0)
- IFERROR(GETPIVOTDATA("Somma di AVERE EUR",'Pivot RakBank AED'!$A$3,"Mese",3,"Tipologia",$A242),0)
+IFERROR(GETPIVOTDATA("Somma di DARE",'Pivot RakBank EUR'!$A$3,"Mese",3,"Tipologia",$A242),0)
- IFERROR(GETPIVOTDATA("Somma di AVERE",'Pivot RakBank EUR'!$A$3,"Mese",3,"Tipologia",$A242),0)
+IFERROR(GETPIVOTDATA("Somma di DARE",'Pivot Fineco Sa'!$A$3,"Mese",3,"Tipologia",$A242),0)
+ IFERROR(GETPIVOTDATA("Somma di DARE",'Pivot Fineco St'!$A$3,"Mese",3,"Tipologia",$A242),0)
+ Contanti!J104
+ IFERROR(GETPIVOTDATA("Somma di DARE",'Pivot BBVA'!$A$3,"Mese",3,"Tipologia",$A242),0)
+ IFERROR(GETPIVOTDATA("Somma di DARE",'Pivot Amex'!$A$3,"Mese",3,"Tipologia",$A242),0)
- IFERROR(GETPIVOTDATA("Somma di AVERE",'Pivot Amex'!$A$3,"Mese",3,"Tipologia",$A242),0)
- IFERROR(GETPIVOTDATA("Somma di AVERE",'Pivot BBVA'!$A$3,"Mese",3,"Tipologia",$A242),0)
- IFERROR(GETPIVOTDATA("Somma di AVERE",'Pivot Fineco St'!$A$3,"Mese",3,"Tipologia",$A242),0)
- IFERROR(GETPIVOTDATA("Somma di AVERE",'Pivot Fineco Sa'!$A$3,"Mese",3,"Tipologia",$A242),0)
+ IFERROR(GETPIVOTDATA("Somma di DARE",'Pivot PP Visa'!$A$3,"Mese",3,"Tipologia",$A242),0)
- IFERROR(GETPIVOTDATA("Somma di AVERE",'Pivot PP Visa'!$A$3,"Mese",3,"Tipologia",$A242),0)
+ IFERROR(GETPIVOTDATA("Somma di DARE",'Pivot Revolut'!$A$3,"Mese",3,"Tipologia",$A242),0)
- IFERROR(GETPIVOTDATA("Somma di AVERE",'Pivot Revolut'!$A$3,"Mese",3,"Tipologia",$A242),0)</f>
        <v>0</v>
      </c>
      <c r="F242" s="243">
        <f>IFERROR(GETPIVOTDATA("Somma di DARE EUR",'Pivot RakBank AED'!$A$3,"Mese",4,"Tipologia",$A242),0)
- IFERROR(GETPIVOTDATA("Somma di AVERE EUR",'Pivot RakBank AED'!$A$3,"Mese",4,"Tipologia",$A242),0)
+IFERROR(GETPIVOTDATA("Somma di DARE",'Pivot RakBank EUR'!$A$3,"Mese",4,"Tipologia",$A242),0)
- IFERROR(GETPIVOTDATA("Somma di AVERE",'Pivot RakBank EUR'!$A$3,"Mese",4,"Tipologia",$A242),0)
+IFERROR(GETPIVOTDATA("Somma di DARE",'Pivot Fineco Sa'!$A$3,"Mese",4,"Tipologia",$A242),0)
+ IFERROR(GETPIVOTDATA("Somma di DARE",'Pivot Fineco St'!$A$3,"Mese",4,"Tipologia",$A242),0)
+ Contanti!N104
+ IFERROR(GETPIVOTDATA("Somma di DARE",'Pivot BBVA'!$A$3,"Mese",4,"Tipologia",$A242),0)
+ IFERROR(GETPIVOTDATA("Somma di DARE",'Pivot Amex'!$A$3,"Mese",4,"Tipologia",$A242),0)
- IFERROR(GETPIVOTDATA("Somma di AVERE",'Pivot Amex'!$A$3,"Mese",4,"Tipologia",$A242),0)
- IFERROR(GETPIVOTDATA("Somma di AVERE",'Pivot BBVA'!$A$3,"Mese",4,"Tipologia",$A242),0)
- IFERROR(GETPIVOTDATA("Somma di AVERE",'Pivot Fineco St'!$A$3,"Mese",4,"Tipologia",$A242),0)
- IFERROR(GETPIVOTDATA("Somma di AVERE",'Pivot Fineco Sa'!$A$3,"Mese",4,"Tipologia",$A242),0)
+ IFERROR(GETPIVOTDATA("Somma di DARE",'Pivot PP Visa'!$A$3,"Mese",4,"Tipologia",$A242),0)
- IFERROR(GETPIVOTDATA("Somma di AVERE",'Pivot PP Visa'!$A$3,"Mese",4,"Tipologia",$A242),0)
+ IFERROR(GETPIVOTDATA("Somma di DARE",'Pivot Revolut'!$A$3,"Mese",4,"Tipologia",$A242),0)
- IFERROR(GETPIVOTDATA("Somma di AVERE",'Pivot Revolut'!$A$3,"Mese",4,"Tipologia",$A242),0)</f>
        <v>0</v>
      </c>
      <c r="G242" s="243">
        <f>IFERROR(GETPIVOTDATA("Somma di DARE EUR",'Pivot RakBank AED'!$A$3,"Mese",5,"Tipologia",$A242),0)
- IFERROR(GETPIVOTDATA("Somma di AVERE EUR",'Pivot RakBank AED'!$A$3,"Mese",5,"Tipologia",$A242),0)
+IFERROR(GETPIVOTDATA("Somma di DARE",'Pivot RakBank EUR'!$A$3,"Mese",5,"Tipologia",$A242),0)
- IFERROR(GETPIVOTDATA("Somma di AVERE",'Pivot RakBank EUR'!$A$3,"Mese",5,"Tipologia",$A242),0)
+IFERROR(GETPIVOTDATA("Somma di DARE",'Pivot Fineco Sa'!$A$3,"Mese",5,"Tipologia",$A242),0)
+ IFERROR(GETPIVOTDATA("Somma di DARE",'Pivot Fineco St'!$A$3,"Mese",5,"Tipologia",$A242),0)
+ Contanti!R104
+ IFERROR(GETPIVOTDATA("Somma di DARE",'Pivot BBVA'!$A$3,"Mese",5,"Tipologia",$A242),0)
+ IFERROR(GETPIVOTDATA("Somma di DARE",'Pivot Amex'!$A$3,"Mese",5,"Tipologia",$A242),0)
- IFERROR(GETPIVOTDATA("Somma di AVERE",'Pivot Amex'!$A$3,"Mese",5,"Tipologia",$A242),0)
- IFERROR(GETPIVOTDATA("Somma di AVERE",'Pivot BBVA'!$A$3,"Mese",5,"Tipologia",$A242),0)
- IFERROR(GETPIVOTDATA("Somma di AVERE",'Pivot Fineco St'!$A$3,"Mese",5,"Tipologia",$A242),0)
- IFERROR(GETPIVOTDATA("Somma di AVERE",'Pivot Fineco Sa'!$A$3,"Mese",5,"Tipologia",$A242),0)
+ IFERROR(GETPIVOTDATA("Somma di DARE",'Pivot PP Visa'!$A$3,"Mese",5,"Tipologia",$A242),0)
- IFERROR(GETPIVOTDATA("Somma di AVERE",'Pivot PP Visa'!$A$3,"Mese",5,"Tipologia",$A242),0)
+ IFERROR(GETPIVOTDATA("Somma di DARE",'Pivot Revolut'!$A$3,"Mese",5,"Tipologia",$A242),0)
- IFERROR(GETPIVOTDATA("Somma di AVERE",'Pivot Revolut'!$A$3,"Mese",5,"Tipologia",$A242),0)</f>
        <v>0</v>
      </c>
      <c r="H242" s="243">
        <f>IFERROR(GETPIVOTDATA("Somma di DARE EUR",'Pivot RakBank AED'!$A$3,"Mese",6,"Tipologia",$A242),0)
- IFERROR(GETPIVOTDATA("Somma di AVERE EUR",'Pivot RakBank AED'!$A$3,"Mese",6,"Tipologia",$A242),0)
+IFERROR(GETPIVOTDATA("Somma di DARE",'Pivot RakBank EUR'!$A$3,"Mese",6,"Tipologia",$A242),0)
- IFERROR(GETPIVOTDATA("Somma di AVERE",'Pivot RakBank EUR'!$A$3,"Mese",6,"Tipologia",$A242),0)
+IFERROR(GETPIVOTDATA("Somma di DARE",'Pivot Fineco Sa'!$A$3,"Mese",6,"Tipologia",$A242),0)
+ IFERROR(GETPIVOTDATA("Somma di DARE",'Pivot Fineco St'!$A$3,"Mese",6,"Tipologia",$A242),0)
+ Contanti!V104
+ IFERROR(GETPIVOTDATA("Somma di DARE",'Pivot BBVA'!$A$3,"Mese",6,"Tipologia",$A242),0)
+ IFERROR(GETPIVOTDATA("Somma di DARE",'Pivot Amex'!$A$3,"Mese",6,"Tipologia",$A242),0)
- IFERROR(GETPIVOTDATA("Somma di AVERE",'Pivot Amex'!$A$3,"Mese",6,"Tipologia",$A242),0)
- IFERROR(GETPIVOTDATA("Somma di AVERE",'Pivot BBVA'!$A$3,"Mese",6,"Tipologia",$A242),0)
- IFERROR(GETPIVOTDATA("Somma di AVERE",'Pivot Fineco St'!$A$3,"Mese",6,"Tipologia",$A242),0)
- IFERROR(GETPIVOTDATA("Somma di AVERE",'Pivot Fineco Sa'!$A$3,"Mese",6,"Tipologia",$A242),0)
+ IFERROR(GETPIVOTDATA("Somma di DARE",'Pivot PP Visa'!$A$3,"Mese",6,"Tipologia",$A242),0)
- IFERROR(GETPIVOTDATA("Somma di AVERE",'Pivot PP Visa'!$A$3,"Mese",6,"Tipologia",$A242),0)
+ IFERROR(GETPIVOTDATA("Somma di DARE",'Pivot Revolut'!$A$3,"Mese",6,"Tipologia",$A242),0)
- IFERROR(GETPIVOTDATA("Somma di AVERE",'Pivot Revolut'!$A$3,"Mese",6,"Tipologia",$A242),0)</f>
        <v>0</v>
      </c>
      <c r="I242" s="243">
        <f>IFERROR(GETPIVOTDATA("Somma di DARE EUR",'Pivot RakBank AED'!$A$3,"Mese",7,"Tipologia",$A242),0)
- IFERROR(GETPIVOTDATA("Somma di AVERE EUR",'Pivot RakBank AED'!$A$3,"Mese",7,"Tipologia",$A242),0)
+IFERROR(GETPIVOTDATA("Somma di DARE",'Pivot RakBank EUR'!$A$3,"Mese",7,"Tipologia",$A242),0)
- IFERROR(GETPIVOTDATA("Somma di AVERE",'Pivot RakBank EUR'!$A$3,"Mese",7,"Tipologia",$A242),0)
+IFERROR(GETPIVOTDATA("Somma di DARE",'Pivot Fineco Sa'!$A$3,"Mese",7,"Tipologia",$A242),0)
+ IFERROR(GETPIVOTDATA("Somma di DARE",'Pivot Fineco St'!$A$3,"Mese",7,"Tipologia",$A242),0)
+ Contanti!Z104
+ IFERROR(GETPIVOTDATA("Somma di DARE",'Pivot BBVA'!$A$3,"Mese",7,"Tipologia",$A242),0)
+ IFERROR(GETPIVOTDATA("Somma di DARE",'Pivot Amex'!$A$3,"Mese",7,"Tipologia",$A242),0)
- IFERROR(GETPIVOTDATA("Somma di AVERE",'Pivot Amex'!$A$3,"Mese",7,"Tipologia",$A242),0)
- IFERROR(GETPIVOTDATA("Somma di AVERE",'Pivot BBVA'!$A$3,"Mese",7,"Tipologia",$A242),0)
- IFERROR(GETPIVOTDATA("Somma di AVERE",'Pivot Fineco St'!$A$3,"Mese",7,"Tipologia",$A242),0)
- IFERROR(GETPIVOTDATA("Somma di AVERE",'Pivot Fineco Sa'!$A$3,"Mese",7,"Tipologia",$A242),0)
+ IFERROR(GETPIVOTDATA("Somma di DARE",'Pivot PP Visa'!$A$3,"Mese",7,"Tipologia",$A242),0)
- IFERROR(GETPIVOTDATA("Somma di AVERE",'Pivot PP Visa'!$A$3,"Mese",7,"Tipologia",$A242),0)
+ IFERROR(GETPIVOTDATA("Somma di DARE",'Pivot Revolut'!$A$3,"Mese",7,"Tipologia",$A242),0)
- IFERROR(GETPIVOTDATA("Somma di AVERE",'Pivot Revolut'!$A$3,"Mese",7,"Tipologia",$A242),0)</f>
        <v>0</v>
      </c>
      <c r="J242" s="243">
        <f>IFERROR(GETPIVOTDATA("Somma di DARE EUR",'Pivot RakBank AED'!$A$3,"Mese",8,"Tipologia",$A242),0)
- IFERROR(GETPIVOTDATA("Somma di AVERE EUR",'Pivot RakBank AED'!$A$3,"Mese",8,"Tipologia",$A242),0)
+IFERROR(GETPIVOTDATA("Somma di DARE",'Pivot RakBank EUR'!$A$3,"Mese",8,"Tipologia",$A242),0)
- IFERROR(GETPIVOTDATA("Somma di AVERE",'Pivot RakBank EUR'!$A$3,"Mese",8,"Tipologia",$A242),0)
+IFERROR(GETPIVOTDATA("Somma di DARE",'Pivot Fineco Sa'!$A$3,"Mese",8,"Tipologia",$A242),0)
+ IFERROR(GETPIVOTDATA("Somma di DARE",'Pivot Fineco St'!$A$3,"Mese",8,"Tipologia",$A242),0)
+ Contanti!AD104
+ IFERROR(GETPIVOTDATA("Somma di DARE",'Pivot BBVA'!$A$3,"Mese",8,"Tipologia",$A242),0)
+ IFERROR(GETPIVOTDATA("Somma di DARE",'Pivot Amex'!$A$3,"Mese",8,"Tipologia",$A242),0)
- IFERROR(GETPIVOTDATA("Somma di AVERE",'Pivot Amex'!$A$3,"Mese",8,"Tipologia",$A242),0)
- IFERROR(GETPIVOTDATA("Somma di AVERE",'Pivot BBVA'!$A$3,"Mese",8,"Tipologia",$A242),0)
- IFERROR(GETPIVOTDATA("Somma di AVERE",'Pivot Fineco St'!$A$3,"Mese",8,"Tipologia",$A242),0)
- IFERROR(GETPIVOTDATA("Somma di AVERE",'Pivot Fineco Sa'!$A$3,"Mese",8,"Tipologia",$A242),0)
+ IFERROR(GETPIVOTDATA("Somma di DARE",'Pivot PP Visa'!$A$3,"Mese",8,"Tipologia",$A242),0)
- IFERROR(GETPIVOTDATA("Somma di AVERE",'Pivot PP Visa'!$A$3,"Mese",8,"Tipologia",$A242),0)
+ IFERROR(GETPIVOTDATA("Somma di DARE",'Pivot Revolut'!$A$3,"Mese",8,"Tipologia",$A242),0)
- IFERROR(GETPIVOTDATA("Somma di AVERE",'Pivot Revolut'!$A$3,"Mese",8,"Tipologia",$A242),0)</f>
        <v>0</v>
      </c>
      <c r="K242" s="243">
        <f>IFERROR(GETPIVOTDATA("Somma di DARE EUR",'Pivot RakBank AED'!$A$3,"Mese",9,"Tipologia",$A242),0)
- IFERROR(GETPIVOTDATA("Somma di AVERE EUR",'Pivot RakBank AED'!$A$3,"Mese",9,"Tipologia",$A242),0)
+IFERROR(GETPIVOTDATA("Somma di DARE",'Pivot RakBank EUR'!$A$3,"Mese",9,"Tipologia",$A242),0)
- IFERROR(GETPIVOTDATA("Somma di AVERE",'Pivot RakBank EUR'!$A$3,"Mese",9,"Tipologia",$A242),0)
+IFERROR(GETPIVOTDATA("Somma di DARE",'Pivot Fineco Sa'!$A$3,"Mese",9,"Tipologia",$A242),0)
+ IFERROR(GETPIVOTDATA("Somma di DARE",'Pivot Fineco St'!$A$3,"Mese",9,"Tipologia",$A242),0)
+ Contanti!AH104
+ IFERROR(GETPIVOTDATA("Somma di DARE",'Pivot BBVA'!$A$3,"Mese",9,"Tipologia",$A242),0)
+ IFERROR(GETPIVOTDATA("Somma di DARE",'Pivot Amex'!$A$3,"Mese",9,"Tipologia",$A242),0)
- IFERROR(GETPIVOTDATA("Somma di AVERE",'Pivot Amex'!$A$3,"Mese",9,"Tipologia",$A242),0)
- IFERROR(GETPIVOTDATA("Somma di AVERE",'Pivot BBVA'!$A$3,"Mese",9,"Tipologia",$A242),0)
- IFERROR(GETPIVOTDATA("Somma di AVERE",'Pivot Fineco St'!$A$3,"Mese",9,"Tipologia",$A242),0)
- IFERROR(GETPIVOTDATA("Somma di AVERE",'Pivot Fineco Sa'!$A$3,"Mese",9,"Tipologia",$A242),0)
+ IFERROR(GETPIVOTDATA("Somma di DARE",'Pivot PP Visa'!$A$3,"Mese",9,"Tipologia",$A242),0)
- IFERROR(GETPIVOTDATA("Somma di AVERE",'Pivot PP Visa'!$A$3,"Mese",9,"Tipologia",$A242),0)
+ IFERROR(GETPIVOTDATA("Somma di DARE",'Pivot Revolut'!$A$3,"Mese",9,"Tipologia",$A242),0)
- IFERROR(GETPIVOTDATA("Somma di AVERE",'Pivot Revolut'!$A$3,"Mese",9,"Tipologia",$A242),0)</f>
        <v>0</v>
      </c>
      <c r="L242" s="243">
        <f>IFERROR(GETPIVOTDATA("Somma di DARE EUR",'Pivot RakBank AED'!$A$3,"Mese",10,"Tipologia",$A242),0)
- IFERROR(GETPIVOTDATA("Somma di AVERE EUR",'Pivot RakBank AED'!$A$3,"Mese",10,"Tipologia",$A242),0)
+IFERROR(GETPIVOTDATA("Somma di DARE",'Pivot RakBank EUR'!$A$3,"Mese",10,"Tipologia",$A242),0)
- IFERROR(GETPIVOTDATA("Somma di AVERE",'Pivot RakBank EUR'!$A$3,"Mese",10,"Tipologia",$A242),0)
+IFERROR(GETPIVOTDATA("Somma di DARE",'Pivot Fineco Sa'!$A$3,"Mese",10,"Tipologia",$A242),0)
+ IFERROR(GETPIVOTDATA("Somma di DARE",'Pivot Fineco St'!$A$3,"Mese",10,"Tipologia",$A242),0)
+ Contanti!AL104
+ IFERROR(GETPIVOTDATA("Somma di DARE",'Pivot BBVA'!$A$3,"Mese",10,"Tipologia",$A242),0)
+ IFERROR(GETPIVOTDATA("Somma di DARE",'Pivot Amex'!$A$3,"Mese",10,"Tipologia",$A242),0)
- IFERROR(GETPIVOTDATA("Somma di AVERE",'Pivot Amex'!$A$3,"Mese",10,"Tipologia",$A242),0)
- IFERROR(GETPIVOTDATA("Somma di AVERE",'Pivot BBVA'!$A$3,"Mese",10,"Tipologia",$A242),0)
- IFERROR(GETPIVOTDATA("Somma di AVERE",'Pivot Fineco St'!$A$3,"Mese",10,"Tipologia",$A242),0)
- IFERROR(GETPIVOTDATA("Somma di AVERE",'Pivot Fineco Sa'!$A$3,"Mese",10,"Tipologia",$A242),0)
+ IFERROR(GETPIVOTDATA("Somma di DARE",'Pivot PP Visa'!$A$3,"Mese",10,"Tipologia",$A242),0)
- IFERROR(GETPIVOTDATA("Somma di AVERE",'Pivot PP Visa'!$A$3,"Mese",10,"Tipologia",$A242),0)
+ IFERROR(GETPIVOTDATA("Somma di DARE",'Pivot Revolut'!$A$3,"Mese",10,"Tipologia",$A242),0)
- IFERROR(GETPIVOTDATA("Somma di AVERE",'Pivot Revolut'!$A$3,"Mese",10,"Tipologia",$A242),0)</f>
        <v>0</v>
      </c>
      <c r="M242" s="243">
        <f>IFERROR(GETPIVOTDATA("Somma di DARE EUR",'Pivot RakBank AED'!$A$3,"Mese",11,"Tipologia",$A242),0)
- IFERROR(GETPIVOTDATA("Somma di AVERE EUR",'Pivot RakBank AED'!$A$3,"Mese",11,"Tipologia",$A242),0)
+IFERROR(GETPIVOTDATA("Somma di DARE",'Pivot RakBank EUR'!$A$3,"Mese",11,"Tipologia",$A242),0)
- IFERROR(GETPIVOTDATA("Somma di AVERE",'Pivot RakBank EUR'!$A$3,"Mese",11,"Tipologia",$A242),0)
+IFERROR(GETPIVOTDATA("Somma di DARE",'Pivot Fineco Sa'!$A$3,"Mese",11,"Tipologia",$A242),0)
+ IFERROR(GETPIVOTDATA("Somma di DARE",'Pivot Fineco St'!$A$3,"Mese",11,"Tipologia",$A242),0)
+ Contanti!AP104
+ IFERROR(GETPIVOTDATA("Somma di DARE",'Pivot BBVA'!$A$3,"Mese",11,"Tipologia",$A242),0)
+ IFERROR(GETPIVOTDATA("Somma di DARE",'Pivot Amex'!$A$3,"Mese",11,"Tipologia",$A242),0)
- IFERROR(GETPIVOTDATA("Somma di AVERE",'Pivot Amex'!$A$3,"Mese",11,"Tipologia",$A242),0)
- IFERROR(GETPIVOTDATA("Somma di AVERE",'Pivot BBVA'!$A$3,"Mese",11,"Tipologia",$A242),0)
- IFERROR(GETPIVOTDATA("Somma di AVERE",'Pivot Fineco St'!$A$3,"Mese",11,"Tipologia",$A242),0)
- IFERROR(GETPIVOTDATA("Somma di AVERE",'Pivot Fineco Sa'!$A$3,"Mese",11,"Tipologia",$A242),0)
+ IFERROR(GETPIVOTDATA("Somma di DARE",'Pivot PP Visa'!$A$3,"Mese",11,"Tipologia",$A242),0)
- IFERROR(GETPIVOTDATA("Somma di AVERE",'Pivot PP Visa'!$A$3,"Mese",11,"Tipologia",$A242),0)
+ IFERROR(GETPIVOTDATA("Somma di DARE",'Pivot Revolut'!$A$3,"Mese",11,"Tipologia",$A242),0)
- IFERROR(GETPIVOTDATA("Somma di AVERE",'Pivot Revolut'!$A$3,"Mese",11,"Tipologia",$A242),0)</f>
        <v>0</v>
      </c>
      <c r="N242" s="243">
        <f>IFERROR(GETPIVOTDATA("Somma di DARE EUR",'Pivot RakBank AED'!$A$3,"Mese",12,"Tipologia",$A242),0)
- IFERROR(GETPIVOTDATA("Somma di AVERE EUR",'Pivot RakBank AED'!$A$3,"Mese",12,"Tipologia",$A242),0)
+IFERROR(GETPIVOTDATA("Somma di DARE",'Pivot RakBank EUR'!$A$3,"Mese",12,"Tipologia",$A242),0)
- IFERROR(GETPIVOTDATA("Somma di AVERE",'Pivot RakBank EUR'!$A$3,"Mese",12,"Tipologia",$A242),0)
+IFERROR(GETPIVOTDATA("Somma di DARE",'Pivot Fineco Sa'!$A$3,"Mese",12,"Tipologia",$A242),0)
+ IFERROR(GETPIVOTDATA("Somma di DARE",'Pivot Fineco St'!$A$3,"Mese",12,"Tipologia",$A242),0)
+ Contanti!AT104
+ IFERROR(GETPIVOTDATA("Somma di DARE",'Pivot BBVA'!$A$3,"Mese",12,"Tipologia",$A242),0)
+ IFERROR(GETPIVOTDATA("Somma di DARE",'Pivot Amex'!$A$3,"Mese",12,"Tipologia",$A242),0)
- IFERROR(GETPIVOTDATA("Somma di AVERE",'Pivot Amex'!$A$3,"Mese",12,"Tipologia",$A242),0)
- IFERROR(GETPIVOTDATA("Somma di AVERE",'Pivot BBVA'!$A$3,"Mese",12,"Tipologia",$A242),0)
- IFERROR(GETPIVOTDATA("Somma di AVERE",'Pivot Fineco St'!$A$3,"Mese",12,"Tipologia",$A242),0)
- IFERROR(GETPIVOTDATA("Somma di AVERE",'Pivot Fineco Sa'!$A$3,"Mese",12,"Tipologia",$A242),0)
+ IFERROR(GETPIVOTDATA("Somma di DARE",'Pivot PP Visa'!$A$3,"Mese",12,"Tipologia",$A242),0)
- IFERROR(GETPIVOTDATA("Somma di AVERE",'Pivot PP Visa'!$A$3,"Mese",12,"Tipologia",$A242),0)
+ IFERROR(GETPIVOTDATA("Somma di DARE",'Pivot Revolut'!$A$3,"Mese",12,"Tipologia",$A242),0)
- IFERROR(GETPIVOTDATA("Somma di AVERE",'Pivot Revolut'!$A$3,"Mese",12,"Tipologia",$A242),0)</f>
        <v>0</v>
      </c>
      <c r="O242" s="252">
        <f>SUM(C242:N242)</f>
        <v>0</v>
      </c>
      <c r="P242" s="243">
        <f t="shared" ref="P242:P244" ca="1" si="51">O242/(MONTH(TODAY()))</f>
        <v>0</v>
      </c>
    </row>
    <row r="243" spans="1:16" s="125" customFormat="1" ht="21" customHeight="1" x14ac:dyDescent="0.2">
      <c r="A243" s="251" t="s">
        <v>151</v>
      </c>
      <c r="B243" s="251"/>
      <c r="C243" s="243">
        <f>IFERROR(GETPIVOTDATA("Somma di DARE EUR",'Pivot RakBank AED'!$A$3,"Mese",1,"Tipologia",$A243),0)
- IFERROR(GETPIVOTDATA("Somma di AVERE EUR",'Pivot RakBank AED'!$A$3,"Mese",1,"Tipologia",$A243),0)
+IFERROR(GETPIVOTDATA("Somma di DARE",'Pivot RakBank EUR'!$A$3,"Mese",1,"Tipologia",$A243),0)
- IFERROR(GETPIVOTDATA("Somma di AVERE",'Pivot RakBank EUR'!$A$3,"Mese",1,"Tipologia",$A243),0)
+IFERROR(GETPIVOTDATA("Somma di DARE",'Pivot Fineco Sa'!$A$3,"Mese",1,"Tipologia",$A243),0)
+ IFERROR(GETPIVOTDATA("Somma di DARE",'Pivot Fineco St'!$A$3,"Mese",1,"Tipologia",$A243),0)
+ Contanti!B105
+ IFERROR(GETPIVOTDATA("Somma di DARE",'Pivot BBVA'!$A$3,"Mese",1,"Tipologia",$A243),0)
+ IFERROR(GETPIVOTDATA("Somma di DARE",'Pivot Amex'!$A$3,"Mese",1,"Tipologia",$A243),0)
- IFERROR(GETPIVOTDATA("Somma di AVERE",'Pivot Amex'!$A$3,"Mese",1,"Tipologia",$A243),0)
- IFERROR(GETPIVOTDATA("Somma di AVERE",'Pivot BBVA'!$A$3,"Mese",1,"Tipologia",$A243),0)
- IFERROR(GETPIVOTDATA("Somma di AVERE",'Pivot Fineco St'!$A$3,"Mese",1,"Tipologia",$A243),0)
- IFERROR(GETPIVOTDATA("Somma di AVERE",'Pivot Fineco Sa'!$A$3,"Mese",1,"Tipologia",$A243),0)
+ IFERROR(GETPIVOTDATA("Somma di DARE",'Pivot PP Visa'!$A$3,"Mese",1,"Tipologia",$A243),0)
- IFERROR(GETPIVOTDATA("Somma di AVERE",'Pivot PP Visa'!$A$3,"Mese",1,"Tipologia",$A243),0)
+ IFERROR(GETPIVOTDATA("Somma di DARE",'Pivot Revolut'!$A$3,"Mese",1,"Tipologia",$A243),0)
- IFERROR(GETPIVOTDATA("Somma di AVERE",'Pivot Revolut'!$A$3,"Mese",1,"Tipologia",$A243),0)</f>
        <v>506.66</v>
      </c>
      <c r="D243" s="243">
        <f>IFERROR(GETPIVOTDATA("Somma di DARE EUR",'Pivot RakBank AED'!$A$3,"Mese",2,"Tipologia",$A243),0)
- IFERROR(GETPIVOTDATA("Somma di AVERE EUR",'Pivot RakBank AED'!$A$3,"Mese",2,"Tipologia",$A243),0)
+IFERROR(GETPIVOTDATA("Somma di DARE",'Pivot RakBank EUR'!$A$3,"Mese",2,"Tipologia",$A243),0)
- IFERROR(GETPIVOTDATA("Somma di AVERE",'Pivot RakBank EUR'!$A$3,"Mese",2,"Tipologia",$A243),0)
+IFERROR(GETPIVOTDATA("Somma di DARE",'Pivot Fineco Sa'!$A$3,"Mese",2,"Tipologia",$A243),0)
+ IFERROR(GETPIVOTDATA("Somma di DARE",'Pivot Fineco St'!$A$3,"Mese",2,"Tipologia",$A243),0)
+ Contanti!F105
+ IFERROR(GETPIVOTDATA("Somma di DARE",'Pivot BBVA'!$A$3,"Mese",2,"Tipologia",$A243),0)
+ IFERROR(GETPIVOTDATA("Somma di DARE",'Pivot Amex'!$A$3,"Mese",2,"Tipologia",$A243),0)
- IFERROR(GETPIVOTDATA("Somma di AVERE",'Pivot Amex'!$A$3,"Mese",2,"Tipologia",$A243),0)
- IFERROR(GETPIVOTDATA("Somma di AVERE",'Pivot BBVA'!$A$3,"Mese",2,"Tipologia",$A243),0)
- IFERROR(GETPIVOTDATA("Somma di AVERE",'Pivot Fineco St'!$A$3,"Mese",2,"Tipologia",$A243),0)
- IFERROR(GETPIVOTDATA("Somma di AVERE",'Pivot Fineco Sa'!$A$3,"Mese",2,"Tipologia",$A243),0)
+ IFERROR(GETPIVOTDATA("Somma di DARE",'Pivot PP Visa'!$A$3,"Mese",2,"Tipologia",$A243),0)
- IFERROR(GETPIVOTDATA("Somma di AVERE",'Pivot PP Visa'!$A$3,"Mese",2,"Tipologia",$A243),0)
+ IFERROR(GETPIVOTDATA("Somma di DARE",'Pivot Revolut'!$A$3,"Mese",2,"Tipologia",$A243),0)
- IFERROR(GETPIVOTDATA("Somma di AVERE",'Pivot Revolut'!$A$3,"Mese",2,"Tipologia",$A243),0)</f>
        <v>486.40999999999997</v>
      </c>
      <c r="E243" s="243">
        <f>IFERROR(GETPIVOTDATA("Somma di DARE EUR",'Pivot RakBank AED'!$A$3,"Mese",3,"Tipologia",$A243),0)
- IFERROR(GETPIVOTDATA("Somma di AVERE EUR",'Pivot RakBank AED'!$A$3,"Mese",3,"Tipologia",$A243),0)
+IFERROR(GETPIVOTDATA("Somma di DARE",'Pivot RakBank EUR'!$A$3,"Mese",3,"Tipologia",$A243),0)
- IFERROR(GETPIVOTDATA("Somma di AVERE",'Pivot RakBank EUR'!$A$3,"Mese",3,"Tipologia",$A243),0)
+IFERROR(GETPIVOTDATA("Somma di DARE",'Pivot Fineco Sa'!$A$3,"Mese",3,"Tipologia",$A243),0)
+ IFERROR(GETPIVOTDATA("Somma di DARE",'Pivot Fineco St'!$A$3,"Mese",3,"Tipologia",$A243),0)
+ Contanti!J105
+ IFERROR(GETPIVOTDATA("Somma di DARE",'Pivot BBVA'!$A$3,"Mese",3,"Tipologia",$A243),0)
+ IFERROR(GETPIVOTDATA("Somma di DARE",'Pivot Amex'!$A$3,"Mese",3,"Tipologia",$A243),0)
- IFERROR(GETPIVOTDATA("Somma di AVERE",'Pivot Amex'!$A$3,"Mese",3,"Tipologia",$A243),0)
- IFERROR(GETPIVOTDATA("Somma di AVERE",'Pivot BBVA'!$A$3,"Mese",3,"Tipologia",$A243),0)
- IFERROR(GETPIVOTDATA("Somma di AVERE",'Pivot Fineco St'!$A$3,"Mese",3,"Tipologia",$A243),0)
- IFERROR(GETPIVOTDATA("Somma di AVERE",'Pivot Fineco Sa'!$A$3,"Mese",3,"Tipologia",$A243),0)
+ IFERROR(GETPIVOTDATA("Somma di DARE",'Pivot PP Visa'!$A$3,"Mese",3,"Tipologia",$A243),0)
- IFERROR(GETPIVOTDATA("Somma di AVERE",'Pivot PP Visa'!$A$3,"Mese",3,"Tipologia",$A243),0)
+ IFERROR(GETPIVOTDATA("Somma di DARE",'Pivot Revolut'!$A$3,"Mese",3,"Tipologia",$A243),0)
- IFERROR(GETPIVOTDATA("Somma di AVERE",'Pivot Revolut'!$A$3,"Mese",3,"Tipologia",$A243),0)</f>
        <v>471.69000000000011</v>
      </c>
      <c r="F243" s="243">
        <f>IFERROR(GETPIVOTDATA("Somma di DARE EUR",'Pivot RakBank AED'!$A$3,"Mese",4,"Tipologia",$A243),0)
- IFERROR(GETPIVOTDATA("Somma di AVERE EUR",'Pivot RakBank AED'!$A$3,"Mese",4,"Tipologia",$A243),0)
+IFERROR(GETPIVOTDATA("Somma di DARE",'Pivot RakBank EUR'!$A$3,"Mese",4,"Tipologia",$A243),0)
- IFERROR(GETPIVOTDATA("Somma di AVERE",'Pivot RakBank EUR'!$A$3,"Mese",4,"Tipologia",$A243),0)
+IFERROR(GETPIVOTDATA("Somma di DARE",'Pivot Fineco Sa'!$A$3,"Mese",4,"Tipologia",$A243),0)
+ IFERROR(GETPIVOTDATA("Somma di DARE",'Pivot Fineco St'!$A$3,"Mese",4,"Tipologia",$A243),0)
+ Contanti!N105
+ IFERROR(GETPIVOTDATA("Somma di DARE",'Pivot BBVA'!$A$3,"Mese",4,"Tipologia",$A243),0)
+ IFERROR(GETPIVOTDATA("Somma di DARE",'Pivot Amex'!$A$3,"Mese",4,"Tipologia",$A243),0)
- IFERROR(GETPIVOTDATA("Somma di AVERE",'Pivot Amex'!$A$3,"Mese",4,"Tipologia",$A243),0)
- IFERROR(GETPIVOTDATA("Somma di AVERE",'Pivot BBVA'!$A$3,"Mese",4,"Tipologia",$A243),0)
- IFERROR(GETPIVOTDATA("Somma di AVERE",'Pivot Fineco St'!$A$3,"Mese",4,"Tipologia",$A243),0)
- IFERROR(GETPIVOTDATA("Somma di AVERE",'Pivot Fineco Sa'!$A$3,"Mese",4,"Tipologia",$A243),0)
+ IFERROR(GETPIVOTDATA("Somma di DARE",'Pivot PP Visa'!$A$3,"Mese",4,"Tipologia",$A243),0)
- IFERROR(GETPIVOTDATA("Somma di AVERE",'Pivot PP Visa'!$A$3,"Mese",4,"Tipologia",$A243),0)
+ IFERROR(GETPIVOTDATA("Somma di DARE",'Pivot Revolut'!$A$3,"Mese",4,"Tipologia",$A243),0)
- IFERROR(GETPIVOTDATA("Somma di AVERE",'Pivot Revolut'!$A$3,"Mese",4,"Tipologia",$A243),0)</f>
        <v>458.75</v>
      </c>
      <c r="G243" s="243">
        <f>IFERROR(GETPIVOTDATA("Somma di DARE EUR",'Pivot RakBank AED'!$A$3,"Mese",5,"Tipologia",$A243),0)
- IFERROR(GETPIVOTDATA("Somma di AVERE EUR",'Pivot RakBank AED'!$A$3,"Mese",5,"Tipologia",$A243),0)
+IFERROR(GETPIVOTDATA("Somma di DARE",'Pivot RakBank EUR'!$A$3,"Mese",5,"Tipologia",$A243),0)
- IFERROR(GETPIVOTDATA("Somma di AVERE",'Pivot RakBank EUR'!$A$3,"Mese",5,"Tipologia",$A243),0)
+IFERROR(GETPIVOTDATA("Somma di DARE",'Pivot Fineco Sa'!$A$3,"Mese",5,"Tipologia",$A243),0)
+ IFERROR(GETPIVOTDATA("Somma di DARE",'Pivot Fineco St'!$A$3,"Mese",5,"Tipologia",$A243),0)
+ Contanti!R105
+ IFERROR(GETPIVOTDATA("Somma di DARE",'Pivot BBVA'!$A$3,"Mese",5,"Tipologia",$A243),0)
+ IFERROR(GETPIVOTDATA("Somma di DARE",'Pivot Amex'!$A$3,"Mese",5,"Tipologia",$A243),0)
- IFERROR(GETPIVOTDATA("Somma di AVERE",'Pivot Amex'!$A$3,"Mese",5,"Tipologia",$A243),0)
- IFERROR(GETPIVOTDATA("Somma di AVERE",'Pivot BBVA'!$A$3,"Mese",5,"Tipologia",$A243),0)
- IFERROR(GETPIVOTDATA("Somma di AVERE",'Pivot Fineco St'!$A$3,"Mese",5,"Tipologia",$A243),0)
- IFERROR(GETPIVOTDATA("Somma di AVERE",'Pivot Fineco Sa'!$A$3,"Mese",5,"Tipologia",$A243),0)
+ IFERROR(GETPIVOTDATA("Somma di DARE",'Pivot PP Visa'!$A$3,"Mese",5,"Tipologia",$A243),0)
- IFERROR(GETPIVOTDATA("Somma di AVERE",'Pivot PP Visa'!$A$3,"Mese",5,"Tipologia",$A243),0)
+ IFERROR(GETPIVOTDATA("Somma di DARE",'Pivot Revolut'!$A$3,"Mese",5,"Tipologia",$A243),0)
- IFERROR(GETPIVOTDATA("Somma di AVERE",'Pivot Revolut'!$A$3,"Mese",5,"Tipologia",$A243),0)</f>
        <v>458.74000000000007</v>
      </c>
      <c r="H243" s="243">
        <f>IFERROR(GETPIVOTDATA("Somma di DARE EUR",'Pivot RakBank AED'!$A$3,"Mese",6,"Tipologia",$A243),0)
- IFERROR(GETPIVOTDATA("Somma di AVERE EUR",'Pivot RakBank AED'!$A$3,"Mese",6,"Tipologia",$A243),0)
+IFERROR(GETPIVOTDATA("Somma di DARE",'Pivot RakBank EUR'!$A$3,"Mese",6,"Tipologia",$A243),0)
- IFERROR(GETPIVOTDATA("Somma di AVERE",'Pivot RakBank EUR'!$A$3,"Mese",6,"Tipologia",$A243),0)
+IFERROR(GETPIVOTDATA("Somma di DARE",'Pivot Fineco Sa'!$A$3,"Mese",6,"Tipologia",$A243),0)
+ IFERROR(GETPIVOTDATA("Somma di DARE",'Pivot Fineco St'!$A$3,"Mese",6,"Tipologia",$A243),0)
+ Contanti!V105
+ IFERROR(GETPIVOTDATA("Somma di DARE",'Pivot BBVA'!$A$3,"Mese",6,"Tipologia",$A243),0)
+ IFERROR(GETPIVOTDATA("Somma di DARE",'Pivot Amex'!$A$3,"Mese",6,"Tipologia",$A243),0)
- IFERROR(GETPIVOTDATA("Somma di AVERE",'Pivot Amex'!$A$3,"Mese",6,"Tipologia",$A243),0)
- IFERROR(GETPIVOTDATA("Somma di AVERE",'Pivot BBVA'!$A$3,"Mese",6,"Tipologia",$A243),0)
- IFERROR(GETPIVOTDATA("Somma di AVERE",'Pivot Fineco St'!$A$3,"Mese",6,"Tipologia",$A243),0)
- IFERROR(GETPIVOTDATA("Somma di AVERE",'Pivot Fineco Sa'!$A$3,"Mese",6,"Tipologia",$A243),0)
+ IFERROR(GETPIVOTDATA("Somma di DARE",'Pivot PP Visa'!$A$3,"Mese",6,"Tipologia",$A243),0)
- IFERROR(GETPIVOTDATA("Somma di AVERE",'Pivot PP Visa'!$A$3,"Mese",6,"Tipologia",$A243),0)
+ IFERROR(GETPIVOTDATA("Somma di DARE",'Pivot Revolut'!$A$3,"Mese",6,"Tipologia",$A243),0)
- IFERROR(GETPIVOTDATA("Somma di AVERE",'Pivot Revolut'!$A$3,"Mese",6,"Tipologia",$A243),0)</f>
        <v>475.4799999999999</v>
      </c>
      <c r="I243" s="243">
        <f>IFERROR(GETPIVOTDATA("Somma di DARE EUR",'Pivot RakBank AED'!$A$3,"Mese",7,"Tipologia",$A243),0)
- IFERROR(GETPIVOTDATA("Somma di AVERE EUR",'Pivot RakBank AED'!$A$3,"Mese",7,"Tipologia",$A243),0)
+IFERROR(GETPIVOTDATA("Somma di DARE",'Pivot RakBank EUR'!$A$3,"Mese",7,"Tipologia",$A243),0)
- IFERROR(GETPIVOTDATA("Somma di AVERE",'Pivot RakBank EUR'!$A$3,"Mese",7,"Tipologia",$A243),0)
+IFERROR(GETPIVOTDATA("Somma di DARE",'Pivot Fineco Sa'!$A$3,"Mese",7,"Tipologia",$A243),0)
+ IFERROR(GETPIVOTDATA("Somma di DARE",'Pivot Fineco St'!$A$3,"Mese",7,"Tipologia",$A243),0)
+ Contanti!Z105
+ IFERROR(GETPIVOTDATA("Somma di DARE",'Pivot BBVA'!$A$3,"Mese",7,"Tipologia",$A243),0)
+ IFERROR(GETPIVOTDATA("Somma di DARE",'Pivot Amex'!$A$3,"Mese",7,"Tipologia",$A243),0)
- IFERROR(GETPIVOTDATA("Somma di AVERE",'Pivot Amex'!$A$3,"Mese",7,"Tipologia",$A243),0)
- IFERROR(GETPIVOTDATA("Somma di AVERE",'Pivot BBVA'!$A$3,"Mese",7,"Tipologia",$A243),0)
- IFERROR(GETPIVOTDATA("Somma di AVERE",'Pivot Fineco St'!$A$3,"Mese",7,"Tipologia",$A243),0)
- IFERROR(GETPIVOTDATA("Somma di AVERE",'Pivot Fineco Sa'!$A$3,"Mese",7,"Tipologia",$A243),0)
+ IFERROR(GETPIVOTDATA("Somma di DARE",'Pivot PP Visa'!$A$3,"Mese",7,"Tipologia",$A243),0)
- IFERROR(GETPIVOTDATA("Somma di AVERE",'Pivot PP Visa'!$A$3,"Mese",7,"Tipologia",$A243),0)
+ IFERROR(GETPIVOTDATA("Somma di DARE",'Pivot Revolut'!$A$3,"Mese",7,"Tipologia",$A243),0)
- IFERROR(GETPIVOTDATA("Somma di AVERE",'Pivot Revolut'!$A$3,"Mese",7,"Tipologia",$A243),0)</f>
        <v>0</v>
      </c>
      <c r="J243" s="243">
        <f>IFERROR(GETPIVOTDATA("Somma di DARE EUR",'Pivot RakBank AED'!$A$3,"Mese",8,"Tipologia",$A243),0)
- IFERROR(GETPIVOTDATA("Somma di AVERE EUR",'Pivot RakBank AED'!$A$3,"Mese",8,"Tipologia",$A243),0)
+IFERROR(GETPIVOTDATA("Somma di DARE",'Pivot RakBank EUR'!$A$3,"Mese",8,"Tipologia",$A243),0)
- IFERROR(GETPIVOTDATA("Somma di AVERE",'Pivot RakBank EUR'!$A$3,"Mese",8,"Tipologia",$A243),0)
+IFERROR(GETPIVOTDATA("Somma di DARE",'Pivot Fineco Sa'!$A$3,"Mese",8,"Tipologia",$A243),0)
+ IFERROR(GETPIVOTDATA("Somma di DARE",'Pivot Fineco St'!$A$3,"Mese",8,"Tipologia",$A243),0)
+ Contanti!AD105
+ IFERROR(GETPIVOTDATA("Somma di DARE",'Pivot BBVA'!$A$3,"Mese",8,"Tipologia",$A243),0)
+ IFERROR(GETPIVOTDATA("Somma di DARE",'Pivot Amex'!$A$3,"Mese",8,"Tipologia",$A243),0)
- IFERROR(GETPIVOTDATA("Somma di AVERE",'Pivot Amex'!$A$3,"Mese",8,"Tipologia",$A243),0)
- IFERROR(GETPIVOTDATA("Somma di AVERE",'Pivot BBVA'!$A$3,"Mese",8,"Tipologia",$A243),0)
- IFERROR(GETPIVOTDATA("Somma di AVERE",'Pivot Fineco St'!$A$3,"Mese",8,"Tipologia",$A243),0)
- IFERROR(GETPIVOTDATA("Somma di AVERE",'Pivot Fineco Sa'!$A$3,"Mese",8,"Tipologia",$A243),0)
+ IFERROR(GETPIVOTDATA("Somma di DARE",'Pivot PP Visa'!$A$3,"Mese",8,"Tipologia",$A243),0)
- IFERROR(GETPIVOTDATA("Somma di AVERE",'Pivot PP Visa'!$A$3,"Mese",8,"Tipologia",$A243),0)
+ IFERROR(GETPIVOTDATA("Somma di DARE",'Pivot Revolut'!$A$3,"Mese",8,"Tipologia",$A243),0)
- IFERROR(GETPIVOTDATA("Somma di AVERE",'Pivot Revolut'!$A$3,"Mese",8,"Tipologia",$A243),0)</f>
        <v>0</v>
      </c>
      <c r="K243" s="243">
        <f>IFERROR(GETPIVOTDATA("Somma di DARE EUR",'Pivot RakBank AED'!$A$3,"Mese",9,"Tipologia",$A243),0)
- IFERROR(GETPIVOTDATA("Somma di AVERE EUR",'Pivot RakBank AED'!$A$3,"Mese",9,"Tipologia",$A243),0)
+IFERROR(GETPIVOTDATA("Somma di DARE",'Pivot RakBank EUR'!$A$3,"Mese",9,"Tipologia",$A243),0)
- IFERROR(GETPIVOTDATA("Somma di AVERE",'Pivot RakBank EUR'!$A$3,"Mese",9,"Tipologia",$A243),0)
+IFERROR(GETPIVOTDATA("Somma di DARE",'Pivot Fineco Sa'!$A$3,"Mese",9,"Tipologia",$A243),0)
+ IFERROR(GETPIVOTDATA("Somma di DARE",'Pivot Fineco St'!$A$3,"Mese",9,"Tipologia",$A243),0)
+ Contanti!AH105
+ IFERROR(GETPIVOTDATA("Somma di DARE",'Pivot BBVA'!$A$3,"Mese",9,"Tipologia",$A243),0)
+ IFERROR(GETPIVOTDATA("Somma di DARE",'Pivot Amex'!$A$3,"Mese",9,"Tipologia",$A243),0)
- IFERROR(GETPIVOTDATA("Somma di AVERE",'Pivot Amex'!$A$3,"Mese",9,"Tipologia",$A243),0)
- IFERROR(GETPIVOTDATA("Somma di AVERE",'Pivot BBVA'!$A$3,"Mese",9,"Tipologia",$A243),0)
- IFERROR(GETPIVOTDATA("Somma di AVERE",'Pivot Fineco St'!$A$3,"Mese",9,"Tipologia",$A243),0)
- IFERROR(GETPIVOTDATA("Somma di AVERE",'Pivot Fineco Sa'!$A$3,"Mese",9,"Tipologia",$A243),0)
+ IFERROR(GETPIVOTDATA("Somma di DARE",'Pivot PP Visa'!$A$3,"Mese",9,"Tipologia",$A243),0)
- IFERROR(GETPIVOTDATA("Somma di AVERE",'Pivot PP Visa'!$A$3,"Mese",9,"Tipologia",$A243),0)
+ IFERROR(GETPIVOTDATA("Somma di DARE",'Pivot Revolut'!$A$3,"Mese",9,"Tipologia",$A243),0)
- IFERROR(GETPIVOTDATA("Somma di AVERE",'Pivot Revolut'!$A$3,"Mese",9,"Tipologia",$A243),0)</f>
        <v>0</v>
      </c>
      <c r="L243" s="243">
        <f>IFERROR(GETPIVOTDATA("Somma di DARE EUR",'Pivot RakBank AED'!$A$3,"Mese",10,"Tipologia",$A243),0)
- IFERROR(GETPIVOTDATA("Somma di AVERE EUR",'Pivot RakBank AED'!$A$3,"Mese",10,"Tipologia",$A243),0)
+IFERROR(GETPIVOTDATA("Somma di DARE",'Pivot RakBank EUR'!$A$3,"Mese",10,"Tipologia",$A243),0)
- IFERROR(GETPIVOTDATA("Somma di AVERE",'Pivot RakBank EUR'!$A$3,"Mese",10,"Tipologia",$A243),0)
+IFERROR(GETPIVOTDATA("Somma di DARE",'Pivot Fineco Sa'!$A$3,"Mese",10,"Tipologia",$A243),0)
+ IFERROR(GETPIVOTDATA("Somma di DARE",'Pivot Fineco St'!$A$3,"Mese",10,"Tipologia",$A243),0)
+ Contanti!AL105
+ IFERROR(GETPIVOTDATA("Somma di DARE",'Pivot BBVA'!$A$3,"Mese",10,"Tipologia",$A243),0)
+ IFERROR(GETPIVOTDATA("Somma di DARE",'Pivot Amex'!$A$3,"Mese",10,"Tipologia",$A243),0)
- IFERROR(GETPIVOTDATA("Somma di AVERE",'Pivot Amex'!$A$3,"Mese",10,"Tipologia",$A243),0)
- IFERROR(GETPIVOTDATA("Somma di AVERE",'Pivot BBVA'!$A$3,"Mese",10,"Tipologia",$A243),0)
- IFERROR(GETPIVOTDATA("Somma di AVERE",'Pivot Fineco St'!$A$3,"Mese",10,"Tipologia",$A243),0)
- IFERROR(GETPIVOTDATA("Somma di AVERE",'Pivot Fineco Sa'!$A$3,"Mese",10,"Tipologia",$A243),0)
+ IFERROR(GETPIVOTDATA("Somma di DARE",'Pivot PP Visa'!$A$3,"Mese",10,"Tipologia",$A243),0)
- IFERROR(GETPIVOTDATA("Somma di AVERE",'Pivot PP Visa'!$A$3,"Mese",10,"Tipologia",$A243),0)
+ IFERROR(GETPIVOTDATA("Somma di DARE",'Pivot Revolut'!$A$3,"Mese",10,"Tipologia",$A243),0)
- IFERROR(GETPIVOTDATA("Somma di AVERE",'Pivot Revolut'!$A$3,"Mese",10,"Tipologia",$A243),0)</f>
        <v>0</v>
      </c>
      <c r="M243" s="243">
        <f>IFERROR(GETPIVOTDATA("Somma di DARE EUR",'Pivot RakBank AED'!$A$3,"Mese",11,"Tipologia",$A243),0)
- IFERROR(GETPIVOTDATA("Somma di AVERE EUR",'Pivot RakBank AED'!$A$3,"Mese",11,"Tipologia",$A243),0)
+IFERROR(GETPIVOTDATA("Somma di DARE",'Pivot RakBank EUR'!$A$3,"Mese",11,"Tipologia",$A243),0)
- IFERROR(GETPIVOTDATA("Somma di AVERE",'Pivot RakBank EUR'!$A$3,"Mese",11,"Tipologia",$A243),0)
+IFERROR(GETPIVOTDATA("Somma di DARE",'Pivot Fineco Sa'!$A$3,"Mese",11,"Tipologia",$A243),0)
+ IFERROR(GETPIVOTDATA("Somma di DARE",'Pivot Fineco St'!$A$3,"Mese",11,"Tipologia",$A243),0)
+ Contanti!AP105
+ IFERROR(GETPIVOTDATA("Somma di DARE",'Pivot BBVA'!$A$3,"Mese",11,"Tipologia",$A243),0)
+ IFERROR(GETPIVOTDATA("Somma di DARE",'Pivot Amex'!$A$3,"Mese",11,"Tipologia",$A243),0)
- IFERROR(GETPIVOTDATA("Somma di AVERE",'Pivot Amex'!$A$3,"Mese",11,"Tipologia",$A243),0)
- IFERROR(GETPIVOTDATA("Somma di AVERE",'Pivot BBVA'!$A$3,"Mese",11,"Tipologia",$A243),0)
- IFERROR(GETPIVOTDATA("Somma di AVERE",'Pivot Fineco St'!$A$3,"Mese",11,"Tipologia",$A243),0)
- IFERROR(GETPIVOTDATA("Somma di AVERE",'Pivot Fineco Sa'!$A$3,"Mese",11,"Tipologia",$A243),0)
+ IFERROR(GETPIVOTDATA("Somma di DARE",'Pivot PP Visa'!$A$3,"Mese",11,"Tipologia",$A243),0)
- IFERROR(GETPIVOTDATA("Somma di AVERE",'Pivot PP Visa'!$A$3,"Mese",11,"Tipologia",$A243),0)
+ IFERROR(GETPIVOTDATA("Somma di DARE",'Pivot Revolut'!$A$3,"Mese",11,"Tipologia",$A243),0)
- IFERROR(GETPIVOTDATA("Somma di AVERE",'Pivot Revolut'!$A$3,"Mese",11,"Tipologia",$A243),0)</f>
        <v>0</v>
      </c>
      <c r="N243" s="243">
        <f>IFERROR(GETPIVOTDATA("Somma di DARE EUR",'Pivot RakBank AED'!$A$3,"Mese",12,"Tipologia",$A243),0)
- IFERROR(GETPIVOTDATA("Somma di AVERE EUR",'Pivot RakBank AED'!$A$3,"Mese",12,"Tipologia",$A243),0)
+IFERROR(GETPIVOTDATA("Somma di DARE",'Pivot RakBank EUR'!$A$3,"Mese",12,"Tipologia",$A243),0)
- IFERROR(GETPIVOTDATA("Somma di AVERE",'Pivot RakBank EUR'!$A$3,"Mese",12,"Tipologia",$A243),0)
+IFERROR(GETPIVOTDATA("Somma di DARE",'Pivot Fineco Sa'!$A$3,"Mese",12,"Tipologia",$A243),0)
+ IFERROR(GETPIVOTDATA("Somma di DARE",'Pivot Fineco St'!$A$3,"Mese",12,"Tipologia",$A243),0)
+ Contanti!AT105
+ IFERROR(GETPIVOTDATA("Somma di DARE",'Pivot BBVA'!$A$3,"Mese",12,"Tipologia",$A243),0)
+ IFERROR(GETPIVOTDATA("Somma di DARE",'Pivot Amex'!$A$3,"Mese",12,"Tipologia",$A243),0)
- IFERROR(GETPIVOTDATA("Somma di AVERE",'Pivot Amex'!$A$3,"Mese",12,"Tipologia",$A243),0)
- IFERROR(GETPIVOTDATA("Somma di AVERE",'Pivot BBVA'!$A$3,"Mese",12,"Tipologia",$A243),0)
- IFERROR(GETPIVOTDATA("Somma di AVERE",'Pivot Fineco St'!$A$3,"Mese",12,"Tipologia",$A243),0)
- IFERROR(GETPIVOTDATA("Somma di AVERE",'Pivot Fineco Sa'!$A$3,"Mese",12,"Tipologia",$A243),0)
+ IFERROR(GETPIVOTDATA("Somma di DARE",'Pivot PP Visa'!$A$3,"Mese",12,"Tipologia",$A243),0)
- IFERROR(GETPIVOTDATA("Somma di AVERE",'Pivot PP Visa'!$A$3,"Mese",12,"Tipologia",$A243),0)
+ IFERROR(GETPIVOTDATA("Somma di DARE",'Pivot Revolut'!$A$3,"Mese",12,"Tipologia",$A243),0)
- IFERROR(GETPIVOTDATA("Somma di AVERE",'Pivot Revolut'!$A$3,"Mese",12,"Tipologia",$A243),0)</f>
        <v>0</v>
      </c>
      <c r="O243" s="252">
        <f t="shared" ref="O243:O244" si="52">SUM(C243:N243)</f>
        <v>2857.73</v>
      </c>
      <c r="P243" s="243">
        <f t="shared" ca="1" si="51"/>
        <v>408.24714285714288</v>
      </c>
    </row>
    <row r="244" spans="1:16" s="125" customFormat="1" ht="21" customHeight="1" x14ac:dyDescent="0.2">
      <c r="A244" s="251" t="s">
        <v>152</v>
      </c>
      <c r="B244" s="251"/>
      <c r="C244" s="243">
        <f>IFERROR(GETPIVOTDATA("Somma di DARE EUR",'Pivot RakBank AED'!$A$3,"Mese",1,"Tipologia",$A244),0)
- IFERROR(GETPIVOTDATA("Somma di AVERE EUR",'Pivot RakBank AED'!$A$3,"Mese",1,"Tipologia",$A244),0)
+IFERROR(GETPIVOTDATA("Somma di DARE",'Pivot RakBank EUR'!$A$3,"Mese",1,"Tipologia",$A244),0)
- IFERROR(GETPIVOTDATA("Somma di AVERE",'Pivot RakBank EUR'!$A$3,"Mese",1,"Tipologia",$A244),0)
+IFERROR(GETPIVOTDATA("Somma di DARE",'Pivot Fineco Sa'!$A$3,"Mese",1,"Tipologia",$A244),0)
+ IFERROR(GETPIVOTDATA("Somma di DARE",'Pivot Fineco St'!$A$3,"Mese",1,"Tipologia",$A244),0)
+ Contanti!B106
+ IFERROR(GETPIVOTDATA("Somma di DARE",'Pivot BBVA'!$A$3,"Mese",1,"Tipologia",$A244),0)
+ IFERROR(GETPIVOTDATA("Somma di DARE",'Pivot Amex'!$A$3,"Mese",1,"Tipologia",$A244),0)
- IFERROR(GETPIVOTDATA("Somma di AVERE",'Pivot Amex'!$A$3,"Mese",1,"Tipologia",$A244),0)
- IFERROR(GETPIVOTDATA("Somma di AVERE",'Pivot BBVA'!$A$3,"Mese",1,"Tipologia",$A244),0)
- IFERROR(GETPIVOTDATA("Somma di AVERE",'Pivot Fineco St'!$A$3,"Mese",1,"Tipologia",$A244),0)
- IFERROR(GETPIVOTDATA("Somma di AVERE",'Pivot Fineco Sa'!$A$3,"Mese",1,"Tipologia",$A244),0)
+ IFERROR(GETPIVOTDATA("Somma di DARE",'Pivot PP Visa'!$A$3,"Mese",1,"Tipologia",$A244),0)
- IFERROR(GETPIVOTDATA("Somma di AVERE",'Pivot PP Visa'!$A$3,"Mese",1,"Tipologia",$A244),0)
+ IFERROR(GETPIVOTDATA("Somma di DARE",'Pivot Revolut'!$A$3,"Mese",1,"Tipologia",$A244),0)
- IFERROR(GETPIVOTDATA("Somma di AVERE",'Pivot Revolut'!$A$3,"Mese",1,"Tipologia",$A244),0)</f>
        <v>3.95</v>
      </c>
      <c r="D244" s="243">
        <f>IFERROR(GETPIVOTDATA("Somma di DARE EUR",'Pivot RakBank AED'!$A$3,"Mese",2,"Tipologia",$A244),0)
- IFERROR(GETPIVOTDATA("Somma di AVERE EUR",'Pivot RakBank AED'!$A$3,"Mese",2,"Tipologia",$A244),0)
+IFERROR(GETPIVOTDATA("Somma di DARE",'Pivot RakBank EUR'!$A$3,"Mese",2,"Tipologia",$A244),0)
- IFERROR(GETPIVOTDATA("Somma di AVERE",'Pivot RakBank EUR'!$A$3,"Mese",2,"Tipologia",$A244),0)
+IFERROR(GETPIVOTDATA("Somma di DARE",'Pivot Fineco Sa'!$A$3,"Mese",2,"Tipologia",$A244),0)
+ IFERROR(GETPIVOTDATA("Somma di DARE",'Pivot Fineco St'!$A$3,"Mese",2,"Tipologia",$A244),0)
+ Contanti!F106
+ IFERROR(GETPIVOTDATA("Somma di DARE",'Pivot BBVA'!$A$3,"Mese",2,"Tipologia",$A244),0)
+ IFERROR(GETPIVOTDATA("Somma di DARE",'Pivot Amex'!$A$3,"Mese",2,"Tipologia",$A244),0)
- IFERROR(GETPIVOTDATA("Somma di AVERE",'Pivot Amex'!$A$3,"Mese",2,"Tipologia",$A244),0)
- IFERROR(GETPIVOTDATA("Somma di AVERE",'Pivot BBVA'!$A$3,"Mese",2,"Tipologia",$A244),0)
- IFERROR(GETPIVOTDATA("Somma di AVERE",'Pivot Fineco St'!$A$3,"Mese",2,"Tipologia",$A244),0)
- IFERROR(GETPIVOTDATA("Somma di AVERE",'Pivot Fineco Sa'!$A$3,"Mese",2,"Tipologia",$A244),0)
+ IFERROR(GETPIVOTDATA("Somma di DARE",'Pivot PP Visa'!$A$3,"Mese",2,"Tipologia",$A244),0)
- IFERROR(GETPIVOTDATA("Somma di AVERE",'Pivot PP Visa'!$A$3,"Mese",2,"Tipologia",$A244),0)
+ IFERROR(GETPIVOTDATA("Somma di DARE",'Pivot Revolut'!$A$3,"Mese",2,"Tipologia",$A244),0)
- IFERROR(GETPIVOTDATA("Somma di AVERE",'Pivot Revolut'!$A$3,"Mese",2,"Tipologia",$A244),0)</f>
        <v>3.95</v>
      </c>
      <c r="E244" s="243">
        <f>IFERROR(GETPIVOTDATA("Somma di DARE EUR",'Pivot RakBank AED'!$A$3,"Mese",3,"Tipologia",$A244),0)
- IFERROR(GETPIVOTDATA("Somma di AVERE EUR",'Pivot RakBank AED'!$A$3,"Mese",3,"Tipologia",$A244),0)
+IFERROR(GETPIVOTDATA("Somma di DARE",'Pivot RakBank EUR'!$A$3,"Mese",3,"Tipologia",$A244),0)
- IFERROR(GETPIVOTDATA("Somma di AVERE",'Pivot RakBank EUR'!$A$3,"Mese",3,"Tipologia",$A244),0)
+IFERROR(GETPIVOTDATA("Somma di DARE",'Pivot Fineco Sa'!$A$3,"Mese",3,"Tipologia",$A244),0)
+ IFERROR(GETPIVOTDATA("Somma di DARE",'Pivot Fineco St'!$A$3,"Mese",3,"Tipologia",$A244),0)
+ Contanti!J106
+ IFERROR(GETPIVOTDATA("Somma di DARE",'Pivot BBVA'!$A$3,"Mese",3,"Tipologia",$A244),0)
+ IFERROR(GETPIVOTDATA("Somma di DARE",'Pivot Amex'!$A$3,"Mese",3,"Tipologia",$A244),0)
- IFERROR(GETPIVOTDATA("Somma di AVERE",'Pivot Amex'!$A$3,"Mese",3,"Tipologia",$A244),0)
- IFERROR(GETPIVOTDATA("Somma di AVERE",'Pivot BBVA'!$A$3,"Mese",3,"Tipologia",$A244),0)
- IFERROR(GETPIVOTDATA("Somma di AVERE",'Pivot Fineco St'!$A$3,"Mese",3,"Tipologia",$A244),0)
- IFERROR(GETPIVOTDATA("Somma di AVERE",'Pivot Fineco Sa'!$A$3,"Mese",3,"Tipologia",$A244),0)
+ IFERROR(GETPIVOTDATA("Somma di DARE",'Pivot PP Visa'!$A$3,"Mese",3,"Tipologia",$A244),0)
- IFERROR(GETPIVOTDATA("Somma di AVERE",'Pivot PP Visa'!$A$3,"Mese",3,"Tipologia",$A244),0)
+ IFERROR(GETPIVOTDATA("Somma di DARE",'Pivot Revolut'!$A$3,"Mese",3,"Tipologia",$A244),0)
- IFERROR(GETPIVOTDATA("Somma di AVERE",'Pivot Revolut'!$A$3,"Mese",3,"Tipologia",$A244),0)</f>
        <v>15.899999999999999</v>
      </c>
      <c r="F244" s="243">
        <f>IFERROR(GETPIVOTDATA("Somma di DARE EUR",'Pivot RakBank AED'!$A$3,"Mese",4,"Tipologia",$A244),0)
- IFERROR(GETPIVOTDATA("Somma di AVERE EUR",'Pivot RakBank AED'!$A$3,"Mese",4,"Tipologia",$A244),0)
+IFERROR(GETPIVOTDATA("Somma di DARE",'Pivot RakBank EUR'!$A$3,"Mese",4,"Tipologia",$A244),0)
- IFERROR(GETPIVOTDATA("Somma di AVERE",'Pivot RakBank EUR'!$A$3,"Mese",4,"Tipologia",$A244),0)
+IFERROR(GETPIVOTDATA("Somma di DARE",'Pivot Fineco Sa'!$A$3,"Mese",4,"Tipologia",$A244),0)
+ IFERROR(GETPIVOTDATA("Somma di DARE",'Pivot Fineco St'!$A$3,"Mese",4,"Tipologia",$A244),0)
+ Contanti!N106
+ IFERROR(GETPIVOTDATA("Somma di DARE",'Pivot BBVA'!$A$3,"Mese",4,"Tipologia",$A244),0)
+ IFERROR(GETPIVOTDATA("Somma di DARE",'Pivot Amex'!$A$3,"Mese",4,"Tipologia",$A244),0)
- IFERROR(GETPIVOTDATA("Somma di AVERE",'Pivot Amex'!$A$3,"Mese",4,"Tipologia",$A244),0)
- IFERROR(GETPIVOTDATA("Somma di AVERE",'Pivot BBVA'!$A$3,"Mese",4,"Tipologia",$A244),0)
- IFERROR(GETPIVOTDATA("Somma di AVERE",'Pivot Fineco St'!$A$3,"Mese",4,"Tipologia",$A244),0)
- IFERROR(GETPIVOTDATA("Somma di AVERE",'Pivot Fineco Sa'!$A$3,"Mese",4,"Tipologia",$A244),0)
+ IFERROR(GETPIVOTDATA("Somma di DARE",'Pivot PP Visa'!$A$3,"Mese",4,"Tipologia",$A244),0)
- IFERROR(GETPIVOTDATA("Somma di AVERE",'Pivot PP Visa'!$A$3,"Mese",4,"Tipologia",$A244),0)
+ IFERROR(GETPIVOTDATA("Somma di DARE",'Pivot Revolut'!$A$3,"Mese",4,"Tipologia",$A244),0)
- IFERROR(GETPIVOTDATA("Somma di AVERE",'Pivot Revolut'!$A$3,"Mese",4,"Tipologia",$A244),0)</f>
        <v>333.33</v>
      </c>
      <c r="G244" s="243">
        <f>IFERROR(GETPIVOTDATA("Somma di DARE EUR",'Pivot RakBank AED'!$A$3,"Mese",5,"Tipologia",$A244),0)
- IFERROR(GETPIVOTDATA("Somma di AVERE EUR",'Pivot RakBank AED'!$A$3,"Mese",5,"Tipologia",$A244),0)
+IFERROR(GETPIVOTDATA("Somma di DARE",'Pivot RakBank EUR'!$A$3,"Mese",5,"Tipologia",$A244),0)
- IFERROR(GETPIVOTDATA("Somma di AVERE",'Pivot RakBank EUR'!$A$3,"Mese",5,"Tipologia",$A244),0)
+IFERROR(GETPIVOTDATA("Somma di DARE",'Pivot Fineco Sa'!$A$3,"Mese",5,"Tipologia",$A244),0)
+ IFERROR(GETPIVOTDATA("Somma di DARE",'Pivot Fineco St'!$A$3,"Mese",5,"Tipologia",$A244),0)
+ Contanti!R106
+ IFERROR(GETPIVOTDATA("Somma di DARE",'Pivot BBVA'!$A$3,"Mese",5,"Tipologia",$A244),0)
+ IFERROR(GETPIVOTDATA("Somma di DARE",'Pivot Amex'!$A$3,"Mese",5,"Tipologia",$A244),0)
- IFERROR(GETPIVOTDATA("Somma di AVERE",'Pivot Amex'!$A$3,"Mese",5,"Tipologia",$A244),0)
- IFERROR(GETPIVOTDATA("Somma di AVERE",'Pivot BBVA'!$A$3,"Mese",5,"Tipologia",$A244),0)
- IFERROR(GETPIVOTDATA("Somma di AVERE",'Pivot Fineco St'!$A$3,"Mese",5,"Tipologia",$A244),0)
- IFERROR(GETPIVOTDATA("Somma di AVERE",'Pivot Fineco Sa'!$A$3,"Mese",5,"Tipologia",$A244),0)
+ IFERROR(GETPIVOTDATA("Somma di DARE",'Pivot PP Visa'!$A$3,"Mese",5,"Tipologia",$A244),0)
- IFERROR(GETPIVOTDATA("Somma di AVERE",'Pivot PP Visa'!$A$3,"Mese",5,"Tipologia",$A244),0)
+ IFERROR(GETPIVOTDATA("Somma di DARE",'Pivot Revolut'!$A$3,"Mese",5,"Tipologia",$A244),0)
- IFERROR(GETPIVOTDATA("Somma di AVERE",'Pivot Revolut'!$A$3,"Mese",5,"Tipologia",$A244),0)</f>
        <v>3.95</v>
      </c>
      <c r="H244" s="243">
        <f>IFERROR(GETPIVOTDATA("Somma di DARE EUR",'Pivot RakBank AED'!$A$3,"Mese",6,"Tipologia",$A244),0)
- IFERROR(GETPIVOTDATA("Somma di AVERE EUR",'Pivot RakBank AED'!$A$3,"Mese",6,"Tipologia",$A244),0)
+IFERROR(GETPIVOTDATA("Somma di DARE",'Pivot RakBank EUR'!$A$3,"Mese",6,"Tipologia",$A244),0)
- IFERROR(GETPIVOTDATA("Somma di AVERE",'Pivot RakBank EUR'!$A$3,"Mese",6,"Tipologia",$A244),0)
+IFERROR(GETPIVOTDATA("Somma di DARE",'Pivot Fineco Sa'!$A$3,"Mese",6,"Tipologia",$A244),0)
+ IFERROR(GETPIVOTDATA("Somma di DARE",'Pivot Fineco St'!$A$3,"Mese",6,"Tipologia",$A244),0)
+ Contanti!V106
+ IFERROR(GETPIVOTDATA("Somma di DARE",'Pivot BBVA'!$A$3,"Mese",6,"Tipologia",$A244),0)
+ IFERROR(GETPIVOTDATA("Somma di DARE",'Pivot Amex'!$A$3,"Mese",6,"Tipologia",$A244),0)
- IFERROR(GETPIVOTDATA("Somma di AVERE",'Pivot Amex'!$A$3,"Mese",6,"Tipologia",$A244),0)
- IFERROR(GETPIVOTDATA("Somma di AVERE",'Pivot BBVA'!$A$3,"Mese",6,"Tipologia",$A244),0)
- IFERROR(GETPIVOTDATA("Somma di AVERE",'Pivot Fineco St'!$A$3,"Mese",6,"Tipologia",$A244),0)
- IFERROR(GETPIVOTDATA("Somma di AVERE",'Pivot Fineco Sa'!$A$3,"Mese",6,"Tipologia",$A244),0)
+ IFERROR(GETPIVOTDATA("Somma di DARE",'Pivot PP Visa'!$A$3,"Mese",6,"Tipologia",$A244),0)
- IFERROR(GETPIVOTDATA("Somma di AVERE",'Pivot PP Visa'!$A$3,"Mese",6,"Tipologia",$A244),0)
+ IFERROR(GETPIVOTDATA("Somma di DARE",'Pivot Revolut'!$A$3,"Mese",6,"Tipologia",$A244),0)
- IFERROR(GETPIVOTDATA("Somma di AVERE",'Pivot Revolut'!$A$3,"Mese",6,"Tipologia",$A244),0)</f>
        <v>8.9499999999999993</v>
      </c>
      <c r="I244" s="243">
        <f>IFERROR(GETPIVOTDATA("Somma di DARE EUR",'Pivot RakBank AED'!$A$3,"Mese",7,"Tipologia",$A244),0)
- IFERROR(GETPIVOTDATA("Somma di AVERE EUR",'Pivot RakBank AED'!$A$3,"Mese",7,"Tipologia",$A244),0)
+IFERROR(GETPIVOTDATA("Somma di DARE",'Pivot RakBank EUR'!$A$3,"Mese",7,"Tipologia",$A244),0)
- IFERROR(GETPIVOTDATA("Somma di AVERE",'Pivot RakBank EUR'!$A$3,"Mese",7,"Tipologia",$A244),0)
+IFERROR(GETPIVOTDATA("Somma di DARE",'Pivot Fineco Sa'!$A$3,"Mese",7,"Tipologia",$A244),0)
+ IFERROR(GETPIVOTDATA("Somma di DARE",'Pivot Fineco St'!$A$3,"Mese",7,"Tipologia",$A244),0)
+ Contanti!Z106
+ IFERROR(GETPIVOTDATA("Somma di DARE",'Pivot BBVA'!$A$3,"Mese",7,"Tipologia",$A244),0)
+ IFERROR(GETPIVOTDATA("Somma di DARE",'Pivot Amex'!$A$3,"Mese",7,"Tipologia",$A244),0)
- IFERROR(GETPIVOTDATA("Somma di AVERE",'Pivot Amex'!$A$3,"Mese",7,"Tipologia",$A244),0)
- IFERROR(GETPIVOTDATA("Somma di AVERE",'Pivot BBVA'!$A$3,"Mese",7,"Tipologia",$A244),0)
- IFERROR(GETPIVOTDATA("Somma di AVERE",'Pivot Fineco St'!$A$3,"Mese",7,"Tipologia",$A244),0)
- IFERROR(GETPIVOTDATA("Somma di AVERE",'Pivot Fineco Sa'!$A$3,"Mese",7,"Tipologia",$A244),0)
+ IFERROR(GETPIVOTDATA("Somma di DARE",'Pivot PP Visa'!$A$3,"Mese",7,"Tipologia",$A244),0)
- IFERROR(GETPIVOTDATA("Somma di AVERE",'Pivot PP Visa'!$A$3,"Mese",7,"Tipologia",$A244),0)
+ IFERROR(GETPIVOTDATA("Somma di DARE",'Pivot Revolut'!$A$3,"Mese",7,"Tipologia",$A244),0)
- IFERROR(GETPIVOTDATA("Somma di AVERE",'Pivot Revolut'!$A$3,"Mese",7,"Tipologia",$A244),0)</f>
        <v>0</v>
      </c>
      <c r="J244" s="243">
        <f>IFERROR(GETPIVOTDATA("Somma di DARE EUR",'Pivot RakBank AED'!$A$3,"Mese",8,"Tipologia",$A244),0)
- IFERROR(GETPIVOTDATA("Somma di AVERE EUR",'Pivot RakBank AED'!$A$3,"Mese",8,"Tipologia",$A244),0)
+IFERROR(GETPIVOTDATA("Somma di DARE",'Pivot RakBank EUR'!$A$3,"Mese",8,"Tipologia",$A244),0)
- IFERROR(GETPIVOTDATA("Somma di AVERE",'Pivot RakBank EUR'!$A$3,"Mese",8,"Tipologia",$A244),0)
+IFERROR(GETPIVOTDATA("Somma di DARE",'Pivot Fineco Sa'!$A$3,"Mese",8,"Tipologia",$A244),0)
+ IFERROR(GETPIVOTDATA("Somma di DARE",'Pivot Fineco St'!$A$3,"Mese",8,"Tipologia",$A244),0)
+ Contanti!AD106
+ IFERROR(GETPIVOTDATA("Somma di DARE",'Pivot BBVA'!$A$3,"Mese",8,"Tipologia",$A244),0)
+ IFERROR(GETPIVOTDATA("Somma di DARE",'Pivot Amex'!$A$3,"Mese",8,"Tipologia",$A244),0)
- IFERROR(GETPIVOTDATA("Somma di AVERE",'Pivot Amex'!$A$3,"Mese",8,"Tipologia",$A244),0)
- IFERROR(GETPIVOTDATA("Somma di AVERE",'Pivot BBVA'!$A$3,"Mese",8,"Tipologia",$A244),0)
- IFERROR(GETPIVOTDATA("Somma di AVERE",'Pivot Fineco St'!$A$3,"Mese",8,"Tipologia",$A244),0)
- IFERROR(GETPIVOTDATA("Somma di AVERE",'Pivot Fineco Sa'!$A$3,"Mese",8,"Tipologia",$A244),0)
+ IFERROR(GETPIVOTDATA("Somma di DARE",'Pivot PP Visa'!$A$3,"Mese",8,"Tipologia",$A244),0)
- IFERROR(GETPIVOTDATA("Somma di AVERE",'Pivot PP Visa'!$A$3,"Mese",8,"Tipologia",$A244),0)
+ IFERROR(GETPIVOTDATA("Somma di DARE",'Pivot Revolut'!$A$3,"Mese",8,"Tipologia",$A244),0)
- IFERROR(GETPIVOTDATA("Somma di AVERE",'Pivot Revolut'!$A$3,"Mese",8,"Tipologia",$A244),0)</f>
        <v>0</v>
      </c>
      <c r="K244" s="243">
        <f>IFERROR(GETPIVOTDATA("Somma di DARE EUR",'Pivot RakBank AED'!$A$3,"Mese",9,"Tipologia",$A244),0)
- IFERROR(GETPIVOTDATA("Somma di AVERE EUR",'Pivot RakBank AED'!$A$3,"Mese",9,"Tipologia",$A244),0)
+IFERROR(GETPIVOTDATA("Somma di DARE",'Pivot RakBank EUR'!$A$3,"Mese",9,"Tipologia",$A244),0)
- IFERROR(GETPIVOTDATA("Somma di AVERE",'Pivot RakBank EUR'!$A$3,"Mese",9,"Tipologia",$A244),0)
+IFERROR(GETPIVOTDATA("Somma di DARE",'Pivot Fineco Sa'!$A$3,"Mese",9,"Tipologia",$A244),0)
+ IFERROR(GETPIVOTDATA("Somma di DARE",'Pivot Fineco St'!$A$3,"Mese",9,"Tipologia",$A244),0)
+ Contanti!AH106
+ IFERROR(GETPIVOTDATA("Somma di DARE",'Pivot BBVA'!$A$3,"Mese",9,"Tipologia",$A244),0)
+ IFERROR(GETPIVOTDATA("Somma di DARE",'Pivot Amex'!$A$3,"Mese",9,"Tipologia",$A244),0)
- IFERROR(GETPIVOTDATA("Somma di AVERE",'Pivot Amex'!$A$3,"Mese",9,"Tipologia",$A244),0)
- IFERROR(GETPIVOTDATA("Somma di AVERE",'Pivot BBVA'!$A$3,"Mese",9,"Tipologia",$A244),0)
- IFERROR(GETPIVOTDATA("Somma di AVERE",'Pivot Fineco St'!$A$3,"Mese",9,"Tipologia",$A244),0)
- IFERROR(GETPIVOTDATA("Somma di AVERE",'Pivot Fineco Sa'!$A$3,"Mese",9,"Tipologia",$A244),0)
+ IFERROR(GETPIVOTDATA("Somma di DARE",'Pivot PP Visa'!$A$3,"Mese",9,"Tipologia",$A244),0)
- IFERROR(GETPIVOTDATA("Somma di AVERE",'Pivot PP Visa'!$A$3,"Mese",9,"Tipologia",$A244),0)
+ IFERROR(GETPIVOTDATA("Somma di DARE",'Pivot Revolut'!$A$3,"Mese",9,"Tipologia",$A244),0)
- IFERROR(GETPIVOTDATA("Somma di AVERE",'Pivot Revolut'!$A$3,"Mese",9,"Tipologia",$A244),0)</f>
        <v>0</v>
      </c>
      <c r="L244" s="243">
        <f>IFERROR(GETPIVOTDATA("Somma di DARE EUR",'Pivot RakBank AED'!$A$3,"Mese",10,"Tipologia",$A244),0)
- IFERROR(GETPIVOTDATA("Somma di AVERE EUR",'Pivot RakBank AED'!$A$3,"Mese",10,"Tipologia",$A244),0)
+IFERROR(GETPIVOTDATA("Somma di DARE",'Pivot RakBank EUR'!$A$3,"Mese",10,"Tipologia",$A244),0)
- IFERROR(GETPIVOTDATA("Somma di AVERE",'Pivot RakBank EUR'!$A$3,"Mese",10,"Tipologia",$A244),0)
+IFERROR(GETPIVOTDATA("Somma di DARE",'Pivot Fineco Sa'!$A$3,"Mese",10,"Tipologia",$A244),0)
+ IFERROR(GETPIVOTDATA("Somma di DARE",'Pivot Fineco St'!$A$3,"Mese",10,"Tipologia",$A244),0)
+ Contanti!AL106
+ IFERROR(GETPIVOTDATA("Somma di DARE",'Pivot BBVA'!$A$3,"Mese",10,"Tipologia",$A244),0)
+ IFERROR(GETPIVOTDATA("Somma di DARE",'Pivot Amex'!$A$3,"Mese",10,"Tipologia",$A244),0)
- IFERROR(GETPIVOTDATA("Somma di AVERE",'Pivot Amex'!$A$3,"Mese",10,"Tipologia",$A244),0)
- IFERROR(GETPIVOTDATA("Somma di AVERE",'Pivot BBVA'!$A$3,"Mese",10,"Tipologia",$A244),0)
- IFERROR(GETPIVOTDATA("Somma di AVERE",'Pivot Fineco St'!$A$3,"Mese",10,"Tipologia",$A244),0)
- IFERROR(GETPIVOTDATA("Somma di AVERE",'Pivot Fineco Sa'!$A$3,"Mese",10,"Tipologia",$A244),0)
+ IFERROR(GETPIVOTDATA("Somma di DARE",'Pivot PP Visa'!$A$3,"Mese",10,"Tipologia",$A244),0)
- IFERROR(GETPIVOTDATA("Somma di AVERE",'Pivot PP Visa'!$A$3,"Mese",10,"Tipologia",$A244),0)
+ IFERROR(GETPIVOTDATA("Somma di DARE",'Pivot Revolut'!$A$3,"Mese",10,"Tipologia",$A244),0)
- IFERROR(GETPIVOTDATA("Somma di AVERE",'Pivot Revolut'!$A$3,"Mese",10,"Tipologia",$A244),0)</f>
        <v>0</v>
      </c>
      <c r="M244" s="243">
        <f>IFERROR(GETPIVOTDATA("Somma di DARE EUR",'Pivot RakBank AED'!$A$3,"Mese",11,"Tipologia",$A244),0)
- IFERROR(GETPIVOTDATA("Somma di AVERE EUR",'Pivot RakBank AED'!$A$3,"Mese",11,"Tipologia",$A244),0)
+IFERROR(GETPIVOTDATA("Somma di DARE",'Pivot RakBank EUR'!$A$3,"Mese",11,"Tipologia",$A244),0)
- IFERROR(GETPIVOTDATA("Somma di AVERE",'Pivot RakBank EUR'!$A$3,"Mese",11,"Tipologia",$A244),0)
+IFERROR(GETPIVOTDATA("Somma di DARE",'Pivot Fineco Sa'!$A$3,"Mese",11,"Tipologia",$A244),0)
+ IFERROR(GETPIVOTDATA("Somma di DARE",'Pivot Fineco St'!$A$3,"Mese",11,"Tipologia",$A244),0)
+ Contanti!AP106
+ IFERROR(GETPIVOTDATA("Somma di DARE",'Pivot BBVA'!$A$3,"Mese",11,"Tipologia",$A244),0)
+ IFERROR(GETPIVOTDATA("Somma di DARE",'Pivot Amex'!$A$3,"Mese",11,"Tipologia",$A244),0)
- IFERROR(GETPIVOTDATA("Somma di AVERE",'Pivot Amex'!$A$3,"Mese",11,"Tipologia",$A244),0)
- IFERROR(GETPIVOTDATA("Somma di AVERE",'Pivot BBVA'!$A$3,"Mese",11,"Tipologia",$A244),0)
- IFERROR(GETPIVOTDATA("Somma di AVERE",'Pivot Fineco St'!$A$3,"Mese",11,"Tipologia",$A244),0)
- IFERROR(GETPIVOTDATA("Somma di AVERE",'Pivot Fineco Sa'!$A$3,"Mese",11,"Tipologia",$A244),0)
+ IFERROR(GETPIVOTDATA("Somma di DARE",'Pivot PP Visa'!$A$3,"Mese",11,"Tipologia",$A244),0)
- IFERROR(GETPIVOTDATA("Somma di AVERE",'Pivot PP Visa'!$A$3,"Mese",11,"Tipologia",$A244),0)
+ IFERROR(GETPIVOTDATA("Somma di DARE",'Pivot Revolut'!$A$3,"Mese",11,"Tipologia",$A244),0)
- IFERROR(GETPIVOTDATA("Somma di AVERE",'Pivot Revolut'!$A$3,"Mese",11,"Tipologia",$A244),0)</f>
        <v>0</v>
      </c>
      <c r="N244" s="243">
        <f>IFERROR(GETPIVOTDATA("Somma di DARE EUR",'Pivot RakBank AED'!$A$3,"Mese",12,"Tipologia",$A244),0)
- IFERROR(GETPIVOTDATA("Somma di AVERE EUR",'Pivot RakBank AED'!$A$3,"Mese",12,"Tipologia",$A244),0)
+IFERROR(GETPIVOTDATA("Somma di DARE",'Pivot RakBank EUR'!$A$3,"Mese",12,"Tipologia",$A244),0)
- IFERROR(GETPIVOTDATA("Somma di AVERE",'Pivot RakBank EUR'!$A$3,"Mese",12,"Tipologia",$A244),0)
+IFERROR(GETPIVOTDATA("Somma di DARE",'Pivot Fineco Sa'!$A$3,"Mese",12,"Tipologia",$A244),0)
+ IFERROR(GETPIVOTDATA("Somma di DARE",'Pivot Fineco St'!$A$3,"Mese",12,"Tipologia",$A244),0)
+ Contanti!AT106
+ IFERROR(GETPIVOTDATA("Somma di DARE",'Pivot BBVA'!$A$3,"Mese",12,"Tipologia",$A244),0)
+ IFERROR(GETPIVOTDATA("Somma di DARE",'Pivot Amex'!$A$3,"Mese",12,"Tipologia",$A244),0)
- IFERROR(GETPIVOTDATA("Somma di AVERE",'Pivot Amex'!$A$3,"Mese",12,"Tipologia",$A244),0)
- IFERROR(GETPIVOTDATA("Somma di AVERE",'Pivot BBVA'!$A$3,"Mese",12,"Tipologia",$A244),0)
- IFERROR(GETPIVOTDATA("Somma di AVERE",'Pivot Fineco St'!$A$3,"Mese",12,"Tipologia",$A244),0)
- IFERROR(GETPIVOTDATA("Somma di AVERE",'Pivot Fineco Sa'!$A$3,"Mese",12,"Tipologia",$A244),0)
+ IFERROR(GETPIVOTDATA("Somma di DARE",'Pivot PP Visa'!$A$3,"Mese",12,"Tipologia",$A244),0)
- IFERROR(GETPIVOTDATA("Somma di AVERE",'Pivot PP Visa'!$A$3,"Mese",12,"Tipologia",$A244),0)
+ IFERROR(GETPIVOTDATA("Somma di DARE",'Pivot Revolut'!$A$3,"Mese",12,"Tipologia",$A244),0)
- IFERROR(GETPIVOTDATA("Somma di AVERE",'Pivot Revolut'!$A$3,"Mese",12,"Tipologia",$A244),0)</f>
        <v>0</v>
      </c>
      <c r="O244" s="252">
        <f t="shared" si="52"/>
        <v>370.03</v>
      </c>
      <c r="P244" s="243">
        <f t="shared" ca="1" si="51"/>
        <v>52.861428571428569</v>
      </c>
    </row>
    <row r="245" spans="1:16" s="125" customFormat="1" ht="21" customHeight="1" x14ac:dyDescent="0.2">
      <c r="A245" s="278"/>
      <c r="B245" s="278"/>
      <c r="C245" s="279"/>
      <c r="D245" s="279"/>
      <c r="E245" s="279"/>
      <c r="F245" s="279"/>
      <c r="G245" s="279"/>
      <c r="H245" s="279"/>
      <c r="I245" s="279"/>
      <c r="J245" s="279"/>
      <c r="K245" s="279"/>
      <c r="L245" s="279"/>
      <c r="M245" s="279"/>
      <c r="N245" s="279"/>
      <c r="O245" s="279"/>
      <c r="P245" s="280"/>
    </row>
    <row r="246" spans="1:16" s="125" customFormat="1" ht="21" customHeight="1" x14ac:dyDescent="0.2">
      <c r="A246" s="255" t="s">
        <v>96</v>
      </c>
      <c r="B246" s="255"/>
      <c r="C246" s="256">
        <f>SUM(C247:C253)</f>
        <v>1013.5200000000001</v>
      </c>
      <c r="D246" s="256">
        <f t="shared" ref="D246:N246" si="53">SUM(D247:D253)</f>
        <v>1665.72</v>
      </c>
      <c r="E246" s="256">
        <f t="shared" si="53"/>
        <v>843.92000000000007</v>
      </c>
      <c r="F246" s="256">
        <f t="shared" si="53"/>
        <v>665.30000000000007</v>
      </c>
      <c r="G246" s="256">
        <f t="shared" si="53"/>
        <v>374.29</v>
      </c>
      <c r="H246" s="256">
        <f t="shared" si="53"/>
        <v>859.47</v>
      </c>
      <c r="I246" s="256">
        <f t="shared" si="53"/>
        <v>423.77</v>
      </c>
      <c r="J246" s="256">
        <f t="shared" si="53"/>
        <v>0</v>
      </c>
      <c r="K246" s="256">
        <f t="shared" si="53"/>
        <v>0</v>
      </c>
      <c r="L246" s="256">
        <f t="shared" si="53"/>
        <v>0</v>
      </c>
      <c r="M246" s="256">
        <f t="shared" si="53"/>
        <v>0</v>
      </c>
      <c r="N246" s="256">
        <f t="shared" si="53"/>
        <v>0</v>
      </c>
      <c r="O246" s="257">
        <f t="shared" ref="O246:O263" si="54">SUM(C246:N246)</f>
        <v>5845.99</v>
      </c>
      <c r="P246" s="256">
        <f ca="1">SUM(P247:P253)</f>
        <v>835.14142857142861</v>
      </c>
    </row>
    <row r="247" spans="1:16" s="125" customFormat="1" ht="21" customHeight="1" x14ac:dyDescent="0.2">
      <c r="A247" s="251" t="s">
        <v>33</v>
      </c>
      <c r="B247" s="251"/>
      <c r="C247" s="243">
        <f>IFERROR(GETPIVOTDATA("Somma di DARE EUR",'Pivot RakBank AED'!$A$3,"Mese",1,"Tipologia",$A247),0)
- IFERROR(GETPIVOTDATA("Somma di AVERE EUR",'Pivot RakBank AED'!$A$3,"Mese",1,"Tipologia",$A247),0)
+IFERROR(GETPIVOTDATA("Somma di DARE",'Pivot RakBank EUR'!$A$3,"Mese",1,"Tipologia",$A247),0)
- IFERROR(GETPIVOTDATA("Somma di AVERE",'Pivot RakBank EUR'!$A$3,"Mese",1,"Tipologia",$A247),0)
+IFERROR(GETPIVOTDATA("Somma di DARE",'Pivot Fineco Sa'!$A$3,"Mese",1,"Tipologia",$A247),0)
+ IFERROR(GETPIVOTDATA("Somma di DARE",'Pivot Fineco St'!$A$3,"Mese",1,"Tipologia",$A247),0)
+ Contanti!B109
+ IFERROR(GETPIVOTDATA("Somma di DARE",'Pivot BBVA'!$A$3,"Mese",1,"Tipologia",$A247),0)
+ IFERROR(GETPIVOTDATA("Somma di DARE",'Pivot Amex'!$A$3,"Mese",1,"Tipologia",$A247),0)
- IFERROR(GETPIVOTDATA("Somma di AVERE",'Pivot Amex'!$A$3,"Mese",1,"Tipologia",$A247),0)
- IFERROR(GETPIVOTDATA("Somma di AVERE",'Pivot BBVA'!$A$3,"Mese",1,"Tipologia",$A247),0)
- IFERROR(GETPIVOTDATA("Somma di AVERE",'Pivot Fineco St'!$A$3,"Mese",1,"Tipologia",$A247),0)
- IFERROR(GETPIVOTDATA("Somma di AVERE",'Pivot Fineco Sa'!$A$3,"Mese",1,"Tipologia",$A247),0)
+ IFERROR(GETPIVOTDATA("Somma di DARE",'Pivot PP Visa'!$A$3,"Mese",1,"Tipologia",$A247),0)
- IFERROR(GETPIVOTDATA("Somma di AVERE",'Pivot PP Visa'!$A$3,"Mese",1,"Tipologia",$A247),0)
+ IFERROR(GETPIVOTDATA("Somma di DARE",'Pivot Revolut'!$A$3,"Mese",1,"Tipologia",$A247),0)
- IFERROR(GETPIVOTDATA("Somma di AVERE",'Pivot Revolut'!$A$3,"Mese",1,"Tipologia",$A247),0)</f>
        <v>321.56</v>
      </c>
      <c r="D247" s="243">
        <f>IFERROR(GETPIVOTDATA("Somma di DARE EUR",'Pivot RakBank AED'!$A$3,"Mese",2,"Tipologia",$A247),0)
- IFERROR(GETPIVOTDATA("Somma di AVERE EUR",'Pivot RakBank AED'!$A$3,"Mese",2,"Tipologia",$A247),0)
+IFERROR(GETPIVOTDATA("Somma di DARE",'Pivot RakBank EUR'!$A$3,"Mese",2,"Tipologia",$A247),0)
- IFERROR(GETPIVOTDATA("Somma di AVERE",'Pivot RakBank EUR'!$A$3,"Mese",2,"Tipologia",$A247),0)
+IFERROR(GETPIVOTDATA("Somma di DARE",'Pivot Fineco Sa'!$A$3,"Mese",2,"Tipologia",$A247),0)
+ IFERROR(GETPIVOTDATA("Somma di DARE",'Pivot Fineco St'!$A$3,"Mese",2,"Tipologia",$A247),0)
+ Contanti!F109
+ IFERROR(GETPIVOTDATA("Somma di DARE",'Pivot BBVA'!$A$3,"Mese",2,"Tipologia",$A247),0)
+ IFERROR(GETPIVOTDATA("Somma di DARE",'Pivot Amex'!$A$3,"Mese",2,"Tipologia",$A247),0)
- IFERROR(GETPIVOTDATA("Somma di AVERE",'Pivot Amex'!$A$3,"Mese",2,"Tipologia",$A247),0)
- IFERROR(GETPIVOTDATA("Somma di AVERE",'Pivot BBVA'!$A$3,"Mese",2,"Tipologia",$A247),0)
- IFERROR(GETPIVOTDATA("Somma di AVERE",'Pivot Fineco St'!$A$3,"Mese",2,"Tipologia",$A247),0)
- IFERROR(GETPIVOTDATA("Somma di AVERE",'Pivot Fineco Sa'!$A$3,"Mese",2,"Tipologia",$A247),0)
+ IFERROR(GETPIVOTDATA("Somma di DARE",'Pivot PP Visa'!$A$3,"Mese",2,"Tipologia",$A247),0)
- IFERROR(GETPIVOTDATA("Somma di AVERE",'Pivot PP Visa'!$A$3,"Mese",2,"Tipologia",$A247),0)
+ IFERROR(GETPIVOTDATA("Somma di DARE",'Pivot Revolut'!$A$3,"Mese",2,"Tipologia",$A247),0)
- IFERROR(GETPIVOTDATA("Somma di AVERE",'Pivot Revolut'!$A$3,"Mese",2,"Tipologia",$A247),0)</f>
        <v>239.18</v>
      </c>
      <c r="E247" s="243">
        <f>IFERROR(GETPIVOTDATA("Somma di DARE EUR",'Pivot RakBank AED'!$A$3,"Mese",3,"Tipologia",$A247),0)
- IFERROR(GETPIVOTDATA("Somma di AVERE EUR",'Pivot RakBank AED'!$A$3,"Mese",3,"Tipologia",$A247),0)
+IFERROR(GETPIVOTDATA("Somma di DARE",'Pivot RakBank EUR'!$A$3,"Mese",3,"Tipologia",$A247),0)
- IFERROR(GETPIVOTDATA("Somma di AVERE",'Pivot RakBank EUR'!$A$3,"Mese",3,"Tipologia",$A247),0)
+IFERROR(GETPIVOTDATA("Somma di DARE",'Pivot Fineco Sa'!$A$3,"Mese",3,"Tipologia",$A247),0)
+ IFERROR(GETPIVOTDATA("Somma di DARE",'Pivot Fineco St'!$A$3,"Mese",3,"Tipologia",$A247),0)
+ Contanti!J109
+ IFERROR(GETPIVOTDATA("Somma di DARE",'Pivot BBVA'!$A$3,"Mese",3,"Tipologia",$A247),0)
+ IFERROR(GETPIVOTDATA("Somma di DARE",'Pivot Amex'!$A$3,"Mese",3,"Tipologia",$A247),0)
- IFERROR(GETPIVOTDATA("Somma di AVERE",'Pivot Amex'!$A$3,"Mese",3,"Tipologia",$A247),0)
- IFERROR(GETPIVOTDATA("Somma di AVERE",'Pivot BBVA'!$A$3,"Mese",3,"Tipologia",$A247),0)
- IFERROR(GETPIVOTDATA("Somma di AVERE",'Pivot Fineco St'!$A$3,"Mese",3,"Tipologia",$A247),0)
- IFERROR(GETPIVOTDATA("Somma di AVERE",'Pivot Fineco Sa'!$A$3,"Mese",3,"Tipologia",$A247),0)
+ IFERROR(GETPIVOTDATA("Somma di DARE",'Pivot PP Visa'!$A$3,"Mese",3,"Tipologia",$A247),0)
- IFERROR(GETPIVOTDATA("Somma di AVERE",'Pivot PP Visa'!$A$3,"Mese",3,"Tipologia",$A247),0)
+ IFERROR(GETPIVOTDATA("Somma di DARE",'Pivot Revolut'!$A$3,"Mese",3,"Tipologia",$A247),0)
- IFERROR(GETPIVOTDATA("Somma di AVERE",'Pivot Revolut'!$A$3,"Mese",3,"Tipologia",$A247),0)</f>
        <v>375.35</v>
      </c>
      <c r="F247" s="243">
        <f>IFERROR(GETPIVOTDATA("Somma di DARE EUR",'Pivot RakBank AED'!$A$3,"Mese",4,"Tipologia",$A247),0)
- IFERROR(GETPIVOTDATA("Somma di AVERE EUR",'Pivot RakBank AED'!$A$3,"Mese",4,"Tipologia",$A247),0)
+IFERROR(GETPIVOTDATA("Somma di DARE",'Pivot RakBank EUR'!$A$3,"Mese",4,"Tipologia",$A247),0)
- IFERROR(GETPIVOTDATA("Somma di AVERE",'Pivot RakBank EUR'!$A$3,"Mese",4,"Tipologia",$A247),0)
+IFERROR(GETPIVOTDATA("Somma di DARE",'Pivot Fineco Sa'!$A$3,"Mese",4,"Tipologia",$A247),0)
+ IFERROR(GETPIVOTDATA("Somma di DARE",'Pivot Fineco St'!$A$3,"Mese",4,"Tipologia",$A247),0)
+ Contanti!N109
+ IFERROR(GETPIVOTDATA("Somma di DARE",'Pivot BBVA'!$A$3,"Mese",4,"Tipologia",$A247),0)
+ IFERROR(GETPIVOTDATA("Somma di DARE",'Pivot Amex'!$A$3,"Mese",4,"Tipologia",$A247),0)
- IFERROR(GETPIVOTDATA("Somma di AVERE",'Pivot Amex'!$A$3,"Mese",4,"Tipologia",$A247),0)
- IFERROR(GETPIVOTDATA("Somma di AVERE",'Pivot BBVA'!$A$3,"Mese",4,"Tipologia",$A247),0)
- IFERROR(GETPIVOTDATA("Somma di AVERE",'Pivot Fineco St'!$A$3,"Mese",4,"Tipologia",$A247),0)
- IFERROR(GETPIVOTDATA("Somma di AVERE",'Pivot Fineco Sa'!$A$3,"Mese",4,"Tipologia",$A247),0)
+ IFERROR(GETPIVOTDATA("Somma di DARE",'Pivot PP Visa'!$A$3,"Mese",4,"Tipologia",$A247),0)
- IFERROR(GETPIVOTDATA("Somma di AVERE",'Pivot PP Visa'!$A$3,"Mese",4,"Tipologia",$A247),0)
+ IFERROR(GETPIVOTDATA("Somma di DARE",'Pivot Revolut'!$A$3,"Mese",4,"Tipologia",$A247),0)
- IFERROR(GETPIVOTDATA("Somma di AVERE",'Pivot Revolut'!$A$3,"Mese",4,"Tipologia",$A247),0)</f>
        <v>319.73</v>
      </c>
      <c r="G247" s="243">
        <f>IFERROR(GETPIVOTDATA("Somma di DARE EUR",'Pivot RakBank AED'!$A$3,"Mese",5,"Tipologia",$A247),0)
- IFERROR(GETPIVOTDATA("Somma di AVERE EUR",'Pivot RakBank AED'!$A$3,"Mese",5,"Tipologia",$A247),0)
+IFERROR(GETPIVOTDATA("Somma di DARE",'Pivot RakBank EUR'!$A$3,"Mese",5,"Tipologia",$A247),0)
- IFERROR(GETPIVOTDATA("Somma di AVERE",'Pivot RakBank EUR'!$A$3,"Mese",5,"Tipologia",$A247),0)
+IFERROR(GETPIVOTDATA("Somma di DARE",'Pivot Fineco Sa'!$A$3,"Mese",5,"Tipologia",$A247),0)
+ IFERROR(GETPIVOTDATA("Somma di DARE",'Pivot Fineco St'!$A$3,"Mese",5,"Tipologia",$A247),0)
+ Contanti!R109
+ IFERROR(GETPIVOTDATA("Somma di DARE",'Pivot BBVA'!$A$3,"Mese",5,"Tipologia",$A247),0)
+ IFERROR(GETPIVOTDATA("Somma di DARE",'Pivot Amex'!$A$3,"Mese",5,"Tipologia",$A247),0)
- IFERROR(GETPIVOTDATA("Somma di AVERE",'Pivot Amex'!$A$3,"Mese",5,"Tipologia",$A247),0)
- IFERROR(GETPIVOTDATA("Somma di AVERE",'Pivot BBVA'!$A$3,"Mese",5,"Tipologia",$A247),0)
- IFERROR(GETPIVOTDATA("Somma di AVERE",'Pivot Fineco St'!$A$3,"Mese",5,"Tipologia",$A247),0)
- IFERROR(GETPIVOTDATA("Somma di AVERE",'Pivot Fineco Sa'!$A$3,"Mese",5,"Tipologia",$A247),0)
+ IFERROR(GETPIVOTDATA("Somma di DARE",'Pivot PP Visa'!$A$3,"Mese",5,"Tipologia",$A247),0)
- IFERROR(GETPIVOTDATA("Somma di AVERE",'Pivot PP Visa'!$A$3,"Mese",5,"Tipologia",$A247),0)
+ IFERROR(GETPIVOTDATA("Somma di DARE",'Pivot Revolut'!$A$3,"Mese",5,"Tipologia",$A247),0)
- IFERROR(GETPIVOTDATA("Somma di AVERE",'Pivot Revolut'!$A$3,"Mese",5,"Tipologia",$A247),0)</f>
        <v>47.74</v>
      </c>
      <c r="H247" s="243">
        <f>IFERROR(GETPIVOTDATA("Somma di DARE EUR",'Pivot RakBank AED'!$A$3,"Mese",6,"Tipologia",$A247),0)
- IFERROR(GETPIVOTDATA("Somma di AVERE EUR",'Pivot RakBank AED'!$A$3,"Mese",6,"Tipologia",$A247),0)
+IFERROR(GETPIVOTDATA("Somma di DARE",'Pivot RakBank EUR'!$A$3,"Mese",6,"Tipologia",$A247),0)
- IFERROR(GETPIVOTDATA("Somma di AVERE",'Pivot RakBank EUR'!$A$3,"Mese",6,"Tipologia",$A247),0)
+IFERROR(GETPIVOTDATA("Somma di DARE",'Pivot Fineco Sa'!$A$3,"Mese",6,"Tipologia",$A247),0)
+ IFERROR(GETPIVOTDATA("Somma di DARE",'Pivot Fineco St'!$A$3,"Mese",6,"Tipologia",$A247),0)
+ Contanti!V109
+ IFERROR(GETPIVOTDATA("Somma di DARE",'Pivot BBVA'!$A$3,"Mese",6,"Tipologia",$A247),0)
+ IFERROR(GETPIVOTDATA("Somma di DARE",'Pivot Amex'!$A$3,"Mese",6,"Tipologia",$A247),0)
- IFERROR(GETPIVOTDATA("Somma di AVERE",'Pivot Amex'!$A$3,"Mese",6,"Tipologia",$A247),0)
- IFERROR(GETPIVOTDATA("Somma di AVERE",'Pivot BBVA'!$A$3,"Mese",6,"Tipologia",$A247),0)
- IFERROR(GETPIVOTDATA("Somma di AVERE",'Pivot Fineco St'!$A$3,"Mese",6,"Tipologia",$A247),0)
- IFERROR(GETPIVOTDATA("Somma di AVERE",'Pivot Fineco Sa'!$A$3,"Mese",6,"Tipologia",$A247),0)
+ IFERROR(GETPIVOTDATA("Somma di DARE",'Pivot PP Visa'!$A$3,"Mese",6,"Tipologia",$A247),0)
- IFERROR(GETPIVOTDATA("Somma di AVERE",'Pivot PP Visa'!$A$3,"Mese",6,"Tipologia",$A247),0)
+ IFERROR(GETPIVOTDATA("Somma di DARE",'Pivot Revolut'!$A$3,"Mese",6,"Tipologia",$A247),0)
- IFERROR(GETPIVOTDATA("Somma di AVERE",'Pivot Revolut'!$A$3,"Mese",6,"Tipologia",$A247),0)</f>
        <v>378.51</v>
      </c>
      <c r="I247" s="243">
        <f>IFERROR(GETPIVOTDATA("Somma di DARE EUR",'Pivot RakBank AED'!$A$3,"Mese",7,"Tipologia",$A247),0)
- IFERROR(GETPIVOTDATA("Somma di AVERE EUR",'Pivot RakBank AED'!$A$3,"Mese",7,"Tipologia",$A247),0)
+IFERROR(GETPIVOTDATA("Somma di DARE",'Pivot RakBank EUR'!$A$3,"Mese",7,"Tipologia",$A247),0)
- IFERROR(GETPIVOTDATA("Somma di AVERE",'Pivot RakBank EUR'!$A$3,"Mese",7,"Tipologia",$A247),0)
+IFERROR(GETPIVOTDATA("Somma di DARE",'Pivot Fineco Sa'!$A$3,"Mese",7,"Tipologia",$A247),0)
+ IFERROR(GETPIVOTDATA("Somma di DARE",'Pivot Fineco St'!$A$3,"Mese",7,"Tipologia",$A247),0)
+ Contanti!Z109
+ IFERROR(GETPIVOTDATA("Somma di DARE",'Pivot BBVA'!$A$3,"Mese",7,"Tipologia",$A247),0)
+ IFERROR(GETPIVOTDATA("Somma di DARE",'Pivot Amex'!$A$3,"Mese",7,"Tipologia",$A247),0)
- IFERROR(GETPIVOTDATA("Somma di AVERE",'Pivot Amex'!$A$3,"Mese",7,"Tipologia",$A247),0)
- IFERROR(GETPIVOTDATA("Somma di AVERE",'Pivot BBVA'!$A$3,"Mese",7,"Tipologia",$A247),0)
- IFERROR(GETPIVOTDATA("Somma di AVERE",'Pivot Fineco St'!$A$3,"Mese",7,"Tipologia",$A247),0)
- IFERROR(GETPIVOTDATA("Somma di AVERE",'Pivot Fineco Sa'!$A$3,"Mese",7,"Tipologia",$A247),0)
+ IFERROR(GETPIVOTDATA("Somma di DARE",'Pivot PP Visa'!$A$3,"Mese",7,"Tipologia",$A247),0)
- IFERROR(GETPIVOTDATA("Somma di AVERE",'Pivot PP Visa'!$A$3,"Mese",7,"Tipologia",$A247),0)
+ IFERROR(GETPIVOTDATA("Somma di DARE",'Pivot Revolut'!$A$3,"Mese",7,"Tipologia",$A247),0)
- IFERROR(GETPIVOTDATA("Somma di AVERE",'Pivot Revolut'!$A$3,"Mese",7,"Tipologia",$A247),0)</f>
        <v>95.58</v>
      </c>
      <c r="J247" s="243">
        <f>IFERROR(GETPIVOTDATA("Somma di DARE EUR",'Pivot RakBank AED'!$A$3,"Mese",8,"Tipologia",$A247),0)
- IFERROR(GETPIVOTDATA("Somma di AVERE EUR",'Pivot RakBank AED'!$A$3,"Mese",8,"Tipologia",$A247),0)
+IFERROR(GETPIVOTDATA("Somma di DARE",'Pivot RakBank EUR'!$A$3,"Mese",8,"Tipologia",$A247),0)
- IFERROR(GETPIVOTDATA("Somma di AVERE",'Pivot RakBank EUR'!$A$3,"Mese",8,"Tipologia",$A247),0)
+IFERROR(GETPIVOTDATA("Somma di DARE",'Pivot Fineco Sa'!$A$3,"Mese",8,"Tipologia",$A247),0)
+ IFERROR(GETPIVOTDATA("Somma di DARE",'Pivot Fineco St'!$A$3,"Mese",8,"Tipologia",$A247),0)
+ Contanti!AD109
+ IFERROR(GETPIVOTDATA("Somma di DARE",'Pivot BBVA'!$A$3,"Mese",8,"Tipologia",$A247),0)
+ IFERROR(GETPIVOTDATA("Somma di DARE",'Pivot Amex'!$A$3,"Mese",8,"Tipologia",$A247),0)
- IFERROR(GETPIVOTDATA("Somma di AVERE",'Pivot Amex'!$A$3,"Mese",8,"Tipologia",$A247),0)
- IFERROR(GETPIVOTDATA("Somma di AVERE",'Pivot BBVA'!$A$3,"Mese",8,"Tipologia",$A247),0)
- IFERROR(GETPIVOTDATA("Somma di AVERE",'Pivot Fineco St'!$A$3,"Mese",8,"Tipologia",$A247),0)
- IFERROR(GETPIVOTDATA("Somma di AVERE",'Pivot Fineco Sa'!$A$3,"Mese",8,"Tipologia",$A247),0)
+ IFERROR(GETPIVOTDATA("Somma di DARE",'Pivot PP Visa'!$A$3,"Mese",8,"Tipologia",$A247),0)
- IFERROR(GETPIVOTDATA("Somma di AVERE",'Pivot PP Visa'!$A$3,"Mese",8,"Tipologia",$A247),0)
+ IFERROR(GETPIVOTDATA("Somma di DARE",'Pivot Revolut'!$A$3,"Mese",8,"Tipologia",$A247),0)
- IFERROR(GETPIVOTDATA("Somma di AVERE",'Pivot Revolut'!$A$3,"Mese",8,"Tipologia",$A247),0)</f>
        <v>0</v>
      </c>
      <c r="K247" s="243">
        <f>IFERROR(GETPIVOTDATA("Somma di DARE EUR",'Pivot RakBank AED'!$A$3,"Mese",9,"Tipologia",$A247),0)
- IFERROR(GETPIVOTDATA("Somma di AVERE EUR",'Pivot RakBank AED'!$A$3,"Mese",9,"Tipologia",$A247),0)
+IFERROR(GETPIVOTDATA("Somma di DARE",'Pivot RakBank EUR'!$A$3,"Mese",9,"Tipologia",$A247),0)
- IFERROR(GETPIVOTDATA("Somma di AVERE",'Pivot RakBank EUR'!$A$3,"Mese",9,"Tipologia",$A247),0)
+IFERROR(GETPIVOTDATA("Somma di DARE",'Pivot Fineco Sa'!$A$3,"Mese",9,"Tipologia",$A247),0)
+ IFERROR(GETPIVOTDATA("Somma di DARE",'Pivot Fineco St'!$A$3,"Mese",9,"Tipologia",$A247),0)
+ Contanti!AH109
+ IFERROR(GETPIVOTDATA("Somma di DARE",'Pivot BBVA'!$A$3,"Mese",9,"Tipologia",$A247),0)
+ IFERROR(GETPIVOTDATA("Somma di DARE",'Pivot Amex'!$A$3,"Mese",9,"Tipologia",$A247),0)
- IFERROR(GETPIVOTDATA("Somma di AVERE",'Pivot Amex'!$A$3,"Mese",9,"Tipologia",$A247),0)
- IFERROR(GETPIVOTDATA("Somma di AVERE",'Pivot BBVA'!$A$3,"Mese",9,"Tipologia",$A247),0)
- IFERROR(GETPIVOTDATA("Somma di AVERE",'Pivot Fineco St'!$A$3,"Mese",9,"Tipologia",$A247),0)
- IFERROR(GETPIVOTDATA("Somma di AVERE",'Pivot Fineco Sa'!$A$3,"Mese",9,"Tipologia",$A247),0)
+ IFERROR(GETPIVOTDATA("Somma di DARE",'Pivot PP Visa'!$A$3,"Mese",9,"Tipologia",$A247),0)
- IFERROR(GETPIVOTDATA("Somma di AVERE",'Pivot PP Visa'!$A$3,"Mese",9,"Tipologia",$A247),0)
+ IFERROR(GETPIVOTDATA("Somma di DARE",'Pivot Revolut'!$A$3,"Mese",9,"Tipologia",$A247),0)
- IFERROR(GETPIVOTDATA("Somma di AVERE",'Pivot Revolut'!$A$3,"Mese",9,"Tipologia",$A247),0)</f>
        <v>0</v>
      </c>
      <c r="L247" s="243">
        <f>IFERROR(GETPIVOTDATA("Somma di DARE EUR",'Pivot RakBank AED'!$A$3,"Mese",10,"Tipologia",$A247),0)
- IFERROR(GETPIVOTDATA("Somma di AVERE EUR",'Pivot RakBank AED'!$A$3,"Mese",10,"Tipologia",$A247),0)
+IFERROR(GETPIVOTDATA("Somma di DARE",'Pivot RakBank EUR'!$A$3,"Mese",10,"Tipologia",$A247),0)
- IFERROR(GETPIVOTDATA("Somma di AVERE",'Pivot RakBank EUR'!$A$3,"Mese",10,"Tipologia",$A247),0)
+IFERROR(GETPIVOTDATA("Somma di DARE",'Pivot Fineco Sa'!$A$3,"Mese",10,"Tipologia",$A247),0)
+ IFERROR(GETPIVOTDATA("Somma di DARE",'Pivot Fineco St'!$A$3,"Mese",10,"Tipologia",$A247),0)
+ Contanti!AL109
+ IFERROR(GETPIVOTDATA("Somma di DARE",'Pivot BBVA'!$A$3,"Mese",10,"Tipologia",$A247),0)
+ IFERROR(GETPIVOTDATA("Somma di DARE",'Pivot Amex'!$A$3,"Mese",10,"Tipologia",$A247),0)
- IFERROR(GETPIVOTDATA("Somma di AVERE",'Pivot Amex'!$A$3,"Mese",10,"Tipologia",$A247),0)
- IFERROR(GETPIVOTDATA("Somma di AVERE",'Pivot BBVA'!$A$3,"Mese",10,"Tipologia",$A247),0)
- IFERROR(GETPIVOTDATA("Somma di AVERE",'Pivot Fineco St'!$A$3,"Mese",10,"Tipologia",$A247),0)
- IFERROR(GETPIVOTDATA("Somma di AVERE",'Pivot Fineco Sa'!$A$3,"Mese",10,"Tipologia",$A247),0)
+ IFERROR(GETPIVOTDATA("Somma di DARE",'Pivot PP Visa'!$A$3,"Mese",10,"Tipologia",$A247),0)
- IFERROR(GETPIVOTDATA("Somma di AVERE",'Pivot PP Visa'!$A$3,"Mese",10,"Tipologia",$A247),0)
+ IFERROR(GETPIVOTDATA("Somma di DARE",'Pivot Revolut'!$A$3,"Mese",10,"Tipologia",$A247),0)
- IFERROR(GETPIVOTDATA("Somma di AVERE",'Pivot Revolut'!$A$3,"Mese",10,"Tipologia",$A247),0)</f>
        <v>0</v>
      </c>
      <c r="M247" s="243">
        <f>IFERROR(GETPIVOTDATA("Somma di DARE EUR",'Pivot RakBank AED'!$A$3,"Mese",11,"Tipologia",$A247),0)
- IFERROR(GETPIVOTDATA("Somma di AVERE EUR",'Pivot RakBank AED'!$A$3,"Mese",11,"Tipologia",$A247),0)
+IFERROR(GETPIVOTDATA("Somma di DARE",'Pivot RakBank EUR'!$A$3,"Mese",11,"Tipologia",$A247),0)
- IFERROR(GETPIVOTDATA("Somma di AVERE",'Pivot RakBank EUR'!$A$3,"Mese",11,"Tipologia",$A247),0)
+IFERROR(GETPIVOTDATA("Somma di DARE",'Pivot Fineco Sa'!$A$3,"Mese",11,"Tipologia",$A247),0)
+ IFERROR(GETPIVOTDATA("Somma di DARE",'Pivot Fineco St'!$A$3,"Mese",11,"Tipologia",$A247),0)
+ Contanti!AP109
+ IFERROR(GETPIVOTDATA("Somma di DARE",'Pivot BBVA'!$A$3,"Mese",11,"Tipologia",$A247),0)
+ IFERROR(GETPIVOTDATA("Somma di DARE",'Pivot Amex'!$A$3,"Mese",11,"Tipologia",$A247),0)
- IFERROR(GETPIVOTDATA("Somma di AVERE",'Pivot Amex'!$A$3,"Mese",11,"Tipologia",$A247),0)
- IFERROR(GETPIVOTDATA("Somma di AVERE",'Pivot BBVA'!$A$3,"Mese",11,"Tipologia",$A247),0)
- IFERROR(GETPIVOTDATA("Somma di AVERE",'Pivot Fineco St'!$A$3,"Mese",11,"Tipologia",$A247),0)
- IFERROR(GETPIVOTDATA("Somma di AVERE",'Pivot Fineco Sa'!$A$3,"Mese",11,"Tipologia",$A247),0)
+ IFERROR(GETPIVOTDATA("Somma di DARE",'Pivot PP Visa'!$A$3,"Mese",11,"Tipologia",$A247),0)
- IFERROR(GETPIVOTDATA("Somma di AVERE",'Pivot PP Visa'!$A$3,"Mese",11,"Tipologia",$A247),0)
+ IFERROR(GETPIVOTDATA("Somma di DARE",'Pivot Revolut'!$A$3,"Mese",11,"Tipologia",$A247),0)
- IFERROR(GETPIVOTDATA("Somma di AVERE",'Pivot Revolut'!$A$3,"Mese",11,"Tipologia",$A247),0)</f>
        <v>0</v>
      </c>
      <c r="N247" s="243">
        <f>IFERROR(GETPIVOTDATA("Somma di DARE EUR",'Pivot RakBank AED'!$A$3,"Mese",12,"Tipologia",$A247),0)
- IFERROR(GETPIVOTDATA("Somma di AVERE EUR",'Pivot RakBank AED'!$A$3,"Mese",12,"Tipologia",$A247),0)
+IFERROR(GETPIVOTDATA("Somma di DARE",'Pivot RakBank EUR'!$A$3,"Mese",12,"Tipologia",$A247),0)
- IFERROR(GETPIVOTDATA("Somma di AVERE",'Pivot RakBank EUR'!$A$3,"Mese",12,"Tipologia",$A247),0)
+IFERROR(GETPIVOTDATA("Somma di DARE",'Pivot Fineco Sa'!$A$3,"Mese",12,"Tipologia",$A247),0)
+ IFERROR(GETPIVOTDATA("Somma di DARE",'Pivot Fineco St'!$A$3,"Mese",12,"Tipologia",$A247),0)
+ Contanti!AT109
+ IFERROR(GETPIVOTDATA("Somma di DARE",'Pivot BBVA'!$A$3,"Mese",12,"Tipologia",$A247),0)
+ IFERROR(GETPIVOTDATA("Somma di DARE",'Pivot Amex'!$A$3,"Mese",12,"Tipologia",$A247),0)
- IFERROR(GETPIVOTDATA("Somma di AVERE",'Pivot Amex'!$A$3,"Mese",12,"Tipologia",$A247),0)
- IFERROR(GETPIVOTDATA("Somma di AVERE",'Pivot BBVA'!$A$3,"Mese",12,"Tipologia",$A247),0)
- IFERROR(GETPIVOTDATA("Somma di AVERE",'Pivot Fineco St'!$A$3,"Mese",12,"Tipologia",$A247),0)
- IFERROR(GETPIVOTDATA("Somma di AVERE",'Pivot Fineco Sa'!$A$3,"Mese",12,"Tipologia",$A247),0)
+ IFERROR(GETPIVOTDATA("Somma di DARE",'Pivot PP Visa'!$A$3,"Mese",12,"Tipologia",$A247),0)
- IFERROR(GETPIVOTDATA("Somma di AVERE",'Pivot PP Visa'!$A$3,"Mese",12,"Tipologia",$A247),0)
+ IFERROR(GETPIVOTDATA("Somma di DARE",'Pivot Revolut'!$A$3,"Mese",12,"Tipologia",$A247),0)
- IFERROR(GETPIVOTDATA("Somma di AVERE",'Pivot Revolut'!$A$3,"Mese",12,"Tipologia",$A247),0)</f>
        <v>0</v>
      </c>
      <c r="O247" s="252">
        <f t="shared" si="54"/>
        <v>1777.65</v>
      </c>
      <c r="P247" s="243">
        <f t="shared" ref="P247:P253" ca="1" si="55">O247/(MONTH(TODAY()))</f>
        <v>253.95000000000002</v>
      </c>
    </row>
    <row r="248" spans="1:16" s="125" customFormat="1" ht="21" customHeight="1" x14ac:dyDescent="0.2">
      <c r="A248" s="251" t="s">
        <v>79</v>
      </c>
      <c r="B248" s="251"/>
      <c r="C248" s="243">
        <f>IFERROR(GETPIVOTDATA("Somma di DARE EUR",'Pivot RakBank AED'!$A$3,"Mese",1,"Tipologia",$A248),0)
- IFERROR(GETPIVOTDATA("Somma di AVERE EUR",'Pivot RakBank AED'!$A$3,"Mese",1,"Tipologia",$A248),0)
+IFERROR(GETPIVOTDATA("Somma di DARE",'Pivot RakBank EUR'!$A$3,"Mese",1,"Tipologia",$A248),0)
- IFERROR(GETPIVOTDATA("Somma di AVERE",'Pivot RakBank EUR'!$A$3,"Mese",1,"Tipologia",$A248),0)
+IFERROR(GETPIVOTDATA("Somma di DARE",'Pivot Fineco Sa'!$A$3,"Mese",1,"Tipologia",$A248),0)
+ IFERROR(GETPIVOTDATA("Somma di DARE",'Pivot Fineco St'!$A$3,"Mese",1,"Tipologia",$A248),0)
+ Contanti!B110
+ IFERROR(GETPIVOTDATA("Somma di DARE",'Pivot BBVA'!$A$3,"Mese",1,"Tipologia",$A248),0)
+ IFERROR(GETPIVOTDATA("Somma di DARE",'Pivot Amex'!$A$3,"Mese",1,"Tipologia",$A248),0)
- IFERROR(GETPIVOTDATA("Somma di AVERE",'Pivot Amex'!$A$3,"Mese",1,"Tipologia",$A248),0)
- IFERROR(GETPIVOTDATA("Somma di AVERE",'Pivot BBVA'!$A$3,"Mese",1,"Tipologia",$A248),0)
- IFERROR(GETPIVOTDATA("Somma di AVERE",'Pivot Fineco St'!$A$3,"Mese",1,"Tipologia",$A248),0)
- IFERROR(GETPIVOTDATA("Somma di AVERE",'Pivot Fineco Sa'!$A$3,"Mese",1,"Tipologia",$A248),0)
+ IFERROR(GETPIVOTDATA("Somma di DARE",'Pivot PP Visa'!$A$3,"Mese",1,"Tipologia",$A248),0)
- IFERROR(GETPIVOTDATA("Somma di AVERE",'Pivot PP Visa'!$A$3,"Mese",1,"Tipologia",$A248),0)
+ IFERROR(GETPIVOTDATA("Somma di DARE",'Pivot Revolut'!$A$3,"Mese",1,"Tipologia",$A248),0)
- IFERROR(GETPIVOTDATA("Somma di AVERE",'Pivot Revolut'!$A$3,"Mese",1,"Tipologia",$A248),0)</f>
        <v>0</v>
      </c>
      <c r="D248" s="243">
        <f>IFERROR(GETPIVOTDATA("Somma di DARE EUR",'Pivot RakBank AED'!$A$3,"Mese",2,"Tipologia",$A248),0)
- IFERROR(GETPIVOTDATA("Somma di AVERE EUR",'Pivot RakBank AED'!$A$3,"Mese",2,"Tipologia",$A248),0)
+IFERROR(GETPIVOTDATA("Somma di DARE",'Pivot RakBank EUR'!$A$3,"Mese",2,"Tipologia",$A248),0)
- IFERROR(GETPIVOTDATA("Somma di AVERE",'Pivot RakBank EUR'!$A$3,"Mese",2,"Tipologia",$A248),0)
+IFERROR(GETPIVOTDATA("Somma di DARE",'Pivot Fineco Sa'!$A$3,"Mese",2,"Tipologia",$A248),0)
+ IFERROR(GETPIVOTDATA("Somma di DARE",'Pivot Fineco St'!$A$3,"Mese",2,"Tipologia",$A248),0)
+ Contanti!F110
+ IFERROR(GETPIVOTDATA("Somma di DARE",'Pivot BBVA'!$A$3,"Mese",2,"Tipologia",$A248),0)
+ IFERROR(GETPIVOTDATA("Somma di DARE",'Pivot Amex'!$A$3,"Mese",2,"Tipologia",$A248),0)
- IFERROR(GETPIVOTDATA("Somma di AVERE",'Pivot Amex'!$A$3,"Mese",2,"Tipologia",$A248),0)
- IFERROR(GETPIVOTDATA("Somma di AVERE",'Pivot BBVA'!$A$3,"Mese",2,"Tipologia",$A248),0)
- IFERROR(GETPIVOTDATA("Somma di AVERE",'Pivot Fineco St'!$A$3,"Mese",2,"Tipologia",$A248),0)
- IFERROR(GETPIVOTDATA("Somma di AVERE",'Pivot Fineco Sa'!$A$3,"Mese",2,"Tipologia",$A248),0)
+ IFERROR(GETPIVOTDATA("Somma di DARE",'Pivot PP Visa'!$A$3,"Mese",2,"Tipologia",$A248),0)
- IFERROR(GETPIVOTDATA("Somma di AVERE",'Pivot PP Visa'!$A$3,"Mese",2,"Tipologia",$A248),0)
+ IFERROR(GETPIVOTDATA("Somma di DARE",'Pivot Revolut'!$A$3,"Mese",2,"Tipologia",$A248),0)
- IFERROR(GETPIVOTDATA("Somma di AVERE",'Pivot Revolut'!$A$3,"Mese",2,"Tipologia",$A248),0)</f>
        <v>0</v>
      </c>
      <c r="E248" s="243">
        <f>IFERROR(GETPIVOTDATA("Somma di DARE EUR",'Pivot RakBank AED'!$A$3,"Mese",3,"Tipologia",$A248),0)
- IFERROR(GETPIVOTDATA("Somma di AVERE EUR",'Pivot RakBank AED'!$A$3,"Mese",3,"Tipologia",$A248),0)
+IFERROR(GETPIVOTDATA("Somma di DARE",'Pivot RakBank EUR'!$A$3,"Mese",3,"Tipologia",$A248),0)
- IFERROR(GETPIVOTDATA("Somma di AVERE",'Pivot RakBank EUR'!$A$3,"Mese",3,"Tipologia",$A248),0)
+IFERROR(GETPIVOTDATA("Somma di DARE",'Pivot Fineco Sa'!$A$3,"Mese",3,"Tipologia",$A248),0)
+ IFERROR(GETPIVOTDATA("Somma di DARE",'Pivot Fineco St'!$A$3,"Mese",3,"Tipologia",$A248),0)
+ Contanti!J110
+ IFERROR(GETPIVOTDATA("Somma di DARE",'Pivot BBVA'!$A$3,"Mese",3,"Tipologia",$A248),0)
+ IFERROR(GETPIVOTDATA("Somma di DARE",'Pivot Amex'!$A$3,"Mese",3,"Tipologia",$A248),0)
- IFERROR(GETPIVOTDATA("Somma di AVERE",'Pivot Amex'!$A$3,"Mese",3,"Tipologia",$A248),0)
- IFERROR(GETPIVOTDATA("Somma di AVERE",'Pivot BBVA'!$A$3,"Mese",3,"Tipologia",$A248),0)
- IFERROR(GETPIVOTDATA("Somma di AVERE",'Pivot Fineco St'!$A$3,"Mese",3,"Tipologia",$A248),0)
- IFERROR(GETPIVOTDATA("Somma di AVERE",'Pivot Fineco Sa'!$A$3,"Mese",3,"Tipologia",$A248),0)
+ IFERROR(GETPIVOTDATA("Somma di DARE",'Pivot PP Visa'!$A$3,"Mese",3,"Tipologia",$A248),0)
- IFERROR(GETPIVOTDATA("Somma di AVERE",'Pivot PP Visa'!$A$3,"Mese",3,"Tipologia",$A248),0)
+ IFERROR(GETPIVOTDATA("Somma di DARE",'Pivot Revolut'!$A$3,"Mese",3,"Tipologia",$A248),0)
- IFERROR(GETPIVOTDATA("Somma di AVERE",'Pivot Revolut'!$A$3,"Mese",3,"Tipologia",$A248),0)</f>
        <v>89.1</v>
      </c>
      <c r="F248" s="243">
        <f>IFERROR(GETPIVOTDATA("Somma di DARE EUR",'Pivot RakBank AED'!$A$3,"Mese",4,"Tipologia",$A248),0)
- IFERROR(GETPIVOTDATA("Somma di AVERE EUR",'Pivot RakBank AED'!$A$3,"Mese",4,"Tipologia",$A248),0)
+IFERROR(GETPIVOTDATA("Somma di DARE",'Pivot RakBank EUR'!$A$3,"Mese",4,"Tipologia",$A248),0)
- IFERROR(GETPIVOTDATA("Somma di AVERE",'Pivot RakBank EUR'!$A$3,"Mese",4,"Tipologia",$A248),0)
+IFERROR(GETPIVOTDATA("Somma di DARE",'Pivot Fineco Sa'!$A$3,"Mese",4,"Tipologia",$A248),0)
+ IFERROR(GETPIVOTDATA("Somma di DARE",'Pivot Fineco St'!$A$3,"Mese",4,"Tipologia",$A248),0)
+ Contanti!N110
+ IFERROR(GETPIVOTDATA("Somma di DARE",'Pivot BBVA'!$A$3,"Mese",4,"Tipologia",$A248),0)
+ IFERROR(GETPIVOTDATA("Somma di DARE",'Pivot Amex'!$A$3,"Mese",4,"Tipologia",$A248),0)
- IFERROR(GETPIVOTDATA("Somma di AVERE",'Pivot Amex'!$A$3,"Mese",4,"Tipologia",$A248),0)
- IFERROR(GETPIVOTDATA("Somma di AVERE",'Pivot BBVA'!$A$3,"Mese",4,"Tipologia",$A248),0)
- IFERROR(GETPIVOTDATA("Somma di AVERE",'Pivot Fineco St'!$A$3,"Mese",4,"Tipologia",$A248),0)
- IFERROR(GETPIVOTDATA("Somma di AVERE",'Pivot Fineco Sa'!$A$3,"Mese",4,"Tipologia",$A248),0)
+ IFERROR(GETPIVOTDATA("Somma di DARE",'Pivot PP Visa'!$A$3,"Mese",4,"Tipologia",$A248),0)
- IFERROR(GETPIVOTDATA("Somma di AVERE",'Pivot PP Visa'!$A$3,"Mese",4,"Tipologia",$A248),0)
+ IFERROR(GETPIVOTDATA("Somma di DARE",'Pivot Revolut'!$A$3,"Mese",4,"Tipologia",$A248),0)
- IFERROR(GETPIVOTDATA("Somma di AVERE",'Pivot Revolut'!$A$3,"Mese",4,"Tipologia",$A248),0)</f>
        <v>0</v>
      </c>
      <c r="G248" s="243">
        <f>IFERROR(GETPIVOTDATA("Somma di DARE EUR",'Pivot RakBank AED'!$A$3,"Mese",5,"Tipologia",$A248),0)
- IFERROR(GETPIVOTDATA("Somma di AVERE EUR",'Pivot RakBank AED'!$A$3,"Mese",5,"Tipologia",$A248),0)
+IFERROR(GETPIVOTDATA("Somma di DARE",'Pivot RakBank EUR'!$A$3,"Mese",5,"Tipologia",$A248),0)
- IFERROR(GETPIVOTDATA("Somma di AVERE",'Pivot RakBank EUR'!$A$3,"Mese",5,"Tipologia",$A248),0)
+IFERROR(GETPIVOTDATA("Somma di DARE",'Pivot Fineco Sa'!$A$3,"Mese",5,"Tipologia",$A248),0)
+ IFERROR(GETPIVOTDATA("Somma di DARE",'Pivot Fineco St'!$A$3,"Mese",5,"Tipologia",$A248),0)
+ Contanti!R110
+ IFERROR(GETPIVOTDATA("Somma di DARE",'Pivot BBVA'!$A$3,"Mese",5,"Tipologia",$A248),0)
+ IFERROR(GETPIVOTDATA("Somma di DARE",'Pivot Amex'!$A$3,"Mese",5,"Tipologia",$A248),0)
- IFERROR(GETPIVOTDATA("Somma di AVERE",'Pivot Amex'!$A$3,"Mese",5,"Tipologia",$A248),0)
- IFERROR(GETPIVOTDATA("Somma di AVERE",'Pivot BBVA'!$A$3,"Mese",5,"Tipologia",$A248),0)
- IFERROR(GETPIVOTDATA("Somma di AVERE",'Pivot Fineco St'!$A$3,"Mese",5,"Tipologia",$A248),0)
- IFERROR(GETPIVOTDATA("Somma di AVERE",'Pivot Fineco Sa'!$A$3,"Mese",5,"Tipologia",$A248),0)
+ IFERROR(GETPIVOTDATA("Somma di DARE",'Pivot PP Visa'!$A$3,"Mese",5,"Tipologia",$A248),0)
- IFERROR(GETPIVOTDATA("Somma di AVERE",'Pivot PP Visa'!$A$3,"Mese",5,"Tipologia",$A248),0)
+ IFERROR(GETPIVOTDATA("Somma di DARE",'Pivot Revolut'!$A$3,"Mese",5,"Tipologia",$A248),0)
- IFERROR(GETPIVOTDATA("Somma di AVERE",'Pivot Revolut'!$A$3,"Mese",5,"Tipologia",$A248),0)</f>
        <v>0</v>
      </c>
      <c r="H248" s="243">
        <f>IFERROR(GETPIVOTDATA("Somma di DARE EUR",'Pivot RakBank AED'!$A$3,"Mese",6,"Tipologia",$A248),0)
- IFERROR(GETPIVOTDATA("Somma di AVERE EUR",'Pivot RakBank AED'!$A$3,"Mese",6,"Tipologia",$A248),0)
+IFERROR(GETPIVOTDATA("Somma di DARE",'Pivot RakBank EUR'!$A$3,"Mese",6,"Tipologia",$A248),0)
- IFERROR(GETPIVOTDATA("Somma di AVERE",'Pivot RakBank EUR'!$A$3,"Mese",6,"Tipologia",$A248),0)
+IFERROR(GETPIVOTDATA("Somma di DARE",'Pivot Fineco Sa'!$A$3,"Mese",6,"Tipologia",$A248),0)
+ IFERROR(GETPIVOTDATA("Somma di DARE",'Pivot Fineco St'!$A$3,"Mese",6,"Tipologia",$A248),0)
+ Contanti!V110
+ IFERROR(GETPIVOTDATA("Somma di DARE",'Pivot BBVA'!$A$3,"Mese",6,"Tipologia",$A248),0)
+ IFERROR(GETPIVOTDATA("Somma di DARE",'Pivot Amex'!$A$3,"Mese",6,"Tipologia",$A248),0)
- IFERROR(GETPIVOTDATA("Somma di AVERE",'Pivot Amex'!$A$3,"Mese",6,"Tipologia",$A248),0)
- IFERROR(GETPIVOTDATA("Somma di AVERE",'Pivot BBVA'!$A$3,"Mese",6,"Tipologia",$A248),0)
- IFERROR(GETPIVOTDATA("Somma di AVERE",'Pivot Fineco St'!$A$3,"Mese",6,"Tipologia",$A248),0)
- IFERROR(GETPIVOTDATA("Somma di AVERE",'Pivot Fineco Sa'!$A$3,"Mese",6,"Tipologia",$A248),0)
+ IFERROR(GETPIVOTDATA("Somma di DARE",'Pivot PP Visa'!$A$3,"Mese",6,"Tipologia",$A248),0)
- IFERROR(GETPIVOTDATA("Somma di AVERE",'Pivot PP Visa'!$A$3,"Mese",6,"Tipologia",$A248),0)
+ IFERROR(GETPIVOTDATA("Somma di DARE",'Pivot Revolut'!$A$3,"Mese",6,"Tipologia",$A248),0)
- IFERROR(GETPIVOTDATA("Somma di AVERE",'Pivot Revolut'!$A$3,"Mese",6,"Tipologia",$A248),0)</f>
        <v>0</v>
      </c>
      <c r="I248" s="243">
        <f>IFERROR(GETPIVOTDATA("Somma di DARE EUR",'Pivot RakBank AED'!$A$3,"Mese",7,"Tipologia",$A248),0)
- IFERROR(GETPIVOTDATA("Somma di AVERE EUR",'Pivot RakBank AED'!$A$3,"Mese",7,"Tipologia",$A248),0)
+IFERROR(GETPIVOTDATA("Somma di DARE",'Pivot RakBank EUR'!$A$3,"Mese",7,"Tipologia",$A248),0)
- IFERROR(GETPIVOTDATA("Somma di AVERE",'Pivot RakBank EUR'!$A$3,"Mese",7,"Tipologia",$A248),0)
+IFERROR(GETPIVOTDATA("Somma di DARE",'Pivot Fineco Sa'!$A$3,"Mese",7,"Tipologia",$A248),0)
+ IFERROR(GETPIVOTDATA("Somma di DARE",'Pivot Fineco St'!$A$3,"Mese",7,"Tipologia",$A248),0)
+ Contanti!Z110
+ IFERROR(GETPIVOTDATA("Somma di DARE",'Pivot BBVA'!$A$3,"Mese",7,"Tipologia",$A248),0)
+ IFERROR(GETPIVOTDATA("Somma di DARE",'Pivot Amex'!$A$3,"Mese",7,"Tipologia",$A248),0)
- IFERROR(GETPIVOTDATA("Somma di AVERE",'Pivot Amex'!$A$3,"Mese",7,"Tipologia",$A248),0)
- IFERROR(GETPIVOTDATA("Somma di AVERE",'Pivot BBVA'!$A$3,"Mese",7,"Tipologia",$A248),0)
- IFERROR(GETPIVOTDATA("Somma di AVERE",'Pivot Fineco St'!$A$3,"Mese",7,"Tipologia",$A248),0)
- IFERROR(GETPIVOTDATA("Somma di AVERE",'Pivot Fineco Sa'!$A$3,"Mese",7,"Tipologia",$A248),0)
+ IFERROR(GETPIVOTDATA("Somma di DARE",'Pivot PP Visa'!$A$3,"Mese",7,"Tipologia",$A248),0)
- IFERROR(GETPIVOTDATA("Somma di AVERE",'Pivot PP Visa'!$A$3,"Mese",7,"Tipologia",$A248),0)
+ IFERROR(GETPIVOTDATA("Somma di DARE",'Pivot Revolut'!$A$3,"Mese",7,"Tipologia",$A248),0)
- IFERROR(GETPIVOTDATA("Somma di AVERE",'Pivot Revolut'!$A$3,"Mese",7,"Tipologia",$A248),0)</f>
        <v>0</v>
      </c>
      <c r="J248" s="243">
        <f>IFERROR(GETPIVOTDATA("Somma di DARE EUR",'Pivot RakBank AED'!$A$3,"Mese",8,"Tipologia",$A248),0)
- IFERROR(GETPIVOTDATA("Somma di AVERE EUR",'Pivot RakBank AED'!$A$3,"Mese",8,"Tipologia",$A248),0)
+IFERROR(GETPIVOTDATA("Somma di DARE",'Pivot RakBank EUR'!$A$3,"Mese",8,"Tipologia",$A248),0)
- IFERROR(GETPIVOTDATA("Somma di AVERE",'Pivot RakBank EUR'!$A$3,"Mese",8,"Tipologia",$A248),0)
+IFERROR(GETPIVOTDATA("Somma di DARE",'Pivot Fineco Sa'!$A$3,"Mese",8,"Tipologia",$A248),0)
+ IFERROR(GETPIVOTDATA("Somma di DARE",'Pivot Fineco St'!$A$3,"Mese",8,"Tipologia",$A248),0)
+ Contanti!AD110
+ IFERROR(GETPIVOTDATA("Somma di DARE",'Pivot BBVA'!$A$3,"Mese",8,"Tipologia",$A248),0)
+ IFERROR(GETPIVOTDATA("Somma di DARE",'Pivot Amex'!$A$3,"Mese",8,"Tipologia",$A248),0)
- IFERROR(GETPIVOTDATA("Somma di AVERE",'Pivot Amex'!$A$3,"Mese",8,"Tipologia",$A248),0)
- IFERROR(GETPIVOTDATA("Somma di AVERE",'Pivot BBVA'!$A$3,"Mese",8,"Tipologia",$A248),0)
- IFERROR(GETPIVOTDATA("Somma di AVERE",'Pivot Fineco St'!$A$3,"Mese",8,"Tipologia",$A248),0)
- IFERROR(GETPIVOTDATA("Somma di AVERE",'Pivot Fineco Sa'!$A$3,"Mese",8,"Tipologia",$A248),0)
+ IFERROR(GETPIVOTDATA("Somma di DARE",'Pivot PP Visa'!$A$3,"Mese",8,"Tipologia",$A248),0)
- IFERROR(GETPIVOTDATA("Somma di AVERE",'Pivot PP Visa'!$A$3,"Mese",8,"Tipologia",$A248),0)
+ IFERROR(GETPIVOTDATA("Somma di DARE",'Pivot Revolut'!$A$3,"Mese",8,"Tipologia",$A248),0)
- IFERROR(GETPIVOTDATA("Somma di AVERE",'Pivot Revolut'!$A$3,"Mese",8,"Tipologia",$A248),0)</f>
        <v>0</v>
      </c>
      <c r="K248" s="243">
        <f>IFERROR(GETPIVOTDATA("Somma di DARE EUR",'Pivot RakBank AED'!$A$3,"Mese",9,"Tipologia",$A248),0)
- IFERROR(GETPIVOTDATA("Somma di AVERE EUR",'Pivot RakBank AED'!$A$3,"Mese",9,"Tipologia",$A248),0)
+IFERROR(GETPIVOTDATA("Somma di DARE",'Pivot RakBank EUR'!$A$3,"Mese",9,"Tipologia",$A248),0)
- IFERROR(GETPIVOTDATA("Somma di AVERE",'Pivot RakBank EUR'!$A$3,"Mese",9,"Tipologia",$A248),0)
+IFERROR(GETPIVOTDATA("Somma di DARE",'Pivot Fineco Sa'!$A$3,"Mese",9,"Tipologia",$A248),0)
+ IFERROR(GETPIVOTDATA("Somma di DARE",'Pivot Fineco St'!$A$3,"Mese",9,"Tipologia",$A248),0)
+ Contanti!AH110
+ IFERROR(GETPIVOTDATA("Somma di DARE",'Pivot BBVA'!$A$3,"Mese",9,"Tipologia",$A248),0)
+ IFERROR(GETPIVOTDATA("Somma di DARE",'Pivot Amex'!$A$3,"Mese",9,"Tipologia",$A248),0)
- IFERROR(GETPIVOTDATA("Somma di AVERE",'Pivot Amex'!$A$3,"Mese",9,"Tipologia",$A248),0)
- IFERROR(GETPIVOTDATA("Somma di AVERE",'Pivot BBVA'!$A$3,"Mese",9,"Tipologia",$A248),0)
- IFERROR(GETPIVOTDATA("Somma di AVERE",'Pivot Fineco St'!$A$3,"Mese",9,"Tipologia",$A248),0)
- IFERROR(GETPIVOTDATA("Somma di AVERE",'Pivot Fineco Sa'!$A$3,"Mese",9,"Tipologia",$A248),0)
+ IFERROR(GETPIVOTDATA("Somma di DARE",'Pivot PP Visa'!$A$3,"Mese",9,"Tipologia",$A248),0)
- IFERROR(GETPIVOTDATA("Somma di AVERE",'Pivot PP Visa'!$A$3,"Mese",9,"Tipologia",$A248),0)
+ IFERROR(GETPIVOTDATA("Somma di DARE",'Pivot Revolut'!$A$3,"Mese",9,"Tipologia",$A248),0)
- IFERROR(GETPIVOTDATA("Somma di AVERE",'Pivot Revolut'!$A$3,"Mese",9,"Tipologia",$A248),0)</f>
        <v>0</v>
      </c>
      <c r="L248" s="243">
        <f>IFERROR(GETPIVOTDATA("Somma di DARE EUR",'Pivot RakBank AED'!$A$3,"Mese",10,"Tipologia",$A248),0)
- IFERROR(GETPIVOTDATA("Somma di AVERE EUR",'Pivot RakBank AED'!$A$3,"Mese",10,"Tipologia",$A248),0)
+IFERROR(GETPIVOTDATA("Somma di DARE",'Pivot RakBank EUR'!$A$3,"Mese",10,"Tipologia",$A248),0)
- IFERROR(GETPIVOTDATA("Somma di AVERE",'Pivot RakBank EUR'!$A$3,"Mese",10,"Tipologia",$A248),0)
+IFERROR(GETPIVOTDATA("Somma di DARE",'Pivot Fineco Sa'!$A$3,"Mese",10,"Tipologia",$A248),0)
+ IFERROR(GETPIVOTDATA("Somma di DARE",'Pivot Fineco St'!$A$3,"Mese",10,"Tipologia",$A248),0)
+ Contanti!AL110
+ IFERROR(GETPIVOTDATA("Somma di DARE",'Pivot BBVA'!$A$3,"Mese",10,"Tipologia",$A248),0)
+ IFERROR(GETPIVOTDATA("Somma di DARE",'Pivot Amex'!$A$3,"Mese",10,"Tipologia",$A248),0)
- IFERROR(GETPIVOTDATA("Somma di AVERE",'Pivot Amex'!$A$3,"Mese",10,"Tipologia",$A248),0)
- IFERROR(GETPIVOTDATA("Somma di AVERE",'Pivot BBVA'!$A$3,"Mese",10,"Tipologia",$A248),0)
- IFERROR(GETPIVOTDATA("Somma di AVERE",'Pivot Fineco St'!$A$3,"Mese",10,"Tipologia",$A248),0)
- IFERROR(GETPIVOTDATA("Somma di AVERE",'Pivot Fineco Sa'!$A$3,"Mese",10,"Tipologia",$A248),0)
+ IFERROR(GETPIVOTDATA("Somma di DARE",'Pivot PP Visa'!$A$3,"Mese",10,"Tipologia",$A248),0)
- IFERROR(GETPIVOTDATA("Somma di AVERE",'Pivot PP Visa'!$A$3,"Mese",10,"Tipologia",$A248),0)
+ IFERROR(GETPIVOTDATA("Somma di DARE",'Pivot Revolut'!$A$3,"Mese",10,"Tipologia",$A248),0)
- IFERROR(GETPIVOTDATA("Somma di AVERE",'Pivot Revolut'!$A$3,"Mese",10,"Tipologia",$A248),0)</f>
        <v>0</v>
      </c>
      <c r="M248" s="243">
        <f>IFERROR(GETPIVOTDATA("Somma di DARE EUR",'Pivot RakBank AED'!$A$3,"Mese",11,"Tipologia",$A248),0)
- IFERROR(GETPIVOTDATA("Somma di AVERE EUR",'Pivot RakBank AED'!$A$3,"Mese",11,"Tipologia",$A248),0)
+IFERROR(GETPIVOTDATA("Somma di DARE",'Pivot RakBank EUR'!$A$3,"Mese",11,"Tipologia",$A248),0)
- IFERROR(GETPIVOTDATA("Somma di AVERE",'Pivot RakBank EUR'!$A$3,"Mese",11,"Tipologia",$A248),0)
+IFERROR(GETPIVOTDATA("Somma di DARE",'Pivot Fineco Sa'!$A$3,"Mese",11,"Tipologia",$A248),0)
+ IFERROR(GETPIVOTDATA("Somma di DARE",'Pivot Fineco St'!$A$3,"Mese",11,"Tipologia",$A248),0)
+ Contanti!AP110
+ IFERROR(GETPIVOTDATA("Somma di DARE",'Pivot BBVA'!$A$3,"Mese",11,"Tipologia",$A248),0)
+ IFERROR(GETPIVOTDATA("Somma di DARE",'Pivot Amex'!$A$3,"Mese",11,"Tipologia",$A248),0)
- IFERROR(GETPIVOTDATA("Somma di AVERE",'Pivot Amex'!$A$3,"Mese",11,"Tipologia",$A248),0)
- IFERROR(GETPIVOTDATA("Somma di AVERE",'Pivot BBVA'!$A$3,"Mese",11,"Tipologia",$A248),0)
- IFERROR(GETPIVOTDATA("Somma di AVERE",'Pivot Fineco St'!$A$3,"Mese",11,"Tipologia",$A248),0)
- IFERROR(GETPIVOTDATA("Somma di AVERE",'Pivot Fineco Sa'!$A$3,"Mese",11,"Tipologia",$A248),0)
+ IFERROR(GETPIVOTDATA("Somma di DARE",'Pivot PP Visa'!$A$3,"Mese",11,"Tipologia",$A248),0)
- IFERROR(GETPIVOTDATA("Somma di AVERE",'Pivot PP Visa'!$A$3,"Mese",11,"Tipologia",$A248),0)
+ IFERROR(GETPIVOTDATA("Somma di DARE",'Pivot Revolut'!$A$3,"Mese",11,"Tipologia",$A248),0)
- IFERROR(GETPIVOTDATA("Somma di AVERE",'Pivot Revolut'!$A$3,"Mese",11,"Tipologia",$A248),0)</f>
        <v>0</v>
      </c>
      <c r="N248" s="243">
        <f>IFERROR(GETPIVOTDATA("Somma di DARE EUR",'Pivot RakBank AED'!$A$3,"Mese",12,"Tipologia",$A248),0)
- IFERROR(GETPIVOTDATA("Somma di AVERE EUR",'Pivot RakBank AED'!$A$3,"Mese",12,"Tipologia",$A248),0)
+IFERROR(GETPIVOTDATA("Somma di DARE",'Pivot RakBank EUR'!$A$3,"Mese",12,"Tipologia",$A248),0)
- IFERROR(GETPIVOTDATA("Somma di AVERE",'Pivot RakBank EUR'!$A$3,"Mese",12,"Tipologia",$A248),0)
+IFERROR(GETPIVOTDATA("Somma di DARE",'Pivot Fineco Sa'!$A$3,"Mese",12,"Tipologia",$A248),0)
+ IFERROR(GETPIVOTDATA("Somma di DARE",'Pivot Fineco St'!$A$3,"Mese",12,"Tipologia",$A248),0)
+ Contanti!AT110
+ IFERROR(GETPIVOTDATA("Somma di DARE",'Pivot BBVA'!$A$3,"Mese",12,"Tipologia",$A248),0)
+ IFERROR(GETPIVOTDATA("Somma di DARE",'Pivot Amex'!$A$3,"Mese",12,"Tipologia",$A248),0)
- IFERROR(GETPIVOTDATA("Somma di AVERE",'Pivot Amex'!$A$3,"Mese",12,"Tipologia",$A248),0)
- IFERROR(GETPIVOTDATA("Somma di AVERE",'Pivot BBVA'!$A$3,"Mese",12,"Tipologia",$A248),0)
- IFERROR(GETPIVOTDATA("Somma di AVERE",'Pivot Fineco St'!$A$3,"Mese",12,"Tipologia",$A248),0)
- IFERROR(GETPIVOTDATA("Somma di AVERE",'Pivot Fineco Sa'!$A$3,"Mese",12,"Tipologia",$A248),0)
+ IFERROR(GETPIVOTDATA("Somma di DARE",'Pivot PP Visa'!$A$3,"Mese",12,"Tipologia",$A248),0)
- IFERROR(GETPIVOTDATA("Somma di AVERE",'Pivot PP Visa'!$A$3,"Mese",12,"Tipologia",$A248),0)
+ IFERROR(GETPIVOTDATA("Somma di DARE",'Pivot Revolut'!$A$3,"Mese",12,"Tipologia",$A248),0)
- IFERROR(GETPIVOTDATA("Somma di AVERE",'Pivot Revolut'!$A$3,"Mese",12,"Tipologia",$A248),0)</f>
        <v>0</v>
      </c>
      <c r="O248" s="252">
        <f t="shared" si="54"/>
        <v>89.1</v>
      </c>
      <c r="P248" s="243">
        <f t="shared" ca="1" si="55"/>
        <v>12.728571428571428</v>
      </c>
    </row>
    <row r="249" spans="1:16" s="125" customFormat="1" ht="21" customHeight="1" x14ac:dyDescent="0.2">
      <c r="A249" s="251" t="s">
        <v>129</v>
      </c>
      <c r="B249" s="251"/>
      <c r="C249" s="243">
        <f>IFERROR(GETPIVOTDATA("Somma di DARE EUR",'Pivot RakBank AED'!$A$3,"Mese",1,"Tipologia",$A249),0)
- IFERROR(GETPIVOTDATA("Somma di AVERE EUR",'Pivot RakBank AED'!$A$3,"Mese",1,"Tipologia",$A249),0)
+IFERROR(GETPIVOTDATA("Somma di DARE",'Pivot RakBank EUR'!$A$3,"Mese",1,"Tipologia",$A249),0)
- IFERROR(GETPIVOTDATA("Somma di AVERE",'Pivot RakBank EUR'!$A$3,"Mese",1,"Tipologia",$A249),0)
+IFERROR(GETPIVOTDATA("Somma di DARE",'Pivot Fineco Sa'!$A$3,"Mese",1,"Tipologia",$A249),0)
+ IFERROR(GETPIVOTDATA("Somma di DARE",'Pivot Fineco St'!$A$3,"Mese",1,"Tipologia",$A249),0)
+ Contanti!B111
+ IFERROR(GETPIVOTDATA("Somma di DARE",'Pivot BBVA'!$A$3,"Mese",1,"Tipologia",$A249),0)
+ IFERROR(GETPIVOTDATA("Somma di DARE",'Pivot Amex'!$A$3,"Mese",1,"Tipologia",$A249),0)
- IFERROR(GETPIVOTDATA("Somma di AVERE",'Pivot Amex'!$A$3,"Mese",1,"Tipologia",$A249),0)
- IFERROR(GETPIVOTDATA("Somma di AVERE",'Pivot BBVA'!$A$3,"Mese",1,"Tipologia",$A249),0)
- IFERROR(GETPIVOTDATA("Somma di AVERE",'Pivot Fineco St'!$A$3,"Mese",1,"Tipologia",$A249),0)
- IFERROR(GETPIVOTDATA("Somma di AVERE",'Pivot Fineco Sa'!$A$3,"Mese",1,"Tipologia",$A249),0)
+ IFERROR(GETPIVOTDATA("Somma di DARE",'Pivot PP Visa'!$A$3,"Mese",1,"Tipologia",$A249),0)
- IFERROR(GETPIVOTDATA("Somma di AVERE",'Pivot PP Visa'!$A$3,"Mese",1,"Tipologia",$A249),0)
+ IFERROR(GETPIVOTDATA("Somma di DARE",'Pivot Revolut'!$A$3,"Mese",1,"Tipologia",$A249),0)
- IFERROR(GETPIVOTDATA("Somma di AVERE",'Pivot Revolut'!$A$3,"Mese",1,"Tipologia",$A249),0)</f>
        <v>349.85</v>
      </c>
      <c r="D249" s="243">
        <f>IFERROR(GETPIVOTDATA("Somma di DARE EUR",'Pivot RakBank AED'!$A$3,"Mese",2,"Tipologia",$A249),0)
- IFERROR(GETPIVOTDATA("Somma di AVERE EUR",'Pivot RakBank AED'!$A$3,"Mese",2,"Tipologia",$A249),0)
+IFERROR(GETPIVOTDATA("Somma di DARE",'Pivot RakBank EUR'!$A$3,"Mese",2,"Tipologia",$A249),0)
- IFERROR(GETPIVOTDATA("Somma di AVERE",'Pivot RakBank EUR'!$A$3,"Mese",2,"Tipologia",$A249),0)
+IFERROR(GETPIVOTDATA("Somma di DARE",'Pivot Fineco Sa'!$A$3,"Mese",2,"Tipologia",$A249),0)
+ IFERROR(GETPIVOTDATA("Somma di DARE",'Pivot Fineco St'!$A$3,"Mese",2,"Tipologia",$A249),0)
+ Contanti!F111
+ IFERROR(GETPIVOTDATA("Somma di DARE",'Pivot BBVA'!$A$3,"Mese",2,"Tipologia",$A249),0)
+ IFERROR(GETPIVOTDATA("Somma di DARE",'Pivot Amex'!$A$3,"Mese",2,"Tipologia",$A249),0)
- IFERROR(GETPIVOTDATA("Somma di AVERE",'Pivot Amex'!$A$3,"Mese",2,"Tipologia",$A249),0)
- IFERROR(GETPIVOTDATA("Somma di AVERE",'Pivot BBVA'!$A$3,"Mese",2,"Tipologia",$A249),0)
- IFERROR(GETPIVOTDATA("Somma di AVERE",'Pivot Fineco St'!$A$3,"Mese",2,"Tipologia",$A249),0)
- IFERROR(GETPIVOTDATA("Somma di AVERE",'Pivot Fineco Sa'!$A$3,"Mese",2,"Tipologia",$A249),0)
+ IFERROR(GETPIVOTDATA("Somma di DARE",'Pivot PP Visa'!$A$3,"Mese",2,"Tipologia",$A249),0)
- IFERROR(GETPIVOTDATA("Somma di AVERE",'Pivot PP Visa'!$A$3,"Mese",2,"Tipologia",$A249),0)
+ IFERROR(GETPIVOTDATA("Somma di DARE",'Pivot Revolut'!$A$3,"Mese",2,"Tipologia",$A249),0)
- IFERROR(GETPIVOTDATA("Somma di AVERE",'Pivot Revolut'!$A$3,"Mese",2,"Tipologia",$A249),0)</f>
        <v>0</v>
      </c>
      <c r="E249" s="243">
        <f>IFERROR(GETPIVOTDATA("Somma di DARE EUR",'Pivot RakBank AED'!$A$3,"Mese",3,"Tipologia",$A249),0)
- IFERROR(GETPIVOTDATA("Somma di AVERE EUR",'Pivot RakBank AED'!$A$3,"Mese",3,"Tipologia",$A249),0)
+IFERROR(GETPIVOTDATA("Somma di DARE",'Pivot RakBank EUR'!$A$3,"Mese",3,"Tipologia",$A249),0)
- IFERROR(GETPIVOTDATA("Somma di AVERE",'Pivot RakBank EUR'!$A$3,"Mese",3,"Tipologia",$A249),0)
+IFERROR(GETPIVOTDATA("Somma di DARE",'Pivot Fineco Sa'!$A$3,"Mese",3,"Tipologia",$A249),0)
+ IFERROR(GETPIVOTDATA("Somma di DARE",'Pivot Fineco St'!$A$3,"Mese",3,"Tipologia",$A249),0)
+ Contanti!J111
+ IFERROR(GETPIVOTDATA("Somma di DARE",'Pivot BBVA'!$A$3,"Mese",3,"Tipologia",$A249),0)
+ IFERROR(GETPIVOTDATA("Somma di DARE",'Pivot Amex'!$A$3,"Mese",3,"Tipologia",$A249),0)
- IFERROR(GETPIVOTDATA("Somma di AVERE",'Pivot Amex'!$A$3,"Mese",3,"Tipologia",$A249),0)
- IFERROR(GETPIVOTDATA("Somma di AVERE",'Pivot BBVA'!$A$3,"Mese",3,"Tipologia",$A249),0)
- IFERROR(GETPIVOTDATA("Somma di AVERE",'Pivot Fineco St'!$A$3,"Mese",3,"Tipologia",$A249),0)
- IFERROR(GETPIVOTDATA("Somma di AVERE",'Pivot Fineco Sa'!$A$3,"Mese",3,"Tipologia",$A249),0)
+ IFERROR(GETPIVOTDATA("Somma di DARE",'Pivot PP Visa'!$A$3,"Mese",3,"Tipologia",$A249),0)
- IFERROR(GETPIVOTDATA("Somma di AVERE",'Pivot PP Visa'!$A$3,"Mese",3,"Tipologia",$A249),0)
+ IFERROR(GETPIVOTDATA("Somma di DARE",'Pivot Revolut'!$A$3,"Mese",3,"Tipologia",$A249),0)
- IFERROR(GETPIVOTDATA("Somma di AVERE",'Pivot Revolut'!$A$3,"Mese",3,"Tipologia",$A249),0)</f>
        <v>56.859999999999992</v>
      </c>
      <c r="F249" s="243">
        <f>IFERROR(GETPIVOTDATA("Somma di DARE EUR",'Pivot RakBank AED'!$A$3,"Mese",4,"Tipologia",$A249),0)
- IFERROR(GETPIVOTDATA("Somma di AVERE EUR",'Pivot RakBank AED'!$A$3,"Mese",4,"Tipologia",$A249),0)
+IFERROR(GETPIVOTDATA("Somma di DARE",'Pivot RakBank EUR'!$A$3,"Mese",4,"Tipologia",$A249),0)
- IFERROR(GETPIVOTDATA("Somma di AVERE",'Pivot RakBank EUR'!$A$3,"Mese",4,"Tipologia",$A249),0)
+IFERROR(GETPIVOTDATA("Somma di DARE",'Pivot Fineco Sa'!$A$3,"Mese",4,"Tipologia",$A249),0)
+ IFERROR(GETPIVOTDATA("Somma di DARE",'Pivot Fineco St'!$A$3,"Mese",4,"Tipologia",$A249),0)
+ Contanti!N111
+ IFERROR(GETPIVOTDATA("Somma di DARE",'Pivot BBVA'!$A$3,"Mese",4,"Tipologia",$A249),0)
+ IFERROR(GETPIVOTDATA("Somma di DARE",'Pivot Amex'!$A$3,"Mese",4,"Tipologia",$A249),0)
- IFERROR(GETPIVOTDATA("Somma di AVERE",'Pivot Amex'!$A$3,"Mese",4,"Tipologia",$A249),0)
- IFERROR(GETPIVOTDATA("Somma di AVERE",'Pivot BBVA'!$A$3,"Mese",4,"Tipologia",$A249),0)
- IFERROR(GETPIVOTDATA("Somma di AVERE",'Pivot Fineco St'!$A$3,"Mese",4,"Tipologia",$A249),0)
- IFERROR(GETPIVOTDATA("Somma di AVERE",'Pivot Fineco Sa'!$A$3,"Mese",4,"Tipologia",$A249),0)
+ IFERROR(GETPIVOTDATA("Somma di DARE",'Pivot PP Visa'!$A$3,"Mese",4,"Tipologia",$A249),0)
- IFERROR(GETPIVOTDATA("Somma di AVERE",'Pivot PP Visa'!$A$3,"Mese",4,"Tipologia",$A249),0)
+ IFERROR(GETPIVOTDATA("Somma di DARE",'Pivot Revolut'!$A$3,"Mese",4,"Tipologia",$A249),0)
- IFERROR(GETPIVOTDATA("Somma di AVERE",'Pivot Revolut'!$A$3,"Mese",4,"Tipologia",$A249),0)</f>
        <v>0</v>
      </c>
      <c r="G249" s="243">
        <f>IFERROR(GETPIVOTDATA("Somma di DARE EUR",'Pivot RakBank AED'!$A$3,"Mese",5,"Tipologia",$A249),0)
- IFERROR(GETPIVOTDATA("Somma di AVERE EUR",'Pivot RakBank AED'!$A$3,"Mese",5,"Tipologia",$A249),0)
+IFERROR(GETPIVOTDATA("Somma di DARE",'Pivot RakBank EUR'!$A$3,"Mese",5,"Tipologia",$A249),0)
- IFERROR(GETPIVOTDATA("Somma di AVERE",'Pivot RakBank EUR'!$A$3,"Mese",5,"Tipologia",$A249),0)
+IFERROR(GETPIVOTDATA("Somma di DARE",'Pivot Fineco Sa'!$A$3,"Mese",5,"Tipologia",$A249),0)
+ IFERROR(GETPIVOTDATA("Somma di DARE",'Pivot Fineco St'!$A$3,"Mese",5,"Tipologia",$A249),0)
+ Contanti!R111
+ IFERROR(GETPIVOTDATA("Somma di DARE",'Pivot BBVA'!$A$3,"Mese",5,"Tipologia",$A249),0)
+ IFERROR(GETPIVOTDATA("Somma di DARE",'Pivot Amex'!$A$3,"Mese",5,"Tipologia",$A249),0)
- IFERROR(GETPIVOTDATA("Somma di AVERE",'Pivot Amex'!$A$3,"Mese",5,"Tipologia",$A249),0)
- IFERROR(GETPIVOTDATA("Somma di AVERE",'Pivot BBVA'!$A$3,"Mese",5,"Tipologia",$A249),0)
- IFERROR(GETPIVOTDATA("Somma di AVERE",'Pivot Fineco St'!$A$3,"Mese",5,"Tipologia",$A249),0)
- IFERROR(GETPIVOTDATA("Somma di AVERE",'Pivot Fineco Sa'!$A$3,"Mese",5,"Tipologia",$A249),0)
+ IFERROR(GETPIVOTDATA("Somma di DARE",'Pivot PP Visa'!$A$3,"Mese",5,"Tipologia",$A249),0)
- IFERROR(GETPIVOTDATA("Somma di AVERE",'Pivot PP Visa'!$A$3,"Mese",5,"Tipologia",$A249),0)
+ IFERROR(GETPIVOTDATA("Somma di DARE",'Pivot Revolut'!$A$3,"Mese",5,"Tipologia",$A249),0)
- IFERROR(GETPIVOTDATA("Somma di AVERE",'Pivot Revolut'!$A$3,"Mese",5,"Tipologia",$A249),0)</f>
        <v>0</v>
      </c>
      <c r="H249" s="243">
        <f>IFERROR(GETPIVOTDATA("Somma di DARE EUR",'Pivot RakBank AED'!$A$3,"Mese",6,"Tipologia",$A249),0)
- IFERROR(GETPIVOTDATA("Somma di AVERE EUR",'Pivot RakBank AED'!$A$3,"Mese",6,"Tipologia",$A249),0)
+IFERROR(GETPIVOTDATA("Somma di DARE",'Pivot RakBank EUR'!$A$3,"Mese",6,"Tipologia",$A249),0)
- IFERROR(GETPIVOTDATA("Somma di AVERE",'Pivot RakBank EUR'!$A$3,"Mese",6,"Tipologia",$A249),0)
+IFERROR(GETPIVOTDATA("Somma di DARE",'Pivot Fineco Sa'!$A$3,"Mese",6,"Tipologia",$A249),0)
+ IFERROR(GETPIVOTDATA("Somma di DARE",'Pivot Fineco St'!$A$3,"Mese",6,"Tipologia",$A249),0)
+ Contanti!V111
+ IFERROR(GETPIVOTDATA("Somma di DARE",'Pivot BBVA'!$A$3,"Mese",6,"Tipologia",$A249),0)
+ IFERROR(GETPIVOTDATA("Somma di DARE",'Pivot Amex'!$A$3,"Mese",6,"Tipologia",$A249),0)
- IFERROR(GETPIVOTDATA("Somma di AVERE",'Pivot Amex'!$A$3,"Mese",6,"Tipologia",$A249),0)
- IFERROR(GETPIVOTDATA("Somma di AVERE",'Pivot BBVA'!$A$3,"Mese",6,"Tipologia",$A249),0)
- IFERROR(GETPIVOTDATA("Somma di AVERE",'Pivot Fineco St'!$A$3,"Mese",6,"Tipologia",$A249),0)
- IFERROR(GETPIVOTDATA("Somma di AVERE",'Pivot Fineco Sa'!$A$3,"Mese",6,"Tipologia",$A249),0)
+ IFERROR(GETPIVOTDATA("Somma di DARE",'Pivot PP Visa'!$A$3,"Mese",6,"Tipologia",$A249),0)
- IFERROR(GETPIVOTDATA("Somma di AVERE",'Pivot PP Visa'!$A$3,"Mese",6,"Tipologia",$A249),0)
+ IFERROR(GETPIVOTDATA("Somma di DARE",'Pivot Revolut'!$A$3,"Mese",6,"Tipologia",$A249),0)
- IFERROR(GETPIVOTDATA("Somma di AVERE",'Pivot Revolut'!$A$3,"Mese",6,"Tipologia",$A249),0)</f>
        <v>142.24</v>
      </c>
      <c r="I249" s="243">
        <f>IFERROR(GETPIVOTDATA("Somma di DARE EUR",'Pivot RakBank AED'!$A$3,"Mese",7,"Tipologia",$A249),0)
- IFERROR(GETPIVOTDATA("Somma di AVERE EUR",'Pivot RakBank AED'!$A$3,"Mese",7,"Tipologia",$A249),0)
+IFERROR(GETPIVOTDATA("Somma di DARE",'Pivot RakBank EUR'!$A$3,"Mese",7,"Tipologia",$A249),0)
- IFERROR(GETPIVOTDATA("Somma di AVERE",'Pivot RakBank EUR'!$A$3,"Mese",7,"Tipologia",$A249),0)
+IFERROR(GETPIVOTDATA("Somma di DARE",'Pivot Fineco Sa'!$A$3,"Mese",7,"Tipologia",$A249),0)
+ IFERROR(GETPIVOTDATA("Somma di DARE",'Pivot Fineco St'!$A$3,"Mese",7,"Tipologia",$A249),0)
+ Contanti!Z111
+ IFERROR(GETPIVOTDATA("Somma di DARE",'Pivot BBVA'!$A$3,"Mese",7,"Tipologia",$A249),0)
+ IFERROR(GETPIVOTDATA("Somma di DARE",'Pivot Amex'!$A$3,"Mese",7,"Tipologia",$A249),0)
- IFERROR(GETPIVOTDATA("Somma di AVERE",'Pivot Amex'!$A$3,"Mese",7,"Tipologia",$A249),0)
- IFERROR(GETPIVOTDATA("Somma di AVERE",'Pivot BBVA'!$A$3,"Mese",7,"Tipologia",$A249),0)
- IFERROR(GETPIVOTDATA("Somma di AVERE",'Pivot Fineco St'!$A$3,"Mese",7,"Tipologia",$A249),0)
- IFERROR(GETPIVOTDATA("Somma di AVERE",'Pivot Fineco Sa'!$A$3,"Mese",7,"Tipologia",$A249),0)
+ IFERROR(GETPIVOTDATA("Somma di DARE",'Pivot PP Visa'!$A$3,"Mese",7,"Tipologia",$A249),0)
- IFERROR(GETPIVOTDATA("Somma di AVERE",'Pivot PP Visa'!$A$3,"Mese",7,"Tipologia",$A249),0)
+ IFERROR(GETPIVOTDATA("Somma di DARE",'Pivot Revolut'!$A$3,"Mese",7,"Tipologia",$A249),0)
- IFERROR(GETPIVOTDATA("Somma di AVERE",'Pivot Revolut'!$A$3,"Mese",7,"Tipologia",$A249),0)</f>
        <v>0</v>
      </c>
      <c r="J249" s="243">
        <f>IFERROR(GETPIVOTDATA("Somma di DARE EUR",'Pivot RakBank AED'!$A$3,"Mese",8,"Tipologia",$A249),0)
- IFERROR(GETPIVOTDATA("Somma di AVERE EUR",'Pivot RakBank AED'!$A$3,"Mese",8,"Tipologia",$A249),0)
+IFERROR(GETPIVOTDATA("Somma di DARE",'Pivot RakBank EUR'!$A$3,"Mese",8,"Tipologia",$A249),0)
- IFERROR(GETPIVOTDATA("Somma di AVERE",'Pivot RakBank EUR'!$A$3,"Mese",8,"Tipologia",$A249),0)
+IFERROR(GETPIVOTDATA("Somma di DARE",'Pivot Fineco Sa'!$A$3,"Mese",8,"Tipologia",$A249),0)
+ IFERROR(GETPIVOTDATA("Somma di DARE",'Pivot Fineco St'!$A$3,"Mese",8,"Tipologia",$A249),0)
+ Contanti!AD111
+ IFERROR(GETPIVOTDATA("Somma di DARE",'Pivot BBVA'!$A$3,"Mese",8,"Tipologia",$A249),0)
+ IFERROR(GETPIVOTDATA("Somma di DARE",'Pivot Amex'!$A$3,"Mese",8,"Tipologia",$A249),0)
- IFERROR(GETPIVOTDATA("Somma di AVERE",'Pivot Amex'!$A$3,"Mese",8,"Tipologia",$A249),0)
- IFERROR(GETPIVOTDATA("Somma di AVERE",'Pivot BBVA'!$A$3,"Mese",8,"Tipologia",$A249),0)
- IFERROR(GETPIVOTDATA("Somma di AVERE",'Pivot Fineco St'!$A$3,"Mese",8,"Tipologia",$A249),0)
- IFERROR(GETPIVOTDATA("Somma di AVERE",'Pivot Fineco Sa'!$A$3,"Mese",8,"Tipologia",$A249),0)
+ IFERROR(GETPIVOTDATA("Somma di DARE",'Pivot PP Visa'!$A$3,"Mese",8,"Tipologia",$A249),0)
- IFERROR(GETPIVOTDATA("Somma di AVERE",'Pivot PP Visa'!$A$3,"Mese",8,"Tipologia",$A249),0)
+ IFERROR(GETPIVOTDATA("Somma di DARE",'Pivot Revolut'!$A$3,"Mese",8,"Tipologia",$A249),0)
- IFERROR(GETPIVOTDATA("Somma di AVERE",'Pivot Revolut'!$A$3,"Mese",8,"Tipologia",$A249),0)</f>
        <v>0</v>
      </c>
      <c r="K249" s="243">
        <f>IFERROR(GETPIVOTDATA("Somma di DARE EUR",'Pivot RakBank AED'!$A$3,"Mese",9,"Tipologia",$A249),0)
- IFERROR(GETPIVOTDATA("Somma di AVERE EUR",'Pivot RakBank AED'!$A$3,"Mese",9,"Tipologia",$A249),0)
+IFERROR(GETPIVOTDATA("Somma di DARE",'Pivot RakBank EUR'!$A$3,"Mese",9,"Tipologia",$A249),0)
- IFERROR(GETPIVOTDATA("Somma di AVERE",'Pivot RakBank EUR'!$A$3,"Mese",9,"Tipologia",$A249),0)
+IFERROR(GETPIVOTDATA("Somma di DARE",'Pivot Fineco Sa'!$A$3,"Mese",9,"Tipologia",$A249),0)
+ IFERROR(GETPIVOTDATA("Somma di DARE",'Pivot Fineco St'!$A$3,"Mese",9,"Tipologia",$A249),0)
+ Contanti!AH111
+ IFERROR(GETPIVOTDATA("Somma di DARE",'Pivot BBVA'!$A$3,"Mese",9,"Tipologia",$A249),0)
+ IFERROR(GETPIVOTDATA("Somma di DARE",'Pivot Amex'!$A$3,"Mese",9,"Tipologia",$A249),0)
- IFERROR(GETPIVOTDATA("Somma di AVERE",'Pivot Amex'!$A$3,"Mese",9,"Tipologia",$A249),0)
- IFERROR(GETPIVOTDATA("Somma di AVERE",'Pivot BBVA'!$A$3,"Mese",9,"Tipologia",$A249),0)
- IFERROR(GETPIVOTDATA("Somma di AVERE",'Pivot Fineco St'!$A$3,"Mese",9,"Tipologia",$A249),0)
- IFERROR(GETPIVOTDATA("Somma di AVERE",'Pivot Fineco Sa'!$A$3,"Mese",9,"Tipologia",$A249),0)
+ IFERROR(GETPIVOTDATA("Somma di DARE",'Pivot PP Visa'!$A$3,"Mese",9,"Tipologia",$A249),0)
- IFERROR(GETPIVOTDATA("Somma di AVERE",'Pivot PP Visa'!$A$3,"Mese",9,"Tipologia",$A249),0)
+ IFERROR(GETPIVOTDATA("Somma di DARE",'Pivot Revolut'!$A$3,"Mese",9,"Tipologia",$A249),0)
- IFERROR(GETPIVOTDATA("Somma di AVERE",'Pivot Revolut'!$A$3,"Mese",9,"Tipologia",$A249),0)</f>
        <v>0</v>
      </c>
      <c r="L249" s="243">
        <f>IFERROR(GETPIVOTDATA("Somma di DARE EUR",'Pivot RakBank AED'!$A$3,"Mese",10,"Tipologia",$A249),0)
- IFERROR(GETPIVOTDATA("Somma di AVERE EUR",'Pivot RakBank AED'!$A$3,"Mese",10,"Tipologia",$A249),0)
+IFERROR(GETPIVOTDATA("Somma di DARE",'Pivot RakBank EUR'!$A$3,"Mese",10,"Tipologia",$A249),0)
- IFERROR(GETPIVOTDATA("Somma di AVERE",'Pivot RakBank EUR'!$A$3,"Mese",10,"Tipologia",$A249),0)
+IFERROR(GETPIVOTDATA("Somma di DARE",'Pivot Fineco Sa'!$A$3,"Mese",10,"Tipologia",$A249),0)
+ IFERROR(GETPIVOTDATA("Somma di DARE",'Pivot Fineco St'!$A$3,"Mese",10,"Tipologia",$A249),0)
+ Contanti!AL111
+ IFERROR(GETPIVOTDATA("Somma di DARE",'Pivot BBVA'!$A$3,"Mese",10,"Tipologia",$A249),0)
+ IFERROR(GETPIVOTDATA("Somma di DARE",'Pivot Amex'!$A$3,"Mese",10,"Tipologia",$A249),0)
- IFERROR(GETPIVOTDATA("Somma di AVERE",'Pivot Amex'!$A$3,"Mese",10,"Tipologia",$A249),0)
- IFERROR(GETPIVOTDATA("Somma di AVERE",'Pivot BBVA'!$A$3,"Mese",10,"Tipologia",$A249),0)
- IFERROR(GETPIVOTDATA("Somma di AVERE",'Pivot Fineco St'!$A$3,"Mese",10,"Tipologia",$A249),0)
- IFERROR(GETPIVOTDATA("Somma di AVERE",'Pivot Fineco Sa'!$A$3,"Mese",10,"Tipologia",$A249),0)
+ IFERROR(GETPIVOTDATA("Somma di DARE",'Pivot PP Visa'!$A$3,"Mese",10,"Tipologia",$A249),0)
- IFERROR(GETPIVOTDATA("Somma di AVERE",'Pivot PP Visa'!$A$3,"Mese",10,"Tipologia",$A249),0)
+ IFERROR(GETPIVOTDATA("Somma di DARE",'Pivot Revolut'!$A$3,"Mese",10,"Tipologia",$A249),0)
- IFERROR(GETPIVOTDATA("Somma di AVERE",'Pivot Revolut'!$A$3,"Mese",10,"Tipologia",$A249),0)</f>
        <v>0</v>
      </c>
      <c r="M249" s="243">
        <f>IFERROR(GETPIVOTDATA("Somma di DARE EUR",'Pivot RakBank AED'!$A$3,"Mese",11,"Tipologia",$A249),0)
- IFERROR(GETPIVOTDATA("Somma di AVERE EUR",'Pivot RakBank AED'!$A$3,"Mese",11,"Tipologia",$A249),0)
+IFERROR(GETPIVOTDATA("Somma di DARE",'Pivot RakBank EUR'!$A$3,"Mese",11,"Tipologia",$A249),0)
- IFERROR(GETPIVOTDATA("Somma di AVERE",'Pivot RakBank EUR'!$A$3,"Mese",11,"Tipologia",$A249),0)
+IFERROR(GETPIVOTDATA("Somma di DARE",'Pivot Fineco Sa'!$A$3,"Mese",11,"Tipologia",$A249),0)
+ IFERROR(GETPIVOTDATA("Somma di DARE",'Pivot Fineco St'!$A$3,"Mese",11,"Tipologia",$A249),0)
+ Contanti!AP111
+ IFERROR(GETPIVOTDATA("Somma di DARE",'Pivot BBVA'!$A$3,"Mese",11,"Tipologia",$A249),0)
+ IFERROR(GETPIVOTDATA("Somma di DARE",'Pivot Amex'!$A$3,"Mese",11,"Tipologia",$A249),0)
- IFERROR(GETPIVOTDATA("Somma di AVERE",'Pivot Amex'!$A$3,"Mese",11,"Tipologia",$A249),0)
- IFERROR(GETPIVOTDATA("Somma di AVERE",'Pivot BBVA'!$A$3,"Mese",11,"Tipologia",$A249),0)
- IFERROR(GETPIVOTDATA("Somma di AVERE",'Pivot Fineco St'!$A$3,"Mese",11,"Tipologia",$A249),0)
- IFERROR(GETPIVOTDATA("Somma di AVERE",'Pivot Fineco Sa'!$A$3,"Mese",11,"Tipologia",$A249),0)
+ IFERROR(GETPIVOTDATA("Somma di DARE",'Pivot PP Visa'!$A$3,"Mese",11,"Tipologia",$A249),0)
- IFERROR(GETPIVOTDATA("Somma di AVERE",'Pivot PP Visa'!$A$3,"Mese",11,"Tipologia",$A249),0)
+ IFERROR(GETPIVOTDATA("Somma di DARE",'Pivot Revolut'!$A$3,"Mese",11,"Tipologia",$A249),0)
- IFERROR(GETPIVOTDATA("Somma di AVERE",'Pivot Revolut'!$A$3,"Mese",11,"Tipologia",$A249),0)</f>
        <v>0</v>
      </c>
      <c r="N249" s="243">
        <f>IFERROR(GETPIVOTDATA("Somma di DARE EUR",'Pivot RakBank AED'!$A$3,"Mese",12,"Tipologia",$A249),0)
- IFERROR(GETPIVOTDATA("Somma di AVERE EUR",'Pivot RakBank AED'!$A$3,"Mese",12,"Tipologia",$A249),0)
+IFERROR(GETPIVOTDATA("Somma di DARE",'Pivot RakBank EUR'!$A$3,"Mese",12,"Tipologia",$A249),0)
- IFERROR(GETPIVOTDATA("Somma di AVERE",'Pivot RakBank EUR'!$A$3,"Mese",12,"Tipologia",$A249),0)
+IFERROR(GETPIVOTDATA("Somma di DARE",'Pivot Fineco Sa'!$A$3,"Mese",12,"Tipologia",$A249),0)
+ IFERROR(GETPIVOTDATA("Somma di DARE",'Pivot Fineco St'!$A$3,"Mese",12,"Tipologia",$A249),0)
+ Contanti!AT111
+ IFERROR(GETPIVOTDATA("Somma di DARE",'Pivot BBVA'!$A$3,"Mese",12,"Tipologia",$A249),0)
+ IFERROR(GETPIVOTDATA("Somma di DARE",'Pivot Amex'!$A$3,"Mese",12,"Tipologia",$A249),0)
- IFERROR(GETPIVOTDATA("Somma di AVERE",'Pivot Amex'!$A$3,"Mese",12,"Tipologia",$A249),0)
- IFERROR(GETPIVOTDATA("Somma di AVERE",'Pivot BBVA'!$A$3,"Mese",12,"Tipologia",$A249),0)
- IFERROR(GETPIVOTDATA("Somma di AVERE",'Pivot Fineco St'!$A$3,"Mese",12,"Tipologia",$A249),0)
- IFERROR(GETPIVOTDATA("Somma di AVERE",'Pivot Fineco Sa'!$A$3,"Mese",12,"Tipologia",$A249),0)
+ IFERROR(GETPIVOTDATA("Somma di DARE",'Pivot PP Visa'!$A$3,"Mese",12,"Tipologia",$A249),0)
- IFERROR(GETPIVOTDATA("Somma di AVERE",'Pivot PP Visa'!$A$3,"Mese",12,"Tipologia",$A249),0)
+ IFERROR(GETPIVOTDATA("Somma di DARE",'Pivot Revolut'!$A$3,"Mese",12,"Tipologia",$A249),0)
- IFERROR(GETPIVOTDATA("Somma di AVERE",'Pivot Revolut'!$A$3,"Mese",12,"Tipologia",$A249),0)</f>
        <v>0</v>
      </c>
      <c r="O249" s="252">
        <f t="shared" si="54"/>
        <v>548.95000000000005</v>
      </c>
      <c r="P249" s="243">
        <f t="shared" ca="1" si="55"/>
        <v>78.421428571428578</v>
      </c>
    </row>
    <row r="250" spans="1:16" s="125" customFormat="1" ht="21" customHeight="1" x14ac:dyDescent="0.2">
      <c r="A250" s="251" t="s">
        <v>40</v>
      </c>
      <c r="B250" s="251"/>
      <c r="C250" s="243">
        <f>IFERROR(GETPIVOTDATA("Somma di DARE EUR",'Pivot RakBank AED'!$A$3,"Mese",1,"Tipologia",$A250),0)
- IFERROR(GETPIVOTDATA("Somma di AVERE EUR",'Pivot RakBank AED'!$A$3,"Mese",1,"Tipologia",$A250),0)
+IFERROR(GETPIVOTDATA("Somma di DARE",'Pivot RakBank EUR'!$A$3,"Mese",1,"Tipologia",$A250),0)
- IFERROR(GETPIVOTDATA("Somma di AVERE",'Pivot RakBank EUR'!$A$3,"Mese",1,"Tipologia",$A250),0)
+IFERROR(GETPIVOTDATA("Somma di DARE",'Pivot Fineco Sa'!$A$3,"Mese",1,"Tipologia",$A250),0)
+ IFERROR(GETPIVOTDATA("Somma di DARE",'Pivot Fineco St'!$A$3,"Mese",1,"Tipologia",$A250),0)
+ Contanti!B112
+ IFERROR(GETPIVOTDATA("Somma di DARE",'Pivot BBVA'!$A$3,"Mese",1,"Tipologia",$A250),0)
+ IFERROR(GETPIVOTDATA("Somma di DARE",'Pivot Amex'!$A$3,"Mese",1,"Tipologia",$A250),0)
- IFERROR(GETPIVOTDATA("Somma di AVERE",'Pivot Amex'!$A$3,"Mese",1,"Tipologia",$A250),0)
- IFERROR(GETPIVOTDATA("Somma di AVERE",'Pivot BBVA'!$A$3,"Mese",1,"Tipologia",$A250),0)
- IFERROR(GETPIVOTDATA("Somma di AVERE",'Pivot Fineco St'!$A$3,"Mese",1,"Tipologia",$A250),0)
- IFERROR(GETPIVOTDATA("Somma di AVERE",'Pivot Fineco Sa'!$A$3,"Mese",1,"Tipologia",$A250),0)
+ IFERROR(GETPIVOTDATA("Somma di DARE",'Pivot PP Visa'!$A$3,"Mese",1,"Tipologia",$A250),0)
- IFERROR(GETPIVOTDATA("Somma di AVERE",'Pivot PP Visa'!$A$3,"Mese",1,"Tipologia",$A250),0)
+ IFERROR(GETPIVOTDATA("Somma di DARE",'Pivot Revolut'!$A$3,"Mese",1,"Tipologia",$A250),0)
- IFERROR(GETPIVOTDATA("Somma di AVERE",'Pivot Revolut'!$A$3,"Mese",1,"Tipologia",$A250),0)</f>
        <v>334.13</v>
      </c>
      <c r="D250" s="243">
        <f>IFERROR(GETPIVOTDATA("Somma di DARE EUR",'Pivot RakBank AED'!$A$3,"Mese",2,"Tipologia",$A250),0)
- IFERROR(GETPIVOTDATA("Somma di AVERE EUR",'Pivot RakBank AED'!$A$3,"Mese",2,"Tipologia",$A250),0)
+IFERROR(GETPIVOTDATA("Somma di DARE",'Pivot RakBank EUR'!$A$3,"Mese",2,"Tipologia",$A250),0)
- IFERROR(GETPIVOTDATA("Somma di AVERE",'Pivot RakBank EUR'!$A$3,"Mese",2,"Tipologia",$A250),0)
+IFERROR(GETPIVOTDATA("Somma di DARE",'Pivot Fineco Sa'!$A$3,"Mese",2,"Tipologia",$A250),0)
+ IFERROR(GETPIVOTDATA("Somma di DARE",'Pivot Fineco St'!$A$3,"Mese",2,"Tipologia",$A250),0)
+ Contanti!F112
+ IFERROR(GETPIVOTDATA("Somma di DARE",'Pivot BBVA'!$A$3,"Mese",2,"Tipologia",$A250),0)
+ IFERROR(GETPIVOTDATA("Somma di DARE",'Pivot Amex'!$A$3,"Mese",2,"Tipologia",$A250),0)
- IFERROR(GETPIVOTDATA("Somma di AVERE",'Pivot Amex'!$A$3,"Mese",2,"Tipologia",$A250),0)
- IFERROR(GETPIVOTDATA("Somma di AVERE",'Pivot BBVA'!$A$3,"Mese",2,"Tipologia",$A250),0)
- IFERROR(GETPIVOTDATA("Somma di AVERE",'Pivot Fineco St'!$A$3,"Mese",2,"Tipologia",$A250),0)
- IFERROR(GETPIVOTDATA("Somma di AVERE",'Pivot Fineco Sa'!$A$3,"Mese",2,"Tipologia",$A250),0)
+ IFERROR(GETPIVOTDATA("Somma di DARE",'Pivot PP Visa'!$A$3,"Mese",2,"Tipologia",$A250),0)
- IFERROR(GETPIVOTDATA("Somma di AVERE",'Pivot PP Visa'!$A$3,"Mese",2,"Tipologia",$A250),0)
+ IFERROR(GETPIVOTDATA("Somma di DARE",'Pivot Revolut'!$A$3,"Mese",2,"Tipologia",$A250),0)
- IFERROR(GETPIVOTDATA("Somma di AVERE",'Pivot Revolut'!$A$3,"Mese",2,"Tipologia",$A250),0)</f>
        <v>332.45</v>
      </c>
      <c r="E250" s="243">
        <f>IFERROR(GETPIVOTDATA("Somma di DARE EUR",'Pivot RakBank AED'!$A$3,"Mese",3,"Tipologia",$A250),0)
- IFERROR(GETPIVOTDATA("Somma di AVERE EUR",'Pivot RakBank AED'!$A$3,"Mese",3,"Tipologia",$A250),0)
+IFERROR(GETPIVOTDATA("Somma di DARE",'Pivot RakBank EUR'!$A$3,"Mese",3,"Tipologia",$A250),0)
- IFERROR(GETPIVOTDATA("Somma di AVERE",'Pivot RakBank EUR'!$A$3,"Mese",3,"Tipologia",$A250),0)
+IFERROR(GETPIVOTDATA("Somma di DARE",'Pivot Fineco Sa'!$A$3,"Mese",3,"Tipologia",$A250),0)
+ IFERROR(GETPIVOTDATA("Somma di DARE",'Pivot Fineco St'!$A$3,"Mese",3,"Tipologia",$A250),0)
+ Contanti!J112
+ IFERROR(GETPIVOTDATA("Somma di DARE",'Pivot BBVA'!$A$3,"Mese",3,"Tipologia",$A250),0)
+ IFERROR(GETPIVOTDATA("Somma di DARE",'Pivot Amex'!$A$3,"Mese",3,"Tipologia",$A250),0)
- IFERROR(GETPIVOTDATA("Somma di AVERE",'Pivot Amex'!$A$3,"Mese",3,"Tipologia",$A250),0)
- IFERROR(GETPIVOTDATA("Somma di AVERE",'Pivot BBVA'!$A$3,"Mese",3,"Tipologia",$A250),0)
- IFERROR(GETPIVOTDATA("Somma di AVERE",'Pivot Fineco St'!$A$3,"Mese",3,"Tipologia",$A250),0)
- IFERROR(GETPIVOTDATA("Somma di AVERE",'Pivot Fineco Sa'!$A$3,"Mese",3,"Tipologia",$A250),0)
+ IFERROR(GETPIVOTDATA("Somma di DARE",'Pivot PP Visa'!$A$3,"Mese",3,"Tipologia",$A250),0)
- IFERROR(GETPIVOTDATA("Somma di AVERE",'Pivot PP Visa'!$A$3,"Mese",3,"Tipologia",$A250),0)
+ IFERROR(GETPIVOTDATA("Somma di DARE",'Pivot Revolut'!$A$3,"Mese",3,"Tipologia",$A250),0)
- IFERROR(GETPIVOTDATA("Somma di AVERE",'Pivot Revolut'!$A$3,"Mese",3,"Tipologia",$A250),0)</f>
        <v>322.61</v>
      </c>
      <c r="F250" s="243">
        <f>IFERROR(GETPIVOTDATA("Somma di DARE EUR",'Pivot RakBank AED'!$A$3,"Mese",4,"Tipologia",$A250),0)
- IFERROR(GETPIVOTDATA("Somma di AVERE EUR",'Pivot RakBank AED'!$A$3,"Mese",4,"Tipologia",$A250),0)
+IFERROR(GETPIVOTDATA("Somma di DARE",'Pivot RakBank EUR'!$A$3,"Mese",4,"Tipologia",$A250),0)
- IFERROR(GETPIVOTDATA("Somma di AVERE",'Pivot RakBank EUR'!$A$3,"Mese",4,"Tipologia",$A250),0)
+IFERROR(GETPIVOTDATA("Somma di DARE",'Pivot Fineco Sa'!$A$3,"Mese",4,"Tipologia",$A250),0)
+ IFERROR(GETPIVOTDATA("Somma di DARE",'Pivot Fineco St'!$A$3,"Mese",4,"Tipologia",$A250),0)
+ Contanti!N112
+ IFERROR(GETPIVOTDATA("Somma di DARE",'Pivot BBVA'!$A$3,"Mese",4,"Tipologia",$A250),0)
+ IFERROR(GETPIVOTDATA("Somma di DARE",'Pivot Amex'!$A$3,"Mese",4,"Tipologia",$A250),0)
- IFERROR(GETPIVOTDATA("Somma di AVERE",'Pivot Amex'!$A$3,"Mese",4,"Tipologia",$A250),0)
- IFERROR(GETPIVOTDATA("Somma di AVERE",'Pivot BBVA'!$A$3,"Mese",4,"Tipologia",$A250),0)
- IFERROR(GETPIVOTDATA("Somma di AVERE",'Pivot Fineco St'!$A$3,"Mese",4,"Tipologia",$A250),0)
- IFERROR(GETPIVOTDATA("Somma di AVERE",'Pivot Fineco Sa'!$A$3,"Mese",4,"Tipologia",$A250),0)
+ IFERROR(GETPIVOTDATA("Somma di DARE",'Pivot PP Visa'!$A$3,"Mese",4,"Tipologia",$A250),0)
- IFERROR(GETPIVOTDATA("Somma di AVERE",'Pivot PP Visa'!$A$3,"Mese",4,"Tipologia",$A250),0)
+ IFERROR(GETPIVOTDATA("Somma di DARE",'Pivot Revolut'!$A$3,"Mese",4,"Tipologia",$A250),0)
- IFERROR(GETPIVOTDATA("Somma di AVERE",'Pivot Revolut'!$A$3,"Mese",4,"Tipologia",$A250),0)</f>
        <v>333.38</v>
      </c>
      <c r="G250" s="243">
        <f>IFERROR(GETPIVOTDATA("Somma di DARE EUR",'Pivot RakBank AED'!$A$3,"Mese",5,"Tipologia",$A250),0)
- IFERROR(GETPIVOTDATA("Somma di AVERE EUR",'Pivot RakBank AED'!$A$3,"Mese",5,"Tipologia",$A250),0)
+IFERROR(GETPIVOTDATA("Somma di DARE",'Pivot RakBank EUR'!$A$3,"Mese",5,"Tipologia",$A250),0)
- IFERROR(GETPIVOTDATA("Somma di AVERE",'Pivot RakBank EUR'!$A$3,"Mese",5,"Tipologia",$A250),0)
+IFERROR(GETPIVOTDATA("Somma di DARE",'Pivot Fineco Sa'!$A$3,"Mese",5,"Tipologia",$A250),0)
+ IFERROR(GETPIVOTDATA("Somma di DARE",'Pivot Fineco St'!$A$3,"Mese",5,"Tipologia",$A250),0)
+ Contanti!R112
+ IFERROR(GETPIVOTDATA("Somma di DARE",'Pivot BBVA'!$A$3,"Mese",5,"Tipologia",$A250),0)
+ IFERROR(GETPIVOTDATA("Somma di DARE",'Pivot Amex'!$A$3,"Mese",5,"Tipologia",$A250),0)
- IFERROR(GETPIVOTDATA("Somma di AVERE",'Pivot Amex'!$A$3,"Mese",5,"Tipologia",$A250),0)
- IFERROR(GETPIVOTDATA("Somma di AVERE",'Pivot BBVA'!$A$3,"Mese",5,"Tipologia",$A250),0)
- IFERROR(GETPIVOTDATA("Somma di AVERE",'Pivot Fineco St'!$A$3,"Mese",5,"Tipologia",$A250),0)
- IFERROR(GETPIVOTDATA("Somma di AVERE",'Pivot Fineco Sa'!$A$3,"Mese",5,"Tipologia",$A250),0)
+ IFERROR(GETPIVOTDATA("Somma di DARE",'Pivot PP Visa'!$A$3,"Mese",5,"Tipologia",$A250),0)
- IFERROR(GETPIVOTDATA("Somma di AVERE",'Pivot PP Visa'!$A$3,"Mese",5,"Tipologia",$A250),0)
+ IFERROR(GETPIVOTDATA("Somma di DARE",'Pivot Revolut'!$A$3,"Mese",5,"Tipologia",$A250),0)
- IFERROR(GETPIVOTDATA("Somma di AVERE",'Pivot Revolut'!$A$3,"Mese",5,"Tipologia",$A250),0)</f>
        <v>326.55</v>
      </c>
      <c r="H250" s="243">
        <f>IFERROR(GETPIVOTDATA("Somma di DARE EUR",'Pivot RakBank AED'!$A$3,"Mese",6,"Tipologia",$A250),0)
- IFERROR(GETPIVOTDATA("Somma di AVERE EUR",'Pivot RakBank AED'!$A$3,"Mese",6,"Tipologia",$A250),0)
+IFERROR(GETPIVOTDATA("Somma di DARE",'Pivot RakBank EUR'!$A$3,"Mese",6,"Tipologia",$A250),0)
- IFERROR(GETPIVOTDATA("Somma di AVERE",'Pivot RakBank EUR'!$A$3,"Mese",6,"Tipologia",$A250),0)
+IFERROR(GETPIVOTDATA("Somma di DARE",'Pivot Fineco Sa'!$A$3,"Mese",6,"Tipologia",$A250),0)
+ IFERROR(GETPIVOTDATA("Somma di DARE",'Pivot Fineco St'!$A$3,"Mese",6,"Tipologia",$A250),0)
+ Contanti!V112
+ IFERROR(GETPIVOTDATA("Somma di DARE",'Pivot BBVA'!$A$3,"Mese",6,"Tipologia",$A250),0)
+ IFERROR(GETPIVOTDATA("Somma di DARE",'Pivot Amex'!$A$3,"Mese",6,"Tipologia",$A250),0)
- IFERROR(GETPIVOTDATA("Somma di AVERE",'Pivot Amex'!$A$3,"Mese",6,"Tipologia",$A250),0)
- IFERROR(GETPIVOTDATA("Somma di AVERE",'Pivot BBVA'!$A$3,"Mese",6,"Tipologia",$A250),0)
- IFERROR(GETPIVOTDATA("Somma di AVERE",'Pivot Fineco St'!$A$3,"Mese",6,"Tipologia",$A250),0)
- IFERROR(GETPIVOTDATA("Somma di AVERE",'Pivot Fineco Sa'!$A$3,"Mese",6,"Tipologia",$A250),0)
+ IFERROR(GETPIVOTDATA("Somma di DARE",'Pivot PP Visa'!$A$3,"Mese",6,"Tipologia",$A250),0)
- IFERROR(GETPIVOTDATA("Somma di AVERE",'Pivot PP Visa'!$A$3,"Mese",6,"Tipologia",$A250),0)
+ IFERROR(GETPIVOTDATA("Somma di DARE",'Pivot Revolut'!$A$3,"Mese",6,"Tipologia",$A250),0)
- IFERROR(GETPIVOTDATA("Somma di AVERE",'Pivot Revolut'!$A$3,"Mese",6,"Tipologia",$A250),0)</f>
        <v>333.29</v>
      </c>
      <c r="I250" s="243">
        <f>IFERROR(GETPIVOTDATA("Somma di DARE EUR",'Pivot RakBank AED'!$A$3,"Mese",7,"Tipologia",$A250),0)
- IFERROR(GETPIVOTDATA("Somma di AVERE EUR",'Pivot RakBank AED'!$A$3,"Mese",7,"Tipologia",$A250),0)
+IFERROR(GETPIVOTDATA("Somma di DARE",'Pivot RakBank EUR'!$A$3,"Mese",7,"Tipologia",$A250),0)
- IFERROR(GETPIVOTDATA("Somma di AVERE",'Pivot RakBank EUR'!$A$3,"Mese",7,"Tipologia",$A250),0)
+IFERROR(GETPIVOTDATA("Somma di DARE",'Pivot Fineco Sa'!$A$3,"Mese",7,"Tipologia",$A250),0)
+ IFERROR(GETPIVOTDATA("Somma di DARE",'Pivot Fineco St'!$A$3,"Mese",7,"Tipologia",$A250),0)
+ Contanti!Z112
+ IFERROR(GETPIVOTDATA("Somma di DARE",'Pivot BBVA'!$A$3,"Mese",7,"Tipologia",$A250),0)
+ IFERROR(GETPIVOTDATA("Somma di DARE",'Pivot Amex'!$A$3,"Mese",7,"Tipologia",$A250),0)
- IFERROR(GETPIVOTDATA("Somma di AVERE",'Pivot Amex'!$A$3,"Mese",7,"Tipologia",$A250),0)
- IFERROR(GETPIVOTDATA("Somma di AVERE",'Pivot BBVA'!$A$3,"Mese",7,"Tipologia",$A250),0)
- IFERROR(GETPIVOTDATA("Somma di AVERE",'Pivot Fineco St'!$A$3,"Mese",7,"Tipologia",$A250),0)
- IFERROR(GETPIVOTDATA("Somma di AVERE",'Pivot Fineco Sa'!$A$3,"Mese",7,"Tipologia",$A250),0)
+ IFERROR(GETPIVOTDATA("Somma di DARE",'Pivot PP Visa'!$A$3,"Mese",7,"Tipologia",$A250),0)
- IFERROR(GETPIVOTDATA("Somma di AVERE",'Pivot PP Visa'!$A$3,"Mese",7,"Tipologia",$A250),0)
+ IFERROR(GETPIVOTDATA("Somma di DARE",'Pivot Revolut'!$A$3,"Mese",7,"Tipologia",$A250),0)
- IFERROR(GETPIVOTDATA("Somma di AVERE",'Pivot Revolut'!$A$3,"Mese",7,"Tipologia",$A250),0)</f>
        <v>328.19</v>
      </c>
      <c r="J250" s="243">
        <f>IFERROR(GETPIVOTDATA("Somma di DARE EUR",'Pivot RakBank AED'!$A$3,"Mese",8,"Tipologia",$A250),0)
- IFERROR(GETPIVOTDATA("Somma di AVERE EUR",'Pivot RakBank AED'!$A$3,"Mese",8,"Tipologia",$A250),0)
+IFERROR(GETPIVOTDATA("Somma di DARE",'Pivot RakBank EUR'!$A$3,"Mese",8,"Tipologia",$A250),0)
- IFERROR(GETPIVOTDATA("Somma di AVERE",'Pivot RakBank EUR'!$A$3,"Mese",8,"Tipologia",$A250),0)
+IFERROR(GETPIVOTDATA("Somma di DARE",'Pivot Fineco Sa'!$A$3,"Mese",8,"Tipologia",$A250),0)
+ IFERROR(GETPIVOTDATA("Somma di DARE",'Pivot Fineco St'!$A$3,"Mese",8,"Tipologia",$A250),0)
+ Contanti!AD112
+ IFERROR(GETPIVOTDATA("Somma di DARE",'Pivot BBVA'!$A$3,"Mese",8,"Tipologia",$A250),0)
+ IFERROR(GETPIVOTDATA("Somma di DARE",'Pivot Amex'!$A$3,"Mese",8,"Tipologia",$A250),0)
- IFERROR(GETPIVOTDATA("Somma di AVERE",'Pivot Amex'!$A$3,"Mese",8,"Tipologia",$A250),0)
- IFERROR(GETPIVOTDATA("Somma di AVERE",'Pivot BBVA'!$A$3,"Mese",8,"Tipologia",$A250),0)
- IFERROR(GETPIVOTDATA("Somma di AVERE",'Pivot Fineco St'!$A$3,"Mese",8,"Tipologia",$A250),0)
- IFERROR(GETPIVOTDATA("Somma di AVERE",'Pivot Fineco Sa'!$A$3,"Mese",8,"Tipologia",$A250),0)
+ IFERROR(GETPIVOTDATA("Somma di DARE",'Pivot PP Visa'!$A$3,"Mese",8,"Tipologia",$A250),0)
- IFERROR(GETPIVOTDATA("Somma di AVERE",'Pivot PP Visa'!$A$3,"Mese",8,"Tipologia",$A250),0)
+ IFERROR(GETPIVOTDATA("Somma di DARE",'Pivot Revolut'!$A$3,"Mese",8,"Tipologia",$A250),0)
- IFERROR(GETPIVOTDATA("Somma di AVERE",'Pivot Revolut'!$A$3,"Mese",8,"Tipologia",$A250),0)</f>
        <v>0</v>
      </c>
      <c r="K250" s="243">
        <f>IFERROR(GETPIVOTDATA("Somma di DARE EUR",'Pivot RakBank AED'!$A$3,"Mese",9,"Tipologia",$A250),0)
- IFERROR(GETPIVOTDATA("Somma di AVERE EUR",'Pivot RakBank AED'!$A$3,"Mese",9,"Tipologia",$A250),0)
+IFERROR(GETPIVOTDATA("Somma di DARE",'Pivot RakBank EUR'!$A$3,"Mese",9,"Tipologia",$A250),0)
- IFERROR(GETPIVOTDATA("Somma di AVERE",'Pivot RakBank EUR'!$A$3,"Mese",9,"Tipologia",$A250),0)
+IFERROR(GETPIVOTDATA("Somma di DARE",'Pivot Fineco Sa'!$A$3,"Mese",9,"Tipologia",$A250),0)
+ IFERROR(GETPIVOTDATA("Somma di DARE",'Pivot Fineco St'!$A$3,"Mese",9,"Tipologia",$A250),0)
+ Contanti!AH112
+ IFERROR(GETPIVOTDATA("Somma di DARE",'Pivot BBVA'!$A$3,"Mese",9,"Tipologia",$A250),0)
+ IFERROR(GETPIVOTDATA("Somma di DARE",'Pivot Amex'!$A$3,"Mese",9,"Tipologia",$A250),0)
- IFERROR(GETPIVOTDATA("Somma di AVERE",'Pivot Amex'!$A$3,"Mese",9,"Tipologia",$A250),0)
- IFERROR(GETPIVOTDATA("Somma di AVERE",'Pivot BBVA'!$A$3,"Mese",9,"Tipologia",$A250),0)
- IFERROR(GETPIVOTDATA("Somma di AVERE",'Pivot Fineco St'!$A$3,"Mese",9,"Tipologia",$A250),0)
- IFERROR(GETPIVOTDATA("Somma di AVERE",'Pivot Fineco Sa'!$A$3,"Mese",9,"Tipologia",$A250),0)
+ IFERROR(GETPIVOTDATA("Somma di DARE",'Pivot PP Visa'!$A$3,"Mese",9,"Tipologia",$A250),0)
- IFERROR(GETPIVOTDATA("Somma di AVERE",'Pivot PP Visa'!$A$3,"Mese",9,"Tipologia",$A250),0)
+ IFERROR(GETPIVOTDATA("Somma di DARE",'Pivot Revolut'!$A$3,"Mese",9,"Tipologia",$A250),0)
- IFERROR(GETPIVOTDATA("Somma di AVERE",'Pivot Revolut'!$A$3,"Mese",9,"Tipologia",$A250),0)</f>
        <v>0</v>
      </c>
      <c r="L250" s="243">
        <f>IFERROR(GETPIVOTDATA("Somma di DARE EUR",'Pivot RakBank AED'!$A$3,"Mese",10,"Tipologia",$A250),0)
- IFERROR(GETPIVOTDATA("Somma di AVERE EUR",'Pivot RakBank AED'!$A$3,"Mese",10,"Tipologia",$A250),0)
+IFERROR(GETPIVOTDATA("Somma di DARE",'Pivot RakBank EUR'!$A$3,"Mese",10,"Tipologia",$A250),0)
- IFERROR(GETPIVOTDATA("Somma di AVERE",'Pivot RakBank EUR'!$A$3,"Mese",10,"Tipologia",$A250),0)
+IFERROR(GETPIVOTDATA("Somma di DARE",'Pivot Fineco Sa'!$A$3,"Mese",10,"Tipologia",$A250),0)
+ IFERROR(GETPIVOTDATA("Somma di DARE",'Pivot Fineco St'!$A$3,"Mese",10,"Tipologia",$A250),0)
+ Contanti!AL112
+ IFERROR(GETPIVOTDATA("Somma di DARE",'Pivot BBVA'!$A$3,"Mese",10,"Tipologia",$A250),0)
+ IFERROR(GETPIVOTDATA("Somma di DARE",'Pivot Amex'!$A$3,"Mese",10,"Tipologia",$A250),0)
- IFERROR(GETPIVOTDATA("Somma di AVERE",'Pivot Amex'!$A$3,"Mese",10,"Tipologia",$A250),0)
- IFERROR(GETPIVOTDATA("Somma di AVERE",'Pivot BBVA'!$A$3,"Mese",10,"Tipologia",$A250),0)
- IFERROR(GETPIVOTDATA("Somma di AVERE",'Pivot Fineco St'!$A$3,"Mese",10,"Tipologia",$A250),0)
- IFERROR(GETPIVOTDATA("Somma di AVERE",'Pivot Fineco Sa'!$A$3,"Mese",10,"Tipologia",$A250),0)
+ IFERROR(GETPIVOTDATA("Somma di DARE",'Pivot PP Visa'!$A$3,"Mese",10,"Tipologia",$A250),0)
- IFERROR(GETPIVOTDATA("Somma di AVERE",'Pivot PP Visa'!$A$3,"Mese",10,"Tipologia",$A250),0)
+ IFERROR(GETPIVOTDATA("Somma di DARE",'Pivot Revolut'!$A$3,"Mese",10,"Tipologia",$A250),0)
- IFERROR(GETPIVOTDATA("Somma di AVERE",'Pivot Revolut'!$A$3,"Mese",10,"Tipologia",$A250),0)</f>
        <v>0</v>
      </c>
      <c r="M250" s="243">
        <f>IFERROR(GETPIVOTDATA("Somma di DARE EUR",'Pivot RakBank AED'!$A$3,"Mese",11,"Tipologia",$A250),0)
- IFERROR(GETPIVOTDATA("Somma di AVERE EUR",'Pivot RakBank AED'!$A$3,"Mese",11,"Tipologia",$A250),0)
+IFERROR(GETPIVOTDATA("Somma di DARE",'Pivot RakBank EUR'!$A$3,"Mese",11,"Tipologia",$A250),0)
- IFERROR(GETPIVOTDATA("Somma di AVERE",'Pivot RakBank EUR'!$A$3,"Mese",11,"Tipologia",$A250),0)
+IFERROR(GETPIVOTDATA("Somma di DARE",'Pivot Fineco Sa'!$A$3,"Mese",11,"Tipologia",$A250),0)
+ IFERROR(GETPIVOTDATA("Somma di DARE",'Pivot Fineco St'!$A$3,"Mese",11,"Tipologia",$A250),0)
+ Contanti!AP112
+ IFERROR(GETPIVOTDATA("Somma di DARE",'Pivot BBVA'!$A$3,"Mese",11,"Tipologia",$A250),0)
+ IFERROR(GETPIVOTDATA("Somma di DARE",'Pivot Amex'!$A$3,"Mese",11,"Tipologia",$A250),0)
- IFERROR(GETPIVOTDATA("Somma di AVERE",'Pivot Amex'!$A$3,"Mese",11,"Tipologia",$A250),0)
- IFERROR(GETPIVOTDATA("Somma di AVERE",'Pivot BBVA'!$A$3,"Mese",11,"Tipologia",$A250),0)
- IFERROR(GETPIVOTDATA("Somma di AVERE",'Pivot Fineco St'!$A$3,"Mese",11,"Tipologia",$A250),0)
- IFERROR(GETPIVOTDATA("Somma di AVERE",'Pivot Fineco Sa'!$A$3,"Mese",11,"Tipologia",$A250),0)
+ IFERROR(GETPIVOTDATA("Somma di DARE",'Pivot PP Visa'!$A$3,"Mese",11,"Tipologia",$A250),0)
- IFERROR(GETPIVOTDATA("Somma di AVERE",'Pivot PP Visa'!$A$3,"Mese",11,"Tipologia",$A250),0)
+ IFERROR(GETPIVOTDATA("Somma di DARE",'Pivot Revolut'!$A$3,"Mese",11,"Tipologia",$A250),0)
- IFERROR(GETPIVOTDATA("Somma di AVERE",'Pivot Revolut'!$A$3,"Mese",11,"Tipologia",$A250),0)</f>
        <v>0</v>
      </c>
      <c r="N250" s="243">
        <f>IFERROR(GETPIVOTDATA("Somma di DARE EUR",'Pivot RakBank AED'!$A$3,"Mese",12,"Tipologia",$A250),0)
- IFERROR(GETPIVOTDATA("Somma di AVERE EUR",'Pivot RakBank AED'!$A$3,"Mese",12,"Tipologia",$A250),0)
+IFERROR(GETPIVOTDATA("Somma di DARE",'Pivot RakBank EUR'!$A$3,"Mese",12,"Tipologia",$A250),0)
- IFERROR(GETPIVOTDATA("Somma di AVERE",'Pivot RakBank EUR'!$A$3,"Mese",12,"Tipologia",$A250),0)
+IFERROR(GETPIVOTDATA("Somma di DARE",'Pivot Fineco Sa'!$A$3,"Mese",12,"Tipologia",$A250),0)
+ IFERROR(GETPIVOTDATA("Somma di DARE",'Pivot Fineco St'!$A$3,"Mese",12,"Tipologia",$A250),0)
+ Contanti!AT112
+ IFERROR(GETPIVOTDATA("Somma di DARE",'Pivot BBVA'!$A$3,"Mese",12,"Tipologia",$A250),0)
+ IFERROR(GETPIVOTDATA("Somma di DARE",'Pivot Amex'!$A$3,"Mese",12,"Tipologia",$A250),0)
- IFERROR(GETPIVOTDATA("Somma di AVERE",'Pivot Amex'!$A$3,"Mese",12,"Tipologia",$A250),0)
- IFERROR(GETPIVOTDATA("Somma di AVERE",'Pivot BBVA'!$A$3,"Mese",12,"Tipologia",$A250),0)
- IFERROR(GETPIVOTDATA("Somma di AVERE",'Pivot Fineco St'!$A$3,"Mese",12,"Tipologia",$A250),0)
- IFERROR(GETPIVOTDATA("Somma di AVERE",'Pivot Fineco Sa'!$A$3,"Mese",12,"Tipologia",$A250),0)
+ IFERROR(GETPIVOTDATA("Somma di DARE",'Pivot PP Visa'!$A$3,"Mese",12,"Tipologia",$A250),0)
- IFERROR(GETPIVOTDATA("Somma di AVERE",'Pivot PP Visa'!$A$3,"Mese",12,"Tipologia",$A250),0)
+ IFERROR(GETPIVOTDATA("Somma di DARE",'Pivot Revolut'!$A$3,"Mese",12,"Tipologia",$A250),0)
- IFERROR(GETPIVOTDATA("Somma di AVERE",'Pivot Revolut'!$A$3,"Mese",12,"Tipologia",$A250),0)</f>
        <v>0</v>
      </c>
      <c r="O250" s="252">
        <f t="shared" si="54"/>
        <v>2310.6</v>
      </c>
      <c r="P250" s="243">
        <f t="shared" ca="1" si="55"/>
        <v>330.08571428571429</v>
      </c>
    </row>
    <row r="251" spans="1:16" s="125" customFormat="1" ht="21" customHeight="1" x14ac:dyDescent="0.2">
      <c r="A251" s="251" t="s">
        <v>398</v>
      </c>
      <c r="B251" s="251"/>
      <c r="C251" s="243">
        <f>IFERROR(GETPIVOTDATA("Somma di DARE EUR",'Pivot RakBank AED'!$A$3,"Mese",1,"Tipologia",$A251),0)
- IFERROR(GETPIVOTDATA("Somma di AVERE EUR",'Pivot RakBank AED'!$A$3,"Mese",1,"Tipologia",$A251),0)
+IFERROR(GETPIVOTDATA("Somma di DARE",'Pivot RakBank EUR'!$A$3,"Mese",1,"Tipologia",$A251),0)
- IFERROR(GETPIVOTDATA("Somma di AVERE",'Pivot RakBank EUR'!$A$3,"Mese",1,"Tipologia",$A251),0)
+IFERROR(GETPIVOTDATA("Somma di DARE",'Pivot Fineco Sa'!$A$3,"Mese",1,"Tipologia",$A251),0)
+ IFERROR(GETPIVOTDATA("Somma di DARE",'Pivot Fineco St'!$A$3,"Mese",1,"Tipologia",$A251),0)
+ Contanti!B113
+ IFERROR(GETPIVOTDATA("Somma di DARE",'Pivot BBVA'!$A$3,"Mese",1,"Tipologia",$A251),0)
+ IFERROR(GETPIVOTDATA("Somma di DARE",'Pivot Amex'!$A$3,"Mese",1,"Tipologia",$A251),0)
- IFERROR(GETPIVOTDATA("Somma di AVERE",'Pivot Amex'!$A$3,"Mese",1,"Tipologia",$A251),0)
- IFERROR(GETPIVOTDATA("Somma di AVERE",'Pivot BBVA'!$A$3,"Mese",1,"Tipologia",$A251),0)
- IFERROR(GETPIVOTDATA("Somma di AVERE",'Pivot Fineco St'!$A$3,"Mese",1,"Tipologia",$A251),0)
- IFERROR(GETPIVOTDATA("Somma di AVERE",'Pivot Fineco Sa'!$A$3,"Mese",1,"Tipologia",$A251),0)
+ IFERROR(GETPIVOTDATA("Somma di DARE",'Pivot PP Visa'!$A$3,"Mese",1,"Tipologia",$A251),0)
- IFERROR(GETPIVOTDATA("Somma di AVERE",'Pivot PP Visa'!$A$3,"Mese",1,"Tipologia",$A251),0)
+ IFERROR(GETPIVOTDATA("Somma di DARE",'Pivot Revolut'!$A$3,"Mese",1,"Tipologia",$A251),0)
- IFERROR(GETPIVOTDATA("Somma di AVERE",'Pivot Revolut'!$A$3,"Mese",1,"Tipologia",$A251),0)</f>
        <v>0</v>
      </c>
      <c r="D251" s="243">
        <f>IFERROR(GETPIVOTDATA("Somma di DARE EUR",'Pivot RakBank AED'!$A$3,"Mese",2,"Tipologia",$A251),0)
- IFERROR(GETPIVOTDATA("Somma di AVERE EUR",'Pivot RakBank AED'!$A$3,"Mese",2,"Tipologia",$A251),0)
+IFERROR(GETPIVOTDATA("Somma di DARE",'Pivot RakBank EUR'!$A$3,"Mese",2,"Tipologia",$A251),0)
- IFERROR(GETPIVOTDATA("Somma di AVERE",'Pivot RakBank EUR'!$A$3,"Mese",2,"Tipologia",$A251),0)
+IFERROR(GETPIVOTDATA("Somma di DARE",'Pivot Fineco Sa'!$A$3,"Mese",2,"Tipologia",$A251),0)
+ IFERROR(GETPIVOTDATA("Somma di DARE",'Pivot Fineco St'!$A$3,"Mese",2,"Tipologia",$A251),0)
+ Contanti!F113
+ IFERROR(GETPIVOTDATA("Somma di DARE",'Pivot BBVA'!$A$3,"Mese",2,"Tipologia",$A251),0)
+ IFERROR(GETPIVOTDATA("Somma di DARE",'Pivot Amex'!$A$3,"Mese",2,"Tipologia",$A251),0)
- IFERROR(GETPIVOTDATA("Somma di AVERE",'Pivot Amex'!$A$3,"Mese",2,"Tipologia",$A251),0)
- IFERROR(GETPIVOTDATA("Somma di AVERE",'Pivot BBVA'!$A$3,"Mese",2,"Tipologia",$A251),0)
- IFERROR(GETPIVOTDATA("Somma di AVERE",'Pivot Fineco St'!$A$3,"Mese",2,"Tipologia",$A251),0)
- IFERROR(GETPIVOTDATA("Somma di AVERE",'Pivot Fineco Sa'!$A$3,"Mese",2,"Tipologia",$A251),0)
+ IFERROR(GETPIVOTDATA("Somma di DARE",'Pivot PP Visa'!$A$3,"Mese",2,"Tipologia",$A251),0)
- IFERROR(GETPIVOTDATA("Somma di AVERE",'Pivot PP Visa'!$A$3,"Mese",2,"Tipologia",$A251),0)
+ IFERROR(GETPIVOTDATA("Somma di DARE",'Pivot Revolut'!$A$3,"Mese",2,"Tipologia",$A251),0)
- IFERROR(GETPIVOTDATA("Somma di AVERE",'Pivot Revolut'!$A$3,"Mese",2,"Tipologia",$A251),0)</f>
        <v>201.01</v>
      </c>
      <c r="E251" s="243">
        <f>IFERROR(GETPIVOTDATA("Somma di DARE EUR",'Pivot RakBank AED'!$A$3,"Mese",3,"Tipologia",$A251),0)
- IFERROR(GETPIVOTDATA("Somma di AVERE EUR",'Pivot RakBank AED'!$A$3,"Mese",3,"Tipologia",$A251),0)
+IFERROR(GETPIVOTDATA("Somma di DARE",'Pivot RakBank EUR'!$A$3,"Mese",3,"Tipologia",$A251),0)
- IFERROR(GETPIVOTDATA("Somma di AVERE",'Pivot RakBank EUR'!$A$3,"Mese",3,"Tipologia",$A251),0)
+IFERROR(GETPIVOTDATA("Somma di DARE",'Pivot Fineco Sa'!$A$3,"Mese",3,"Tipologia",$A251),0)
+ IFERROR(GETPIVOTDATA("Somma di DARE",'Pivot Fineco St'!$A$3,"Mese",3,"Tipologia",$A251),0)
+ Contanti!J113
+ IFERROR(GETPIVOTDATA("Somma di DARE",'Pivot BBVA'!$A$3,"Mese",3,"Tipologia",$A251),0)
+ IFERROR(GETPIVOTDATA("Somma di DARE",'Pivot Amex'!$A$3,"Mese",3,"Tipologia",$A251),0)
- IFERROR(GETPIVOTDATA("Somma di AVERE",'Pivot Amex'!$A$3,"Mese",3,"Tipologia",$A251),0)
- IFERROR(GETPIVOTDATA("Somma di AVERE",'Pivot BBVA'!$A$3,"Mese",3,"Tipologia",$A251),0)
- IFERROR(GETPIVOTDATA("Somma di AVERE",'Pivot Fineco St'!$A$3,"Mese",3,"Tipologia",$A251),0)
- IFERROR(GETPIVOTDATA("Somma di AVERE",'Pivot Fineco Sa'!$A$3,"Mese",3,"Tipologia",$A251),0)
+ IFERROR(GETPIVOTDATA("Somma di DARE",'Pivot PP Visa'!$A$3,"Mese",3,"Tipologia",$A251),0)
- IFERROR(GETPIVOTDATA("Somma di AVERE",'Pivot PP Visa'!$A$3,"Mese",3,"Tipologia",$A251),0)
+ IFERROR(GETPIVOTDATA("Somma di DARE",'Pivot Revolut'!$A$3,"Mese",3,"Tipologia",$A251),0)
- IFERROR(GETPIVOTDATA("Somma di AVERE",'Pivot Revolut'!$A$3,"Mese",3,"Tipologia",$A251),0)</f>
        <v>0</v>
      </c>
      <c r="F251" s="243">
        <f>IFERROR(GETPIVOTDATA("Somma di DARE EUR",'Pivot RakBank AED'!$A$3,"Mese",4,"Tipologia",$A251),0)
- IFERROR(GETPIVOTDATA("Somma di AVERE EUR",'Pivot RakBank AED'!$A$3,"Mese",4,"Tipologia",$A251),0)
+IFERROR(GETPIVOTDATA("Somma di DARE",'Pivot RakBank EUR'!$A$3,"Mese",4,"Tipologia",$A251),0)
- IFERROR(GETPIVOTDATA("Somma di AVERE",'Pivot RakBank EUR'!$A$3,"Mese",4,"Tipologia",$A251),0)
+IFERROR(GETPIVOTDATA("Somma di DARE",'Pivot Fineco Sa'!$A$3,"Mese",4,"Tipologia",$A251),0)
+ IFERROR(GETPIVOTDATA("Somma di DARE",'Pivot Fineco St'!$A$3,"Mese",4,"Tipologia",$A251),0)
+ Contanti!N113
+ IFERROR(GETPIVOTDATA("Somma di DARE",'Pivot BBVA'!$A$3,"Mese",4,"Tipologia",$A251),0)
+ IFERROR(GETPIVOTDATA("Somma di DARE",'Pivot Amex'!$A$3,"Mese",4,"Tipologia",$A251),0)
- IFERROR(GETPIVOTDATA("Somma di AVERE",'Pivot Amex'!$A$3,"Mese",4,"Tipologia",$A251),0)
- IFERROR(GETPIVOTDATA("Somma di AVERE",'Pivot BBVA'!$A$3,"Mese",4,"Tipologia",$A251),0)
- IFERROR(GETPIVOTDATA("Somma di AVERE",'Pivot Fineco St'!$A$3,"Mese",4,"Tipologia",$A251),0)
- IFERROR(GETPIVOTDATA("Somma di AVERE",'Pivot Fineco Sa'!$A$3,"Mese",4,"Tipologia",$A251),0)
+ IFERROR(GETPIVOTDATA("Somma di DARE",'Pivot PP Visa'!$A$3,"Mese",4,"Tipologia",$A251),0)
- IFERROR(GETPIVOTDATA("Somma di AVERE",'Pivot PP Visa'!$A$3,"Mese",4,"Tipologia",$A251),0)
+ IFERROR(GETPIVOTDATA("Somma di DARE",'Pivot Revolut'!$A$3,"Mese",4,"Tipologia",$A251),0)
- IFERROR(GETPIVOTDATA("Somma di AVERE",'Pivot Revolut'!$A$3,"Mese",4,"Tipologia",$A251),0)</f>
        <v>12.19</v>
      </c>
      <c r="G251" s="243">
        <f>IFERROR(GETPIVOTDATA("Somma di DARE EUR",'Pivot RakBank AED'!$A$3,"Mese",5,"Tipologia",$A251),0)
- IFERROR(GETPIVOTDATA("Somma di AVERE EUR",'Pivot RakBank AED'!$A$3,"Mese",5,"Tipologia",$A251),0)
+IFERROR(GETPIVOTDATA("Somma di DARE",'Pivot RakBank EUR'!$A$3,"Mese",5,"Tipologia",$A251),0)
- IFERROR(GETPIVOTDATA("Somma di AVERE",'Pivot RakBank EUR'!$A$3,"Mese",5,"Tipologia",$A251),0)
+IFERROR(GETPIVOTDATA("Somma di DARE",'Pivot Fineco Sa'!$A$3,"Mese",5,"Tipologia",$A251),0)
+ IFERROR(GETPIVOTDATA("Somma di DARE",'Pivot Fineco St'!$A$3,"Mese",5,"Tipologia",$A251),0)
+ Contanti!R113
+ IFERROR(GETPIVOTDATA("Somma di DARE",'Pivot BBVA'!$A$3,"Mese",5,"Tipologia",$A251),0)
+ IFERROR(GETPIVOTDATA("Somma di DARE",'Pivot Amex'!$A$3,"Mese",5,"Tipologia",$A251),0)
- IFERROR(GETPIVOTDATA("Somma di AVERE",'Pivot Amex'!$A$3,"Mese",5,"Tipologia",$A251),0)
- IFERROR(GETPIVOTDATA("Somma di AVERE",'Pivot BBVA'!$A$3,"Mese",5,"Tipologia",$A251),0)
- IFERROR(GETPIVOTDATA("Somma di AVERE",'Pivot Fineco St'!$A$3,"Mese",5,"Tipologia",$A251),0)
- IFERROR(GETPIVOTDATA("Somma di AVERE",'Pivot Fineco Sa'!$A$3,"Mese",5,"Tipologia",$A251),0)
+ IFERROR(GETPIVOTDATA("Somma di DARE",'Pivot PP Visa'!$A$3,"Mese",5,"Tipologia",$A251),0)
- IFERROR(GETPIVOTDATA("Somma di AVERE",'Pivot PP Visa'!$A$3,"Mese",5,"Tipologia",$A251),0)
+ IFERROR(GETPIVOTDATA("Somma di DARE",'Pivot Revolut'!$A$3,"Mese",5,"Tipologia",$A251),0)
- IFERROR(GETPIVOTDATA("Somma di AVERE",'Pivot Revolut'!$A$3,"Mese",5,"Tipologia",$A251),0)</f>
        <v>0</v>
      </c>
      <c r="H251" s="243">
        <f>IFERROR(GETPIVOTDATA("Somma di DARE EUR",'Pivot RakBank AED'!$A$3,"Mese",6,"Tipologia",$A251),0)
- IFERROR(GETPIVOTDATA("Somma di AVERE EUR",'Pivot RakBank AED'!$A$3,"Mese",6,"Tipologia",$A251),0)
+IFERROR(GETPIVOTDATA("Somma di DARE",'Pivot RakBank EUR'!$A$3,"Mese",6,"Tipologia",$A251),0)
- IFERROR(GETPIVOTDATA("Somma di AVERE",'Pivot RakBank EUR'!$A$3,"Mese",6,"Tipologia",$A251),0)
+IFERROR(GETPIVOTDATA("Somma di DARE",'Pivot Fineco Sa'!$A$3,"Mese",6,"Tipologia",$A251),0)
+ IFERROR(GETPIVOTDATA("Somma di DARE",'Pivot Fineco St'!$A$3,"Mese",6,"Tipologia",$A251),0)
+ Contanti!V113
+ IFERROR(GETPIVOTDATA("Somma di DARE",'Pivot BBVA'!$A$3,"Mese",6,"Tipologia",$A251),0)
+ IFERROR(GETPIVOTDATA("Somma di DARE",'Pivot Amex'!$A$3,"Mese",6,"Tipologia",$A251),0)
- IFERROR(GETPIVOTDATA("Somma di AVERE",'Pivot Amex'!$A$3,"Mese",6,"Tipologia",$A251),0)
- IFERROR(GETPIVOTDATA("Somma di AVERE",'Pivot BBVA'!$A$3,"Mese",6,"Tipologia",$A251),0)
- IFERROR(GETPIVOTDATA("Somma di AVERE",'Pivot Fineco St'!$A$3,"Mese",6,"Tipologia",$A251),0)
- IFERROR(GETPIVOTDATA("Somma di AVERE",'Pivot Fineco Sa'!$A$3,"Mese",6,"Tipologia",$A251),0)
+ IFERROR(GETPIVOTDATA("Somma di DARE",'Pivot PP Visa'!$A$3,"Mese",6,"Tipologia",$A251),0)
- IFERROR(GETPIVOTDATA("Somma di AVERE",'Pivot PP Visa'!$A$3,"Mese",6,"Tipologia",$A251),0)
+ IFERROR(GETPIVOTDATA("Somma di DARE",'Pivot Revolut'!$A$3,"Mese",6,"Tipologia",$A251),0)
- IFERROR(GETPIVOTDATA("Somma di AVERE",'Pivot Revolut'!$A$3,"Mese",6,"Tipologia",$A251),0)</f>
        <v>0</v>
      </c>
      <c r="I251" s="243">
        <f>IFERROR(GETPIVOTDATA("Somma di DARE EUR",'Pivot RakBank AED'!$A$3,"Mese",7,"Tipologia",$A251),0)
- IFERROR(GETPIVOTDATA("Somma di AVERE EUR",'Pivot RakBank AED'!$A$3,"Mese",7,"Tipologia",$A251),0)
+IFERROR(GETPIVOTDATA("Somma di DARE",'Pivot RakBank EUR'!$A$3,"Mese",7,"Tipologia",$A251),0)
- IFERROR(GETPIVOTDATA("Somma di AVERE",'Pivot RakBank EUR'!$A$3,"Mese",7,"Tipologia",$A251),0)
+IFERROR(GETPIVOTDATA("Somma di DARE",'Pivot Fineco Sa'!$A$3,"Mese",7,"Tipologia",$A251),0)
+ IFERROR(GETPIVOTDATA("Somma di DARE",'Pivot Fineco St'!$A$3,"Mese",7,"Tipologia",$A251),0)
+ Contanti!Z113
+ IFERROR(GETPIVOTDATA("Somma di DARE",'Pivot BBVA'!$A$3,"Mese",7,"Tipologia",$A251),0)
+ IFERROR(GETPIVOTDATA("Somma di DARE",'Pivot Amex'!$A$3,"Mese",7,"Tipologia",$A251),0)
- IFERROR(GETPIVOTDATA("Somma di AVERE",'Pivot Amex'!$A$3,"Mese",7,"Tipologia",$A251),0)
- IFERROR(GETPIVOTDATA("Somma di AVERE",'Pivot BBVA'!$A$3,"Mese",7,"Tipologia",$A251),0)
- IFERROR(GETPIVOTDATA("Somma di AVERE",'Pivot Fineco St'!$A$3,"Mese",7,"Tipologia",$A251),0)
- IFERROR(GETPIVOTDATA("Somma di AVERE",'Pivot Fineco Sa'!$A$3,"Mese",7,"Tipologia",$A251),0)
+ IFERROR(GETPIVOTDATA("Somma di DARE",'Pivot PP Visa'!$A$3,"Mese",7,"Tipologia",$A251),0)
- IFERROR(GETPIVOTDATA("Somma di AVERE",'Pivot PP Visa'!$A$3,"Mese",7,"Tipologia",$A251),0)
+ IFERROR(GETPIVOTDATA("Somma di DARE",'Pivot Revolut'!$A$3,"Mese",7,"Tipologia",$A251),0)
- IFERROR(GETPIVOTDATA("Somma di AVERE",'Pivot Revolut'!$A$3,"Mese",7,"Tipologia",$A251),0)</f>
        <v>0</v>
      </c>
      <c r="J251" s="243">
        <f>IFERROR(GETPIVOTDATA("Somma di DARE EUR",'Pivot RakBank AED'!$A$3,"Mese",8,"Tipologia",$A251),0)
- IFERROR(GETPIVOTDATA("Somma di AVERE EUR",'Pivot RakBank AED'!$A$3,"Mese",8,"Tipologia",$A251),0)
+IFERROR(GETPIVOTDATA("Somma di DARE",'Pivot RakBank EUR'!$A$3,"Mese",8,"Tipologia",$A251),0)
- IFERROR(GETPIVOTDATA("Somma di AVERE",'Pivot RakBank EUR'!$A$3,"Mese",8,"Tipologia",$A251),0)
+IFERROR(GETPIVOTDATA("Somma di DARE",'Pivot Fineco Sa'!$A$3,"Mese",8,"Tipologia",$A251),0)
+ IFERROR(GETPIVOTDATA("Somma di DARE",'Pivot Fineco St'!$A$3,"Mese",8,"Tipologia",$A251),0)
+ Contanti!AD113
+ IFERROR(GETPIVOTDATA("Somma di DARE",'Pivot BBVA'!$A$3,"Mese",8,"Tipologia",$A251),0)
+ IFERROR(GETPIVOTDATA("Somma di DARE",'Pivot Amex'!$A$3,"Mese",8,"Tipologia",$A251),0)
- IFERROR(GETPIVOTDATA("Somma di AVERE",'Pivot Amex'!$A$3,"Mese",8,"Tipologia",$A251),0)
- IFERROR(GETPIVOTDATA("Somma di AVERE",'Pivot BBVA'!$A$3,"Mese",8,"Tipologia",$A251),0)
- IFERROR(GETPIVOTDATA("Somma di AVERE",'Pivot Fineco St'!$A$3,"Mese",8,"Tipologia",$A251),0)
- IFERROR(GETPIVOTDATA("Somma di AVERE",'Pivot Fineco Sa'!$A$3,"Mese",8,"Tipologia",$A251),0)
+ IFERROR(GETPIVOTDATA("Somma di DARE",'Pivot PP Visa'!$A$3,"Mese",8,"Tipologia",$A251),0)
- IFERROR(GETPIVOTDATA("Somma di AVERE",'Pivot PP Visa'!$A$3,"Mese",8,"Tipologia",$A251),0)
+ IFERROR(GETPIVOTDATA("Somma di DARE",'Pivot Revolut'!$A$3,"Mese",8,"Tipologia",$A251),0)
- IFERROR(GETPIVOTDATA("Somma di AVERE",'Pivot Revolut'!$A$3,"Mese",8,"Tipologia",$A251),0)</f>
        <v>0</v>
      </c>
      <c r="K251" s="243">
        <f>IFERROR(GETPIVOTDATA("Somma di DARE EUR",'Pivot RakBank AED'!$A$3,"Mese",9,"Tipologia",$A251),0)
- IFERROR(GETPIVOTDATA("Somma di AVERE EUR",'Pivot RakBank AED'!$A$3,"Mese",9,"Tipologia",$A251),0)
+IFERROR(GETPIVOTDATA("Somma di DARE",'Pivot RakBank EUR'!$A$3,"Mese",9,"Tipologia",$A251),0)
- IFERROR(GETPIVOTDATA("Somma di AVERE",'Pivot RakBank EUR'!$A$3,"Mese",9,"Tipologia",$A251),0)
+IFERROR(GETPIVOTDATA("Somma di DARE",'Pivot Fineco Sa'!$A$3,"Mese",9,"Tipologia",$A251),0)
+ IFERROR(GETPIVOTDATA("Somma di DARE",'Pivot Fineco St'!$A$3,"Mese",9,"Tipologia",$A251),0)
+ Contanti!AH113
+ IFERROR(GETPIVOTDATA("Somma di DARE",'Pivot BBVA'!$A$3,"Mese",9,"Tipologia",$A251),0)
+ IFERROR(GETPIVOTDATA("Somma di DARE",'Pivot Amex'!$A$3,"Mese",9,"Tipologia",$A251),0)
- IFERROR(GETPIVOTDATA("Somma di AVERE",'Pivot Amex'!$A$3,"Mese",9,"Tipologia",$A251),0)
- IFERROR(GETPIVOTDATA("Somma di AVERE",'Pivot BBVA'!$A$3,"Mese",9,"Tipologia",$A251),0)
- IFERROR(GETPIVOTDATA("Somma di AVERE",'Pivot Fineco St'!$A$3,"Mese",9,"Tipologia",$A251),0)
- IFERROR(GETPIVOTDATA("Somma di AVERE",'Pivot Fineco Sa'!$A$3,"Mese",9,"Tipologia",$A251),0)
+ IFERROR(GETPIVOTDATA("Somma di DARE",'Pivot PP Visa'!$A$3,"Mese",9,"Tipologia",$A251),0)
- IFERROR(GETPIVOTDATA("Somma di AVERE",'Pivot PP Visa'!$A$3,"Mese",9,"Tipologia",$A251),0)
+ IFERROR(GETPIVOTDATA("Somma di DARE",'Pivot Revolut'!$A$3,"Mese",9,"Tipologia",$A251),0)
- IFERROR(GETPIVOTDATA("Somma di AVERE",'Pivot Revolut'!$A$3,"Mese",9,"Tipologia",$A251),0)</f>
        <v>0</v>
      </c>
      <c r="L251" s="243">
        <f>IFERROR(GETPIVOTDATA("Somma di DARE EUR",'Pivot RakBank AED'!$A$3,"Mese",10,"Tipologia",$A251),0)
- IFERROR(GETPIVOTDATA("Somma di AVERE EUR",'Pivot RakBank AED'!$A$3,"Mese",10,"Tipologia",$A251),0)
+IFERROR(GETPIVOTDATA("Somma di DARE",'Pivot RakBank EUR'!$A$3,"Mese",10,"Tipologia",$A251),0)
- IFERROR(GETPIVOTDATA("Somma di AVERE",'Pivot RakBank EUR'!$A$3,"Mese",10,"Tipologia",$A251),0)
+IFERROR(GETPIVOTDATA("Somma di DARE",'Pivot Fineco Sa'!$A$3,"Mese",10,"Tipologia",$A251),0)
+ IFERROR(GETPIVOTDATA("Somma di DARE",'Pivot Fineco St'!$A$3,"Mese",10,"Tipologia",$A251),0)
+ Contanti!AL113
+ IFERROR(GETPIVOTDATA("Somma di DARE",'Pivot BBVA'!$A$3,"Mese",10,"Tipologia",$A251),0)
+ IFERROR(GETPIVOTDATA("Somma di DARE",'Pivot Amex'!$A$3,"Mese",10,"Tipologia",$A251),0)
- IFERROR(GETPIVOTDATA("Somma di AVERE",'Pivot Amex'!$A$3,"Mese",10,"Tipologia",$A251),0)
- IFERROR(GETPIVOTDATA("Somma di AVERE",'Pivot BBVA'!$A$3,"Mese",10,"Tipologia",$A251),0)
- IFERROR(GETPIVOTDATA("Somma di AVERE",'Pivot Fineco St'!$A$3,"Mese",10,"Tipologia",$A251),0)
- IFERROR(GETPIVOTDATA("Somma di AVERE",'Pivot Fineco Sa'!$A$3,"Mese",10,"Tipologia",$A251),0)
+ IFERROR(GETPIVOTDATA("Somma di DARE",'Pivot PP Visa'!$A$3,"Mese",10,"Tipologia",$A251),0)
- IFERROR(GETPIVOTDATA("Somma di AVERE",'Pivot PP Visa'!$A$3,"Mese",10,"Tipologia",$A251),0)
+ IFERROR(GETPIVOTDATA("Somma di DARE",'Pivot Revolut'!$A$3,"Mese",10,"Tipologia",$A251),0)
- IFERROR(GETPIVOTDATA("Somma di AVERE",'Pivot Revolut'!$A$3,"Mese",10,"Tipologia",$A251),0)</f>
        <v>0</v>
      </c>
      <c r="M251" s="243">
        <f>IFERROR(GETPIVOTDATA("Somma di DARE EUR",'Pivot RakBank AED'!$A$3,"Mese",11,"Tipologia",$A251),0)
- IFERROR(GETPIVOTDATA("Somma di AVERE EUR",'Pivot RakBank AED'!$A$3,"Mese",11,"Tipologia",$A251),0)
+IFERROR(GETPIVOTDATA("Somma di DARE",'Pivot RakBank EUR'!$A$3,"Mese",11,"Tipologia",$A251),0)
- IFERROR(GETPIVOTDATA("Somma di AVERE",'Pivot RakBank EUR'!$A$3,"Mese",11,"Tipologia",$A251),0)
+IFERROR(GETPIVOTDATA("Somma di DARE",'Pivot Fineco Sa'!$A$3,"Mese",11,"Tipologia",$A251),0)
+ IFERROR(GETPIVOTDATA("Somma di DARE",'Pivot Fineco St'!$A$3,"Mese",11,"Tipologia",$A251),0)
+ Contanti!AP113
+ IFERROR(GETPIVOTDATA("Somma di DARE",'Pivot BBVA'!$A$3,"Mese",11,"Tipologia",$A251),0)
+ IFERROR(GETPIVOTDATA("Somma di DARE",'Pivot Amex'!$A$3,"Mese",11,"Tipologia",$A251),0)
- IFERROR(GETPIVOTDATA("Somma di AVERE",'Pivot Amex'!$A$3,"Mese",11,"Tipologia",$A251),0)
- IFERROR(GETPIVOTDATA("Somma di AVERE",'Pivot BBVA'!$A$3,"Mese",11,"Tipologia",$A251),0)
- IFERROR(GETPIVOTDATA("Somma di AVERE",'Pivot Fineco St'!$A$3,"Mese",11,"Tipologia",$A251),0)
- IFERROR(GETPIVOTDATA("Somma di AVERE",'Pivot Fineco Sa'!$A$3,"Mese",11,"Tipologia",$A251),0)
+ IFERROR(GETPIVOTDATA("Somma di DARE",'Pivot PP Visa'!$A$3,"Mese",11,"Tipologia",$A251),0)
- IFERROR(GETPIVOTDATA("Somma di AVERE",'Pivot PP Visa'!$A$3,"Mese",11,"Tipologia",$A251),0)
+ IFERROR(GETPIVOTDATA("Somma di DARE",'Pivot Revolut'!$A$3,"Mese",11,"Tipologia",$A251),0)
- IFERROR(GETPIVOTDATA("Somma di AVERE",'Pivot Revolut'!$A$3,"Mese",11,"Tipologia",$A251),0)</f>
        <v>0</v>
      </c>
      <c r="N251" s="243">
        <f>IFERROR(GETPIVOTDATA("Somma di DARE EUR",'Pivot RakBank AED'!$A$3,"Mese",12,"Tipologia",$A251),0)
- IFERROR(GETPIVOTDATA("Somma di AVERE EUR",'Pivot RakBank AED'!$A$3,"Mese",12,"Tipologia",$A251),0)
+IFERROR(GETPIVOTDATA("Somma di DARE",'Pivot RakBank EUR'!$A$3,"Mese",12,"Tipologia",$A251),0)
- IFERROR(GETPIVOTDATA("Somma di AVERE",'Pivot RakBank EUR'!$A$3,"Mese",12,"Tipologia",$A251),0)
+IFERROR(GETPIVOTDATA("Somma di DARE",'Pivot Fineco Sa'!$A$3,"Mese",12,"Tipologia",$A251),0)
+ IFERROR(GETPIVOTDATA("Somma di DARE",'Pivot Fineco St'!$A$3,"Mese",12,"Tipologia",$A251),0)
+ Contanti!AT113
+ IFERROR(GETPIVOTDATA("Somma di DARE",'Pivot BBVA'!$A$3,"Mese",12,"Tipologia",$A251),0)
+ IFERROR(GETPIVOTDATA("Somma di DARE",'Pivot Amex'!$A$3,"Mese",12,"Tipologia",$A251),0)
- IFERROR(GETPIVOTDATA("Somma di AVERE",'Pivot Amex'!$A$3,"Mese",12,"Tipologia",$A251),0)
- IFERROR(GETPIVOTDATA("Somma di AVERE",'Pivot BBVA'!$A$3,"Mese",12,"Tipologia",$A251),0)
- IFERROR(GETPIVOTDATA("Somma di AVERE",'Pivot Fineco St'!$A$3,"Mese",12,"Tipologia",$A251),0)
- IFERROR(GETPIVOTDATA("Somma di AVERE",'Pivot Fineco Sa'!$A$3,"Mese",12,"Tipologia",$A251),0)
+ IFERROR(GETPIVOTDATA("Somma di DARE",'Pivot PP Visa'!$A$3,"Mese",12,"Tipologia",$A251),0)
- IFERROR(GETPIVOTDATA("Somma di AVERE",'Pivot PP Visa'!$A$3,"Mese",12,"Tipologia",$A251),0)
+ IFERROR(GETPIVOTDATA("Somma di DARE",'Pivot Revolut'!$A$3,"Mese",12,"Tipologia",$A251),0)
- IFERROR(GETPIVOTDATA("Somma di AVERE",'Pivot Revolut'!$A$3,"Mese",12,"Tipologia",$A251),0)</f>
        <v>0</v>
      </c>
      <c r="O251" s="252">
        <f t="shared" si="54"/>
        <v>213.2</v>
      </c>
      <c r="P251" s="243">
        <f t="shared" ca="1" si="55"/>
        <v>30.457142857142856</v>
      </c>
    </row>
    <row r="252" spans="1:16" s="125" customFormat="1" ht="21" customHeight="1" x14ac:dyDescent="0.2">
      <c r="A252" s="251" t="s">
        <v>42</v>
      </c>
      <c r="B252" s="251"/>
      <c r="C252" s="243">
        <f>IFERROR(GETPIVOTDATA("Somma di DARE EUR",'Pivot RakBank AED'!$A$3,"Mese",1,"Tipologia",$A252),0)
- IFERROR(GETPIVOTDATA("Somma di AVERE EUR",'Pivot RakBank AED'!$A$3,"Mese",1,"Tipologia",$A252),0)
+IFERROR(GETPIVOTDATA("Somma di DARE",'Pivot RakBank EUR'!$A$3,"Mese",1,"Tipologia",$A252),0)
- IFERROR(GETPIVOTDATA("Somma di AVERE",'Pivot RakBank EUR'!$A$3,"Mese",1,"Tipologia",$A252),0)
+IFERROR(GETPIVOTDATA("Somma di DARE",'Pivot Fineco Sa'!$A$3,"Mese",1,"Tipologia",$A252),0)
+ IFERROR(GETPIVOTDATA("Somma di DARE",'Pivot Fineco St'!$A$3,"Mese",1,"Tipologia",$A252),0)
+ Contanti!B114
+ IFERROR(GETPIVOTDATA("Somma di DARE",'Pivot BBVA'!$A$3,"Mese",1,"Tipologia",$A252),0)
+ IFERROR(GETPIVOTDATA("Somma di DARE",'Pivot Amex'!$A$3,"Mese",1,"Tipologia",$A252),0)
- IFERROR(GETPIVOTDATA("Somma di AVERE",'Pivot Amex'!$A$3,"Mese",1,"Tipologia",$A252),0)
- IFERROR(GETPIVOTDATA("Somma di AVERE",'Pivot BBVA'!$A$3,"Mese",1,"Tipologia",$A252),0)
- IFERROR(GETPIVOTDATA("Somma di AVERE",'Pivot Fineco St'!$A$3,"Mese",1,"Tipologia",$A252),0)
- IFERROR(GETPIVOTDATA("Somma di AVERE",'Pivot Fineco Sa'!$A$3,"Mese",1,"Tipologia",$A252),0)
+ IFERROR(GETPIVOTDATA("Somma di DARE",'Pivot PP Visa'!$A$3,"Mese",1,"Tipologia",$A252),0)
- IFERROR(GETPIVOTDATA("Somma di AVERE",'Pivot PP Visa'!$A$3,"Mese",1,"Tipologia",$A252),0)
+ IFERROR(GETPIVOTDATA("Somma di DARE",'Pivot Revolut'!$A$3,"Mese",1,"Tipologia",$A252),0)
- IFERROR(GETPIVOTDATA("Somma di AVERE",'Pivot Revolut'!$A$3,"Mese",1,"Tipologia",$A252),0)</f>
        <v>0</v>
      </c>
      <c r="D252" s="243">
        <f>IFERROR(GETPIVOTDATA("Somma di DARE EUR",'Pivot RakBank AED'!$A$3,"Mese",2,"Tipologia",$A252),0)
- IFERROR(GETPIVOTDATA("Somma di AVERE EUR",'Pivot RakBank AED'!$A$3,"Mese",2,"Tipologia",$A252),0)
+IFERROR(GETPIVOTDATA("Somma di DARE",'Pivot RakBank EUR'!$A$3,"Mese",2,"Tipologia",$A252),0)
- IFERROR(GETPIVOTDATA("Somma di AVERE",'Pivot RakBank EUR'!$A$3,"Mese",2,"Tipologia",$A252),0)
+IFERROR(GETPIVOTDATA("Somma di DARE",'Pivot Fineco Sa'!$A$3,"Mese",2,"Tipologia",$A252),0)
+ IFERROR(GETPIVOTDATA("Somma di DARE",'Pivot Fineco St'!$A$3,"Mese",2,"Tipologia",$A252),0)
+ Contanti!F114
+ IFERROR(GETPIVOTDATA("Somma di DARE",'Pivot BBVA'!$A$3,"Mese",2,"Tipologia",$A252),0)
+ IFERROR(GETPIVOTDATA("Somma di DARE",'Pivot Amex'!$A$3,"Mese",2,"Tipologia",$A252),0)
- IFERROR(GETPIVOTDATA("Somma di AVERE",'Pivot Amex'!$A$3,"Mese",2,"Tipologia",$A252),0)
- IFERROR(GETPIVOTDATA("Somma di AVERE",'Pivot BBVA'!$A$3,"Mese",2,"Tipologia",$A252),0)
- IFERROR(GETPIVOTDATA("Somma di AVERE",'Pivot Fineco St'!$A$3,"Mese",2,"Tipologia",$A252),0)
- IFERROR(GETPIVOTDATA("Somma di AVERE",'Pivot Fineco Sa'!$A$3,"Mese",2,"Tipologia",$A252),0)
+ IFERROR(GETPIVOTDATA("Somma di DARE",'Pivot PP Visa'!$A$3,"Mese",2,"Tipologia",$A252),0)
- IFERROR(GETPIVOTDATA("Somma di AVERE",'Pivot PP Visa'!$A$3,"Mese",2,"Tipologia",$A252),0)
+ IFERROR(GETPIVOTDATA("Somma di DARE",'Pivot Revolut'!$A$3,"Mese",2,"Tipologia",$A252),0)
- IFERROR(GETPIVOTDATA("Somma di AVERE",'Pivot Revolut'!$A$3,"Mese",2,"Tipologia",$A252),0)</f>
        <v>854.73000000000013</v>
      </c>
      <c r="E252" s="243">
        <f>IFERROR(GETPIVOTDATA("Somma di DARE EUR",'Pivot RakBank AED'!$A$3,"Mese",3,"Tipologia",$A252),0)
- IFERROR(GETPIVOTDATA("Somma di AVERE EUR",'Pivot RakBank AED'!$A$3,"Mese",3,"Tipologia",$A252),0)
+IFERROR(GETPIVOTDATA("Somma di DARE",'Pivot RakBank EUR'!$A$3,"Mese",3,"Tipologia",$A252),0)
- IFERROR(GETPIVOTDATA("Somma di AVERE",'Pivot RakBank EUR'!$A$3,"Mese",3,"Tipologia",$A252),0)
+IFERROR(GETPIVOTDATA("Somma di DARE",'Pivot Fineco Sa'!$A$3,"Mese",3,"Tipologia",$A252),0)
+ IFERROR(GETPIVOTDATA("Somma di DARE",'Pivot Fineco St'!$A$3,"Mese",3,"Tipologia",$A252),0)
+ Contanti!J114
+ IFERROR(GETPIVOTDATA("Somma di DARE",'Pivot BBVA'!$A$3,"Mese",3,"Tipologia",$A252),0)
+ IFERROR(GETPIVOTDATA("Somma di DARE",'Pivot Amex'!$A$3,"Mese",3,"Tipologia",$A252),0)
- IFERROR(GETPIVOTDATA("Somma di AVERE",'Pivot Amex'!$A$3,"Mese",3,"Tipologia",$A252),0)
- IFERROR(GETPIVOTDATA("Somma di AVERE",'Pivot BBVA'!$A$3,"Mese",3,"Tipologia",$A252),0)
- IFERROR(GETPIVOTDATA("Somma di AVERE",'Pivot Fineco St'!$A$3,"Mese",3,"Tipologia",$A252),0)
- IFERROR(GETPIVOTDATA("Somma di AVERE",'Pivot Fineco Sa'!$A$3,"Mese",3,"Tipologia",$A252),0)
+ IFERROR(GETPIVOTDATA("Somma di DARE",'Pivot PP Visa'!$A$3,"Mese",3,"Tipologia",$A252),0)
- IFERROR(GETPIVOTDATA("Somma di AVERE",'Pivot PP Visa'!$A$3,"Mese",3,"Tipologia",$A252),0)
+ IFERROR(GETPIVOTDATA("Somma di DARE",'Pivot Revolut'!$A$3,"Mese",3,"Tipologia",$A252),0)
- IFERROR(GETPIVOTDATA("Somma di AVERE",'Pivot Revolut'!$A$3,"Mese",3,"Tipologia",$A252),0)</f>
        <v>0</v>
      </c>
      <c r="F252" s="243">
        <f>IFERROR(GETPIVOTDATA("Somma di DARE EUR",'Pivot RakBank AED'!$A$3,"Mese",4,"Tipologia",$A252),0)
- IFERROR(GETPIVOTDATA("Somma di AVERE EUR",'Pivot RakBank AED'!$A$3,"Mese",4,"Tipologia",$A252),0)
+IFERROR(GETPIVOTDATA("Somma di DARE",'Pivot RakBank EUR'!$A$3,"Mese",4,"Tipologia",$A252),0)
- IFERROR(GETPIVOTDATA("Somma di AVERE",'Pivot RakBank EUR'!$A$3,"Mese",4,"Tipologia",$A252),0)
+IFERROR(GETPIVOTDATA("Somma di DARE",'Pivot Fineco Sa'!$A$3,"Mese",4,"Tipologia",$A252),0)
+ IFERROR(GETPIVOTDATA("Somma di DARE",'Pivot Fineco St'!$A$3,"Mese",4,"Tipologia",$A252),0)
+ Contanti!N114
+ IFERROR(GETPIVOTDATA("Somma di DARE",'Pivot BBVA'!$A$3,"Mese",4,"Tipologia",$A252),0)
+ IFERROR(GETPIVOTDATA("Somma di DARE",'Pivot Amex'!$A$3,"Mese",4,"Tipologia",$A252),0)
- IFERROR(GETPIVOTDATA("Somma di AVERE",'Pivot Amex'!$A$3,"Mese",4,"Tipologia",$A252),0)
- IFERROR(GETPIVOTDATA("Somma di AVERE",'Pivot BBVA'!$A$3,"Mese",4,"Tipologia",$A252),0)
- IFERROR(GETPIVOTDATA("Somma di AVERE",'Pivot Fineco St'!$A$3,"Mese",4,"Tipologia",$A252),0)
- IFERROR(GETPIVOTDATA("Somma di AVERE",'Pivot Fineco Sa'!$A$3,"Mese",4,"Tipologia",$A252),0)
+ IFERROR(GETPIVOTDATA("Somma di DARE",'Pivot PP Visa'!$A$3,"Mese",4,"Tipologia",$A252),0)
- IFERROR(GETPIVOTDATA("Somma di AVERE",'Pivot PP Visa'!$A$3,"Mese",4,"Tipologia",$A252),0)
+ IFERROR(GETPIVOTDATA("Somma di DARE",'Pivot Revolut'!$A$3,"Mese",4,"Tipologia",$A252),0)
- IFERROR(GETPIVOTDATA("Somma di AVERE",'Pivot Revolut'!$A$3,"Mese",4,"Tipologia",$A252),0)</f>
        <v>0</v>
      </c>
      <c r="G252" s="243">
        <f>IFERROR(GETPIVOTDATA("Somma di DARE EUR",'Pivot RakBank AED'!$A$3,"Mese",5,"Tipologia",$A252),0)
- IFERROR(GETPIVOTDATA("Somma di AVERE EUR",'Pivot RakBank AED'!$A$3,"Mese",5,"Tipologia",$A252),0)
+IFERROR(GETPIVOTDATA("Somma di DARE",'Pivot RakBank EUR'!$A$3,"Mese",5,"Tipologia",$A252),0)
- IFERROR(GETPIVOTDATA("Somma di AVERE",'Pivot RakBank EUR'!$A$3,"Mese",5,"Tipologia",$A252),0)
+IFERROR(GETPIVOTDATA("Somma di DARE",'Pivot Fineco Sa'!$A$3,"Mese",5,"Tipologia",$A252),0)
+ IFERROR(GETPIVOTDATA("Somma di DARE",'Pivot Fineco St'!$A$3,"Mese",5,"Tipologia",$A252),0)
+ Contanti!R114
+ IFERROR(GETPIVOTDATA("Somma di DARE",'Pivot BBVA'!$A$3,"Mese",5,"Tipologia",$A252),0)
+ IFERROR(GETPIVOTDATA("Somma di DARE",'Pivot Amex'!$A$3,"Mese",5,"Tipologia",$A252),0)
- IFERROR(GETPIVOTDATA("Somma di AVERE",'Pivot Amex'!$A$3,"Mese",5,"Tipologia",$A252),0)
- IFERROR(GETPIVOTDATA("Somma di AVERE",'Pivot BBVA'!$A$3,"Mese",5,"Tipologia",$A252),0)
- IFERROR(GETPIVOTDATA("Somma di AVERE",'Pivot Fineco St'!$A$3,"Mese",5,"Tipologia",$A252),0)
- IFERROR(GETPIVOTDATA("Somma di AVERE",'Pivot Fineco Sa'!$A$3,"Mese",5,"Tipologia",$A252),0)
+ IFERROR(GETPIVOTDATA("Somma di DARE",'Pivot PP Visa'!$A$3,"Mese",5,"Tipologia",$A252),0)
- IFERROR(GETPIVOTDATA("Somma di AVERE",'Pivot PP Visa'!$A$3,"Mese",5,"Tipologia",$A252),0)
+ IFERROR(GETPIVOTDATA("Somma di DARE",'Pivot Revolut'!$A$3,"Mese",5,"Tipologia",$A252),0)
- IFERROR(GETPIVOTDATA("Somma di AVERE",'Pivot Revolut'!$A$3,"Mese",5,"Tipologia",$A252),0)</f>
        <v>0</v>
      </c>
      <c r="H252" s="243">
        <f>IFERROR(GETPIVOTDATA("Somma di DARE EUR",'Pivot RakBank AED'!$A$3,"Mese",6,"Tipologia",$A252),0)
- IFERROR(GETPIVOTDATA("Somma di AVERE EUR",'Pivot RakBank AED'!$A$3,"Mese",6,"Tipologia",$A252),0)
+IFERROR(GETPIVOTDATA("Somma di DARE",'Pivot RakBank EUR'!$A$3,"Mese",6,"Tipologia",$A252),0)
- IFERROR(GETPIVOTDATA("Somma di AVERE",'Pivot RakBank EUR'!$A$3,"Mese",6,"Tipologia",$A252),0)
+IFERROR(GETPIVOTDATA("Somma di DARE",'Pivot Fineco Sa'!$A$3,"Mese",6,"Tipologia",$A252),0)
+ IFERROR(GETPIVOTDATA("Somma di DARE",'Pivot Fineco St'!$A$3,"Mese",6,"Tipologia",$A252),0)
+ Contanti!V114
+ IFERROR(GETPIVOTDATA("Somma di DARE",'Pivot BBVA'!$A$3,"Mese",6,"Tipologia",$A252),0)
+ IFERROR(GETPIVOTDATA("Somma di DARE",'Pivot Amex'!$A$3,"Mese",6,"Tipologia",$A252),0)
- IFERROR(GETPIVOTDATA("Somma di AVERE",'Pivot Amex'!$A$3,"Mese",6,"Tipologia",$A252),0)
- IFERROR(GETPIVOTDATA("Somma di AVERE",'Pivot BBVA'!$A$3,"Mese",6,"Tipologia",$A252),0)
- IFERROR(GETPIVOTDATA("Somma di AVERE",'Pivot Fineco St'!$A$3,"Mese",6,"Tipologia",$A252),0)
- IFERROR(GETPIVOTDATA("Somma di AVERE",'Pivot Fineco Sa'!$A$3,"Mese",6,"Tipologia",$A252),0)
+ IFERROR(GETPIVOTDATA("Somma di DARE",'Pivot PP Visa'!$A$3,"Mese",6,"Tipologia",$A252),0)
- IFERROR(GETPIVOTDATA("Somma di AVERE",'Pivot PP Visa'!$A$3,"Mese",6,"Tipologia",$A252),0)
+ IFERROR(GETPIVOTDATA("Somma di DARE",'Pivot Revolut'!$A$3,"Mese",6,"Tipologia",$A252),0)
- IFERROR(GETPIVOTDATA("Somma di AVERE",'Pivot Revolut'!$A$3,"Mese",6,"Tipologia",$A252),0)</f>
        <v>2.44</v>
      </c>
      <c r="I252" s="243">
        <f>IFERROR(GETPIVOTDATA("Somma di DARE EUR",'Pivot RakBank AED'!$A$3,"Mese",7,"Tipologia",$A252),0)
- IFERROR(GETPIVOTDATA("Somma di AVERE EUR",'Pivot RakBank AED'!$A$3,"Mese",7,"Tipologia",$A252),0)
+IFERROR(GETPIVOTDATA("Somma di DARE",'Pivot RakBank EUR'!$A$3,"Mese",7,"Tipologia",$A252),0)
- IFERROR(GETPIVOTDATA("Somma di AVERE",'Pivot RakBank EUR'!$A$3,"Mese",7,"Tipologia",$A252),0)
+IFERROR(GETPIVOTDATA("Somma di DARE",'Pivot Fineco Sa'!$A$3,"Mese",7,"Tipologia",$A252),0)
+ IFERROR(GETPIVOTDATA("Somma di DARE",'Pivot Fineco St'!$A$3,"Mese",7,"Tipologia",$A252),0)
+ Contanti!Z114
+ IFERROR(GETPIVOTDATA("Somma di DARE",'Pivot BBVA'!$A$3,"Mese",7,"Tipologia",$A252),0)
+ IFERROR(GETPIVOTDATA("Somma di DARE",'Pivot Amex'!$A$3,"Mese",7,"Tipologia",$A252),0)
- IFERROR(GETPIVOTDATA("Somma di AVERE",'Pivot Amex'!$A$3,"Mese",7,"Tipologia",$A252),0)
- IFERROR(GETPIVOTDATA("Somma di AVERE",'Pivot BBVA'!$A$3,"Mese",7,"Tipologia",$A252),0)
- IFERROR(GETPIVOTDATA("Somma di AVERE",'Pivot Fineco St'!$A$3,"Mese",7,"Tipologia",$A252),0)
- IFERROR(GETPIVOTDATA("Somma di AVERE",'Pivot Fineco Sa'!$A$3,"Mese",7,"Tipologia",$A252),0)
+ IFERROR(GETPIVOTDATA("Somma di DARE",'Pivot PP Visa'!$A$3,"Mese",7,"Tipologia",$A252),0)
- IFERROR(GETPIVOTDATA("Somma di AVERE",'Pivot PP Visa'!$A$3,"Mese",7,"Tipologia",$A252),0)
+ IFERROR(GETPIVOTDATA("Somma di DARE",'Pivot Revolut'!$A$3,"Mese",7,"Tipologia",$A252),0)
- IFERROR(GETPIVOTDATA("Somma di AVERE",'Pivot Revolut'!$A$3,"Mese",7,"Tipologia",$A252),0)</f>
        <v>0</v>
      </c>
      <c r="J252" s="243">
        <f>IFERROR(GETPIVOTDATA("Somma di DARE EUR",'Pivot RakBank AED'!$A$3,"Mese",8,"Tipologia",$A252),0)
- IFERROR(GETPIVOTDATA("Somma di AVERE EUR",'Pivot RakBank AED'!$A$3,"Mese",8,"Tipologia",$A252),0)
+IFERROR(GETPIVOTDATA("Somma di DARE",'Pivot RakBank EUR'!$A$3,"Mese",8,"Tipologia",$A252),0)
- IFERROR(GETPIVOTDATA("Somma di AVERE",'Pivot RakBank EUR'!$A$3,"Mese",8,"Tipologia",$A252),0)
+IFERROR(GETPIVOTDATA("Somma di DARE",'Pivot Fineco Sa'!$A$3,"Mese",8,"Tipologia",$A252),0)
+ IFERROR(GETPIVOTDATA("Somma di DARE",'Pivot Fineco St'!$A$3,"Mese",8,"Tipologia",$A252),0)
+ Contanti!AD114
+ IFERROR(GETPIVOTDATA("Somma di DARE",'Pivot BBVA'!$A$3,"Mese",8,"Tipologia",$A252),0)
+ IFERROR(GETPIVOTDATA("Somma di DARE",'Pivot Amex'!$A$3,"Mese",8,"Tipologia",$A252),0)
- IFERROR(GETPIVOTDATA("Somma di AVERE",'Pivot Amex'!$A$3,"Mese",8,"Tipologia",$A252),0)
- IFERROR(GETPIVOTDATA("Somma di AVERE",'Pivot BBVA'!$A$3,"Mese",8,"Tipologia",$A252),0)
- IFERROR(GETPIVOTDATA("Somma di AVERE",'Pivot Fineco St'!$A$3,"Mese",8,"Tipologia",$A252),0)
- IFERROR(GETPIVOTDATA("Somma di AVERE",'Pivot Fineco Sa'!$A$3,"Mese",8,"Tipologia",$A252),0)
+ IFERROR(GETPIVOTDATA("Somma di DARE",'Pivot PP Visa'!$A$3,"Mese",8,"Tipologia",$A252),0)
- IFERROR(GETPIVOTDATA("Somma di AVERE",'Pivot PP Visa'!$A$3,"Mese",8,"Tipologia",$A252),0)
+ IFERROR(GETPIVOTDATA("Somma di DARE",'Pivot Revolut'!$A$3,"Mese",8,"Tipologia",$A252),0)
- IFERROR(GETPIVOTDATA("Somma di AVERE",'Pivot Revolut'!$A$3,"Mese",8,"Tipologia",$A252),0)</f>
        <v>0</v>
      </c>
      <c r="K252" s="243">
        <f>IFERROR(GETPIVOTDATA("Somma di DARE EUR",'Pivot RakBank AED'!$A$3,"Mese",9,"Tipologia",$A252),0)
- IFERROR(GETPIVOTDATA("Somma di AVERE EUR",'Pivot RakBank AED'!$A$3,"Mese",9,"Tipologia",$A252),0)
+IFERROR(GETPIVOTDATA("Somma di DARE",'Pivot RakBank EUR'!$A$3,"Mese",9,"Tipologia",$A252),0)
- IFERROR(GETPIVOTDATA("Somma di AVERE",'Pivot RakBank EUR'!$A$3,"Mese",9,"Tipologia",$A252),0)
+IFERROR(GETPIVOTDATA("Somma di DARE",'Pivot Fineco Sa'!$A$3,"Mese",9,"Tipologia",$A252),0)
+ IFERROR(GETPIVOTDATA("Somma di DARE",'Pivot Fineco St'!$A$3,"Mese",9,"Tipologia",$A252),0)
+ Contanti!AH114
+ IFERROR(GETPIVOTDATA("Somma di DARE",'Pivot BBVA'!$A$3,"Mese",9,"Tipologia",$A252),0)
+ IFERROR(GETPIVOTDATA("Somma di DARE",'Pivot Amex'!$A$3,"Mese",9,"Tipologia",$A252),0)
- IFERROR(GETPIVOTDATA("Somma di AVERE",'Pivot Amex'!$A$3,"Mese",9,"Tipologia",$A252),0)
- IFERROR(GETPIVOTDATA("Somma di AVERE",'Pivot BBVA'!$A$3,"Mese",9,"Tipologia",$A252),0)
- IFERROR(GETPIVOTDATA("Somma di AVERE",'Pivot Fineco St'!$A$3,"Mese",9,"Tipologia",$A252),0)
- IFERROR(GETPIVOTDATA("Somma di AVERE",'Pivot Fineco Sa'!$A$3,"Mese",9,"Tipologia",$A252),0)
+ IFERROR(GETPIVOTDATA("Somma di DARE",'Pivot PP Visa'!$A$3,"Mese",9,"Tipologia",$A252),0)
- IFERROR(GETPIVOTDATA("Somma di AVERE",'Pivot PP Visa'!$A$3,"Mese",9,"Tipologia",$A252),0)
+ IFERROR(GETPIVOTDATA("Somma di DARE",'Pivot Revolut'!$A$3,"Mese",9,"Tipologia",$A252),0)
- IFERROR(GETPIVOTDATA("Somma di AVERE",'Pivot Revolut'!$A$3,"Mese",9,"Tipologia",$A252),0)</f>
        <v>0</v>
      </c>
      <c r="L252" s="243">
        <f>IFERROR(GETPIVOTDATA("Somma di DARE EUR",'Pivot RakBank AED'!$A$3,"Mese",10,"Tipologia",$A252),0)
- IFERROR(GETPIVOTDATA("Somma di AVERE EUR",'Pivot RakBank AED'!$A$3,"Mese",10,"Tipologia",$A252),0)
+IFERROR(GETPIVOTDATA("Somma di DARE",'Pivot RakBank EUR'!$A$3,"Mese",10,"Tipologia",$A252),0)
- IFERROR(GETPIVOTDATA("Somma di AVERE",'Pivot RakBank EUR'!$A$3,"Mese",10,"Tipologia",$A252),0)
+IFERROR(GETPIVOTDATA("Somma di DARE",'Pivot Fineco Sa'!$A$3,"Mese",10,"Tipologia",$A252),0)
+ IFERROR(GETPIVOTDATA("Somma di DARE",'Pivot Fineco St'!$A$3,"Mese",10,"Tipologia",$A252),0)
+ Contanti!AL114
+ IFERROR(GETPIVOTDATA("Somma di DARE",'Pivot BBVA'!$A$3,"Mese",10,"Tipologia",$A252),0)
+ IFERROR(GETPIVOTDATA("Somma di DARE",'Pivot Amex'!$A$3,"Mese",10,"Tipologia",$A252),0)
- IFERROR(GETPIVOTDATA("Somma di AVERE",'Pivot Amex'!$A$3,"Mese",10,"Tipologia",$A252),0)
- IFERROR(GETPIVOTDATA("Somma di AVERE",'Pivot BBVA'!$A$3,"Mese",10,"Tipologia",$A252),0)
- IFERROR(GETPIVOTDATA("Somma di AVERE",'Pivot Fineco St'!$A$3,"Mese",10,"Tipologia",$A252),0)
- IFERROR(GETPIVOTDATA("Somma di AVERE",'Pivot Fineco Sa'!$A$3,"Mese",10,"Tipologia",$A252),0)
+ IFERROR(GETPIVOTDATA("Somma di DARE",'Pivot PP Visa'!$A$3,"Mese",10,"Tipologia",$A252),0)
- IFERROR(GETPIVOTDATA("Somma di AVERE",'Pivot PP Visa'!$A$3,"Mese",10,"Tipologia",$A252),0)
+ IFERROR(GETPIVOTDATA("Somma di DARE",'Pivot Revolut'!$A$3,"Mese",10,"Tipologia",$A252),0)
- IFERROR(GETPIVOTDATA("Somma di AVERE",'Pivot Revolut'!$A$3,"Mese",10,"Tipologia",$A252),0)</f>
        <v>0</v>
      </c>
      <c r="M252" s="243">
        <f>IFERROR(GETPIVOTDATA("Somma di DARE EUR",'Pivot RakBank AED'!$A$3,"Mese",11,"Tipologia",$A252),0)
- IFERROR(GETPIVOTDATA("Somma di AVERE EUR",'Pivot RakBank AED'!$A$3,"Mese",11,"Tipologia",$A252),0)
+IFERROR(GETPIVOTDATA("Somma di DARE",'Pivot RakBank EUR'!$A$3,"Mese",11,"Tipologia",$A252),0)
- IFERROR(GETPIVOTDATA("Somma di AVERE",'Pivot RakBank EUR'!$A$3,"Mese",11,"Tipologia",$A252),0)
+IFERROR(GETPIVOTDATA("Somma di DARE",'Pivot Fineco Sa'!$A$3,"Mese",11,"Tipologia",$A252),0)
+ IFERROR(GETPIVOTDATA("Somma di DARE",'Pivot Fineco St'!$A$3,"Mese",11,"Tipologia",$A252),0)
+ Contanti!AP114
+ IFERROR(GETPIVOTDATA("Somma di DARE",'Pivot BBVA'!$A$3,"Mese",11,"Tipologia",$A252),0)
+ IFERROR(GETPIVOTDATA("Somma di DARE",'Pivot Amex'!$A$3,"Mese",11,"Tipologia",$A252),0)
- IFERROR(GETPIVOTDATA("Somma di AVERE",'Pivot Amex'!$A$3,"Mese",11,"Tipologia",$A252),0)
- IFERROR(GETPIVOTDATA("Somma di AVERE",'Pivot BBVA'!$A$3,"Mese",11,"Tipologia",$A252),0)
- IFERROR(GETPIVOTDATA("Somma di AVERE",'Pivot Fineco St'!$A$3,"Mese",11,"Tipologia",$A252),0)
- IFERROR(GETPIVOTDATA("Somma di AVERE",'Pivot Fineco Sa'!$A$3,"Mese",11,"Tipologia",$A252),0)
+ IFERROR(GETPIVOTDATA("Somma di DARE",'Pivot PP Visa'!$A$3,"Mese",11,"Tipologia",$A252),0)
- IFERROR(GETPIVOTDATA("Somma di AVERE",'Pivot PP Visa'!$A$3,"Mese",11,"Tipologia",$A252),0)
+ IFERROR(GETPIVOTDATA("Somma di DARE",'Pivot Revolut'!$A$3,"Mese",11,"Tipologia",$A252),0)
- IFERROR(GETPIVOTDATA("Somma di AVERE",'Pivot Revolut'!$A$3,"Mese",11,"Tipologia",$A252),0)</f>
        <v>0</v>
      </c>
      <c r="N252" s="243">
        <f>IFERROR(GETPIVOTDATA("Somma di DARE EUR",'Pivot RakBank AED'!$A$3,"Mese",12,"Tipologia",$A252),0)
- IFERROR(GETPIVOTDATA("Somma di AVERE EUR",'Pivot RakBank AED'!$A$3,"Mese",12,"Tipologia",$A252),0)
+IFERROR(GETPIVOTDATA("Somma di DARE",'Pivot RakBank EUR'!$A$3,"Mese",12,"Tipologia",$A252),0)
- IFERROR(GETPIVOTDATA("Somma di AVERE",'Pivot RakBank EUR'!$A$3,"Mese",12,"Tipologia",$A252),0)
+IFERROR(GETPIVOTDATA("Somma di DARE",'Pivot Fineco Sa'!$A$3,"Mese",12,"Tipologia",$A252),0)
+ IFERROR(GETPIVOTDATA("Somma di DARE",'Pivot Fineco St'!$A$3,"Mese",12,"Tipologia",$A252),0)
+ Contanti!AT114
+ IFERROR(GETPIVOTDATA("Somma di DARE",'Pivot BBVA'!$A$3,"Mese",12,"Tipologia",$A252),0)
+ IFERROR(GETPIVOTDATA("Somma di DARE",'Pivot Amex'!$A$3,"Mese",12,"Tipologia",$A252),0)
- IFERROR(GETPIVOTDATA("Somma di AVERE",'Pivot Amex'!$A$3,"Mese",12,"Tipologia",$A252),0)
- IFERROR(GETPIVOTDATA("Somma di AVERE",'Pivot BBVA'!$A$3,"Mese",12,"Tipologia",$A252),0)
- IFERROR(GETPIVOTDATA("Somma di AVERE",'Pivot Fineco St'!$A$3,"Mese",12,"Tipologia",$A252),0)
- IFERROR(GETPIVOTDATA("Somma di AVERE",'Pivot Fineco Sa'!$A$3,"Mese",12,"Tipologia",$A252),0)
+ IFERROR(GETPIVOTDATA("Somma di DARE",'Pivot PP Visa'!$A$3,"Mese",12,"Tipologia",$A252),0)
- IFERROR(GETPIVOTDATA("Somma di AVERE",'Pivot PP Visa'!$A$3,"Mese",12,"Tipologia",$A252),0)
+ IFERROR(GETPIVOTDATA("Somma di DARE",'Pivot Revolut'!$A$3,"Mese",12,"Tipologia",$A252),0)
- IFERROR(GETPIVOTDATA("Somma di AVERE",'Pivot Revolut'!$A$3,"Mese",12,"Tipologia",$A252),0)</f>
        <v>0</v>
      </c>
      <c r="O252" s="252">
        <f t="shared" si="54"/>
        <v>857.17000000000019</v>
      </c>
      <c r="P252" s="243">
        <f t="shared" ca="1" si="55"/>
        <v>122.45285714285717</v>
      </c>
    </row>
    <row r="253" spans="1:16" s="125" customFormat="1" ht="21" customHeight="1" x14ac:dyDescent="0.2">
      <c r="A253" s="251" t="s">
        <v>187</v>
      </c>
      <c r="B253" s="251"/>
      <c r="C253" s="243">
        <f>IFERROR(GETPIVOTDATA("Somma di DARE EUR",'Pivot RakBank AED'!$A$3,"Mese",1,"Tipologia",$A253),0)
- IFERROR(GETPIVOTDATA("Somma di AVERE EUR",'Pivot RakBank AED'!$A$3,"Mese",1,"Tipologia",$A253),0)
+IFERROR(GETPIVOTDATA("Somma di DARE",'Pivot RakBank EUR'!$A$3,"Mese",1,"Tipologia",$A253),0)
- IFERROR(GETPIVOTDATA("Somma di AVERE",'Pivot RakBank EUR'!$A$3,"Mese",1,"Tipologia",$A253),0)
+IFERROR(GETPIVOTDATA("Somma di DARE",'Pivot Fineco Sa'!$A$3,"Mese",1,"Tipologia",$A253),0)
+ IFERROR(GETPIVOTDATA("Somma di DARE",'Pivot Fineco St'!$A$3,"Mese",1,"Tipologia",$A253),0)
+ Contanti!B115
+ IFERROR(GETPIVOTDATA("Somma di DARE",'Pivot BBVA'!$A$3,"Mese",1,"Tipologia",$A253),0)
+ IFERROR(GETPIVOTDATA("Somma di DARE",'Pivot Amex'!$A$3,"Mese",1,"Tipologia",$A253),0)
- IFERROR(GETPIVOTDATA("Somma di AVERE",'Pivot Amex'!$A$3,"Mese",1,"Tipologia",$A253),0)
- IFERROR(GETPIVOTDATA("Somma di AVERE",'Pivot BBVA'!$A$3,"Mese",1,"Tipologia",$A253),0)
- IFERROR(GETPIVOTDATA("Somma di AVERE",'Pivot Fineco St'!$A$3,"Mese",1,"Tipologia",$A253),0)
- IFERROR(GETPIVOTDATA("Somma di AVERE",'Pivot Fineco Sa'!$A$3,"Mese",1,"Tipologia",$A253),0)
+ IFERROR(GETPIVOTDATA("Somma di DARE",'Pivot PP Visa'!$A$3,"Mese",1,"Tipologia",$A253),0)
- IFERROR(GETPIVOTDATA("Somma di AVERE",'Pivot PP Visa'!$A$3,"Mese",1,"Tipologia",$A253),0)
+ IFERROR(GETPIVOTDATA("Somma di DARE",'Pivot Revolut'!$A$3,"Mese",1,"Tipologia",$A253),0)
- IFERROR(GETPIVOTDATA("Somma di AVERE",'Pivot Revolut'!$A$3,"Mese",1,"Tipologia",$A253),0)</f>
        <v>7.98</v>
      </c>
      <c r="D253" s="243">
        <f>IFERROR(GETPIVOTDATA("Somma di DARE EUR",'Pivot RakBank AED'!$A$3,"Mese",2,"Tipologia",$A253),0)
- IFERROR(GETPIVOTDATA("Somma di AVERE EUR",'Pivot RakBank AED'!$A$3,"Mese",2,"Tipologia",$A253),0)
+IFERROR(GETPIVOTDATA("Somma di DARE",'Pivot RakBank EUR'!$A$3,"Mese",2,"Tipologia",$A253),0)
- IFERROR(GETPIVOTDATA("Somma di AVERE",'Pivot RakBank EUR'!$A$3,"Mese",2,"Tipologia",$A253),0)
+IFERROR(GETPIVOTDATA("Somma di DARE",'Pivot Fineco Sa'!$A$3,"Mese",2,"Tipologia",$A253),0)
+ IFERROR(GETPIVOTDATA("Somma di DARE",'Pivot Fineco St'!$A$3,"Mese",2,"Tipologia",$A253),0)
+ Contanti!F115
+ IFERROR(GETPIVOTDATA("Somma di DARE",'Pivot BBVA'!$A$3,"Mese",2,"Tipologia",$A253),0)
+ IFERROR(GETPIVOTDATA("Somma di DARE",'Pivot Amex'!$A$3,"Mese",2,"Tipologia",$A253),0)
- IFERROR(GETPIVOTDATA("Somma di AVERE",'Pivot Amex'!$A$3,"Mese",2,"Tipologia",$A253),0)
- IFERROR(GETPIVOTDATA("Somma di AVERE",'Pivot BBVA'!$A$3,"Mese",2,"Tipologia",$A253),0)
- IFERROR(GETPIVOTDATA("Somma di AVERE",'Pivot Fineco St'!$A$3,"Mese",2,"Tipologia",$A253),0)
- IFERROR(GETPIVOTDATA("Somma di AVERE",'Pivot Fineco Sa'!$A$3,"Mese",2,"Tipologia",$A253),0)
+ IFERROR(GETPIVOTDATA("Somma di DARE",'Pivot PP Visa'!$A$3,"Mese",2,"Tipologia",$A253),0)
- IFERROR(GETPIVOTDATA("Somma di AVERE",'Pivot PP Visa'!$A$3,"Mese",2,"Tipologia",$A253),0)
+ IFERROR(GETPIVOTDATA("Somma di DARE",'Pivot Revolut'!$A$3,"Mese",2,"Tipologia",$A253),0)
- IFERROR(GETPIVOTDATA("Somma di AVERE",'Pivot Revolut'!$A$3,"Mese",2,"Tipologia",$A253),0)</f>
        <v>38.35</v>
      </c>
      <c r="E253" s="243">
        <f>IFERROR(GETPIVOTDATA("Somma di DARE EUR",'Pivot RakBank AED'!$A$3,"Mese",3,"Tipologia",$A253),0)
- IFERROR(GETPIVOTDATA("Somma di AVERE EUR",'Pivot RakBank AED'!$A$3,"Mese",3,"Tipologia",$A253),0)
+IFERROR(GETPIVOTDATA("Somma di DARE",'Pivot RakBank EUR'!$A$3,"Mese",3,"Tipologia",$A253),0)
- IFERROR(GETPIVOTDATA("Somma di AVERE",'Pivot RakBank EUR'!$A$3,"Mese",3,"Tipologia",$A253),0)
+IFERROR(GETPIVOTDATA("Somma di DARE",'Pivot Fineco Sa'!$A$3,"Mese",3,"Tipologia",$A253),0)
+ IFERROR(GETPIVOTDATA("Somma di DARE",'Pivot Fineco St'!$A$3,"Mese",3,"Tipologia",$A253),0)
+ Contanti!J115
+ IFERROR(GETPIVOTDATA("Somma di DARE",'Pivot BBVA'!$A$3,"Mese",3,"Tipologia",$A253),0)
+ IFERROR(GETPIVOTDATA("Somma di DARE",'Pivot Amex'!$A$3,"Mese",3,"Tipologia",$A253),0)
- IFERROR(GETPIVOTDATA("Somma di AVERE",'Pivot Amex'!$A$3,"Mese",3,"Tipologia",$A253),0)
- IFERROR(GETPIVOTDATA("Somma di AVERE",'Pivot BBVA'!$A$3,"Mese",3,"Tipologia",$A253),0)
- IFERROR(GETPIVOTDATA("Somma di AVERE",'Pivot Fineco St'!$A$3,"Mese",3,"Tipologia",$A253),0)
- IFERROR(GETPIVOTDATA("Somma di AVERE",'Pivot Fineco Sa'!$A$3,"Mese",3,"Tipologia",$A253),0)
+ IFERROR(GETPIVOTDATA("Somma di DARE",'Pivot PP Visa'!$A$3,"Mese",3,"Tipologia",$A253),0)
- IFERROR(GETPIVOTDATA("Somma di AVERE",'Pivot PP Visa'!$A$3,"Mese",3,"Tipologia",$A253),0)
+ IFERROR(GETPIVOTDATA("Somma di DARE",'Pivot Revolut'!$A$3,"Mese",3,"Tipologia",$A253),0)
- IFERROR(GETPIVOTDATA("Somma di AVERE",'Pivot Revolut'!$A$3,"Mese",3,"Tipologia",$A253),0)</f>
        <v>0</v>
      </c>
      <c r="F253" s="243">
        <f>IFERROR(GETPIVOTDATA("Somma di DARE EUR",'Pivot RakBank AED'!$A$3,"Mese",4,"Tipologia",$A253),0)
- IFERROR(GETPIVOTDATA("Somma di AVERE EUR",'Pivot RakBank AED'!$A$3,"Mese",4,"Tipologia",$A253),0)
+IFERROR(GETPIVOTDATA("Somma di DARE",'Pivot RakBank EUR'!$A$3,"Mese",4,"Tipologia",$A253),0)
- IFERROR(GETPIVOTDATA("Somma di AVERE",'Pivot RakBank EUR'!$A$3,"Mese",4,"Tipologia",$A253),0)
+IFERROR(GETPIVOTDATA("Somma di DARE",'Pivot Fineco Sa'!$A$3,"Mese",4,"Tipologia",$A253),0)
+ IFERROR(GETPIVOTDATA("Somma di DARE",'Pivot Fineco St'!$A$3,"Mese",4,"Tipologia",$A253),0)
+ Contanti!N115
+ IFERROR(GETPIVOTDATA("Somma di DARE",'Pivot BBVA'!$A$3,"Mese",4,"Tipologia",$A253),0)
+ IFERROR(GETPIVOTDATA("Somma di DARE",'Pivot Amex'!$A$3,"Mese",4,"Tipologia",$A253),0)
- IFERROR(GETPIVOTDATA("Somma di AVERE",'Pivot Amex'!$A$3,"Mese",4,"Tipologia",$A253),0)
- IFERROR(GETPIVOTDATA("Somma di AVERE",'Pivot BBVA'!$A$3,"Mese",4,"Tipologia",$A253),0)
- IFERROR(GETPIVOTDATA("Somma di AVERE",'Pivot Fineco St'!$A$3,"Mese",4,"Tipologia",$A253),0)
- IFERROR(GETPIVOTDATA("Somma di AVERE",'Pivot Fineco Sa'!$A$3,"Mese",4,"Tipologia",$A253),0)
+ IFERROR(GETPIVOTDATA("Somma di DARE",'Pivot PP Visa'!$A$3,"Mese",4,"Tipologia",$A253),0)
- IFERROR(GETPIVOTDATA("Somma di AVERE",'Pivot PP Visa'!$A$3,"Mese",4,"Tipologia",$A253),0)
+ IFERROR(GETPIVOTDATA("Somma di DARE",'Pivot Revolut'!$A$3,"Mese",4,"Tipologia",$A253),0)
- IFERROR(GETPIVOTDATA("Somma di AVERE",'Pivot Revolut'!$A$3,"Mese",4,"Tipologia",$A253),0)</f>
        <v>0</v>
      </c>
      <c r="G253" s="243">
        <f>IFERROR(GETPIVOTDATA("Somma di DARE EUR",'Pivot RakBank AED'!$A$3,"Mese",5,"Tipologia",$A253),0)
- IFERROR(GETPIVOTDATA("Somma di AVERE EUR",'Pivot RakBank AED'!$A$3,"Mese",5,"Tipologia",$A253),0)
+IFERROR(GETPIVOTDATA("Somma di DARE",'Pivot RakBank EUR'!$A$3,"Mese",5,"Tipologia",$A253),0)
- IFERROR(GETPIVOTDATA("Somma di AVERE",'Pivot RakBank EUR'!$A$3,"Mese",5,"Tipologia",$A253),0)
+IFERROR(GETPIVOTDATA("Somma di DARE",'Pivot Fineco Sa'!$A$3,"Mese",5,"Tipologia",$A253),0)
+ IFERROR(GETPIVOTDATA("Somma di DARE",'Pivot Fineco St'!$A$3,"Mese",5,"Tipologia",$A253),0)
+ Contanti!R115
+ IFERROR(GETPIVOTDATA("Somma di DARE",'Pivot BBVA'!$A$3,"Mese",5,"Tipologia",$A253),0)
+ IFERROR(GETPIVOTDATA("Somma di DARE",'Pivot Amex'!$A$3,"Mese",5,"Tipologia",$A253),0)
- IFERROR(GETPIVOTDATA("Somma di AVERE",'Pivot Amex'!$A$3,"Mese",5,"Tipologia",$A253),0)
- IFERROR(GETPIVOTDATA("Somma di AVERE",'Pivot BBVA'!$A$3,"Mese",5,"Tipologia",$A253),0)
- IFERROR(GETPIVOTDATA("Somma di AVERE",'Pivot Fineco St'!$A$3,"Mese",5,"Tipologia",$A253),0)
- IFERROR(GETPIVOTDATA("Somma di AVERE",'Pivot Fineco Sa'!$A$3,"Mese",5,"Tipologia",$A253),0)
+ IFERROR(GETPIVOTDATA("Somma di DARE",'Pivot PP Visa'!$A$3,"Mese",5,"Tipologia",$A253),0)
- IFERROR(GETPIVOTDATA("Somma di AVERE",'Pivot PP Visa'!$A$3,"Mese",5,"Tipologia",$A253),0)
+ IFERROR(GETPIVOTDATA("Somma di DARE",'Pivot Revolut'!$A$3,"Mese",5,"Tipologia",$A253),0)
- IFERROR(GETPIVOTDATA("Somma di AVERE",'Pivot Revolut'!$A$3,"Mese",5,"Tipologia",$A253),0)</f>
        <v>0</v>
      </c>
      <c r="H253" s="243">
        <f>IFERROR(GETPIVOTDATA("Somma di DARE EUR",'Pivot RakBank AED'!$A$3,"Mese",6,"Tipologia",$A253),0)
- IFERROR(GETPIVOTDATA("Somma di AVERE EUR",'Pivot RakBank AED'!$A$3,"Mese",6,"Tipologia",$A253),0)
+IFERROR(GETPIVOTDATA("Somma di DARE",'Pivot RakBank EUR'!$A$3,"Mese",6,"Tipologia",$A253),0)
- IFERROR(GETPIVOTDATA("Somma di AVERE",'Pivot RakBank EUR'!$A$3,"Mese",6,"Tipologia",$A253),0)
+IFERROR(GETPIVOTDATA("Somma di DARE",'Pivot Fineco Sa'!$A$3,"Mese",6,"Tipologia",$A253),0)
+ IFERROR(GETPIVOTDATA("Somma di DARE",'Pivot Fineco St'!$A$3,"Mese",6,"Tipologia",$A253),0)
+ Contanti!V115
+ IFERROR(GETPIVOTDATA("Somma di DARE",'Pivot BBVA'!$A$3,"Mese",6,"Tipologia",$A253),0)
+ IFERROR(GETPIVOTDATA("Somma di DARE",'Pivot Amex'!$A$3,"Mese",6,"Tipologia",$A253),0)
- IFERROR(GETPIVOTDATA("Somma di AVERE",'Pivot Amex'!$A$3,"Mese",6,"Tipologia",$A253),0)
- IFERROR(GETPIVOTDATA("Somma di AVERE",'Pivot BBVA'!$A$3,"Mese",6,"Tipologia",$A253),0)
- IFERROR(GETPIVOTDATA("Somma di AVERE",'Pivot Fineco St'!$A$3,"Mese",6,"Tipologia",$A253),0)
- IFERROR(GETPIVOTDATA("Somma di AVERE",'Pivot Fineco Sa'!$A$3,"Mese",6,"Tipologia",$A253),0)
+ IFERROR(GETPIVOTDATA("Somma di DARE",'Pivot PP Visa'!$A$3,"Mese",6,"Tipologia",$A253),0)
- IFERROR(GETPIVOTDATA("Somma di AVERE",'Pivot PP Visa'!$A$3,"Mese",6,"Tipologia",$A253),0)
+ IFERROR(GETPIVOTDATA("Somma di DARE",'Pivot Revolut'!$A$3,"Mese",6,"Tipologia",$A253),0)
- IFERROR(GETPIVOTDATA("Somma di AVERE",'Pivot Revolut'!$A$3,"Mese",6,"Tipologia",$A253),0)</f>
        <v>2.99</v>
      </c>
      <c r="I253" s="243">
        <f>IFERROR(GETPIVOTDATA("Somma di DARE EUR",'Pivot RakBank AED'!$A$3,"Mese",7,"Tipologia",$A253),0)
- IFERROR(GETPIVOTDATA("Somma di AVERE EUR",'Pivot RakBank AED'!$A$3,"Mese",7,"Tipologia",$A253),0)
+IFERROR(GETPIVOTDATA("Somma di DARE",'Pivot RakBank EUR'!$A$3,"Mese",7,"Tipologia",$A253),0)
- IFERROR(GETPIVOTDATA("Somma di AVERE",'Pivot RakBank EUR'!$A$3,"Mese",7,"Tipologia",$A253),0)
+IFERROR(GETPIVOTDATA("Somma di DARE",'Pivot Fineco Sa'!$A$3,"Mese",7,"Tipologia",$A253),0)
+ IFERROR(GETPIVOTDATA("Somma di DARE",'Pivot Fineco St'!$A$3,"Mese",7,"Tipologia",$A253),0)
+ Contanti!Z115
+ IFERROR(GETPIVOTDATA("Somma di DARE",'Pivot BBVA'!$A$3,"Mese",7,"Tipologia",$A253),0)
+ IFERROR(GETPIVOTDATA("Somma di DARE",'Pivot Amex'!$A$3,"Mese",7,"Tipologia",$A253),0)
- IFERROR(GETPIVOTDATA("Somma di AVERE",'Pivot Amex'!$A$3,"Mese",7,"Tipologia",$A253),0)
- IFERROR(GETPIVOTDATA("Somma di AVERE",'Pivot BBVA'!$A$3,"Mese",7,"Tipologia",$A253),0)
- IFERROR(GETPIVOTDATA("Somma di AVERE",'Pivot Fineco St'!$A$3,"Mese",7,"Tipologia",$A253),0)
- IFERROR(GETPIVOTDATA("Somma di AVERE",'Pivot Fineco Sa'!$A$3,"Mese",7,"Tipologia",$A253),0)
+ IFERROR(GETPIVOTDATA("Somma di DARE",'Pivot PP Visa'!$A$3,"Mese",7,"Tipologia",$A253),0)
- IFERROR(GETPIVOTDATA("Somma di AVERE",'Pivot PP Visa'!$A$3,"Mese",7,"Tipologia",$A253),0)
+ IFERROR(GETPIVOTDATA("Somma di DARE",'Pivot Revolut'!$A$3,"Mese",7,"Tipologia",$A253),0)
- IFERROR(GETPIVOTDATA("Somma di AVERE",'Pivot Revolut'!$A$3,"Mese",7,"Tipologia",$A253),0)</f>
        <v>0</v>
      </c>
      <c r="J253" s="243">
        <f>IFERROR(GETPIVOTDATA("Somma di DARE EUR",'Pivot RakBank AED'!$A$3,"Mese",8,"Tipologia",$A253),0)
- IFERROR(GETPIVOTDATA("Somma di AVERE EUR",'Pivot RakBank AED'!$A$3,"Mese",8,"Tipologia",$A253),0)
+IFERROR(GETPIVOTDATA("Somma di DARE",'Pivot RakBank EUR'!$A$3,"Mese",8,"Tipologia",$A253),0)
- IFERROR(GETPIVOTDATA("Somma di AVERE",'Pivot RakBank EUR'!$A$3,"Mese",8,"Tipologia",$A253),0)
+IFERROR(GETPIVOTDATA("Somma di DARE",'Pivot Fineco Sa'!$A$3,"Mese",8,"Tipologia",$A253),0)
+ IFERROR(GETPIVOTDATA("Somma di DARE",'Pivot Fineco St'!$A$3,"Mese",8,"Tipologia",$A253),0)
+ Contanti!AD115
+ IFERROR(GETPIVOTDATA("Somma di DARE",'Pivot BBVA'!$A$3,"Mese",8,"Tipologia",$A253),0)
+ IFERROR(GETPIVOTDATA("Somma di DARE",'Pivot Amex'!$A$3,"Mese",8,"Tipologia",$A253),0)
- IFERROR(GETPIVOTDATA("Somma di AVERE",'Pivot Amex'!$A$3,"Mese",8,"Tipologia",$A253),0)
- IFERROR(GETPIVOTDATA("Somma di AVERE",'Pivot BBVA'!$A$3,"Mese",8,"Tipologia",$A253),0)
- IFERROR(GETPIVOTDATA("Somma di AVERE",'Pivot Fineco St'!$A$3,"Mese",8,"Tipologia",$A253),0)
- IFERROR(GETPIVOTDATA("Somma di AVERE",'Pivot Fineco Sa'!$A$3,"Mese",8,"Tipologia",$A253),0)
+ IFERROR(GETPIVOTDATA("Somma di DARE",'Pivot PP Visa'!$A$3,"Mese",8,"Tipologia",$A253),0)
- IFERROR(GETPIVOTDATA("Somma di AVERE",'Pivot PP Visa'!$A$3,"Mese",8,"Tipologia",$A253),0)
+ IFERROR(GETPIVOTDATA("Somma di DARE",'Pivot Revolut'!$A$3,"Mese",8,"Tipologia",$A253),0)
- IFERROR(GETPIVOTDATA("Somma di AVERE",'Pivot Revolut'!$A$3,"Mese",8,"Tipologia",$A253),0)</f>
        <v>0</v>
      </c>
      <c r="K253" s="243">
        <f>IFERROR(GETPIVOTDATA("Somma di DARE EUR",'Pivot RakBank AED'!$A$3,"Mese",9,"Tipologia",$A253),0)
- IFERROR(GETPIVOTDATA("Somma di AVERE EUR",'Pivot RakBank AED'!$A$3,"Mese",9,"Tipologia",$A253),0)
+IFERROR(GETPIVOTDATA("Somma di DARE",'Pivot RakBank EUR'!$A$3,"Mese",9,"Tipologia",$A253),0)
- IFERROR(GETPIVOTDATA("Somma di AVERE",'Pivot RakBank EUR'!$A$3,"Mese",9,"Tipologia",$A253),0)
+IFERROR(GETPIVOTDATA("Somma di DARE",'Pivot Fineco Sa'!$A$3,"Mese",9,"Tipologia",$A253),0)
+ IFERROR(GETPIVOTDATA("Somma di DARE",'Pivot Fineco St'!$A$3,"Mese",9,"Tipologia",$A253),0)
+ Contanti!AH115
+ IFERROR(GETPIVOTDATA("Somma di DARE",'Pivot BBVA'!$A$3,"Mese",9,"Tipologia",$A253),0)
+ IFERROR(GETPIVOTDATA("Somma di DARE",'Pivot Amex'!$A$3,"Mese",9,"Tipologia",$A253),0)
- IFERROR(GETPIVOTDATA("Somma di AVERE",'Pivot Amex'!$A$3,"Mese",9,"Tipologia",$A253),0)
- IFERROR(GETPIVOTDATA("Somma di AVERE",'Pivot BBVA'!$A$3,"Mese",9,"Tipologia",$A253),0)
- IFERROR(GETPIVOTDATA("Somma di AVERE",'Pivot Fineco St'!$A$3,"Mese",9,"Tipologia",$A253),0)
- IFERROR(GETPIVOTDATA("Somma di AVERE",'Pivot Fineco Sa'!$A$3,"Mese",9,"Tipologia",$A253),0)
+ IFERROR(GETPIVOTDATA("Somma di DARE",'Pivot PP Visa'!$A$3,"Mese",9,"Tipologia",$A253),0)
- IFERROR(GETPIVOTDATA("Somma di AVERE",'Pivot PP Visa'!$A$3,"Mese",9,"Tipologia",$A253),0)
+ IFERROR(GETPIVOTDATA("Somma di DARE",'Pivot Revolut'!$A$3,"Mese",9,"Tipologia",$A253),0)
- IFERROR(GETPIVOTDATA("Somma di AVERE",'Pivot Revolut'!$A$3,"Mese",9,"Tipologia",$A253),0)</f>
        <v>0</v>
      </c>
      <c r="L253" s="243">
        <f>IFERROR(GETPIVOTDATA("Somma di DARE EUR",'Pivot RakBank AED'!$A$3,"Mese",10,"Tipologia",$A253),0)
- IFERROR(GETPIVOTDATA("Somma di AVERE EUR",'Pivot RakBank AED'!$A$3,"Mese",10,"Tipologia",$A253),0)
+IFERROR(GETPIVOTDATA("Somma di DARE",'Pivot RakBank EUR'!$A$3,"Mese",10,"Tipologia",$A253),0)
- IFERROR(GETPIVOTDATA("Somma di AVERE",'Pivot RakBank EUR'!$A$3,"Mese",10,"Tipologia",$A253),0)
+IFERROR(GETPIVOTDATA("Somma di DARE",'Pivot Fineco Sa'!$A$3,"Mese",10,"Tipologia",$A253),0)
+ IFERROR(GETPIVOTDATA("Somma di DARE",'Pivot Fineco St'!$A$3,"Mese",10,"Tipologia",$A253),0)
+ Contanti!AL115
+ IFERROR(GETPIVOTDATA("Somma di DARE",'Pivot BBVA'!$A$3,"Mese",10,"Tipologia",$A253),0)
+ IFERROR(GETPIVOTDATA("Somma di DARE",'Pivot Amex'!$A$3,"Mese",10,"Tipologia",$A253),0)
- IFERROR(GETPIVOTDATA("Somma di AVERE",'Pivot Amex'!$A$3,"Mese",10,"Tipologia",$A253),0)
- IFERROR(GETPIVOTDATA("Somma di AVERE",'Pivot BBVA'!$A$3,"Mese",10,"Tipologia",$A253),0)
- IFERROR(GETPIVOTDATA("Somma di AVERE",'Pivot Fineco St'!$A$3,"Mese",10,"Tipologia",$A253),0)
- IFERROR(GETPIVOTDATA("Somma di AVERE",'Pivot Fineco Sa'!$A$3,"Mese",10,"Tipologia",$A253),0)
+ IFERROR(GETPIVOTDATA("Somma di DARE",'Pivot PP Visa'!$A$3,"Mese",10,"Tipologia",$A253),0)
- IFERROR(GETPIVOTDATA("Somma di AVERE",'Pivot PP Visa'!$A$3,"Mese",10,"Tipologia",$A253),0)
+ IFERROR(GETPIVOTDATA("Somma di DARE",'Pivot Revolut'!$A$3,"Mese",10,"Tipologia",$A253),0)
- IFERROR(GETPIVOTDATA("Somma di AVERE",'Pivot Revolut'!$A$3,"Mese",10,"Tipologia",$A253),0)</f>
        <v>0</v>
      </c>
      <c r="M253" s="243">
        <f>IFERROR(GETPIVOTDATA("Somma di DARE EUR",'Pivot RakBank AED'!$A$3,"Mese",11,"Tipologia",$A253),0)
- IFERROR(GETPIVOTDATA("Somma di AVERE EUR",'Pivot RakBank AED'!$A$3,"Mese",11,"Tipologia",$A253),0)
+IFERROR(GETPIVOTDATA("Somma di DARE",'Pivot RakBank EUR'!$A$3,"Mese",11,"Tipologia",$A253),0)
- IFERROR(GETPIVOTDATA("Somma di AVERE",'Pivot RakBank EUR'!$A$3,"Mese",11,"Tipologia",$A253),0)
+IFERROR(GETPIVOTDATA("Somma di DARE",'Pivot Fineco Sa'!$A$3,"Mese",11,"Tipologia",$A253),0)
+ IFERROR(GETPIVOTDATA("Somma di DARE",'Pivot Fineco St'!$A$3,"Mese",11,"Tipologia",$A253),0)
+ Contanti!AP115
+ IFERROR(GETPIVOTDATA("Somma di DARE",'Pivot BBVA'!$A$3,"Mese",11,"Tipologia",$A253),0)
+ IFERROR(GETPIVOTDATA("Somma di DARE",'Pivot Amex'!$A$3,"Mese",11,"Tipologia",$A253),0)
- IFERROR(GETPIVOTDATA("Somma di AVERE",'Pivot Amex'!$A$3,"Mese",11,"Tipologia",$A253),0)
- IFERROR(GETPIVOTDATA("Somma di AVERE",'Pivot BBVA'!$A$3,"Mese",11,"Tipologia",$A253),0)
- IFERROR(GETPIVOTDATA("Somma di AVERE",'Pivot Fineco St'!$A$3,"Mese",11,"Tipologia",$A253),0)
- IFERROR(GETPIVOTDATA("Somma di AVERE",'Pivot Fineco Sa'!$A$3,"Mese",11,"Tipologia",$A253),0)
+ IFERROR(GETPIVOTDATA("Somma di DARE",'Pivot PP Visa'!$A$3,"Mese",11,"Tipologia",$A253),0)
- IFERROR(GETPIVOTDATA("Somma di AVERE",'Pivot PP Visa'!$A$3,"Mese",11,"Tipologia",$A253),0)
+ IFERROR(GETPIVOTDATA("Somma di DARE",'Pivot Revolut'!$A$3,"Mese",11,"Tipologia",$A253),0)
- IFERROR(GETPIVOTDATA("Somma di AVERE",'Pivot Revolut'!$A$3,"Mese",11,"Tipologia",$A253),0)</f>
        <v>0</v>
      </c>
      <c r="N253" s="243">
        <f>IFERROR(GETPIVOTDATA("Somma di DARE EUR",'Pivot RakBank AED'!$A$3,"Mese",12,"Tipologia",$A253),0)
- IFERROR(GETPIVOTDATA("Somma di AVERE EUR",'Pivot RakBank AED'!$A$3,"Mese",12,"Tipologia",$A253),0)
+IFERROR(GETPIVOTDATA("Somma di DARE",'Pivot RakBank EUR'!$A$3,"Mese",12,"Tipologia",$A253),0)
- IFERROR(GETPIVOTDATA("Somma di AVERE",'Pivot RakBank EUR'!$A$3,"Mese",12,"Tipologia",$A253),0)
+IFERROR(GETPIVOTDATA("Somma di DARE",'Pivot Fineco Sa'!$A$3,"Mese",12,"Tipologia",$A253),0)
+ IFERROR(GETPIVOTDATA("Somma di DARE",'Pivot Fineco St'!$A$3,"Mese",12,"Tipologia",$A253),0)
+ Contanti!AT115
+ IFERROR(GETPIVOTDATA("Somma di DARE",'Pivot BBVA'!$A$3,"Mese",12,"Tipologia",$A253),0)
+ IFERROR(GETPIVOTDATA("Somma di DARE",'Pivot Amex'!$A$3,"Mese",12,"Tipologia",$A253),0)
- IFERROR(GETPIVOTDATA("Somma di AVERE",'Pivot Amex'!$A$3,"Mese",12,"Tipologia",$A253),0)
- IFERROR(GETPIVOTDATA("Somma di AVERE",'Pivot BBVA'!$A$3,"Mese",12,"Tipologia",$A253),0)
- IFERROR(GETPIVOTDATA("Somma di AVERE",'Pivot Fineco St'!$A$3,"Mese",12,"Tipologia",$A253),0)
- IFERROR(GETPIVOTDATA("Somma di AVERE",'Pivot Fineco Sa'!$A$3,"Mese",12,"Tipologia",$A253),0)
+ IFERROR(GETPIVOTDATA("Somma di DARE",'Pivot PP Visa'!$A$3,"Mese",12,"Tipologia",$A253),0)
- IFERROR(GETPIVOTDATA("Somma di AVERE",'Pivot PP Visa'!$A$3,"Mese",12,"Tipologia",$A253),0)
+ IFERROR(GETPIVOTDATA("Somma di DARE",'Pivot Revolut'!$A$3,"Mese",12,"Tipologia",$A253),0)
- IFERROR(GETPIVOTDATA("Somma di AVERE",'Pivot Revolut'!$A$3,"Mese",12,"Tipologia",$A253),0)</f>
        <v>0</v>
      </c>
      <c r="O253" s="252">
        <f t="shared" si="54"/>
        <v>49.32</v>
      </c>
      <c r="P253" s="243">
        <f t="shared" ca="1" si="55"/>
        <v>7.0457142857142854</v>
      </c>
    </row>
    <row r="254" spans="1:16" s="125" customFormat="1" ht="21" customHeight="1" x14ac:dyDescent="0.2">
      <c r="A254" s="251"/>
      <c r="B254" s="251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</row>
    <row r="255" spans="1:16" s="125" customFormat="1" ht="21" customHeight="1" x14ac:dyDescent="0.2">
      <c r="A255" s="255" t="s">
        <v>48</v>
      </c>
      <c r="B255" s="255"/>
      <c r="C255" s="256">
        <f>SUM(C256:C263)</f>
        <v>22252.95</v>
      </c>
      <c r="D255" s="256">
        <f t="shared" ref="D255:N255" si="56">SUM(D256:D263)</f>
        <v>-2709.99</v>
      </c>
      <c r="E255" s="256">
        <f t="shared" si="56"/>
        <v>65</v>
      </c>
      <c r="F255" s="256">
        <f t="shared" si="56"/>
        <v>0</v>
      </c>
      <c r="G255" s="256">
        <f t="shared" si="56"/>
        <v>3970.0880800000004</v>
      </c>
      <c r="H255" s="256">
        <f t="shared" si="56"/>
        <v>9261.5816539999996</v>
      </c>
      <c r="I255" s="256">
        <f t="shared" si="56"/>
        <v>9470.7380852000006</v>
      </c>
      <c r="J255" s="256">
        <f t="shared" si="56"/>
        <v>0</v>
      </c>
      <c r="K255" s="256">
        <f t="shared" si="56"/>
        <v>0</v>
      </c>
      <c r="L255" s="256">
        <f t="shared" si="56"/>
        <v>0</v>
      </c>
      <c r="M255" s="256">
        <f t="shared" si="56"/>
        <v>0</v>
      </c>
      <c r="N255" s="256">
        <f t="shared" si="56"/>
        <v>0</v>
      </c>
      <c r="O255" s="257">
        <f t="shared" si="54"/>
        <v>42310.367819200001</v>
      </c>
      <c r="P255" s="256"/>
    </row>
    <row r="256" spans="1:16" s="125" customFormat="1" ht="21" customHeight="1" x14ac:dyDescent="0.2">
      <c r="A256" s="251" t="s">
        <v>577</v>
      </c>
      <c r="B256" s="247"/>
      <c r="C256" s="243">
        <f>IFERROR(GETPIVOTDATA("Somma di DARE EUR",'Pivot RakBank AED'!$A$3,"Mese",1,"Tipologia",$A256),0)
- IFERROR(GETPIVOTDATA("Somma di AVERE EUR",'Pivot RakBank AED'!$A$3,"Mese",1,"Tipologia",$A256),0)
+IFERROR(GETPIVOTDATA("Somma di DARE",'Pivot RakBank EUR'!$A$3,"Mese",1,"Tipologia",$A256),0)
- IFERROR(GETPIVOTDATA("Somma di AVERE",'Pivot RakBank EUR'!$A$3,"Mese",1,"Tipologia",$A256),0)
+IFERROR(GETPIVOTDATA("Somma di DARE",'Pivot Fineco Sa'!$A$3,"Mese",1,"Tipologia",$A256),0)
+ IFERROR(GETPIVOTDATA("Somma di DARE",'Pivot Fineco St'!$A$3,"Mese",1,"Tipologia",$A256),0)
+ Contanti!B118
+ IFERROR(GETPIVOTDATA("Somma di DARE",'Pivot BBVA'!$A$3,"Mese",1,"Tipologia",$A256),0)
+ IFERROR(GETPIVOTDATA("Somma di DARE",'Pivot Amex'!$A$3,"Mese",1,"Tipologia",$A256),0)
- IFERROR(GETPIVOTDATA("Somma di AVERE",'Pivot Amex'!$A$3,"Mese",1,"Tipologia",$A256),0)
- IFERROR(GETPIVOTDATA("Somma di AVERE",'Pivot BBVA'!$A$3,"Mese",1,"Tipologia",$A256),0)
- IFERROR(GETPIVOTDATA("Somma di AVERE",'Pivot Fineco St'!$A$3,"Mese",1,"Tipologia",$A256),0)
- IFERROR(GETPIVOTDATA("Somma di AVERE",'Pivot Fineco Sa'!$A$3,"Mese",1,"Tipologia",$A256),0)
+ IFERROR(GETPIVOTDATA("Somma di DARE",'Pivot PP Visa'!$A$3,"Mese",1,"Tipologia",$A256),0)
- IFERROR(GETPIVOTDATA("Somma di AVERE",'Pivot PP Visa'!$A$3,"Mese",1,"Tipologia",$A256),0)
+ IFERROR(GETPIVOTDATA("Somma di DARE",'Pivot Revolut'!$A$3,"Mese",1,"Tipologia",$A256),0)
- IFERROR(GETPIVOTDATA("Somma di AVERE",'Pivot Revolut'!$A$3,"Mese",1,"Tipologia",$A256),0)</f>
        <v>22252.95</v>
      </c>
      <c r="D256" s="243">
        <f>IFERROR(GETPIVOTDATA("Somma di DARE EUR",'Pivot RakBank AED'!$A$3,"Mese",2,"Tipologia",$A256),0)
- IFERROR(GETPIVOTDATA("Somma di AVERE EUR",'Pivot RakBank AED'!$A$3,"Mese",2,"Tipologia",$A256),0)
+IFERROR(GETPIVOTDATA("Somma di DARE",'Pivot RakBank EUR'!$A$3,"Mese",2,"Tipologia",$A256),0)
- IFERROR(GETPIVOTDATA("Somma di AVERE",'Pivot RakBank EUR'!$A$3,"Mese",2,"Tipologia",$A256),0)
+IFERROR(GETPIVOTDATA("Somma di DARE",'Pivot Fineco Sa'!$A$3,"Mese",2,"Tipologia",$A256),0)
+ IFERROR(GETPIVOTDATA("Somma di DARE",'Pivot Fineco St'!$A$3,"Mese",2,"Tipologia",$A256),0)
+ Contanti!F118
+ IFERROR(GETPIVOTDATA("Somma di DARE",'Pivot BBVA'!$A$3,"Mese",2,"Tipologia",$A256),0)
+ IFERROR(GETPIVOTDATA("Somma di DARE",'Pivot Amex'!$A$3,"Mese",2,"Tipologia",$A256),0)
- IFERROR(GETPIVOTDATA("Somma di AVERE",'Pivot Amex'!$A$3,"Mese",2,"Tipologia",$A256),0)
- IFERROR(GETPIVOTDATA("Somma di AVERE",'Pivot BBVA'!$A$3,"Mese",2,"Tipologia",$A256),0)
- IFERROR(GETPIVOTDATA("Somma di AVERE",'Pivot Fineco St'!$A$3,"Mese",2,"Tipologia",$A256),0)
- IFERROR(GETPIVOTDATA("Somma di AVERE",'Pivot Fineco Sa'!$A$3,"Mese",2,"Tipologia",$A256),0)
+ IFERROR(GETPIVOTDATA("Somma di DARE",'Pivot PP Visa'!$A$3,"Mese",2,"Tipologia",$A256),0)
- IFERROR(GETPIVOTDATA("Somma di AVERE",'Pivot PP Visa'!$A$3,"Mese",2,"Tipologia",$A256),0)
+ IFERROR(GETPIVOTDATA("Somma di DARE",'Pivot Revolut'!$A$3,"Mese",2,"Tipologia",$A256),0)
- IFERROR(GETPIVOTDATA("Somma di AVERE",'Pivot Revolut'!$A$3,"Mese",2,"Tipologia",$A256),0)</f>
        <v>-2709.99</v>
      </c>
      <c r="E256" s="243">
        <f>IFERROR(GETPIVOTDATA("Somma di DARE EUR",'Pivot RakBank AED'!$A$3,"Mese",3,"Tipologia",$A256),0)
- IFERROR(GETPIVOTDATA("Somma di AVERE EUR",'Pivot RakBank AED'!$A$3,"Mese",3,"Tipologia",$A256),0)
+IFERROR(GETPIVOTDATA("Somma di DARE",'Pivot RakBank EUR'!$A$3,"Mese",3,"Tipologia",$A256),0)
- IFERROR(GETPIVOTDATA("Somma di AVERE",'Pivot RakBank EUR'!$A$3,"Mese",3,"Tipologia",$A256),0)
+IFERROR(GETPIVOTDATA("Somma di DARE",'Pivot Fineco Sa'!$A$3,"Mese",3,"Tipologia",$A256),0)
+ IFERROR(GETPIVOTDATA("Somma di DARE",'Pivot Fineco St'!$A$3,"Mese",3,"Tipologia",$A256),0)
+ Contanti!J118
+ IFERROR(GETPIVOTDATA("Somma di DARE",'Pivot BBVA'!$A$3,"Mese",3,"Tipologia",$A256),0)
+ IFERROR(GETPIVOTDATA("Somma di DARE",'Pivot Amex'!$A$3,"Mese",3,"Tipologia",$A256),0)
- IFERROR(GETPIVOTDATA("Somma di AVERE",'Pivot Amex'!$A$3,"Mese",3,"Tipologia",$A256),0)
- IFERROR(GETPIVOTDATA("Somma di AVERE",'Pivot BBVA'!$A$3,"Mese",3,"Tipologia",$A256),0)
- IFERROR(GETPIVOTDATA("Somma di AVERE",'Pivot Fineco St'!$A$3,"Mese",3,"Tipologia",$A256),0)
- IFERROR(GETPIVOTDATA("Somma di AVERE",'Pivot Fineco Sa'!$A$3,"Mese",3,"Tipologia",$A256),0)
+ IFERROR(GETPIVOTDATA("Somma di DARE",'Pivot PP Visa'!$A$3,"Mese",3,"Tipologia",$A256),0)
- IFERROR(GETPIVOTDATA("Somma di AVERE",'Pivot PP Visa'!$A$3,"Mese",3,"Tipologia",$A256),0)
+ IFERROR(GETPIVOTDATA("Somma di DARE",'Pivot Revolut'!$A$3,"Mese",3,"Tipologia",$A256),0)
- IFERROR(GETPIVOTDATA("Somma di AVERE",'Pivot Revolut'!$A$3,"Mese",3,"Tipologia",$A256),0)</f>
        <v>0</v>
      </c>
      <c r="F256" s="243">
        <f>IFERROR(GETPIVOTDATA("Somma di DARE EUR",'Pivot RakBank AED'!$A$3,"Mese",4,"Tipologia",$A256),0)
- IFERROR(GETPIVOTDATA("Somma di AVERE EUR",'Pivot RakBank AED'!$A$3,"Mese",4,"Tipologia",$A256),0)
+IFERROR(GETPIVOTDATA("Somma di DARE",'Pivot RakBank EUR'!$A$3,"Mese",4,"Tipologia",$A256),0)
- IFERROR(GETPIVOTDATA("Somma di AVERE",'Pivot RakBank EUR'!$A$3,"Mese",4,"Tipologia",$A256),0)
+IFERROR(GETPIVOTDATA("Somma di DARE",'Pivot Fineco Sa'!$A$3,"Mese",4,"Tipologia",$A256),0)
+ IFERROR(GETPIVOTDATA("Somma di DARE",'Pivot Fineco St'!$A$3,"Mese",4,"Tipologia",$A256),0)
+ Contanti!N118
+ IFERROR(GETPIVOTDATA("Somma di DARE",'Pivot BBVA'!$A$3,"Mese",4,"Tipologia",$A256),0)
+ IFERROR(GETPIVOTDATA("Somma di DARE",'Pivot Amex'!$A$3,"Mese",4,"Tipologia",$A256),0)
- IFERROR(GETPIVOTDATA("Somma di AVERE",'Pivot Amex'!$A$3,"Mese",4,"Tipologia",$A256),0)
- IFERROR(GETPIVOTDATA("Somma di AVERE",'Pivot BBVA'!$A$3,"Mese",4,"Tipologia",$A256),0)
- IFERROR(GETPIVOTDATA("Somma di AVERE",'Pivot Fineco St'!$A$3,"Mese",4,"Tipologia",$A256),0)
- IFERROR(GETPIVOTDATA("Somma di AVERE",'Pivot Fineco Sa'!$A$3,"Mese",4,"Tipologia",$A256),0)
+ IFERROR(GETPIVOTDATA("Somma di DARE",'Pivot PP Visa'!$A$3,"Mese",4,"Tipologia",$A256),0)
- IFERROR(GETPIVOTDATA("Somma di AVERE",'Pivot PP Visa'!$A$3,"Mese",4,"Tipologia",$A256),0)
+ IFERROR(GETPIVOTDATA("Somma di DARE",'Pivot Revolut'!$A$3,"Mese",4,"Tipologia",$A256),0)
- IFERROR(GETPIVOTDATA("Somma di AVERE",'Pivot Revolut'!$A$3,"Mese",4,"Tipologia",$A256),0)</f>
        <v>0</v>
      </c>
      <c r="G256" s="243">
        <f>IFERROR(GETPIVOTDATA("Somma di DARE EUR",'Pivot RakBank AED'!$A$3,"Mese",5,"Tipologia",$A256),0)
- IFERROR(GETPIVOTDATA("Somma di AVERE EUR",'Pivot RakBank AED'!$A$3,"Mese",5,"Tipologia",$A256),0)
+IFERROR(GETPIVOTDATA("Somma di DARE",'Pivot RakBank EUR'!$A$3,"Mese",5,"Tipologia",$A256),0)
- IFERROR(GETPIVOTDATA("Somma di AVERE",'Pivot RakBank EUR'!$A$3,"Mese",5,"Tipologia",$A256),0)
+IFERROR(GETPIVOTDATA("Somma di DARE",'Pivot Fineco Sa'!$A$3,"Mese",5,"Tipologia",$A256),0)
+ IFERROR(GETPIVOTDATA("Somma di DARE",'Pivot Fineco St'!$A$3,"Mese",5,"Tipologia",$A256),0)
+ Contanti!R118
+ IFERROR(GETPIVOTDATA("Somma di DARE",'Pivot BBVA'!$A$3,"Mese",5,"Tipologia",$A256),0)
+ IFERROR(GETPIVOTDATA("Somma di DARE",'Pivot Amex'!$A$3,"Mese",5,"Tipologia",$A256),0)
- IFERROR(GETPIVOTDATA("Somma di AVERE",'Pivot Amex'!$A$3,"Mese",5,"Tipologia",$A256),0)
- IFERROR(GETPIVOTDATA("Somma di AVERE",'Pivot BBVA'!$A$3,"Mese",5,"Tipologia",$A256),0)
- IFERROR(GETPIVOTDATA("Somma di AVERE",'Pivot Fineco St'!$A$3,"Mese",5,"Tipologia",$A256),0)
- IFERROR(GETPIVOTDATA("Somma di AVERE",'Pivot Fineco Sa'!$A$3,"Mese",5,"Tipologia",$A256),0)
+ IFERROR(GETPIVOTDATA("Somma di DARE",'Pivot PP Visa'!$A$3,"Mese",5,"Tipologia",$A256),0)
- IFERROR(GETPIVOTDATA("Somma di AVERE",'Pivot PP Visa'!$A$3,"Mese",5,"Tipologia",$A256),0)
+ IFERROR(GETPIVOTDATA("Somma di DARE",'Pivot Revolut'!$A$3,"Mese",5,"Tipologia",$A256),0)
- IFERROR(GETPIVOTDATA("Somma di AVERE",'Pivot Revolut'!$A$3,"Mese",5,"Tipologia",$A256),0)</f>
        <v>0</v>
      </c>
      <c r="H256" s="243">
        <f>IFERROR(GETPIVOTDATA("Somma di DARE EUR",'Pivot RakBank AED'!$A$3,"Mese",6,"Tipologia",$A256),0)
- IFERROR(GETPIVOTDATA("Somma di AVERE EUR",'Pivot RakBank AED'!$A$3,"Mese",6,"Tipologia",$A256),0)
+IFERROR(GETPIVOTDATA("Somma di DARE",'Pivot RakBank EUR'!$A$3,"Mese",6,"Tipologia",$A256),0)
- IFERROR(GETPIVOTDATA("Somma di AVERE",'Pivot RakBank EUR'!$A$3,"Mese",6,"Tipologia",$A256),0)
+IFERROR(GETPIVOTDATA("Somma di DARE",'Pivot Fineco Sa'!$A$3,"Mese",6,"Tipologia",$A256),0)
+ IFERROR(GETPIVOTDATA("Somma di DARE",'Pivot Fineco St'!$A$3,"Mese",6,"Tipologia",$A256),0)
+ Contanti!V118
+ IFERROR(GETPIVOTDATA("Somma di DARE",'Pivot BBVA'!$A$3,"Mese",6,"Tipologia",$A256),0)
+ IFERROR(GETPIVOTDATA("Somma di DARE",'Pivot Amex'!$A$3,"Mese",6,"Tipologia",$A256),0)
- IFERROR(GETPIVOTDATA("Somma di AVERE",'Pivot Amex'!$A$3,"Mese",6,"Tipologia",$A256),0)
- IFERROR(GETPIVOTDATA("Somma di AVERE",'Pivot BBVA'!$A$3,"Mese",6,"Tipologia",$A256),0)
- IFERROR(GETPIVOTDATA("Somma di AVERE",'Pivot Fineco St'!$A$3,"Mese",6,"Tipologia",$A256),0)
- IFERROR(GETPIVOTDATA("Somma di AVERE",'Pivot Fineco Sa'!$A$3,"Mese",6,"Tipologia",$A256),0)
+ IFERROR(GETPIVOTDATA("Somma di DARE",'Pivot PP Visa'!$A$3,"Mese",6,"Tipologia",$A256),0)
- IFERROR(GETPIVOTDATA("Somma di AVERE",'Pivot PP Visa'!$A$3,"Mese",6,"Tipologia",$A256),0)
+ IFERROR(GETPIVOTDATA("Somma di DARE",'Pivot Revolut'!$A$3,"Mese",6,"Tipologia",$A256),0)
- IFERROR(GETPIVOTDATA("Somma di AVERE",'Pivot Revolut'!$A$3,"Mese",6,"Tipologia",$A256),0)</f>
        <v>0</v>
      </c>
      <c r="I256" s="243">
        <f>IFERROR(GETPIVOTDATA("Somma di DARE EUR",'Pivot RakBank AED'!$A$3,"Mese",7,"Tipologia",$A256),0)
- IFERROR(GETPIVOTDATA("Somma di AVERE EUR",'Pivot RakBank AED'!$A$3,"Mese",7,"Tipologia",$A256),0)
+IFERROR(GETPIVOTDATA("Somma di DARE",'Pivot RakBank EUR'!$A$3,"Mese",7,"Tipologia",$A256),0)
- IFERROR(GETPIVOTDATA("Somma di AVERE",'Pivot RakBank EUR'!$A$3,"Mese",7,"Tipologia",$A256),0)
+IFERROR(GETPIVOTDATA("Somma di DARE",'Pivot Fineco Sa'!$A$3,"Mese",7,"Tipologia",$A256),0)
+ IFERROR(GETPIVOTDATA("Somma di DARE",'Pivot Fineco St'!$A$3,"Mese",7,"Tipologia",$A256),0)
+ Contanti!Z118
+ IFERROR(GETPIVOTDATA("Somma di DARE",'Pivot BBVA'!$A$3,"Mese",7,"Tipologia",$A256),0)
+ IFERROR(GETPIVOTDATA("Somma di DARE",'Pivot Amex'!$A$3,"Mese",7,"Tipologia",$A256),0)
- IFERROR(GETPIVOTDATA("Somma di AVERE",'Pivot Amex'!$A$3,"Mese",7,"Tipologia",$A256),0)
- IFERROR(GETPIVOTDATA("Somma di AVERE",'Pivot BBVA'!$A$3,"Mese",7,"Tipologia",$A256),0)
- IFERROR(GETPIVOTDATA("Somma di AVERE",'Pivot Fineco St'!$A$3,"Mese",7,"Tipologia",$A256),0)
- IFERROR(GETPIVOTDATA("Somma di AVERE",'Pivot Fineco Sa'!$A$3,"Mese",7,"Tipologia",$A256),0)
+ IFERROR(GETPIVOTDATA("Somma di DARE",'Pivot PP Visa'!$A$3,"Mese",7,"Tipologia",$A256),0)
- IFERROR(GETPIVOTDATA("Somma di AVERE",'Pivot PP Visa'!$A$3,"Mese",7,"Tipologia",$A256),0)
+ IFERROR(GETPIVOTDATA("Somma di DARE",'Pivot Revolut'!$A$3,"Mese",7,"Tipologia",$A256),0)
- IFERROR(GETPIVOTDATA("Somma di AVERE",'Pivot Revolut'!$A$3,"Mese",7,"Tipologia",$A256),0)</f>
        <v>0</v>
      </c>
      <c r="J256" s="243">
        <f>IFERROR(GETPIVOTDATA("Somma di DARE EUR",'Pivot RakBank AED'!$A$3,"Mese",8,"Tipologia",$A256),0)
- IFERROR(GETPIVOTDATA("Somma di AVERE EUR",'Pivot RakBank AED'!$A$3,"Mese",8,"Tipologia",$A256),0)
+IFERROR(GETPIVOTDATA("Somma di DARE",'Pivot RakBank EUR'!$A$3,"Mese",8,"Tipologia",$A256),0)
- IFERROR(GETPIVOTDATA("Somma di AVERE",'Pivot RakBank EUR'!$A$3,"Mese",8,"Tipologia",$A256),0)
+IFERROR(GETPIVOTDATA("Somma di DARE",'Pivot Fineco Sa'!$A$3,"Mese",8,"Tipologia",$A256),0)
+ IFERROR(GETPIVOTDATA("Somma di DARE",'Pivot Fineco St'!$A$3,"Mese",8,"Tipologia",$A256),0)
+ Contanti!AD118
+ IFERROR(GETPIVOTDATA("Somma di DARE",'Pivot BBVA'!$A$3,"Mese",8,"Tipologia",$A256),0)
+ IFERROR(GETPIVOTDATA("Somma di DARE",'Pivot Amex'!$A$3,"Mese",8,"Tipologia",$A256),0)
- IFERROR(GETPIVOTDATA("Somma di AVERE",'Pivot Amex'!$A$3,"Mese",8,"Tipologia",$A256),0)
- IFERROR(GETPIVOTDATA("Somma di AVERE",'Pivot BBVA'!$A$3,"Mese",8,"Tipologia",$A256),0)
- IFERROR(GETPIVOTDATA("Somma di AVERE",'Pivot Fineco St'!$A$3,"Mese",8,"Tipologia",$A256),0)
- IFERROR(GETPIVOTDATA("Somma di AVERE",'Pivot Fineco Sa'!$A$3,"Mese",8,"Tipologia",$A256),0)
+ IFERROR(GETPIVOTDATA("Somma di DARE",'Pivot PP Visa'!$A$3,"Mese",8,"Tipologia",$A256),0)
- IFERROR(GETPIVOTDATA("Somma di AVERE",'Pivot PP Visa'!$A$3,"Mese",8,"Tipologia",$A256),0)
+ IFERROR(GETPIVOTDATA("Somma di DARE",'Pivot Revolut'!$A$3,"Mese",8,"Tipologia",$A256),0)
- IFERROR(GETPIVOTDATA("Somma di AVERE",'Pivot Revolut'!$A$3,"Mese",8,"Tipologia",$A256),0)</f>
        <v>0</v>
      </c>
      <c r="K256" s="243">
        <f>IFERROR(GETPIVOTDATA("Somma di DARE EUR",'Pivot RakBank AED'!$A$3,"Mese",9,"Tipologia",$A256),0)
- IFERROR(GETPIVOTDATA("Somma di AVERE EUR",'Pivot RakBank AED'!$A$3,"Mese",9,"Tipologia",$A256),0)
+IFERROR(GETPIVOTDATA("Somma di DARE",'Pivot RakBank EUR'!$A$3,"Mese",9,"Tipologia",$A256),0)
- IFERROR(GETPIVOTDATA("Somma di AVERE",'Pivot RakBank EUR'!$A$3,"Mese",9,"Tipologia",$A256),0)
+IFERROR(GETPIVOTDATA("Somma di DARE",'Pivot Fineco Sa'!$A$3,"Mese",9,"Tipologia",$A256),0)
+ IFERROR(GETPIVOTDATA("Somma di DARE",'Pivot Fineco St'!$A$3,"Mese",9,"Tipologia",$A256),0)
+ Contanti!AH118
+ IFERROR(GETPIVOTDATA("Somma di DARE",'Pivot BBVA'!$A$3,"Mese",9,"Tipologia",$A256),0)
+ IFERROR(GETPIVOTDATA("Somma di DARE",'Pivot Amex'!$A$3,"Mese",9,"Tipologia",$A256),0)
- IFERROR(GETPIVOTDATA("Somma di AVERE",'Pivot Amex'!$A$3,"Mese",9,"Tipologia",$A256),0)
- IFERROR(GETPIVOTDATA("Somma di AVERE",'Pivot BBVA'!$A$3,"Mese",9,"Tipologia",$A256),0)
- IFERROR(GETPIVOTDATA("Somma di AVERE",'Pivot Fineco St'!$A$3,"Mese",9,"Tipologia",$A256),0)
- IFERROR(GETPIVOTDATA("Somma di AVERE",'Pivot Fineco Sa'!$A$3,"Mese",9,"Tipologia",$A256),0)
+ IFERROR(GETPIVOTDATA("Somma di DARE",'Pivot PP Visa'!$A$3,"Mese",9,"Tipologia",$A256),0)
- IFERROR(GETPIVOTDATA("Somma di AVERE",'Pivot PP Visa'!$A$3,"Mese",9,"Tipologia",$A256),0)
+ IFERROR(GETPIVOTDATA("Somma di DARE",'Pivot Revolut'!$A$3,"Mese",9,"Tipologia",$A256),0)
- IFERROR(GETPIVOTDATA("Somma di AVERE",'Pivot Revolut'!$A$3,"Mese",9,"Tipologia",$A256),0)</f>
        <v>0</v>
      </c>
      <c r="L256" s="243">
        <f>IFERROR(GETPIVOTDATA("Somma di DARE EUR",'Pivot RakBank AED'!$A$3,"Mese",10,"Tipologia",$A256),0)
- IFERROR(GETPIVOTDATA("Somma di AVERE EUR",'Pivot RakBank AED'!$A$3,"Mese",10,"Tipologia",$A256),0)
+IFERROR(GETPIVOTDATA("Somma di DARE",'Pivot RakBank EUR'!$A$3,"Mese",10,"Tipologia",$A256),0)
- IFERROR(GETPIVOTDATA("Somma di AVERE",'Pivot RakBank EUR'!$A$3,"Mese",10,"Tipologia",$A256),0)
+IFERROR(GETPIVOTDATA("Somma di DARE",'Pivot Fineco Sa'!$A$3,"Mese",10,"Tipologia",$A256),0)
+ IFERROR(GETPIVOTDATA("Somma di DARE",'Pivot Fineco St'!$A$3,"Mese",10,"Tipologia",$A256),0)
+ Contanti!AL118
+ IFERROR(GETPIVOTDATA("Somma di DARE",'Pivot BBVA'!$A$3,"Mese",10,"Tipologia",$A256),0)
+ IFERROR(GETPIVOTDATA("Somma di DARE",'Pivot Amex'!$A$3,"Mese",10,"Tipologia",$A256),0)
- IFERROR(GETPIVOTDATA("Somma di AVERE",'Pivot Amex'!$A$3,"Mese",10,"Tipologia",$A256),0)
- IFERROR(GETPIVOTDATA("Somma di AVERE",'Pivot BBVA'!$A$3,"Mese",10,"Tipologia",$A256),0)
- IFERROR(GETPIVOTDATA("Somma di AVERE",'Pivot Fineco St'!$A$3,"Mese",10,"Tipologia",$A256),0)
- IFERROR(GETPIVOTDATA("Somma di AVERE",'Pivot Fineco Sa'!$A$3,"Mese",10,"Tipologia",$A256),0)
+ IFERROR(GETPIVOTDATA("Somma di DARE",'Pivot PP Visa'!$A$3,"Mese",10,"Tipologia",$A256),0)
- IFERROR(GETPIVOTDATA("Somma di AVERE",'Pivot PP Visa'!$A$3,"Mese",10,"Tipologia",$A256),0)
+ IFERROR(GETPIVOTDATA("Somma di DARE",'Pivot Revolut'!$A$3,"Mese",10,"Tipologia",$A256),0)
- IFERROR(GETPIVOTDATA("Somma di AVERE",'Pivot Revolut'!$A$3,"Mese",10,"Tipologia",$A256),0)</f>
        <v>0</v>
      </c>
      <c r="M256" s="243">
        <f>IFERROR(GETPIVOTDATA("Somma di DARE EUR",'Pivot RakBank AED'!$A$3,"Mese",11,"Tipologia",$A256),0)
- IFERROR(GETPIVOTDATA("Somma di AVERE EUR",'Pivot RakBank AED'!$A$3,"Mese",11,"Tipologia",$A256),0)
+IFERROR(GETPIVOTDATA("Somma di DARE",'Pivot RakBank EUR'!$A$3,"Mese",11,"Tipologia",$A256),0)
- IFERROR(GETPIVOTDATA("Somma di AVERE",'Pivot RakBank EUR'!$A$3,"Mese",11,"Tipologia",$A256),0)
+IFERROR(GETPIVOTDATA("Somma di DARE",'Pivot Fineco Sa'!$A$3,"Mese",11,"Tipologia",$A256),0)
+ IFERROR(GETPIVOTDATA("Somma di DARE",'Pivot Fineco St'!$A$3,"Mese",11,"Tipologia",$A256),0)
+ Contanti!AP118
+ IFERROR(GETPIVOTDATA("Somma di DARE",'Pivot BBVA'!$A$3,"Mese",11,"Tipologia",$A256),0)
+ IFERROR(GETPIVOTDATA("Somma di DARE",'Pivot Amex'!$A$3,"Mese",11,"Tipologia",$A256),0)
- IFERROR(GETPIVOTDATA("Somma di AVERE",'Pivot Amex'!$A$3,"Mese",11,"Tipologia",$A256),0)
- IFERROR(GETPIVOTDATA("Somma di AVERE",'Pivot BBVA'!$A$3,"Mese",11,"Tipologia",$A256),0)
- IFERROR(GETPIVOTDATA("Somma di AVERE",'Pivot Fineco St'!$A$3,"Mese",11,"Tipologia",$A256),0)
- IFERROR(GETPIVOTDATA("Somma di AVERE",'Pivot Fineco Sa'!$A$3,"Mese",11,"Tipologia",$A256),0)
+ IFERROR(GETPIVOTDATA("Somma di DARE",'Pivot PP Visa'!$A$3,"Mese",11,"Tipologia",$A256),0)
- IFERROR(GETPIVOTDATA("Somma di AVERE",'Pivot PP Visa'!$A$3,"Mese",11,"Tipologia",$A256),0)
+ IFERROR(GETPIVOTDATA("Somma di DARE",'Pivot Revolut'!$A$3,"Mese",11,"Tipologia",$A256),0)
- IFERROR(GETPIVOTDATA("Somma di AVERE",'Pivot Revolut'!$A$3,"Mese",11,"Tipologia",$A256),0)</f>
        <v>0</v>
      </c>
      <c r="N256" s="243">
        <f>IFERROR(GETPIVOTDATA("Somma di DARE EUR",'Pivot RakBank AED'!$A$3,"Mese",12,"Tipologia",$A256),0)
- IFERROR(GETPIVOTDATA("Somma di AVERE EUR",'Pivot RakBank AED'!$A$3,"Mese",12,"Tipologia",$A256),0)
+IFERROR(GETPIVOTDATA("Somma di DARE",'Pivot RakBank EUR'!$A$3,"Mese",12,"Tipologia",$A256),0)
- IFERROR(GETPIVOTDATA("Somma di AVERE",'Pivot RakBank EUR'!$A$3,"Mese",12,"Tipologia",$A256),0)
+IFERROR(GETPIVOTDATA("Somma di DARE",'Pivot Fineco Sa'!$A$3,"Mese",12,"Tipologia",$A256),0)
+ IFERROR(GETPIVOTDATA("Somma di DARE",'Pivot Fineco St'!$A$3,"Mese",12,"Tipologia",$A256),0)
+ Contanti!AT118
+ IFERROR(GETPIVOTDATA("Somma di DARE",'Pivot BBVA'!$A$3,"Mese",12,"Tipologia",$A256),0)
+ IFERROR(GETPIVOTDATA("Somma di DARE",'Pivot Amex'!$A$3,"Mese",12,"Tipologia",$A256),0)
- IFERROR(GETPIVOTDATA("Somma di AVERE",'Pivot Amex'!$A$3,"Mese",12,"Tipologia",$A256),0)
- IFERROR(GETPIVOTDATA("Somma di AVERE",'Pivot BBVA'!$A$3,"Mese",12,"Tipologia",$A256),0)
- IFERROR(GETPIVOTDATA("Somma di AVERE",'Pivot Fineco St'!$A$3,"Mese",12,"Tipologia",$A256),0)
- IFERROR(GETPIVOTDATA("Somma di AVERE",'Pivot Fineco Sa'!$A$3,"Mese",12,"Tipologia",$A256),0)
+ IFERROR(GETPIVOTDATA("Somma di DARE",'Pivot PP Visa'!$A$3,"Mese",12,"Tipologia",$A256),0)
- IFERROR(GETPIVOTDATA("Somma di AVERE",'Pivot PP Visa'!$A$3,"Mese",12,"Tipologia",$A256),0)
+ IFERROR(GETPIVOTDATA("Somma di DARE",'Pivot Revolut'!$A$3,"Mese",12,"Tipologia",$A256),0)
- IFERROR(GETPIVOTDATA("Somma di AVERE",'Pivot Revolut'!$A$3,"Mese",12,"Tipologia",$A256),0)</f>
        <v>0</v>
      </c>
      <c r="O256" s="252">
        <f t="shared" si="54"/>
        <v>19542.96</v>
      </c>
      <c r="P256" s="379"/>
    </row>
    <row r="257" spans="1:16" s="125" customFormat="1" ht="21" customHeight="1" x14ac:dyDescent="0.2">
      <c r="A257" s="251" t="s">
        <v>419</v>
      </c>
      <c r="B257" s="247"/>
      <c r="C257" s="243">
        <f>IFERROR(GETPIVOTDATA("Somma di DARE EUR",'Pivot RakBank AED'!$A$3,"Mese",1,"Tipologia",$A257),0)
- IFERROR(GETPIVOTDATA("Somma di AVERE EUR",'Pivot RakBank AED'!$A$3,"Mese",1,"Tipologia",$A257),0)
+IFERROR(GETPIVOTDATA("Somma di DARE",'Pivot RakBank EUR'!$A$3,"Mese",1,"Tipologia",$A257),0)
- IFERROR(GETPIVOTDATA("Somma di AVERE",'Pivot RakBank EUR'!$A$3,"Mese",1,"Tipologia",$A257),0)
+IFERROR(GETPIVOTDATA("Somma di DARE",'Pivot Fineco Sa'!$A$3,"Mese",1,"Tipologia",$A257),0)
+ IFERROR(GETPIVOTDATA("Somma di DARE",'Pivot Fineco St'!$A$3,"Mese",1,"Tipologia",$A257),0)
+ Contanti!B119
+ IFERROR(GETPIVOTDATA("Somma di DARE",'Pivot BBVA'!$A$3,"Mese",1,"Tipologia",$A257),0)
+ IFERROR(GETPIVOTDATA("Somma di DARE",'Pivot Amex'!$A$3,"Mese",1,"Tipologia",$A257),0)
- IFERROR(GETPIVOTDATA("Somma di AVERE",'Pivot Amex'!$A$3,"Mese",1,"Tipologia",$A257),0)
- IFERROR(GETPIVOTDATA("Somma di AVERE",'Pivot BBVA'!$A$3,"Mese",1,"Tipologia",$A257),0)
- IFERROR(GETPIVOTDATA("Somma di AVERE",'Pivot Fineco St'!$A$3,"Mese",1,"Tipologia",$A257),0)
- IFERROR(GETPIVOTDATA("Somma di AVERE",'Pivot Fineco Sa'!$A$3,"Mese",1,"Tipologia",$A257),0)
+ IFERROR(GETPIVOTDATA("Somma di DARE",'Pivot PP Visa'!$A$3,"Mese",1,"Tipologia",$A257),0)
- IFERROR(GETPIVOTDATA("Somma di AVERE",'Pivot PP Visa'!$A$3,"Mese",1,"Tipologia",$A257),0)
+ IFERROR(GETPIVOTDATA("Somma di DARE",'Pivot Revolut'!$A$3,"Mese",1,"Tipologia",$A257),0)
- IFERROR(GETPIVOTDATA("Somma di AVERE",'Pivot Revolut'!$A$3,"Mese",1,"Tipologia",$A257),0)</f>
        <v>0</v>
      </c>
      <c r="D257" s="243">
        <f>IFERROR(GETPIVOTDATA("Somma di DARE EUR",'Pivot RakBank AED'!$A$3,"Mese",2,"Tipologia",$A257),0)
- IFERROR(GETPIVOTDATA("Somma di AVERE EUR",'Pivot RakBank AED'!$A$3,"Mese",2,"Tipologia",$A257),0)
+IFERROR(GETPIVOTDATA("Somma di DARE",'Pivot RakBank EUR'!$A$3,"Mese",2,"Tipologia",$A257),0)
- IFERROR(GETPIVOTDATA("Somma di AVERE",'Pivot RakBank EUR'!$A$3,"Mese",2,"Tipologia",$A257),0)
+IFERROR(GETPIVOTDATA("Somma di DARE",'Pivot Fineco Sa'!$A$3,"Mese",2,"Tipologia",$A257),0)
+ IFERROR(GETPIVOTDATA("Somma di DARE",'Pivot Fineco St'!$A$3,"Mese",2,"Tipologia",$A257),0)
+ Contanti!F119
+ IFERROR(GETPIVOTDATA("Somma di DARE",'Pivot BBVA'!$A$3,"Mese",2,"Tipologia",$A257),0)
+ IFERROR(GETPIVOTDATA("Somma di DARE",'Pivot Amex'!$A$3,"Mese",2,"Tipologia",$A257),0)
- IFERROR(GETPIVOTDATA("Somma di AVERE",'Pivot Amex'!$A$3,"Mese",2,"Tipologia",$A257),0)
- IFERROR(GETPIVOTDATA("Somma di AVERE",'Pivot BBVA'!$A$3,"Mese",2,"Tipologia",$A257),0)
- IFERROR(GETPIVOTDATA("Somma di AVERE",'Pivot Fineco St'!$A$3,"Mese",2,"Tipologia",$A257),0)
- IFERROR(GETPIVOTDATA("Somma di AVERE",'Pivot Fineco Sa'!$A$3,"Mese",2,"Tipologia",$A257),0)
+ IFERROR(GETPIVOTDATA("Somma di DARE",'Pivot PP Visa'!$A$3,"Mese",2,"Tipologia",$A257),0)
- IFERROR(GETPIVOTDATA("Somma di AVERE",'Pivot PP Visa'!$A$3,"Mese",2,"Tipologia",$A257),0)
+ IFERROR(GETPIVOTDATA("Somma di DARE",'Pivot Revolut'!$A$3,"Mese",2,"Tipologia",$A257),0)
- IFERROR(GETPIVOTDATA("Somma di AVERE",'Pivot Revolut'!$A$3,"Mese",2,"Tipologia",$A257),0)</f>
        <v>0</v>
      </c>
      <c r="E257" s="243">
        <f>IFERROR(GETPIVOTDATA("Somma di DARE EUR",'Pivot RakBank AED'!$A$3,"Mese",3,"Tipologia",$A257),0)
- IFERROR(GETPIVOTDATA("Somma di AVERE EUR",'Pivot RakBank AED'!$A$3,"Mese",3,"Tipologia",$A257),0)
+IFERROR(GETPIVOTDATA("Somma di DARE",'Pivot RakBank EUR'!$A$3,"Mese",3,"Tipologia",$A257),0)
- IFERROR(GETPIVOTDATA("Somma di AVERE",'Pivot RakBank EUR'!$A$3,"Mese",3,"Tipologia",$A257),0)
+IFERROR(GETPIVOTDATA("Somma di DARE",'Pivot Fineco Sa'!$A$3,"Mese",3,"Tipologia",$A257),0)
+ IFERROR(GETPIVOTDATA("Somma di DARE",'Pivot Fineco St'!$A$3,"Mese",3,"Tipologia",$A257),0)
+ Contanti!J119
+ IFERROR(GETPIVOTDATA("Somma di DARE",'Pivot BBVA'!$A$3,"Mese",3,"Tipologia",$A257),0)
+ IFERROR(GETPIVOTDATA("Somma di DARE",'Pivot Amex'!$A$3,"Mese",3,"Tipologia",$A257),0)
- IFERROR(GETPIVOTDATA("Somma di AVERE",'Pivot Amex'!$A$3,"Mese",3,"Tipologia",$A257),0)
- IFERROR(GETPIVOTDATA("Somma di AVERE",'Pivot BBVA'!$A$3,"Mese",3,"Tipologia",$A257),0)
- IFERROR(GETPIVOTDATA("Somma di AVERE",'Pivot Fineco St'!$A$3,"Mese",3,"Tipologia",$A257),0)
- IFERROR(GETPIVOTDATA("Somma di AVERE",'Pivot Fineco Sa'!$A$3,"Mese",3,"Tipologia",$A257),0)
+ IFERROR(GETPIVOTDATA("Somma di DARE",'Pivot PP Visa'!$A$3,"Mese",3,"Tipologia",$A257),0)
- IFERROR(GETPIVOTDATA("Somma di AVERE",'Pivot PP Visa'!$A$3,"Mese",3,"Tipologia",$A257),0)
+ IFERROR(GETPIVOTDATA("Somma di DARE",'Pivot Revolut'!$A$3,"Mese",3,"Tipologia",$A257),0)
- IFERROR(GETPIVOTDATA("Somma di AVERE",'Pivot Revolut'!$A$3,"Mese",3,"Tipologia",$A257),0)</f>
        <v>65</v>
      </c>
      <c r="F257" s="243">
        <f>IFERROR(GETPIVOTDATA("Somma di DARE EUR",'Pivot RakBank AED'!$A$3,"Mese",4,"Tipologia",$A257),0)
- IFERROR(GETPIVOTDATA("Somma di AVERE EUR",'Pivot RakBank AED'!$A$3,"Mese",4,"Tipologia",$A257),0)
+IFERROR(GETPIVOTDATA("Somma di DARE",'Pivot RakBank EUR'!$A$3,"Mese",4,"Tipologia",$A257),0)
- IFERROR(GETPIVOTDATA("Somma di AVERE",'Pivot RakBank EUR'!$A$3,"Mese",4,"Tipologia",$A257),0)
+IFERROR(GETPIVOTDATA("Somma di DARE",'Pivot Fineco Sa'!$A$3,"Mese",4,"Tipologia",$A257),0)
+ IFERROR(GETPIVOTDATA("Somma di DARE",'Pivot Fineco St'!$A$3,"Mese",4,"Tipologia",$A257),0)
+ Contanti!N119
+ IFERROR(GETPIVOTDATA("Somma di DARE",'Pivot BBVA'!$A$3,"Mese",4,"Tipologia",$A257),0)
+ IFERROR(GETPIVOTDATA("Somma di DARE",'Pivot Amex'!$A$3,"Mese",4,"Tipologia",$A257),0)
- IFERROR(GETPIVOTDATA("Somma di AVERE",'Pivot Amex'!$A$3,"Mese",4,"Tipologia",$A257),0)
- IFERROR(GETPIVOTDATA("Somma di AVERE",'Pivot BBVA'!$A$3,"Mese",4,"Tipologia",$A257),0)
- IFERROR(GETPIVOTDATA("Somma di AVERE",'Pivot Fineco St'!$A$3,"Mese",4,"Tipologia",$A257),0)
- IFERROR(GETPIVOTDATA("Somma di AVERE",'Pivot Fineco Sa'!$A$3,"Mese",4,"Tipologia",$A257),0)
+ IFERROR(GETPIVOTDATA("Somma di DARE",'Pivot PP Visa'!$A$3,"Mese",4,"Tipologia",$A257),0)
- IFERROR(GETPIVOTDATA("Somma di AVERE",'Pivot PP Visa'!$A$3,"Mese",4,"Tipologia",$A257),0)
+ IFERROR(GETPIVOTDATA("Somma di DARE",'Pivot Revolut'!$A$3,"Mese",4,"Tipologia",$A257),0)
- IFERROR(GETPIVOTDATA("Somma di AVERE",'Pivot Revolut'!$A$3,"Mese",4,"Tipologia",$A257),0)</f>
        <v>0</v>
      </c>
      <c r="G257" s="243">
        <f>IFERROR(GETPIVOTDATA("Somma di DARE EUR",'Pivot RakBank AED'!$A$3,"Mese",5,"Tipologia",$A257),0)
- IFERROR(GETPIVOTDATA("Somma di AVERE EUR",'Pivot RakBank AED'!$A$3,"Mese",5,"Tipologia",$A257),0)
+IFERROR(GETPIVOTDATA("Somma di DARE",'Pivot RakBank EUR'!$A$3,"Mese",5,"Tipologia",$A257),0)
- IFERROR(GETPIVOTDATA("Somma di AVERE",'Pivot RakBank EUR'!$A$3,"Mese",5,"Tipologia",$A257),0)
+IFERROR(GETPIVOTDATA("Somma di DARE",'Pivot Fineco Sa'!$A$3,"Mese",5,"Tipologia",$A257),0)
+ IFERROR(GETPIVOTDATA("Somma di DARE",'Pivot Fineco St'!$A$3,"Mese",5,"Tipologia",$A257),0)
+ Contanti!R119
+ IFERROR(GETPIVOTDATA("Somma di DARE",'Pivot BBVA'!$A$3,"Mese",5,"Tipologia",$A257),0)
+ IFERROR(GETPIVOTDATA("Somma di DARE",'Pivot Amex'!$A$3,"Mese",5,"Tipologia",$A257),0)
- IFERROR(GETPIVOTDATA("Somma di AVERE",'Pivot Amex'!$A$3,"Mese",5,"Tipologia",$A257),0)
- IFERROR(GETPIVOTDATA("Somma di AVERE",'Pivot BBVA'!$A$3,"Mese",5,"Tipologia",$A257),0)
- IFERROR(GETPIVOTDATA("Somma di AVERE",'Pivot Fineco St'!$A$3,"Mese",5,"Tipologia",$A257),0)
- IFERROR(GETPIVOTDATA("Somma di AVERE",'Pivot Fineco Sa'!$A$3,"Mese",5,"Tipologia",$A257),0)
+ IFERROR(GETPIVOTDATA("Somma di DARE",'Pivot PP Visa'!$A$3,"Mese",5,"Tipologia",$A257),0)
- IFERROR(GETPIVOTDATA("Somma di AVERE",'Pivot PP Visa'!$A$3,"Mese",5,"Tipologia",$A257),0)
+ IFERROR(GETPIVOTDATA("Somma di DARE",'Pivot Revolut'!$A$3,"Mese",5,"Tipologia",$A257),0)
- IFERROR(GETPIVOTDATA("Somma di AVERE",'Pivot Revolut'!$A$3,"Mese",5,"Tipologia",$A257),0)</f>
        <v>3933.4880800000005</v>
      </c>
      <c r="H257" s="243">
        <f>IFERROR(GETPIVOTDATA("Somma di DARE EUR",'Pivot RakBank AED'!$A$3,"Mese",6,"Tipologia",$A257),0)
- IFERROR(GETPIVOTDATA("Somma di AVERE EUR",'Pivot RakBank AED'!$A$3,"Mese",6,"Tipologia",$A257),0)
+IFERROR(GETPIVOTDATA("Somma di DARE",'Pivot RakBank EUR'!$A$3,"Mese",6,"Tipologia",$A257),0)
- IFERROR(GETPIVOTDATA("Somma di AVERE",'Pivot RakBank EUR'!$A$3,"Mese",6,"Tipologia",$A257),0)
+IFERROR(GETPIVOTDATA("Somma di DARE",'Pivot Fineco Sa'!$A$3,"Mese",6,"Tipologia",$A257),0)
+ IFERROR(GETPIVOTDATA("Somma di DARE",'Pivot Fineco St'!$A$3,"Mese",6,"Tipologia",$A257),0)
+ Contanti!V119
+ IFERROR(GETPIVOTDATA("Somma di DARE",'Pivot BBVA'!$A$3,"Mese",6,"Tipologia",$A257),0)
+ IFERROR(GETPIVOTDATA("Somma di DARE",'Pivot Amex'!$A$3,"Mese",6,"Tipologia",$A257),0)
- IFERROR(GETPIVOTDATA("Somma di AVERE",'Pivot Amex'!$A$3,"Mese",6,"Tipologia",$A257),0)
- IFERROR(GETPIVOTDATA("Somma di AVERE",'Pivot BBVA'!$A$3,"Mese",6,"Tipologia",$A257),0)
- IFERROR(GETPIVOTDATA("Somma di AVERE",'Pivot Fineco St'!$A$3,"Mese",6,"Tipologia",$A257),0)
- IFERROR(GETPIVOTDATA("Somma di AVERE",'Pivot Fineco Sa'!$A$3,"Mese",6,"Tipologia",$A257),0)
+ IFERROR(GETPIVOTDATA("Somma di DARE",'Pivot PP Visa'!$A$3,"Mese",6,"Tipologia",$A257),0)
- IFERROR(GETPIVOTDATA("Somma di AVERE",'Pivot PP Visa'!$A$3,"Mese",6,"Tipologia",$A257),0)
+ IFERROR(GETPIVOTDATA("Somma di DARE",'Pivot Revolut'!$A$3,"Mese",6,"Tipologia",$A257),0)
- IFERROR(GETPIVOTDATA("Somma di AVERE",'Pivot Revolut'!$A$3,"Mese",6,"Tipologia",$A257),0)</f>
        <v>2738.3816540000003</v>
      </c>
      <c r="I257" s="243">
        <f>IFERROR(GETPIVOTDATA("Somma di DARE EUR",'Pivot RakBank AED'!$A$3,"Mese",7,"Tipologia",$A257),0)
- IFERROR(GETPIVOTDATA("Somma di AVERE EUR",'Pivot RakBank AED'!$A$3,"Mese",7,"Tipologia",$A257),0)
+IFERROR(GETPIVOTDATA("Somma di DARE",'Pivot RakBank EUR'!$A$3,"Mese",7,"Tipologia",$A257),0)
- IFERROR(GETPIVOTDATA("Somma di AVERE",'Pivot RakBank EUR'!$A$3,"Mese",7,"Tipologia",$A257),0)
+IFERROR(GETPIVOTDATA("Somma di DARE",'Pivot Fineco Sa'!$A$3,"Mese",7,"Tipologia",$A257),0)
+ IFERROR(GETPIVOTDATA("Somma di DARE",'Pivot Fineco St'!$A$3,"Mese",7,"Tipologia",$A257),0)
+ Contanti!Z119
+ IFERROR(GETPIVOTDATA("Somma di DARE",'Pivot BBVA'!$A$3,"Mese",7,"Tipologia",$A257),0)
+ IFERROR(GETPIVOTDATA("Somma di DARE",'Pivot Amex'!$A$3,"Mese",7,"Tipologia",$A257),0)
- IFERROR(GETPIVOTDATA("Somma di AVERE",'Pivot Amex'!$A$3,"Mese",7,"Tipologia",$A257),0)
- IFERROR(GETPIVOTDATA("Somma di AVERE",'Pivot BBVA'!$A$3,"Mese",7,"Tipologia",$A257),0)
- IFERROR(GETPIVOTDATA("Somma di AVERE",'Pivot Fineco St'!$A$3,"Mese",7,"Tipologia",$A257),0)
- IFERROR(GETPIVOTDATA("Somma di AVERE",'Pivot Fineco Sa'!$A$3,"Mese",7,"Tipologia",$A257),0)
+ IFERROR(GETPIVOTDATA("Somma di DARE",'Pivot PP Visa'!$A$3,"Mese",7,"Tipologia",$A257),0)
- IFERROR(GETPIVOTDATA("Somma di AVERE",'Pivot PP Visa'!$A$3,"Mese",7,"Tipologia",$A257),0)
+ IFERROR(GETPIVOTDATA("Somma di DARE",'Pivot Revolut'!$A$3,"Mese",7,"Tipologia",$A257),0)
- IFERROR(GETPIVOTDATA("Somma di AVERE",'Pivot Revolut'!$A$3,"Mese",7,"Tipologia",$A257),0)</f>
        <v>5755.4280852000002</v>
      </c>
      <c r="J257" s="243">
        <f>IFERROR(GETPIVOTDATA("Somma di DARE EUR",'Pivot RakBank AED'!$A$3,"Mese",8,"Tipologia",$A257),0)
- IFERROR(GETPIVOTDATA("Somma di AVERE EUR",'Pivot RakBank AED'!$A$3,"Mese",8,"Tipologia",$A257),0)
+IFERROR(GETPIVOTDATA("Somma di DARE",'Pivot RakBank EUR'!$A$3,"Mese",8,"Tipologia",$A257),0)
- IFERROR(GETPIVOTDATA("Somma di AVERE",'Pivot RakBank EUR'!$A$3,"Mese",8,"Tipologia",$A257),0)
+IFERROR(GETPIVOTDATA("Somma di DARE",'Pivot Fineco Sa'!$A$3,"Mese",8,"Tipologia",$A257),0)
+ IFERROR(GETPIVOTDATA("Somma di DARE",'Pivot Fineco St'!$A$3,"Mese",8,"Tipologia",$A257),0)
+ Contanti!AD119
+ IFERROR(GETPIVOTDATA("Somma di DARE",'Pivot BBVA'!$A$3,"Mese",8,"Tipologia",$A257),0)
+ IFERROR(GETPIVOTDATA("Somma di DARE",'Pivot Amex'!$A$3,"Mese",8,"Tipologia",$A257),0)
- IFERROR(GETPIVOTDATA("Somma di AVERE",'Pivot Amex'!$A$3,"Mese",8,"Tipologia",$A257),0)
- IFERROR(GETPIVOTDATA("Somma di AVERE",'Pivot BBVA'!$A$3,"Mese",8,"Tipologia",$A257),0)
- IFERROR(GETPIVOTDATA("Somma di AVERE",'Pivot Fineco St'!$A$3,"Mese",8,"Tipologia",$A257),0)
- IFERROR(GETPIVOTDATA("Somma di AVERE",'Pivot Fineco Sa'!$A$3,"Mese",8,"Tipologia",$A257),0)
+ IFERROR(GETPIVOTDATA("Somma di DARE",'Pivot PP Visa'!$A$3,"Mese",8,"Tipologia",$A257),0)
- IFERROR(GETPIVOTDATA("Somma di AVERE",'Pivot PP Visa'!$A$3,"Mese",8,"Tipologia",$A257),0)
+ IFERROR(GETPIVOTDATA("Somma di DARE",'Pivot Revolut'!$A$3,"Mese",8,"Tipologia",$A257),0)
- IFERROR(GETPIVOTDATA("Somma di AVERE",'Pivot Revolut'!$A$3,"Mese",8,"Tipologia",$A257),0)</f>
        <v>0</v>
      </c>
      <c r="K257" s="243">
        <f>IFERROR(GETPIVOTDATA("Somma di DARE EUR",'Pivot RakBank AED'!$A$3,"Mese",9,"Tipologia",$A257),0)
- IFERROR(GETPIVOTDATA("Somma di AVERE EUR",'Pivot RakBank AED'!$A$3,"Mese",9,"Tipologia",$A257),0)
+IFERROR(GETPIVOTDATA("Somma di DARE",'Pivot RakBank EUR'!$A$3,"Mese",9,"Tipologia",$A257),0)
- IFERROR(GETPIVOTDATA("Somma di AVERE",'Pivot RakBank EUR'!$A$3,"Mese",9,"Tipologia",$A257),0)
+IFERROR(GETPIVOTDATA("Somma di DARE",'Pivot Fineco Sa'!$A$3,"Mese",9,"Tipologia",$A257),0)
+ IFERROR(GETPIVOTDATA("Somma di DARE",'Pivot Fineco St'!$A$3,"Mese",9,"Tipologia",$A257),0)
+ Contanti!AH119
+ IFERROR(GETPIVOTDATA("Somma di DARE",'Pivot BBVA'!$A$3,"Mese",9,"Tipologia",$A257),0)
+ IFERROR(GETPIVOTDATA("Somma di DARE",'Pivot Amex'!$A$3,"Mese",9,"Tipologia",$A257),0)
- IFERROR(GETPIVOTDATA("Somma di AVERE",'Pivot Amex'!$A$3,"Mese",9,"Tipologia",$A257),0)
- IFERROR(GETPIVOTDATA("Somma di AVERE",'Pivot BBVA'!$A$3,"Mese",9,"Tipologia",$A257),0)
- IFERROR(GETPIVOTDATA("Somma di AVERE",'Pivot Fineco St'!$A$3,"Mese",9,"Tipologia",$A257),0)
- IFERROR(GETPIVOTDATA("Somma di AVERE",'Pivot Fineco Sa'!$A$3,"Mese",9,"Tipologia",$A257),0)
+ IFERROR(GETPIVOTDATA("Somma di DARE",'Pivot PP Visa'!$A$3,"Mese",9,"Tipologia",$A257),0)
- IFERROR(GETPIVOTDATA("Somma di AVERE",'Pivot PP Visa'!$A$3,"Mese",9,"Tipologia",$A257),0)
+ IFERROR(GETPIVOTDATA("Somma di DARE",'Pivot Revolut'!$A$3,"Mese",9,"Tipologia",$A257),0)
- IFERROR(GETPIVOTDATA("Somma di AVERE",'Pivot Revolut'!$A$3,"Mese",9,"Tipologia",$A257),0)</f>
        <v>0</v>
      </c>
      <c r="L257" s="243">
        <f>IFERROR(GETPIVOTDATA("Somma di DARE EUR",'Pivot RakBank AED'!$A$3,"Mese",10,"Tipologia",$A257),0)
- IFERROR(GETPIVOTDATA("Somma di AVERE EUR",'Pivot RakBank AED'!$A$3,"Mese",10,"Tipologia",$A257),0)
+IFERROR(GETPIVOTDATA("Somma di DARE",'Pivot RakBank EUR'!$A$3,"Mese",10,"Tipologia",$A257),0)
- IFERROR(GETPIVOTDATA("Somma di AVERE",'Pivot RakBank EUR'!$A$3,"Mese",10,"Tipologia",$A257),0)
+IFERROR(GETPIVOTDATA("Somma di DARE",'Pivot Fineco Sa'!$A$3,"Mese",10,"Tipologia",$A257),0)
+ IFERROR(GETPIVOTDATA("Somma di DARE",'Pivot Fineco St'!$A$3,"Mese",10,"Tipologia",$A257),0)
+ Contanti!AL119
+ IFERROR(GETPIVOTDATA("Somma di DARE",'Pivot BBVA'!$A$3,"Mese",10,"Tipologia",$A257),0)
+ IFERROR(GETPIVOTDATA("Somma di DARE",'Pivot Amex'!$A$3,"Mese",10,"Tipologia",$A257),0)
- IFERROR(GETPIVOTDATA("Somma di AVERE",'Pivot Amex'!$A$3,"Mese",10,"Tipologia",$A257),0)
- IFERROR(GETPIVOTDATA("Somma di AVERE",'Pivot BBVA'!$A$3,"Mese",10,"Tipologia",$A257),0)
- IFERROR(GETPIVOTDATA("Somma di AVERE",'Pivot Fineco St'!$A$3,"Mese",10,"Tipologia",$A257),0)
- IFERROR(GETPIVOTDATA("Somma di AVERE",'Pivot Fineco Sa'!$A$3,"Mese",10,"Tipologia",$A257),0)
+ IFERROR(GETPIVOTDATA("Somma di DARE",'Pivot PP Visa'!$A$3,"Mese",10,"Tipologia",$A257),0)
- IFERROR(GETPIVOTDATA("Somma di AVERE",'Pivot PP Visa'!$A$3,"Mese",10,"Tipologia",$A257),0)
+ IFERROR(GETPIVOTDATA("Somma di DARE",'Pivot Revolut'!$A$3,"Mese",10,"Tipologia",$A257),0)
- IFERROR(GETPIVOTDATA("Somma di AVERE",'Pivot Revolut'!$A$3,"Mese",10,"Tipologia",$A257),0)</f>
        <v>0</v>
      </c>
      <c r="M257" s="243">
        <f>IFERROR(GETPIVOTDATA("Somma di DARE EUR",'Pivot RakBank AED'!$A$3,"Mese",11,"Tipologia",$A257),0)
- IFERROR(GETPIVOTDATA("Somma di AVERE EUR",'Pivot RakBank AED'!$A$3,"Mese",11,"Tipologia",$A257),0)
+IFERROR(GETPIVOTDATA("Somma di DARE",'Pivot RakBank EUR'!$A$3,"Mese",11,"Tipologia",$A257),0)
- IFERROR(GETPIVOTDATA("Somma di AVERE",'Pivot RakBank EUR'!$A$3,"Mese",11,"Tipologia",$A257),0)
+IFERROR(GETPIVOTDATA("Somma di DARE",'Pivot Fineco Sa'!$A$3,"Mese",11,"Tipologia",$A257),0)
+ IFERROR(GETPIVOTDATA("Somma di DARE",'Pivot Fineco St'!$A$3,"Mese",11,"Tipologia",$A257),0)
+ Contanti!AP119
+ IFERROR(GETPIVOTDATA("Somma di DARE",'Pivot BBVA'!$A$3,"Mese",11,"Tipologia",$A257),0)
+ IFERROR(GETPIVOTDATA("Somma di DARE",'Pivot Amex'!$A$3,"Mese",11,"Tipologia",$A257),0)
- IFERROR(GETPIVOTDATA("Somma di AVERE",'Pivot Amex'!$A$3,"Mese",11,"Tipologia",$A257),0)
- IFERROR(GETPIVOTDATA("Somma di AVERE",'Pivot BBVA'!$A$3,"Mese",11,"Tipologia",$A257),0)
- IFERROR(GETPIVOTDATA("Somma di AVERE",'Pivot Fineco St'!$A$3,"Mese",11,"Tipologia",$A257),0)
- IFERROR(GETPIVOTDATA("Somma di AVERE",'Pivot Fineco Sa'!$A$3,"Mese",11,"Tipologia",$A257),0)
+ IFERROR(GETPIVOTDATA("Somma di DARE",'Pivot PP Visa'!$A$3,"Mese",11,"Tipologia",$A257),0)
- IFERROR(GETPIVOTDATA("Somma di AVERE",'Pivot PP Visa'!$A$3,"Mese",11,"Tipologia",$A257),0)
+ IFERROR(GETPIVOTDATA("Somma di DARE",'Pivot Revolut'!$A$3,"Mese",11,"Tipologia",$A257),0)
- IFERROR(GETPIVOTDATA("Somma di AVERE",'Pivot Revolut'!$A$3,"Mese",11,"Tipologia",$A257),0)</f>
        <v>0</v>
      </c>
      <c r="N257" s="243">
        <f>IFERROR(GETPIVOTDATA("Somma di DARE EUR",'Pivot RakBank AED'!$A$3,"Mese",12,"Tipologia",$A257),0)
- IFERROR(GETPIVOTDATA("Somma di AVERE EUR",'Pivot RakBank AED'!$A$3,"Mese",12,"Tipologia",$A257),0)
+IFERROR(GETPIVOTDATA("Somma di DARE",'Pivot RakBank EUR'!$A$3,"Mese",12,"Tipologia",$A257),0)
- IFERROR(GETPIVOTDATA("Somma di AVERE",'Pivot RakBank EUR'!$A$3,"Mese",12,"Tipologia",$A257),0)
+IFERROR(GETPIVOTDATA("Somma di DARE",'Pivot Fineco Sa'!$A$3,"Mese",12,"Tipologia",$A257),0)
+ IFERROR(GETPIVOTDATA("Somma di DARE",'Pivot Fineco St'!$A$3,"Mese",12,"Tipologia",$A257),0)
+ Contanti!AT119
+ IFERROR(GETPIVOTDATA("Somma di DARE",'Pivot BBVA'!$A$3,"Mese",12,"Tipologia",$A257),0)
+ IFERROR(GETPIVOTDATA("Somma di DARE",'Pivot Amex'!$A$3,"Mese",12,"Tipologia",$A257),0)
- IFERROR(GETPIVOTDATA("Somma di AVERE",'Pivot Amex'!$A$3,"Mese",12,"Tipologia",$A257),0)
- IFERROR(GETPIVOTDATA("Somma di AVERE",'Pivot BBVA'!$A$3,"Mese",12,"Tipologia",$A257),0)
- IFERROR(GETPIVOTDATA("Somma di AVERE",'Pivot Fineco St'!$A$3,"Mese",12,"Tipologia",$A257),0)
- IFERROR(GETPIVOTDATA("Somma di AVERE",'Pivot Fineco Sa'!$A$3,"Mese",12,"Tipologia",$A257),0)
+ IFERROR(GETPIVOTDATA("Somma di DARE",'Pivot PP Visa'!$A$3,"Mese",12,"Tipologia",$A257),0)
- IFERROR(GETPIVOTDATA("Somma di AVERE",'Pivot PP Visa'!$A$3,"Mese",12,"Tipologia",$A257),0)
+ IFERROR(GETPIVOTDATA("Somma di DARE",'Pivot Revolut'!$A$3,"Mese",12,"Tipologia",$A257),0)
- IFERROR(GETPIVOTDATA("Somma di AVERE",'Pivot Revolut'!$A$3,"Mese",12,"Tipologia",$A257),0)</f>
        <v>0</v>
      </c>
      <c r="O257" s="252">
        <f t="shared" si="54"/>
        <v>12492.297819200001</v>
      </c>
      <c r="P257" s="379"/>
    </row>
    <row r="258" spans="1:16" s="125" customFormat="1" ht="21" customHeight="1" x14ac:dyDescent="0.2">
      <c r="A258" s="251" t="s">
        <v>397</v>
      </c>
      <c r="B258" s="251"/>
      <c r="C258" s="243">
        <f>IFERROR(GETPIVOTDATA("Somma di DARE EUR",'Pivot RakBank AED'!$A$3,"Mese",1,"Tipologia",$A258),0)
- IFERROR(GETPIVOTDATA("Somma di AVERE EUR",'Pivot RakBank AED'!$A$3,"Mese",1,"Tipologia",$A258),0)
+IFERROR(GETPIVOTDATA("Somma di DARE",'Pivot RakBank EUR'!$A$3,"Mese",1,"Tipologia",$A258),0)
- IFERROR(GETPIVOTDATA("Somma di AVERE",'Pivot RakBank EUR'!$A$3,"Mese",1,"Tipologia",$A258),0)
+IFERROR(GETPIVOTDATA("Somma di DARE",'Pivot Fineco Sa'!$A$3,"Mese",1,"Tipologia",$A258),0)
+ IFERROR(GETPIVOTDATA("Somma di DARE",'Pivot Fineco St'!$A$3,"Mese",1,"Tipologia",$A258),0)
+ Contanti!B120
+ IFERROR(GETPIVOTDATA("Somma di DARE",'Pivot BBVA'!$A$3,"Mese",1,"Tipologia",$A258),0)
+ IFERROR(GETPIVOTDATA("Somma di DARE",'Pivot Amex'!$A$3,"Mese",1,"Tipologia",$A258),0)
- IFERROR(GETPIVOTDATA("Somma di AVERE",'Pivot Amex'!$A$3,"Mese",1,"Tipologia",$A258),0)
- IFERROR(GETPIVOTDATA("Somma di AVERE",'Pivot BBVA'!$A$3,"Mese",1,"Tipologia",$A258),0)
- IFERROR(GETPIVOTDATA("Somma di AVERE",'Pivot Fineco St'!$A$3,"Mese",1,"Tipologia",$A258),0)
- IFERROR(GETPIVOTDATA("Somma di AVERE",'Pivot Fineco Sa'!$A$3,"Mese",1,"Tipologia",$A258),0)
+ IFERROR(GETPIVOTDATA("Somma di DARE",'Pivot PP Visa'!$A$3,"Mese",1,"Tipologia",$A258),0)
- IFERROR(GETPIVOTDATA("Somma di AVERE",'Pivot PP Visa'!$A$3,"Mese",1,"Tipologia",$A258),0)
+ IFERROR(GETPIVOTDATA("Somma di DARE",'Pivot Revolut'!$A$3,"Mese",1,"Tipologia",$A258),0)
- IFERROR(GETPIVOTDATA("Somma di AVERE",'Pivot Revolut'!$A$3,"Mese",1,"Tipologia",$A258),0)</f>
        <v>0</v>
      </c>
      <c r="D258" s="243">
        <f>IFERROR(GETPIVOTDATA("Somma di DARE EUR",'Pivot RakBank AED'!$A$3,"Mese",2,"Tipologia",$A258),0)
- IFERROR(GETPIVOTDATA("Somma di AVERE EUR",'Pivot RakBank AED'!$A$3,"Mese",2,"Tipologia",$A258),0)
+IFERROR(GETPIVOTDATA("Somma di DARE",'Pivot RakBank EUR'!$A$3,"Mese",2,"Tipologia",$A258),0)
- IFERROR(GETPIVOTDATA("Somma di AVERE",'Pivot RakBank EUR'!$A$3,"Mese",2,"Tipologia",$A258),0)
+IFERROR(GETPIVOTDATA("Somma di DARE",'Pivot Fineco Sa'!$A$3,"Mese",2,"Tipologia",$A258),0)
+ IFERROR(GETPIVOTDATA("Somma di DARE",'Pivot Fineco St'!$A$3,"Mese",2,"Tipologia",$A258),0)
+ Contanti!F120
+ IFERROR(GETPIVOTDATA("Somma di DARE",'Pivot BBVA'!$A$3,"Mese",2,"Tipologia",$A258),0)
+ IFERROR(GETPIVOTDATA("Somma di DARE",'Pivot Amex'!$A$3,"Mese",2,"Tipologia",$A258),0)
- IFERROR(GETPIVOTDATA("Somma di AVERE",'Pivot Amex'!$A$3,"Mese",2,"Tipologia",$A258),0)
- IFERROR(GETPIVOTDATA("Somma di AVERE",'Pivot BBVA'!$A$3,"Mese",2,"Tipologia",$A258),0)
- IFERROR(GETPIVOTDATA("Somma di AVERE",'Pivot Fineco St'!$A$3,"Mese",2,"Tipologia",$A258),0)
- IFERROR(GETPIVOTDATA("Somma di AVERE",'Pivot Fineco Sa'!$A$3,"Mese",2,"Tipologia",$A258),0)
+ IFERROR(GETPIVOTDATA("Somma di DARE",'Pivot PP Visa'!$A$3,"Mese",2,"Tipologia",$A258),0)
- IFERROR(GETPIVOTDATA("Somma di AVERE",'Pivot PP Visa'!$A$3,"Mese",2,"Tipologia",$A258),0)
+ IFERROR(GETPIVOTDATA("Somma di DARE",'Pivot Revolut'!$A$3,"Mese",2,"Tipologia",$A258),0)
- IFERROR(GETPIVOTDATA("Somma di AVERE",'Pivot Revolut'!$A$3,"Mese",2,"Tipologia",$A258),0)</f>
        <v>0</v>
      </c>
      <c r="E258" s="243">
        <f>IFERROR(GETPIVOTDATA("Somma di DARE EUR",'Pivot RakBank AED'!$A$3,"Mese",3,"Tipologia",$A258),0)
- IFERROR(GETPIVOTDATA("Somma di AVERE EUR",'Pivot RakBank AED'!$A$3,"Mese",3,"Tipologia",$A258),0)
+IFERROR(GETPIVOTDATA("Somma di DARE",'Pivot RakBank EUR'!$A$3,"Mese",3,"Tipologia",$A258),0)
- IFERROR(GETPIVOTDATA("Somma di AVERE",'Pivot RakBank EUR'!$A$3,"Mese",3,"Tipologia",$A258),0)
+IFERROR(GETPIVOTDATA("Somma di DARE",'Pivot Fineco Sa'!$A$3,"Mese",3,"Tipologia",$A258),0)
+ IFERROR(GETPIVOTDATA("Somma di DARE",'Pivot Fineco St'!$A$3,"Mese",3,"Tipologia",$A258),0)
+ Contanti!J120
+ IFERROR(GETPIVOTDATA("Somma di DARE",'Pivot BBVA'!$A$3,"Mese",3,"Tipologia",$A258),0)
+ IFERROR(GETPIVOTDATA("Somma di DARE",'Pivot Amex'!$A$3,"Mese",3,"Tipologia",$A258),0)
- IFERROR(GETPIVOTDATA("Somma di AVERE",'Pivot Amex'!$A$3,"Mese",3,"Tipologia",$A258),0)
- IFERROR(GETPIVOTDATA("Somma di AVERE",'Pivot BBVA'!$A$3,"Mese",3,"Tipologia",$A258),0)
- IFERROR(GETPIVOTDATA("Somma di AVERE",'Pivot Fineco St'!$A$3,"Mese",3,"Tipologia",$A258),0)
- IFERROR(GETPIVOTDATA("Somma di AVERE",'Pivot Fineco Sa'!$A$3,"Mese",3,"Tipologia",$A258),0)
+ IFERROR(GETPIVOTDATA("Somma di DARE",'Pivot PP Visa'!$A$3,"Mese",3,"Tipologia",$A258),0)
- IFERROR(GETPIVOTDATA("Somma di AVERE",'Pivot PP Visa'!$A$3,"Mese",3,"Tipologia",$A258),0)
+ IFERROR(GETPIVOTDATA("Somma di DARE",'Pivot Revolut'!$A$3,"Mese",3,"Tipologia",$A258),0)
- IFERROR(GETPIVOTDATA("Somma di AVERE",'Pivot Revolut'!$A$3,"Mese",3,"Tipologia",$A258),0)</f>
        <v>0</v>
      </c>
      <c r="F258" s="243">
        <f>IFERROR(GETPIVOTDATA("Somma di DARE EUR",'Pivot RakBank AED'!$A$3,"Mese",4,"Tipologia",$A258),0)
- IFERROR(GETPIVOTDATA("Somma di AVERE EUR",'Pivot RakBank AED'!$A$3,"Mese",4,"Tipologia",$A258),0)
+IFERROR(GETPIVOTDATA("Somma di DARE",'Pivot RakBank EUR'!$A$3,"Mese",4,"Tipologia",$A258),0)
- IFERROR(GETPIVOTDATA("Somma di AVERE",'Pivot RakBank EUR'!$A$3,"Mese",4,"Tipologia",$A258),0)
+IFERROR(GETPIVOTDATA("Somma di DARE",'Pivot Fineco Sa'!$A$3,"Mese",4,"Tipologia",$A258),0)
+ IFERROR(GETPIVOTDATA("Somma di DARE",'Pivot Fineco St'!$A$3,"Mese",4,"Tipologia",$A258),0)
+ Contanti!N120
+ IFERROR(GETPIVOTDATA("Somma di DARE",'Pivot BBVA'!$A$3,"Mese",4,"Tipologia",$A258),0)
+ IFERROR(GETPIVOTDATA("Somma di DARE",'Pivot Amex'!$A$3,"Mese",4,"Tipologia",$A258),0)
- IFERROR(GETPIVOTDATA("Somma di AVERE",'Pivot Amex'!$A$3,"Mese",4,"Tipologia",$A258),0)
- IFERROR(GETPIVOTDATA("Somma di AVERE",'Pivot BBVA'!$A$3,"Mese",4,"Tipologia",$A258),0)
- IFERROR(GETPIVOTDATA("Somma di AVERE",'Pivot Fineco St'!$A$3,"Mese",4,"Tipologia",$A258),0)
- IFERROR(GETPIVOTDATA("Somma di AVERE",'Pivot Fineco Sa'!$A$3,"Mese",4,"Tipologia",$A258),0)
+ IFERROR(GETPIVOTDATA("Somma di DARE",'Pivot PP Visa'!$A$3,"Mese",4,"Tipologia",$A258),0)
- IFERROR(GETPIVOTDATA("Somma di AVERE",'Pivot PP Visa'!$A$3,"Mese",4,"Tipologia",$A258),0)
+ IFERROR(GETPIVOTDATA("Somma di DARE",'Pivot Revolut'!$A$3,"Mese",4,"Tipologia",$A258),0)
- IFERROR(GETPIVOTDATA("Somma di AVERE",'Pivot Revolut'!$A$3,"Mese",4,"Tipologia",$A258),0)</f>
        <v>0</v>
      </c>
      <c r="G258" s="243">
        <f>IFERROR(GETPIVOTDATA("Somma di DARE EUR",'Pivot RakBank AED'!$A$3,"Mese",5,"Tipologia",$A258),0)
- IFERROR(GETPIVOTDATA("Somma di AVERE EUR",'Pivot RakBank AED'!$A$3,"Mese",5,"Tipologia",$A258),0)
+IFERROR(GETPIVOTDATA("Somma di DARE",'Pivot RakBank EUR'!$A$3,"Mese",5,"Tipologia",$A258),0)
- IFERROR(GETPIVOTDATA("Somma di AVERE",'Pivot RakBank EUR'!$A$3,"Mese",5,"Tipologia",$A258),0)
+IFERROR(GETPIVOTDATA("Somma di DARE",'Pivot Fineco Sa'!$A$3,"Mese",5,"Tipologia",$A258),0)
+ IFERROR(GETPIVOTDATA("Somma di DARE",'Pivot Fineco St'!$A$3,"Mese",5,"Tipologia",$A258),0)
+ Contanti!R120
+ IFERROR(GETPIVOTDATA("Somma di DARE",'Pivot BBVA'!$A$3,"Mese",5,"Tipologia",$A258),0)
+ IFERROR(GETPIVOTDATA("Somma di DARE",'Pivot Amex'!$A$3,"Mese",5,"Tipologia",$A258),0)
- IFERROR(GETPIVOTDATA("Somma di AVERE",'Pivot Amex'!$A$3,"Mese",5,"Tipologia",$A258),0)
- IFERROR(GETPIVOTDATA("Somma di AVERE",'Pivot BBVA'!$A$3,"Mese",5,"Tipologia",$A258),0)
- IFERROR(GETPIVOTDATA("Somma di AVERE",'Pivot Fineco St'!$A$3,"Mese",5,"Tipologia",$A258),0)
- IFERROR(GETPIVOTDATA("Somma di AVERE",'Pivot Fineco Sa'!$A$3,"Mese",5,"Tipologia",$A258),0)
+ IFERROR(GETPIVOTDATA("Somma di DARE",'Pivot PP Visa'!$A$3,"Mese",5,"Tipologia",$A258),0)
- IFERROR(GETPIVOTDATA("Somma di AVERE",'Pivot PP Visa'!$A$3,"Mese",5,"Tipologia",$A258),0)
+ IFERROR(GETPIVOTDATA("Somma di DARE",'Pivot Revolut'!$A$3,"Mese",5,"Tipologia",$A258),0)
- IFERROR(GETPIVOTDATA("Somma di AVERE",'Pivot Revolut'!$A$3,"Mese",5,"Tipologia",$A258),0)</f>
        <v>0</v>
      </c>
      <c r="H258" s="243">
        <f>IFERROR(GETPIVOTDATA("Somma di DARE EUR",'Pivot RakBank AED'!$A$3,"Mese",6,"Tipologia",$A258),0)
- IFERROR(GETPIVOTDATA("Somma di AVERE EUR",'Pivot RakBank AED'!$A$3,"Mese",6,"Tipologia",$A258),0)
+IFERROR(GETPIVOTDATA("Somma di DARE",'Pivot RakBank EUR'!$A$3,"Mese",6,"Tipologia",$A258),0)
- IFERROR(GETPIVOTDATA("Somma di AVERE",'Pivot RakBank EUR'!$A$3,"Mese",6,"Tipologia",$A258),0)
+IFERROR(GETPIVOTDATA("Somma di DARE",'Pivot Fineco Sa'!$A$3,"Mese",6,"Tipologia",$A258),0)
+ IFERROR(GETPIVOTDATA("Somma di DARE",'Pivot Fineco St'!$A$3,"Mese",6,"Tipologia",$A258),0)
+ Contanti!V120
+ IFERROR(GETPIVOTDATA("Somma di DARE",'Pivot BBVA'!$A$3,"Mese",6,"Tipologia",$A258),0)
+ IFERROR(GETPIVOTDATA("Somma di DARE",'Pivot Amex'!$A$3,"Mese",6,"Tipologia",$A258),0)
- IFERROR(GETPIVOTDATA("Somma di AVERE",'Pivot Amex'!$A$3,"Mese",6,"Tipologia",$A258),0)
- IFERROR(GETPIVOTDATA("Somma di AVERE",'Pivot BBVA'!$A$3,"Mese",6,"Tipologia",$A258),0)
- IFERROR(GETPIVOTDATA("Somma di AVERE",'Pivot Fineco St'!$A$3,"Mese",6,"Tipologia",$A258),0)
- IFERROR(GETPIVOTDATA("Somma di AVERE",'Pivot Fineco Sa'!$A$3,"Mese",6,"Tipologia",$A258),0)
+ IFERROR(GETPIVOTDATA("Somma di DARE",'Pivot PP Visa'!$A$3,"Mese",6,"Tipologia",$A258),0)
- IFERROR(GETPIVOTDATA("Somma di AVERE",'Pivot PP Visa'!$A$3,"Mese",6,"Tipologia",$A258),0)
+ IFERROR(GETPIVOTDATA("Somma di DARE",'Pivot Revolut'!$A$3,"Mese",6,"Tipologia",$A258),0)
- IFERROR(GETPIVOTDATA("Somma di AVERE",'Pivot Revolut'!$A$3,"Mese",6,"Tipologia",$A258),0)</f>
        <v>3447.45</v>
      </c>
      <c r="I258" s="243">
        <f>IFERROR(GETPIVOTDATA("Somma di DARE EUR",'Pivot RakBank AED'!$A$3,"Mese",7,"Tipologia",$A258),0)
- IFERROR(GETPIVOTDATA("Somma di AVERE EUR",'Pivot RakBank AED'!$A$3,"Mese",7,"Tipologia",$A258),0)
+IFERROR(GETPIVOTDATA("Somma di DARE",'Pivot RakBank EUR'!$A$3,"Mese",7,"Tipologia",$A258),0)
- IFERROR(GETPIVOTDATA("Somma di AVERE",'Pivot RakBank EUR'!$A$3,"Mese",7,"Tipologia",$A258),0)
+IFERROR(GETPIVOTDATA("Somma di DARE",'Pivot Fineco Sa'!$A$3,"Mese",7,"Tipologia",$A258),0)
+ IFERROR(GETPIVOTDATA("Somma di DARE",'Pivot Fineco St'!$A$3,"Mese",7,"Tipologia",$A258),0)
+ Contanti!Z120
+ IFERROR(GETPIVOTDATA("Somma di DARE",'Pivot BBVA'!$A$3,"Mese",7,"Tipologia",$A258),0)
+ IFERROR(GETPIVOTDATA("Somma di DARE",'Pivot Amex'!$A$3,"Mese",7,"Tipologia",$A258),0)
- IFERROR(GETPIVOTDATA("Somma di AVERE",'Pivot Amex'!$A$3,"Mese",7,"Tipologia",$A258),0)
- IFERROR(GETPIVOTDATA("Somma di AVERE",'Pivot BBVA'!$A$3,"Mese",7,"Tipologia",$A258),0)
- IFERROR(GETPIVOTDATA("Somma di AVERE",'Pivot Fineco St'!$A$3,"Mese",7,"Tipologia",$A258),0)
- IFERROR(GETPIVOTDATA("Somma di AVERE",'Pivot Fineco Sa'!$A$3,"Mese",7,"Tipologia",$A258),0)
+ IFERROR(GETPIVOTDATA("Somma di DARE",'Pivot PP Visa'!$A$3,"Mese",7,"Tipologia",$A258),0)
- IFERROR(GETPIVOTDATA("Somma di AVERE",'Pivot PP Visa'!$A$3,"Mese",7,"Tipologia",$A258),0)
+ IFERROR(GETPIVOTDATA("Somma di DARE",'Pivot Revolut'!$A$3,"Mese",7,"Tipologia",$A258),0)
- IFERROR(GETPIVOTDATA("Somma di AVERE",'Pivot Revolut'!$A$3,"Mese",7,"Tipologia",$A258),0)</f>
        <v>0</v>
      </c>
      <c r="J258" s="243">
        <f>IFERROR(GETPIVOTDATA("Somma di DARE EUR",'Pivot RakBank AED'!$A$3,"Mese",8,"Tipologia",$A258),0)
- IFERROR(GETPIVOTDATA("Somma di AVERE EUR",'Pivot RakBank AED'!$A$3,"Mese",8,"Tipologia",$A258),0)
+IFERROR(GETPIVOTDATA("Somma di DARE",'Pivot RakBank EUR'!$A$3,"Mese",8,"Tipologia",$A258),0)
- IFERROR(GETPIVOTDATA("Somma di AVERE",'Pivot RakBank EUR'!$A$3,"Mese",8,"Tipologia",$A258),0)
+IFERROR(GETPIVOTDATA("Somma di DARE",'Pivot Fineco Sa'!$A$3,"Mese",8,"Tipologia",$A258),0)
+ IFERROR(GETPIVOTDATA("Somma di DARE",'Pivot Fineco St'!$A$3,"Mese",8,"Tipologia",$A258),0)
+ Contanti!AD120
+ IFERROR(GETPIVOTDATA("Somma di DARE",'Pivot BBVA'!$A$3,"Mese",8,"Tipologia",$A258),0)
+ IFERROR(GETPIVOTDATA("Somma di DARE",'Pivot Amex'!$A$3,"Mese",8,"Tipologia",$A258),0)
- IFERROR(GETPIVOTDATA("Somma di AVERE",'Pivot Amex'!$A$3,"Mese",8,"Tipologia",$A258),0)
- IFERROR(GETPIVOTDATA("Somma di AVERE",'Pivot BBVA'!$A$3,"Mese",8,"Tipologia",$A258),0)
- IFERROR(GETPIVOTDATA("Somma di AVERE",'Pivot Fineco St'!$A$3,"Mese",8,"Tipologia",$A258),0)
- IFERROR(GETPIVOTDATA("Somma di AVERE",'Pivot Fineco Sa'!$A$3,"Mese",8,"Tipologia",$A258),0)
+ IFERROR(GETPIVOTDATA("Somma di DARE",'Pivot PP Visa'!$A$3,"Mese",8,"Tipologia",$A258),0)
- IFERROR(GETPIVOTDATA("Somma di AVERE",'Pivot PP Visa'!$A$3,"Mese",8,"Tipologia",$A258),0)
+ IFERROR(GETPIVOTDATA("Somma di DARE",'Pivot Revolut'!$A$3,"Mese",8,"Tipologia",$A258),0)
- IFERROR(GETPIVOTDATA("Somma di AVERE",'Pivot Revolut'!$A$3,"Mese",8,"Tipologia",$A258),0)</f>
        <v>0</v>
      </c>
      <c r="K258" s="243">
        <f>IFERROR(GETPIVOTDATA("Somma di DARE EUR",'Pivot RakBank AED'!$A$3,"Mese",9,"Tipologia",$A258),0)
- IFERROR(GETPIVOTDATA("Somma di AVERE EUR",'Pivot RakBank AED'!$A$3,"Mese",9,"Tipologia",$A258),0)
+IFERROR(GETPIVOTDATA("Somma di DARE",'Pivot RakBank EUR'!$A$3,"Mese",9,"Tipologia",$A258),0)
- IFERROR(GETPIVOTDATA("Somma di AVERE",'Pivot RakBank EUR'!$A$3,"Mese",9,"Tipologia",$A258),0)
+IFERROR(GETPIVOTDATA("Somma di DARE",'Pivot Fineco Sa'!$A$3,"Mese",9,"Tipologia",$A258),0)
+ IFERROR(GETPIVOTDATA("Somma di DARE",'Pivot Fineco St'!$A$3,"Mese",9,"Tipologia",$A258),0)
+ Contanti!AH120
+ IFERROR(GETPIVOTDATA("Somma di DARE",'Pivot BBVA'!$A$3,"Mese",9,"Tipologia",$A258),0)
+ IFERROR(GETPIVOTDATA("Somma di DARE",'Pivot Amex'!$A$3,"Mese",9,"Tipologia",$A258),0)
- IFERROR(GETPIVOTDATA("Somma di AVERE",'Pivot Amex'!$A$3,"Mese",9,"Tipologia",$A258),0)
- IFERROR(GETPIVOTDATA("Somma di AVERE",'Pivot BBVA'!$A$3,"Mese",9,"Tipologia",$A258),0)
- IFERROR(GETPIVOTDATA("Somma di AVERE",'Pivot Fineco St'!$A$3,"Mese",9,"Tipologia",$A258),0)
- IFERROR(GETPIVOTDATA("Somma di AVERE",'Pivot Fineco Sa'!$A$3,"Mese",9,"Tipologia",$A258),0)
+ IFERROR(GETPIVOTDATA("Somma di DARE",'Pivot PP Visa'!$A$3,"Mese",9,"Tipologia",$A258),0)
- IFERROR(GETPIVOTDATA("Somma di AVERE",'Pivot PP Visa'!$A$3,"Mese",9,"Tipologia",$A258),0)
+ IFERROR(GETPIVOTDATA("Somma di DARE",'Pivot Revolut'!$A$3,"Mese",9,"Tipologia",$A258),0)
- IFERROR(GETPIVOTDATA("Somma di AVERE",'Pivot Revolut'!$A$3,"Mese",9,"Tipologia",$A258),0)</f>
        <v>0</v>
      </c>
      <c r="L258" s="243">
        <f>IFERROR(GETPIVOTDATA("Somma di DARE EUR",'Pivot RakBank AED'!$A$3,"Mese",10,"Tipologia",$A258),0)
- IFERROR(GETPIVOTDATA("Somma di AVERE EUR",'Pivot RakBank AED'!$A$3,"Mese",10,"Tipologia",$A258),0)
+IFERROR(GETPIVOTDATA("Somma di DARE",'Pivot RakBank EUR'!$A$3,"Mese",10,"Tipologia",$A258),0)
- IFERROR(GETPIVOTDATA("Somma di AVERE",'Pivot RakBank EUR'!$A$3,"Mese",10,"Tipologia",$A258),0)
+IFERROR(GETPIVOTDATA("Somma di DARE",'Pivot Fineco Sa'!$A$3,"Mese",10,"Tipologia",$A258),0)
+ IFERROR(GETPIVOTDATA("Somma di DARE",'Pivot Fineco St'!$A$3,"Mese",10,"Tipologia",$A258),0)
+ Contanti!AL120
+ IFERROR(GETPIVOTDATA("Somma di DARE",'Pivot BBVA'!$A$3,"Mese",10,"Tipologia",$A258),0)
+ IFERROR(GETPIVOTDATA("Somma di DARE",'Pivot Amex'!$A$3,"Mese",10,"Tipologia",$A258),0)
- IFERROR(GETPIVOTDATA("Somma di AVERE",'Pivot Amex'!$A$3,"Mese",10,"Tipologia",$A258),0)
- IFERROR(GETPIVOTDATA("Somma di AVERE",'Pivot BBVA'!$A$3,"Mese",10,"Tipologia",$A258),0)
- IFERROR(GETPIVOTDATA("Somma di AVERE",'Pivot Fineco St'!$A$3,"Mese",10,"Tipologia",$A258),0)
- IFERROR(GETPIVOTDATA("Somma di AVERE",'Pivot Fineco Sa'!$A$3,"Mese",10,"Tipologia",$A258),0)
+ IFERROR(GETPIVOTDATA("Somma di DARE",'Pivot PP Visa'!$A$3,"Mese",10,"Tipologia",$A258),0)
- IFERROR(GETPIVOTDATA("Somma di AVERE",'Pivot PP Visa'!$A$3,"Mese",10,"Tipologia",$A258),0)
+ IFERROR(GETPIVOTDATA("Somma di DARE",'Pivot Revolut'!$A$3,"Mese",10,"Tipologia",$A258),0)
- IFERROR(GETPIVOTDATA("Somma di AVERE",'Pivot Revolut'!$A$3,"Mese",10,"Tipologia",$A258),0)</f>
        <v>0</v>
      </c>
      <c r="M258" s="243">
        <f>IFERROR(GETPIVOTDATA("Somma di DARE EUR",'Pivot RakBank AED'!$A$3,"Mese",11,"Tipologia",$A258),0)
- IFERROR(GETPIVOTDATA("Somma di AVERE EUR",'Pivot RakBank AED'!$A$3,"Mese",11,"Tipologia",$A258),0)
+IFERROR(GETPIVOTDATA("Somma di DARE",'Pivot RakBank EUR'!$A$3,"Mese",11,"Tipologia",$A258),0)
- IFERROR(GETPIVOTDATA("Somma di AVERE",'Pivot RakBank EUR'!$A$3,"Mese",11,"Tipologia",$A258),0)
+IFERROR(GETPIVOTDATA("Somma di DARE",'Pivot Fineco Sa'!$A$3,"Mese",11,"Tipologia",$A258),0)
+ IFERROR(GETPIVOTDATA("Somma di DARE",'Pivot Fineco St'!$A$3,"Mese",11,"Tipologia",$A258),0)
+ Contanti!AP120
+ IFERROR(GETPIVOTDATA("Somma di DARE",'Pivot BBVA'!$A$3,"Mese",11,"Tipologia",$A258),0)
+ IFERROR(GETPIVOTDATA("Somma di DARE",'Pivot Amex'!$A$3,"Mese",11,"Tipologia",$A258),0)
- IFERROR(GETPIVOTDATA("Somma di AVERE",'Pivot Amex'!$A$3,"Mese",11,"Tipologia",$A258),0)
- IFERROR(GETPIVOTDATA("Somma di AVERE",'Pivot BBVA'!$A$3,"Mese",11,"Tipologia",$A258),0)
- IFERROR(GETPIVOTDATA("Somma di AVERE",'Pivot Fineco St'!$A$3,"Mese",11,"Tipologia",$A258),0)
- IFERROR(GETPIVOTDATA("Somma di AVERE",'Pivot Fineco Sa'!$A$3,"Mese",11,"Tipologia",$A258),0)
+ IFERROR(GETPIVOTDATA("Somma di DARE",'Pivot PP Visa'!$A$3,"Mese",11,"Tipologia",$A258),0)
- IFERROR(GETPIVOTDATA("Somma di AVERE",'Pivot PP Visa'!$A$3,"Mese",11,"Tipologia",$A258),0)
+ IFERROR(GETPIVOTDATA("Somma di DARE",'Pivot Revolut'!$A$3,"Mese",11,"Tipologia",$A258),0)
- IFERROR(GETPIVOTDATA("Somma di AVERE",'Pivot Revolut'!$A$3,"Mese",11,"Tipologia",$A258),0)</f>
        <v>0</v>
      </c>
      <c r="N258" s="243">
        <f>IFERROR(GETPIVOTDATA("Somma di DARE EUR",'Pivot RakBank AED'!$A$3,"Mese",12,"Tipologia",$A258),0)
- IFERROR(GETPIVOTDATA("Somma di AVERE EUR",'Pivot RakBank AED'!$A$3,"Mese",12,"Tipologia",$A258),0)
+IFERROR(GETPIVOTDATA("Somma di DARE",'Pivot RakBank EUR'!$A$3,"Mese",12,"Tipologia",$A258),0)
- IFERROR(GETPIVOTDATA("Somma di AVERE",'Pivot RakBank EUR'!$A$3,"Mese",12,"Tipologia",$A258),0)
+IFERROR(GETPIVOTDATA("Somma di DARE",'Pivot Fineco Sa'!$A$3,"Mese",12,"Tipologia",$A258),0)
+ IFERROR(GETPIVOTDATA("Somma di DARE",'Pivot Fineco St'!$A$3,"Mese",12,"Tipologia",$A258),0)
+ Contanti!AT120
+ IFERROR(GETPIVOTDATA("Somma di DARE",'Pivot BBVA'!$A$3,"Mese",12,"Tipologia",$A258),0)
+ IFERROR(GETPIVOTDATA("Somma di DARE",'Pivot Amex'!$A$3,"Mese",12,"Tipologia",$A258),0)
- IFERROR(GETPIVOTDATA("Somma di AVERE",'Pivot Amex'!$A$3,"Mese",12,"Tipologia",$A258),0)
- IFERROR(GETPIVOTDATA("Somma di AVERE",'Pivot BBVA'!$A$3,"Mese",12,"Tipologia",$A258),0)
- IFERROR(GETPIVOTDATA("Somma di AVERE",'Pivot Fineco St'!$A$3,"Mese",12,"Tipologia",$A258),0)
- IFERROR(GETPIVOTDATA("Somma di AVERE",'Pivot Fineco Sa'!$A$3,"Mese",12,"Tipologia",$A258),0)
+ IFERROR(GETPIVOTDATA("Somma di DARE",'Pivot PP Visa'!$A$3,"Mese",12,"Tipologia",$A258),0)
- IFERROR(GETPIVOTDATA("Somma di AVERE",'Pivot PP Visa'!$A$3,"Mese",12,"Tipologia",$A258),0)
+ IFERROR(GETPIVOTDATA("Somma di DARE",'Pivot Revolut'!$A$3,"Mese",12,"Tipologia",$A258),0)
- IFERROR(GETPIVOTDATA("Somma di AVERE",'Pivot Revolut'!$A$3,"Mese",12,"Tipologia",$A258),0)</f>
        <v>0</v>
      </c>
      <c r="O258" s="252">
        <f t="shared" si="54"/>
        <v>3447.45</v>
      </c>
      <c r="P258" s="243"/>
    </row>
    <row r="259" spans="1:16" s="125" customFormat="1" ht="21" customHeight="1" x14ac:dyDescent="0.2">
      <c r="A259" s="251" t="s">
        <v>442</v>
      </c>
      <c r="B259" s="251"/>
      <c r="C259" s="243">
        <f>IFERROR(GETPIVOTDATA("Somma di DARE EUR",'Pivot RakBank AED'!$A$3,"Mese",1,"Tipologia",$A259),0)
- IFERROR(GETPIVOTDATA("Somma di AVERE EUR",'Pivot RakBank AED'!$A$3,"Mese",1,"Tipologia",$A259),0)
+IFERROR(GETPIVOTDATA("Somma di DARE",'Pivot RakBank EUR'!$A$3,"Mese",1,"Tipologia",$A259),0)
- IFERROR(GETPIVOTDATA("Somma di AVERE",'Pivot RakBank EUR'!$A$3,"Mese",1,"Tipologia",$A259),0)
+IFERROR(GETPIVOTDATA("Somma di DARE",'Pivot Fineco Sa'!$A$3,"Mese",1,"Tipologia",$A259),0)
+ IFERROR(GETPIVOTDATA("Somma di DARE",'Pivot Fineco St'!$A$3,"Mese",1,"Tipologia",$A259),0)
+ Contanti!B121
+ IFERROR(GETPIVOTDATA("Somma di DARE",'Pivot BBVA'!$A$3,"Mese",1,"Tipologia",$A259),0)
+ IFERROR(GETPIVOTDATA("Somma di DARE",'Pivot Amex'!$A$3,"Mese",1,"Tipologia",$A259),0)
- IFERROR(GETPIVOTDATA("Somma di AVERE",'Pivot Amex'!$A$3,"Mese",1,"Tipologia",$A259),0)
- IFERROR(GETPIVOTDATA("Somma di AVERE",'Pivot BBVA'!$A$3,"Mese",1,"Tipologia",$A259),0)
- IFERROR(GETPIVOTDATA("Somma di AVERE",'Pivot Fineco St'!$A$3,"Mese",1,"Tipologia",$A259),0)
- IFERROR(GETPIVOTDATA("Somma di AVERE",'Pivot Fineco Sa'!$A$3,"Mese",1,"Tipologia",$A259),0)
+ IFERROR(GETPIVOTDATA("Somma di DARE",'Pivot PP Visa'!$A$3,"Mese",1,"Tipologia",$A259),0)
- IFERROR(GETPIVOTDATA("Somma di AVERE",'Pivot PP Visa'!$A$3,"Mese",1,"Tipologia",$A259),0)
+ IFERROR(GETPIVOTDATA("Somma di DARE",'Pivot Revolut'!$A$3,"Mese",1,"Tipologia",$A259),0)
- IFERROR(GETPIVOTDATA("Somma di AVERE",'Pivot Revolut'!$A$3,"Mese",1,"Tipologia",$A259),0)</f>
        <v>0</v>
      </c>
      <c r="D259" s="243">
        <f>IFERROR(GETPIVOTDATA("Somma di DARE EUR",'Pivot RakBank AED'!$A$3,"Mese",2,"Tipologia",$A259),0)
- IFERROR(GETPIVOTDATA("Somma di AVERE EUR",'Pivot RakBank AED'!$A$3,"Mese",2,"Tipologia",$A259),0)
+IFERROR(GETPIVOTDATA("Somma di DARE",'Pivot RakBank EUR'!$A$3,"Mese",2,"Tipologia",$A259),0)
- IFERROR(GETPIVOTDATA("Somma di AVERE",'Pivot RakBank EUR'!$A$3,"Mese",2,"Tipologia",$A259),0)
+IFERROR(GETPIVOTDATA("Somma di DARE",'Pivot Fineco Sa'!$A$3,"Mese",2,"Tipologia",$A259),0)
+ IFERROR(GETPIVOTDATA("Somma di DARE",'Pivot Fineco St'!$A$3,"Mese",2,"Tipologia",$A259),0)
+ Contanti!F121
+ IFERROR(GETPIVOTDATA("Somma di DARE",'Pivot BBVA'!$A$3,"Mese",2,"Tipologia",$A259),0)
+ IFERROR(GETPIVOTDATA("Somma di DARE",'Pivot Amex'!$A$3,"Mese",2,"Tipologia",$A259),0)
- IFERROR(GETPIVOTDATA("Somma di AVERE",'Pivot Amex'!$A$3,"Mese",2,"Tipologia",$A259),0)
- IFERROR(GETPIVOTDATA("Somma di AVERE",'Pivot BBVA'!$A$3,"Mese",2,"Tipologia",$A259),0)
- IFERROR(GETPIVOTDATA("Somma di AVERE",'Pivot Fineco St'!$A$3,"Mese",2,"Tipologia",$A259),0)
- IFERROR(GETPIVOTDATA("Somma di AVERE",'Pivot Fineco Sa'!$A$3,"Mese",2,"Tipologia",$A259),0)
+ IFERROR(GETPIVOTDATA("Somma di DARE",'Pivot PP Visa'!$A$3,"Mese",2,"Tipologia",$A259),0)
- IFERROR(GETPIVOTDATA("Somma di AVERE",'Pivot PP Visa'!$A$3,"Mese",2,"Tipologia",$A259),0)
+ IFERROR(GETPIVOTDATA("Somma di DARE",'Pivot Revolut'!$A$3,"Mese",2,"Tipologia",$A259),0)
- IFERROR(GETPIVOTDATA("Somma di AVERE",'Pivot Revolut'!$A$3,"Mese",2,"Tipologia",$A259),0)</f>
        <v>0</v>
      </c>
      <c r="E259" s="243">
        <f>IFERROR(GETPIVOTDATA("Somma di DARE EUR",'Pivot RakBank AED'!$A$3,"Mese",3,"Tipologia",$A259),0)
- IFERROR(GETPIVOTDATA("Somma di AVERE EUR",'Pivot RakBank AED'!$A$3,"Mese",3,"Tipologia",$A259),0)
+IFERROR(GETPIVOTDATA("Somma di DARE",'Pivot RakBank EUR'!$A$3,"Mese",3,"Tipologia",$A259),0)
- IFERROR(GETPIVOTDATA("Somma di AVERE",'Pivot RakBank EUR'!$A$3,"Mese",3,"Tipologia",$A259),0)
+IFERROR(GETPIVOTDATA("Somma di DARE",'Pivot Fineco Sa'!$A$3,"Mese",3,"Tipologia",$A259),0)
+ IFERROR(GETPIVOTDATA("Somma di DARE",'Pivot Fineco St'!$A$3,"Mese",3,"Tipologia",$A259),0)
+ Contanti!J121
+ IFERROR(GETPIVOTDATA("Somma di DARE",'Pivot BBVA'!$A$3,"Mese",3,"Tipologia",$A259),0)
+ IFERROR(GETPIVOTDATA("Somma di DARE",'Pivot Amex'!$A$3,"Mese",3,"Tipologia",$A259),0)
- IFERROR(GETPIVOTDATA("Somma di AVERE",'Pivot Amex'!$A$3,"Mese",3,"Tipologia",$A259),0)
- IFERROR(GETPIVOTDATA("Somma di AVERE",'Pivot BBVA'!$A$3,"Mese",3,"Tipologia",$A259),0)
- IFERROR(GETPIVOTDATA("Somma di AVERE",'Pivot Fineco St'!$A$3,"Mese",3,"Tipologia",$A259),0)
- IFERROR(GETPIVOTDATA("Somma di AVERE",'Pivot Fineco Sa'!$A$3,"Mese",3,"Tipologia",$A259),0)
+ IFERROR(GETPIVOTDATA("Somma di DARE",'Pivot PP Visa'!$A$3,"Mese",3,"Tipologia",$A259),0)
- IFERROR(GETPIVOTDATA("Somma di AVERE",'Pivot PP Visa'!$A$3,"Mese",3,"Tipologia",$A259),0)
+ IFERROR(GETPIVOTDATA("Somma di DARE",'Pivot Revolut'!$A$3,"Mese",3,"Tipologia",$A259),0)
- IFERROR(GETPIVOTDATA("Somma di AVERE",'Pivot Revolut'!$A$3,"Mese",3,"Tipologia",$A259),0)</f>
        <v>0</v>
      </c>
      <c r="F259" s="243">
        <f>IFERROR(GETPIVOTDATA("Somma di DARE EUR",'Pivot RakBank AED'!$A$3,"Mese",4,"Tipologia",$A259),0)
- IFERROR(GETPIVOTDATA("Somma di AVERE EUR",'Pivot RakBank AED'!$A$3,"Mese",4,"Tipologia",$A259),0)
+IFERROR(GETPIVOTDATA("Somma di DARE",'Pivot RakBank EUR'!$A$3,"Mese",4,"Tipologia",$A259),0)
- IFERROR(GETPIVOTDATA("Somma di AVERE",'Pivot RakBank EUR'!$A$3,"Mese",4,"Tipologia",$A259),0)
+IFERROR(GETPIVOTDATA("Somma di DARE",'Pivot Fineco Sa'!$A$3,"Mese",4,"Tipologia",$A259),0)
+ IFERROR(GETPIVOTDATA("Somma di DARE",'Pivot Fineco St'!$A$3,"Mese",4,"Tipologia",$A259),0)
+ Contanti!N121
+ IFERROR(GETPIVOTDATA("Somma di DARE",'Pivot BBVA'!$A$3,"Mese",4,"Tipologia",$A259),0)
+ IFERROR(GETPIVOTDATA("Somma di DARE",'Pivot Amex'!$A$3,"Mese",4,"Tipologia",$A259),0)
- IFERROR(GETPIVOTDATA("Somma di AVERE",'Pivot Amex'!$A$3,"Mese",4,"Tipologia",$A259),0)
- IFERROR(GETPIVOTDATA("Somma di AVERE",'Pivot BBVA'!$A$3,"Mese",4,"Tipologia",$A259),0)
- IFERROR(GETPIVOTDATA("Somma di AVERE",'Pivot Fineco St'!$A$3,"Mese",4,"Tipologia",$A259),0)
- IFERROR(GETPIVOTDATA("Somma di AVERE",'Pivot Fineco Sa'!$A$3,"Mese",4,"Tipologia",$A259),0)
+ IFERROR(GETPIVOTDATA("Somma di DARE",'Pivot PP Visa'!$A$3,"Mese",4,"Tipologia",$A259),0)
- IFERROR(GETPIVOTDATA("Somma di AVERE",'Pivot PP Visa'!$A$3,"Mese",4,"Tipologia",$A259),0)
+ IFERROR(GETPIVOTDATA("Somma di DARE",'Pivot Revolut'!$A$3,"Mese",4,"Tipologia",$A259),0)
- IFERROR(GETPIVOTDATA("Somma di AVERE",'Pivot Revolut'!$A$3,"Mese",4,"Tipologia",$A259),0)</f>
        <v>0</v>
      </c>
      <c r="G259" s="243">
        <f>IFERROR(GETPIVOTDATA("Somma di DARE EUR",'Pivot RakBank AED'!$A$3,"Mese",5,"Tipologia",$A259),0)
- IFERROR(GETPIVOTDATA("Somma di AVERE EUR",'Pivot RakBank AED'!$A$3,"Mese",5,"Tipologia",$A259),0)
+IFERROR(GETPIVOTDATA("Somma di DARE",'Pivot RakBank EUR'!$A$3,"Mese",5,"Tipologia",$A259),0)
- IFERROR(GETPIVOTDATA("Somma di AVERE",'Pivot RakBank EUR'!$A$3,"Mese",5,"Tipologia",$A259),0)
+IFERROR(GETPIVOTDATA("Somma di DARE",'Pivot Fineco Sa'!$A$3,"Mese",5,"Tipologia",$A259),0)
+ IFERROR(GETPIVOTDATA("Somma di DARE",'Pivot Fineco St'!$A$3,"Mese",5,"Tipologia",$A259),0)
+ Contanti!R121
+ IFERROR(GETPIVOTDATA("Somma di DARE",'Pivot BBVA'!$A$3,"Mese",5,"Tipologia",$A259),0)
+ IFERROR(GETPIVOTDATA("Somma di DARE",'Pivot Amex'!$A$3,"Mese",5,"Tipologia",$A259),0)
- IFERROR(GETPIVOTDATA("Somma di AVERE",'Pivot Amex'!$A$3,"Mese",5,"Tipologia",$A259),0)
- IFERROR(GETPIVOTDATA("Somma di AVERE",'Pivot BBVA'!$A$3,"Mese",5,"Tipologia",$A259),0)
- IFERROR(GETPIVOTDATA("Somma di AVERE",'Pivot Fineco St'!$A$3,"Mese",5,"Tipologia",$A259),0)
- IFERROR(GETPIVOTDATA("Somma di AVERE",'Pivot Fineco Sa'!$A$3,"Mese",5,"Tipologia",$A259),0)
+ IFERROR(GETPIVOTDATA("Somma di DARE",'Pivot PP Visa'!$A$3,"Mese",5,"Tipologia",$A259),0)
- IFERROR(GETPIVOTDATA("Somma di AVERE",'Pivot PP Visa'!$A$3,"Mese",5,"Tipologia",$A259),0)
+ IFERROR(GETPIVOTDATA("Somma di DARE",'Pivot Revolut'!$A$3,"Mese",5,"Tipologia",$A259),0)
- IFERROR(GETPIVOTDATA("Somma di AVERE",'Pivot Revolut'!$A$3,"Mese",5,"Tipologia",$A259),0)</f>
        <v>0</v>
      </c>
      <c r="H259" s="243">
        <f>IFERROR(GETPIVOTDATA("Somma di DARE EUR",'Pivot RakBank AED'!$A$3,"Mese",6,"Tipologia",$A259),0)
- IFERROR(GETPIVOTDATA("Somma di AVERE EUR",'Pivot RakBank AED'!$A$3,"Mese",6,"Tipologia",$A259),0)
+IFERROR(GETPIVOTDATA("Somma di DARE",'Pivot RakBank EUR'!$A$3,"Mese",6,"Tipologia",$A259),0)
- IFERROR(GETPIVOTDATA("Somma di AVERE",'Pivot RakBank EUR'!$A$3,"Mese",6,"Tipologia",$A259),0)
+IFERROR(GETPIVOTDATA("Somma di DARE",'Pivot Fineco Sa'!$A$3,"Mese",6,"Tipologia",$A259),0)
+ IFERROR(GETPIVOTDATA("Somma di DARE",'Pivot Fineco St'!$A$3,"Mese",6,"Tipologia",$A259),0)
+ Contanti!V121
+ IFERROR(GETPIVOTDATA("Somma di DARE",'Pivot BBVA'!$A$3,"Mese",6,"Tipologia",$A259),0)
+ IFERROR(GETPIVOTDATA("Somma di DARE",'Pivot Amex'!$A$3,"Mese",6,"Tipologia",$A259),0)
- IFERROR(GETPIVOTDATA("Somma di AVERE",'Pivot Amex'!$A$3,"Mese",6,"Tipologia",$A259),0)
- IFERROR(GETPIVOTDATA("Somma di AVERE",'Pivot BBVA'!$A$3,"Mese",6,"Tipologia",$A259),0)
- IFERROR(GETPIVOTDATA("Somma di AVERE",'Pivot Fineco St'!$A$3,"Mese",6,"Tipologia",$A259),0)
- IFERROR(GETPIVOTDATA("Somma di AVERE",'Pivot Fineco Sa'!$A$3,"Mese",6,"Tipologia",$A259),0)
+ IFERROR(GETPIVOTDATA("Somma di DARE",'Pivot PP Visa'!$A$3,"Mese",6,"Tipologia",$A259),0)
- IFERROR(GETPIVOTDATA("Somma di AVERE",'Pivot PP Visa'!$A$3,"Mese",6,"Tipologia",$A259),0)
+ IFERROR(GETPIVOTDATA("Somma di DARE",'Pivot Revolut'!$A$3,"Mese",6,"Tipologia",$A259),0)
- IFERROR(GETPIVOTDATA("Somma di AVERE",'Pivot Revolut'!$A$3,"Mese",6,"Tipologia",$A259),0)</f>
        <v>0</v>
      </c>
      <c r="I259" s="243">
        <f>IFERROR(GETPIVOTDATA("Somma di DARE EUR",'Pivot RakBank AED'!$A$3,"Mese",7,"Tipologia",$A259),0)
- IFERROR(GETPIVOTDATA("Somma di AVERE EUR",'Pivot RakBank AED'!$A$3,"Mese",7,"Tipologia",$A259),0)
+IFERROR(GETPIVOTDATA("Somma di DARE",'Pivot RakBank EUR'!$A$3,"Mese",7,"Tipologia",$A259),0)
- IFERROR(GETPIVOTDATA("Somma di AVERE",'Pivot RakBank EUR'!$A$3,"Mese",7,"Tipologia",$A259),0)
+IFERROR(GETPIVOTDATA("Somma di DARE",'Pivot Fineco Sa'!$A$3,"Mese",7,"Tipologia",$A259),0)
+ IFERROR(GETPIVOTDATA("Somma di DARE",'Pivot Fineco St'!$A$3,"Mese",7,"Tipologia",$A259),0)
+ Contanti!Z121
+ IFERROR(GETPIVOTDATA("Somma di DARE",'Pivot BBVA'!$A$3,"Mese",7,"Tipologia",$A259),0)
+ IFERROR(GETPIVOTDATA("Somma di DARE",'Pivot Amex'!$A$3,"Mese",7,"Tipologia",$A259),0)
- IFERROR(GETPIVOTDATA("Somma di AVERE",'Pivot Amex'!$A$3,"Mese",7,"Tipologia",$A259),0)
- IFERROR(GETPIVOTDATA("Somma di AVERE",'Pivot BBVA'!$A$3,"Mese",7,"Tipologia",$A259),0)
- IFERROR(GETPIVOTDATA("Somma di AVERE",'Pivot Fineco St'!$A$3,"Mese",7,"Tipologia",$A259),0)
- IFERROR(GETPIVOTDATA("Somma di AVERE",'Pivot Fineco Sa'!$A$3,"Mese",7,"Tipologia",$A259),0)
+ IFERROR(GETPIVOTDATA("Somma di DARE",'Pivot PP Visa'!$A$3,"Mese",7,"Tipologia",$A259),0)
- IFERROR(GETPIVOTDATA("Somma di AVERE",'Pivot PP Visa'!$A$3,"Mese",7,"Tipologia",$A259),0)
+ IFERROR(GETPIVOTDATA("Somma di DARE",'Pivot Revolut'!$A$3,"Mese",7,"Tipologia",$A259),0)
- IFERROR(GETPIVOTDATA("Somma di AVERE",'Pivot Revolut'!$A$3,"Mese",7,"Tipologia",$A259),0)</f>
        <v>0</v>
      </c>
      <c r="J259" s="243">
        <f>IFERROR(GETPIVOTDATA("Somma di DARE EUR",'Pivot RakBank AED'!$A$3,"Mese",8,"Tipologia",$A259),0)
- IFERROR(GETPIVOTDATA("Somma di AVERE EUR",'Pivot RakBank AED'!$A$3,"Mese",8,"Tipologia",$A259),0)
+IFERROR(GETPIVOTDATA("Somma di DARE",'Pivot RakBank EUR'!$A$3,"Mese",8,"Tipologia",$A259),0)
- IFERROR(GETPIVOTDATA("Somma di AVERE",'Pivot RakBank EUR'!$A$3,"Mese",8,"Tipologia",$A259),0)
+IFERROR(GETPIVOTDATA("Somma di DARE",'Pivot Fineco Sa'!$A$3,"Mese",8,"Tipologia",$A259),0)
+ IFERROR(GETPIVOTDATA("Somma di DARE",'Pivot Fineco St'!$A$3,"Mese",8,"Tipologia",$A259),0)
+ Contanti!AD121
+ IFERROR(GETPIVOTDATA("Somma di DARE",'Pivot BBVA'!$A$3,"Mese",8,"Tipologia",$A259),0)
+ IFERROR(GETPIVOTDATA("Somma di DARE",'Pivot Amex'!$A$3,"Mese",8,"Tipologia",$A259),0)
- IFERROR(GETPIVOTDATA("Somma di AVERE",'Pivot Amex'!$A$3,"Mese",8,"Tipologia",$A259),0)
- IFERROR(GETPIVOTDATA("Somma di AVERE",'Pivot BBVA'!$A$3,"Mese",8,"Tipologia",$A259),0)
- IFERROR(GETPIVOTDATA("Somma di AVERE",'Pivot Fineco St'!$A$3,"Mese",8,"Tipologia",$A259),0)
- IFERROR(GETPIVOTDATA("Somma di AVERE",'Pivot Fineco Sa'!$A$3,"Mese",8,"Tipologia",$A259),0)
+ IFERROR(GETPIVOTDATA("Somma di DARE",'Pivot PP Visa'!$A$3,"Mese",8,"Tipologia",$A259),0)
- IFERROR(GETPIVOTDATA("Somma di AVERE",'Pivot PP Visa'!$A$3,"Mese",8,"Tipologia",$A259),0)
+ IFERROR(GETPIVOTDATA("Somma di DARE",'Pivot Revolut'!$A$3,"Mese",8,"Tipologia",$A259),0)
- IFERROR(GETPIVOTDATA("Somma di AVERE",'Pivot Revolut'!$A$3,"Mese",8,"Tipologia",$A259),0)</f>
        <v>0</v>
      </c>
      <c r="K259" s="243">
        <f>IFERROR(GETPIVOTDATA("Somma di DARE EUR",'Pivot RakBank AED'!$A$3,"Mese",9,"Tipologia",$A259),0)
- IFERROR(GETPIVOTDATA("Somma di AVERE EUR",'Pivot RakBank AED'!$A$3,"Mese",9,"Tipologia",$A259),0)
+IFERROR(GETPIVOTDATA("Somma di DARE",'Pivot RakBank EUR'!$A$3,"Mese",9,"Tipologia",$A259),0)
- IFERROR(GETPIVOTDATA("Somma di AVERE",'Pivot RakBank EUR'!$A$3,"Mese",9,"Tipologia",$A259),0)
+IFERROR(GETPIVOTDATA("Somma di DARE",'Pivot Fineco Sa'!$A$3,"Mese",9,"Tipologia",$A259),0)
+ IFERROR(GETPIVOTDATA("Somma di DARE",'Pivot Fineco St'!$A$3,"Mese",9,"Tipologia",$A259),0)
+ Contanti!AH121
+ IFERROR(GETPIVOTDATA("Somma di DARE",'Pivot BBVA'!$A$3,"Mese",9,"Tipologia",$A259),0)
+ IFERROR(GETPIVOTDATA("Somma di DARE",'Pivot Amex'!$A$3,"Mese",9,"Tipologia",$A259),0)
- IFERROR(GETPIVOTDATA("Somma di AVERE",'Pivot Amex'!$A$3,"Mese",9,"Tipologia",$A259),0)
- IFERROR(GETPIVOTDATA("Somma di AVERE",'Pivot BBVA'!$A$3,"Mese",9,"Tipologia",$A259),0)
- IFERROR(GETPIVOTDATA("Somma di AVERE",'Pivot Fineco St'!$A$3,"Mese",9,"Tipologia",$A259),0)
- IFERROR(GETPIVOTDATA("Somma di AVERE",'Pivot Fineco Sa'!$A$3,"Mese",9,"Tipologia",$A259),0)
+ IFERROR(GETPIVOTDATA("Somma di DARE",'Pivot PP Visa'!$A$3,"Mese",9,"Tipologia",$A259),0)
- IFERROR(GETPIVOTDATA("Somma di AVERE",'Pivot PP Visa'!$A$3,"Mese",9,"Tipologia",$A259),0)
+ IFERROR(GETPIVOTDATA("Somma di DARE",'Pivot Revolut'!$A$3,"Mese",9,"Tipologia",$A259),0)
- IFERROR(GETPIVOTDATA("Somma di AVERE",'Pivot Revolut'!$A$3,"Mese",9,"Tipologia",$A259),0)</f>
        <v>0</v>
      </c>
      <c r="L259" s="243">
        <f>IFERROR(GETPIVOTDATA("Somma di DARE EUR",'Pivot RakBank AED'!$A$3,"Mese",10,"Tipologia",$A259),0)
- IFERROR(GETPIVOTDATA("Somma di AVERE EUR",'Pivot RakBank AED'!$A$3,"Mese",10,"Tipologia",$A259),0)
+IFERROR(GETPIVOTDATA("Somma di DARE",'Pivot RakBank EUR'!$A$3,"Mese",10,"Tipologia",$A259),0)
- IFERROR(GETPIVOTDATA("Somma di AVERE",'Pivot RakBank EUR'!$A$3,"Mese",10,"Tipologia",$A259),0)
+IFERROR(GETPIVOTDATA("Somma di DARE",'Pivot Fineco Sa'!$A$3,"Mese",10,"Tipologia",$A259),0)
+ IFERROR(GETPIVOTDATA("Somma di DARE",'Pivot Fineco St'!$A$3,"Mese",10,"Tipologia",$A259),0)
+ Contanti!AL121
+ IFERROR(GETPIVOTDATA("Somma di DARE",'Pivot BBVA'!$A$3,"Mese",10,"Tipologia",$A259),0)
+ IFERROR(GETPIVOTDATA("Somma di DARE",'Pivot Amex'!$A$3,"Mese",10,"Tipologia",$A259),0)
- IFERROR(GETPIVOTDATA("Somma di AVERE",'Pivot Amex'!$A$3,"Mese",10,"Tipologia",$A259),0)
- IFERROR(GETPIVOTDATA("Somma di AVERE",'Pivot BBVA'!$A$3,"Mese",10,"Tipologia",$A259),0)
- IFERROR(GETPIVOTDATA("Somma di AVERE",'Pivot Fineco St'!$A$3,"Mese",10,"Tipologia",$A259),0)
- IFERROR(GETPIVOTDATA("Somma di AVERE",'Pivot Fineco Sa'!$A$3,"Mese",10,"Tipologia",$A259),0)
+ IFERROR(GETPIVOTDATA("Somma di DARE",'Pivot PP Visa'!$A$3,"Mese",10,"Tipologia",$A259),0)
- IFERROR(GETPIVOTDATA("Somma di AVERE",'Pivot PP Visa'!$A$3,"Mese",10,"Tipologia",$A259),0)
+ IFERROR(GETPIVOTDATA("Somma di DARE",'Pivot Revolut'!$A$3,"Mese",10,"Tipologia",$A259),0)
- IFERROR(GETPIVOTDATA("Somma di AVERE",'Pivot Revolut'!$A$3,"Mese",10,"Tipologia",$A259),0)</f>
        <v>0</v>
      </c>
      <c r="M259" s="243">
        <f>IFERROR(GETPIVOTDATA("Somma di DARE EUR",'Pivot RakBank AED'!$A$3,"Mese",11,"Tipologia",$A259),0)
- IFERROR(GETPIVOTDATA("Somma di AVERE EUR",'Pivot RakBank AED'!$A$3,"Mese",11,"Tipologia",$A259),0)
+IFERROR(GETPIVOTDATA("Somma di DARE",'Pivot RakBank EUR'!$A$3,"Mese",11,"Tipologia",$A259),0)
- IFERROR(GETPIVOTDATA("Somma di AVERE",'Pivot RakBank EUR'!$A$3,"Mese",11,"Tipologia",$A259),0)
+IFERROR(GETPIVOTDATA("Somma di DARE",'Pivot Fineco Sa'!$A$3,"Mese",11,"Tipologia",$A259),0)
+ IFERROR(GETPIVOTDATA("Somma di DARE",'Pivot Fineco St'!$A$3,"Mese",11,"Tipologia",$A259),0)
+ Contanti!AP121
+ IFERROR(GETPIVOTDATA("Somma di DARE",'Pivot BBVA'!$A$3,"Mese",11,"Tipologia",$A259),0)
+ IFERROR(GETPIVOTDATA("Somma di DARE",'Pivot Amex'!$A$3,"Mese",11,"Tipologia",$A259),0)
- IFERROR(GETPIVOTDATA("Somma di AVERE",'Pivot Amex'!$A$3,"Mese",11,"Tipologia",$A259),0)
- IFERROR(GETPIVOTDATA("Somma di AVERE",'Pivot BBVA'!$A$3,"Mese",11,"Tipologia",$A259),0)
- IFERROR(GETPIVOTDATA("Somma di AVERE",'Pivot Fineco St'!$A$3,"Mese",11,"Tipologia",$A259),0)
- IFERROR(GETPIVOTDATA("Somma di AVERE",'Pivot Fineco Sa'!$A$3,"Mese",11,"Tipologia",$A259),0)
+ IFERROR(GETPIVOTDATA("Somma di DARE",'Pivot PP Visa'!$A$3,"Mese",11,"Tipologia",$A259),0)
- IFERROR(GETPIVOTDATA("Somma di AVERE",'Pivot PP Visa'!$A$3,"Mese",11,"Tipologia",$A259),0)
+ IFERROR(GETPIVOTDATA("Somma di DARE",'Pivot Revolut'!$A$3,"Mese",11,"Tipologia",$A259),0)
- IFERROR(GETPIVOTDATA("Somma di AVERE",'Pivot Revolut'!$A$3,"Mese",11,"Tipologia",$A259),0)</f>
        <v>0</v>
      </c>
      <c r="N259" s="243">
        <f>IFERROR(GETPIVOTDATA("Somma di DARE EUR",'Pivot RakBank AED'!$A$3,"Mese",12,"Tipologia",$A259),0)
- IFERROR(GETPIVOTDATA("Somma di AVERE EUR",'Pivot RakBank AED'!$A$3,"Mese",12,"Tipologia",$A259),0)
+IFERROR(GETPIVOTDATA("Somma di DARE",'Pivot RakBank EUR'!$A$3,"Mese",12,"Tipologia",$A259),0)
- IFERROR(GETPIVOTDATA("Somma di AVERE",'Pivot RakBank EUR'!$A$3,"Mese",12,"Tipologia",$A259),0)
+IFERROR(GETPIVOTDATA("Somma di DARE",'Pivot Fineco Sa'!$A$3,"Mese",12,"Tipologia",$A259),0)
+ IFERROR(GETPIVOTDATA("Somma di DARE",'Pivot Fineco St'!$A$3,"Mese",12,"Tipologia",$A259),0)
+ Contanti!AT121
+ IFERROR(GETPIVOTDATA("Somma di DARE",'Pivot BBVA'!$A$3,"Mese",12,"Tipologia",$A259),0)
+ IFERROR(GETPIVOTDATA("Somma di DARE",'Pivot Amex'!$A$3,"Mese",12,"Tipologia",$A259),0)
- IFERROR(GETPIVOTDATA("Somma di AVERE",'Pivot Amex'!$A$3,"Mese",12,"Tipologia",$A259),0)
- IFERROR(GETPIVOTDATA("Somma di AVERE",'Pivot BBVA'!$A$3,"Mese",12,"Tipologia",$A259),0)
- IFERROR(GETPIVOTDATA("Somma di AVERE",'Pivot Fineco St'!$A$3,"Mese",12,"Tipologia",$A259),0)
- IFERROR(GETPIVOTDATA("Somma di AVERE",'Pivot Fineco Sa'!$A$3,"Mese",12,"Tipologia",$A259),0)
+ IFERROR(GETPIVOTDATA("Somma di DARE",'Pivot PP Visa'!$A$3,"Mese",12,"Tipologia",$A259),0)
- IFERROR(GETPIVOTDATA("Somma di AVERE",'Pivot PP Visa'!$A$3,"Mese",12,"Tipologia",$A259),0)
+ IFERROR(GETPIVOTDATA("Somma di DARE",'Pivot Revolut'!$A$3,"Mese",12,"Tipologia",$A259),0)
- IFERROR(GETPIVOTDATA("Somma di AVERE",'Pivot Revolut'!$A$3,"Mese",12,"Tipologia",$A259),0)</f>
        <v>0</v>
      </c>
      <c r="O259" s="252">
        <f t="shared" si="54"/>
        <v>0</v>
      </c>
      <c r="P259" s="243"/>
    </row>
    <row r="260" spans="1:16" s="125" customFormat="1" ht="21" customHeight="1" x14ac:dyDescent="0.2">
      <c r="A260" s="251" t="s">
        <v>400</v>
      </c>
      <c r="B260" s="251"/>
      <c r="C260" s="243">
        <f>IFERROR(GETPIVOTDATA("Somma di DARE EUR",'Pivot RakBank AED'!$A$3,"Mese",1,"Tipologia",$A260),0)
- IFERROR(GETPIVOTDATA("Somma di AVERE EUR",'Pivot RakBank AED'!$A$3,"Mese",1,"Tipologia",$A260),0)
+IFERROR(GETPIVOTDATA("Somma di DARE",'Pivot RakBank EUR'!$A$3,"Mese",1,"Tipologia",$A260),0)
- IFERROR(GETPIVOTDATA("Somma di AVERE",'Pivot RakBank EUR'!$A$3,"Mese",1,"Tipologia",$A260),0)
+IFERROR(GETPIVOTDATA("Somma di DARE",'Pivot Fineco Sa'!$A$3,"Mese",1,"Tipologia",$A260),0)
+ IFERROR(GETPIVOTDATA("Somma di DARE",'Pivot Fineco St'!$A$3,"Mese",1,"Tipologia",$A260),0)
+ Contanti!B122
+ IFERROR(GETPIVOTDATA("Somma di DARE",'Pivot BBVA'!$A$3,"Mese",1,"Tipologia",$A260),0)
+ IFERROR(GETPIVOTDATA("Somma di DARE",'Pivot Amex'!$A$3,"Mese",1,"Tipologia",$A260),0)
- IFERROR(GETPIVOTDATA("Somma di AVERE",'Pivot Amex'!$A$3,"Mese",1,"Tipologia",$A260),0)
- IFERROR(GETPIVOTDATA("Somma di AVERE",'Pivot BBVA'!$A$3,"Mese",1,"Tipologia",$A260),0)
- IFERROR(GETPIVOTDATA("Somma di AVERE",'Pivot Fineco St'!$A$3,"Mese",1,"Tipologia",$A260),0)
- IFERROR(GETPIVOTDATA("Somma di AVERE",'Pivot Fineco Sa'!$A$3,"Mese",1,"Tipologia",$A260),0)
+ IFERROR(GETPIVOTDATA("Somma di DARE",'Pivot PP Visa'!$A$3,"Mese",1,"Tipologia",$A260),0)
- IFERROR(GETPIVOTDATA("Somma di AVERE",'Pivot PP Visa'!$A$3,"Mese",1,"Tipologia",$A260),0)
+ IFERROR(GETPIVOTDATA("Somma di DARE",'Pivot Revolut'!$A$3,"Mese",1,"Tipologia",$A260),0)
- IFERROR(GETPIVOTDATA("Somma di AVERE",'Pivot Revolut'!$A$3,"Mese",1,"Tipologia",$A260),0)</f>
        <v>0</v>
      </c>
      <c r="D260" s="243">
        <f>IFERROR(GETPIVOTDATA("Somma di DARE EUR",'Pivot RakBank AED'!$A$3,"Mese",2,"Tipologia",$A260),0)
- IFERROR(GETPIVOTDATA("Somma di AVERE EUR",'Pivot RakBank AED'!$A$3,"Mese",2,"Tipologia",$A260),0)
+IFERROR(GETPIVOTDATA("Somma di DARE",'Pivot RakBank EUR'!$A$3,"Mese",2,"Tipologia",$A260),0)
- IFERROR(GETPIVOTDATA("Somma di AVERE",'Pivot RakBank EUR'!$A$3,"Mese",2,"Tipologia",$A260),0)
+IFERROR(GETPIVOTDATA("Somma di DARE",'Pivot Fineco Sa'!$A$3,"Mese",2,"Tipologia",$A260),0)
+ IFERROR(GETPIVOTDATA("Somma di DARE",'Pivot Fineco St'!$A$3,"Mese",2,"Tipologia",$A260),0)
+ Contanti!F122
+ IFERROR(GETPIVOTDATA("Somma di DARE",'Pivot BBVA'!$A$3,"Mese",2,"Tipologia",$A260),0)
+ IFERROR(GETPIVOTDATA("Somma di DARE",'Pivot Amex'!$A$3,"Mese",2,"Tipologia",$A260),0)
- IFERROR(GETPIVOTDATA("Somma di AVERE",'Pivot Amex'!$A$3,"Mese",2,"Tipologia",$A260),0)
- IFERROR(GETPIVOTDATA("Somma di AVERE",'Pivot BBVA'!$A$3,"Mese",2,"Tipologia",$A260),0)
- IFERROR(GETPIVOTDATA("Somma di AVERE",'Pivot Fineco St'!$A$3,"Mese",2,"Tipologia",$A260),0)
- IFERROR(GETPIVOTDATA("Somma di AVERE",'Pivot Fineco Sa'!$A$3,"Mese",2,"Tipologia",$A260),0)
+ IFERROR(GETPIVOTDATA("Somma di DARE",'Pivot PP Visa'!$A$3,"Mese",2,"Tipologia",$A260),0)
- IFERROR(GETPIVOTDATA("Somma di AVERE",'Pivot PP Visa'!$A$3,"Mese",2,"Tipologia",$A260),0)
+ IFERROR(GETPIVOTDATA("Somma di DARE",'Pivot Revolut'!$A$3,"Mese",2,"Tipologia",$A260),0)
- IFERROR(GETPIVOTDATA("Somma di AVERE",'Pivot Revolut'!$A$3,"Mese",2,"Tipologia",$A260),0)</f>
        <v>0</v>
      </c>
      <c r="E260" s="243">
        <f>IFERROR(GETPIVOTDATA("Somma di DARE EUR",'Pivot RakBank AED'!$A$3,"Mese",3,"Tipologia",$A260),0)
- IFERROR(GETPIVOTDATA("Somma di AVERE EUR",'Pivot RakBank AED'!$A$3,"Mese",3,"Tipologia",$A260),0)
+IFERROR(GETPIVOTDATA("Somma di DARE",'Pivot RakBank EUR'!$A$3,"Mese",3,"Tipologia",$A260),0)
- IFERROR(GETPIVOTDATA("Somma di AVERE",'Pivot RakBank EUR'!$A$3,"Mese",3,"Tipologia",$A260),0)
+IFERROR(GETPIVOTDATA("Somma di DARE",'Pivot Fineco Sa'!$A$3,"Mese",3,"Tipologia",$A260),0)
+ IFERROR(GETPIVOTDATA("Somma di DARE",'Pivot Fineco St'!$A$3,"Mese",3,"Tipologia",$A260),0)
+ Contanti!J122
+ IFERROR(GETPIVOTDATA("Somma di DARE",'Pivot BBVA'!$A$3,"Mese",3,"Tipologia",$A260),0)
+ IFERROR(GETPIVOTDATA("Somma di DARE",'Pivot Amex'!$A$3,"Mese",3,"Tipologia",$A260),0)
- IFERROR(GETPIVOTDATA("Somma di AVERE",'Pivot Amex'!$A$3,"Mese",3,"Tipologia",$A260),0)
- IFERROR(GETPIVOTDATA("Somma di AVERE",'Pivot BBVA'!$A$3,"Mese",3,"Tipologia",$A260),0)
- IFERROR(GETPIVOTDATA("Somma di AVERE",'Pivot Fineco St'!$A$3,"Mese",3,"Tipologia",$A260),0)
- IFERROR(GETPIVOTDATA("Somma di AVERE",'Pivot Fineco Sa'!$A$3,"Mese",3,"Tipologia",$A260),0)
+ IFERROR(GETPIVOTDATA("Somma di DARE",'Pivot PP Visa'!$A$3,"Mese",3,"Tipologia",$A260),0)
- IFERROR(GETPIVOTDATA("Somma di AVERE",'Pivot PP Visa'!$A$3,"Mese",3,"Tipologia",$A260),0)
+ IFERROR(GETPIVOTDATA("Somma di DARE",'Pivot Revolut'!$A$3,"Mese",3,"Tipologia",$A260),0)
- IFERROR(GETPIVOTDATA("Somma di AVERE",'Pivot Revolut'!$A$3,"Mese",3,"Tipologia",$A260),0)</f>
        <v>0</v>
      </c>
      <c r="F260" s="243">
        <f>IFERROR(GETPIVOTDATA("Somma di DARE EUR",'Pivot RakBank AED'!$A$3,"Mese",4,"Tipologia",$A260),0)
- IFERROR(GETPIVOTDATA("Somma di AVERE EUR",'Pivot RakBank AED'!$A$3,"Mese",4,"Tipologia",$A260),0)
+IFERROR(GETPIVOTDATA("Somma di DARE",'Pivot RakBank EUR'!$A$3,"Mese",4,"Tipologia",$A260),0)
- IFERROR(GETPIVOTDATA("Somma di AVERE",'Pivot RakBank EUR'!$A$3,"Mese",4,"Tipologia",$A260),0)
+IFERROR(GETPIVOTDATA("Somma di DARE",'Pivot Fineco Sa'!$A$3,"Mese",4,"Tipologia",$A260),0)
+ IFERROR(GETPIVOTDATA("Somma di DARE",'Pivot Fineco St'!$A$3,"Mese",4,"Tipologia",$A260),0)
+ Contanti!N122
+ IFERROR(GETPIVOTDATA("Somma di DARE",'Pivot BBVA'!$A$3,"Mese",4,"Tipologia",$A260),0)
+ IFERROR(GETPIVOTDATA("Somma di DARE",'Pivot Amex'!$A$3,"Mese",4,"Tipologia",$A260),0)
- IFERROR(GETPIVOTDATA("Somma di AVERE",'Pivot Amex'!$A$3,"Mese",4,"Tipologia",$A260),0)
- IFERROR(GETPIVOTDATA("Somma di AVERE",'Pivot BBVA'!$A$3,"Mese",4,"Tipologia",$A260),0)
- IFERROR(GETPIVOTDATA("Somma di AVERE",'Pivot Fineco St'!$A$3,"Mese",4,"Tipologia",$A260),0)
- IFERROR(GETPIVOTDATA("Somma di AVERE",'Pivot Fineco Sa'!$A$3,"Mese",4,"Tipologia",$A260),0)
+ IFERROR(GETPIVOTDATA("Somma di DARE",'Pivot PP Visa'!$A$3,"Mese",4,"Tipologia",$A260),0)
- IFERROR(GETPIVOTDATA("Somma di AVERE",'Pivot PP Visa'!$A$3,"Mese",4,"Tipologia",$A260),0)
+ IFERROR(GETPIVOTDATA("Somma di DARE",'Pivot Revolut'!$A$3,"Mese",4,"Tipologia",$A260),0)
- IFERROR(GETPIVOTDATA("Somma di AVERE",'Pivot Revolut'!$A$3,"Mese",4,"Tipologia",$A260),0)</f>
        <v>0</v>
      </c>
      <c r="G260" s="243">
        <f>IFERROR(GETPIVOTDATA("Somma di DARE EUR",'Pivot RakBank AED'!$A$3,"Mese",5,"Tipologia",$A260),0)
- IFERROR(GETPIVOTDATA("Somma di AVERE EUR",'Pivot RakBank AED'!$A$3,"Mese",5,"Tipologia",$A260),0)
+IFERROR(GETPIVOTDATA("Somma di DARE",'Pivot RakBank EUR'!$A$3,"Mese",5,"Tipologia",$A260),0)
- IFERROR(GETPIVOTDATA("Somma di AVERE",'Pivot RakBank EUR'!$A$3,"Mese",5,"Tipologia",$A260),0)
+IFERROR(GETPIVOTDATA("Somma di DARE",'Pivot Fineco Sa'!$A$3,"Mese",5,"Tipologia",$A260),0)
+ IFERROR(GETPIVOTDATA("Somma di DARE",'Pivot Fineco St'!$A$3,"Mese",5,"Tipologia",$A260),0)
+ Contanti!R122
+ IFERROR(GETPIVOTDATA("Somma di DARE",'Pivot BBVA'!$A$3,"Mese",5,"Tipologia",$A260),0)
+ IFERROR(GETPIVOTDATA("Somma di DARE",'Pivot Amex'!$A$3,"Mese",5,"Tipologia",$A260),0)
- IFERROR(GETPIVOTDATA("Somma di AVERE",'Pivot Amex'!$A$3,"Mese",5,"Tipologia",$A260),0)
- IFERROR(GETPIVOTDATA("Somma di AVERE",'Pivot BBVA'!$A$3,"Mese",5,"Tipologia",$A260),0)
- IFERROR(GETPIVOTDATA("Somma di AVERE",'Pivot Fineco St'!$A$3,"Mese",5,"Tipologia",$A260),0)
- IFERROR(GETPIVOTDATA("Somma di AVERE",'Pivot Fineco Sa'!$A$3,"Mese",5,"Tipologia",$A260),0)
+ IFERROR(GETPIVOTDATA("Somma di DARE",'Pivot PP Visa'!$A$3,"Mese",5,"Tipologia",$A260),0)
- IFERROR(GETPIVOTDATA("Somma di AVERE",'Pivot PP Visa'!$A$3,"Mese",5,"Tipologia",$A260),0)
+ IFERROR(GETPIVOTDATA("Somma di DARE",'Pivot Revolut'!$A$3,"Mese",5,"Tipologia",$A260),0)
- IFERROR(GETPIVOTDATA("Somma di AVERE",'Pivot Revolut'!$A$3,"Mese",5,"Tipologia",$A260),0)</f>
        <v>0</v>
      </c>
      <c r="H260" s="243">
        <f>IFERROR(GETPIVOTDATA("Somma di DARE EUR",'Pivot RakBank AED'!$A$3,"Mese",6,"Tipologia",$A260),0)
- IFERROR(GETPIVOTDATA("Somma di AVERE EUR",'Pivot RakBank AED'!$A$3,"Mese",6,"Tipologia",$A260),0)
+IFERROR(GETPIVOTDATA("Somma di DARE",'Pivot RakBank EUR'!$A$3,"Mese",6,"Tipologia",$A260),0)
- IFERROR(GETPIVOTDATA("Somma di AVERE",'Pivot RakBank EUR'!$A$3,"Mese",6,"Tipologia",$A260),0)
+IFERROR(GETPIVOTDATA("Somma di DARE",'Pivot Fineco Sa'!$A$3,"Mese",6,"Tipologia",$A260),0)
+ IFERROR(GETPIVOTDATA("Somma di DARE",'Pivot Fineco St'!$A$3,"Mese",6,"Tipologia",$A260),0)
+ Contanti!V122
+ IFERROR(GETPIVOTDATA("Somma di DARE",'Pivot BBVA'!$A$3,"Mese",6,"Tipologia",$A260),0)
+ IFERROR(GETPIVOTDATA("Somma di DARE",'Pivot Amex'!$A$3,"Mese",6,"Tipologia",$A260),0)
- IFERROR(GETPIVOTDATA("Somma di AVERE",'Pivot Amex'!$A$3,"Mese",6,"Tipologia",$A260),0)
- IFERROR(GETPIVOTDATA("Somma di AVERE",'Pivot BBVA'!$A$3,"Mese",6,"Tipologia",$A260),0)
- IFERROR(GETPIVOTDATA("Somma di AVERE",'Pivot Fineco St'!$A$3,"Mese",6,"Tipologia",$A260),0)
- IFERROR(GETPIVOTDATA("Somma di AVERE",'Pivot Fineco Sa'!$A$3,"Mese",6,"Tipologia",$A260),0)
+ IFERROR(GETPIVOTDATA("Somma di DARE",'Pivot PP Visa'!$A$3,"Mese",6,"Tipologia",$A260),0)
- IFERROR(GETPIVOTDATA("Somma di AVERE",'Pivot PP Visa'!$A$3,"Mese",6,"Tipologia",$A260),0)
+ IFERROR(GETPIVOTDATA("Somma di DARE",'Pivot Revolut'!$A$3,"Mese",6,"Tipologia",$A260),0)
- IFERROR(GETPIVOTDATA("Somma di AVERE",'Pivot Revolut'!$A$3,"Mese",6,"Tipologia",$A260),0)</f>
        <v>0</v>
      </c>
      <c r="I260" s="243">
        <f>IFERROR(GETPIVOTDATA("Somma di DARE EUR",'Pivot RakBank AED'!$A$3,"Mese",7,"Tipologia",$A260),0)
- IFERROR(GETPIVOTDATA("Somma di AVERE EUR",'Pivot RakBank AED'!$A$3,"Mese",7,"Tipologia",$A260),0)
+IFERROR(GETPIVOTDATA("Somma di DARE",'Pivot RakBank EUR'!$A$3,"Mese",7,"Tipologia",$A260),0)
- IFERROR(GETPIVOTDATA("Somma di AVERE",'Pivot RakBank EUR'!$A$3,"Mese",7,"Tipologia",$A260),0)
+IFERROR(GETPIVOTDATA("Somma di DARE",'Pivot Fineco Sa'!$A$3,"Mese",7,"Tipologia",$A260),0)
+ IFERROR(GETPIVOTDATA("Somma di DARE",'Pivot Fineco St'!$A$3,"Mese",7,"Tipologia",$A260),0)
+ Contanti!Z122
+ IFERROR(GETPIVOTDATA("Somma di DARE",'Pivot BBVA'!$A$3,"Mese",7,"Tipologia",$A260),0)
+ IFERROR(GETPIVOTDATA("Somma di DARE",'Pivot Amex'!$A$3,"Mese",7,"Tipologia",$A260),0)
- IFERROR(GETPIVOTDATA("Somma di AVERE",'Pivot Amex'!$A$3,"Mese",7,"Tipologia",$A260),0)
- IFERROR(GETPIVOTDATA("Somma di AVERE",'Pivot BBVA'!$A$3,"Mese",7,"Tipologia",$A260),0)
- IFERROR(GETPIVOTDATA("Somma di AVERE",'Pivot Fineco St'!$A$3,"Mese",7,"Tipologia",$A260),0)
- IFERROR(GETPIVOTDATA("Somma di AVERE",'Pivot Fineco Sa'!$A$3,"Mese",7,"Tipologia",$A260),0)
+ IFERROR(GETPIVOTDATA("Somma di DARE",'Pivot PP Visa'!$A$3,"Mese",7,"Tipologia",$A260),0)
- IFERROR(GETPIVOTDATA("Somma di AVERE",'Pivot PP Visa'!$A$3,"Mese",7,"Tipologia",$A260),0)
+ IFERROR(GETPIVOTDATA("Somma di DARE",'Pivot Revolut'!$A$3,"Mese",7,"Tipologia",$A260),0)
- IFERROR(GETPIVOTDATA("Somma di AVERE",'Pivot Revolut'!$A$3,"Mese",7,"Tipologia",$A260),0)</f>
        <v>0</v>
      </c>
      <c r="J260" s="243">
        <f>IFERROR(GETPIVOTDATA("Somma di DARE EUR",'Pivot RakBank AED'!$A$3,"Mese",8,"Tipologia",$A260),0)
- IFERROR(GETPIVOTDATA("Somma di AVERE EUR",'Pivot RakBank AED'!$A$3,"Mese",8,"Tipologia",$A260),0)
+IFERROR(GETPIVOTDATA("Somma di DARE",'Pivot RakBank EUR'!$A$3,"Mese",8,"Tipologia",$A260),0)
- IFERROR(GETPIVOTDATA("Somma di AVERE",'Pivot RakBank EUR'!$A$3,"Mese",8,"Tipologia",$A260),0)
+IFERROR(GETPIVOTDATA("Somma di DARE",'Pivot Fineco Sa'!$A$3,"Mese",8,"Tipologia",$A260),0)
+ IFERROR(GETPIVOTDATA("Somma di DARE",'Pivot Fineco St'!$A$3,"Mese",8,"Tipologia",$A260),0)
+ Contanti!AD122
+ IFERROR(GETPIVOTDATA("Somma di DARE",'Pivot BBVA'!$A$3,"Mese",8,"Tipologia",$A260),0)
+ IFERROR(GETPIVOTDATA("Somma di DARE",'Pivot Amex'!$A$3,"Mese",8,"Tipologia",$A260),0)
- IFERROR(GETPIVOTDATA("Somma di AVERE",'Pivot Amex'!$A$3,"Mese",8,"Tipologia",$A260),0)
- IFERROR(GETPIVOTDATA("Somma di AVERE",'Pivot BBVA'!$A$3,"Mese",8,"Tipologia",$A260),0)
- IFERROR(GETPIVOTDATA("Somma di AVERE",'Pivot Fineco St'!$A$3,"Mese",8,"Tipologia",$A260),0)
- IFERROR(GETPIVOTDATA("Somma di AVERE",'Pivot Fineco Sa'!$A$3,"Mese",8,"Tipologia",$A260),0)
+ IFERROR(GETPIVOTDATA("Somma di DARE",'Pivot PP Visa'!$A$3,"Mese",8,"Tipologia",$A260),0)
- IFERROR(GETPIVOTDATA("Somma di AVERE",'Pivot PP Visa'!$A$3,"Mese",8,"Tipologia",$A260),0)
+ IFERROR(GETPIVOTDATA("Somma di DARE",'Pivot Revolut'!$A$3,"Mese",8,"Tipologia",$A260),0)
- IFERROR(GETPIVOTDATA("Somma di AVERE",'Pivot Revolut'!$A$3,"Mese",8,"Tipologia",$A260),0)</f>
        <v>0</v>
      </c>
      <c r="K260" s="243">
        <f>IFERROR(GETPIVOTDATA("Somma di DARE EUR",'Pivot RakBank AED'!$A$3,"Mese",9,"Tipologia",$A260),0)
- IFERROR(GETPIVOTDATA("Somma di AVERE EUR",'Pivot RakBank AED'!$A$3,"Mese",9,"Tipologia",$A260),0)
+IFERROR(GETPIVOTDATA("Somma di DARE",'Pivot RakBank EUR'!$A$3,"Mese",9,"Tipologia",$A260),0)
- IFERROR(GETPIVOTDATA("Somma di AVERE",'Pivot RakBank EUR'!$A$3,"Mese",9,"Tipologia",$A260),0)
+IFERROR(GETPIVOTDATA("Somma di DARE",'Pivot Fineco Sa'!$A$3,"Mese",9,"Tipologia",$A260),0)
+ IFERROR(GETPIVOTDATA("Somma di DARE",'Pivot Fineco St'!$A$3,"Mese",9,"Tipologia",$A260),0)
+ Contanti!AH122
+ IFERROR(GETPIVOTDATA("Somma di DARE",'Pivot BBVA'!$A$3,"Mese",9,"Tipologia",$A260),0)
+ IFERROR(GETPIVOTDATA("Somma di DARE",'Pivot Amex'!$A$3,"Mese",9,"Tipologia",$A260),0)
- IFERROR(GETPIVOTDATA("Somma di AVERE",'Pivot Amex'!$A$3,"Mese",9,"Tipologia",$A260),0)
- IFERROR(GETPIVOTDATA("Somma di AVERE",'Pivot BBVA'!$A$3,"Mese",9,"Tipologia",$A260),0)
- IFERROR(GETPIVOTDATA("Somma di AVERE",'Pivot Fineco St'!$A$3,"Mese",9,"Tipologia",$A260),0)
- IFERROR(GETPIVOTDATA("Somma di AVERE",'Pivot Fineco Sa'!$A$3,"Mese",9,"Tipologia",$A260),0)
+ IFERROR(GETPIVOTDATA("Somma di DARE",'Pivot PP Visa'!$A$3,"Mese",9,"Tipologia",$A260),0)
- IFERROR(GETPIVOTDATA("Somma di AVERE",'Pivot PP Visa'!$A$3,"Mese",9,"Tipologia",$A260),0)
+ IFERROR(GETPIVOTDATA("Somma di DARE",'Pivot Revolut'!$A$3,"Mese",9,"Tipologia",$A260),0)
- IFERROR(GETPIVOTDATA("Somma di AVERE",'Pivot Revolut'!$A$3,"Mese",9,"Tipologia",$A260),0)</f>
        <v>0</v>
      </c>
      <c r="L260" s="243">
        <f>IFERROR(GETPIVOTDATA("Somma di DARE EUR",'Pivot RakBank AED'!$A$3,"Mese",10,"Tipologia",$A260),0)
- IFERROR(GETPIVOTDATA("Somma di AVERE EUR",'Pivot RakBank AED'!$A$3,"Mese",10,"Tipologia",$A260),0)
+IFERROR(GETPIVOTDATA("Somma di DARE",'Pivot RakBank EUR'!$A$3,"Mese",10,"Tipologia",$A260),0)
- IFERROR(GETPIVOTDATA("Somma di AVERE",'Pivot RakBank EUR'!$A$3,"Mese",10,"Tipologia",$A260),0)
+IFERROR(GETPIVOTDATA("Somma di DARE",'Pivot Fineco Sa'!$A$3,"Mese",10,"Tipologia",$A260),0)
+ IFERROR(GETPIVOTDATA("Somma di DARE",'Pivot Fineco St'!$A$3,"Mese",10,"Tipologia",$A260),0)
+ Contanti!AL122
+ IFERROR(GETPIVOTDATA("Somma di DARE",'Pivot BBVA'!$A$3,"Mese",10,"Tipologia",$A260),0)
+ IFERROR(GETPIVOTDATA("Somma di DARE",'Pivot Amex'!$A$3,"Mese",10,"Tipologia",$A260),0)
- IFERROR(GETPIVOTDATA("Somma di AVERE",'Pivot Amex'!$A$3,"Mese",10,"Tipologia",$A260),0)
- IFERROR(GETPIVOTDATA("Somma di AVERE",'Pivot BBVA'!$A$3,"Mese",10,"Tipologia",$A260),0)
- IFERROR(GETPIVOTDATA("Somma di AVERE",'Pivot Fineco St'!$A$3,"Mese",10,"Tipologia",$A260),0)
- IFERROR(GETPIVOTDATA("Somma di AVERE",'Pivot Fineco Sa'!$A$3,"Mese",10,"Tipologia",$A260),0)
+ IFERROR(GETPIVOTDATA("Somma di DARE",'Pivot PP Visa'!$A$3,"Mese",10,"Tipologia",$A260),0)
- IFERROR(GETPIVOTDATA("Somma di AVERE",'Pivot PP Visa'!$A$3,"Mese",10,"Tipologia",$A260),0)
+ IFERROR(GETPIVOTDATA("Somma di DARE",'Pivot Revolut'!$A$3,"Mese",10,"Tipologia",$A260),0)
- IFERROR(GETPIVOTDATA("Somma di AVERE",'Pivot Revolut'!$A$3,"Mese",10,"Tipologia",$A260),0)</f>
        <v>0</v>
      </c>
      <c r="M260" s="243">
        <f>IFERROR(GETPIVOTDATA("Somma di DARE EUR",'Pivot RakBank AED'!$A$3,"Mese",11,"Tipologia",$A260),0)
- IFERROR(GETPIVOTDATA("Somma di AVERE EUR",'Pivot RakBank AED'!$A$3,"Mese",11,"Tipologia",$A260),0)
+IFERROR(GETPIVOTDATA("Somma di DARE",'Pivot RakBank EUR'!$A$3,"Mese",11,"Tipologia",$A260),0)
- IFERROR(GETPIVOTDATA("Somma di AVERE",'Pivot RakBank EUR'!$A$3,"Mese",11,"Tipologia",$A260),0)
+IFERROR(GETPIVOTDATA("Somma di DARE",'Pivot Fineco Sa'!$A$3,"Mese",11,"Tipologia",$A260),0)
+ IFERROR(GETPIVOTDATA("Somma di DARE",'Pivot Fineco St'!$A$3,"Mese",11,"Tipologia",$A260),0)
+ Contanti!AP122
+ IFERROR(GETPIVOTDATA("Somma di DARE",'Pivot BBVA'!$A$3,"Mese",11,"Tipologia",$A260),0)
+ IFERROR(GETPIVOTDATA("Somma di DARE",'Pivot Amex'!$A$3,"Mese",11,"Tipologia",$A260),0)
- IFERROR(GETPIVOTDATA("Somma di AVERE",'Pivot Amex'!$A$3,"Mese",11,"Tipologia",$A260),0)
- IFERROR(GETPIVOTDATA("Somma di AVERE",'Pivot BBVA'!$A$3,"Mese",11,"Tipologia",$A260),0)
- IFERROR(GETPIVOTDATA("Somma di AVERE",'Pivot Fineco St'!$A$3,"Mese",11,"Tipologia",$A260),0)
- IFERROR(GETPIVOTDATA("Somma di AVERE",'Pivot Fineco Sa'!$A$3,"Mese",11,"Tipologia",$A260),0)
+ IFERROR(GETPIVOTDATA("Somma di DARE",'Pivot PP Visa'!$A$3,"Mese",11,"Tipologia",$A260),0)
- IFERROR(GETPIVOTDATA("Somma di AVERE",'Pivot PP Visa'!$A$3,"Mese",11,"Tipologia",$A260),0)
+ IFERROR(GETPIVOTDATA("Somma di DARE",'Pivot Revolut'!$A$3,"Mese",11,"Tipologia",$A260),0)
- IFERROR(GETPIVOTDATA("Somma di AVERE",'Pivot Revolut'!$A$3,"Mese",11,"Tipologia",$A260),0)</f>
        <v>0</v>
      </c>
      <c r="N260" s="243">
        <f>IFERROR(GETPIVOTDATA("Somma di DARE EUR",'Pivot RakBank AED'!$A$3,"Mese",12,"Tipologia",$A260),0)
- IFERROR(GETPIVOTDATA("Somma di AVERE EUR",'Pivot RakBank AED'!$A$3,"Mese",12,"Tipologia",$A260),0)
+IFERROR(GETPIVOTDATA("Somma di DARE",'Pivot RakBank EUR'!$A$3,"Mese",12,"Tipologia",$A260),0)
- IFERROR(GETPIVOTDATA("Somma di AVERE",'Pivot RakBank EUR'!$A$3,"Mese",12,"Tipologia",$A260),0)
+IFERROR(GETPIVOTDATA("Somma di DARE",'Pivot Fineco Sa'!$A$3,"Mese",12,"Tipologia",$A260),0)
+ IFERROR(GETPIVOTDATA("Somma di DARE",'Pivot Fineco St'!$A$3,"Mese",12,"Tipologia",$A260),0)
+ Contanti!AT122
+ IFERROR(GETPIVOTDATA("Somma di DARE",'Pivot BBVA'!$A$3,"Mese",12,"Tipologia",$A260),0)
+ IFERROR(GETPIVOTDATA("Somma di DARE",'Pivot Amex'!$A$3,"Mese",12,"Tipologia",$A260),0)
- IFERROR(GETPIVOTDATA("Somma di AVERE",'Pivot Amex'!$A$3,"Mese",12,"Tipologia",$A260),0)
- IFERROR(GETPIVOTDATA("Somma di AVERE",'Pivot BBVA'!$A$3,"Mese",12,"Tipologia",$A260),0)
- IFERROR(GETPIVOTDATA("Somma di AVERE",'Pivot Fineco St'!$A$3,"Mese",12,"Tipologia",$A260),0)
- IFERROR(GETPIVOTDATA("Somma di AVERE",'Pivot Fineco Sa'!$A$3,"Mese",12,"Tipologia",$A260),0)
+ IFERROR(GETPIVOTDATA("Somma di DARE",'Pivot PP Visa'!$A$3,"Mese",12,"Tipologia",$A260),0)
- IFERROR(GETPIVOTDATA("Somma di AVERE",'Pivot PP Visa'!$A$3,"Mese",12,"Tipologia",$A260),0)
+ IFERROR(GETPIVOTDATA("Somma di DARE",'Pivot Revolut'!$A$3,"Mese",12,"Tipologia",$A260),0)
- IFERROR(GETPIVOTDATA("Somma di AVERE",'Pivot Revolut'!$A$3,"Mese",12,"Tipologia",$A260),0)</f>
        <v>0</v>
      </c>
      <c r="O260" s="252">
        <f t="shared" si="54"/>
        <v>0</v>
      </c>
      <c r="P260" s="243"/>
    </row>
    <row r="261" spans="1:16" s="125" customFormat="1" ht="21" customHeight="1" x14ac:dyDescent="0.2">
      <c r="A261" s="251" t="s">
        <v>399</v>
      </c>
      <c r="B261" s="251"/>
      <c r="C261" s="243">
        <f>IFERROR(GETPIVOTDATA("Somma di DARE EUR",'Pivot RakBank AED'!$A$3,"Mese",1,"Tipologia",$A261),0)
- IFERROR(GETPIVOTDATA("Somma di AVERE EUR",'Pivot RakBank AED'!$A$3,"Mese",1,"Tipologia",$A261),0)
+IFERROR(GETPIVOTDATA("Somma di DARE",'Pivot RakBank EUR'!$A$3,"Mese",1,"Tipologia",$A261),0)
- IFERROR(GETPIVOTDATA("Somma di AVERE",'Pivot RakBank EUR'!$A$3,"Mese",1,"Tipologia",$A261),0)
+IFERROR(GETPIVOTDATA("Somma di DARE",'Pivot Fineco Sa'!$A$3,"Mese",1,"Tipologia",$A261),0)
+ IFERROR(GETPIVOTDATA("Somma di DARE",'Pivot Fineco St'!$A$3,"Mese",1,"Tipologia",$A261),0)
+ Contanti!B123
+ IFERROR(GETPIVOTDATA("Somma di DARE",'Pivot BBVA'!$A$3,"Mese",1,"Tipologia",$A261),0)
+ IFERROR(GETPIVOTDATA("Somma di DARE",'Pivot Amex'!$A$3,"Mese",1,"Tipologia",$A261),0)
- IFERROR(GETPIVOTDATA("Somma di AVERE",'Pivot Amex'!$A$3,"Mese",1,"Tipologia",$A261),0)
- IFERROR(GETPIVOTDATA("Somma di AVERE",'Pivot BBVA'!$A$3,"Mese",1,"Tipologia",$A261),0)
- IFERROR(GETPIVOTDATA("Somma di AVERE",'Pivot Fineco St'!$A$3,"Mese",1,"Tipologia",$A261),0)
- IFERROR(GETPIVOTDATA("Somma di AVERE",'Pivot Fineco Sa'!$A$3,"Mese",1,"Tipologia",$A261),0)
+ IFERROR(GETPIVOTDATA("Somma di DARE",'Pivot PP Visa'!$A$3,"Mese",1,"Tipologia",$A261),0)
- IFERROR(GETPIVOTDATA("Somma di AVERE",'Pivot PP Visa'!$A$3,"Mese",1,"Tipologia",$A261),0)
+ IFERROR(GETPIVOTDATA("Somma di DARE",'Pivot Revolut'!$A$3,"Mese",1,"Tipologia",$A261),0)
- IFERROR(GETPIVOTDATA("Somma di AVERE",'Pivot Revolut'!$A$3,"Mese",1,"Tipologia",$A261),0)</f>
        <v>0</v>
      </c>
      <c r="D261" s="243">
        <f>IFERROR(GETPIVOTDATA("Somma di DARE EUR",'Pivot RakBank AED'!$A$3,"Mese",2,"Tipologia",$A261),0)
- IFERROR(GETPIVOTDATA("Somma di AVERE EUR",'Pivot RakBank AED'!$A$3,"Mese",2,"Tipologia",$A261),0)
+IFERROR(GETPIVOTDATA("Somma di DARE",'Pivot RakBank EUR'!$A$3,"Mese",2,"Tipologia",$A261),0)
- IFERROR(GETPIVOTDATA("Somma di AVERE",'Pivot RakBank EUR'!$A$3,"Mese",2,"Tipologia",$A261),0)
+IFERROR(GETPIVOTDATA("Somma di DARE",'Pivot Fineco Sa'!$A$3,"Mese",2,"Tipologia",$A261),0)
+ IFERROR(GETPIVOTDATA("Somma di DARE",'Pivot Fineco St'!$A$3,"Mese",2,"Tipologia",$A261),0)
+ Contanti!F123
+ IFERROR(GETPIVOTDATA("Somma di DARE",'Pivot BBVA'!$A$3,"Mese",2,"Tipologia",$A261),0)
+ IFERROR(GETPIVOTDATA("Somma di DARE",'Pivot Amex'!$A$3,"Mese",2,"Tipologia",$A261),0)
- IFERROR(GETPIVOTDATA("Somma di AVERE",'Pivot Amex'!$A$3,"Mese",2,"Tipologia",$A261),0)
- IFERROR(GETPIVOTDATA("Somma di AVERE",'Pivot BBVA'!$A$3,"Mese",2,"Tipologia",$A261),0)
- IFERROR(GETPIVOTDATA("Somma di AVERE",'Pivot Fineco St'!$A$3,"Mese",2,"Tipologia",$A261),0)
- IFERROR(GETPIVOTDATA("Somma di AVERE",'Pivot Fineco Sa'!$A$3,"Mese",2,"Tipologia",$A261),0)
+ IFERROR(GETPIVOTDATA("Somma di DARE",'Pivot PP Visa'!$A$3,"Mese",2,"Tipologia",$A261),0)
- IFERROR(GETPIVOTDATA("Somma di AVERE",'Pivot PP Visa'!$A$3,"Mese",2,"Tipologia",$A261),0)
+ IFERROR(GETPIVOTDATA("Somma di DARE",'Pivot Revolut'!$A$3,"Mese",2,"Tipologia",$A261),0)
- IFERROR(GETPIVOTDATA("Somma di AVERE",'Pivot Revolut'!$A$3,"Mese",2,"Tipologia",$A261),0)</f>
        <v>0</v>
      </c>
      <c r="E261" s="243">
        <f>IFERROR(GETPIVOTDATA("Somma di DARE EUR",'Pivot RakBank AED'!$A$3,"Mese",3,"Tipologia",$A261),0)
- IFERROR(GETPIVOTDATA("Somma di AVERE EUR",'Pivot RakBank AED'!$A$3,"Mese",3,"Tipologia",$A261),0)
+IFERROR(GETPIVOTDATA("Somma di DARE",'Pivot RakBank EUR'!$A$3,"Mese",3,"Tipologia",$A261),0)
- IFERROR(GETPIVOTDATA("Somma di AVERE",'Pivot RakBank EUR'!$A$3,"Mese",3,"Tipologia",$A261),0)
+IFERROR(GETPIVOTDATA("Somma di DARE",'Pivot Fineco Sa'!$A$3,"Mese",3,"Tipologia",$A261),0)
+ IFERROR(GETPIVOTDATA("Somma di DARE",'Pivot Fineco St'!$A$3,"Mese",3,"Tipologia",$A261),0)
+ Contanti!J123
+ IFERROR(GETPIVOTDATA("Somma di DARE",'Pivot BBVA'!$A$3,"Mese",3,"Tipologia",$A261),0)
+ IFERROR(GETPIVOTDATA("Somma di DARE",'Pivot Amex'!$A$3,"Mese",3,"Tipologia",$A261),0)
- IFERROR(GETPIVOTDATA("Somma di AVERE",'Pivot Amex'!$A$3,"Mese",3,"Tipologia",$A261),0)
- IFERROR(GETPIVOTDATA("Somma di AVERE",'Pivot BBVA'!$A$3,"Mese",3,"Tipologia",$A261),0)
- IFERROR(GETPIVOTDATA("Somma di AVERE",'Pivot Fineco St'!$A$3,"Mese",3,"Tipologia",$A261),0)
- IFERROR(GETPIVOTDATA("Somma di AVERE",'Pivot Fineco Sa'!$A$3,"Mese",3,"Tipologia",$A261),0)
+ IFERROR(GETPIVOTDATA("Somma di DARE",'Pivot PP Visa'!$A$3,"Mese",3,"Tipologia",$A261),0)
- IFERROR(GETPIVOTDATA("Somma di AVERE",'Pivot PP Visa'!$A$3,"Mese",3,"Tipologia",$A261),0)
+ IFERROR(GETPIVOTDATA("Somma di DARE",'Pivot Revolut'!$A$3,"Mese",3,"Tipologia",$A261),0)
- IFERROR(GETPIVOTDATA("Somma di AVERE",'Pivot Revolut'!$A$3,"Mese",3,"Tipologia",$A261),0)</f>
        <v>0</v>
      </c>
      <c r="F261" s="243">
        <f>IFERROR(GETPIVOTDATA("Somma di DARE EUR",'Pivot RakBank AED'!$A$3,"Mese",4,"Tipologia",$A261),0)
- IFERROR(GETPIVOTDATA("Somma di AVERE EUR",'Pivot RakBank AED'!$A$3,"Mese",4,"Tipologia",$A261),0)
+IFERROR(GETPIVOTDATA("Somma di DARE",'Pivot RakBank EUR'!$A$3,"Mese",4,"Tipologia",$A261),0)
- IFERROR(GETPIVOTDATA("Somma di AVERE",'Pivot RakBank EUR'!$A$3,"Mese",4,"Tipologia",$A261),0)
+IFERROR(GETPIVOTDATA("Somma di DARE",'Pivot Fineco Sa'!$A$3,"Mese",4,"Tipologia",$A261),0)
+ IFERROR(GETPIVOTDATA("Somma di DARE",'Pivot Fineco St'!$A$3,"Mese",4,"Tipologia",$A261),0)
+ Contanti!N123
+ IFERROR(GETPIVOTDATA("Somma di DARE",'Pivot BBVA'!$A$3,"Mese",4,"Tipologia",$A261),0)
+ IFERROR(GETPIVOTDATA("Somma di DARE",'Pivot Amex'!$A$3,"Mese",4,"Tipologia",$A261),0)
- IFERROR(GETPIVOTDATA("Somma di AVERE",'Pivot Amex'!$A$3,"Mese",4,"Tipologia",$A261),0)
- IFERROR(GETPIVOTDATA("Somma di AVERE",'Pivot BBVA'!$A$3,"Mese",4,"Tipologia",$A261),0)
- IFERROR(GETPIVOTDATA("Somma di AVERE",'Pivot Fineco St'!$A$3,"Mese",4,"Tipologia",$A261),0)
- IFERROR(GETPIVOTDATA("Somma di AVERE",'Pivot Fineco Sa'!$A$3,"Mese",4,"Tipologia",$A261),0)
+ IFERROR(GETPIVOTDATA("Somma di DARE",'Pivot PP Visa'!$A$3,"Mese",4,"Tipologia",$A261),0)
- IFERROR(GETPIVOTDATA("Somma di AVERE",'Pivot PP Visa'!$A$3,"Mese",4,"Tipologia",$A261),0)
+ IFERROR(GETPIVOTDATA("Somma di DARE",'Pivot Revolut'!$A$3,"Mese",4,"Tipologia",$A261),0)
- IFERROR(GETPIVOTDATA("Somma di AVERE",'Pivot Revolut'!$A$3,"Mese",4,"Tipologia",$A261),0)</f>
        <v>0</v>
      </c>
      <c r="G261" s="243">
        <f>IFERROR(GETPIVOTDATA("Somma di DARE EUR",'Pivot RakBank AED'!$A$3,"Mese",5,"Tipologia",$A261),0)
- IFERROR(GETPIVOTDATA("Somma di AVERE EUR",'Pivot RakBank AED'!$A$3,"Mese",5,"Tipologia",$A261),0)
+IFERROR(GETPIVOTDATA("Somma di DARE",'Pivot RakBank EUR'!$A$3,"Mese",5,"Tipologia",$A261),0)
- IFERROR(GETPIVOTDATA("Somma di AVERE",'Pivot RakBank EUR'!$A$3,"Mese",5,"Tipologia",$A261),0)
+IFERROR(GETPIVOTDATA("Somma di DARE",'Pivot Fineco Sa'!$A$3,"Mese",5,"Tipologia",$A261),0)
+ IFERROR(GETPIVOTDATA("Somma di DARE",'Pivot Fineco St'!$A$3,"Mese",5,"Tipologia",$A261),0)
+ Contanti!R123
+ IFERROR(GETPIVOTDATA("Somma di DARE",'Pivot BBVA'!$A$3,"Mese",5,"Tipologia",$A261),0)
+ IFERROR(GETPIVOTDATA("Somma di DARE",'Pivot Amex'!$A$3,"Mese",5,"Tipologia",$A261),0)
- IFERROR(GETPIVOTDATA("Somma di AVERE",'Pivot Amex'!$A$3,"Mese",5,"Tipologia",$A261),0)
- IFERROR(GETPIVOTDATA("Somma di AVERE",'Pivot BBVA'!$A$3,"Mese",5,"Tipologia",$A261),0)
- IFERROR(GETPIVOTDATA("Somma di AVERE",'Pivot Fineco St'!$A$3,"Mese",5,"Tipologia",$A261),0)
- IFERROR(GETPIVOTDATA("Somma di AVERE",'Pivot Fineco Sa'!$A$3,"Mese",5,"Tipologia",$A261),0)
+ IFERROR(GETPIVOTDATA("Somma di DARE",'Pivot PP Visa'!$A$3,"Mese",5,"Tipologia",$A261),0)
- IFERROR(GETPIVOTDATA("Somma di AVERE",'Pivot PP Visa'!$A$3,"Mese",5,"Tipologia",$A261),0)
+ IFERROR(GETPIVOTDATA("Somma di DARE",'Pivot Revolut'!$A$3,"Mese",5,"Tipologia",$A261),0)
- IFERROR(GETPIVOTDATA("Somma di AVERE",'Pivot Revolut'!$A$3,"Mese",5,"Tipologia",$A261),0)</f>
        <v>0</v>
      </c>
      <c r="H261" s="243">
        <f>IFERROR(GETPIVOTDATA("Somma di DARE EUR",'Pivot RakBank AED'!$A$3,"Mese",6,"Tipologia",$A261),0)
- IFERROR(GETPIVOTDATA("Somma di AVERE EUR",'Pivot RakBank AED'!$A$3,"Mese",6,"Tipologia",$A261),0)
+IFERROR(GETPIVOTDATA("Somma di DARE",'Pivot RakBank EUR'!$A$3,"Mese",6,"Tipologia",$A261),0)
- IFERROR(GETPIVOTDATA("Somma di AVERE",'Pivot RakBank EUR'!$A$3,"Mese",6,"Tipologia",$A261),0)
+IFERROR(GETPIVOTDATA("Somma di DARE",'Pivot Fineco Sa'!$A$3,"Mese",6,"Tipologia",$A261),0)
+ IFERROR(GETPIVOTDATA("Somma di DARE",'Pivot Fineco St'!$A$3,"Mese",6,"Tipologia",$A261),0)
+ Contanti!V123
+ IFERROR(GETPIVOTDATA("Somma di DARE",'Pivot BBVA'!$A$3,"Mese",6,"Tipologia",$A261),0)
+ IFERROR(GETPIVOTDATA("Somma di DARE",'Pivot Amex'!$A$3,"Mese",6,"Tipologia",$A261),0)
- IFERROR(GETPIVOTDATA("Somma di AVERE",'Pivot Amex'!$A$3,"Mese",6,"Tipologia",$A261),0)
- IFERROR(GETPIVOTDATA("Somma di AVERE",'Pivot BBVA'!$A$3,"Mese",6,"Tipologia",$A261),0)
- IFERROR(GETPIVOTDATA("Somma di AVERE",'Pivot Fineco St'!$A$3,"Mese",6,"Tipologia",$A261),0)
- IFERROR(GETPIVOTDATA("Somma di AVERE",'Pivot Fineco Sa'!$A$3,"Mese",6,"Tipologia",$A261),0)
+ IFERROR(GETPIVOTDATA("Somma di DARE",'Pivot PP Visa'!$A$3,"Mese",6,"Tipologia",$A261),0)
- IFERROR(GETPIVOTDATA("Somma di AVERE",'Pivot PP Visa'!$A$3,"Mese",6,"Tipologia",$A261),0)
+ IFERROR(GETPIVOTDATA("Somma di DARE",'Pivot Revolut'!$A$3,"Mese",6,"Tipologia",$A261),0)
- IFERROR(GETPIVOTDATA("Somma di AVERE",'Pivot Revolut'!$A$3,"Mese",6,"Tipologia",$A261),0)</f>
        <v>0</v>
      </c>
      <c r="I261" s="243">
        <f>IFERROR(GETPIVOTDATA("Somma di DARE EUR",'Pivot RakBank AED'!$A$3,"Mese",7,"Tipologia",$A261),0)
- IFERROR(GETPIVOTDATA("Somma di AVERE EUR",'Pivot RakBank AED'!$A$3,"Mese",7,"Tipologia",$A261),0)
+IFERROR(GETPIVOTDATA("Somma di DARE",'Pivot RakBank EUR'!$A$3,"Mese",7,"Tipologia",$A261),0)
- IFERROR(GETPIVOTDATA("Somma di AVERE",'Pivot RakBank EUR'!$A$3,"Mese",7,"Tipologia",$A261),0)
+IFERROR(GETPIVOTDATA("Somma di DARE",'Pivot Fineco Sa'!$A$3,"Mese",7,"Tipologia",$A261),0)
+ IFERROR(GETPIVOTDATA("Somma di DARE",'Pivot Fineco St'!$A$3,"Mese",7,"Tipologia",$A261),0)
+ Contanti!Z123
+ IFERROR(GETPIVOTDATA("Somma di DARE",'Pivot BBVA'!$A$3,"Mese",7,"Tipologia",$A261),0)
+ IFERROR(GETPIVOTDATA("Somma di DARE",'Pivot Amex'!$A$3,"Mese",7,"Tipologia",$A261),0)
- IFERROR(GETPIVOTDATA("Somma di AVERE",'Pivot Amex'!$A$3,"Mese",7,"Tipologia",$A261),0)
- IFERROR(GETPIVOTDATA("Somma di AVERE",'Pivot BBVA'!$A$3,"Mese",7,"Tipologia",$A261),0)
- IFERROR(GETPIVOTDATA("Somma di AVERE",'Pivot Fineco St'!$A$3,"Mese",7,"Tipologia",$A261),0)
- IFERROR(GETPIVOTDATA("Somma di AVERE",'Pivot Fineco Sa'!$A$3,"Mese",7,"Tipologia",$A261),0)
+ IFERROR(GETPIVOTDATA("Somma di DARE",'Pivot PP Visa'!$A$3,"Mese",7,"Tipologia",$A261),0)
- IFERROR(GETPIVOTDATA("Somma di AVERE",'Pivot PP Visa'!$A$3,"Mese",7,"Tipologia",$A261),0)
+ IFERROR(GETPIVOTDATA("Somma di DARE",'Pivot Revolut'!$A$3,"Mese",7,"Tipologia",$A261),0)
- IFERROR(GETPIVOTDATA("Somma di AVERE",'Pivot Revolut'!$A$3,"Mese",7,"Tipologia",$A261),0)</f>
        <v>0</v>
      </c>
      <c r="J261" s="243">
        <f>IFERROR(GETPIVOTDATA("Somma di DARE EUR",'Pivot RakBank AED'!$A$3,"Mese",8,"Tipologia",$A261),0)
- IFERROR(GETPIVOTDATA("Somma di AVERE EUR",'Pivot RakBank AED'!$A$3,"Mese",8,"Tipologia",$A261),0)
+IFERROR(GETPIVOTDATA("Somma di DARE",'Pivot RakBank EUR'!$A$3,"Mese",8,"Tipologia",$A261),0)
- IFERROR(GETPIVOTDATA("Somma di AVERE",'Pivot RakBank EUR'!$A$3,"Mese",8,"Tipologia",$A261),0)
+IFERROR(GETPIVOTDATA("Somma di DARE",'Pivot Fineco Sa'!$A$3,"Mese",8,"Tipologia",$A261),0)
+ IFERROR(GETPIVOTDATA("Somma di DARE",'Pivot Fineco St'!$A$3,"Mese",8,"Tipologia",$A261),0)
+ Contanti!AD123
+ IFERROR(GETPIVOTDATA("Somma di DARE",'Pivot BBVA'!$A$3,"Mese",8,"Tipologia",$A261),0)
+ IFERROR(GETPIVOTDATA("Somma di DARE",'Pivot Amex'!$A$3,"Mese",8,"Tipologia",$A261),0)
- IFERROR(GETPIVOTDATA("Somma di AVERE",'Pivot Amex'!$A$3,"Mese",8,"Tipologia",$A261),0)
- IFERROR(GETPIVOTDATA("Somma di AVERE",'Pivot BBVA'!$A$3,"Mese",8,"Tipologia",$A261),0)
- IFERROR(GETPIVOTDATA("Somma di AVERE",'Pivot Fineco St'!$A$3,"Mese",8,"Tipologia",$A261),0)
- IFERROR(GETPIVOTDATA("Somma di AVERE",'Pivot Fineco Sa'!$A$3,"Mese",8,"Tipologia",$A261),0)
+ IFERROR(GETPIVOTDATA("Somma di DARE",'Pivot PP Visa'!$A$3,"Mese",8,"Tipologia",$A261),0)
- IFERROR(GETPIVOTDATA("Somma di AVERE",'Pivot PP Visa'!$A$3,"Mese",8,"Tipologia",$A261),0)
+ IFERROR(GETPIVOTDATA("Somma di DARE",'Pivot Revolut'!$A$3,"Mese",8,"Tipologia",$A261),0)
- IFERROR(GETPIVOTDATA("Somma di AVERE",'Pivot Revolut'!$A$3,"Mese",8,"Tipologia",$A261),0)</f>
        <v>0</v>
      </c>
      <c r="K261" s="243">
        <f>IFERROR(GETPIVOTDATA("Somma di DARE EUR",'Pivot RakBank AED'!$A$3,"Mese",9,"Tipologia",$A261),0)
- IFERROR(GETPIVOTDATA("Somma di AVERE EUR",'Pivot RakBank AED'!$A$3,"Mese",9,"Tipologia",$A261),0)
+IFERROR(GETPIVOTDATA("Somma di DARE",'Pivot RakBank EUR'!$A$3,"Mese",9,"Tipologia",$A261),0)
- IFERROR(GETPIVOTDATA("Somma di AVERE",'Pivot RakBank EUR'!$A$3,"Mese",9,"Tipologia",$A261),0)
+IFERROR(GETPIVOTDATA("Somma di DARE",'Pivot Fineco Sa'!$A$3,"Mese",9,"Tipologia",$A261),0)
+ IFERROR(GETPIVOTDATA("Somma di DARE",'Pivot Fineco St'!$A$3,"Mese",9,"Tipologia",$A261),0)
+ Contanti!AH123
+ IFERROR(GETPIVOTDATA("Somma di DARE",'Pivot BBVA'!$A$3,"Mese",9,"Tipologia",$A261),0)
+ IFERROR(GETPIVOTDATA("Somma di DARE",'Pivot Amex'!$A$3,"Mese",9,"Tipologia",$A261),0)
- IFERROR(GETPIVOTDATA("Somma di AVERE",'Pivot Amex'!$A$3,"Mese",9,"Tipologia",$A261),0)
- IFERROR(GETPIVOTDATA("Somma di AVERE",'Pivot BBVA'!$A$3,"Mese",9,"Tipologia",$A261),0)
- IFERROR(GETPIVOTDATA("Somma di AVERE",'Pivot Fineco St'!$A$3,"Mese",9,"Tipologia",$A261),0)
- IFERROR(GETPIVOTDATA("Somma di AVERE",'Pivot Fineco Sa'!$A$3,"Mese",9,"Tipologia",$A261),0)
+ IFERROR(GETPIVOTDATA("Somma di DARE",'Pivot PP Visa'!$A$3,"Mese",9,"Tipologia",$A261),0)
- IFERROR(GETPIVOTDATA("Somma di AVERE",'Pivot PP Visa'!$A$3,"Mese",9,"Tipologia",$A261),0)
+ IFERROR(GETPIVOTDATA("Somma di DARE",'Pivot Revolut'!$A$3,"Mese",9,"Tipologia",$A261),0)
- IFERROR(GETPIVOTDATA("Somma di AVERE",'Pivot Revolut'!$A$3,"Mese",9,"Tipologia",$A261),0)</f>
        <v>0</v>
      </c>
      <c r="L261" s="243">
        <f>IFERROR(GETPIVOTDATA("Somma di DARE EUR",'Pivot RakBank AED'!$A$3,"Mese",10,"Tipologia",$A261),0)
- IFERROR(GETPIVOTDATA("Somma di AVERE EUR",'Pivot RakBank AED'!$A$3,"Mese",10,"Tipologia",$A261),0)
+IFERROR(GETPIVOTDATA("Somma di DARE",'Pivot RakBank EUR'!$A$3,"Mese",10,"Tipologia",$A261),0)
- IFERROR(GETPIVOTDATA("Somma di AVERE",'Pivot RakBank EUR'!$A$3,"Mese",10,"Tipologia",$A261),0)
+IFERROR(GETPIVOTDATA("Somma di DARE",'Pivot Fineco Sa'!$A$3,"Mese",10,"Tipologia",$A261),0)
+ IFERROR(GETPIVOTDATA("Somma di DARE",'Pivot Fineco St'!$A$3,"Mese",10,"Tipologia",$A261),0)
+ Contanti!AL123
+ IFERROR(GETPIVOTDATA("Somma di DARE",'Pivot BBVA'!$A$3,"Mese",10,"Tipologia",$A261),0)
+ IFERROR(GETPIVOTDATA("Somma di DARE",'Pivot Amex'!$A$3,"Mese",10,"Tipologia",$A261),0)
- IFERROR(GETPIVOTDATA("Somma di AVERE",'Pivot Amex'!$A$3,"Mese",10,"Tipologia",$A261),0)
- IFERROR(GETPIVOTDATA("Somma di AVERE",'Pivot BBVA'!$A$3,"Mese",10,"Tipologia",$A261),0)
- IFERROR(GETPIVOTDATA("Somma di AVERE",'Pivot Fineco St'!$A$3,"Mese",10,"Tipologia",$A261),0)
- IFERROR(GETPIVOTDATA("Somma di AVERE",'Pivot Fineco Sa'!$A$3,"Mese",10,"Tipologia",$A261),0)
+ IFERROR(GETPIVOTDATA("Somma di DARE",'Pivot PP Visa'!$A$3,"Mese",10,"Tipologia",$A261),0)
- IFERROR(GETPIVOTDATA("Somma di AVERE",'Pivot PP Visa'!$A$3,"Mese",10,"Tipologia",$A261),0)
+ IFERROR(GETPIVOTDATA("Somma di DARE",'Pivot Revolut'!$A$3,"Mese",10,"Tipologia",$A261),0)
- IFERROR(GETPIVOTDATA("Somma di AVERE",'Pivot Revolut'!$A$3,"Mese",10,"Tipologia",$A261),0)</f>
        <v>0</v>
      </c>
      <c r="M261" s="243">
        <f>IFERROR(GETPIVOTDATA("Somma di DARE EUR",'Pivot RakBank AED'!$A$3,"Mese",11,"Tipologia",$A261),0)
- IFERROR(GETPIVOTDATA("Somma di AVERE EUR",'Pivot RakBank AED'!$A$3,"Mese",11,"Tipologia",$A261),0)
+IFERROR(GETPIVOTDATA("Somma di DARE",'Pivot RakBank EUR'!$A$3,"Mese",11,"Tipologia",$A261),0)
- IFERROR(GETPIVOTDATA("Somma di AVERE",'Pivot RakBank EUR'!$A$3,"Mese",11,"Tipologia",$A261),0)
+IFERROR(GETPIVOTDATA("Somma di DARE",'Pivot Fineco Sa'!$A$3,"Mese",11,"Tipologia",$A261),0)
+ IFERROR(GETPIVOTDATA("Somma di DARE",'Pivot Fineco St'!$A$3,"Mese",11,"Tipologia",$A261),0)
+ Contanti!AP123
+ IFERROR(GETPIVOTDATA("Somma di DARE",'Pivot BBVA'!$A$3,"Mese",11,"Tipologia",$A261),0)
+ IFERROR(GETPIVOTDATA("Somma di DARE",'Pivot Amex'!$A$3,"Mese",11,"Tipologia",$A261),0)
- IFERROR(GETPIVOTDATA("Somma di AVERE",'Pivot Amex'!$A$3,"Mese",11,"Tipologia",$A261),0)
- IFERROR(GETPIVOTDATA("Somma di AVERE",'Pivot BBVA'!$A$3,"Mese",11,"Tipologia",$A261),0)
- IFERROR(GETPIVOTDATA("Somma di AVERE",'Pivot Fineco St'!$A$3,"Mese",11,"Tipologia",$A261),0)
- IFERROR(GETPIVOTDATA("Somma di AVERE",'Pivot Fineco Sa'!$A$3,"Mese",11,"Tipologia",$A261),0)
+ IFERROR(GETPIVOTDATA("Somma di DARE",'Pivot PP Visa'!$A$3,"Mese",11,"Tipologia",$A261),0)
- IFERROR(GETPIVOTDATA("Somma di AVERE",'Pivot PP Visa'!$A$3,"Mese",11,"Tipologia",$A261),0)
+ IFERROR(GETPIVOTDATA("Somma di DARE",'Pivot Revolut'!$A$3,"Mese",11,"Tipologia",$A261),0)
- IFERROR(GETPIVOTDATA("Somma di AVERE",'Pivot Revolut'!$A$3,"Mese",11,"Tipologia",$A261),0)</f>
        <v>0</v>
      </c>
      <c r="N261" s="243">
        <f>IFERROR(GETPIVOTDATA("Somma di DARE EUR",'Pivot RakBank AED'!$A$3,"Mese",12,"Tipologia",$A261),0)
- IFERROR(GETPIVOTDATA("Somma di AVERE EUR",'Pivot RakBank AED'!$A$3,"Mese",12,"Tipologia",$A261),0)
+IFERROR(GETPIVOTDATA("Somma di DARE",'Pivot RakBank EUR'!$A$3,"Mese",12,"Tipologia",$A261),0)
- IFERROR(GETPIVOTDATA("Somma di AVERE",'Pivot RakBank EUR'!$A$3,"Mese",12,"Tipologia",$A261),0)
+IFERROR(GETPIVOTDATA("Somma di DARE",'Pivot Fineco Sa'!$A$3,"Mese",12,"Tipologia",$A261),0)
+ IFERROR(GETPIVOTDATA("Somma di DARE",'Pivot Fineco St'!$A$3,"Mese",12,"Tipologia",$A261),0)
+ Contanti!AT123
+ IFERROR(GETPIVOTDATA("Somma di DARE",'Pivot BBVA'!$A$3,"Mese",12,"Tipologia",$A261),0)
+ IFERROR(GETPIVOTDATA("Somma di DARE",'Pivot Amex'!$A$3,"Mese",12,"Tipologia",$A261),0)
- IFERROR(GETPIVOTDATA("Somma di AVERE",'Pivot Amex'!$A$3,"Mese",12,"Tipologia",$A261),0)
- IFERROR(GETPIVOTDATA("Somma di AVERE",'Pivot BBVA'!$A$3,"Mese",12,"Tipologia",$A261),0)
- IFERROR(GETPIVOTDATA("Somma di AVERE",'Pivot Fineco St'!$A$3,"Mese",12,"Tipologia",$A261),0)
- IFERROR(GETPIVOTDATA("Somma di AVERE",'Pivot Fineco Sa'!$A$3,"Mese",12,"Tipologia",$A261),0)
+ IFERROR(GETPIVOTDATA("Somma di DARE",'Pivot PP Visa'!$A$3,"Mese",12,"Tipologia",$A261),0)
- IFERROR(GETPIVOTDATA("Somma di AVERE",'Pivot PP Visa'!$A$3,"Mese",12,"Tipologia",$A261),0)
+ IFERROR(GETPIVOTDATA("Somma di DARE",'Pivot Revolut'!$A$3,"Mese",12,"Tipologia",$A261),0)
- IFERROR(GETPIVOTDATA("Somma di AVERE",'Pivot Revolut'!$A$3,"Mese",12,"Tipologia",$A261),0)</f>
        <v>0</v>
      </c>
      <c r="O261" s="252">
        <f t="shared" si="54"/>
        <v>0</v>
      </c>
      <c r="P261" s="243"/>
    </row>
    <row r="262" spans="1:16" s="125" customFormat="1" ht="21" customHeight="1" x14ac:dyDescent="0.2">
      <c r="A262" s="251" t="s">
        <v>926</v>
      </c>
      <c r="B262" s="251"/>
      <c r="C262" s="243">
        <f>IFERROR(GETPIVOTDATA("Somma di DARE EUR",'Pivot RakBank AED'!$A$3,"Mese",1,"Tipologia",$A262),0)
- IFERROR(GETPIVOTDATA("Somma di AVERE EUR",'Pivot RakBank AED'!$A$3,"Mese",1,"Tipologia",$A262),0)
+IFERROR(GETPIVOTDATA("Somma di DARE",'Pivot RakBank EUR'!$A$3,"Mese",1,"Tipologia",$A262),0)
- IFERROR(GETPIVOTDATA("Somma di AVERE",'Pivot RakBank EUR'!$A$3,"Mese",1,"Tipologia",$A262),0)
+IFERROR(GETPIVOTDATA("Somma di DARE",'Pivot Fineco Sa'!$A$3,"Mese",1,"Tipologia",$A262),0)
+ IFERROR(GETPIVOTDATA("Somma di DARE",'Pivot Fineco St'!$A$3,"Mese",1,"Tipologia",$A262),0)
+ Contanti!B124
+ IFERROR(GETPIVOTDATA("Somma di DARE",'Pivot BBVA'!$A$3,"Mese",1,"Tipologia",$A262),0)
+ IFERROR(GETPIVOTDATA("Somma di DARE",'Pivot Amex'!$A$3,"Mese",1,"Tipologia",$A262),0)
- IFERROR(GETPIVOTDATA("Somma di AVERE",'Pivot Amex'!$A$3,"Mese",1,"Tipologia",$A262),0)
- IFERROR(GETPIVOTDATA("Somma di AVERE",'Pivot BBVA'!$A$3,"Mese",1,"Tipologia",$A262),0)
- IFERROR(GETPIVOTDATA("Somma di AVERE",'Pivot Fineco St'!$A$3,"Mese",1,"Tipologia",$A262),0)
- IFERROR(GETPIVOTDATA("Somma di AVERE",'Pivot Fineco Sa'!$A$3,"Mese",1,"Tipologia",$A262),0)
+ IFERROR(GETPIVOTDATA("Somma di DARE",'Pivot PP Visa'!$A$3,"Mese",1,"Tipologia",$A262),0)
- IFERROR(GETPIVOTDATA("Somma di AVERE",'Pivot PP Visa'!$A$3,"Mese",1,"Tipologia",$A262),0)
+ IFERROR(GETPIVOTDATA("Somma di DARE",'Pivot Revolut'!$A$3,"Mese",1,"Tipologia",$A262),0)
- IFERROR(GETPIVOTDATA("Somma di AVERE",'Pivot Revolut'!$A$3,"Mese",1,"Tipologia",$A262),0)</f>
        <v>0</v>
      </c>
      <c r="D262" s="243">
        <f>IFERROR(GETPIVOTDATA("Somma di DARE EUR",'Pivot RakBank AED'!$A$3,"Mese",2,"Tipologia",$A262),0)
- IFERROR(GETPIVOTDATA("Somma di AVERE EUR",'Pivot RakBank AED'!$A$3,"Mese",2,"Tipologia",$A262),0)
+IFERROR(GETPIVOTDATA("Somma di DARE",'Pivot RakBank EUR'!$A$3,"Mese",2,"Tipologia",$A262),0)
- IFERROR(GETPIVOTDATA("Somma di AVERE",'Pivot RakBank EUR'!$A$3,"Mese",2,"Tipologia",$A262),0)
+IFERROR(GETPIVOTDATA("Somma di DARE",'Pivot Fineco Sa'!$A$3,"Mese",2,"Tipologia",$A262),0)
+ IFERROR(GETPIVOTDATA("Somma di DARE",'Pivot Fineco St'!$A$3,"Mese",2,"Tipologia",$A262),0)
+ Contanti!F124
+ IFERROR(GETPIVOTDATA("Somma di DARE",'Pivot BBVA'!$A$3,"Mese",2,"Tipologia",$A262),0)
+ IFERROR(GETPIVOTDATA("Somma di DARE",'Pivot Amex'!$A$3,"Mese",2,"Tipologia",$A262),0)
- IFERROR(GETPIVOTDATA("Somma di AVERE",'Pivot Amex'!$A$3,"Mese",2,"Tipologia",$A262),0)
- IFERROR(GETPIVOTDATA("Somma di AVERE",'Pivot BBVA'!$A$3,"Mese",2,"Tipologia",$A262),0)
- IFERROR(GETPIVOTDATA("Somma di AVERE",'Pivot Fineco St'!$A$3,"Mese",2,"Tipologia",$A262),0)
- IFERROR(GETPIVOTDATA("Somma di AVERE",'Pivot Fineco Sa'!$A$3,"Mese",2,"Tipologia",$A262),0)
+ IFERROR(GETPIVOTDATA("Somma di DARE",'Pivot PP Visa'!$A$3,"Mese",2,"Tipologia",$A262),0)
- IFERROR(GETPIVOTDATA("Somma di AVERE",'Pivot PP Visa'!$A$3,"Mese",2,"Tipologia",$A262),0)
+ IFERROR(GETPIVOTDATA("Somma di DARE",'Pivot Revolut'!$A$3,"Mese",2,"Tipologia",$A262),0)
- IFERROR(GETPIVOTDATA("Somma di AVERE",'Pivot Revolut'!$A$3,"Mese",2,"Tipologia",$A262),0)</f>
        <v>0</v>
      </c>
      <c r="E262" s="243">
        <f>IFERROR(GETPIVOTDATA("Somma di DARE EUR",'Pivot RakBank AED'!$A$3,"Mese",3,"Tipologia",$A262),0)
- IFERROR(GETPIVOTDATA("Somma di AVERE EUR",'Pivot RakBank AED'!$A$3,"Mese",3,"Tipologia",$A262),0)
+IFERROR(GETPIVOTDATA("Somma di DARE",'Pivot RakBank EUR'!$A$3,"Mese",3,"Tipologia",$A262),0)
- IFERROR(GETPIVOTDATA("Somma di AVERE",'Pivot RakBank EUR'!$A$3,"Mese",3,"Tipologia",$A262),0)
+IFERROR(GETPIVOTDATA("Somma di DARE",'Pivot Fineco Sa'!$A$3,"Mese",3,"Tipologia",$A262),0)
+ IFERROR(GETPIVOTDATA("Somma di DARE",'Pivot Fineco St'!$A$3,"Mese",3,"Tipologia",$A262),0)
+ Contanti!J124
+ IFERROR(GETPIVOTDATA("Somma di DARE",'Pivot BBVA'!$A$3,"Mese",3,"Tipologia",$A262),0)
+ IFERROR(GETPIVOTDATA("Somma di DARE",'Pivot Amex'!$A$3,"Mese",3,"Tipologia",$A262),0)
- IFERROR(GETPIVOTDATA("Somma di AVERE",'Pivot Amex'!$A$3,"Mese",3,"Tipologia",$A262),0)
- IFERROR(GETPIVOTDATA("Somma di AVERE",'Pivot BBVA'!$A$3,"Mese",3,"Tipologia",$A262),0)
- IFERROR(GETPIVOTDATA("Somma di AVERE",'Pivot Fineco St'!$A$3,"Mese",3,"Tipologia",$A262),0)
- IFERROR(GETPIVOTDATA("Somma di AVERE",'Pivot Fineco Sa'!$A$3,"Mese",3,"Tipologia",$A262),0)
+ IFERROR(GETPIVOTDATA("Somma di DARE",'Pivot PP Visa'!$A$3,"Mese",3,"Tipologia",$A262),0)
- IFERROR(GETPIVOTDATA("Somma di AVERE",'Pivot PP Visa'!$A$3,"Mese",3,"Tipologia",$A262),0)
+ IFERROR(GETPIVOTDATA("Somma di DARE",'Pivot Revolut'!$A$3,"Mese",3,"Tipologia",$A262),0)
- IFERROR(GETPIVOTDATA("Somma di AVERE",'Pivot Revolut'!$A$3,"Mese",3,"Tipologia",$A262),0)</f>
        <v>0</v>
      </c>
      <c r="F262" s="243">
        <f>IFERROR(GETPIVOTDATA("Somma di DARE EUR",'Pivot RakBank AED'!$A$3,"Mese",4,"Tipologia",$A262),0)
- IFERROR(GETPIVOTDATA("Somma di AVERE EUR",'Pivot RakBank AED'!$A$3,"Mese",4,"Tipologia",$A262),0)
+IFERROR(GETPIVOTDATA("Somma di DARE",'Pivot RakBank EUR'!$A$3,"Mese",4,"Tipologia",$A262),0)
- IFERROR(GETPIVOTDATA("Somma di AVERE",'Pivot RakBank EUR'!$A$3,"Mese",4,"Tipologia",$A262),0)
+IFERROR(GETPIVOTDATA("Somma di DARE",'Pivot Fineco Sa'!$A$3,"Mese",4,"Tipologia",$A262),0)
+ IFERROR(GETPIVOTDATA("Somma di DARE",'Pivot Fineco St'!$A$3,"Mese",4,"Tipologia",$A262),0)
+ Contanti!N124
+ IFERROR(GETPIVOTDATA("Somma di DARE",'Pivot BBVA'!$A$3,"Mese",4,"Tipologia",$A262),0)
+ IFERROR(GETPIVOTDATA("Somma di DARE",'Pivot Amex'!$A$3,"Mese",4,"Tipologia",$A262),0)
- IFERROR(GETPIVOTDATA("Somma di AVERE",'Pivot Amex'!$A$3,"Mese",4,"Tipologia",$A262),0)
- IFERROR(GETPIVOTDATA("Somma di AVERE",'Pivot BBVA'!$A$3,"Mese",4,"Tipologia",$A262),0)
- IFERROR(GETPIVOTDATA("Somma di AVERE",'Pivot Fineco St'!$A$3,"Mese",4,"Tipologia",$A262),0)
- IFERROR(GETPIVOTDATA("Somma di AVERE",'Pivot Fineco Sa'!$A$3,"Mese",4,"Tipologia",$A262),0)
+ IFERROR(GETPIVOTDATA("Somma di DARE",'Pivot PP Visa'!$A$3,"Mese",4,"Tipologia",$A262),0)
- IFERROR(GETPIVOTDATA("Somma di AVERE",'Pivot PP Visa'!$A$3,"Mese",4,"Tipologia",$A262),0)
+ IFERROR(GETPIVOTDATA("Somma di DARE",'Pivot Revolut'!$A$3,"Mese",4,"Tipologia",$A262),0)
- IFERROR(GETPIVOTDATA("Somma di AVERE",'Pivot Revolut'!$A$3,"Mese",4,"Tipologia",$A262),0)</f>
        <v>0</v>
      </c>
      <c r="G262" s="243">
        <f>IFERROR(GETPIVOTDATA("Somma di DARE EUR",'Pivot RakBank AED'!$A$3,"Mese",5,"Tipologia",$A262),0)
- IFERROR(GETPIVOTDATA("Somma di AVERE EUR",'Pivot RakBank AED'!$A$3,"Mese",5,"Tipologia",$A262),0)
+IFERROR(GETPIVOTDATA("Somma di DARE",'Pivot RakBank EUR'!$A$3,"Mese",5,"Tipologia",$A262),0)
- IFERROR(GETPIVOTDATA("Somma di AVERE",'Pivot RakBank EUR'!$A$3,"Mese",5,"Tipologia",$A262),0)
+IFERROR(GETPIVOTDATA("Somma di DARE",'Pivot Fineco Sa'!$A$3,"Mese",5,"Tipologia",$A262),0)
+ IFERROR(GETPIVOTDATA("Somma di DARE",'Pivot Fineco St'!$A$3,"Mese",5,"Tipologia",$A262),0)
+ Contanti!R124
+ IFERROR(GETPIVOTDATA("Somma di DARE",'Pivot BBVA'!$A$3,"Mese",5,"Tipologia",$A262),0)
+ IFERROR(GETPIVOTDATA("Somma di DARE",'Pivot Amex'!$A$3,"Mese",5,"Tipologia",$A262),0)
- IFERROR(GETPIVOTDATA("Somma di AVERE",'Pivot Amex'!$A$3,"Mese",5,"Tipologia",$A262),0)
- IFERROR(GETPIVOTDATA("Somma di AVERE",'Pivot BBVA'!$A$3,"Mese",5,"Tipologia",$A262),0)
- IFERROR(GETPIVOTDATA("Somma di AVERE",'Pivot Fineco St'!$A$3,"Mese",5,"Tipologia",$A262),0)
- IFERROR(GETPIVOTDATA("Somma di AVERE",'Pivot Fineco Sa'!$A$3,"Mese",5,"Tipologia",$A262),0)
+ IFERROR(GETPIVOTDATA("Somma di DARE",'Pivot PP Visa'!$A$3,"Mese",5,"Tipologia",$A262),0)
- IFERROR(GETPIVOTDATA("Somma di AVERE",'Pivot PP Visa'!$A$3,"Mese",5,"Tipologia",$A262),0)
+ IFERROR(GETPIVOTDATA("Somma di DARE",'Pivot Revolut'!$A$3,"Mese",5,"Tipologia",$A262),0)
- IFERROR(GETPIVOTDATA("Somma di AVERE",'Pivot Revolut'!$A$3,"Mese",5,"Tipologia",$A262),0)</f>
        <v>36.6</v>
      </c>
      <c r="H262" s="243">
        <f>IFERROR(GETPIVOTDATA("Somma di DARE EUR",'Pivot RakBank AED'!$A$3,"Mese",6,"Tipologia",$A262),0)
- IFERROR(GETPIVOTDATA("Somma di AVERE EUR",'Pivot RakBank AED'!$A$3,"Mese",6,"Tipologia",$A262),0)
+IFERROR(GETPIVOTDATA("Somma di DARE",'Pivot RakBank EUR'!$A$3,"Mese",6,"Tipologia",$A262),0)
- IFERROR(GETPIVOTDATA("Somma di AVERE",'Pivot RakBank EUR'!$A$3,"Mese",6,"Tipologia",$A262),0)
+IFERROR(GETPIVOTDATA("Somma di DARE",'Pivot Fineco Sa'!$A$3,"Mese",6,"Tipologia",$A262),0)
+ IFERROR(GETPIVOTDATA("Somma di DARE",'Pivot Fineco St'!$A$3,"Mese",6,"Tipologia",$A262),0)
+ Contanti!V124
+ IFERROR(GETPIVOTDATA("Somma di DARE",'Pivot BBVA'!$A$3,"Mese",6,"Tipologia",$A262),0)
+ IFERROR(GETPIVOTDATA("Somma di DARE",'Pivot Amex'!$A$3,"Mese",6,"Tipologia",$A262),0)
- IFERROR(GETPIVOTDATA("Somma di AVERE",'Pivot Amex'!$A$3,"Mese",6,"Tipologia",$A262),0)
- IFERROR(GETPIVOTDATA("Somma di AVERE",'Pivot BBVA'!$A$3,"Mese",6,"Tipologia",$A262),0)
- IFERROR(GETPIVOTDATA("Somma di AVERE",'Pivot Fineco St'!$A$3,"Mese",6,"Tipologia",$A262),0)
- IFERROR(GETPIVOTDATA("Somma di AVERE",'Pivot Fineco Sa'!$A$3,"Mese",6,"Tipologia",$A262),0)
+ IFERROR(GETPIVOTDATA("Somma di DARE",'Pivot PP Visa'!$A$3,"Mese",6,"Tipologia",$A262),0)
- IFERROR(GETPIVOTDATA("Somma di AVERE",'Pivot PP Visa'!$A$3,"Mese",6,"Tipologia",$A262),0)
+ IFERROR(GETPIVOTDATA("Somma di DARE",'Pivot Revolut'!$A$3,"Mese",6,"Tipologia",$A262),0)
- IFERROR(GETPIVOTDATA("Somma di AVERE",'Pivot Revolut'!$A$3,"Mese",6,"Tipologia",$A262),0)</f>
        <v>3075.75</v>
      </c>
      <c r="I262" s="243">
        <f>IFERROR(GETPIVOTDATA("Somma di DARE EUR",'Pivot RakBank AED'!$A$3,"Mese",7,"Tipologia",$A262),0)
- IFERROR(GETPIVOTDATA("Somma di AVERE EUR",'Pivot RakBank AED'!$A$3,"Mese",7,"Tipologia",$A262),0)
+IFERROR(GETPIVOTDATA("Somma di DARE",'Pivot RakBank EUR'!$A$3,"Mese",7,"Tipologia",$A262),0)
- IFERROR(GETPIVOTDATA("Somma di AVERE",'Pivot RakBank EUR'!$A$3,"Mese",7,"Tipologia",$A262),0)
+IFERROR(GETPIVOTDATA("Somma di DARE",'Pivot Fineco Sa'!$A$3,"Mese",7,"Tipologia",$A262),0)
+ IFERROR(GETPIVOTDATA("Somma di DARE",'Pivot Fineco St'!$A$3,"Mese",7,"Tipologia",$A262),0)
+ Contanti!Z124
+ IFERROR(GETPIVOTDATA("Somma di DARE",'Pivot BBVA'!$A$3,"Mese",7,"Tipologia",$A262),0)
+ IFERROR(GETPIVOTDATA("Somma di DARE",'Pivot Amex'!$A$3,"Mese",7,"Tipologia",$A262),0)
- IFERROR(GETPIVOTDATA("Somma di AVERE",'Pivot Amex'!$A$3,"Mese",7,"Tipologia",$A262),0)
- IFERROR(GETPIVOTDATA("Somma di AVERE",'Pivot BBVA'!$A$3,"Mese",7,"Tipologia",$A262),0)
- IFERROR(GETPIVOTDATA("Somma di AVERE",'Pivot Fineco St'!$A$3,"Mese",7,"Tipologia",$A262),0)
- IFERROR(GETPIVOTDATA("Somma di AVERE",'Pivot Fineco Sa'!$A$3,"Mese",7,"Tipologia",$A262),0)
+ IFERROR(GETPIVOTDATA("Somma di DARE",'Pivot PP Visa'!$A$3,"Mese",7,"Tipologia",$A262),0)
- IFERROR(GETPIVOTDATA("Somma di AVERE",'Pivot PP Visa'!$A$3,"Mese",7,"Tipologia",$A262),0)
+ IFERROR(GETPIVOTDATA("Somma di DARE",'Pivot Revolut'!$A$3,"Mese",7,"Tipologia",$A262),0)
- IFERROR(GETPIVOTDATA("Somma di AVERE",'Pivot Revolut'!$A$3,"Mese",7,"Tipologia",$A262),0)</f>
        <v>3715.31</v>
      </c>
      <c r="J262" s="243">
        <f>IFERROR(GETPIVOTDATA("Somma di DARE EUR",'Pivot RakBank AED'!$A$3,"Mese",8,"Tipologia",$A262),0)
- IFERROR(GETPIVOTDATA("Somma di AVERE EUR",'Pivot RakBank AED'!$A$3,"Mese",8,"Tipologia",$A262),0)
+IFERROR(GETPIVOTDATA("Somma di DARE",'Pivot RakBank EUR'!$A$3,"Mese",8,"Tipologia",$A262),0)
- IFERROR(GETPIVOTDATA("Somma di AVERE",'Pivot RakBank EUR'!$A$3,"Mese",8,"Tipologia",$A262),0)
+IFERROR(GETPIVOTDATA("Somma di DARE",'Pivot Fineco Sa'!$A$3,"Mese",8,"Tipologia",$A262),0)
+ IFERROR(GETPIVOTDATA("Somma di DARE",'Pivot Fineco St'!$A$3,"Mese",8,"Tipologia",$A262),0)
+ Contanti!AD124
+ IFERROR(GETPIVOTDATA("Somma di DARE",'Pivot BBVA'!$A$3,"Mese",8,"Tipologia",$A262),0)
+ IFERROR(GETPIVOTDATA("Somma di DARE",'Pivot Amex'!$A$3,"Mese",8,"Tipologia",$A262),0)
- IFERROR(GETPIVOTDATA("Somma di AVERE",'Pivot Amex'!$A$3,"Mese",8,"Tipologia",$A262),0)
- IFERROR(GETPIVOTDATA("Somma di AVERE",'Pivot BBVA'!$A$3,"Mese",8,"Tipologia",$A262),0)
- IFERROR(GETPIVOTDATA("Somma di AVERE",'Pivot Fineco St'!$A$3,"Mese",8,"Tipologia",$A262),0)
- IFERROR(GETPIVOTDATA("Somma di AVERE",'Pivot Fineco Sa'!$A$3,"Mese",8,"Tipologia",$A262),0)
+ IFERROR(GETPIVOTDATA("Somma di DARE",'Pivot PP Visa'!$A$3,"Mese",8,"Tipologia",$A262),0)
- IFERROR(GETPIVOTDATA("Somma di AVERE",'Pivot PP Visa'!$A$3,"Mese",8,"Tipologia",$A262),0)
+ IFERROR(GETPIVOTDATA("Somma di DARE",'Pivot Revolut'!$A$3,"Mese",8,"Tipologia",$A262),0)
- IFERROR(GETPIVOTDATA("Somma di AVERE",'Pivot Revolut'!$A$3,"Mese",8,"Tipologia",$A262),0)</f>
        <v>0</v>
      </c>
      <c r="K262" s="243">
        <f>IFERROR(GETPIVOTDATA("Somma di DARE EUR",'Pivot RakBank AED'!$A$3,"Mese",9,"Tipologia",$A262),0)
- IFERROR(GETPIVOTDATA("Somma di AVERE EUR",'Pivot RakBank AED'!$A$3,"Mese",9,"Tipologia",$A262),0)
+IFERROR(GETPIVOTDATA("Somma di DARE",'Pivot RakBank EUR'!$A$3,"Mese",9,"Tipologia",$A262),0)
- IFERROR(GETPIVOTDATA("Somma di AVERE",'Pivot RakBank EUR'!$A$3,"Mese",9,"Tipologia",$A262),0)
+IFERROR(GETPIVOTDATA("Somma di DARE",'Pivot Fineco Sa'!$A$3,"Mese",9,"Tipologia",$A262),0)
+ IFERROR(GETPIVOTDATA("Somma di DARE",'Pivot Fineco St'!$A$3,"Mese",9,"Tipologia",$A262),0)
+ Contanti!AH124
+ IFERROR(GETPIVOTDATA("Somma di DARE",'Pivot BBVA'!$A$3,"Mese",9,"Tipologia",$A262),0)
+ IFERROR(GETPIVOTDATA("Somma di DARE",'Pivot Amex'!$A$3,"Mese",9,"Tipologia",$A262),0)
- IFERROR(GETPIVOTDATA("Somma di AVERE",'Pivot Amex'!$A$3,"Mese",9,"Tipologia",$A262),0)
- IFERROR(GETPIVOTDATA("Somma di AVERE",'Pivot BBVA'!$A$3,"Mese",9,"Tipologia",$A262),0)
- IFERROR(GETPIVOTDATA("Somma di AVERE",'Pivot Fineco St'!$A$3,"Mese",9,"Tipologia",$A262),0)
- IFERROR(GETPIVOTDATA("Somma di AVERE",'Pivot Fineco Sa'!$A$3,"Mese",9,"Tipologia",$A262),0)
+ IFERROR(GETPIVOTDATA("Somma di DARE",'Pivot PP Visa'!$A$3,"Mese",9,"Tipologia",$A262),0)
- IFERROR(GETPIVOTDATA("Somma di AVERE",'Pivot PP Visa'!$A$3,"Mese",9,"Tipologia",$A262),0)
+ IFERROR(GETPIVOTDATA("Somma di DARE",'Pivot Revolut'!$A$3,"Mese",9,"Tipologia",$A262),0)
- IFERROR(GETPIVOTDATA("Somma di AVERE",'Pivot Revolut'!$A$3,"Mese",9,"Tipologia",$A262),0)</f>
        <v>0</v>
      </c>
      <c r="L262" s="243">
        <f>IFERROR(GETPIVOTDATA("Somma di DARE EUR",'Pivot RakBank AED'!$A$3,"Mese",10,"Tipologia",$A262),0)
- IFERROR(GETPIVOTDATA("Somma di AVERE EUR",'Pivot RakBank AED'!$A$3,"Mese",10,"Tipologia",$A262),0)
+IFERROR(GETPIVOTDATA("Somma di DARE",'Pivot RakBank EUR'!$A$3,"Mese",10,"Tipologia",$A262),0)
- IFERROR(GETPIVOTDATA("Somma di AVERE",'Pivot RakBank EUR'!$A$3,"Mese",10,"Tipologia",$A262),0)
+IFERROR(GETPIVOTDATA("Somma di DARE",'Pivot Fineco Sa'!$A$3,"Mese",10,"Tipologia",$A262),0)
+ IFERROR(GETPIVOTDATA("Somma di DARE",'Pivot Fineco St'!$A$3,"Mese",10,"Tipologia",$A262),0)
+ Contanti!AL124
+ IFERROR(GETPIVOTDATA("Somma di DARE",'Pivot BBVA'!$A$3,"Mese",10,"Tipologia",$A262),0)
+ IFERROR(GETPIVOTDATA("Somma di DARE",'Pivot Amex'!$A$3,"Mese",10,"Tipologia",$A262),0)
- IFERROR(GETPIVOTDATA("Somma di AVERE",'Pivot Amex'!$A$3,"Mese",10,"Tipologia",$A262),0)
- IFERROR(GETPIVOTDATA("Somma di AVERE",'Pivot BBVA'!$A$3,"Mese",10,"Tipologia",$A262),0)
- IFERROR(GETPIVOTDATA("Somma di AVERE",'Pivot Fineco St'!$A$3,"Mese",10,"Tipologia",$A262),0)
- IFERROR(GETPIVOTDATA("Somma di AVERE",'Pivot Fineco Sa'!$A$3,"Mese",10,"Tipologia",$A262),0)
+ IFERROR(GETPIVOTDATA("Somma di DARE",'Pivot PP Visa'!$A$3,"Mese",10,"Tipologia",$A262),0)
- IFERROR(GETPIVOTDATA("Somma di AVERE",'Pivot PP Visa'!$A$3,"Mese",10,"Tipologia",$A262),0)
+ IFERROR(GETPIVOTDATA("Somma di DARE",'Pivot Revolut'!$A$3,"Mese",10,"Tipologia",$A262),0)
- IFERROR(GETPIVOTDATA("Somma di AVERE",'Pivot Revolut'!$A$3,"Mese",10,"Tipologia",$A262),0)</f>
        <v>0</v>
      </c>
      <c r="M262" s="243">
        <f>IFERROR(GETPIVOTDATA("Somma di DARE EUR",'Pivot RakBank AED'!$A$3,"Mese",11,"Tipologia",$A262),0)
- IFERROR(GETPIVOTDATA("Somma di AVERE EUR",'Pivot RakBank AED'!$A$3,"Mese",11,"Tipologia",$A262),0)
+IFERROR(GETPIVOTDATA("Somma di DARE",'Pivot RakBank EUR'!$A$3,"Mese",11,"Tipologia",$A262),0)
- IFERROR(GETPIVOTDATA("Somma di AVERE",'Pivot RakBank EUR'!$A$3,"Mese",11,"Tipologia",$A262),0)
+IFERROR(GETPIVOTDATA("Somma di DARE",'Pivot Fineco Sa'!$A$3,"Mese",11,"Tipologia",$A262),0)
+ IFERROR(GETPIVOTDATA("Somma di DARE",'Pivot Fineco St'!$A$3,"Mese",11,"Tipologia",$A262),0)
+ Contanti!AP124
+ IFERROR(GETPIVOTDATA("Somma di DARE",'Pivot BBVA'!$A$3,"Mese",11,"Tipologia",$A262),0)
+ IFERROR(GETPIVOTDATA("Somma di DARE",'Pivot Amex'!$A$3,"Mese",11,"Tipologia",$A262),0)
- IFERROR(GETPIVOTDATA("Somma di AVERE",'Pivot Amex'!$A$3,"Mese",11,"Tipologia",$A262),0)
- IFERROR(GETPIVOTDATA("Somma di AVERE",'Pivot BBVA'!$A$3,"Mese",11,"Tipologia",$A262),0)
- IFERROR(GETPIVOTDATA("Somma di AVERE",'Pivot Fineco St'!$A$3,"Mese",11,"Tipologia",$A262),0)
- IFERROR(GETPIVOTDATA("Somma di AVERE",'Pivot Fineco Sa'!$A$3,"Mese",11,"Tipologia",$A262),0)
+ IFERROR(GETPIVOTDATA("Somma di DARE",'Pivot PP Visa'!$A$3,"Mese",11,"Tipologia",$A262),0)
- IFERROR(GETPIVOTDATA("Somma di AVERE",'Pivot PP Visa'!$A$3,"Mese",11,"Tipologia",$A262),0)
+ IFERROR(GETPIVOTDATA("Somma di DARE",'Pivot Revolut'!$A$3,"Mese",11,"Tipologia",$A262),0)
- IFERROR(GETPIVOTDATA("Somma di AVERE",'Pivot Revolut'!$A$3,"Mese",11,"Tipologia",$A262),0)</f>
        <v>0</v>
      </c>
      <c r="N262" s="243">
        <f>IFERROR(GETPIVOTDATA("Somma di DARE EUR",'Pivot RakBank AED'!$A$3,"Mese",12,"Tipologia",$A262),0)
- IFERROR(GETPIVOTDATA("Somma di AVERE EUR",'Pivot RakBank AED'!$A$3,"Mese",12,"Tipologia",$A262),0)
+IFERROR(GETPIVOTDATA("Somma di DARE",'Pivot RakBank EUR'!$A$3,"Mese",12,"Tipologia",$A262),0)
- IFERROR(GETPIVOTDATA("Somma di AVERE",'Pivot RakBank EUR'!$A$3,"Mese",12,"Tipologia",$A262),0)
+IFERROR(GETPIVOTDATA("Somma di DARE",'Pivot Fineco Sa'!$A$3,"Mese",12,"Tipologia",$A262),0)
+ IFERROR(GETPIVOTDATA("Somma di DARE",'Pivot Fineco St'!$A$3,"Mese",12,"Tipologia",$A262),0)
+ Contanti!AT124
+ IFERROR(GETPIVOTDATA("Somma di DARE",'Pivot BBVA'!$A$3,"Mese",12,"Tipologia",$A262),0)
+ IFERROR(GETPIVOTDATA("Somma di DARE",'Pivot Amex'!$A$3,"Mese",12,"Tipologia",$A262),0)
- IFERROR(GETPIVOTDATA("Somma di AVERE",'Pivot Amex'!$A$3,"Mese",12,"Tipologia",$A262),0)
- IFERROR(GETPIVOTDATA("Somma di AVERE",'Pivot BBVA'!$A$3,"Mese",12,"Tipologia",$A262),0)
- IFERROR(GETPIVOTDATA("Somma di AVERE",'Pivot Fineco St'!$A$3,"Mese",12,"Tipologia",$A262),0)
- IFERROR(GETPIVOTDATA("Somma di AVERE",'Pivot Fineco Sa'!$A$3,"Mese",12,"Tipologia",$A262),0)
+ IFERROR(GETPIVOTDATA("Somma di DARE",'Pivot PP Visa'!$A$3,"Mese",12,"Tipologia",$A262),0)
- IFERROR(GETPIVOTDATA("Somma di AVERE",'Pivot PP Visa'!$A$3,"Mese",12,"Tipologia",$A262),0)
+ IFERROR(GETPIVOTDATA("Somma di DARE",'Pivot Revolut'!$A$3,"Mese",12,"Tipologia",$A262),0)
- IFERROR(GETPIVOTDATA("Somma di AVERE",'Pivot Revolut'!$A$3,"Mese",12,"Tipologia",$A262),0)</f>
        <v>0</v>
      </c>
      <c r="O262" s="252">
        <f t="shared" si="54"/>
        <v>6827.66</v>
      </c>
      <c r="P262" s="243"/>
    </row>
    <row r="263" spans="1:16" s="125" customFormat="1" ht="21" customHeight="1" x14ac:dyDescent="0.2">
      <c r="A263" s="251" t="s">
        <v>149</v>
      </c>
      <c r="B263" s="251"/>
      <c r="C263" s="243">
        <f>IFERROR(GETPIVOTDATA("Somma di DARE EUR",'Pivot RakBank AED'!$A$3,"Mese",1,"Tipologia",$A263),0)
- IFERROR(GETPIVOTDATA("Somma di AVERE EUR",'Pivot RakBank AED'!$A$3,"Mese",1,"Tipologia",$A263),0)
+IFERROR(GETPIVOTDATA("Somma di DARE",'Pivot RakBank EUR'!$A$3,"Mese",1,"Tipologia",$A263),0)
- IFERROR(GETPIVOTDATA("Somma di AVERE",'Pivot RakBank EUR'!$A$3,"Mese",1,"Tipologia",$A263),0)
+IFERROR(GETPIVOTDATA("Somma di DARE",'Pivot Fineco Sa'!$A$3,"Mese",1,"Tipologia",$A263),0)
+ IFERROR(GETPIVOTDATA("Somma di DARE",'Pivot Fineco St'!$A$3,"Mese",1,"Tipologia",$A263),0)
+ Contanti!B125
+ IFERROR(GETPIVOTDATA("Somma di DARE",'Pivot BBVA'!$A$3,"Mese",1,"Tipologia",$A263),0)
+ IFERROR(GETPIVOTDATA("Somma di DARE",'Pivot Amex'!$A$3,"Mese",1,"Tipologia",$A263),0)
- IFERROR(GETPIVOTDATA("Somma di AVERE",'Pivot Amex'!$A$3,"Mese",1,"Tipologia",$A263),0)
- IFERROR(GETPIVOTDATA("Somma di AVERE",'Pivot BBVA'!$A$3,"Mese",1,"Tipologia",$A263),0)
- IFERROR(GETPIVOTDATA("Somma di AVERE",'Pivot Fineco St'!$A$3,"Mese",1,"Tipologia",$A263),0)
- IFERROR(GETPIVOTDATA("Somma di AVERE",'Pivot Fineco Sa'!$A$3,"Mese",1,"Tipologia",$A263),0)
+ IFERROR(GETPIVOTDATA("Somma di DARE",'Pivot PP Visa'!$A$3,"Mese",1,"Tipologia",$A263),0)
- IFERROR(GETPIVOTDATA("Somma di AVERE",'Pivot PP Visa'!$A$3,"Mese",1,"Tipologia",$A263),0)
+ IFERROR(GETPIVOTDATA("Somma di DARE",'Pivot Revolut'!$A$3,"Mese",1,"Tipologia",$A263),0)
- IFERROR(GETPIVOTDATA("Somma di AVERE",'Pivot Revolut'!$A$3,"Mese",1,"Tipologia",$A263),0)</f>
        <v>0</v>
      </c>
      <c r="D263" s="243">
        <f>IFERROR(GETPIVOTDATA("Somma di DARE EUR",'Pivot RakBank AED'!$A$3,"Mese",2,"Tipologia",$A263),0)
- IFERROR(GETPIVOTDATA("Somma di AVERE EUR",'Pivot RakBank AED'!$A$3,"Mese",2,"Tipologia",$A263),0)
+IFERROR(GETPIVOTDATA("Somma di DARE",'Pivot RakBank EUR'!$A$3,"Mese",2,"Tipologia",$A263),0)
- IFERROR(GETPIVOTDATA("Somma di AVERE",'Pivot RakBank EUR'!$A$3,"Mese",2,"Tipologia",$A263),0)
+IFERROR(GETPIVOTDATA("Somma di DARE",'Pivot Fineco Sa'!$A$3,"Mese",2,"Tipologia",$A263),0)
+ IFERROR(GETPIVOTDATA("Somma di DARE",'Pivot Fineco St'!$A$3,"Mese",2,"Tipologia",$A263),0)
+ Contanti!F125
+ IFERROR(GETPIVOTDATA("Somma di DARE",'Pivot BBVA'!$A$3,"Mese",2,"Tipologia",$A263),0)
+ IFERROR(GETPIVOTDATA("Somma di DARE",'Pivot Amex'!$A$3,"Mese",2,"Tipologia",$A263),0)
- IFERROR(GETPIVOTDATA("Somma di AVERE",'Pivot Amex'!$A$3,"Mese",2,"Tipologia",$A263),0)
- IFERROR(GETPIVOTDATA("Somma di AVERE",'Pivot BBVA'!$A$3,"Mese",2,"Tipologia",$A263),0)
- IFERROR(GETPIVOTDATA("Somma di AVERE",'Pivot Fineco St'!$A$3,"Mese",2,"Tipologia",$A263),0)
- IFERROR(GETPIVOTDATA("Somma di AVERE",'Pivot Fineco Sa'!$A$3,"Mese",2,"Tipologia",$A263),0)
+ IFERROR(GETPIVOTDATA("Somma di DARE",'Pivot PP Visa'!$A$3,"Mese",2,"Tipologia",$A263),0)
- IFERROR(GETPIVOTDATA("Somma di AVERE",'Pivot PP Visa'!$A$3,"Mese",2,"Tipologia",$A263),0)
+ IFERROR(GETPIVOTDATA("Somma di DARE",'Pivot Revolut'!$A$3,"Mese",2,"Tipologia",$A263),0)
- IFERROR(GETPIVOTDATA("Somma di AVERE",'Pivot Revolut'!$A$3,"Mese",2,"Tipologia",$A263),0)</f>
        <v>0</v>
      </c>
      <c r="E263" s="243">
        <f>IFERROR(GETPIVOTDATA("Somma di DARE EUR",'Pivot RakBank AED'!$A$3,"Mese",3,"Tipologia",$A263),0)
- IFERROR(GETPIVOTDATA("Somma di AVERE EUR",'Pivot RakBank AED'!$A$3,"Mese",3,"Tipologia",$A263),0)
+IFERROR(GETPIVOTDATA("Somma di DARE",'Pivot RakBank EUR'!$A$3,"Mese",3,"Tipologia",$A263),0)
- IFERROR(GETPIVOTDATA("Somma di AVERE",'Pivot RakBank EUR'!$A$3,"Mese",3,"Tipologia",$A263),0)
+IFERROR(GETPIVOTDATA("Somma di DARE",'Pivot Fineco Sa'!$A$3,"Mese",3,"Tipologia",$A263),0)
+ IFERROR(GETPIVOTDATA("Somma di DARE",'Pivot Fineco St'!$A$3,"Mese",3,"Tipologia",$A263),0)
+ Contanti!J125
+ IFERROR(GETPIVOTDATA("Somma di DARE",'Pivot BBVA'!$A$3,"Mese",3,"Tipologia",$A263),0)
+ IFERROR(GETPIVOTDATA("Somma di DARE",'Pivot Amex'!$A$3,"Mese",3,"Tipologia",$A263),0)
- IFERROR(GETPIVOTDATA("Somma di AVERE",'Pivot Amex'!$A$3,"Mese",3,"Tipologia",$A263),0)
- IFERROR(GETPIVOTDATA("Somma di AVERE",'Pivot BBVA'!$A$3,"Mese",3,"Tipologia",$A263),0)
- IFERROR(GETPIVOTDATA("Somma di AVERE",'Pivot Fineco St'!$A$3,"Mese",3,"Tipologia",$A263),0)
- IFERROR(GETPIVOTDATA("Somma di AVERE",'Pivot Fineco Sa'!$A$3,"Mese",3,"Tipologia",$A263),0)
+ IFERROR(GETPIVOTDATA("Somma di DARE",'Pivot PP Visa'!$A$3,"Mese",3,"Tipologia",$A263),0)
- IFERROR(GETPIVOTDATA("Somma di AVERE",'Pivot PP Visa'!$A$3,"Mese",3,"Tipologia",$A263),0)
+ IFERROR(GETPIVOTDATA("Somma di DARE",'Pivot Revolut'!$A$3,"Mese",3,"Tipologia",$A263),0)
- IFERROR(GETPIVOTDATA("Somma di AVERE",'Pivot Revolut'!$A$3,"Mese",3,"Tipologia",$A263),0)</f>
        <v>0</v>
      </c>
      <c r="F263" s="243">
        <f>IFERROR(GETPIVOTDATA("Somma di DARE EUR",'Pivot RakBank AED'!$A$3,"Mese",4,"Tipologia",$A263),0)
- IFERROR(GETPIVOTDATA("Somma di AVERE EUR",'Pivot RakBank AED'!$A$3,"Mese",4,"Tipologia",$A263),0)
+IFERROR(GETPIVOTDATA("Somma di DARE",'Pivot RakBank EUR'!$A$3,"Mese",4,"Tipologia",$A263),0)
- IFERROR(GETPIVOTDATA("Somma di AVERE",'Pivot RakBank EUR'!$A$3,"Mese",4,"Tipologia",$A263),0)
+IFERROR(GETPIVOTDATA("Somma di DARE",'Pivot Fineco Sa'!$A$3,"Mese",4,"Tipologia",$A263),0)
+ IFERROR(GETPIVOTDATA("Somma di DARE",'Pivot Fineco St'!$A$3,"Mese",4,"Tipologia",$A263),0)
+ Contanti!N125
+ IFERROR(GETPIVOTDATA("Somma di DARE",'Pivot BBVA'!$A$3,"Mese",4,"Tipologia",$A263),0)
+ IFERROR(GETPIVOTDATA("Somma di DARE",'Pivot Amex'!$A$3,"Mese",4,"Tipologia",$A263),0)
- IFERROR(GETPIVOTDATA("Somma di AVERE",'Pivot Amex'!$A$3,"Mese",4,"Tipologia",$A263),0)
- IFERROR(GETPIVOTDATA("Somma di AVERE",'Pivot BBVA'!$A$3,"Mese",4,"Tipologia",$A263),0)
- IFERROR(GETPIVOTDATA("Somma di AVERE",'Pivot Fineco St'!$A$3,"Mese",4,"Tipologia",$A263),0)
- IFERROR(GETPIVOTDATA("Somma di AVERE",'Pivot Fineco Sa'!$A$3,"Mese",4,"Tipologia",$A263),0)
+ IFERROR(GETPIVOTDATA("Somma di DARE",'Pivot PP Visa'!$A$3,"Mese",4,"Tipologia",$A263),0)
- IFERROR(GETPIVOTDATA("Somma di AVERE",'Pivot PP Visa'!$A$3,"Mese",4,"Tipologia",$A263),0)
+ IFERROR(GETPIVOTDATA("Somma di DARE",'Pivot Revolut'!$A$3,"Mese",4,"Tipologia",$A263),0)
- IFERROR(GETPIVOTDATA("Somma di AVERE",'Pivot Revolut'!$A$3,"Mese",4,"Tipologia",$A263),0)</f>
        <v>0</v>
      </c>
      <c r="G263" s="243">
        <f>IFERROR(GETPIVOTDATA("Somma di DARE EUR",'Pivot RakBank AED'!$A$3,"Mese",5,"Tipologia",$A263),0)
- IFERROR(GETPIVOTDATA("Somma di AVERE EUR",'Pivot RakBank AED'!$A$3,"Mese",5,"Tipologia",$A263),0)
+IFERROR(GETPIVOTDATA("Somma di DARE",'Pivot RakBank EUR'!$A$3,"Mese",5,"Tipologia",$A263),0)
- IFERROR(GETPIVOTDATA("Somma di AVERE",'Pivot RakBank EUR'!$A$3,"Mese",5,"Tipologia",$A263),0)
+IFERROR(GETPIVOTDATA("Somma di DARE",'Pivot Fineco Sa'!$A$3,"Mese",5,"Tipologia",$A263),0)
+ IFERROR(GETPIVOTDATA("Somma di DARE",'Pivot Fineco St'!$A$3,"Mese",5,"Tipologia",$A263),0)
+ Contanti!R125
+ IFERROR(GETPIVOTDATA("Somma di DARE",'Pivot BBVA'!$A$3,"Mese",5,"Tipologia",$A263),0)
+ IFERROR(GETPIVOTDATA("Somma di DARE",'Pivot Amex'!$A$3,"Mese",5,"Tipologia",$A263),0)
- IFERROR(GETPIVOTDATA("Somma di AVERE",'Pivot Amex'!$A$3,"Mese",5,"Tipologia",$A263),0)
- IFERROR(GETPIVOTDATA("Somma di AVERE",'Pivot BBVA'!$A$3,"Mese",5,"Tipologia",$A263),0)
- IFERROR(GETPIVOTDATA("Somma di AVERE",'Pivot Fineco St'!$A$3,"Mese",5,"Tipologia",$A263),0)
- IFERROR(GETPIVOTDATA("Somma di AVERE",'Pivot Fineco Sa'!$A$3,"Mese",5,"Tipologia",$A263),0)
+ IFERROR(GETPIVOTDATA("Somma di DARE",'Pivot PP Visa'!$A$3,"Mese",5,"Tipologia",$A263),0)
- IFERROR(GETPIVOTDATA("Somma di AVERE",'Pivot PP Visa'!$A$3,"Mese",5,"Tipologia",$A263),0)
+ IFERROR(GETPIVOTDATA("Somma di DARE",'Pivot Revolut'!$A$3,"Mese",5,"Tipologia",$A263),0)
- IFERROR(GETPIVOTDATA("Somma di AVERE",'Pivot Revolut'!$A$3,"Mese",5,"Tipologia",$A263),0)</f>
        <v>0</v>
      </c>
      <c r="H263" s="243">
        <f>IFERROR(GETPIVOTDATA("Somma di DARE EUR",'Pivot RakBank AED'!$A$3,"Mese",6,"Tipologia",$A263),0)
- IFERROR(GETPIVOTDATA("Somma di AVERE EUR",'Pivot RakBank AED'!$A$3,"Mese",6,"Tipologia",$A263),0)
+IFERROR(GETPIVOTDATA("Somma di DARE",'Pivot RakBank EUR'!$A$3,"Mese",6,"Tipologia",$A263),0)
- IFERROR(GETPIVOTDATA("Somma di AVERE",'Pivot RakBank EUR'!$A$3,"Mese",6,"Tipologia",$A263),0)
+IFERROR(GETPIVOTDATA("Somma di DARE",'Pivot Fineco Sa'!$A$3,"Mese",6,"Tipologia",$A263),0)
+ IFERROR(GETPIVOTDATA("Somma di DARE",'Pivot Fineco St'!$A$3,"Mese",6,"Tipologia",$A263),0)
+ Contanti!V125
+ IFERROR(GETPIVOTDATA("Somma di DARE",'Pivot BBVA'!$A$3,"Mese",6,"Tipologia",$A263),0)
+ IFERROR(GETPIVOTDATA("Somma di DARE",'Pivot Amex'!$A$3,"Mese",6,"Tipologia",$A263),0)
- IFERROR(GETPIVOTDATA("Somma di AVERE",'Pivot Amex'!$A$3,"Mese",6,"Tipologia",$A263),0)
- IFERROR(GETPIVOTDATA("Somma di AVERE",'Pivot BBVA'!$A$3,"Mese",6,"Tipologia",$A263),0)
- IFERROR(GETPIVOTDATA("Somma di AVERE",'Pivot Fineco St'!$A$3,"Mese",6,"Tipologia",$A263),0)
- IFERROR(GETPIVOTDATA("Somma di AVERE",'Pivot Fineco Sa'!$A$3,"Mese",6,"Tipologia",$A263),0)
+ IFERROR(GETPIVOTDATA("Somma di DARE",'Pivot PP Visa'!$A$3,"Mese",6,"Tipologia",$A263),0)
- IFERROR(GETPIVOTDATA("Somma di AVERE",'Pivot PP Visa'!$A$3,"Mese",6,"Tipologia",$A263),0)
+ IFERROR(GETPIVOTDATA("Somma di DARE",'Pivot Revolut'!$A$3,"Mese",6,"Tipologia",$A263),0)
- IFERROR(GETPIVOTDATA("Somma di AVERE",'Pivot Revolut'!$A$3,"Mese",6,"Tipologia",$A263),0)</f>
        <v>0</v>
      </c>
      <c r="I263" s="243">
        <f>IFERROR(GETPIVOTDATA("Somma di DARE EUR",'Pivot RakBank AED'!$A$3,"Mese",7,"Tipologia",$A263),0)
- IFERROR(GETPIVOTDATA("Somma di AVERE EUR",'Pivot RakBank AED'!$A$3,"Mese",7,"Tipologia",$A263),0)
+IFERROR(GETPIVOTDATA("Somma di DARE",'Pivot RakBank EUR'!$A$3,"Mese",7,"Tipologia",$A263),0)
- IFERROR(GETPIVOTDATA("Somma di AVERE",'Pivot RakBank EUR'!$A$3,"Mese",7,"Tipologia",$A263),0)
+IFERROR(GETPIVOTDATA("Somma di DARE",'Pivot Fineco Sa'!$A$3,"Mese",7,"Tipologia",$A263),0)
+ IFERROR(GETPIVOTDATA("Somma di DARE",'Pivot Fineco St'!$A$3,"Mese",7,"Tipologia",$A263),0)
+ Contanti!Z125
+ IFERROR(GETPIVOTDATA("Somma di DARE",'Pivot BBVA'!$A$3,"Mese",7,"Tipologia",$A263),0)
+ IFERROR(GETPIVOTDATA("Somma di DARE",'Pivot Amex'!$A$3,"Mese",7,"Tipologia",$A263),0)
- IFERROR(GETPIVOTDATA("Somma di AVERE",'Pivot Amex'!$A$3,"Mese",7,"Tipologia",$A263),0)
- IFERROR(GETPIVOTDATA("Somma di AVERE",'Pivot BBVA'!$A$3,"Mese",7,"Tipologia",$A263),0)
- IFERROR(GETPIVOTDATA("Somma di AVERE",'Pivot Fineco St'!$A$3,"Mese",7,"Tipologia",$A263),0)
- IFERROR(GETPIVOTDATA("Somma di AVERE",'Pivot Fineco Sa'!$A$3,"Mese",7,"Tipologia",$A263),0)
+ IFERROR(GETPIVOTDATA("Somma di DARE",'Pivot PP Visa'!$A$3,"Mese",7,"Tipologia",$A263),0)
- IFERROR(GETPIVOTDATA("Somma di AVERE",'Pivot PP Visa'!$A$3,"Mese",7,"Tipologia",$A263),0)
+ IFERROR(GETPIVOTDATA("Somma di DARE",'Pivot Revolut'!$A$3,"Mese",7,"Tipologia",$A263),0)
- IFERROR(GETPIVOTDATA("Somma di AVERE",'Pivot Revolut'!$A$3,"Mese",7,"Tipologia",$A263),0)</f>
        <v>0</v>
      </c>
      <c r="J263" s="243">
        <f>IFERROR(GETPIVOTDATA("Somma di DARE EUR",'Pivot RakBank AED'!$A$3,"Mese",8,"Tipologia",$A263),0)
- IFERROR(GETPIVOTDATA("Somma di AVERE EUR",'Pivot RakBank AED'!$A$3,"Mese",8,"Tipologia",$A263),0)
+IFERROR(GETPIVOTDATA("Somma di DARE",'Pivot RakBank EUR'!$A$3,"Mese",8,"Tipologia",$A263),0)
- IFERROR(GETPIVOTDATA("Somma di AVERE",'Pivot RakBank EUR'!$A$3,"Mese",8,"Tipologia",$A263),0)
+IFERROR(GETPIVOTDATA("Somma di DARE",'Pivot Fineco Sa'!$A$3,"Mese",8,"Tipologia",$A263),0)
+ IFERROR(GETPIVOTDATA("Somma di DARE",'Pivot Fineco St'!$A$3,"Mese",8,"Tipologia",$A263),0)
+ Contanti!AD125
+ IFERROR(GETPIVOTDATA("Somma di DARE",'Pivot BBVA'!$A$3,"Mese",8,"Tipologia",$A263),0)
+ IFERROR(GETPIVOTDATA("Somma di DARE",'Pivot Amex'!$A$3,"Mese",8,"Tipologia",$A263),0)
- IFERROR(GETPIVOTDATA("Somma di AVERE",'Pivot Amex'!$A$3,"Mese",8,"Tipologia",$A263),0)
- IFERROR(GETPIVOTDATA("Somma di AVERE",'Pivot BBVA'!$A$3,"Mese",8,"Tipologia",$A263),0)
- IFERROR(GETPIVOTDATA("Somma di AVERE",'Pivot Fineco St'!$A$3,"Mese",8,"Tipologia",$A263),0)
- IFERROR(GETPIVOTDATA("Somma di AVERE",'Pivot Fineco Sa'!$A$3,"Mese",8,"Tipologia",$A263),0)
+ IFERROR(GETPIVOTDATA("Somma di DARE",'Pivot PP Visa'!$A$3,"Mese",8,"Tipologia",$A263),0)
- IFERROR(GETPIVOTDATA("Somma di AVERE",'Pivot PP Visa'!$A$3,"Mese",8,"Tipologia",$A263),0)
+ IFERROR(GETPIVOTDATA("Somma di DARE",'Pivot Revolut'!$A$3,"Mese",8,"Tipologia",$A263),0)
- IFERROR(GETPIVOTDATA("Somma di AVERE",'Pivot Revolut'!$A$3,"Mese",8,"Tipologia",$A263),0)</f>
        <v>0</v>
      </c>
      <c r="K263" s="243">
        <f>IFERROR(GETPIVOTDATA("Somma di DARE EUR",'Pivot RakBank AED'!$A$3,"Mese",9,"Tipologia",$A263),0)
- IFERROR(GETPIVOTDATA("Somma di AVERE EUR",'Pivot RakBank AED'!$A$3,"Mese",9,"Tipologia",$A263),0)
+IFERROR(GETPIVOTDATA("Somma di DARE",'Pivot RakBank EUR'!$A$3,"Mese",9,"Tipologia",$A263),0)
- IFERROR(GETPIVOTDATA("Somma di AVERE",'Pivot RakBank EUR'!$A$3,"Mese",9,"Tipologia",$A263),0)
+IFERROR(GETPIVOTDATA("Somma di DARE",'Pivot Fineco Sa'!$A$3,"Mese",9,"Tipologia",$A263),0)
+ IFERROR(GETPIVOTDATA("Somma di DARE",'Pivot Fineco St'!$A$3,"Mese",9,"Tipologia",$A263),0)
+ Contanti!AH125
+ IFERROR(GETPIVOTDATA("Somma di DARE",'Pivot BBVA'!$A$3,"Mese",9,"Tipologia",$A263),0)
+ IFERROR(GETPIVOTDATA("Somma di DARE",'Pivot Amex'!$A$3,"Mese",9,"Tipologia",$A263),0)
- IFERROR(GETPIVOTDATA("Somma di AVERE",'Pivot Amex'!$A$3,"Mese",9,"Tipologia",$A263),0)
- IFERROR(GETPIVOTDATA("Somma di AVERE",'Pivot BBVA'!$A$3,"Mese",9,"Tipologia",$A263),0)
- IFERROR(GETPIVOTDATA("Somma di AVERE",'Pivot Fineco St'!$A$3,"Mese",9,"Tipologia",$A263),0)
- IFERROR(GETPIVOTDATA("Somma di AVERE",'Pivot Fineco Sa'!$A$3,"Mese",9,"Tipologia",$A263),0)
+ IFERROR(GETPIVOTDATA("Somma di DARE",'Pivot PP Visa'!$A$3,"Mese",9,"Tipologia",$A263),0)
- IFERROR(GETPIVOTDATA("Somma di AVERE",'Pivot PP Visa'!$A$3,"Mese",9,"Tipologia",$A263),0)
+ IFERROR(GETPIVOTDATA("Somma di DARE",'Pivot Revolut'!$A$3,"Mese",9,"Tipologia",$A263),0)
- IFERROR(GETPIVOTDATA("Somma di AVERE",'Pivot Revolut'!$A$3,"Mese",9,"Tipologia",$A263),0)</f>
        <v>0</v>
      </c>
      <c r="L263" s="243">
        <f>IFERROR(GETPIVOTDATA("Somma di DARE EUR",'Pivot RakBank AED'!$A$3,"Mese",10,"Tipologia",$A263),0)
- IFERROR(GETPIVOTDATA("Somma di AVERE EUR",'Pivot RakBank AED'!$A$3,"Mese",10,"Tipologia",$A263),0)
+IFERROR(GETPIVOTDATA("Somma di DARE",'Pivot RakBank EUR'!$A$3,"Mese",10,"Tipologia",$A263),0)
- IFERROR(GETPIVOTDATA("Somma di AVERE",'Pivot RakBank EUR'!$A$3,"Mese",10,"Tipologia",$A263),0)
+IFERROR(GETPIVOTDATA("Somma di DARE",'Pivot Fineco Sa'!$A$3,"Mese",10,"Tipologia",$A263),0)
+ IFERROR(GETPIVOTDATA("Somma di DARE",'Pivot Fineco St'!$A$3,"Mese",10,"Tipologia",$A263),0)
+ Contanti!AL125
+ IFERROR(GETPIVOTDATA("Somma di DARE",'Pivot BBVA'!$A$3,"Mese",10,"Tipologia",$A263),0)
+ IFERROR(GETPIVOTDATA("Somma di DARE",'Pivot Amex'!$A$3,"Mese",10,"Tipologia",$A263),0)
- IFERROR(GETPIVOTDATA("Somma di AVERE",'Pivot Amex'!$A$3,"Mese",10,"Tipologia",$A263),0)
- IFERROR(GETPIVOTDATA("Somma di AVERE",'Pivot BBVA'!$A$3,"Mese",10,"Tipologia",$A263),0)
- IFERROR(GETPIVOTDATA("Somma di AVERE",'Pivot Fineco St'!$A$3,"Mese",10,"Tipologia",$A263),0)
- IFERROR(GETPIVOTDATA("Somma di AVERE",'Pivot Fineco Sa'!$A$3,"Mese",10,"Tipologia",$A263),0)
+ IFERROR(GETPIVOTDATA("Somma di DARE",'Pivot PP Visa'!$A$3,"Mese",10,"Tipologia",$A263),0)
- IFERROR(GETPIVOTDATA("Somma di AVERE",'Pivot PP Visa'!$A$3,"Mese",10,"Tipologia",$A263),0)
+ IFERROR(GETPIVOTDATA("Somma di DARE",'Pivot Revolut'!$A$3,"Mese",10,"Tipologia",$A263),0)
- IFERROR(GETPIVOTDATA("Somma di AVERE",'Pivot Revolut'!$A$3,"Mese",10,"Tipologia",$A263),0)</f>
        <v>0</v>
      </c>
      <c r="M263" s="243">
        <f>IFERROR(GETPIVOTDATA("Somma di DARE EUR",'Pivot RakBank AED'!$A$3,"Mese",11,"Tipologia",$A263),0)
- IFERROR(GETPIVOTDATA("Somma di AVERE EUR",'Pivot RakBank AED'!$A$3,"Mese",11,"Tipologia",$A263),0)
+IFERROR(GETPIVOTDATA("Somma di DARE",'Pivot RakBank EUR'!$A$3,"Mese",11,"Tipologia",$A263),0)
- IFERROR(GETPIVOTDATA("Somma di AVERE",'Pivot RakBank EUR'!$A$3,"Mese",11,"Tipologia",$A263),0)
+IFERROR(GETPIVOTDATA("Somma di DARE",'Pivot Fineco Sa'!$A$3,"Mese",11,"Tipologia",$A263),0)
+ IFERROR(GETPIVOTDATA("Somma di DARE",'Pivot Fineco St'!$A$3,"Mese",11,"Tipologia",$A263),0)
+ Contanti!AP125
+ IFERROR(GETPIVOTDATA("Somma di DARE",'Pivot BBVA'!$A$3,"Mese",11,"Tipologia",$A263),0)
+ IFERROR(GETPIVOTDATA("Somma di DARE",'Pivot Amex'!$A$3,"Mese",11,"Tipologia",$A263),0)
- IFERROR(GETPIVOTDATA("Somma di AVERE",'Pivot Amex'!$A$3,"Mese",11,"Tipologia",$A263),0)
- IFERROR(GETPIVOTDATA("Somma di AVERE",'Pivot BBVA'!$A$3,"Mese",11,"Tipologia",$A263),0)
- IFERROR(GETPIVOTDATA("Somma di AVERE",'Pivot Fineco St'!$A$3,"Mese",11,"Tipologia",$A263),0)
- IFERROR(GETPIVOTDATA("Somma di AVERE",'Pivot Fineco Sa'!$A$3,"Mese",11,"Tipologia",$A263),0)
+ IFERROR(GETPIVOTDATA("Somma di DARE",'Pivot PP Visa'!$A$3,"Mese",11,"Tipologia",$A263),0)
- IFERROR(GETPIVOTDATA("Somma di AVERE",'Pivot PP Visa'!$A$3,"Mese",11,"Tipologia",$A263),0)
+ IFERROR(GETPIVOTDATA("Somma di DARE",'Pivot Revolut'!$A$3,"Mese",11,"Tipologia",$A263),0)
- IFERROR(GETPIVOTDATA("Somma di AVERE",'Pivot Revolut'!$A$3,"Mese",11,"Tipologia",$A263),0)</f>
        <v>0</v>
      </c>
      <c r="N263" s="243">
        <f>IFERROR(GETPIVOTDATA("Somma di DARE EUR",'Pivot RakBank AED'!$A$3,"Mese",12,"Tipologia",$A263),0)
- IFERROR(GETPIVOTDATA("Somma di AVERE EUR",'Pivot RakBank AED'!$A$3,"Mese",12,"Tipologia",$A263),0)
+IFERROR(GETPIVOTDATA("Somma di DARE",'Pivot RakBank EUR'!$A$3,"Mese",12,"Tipologia",$A263),0)
- IFERROR(GETPIVOTDATA("Somma di AVERE",'Pivot RakBank EUR'!$A$3,"Mese",12,"Tipologia",$A263),0)
+IFERROR(GETPIVOTDATA("Somma di DARE",'Pivot Fineco Sa'!$A$3,"Mese",12,"Tipologia",$A263),0)
+ IFERROR(GETPIVOTDATA("Somma di DARE",'Pivot Fineco St'!$A$3,"Mese",12,"Tipologia",$A263),0)
+ Contanti!AT125
+ IFERROR(GETPIVOTDATA("Somma di DARE",'Pivot BBVA'!$A$3,"Mese",12,"Tipologia",$A263),0)
+ IFERROR(GETPIVOTDATA("Somma di DARE",'Pivot Amex'!$A$3,"Mese",12,"Tipologia",$A263),0)
- IFERROR(GETPIVOTDATA("Somma di AVERE",'Pivot Amex'!$A$3,"Mese",12,"Tipologia",$A263),0)
- IFERROR(GETPIVOTDATA("Somma di AVERE",'Pivot BBVA'!$A$3,"Mese",12,"Tipologia",$A263),0)
- IFERROR(GETPIVOTDATA("Somma di AVERE",'Pivot Fineco St'!$A$3,"Mese",12,"Tipologia",$A263),0)
- IFERROR(GETPIVOTDATA("Somma di AVERE",'Pivot Fineco Sa'!$A$3,"Mese",12,"Tipologia",$A263),0)
+ IFERROR(GETPIVOTDATA("Somma di DARE",'Pivot PP Visa'!$A$3,"Mese",12,"Tipologia",$A263),0)
- IFERROR(GETPIVOTDATA("Somma di AVERE",'Pivot PP Visa'!$A$3,"Mese",12,"Tipologia",$A263),0)
+ IFERROR(GETPIVOTDATA("Somma di DARE",'Pivot Revolut'!$A$3,"Mese",12,"Tipologia",$A263),0)
- IFERROR(GETPIVOTDATA("Somma di AVERE",'Pivot Revolut'!$A$3,"Mese",12,"Tipologia",$A263),0)</f>
        <v>0</v>
      </c>
      <c r="O263" s="252">
        <f t="shared" si="54"/>
        <v>0</v>
      </c>
      <c r="P263" s="243"/>
    </row>
    <row r="264" spans="1:16" s="125" customFormat="1" ht="21" customHeight="1" x14ac:dyDescent="0.2">
      <c r="A264" s="251"/>
      <c r="B264" s="251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60"/>
      <c r="P264" s="243"/>
    </row>
    <row r="265" spans="1:16" s="125" customFormat="1" ht="21" customHeight="1" x14ac:dyDescent="0.2">
      <c r="A265" s="255" t="s">
        <v>958</v>
      </c>
      <c r="B265" s="255"/>
      <c r="C265" s="256">
        <f>SUM(C266:C270)</f>
        <v>14194.86</v>
      </c>
      <c r="D265" s="256">
        <f t="shared" ref="D265:N265" si="57">SUM(D266:D270)</f>
        <v>32452.82</v>
      </c>
      <c r="E265" s="256">
        <f t="shared" si="57"/>
        <v>9589.83</v>
      </c>
      <c r="F265" s="256">
        <f t="shared" si="57"/>
        <v>-12949.609999999999</v>
      </c>
      <c r="G265" s="256">
        <f t="shared" si="57"/>
        <v>9435.3231340000002</v>
      </c>
      <c r="H265" s="256">
        <f t="shared" si="57"/>
        <v>9435.3184724000002</v>
      </c>
      <c r="I265" s="256">
        <f t="shared" si="57"/>
        <v>9435.3184724000002</v>
      </c>
      <c r="J265" s="256">
        <f t="shared" si="57"/>
        <v>0</v>
      </c>
      <c r="K265" s="256">
        <f t="shared" si="57"/>
        <v>0</v>
      </c>
      <c r="L265" s="256">
        <f t="shared" si="57"/>
        <v>0</v>
      </c>
      <c r="M265" s="256">
        <f t="shared" si="57"/>
        <v>0</v>
      </c>
      <c r="N265" s="256">
        <f t="shared" si="57"/>
        <v>0</v>
      </c>
      <c r="O265" s="257">
        <f t="shared" ref="O265:O270" si="58">SUM(C265:N265)</f>
        <v>71593.860078800004</v>
      </c>
      <c r="P265" s="256"/>
    </row>
    <row r="266" spans="1:16" s="125" customFormat="1" ht="21" customHeight="1" x14ac:dyDescent="0.2">
      <c r="A266" s="251" t="s">
        <v>540</v>
      </c>
      <c r="B266" s="251"/>
      <c r="C266" s="243">
        <f>IFERROR(GETPIVOTDATA("Somma di DARE EUR",'Pivot RakBank AED'!$A$3,"Mese",1,"Tipologia",$A266),0)
- IFERROR(GETPIVOTDATA("Somma di AVERE EUR",'Pivot RakBank AED'!$A$3,"Mese",1,"Tipologia",$A266),0)
+IFERROR(GETPIVOTDATA("Somma di DARE",'Pivot RakBank EUR'!$A$3,"Mese",1,"Tipologia",$A266),0)
- IFERROR(GETPIVOTDATA("Somma di AVERE",'Pivot RakBank EUR'!$A$3,"Mese",1,"Tipologia",$A266),0)
+IFERROR(GETPIVOTDATA("Somma di DARE",'Pivot Fineco Sa'!$A$3,"Mese",1,"Tipologia",$A266),0)
+ IFERROR(GETPIVOTDATA("Somma di DARE",'Pivot Fineco St'!$A$3,"Mese",1,"Tipologia",$A266),0)
+ Contanti!B128
+ IFERROR(GETPIVOTDATA("Somma di DARE",'Pivot BBVA'!$A$3,"Mese",1,"Tipologia",$A266),0)
+ IFERROR(GETPIVOTDATA("Somma di DARE",'Pivot Amex'!$A$3,"Mese",1,"Tipologia",$A266),0)
- IFERROR(GETPIVOTDATA("Somma di AVERE",'Pivot Amex'!$A$3,"Mese",1,"Tipologia",$A266),0)
- IFERROR(GETPIVOTDATA("Somma di AVERE",'Pivot BBVA'!$A$3,"Mese",1,"Tipologia",$A266),0)
- IFERROR(GETPIVOTDATA("Somma di AVERE",'Pivot Fineco St'!$A$3,"Mese",1,"Tipologia",$A266),0)
- IFERROR(GETPIVOTDATA("Somma di AVERE",'Pivot Fineco Sa'!$A$3,"Mese",1,"Tipologia",$A266),0)
+ IFERROR(GETPIVOTDATA("Somma di DARE",'Pivot PP Visa'!$A$3,"Mese",1,"Tipologia",$A266),0)
- IFERROR(GETPIVOTDATA("Somma di AVERE",'Pivot PP Visa'!$A$3,"Mese",1,"Tipologia",$A266),0)
+ IFERROR(GETPIVOTDATA("Somma di DARE",'Pivot Revolut'!$A$3,"Mese",1,"Tipologia",$A266),0)
- IFERROR(GETPIVOTDATA("Somma di AVERE",'Pivot Revolut'!$A$3,"Mese",1,"Tipologia",$A266),0)</f>
        <v>14194.86</v>
      </c>
      <c r="D266" s="243">
        <f>IFERROR(GETPIVOTDATA("Somma di DARE EUR",'Pivot RakBank AED'!$A$3,"Mese",2,"Tipologia",$A266),0)
- IFERROR(GETPIVOTDATA("Somma di AVERE EUR",'Pivot RakBank AED'!$A$3,"Mese",2,"Tipologia",$A266),0)
+IFERROR(GETPIVOTDATA("Somma di DARE",'Pivot RakBank EUR'!$A$3,"Mese",2,"Tipologia",$A266),0)
- IFERROR(GETPIVOTDATA("Somma di AVERE",'Pivot RakBank EUR'!$A$3,"Mese",2,"Tipologia",$A266),0)
+IFERROR(GETPIVOTDATA("Somma di DARE",'Pivot Fineco Sa'!$A$3,"Mese",2,"Tipologia",$A266),0)
+ IFERROR(GETPIVOTDATA("Somma di DARE",'Pivot Fineco St'!$A$3,"Mese",2,"Tipologia",$A266),0)
+ Contanti!F128
+ IFERROR(GETPIVOTDATA("Somma di DARE",'Pivot BBVA'!$A$3,"Mese",2,"Tipologia",$A266),0)
+ IFERROR(GETPIVOTDATA("Somma di DARE",'Pivot Amex'!$A$3,"Mese",2,"Tipologia",$A266),0)
- IFERROR(GETPIVOTDATA("Somma di AVERE",'Pivot Amex'!$A$3,"Mese",2,"Tipologia",$A266),0)
- IFERROR(GETPIVOTDATA("Somma di AVERE",'Pivot BBVA'!$A$3,"Mese",2,"Tipologia",$A266),0)
- IFERROR(GETPIVOTDATA("Somma di AVERE",'Pivot Fineco St'!$A$3,"Mese",2,"Tipologia",$A266),0)
- IFERROR(GETPIVOTDATA("Somma di AVERE",'Pivot Fineco Sa'!$A$3,"Mese",2,"Tipologia",$A266),0)
+ IFERROR(GETPIVOTDATA("Somma di DARE",'Pivot PP Visa'!$A$3,"Mese",2,"Tipologia",$A266),0)
- IFERROR(GETPIVOTDATA("Somma di AVERE",'Pivot PP Visa'!$A$3,"Mese",2,"Tipologia",$A266),0)
+ IFERROR(GETPIVOTDATA("Somma di DARE",'Pivot Revolut'!$A$3,"Mese",2,"Tipologia",$A266),0)
- IFERROR(GETPIVOTDATA("Somma di AVERE",'Pivot Revolut'!$A$3,"Mese",2,"Tipologia",$A266),0)</f>
        <v>9421.58</v>
      </c>
      <c r="E266" s="243">
        <f>IFERROR(GETPIVOTDATA("Somma di DARE EUR",'Pivot RakBank AED'!$A$3,"Mese",3,"Tipologia",$A266),0)
- IFERROR(GETPIVOTDATA("Somma di AVERE EUR",'Pivot RakBank AED'!$A$3,"Mese",3,"Tipologia",$A266),0)
+IFERROR(GETPIVOTDATA("Somma di DARE",'Pivot RakBank EUR'!$A$3,"Mese",3,"Tipologia",$A266),0)
- IFERROR(GETPIVOTDATA("Somma di AVERE",'Pivot RakBank EUR'!$A$3,"Mese",3,"Tipologia",$A266),0)
+IFERROR(GETPIVOTDATA("Somma di DARE",'Pivot Fineco Sa'!$A$3,"Mese",3,"Tipologia",$A266),0)
+ IFERROR(GETPIVOTDATA("Somma di DARE",'Pivot Fineco St'!$A$3,"Mese",3,"Tipologia",$A266),0)
+ Contanti!J128
+ IFERROR(GETPIVOTDATA("Somma di DARE",'Pivot BBVA'!$A$3,"Mese",3,"Tipologia",$A266),0)
+ IFERROR(GETPIVOTDATA("Somma di DARE",'Pivot Amex'!$A$3,"Mese",3,"Tipologia",$A266),0)
- IFERROR(GETPIVOTDATA("Somma di AVERE",'Pivot Amex'!$A$3,"Mese",3,"Tipologia",$A266),0)
- IFERROR(GETPIVOTDATA("Somma di AVERE",'Pivot BBVA'!$A$3,"Mese",3,"Tipologia",$A266),0)
- IFERROR(GETPIVOTDATA("Somma di AVERE",'Pivot Fineco St'!$A$3,"Mese",3,"Tipologia",$A266),0)
- IFERROR(GETPIVOTDATA("Somma di AVERE",'Pivot Fineco Sa'!$A$3,"Mese",3,"Tipologia",$A266),0)
+ IFERROR(GETPIVOTDATA("Somma di DARE",'Pivot PP Visa'!$A$3,"Mese",3,"Tipologia",$A266),0)
- IFERROR(GETPIVOTDATA("Somma di AVERE",'Pivot PP Visa'!$A$3,"Mese",3,"Tipologia",$A266),0)
+ IFERROR(GETPIVOTDATA("Somma di DARE",'Pivot Revolut'!$A$3,"Mese",3,"Tipologia",$A266),0)
- IFERROR(GETPIVOTDATA("Somma di AVERE",'Pivot Revolut'!$A$3,"Mese",3,"Tipologia",$A266),0)</f>
        <v>9589.83</v>
      </c>
      <c r="F266" s="243">
        <f>IFERROR(GETPIVOTDATA("Somma di DARE EUR",'Pivot RakBank AED'!$A$3,"Mese",4,"Tipologia",$A266),0)
- IFERROR(GETPIVOTDATA("Somma di AVERE EUR",'Pivot RakBank AED'!$A$3,"Mese",4,"Tipologia",$A266),0)
+IFERROR(GETPIVOTDATA("Somma di DARE",'Pivot RakBank EUR'!$A$3,"Mese",4,"Tipologia",$A266),0)
- IFERROR(GETPIVOTDATA("Somma di AVERE",'Pivot RakBank EUR'!$A$3,"Mese",4,"Tipologia",$A266),0)
+IFERROR(GETPIVOTDATA("Somma di DARE",'Pivot Fineco Sa'!$A$3,"Mese",4,"Tipologia",$A266),0)
+ IFERROR(GETPIVOTDATA("Somma di DARE",'Pivot Fineco St'!$A$3,"Mese",4,"Tipologia",$A266),0)
+ Contanti!N128
+ IFERROR(GETPIVOTDATA("Somma di DARE",'Pivot BBVA'!$A$3,"Mese",4,"Tipologia",$A266),0)
+ IFERROR(GETPIVOTDATA("Somma di DARE",'Pivot Amex'!$A$3,"Mese",4,"Tipologia",$A266),0)
- IFERROR(GETPIVOTDATA("Somma di AVERE",'Pivot Amex'!$A$3,"Mese",4,"Tipologia",$A266),0)
- IFERROR(GETPIVOTDATA("Somma di AVERE",'Pivot BBVA'!$A$3,"Mese",4,"Tipologia",$A266),0)
- IFERROR(GETPIVOTDATA("Somma di AVERE",'Pivot Fineco St'!$A$3,"Mese",4,"Tipologia",$A266),0)
- IFERROR(GETPIVOTDATA("Somma di AVERE",'Pivot Fineco Sa'!$A$3,"Mese",4,"Tipologia",$A266),0)
+ IFERROR(GETPIVOTDATA("Somma di DARE",'Pivot PP Visa'!$A$3,"Mese",4,"Tipologia",$A266),0)
- IFERROR(GETPIVOTDATA("Somma di AVERE",'Pivot PP Visa'!$A$3,"Mese",4,"Tipologia",$A266),0)
+ IFERROR(GETPIVOTDATA("Somma di DARE",'Pivot Revolut'!$A$3,"Mese",4,"Tipologia",$A266),0)
- IFERROR(GETPIVOTDATA("Somma di AVERE",'Pivot Revolut'!$A$3,"Mese",4,"Tipologia",$A266),0)</f>
        <v>9548.590000000002</v>
      </c>
      <c r="G266" s="243">
        <f>IFERROR(GETPIVOTDATA("Somma di DARE EUR",'Pivot RakBank AED'!$A$3,"Mese",5,"Tipologia",$A266),0)
- IFERROR(GETPIVOTDATA("Somma di AVERE EUR",'Pivot RakBank AED'!$A$3,"Mese",5,"Tipologia",$A266),0)
+IFERROR(GETPIVOTDATA("Somma di DARE",'Pivot RakBank EUR'!$A$3,"Mese",5,"Tipologia",$A266),0)
- IFERROR(GETPIVOTDATA("Somma di AVERE",'Pivot RakBank EUR'!$A$3,"Mese",5,"Tipologia",$A266),0)
+IFERROR(GETPIVOTDATA("Somma di DARE",'Pivot Fineco Sa'!$A$3,"Mese",5,"Tipologia",$A266),0)
+ IFERROR(GETPIVOTDATA("Somma di DARE",'Pivot Fineco St'!$A$3,"Mese",5,"Tipologia",$A266),0)
+ Contanti!R128
+ IFERROR(GETPIVOTDATA("Somma di DARE",'Pivot BBVA'!$A$3,"Mese",5,"Tipologia",$A266),0)
+ IFERROR(GETPIVOTDATA("Somma di DARE",'Pivot Amex'!$A$3,"Mese",5,"Tipologia",$A266),0)
- IFERROR(GETPIVOTDATA("Somma di AVERE",'Pivot Amex'!$A$3,"Mese",5,"Tipologia",$A266),0)
- IFERROR(GETPIVOTDATA("Somma di AVERE",'Pivot BBVA'!$A$3,"Mese",5,"Tipologia",$A266),0)
- IFERROR(GETPIVOTDATA("Somma di AVERE",'Pivot Fineco St'!$A$3,"Mese",5,"Tipologia",$A266),0)
- IFERROR(GETPIVOTDATA("Somma di AVERE",'Pivot Fineco Sa'!$A$3,"Mese",5,"Tipologia",$A266),0)
+ IFERROR(GETPIVOTDATA("Somma di DARE",'Pivot PP Visa'!$A$3,"Mese",5,"Tipologia",$A266),0)
- IFERROR(GETPIVOTDATA("Somma di AVERE",'Pivot PP Visa'!$A$3,"Mese",5,"Tipologia",$A266),0)
+ IFERROR(GETPIVOTDATA("Somma di DARE",'Pivot Revolut'!$A$3,"Mese",5,"Tipologia",$A266),0)
- IFERROR(GETPIVOTDATA("Somma di AVERE",'Pivot Revolut'!$A$3,"Mese",5,"Tipologia",$A266),0)</f>
        <v>9435.3231340000002</v>
      </c>
      <c r="H266" s="243">
        <f>IFERROR(GETPIVOTDATA("Somma di DARE EUR",'Pivot RakBank AED'!$A$3,"Mese",6,"Tipologia",$A266),0)
- IFERROR(GETPIVOTDATA("Somma di AVERE EUR",'Pivot RakBank AED'!$A$3,"Mese",6,"Tipologia",$A266),0)
+IFERROR(GETPIVOTDATA("Somma di DARE",'Pivot RakBank EUR'!$A$3,"Mese",6,"Tipologia",$A266),0)
- IFERROR(GETPIVOTDATA("Somma di AVERE",'Pivot RakBank EUR'!$A$3,"Mese",6,"Tipologia",$A266),0)
+IFERROR(GETPIVOTDATA("Somma di DARE",'Pivot Fineco Sa'!$A$3,"Mese",6,"Tipologia",$A266),0)
+ IFERROR(GETPIVOTDATA("Somma di DARE",'Pivot Fineco St'!$A$3,"Mese",6,"Tipologia",$A266),0)
+ Contanti!V128
+ IFERROR(GETPIVOTDATA("Somma di DARE",'Pivot BBVA'!$A$3,"Mese",6,"Tipologia",$A266),0)
+ IFERROR(GETPIVOTDATA("Somma di DARE",'Pivot Amex'!$A$3,"Mese",6,"Tipologia",$A266),0)
- IFERROR(GETPIVOTDATA("Somma di AVERE",'Pivot Amex'!$A$3,"Mese",6,"Tipologia",$A266),0)
- IFERROR(GETPIVOTDATA("Somma di AVERE",'Pivot BBVA'!$A$3,"Mese",6,"Tipologia",$A266),0)
- IFERROR(GETPIVOTDATA("Somma di AVERE",'Pivot Fineco St'!$A$3,"Mese",6,"Tipologia",$A266),0)
- IFERROR(GETPIVOTDATA("Somma di AVERE",'Pivot Fineco Sa'!$A$3,"Mese",6,"Tipologia",$A266),0)
+ IFERROR(GETPIVOTDATA("Somma di DARE",'Pivot PP Visa'!$A$3,"Mese",6,"Tipologia",$A266),0)
- IFERROR(GETPIVOTDATA("Somma di AVERE",'Pivot PP Visa'!$A$3,"Mese",6,"Tipologia",$A266),0)
+ IFERROR(GETPIVOTDATA("Somma di DARE",'Pivot Revolut'!$A$3,"Mese",6,"Tipologia",$A266),0)
- IFERROR(GETPIVOTDATA("Somma di AVERE",'Pivot Revolut'!$A$3,"Mese",6,"Tipologia",$A266),0)</f>
        <v>9435.3184724000002</v>
      </c>
      <c r="I266" s="243">
        <f>IFERROR(GETPIVOTDATA("Somma di DARE EUR",'Pivot RakBank AED'!$A$3,"Mese",7,"Tipologia",$A266),0)
- IFERROR(GETPIVOTDATA("Somma di AVERE EUR",'Pivot RakBank AED'!$A$3,"Mese",7,"Tipologia",$A266),0)
+IFERROR(GETPIVOTDATA("Somma di DARE",'Pivot RakBank EUR'!$A$3,"Mese",7,"Tipologia",$A266),0)
- IFERROR(GETPIVOTDATA("Somma di AVERE",'Pivot RakBank EUR'!$A$3,"Mese",7,"Tipologia",$A266),0)
+IFERROR(GETPIVOTDATA("Somma di DARE",'Pivot Fineco Sa'!$A$3,"Mese",7,"Tipologia",$A266),0)
+ IFERROR(GETPIVOTDATA("Somma di DARE",'Pivot Fineco St'!$A$3,"Mese",7,"Tipologia",$A266),0)
+ Contanti!Z128
+ IFERROR(GETPIVOTDATA("Somma di DARE",'Pivot BBVA'!$A$3,"Mese",7,"Tipologia",$A266),0)
+ IFERROR(GETPIVOTDATA("Somma di DARE",'Pivot Amex'!$A$3,"Mese",7,"Tipologia",$A266),0)
- IFERROR(GETPIVOTDATA("Somma di AVERE",'Pivot Amex'!$A$3,"Mese",7,"Tipologia",$A266),0)
- IFERROR(GETPIVOTDATA("Somma di AVERE",'Pivot BBVA'!$A$3,"Mese",7,"Tipologia",$A266),0)
- IFERROR(GETPIVOTDATA("Somma di AVERE",'Pivot Fineco St'!$A$3,"Mese",7,"Tipologia",$A266),0)
- IFERROR(GETPIVOTDATA("Somma di AVERE",'Pivot Fineco Sa'!$A$3,"Mese",7,"Tipologia",$A266),0)
+ IFERROR(GETPIVOTDATA("Somma di DARE",'Pivot PP Visa'!$A$3,"Mese",7,"Tipologia",$A266),0)
- IFERROR(GETPIVOTDATA("Somma di AVERE",'Pivot PP Visa'!$A$3,"Mese",7,"Tipologia",$A266),0)
+ IFERROR(GETPIVOTDATA("Somma di DARE",'Pivot Revolut'!$A$3,"Mese",7,"Tipologia",$A266),0)
- IFERROR(GETPIVOTDATA("Somma di AVERE",'Pivot Revolut'!$A$3,"Mese",7,"Tipologia",$A266),0)</f>
        <v>9435.3184724000002</v>
      </c>
      <c r="J266" s="243">
        <f>IFERROR(GETPIVOTDATA("Somma di DARE EUR",'Pivot RakBank AED'!$A$3,"Mese",8,"Tipologia",$A266),0)
- IFERROR(GETPIVOTDATA("Somma di AVERE EUR",'Pivot RakBank AED'!$A$3,"Mese",8,"Tipologia",$A266),0)
+IFERROR(GETPIVOTDATA("Somma di DARE",'Pivot RakBank EUR'!$A$3,"Mese",8,"Tipologia",$A266),0)
- IFERROR(GETPIVOTDATA("Somma di AVERE",'Pivot RakBank EUR'!$A$3,"Mese",8,"Tipologia",$A266),0)
+IFERROR(GETPIVOTDATA("Somma di DARE",'Pivot Fineco Sa'!$A$3,"Mese",8,"Tipologia",$A266),0)
+ IFERROR(GETPIVOTDATA("Somma di DARE",'Pivot Fineco St'!$A$3,"Mese",8,"Tipologia",$A266),0)
+ Contanti!AD128
+ IFERROR(GETPIVOTDATA("Somma di DARE",'Pivot BBVA'!$A$3,"Mese",8,"Tipologia",$A266),0)
+ IFERROR(GETPIVOTDATA("Somma di DARE",'Pivot Amex'!$A$3,"Mese",8,"Tipologia",$A266),0)
- IFERROR(GETPIVOTDATA("Somma di AVERE",'Pivot Amex'!$A$3,"Mese",8,"Tipologia",$A266),0)
- IFERROR(GETPIVOTDATA("Somma di AVERE",'Pivot BBVA'!$A$3,"Mese",8,"Tipologia",$A266),0)
- IFERROR(GETPIVOTDATA("Somma di AVERE",'Pivot Fineco St'!$A$3,"Mese",8,"Tipologia",$A266),0)
- IFERROR(GETPIVOTDATA("Somma di AVERE",'Pivot Fineco Sa'!$A$3,"Mese",8,"Tipologia",$A266),0)
+ IFERROR(GETPIVOTDATA("Somma di DARE",'Pivot PP Visa'!$A$3,"Mese",8,"Tipologia",$A266),0)
- IFERROR(GETPIVOTDATA("Somma di AVERE",'Pivot PP Visa'!$A$3,"Mese",8,"Tipologia",$A266),0)
+ IFERROR(GETPIVOTDATA("Somma di DARE",'Pivot Revolut'!$A$3,"Mese",8,"Tipologia",$A266),0)
- IFERROR(GETPIVOTDATA("Somma di AVERE",'Pivot Revolut'!$A$3,"Mese",8,"Tipologia",$A266),0)</f>
        <v>0</v>
      </c>
      <c r="K266" s="243">
        <f>IFERROR(GETPIVOTDATA("Somma di DARE EUR",'Pivot RakBank AED'!$A$3,"Mese",9,"Tipologia",$A266),0)
- IFERROR(GETPIVOTDATA("Somma di AVERE EUR",'Pivot RakBank AED'!$A$3,"Mese",9,"Tipologia",$A266),0)
+IFERROR(GETPIVOTDATA("Somma di DARE",'Pivot RakBank EUR'!$A$3,"Mese",9,"Tipologia",$A266),0)
- IFERROR(GETPIVOTDATA("Somma di AVERE",'Pivot RakBank EUR'!$A$3,"Mese",9,"Tipologia",$A266),0)
+IFERROR(GETPIVOTDATA("Somma di DARE",'Pivot Fineco Sa'!$A$3,"Mese",9,"Tipologia",$A266),0)
+ IFERROR(GETPIVOTDATA("Somma di DARE",'Pivot Fineco St'!$A$3,"Mese",9,"Tipologia",$A266),0)
+ Contanti!AH128
+ IFERROR(GETPIVOTDATA("Somma di DARE",'Pivot BBVA'!$A$3,"Mese",9,"Tipologia",$A266),0)
+ IFERROR(GETPIVOTDATA("Somma di DARE",'Pivot Amex'!$A$3,"Mese",9,"Tipologia",$A266),0)
- IFERROR(GETPIVOTDATA("Somma di AVERE",'Pivot Amex'!$A$3,"Mese",9,"Tipologia",$A266),0)
- IFERROR(GETPIVOTDATA("Somma di AVERE",'Pivot BBVA'!$A$3,"Mese",9,"Tipologia",$A266),0)
- IFERROR(GETPIVOTDATA("Somma di AVERE",'Pivot Fineco St'!$A$3,"Mese",9,"Tipologia",$A266),0)
- IFERROR(GETPIVOTDATA("Somma di AVERE",'Pivot Fineco Sa'!$A$3,"Mese",9,"Tipologia",$A266),0)
+ IFERROR(GETPIVOTDATA("Somma di DARE",'Pivot PP Visa'!$A$3,"Mese",9,"Tipologia",$A266),0)
- IFERROR(GETPIVOTDATA("Somma di AVERE",'Pivot PP Visa'!$A$3,"Mese",9,"Tipologia",$A266),0)
+ IFERROR(GETPIVOTDATA("Somma di DARE",'Pivot Revolut'!$A$3,"Mese",9,"Tipologia",$A266),0)
- IFERROR(GETPIVOTDATA("Somma di AVERE",'Pivot Revolut'!$A$3,"Mese",9,"Tipologia",$A266),0)</f>
        <v>0</v>
      </c>
      <c r="L266" s="243">
        <f>IFERROR(GETPIVOTDATA("Somma di DARE EUR",'Pivot RakBank AED'!$A$3,"Mese",10,"Tipologia",$A266),0)
- IFERROR(GETPIVOTDATA("Somma di AVERE EUR",'Pivot RakBank AED'!$A$3,"Mese",10,"Tipologia",$A266),0)
+IFERROR(GETPIVOTDATA("Somma di DARE",'Pivot RakBank EUR'!$A$3,"Mese",10,"Tipologia",$A266),0)
- IFERROR(GETPIVOTDATA("Somma di AVERE",'Pivot RakBank EUR'!$A$3,"Mese",10,"Tipologia",$A266),0)
+IFERROR(GETPIVOTDATA("Somma di DARE",'Pivot Fineco Sa'!$A$3,"Mese",10,"Tipologia",$A266),0)
+ IFERROR(GETPIVOTDATA("Somma di DARE",'Pivot Fineco St'!$A$3,"Mese",10,"Tipologia",$A266),0)
+ Contanti!AL128
+ IFERROR(GETPIVOTDATA("Somma di DARE",'Pivot BBVA'!$A$3,"Mese",10,"Tipologia",$A266),0)
+ IFERROR(GETPIVOTDATA("Somma di DARE",'Pivot Amex'!$A$3,"Mese",10,"Tipologia",$A266),0)
- IFERROR(GETPIVOTDATA("Somma di AVERE",'Pivot Amex'!$A$3,"Mese",10,"Tipologia",$A266),0)
- IFERROR(GETPIVOTDATA("Somma di AVERE",'Pivot BBVA'!$A$3,"Mese",10,"Tipologia",$A266),0)
- IFERROR(GETPIVOTDATA("Somma di AVERE",'Pivot Fineco St'!$A$3,"Mese",10,"Tipologia",$A266),0)
- IFERROR(GETPIVOTDATA("Somma di AVERE",'Pivot Fineco Sa'!$A$3,"Mese",10,"Tipologia",$A266),0)
+ IFERROR(GETPIVOTDATA("Somma di DARE",'Pivot PP Visa'!$A$3,"Mese",10,"Tipologia",$A266),0)
- IFERROR(GETPIVOTDATA("Somma di AVERE",'Pivot PP Visa'!$A$3,"Mese",10,"Tipologia",$A266),0)
+ IFERROR(GETPIVOTDATA("Somma di DARE",'Pivot Revolut'!$A$3,"Mese",10,"Tipologia",$A266),0)
- IFERROR(GETPIVOTDATA("Somma di AVERE",'Pivot Revolut'!$A$3,"Mese",10,"Tipologia",$A266),0)</f>
        <v>0</v>
      </c>
      <c r="M266" s="243">
        <f>IFERROR(GETPIVOTDATA("Somma di DARE EUR",'Pivot RakBank AED'!$A$3,"Mese",11,"Tipologia",$A266),0)
- IFERROR(GETPIVOTDATA("Somma di AVERE EUR",'Pivot RakBank AED'!$A$3,"Mese",11,"Tipologia",$A266),0)
+IFERROR(GETPIVOTDATA("Somma di DARE",'Pivot RakBank EUR'!$A$3,"Mese",11,"Tipologia",$A266),0)
- IFERROR(GETPIVOTDATA("Somma di AVERE",'Pivot RakBank EUR'!$A$3,"Mese",11,"Tipologia",$A266),0)
+IFERROR(GETPIVOTDATA("Somma di DARE",'Pivot Fineco Sa'!$A$3,"Mese",11,"Tipologia",$A266),0)
+ IFERROR(GETPIVOTDATA("Somma di DARE",'Pivot Fineco St'!$A$3,"Mese",11,"Tipologia",$A266),0)
+ Contanti!AP128
+ IFERROR(GETPIVOTDATA("Somma di DARE",'Pivot BBVA'!$A$3,"Mese",11,"Tipologia",$A266),0)
+ IFERROR(GETPIVOTDATA("Somma di DARE",'Pivot Amex'!$A$3,"Mese",11,"Tipologia",$A266),0)
- IFERROR(GETPIVOTDATA("Somma di AVERE",'Pivot Amex'!$A$3,"Mese",11,"Tipologia",$A266),0)
- IFERROR(GETPIVOTDATA("Somma di AVERE",'Pivot BBVA'!$A$3,"Mese",11,"Tipologia",$A266),0)
- IFERROR(GETPIVOTDATA("Somma di AVERE",'Pivot Fineco St'!$A$3,"Mese",11,"Tipologia",$A266),0)
- IFERROR(GETPIVOTDATA("Somma di AVERE",'Pivot Fineco Sa'!$A$3,"Mese",11,"Tipologia",$A266),0)
+ IFERROR(GETPIVOTDATA("Somma di DARE",'Pivot PP Visa'!$A$3,"Mese",11,"Tipologia",$A266),0)
- IFERROR(GETPIVOTDATA("Somma di AVERE",'Pivot PP Visa'!$A$3,"Mese",11,"Tipologia",$A266),0)
+ IFERROR(GETPIVOTDATA("Somma di DARE",'Pivot Revolut'!$A$3,"Mese",11,"Tipologia",$A266),0)
- IFERROR(GETPIVOTDATA("Somma di AVERE",'Pivot Revolut'!$A$3,"Mese",11,"Tipologia",$A266),0)</f>
        <v>0</v>
      </c>
      <c r="N266" s="243">
        <f>IFERROR(GETPIVOTDATA("Somma di DARE EUR",'Pivot RakBank AED'!$A$3,"Mese",12,"Tipologia",$A266),0)
- IFERROR(GETPIVOTDATA("Somma di AVERE EUR",'Pivot RakBank AED'!$A$3,"Mese",12,"Tipologia",$A266),0)
+IFERROR(GETPIVOTDATA("Somma di DARE",'Pivot RakBank EUR'!$A$3,"Mese",12,"Tipologia",$A266),0)
- IFERROR(GETPIVOTDATA("Somma di AVERE",'Pivot RakBank EUR'!$A$3,"Mese",12,"Tipologia",$A266),0)
+IFERROR(GETPIVOTDATA("Somma di DARE",'Pivot Fineco Sa'!$A$3,"Mese",12,"Tipologia",$A266),0)
+ IFERROR(GETPIVOTDATA("Somma di DARE",'Pivot Fineco St'!$A$3,"Mese",12,"Tipologia",$A266),0)
+ Contanti!AT128
+ IFERROR(GETPIVOTDATA("Somma di DARE",'Pivot BBVA'!$A$3,"Mese",12,"Tipologia",$A266),0)
+ IFERROR(GETPIVOTDATA("Somma di DARE",'Pivot Amex'!$A$3,"Mese",12,"Tipologia",$A266),0)
- IFERROR(GETPIVOTDATA("Somma di AVERE",'Pivot Amex'!$A$3,"Mese",12,"Tipologia",$A266),0)
- IFERROR(GETPIVOTDATA("Somma di AVERE",'Pivot BBVA'!$A$3,"Mese",12,"Tipologia",$A266),0)
- IFERROR(GETPIVOTDATA("Somma di AVERE",'Pivot Fineco St'!$A$3,"Mese",12,"Tipologia",$A266),0)
- IFERROR(GETPIVOTDATA("Somma di AVERE",'Pivot Fineco Sa'!$A$3,"Mese",12,"Tipologia",$A266),0)
+ IFERROR(GETPIVOTDATA("Somma di DARE",'Pivot PP Visa'!$A$3,"Mese",12,"Tipologia",$A266),0)
- IFERROR(GETPIVOTDATA("Somma di AVERE",'Pivot PP Visa'!$A$3,"Mese",12,"Tipologia",$A266),0)
+ IFERROR(GETPIVOTDATA("Somma di DARE",'Pivot Revolut'!$A$3,"Mese",12,"Tipologia",$A266),0)
- IFERROR(GETPIVOTDATA("Somma di AVERE",'Pivot Revolut'!$A$3,"Mese",12,"Tipologia",$A266),0)</f>
        <v>0</v>
      </c>
      <c r="O266" s="252">
        <f t="shared" si="58"/>
        <v>71060.82007880001</v>
      </c>
      <c r="P266" s="243"/>
    </row>
    <row r="267" spans="1:16" s="125" customFormat="1" ht="21" customHeight="1" x14ac:dyDescent="0.2">
      <c r="A267" s="251" t="s">
        <v>393</v>
      </c>
      <c r="B267" s="251"/>
      <c r="C267" s="243">
        <f>IFERROR(GETPIVOTDATA("Somma di DARE EUR",'Pivot RakBank AED'!$A$3,"Mese",1,"Tipologia",$A267),0)
- IFERROR(GETPIVOTDATA("Somma di AVERE EUR",'Pivot RakBank AED'!$A$3,"Mese",1,"Tipologia",$A267),0)
+IFERROR(GETPIVOTDATA("Somma di DARE",'Pivot RakBank EUR'!$A$3,"Mese",1,"Tipologia",$A267),0)
- IFERROR(GETPIVOTDATA("Somma di AVERE",'Pivot RakBank EUR'!$A$3,"Mese",1,"Tipologia",$A267),0)
+IFERROR(GETPIVOTDATA("Somma di DARE",'Pivot Fineco Sa'!$A$3,"Mese",1,"Tipologia",$A267),0)
+ IFERROR(GETPIVOTDATA("Somma di DARE",'Pivot Fineco St'!$A$3,"Mese",1,"Tipologia",$A267),0)
+ Contanti!B129
+ IFERROR(GETPIVOTDATA("Somma di DARE",'Pivot BBVA'!$A$3,"Mese",1,"Tipologia",$A267),0)
+ IFERROR(GETPIVOTDATA("Somma di DARE",'Pivot Amex'!$A$3,"Mese",1,"Tipologia",$A267),0)
- IFERROR(GETPIVOTDATA("Somma di AVERE",'Pivot Amex'!$A$3,"Mese",1,"Tipologia",$A267),0)
- IFERROR(GETPIVOTDATA("Somma di AVERE",'Pivot BBVA'!$A$3,"Mese",1,"Tipologia",$A267),0)
- IFERROR(GETPIVOTDATA("Somma di AVERE",'Pivot Fineco St'!$A$3,"Mese",1,"Tipologia",$A267),0)
- IFERROR(GETPIVOTDATA("Somma di AVERE",'Pivot Fineco Sa'!$A$3,"Mese",1,"Tipologia",$A267),0)
+ IFERROR(GETPIVOTDATA("Somma di DARE",'Pivot PP Visa'!$A$3,"Mese",1,"Tipologia",$A267),0)
- IFERROR(GETPIVOTDATA("Somma di AVERE",'Pivot PP Visa'!$A$3,"Mese",1,"Tipologia",$A267),0)
+ IFERROR(GETPIVOTDATA("Somma di DARE",'Pivot Revolut'!$A$3,"Mese",1,"Tipologia",$A267),0)
- IFERROR(GETPIVOTDATA("Somma di AVERE",'Pivot Revolut'!$A$3,"Mese",1,"Tipologia",$A267),0)</f>
        <v>0</v>
      </c>
      <c r="D267" s="243">
        <f>IFERROR(GETPIVOTDATA("Somma di DARE EUR",'Pivot RakBank AED'!$A$3,"Mese",2,"Tipologia",$A267),0)
- IFERROR(GETPIVOTDATA("Somma di AVERE EUR",'Pivot RakBank AED'!$A$3,"Mese",2,"Tipologia",$A267),0)
+IFERROR(GETPIVOTDATA("Somma di DARE",'Pivot RakBank EUR'!$A$3,"Mese",2,"Tipologia",$A267),0)
- IFERROR(GETPIVOTDATA("Somma di AVERE",'Pivot RakBank EUR'!$A$3,"Mese",2,"Tipologia",$A267),0)
+IFERROR(GETPIVOTDATA("Somma di DARE",'Pivot Fineco Sa'!$A$3,"Mese",2,"Tipologia",$A267),0)
+ IFERROR(GETPIVOTDATA("Somma di DARE",'Pivot Fineco St'!$A$3,"Mese",2,"Tipologia",$A267),0)
+ Contanti!F129
+ IFERROR(GETPIVOTDATA("Somma di DARE",'Pivot BBVA'!$A$3,"Mese",2,"Tipologia",$A267),0)
+ IFERROR(GETPIVOTDATA("Somma di DARE",'Pivot Amex'!$A$3,"Mese",2,"Tipologia",$A267),0)
- IFERROR(GETPIVOTDATA("Somma di AVERE",'Pivot Amex'!$A$3,"Mese",2,"Tipologia",$A267),0)
- IFERROR(GETPIVOTDATA("Somma di AVERE",'Pivot BBVA'!$A$3,"Mese",2,"Tipologia",$A267),0)
- IFERROR(GETPIVOTDATA("Somma di AVERE",'Pivot Fineco St'!$A$3,"Mese",2,"Tipologia",$A267),0)
- IFERROR(GETPIVOTDATA("Somma di AVERE",'Pivot Fineco Sa'!$A$3,"Mese",2,"Tipologia",$A267),0)
+ IFERROR(GETPIVOTDATA("Somma di DARE",'Pivot PP Visa'!$A$3,"Mese",2,"Tipologia",$A267),0)
- IFERROR(GETPIVOTDATA("Somma di AVERE",'Pivot PP Visa'!$A$3,"Mese",2,"Tipologia",$A267),0)
+ IFERROR(GETPIVOTDATA("Somma di DARE",'Pivot Revolut'!$A$3,"Mese",2,"Tipologia",$A267),0)
- IFERROR(GETPIVOTDATA("Somma di AVERE",'Pivot Revolut'!$A$3,"Mese",2,"Tipologia",$A267),0)</f>
        <v>23031.24</v>
      </c>
      <c r="E267" s="243">
        <f>IFERROR(GETPIVOTDATA("Somma di DARE EUR",'Pivot RakBank AED'!$A$3,"Mese",3,"Tipologia",$A267),0)
- IFERROR(GETPIVOTDATA("Somma di AVERE EUR",'Pivot RakBank AED'!$A$3,"Mese",3,"Tipologia",$A267),0)
+IFERROR(GETPIVOTDATA("Somma di DARE",'Pivot RakBank EUR'!$A$3,"Mese",3,"Tipologia",$A267),0)
- IFERROR(GETPIVOTDATA("Somma di AVERE",'Pivot RakBank EUR'!$A$3,"Mese",3,"Tipologia",$A267),0)
+IFERROR(GETPIVOTDATA("Somma di DARE",'Pivot Fineco Sa'!$A$3,"Mese",3,"Tipologia",$A267),0)
+ IFERROR(GETPIVOTDATA("Somma di DARE",'Pivot Fineco St'!$A$3,"Mese",3,"Tipologia",$A267),0)
+ Contanti!J129
+ IFERROR(GETPIVOTDATA("Somma di DARE",'Pivot BBVA'!$A$3,"Mese",3,"Tipologia",$A267),0)
+ IFERROR(GETPIVOTDATA("Somma di DARE",'Pivot Amex'!$A$3,"Mese",3,"Tipologia",$A267),0)
- IFERROR(GETPIVOTDATA("Somma di AVERE",'Pivot Amex'!$A$3,"Mese",3,"Tipologia",$A267),0)
- IFERROR(GETPIVOTDATA("Somma di AVERE",'Pivot BBVA'!$A$3,"Mese",3,"Tipologia",$A267),0)
- IFERROR(GETPIVOTDATA("Somma di AVERE",'Pivot Fineco St'!$A$3,"Mese",3,"Tipologia",$A267),0)
- IFERROR(GETPIVOTDATA("Somma di AVERE",'Pivot Fineco Sa'!$A$3,"Mese",3,"Tipologia",$A267),0)
+ IFERROR(GETPIVOTDATA("Somma di DARE",'Pivot PP Visa'!$A$3,"Mese",3,"Tipologia",$A267),0)
- IFERROR(GETPIVOTDATA("Somma di AVERE",'Pivot PP Visa'!$A$3,"Mese",3,"Tipologia",$A267),0)
+ IFERROR(GETPIVOTDATA("Somma di DARE",'Pivot Revolut'!$A$3,"Mese",3,"Tipologia",$A267),0)
- IFERROR(GETPIVOTDATA("Somma di AVERE",'Pivot Revolut'!$A$3,"Mese",3,"Tipologia",$A267),0)</f>
        <v>0</v>
      </c>
      <c r="F267" s="243">
        <f>IFERROR(GETPIVOTDATA("Somma di DARE EUR",'Pivot RakBank AED'!$A$3,"Mese",4,"Tipologia",$A267),0)
- IFERROR(GETPIVOTDATA("Somma di AVERE EUR",'Pivot RakBank AED'!$A$3,"Mese",4,"Tipologia",$A267),0)
+IFERROR(GETPIVOTDATA("Somma di DARE",'Pivot RakBank EUR'!$A$3,"Mese",4,"Tipologia",$A267),0)
- IFERROR(GETPIVOTDATA("Somma di AVERE",'Pivot RakBank EUR'!$A$3,"Mese",4,"Tipologia",$A267),0)
+IFERROR(GETPIVOTDATA("Somma di DARE",'Pivot Fineco Sa'!$A$3,"Mese",4,"Tipologia",$A267),0)
+ IFERROR(GETPIVOTDATA("Somma di DARE",'Pivot Fineco St'!$A$3,"Mese",4,"Tipologia",$A267),0)
+ Contanti!N129
+ IFERROR(GETPIVOTDATA("Somma di DARE",'Pivot BBVA'!$A$3,"Mese",4,"Tipologia",$A267),0)
+ IFERROR(GETPIVOTDATA("Somma di DARE",'Pivot Amex'!$A$3,"Mese",4,"Tipologia",$A267),0)
- IFERROR(GETPIVOTDATA("Somma di AVERE",'Pivot Amex'!$A$3,"Mese",4,"Tipologia",$A267),0)
- IFERROR(GETPIVOTDATA("Somma di AVERE",'Pivot BBVA'!$A$3,"Mese",4,"Tipologia",$A267),0)
- IFERROR(GETPIVOTDATA("Somma di AVERE",'Pivot Fineco St'!$A$3,"Mese",4,"Tipologia",$A267),0)
- IFERROR(GETPIVOTDATA("Somma di AVERE",'Pivot Fineco Sa'!$A$3,"Mese",4,"Tipologia",$A267),0)
+ IFERROR(GETPIVOTDATA("Somma di DARE",'Pivot PP Visa'!$A$3,"Mese",4,"Tipologia",$A267),0)
- IFERROR(GETPIVOTDATA("Somma di AVERE",'Pivot PP Visa'!$A$3,"Mese",4,"Tipologia",$A267),0)
+ IFERROR(GETPIVOTDATA("Somma di DARE",'Pivot Revolut'!$A$3,"Mese",4,"Tipologia",$A267),0)
- IFERROR(GETPIVOTDATA("Somma di AVERE",'Pivot Revolut'!$A$3,"Mese",4,"Tipologia",$A267),0)</f>
        <v>-22498.2</v>
      </c>
      <c r="G267" s="243">
        <f>IFERROR(GETPIVOTDATA("Somma di DARE EUR",'Pivot RakBank AED'!$A$3,"Mese",5,"Tipologia",$A267),0)
- IFERROR(GETPIVOTDATA("Somma di AVERE EUR",'Pivot RakBank AED'!$A$3,"Mese",5,"Tipologia",$A267),0)
+IFERROR(GETPIVOTDATA("Somma di DARE",'Pivot RakBank EUR'!$A$3,"Mese",5,"Tipologia",$A267),0)
- IFERROR(GETPIVOTDATA("Somma di AVERE",'Pivot RakBank EUR'!$A$3,"Mese",5,"Tipologia",$A267),0)
+IFERROR(GETPIVOTDATA("Somma di DARE",'Pivot Fineco Sa'!$A$3,"Mese",5,"Tipologia",$A267),0)
+ IFERROR(GETPIVOTDATA("Somma di DARE",'Pivot Fineco St'!$A$3,"Mese",5,"Tipologia",$A267),0)
+ Contanti!R129
+ IFERROR(GETPIVOTDATA("Somma di DARE",'Pivot BBVA'!$A$3,"Mese",5,"Tipologia",$A267),0)
+ IFERROR(GETPIVOTDATA("Somma di DARE",'Pivot Amex'!$A$3,"Mese",5,"Tipologia",$A267),0)
- IFERROR(GETPIVOTDATA("Somma di AVERE",'Pivot Amex'!$A$3,"Mese",5,"Tipologia",$A267),0)
- IFERROR(GETPIVOTDATA("Somma di AVERE",'Pivot BBVA'!$A$3,"Mese",5,"Tipologia",$A267),0)
- IFERROR(GETPIVOTDATA("Somma di AVERE",'Pivot Fineco St'!$A$3,"Mese",5,"Tipologia",$A267),0)
- IFERROR(GETPIVOTDATA("Somma di AVERE",'Pivot Fineco Sa'!$A$3,"Mese",5,"Tipologia",$A267),0)
+ IFERROR(GETPIVOTDATA("Somma di DARE",'Pivot PP Visa'!$A$3,"Mese",5,"Tipologia",$A267),0)
- IFERROR(GETPIVOTDATA("Somma di AVERE",'Pivot PP Visa'!$A$3,"Mese",5,"Tipologia",$A267),0)
+ IFERROR(GETPIVOTDATA("Somma di DARE",'Pivot Revolut'!$A$3,"Mese",5,"Tipologia",$A267),0)
- IFERROR(GETPIVOTDATA("Somma di AVERE",'Pivot Revolut'!$A$3,"Mese",5,"Tipologia",$A267),0)</f>
        <v>0</v>
      </c>
      <c r="H267" s="243">
        <f>IFERROR(GETPIVOTDATA("Somma di DARE EUR",'Pivot RakBank AED'!$A$3,"Mese",6,"Tipologia",$A267),0)
- IFERROR(GETPIVOTDATA("Somma di AVERE EUR",'Pivot RakBank AED'!$A$3,"Mese",6,"Tipologia",$A267),0)
+IFERROR(GETPIVOTDATA("Somma di DARE",'Pivot RakBank EUR'!$A$3,"Mese",6,"Tipologia",$A267),0)
- IFERROR(GETPIVOTDATA("Somma di AVERE",'Pivot RakBank EUR'!$A$3,"Mese",6,"Tipologia",$A267),0)
+IFERROR(GETPIVOTDATA("Somma di DARE",'Pivot Fineco Sa'!$A$3,"Mese",6,"Tipologia",$A267),0)
+ IFERROR(GETPIVOTDATA("Somma di DARE",'Pivot Fineco St'!$A$3,"Mese",6,"Tipologia",$A267),0)
+ Contanti!V129
+ IFERROR(GETPIVOTDATA("Somma di DARE",'Pivot BBVA'!$A$3,"Mese",6,"Tipologia",$A267),0)
+ IFERROR(GETPIVOTDATA("Somma di DARE",'Pivot Amex'!$A$3,"Mese",6,"Tipologia",$A267),0)
- IFERROR(GETPIVOTDATA("Somma di AVERE",'Pivot Amex'!$A$3,"Mese",6,"Tipologia",$A267),0)
- IFERROR(GETPIVOTDATA("Somma di AVERE",'Pivot BBVA'!$A$3,"Mese",6,"Tipologia",$A267),0)
- IFERROR(GETPIVOTDATA("Somma di AVERE",'Pivot Fineco St'!$A$3,"Mese",6,"Tipologia",$A267),0)
- IFERROR(GETPIVOTDATA("Somma di AVERE",'Pivot Fineco Sa'!$A$3,"Mese",6,"Tipologia",$A267),0)
+ IFERROR(GETPIVOTDATA("Somma di DARE",'Pivot PP Visa'!$A$3,"Mese",6,"Tipologia",$A267),0)
- IFERROR(GETPIVOTDATA("Somma di AVERE",'Pivot PP Visa'!$A$3,"Mese",6,"Tipologia",$A267),0)
+ IFERROR(GETPIVOTDATA("Somma di DARE",'Pivot Revolut'!$A$3,"Mese",6,"Tipologia",$A267),0)
- IFERROR(GETPIVOTDATA("Somma di AVERE",'Pivot Revolut'!$A$3,"Mese",6,"Tipologia",$A267),0)</f>
        <v>0</v>
      </c>
      <c r="I267" s="243">
        <f>IFERROR(GETPIVOTDATA("Somma di DARE EUR",'Pivot RakBank AED'!$A$3,"Mese",7,"Tipologia",$A267),0)
- IFERROR(GETPIVOTDATA("Somma di AVERE EUR",'Pivot RakBank AED'!$A$3,"Mese",7,"Tipologia",$A267),0)
+IFERROR(GETPIVOTDATA("Somma di DARE",'Pivot RakBank EUR'!$A$3,"Mese",7,"Tipologia",$A267),0)
- IFERROR(GETPIVOTDATA("Somma di AVERE",'Pivot RakBank EUR'!$A$3,"Mese",7,"Tipologia",$A267),0)
+IFERROR(GETPIVOTDATA("Somma di DARE",'Pivot Fineco Sa'!$A$3,"Mese",7,"Tipologia",$A267),0)
+ IFERROR(GETPIVOTDATA("Somma di DARE",'Pivot Fineco St'!$A$3,"Mese",7,"Tipologia",$A267),0)
+ Contanti!Z129
+ IFERROR(GETPIVOTDATA("Somma di DARE",'Pivot BBVA'!$A$3,"Mese",7,"Tipologia",$A267),0)
+ IFERROR(GETPIVOTDATA("Somma di DARE",'Pivot Amex'!$A$3,"Mese",7,"Tipologia",$A267),0)
- IFERROR(GETPIVOTDATA("Somma di AVERE",'Pivot Amex'!$A$3,"Mese",7,"Tipologia",$A267),0)
- IFERROR(GETPIVOTDATA("Somma di AVERE",'Pivot BBVA'!$A$3,"Mese",7,"Tipologia",$A267),0)
- IFERROR(GETPIVOTDATA("Somma di AVERE",'Pivot Fineco St'!$A$3,"Mese",7,"Tipologia",$A267),0)
- IFERROR(GETPIVOTDATA("Somma di AVERE",'Pivot Fineco Sa'!$A$3,"Mese",7,"Tipologia",$A267),0)
+ IFERROR(GETPIVOTDATA("Somma di DARE",'Pivot PP Visa'!$A$3,"Mese",7,"Tipologia",$A267),0)
- IFERROR(GETPIVOTDATA("Somma di AVERE",'Pivot PP Visa'!$A$3,"Mese",7,"Tipologia",$A267),0)
+ IFERROR(GETPIVOTDATA("Somma di DARE",'Pivot Revolut'!$A$3,"Mese",7,"Tipologia",$A267),0)
- IFERROR(GETPIVOTDATA("Somma di AVERE",'Pivot Revolut'!$A$3,"Mese",7,"Tipologia",$A267),0)</f>
        <v>0</v>
      </c>
      <c r="J267" s="243">
        <f>IFERROR(GETPIVOTDATA("Somma di DARE EUR",'Pivot RakBank AED'!$A$3,"Mese",8,"Tipologia",$A267),0)
- IFERROR(GETPIVOTDATA("Somma di AVERE EUR",'Pivot RakBank AED'!$A$3,"Mese",8,"Tipologia",$A267),0)
+IFERROR(GETPIVOTDATA("Somma di DARE",'Pivot RakBank EUR'!$A$3,"Mese",8,"Tipologia",$A267),0)
- IFERROR(GETPIVOTDATA("Somma di AVERE",'Pivot RakBank EUR'!$A$3,"Mese",8,"Tipologia",$A267),0)
+IFERROR(GETPIVOTDATA("Somma di DARE",'Pivot Fineco Sa'!$A$3,"Mese",8,"Tipologia",$A267),0)
+ IFERROR(GETPIVOTDATA("Somma di DARE",'Pivot Fineco St'!$A$3,"Mese",8,"Tipologia",$A267),0)
+ Contanti!AD129
+ IFERROR(GETPIVOTDATA("Somma di DARE",'Pivot BBVA'!$A$3,"Mese",8,"Tipologia",$A267),0)
+ IFERROR(GETPIVOTDATA("Somma di DARE",'Pivot Amex'!$A$3,"Mese",8,"Tipologia",$A267),0)
- IFERROR(GETPIVOTDATA("Somma di AVERE",'Pivot Amex'!$A$3,"Mese",8,"Tipologia",$A267),0)
- IFERROR(GETPIVOTDATA("Somma di AVERE",'Pivot BBVA'!$A$3,"Mese",8,"Tipologia",$A267),0)
- IFERROR(GETPIVOTDATA("Somma di AVERE",'Pivot Fineco St'!$A$3,"Mese",8,"Tipologia",$A267),0)
- IFERROR(GETPIVOTDATA("Somma di AVERE",'Pivot Fineco Sa'!$A$3,"Mese",8,"Tipologia",$A267),0)
+ IFERROR(GETPIVOTDATA("Somma di DARE",'Pivot PP Visa'!$A$3,"Mese",8,"Tipologia",$A267),0)
- IFERROR(GETPIVOTDATA("Somma di AVERE",'Pivot PP Visa'!$A$3,"Mese",8,"Tipologia",$A267),0)
+ IFERROR(GETPIVOTDATA("Somma di DARE",'Pivot Revolut'!$A$3,"Mese",8,"Tipologia",$A267),0)
- IFERROR(GETPIVOTDATA("Somma di AVERE",'Pivot Revolut'!$A$3,"Mese",8,"Tipologia",$A267),0)</f>
        <v>0</v>
      </c>
      <c r="K267" s="243">
        <f>IFERROR(GETPIVOTDATA("Somma di DARE EUR",'Pivot RakBank AED'!$A$3,"Mese",9,"Tipologia",$A267),0)
- IFERROR(GETPIVOTDATA("Somma di AVERE EUR",'Pivot RakBank AED'!$A$3,"Mese",9,"Tipologia",$A267),0)
+IFERROR(GETPIVOTDATA("Somma di DARE",'Pivot RakBank EUR'!$A$3,"Mese",9,"Tipologia",$A267),0)
- IFERROR(GETPIVOTDATA("Somma di AVERE",'Pivot RakBank EUR'!$A$3,"Mese",9,"Tipologia",$A267),0)
+IFERROR(GETPIVOTDATA("Somma di DARE",'Pivot Fineco Sa'!$A$3,"Mese",9,"Tipologia",$A267),0)
+ IFERROR(GETPIVOTDATA("Somma di DARE",'Pivot Fineco St'!$A$3,"Mese",9,"Tipologia",$A267),0)
+ Contanti!AH129
+ IFERROR(GETPIVOTDATA("Somma di DARE",'Pivot BBVA'!$A$3,"Mese",9,"Tipologia",$A267),0)
+ IFERROR(GETPIVOTDATA("Somma di DARE",'Pivot Amex'!$A$3,"Mese",9,"Tipologia",$A267),0)
- IFERROR(GETPIVOTDATA("Somma di AVERE",'Pivot Amex'!$A$3,"Mese",9,"Tipologia",$A267),0)
- IFERROR(GETPIVOTDATA("Somma di AVERE",'Pivot BBVA'!$A$3,"Mese",9,"Tipologia",$A267),0)
- IFERROR(GETPIVOTDATA("Somma di AVERE",'Pivot Fineco St'!$A$3,"Mese",9,"Tipologia",$A267),0)
- IFERROR(GETPIVOTDATA("Somma di AVERE",'Pivot Fineco Sa'!$A$3,"Mese",9,"Tipologia",$A267),0)
+ IFERROR(GETPIVOTDATA("Somma di DARE",'Pivot PP Visa'!$A$3,"Mese",9,"Tipologia",$A267),0)
- IFERROR(GETPIVOTDATA("Somma di AVERE",'Pivot PP Visa'!$A$3,"Mese",9,"Tipologia",$A267),0)
+ IFERROR(GETPIVOTDATA("Somma di DARE",'Pivot Revolut'!$A$3,"Mese",9,"Tipologia",$A267),0)
- IFERROR(GETPIVOTDATA("Somma di AVERE",'Pivot Revolut'!$A$3,"Mese",9,"Tipologia",$A267),0)</f>
        <v>0</v>
      </c>
      <c r="L267" s="243">
        <f>IFERROR(GETPIVOTDATA("Somma di DARE EUR",'Pivot RakBank AED'!$A$3,"Mese",10,"Tipologia",$A267),0)
- IFERROR(GETPIVOTDATA("Somma di AVERE EUR",'Pivot RakBank AED'!$A$3,"Mese",10,"Tipologia",$A267),0)
+IFERROR(GETPIVOTDATA("Somma di DARE",'Pivot RakBank EUR'!$A$3,"Mese",10,"Tipologia",$A267),0)
- IFERROR(GETPIVOTDATA("Somma di AVERE",'Pivot RakBank EUR'!$A$3,"Mese",10,"Tipologia",$A267),0)
+IFERROR(GETPIVOTDATA("Somma di DARE",'Pivot Fineco Sa'!$A$3,"Mese",10,"Tipologia",$A267),0)
+ IFERROR(GETPIVOTDATA("Somma di DARE",'Pivot Fineco St'!$A$3,"Mese",10,"Tipologia",$A267),0)
+ Contanti!AL129
+ IFERROR(GETPIVOTDATA("Somma di DARE",'Pivot BBVA'!$A$3,"Mese",10,"Tipologia",$A267),0)
+ IFERROR(GETPIVOTDATA("Somma di DARE",'Pivot Amex'!$A$3,"Mese",10,"Tipologia",$A267),0)
- IFERROR(GETPIVOTDATA("Somma di AVERE",'Pivot Amex'!$A$3,"Mese",10,"Tipologia",$A267),0)
- IFERROR(GETPIVOTDATA("Somma di AVERE",'Pivot BBVA'!$A$3,"Mese",10,"Tipologia",$A267),0)
- IFERROR(GETPIVOTDATA("Somma di AVERE",'Pivot Fineco St'!$A$3,"Mese",10,"Tipologia",$A267),0)
- IFERROR(GETPIVOTDATA("Somma di AVERE",'Pivot Fineco Sa'!$A$3,"Mese",10,"Tipologia",$A267),0)
+ IFERROR(GETPIVOTDATA("Somma di DARE",'Pivot PP Visa'!$A$3,"Mese",10,"Tipologia",$A267),0)
- IFERROR(GETPIVOTDATA("Somma di AVERE",'Pivot PP Visa'!$A$3,"Mese",10,"Tipologia",$A267),0)
+ IFERROR(GETPIVOTDATA("Somma di DARE",'Pivot Revolut'!$A$3,"Mese",10,"Tipologia",$A267),0)
- IFERROR(GETPIVOTDATA("Somma di AVERE",'Pivot Revolut'!$A$3,"Mese",10,"Tipologia",$A267),0)</f>
        <v>0</v>
      </c>
      <c r="M267" s="243">
        <f>IFERROR(GETPIVOTDATA("Somma di DARE EUR",'Pivot RakBank AED'!$A$3,"Mese",11,"Tipologia",$A267),0)
- IFERROR(GETPIVOTDATA("Somma di AVERE EUR",'Pivot RakBank AED'!$A$3,"Mese",11,"Tipologia",$A267),0)
+IFERROR(GETPIVOTDATA("Somma di DARE",'Pivot RakBank EUR'!$A$3,"Mese",11,"Tipologia",$A267),0)
- IFERROR(GETPIVOTDATA("Somma di AVERE",'Pivot RakBank EUR'!$A$3,"Mese",11,"Tipologia",$A267),0)
+IFERROR(GETPIVOTDATA("Somma di DARE",'Pivot Fineco Sa'!$A$3,"Mese",11,"Tipologia",$A267),0)
+ IFERROR(GETPIVOTDATA("Somma di DARE",'Pivot Fineco St'!$A$3,"Mese",11,"Tipologia",$A267),0)
+ Contanti!AP129
+ IFERROR(GETPIVOTDATA("Somma di DARE",'Pivot BBVA'!$A$3,"Mese",11,"Tipologia",$A267),0)
+ IFERROR(GETPIVOTDATA("Somma di DARE",'Pivot Amex'!$A$3,"Mese",11,"Tipologia",$A267),0)
- IFERROR(GETPIVOTDATA("Somma di AVERE",'Pivot Amex'!$A$3,"Mese",11,"Tipologia",$A267),0)
- IFERROR(GETPIVOTDATA("Somma di AVERE",'Pivot BBVA'!$A$3,"Mese",11,"Tipologia",$A267),0)
- IFERROR(GETPIVOTDATA("Somma di AVERE",'Pivot Fineco St'!$A$3,"Mese",11,"Tipologia",$A267),0)
- IFERROR(GETPIVOTDATA("Somma di AVERE",'Pivot Fineco Sa'!$A$3,"Mese",11,"Tipologia",$A267),0)
+ IFERROR(GETPIVOTDATA("Somma di DARE",'Pivot PP Visa'!$A$3,"Mese",11,"Tipologia",$A267),0)
- IFERROR(GETPIVOTDATA("Somma di AVERE",'Pivot PP Visa'!$A$3,"Mese",11,"Tipologia",$A267),0)
+ IFERROR(GETPIVOTDATA("Somma di DARE",'Pivot Revolut'!$A$3,"Mese",11,"Tipologia",$A267),0)
- IFERROR(GETPIVOTDATA("Somma di AVERE",'Pivot Revolut'!$A$3,"Mese",11,"Tipologia",$A267),0)</f>
        <v>0</v>
      </c>
      <c r="N267" s="243">
        <f>IFERROR(GETPIVOTDATA("Somma di DARE EUR",'Pivot RakBank AED'!$A$3,"Mese",12,"Tipologia",$A267),0)
- IFERROR(GETPIVOTDATA("Somma di AVERE EUR",'Pivot RakBank AED'!$A$3,"Mese",12,"Tipologia",$A267),0)
+IFERROR(GETPIVOTDATA("Somma di DARE",'Pivot RakBank EUR'!$A$3,"Mese",12,"Tipologia",$A267),0)
- IFERROR(GETPIVOTDATA("Somma di AVERE",'Pivot RakBank EUR'!$A$3,"Mese",12,"Tipologia",$A267),0)
+IFERROR(GETPIVOTDATA("Somma di DARE",'Pivot Fineco Sa'!$A$3,"Mese",12,"Tipologia",$A267),0)
+ IFERROR(GETPIVOTDATA("Somma di DARE",'Pivot Fineco St'!$A$3,"Mese",12,"Tipologia",$A267),0)
+ Contanti!AT129
+ IFERROR(GETPIVOTDATA("Somma di DARE",'Pivot BBVA'!$A$3,"Mese",12,"Tipologia",$A267),0)
+ IFERROR(GETPIVOTDATA("Somma di DARE",'Pivot Amex'!$A$3,"Mese",12,"Tipologia",$A267),0)
- IFERROR(GETPIVOTDATA("Somma di AVERE",'Pivot Amex'!$A$3,"Mese",12,"Tipologia",$A267),0)
- IFERROR(GETPIVOTDATA("Somma di AVERE",'Pivot BBVA'!$A$3,"Mese",12,"Tipologia",$A267),0)
- IFERROR(GETPIVOTDATA("Somma di AVERE",'Pivot Fineco St'!$A$3,"Mese",12,"Tipologia",$A267),0)
- IFERROR(GETPIVOTDATA("Somma di AVERE",'Pivot Fineco Sa'!$A$3,"Mese",12,"Tipologia",$A267),0)
+ IFERROR(GETPIVOTDATA("Somma di DARE",'Pivot PP Visa'!$A$3,"Mese",12,"Tipologia",$A267),0)
- IFERROR(GETPIVOTDATA("Somma di AVERE",'Pivot PP Visa'!$A$3,"Mese",12,"Tipologia",$A267),0)
+ IFERROR(GETPIVOTDATA("Somma di DARE",'Pivot Revolut'!$A$3,"Mese",12,"Tipologia",$A267),0)
- IFERROR(GETPIVOTDATA("Somma di AVERE",'Pivot Revolut'!$A$3,"Mese",12,"Tipologia",$A267),0)</f>
        <v>0</v>
      </c>
      <c r="O267" s="252">
        <f t="shared" si="58"/>
        <v>533.04000000000087</v>
      </c>
      <c r="P267" s="243"/>
    </row>
    <row r="268" spans="1:16" s="125" customFormat="1" ht="21" customHeight="1" x14ac:dyDescent="0.2">
      <c r="A268" s="251" t="s">
        <v>537</v>
      </c>
      <c r="B268" s="251"/>
      <c r="C268" s="243">
        <f>IFERROR(GETPIVOTDATA("Somma di DARE EUR",'Pivot RakBank AED'!$A$3,"Mese",1,"Tipologia",$A268),0)
- IFERROR(GETPIVOTDATA("Somma di AVERE EUR",'Pivot RakBank AED'!$A$3,"Mese",1,"Tipologia",$A268),0)
+IFERROR(GETPIVOTDATA("Somma di DARE",'Pivot RakBank EUR'!$A$3,"Mese",1,"Tipologia",$A268),0)
- IFERROR(GETPIVOTDATA("Somma di AVERE",'Pivot RakBank EUR'!$A$3,"Mese",1,"Tipologia",$A268),0)
+IFERROR(GETPIVOTDATA("Somma di DARE",'Pivot Fineco Sa'!$A$3,"Mese",1,"Tipologia",$A268),0)
+ IFERROR(GETPIVOTDATA("Somma di DARE",'Pivot Fineco St'!$A$3,"Mese",1,"Tipologia",$A268),0)
+ Contanti!B130
+ IFERROR(GETPIVOTDATA("Somma di DARE",'Pivot BBVA'!$A$3,"Mese",1,"Tipologia",$A268),0)
+ IFERROR(GETPIVOTDATA("Somma di DARE",'Pivot Amex'!$A$3,"Mese",1,"Tipologia",$A268),0)
- IFERROR(GETPIVOTDATA("Somma di AVERE",'Pivot Amex'!$A$3,"Mese",1,"Tipologia",$A268),0)
- IFERROR(GETPIVOTDATA("Somma di AVERE",'Pivot BBVA'!$A$3,"Mese",1,"Tipologia",$A268),0)
- IFERROR(GETPIVOTDATA("Somma di AVERE",'Pivot Fineco St'!$A$3,"Mese",1,"Tipologia",$A268),0)
- IFERROR(GETPIVOTDATA("Somma di AVERE",'Pivot Fineco Sa'!$A$3,"Mese",1,"Tipologia",$A268),0)
+ IFERROR(GETPIVOTDATA("Somma di DARE",'Pivot PP Visa'!$A$3,"Mese",1,"Tipologia",$A268),0)
- IFERROR(GETPIVOTDATA("Somma di AVERE",'Pivot PP Visa'!$A$3,"Mese",1,"Tipologia",$A268),0)
+ IFERROR(GETPIVOTDATA("Somma di DARE",'Pivot Revolut'!$A$3,"Mese",1,"Tipologia",$A268),0)
- IFERROR(GETPIVOTDATA("Somma di AVERE",'Pivot Revolut'!$A$3,"Mese",1,"Tipologia",$A268),0)</f>
        <v>0</v>
      </c>
      <c r="D268" s="243">
        <f>IFERROR(GETPIVOTDATA("Somma di DARE EUR",'Pivot RakBank AED'!$A$3,"Mese",2,"Tipologia",$A268),0)
- IFERROR(GETPIVOTDATA("Somma di AVERE EUR",'Pivot RakBank AED'!$A$3,"Mese",2,"Tipologia",$A268),0)
+IFERROR(GETPIVOTDATA("Somma di DARE",'Pivot RakBank EUR'!$A$3,"Mese",2,"Tipologia",$A268),0)
- IFERROR(GETPIVOTDATA("Somma di AVERE",'Pivot RakBank EUR'!$A$3,"Mese",2,"Tipologia",$A268),0)
+IFERROR(GETPIVOTDATA("Somma di DARE",'Pivot Fineco Sa'!$A$3,"Mese",2,"Tipologia",$A268),0)
+ IFERROR(GETPIVOTDATA("Somma di DARE",'Pivot Fineco St'!$A$3,"Mese",2,"Tipologia",$A268),0)
+ Contanti!F130
+ IFERROR(GETPIVOTDATA("Somma di DARE",'Pivot BBVA'!$A$3,"Mese",2,"Tipologia",$A268),0)
+ IFERROR(GETPIVOTDATA("Somma di DARE",'Pivot Amex'!$A$3,"Mese",2,"Tipologia",$A268),0)
- IFERROR(GETPIVOTDATA("Somma di AVERE",'Pivot Amex'!$A$3,"Mese",2,"Tipologia",$A268),0)
- IFERROR(GETPIVOTDATA("Somma di AVERE",'Pivot BBVA'!$A$3,"Mese",2,"Tipologia",$A268),0)
- IFERROR(GETPIVOTDATA("Somma di AVERE",'Pivot Fineco St'!$A$3,"Mese",2,"Tipologia",$A268),0)
- IFERROR(GETPIVOTDATA("Somma di AVERE",'Pivot Fineco Sa'!$A$3,"Mese",2,"Tipologia",$A268),0)
+ IFERROR(GETPIVOTDATA("Somma di DARE",'Pivot PP Visa'!$A$3,"Mese",2,"Tipologia",$A268),0)
- IFERROR(GETPIVOTDATA("Somma di AVERE",'Pivot PP Visa'!$A$3,"Mese",2,"Tipologia",$A268),0)
+ IFERROR(GETPIVOTDATA("Somma di DARE",'Pivot Revolut'!$A$3,"Mese",2,"Tipologia",$A268),0)
- IFERROR(GETPIVOTDATA("Somma di AVERE",'Pivot Revolut'!$A$3,"Mese",2,"Tipologia",$A268),0)</f>
        <v>0</v>
      </c>
      <c r="E268" s="243">
        <f>IFERROR(GETPIVOTDATA("Somma di DARE EUR",'Pivot RakBank AED'!$A$3,"Mese",3,"Tipologia",$A268),0)
- IFERROR(GETPIVOTDATA("Somma di AVERE EUR",'Pivot RakBank AED'!$A$3,"Mese",3,"Tipologia",$A268),0)
+IFERROR(GETPIVOTDATA("Somma di DARE",'Pivot RakBank EUR'!$A$3,"Mese",3,"Tipologia",$A268),0)
- IFERROR(GETPIVOTDATA("Somma di AVERE",'Pivot RakBank EUR'!$A$3,"Mese",3,"Tipologia",$A268),0)
+IFERROR(GETPIVOTDATA("Somma di DARE",'Pivot Fineco Sa'!$A$3,"Mese",3,"Tipologia",$A268),0)
+ IFERROR(GETPIVOTDATA("Somma di DARE",'Pivot Fineco St'!$A$3,"Mese",3,"Tipologia",$A268),0)
+ Contanti!J130
+ IFERROR(GETPIVOTDATA("Somma di DARE",'Pivot BBVA'!$A$3,"Mese",3,"Tipologia",$A268),0)
+ IFERROR(GETPIVOTDATA("Somma di DARE",'Pivot Amex'!$A$3,"Mese",3,"Tipologia",$A268),0)
- IFERROR(GETPIVOTDATA("Somma di AVERE",'Pivot Amex'!$A$3,"Mese",3,"Tipologia",$A268),0)
- IFERROR(GETPIVOTDATA("Somma di AVERE",'Pivot BBVA'!$A$3,"Mese",3,"Tipologia",$A268),0)
- IFERROR(GETPIVOTDATA("Somma di AVERE",'Pivot Fineco St'!$A$3,"Mese",3,"Tipologia",$A268),0)
- IFERROR(GETPIVOTDATA("Somma di AVERE",'Pivot Fineco Sa'!$A$3,"Mese",3,"Tipologia",$A268),0)
+ IFERROR(GETPIVOTDATA("Somma di DARE",'Pivot PP Visa'!$A$3,"Mese",3,"Tipologia",$A268),0)
- IFERROR(GETPIVOTDATA("Somma di AVERE",'Pivot PP Visa'!$A$3,"Mese",3,"Tipologia",$A268),0)
+ IFERROR(GETPIVOTDATA("Somma di DARE",'Pivot Revolut'!$A$3,"Mese",3,"Tipologia",$A268),0)
- IFERROR(GETPIVOTDATA("Somma di AVERE",'Pivot Revolut'!$A$3,"Mese",3,"Tipologia",$A268),0)</f>
        <v>0</v>
      </c>
      <c r="F268" s="243">
        <f>IFERROR(GETPIVOTDATA("Somma di DARE EUR",'Pivot RakBank AED'!$A$3,"Mese",4,"Tipologia",$A268),0)
- IFERROR(GETPIVOTDATA("Somma di AVERE EUR",'Pivot RakBank AED'!$A$3,"Mese",4,"Tipologia",$A268),0)
+IFERROR(GETPIVOTDATA("Somma di DARE",'Pivot RakBank EUR'!$A$3,"Mese",4,"Tipologia",$A268),0)
- IFERROR(GETPIVOTDATA("Somma di AVERE",'Pivot RakBank EUR'!$A$3,"Mese",4,"Tipologia",$A268),0)
+IFERROR(GETPIVOTDATA("Somma di DARE",'Pivot Fineco Sa'!$A$3,"Mese",4,"Tipologia",$A268),0)
+ IFERROR(GETPIVOTDATA("Somma di DARE",'Pivot Fineco St'!$A$3,"Mese",4,"Tipologia",$A268),0)
+ Contanti!N130
+ IFERROR(GETPIVOTDATA("Somma di DARE",'Pivot BBVA'!$A$3,"Mese",4,"Tipologia",$A268),0)
+ IFERROR(GETPIVOTDATA("Somma di DARE",'Pivot Amex'!$A$3,"Mese",4,"Tipologia",$A268),0)
- IFERROR(GETPIVOTDATA("Somma di AVERE",'Pivot Amex'!$A$3,"Mese",4,"Tipologia",$A268),0)
- IFERROR(GETPIVOTDATA("Somma di AVERE",'Pivot BBVA'!$A$3,"Mese",4,"Tipologia",$A268),0)
- IFERROR(GETPIVOTDATA("Somma di AVERE",'Pivot Fineco St'!$A$3,"Mese",4,"Tipologia",$A268),0)
- IFERROR(GETPIVOTDATA("Somma di AVERE",'Pivot Fineco Sa'!$A$3,"Mese",4,"Tipologia",$A268),0)
+ IFERROR(GETPIVOTDATA("Somma di DARE",'Pivot PP Visa'!$A$3,"Mese",4,"Tipologia",$A268),0)
- IFERROR(GETPIVOTDATA("Somma di AVERE",'Pivot PP Visa'!$A$3,"Mese",4,"Tipologia",$A268),0)
+ IFERROR(GETPIVOTDATA("Somma di DARE",'Pivot Revolut'!$A$3,"Mese",4,"Tipologia",$A268),0)
- IFERROR(GETPIVOTDATA("Somma di AVERE",'Pivot Revolut'!$A$3,"Mese",4,"Tipologia",$A268),0)</f>
        <v>0</v>
      </c>
      <c r="G268" s="243">
        <f>IFERROR(GETPIVOTDATA("Somma di DARE EUR",'Pivot RakBank AED'!$A$3,"Mese",5,"Tipologia",$A268),0)
- IFERROR(GETPIVOTDATA("Somma di AVERE EUR",'Pivot RakBank AED'!$A$3,"Mese",5,"Tipologia",$A268),0)
+IFERROR(GETPIVOTDATA("Somma di DARE",'Pivot RakBank EUR'!$A$3,"Mese",5,"Tipologia",$A268),0)
- IFERROR(GETPIVOTDATA("Somma di AVERE",'Pivot RakBank EUR'!$A$3,"Mese",5,"Tipologia",$A268),0)
+IFERROR(GETPIVOTDATA("Somma di DARE",'Pivot Fineco Sa'!$A$3,"Mese",5,"Tipologia",$A268),0)
+ IFERROR(GETPIVOTDATA("Somma di DARE",'Pivot Fineco St'!$A$3,"Mese",5,"Tipologia",$A268),0)
+ Contanti!R130
+ IFERROR(GETPIVOTDATA("Somma di DARE",'Pivot BBVA'!$A$3,"Mese",5,"Tipologia",$A268),0)
+ IFERROR(GETPIVOTDATA("Somma di DARE",'Pivot Amex'!$A$3,"Mese",5,"Tipologia",$A268),0)
- IFERROR(GETPIVOTDATA("Somma di AVERE",'Pivot Amex'!$A$3,"Mese",5,"Tipologia",$A268),0)
- IFERROR(GETPIVOTDATA("Somma di AVERE",'Pivot BBVA'!$A$3,"Mese",5,"Tipologia",$A268),0)
- IFERROR(GETPIVOTDATA("Somma di AVERE",'Pivot Fineco St'!$A$3,"Mese",5,"Tipologia",$A268),0)
- IFERROR(GETPIVOTDATA("Somma di AVERE",'Pivot Fineco Sa'!$A$3,"Mese",5,"Tipologia",$A268),0)
+ IFERROR(GETPIVOTDATA("Somma di DARE",'Pivot PP Visa'!$A$3,"Mese",5,"Tipologia",$A268),0)
- IFERROR(GETPIVOTDATA("Somma di AVERE",'Pivot PP Visa'!$A$3,"Mese",5,"Tipologia",$A268),0)
+ IFERROR(GETPIVOTDATA("Somma di DARE",'Pivot Revolut'!$A$3,"Mese",5,"Tipologia",$A268),0)
- IFERROR(GETPIVOTDATA("Somma di AVERE",'Pivot Revolut'!$A$3,"Mese",5,"Tipologia",$A268),0)</f>
        <v>0</v>
      </c>
      <c r="H268" s="243">
        <f>IFERROR(GETPIVOTDATA("Somma di DARE EUR",'Pivot RakBank AED'!$A$3,"Mese",6,"Tipologia",$A268),0)
- IFERROR(GETPIVOTDATA("Somma di AVERE EUR",'Pivot RakBank AED'!$A$3,"Mese",6,"Tipologia",$A268),0)
+IFERROR(GETPIVOTDATA("Somma di DARE",'Pivot RakBank EUR'!$A$3,"Mese",6,"Tipologia",$A268),0)
- IFERROR(GETPIVOTDATA("Somma di AVERE",'Pivot RakBank EUR'!$A$3,"Mese",6,"Tipologia",$A268),0)
+IFERROR(GETPIVOTDATA("Somma di DARE",'Pivot Fineco Sa'!$A$3,"Mese",6,"Tipologia",$A268),0)
+ IFERROR(GETPIVOTDATA("Somma di DARE",'Pivot Fineco St'!$A$3,"Mese",6,"Tipologia",$A268),0)
+ Contanti!V130
+ IFERROR(GETPIVOTDATA("Somma di DARE",'Pivot BBVA'!$A$3,"Mese",6,"Tipologia",$A268),0)
+ IFERROR(GETPIVOTDATA("Somma di DARE",'Pivot Amex'!$A$3,"Mese",6,"Tipologia",$A268),0)
- IFERROR(GETPIVOTDATA("Somma di AVERE",'Pivot Amex'!$A$3,"Mese",6,"Tipologia",$A268),0)
- IFERROR(GETPIVOTDATA("Somma di AVERE",'Pivot BBVA'!$A$3,"Mese",6,"Tipologia",$A268),0)
- IFERROR(GETPIVOTDATA("Somma di AVERE",'Pivot Fineco St'!$A$3,"Mese",6,"Tipologia",$A268),0)
- IFERROR(GETPIVOTDATA("Somma di AVERE",'Pivot Fineco Sa'!$A$3,"Mese",6,"Tipologia",$A268),0)
+ IFERROR(GETPIVOTDATA("Somma di DARE",'Pivot PP Visa'!$A$3,"Mese",6,"Tipologia",$A268),0)
- IFERROR(GETPIVOTDATA("Somma di AVERE",'Pivot PP Visa'!$A$3,"Mese",6,"Tipologia",$A268),0)
+ IFERROR(GETPIVOTDATA("Somma di DARE",'Pivot Revolut'!$A$3,"Mese",6,"Tipologia",$A268),0)
- IFERROR(GETPIVOTDATA("Somma di AVERE",'Pivot Revolut'!$A$3,"Mese",6,"Tipologia",$A268),0)</f>
        <v>0</v>
      </c>
      <c r="I268" s="243">
        <f>IFERROR(GETPIVOTDATA("Somma di DARE EUR",'Pivot RakBank AED'!$A$3,"Mese",7,"Tipologia",$A268),0)
- IFERROR(GETPIVOTDATA("Somma di AVERE EUR",'Pivot RakBank AED'!$A$3,"Mese",7,"Tipologia",$A268),0)
+IFERROR(GETPIVOTDATA("Somma di DARE",'Pivot RakBank EUR'!$A$3,"Mese",7,"Tipologia",$A268),0)
- IFERROR(GETPIVOTDATA("Somma di AVERE",'Pivot RakBank EUR'!$A$3,"Mese",7,"Tipologia",$A268),0)
+IFERROR(GETPIVOTDATA("Somma di DARE",'Pivot Fineco Sa'!$A$3,"Mese",7,"Tipologia",$A268),0)
+ IFERROR(GETPIVOTDATA("Somma di DARE",'Pivot Fineco St'!$A$3,"Mese",7,"Tipologia",$A268),0)
+ Contanti!Z130
+ IFERROR(GETPIVOTDATA("Somma di DARE",'Pivot BBVA'!$A$3,"Mese",7,"Tipologia",$A268),0)
+ IFERROR(GETPIVOTDATA("Somma di DARE",'Pivot Amex'!$A$3,"Mese",7,"Tipologia",$A268),0)
- IFERROR(GETPIVOTDATA("Somma di AVERE",'Pivot Amex'!$A$3,"Mese",7,"Tipologia",$A268),0)
- IFERROR(GETPIVOTDATA("Somma di AVERE",'Pivot BBVA'!$A$3,"Mese",7,"Tipologia",$A268),0)
- IFERROR(GETPIVOTDATA("Somma di AVERE",'Pivot Fineco St'!$A$3,"Mese",7,"Tipologia",$A268),0)
- IFERROR(GETPIVOTDATA("Somma di AVERE",'Pivot Fineco Sa'!$A$3,"Mese",7,"Tipologia",$A268),0)
+ IFERROR(GETPIVOTDATA("Somma di DARE",'Pivot PP Visa'!$A$3,"Mese",7,"Tipologia",$A268),0)
- IFERROR(GETPIVOTDATA("Somma di AVERE",'Pivot PP Visa'!$A$3,"Mese",7,"Tipologia",$A268),0)
+ IFERROR(GETPIVOTDATA("Somma di DARE",'Pivot Revolut'!$A$3,"Mese",7,"Tipologia",$A268),0)
- IFERROR(GETPIVOTDATA("Somma di AVERE",'Pivot Revolut'!$A$3,"Mese",7,"Tipologia",$A268),0)</f>
        <v>0</v>
      </c>
      <c r="J268" s="243">
        <f>IFERROR(GETPIVOTDATA("Somma di DARE EUR",'Pivot RakBank AED'!$A$3,"Mese",8,"Tipologia",$A268),0)
- IFERROR(GETPIVOTDATA("Somma di AVERE EUR",'Pivot RakBank AED'!$A$3,"Mese",8,"Tipologia",$A268),0)
+IFERROR(GETPIVOTDATA("Somma di DARE",'Pivot RakBank EUR'!$A$3,"Mese",8,"Tipologia",$A268),0)
- IFERROR(GETPIVOTDATA("Somma di AVERE",'Pivot RakBank EUR'!$A$3,"Mese",8,"Tipologia",$A268),0)
+IFERROR(GETPIVOTDATA("Somma di DARE",'Pivot Fineco Sa'!$A$3,"Mese",8,"Tipologia",$A268),0)
+ IFERROR(GETPIVOTDATA("Somma di DARE",'Pivot Fineco St'!$A$3,"Mese",8,"Tipologia",$A268),0)
+ Contanti!AD130
+ IFERROR(GETPIVOTDATA("Somma di DARE",'Pivot BBVA'!$A$3,"Mese",8,"Tipologia",$A268),0)
+ IFERROR(GETPIVOTDATA("Somma di DARE",'Pivot Amex'!$A$3,"Mese",8,"Tipologia",$A268),0)
- IFERROR(GETPIVOTDATA("Somma di AVERE",'Pivot Amex'!$A$3,"Mese",8,"Tipologia",$A268),0)
- IFERROR(GETPIVOTDATA("Somma di AVERE",'Pivot BBVA'!$A$3,"Mese",8,"Tipologia",$A268),0)
- IFERROR(GETPIVOTDATA("Somma di AVERE",'Pivot Fineco St'!$A$3,"Mese",8,"Tipologia",$A268),0)
- IFERROR(GETPIVOTDATA("Somma di AVERE",'Pivot Fineco Sa'!$A$3,"Mese",8,"Tipologia",$A268),0)
+ IFERROR(GETPIVOTDATA("Somma di DARE",'Pivot PP Visa'!$A$3,"Mese",8,"Tipologia",$A268),0)
- IFERROR(GETPIVOTDATA("Somma di AVERE",'Pivot PP Visa'!$A$3,"Mese",8,"Tipologia",$A268),0)
+ IFERROR(GETPIVOTDATA("Somma di DARE",'Pivot Revolut'!$A$3,"Mese",8,"Tipologia",$A268),0)
- IFERROR(GETPIVOTDATA("Somma di AVERE",'Pivot Revolut'!$A$3,"Mese",8,"Tipologia",$A268),0)</f>
        <v>0</v>
      </c>
      <c r="K268" s="243">
        <f>IFERROR(GETPIVOTDATA("Somma di DARE EUR",'Pivot RakBank AED'!$A$3,"Mese",9,"Tipologia",$A268),0)
- IFERROR(GETPIVOTDATA("Somma di AVERE EUR",'Pivot RakBank AED'!$A$3,"Mese",9,"Tipologia",$A268),0)
+IFERROR(GETPIVOTDATA("Somma di DARE",'Pivot RakBank EUR'!$A$3,"Mese",9,"Tipologia",$A268),0)
- IFERROR(GETPIVOTDATA("Somma di AVERE",'Pivot RakBank EUR'!$A$3,"Mese",9,"Tipologia",$A268),0)
+IFERROR(GETPIVOTDATA("Somma di DARE",'Pivot Fineco Sa'!$A$3,"Mese",9,"Tipologia",$A268),0)
+ IFERROR(GETPIVOTDATA("Somma di DARE",'Pivot Fineco St'!$A$3,"Mese",9,"Tipologia",$A268),0)
+ Contanti!AH130
+ IFERROR(GETPIVOTDATA("Somma di DARE",'Pivot BBVA'!$A$3,"Mese",9,"Tipologia",$A268),0)
+ IFERROR(GETPIVOTDATA("Somma di DARE",'Pivot Amex'!$A$3,"Mese",9,"Tipologia",$A268),0)
- IFERROR(GETPIVOTDATA("Somma di AVERE",'Pivot Amex'!$A$3,"Mese",9,"Tipologia",$A268),0)
- IFERROR(GETPIVOTDATA("Somma di AVERE",'Pivot BBVA'!$A$3,"Mese",9,"Tipologia",$A268),0)
- IFERROR(GETPIVOTDATA("Somma di AVERE",'Pivot Fineco St'!$A$3,"Mese",9,"Tipologia",$A268),0)
- IFERROR(GETPIVOTDATA("Somma di AVERE",'Pivot Fineco Sa'!$A$3,"Mese",9,"Tipologia",$A268),0)
+ IFERROR(GETPIVOTDATA("Somma di DARE",'Pivot PP Visa'!$A$3,"Mese",9,"Tipologia",$A268),0)
- IFERROR(GETPIVOTDATA("Somma di AVERE",'Pivot PP Visa'!$A$3,"Mese",9,"Tipologia",$A268),0)
+ IFERROR(GETPIVOTDATA("Somma di DARE",'Pivot Revolut'!$A$3,"Mese",9,"Tipologia",$A268),0)
- IFERROR(GETPIVOTDATA("Somma di AVERE",'Pivot Revolut'!$A$3,"Mese",9,"Tipologia",$A268),0)</f>
        <v>0</v>
      </c>
      <c r="L268" s="243">
        <f>IFERROR(GETPIVOTDATA("Somma di DARE EUR",'Pivot RakBank AED'!$A$3,"Mese",10,"Tipologia",$A268),0)
- IFERROR(GETPIVOTDATA("Somma di AVERE EUR",'Pivot RakBank AED'!$A$3,"Mese",10,"Tipologia",$A268),0)
+IFERROR(GETPIVOTDATA("Somma di DARE",'Pivot RakBank EUR'!$A$3,"Mese",10,"Tipologia",$A268),0)
- IFERROR(GETPIVOTDATA("Somma di AVERE",'Pivot RakBank EUR'!$A$3,"Mese",10,"Tipologia",$A268),0)
+IFERROR(GETPIVOTDATA("Somma di DARE",'Pivot Fineco Sa'!$A$3,"Mese",10,"Tipologia",$A268),0)
+ IFERROR(GETPIVOTDATA("Somma di DARE",'Pivot Fineco St'!$A$3,"Mese",10,"Tipologia",$A268),0)
+ Contanti!AL130
+ IFERROR(GETPIVOTDATA("Somma di DARE",'Pivot BBVA'!$A$3,"Mese",10,"Tipologia",$A268),0)
+ IFERROR(GETPIVOTDATA("Somma di DARE",'Pivot Amex'!$A$3,"Mese",10,"Tipologia",$A268),0)
- IFERROR(GETPIVOTDATA("Somma di AVERE",'Pivot Amex'!$A$3,"Mese",10,"Tipologia",$A268),0)
- IFERROR(GETPIVOTDATA("Somma di AVERE",'Pivot BBVA'!$A$3,"Mese",10,"Tipologia",$A268),0)
- IFERROR(GETPIVOTDATA("Somma di AVERE",'Pivot Fineco St'!$A$3,"Mese",10,"Tipologia",$A268),0)
- IFERROR(GETPIVOTDATA("Somma di AVERE",'Pivot Fineco Sa'!$A$3,"Mese",10,"Tipologia",$A268),0)
+ IFERROR(GETPIVOTDATA("Somma di DARE",'Pivot PP Visa'!$A$3,"Mese",10,"Tipologia",$A268),0)
- IFERROR(GETPIVOTDATA("Somma di AVERE",'Pivot PP Visa'!$A$3,"Mese",10,"Tipologia",$A268),0)
+ IFERROR(GETPIVOTDATA("Somma di DARE",'Pivot Revolut'!$A$3,"Mese",10,"Tipologia",$A268),0)
- IFERROR(GETPIVOTDATA("Somma di AVERE",'Pivot Revolut'!$A$3,"Mese",10,"Tipologia",$A268),0)</f>
        <v>0</v>
      </c>
      <c r="M268" s="243">
        <f>IFERROR(GETPIVOTDATA("Somma di DARE EUR",'Pivot RakBank AED'!$A$3,"Mese",11,"Tipologia",$A268),0)
- IFERROR(GETPIVOTDATA("Somma di AVERE EUR",'Pivot RakBank AED'!$A$3,"Mese",11,"Tipologia",$A268),0)
+IFERROR(GETPIVOTDATA("Somma di DARE",'Pivot RakBank EUR'!$A$3,"Mese",11,"Tipologia",$A268),0)
- IFERROR(GETPIVOTDATA("Somma di AVERE",'Pivot RakBank EUR'!$A$3,"Mese",11,"Tipologia",$A268),0)
+IFERROR(GETPIVOTDATA("Somma di DARE",'Pivot Fineco Sa'!$A$3,"Mese",11,"Tipologia",$A268),0)
+ IFERROR(GETPIVOTDATA("Somma di DARE",'Pivot Fineco St'!$A$3,"Mese",11,"Tipologia",$A268),0)
+ Contanti!AP130
+ IFERROR(GETPIVOTDATA("Somma di DARE",'Pivot BBVA'!$A$3,"Mese",11,"Tipologia",$A268),0)
+ IFERROR(GETPIVOTDATA("Somma di DARE",'Pivot Amex'!$A$3,"Mese",11,"Tipologia",$A268),0)
- IFERROR(GETPIVOTDATA("Somma di AVERE",'Pivot Amex'!$A$3,"Mese",11,"Tipologia",$A268),0)
- IFERROR(GETPIVOTDATA("Somma di AVERE",'Pivot BBVA'!$A$3,"Mese",11,"Tipologia",$A268),0)
- IFERROR(GETPIVOTDATA("Somma di AVERE",'Pivot Fineco St'!$A$3,"Mese",11,"Tipologia",$A268),0)
- IFERROR(GETPIVOTDATA("Somma di AVERE",'Pivot Fineco Sa'!$A$3,"Mese",11,"Tipologia",$A268),0)
+ IFERROR(GETPIVOTDATA("Somma di DARE",'Pivot PP Visa'!$A$3,"Mese",11,"Tipologia",$A268),0)
- IFERROR(GETPIVOTDATA("Somma di AVERE",'Pivot PP Visa'!$A$3,"Mese",11,"Tipologia",$A268),0)
+ IFERROR(GETPIVOTDATA("Somma di DARE",'Pivot Revolut'!$A$3,"Mese",11,"Tipologia",$A268),0)
- IFERROR(GETPIVOTDATA("Somma di AVERE",'Pivot Revolut'!$A$3,"Mese",11,"Tipologia",$A268),0)</f>
        <v>0</v>
      </c>
      <c r="N268" s="243">
        <f>IFERROR(GETPIVOTDATA("Somma di DARE EUR",'Pivot RakBank AED'!$A$3,"Mese",12,"Tipologia",$A268),0)
- IFERROR(GETPIVOTDATA("Somma di AVERE EUR",'Pivot RakBank AED'!$A$3,"Mese",12,"Tipologia",$A268),0)
+IFERROR(GETPIVOTDATA("Somma di DARE",'Pivot RakBank EUR'!$A$3,"Mese",12,"Tipologia",$A268),0)
- IFERROR(GETPIVOTDATA("Somma di AVERE",'Pivot RakBank EUR'!$A$3,"Mese",12,"Tipologia",$A268),0)
+IFERROR(GETPIVOTDATA("Somma di DARE",'Pivot Fineco Sa'!$A$3,"Mese",12,"Tipologia",$A268),0)
+ IFERROR(GETPIVOTDATA("Somma di DARE",'Pivot Fineco St'!$A$3,"Mese",12,"Tipologia",$A268),0)
+ Contanti!AT130
+ IFERROR(GETPIVOTDATA("Somma di DARE",'Pivot BBVA'!$A$3,"Mese",12,"Tipologia",$A268),0)
+ IFERROR(GETPIVOTDATA("Somma di DARE",'Pivot Amex'!$A$3,"Mese",12,"Tipologia",$A268),0)
- IFERROR(GETPIVOTDATA("Somma di AVERE",'Pivot Amex'!$A$3,"Mese",12,"Tipologia",$A268),0)
- IFERROR(GETPIVOTDATA("Somma di AVERE",'Pivot BBVA'!$A$3,"Mese",12,"Tipologia",$A268),0)
- IFERROR(GETPIVOTDATA("Somma di AVERE",'Pivot Fineco St'!$A$3,"Mese",12,"Tipologia",$A268),0)
- IFERROR(GETPIVOTDATA("Somma di AVERE",'Pivot Fineco Sa'!$A$3,"Mese",12,"Tipologia",$A268),0)
+ IFERROR(GETPIVOTDATA("Somma di DARE",'Pivot PP Visa'!$A$3,"Mese",12,"Tipologia",$A268),0)
- IFERROR(GETPIVOTDATA("Somma di AVERE",'Pivot PP Visa'!$A$3,"Mese",12,"Tipologia",$A268),0)
+ IFERROR(GETPIVOTDATA("Somma di DARE",'Pivot Revolut'!$A$3,"Mese",12,"Tipologia",$A268),0)
- IFERROR(GETPIVOTDATA("Somma di AVERE",'Pivot Revolut'!$A$3,"Mese",12,"Tipologia",$A268),0)</f>
        <v>0</v>
      </c>
      <c r="O268" s="252">
        <f t="shared" si="58"/>
        <v>0</v>
      </c>
      <c r="P268" s="243"/>
    </row>
    <row r="269" spans="1:16" s="125" customFormat="1" ht="21" customHeight="1" x14ac:dyDescent="0.2">
      <c r="A269" s="251" t="s">
        <v>392</v>
      </c>
      <c r="B269" s="251"/>
      <c r="C269" s="243">
        <f>IFERROR(GETPIVOTDATA("Somma di DARE EUR",'Pivot RakBank AED'!$A$3,"Mese",1,"Tipologia",$A269),0)
- IFERROR(GETPIVOTDATA("Somma di AVERE EUR",'Pivot RakBank AED'!$A$3,"Mese",1,"Tipologia",$A269),0)
+IFERROR(GETPIVOTDATA("Somma di DARE",'Pivot RakBank EUR'!$A$3,"Mese",1,"Tipologia",$A269),0)
- IFERROR(GETPIVOTDATA("Somma di AVERE",'Pivot RakBank EUR'!$A$3,"Mese",1,"Tipologia",$A269),0)
+IFERROR(GETPIVOTDATA("Somma di DARE",'Pivot Fineco Sa'!$A$3,"Mese",1,"Tipologia",$A269),0)
+ IFERROR(GETPIVOTDATA("Somma di DARE",'Pivot Fineco St'!$A$3,"Mese",1,"Tipologia",$A269),0)
+ Contanti!B131
+ IFERROR(GETPIVOTDATA("Somma di DARE",'Pivot BBVA'!$A$3,"Mese",1,"Tipologia",$A269),0)
+ IFERROR(GETPIVOTDATA("Somma di DARE",'Pivot Amex'!$A$3,"Mese",1,"Tipologia",$A269),0)
- IFERROR(GETPIVOTDATA("Somma di AVERE",'Pivot Amex'!$A$3,"Mese",1,"Tipologia",$A269),0)
- IFERROR(GETPIVOTDATA("Somma di AVERE",'Pivot BBVA'!$A$3,"Mese",1,"Tipologia",$A269),0)
- IFERROR(GETPIVOTDATA("Somma di AVERE",'Pivot Fineco St'!$A$3,"Mese",1,"Tipologia",$A269),0)
- IFERROR(GETPIVOTDATA("Somma di AVERE",'Pivot Fineco Sa'!$A$3,"Mese",1,"Tipologia",$A269),0)
+ IFERROR(GETPIVOTDATA("Somma di DARE",'Pivot PP Visa'!$A$3,"Mese",1,"Tipologia",$A269),0)
- IFERROR(GETPIVOTDATA("Somma di AVERE",'Pivot PP Visa'!$A$3,"Mese",1,"Tipologia",$A269),0)
+ IFERROR(GETPIVOTDATA("Somma di DARE",'Pivot Revolut'!$A$3,"Mese",1,"Tipologia",$A269),0)
- IFERROR(GETPIVOTDATA("Somma di AVERE",'Pivot Revolut'!$A$3,"Mese",1,"Tipologia",$A269),0)</f>
        <v>0</v>
      </c>
      <c r="D269" s="243">
        <f>IFERROR(GETPIVOTDATA("Somma di DARE EUR",'Pivot RakBank AED'!$A$3,"Mese",2,"Tipologia",$A269),0)
- IFERROR(GETPIVOTDATA("Somma di AVERE EUR",'Pivot RakBank AED'!$A$3,"Mese",2,"Tipologia",$A269),0)
+IFERROR(GETPIVOTDATA("Somma di DARE",'Pivot RakBank EUR'!$A$3,"Mese",2,"Tipologia",$A269),0)
- IFERROR(GETPIVOTDATA("Somma di AVERE",'Pivot RakBank EUR'!$A$3,"Mese",2,"Tipologia",$A269),0)
+IFERROR(GETPIVOTDATA("Somma di DARE",'Pivot Fineco Sa'!$A$3,"Mese",2,"Tipologia",$A269),0)
+ IFERROR(GETPIVOTDATA("Somma di DARE",'Pivot Fineco St'!$A$3,"Mese",2,"Tipologia",$A269),0)
+ Contanti!F131
+ IFERROR(GETPIVOTDATA("Somma di DARE",'Pivot BBVA'!$A$3,"Mese",2,"Tipologia",$A269),0)
+ IFERROR(GETPIVOTDATA("Somma di DARE",'Pivot Amex'!$A$3,"Mese",2,"Tipologia",$A269),0)
- IFERROR(GETPIVOTDATA("Somma di AVERE",'Pivot Amex'!$A$3,"Mese",2,"Tipologia",$A269),0)
- IFERROR(GETPIVOTDATA("Somma di AVERE",'Pivot BBVA'!$A$3,"Mese",2,"Tipologia",$A269),0)
- IFERROR(GETPIVOTDATA("Somma di AVERE",'Pivot Fineco St'!$A$3,"Mese",2,"Tipologia",$A269),0)
- IFERROR(GETPIVOTDATA("Somma di AVERE",'Pivot Fineco Sa'!$A$3,"Mese",2,"Tipologia",$A269),0)
+ IFERROR(GETPIVOTDATA("Somma di DARE",'Pivot PP Visa'!$A$3,"Mese",2,"Tipologia",$A269),0)
- IFERROR(GETPIVOTDATA("Somma di AVERE",'Pivot PP Visa'!$A$3,"Mese",2,"Tipologia",$A269),0)
+ IFERROR(GETPIVOTDATA("Somma di DARE",'Pivot Revolut'!$A$3,"Mese",2,"Tipologia",$A269),0)
- IFERROR(GETPIVOTDATA("Somma di AVERE",'Pivot Revolut'!$A$3,"Mese",2,"Tipologia",$A269),0)</f>
        <v>0</v>
      </c>
      <c r="E269" s="243">
        <f>IFERROR(GETPIVOTDATA("Somma di DARE EUR",'Pivot RakBank AED'!$A$3,"Mese",3,"Tipologia",$A269),0)
- IFERROR(GETPIVOTDATA("Somma di AVERE EUR",'Pivot RakBank AED'!$A$3,"Mese",3,"Tipologia",$A269),0)
+IFERROR(GETPIVOTDATA("Somma di DARE",'Pivot RakBank EUR'!$A$3,"Mese",3,"Tipologia",$A269),0)
- IFERROR(GETPIVOTDATA("Somma di AVERE",'Pivot RakBank EUR'!$A$3,"Mese",3,"Tipologia",$A269),0)
+IFERROR(GETPIVOTDATA("Somma di DARE",'Pivot Fineco Sa'!$A$3,"Mese",3,"Tipologia",$A269),0)
+ IFERROR(GETPIVOTDATA("Somma di DARE",'Pivot Fineco St'!$A$3,"Mese",3,"Tipologia",$A269),0)
+ Contanti!J131
+ IFERROR(GETPIVOTDATA("Somma di DARE",'Pivot BBVA'!$A$3,"Mese",3,"Tipologia",$A269),0)
+ IFERROR(GETPIVOTDATA("Somma di DARE",'Pivot Amex'!$A$3,"Mese",3,"Tipologia",$A269),0)
- IFERROR(GETPIVOTDATA("Somma di AVERE",'Pivot Amex'!$A$3,"Mese",3,"Tipologia",$A269),0)
- IFERROR(GETPIVOTDATA("Somma di AVERE",'Pivot BBVA'!$A$3,"Mese",3,"Tipologia",$A269),0)
- IFERROR(GETPIVOTDATA("Somma di AVERE",'Pivot Fineco St'!$A$3,"Mese",3,"Tipologia",$A269),0)
- IFERROR(GETPIVOTDATA("Somma di AVERE",'Pivot Fineco Sa'!$A$3,"Mese",3,"Tipologia",$A269),0)
+ IFERROR(GETPIVOTDATA("Somma di DARE",'Pivot PP Visa'!$A$3,"Mese",3,"Tipologia",$A269),0)
- IFERROR(GETPIVOTDATA("Somma di AVERE",'Pivot PP Visa'!$A$3,"Mese",3,"Tipologia",$A269),0)
+ IFERROR(GETPIVOTDATA("Somma di DARE",'Pivot Revolut'!$A$3,"Mese",3,"Tipologia",$A269),0)
- IFERROR(GETPIVOTDATA("Somma di AVERE",'Pivot Revolut'!$A$3,"Mese",3,"Tipologia",$A269),0)</f>
        <v>0</v>
      </c>
      <c r="F269" s="243">
        <f>IFERROR(GETPIVOTDATA("Somma di DARE EUR",'Pivot RakBank AED'!$A$3,"Mese",4,"Tipologia",$A269),0)
- IFERROR(GETPIVOTDATA("Somma di AVERE EUR",'Pivot RakBank AED'!$A$3,"Mese",4,"Tipologia",$A269),0)
+IFERROR(GETPIVOTDATA("Somma di DARE",'Pivot RakBank EUR'!$A$3,"Mese",4,"Tipologia",$A269),0)
- IFERROR(GETPIVOTDATA("Somma di AVERE",'Pivot RakBank EUR'!$A$3,"Mese",4,"Tipologia",$A269),0)
+IFERROR(GETPIVOTDATA("Somma di DARE",'Pivot Fineco Sa'!$A$3,"Mese",4,"Tipologia",$A269),0)
+ IFERROR(GETPIVOTDATA("Somma di DARE",'Pivot Fineco St'!$A$3,"Mese",4,"Tipologia",$A269),0)
+ Contanti!N131
+ IFERROR(GETPIVOTDATA("Somma di DARE",'Pivot BBVA'!$A$3,"Mese",4,"Tipologia",$A269),0)
+ IFERROR(GETPIVOTDATA("Somma di DARE",'Pivot Amex'!$A$3,"Mese",4,"Tipologia",$A269),0)
- IFERROR(GETPIVOTDATA("Somma di AVERE",'Pivot Amex'!$A$3,"Mese",4,"Tipologia",$A269),0)
- IFERROR(GETPIVOTDATA("Somma di AVERE",'Pivot BBVA'!$A$3,"Mese",4,"Tipologia",$A269),0)
- IFERROR(GETPIVOTDATA("Somma di AVERE",'Pivot Fineco St'!$A$3,"Mese",4,"Tipologia",$A269),0)
- IFERROR(GETPIVOTDATA("Somma di AVERE",'Pivot Fineco Sa'!$A$3,"Mese",4,"Tipologia",$A269),0)
+ IFERROR(GETPIVOTDATA("Somma di DARE",'Pivot PP Visa'!$A$3,"Mese",4,"Tipologia",$A269),0)
- IFERROR(GETPIVOTDATA("Somma di AVERE",'Pivot PP Visa'!$A$3,"Mese",4,"Tipologia",$A269),0)
+ IFERROR(GETPIVOTDATA("Somma di DARE",'Pivot Revolut'!$A$3,"Mese",4,"Tipologia",$A269),0)
- IFERROR(GETPIVOTDATA("Somma di AVERE",'Pivot Revolut'!$A$3,"Mese",4,"Tipologia",$A269),0)</f>
        <v>0</v>
      </c>
      <c r="G269" s="243">
        <f>IFERROR(GETPIVOTDATA("Somma di DARE EUR",'Pivot RakBank AED'!$A$3,"Mese",5,"Tipologia",$A269),0)
- IFERROR(GETPIVOTDATA("Somma di AVERE EUR",'Pivot RakBank AED'!$A$3,"Mese",5,"Tipologia",$A269),0)
+IFERROR(GETPIVOTDATA("Somma di DARE",'Pivot RakBank EUR'!$A$3,"Mese",5,"Tipologia",$A269),0)
- IFERROR(GETPIVOTDATA("Somma di AVERE",'Pivot RakBank EUR'!$A$3,"Mese",5,"Tipologia",$A269),0)
+IFERROR(GETPIVOTDATA("Somma di DARE",'Pivot Fineco Sa'!$A$3,"Mese",5,"Tipologia",$A269),0)
+ IFERROR(GETPIVOTDATA("Somma di DARE",'Pivot Fineco St'!$A$3,"Mese",5,"Tipologia",$A269),0)
+ Contanti!R131
+ IFERROR(GETPIVOTDATA("Somma di DARE",'Pivot BBVA'!$A$3,"Mese",5,"Tipologia",$A269),0)
+ IFERROR(GETPIVOTDATA("Somma di DARE",'Pivot Amex'!$A$3,"Mese",5,"Tipologia",$A269),0)
- IFERROR(GETPIVOTDATA("Somma di AVERE",'Pivot Amex'!$A$3,"Mese",5,"Tipologia",$A269),0)
- IFERROR(GETPIVOTDATA("Somma di AVERE",'Pivot BBVA'!$A$3,"Mese",5,"Tipologia",$A269),0)
- IFERROR(GETPIVOTDATA("Somma di AVERE",'Pivot Fineco St'!$A$3,"Mese",5,"Tipologia",$A269),0)
- IFERROR(GETPIVOTDATA("Somma di AVERE",'Pivot Fineco Sa'!$A$3,"Mese",5,"Tipologia",$A269),0)
+ IFERROR(GETPIVOTDATA("Somma di DARE",'Pivot PP Visa'!$A$3,"Mese",5,"Tipologia",$A269),0)
- IFERROR(GETPIVOTDATA("Somma di AVERE",'Pivot PP Visa'!$A$3,"Mese",5,"Tipologia",$A269),0)
+ IFERROR(GETPIVOTDATA("Somma di DARE",'Pivot Revolut'!$A$3,"Mese",5,"Tipologia",$A269),0)
- IFERROR(GETPIVOTDATA("Somma di AVERE",'Pivot Revolut'!$A$3,"Mese",5,"Tipologia",$A269),0)</f>
        <v>0</v>
      </c>
      <c r="H269" s="243">
        <f>IFERROR(GETPIVOTDATA("Somma di DARE EUR",'Pivot RakBank AED'!$A$3,"Mese",6,"Tipologia",$A269),0)
- IFERROR(GETPIVOTDATA("Somma di AVERE EUR",'Pivot RakBank AED'!$A$3,"Mese",6,"Tipologia",$A269),0)
+IFERROR(GETPIVOTDATA("Somma di DARE",'Pivot RakBank EUR'!$A$3,"Mese",6,"Tipologia",$A269),0)
- IFERROR(GETPIVOTDATA("Somma di AVERE",'Pivot RakBank EUR'!$A$3,"Mese",6,"Tipologia",$A269),0)
+IFERROR(GETPIVOTDATA("Somma di DARE",'Pivot Fineco Sa'!$A$3,"Mese",6,"Tipologia",$A269),0)
+ IFERROR(GETPIVOTDATA("Somma di DARE",'Pivot Fineco St'!$A$3,"Mese",6,"Tipologia",$A269),0)
+ Contanti!V131
+ IFERROR(GETPIVOTDATA("Somma di DARE",'Pivot BBVA'!$A$3,"Mese",6,"Tipologia",$A269),0)
+ IFERROR(GETPIVOTDATA("Somma di DARE",'Pivot Amex'!$A$3,"Mese",6,"Tipologia",$A269),0)
- IFERROR(GETPIVOTDATA("Somma di AVERE",'Pivot Amex'!$A$3,"Mese",6,"Tipologia",$A269),0)
- IFERROR(GETPIVOTDATA("Somma di AVERE",'Pivot BBVA'!$A$3,"Mese",6,"Tipologia",$A269),0)
- IFERROR(GETPIVOTDATA("Somma di AVERE",'Pivot Fineco St'!$A$3,"Mese",6,"Tipologia",$A269),0)
- IFERROR(GETPIVOTDATA("Somma di AVERE",'Pivot Fineco Sa'!$A$3,"Mese",6,"Tipologia",$A269),0)
+ IFERROR(GETPIVOTDATA("Somma di DARE",'Pivot PP Visa'!$A$3,"Mese",6,"Tipologia",$A269),0)
- IFERROR(GETPIVOTDATA("Somma di AVERE",'Pivot PP Visa'!$A$3,"Mese",6,"Tipologia",$A269),0)
+ IFERROR(GETPIVOTDATA("Somma di DARE",'Pivot Revolut'!$A$3,"Mese",6,"Tipologia",$A269),0)
- IFERROR(GETPIVOTDATA("Somma di AVERE",'Pivot Revolut'!$A$3,"Mese",6,"Tipologia",$A269),0)</f>
        <v>0</v>
      </c>
      <c r="I269" s="243">
        <f>IFERROR(GETPIVOTDATA("Somma di DARE EUR",'Pivot RakBank AED'!$A$3,"Mese",7,"Tipologia",$A269),0)
- IFERROR(GETPIVOTDATA("Somma di AVERE EUR",'Pivot RakBank AED'!$A$3,"Mese",7,"Tipologia",$A269),0)
+IFERROR(GETPIVOTDATA("Somma di DARE",'Pivot RakBank EUR'!$A$3,"Mese",7,"Tipologia",$A269),0)
- IFERROR(GETPIVOTDATA("Somma di AVERE",'Pivot RakBank EUR'!$A$3,"Mese",7,"Tipologia",$A269),0)
+IFERROR(GETPIVOTDATA("Somma di DARE",'Pivot Fineco Sa'!$A$3,"Mese",7,"Tipologia",$A269),0)
+ IFERROR(GETPIVOTDATA("Somma di DARE",'Pivot Fineco St'!$A$3,"Mese",7,"Tipologia",$A269),0)
+ Contanti!Z131
+ IFERROR(GETPIVOTDATA("Somma di DARE",'Pivot BBVA'!$A$3,"Mese",7,"Tipologia",$A269),0)
+ IFERROR(GETPIVOTDATA("Somma di DARE",'Pivot Amex'!$A$3,"Mese",7,"Tipologia",$A269),0)
- IFERROR(GETPIVOTDATA("Somma di AVERE",'Pivot Amex'!$A$3,"Mese",7,"Tipologia",$A269),0)
- IFERROR(GETPIVOTDATA("Somma di AVERE",'Pivot BBVA'!$A$3,"Mese",7,"Tipologia",$A269),0)
- IFERROR(GETPIVOTDATA("Somma di AVERE",'Pivot Fineco St'!$A$3,"Mese",7,"Tipologia",$A269),0)
- IFERROR(GETPIVOTDATA("Somma di AVERE",'Pivot Fineco Sa'!$A$3,"Mese",7,"Tipologia",$A269),0)
+ IFERROR(GETPIVOTDATA("Somma di DARE",'Pivot PP Visa'!$A$3,"Mese",7,"Tipologia",$A269),0)
- IFERROR(GETPIVOTDATA("Somma di AVERE",'Pivot PP Visa'!$A$3,"Mese",7,"Tipologia",$A269),0)
+ IFERROR(GETPIVOTDATA("Somma di DARE",'Pivot Revolut'!$A$3,"Mese",7,"Tipologia",$A269),0)
- IFERROR(GETPIVOTDATA("Somma di AVERE",'Pivot Revolut'!$A$3,"Mese",7,"Tipologia",$A269),0)</f>
        <v>0</v>
      </c>
      <c r="J269" s="243">
        <f>IFERROR(GETPIVOTDATA("Somma di DARE EUR",'Pivot RakBank AED'!$A$3,"Mese",8,"Tipologia",$A269),0)
- IFERROR(GETPIVOTDATA("Somma di AVERE EUR",'Pivot RakBank AED'!$A$3,"Mese",8,"Tipologia",$A269),0)
+IFERROR(GETPIVOTDATA("Somma di DARE",'Pivot RakBank EUR'!$A$3,"Mese",8,"Tipologia",$A269),0)
- IFERROR(GETPIVOTDATA("Somma di AVERE",'Pivot RakBank EUR'!$A$3,"Mese",8,"Tipologia",$A269),0)
+IFERROR(GETPIVOTDATA("Somma di DARE",'Pivot Fineco Sa'!$A$3,"Mese",8,"Tipologia",$A269),0)
+ IFERROR(GETPIVOTDATA("Somma di DARE",'Pivot Fineco St'!$A$3,"Mese",8,"Tipologia",$A269),0)
+ Contanti!AD131
+ IFERROR(GETPIVOTDATA("Somma di DARE",'Pivot BBVA'!$A$3,"Mese",8,"Tipologia",$A269),0)
+ IFERROR(GETPIVOTDATA("Somma di DARE",'Pivot Amex'!$A$3,"Mese",8,"Tipologia",$A269),0)
- IFERROR(GETPIVOTDATA("Somma di AVERE",'Pivot Amex'!$A$3,"Mese",8,"Tipologia",$A269),0)
- IFERROR(GETPIVOTDATA("Somma di AVERE",'Pivot BBVA'!$A$3,"Mese",8,"Tipologia",$A269),0)
- IFERROR(GETPIVOTDATA("Somma di AVERE",'Pivot Fineco St'!$A$3,"Mese",8,"Tipologia",$A269),0)
- IFERROR(GETPIVOTDATA("Somma di AVERE",'Pivot Fineco Sa'!$A$3,"Mese",8,"Tipologia",$A269),0)
+ IFERROR(GETPIVOTDATA("Somma di DARE",'Pivot PP Visa'!$A$3,"Mese",8,"Tipologia",$A269),0)
- IFERROR(GETPIVOTDATA("Somma di AVERE",'Pivot PP Visa'!$A$3,"Mese",8,"Tipologia",$A269),0)
+ IFERROR(GETPIVOTDATA("Somma di DARE",'Pivot Revolut'!$A$3,"Mese",8,"Tipologia",$A269),0)
- IFERROR(GETPIVOTDATA("Somma di AVERE",'Pivot Revolut'!$A$3,"Mese",8,"Tipologia",$A269),0)</f>
        <v>0</v>
      </c>
      <c r="K269" s="243">
        <f>IFERROR(GETPIVOTDATA("Somma di DARE EUR",'Pivot RakBank AED'!$A$3,"Mese",9,"Tipologia",$A269),0)
- IFERROR(GETPIVOTDATA("Somma di AVERE EUR",'Pivot RakBank AED'!$A$3,"Mese",9,"Tipologia",$A269),0)
+IFERROR(GETPIVOTDATA("Somma di DARE",'Pivot RakBank EUR'!$A$3,"Mese",9,"Tipologia",$A269),0)
- IFERROR(GETPIVOTDATA("Somma di AVERE",'Pivot RakBank EUR'!$A$3,"Mese",9,"Tipologia",$A269),0)
+IFERROR(GETPIVOTDATA("Somma di DARE",'Pivot Fineco Sa'!$A$3,"Mese",9,"Tipologia",$A269),0)
+ IFERROR(GETPIVOTDATA("Somma di DARE",'Pivot Fineco St'!$A$3,"Mese",9,"Tipologia",$A269),0)
+ Contanti!AH131
+ IFERROR(GETPIVOTDATA("Somma di DARE",'Pivot BBVA'!$A$3,"Mese",9,"Tipologia",$A269),0)
+ IFERROR(GETPIVOTDATA("Somma di DARE",'Pivot Amex'!$A$3,"Mese",9,"Tipologia",$A269),0)
- IFERROR(GETPIVOTDATA("Somma di AVERE",'Pivot Amex'!$A$3,"Mese",9,"Tipologia",$A269),0)
- IFERROR(GETPIVOTDATA("Somma di AVERE",'Pivot BBVA'!$A$3,"Mese",9,"Tipologia",$A269),0)
- IFERROR(GETPIVOTDATA("Somma di AVERE",'Pivot Fineco St'!$A$3,"Mese",9,"Tipologia",$A269),0)
- IFERROR(GETPIVOTDATA("Somma di AVERE",'Pivot Fineco Sa'!$A$3,"Mese",9,"Tipologia",$A269),0)
+ IFERROR(GETPIVOTDATA("Somma di DARE",'Pivot PP Visa'!$A$3,"Mese",9,"Tipologia",$A269),0)
- IFERROR(GETPIVOTDATA("Somma di AVERE",'Pivot PP Visa'!$A$3,"Mese",9,"Tipologia",$A269),0)
+ IFERROR(GETPIVOTDATA("Somma di DARE",'Pivot Revolut'!$A$3,"Mese",9,"Tipologia",$A269),0)
- IFERROR(GETPIVOTDATA("Somma di AVERE",'Pivot Revolut'!$A$3,"Mese",9,"Tipologia",$A269),0)</f>
        <v>0</v>
      </c>
      <c r="L269" s="243">
        <f>IFERROR(GETPIVOTDATA("Somma di DARE EUR",'Pivot RakBank AED'!$A$3,"Mese",10,"Tipologia",$A269),0)
- IFERROR(GETPIVOTDATA("Somma di AVERE EUR",'Pivot RakBank AED'!$A$3,"Mese",10,"Tipologia",$A269),0)
+IFERROR(GETPIVOTDATA("Somma di DARE",'Pivot RakBank EUR'!$A$3,"Mese",10,"Tipologia",$A269),0)
- IFERROR(GETPIVOTDATA("Somma di AVERE",'Pivot RakBank EUR'!$A$3,"Mese",10,"Tipologia",$A269),0)
+IFERROR(GETPIVOTDATA("Somma di DARE",'Pivot Fineco Sa'!$A$3,"Mese",10,"Tipologia",$A269),0)
+ IFERROR(GETPIVOTDATA("Somma di DARE",'Pivot Fineco St'!$A$3,"Mese",10,"Tipologia",$A269),0)
+ Contanti!AL131
+ IFERROR(GETPIVOTDATA("Somma di DARE",'Pivot BBVA'!$A$3,"Mese",10,"Tipologia",$A269),0)
+ IFERROR(GETPIVOTDATA("Somma di DARE",'Pivot Amex'!$A$3,"Mese",10,"Tipologia",$A269),0)
- IFERROR(GETPIVOTDATA("Somma di AVERE",'Pivot Amex'!$A$3,"Mese",10,"Tipologia",$A269),0)
- IFERROR(GETPIVOTDATA("Somma di AVERE",'Pivot BBVA'!$A$3,"Mese",10,"Tipologia",$A269),0)
- IFERROR(GETPIVOTDATA("Somma di AVERE",'Pivot Fineco St'!$A$3,"Mese",10,"Tipologia",$A269),0)
- IFERROR(GETPIVOTDATA("Somma di AVERE",'Pivot Fineco Sa'!$A$3,"Mese",10,"Tipologia",$A269),0)
+ IFERROR(GETPIVOTDATA("Somma di DARE",'Pivot PP Visa'!$A$3,"Mese",10,"Tipologia",$A269),0)
- IFERROR(GETPIVOTDATA("Somma di AVERE",'Pivot PP Visa'!$A$3,"Mese",10,"Tipologia",$A269),0)
+ IFERROR(GETPIVOTDATA("Somma di DARE",'Pivot Revolut'!$A$3,"Mese",10,"Tipologia",$A269),0)
- IFERROR(GETPIVOTDATA("Somma di AVERE",'Pivot Revolut'!$A$3,"Mese",10,"Tipologia",$A269),0)</f>
        <v>0</v>
      </c>
      <c r="M269" s="243">
        <f>IFERROR(GETPIVOTDATA("Somma di DARE EUR",'Pivot RakBank AED'!$A$3,"Mese",11,"Tipologia",$A269),0)
- IFERROR(GETPIVOTDATA("Somma di AVERE EUR",'Pivot RakBank AED'!$A$3,"Mese",11,"Tipologia",$A269),0)
+IFERROR(GETPIVOTDATA("Somma di DARE",'Pivot RakBank EUR'!$A$3,"Mese",11,"Tipologia",$A269),0)
- IFERROR(GETPIVOTDATA("Somma di AVERE",'Pivot RakBank EUR'!$A$3,"Mese",11,"Tipologia",$A269),0)
+IFERROR(GETPIVOTDATA("Somma di DARE",'Pivot Fineco Sa'!$A$3,"Mese",11,"Tipologia",$A269),0)
+ IFERROR(GETPIVOTDATA("Somma di DARE",'Pivot Fineco St'!$A$3,"Mese",11,"Tipologia",$A269),0)
+ Contanti!AP131
+ IFERROR(GETPIVOTDATA("Somma di DARE",'Pivot BBVA'!$A$3,"Mese",11,"Tipologia",$A269),0)
+ IFERROR(GETPIVOTDATA("Somma di DARE",'Pivot Amex'!$A$3,"Mese",11,"Tipologia",$A269),0)
- IFERROR(GETPIVOTDATA("Somma di AVERE",'Pivot Amex'!$A$3,"Mese",11,"Tipologia",$A269),0)
- IFERROR(GETPIVOTDATA("Somma di AVERE",'Pivot BBVA'!$A$3,"Mese",11,"Tipologia",$A269),0)
- IFERROR(GETPIVOTDATA("Somma di AVERE",'Pivot Fineco St'!$A$3,"Mese",11,"Tipologia",$A269),0)
- IFERROR(GETPIVOTDATA("Somma di AVERE",'Pivot Fineco Sa'!$A$3,"Mese",11,"Tipologia",$A269),0)
+ IFERROR(GETPIVOTDATA("Somma di DARE",'Pivot PP Visa'!$A$3,"Mese",11,"Tipologia",$A269),0)
- IFERROR(GETPIVOTDATA("Somma di AVERE",'Pivot PP Visa'!$A$3,"Mese",11,"Tipologia",$A269),0)
+ IFERROR(GETPIVOTDATA("Somma di DARE",'Pivot Revolut'!$A$3,"Mese",11,"Tipologia",$A269),0)
- IFERROR(GETPIVOTDATA("Somma di AVERE",'Pivot Revolut'!$A$3,"Mese",11,"Tipologia",$A269),0)</f>
        <v>0</v>
      </c>
      <c r="N269" s="243">
        <f>IFERROR(GETPIVOTDATA("Somma di DARE EUR",'Pivot RakBank AED'!$A$3,"Mese",12,"Tipologia",$A269),0)
- IFERROR(GETPIVOTDATA("Somma di AVERE EUR",'Pivot RakBank AED'!$A$3,"Mese",12,"Tipologia",$A269),0)
+IFERROR(GETPIVOTDATA("Somma di DARE",'Pivot RakBank EUR'!$A$3,"Mese",12,"Tipologia",$A269),0)
- IFERROR(GETPIVOTDATA("Somma di AVERE",'Pivot RakBank EUR'!$A$3,"Mese",12,"Tipologia",$A269),0)
+IFERROR(GETPIVOTDATA("Somma di DARE",'Pivot Fineco Sa'!$A$3,"Mese",12,"Tipologia",$A269),0)
+ IFERROR(GETPIVOTDATA("Somma di DARE",'Pivot Fineco St'!$A$3,"Mese",12,"Tipologia",$A269),0)
+ Contanti!AT131
+ IFERROR(GETPIVOTDATA("Somma di DARE",'Pivot BBVA'!$A$3,"Mese",12,"Tipologia",$A269),0)
+ IFERROR(GETPIVOTDATA("Somma di DARE",'Pivot Amex'!$A$3,"Mese",12,"Tipologia",$A269),0)
- IFERROR(GETPIVOTDATA("Somma di AVERE",'Pivot Amex'!$A$3,"Mese",12,"Tipologia",$A269),0)
- IFERROR(GETPIVOTDATA("Somma di AVERE",'Pivot BBVA'!$A$3,"Mese",12,"Tipologia",$A269),0)
- IFERROR(GETPIVOTDATA("Somma di AVERE",'Pivot Fineco St'!$A$3,"Mese",12,"Tipologia",$A269),0)
- IFERROR(GETPIVOTDATA("Somma di AVERE",'Pivot Fineco Sa'!$A$3,"Mese",12,"Tipologia",$A269),0)
+ IFERROR(GETPIVOTDATA("Somma di DARE",'Pivot PP Visa'!$A$3,"Mese",12,"Tipologia",$A269),0)
- IFERROR(GETPIVOTDATA("Somma di AVERE",'Pivot PP Visa'!$A$3,"Mese",12,"Tipologia",$A269),0)
+ IFERROR(GETPIVOTDATA("Somma di DARE",'Pivot Revolut'!$A$3,"Mese",12,"Tipologia",$A269),0)
- IFERROR(GETPIVOTDATA("Somma di AVERE",'Pivot Revolut'!$A$3,"Mese",12,"Tipologia",$A269),0)</f>
        <v>0</v>
      </c>
      <c r="O269" s="252">
        <f t="shared" si="58"/>
        <v>0</v>
      </c>
      <c r="P269" s="243"/>
    </row>
    <row r="270" spans="1:16" s="125" customFormat="1" ht="21" customHeight="1" x14ac:dyDescent="0.2">
      <c r="A270" s="251" t="s">
        <v>931</v>
      </c>
      <c r="B270" s="251"/>
      <c r="C270" s="243">
        <f>IFERROR(GETPIVOTDATA("Somma di DARE EUR",'Pivot RakBank AED'!$A$3,"Mese",1,"Tipologia",$A270),0)
- IFERROR(GETPIVOTDATA("Somma di AVERE EUR",'Pivot RakBank AED'!$A$3,"Mese",1,"Tipologia",$A270),0)
+IFERROR(GETPIVOTDATA("Somma di DARE",'Pivot RakBank EUR'!$A$3,"Mese",1,"Tipologia",$A270),0)
- IFERROR(GETPIVOTDATA("Somma di AVERE",'Pivot RakBank EUR'!$A$3,"Mese",1,"Tipologia",$A270),0)
+IFERROR(GETPIVOTDATA("Somma di DARE",'Pivot Fineco Sa'!$A$3,"Mese",1,"Tipologia",$A270),0)
+ IFERROR(GETPIVOTDATA("Somma di DARE",'Pivot Fineco St'!$A$3,"Mese",1,"Tipologia",$A270),0)
+ Contanti!B132
+ IFERROR(GETPIVOTDATA("Somma di DARE",'Pivot BBVA'!$A$3,"Mese",1,"Tipologia",$A270),0)
+ IFERROR(GETPIVOTDATA("Somma di DARE",'Pivot Amex'!$A$3,"Mese",1,"Tipologia",$A270),0)
- IFERROR(GETPIVOTDATA("Somma di AVERE",'Pivot Amex'!$A$3,"Mese",1,"Tipologia",$A270),0)
- IFERROR(GETPIVOTDATA("Somma di AVERE",'Pivot BBVA'!$A$3,"Mese",1,"Tipologia",$A270),0)
- IFERROR(GETPIVOTDATA("Somma di AVERE",'Pivot Fineco St'!$A$3,"Mese",1,"Tipologia",$A270),0)
- IFERROR(GETPIVOTDATA("Somma di AVERE",'Pivot Fineco Sa'!$A$3,"Mese",1,"Tipologia",$A270),0)
+ IFERROR(GETPIVOTDATA("Somma di DARE",'Pivot PP Visa'!$A$3,"Mese",1,"Tipologia",$A270),0)
- IFERROR(GETPIVOTDATA("Somma di AVERE",'Pivot PP Visa'!$A$3,"Mese",1,"Tipologia",$A270),0)
+ IFERROR(GETPIVOTDATA("Somma di DARE",'Pivot Revolut'!$A$3,"Mese",1,"Tipologia",$A270),0)
- IFERROR(GETPIVOTDATA("Somma di AVERE",'Pivot Revolut'!$A$3,"Mese",1,"Tipologia",$A270),0)</f>
        <v>0</v>
      </c>
      <c r="D270" s="243">
        <f>IFERROR(GETPIVOTDATA("Somma di DARE EUR",'Pivot RakBank AED'!$A$3,"Mese",2,"Tipologia",$A270),0)
- IFERROR(GETPIVOTDATA("Somma di AVERE EUR",'Pivot RakBank AED'!$A$3,"Mese",2,"Tipologia",$A270),0)
+IFERROR(GETPIVOTDATA("Somma di DARE",'Pivot RakBank EUR'!$A$3,"Mese",2,"Tipologia",$A270),0)
- IFERROR(GETPIVOTDATA("Somma di AVERE",'Pivot RakBank EUR'!$A$3,"Mese",2,"Tipologia",$A270),0)
+IFERROR(GETPIVOTDATA("Somma di DARE",'Pivot Fineco Sa'!$A$3,"Mese",2,"Tipologia",$A270),0)
+ IFERROR(GETPIVOTDATA("Somma di DARE",'Pivot Fineco St'!$A$3,"Mese",2,"Tipologia",$A270),0)
+ Contanti!F132
+ IFERROR(GETPIVOTDATA("Somma di DARE",'Pivot BBVA'!$A$3,"Mese",2,"Tipologia",$A270),0)
+ IFERROR(GETPIVOTDATA("Somma di DARE",'Pivot Amex'!$A$3,"Mese",2,"Tipologia",$A270),0)
- IFERROR(GETPIVOTDATA("Somma di AVERE",'Pivot Amex'!$A$3,"Mese",2,"Tipologia",$A270),0)
- IFERROR(GETPIVOTDATA("Somma di AVERE",'Pivot BBVA'!$A$3,"Mese",2,"Tipologia",$A270),0)
- IFERROR(GETPIVOTDATA("Somma di AVERE",'Pivot Fineco St'!$A$3,"Mese",2,"Tipologia",$A270),0)
- IFERROR(GETPIVOTDATA("Somma di AVERE",'Pivot Fineco Sa'!$A$3,"Mese",2,"Tipologia",$A270),0)
+ IFERROR(GETPIVOTDATA("Somma di DARE",'Pivot PP Visa'!$A$3,"Mese",2,"Tipologia",$A270),0)
- IFERROR(GETPIVOTDATA("Somma di AVERE",'Pivot PP Visa'!$A$3,"Mese",2,"Tipologia",$A270),0)
+ IFERROR(GETPIVOTDATA("Somma di DARE",'Pivot Revolut'!$A$3,"Mese",2,"Tipologia",$A270),0)
- IFERROR(GETPIVOTDATA("Somma di AVERE",'Pivot Revolut'!$A$3,"Mese",2,"Tipologia",$A270),0)</f>
        <v>0</v>
      </c>
      <c r="E270" s="243">
        <f>IFERROR(GETPIVOTDATA("Somma di DARE EUR",'Pivot RakBank AED'!$A$3,"Mese",3,"Tipologia",$A270),0)
- IFERROR(GETPIVOTDATA("Somma di AVERE EUR",'Pivot RakBank AED'!$A$3,"Mese",3,"Tipologia",$A270),0)
+IFERROR(GETPIVOTDATA("Somma di DARE",'Pivot RakBank EUR'!$A$3,"Mese",3,"Tipologia",$A270),0)
- IFERROR(GETPIVOTDATA("Somma di AVERE",'Pivot RakBank EUR'!$A$3,"Mese",3,"Tipologia",$A270),0)
+IFERROR(GETPIVOTDATA("Somma di DARE",'Pivot Fineco Sa'!$A$3,"Mese",3,"Tipologia",$A270),0)
+ IFERROR(GETPIVOTDATA("Somma di DARE",'Pivot Fineco St'!$A$3,"Mese",3,"Tipologia",$A270),0)
+ Contanti!J132
+ IFERROR(GETPIVOTDATA("Somma di DARE",'Pivot BBVA'!$A$3,"Mese",3,"Tipologia",$A270),0)
+ IFERROR(GETPIVOTDATA("Somma di DARE",'Pivot Amex'!$A$3,"Mese",3,"Tipologia",$A270),0)
- IFERROR(GETPIVOTDATA("Somma di AVERE",'Pivot Amex'!$A$3,"Mese",3,"Tipologia",$A270),0)
- IFERROR(GETPIVOTDATA("Somma di AVERE",'Pivot BBVA'!$A$3,"Mese",3,"Tipologia",$A270),0)
- IFERROR(GETPIVOTDATA("Somma di AVERE",'Pivot Fineco St'!$A$3,"Mese",3,"Tipologia",$A270),0)
- IFERROR(GETPIVOTDATA("Somma di AVERE",'Pivot Fineco Sa'!$A$3,"Mese",3,"Tipologia",$A270),0)
+ IFERROR(GETPIVOTDATA("Somma di DARE",'Pivot PP Visa'!$A$3,"Mese",3,"Tipologia",$A270),0)
- IFERROR(GETPIVOTDATA("Somma di AVERE",'Pivot PP Visa'!$A$3,"Mese",3,"Tipologia",$A270),0)
+ IFERROR(GETPIVOTDATA("Somma di DARE",'Pivot Revolut'!$A$3,"Mese",3,"Tipologia",$A270),0)
- IFERROR(GETPIVOTDATA("Somma di AVERE",'Pivot Revolut'!$A$3,"Mese",3,"Tipologia",$A270),0)</f>
        <v>0</v>
      </c>
      <c r="F270" s="243">
        <f>IFERROR(GETPIVOTDATA("Somma di DARE EUR",'Pivot RakBank AED'!$A$3,"Mese",4,"Tipologia",$A270),0)
- IFERROR(GETPIVOTDATA("Somma di AVERE EUR",'Pivot RakBank AED'!$A$3,"Mese",4,"Tipologia",$A270),0)
+IFERROR(GETPIVOTDATA("Somma di DARE",'Pivot RakBank EUR'!$A$3,"Mese",4,"Tipologia",$A270),0)
- IFERROR(GETPIVOTDATA("Somma di AVERE",'Pivot RakBank EUR'!$A$3,"Mese",4,"Tipologia",$A270),0)
+IFERROR(GETPIVOTDATA("Somma di DARE",'Pivot Fineco Sa'!$A$3,"Mese",4,"Tipologia",$A270),0)
+ IFERROR(GETPIVOTDATA("Somma di DARE",'Pivot Fineco St'!$A$3,"Mese",4,"Tipologia",$A270),0)
+ Contanti!N132
+ IFERROR(GETPIVOTDATA("Somma di DARE",'Pivot BBVA'!$A$3,"Mese",4,"Tipologia",$A270),0)
+ IFERROR(GETPIVOTDATA("Somma di DARE",'Pivot Amex'!$A$3,"Mese",4,"Tipologia",$A270),0)
- IFERROR(GETPIVOTDATA("Somma di AVERE",'Pivot Amex'!$A$3,"Mese",4,"Tipologia",$A270),0)
- IFERROR(GETPIVOTDATA("Somma di AVERE",'Pivot BBVA'!$A$3,"Mese",4,"Tipologia",$A270),0)
- IFERROR(GETPIVOTDATA("Somma di AVERE",'Pivot Fineco St'!$A$3,"Mese",4,"Tipologia",$A270),0)
- IFERROR(GETPIVOTDATA("Somma di AVERE",'Pivot Fineco Sa'!$A$3,"Mese",4,"Tipologia",$A270),0)
+ IFERROR(GETPIVOTDATA("Somma di DARE",'Pivot PP Visa'!$A$3,"Mese",4,"Tipologia",$A270),0)
- IFERROR(GETPIVOTDATA("Somma di AVERE",'Pivot PP Visa'!$A$3,"Mese",4,"Tipologia",$A270),0)
+ IFERROR(GETPIVOTDATA("Somma di DARE",'Pivot Revolut'!$A$3,"Mese",4,"Tipologia",$A270),0)
- IFERROR(GETPIVOTDATA("Somma di AVERE",'Pivot Revolut'!$A$3,"Mese",4,"Tipologia",$A270),0)</f>
        <v>0</v>
      </c>
      <c r="G270" s="243">
        <f>IFERROR(GETPIVOTDATA("Somma di DARE EUR",'Pivot RakBank AED'!$A$3,"Mese",5,"Tipologia",$A270),0)
- IFERROR(GETPIVOTDATA("Somma di AVERE EUR",'Pivot RakBank AED'!$A$3,"Mese",5,"Tipologia",$A270),0)
+IFERROR(GETPIVOTDATA("Somma di DARE",'Pivot RakBank EUR'!$A$3,"Mese",5,"Tipologia",$A270),0)
- IFERROR(GETPIVOTDATA("Somma di AVERE",'Pivot RakBank EUR'!$A$3,"Mese",5,"Tipologia",$A270),0)
+IFERROR(GETPIVOTDATA("Somma di DARE",'Pivot Fineco Sa'!$A$3,"Mese",5,"Tipologia",$A270),0)
+ IFERROR(GETPIVOTDATA("Somma di DARE",'Pivot Fineco St'!$A$3,"Mese",5,"Tipologia",$A270),0)
+ Contanti!R132
+ IFERROR(GETPIVOTDATA("Somma di DARE",'Pivot BBVA'!$A$3,"Mese",5,"Tipologia",$A270),0)
+ IFERROR(GETPIVOTDATA("Somma di DARE",'Pivot Amex'!$A$3,"Mese",5,"Tipologia",$A270),0)
- IFERROR(GETPIVOTDATA("Somma di AVERE",'Pivot Amex'!$A$3,"Mese",5,"Tipologia",$A270),0)
- IFERROR(GETPIVOTDATA("Somma di AVERE",'Pivot BBVA'!$A$3,"Mese",5,"Tipologia",$A270),0)
- IFERROR(GETPIVOTDATA("Somma di AVERE",'Pivot Fineco St'!$A$3,"Mese",5,"Tipologia",$A270),0)
- IFERROR(GETPIVOTDATA("Somma di AVERE",'Pivot Fineco Sa'!$A$3,"Mese",5,"Tipologia",$A270),0)
+ IFERROR(GETPIVOTDATA("Somma di DARE",'Pivot PP Visa'!$A$3,"Mese",5,"Tipologia",$A270),0)
- IFERROR(GETPIVOTDATA("Somma di AVERE",'Pivot PP Visa'!$A$3,"Mese",5,"Tipologia",$A270),0)
+ IFERROR(GETPIVOTDATA("Somma di DARE",'Pivot Revolut'!$A$3,"Mese",5,"Tipologia",$A270),0)
- IFERROR(GETPIVOTDATA("Somma di AVERE",'Pivot Revolut'!$A$3,"Mese",5,"Tipologia",$A270),0)</f>
        <v>0</v>
      </c>
      <c r="H270" s="243">
        <f>IFERROR(GETPIVOTDATA("Somma di DARE EUR",'Pivot RakBank AED'!$A$3,"Mese",6,"Tipologia",$A270),0)
- IFERROR(GETPIVOTDATA("Somma di AVERE EUR",'Pivot RakBank AED'!$A$3,"Mese",6,"Tipologia",$A270),0)
+IFERROR(GETPIVOTDATA("Somma di DARE",'Pivot RakBank EUR'!$A$3,"Mese",6,"Tipologia",$A270),0)
- IFERROR(GETPIVOTDATA("Somma di AVERE",'Pivot RakBank EUR'!$A$3,"Mese",6,"Tipologia",$A270),0)
+IFERROR(GETPIVOTDATA("Somma di DARE",'Pivot Fineco Sa'!$A$3,"Mese",6,"Tipologia",$A270),0)
+ IFERROR(GETPIVOTDATA("Somma di DARE",'Pivot Fineco St'!$A$3,"Mese",6,"Tipologia",$A270),0)
+ Contanti!V132
+ IFERROR(GETPIVOTDATA("Somma di DARE",'Pivot BBVA'!$A$3,"Mese",6,"Tipologia",$A270),0)
+ IFERROR(GETPIVOTDATA("Somma di DARE",'Pivot Amex'!$A$3,"Mese",6,"Tipologia",$A270),0)
- IFERROR(GETPIVOTDATA("Somma di AVERE",'Pivot Amex'!$A$3,"Mese",6,"Tipologia",$A270),0)
- IFERROR(GETPIVOTDATA("Somma di AVERE",'Pivot BBVA'!$A$3,"Mese",6,"Tipologia",$A270),0)
- IFERROR(GETPIVOTDATA("Somma di AVERE",'Pivot Fineco St'!$A$3,"Mese",6,"Tipologia",$A270),0)
- IFERROR(GETPIVOTDATA("Somma di AVERE",'Pivot Fineco Sa'!$A$3,"Mese",6,"Tipologia",$A270),0)
+ IFERROR(GETPIVOTDATA("Somma di DARE",'Pivot PP Visa'!$A$3,"Mese",6,"Tipologia",$A270),0)
- IFERROR(GETPIVOTDATA("Somma di AVERE",'Pivot PP Visa'!$A$3,"Mese",6,"Tipologia",$A270),0)
+ IFERROR(GETPIVOTDATA("Somma di DARE",'Pivot Revolut'!$A$3,"Mese",6,"Tipologia",$A270),0)
- IFERROR(GETPIVOTDATA("Somma di AVERE",'Pivot Revolut'!$A$3,"Mese",6,"Tipologia",$A270),0)</f>
        <v>0</v>
      </c>
      <c r="I270" s="243">
        <f>IFERROR(GETPIVOTDATA("Somma di DARE EUR",'Pivot RakBank AED'!$A$3,"Mese",7,"Tipologia",$A270),0)
- IFERROR(GETPIVOTDATA("Somma di AVERE EUR",'Pivot RakBank AED'!$A$3,"Mese",7,"Tipologia",$A270),0)
+IFERROR(GETPIVOTDATA("Somma di DARE",'Pivot RakBank EUR'!$A$3,"Mese",7,"Tipologia",$A270),0)
- IFERROR(GETPIVOTDATA("Somma di AVERE",'Pivot RakBank EUR'!$A$3,"Mese",7,"Tipologia",$A270),0)
+IFERROR(GETPIVOTDATA("Somma di DARE",'Pivot Fineco Sa'!$A$3,"Mese",7,"Tipologia",$A270),0)
+ IFERROR(GETPIVOTDATA("Somma di DARE",'Pivot Fineco St'!$A$3,"Mese",7,"Tipologia",$A270),0)
+ Contanti!Z132
+ IFERROR(GETPIVOTDATA("Somma di DARE",'Pivot BBVA'!$A$3,"Mese",7,"Tipologia",$A270),0)
+ IFERROR(GETPIVOTDATA("Somma di DARE",'Pivot Amex'!$A$3,"Mese",7,"Tipologia",$A270),0)
- IFERROR(GETPIVOTDATA("Somma di AVERE",'Pivot Amex'!$A$3,"Mese",7,"Tipologia",$A270),0)
- IFERROR(GETPIVOTDATA("Somma di AVERE",'Pivot BBVA'!$A$3,"Mese",7,"Tipologia",$A270),0)
- IFERROR(GETPIVOTDATA("Somma di AVERE",'Pivot Fineco St'!$A$3,"Mese",7,"Tipologia",$A270),0)
- IFERROR(GETPIVOTDATA("Somma di AVERE",'Pivot Fineco Sa'!$A$3,"Mese",7,"Tipologia",$A270),0)
+ IFERROR(GETPIVOTDATA("Somma di DARE",'Pivot PP Visa'!$A$3,"Mese",7,"Tipologia",$A270),0)
- IFERROR(GETPIVOTDATA("Somma di AVERE",'Pivot PP Visa'!$A$3,"Mese",7,"Tipologia",$A270),0)
+ IFERROR(GETPIVOTDATA("Somma di DARE",'Pivot Revolut'!$A$3,"Mese",7,"Tipologia",$A270),0)
- IFERROR(GETPIVOTDATA("Somma di AVERE",'Pivot Revolut'!$A$3,"Mese",7,"Tipologia",$A270),0)</f>
        <v>0</v>
      </c>
      <c r="J270" s="243">
        <f>IFERROR(GETPIVOTDATA("Somma di DARE EUR",'Pivot RakBank AED'!$A$3,"Mese",8,"Tipologia",$A270),0)
- IFERROR(GETPIVOTDATA("Somma di AVERE EUR",'Pivot RakBank AED'!$A$3,"Mese",8,"Tipologia",$A270),0)
+IFERROR(GETPIVOTDATA("Somma di DARE",'Pivot RakBank EUR'!$A$3,"Mese",8,"Tipologia",$A270),0)
- IFERROR(GETPIVOTDATA("Somma di AVERE",'Pivot RakBank EUR'!$A$3,"Mese",8,"Tipologia",$A270),0)
+IFERROR(GETPIVOTDATA("Somma di DARE",'Pivot Fineco Sa'!$A$3,"Mese",8,"Tipologia",$A270),0)
+ IFERROR(GETPIVOTDATA("Somma di DARE",'Pivot Fineco St'!$A$3,"Mese",8,"Tipologia",$A270),0)
+ Contanti!AD132
+ IFERROR(GETPIVOTDATA("Somma di DARE",'Pivot BBVA'!$A$3,"Mese",8,"Tipologia",$A270),0)
+ IFERROR(GETPIVOTDATA("Somma di DARE",'Pivot Amex'!$A$3,"Mese",8,"Tipologia",$A270),0)
- IFERROR(GETPIVOTDATA("Somma di AVERE",'Pivot Amex'!$A$3,"Mese",8,"Tipologia",$A270),0)
- IFERROR(GETPIVOTDATA("Somma di AVERE",'Pivot BBVA'!$A$3,"Mese",8,"Tipologia",$A270),0)
- IFERROR(GETPIVOTDATA("Somma di AVERE",'Pivot Fineco St'!$A$3,"Mese",8,"Tipologia",$A270),0)
- IFERROR(GETPIVOTDATA("Somma di AVERE",'Pivot Fineco Sa'!$A$3,"Mese",8,"Tipologia",$A270),0)
+ IFERROR(GETPIVOTDATA("Somma di DARE",'Pivot PP Visa'!$A$3,"Mese",8,"Tipologia",$A270),0)
- IFERROR(GETPIVOTDATA("Somma di AVERE",'Pivot PP Visa'!$A$3,"Mese",8,"Tipologia",$A270),0)
+ IFERROR(GETPIVOTDATA("Somma di DARE",'Pivot Revolut'!$A$3,"Mese",8,"Tipologia",$A270),0)
- IFERROR(GETPIVOTDATA("Somma di AVERE",'Pivot Revolut'!$A$3,"Mese",8,"Tipologia",$A270),0)</f>
        <v>0</v>
      </c>
      <c r="K270" s="243">
        <f>IFERROR(GETPIVOTDATA("Somma di DARE EUR",'Pivot RakBank AED'!$A$3,"Mese",9,"Tipologia",$A270),0)
- IFERROR(GETPIVOTDATA("Somma di AVERE EUR",'Pivot RakBank AED'!$A$3,"Mese",9,"Tipologia",$A270),0)
+IFERROR(GETPIVOTDATA("Somma di DARE",'Pivot RakBank EUR'!$A$3,"Mese",9,"Tipologia",$A270),0)
- IFERROR(GETPIVOTDATA("Somma di AVERE",'Pivot RakBank EUR'!$A$3,"Mese",9,"Tipologia",$A270),0)
+IFERROR(GETPIVOTDATA("Somma di DARE",'Pivot Fineco Sa'!$A$3,"Mese",9,"Tipologia",$A270),0)
+ IFERROR(GETPIVOTDATA("Somma di DARE",'Pivot Fineco St'!$A$3,"Mese",9,"Tipologia",$A270),0)
+ Contanti!AH132
+ IFERROR(GETPIVOTDATA("Somma di DARE",'Pivot BBVA'!$A$3,"Mese",9,"Tipologia",$A270),0)
+ IFERROR(GETPIVOTDATA("Somma di DARE",'Pivot Amex'!$A$3,"Mese",9,"Tipologia",$A270),0)
- IFERROR(GETPIVOTDATA("Somma di AVERE",'Pivot Amex'!$A$3,"Mese",9,"Tipologia",$A270),0)
- IFERROR(GETPIVOTDATA("Somma di AVERE",'Pivot BBVA'!$A$3,"Mese",9,"Tipologia",$A270),0)
- IFERROR(GETPIVOTDATA("Somma di AVERE",'Pivot Fineco St'!$A$3,"Mese",9,"Tipologia",$A270),0)
- IFERROR(GETPIVOTDATA("Somma di AVERE",'Pivot Fineco Sa'!$A$3,"Mese",9,"Tipologia",$A270),0)
+ IFERROR(GETPIVOTDATA("Somma di DARE",'Pivot PP Visa'!$A$3,"Mese",9,"Tipologia",$A270),0)
- IFERROR(GETPIVOTDATA("Somma di AVERE",'Pivot PP Visa'!$A$3,"Mese",9,"Tipologia",$A270),0)
+ IFERROR(GETPIVOTDATA("Somma di DARE",'Pivot Revolut'!$A$3,"Mese",9,"Tipologia",$A270),0)
- IFERROR(GETPIVOTDATA("Somma di AVERE",'Pivot Revolut'!$A$3,"Mese",9,"Tipologia",$A270),0)</f>
        <v>0</v>
      </c>
      <c r="L270" s="243">
        <f>IFERROR(GETPIVOTDATA("Somma di DARE EUR",'Pivot RakBank AED'!$A$3,"Mese",10,"Tipologia",$A270),0)
- IFERROR(GETPIVOTDATA("Somma di AVERE EUR",'Pivot RakBank AED'!$A$3,"Mese",10,"Tipologia",$A270),0)
+IFERROR(GETPIVOTDATA("Somma di DARE",'Pivot RakBank EUR'!$A$3,"Mese",10,"Tipologia",$A270),0)
- IFERROR(GETPIVOTDATA("Somma di AVERE",'Pivot RakBank EUR'!$A$3,"Mese",10,"Tipologia",$A270),0)
+IFERROR(GETPIVOTDATA("Somma di DARE",'Pivot Fineco Sa'!$A$3,"Mese",10,"Tipologia",$A270),0)
+ IFERROR(GETPIVOTDATA("Somma di DARE",'Pivot Fineco St'!$A$3,"Mese",10,"Tipologia",$A270),0)
+ Contanti!AL132
+ IFERROR(GETPIVOTDATA("Somma di DARE",'Pivot BBVA'!$A$3,"Mese",10,"Tipologia",$A270),0)
+ IFERROR(GETPIVOTDATA("Somma di DARE",'Pivot Amex'!$A$3,"Mese",10,"Tipologia",$A270),0)
- IFERROR(GETPIVOTDATA("Somma di AVERE",'Pivot Amex'!$A$3,"Mese",10,"Tipologia",$A270),0)
- IFERROR(GETPIVOTDATA("Somma di AVERE",'Pivot BBVA'!$A$3,"Mese",10,"Tipologia",$A270),0)
- IFERROR(GETPIVOTDATA("Somma di AVERE",'Pivot Fineco St'!$A$3,"Mese",10,"Tipologia",$A270),0)
- IFERROR(GETPIVOTDATA("Somma di AVERE",'Pivot Fineco Sa'!$A$3,"Mese",10,"Tipologia",$A270),0)
+ IFERROR(GETPIVOTDATA("Somma di DARE",'Pivot PP Visa'!$A$3,"Mese",10,"Tipologia",$A270),0)
- IFERROR(GETPIVOTDATA("Somma di AVERE",'Pivot PP Visa'!$A$3,"Mese",10,"Tipologia",$A270),0)
+ IFERROR(GETPIVOTDATA("Somma di DARE",'Pivot Revolut'!$A$3,"Mese",10,"Tipologia",$A270),0)
- IFERROR(GETPIVOTDATA("Somma di AVERE",'Pivot Revolut'!$A$3,"Mese",10,"Tipologia",$A270),0)</f>
        <v>0</v>
      </c>
      <c r="M270" s="243">
        <f>IFERROR(GETPIVOTDATA("Somma di DARE EUR",'Pivot RakBank AED'!$A$3,"Mese",11,"Tipologia",$A270),0)
- IFERROR(GETPIVOTDATA("Somma di AVERE EUR",'Pivot RakBank AED'!$A$3,"Mese",11,"Tipologia",$A270),0)
+IFERROR(GETPIVOTDATA("Somma di DARE",'Pivot RakBank EUR'!$A$3,"Mese",11,"Tipologia",$A270),0)
- IFERROR(GETPIVOTDATA("Somma di AVERE",'Pivot RakBank EUR'!$A$3,"Mese",11,"Tipologia",$A270),0)
+IFERROR(GETPIVOTDATA("Somma di DARE",'Pivot Fineco Sa'!$A$3,"Mese",11,"Tipologia",$A270),0)
+ IFERROR(GETPIVOTDATA("Somma di DARE",'Pivot Fineco St'!$A$3,"Mese",11,"Tipologia",$A270),0)
+ Contanti!AP132
+ IFERROR(GETPIVOTDATA("Somma di DARE",'Pivot BBVA'!$A$3,"Mese",11,"Tipologia",$A270),0)
+ IFERROR(GETPIVOTDATA("Somma di DARE",'Pivot Amex'!$A$3,"Mese",11,"Tipologia",$A270),0)
- IFERROR(GETPIVOTDATA("Somma di AVERE",'Pivot Amex'!$A$3,"Mese",11,"Tipologia",$A270),0)
- IFERROR(GETPIVOTDATA("Somma di AVERE",'Pivot BBVA'!$A$3,"Mese",11,"Tipologia",$A270),0)
- IFERROR(GETPIVOTDATA("Somma di AVERE",'Pivot Fineco St'!$A$3,"Mese",11,"Tipologia",$A270),0)
- IFERROR(GETPIVOTDATA("Somma di AVERE",'Pivot Fineco Sa'!$A$3,"Mese",11,"Tipologia",$A270),0)
+ IFERROR(GETPIVOTDATA("Somma di DARE",'Pivot PP Visa'!$A$3,"Mese",11,"Tipologia",$A270),0)
- IFERROR(GETPIVOTDATA("Somma di AVERE",'Pivot PP Visa'!$A$3,"Mese",11,"Tipologia",$A270),0)
+ IFERROR(GETPIVOTDATA("Somma di DARE",'Pivot Revolut'!$A$3,"Mese",11,"Tipologia",$A270),0)
- IFERROR(GETPIVOTDATA("Somma di AVERE",'Pivot Revolut'!$A$3,"Mese",11,"Tipologia",$A270),0)</f>
        <v>0</v>
      </c>
      <c r="N270" s="243">
        <f>IFERROR(GETPIVOTDATA("Somma di DARE EUR",'Pivot RakBank AED'!$A$3,"Mese",12,"Tipologia",$A270),0)
- IFERROR(GETPIVOTDATA("Somma di AVERE EUR",'Pivot RakBank AED'!$A$3,"Mese",12,"Tipologia",$A270),0)
+IFERROR(GETPIVOTDATA("Somma di DARE",'Pivot RakBank EUR'!$A$3,"Mese",12,"Tipologia",$A270),0)
- IFERROR(GETPIVOTDATA("Somma di AVERE",'Pivot RakBank EUR'!$A$3,"Mese",12,"Tipologia",$A270),0)
+IFERROR(GETPIVOTDATA("Somma di DARE",'Pivot Fineco Sa'!$A$3,"Mese",12,"Tipologia",$A270),0)
+ IFERROR(GETPIVOTDATA("Somma di DARE",'Pivot Fineco St'!$A$3,"Mese",12,"Tipologia",$A270),0)
+ Contanti!AT132
+ IFERROR(GETPIVOTDATA("Somma di DARE",'Pivot BBVA'!$A$3,"Mese",12,"Tipologia",$A270),0)
+ IFERROR(GETPIVOTDATA("Somma di DARE",'Pivot Amex'!$A$3,"Mese",12,"Tipologia",$A270),0)
- IFERROR(GETPIVOTDATA("Somma di AVERE",'Pivot Amex'!$A$3,"Mese",12,"Tipologia",$A270),0)
- IFERROR(GETPIVOTDATA("Somma di AVERE",'Pivot BBVA'!$A$3,"Mese",12,"Tipologia",$A270),0)
- IFERROR(GETPIVOTDATA("Somma di AVERE",'Pivot Fineco St'!$A$3,"Mese",12,"Tipologia",$A270),0)
- IFERROR(GETPIVOTDATA("Somma di AVERE",'Pivot Fineco Sa'!$A$3,"Mese",12,"Tipologia",$A270),0)
+ IFERROR(GETPIVOTDATA("Somma di DARE",'Pivot PP Visa'!$A$3,"Mese",12,"Tipologia",$A270),0)
- IFERROR(GETPIVOTDATA("Somma di AVERE",'Pivot PP Visa'!$A$3,"Mese",12,"Tipologia",$A270),0)
+ IFERROR(GETPIVOTDATA("Somma di DARE",'Pivot Revolut'!$A$3,"Mese",12,"Tipologia",$A270),0)
- IFERROR(GETPIVOTDATA("Somma di AVERE",'Pivot Revolut'!$A$3,"Mese",12,"Tipologia",$A270),0)</f>
        <v>0</v>
      </c>
      <c r="O270" s="252">
        <f t="shared" si="58"/>
        <v>0</v>
      </c>
      <c r="P270" s="243"/>
    </row>
    <row r="271" spans="1:16" s="125" customFormat="1" ht="21" customHeight="1" thickBot="1" x14ac:dyDescent="0.25">
      <c r="A271" s="247"/>
      <c r="B271" s="247"/>
      <c r="C271" s="248"/>
      <c r="D271" s="248"/>
      <c r="E271" s="248"/>
      <c r="F271" s="248"/>
      <c r="G271" s="248"/>
      <c r="H271" s="248"/>
      <c r="I271" s="248"/>
      <c r="J271" s="248"/>
      <c r="K271" s="248"/>
      <c r="L271" s="248"/>
      <c r="M271" s="248"/>
      <c r="N271" s="248"/>
      <c r="O271" s="248"/>
      <c r="P271" s="248"/>
    </row>
    <row r="272" spans="1:16" s="282" customFormat="1" ht="21" customHeight="1" x14ac:dyDescent="0.2">
      <c r="A272" s="436" t="s">
        <v>125</v>
      </c>
      <c r="B272" s="382"/>
      <c r="C272" s="281">
        <f t="shared" ref="C272:N272" si="59">C83+C92+C104+C109+C114+C117+C196+C206+C211+C218+C225+C231+C236+C241+C246</f>
        <v>4496.87</v>
      </c>
      <c r="D272" s="281">
        <f t="shared" si="59"/>
        <v>8824.0122018348629</v>
      </c>
      <c r="E272" s="281">
        <f t="shared" si="59"/>
        <v>5179.4799999999996</v>
      </c>
      <c r="F272" s="281">
        <f t="shared" si="59"/>
        <v>5410.63</v>
      </c>
      <c r="G272" s="281">
        <f t="shared" si="59"/>
        <v>5856.1369333333341</v>
      </c>
      <c r="H272" s="281">
        <f t="shared" si="59"/>
        <v>5391.66</v>
      </c>
      <c r="I272" s="281">
        <f t="shared" si="59"/>
        <v>3055.9900000000002</v>
      </c>
      <c r="J272" s="281">
        <f t="shared" si="59"/>
        <v>0</v>
      </c>
      <c r="K272" s="281">
        <f t="shared" si="59"/>
        <v>0</v>
      </c>
      <c r="L272" s="281">
        <f t="shared" si="59"/>
        <v>0</v>
      </c>
      <c r="M272" s="281">
        <f t="shared" si="59"/>
        <v>0</v>
      </c>
      <c r="N272" s="281">
        <f t="shared" si="59"/>
        <v>0</v>
      </c>
      <c r="O272" s="465">
        <f>SUM(C272:N272)</f>
        <v>38214.779135168195</v>
      </c>
    </row>
    <row r="273" spans="1:15" s="125" customFormat="1" ht="21" customHeight="1" x14ac:dyDescent="0.2">
      <c r="A273" s="437" t="s">
        <v>126</v>
      </c>
      <c r="B273" s="383"/>
      <c r="C273" s="283">
        <f t="shared" ref="C273:N273" si="60">C255</f>
        <v>22252.95</v>
      </c>
      <c r="D273" s="283">
        <f t="shared" si="60"/>
        <v>-2709.99</v>
      </c>
      <c r="E273" s="283">
        <f t="shared" si="60"/>
        <v>65</v>
      </c>
      <c r="F273" s="283">
        <f t="shared" si="60"/>
        <v>0</v>
      </c>
      <c r="G273" s="283">
        <f t="shared" si="60"/>
        <v>3970.0880800000004</v>
      </c>
      <c r="H273" s="283">
        <f t="shared" si="60"/>
        <v>9261.5816539999996</v>
      </c>
      <c r="I273" s="283">
        <f t="shared" si="60"/>
        <v>9470.7380852000006</v>
      </c>
      <c r="J273" s="283">
        <f t="shared" si="60"/>
        <v>0</v>
      </c>
      <c r="K273" s="283">
        <f t="shared" si="60"/>
        <v>0</v>
      </c>
      <c r="L273" s="283">
        <f t="shared" si="60"/>
        <v>0</v>
      </c>
      <c r="M273" s="283">
        <f t="shared" si="60"/>
        <v>0</v>
      </c>
      <c r="N273" s="283">
        <f t="shared" si="60"/>
        <v>0</v>
      </c>
      <c r="O273" s="466">
        <f>SUM(C273:N273)</f>
        <v>42310.367819200001</v>
      </c>
    </row>
    <row r="274" spans="1:15" s="125" customFormat="1" ht="21" customHeight="1" x14ac:dyDescent="0.2">
      <c r="A274" s="437" t="s">
        <v>929</v>
      </c>
      <c r="B274" s="383"/>
      <c r="C274" s="283">
        <f t="shared" ref="C274:N274" si="61">C265</f>
        <v>14194.86</v>
      </c>
      <c r="D274" s="283">
        <f t="shared" si="61"/>
        <v>32452.82</v>
      </c>
      <c r="E274" s="283">
        <f t="shared" si="61"/>
        <v>9589.83</v>
      </c>
      <c r="F274" s="283">
        <f t="shared" si="61"/>
        <v>-12949.609999999999</v>
      </c>
      <c r="G274" s="283">
        <f t="shared" si="61"/>
        <v>9435.3231340000002</v>
      </c>
      <c r="H274" s="283">
        <f t="shared" si="61"/>
        <v>9435.3184724000002</v>
      </c>
      <c r="I274" s="283">
        <f t="shared" si="61"/>
        <v>9435.3184724000002</v>
      </c>
      <c r="J274" s="283">
        <f t="shared" si="61"/>
        <v>0</v>
      </c>
      <c r="K274" s="283">
        <f t="shared" si="61"/>
        <v>0</v>
      </c>
      <c r="L274" s="283">
        <f t="shared" si="61"/>
        <v>0</v>
      </c>
      <c r="M274" s="283">
        <f t="shared" si="61"/>
        <v>0</v>
      </c>
      <c r="N274" s="283">
        <f t="shared" si="61"/>
        <v>0</v>
      </c>
      <c r="O274" s="466">
        <f>SUM(C274:N274)</f>
        <v>71593.860078800004</v>
      </c>
    </row>
    <row r="275" spans="1:15" s="125" customFormat="1" ht="21" customHeight="1" thickBot="1" x14ac:dyDescent="0.25">
      <c r="A275" s="438" t="s">
        <v>930</v>
      </c>
      <c r="B275" s="384"/>
      <c r="C275" s="284">
        <f>SUM(C272:C274)</f>
        <v>40944.68</v>
      </c>
      <c r="D275" s="284">
        <f t="shared" ref="D275:O275" si="62">SUM(D272:D274)</f>
        <v>38566.842201834865</v>
      </c>
      <c r="E275" s="284">
        <f t="shared" si="62"/>
        <v>14834.31</v>
      </c>
      <c r="F275" s="284">
        <f t="shared" si="62"/>
        <v>-7538.9799999999987</v>
      </c>
      <c r="G275" s="284">
        <f t="shared" si="62"/>
        <v>19261.548147333335</v>
      </c>
      <c r="H275" s="284">
        <f t="shared" si="62"/>
        <v>24088.5601264</v>
      </c>
      <c r="I275" s="284">
        <f t="shared" si="62"/>
        <v>21962.046557599999</v>
      </c>
      <c r="J275" s="284">
        <f t="shared" si="62"/>
        <v>0</v>
      </c>
      <c r="K275" s="284">
        <f t="shared" si="62"/>
        <v>0</v>
      </c>
      <c r="L275" s="284">
        <f t="shared" si="62"/>
        <v>0</v>
      </c>
      <c r="M275" s="284">
        <f t="shared" si="62"/>
        <v>0</v>
      </c>
      <c r="N275" s="284">
        <f t="shared" si="62"/>
        <v>0</v>
      </c>
      <c r="O275" s="467">
        <f t="shared" si="62"/>
        <v>152119.00703316819</v>
      </c>
    </row>
    <row r="277" spans="1:15" ht="21" customHeight="1" x14ac:dyDescent="0.2">
      <c r="A277" s="251"/>
      <c r="B277" s="251"/>
    </row>
    <row r="278" spans="1:15" ht="21" customHeight="1" x14ac:dyDescent="0.2">
      <c r="A278" s="251"/>
      <c r="F278" s="62"/>
    </row>
    <row r="279" spans="1:15" ht="21" customHeight="1" x14ac:dyDescent="0.2">
      <c r="C279" s="251"/>
      <c r="D279" s="251"/>
    </row>
    <row r="280" spans="1:15" ht="21" customHeight="1" x14ac:dyDescent="0.2">
      <c r="D280" s="251"/>
    </row>
    <row r="281" spans="1:15" ht="21" customHeight="1" x14ac:dyDescent="0.2">
      <c r="D281" s="251"/>
    </row>
    <row r="282" spans="1:15" ht="21" customHeight="1" x14ac:dyDescent="0.2">
      <c r="D282" s="251"/>
    </row>
    <row r="283" spans="1:15" ht="21" customHeight="1" x14ac:dyDescent="0.2">
      <c r="C283" s="13"/>
    </row>
    <row r="284" spans="1:15" ht="21" customHeight="1" x14ac:dyDescent="0.2">
      <c r="C284" s="251"/>
      <c r="D284" s="251"/>
    </row>
    <row r="285" spans="1:15" ht="21" customHeight="1" x14ac:dyDescent="0.2">
      <c r="C285" s="251"/>
    </row>
    <row r="286" spans="1:15" ht="21" customHeight="1" x14ac:dyDescent="0.2">
      <c r="C286" s="251"/>
    </row>
    <row r="287" spans="1:15" ht="21" customHeight="1" x14ac:dyDescent="0.2">
      <c r="C287" s="251"/>
    </row>
    <row r="288" spans="1:15" ht="21" customHeight="1" x14ac:dyDescent="0.2">
      <c r="C288" s="251"/>
    </row>
    <row r="289" spans="3:3" ht="21" customHeight="1" x14ac:dyDescent="0.2">
      <c r="C289" s="251"/>
    </row>
    <row r="290" spans="3:3" ht="21" customHeight="1" x14ac:dyDescent="0.2">
      <c r="C290" s="251"/>
    </row>
  </sheetData>
  <dataConsolidate/>
  <mergeCells count="29">
    <mergeCell ref="B6:C6"/>
    <mergeCell ref="B7:C7"/>
    <mergeCell ref="B8:C8"/>
    <mergeCell ref="M1:N1"/>
    <mergeCell ref="O1:P1"/>
    <mergeCell ref="E1:F1"/>
    <mergeCell ref="G1:H1"/>
    <mergeCell ref="I1:J1"/>
    <mergeCell ref="K1:L1"/>
    <mergeCell ref="A1:C1"/>
    <mergeCell ref="A2:C2"/>
    <mergeCell ref="A3:C3"/>
    <mergeCell ref="A4:C4"/>
    <mergeCell ref="D2:F2"/>
    <mergeCell ref="B5:C5"/>
    <mergeCell ref="J8:L8"/>
    <mergeCell ref="A81:A82"/>
    <mergeCell ref="A34:A35"/>
    <mergeCell ref="A39:A40"/>
    <mergeCell ref="A44:A45"/>
    <mergeCell ref="A49:A50"/>
    <mergeCell ref="A10:B11"/>
    <mergeCell ref="A12:B12"/>
    <mergeCell ref="A54:A55"/>
    <mergeCell ref="A61:A62"/>
    <mergeCell ref="A75:A76"/>
    <mergeCell ref="A24:A25"/>
    <mergeCell ref="A19:A20"/>
    <mergeCell ref="A29:A30"/>
  </mergeCells>
  <printOptions horizontalCentered="1"/>
  <pageMargins left="0.25" right="0.25" top="0.5" bottom="0.75" header="0.3" footer="0.3"/>
  <pageSetup paperSize="9" scale="36" fitToHeight="0" orientation="portrait" r:id="rId1"/>
  <headerFooter differentFirst="1">
    <oddFooter>Page &amp;P of &amp;N</oddFooter>
  </headerFooter>
  <ignoredErrors>
    <ignoredError sqref="O83 O92 O104 O109 O114 O246 O241 O236 O231 O225 O196 O211 O218 C58:N58 C72:N72 O272:O274 O255 O265 O2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mex">
                <anchor moveWithCells="1" sizeWithCells="1">
                  <from>
                    <xdr:col>13</xdr:col>
                    <xdr:colOff>190500</xdr:colOff>
                    <xdr:row>1</xdr:row>
                    <xdr:rowOff>88900</xdr:rowOff>
                  </from>
                  <to>
                    <xdr:col>14</xdr:col>
                    <xdr:colOff>228600</xdr:colOff>
                    <xdr:row>1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BVA">
                <anchor moveWithCells="1" sizeWithCells="1">
                  <from>
                    <xdr:col>13</xdr:col>
                    <xdr:colOff>190500</xdr:colOff>
                    <xdr:row>1</xdr:row>
                    <xdr:rowOff>749300</xdr:rowOff>
                  </from>
                  <to>
                    <xdr:col>14</xdr:col>
                    <xdr:colOff>228600</xdr:colOff>
                    <xdr:row>1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o2.FSA">
                <anchor moveWithCells="1" sizeWithCells="1">
                  <from>
                    <xdr:col>13</xdr:col>
                    <xdr:colOff>190500</xdr:colOff>
                    <xdr:row>3</xdr:row>
                    <xdr:rowOff>228600</xdr:rowOff>
                  </from>
                  <to>
                    <xdr:col>14</xdr:col>
                    <xdr:colOff>228600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FST" altText="Aggiorna Dati FinecoSt">
                <anchor moveWithCells="1" sizeWithCells="1">
                  <from>
                    <xdr:col>13</xdr:col>
                    <xdr:colOff>190500</xdr:colOff>
                    <xdr:row>1</xdr:row>
                    <xdr:rowOff>1397000</xdr:rowOff>
                  </from>
                  <to>
                    <xdr:col>14</xdr:col>
                    <xdr:colOff>228600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52202-F84F-F54D-863B-029437E0FFAE}">
  <sheetPr codeName="Foglio18">
    <tabColor rgb="FF0070C0"/>
  </sheetPr>
  <dimension ref="A1:AB152"/>
  <sheetViews>
    <sheetView showGridLines="0" zoomScale="90" zoomScaleNormal="90" workbookViewId="0">
      <pane xSplit="2" ySplit="9" topLeftCell="C97" activePane="bottomRight" state="frozen"/>
      <selection activeCell="E19" sqref="E19"/>
      <selection pane="topRight" activeCell="E19" sqref="E19"/>
      <selection pane="bottomLeft" activeCell="E19" sqref="E19"/>
      <selection pane="bottomRight" activeCell="F130" sqref="F130"/>
    </sheetView>
  </sheetViews>
  <sheetFormatPr baseColWidth="10" defaultColWidth="13" defaultRowHeight="16" x14ac:dyDescent="0.2"/>
  <cols>
    <col min="1" max="1" width="1.59765625" style="147" customWidth="1"/>
    <col min="2" max="2" width="43.796875" style="147" bestFit="1" customWidth="1"/>
    <col min="3" max="3" width="1.3984375" style="147" customWidth="1"/>
    <col min="4" max="15" width="17.796875" style="147" customWidth="1"/>
    <col min="16" max="16" width="1.3984375" customWidth="1"/>
    <col min="17" max="17" width="24" style="147" customWidth="1"/>
    <col min="18" max="18" width="19.3984375" style="147" customWidth="1"/>
    <col min="19" max="19" width="1.3984375" style="147" customWidth="1"/>
    <col min="20" max="21" width="18.796875" style="147" customWidth="1"/>
    <col min="22" max="22" width="1.3984375" style="147" customWidth="1"/>
    <col min="23" max="23" width="18.19921875" style="148" bestFit="1" customWidth="1"/>
    <col min="24" max="24" width="16" style="147" bestFit="1" customWidth="1"/>
    <col min="25" max="25" width="1.3984375" style="147" customWidth="1"/>
    <col min="26" max="26" width="44.3984375" style="158" bestFit="1" customWidth="1"/>
    <col min="27" max="16384" width="13" style="147"/>
  </cols>
  <sheetData>
    <row r="1" spans="2:26" ht="20" customHeight="1" x14ac:dyDescent="0.2"/>
    <row r="2" spans="2:26" s="298" customFormat="1" ht="64" customHeight="1" x14ac:dyDescent="0.2">
      <c r="B2" s="150" t="s">
        <v>353</v>
      </c>
      <c r="C2" s="338"/>
      <c r="D2" s="497" t="s">
        <v>354</v>
      </c>
      <c r="E2" s="497"/>
      <c r="F2" s="497"/>
      <c r="G2" s="497"/>
      <c r="H2" s="497"/>
      <c r="I2" s="497"/>
      <c r="J2" s="497"/>
      <c r="K2" s="497"/>
      <c r="L2" s="497"/>
      <c r="M2" s="497"/>
      <c r="N2" s="497"/>
      <c r="O2" s="497"/>
      <c r="P2"/>
      <c r="Q2" s="497" t="s">
        <v>148</v>
      </c>
      <c r="R2" s="497"/>
      <c r="S2" s="299"/>
      <c r="T2" s="498" t="s">
        <v>132</v>
      </c>
      <c r="U2" s="498"/>
      <c r="W2" s="497" t="s">
        <v>59</v>
      </c>
      <c r="X2" s="497"/>
      <c r="Z2" s="411" t="s">
        <v>824</v>
      </c>
    </row>
    <row r="3" spans="2:26" s="149" customFormat="1" ht="11" customHeight="1" x14ac:dyDescent="0.2">
      <c r="B3" s="300"/>
      <c r="C3" s="300"/>
      <c r="D3" s="217">
        <v>45658</v>
      </c>
      <c r="E3" s="217">
        <v>45689</v>
      </c>
      <c r="F3" s="217">
        <v>45717</v>
      </c>
      <c r="G3" s="217">
        <v>45748</v>
      </c>
      <c r="H3" s="217">
        <v>45778</v>
      </c>
      <c r="I3" s="217">
        <v>45809</v>
      </c>
      <c r="J3" s="217">
        <v>45839</v>
      </c>
      <c r="K3" s="217">
        <v>45870</v>
      </c>
      <c r="L3" s="217">
        <v>45901</v>
      </c>
      <c r="M3" s="217">
        <v>45931</v>
      </c>
      <c r="N3" s="217">
        <v>45962</v>
      </c>
      <c r="O3" s="217">
        <v>45992</v>
      </c>
      <c r="P3"/>
      <c r="Q3" s="152"/>
      <c r="R3" s="152"/>
      <c r="S3" s="151"/>
      <c r="T3" s="153"/>
      <c r="U3" s="153"/>
      <c r="X3" s="153"/>
      <c r="Z3" s="231"/>
    </row>
    <row r="4" spans="2:26" s="154" customFormat="1" ht="19" x14ac:dyDescent="0.2">
      <c r="D4" s="154" t="s">
        <v>73</v>
      </c>
      <c r="E4" s="154" t="s">
        <v>72</v>
      </c>
      <c r="F4" s="154" t="s">
        <v>71</v>
      </c>
      <c r="G4" s="154" t="s">
        <v>70</v>
      </c>
      <c r="H4" s="154" t="s">
        <v>69</v>
      </c>
      <c r="I4" s="154" t="s">
        <v>68</v>
      </c>
      <c r="J4" s="154" t="s">
        <v>67</v>
      </c>
      <c r="K4" s="154" t="s">
        <v>66</v>
      </c>
      <c r="L4" s="154" t="s">
        <v>65</v>
      </c>
      <c r="M4" s="154" t="s">
        <v>64</v>
      </c>
      <c r="N4" s="154" t="s">
        <v>63</v>
      </c>
      <c r="O4" s="154" t="s">
        <v>62</v>
      </c>
      <c r="P4"/>
      <c r="Q4" s="154" t="s">
        <v>60</v>
      </c>
      <c r="R4" s="154" t="s">
        <v>61</v>
      </c>
      <c r="T4" s="154" t="s">
        <v>132</v>
      </c>
      <c r="U4" s="154" t="s">
        <v>61</v>
      </c>
      <c r="W4" s="499" t="s">
        <v>59</v>
      </c>
      <c r="X4" s="499"/>
      <c r="Z4" s="232"/>
    </row>
    <row r="5" spans="2:26" s="154" customFormat="1" ht="19" x14ac:dyDescent="0.2">
      <c r="B5" s="335" t="s">
        <v>246</v>
      </c>
      <c r="C5" s="238"/>
      <c r="D5" s="297">
        <f ca="1">IF(YEAR(TODAY())=2026,IF(MONTH(TODAY())=1,CCActual,'Conto Economico'!D13),0)</f>
        <v>40497.309999999772</v>
      </c>
      <c r="E5" s="156">
        <f ca="1">IF(YEAR(TODAY())=2026,IF(MONTH(TODAY())&lt;2,D5-E7+E143,IF(MONTH(TODAY())=2,CCActual,'Conto Economico'!E13)),0)</f>
        <v>131315.74999999977</v>
      </c>
      <c r="F5" s="156">
        <f ca="1">IF(YEAR(TODAY())=2026,IF(MONTH(TODAY())&lt;3,E5-F7+F138,IF(MONTH(TODAY())=3,CCActual,'Conto Economico'!F13)),0)</f>
        <v>114219.16</v>
      </c>
      <c r="G5" s="156">
        <f ca="1">IF(YEAR(TODAY())=2026,IF(MONTH(TODAY())&lt;4,F5-G7+G138,IF(MONTH(TODAY())=4,CCActual,'Conto Economico'!G13)),0)</f>
        <v>341300.3</v>
      </c>
      <c r="H5" s="156">
        <f ca="1">IF(YEAR(TODAY())=2026,IF(MONTH(TODAY())&lt;5,G5-H7+H138,IF(MONTH(TODAY())=5,CCActual,'Conto Economico'!H13)),0)</f>
        <v>273127.34175000002</v>
      </c>
      <c r="I5" s="156">
        <f ca="1">IF(YEAR(TODAY())=2026,IF(MONTH(TODAY())&lt;6,H5-I7+I138,IF(MONTH(TODAY())=6,CCActual,'Conto Economico'!I13)),0)</f>
        <v>256677.42964900009</v>
      </c>
      <c r="J5" s="156">
        <f ca="1">IF(YEAR(TODAY())=2026,IF(MONTH(TODAY())&lt;7,I5-J7+J138,IF(MONTH(TODAY())=7,CCActual,'Conto Economico'!J13)),0)</f>
        <v>226467.19305600011</v>
      </c>
      <c r="K5" s="156">
        <f ca="1">IF(YEAR(TODAY())=2026,IF(MONTH(TODAY())&lt;8,J5-K7+K138,IF(MONTH(TODAY())=8,CCActual,'Conto Economico'!K13)),0)</f>
        <v>210056.88095693817</v>
      </c>
      <c r="L5" s="156">
        <f ca="1">IF(YEAR(TODAY())=2026,IF(MONTH(TODAY())&lt;9,K5-L7+L138,IF(MONTH(TODAY())=9,CCActual,'Conto Economico'!L13)),0)</f>
        <v>174314.99245787624</v>
      </c>
      <c r="M5" s="156">
        <f ca="1">IF(YEAR(TODAY())=2026,IF(MONTH(TODAY())&lt;10,L5-M7+M138,IF(MONTH(TODAY())=10,CCActual,'Conto Economico'!M13)),0)</f>
        <v>1975411.7203588143</v>
      </c>
      <c r="N5" s="156">
        <f ca="1">IF(YEAR(TODAY())=2026,IF(MONTH(TODAY())&lt;11,M5-N7+N138,IF(MONTH(TODAY())=11,CCActual,'Conto Economico'!N13)),0)</f>
        <v>1959001.4082597524</v>
      </c>
      <c r="O5" s="156">
        <f ca="1">IF(YEAR(TODAY())=2026,IF(MONTH(TODAY())&lt;12,N5-O7+O138,CCActual),IF(YEAR(TODAY())&gt;2026,'Conto Economico'!O13,0))</f>
        <v>1886047.0961606905</v>
      </c>
      <c r="P5"/>
      <c r="X5" s="155"/>
      <c r="Z5" s="232"/>
    </row>
    <row r="6" spans="2:26" s="157" customFormat="1" ht="7" customHeight="1" x14ac:dyDescent="0.2">
      <c r="B6" s="158"/>
      <c r="C6" s="158"/>
      <c r="P6"/>
      <c r="Z6" s="158"/>
    </row>
    <row r="7" spans="2:26" s="157" customFormat="1" ht="22" customHeight="1" x14ac:dyDescent="0.2">
      <c r="B7" s="159" t="s">
        <v>178</v>
      </c>
      <c r="C7" s="238"/>
      <c r="D7" s="160">
        <f t="shared" ref="D7:O7" ca="1" si="0">D9+D117</f>
        <v>40944.68</v>
      </c>
      <c r="E7" s="160">
        <f t="shared" ca="1" si="0"/>
        <v>38566.842201834865</v>
      </c>
      <c r="F7" s="160">
        <f t="shared" ca="1" si="0"/>
        <v>14834.31</v>
      </c>
      <c r="G7" s="160">
        <f t="shared" ca="1" si="0"/>
        <v>-7538.9799999999987</v>
      </c>
      <c r="H7" s="160">
        <f t="shared" ca="1" si="0"/>
        <v>19261.548147333335</v>
      </c>
      <c r="I7" s="160">
        <f t="shared" ca="1" si="0"/>
        <v>24088.5601264</v>
      </c>
      <c r="J7" s="160">
        <f t="shared" ca="1" si="0"/>
        <v>24288.1621576</v>
      </c>
      <c r="K7" s="160">
        <f t="shared" ca="1" si="0"/>
        <v>16410.312099061932</v>
      </c>
      <c r="L7" s="160">
        <f t="shared" ca="1" si="0"/>
        <v>35741.888499061934</v>
      </c>
      <c r="M7" s="160">
        <f t="shared" ca="1" si="0"/>
        <v>16410.312099061932</v>
      </c>
      <c r="N7" s="160">
        <f t="shared" ca="1" si="0"/>
        <v>16410.312099061932</v>
      </c>
      <c r="O7" s="160">
        <f t="shared" ca="1" si="0"/>
        <v>72954.312099061935</v>
      </c>
      <c r="P7"/>
      <c r="Q7" s="160">
        <f ca="1">Q9+Q117</f>
        <v>312372.25952847791</v>
      </c>
      <c r="R7" s="160">
        <f ca="1">R9+R117</f>
        <v>26031.02162737316</v>
      </c>
      <c r="S7" s="161"/>
      <c r="T7" s="160">
        <f ca="1">T9+T117</f>
        <v>691890.17513160035</v>
      </c>
      <c r="U7" s="160">
        <f ca="1">U9+U117</f>
        <v>14447.283333333335</v>
      </c>
      <c r="W7" s="160">
        <f ca="1">Q7-T7</f>
        <v>-379517.91560312244</v>
      </c>
      <c r="X7" s="319">
        <f ca="1">IF(T7=0,"-",Q7/T7)</f>
        <v>0.45147665157850148</v>
      </c>
      <c r="Z7" s="159" t="s">
        <v>178</v>
      </c>
    </row>
    <row r="8" spans="2:26" ht="7" customHeight="1" x14ac:dyDescent="0.2">
      <c r="X8" s="212"/>
    </row>
    <row r="9" spans="2:26" s="163" customFormat="1" ht="22" customHeight="1" x14ac:dyDescent="0.2">
      <c r="B9" s="160" t="s">
        <v>58</v>
      </c>
      <c r="C9" s="161"/>
      <c r="D9" s="160">
        <f t="shared" ref="D9:O9" ca="1" si="1">D11+D20+D32+D37+D42+D45+D58+D68+D73+D80+D87+D93+D98+D103+D108</f>
        <v>4496.87</v>
      </c>
      <c r="E9" s="160">
        <f t="shared" ca="1" si="1"/>
        <v>8824.0122018348629</v>
      </c>
      <c r="F9" s="160">
        <f t="shared" ca="1" si="1"/>
        <v>5179.4799999999996</v>
      </c>
      <c r="G9" s="160">
        <f t="shared" ca="1" si="1"/>
        <v>5410.63</v>
      </c>
      <c r="H9" s="160">
        <f t="shared" ca="1" si="1"/>
        <v>5856.1369333333341</v>
      </c>
      <c r="I9" s="160">
        <f t="shared" ca="1" si="1"/>
        <v>5391.66</v>
      </c>
      <c r="J9" s="160">
        <f t="shared" ca="1" si="1"/>
        <v>5382.1055999999999</v>
      </c>
      <c r="K9" s="160">
        <f t="shared" ca="1" si="1"/>
        <v>6632.0808380952376</v>
      </c>
      <c r="L9" s="160">
        <f t="shared" ca="1" si="1"/>
        <v>25963.657238095238</v>
      </c>
      <c r="M9" s="160">
        <f t="shared" ca="1" si="1"/>
        <v>6632.0808380952376</v>
      </c>
      <c r="N9" s="160">
        <f t="shared" ca="1" si="1"/>
        <v>6632.0808380952376</v>
      </c>
      <c r="O9" s="160">
        <f t="shared" ca="1" si="1"/>
        <v>6632.0808380952376</v>
      </c>
      <c r="P9"/>
      <c r="Q9" s="160">
        <f ca="1">Q11+Q20+Q32+Q37+Q42+Q45+Q58+Q68+Q73+Q80+Q87+Q93+Q98+Q103+Q108</f>
        <v>93032.875325644374</v>
      </c>
      <c r="R9" s="160">
        <f ca="1">R11+R20+R32+R37+R42+R45+R58+R68+R73+R80+R87+R93+R98+R103+R108</f>
        <v>7752.7396104703657</v>
      </c>
      <c r="S9" s="161"/>
      <c r="T9" s="160">
        <f ca="1">T11+T20+T32+T37+T42+T45+T58+T68+T73+T80+T87+T93+T98+T103+T108</f>
        <v>81823.399999999994</v>
      </c>
      <c r="U9" s="160">
        <f ca="1">U11+U20+U32+U37+U42+U45+U58+U68+U73+U80+U87+U93+U98+U103+U108</f>
        <v>6818.6166666666668</v>
      </c>
      <c r="V9" s="162"/>
      <c r="W9" s="160">
        <f ca="1">T9-Q9</f>
        <v>-11209.47532564438</v>
      </c>
      <c r="X9" s="319">
        <f ca="1">IF(T9=0,"-",Q9/T9)</f>
        <v>1.1369959611265772</v>
      </c>
      <c r="Z9" s="159" t="s">
        <v>58</v>
      </c>
    </row>
    <row r="10" spans="2:26" s="157" customFormat="1" x14ac:dyDescent="0.2">
      <c r="B10" s="165"/>
      <c r="C10" s="203"/>
      <c r="D10" s="166"/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/>
      <c r="Q10" s="164"/>
      <c r="R10" s="164"/>
      <c r="T10" s="164"/>
      <c r="U10" s="164"/>
      <c r="X10" s="213"/>
      <c r="Z10" s="158"/>
    </row>
    <row r="11" spans="2:26" s="149" customFormat="1" x14ac:dyDescent="0.2">
      <c r="B11" s="167" t="str">
        <f>'Conto Economico'!A83</f>
        <v>Spese Generali</v>
      </c>
      <c r="C11" s="167"/>
      <c r="D11" s="149">
        <f t="shared" ref="D11:O11" ca="1" si="2">SUM(D12:D18)</f>
        <v>23.98</v>
      </c>
      <c r="E11" s="149">
        <f t="shared" ca="1" si="2"/>
        <v>8.2799999999999994</v>
      </c>
      <c r="F11" s="149">
        <f t="shared" ca="1" si="2"/>
        <v>39.479999999999997</v>
      </c>
      <c r="G11" s="149">
        <f t="shared" ca="1" si="2"/>
        <v>80.099999999999994</v>
      </c>
      <c r="H11" s="149">
        <f t="shared" ca="1" si="2"/>
        <v>35.120000000000005</v>
      </c>
      <c r="I11" s="149">
        <f t="shared" ca="1" si="2"/>
        <v>44.01</v>
      </c>
      <c r="J11" s="149">
        <f t="shared" ca="1" si="2"/>
        <v>175.05333333333331</v>
      </c>
      <c r="K11" s="149">
        <f t="shared" ca="1" si="2"/>
        <v>179.16666666666666</v>
      </c>
      <c r="L11" s="149">
        <f t="shared" ca="1" si="2"/>
        <v>179.16666666666666</v>
      </c>
      <c r="M11" s="149">
        <f t="shared" ca="1" si="2"/>
        <v>179.16666666666666</v>
      </c>
      <c r="N11" s="149">
        <f t="shared" ca="1" si="2"/>
        <v>179.16666666666666</v>
      </c>
      <c r="O11" s="149">
        <f t="shared" ca="1" si="2"/>
        <v>179.16666666666666</v>
      </c>
      <c r="P11"/>
      <c r="Q11" s="149">
        <f ca="1">SUM(Q12:Q18)</f>
        <v>1301.8566666666666</v>
      </c>
      <c r="R11" s="149">
        <f ca="1">SUM(R12:R18)</f>
        <v>108.48805555555555</v>
      </c>
      <c r="T11" s="149">
        <f>SUM(T12:T18)</f>
        <v>2150</v>
      </c>
      <c r="U11" s="149">
        <f>SUM(U12:U18)</f>
        <v>179.16666666666666</v>
      </c>
      <c r="W11" s="168">
        <f ca="1">Q11-T11</f>
        <v>-848.14333333333343</v>
      </c>
      <c r="X11" s="319">
        <f ca="1">IF(T11=0,"-",Q11/T11)</f>
        <v>0.60551472868217049</v>
      </c>
      <c r="Z11" s="237" t="str">
        <f>'Conto Economico'!A83</f>
        <v>Spese Generali</v>
      </c>
    </row>
    <row r="12" spans="2:26" x14ac:dyDescent="0.2">
      <c r="B12" s="169" t="str">
        <f>'Conto Economico'!A84</f>
        <v>Arredamento</v>
      </c>
      <c r="C12" s="169"/>
      <c r="D12" s="147">
        <f ca="1">IF(AND(TODAY()&gt;=DATE(2026,1,1),OR(TODAY()&gt;=DATE(2026,2,1),'Conto Economico'!C84&lt;&gt;0)),'Conto Economico'!C84,$U12)</f>
        <v>0</v>
      </c>
      <c r="E12" s="147">
        <f ca="1">IF(AND(TODAY()&gt;=DATE(2026,2,1),OR(TODAY()&gt;=DATE(2026,3,1),'Conto Economico'!D84&lt;&gt;0)),'Conto Economico'!D84,MIN(MAX($U12,IFERROR(AVERAGEIF('Conto Economico'!$C84:C84,"&lt;&gt;0"),0)),MAX(0,($U12*12) - SUM('Conto Economico'!$C84:C84))))</f>
        <v>0</v>
      </c>
      <c r="F12" s="147">
        <f ca="1">IF(AND(TODAY()&gt;=DATE(2026,3,1),OR(TODAY()&gt;=DATE(2026,4,1),'Conto Economico'!E84&lt;&gt;0)),'Conto Economico'!E84,MIN(MAX($U12,IFERROR(AVERAGEIF('Conto Economico'!$C84:D84,"&lt;&gt;0"),0)),MAX(0,($U12*12) - SUM('Conto Economico'!$C84:D84))))</f>
        <v>0</v>
      </c>
      <c r="G12" s="147">
        <f ca="1">IF(AND(TODAY()&gt;=DATE(2026,4,1),OR(TODAY()&gt;=DATE(2026,5,1),'Conto Economico'!F84&lt;&gt;0)),'Conto Economico'!F84,MIN(MAX($U12,IFERROR(AVERAGEIF('Conto Economico'!$C84:E84,"&lt;&gt;0"),0)),MAX(0,($U12*12) - SUM('Conto Economico'!$C84:E84))))</f>
        <v>0</v>
      </c>
      <c r="H12" s="147">
        <f ca="1">IF(AND(TODAY()&gt;=DATE(2026,5,1),OR(TODAY()&gt;=DATE(2026,6,1),'Conto Economico'!G84&lt;&gt;0)),'Conto Economico'!G84,MIN(MAX($U12,IFERROR(AVERAGEIF('Conto Economico'!$C84:F84,"&lt;&gt;0"),0)),MAX(0,($U12*12) - SUM('Conto Economico'!$C84:F84))))</f>
        <v>0</v>
      </c>
      <c r="I12" s="147">
        <f ca="1">IF(AND(TODAY()&gt;=DATE(2026,6,1),OR(TODAY()&gt;=DATE(2026,7,1),'Conto Economico'!H84&lt;&gt;0)),'Conto Economico'!H84,MIN(MAX($U12,IFERROR(AVERAGEIF('Conto Economico'!$C84:G84,"&lt;&gt;0"),0)),MAX(0,($U12*12) - SUM('Conto Economico'!$C84:G84))))</f>
        <v>0</v>
      </c>
      <c r="J12" s="147">
        <f ca="1">IF(AND(TODAY()&gt;=DATE(2026,7,1),OR(TODAY()&gt;=DATE(2026,8,1),'Conto Economico'!I84&lt;&gt;0)),'Conto Economico'!I84,MIN(MAX($U12,IFERROR(AVERAGEIF('Conto Economico'!$C84:H84,"&lt;&gt;0"),0)),MAX(0,($U12*12) - SUM('Conto Economico'!$C84:H84))))</f>
        <v>25</v>
      </c>
      <c r="K12" s="147">
        <f ca="1">IF(AND(TODAY()&gt;=DATE(2026,8,1),OR(TODAY()&gt;=DATE(2026,9,1),'Conto Economico'!J84&lt;&gt;0)),'Conto Economico'!J84,MIN(MAX($U12,IFERROR(AVERAGEIF('Conto Economico'!$C84:I84,"&lt;&gt;0"),0)),MAX(0,($U12*12) - SUM('Conto Economico'!$C84:I84))))</f>
        <v>25</v>
      </c>
      <c r="L12" s="147">
        <f ca="1">IF(AND(TODAY()&gt;=DATE(2026,9,1),OR(TODAY()&gt;=DATE(2026,10,1),'Conto Economico'!K84&lt;&gt;0)),'Conto Economico'!K84,MIN(MAX($U12,IFERROR(AVERAGEIF('Conto Economico'!$C84:J84,"&lt;&gt;0"),0)),MAX(0,($U12*12) - SUM('Conto Economico'!$C84:J84))))</f>
        <v>25</v>
      </c>
      <c r="M12" s="147">
        <f ca="1">IF(AND(TODAY()&gt;=DATE(2026,10,1),OR(TODAY()&gt;=DATE(2026,11,1),'Conto Economico'!L84&lt;&gt;0)),'Conto Economico'!L84,MIN(MAX($U12,IFERROR(AVERAGEIF('Conto Economico'!$C84:K84,"&lt;&gt;0"),0)),MAX(0,($U12*12) - SUM('Conto Economico'!$C84:K84))))</f>
        <v>25</v>
      </c>
      <c r="N12" s="147">
        <f ca="1">IF(AND(TODAY()&gt;=DATE(2026,11,1),OR(TODAY()&gt;=DATE(2026,12,1),'Conto Economico'!M84&lt;&gt;0)),'Conto Economico'!M84,MIN(MAX($U12,IFERROR(AVERAGEIF('Conto Economico'!$C84:L84,"&lt;&gt;0"),0)),MAX(0,($U12*12) - SUM('Conto Economico'!$C84:L84))))</f>
        <v>25</v>
      </c>
      <c r="O12" s="147">
        <f ca="1">IF(AND(TODAY()&gt;=DATE(2026,12,1),OR(TODAY()&gt;=DATE(2027,1,1),'Conto Economico'!N84&lt;&gt;0)),'Conto Economico'!N84,MIN(MAX($U12,IFERROR(AVERAGEIF('Conto Economico'!$C84:M84,"&lt;&gt;0"),0)),MAX(0,($U12*12) - SUM('Conto Economico'!$C84:M84))))</f>
        <v>25</v>
      </c>
      <c r="Q12" s="147">
        <f t="shared" ref="Q12:Q18" ca="1" si="3">SUM(D12:O12)</f>
        <v>150</v>
      </c>
      <c r="R12" s="147">
        <f t="shared" ref="R12:R18" ca="1" si="4">Q12/12</f>
        <v>12.5</v>
      </c>
      <c r="T12" s="170">
        <f>'Budget 27'!C14</f>
        <v>300</v>
      </c>
      <c r="U12" s="170">
        <f t="shared" ref="U12:U18" si="5">T12/12</f>
        <v>25</v>
      </c>
      <c r="W12" s="170">
        <f ca="1">Q12-T12</f>
        <v>-150</v>
      </c>
      <c r="X12" s="405">
        <f t="shared" ref="X12:X18" ca="1" si="6">IF(T12=0,"-",Q12/T12)</f>
        <v>0.5</v>
      </c>
      <c r="Z12" s="234" t="str">
        <f>'Conto Economico'!A84</f>
        <v>Arredamento</v>
      </c>
    </row>
    <row r="13" spans="2:26" x14ac:dyDescent="0.2">
      <c r="B13" s="169" t="str">
        <f>'Conto Economico'!A85</f>
        <v>Cinema - Giochi - Libri - Regali</v>
      </c>
      <c r="C13" s="169"/>
      <c r="D13" s="147">
        <f ca="1">IF(AND(TODAY()&gt;=DATE(2026,1,1),OR(TODAY()&gt;=DATE(2026,2,1),'Conto Economico'!C85&lt;&gt;0)),'Conto Economico'!C85,$U13)</f>
        <v>23.98</v>
      </c>
      <c r="E13" s="147">
        <f ca="1">IF(AND(TODAY()&gt;=DATE(2026,2,1),OR(TODAY()&gt;=DATE(2026,3,1),'Conto Economico'!D85&lt;&gt;0)),'Conto Economico'!D85,MIN(MAX($U13,IFERROR(AVERAGEIF('Conto Economico'!$C85:C85,"&lt;&gt;0"),0)),MAX(0,($U13*12) - SUM('Conto Economico'!$C85:C85))))</f>
        <v>0</v>
      </c>
      <c r="F13" s="147">
        <f ca="1">IF(AND(TODAY()&gt;=DATE(2026,3,1),OR(TODAY()&gt;=DATE(2026,4,1),'Conto Economico'!E85&lt;&gt;0)),'Conto Economico'!E85,MIN(MAX($U13,IFERROR(AVERAGEIF('Conto Economico'!$C85:D85,"&lt;&gt;0"),0)),MAX(0,($U13*12) - SUM('Conto Economico'!$C85:D85))))</f>
        <v>0</v>
      </c>
      <c r="G13" s="147">
        <f ca="1">IF(AND(TODAY()&gt;=DATE(2026,4,1),OR(TODAY()&gt;=DATE(2026,5,1),'Conto Economico'!F85&lt;&gt;0)),'Conto Economico'!F85,MIN(MAX($U13,IFERROR(AVERAGEIF('Conto Economico'!$C85:E85,"&lt;&gt;0"),0)),MAX(0,($U13*12) - SUM('Conto Economico'!$C85:E85))))</f>
        <v>9.99</v>
      </c>
      <c r="H13" s="147">
        <f ca="1">IF(AND(TODAY()&gt;=DATE(2026,5,1),OR(TODAY()&gt;=DATE(2026,6,1),'Conto Economico'!G85&lt;&gt;0)),'Conto Economico'!G85,MIN(MAX($U13,IFERROR(AVERAGEIF('Conto Economico'!$C85:F85,"&lt;&gt;0"),0)),MAX(0,($U13*12) - SUM('Conto Economico'!$C85:F85))))</f>
        <v>4.99</v>
      </c>
      <c r="I13" s="147">
        <f ca="1">IF(AND(TODAY()&gt;=DATE(2026,6,1),OR(TODAY()&gt;=DATE(2026,7,1),'Conto Economico'!H85&lt;&gt;0)),'Conto Economico'!H85,MIN(MAX($U13,IFERROR(AVERAGEIF('Conto Economico'!$C85:G85,"&lt;&gt;0"),0)),MAX(0,($U13*12) - SUM('Conto Economico'!$C85:G85))))</f>
        <v>35.97</v>
      </c>
      <c r="J13" s="147">
        <f ca="1">IF(AND(TODAY()&gt;=DATE(2026,7,1),OR(TODAY()&gt;=DATE(2026,8,1),'Conto Economico'!I85&lt;&gt;0)),'Conto Economico'!I85,MIN(MAX($U13,IFERROR(AVERAGEIF('Conto Economico'!$C85:H85,"&lt;&gt;0"),0)),MAX(0,($U13*12) - SUM('Conto Economico'!$C85:H85))))</f>
        <v>25</v>
      </c>
      <c r="K13" s="147">
        <f ca="1">IF(AND(TODAY()&gt;=DATE(2026,8,1),OR(TODAY()&gt;=DATE(2026,9,1),'Conto Economico'!J85&lt;&gt;0)),'Conto Economico'!J85,MIN(MAX($U13,IFERROR(AVERAGEIF('Conto Economico'!$C85:I85,"&lt;&gt;0"),0)),MAX(0,($U13*12) - SUM('Conto Economico'!$C85:I85))))</f>
        <v>25</v>
      </c>
      <c r="L13" s="147">
        <f ca="1">IF(AND(TODAY()&gt;=DATE(2026,9,1),OR(TODAY()&gt;=DATE(2026,10,1),'Conto Economico'!K85&lt;&gt;0)),'Conto Economico'!K85,MIN(MAX($U13,IFERROR(AVERAGEIF('Conto Economico'!$C85:J85,"&lt;&gt;0"),0)),MAX(0,($U13*12) - SUM('Conto Economico'!$C85:J85))))</f>
        <v>25</v>
      </c>
      <c r="M13" s="147">
        <f ca="1">IF(AND(TODAY()&gt;=DATE(2026,10,1),OR(TODAY()&gt;=DATE(2026,11,1),'Conto Economico'!L85&lt;&gt;0)),'Conto Economico'!L85,MIN(MAX($U13,IFERROR(AVERAGEIF('Conto Economico'!$C85:K85,"&lt;&gt;0"),0)),MAX(0,($U13*12) - SUM('Conto Economico'!$C85:K85))))</f>
        <v>25</v>
      </c>
      <c r="N13" s="147">
        <f ca="1">IF(AND(TODAY()&gt;=DATE(2026,11,1),OR(TODAY()&gt;=DATE(2026,12,1),'Conto Economico'!M85&lt;&gt;0)),'Conto Economico'!M85,MIN(MAX($U13,IFERROR(AVERAGEIF('Conto Economico'!$C85:L85,"&lt;&gt;0"),0)),MAX(0,($U13*12) - SUM('Conto Economico'!$C85:L85))))</f>
        <v>25</v>
      </c>
      <c r="O13" s="147">
        <f ca="1">IF(AND(TODAY()&gt;=DATE(2026,12,1),OR(TODAY()&gt;=DATE(2027,1,1),'Conto Economico'!N85&lt;&gt;0)),'Conto Economico'!N85,MIN(MAX($U13,IFERROR(AVERAGEIF('Conto Economico'!$C85:M85,"&lt;&gt;0"),0)),MAX(0,($U13*12) - SUM('Conto Economico'!$C85:M85))))</f>
        <v>25</v>
      </c>
      <c r="Q13" s="147">
        <f t="shared" ca="1" si="3"/>
        <v>224.93</v>
      </c>
      <c r="R13" s="147">
        <f t="shared" ca="1" si="4"/>
        <v>18.744166666666668</v>
      </c>
      <c r="T13" s="170">
        <f>'Budget 27'!C15</f>
        <v>300</v>
      </c>
      <c r="U13" s="170">
        <f t="shared" si="5"/>
        <v>25</v>
      </c>
      <c r="W13" s="170">
        <f t="shared" ref="W13:W18" ca="1" si="7">Q13-T13</f>
        <v>-75.069999999999993</v>
      </c>
      <c r="X13" s="405">
        <f t="shared" ca="1" si="6"/>
        <v>0.74976666666666669</v>
      </c>
      <c r="Z13" s="234" t="str">
        <f>'Conto Economico'!A85</f>
        <v>Cinema - Giochi - Libri - Regali</v>
      </c>
    </row>
    <row r="14" spans="2:26" x14ac:dyDescent="0.2">
      <c r="B14" s="169" t="str">
        <f>'Conto Economico'!A86</f>
        <v>Elettronica e Tecnologia</v>
      </c>
      <c r="C14" s="169"/>
      <c r="D14" s="147">
        <f ca="1">IF(AND(TODAY()&gt;=DATE(2026,1,1),OR(TODAY()&gt;=DATE(2026,2,1),'Conto Economico'!C86&lt;&gt;0)),'Conto Economico'!C86,$U14)</f>
        <v>0</v>
      </c>
      <c r="E14" s="147">
        <f ca="1">IF(AND(TODAY()&gt;=DATE(2026,2,1),OR(TODAY()&gt;=DATE(2026,3,1),'Conto Economico'!D86&lt;&gt;0)),'Conto Economico'!D86,MIN(MAX($U14,IFERROR(AVERAGEIF('Conto Economico'!$C86:C86,"&lt;&gt;0"),0)),MAX(0,($U14*12) - SUM('Conto Economico'!$C86:C86))))</f>
        <v>0</v>
      </c>
      <c r="F14" s="147">
        <f ca="1">IF(AND(TODAY()&gt;=DATE(2026,3,1),OR(TODAY()&gt;=DATE(2026,4,1),'Conto Economico'!E86&lt;&gt;0)),'Conto Economico'!E86,MIN(MAX($U14,IFERROR(AVERAGEIF('Conto Economico'!$C86:D86,"&lt;&gt;0"),0)),MAX(0,($U14*12) - SUM('Conto Economico'!$C86:D86))))</f>
        <v>4.99</v>
      </c>
      <c r="G14" s="147">
        <f ca="1">IF(AND(TODAY()&gt;=DATE(2026,4,1),OR(TODAY()&gt;=DATE(2026,5,1),'Conto Economico'!F86&lt;&gt;0)),'Conto Economico'!F86,MIN(MAX($U14,IFERROR(AVERAGEIF('Conto Economico'!$C86:E86,"&lt;&gt;0"),0)),MAX(0,($U14*12) - SUM('Conto Economico'!$C86:E86))))</f>
        <v>18.95</v>
      </c>
      <c r="H14" s="147">
        <f ca="1">IF(AND(TODAY()&gt;=DATE(2026,5,1),OR(TODAY()&gt;=DATE(2026,6,1),'Conto Economico'!G86&lt;&gt;0)),'Conto Economico'!G86,MIN(MAX($U14,IFERROR(AVERAGEIF('Conto Economico'!$C86:F86,"&lt;&gt;0"),0)),MAX(0,($U14*12) - SUM('Conto Economico'!$C86:F86))))</f>
        <v>0</v>
      </c>
      <c r="I14" s="147">
        <f ca="1">IF(AND(TODAY()&gt;=DATE(2026,6,1),OR(TODAY()&gt;=DATE(2026,7,1),'Conto Economico'!H86&lt;&gt;0)),'Conto Economico'!H86,MIN(MAX($U14,IFERROR(AVERAGEIF('Conto Economico'!$C86:G86,"&lt;&gt;0"),0)),MAX(0,($U14*12) - SUM('Conto Economico'!$C86:G86))))</f>
        <v>8.0399999999999991</v>
      </c>
      <c r="J14" s="147">
        <f ca="1">IF(AND(TODAY()&gt;=DATE(2026,7,1),OR(TODAY()&gt;=DATE(2026,8,1),'Conto Economico'!I86&lt;&gt;0)),'Conto Economico'!I86,MIN(MAX($U14,IFERROR(AVERAGEIF('Conto Economico'!$C86:H86,"&lt;&gt;0"),0)),MAX(0,($U14*12) - SUM('Conto Economico'!$C86:H86))))</f>
        <v>41.666666666666664</v>
      </c>
      <c r="K14" s="147">
        <f ca="1">IF(AND(TODAY()&gt;=DATE(2026,8,1),OR(TODAY()&gt;=DATE(2026,9,1),'Conto Economico'!J86&lt;&gt;0)),'Conto Economico'!J86,MIN(MAX($U14,IFERROR(AVERAGEIF('Conto Economico'!$C86:I86,"&lt;&gt;0"),0)),MAX(0,($U14*12) - SUM('Conto Economico'!$C86:I86))))</f>
        <v>41.666666666666664</v>
      </c>
      <c r="L14" s="147">
        <f ca="1">IF(AND(TODAY()&gt;=DATE(2026,9,1),OR(TODAY()&gt;=DATE(2026,10,1),'Conto Economico'!K86&lt;&gt;0)),'Conto Economico'!K86,MIN(MAX($U14,IFERROR(AVERAGEIF('Conto Economico'!$C86:J86,"&lt;&gt;0"),0)),MAX(0,($U14*12) - SUM('Conto Economico'!$C86:J86))))</f>
        <v>41.666666666666664</v>
      </c>
      <c r="M14" s="147">
        <f ca="1">IF(AND(TODAY()&gt;=DATE(2026,10,1),OR(TODAY()&gt;=DATE(2026,11,1),'Conto Economico'!L86&lt;&gt;0)),'Conto Economico'!L86,MIN(MAX($U14,IFERROR(AVERAGEIF('Conto Economico'!$C86:K86,"&lt;&gt;0"),0)),MAX(0,($U14*12) - SUM('Conto Economico'!$C86:K86))))</f>
        <v>41.666666666666664</v>
      </c>
      <c r="N14" s="147">
        <f ca="1">IF(AND(TODAY()&gt;=DATE(2026,11,1),OR(TODAY()&gt;=DATE(2026,12,1),'Conto Economico'!M86&lt;&gt;0)),'Conto Economico'!M86,MIN(MAX($U14,IFERROR(AVERAGEIF('Conto Economico'!$C86:L86,"&lt;&gt;0"),0)),MAX(0,($U14*12) - SUM('Conto Economico'!$C86:L86))))</f>
        <v>41.666666666666664</v>
      </c>
      <c r="O14" s="147">
        <f ca="1">IF(AND(TODAY()&gt;=DATE(2026,12,1),OR(TODAY()&gt;=DATE(2027,1,1),'Conto Economico'!N86&lt;&gt;0)),'Conto Economico'!N86,MIN(MAX($U14,IFERROR(AVERAGEIF('Conto Economico'!$C86:M86,"&lt;&gt;0"),0)),MAX(0,($U14*12) - SUM('Conto Economico'!$C86:M86))))</f>
        <v>41.666666666666664</v>
      </c>
      <c r="Q14" s="147">
        <f t="shared" ca="1" si="3"/>
        <v>281.97999999999996</v>
      </c>
      <c r="R14" s="147">
        <f t="shared" ca="1" si="4"/>
        <v>23.498333333333331</v>
      </c>
      <c r="T14" s="170">
        <f>'Budget 27'!C16</f>
        <v>500</v>
      </c>
      <c r="U14" s="170">
        <f t="shared" si="5"/>
        <v>41.666666666666664</v>
      </c>
      <c r="W14" s="170">
        <f t="shared" ca="1" si="7"/>
        <v>-218.02000000000004</v>
      </c>
      <c r="X14" s="405">
        <f t="shared" ca="1" si="6"/>
        <v>0.56395999999999991</v>
      </c>
      <c r="Z14" s="234" t="str">
        <f>'Conto Economico'!A86</f>
        <v>Elettronica e Tecnologia</v>
      </c>
    </row>
    <row r="15" spans="2:26" x14ac:dyDescent="0.2">
      <c r="B15" s="169" t="str">
        <f>'Conto Economico'!A87</f>
        <v>Elettrodomestici</v>
      </c>
      <c r="C15" s="169"/>
      <c r="D15" s="147">
        <f ca="1">IF(AND(TODAY()&gt;=DATE(2026,1,1),OR(TODAY()&gt;=DATE(2026,2,1),'Conto Economico'!C87&lt;&gt;0)),'Conto Economico'!C87,$U15)</f>
        <v>0</v>
      </c>
      <c r="E15" s="147">
        <f ca="1">IF(AND(TODAY()&gt;=DATE(2026,2,1),OR(TODAY()&gt;=DATE(2026,3,1),'Conto Economico'!D87&lt;&gt;0)),'Conto Economico'!D87,MIN(MAX($U15,IFERROR(AVERAGEIF('Conto Economico'!$C87:C87,"&lt;&gt;0"),0)),MAX(0,($U15*12) - SUM('Conto Economico'!$C87:C87))))</f>
        <v>0</v>
      </c>
      <c r="F15" s="147">
        <f ca="1">IF(AND(TODAY()&gt;=DATE(2026,3,1),OR(TODAY()&gt;=DATE(2026,4,1),'Conto Economico'!E87&lt;&gt;0)),'Conto Economico'!E87,MIN(MAX($U15,IFERROR(AVERAGEIF('Conto Economico'!$C87:D87,"&lt;&gt;0"),0)),MAX(0,($U15*12) - SUM('Conto Economico'!$C87:D87))))</f>
        <v>0</v>
      </c>
      <c r="G15" s="147">
        <f ca="1">IF(AND(TODAY()&gt;=DATE(2026,4,1),OR(TODAY()&gt;=DATE(2026,5,1),'Conto Economico'!F87&lt;&gt;0)),'Conto Economico'!F87,MIN(MAX($U15,IFERROR(AVERAGEIF('Conto Economico'!$C87:E87,"&lt;&gt;0"),0)),MAX(0,($U15*12) - SUM('Conto Economico'!$C87:E87))))</f>
        <v>0</v>
      </c>
      <c r="H15" s="147">
        <f ca="1">IF(AND(TODAY()&gt;=DATE(2026,5,1),OR(TODAY()&gt;=DATE(2026,6,1),'Conto Economico'!G87&lt;&gt;0)),'Conto Economico'!G87,MIN(MAX($U15,IFERROR(AVERAGEIF('Conto Economico'!$C87:F87,"&lt;&gt;0"),0)),MAX(0,($U15*12) - SUM('Conto Economico'!$C87:F87))))</f>
        <v>0</v>
      </c>
      <c r="I15" s="147">
        <f ca="1">IF(AND(TODAY()&gt;=DATE(2026,6,1),OR(TODAY()&gt;=DATE(2026,7,1),'Conto Economico'!H87&lt;&gt;0)),'Conto Economico'!H87,MIN(MAX($U15,IFERROR(AVERAGEIF('Conto Economico'!$C87:G87,"&lt;&gt;0"),0)),MAX(0,($U15*12) - SUM('Conto Economico'!$C87:G87))))</f>
        <v>0</v>
      </c>
      <c r="J15" s="147">
        <f ca="1">IF(AND(TODAY()&gt;=DATE(2026,7,1),OR(TODAY()&gt;=DATE(2026,8,1),'Conto Economico'!I87&lt;&gt;0)),'Conto Economico'!I87,MIN(MAX($U15,IFERROR(AVERAGEIF('Conto Economico'!$C87:H87,"&lt;&gt;0"),0)),MAX(0,($U15*12) - SUM('Conto Economico'!$C87:H87))))</f>
        <v>8.3333333333333339</v>
      </c>
      <c r="K15" s="147">
        <f ca="1">IF(AND(TODAY()&gt;=DATE(2026,8,1),OR(TODAY()&gt;=DATE(2026,9,1),'Conto Economico'!J87&lt;&gt;0)),'Conto Economico'!J87,MIN(MAX($U15,IFERROR(AVERAGEIF('Conto Economico'!$C87:I87,"&lt;&gt;0"),0)),MAX(0,($U15*12) - SUM('Conto Economico'!$C87:I87))))</f>
        <v>8.3333333333333339</v>
      </c>
      <c r="L15" s="147">
        <f ca="1">IF(AND(TODAY()&gt;=DATE(2026,9,1),OR(TODAY()&gt;=DATE(2026,10,1),'Conto Economico'!K87&lt;&gt;0)),'Conto Economico'!K87,MIN(MAX($U15,IFERROR(AVERAGEIF('Conto Economico'!$C87:J87,"&lt;&gt;0"),0)),MAX(0,($U15*12) - SUM('Conto Economico'!$C87:J87))))</f>
        <v>8.3333333333333339</v>
      </c>
      <c r="M15" s="147">
        <f ca="1">IF(AND(TODAY()&gt;=DATE(2026,10,1),OR(TODAY()&gt;=DATE(2026,11,1),'Conto Economico'!L87&lt;&gt;0)),'Conto Economico'!L87,MIN(MAX($U15,IFERROR(AVERAGEIF('Conto Economico'!$C87:K87,"&lt;&gt;0"),0)),MAX(0,($U15*12) - SUM('Conto Economico'!$C87:K87))))</f>
        <v>8.3333333333333339</v>
      </c>
      <c r="N15" s="147">
        <f ca="1">IF(AND(TODAY()&gt;=DATE(2026,11,1),OR(TODAY()&gt;=DATE(2026,12,1),'Conto Economico'!M87&lt;&gt;0)),'Conto Economico'!M87,MIN(MAX($U15,IFERROR(AVERAGEIF('Conto Economico'!$C87:L87,"&lt;&gt;0"),0)),MAX(0,($U15*12) - SUM('Conto Economico'!$C87:L87))))</f>
        <v>8.3333333333333339</v>
      </c>
      <c r="O15" s="147">
        <f ca="1">IF(AND(TODAY()&gt;=DATE(2026,12,1),OR(TODAY()&gt;=DATE(2027,1,1),'Conto Economico'!N87&lt;&gt;0)),'Conto Economico'!N87,MIN(MAX($U15,IFERROR(AVERAGEIF('Conto Economico'!$C87:M87,"&lt;&gt;0"),0)),MAX(0,($U15*12) - SUM('Conto Economico'!$C87:M87))))</f>
        <v>8.3333333333333339</v>
      </c>
      <c r="Q15" s="147">
        <f t="shared" ca="1" si="3"/>
        <v>50.000000000000007</v>
      </c>
      <c r="R15" s="147">
        <f t="shared" ca="1" si="4"/>
        <v>4.166666666666667</v>
      </c>
      <c r="T15" s="170">
        <f>'Budget 27'!C17</f>
        <v>100</v>
      </c>
      <c r="U15" s="170">
        <f t="shared" si="5"/>
        <v>8.3333333333333339</v>
      </c>
      <c r="W15" s="170">
        <f t="shared" ca="1" si="7"/>
        <v>-49.999999999999993</v>
      </c>
      <c r="X15" s="405">
        <f t="shared" ca="1" si="6"/>
        <v>0.50000000000000011</v>
      </c>
      <c r="Z15" s="234" t="str">
        <f>'Conto Economico'!A87</f>
        <v>Elettrodomestici</v>
      </c>
    </row>
    <row r="16" spans="2:26" x14ac:dyDescent="0.2">
      <c r="B16" s="169" t="str">
        <f>'Conto Economico'!A88</f>
        <v>Prodotti per la Pulizia - Detersivi</v>
      </c>
      <c r="C16" s="169"/>
      <c r="D16" s="147">
        <f ca="1">IF(AND(TODAY()&gt;=DATE(2026,1,1),OR(TODAY()&gt;=DATE(2026,2,1),'Conto Economico'!C88&lt;&gt;0)),'Conto Economico'!C88,$U16)</f>
        <v>0</v>
      </c>
      <c r="E16" s="147">
        <f ca="1">IF(AND(TODAY()&gt;=DATE(2026,2,1),OR(TODAY()&gt;=DATE(2026,3,1),'Conto Economico'!D88&lt;&gt;0)),'Conto Economico'!D88,MIN(MAX($U16,IFERROR(AVERAGEIF('Conto Economico'!$C88:C88,"&lt;&gt;0"),0)),MAX(0,($U16*12) - SUM('Conto Economico'!$C88:C88))))</f>
        <v>8.2799999999999994</v>
      </c>
      <c r="F16" s="147">
        <f ca="1">IF(AND(TODAY()&gt;=DATE(2026,3,1),OR(TODAY()&gt;=DATE(2026,4,1),'Conto Economico'!E88&lt;&gt;0)),'Conto Economico'!E88,MIN(MAX($U16,IFERROR(AVERAGEIF('Conto Economico'!$C88:D88,"&lt;&gt;0"),0)),MAX(0,($U16*12) - SUM('Conto Economico'!$C88:D88))))</f>
        <v>34.489999999999995</v>
      </c>
      <c r="G16" s="147">
        <f ca="1">IF(AND(TODAY()&gt;=DATE(2026,4,1),OR(TODAY()&gt;=DATE(2026,5,1),'Conto Economico'!F88&lt;&gt;0)),'Conto Economico'!F88,MIN(MAX($U16,IFERROR(AVERAGEIF('Conto Economico'!$C88:E88,"&lt;&gt;0"),0)),MAX(0,($U16*12) - SUM('Conto Economico'!$C88:E88))))</f>
        <v>11.17</v>
      </c>
      <c r="H16" s="147">
        <f ca="1">IF(AND(TODAY()&gt;=DATE(2026,5,1),OR(TODAY()&gt;=DATE(2026,6,1),'Conto Economico'!G88&lt;&gt;0)),'Conto Economico'!G88,MIN(MAX($U16,IFERROR(AVERAGEIF('Conto Economico'!$C88:F88,"&lt;&gt;0"),0)),MAX(0,($U16*12) - SUM('Conto Economico'!$C88:F88))))</f>
        <v>17.329999999999998</v>
      </c>
      <c r="I16" s="147">
        <f ca="1">IF(AND(TODAY()&gt;=DATE(2026,6,1),OR(TODAY()&gt;=DATE(2026,7,1),'Conto Economico'!H88&lt;&gt;0)),'Conto Economico'!H88,MIN(MAX($U16,IFERROR(AVERAGEIF('Conto Economico'!$C88:G88,"&lt;&gt;0"),0)),MAX(0,($U16*12) - SUM('Conto Economico'!$C88:G88))))</f>
        <v>0</v>
      </c>
      <c r="J16" s="147">
        <f ca="1">IF(AND(TODAY()&gt;=DATE(2026,7,1),OR(TODAY()&gt;=DATE(2026,8,1),'Conto Economico'!I88&lt;&gt;0)),'Conto Economico'!I88,MIN(MAX($U16,IFERROR(AVERAGEIF('Conto Economico'!$C88:H88,"&lt;&gt;0"),0)),MAX(0,($U16*12) - SUM('Conto Economico'!$C88:H88))))</f>
        <v>16.720000000000002</v>
      </c>
      <c r="K16" s="147">
        <f ca="1">IF(AND(TODAY()&gt;=DATE(2026,8,1),OR(TODAY()&gt;=DATE(2026,9,1),'Conto Economico'!J88&lt;&gt;0)),'Conto Economico'!J88,MIN(MAX($U16,IFERROR(AVERAGEIF('Conto Economico'!$C88:I88,"&lt;&gt;0"),0)),MAX(0,($U16*12) - SUM('Conto Economico'!$C88:I88))))</f>
        <v>20.833333333333332</v>
      </c>
      <c r="L16" s="147">
        <f ca="1">IF(AND(TODAY()&gt;=DATE(2026,9,1),OR(TODAY()&gt;=DATE(2026,10,1),'Conto Economico'!K88&lt;&gt;0)),'Conto Economico'!K88,MIN(MAX($U16,IFERROR(AVERAGEIF('Conto Economico'!$C88:J88,"&lt;&gt;0"),0)),MAX(0,($U16*12) - SUM('Conto Economico'!$C88:J88))))</f>
        <v>20.833333333333332</v>
      </c>
      <c r="M16" s="147">
        <f ca="1">IF(AND(TODAY()&gt;=DATE(2026,10,1),OR(TODAY()&gt;=DATE(2026,11,1),'Conto Economico'!L88&lt;&gt;0)),'Conto Economico'!L88,MIN(MAX($U16,IFERROR(AVERAGEIF('Conto Economico'!$C88:K88,"&lt;&gt;0"),0)),MAX(0,($U16*12) - SUM('Conto Economico'!$C88:K88))))</f>
        <v>20.833333333333332</v>
      </c>
      <c r="N16" s="147">
        <f ca="1">IF(AND(TODAY()&gt;=DATE(2026,11,1),OR(TODAY()&gt;=DATE(2026,12,1),'Conto Economico'!M88&lt;&gt;0)),'Conto Economico'!M88,MIN(MAX($U16,IFERROR(AVERAGEIF('Conto Economico'!$C88:L88,"&lt;&gt;0"),0)),MAX(0,($U16*12) - SUM('Conto Economico'!$C88:L88))))</f>
        <v>20.833333333333332</v>
      </c>
      <c r="O16" s="147">
        <f ca="1">IF(AND(TODAY()&gt;=DATE(2026,12,1),OR(TODAY()&gt;=DATE(2027,1,1),'Conto Economico'!N88&lt;&gt;0)),'Conto Economico'!N88,MIN(MAX($U16,IFERROR(AVERAGEIF('Conto Economico'!$C88:M88,"&lt;&gt;0"),0)),MAX(0,($U16*12) - SUM('Conto Economico'!$C88:M88))))</f>
        <v>20.833333333333332</v>
      </c>
      <c r="Q16" s="147">
        <f t="shared" ca="1" si="3"/>
        <v>192.15666666666669</v>
      </c>
      <c r="R16" s="147">
        <f t="shared" ca="1" si="4"/>
        <v>16.013055555555557</v>
      </c>
      <c r="T16" s="170">
        <f>'Budget 27'!C18</f>
        <v>250</v>
      </c>
      <c r="U16" s="170">
        <f t="shared" si="5"/>
        <v>20.833333333333332</v>
      </c>
      <c r="W16" s="170">
        <f t="shared" ca="1" si="7"/>
        <v>-57.843333333333305</v>
      </c>
      <c r="X16" s="405">
        <f t="shared" ca="1" si="6"/>
        <v>0.76862666666666679</v>
      </c>
      <c r="Z16" s="234" t="str">
        <f>'Conto Economico'!A88</f>
        <v>Prodotti per la Pulizia - Detersivi</v>
      </c>
    </row>
    <row r="17" spans="1:26" x14ac:dyDescent="0.2">
      <c r="B17" s="169" t="str">
        <f>'Conto Economico'!A89</f>
        <v>Accessori per Casa e Cucina</v>
      </c>
      <c r="C17" s="169"/>
      <c r="D17" s="147">
        <f ca="1">IF(AND(TODAY()&gt;=DATE(2026,1,1),OR(TODAY()&gt;=DATE(2026,2,1),'Conto Economico'!C89&lt;&gt;0)),'Conto Economico'!C89,$U17)</f>
        <v>0</v>
      </c>
      <c r="E17" s="147">
        <f ca="1">IF(AND(TODAY()&gt;=DATE(2026,2,1),OR(TODAY()&gt;=DATE(2026,3,1),'Conto Economico'!D89&lt;&gt;0)),'Conto Economico'!D89,MIN(MAX($U17,IFERROR(AVERAGEIF('Conto Economico'!$C89:C89,"&lt;&gt;0"),0)),MAX(0,($U17*12) - SUM('Conto Economico'!$C89:C89))))</f>
        <v>0</v>
      </c>
      <c r="F17" s="147">
        <f ca="1">IF(AND(TODAY()&gt;=DATE(2026,3,1),OR(TODAY()&gt;=DATE(2026,4,1),'Conto Economico'!E89&lt;&gt;0)),'Conto Economico'!E89,MIN(MAX($U17,IFERROR(AVERAGEIF('Conto Economico'!$C89:D89,"&lt;&gt;0"),0)),MAX(0,($U17*12) - SUM('Conto Economico'!$C89:D89))))</f>
        <v>0</v>
      </c>
      <c r="G17" s="147">
        <f ca="1">IF(AND(TODAY()&gt;=DATE(2026,4,1),OR(TODAY()&gt;=DATE(2026,5,1),'Conto Economico'!F89&lt;&gt;0)),'Conto Economico'!F89,MIN(MAX($U17,IFERROR(AVERAGEIF('Conto Economico'!$C89:E89,"&lt;&gt;0"),0)),MAX(0,($U17*12) - SUM('Conto Economico'!$C89:E89))))</f>
        <v>39.99</v>
      </c>
      <c r="H17" s="147">
        <f ca="1">IF(AND(TODAY()&gt;=DATE(2026,5,1),OR(TODAY()&gt;=DATE(2026,6,1),'Conto Economico'!G89&lt;&gt;0)),'Conto Economico'!G89,MIN(MAX($U17,IFERROR(AVERAGEIF('Conto Economico'!$C89:F89,"&lt;&gt;0"),0)),MAX(0,($U17*12) - SUM('Conto Economico'!$C89:F89))))</f>
        <v>12.8</v>
      </c>
      <c r="I17" s="147">
        <f ca="1">IF(AND(TODAY()&gt;=DATE(2026,6,1),OR(TODAY()&gt;=DATE(2026,7,1),'Conto Economico'!H89&lt;&gt;0)),'Conto Economico'!H89,MIN(MAX($U17,IFERROR(AVERAGEIF('Conto Economico'!$C89:G89,"&lt;&gt;0"),0)),MAX(0,($U17*12) - SUM('Conto Economico'!$C89:G89))))</f>
        <v>0</v>
      </c>
      <c r="J17" s="147">
        <f ca="1">IF(AND(TODAY()&gt;=DATE(2026,7,1),OR(TODAY()&gt;=DATE(2026,8,1),'Conto Economico'!I89&lt;&gt;0)),'Conto Economico'!I89,MIN(MAX($U17,IFERROR(AVERAGEIF('Conto Economico'!$C89:H89,"&lt;&gt;0"),0)),MAX(0,($U17*12) - SUM('Conto Economico'!$C89:H89))))</f>
        <v>33.333333333333336</v>
      </c>
      <c r="K17" s="147">
        <f ca="1">IF(AND(TODAY()&gt;=DATE(2026,8,1),OR(TODAY()&gt;=DATE(2026,9,1),'Conto Economico'!J89&lt;&gt;0)),'Conto Economico'!J89,MIN(MAX($U17,IFERROR(AVERAGEIF('Conto Economico'!$C89:I89,"&lt;&gt;0"),0)),MAX(0,($U17*12) - SUM('Conto Economico'!$C89:I89))))</f>
        <v>33.333333333333336</v>
      </c>
      <c r="L17" s="147">
        <f ca="1">IF(AND(TODAY()&gt;=DATE(2026,9,1),OR(TODAY()&gt;=DATE(2026,10,1),'Conto Economico'!K89&lt;&gt;0)),'Conto Economico'!K89,MIN(MAX($U17,IFERROR(AVERAGEIF('Conto Economico'!$C89:J89,"&lt;&gt;0"),0)),MAX(0,($U17*12) - SUM('Conto Economico'!$C89:J89))))</f>
        <v>33.333333333333336</v>
      </c>
      <c r="M17" s="147">
        <f ca="1">IF(AND(TODAY()&gt;=DATE(2026,10,1),OR(TODAY()&gt;=DATE(2026,11,1),'Conto Economico'!L89&lt;&gt;0)),'Conto Economico'!L89,MIN(MAX($U17,IFERROR(AVERAGEIF('Conto Economico'!$C89:K89,"&lt;&gt;0"),0)),MAX(0,($U17*12) - SUM('Conto Economico'!$C89:K89))))</f>
        <v>33.333333333333336</v>
      </c>
      <c r="N17" s="147">
        <f ca="1">IF(AND(TODAY()&gt;=DATE(2026,11,1),OR(TODAY()&gt;=DATE(2026,12,1),'Conto Economico'!M89&lt;&gt;0)),'Conto Economico'!M89,MIN(MAX($U17,IFERROR(AVERAGEIF('Conto Economico'!$C89:L89,"&lt;&gt;0"),0)),MAX(0,($U17*12) - SUM('Conto Economico'!$C89:L89))))</f>
        <v>33.333333333333336</v>
      </c>
      <c r="O17" s="147">
        <f ca="1">IF(AND(TODAY()&gt;=DATE(2026,12,1),OR(TODAY()&gt;=DATE(2027,1,1),'Conto Economico'!N89&lt;&gt;0)),'Conto Economico'!N89,MIN(MAX($U17,IFERROR(AVERAGEIF('Conto Economico'!$C89:M89,"&lt;&gt;0"),0)),MAX(0,($U17*12) - SUM('Conto Economico'!$C89:M89))))</f>
        <v>33.333333333333336</v>
      </c>
      <c r="Q17" s="147">
        <f t="shared" ca="1" si="3"/>
        <v>252.79000000000005</v>
      </c>
      <c r="R17" s="147">
        <f t="shared" ca="1" si="4"/>
        <v>21.065833333333337</v>
      </c>
      <c r="T17" s="170">
        <f>'Budget 27'!C19</f>
        <v>400</v>
      </c>
      <c r="U17" s="170">
        <f t="shared" si="5"/>
        <v>33.333333333333336</v>
      </c>
      <c r="W17" s="170">
        <f t="shared" ca="1" si="7"/>
        <v>-147.20999999999995</v>
      </c>
      <c r="X17" s="405">
        <f t="shared" ca="1" si="6"/>
        <v>0.63197500000000018</v>
      </c>
      <c r="Z17" s="234" t="str">
        <f>'Conto Economico'!A89</f>
        <v>Accessori per Casa e Cucina</v>
      </c>
    </row>
    <row r="18" spans="1:26" x14ac:dyDescent="0.2">
      <c r="B18" s="169" t="str">
        <f>'Conto Economico'!A90</f>
        <v>Accessori per Piscina e Giardino</v>
      </c>
      <c r="C18" s="169"/>
      <c r="D18" s="147">
        <f ca="1">IF(AND(TODAY()&gt;=DATE(2026,1,1),OR(TODAY()&gt;=DATE(2026,2,1),'Conto Economico'!C90&lt;&gt;0)),'Conto Economico'!C90,$U18)</f>
        <v>0</v>
      </c>
      <c r="E18" s="147">
        <f ca="1">IF(AND(TODAY()&gt;=DATE(2026,2,1),OR(TODAY()&gt;=DATE(2026,3,1),'Conto Economico'!D90&lt;&gt;0)),'Conto Economico'!D90,MIN(MAX($U18,IFERROR(AVERAGEIF('Conto Economico'!$C90:C90,"&lt;&gt;0"),0)),MAX(0,($U18*12) - SUM('Conto Economico'!$C90:C90))))</f>
        <v>0</v>
      </c>
      <c r="F18" s="147">
        <f ca="1">IF(AND(TODAY()&gt;=DATE(2026,3,1),OR(TODAY()&gt;=DATE(2026,4,1),'Conto Economico'!E90&lt;&gt;0)),'Conto Economico'!E90,MIN(MAX($U18,IFERROR(AVERAGEIF('Conto Economico'!$C90:D90,"&lt;&gt;0"),0)),MAX(0,($U18*12) - SUM('Conto Economico'!$C90:D90))))</f>
        <v>0</v>
      </c>
      <c r="G18" s="147">
        <f ca="1">IF(AND(TODAY()&gt;=DATE(2026,4,1),OR(TODAY()&gt;=DATE(2026,5,1),'Conto Economico'!F90&lt;&gt;0)),'Conto Economico'!F90,MIN(MAX($U18,IFERROR(AVERAGEIF('Conto Economico'!$C90:E90,"&lt;&gt;0"),0)),MAX(0,($U18*12) - SUM('Conto Economico'!$C90:E90))))</f>
        <v>0</v>
      </c>
      <c r="H18" s="147">
        <f ca="1">IF(AND(TODAY()&gt;=DATE(2026,5,1),OR(TODAY()&gt;=DATE(2026,6,1),'Conto Economico'!G90&lt;&gt;0)),'Conto Economico'!G90,MIN(MAX($U18,IFERROR(AVERAGEIF('Conto Economico'!$C90:F90,"&lt;&gt;0"),0)),MAX(0,($U18*12) - SUM('Conto Economico'!$C90:F90))))</f>
        <v>0</v>
      </c>
      <c r="I18" s="147">
        <f ca="1">IF(AND(TODAY()&gt;=DATE(2026,6,1),OR(TODAY()&gt;=DATE(2026,7,1),'Conto Economico'!H90&lt;&gt;0)),'Conto Economico'!H90,MIN(MAX($U18,IFERROR(AVERAGEIF('Conto Economico'!$C90:G90,"&lt;&gt;0"),0)),MAX(0,($U18*12) - SUM('Conto Economico'!$C90:G90))))</f>
        <v>0</v>
      </c>
      <c r="J18" s="147">
        <f ca="1">IF(AND(TODAY()&gt;=DATE(2026,7,1),OR(TODAY()&gt;=DATE(2026,8,1),'Conto Economico'!I90&lt;&gt;0)),'Conto Economico'!I90,MIN(MAX($U18,IFERROR(AVERAGEIF('Conto Economico'!$C90:H90,"&lt;&gt;0"),0)),MAX(0,($U18*12) - SUM('Conto Economico'!$C90:H90))))</f>
        <v>25</v>
      </c>
      <c r="K18" s="147">
        <f ca="1">IF(AND(TODAY()&gt;=DATE(2026,8,1),OR(TODAY()&gt;=DATE(2026,9,1),'Conto Economico'!J90&lt;&gt;0)),'Conto Economico'!J90,MIN(MAX($U18,IFERROR(AVERAGEIF('Conto Economico'!$C90:I90,"&lt;&gt;0"),0)),MAX(0,($U18*12) - SUM('Conto Economico'!$C90:I90))))</f>
        <v>25</v>
      </c>
      <c r="L18" s="147">
        <f ca="1">IF(AND(TODAY()&gt;=DATE(2026,9,1),OR(TODAY()&gt;=DATE(2026,10,1),'Conto Economico'!K90&lt;&gt;0)),'Conto Economico'!K90,MIN(MAX($U18,IFERROR(AVERAGEIF('Conto Economico'!$C90:J90,"&lt;&gt;0"),0)),MAX(0,($U18*12) - SUM('Conto Economico'!$C90:J90))))</f>
        <v>25</v>
      </c>
      <c r="M18" s="147">
        <f ca="1">IF(AND(TODAY()&gt;=DATE(2026,10,1),OR(TODAY()&gt;=DATE(2026,11,1),'Conto Economico'!L90&lt;&gt;0)),'Conto Economico'!L90,MIN(MAX($U18,IFERROR(AVERAGEIF('Conto Economico'!$C90:K90,"&lt;&gt;0"),0)),MAX(0,($U18*12) - SUM('Conto Economico'!$C90:K90))))</f>
        <v>25</v>
      </c>
      <c r="N18" s="147">
        <f ca="1">IF(AND(TODAY()&gt;=DATE(2026,11,1),OR(TODAY()&gt;=DATE(2026,12,1),'Conto Economico'!M90&lt;&gt;0)),'Conto Economico'!M90,MIN(MAX($U18,IFERROR(AVERAGEIF('Conto Economico'!$C90:L90,"&lt;&gt;0"),0)),MAX(0,($U18*12) - SUM('Conto Economico'!$C90:L90))))</f>
        <v>25</v>
      </c>
      <c r="O18" s="147">
        <f ca="1">IF(AND(TODAY()&gt;=DATE(2026,12,1),OR(TODAY()&gt;=DATE(2027,1,1),'Conto Economico'!N90&lt;&gt;0)),'Conto Economico'!N90,MIN(MAX($U18,IFERROR(AVERAGEIF('Conto Economico'!$C90:M90,"&lt;&gt;0"),0)),MAX(0,($U18*12) - SUM('Conto Economico'!$C90:M90))))</f>
        <v>25</v>
      </c>
      <c r="Q18" s="147">
        <f t="shared" ca="1" si="3"/>
        <v>150</v>
      </c>
      <c r="R18" s="147">
        <f t="shared" ca="1" si="4"/>
        <v>12.5</v>
      </c>
      <c r="T18" s="170">
        <f>'Budget 27'!C20</f>
        <v>300</v>
      </c>
      <c r="U18" s="170">
        <f t="shared" si="5"/>
        <v>25</v>
      </c>
      <c r="W18" s="170">
        <f t="shared" ca="1" si="7"/>
        <v>-150</v>
      </c>
      <c r="X18" s="405">
        <f t="shared" ca="1" si="6"/>
        <v>0.5</v>
      </c>
      <c r="Z18" s="234" t="str">
        <f>'Conto Economico'!A90</f>
        <v>Accessori per Piscina e Giardino</v>
      </c>
    </row>
    <row r="19" spans="1:26" x14ac:dyDescent="0.2">
      <c r="A19" s="157"/>
      <c r="B19" s="165"/>
      <c r="C19" s="203"/>
      <c r="D19" s="166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Q19" s="164"/>
      <c r="R19" s="164"/>
      <c r="S19" s="157"/>
      <c r="T19" s="164"/>
      <c r="U19" s="164"/>
      <c r="V19" s="157"/>
      <c r="W19" s="164"/>
      <c r="X19" s="320"/>
      <c r="Z19" s="235"/>
    </row>
    <row r="20" spans="1:26" x14ac:dyDescent="0.2">
      <c r="B20" s="167" t="str">
        <f>'Conto Economico'!A92</f>
        <v>Spese Ricorrenti</v>
      </c>
      <c r="C20" s="167"/>
      <c r="D20" s="149">
        <f t="shared" ref="D20:O20" ca="1" si="8">SUM(D21:D30)</f>
        <v>144.66999999999999</v>
      </c>
      <c r="E20" s="149">
        <f t="shared" ca="1" si="8"/>
        <v>274.99</v>
      </c>
      <c r="F20" s="149">
        <f t="shared" ca="1" si="8"/>
        <v>224.54000000000002</v>
      </c>
      <c r="G20" s="149">
        <f t="shared" ca="1" si="8"/>
        <v>148.35000000000002</v>
      </c>
      <c r="H20" s="149">
        <f t="shared" ca="1" si="8"/>
        <v>251.06360000000001</v>
      </c>
      <c r="I20" s="149">
        <f t="shared" ca="1" si="8"/>
        <v>246.16</v>
      </c>
      <c r="J20" s="149">
        <f t="shared" ca="1" si="8"/>
        <v>638.95059999999989</v>
      </c>
      <c r="K20" s="149">
        <f t="shared" ca="1" si="8"/>
        <v>302.74060000000003</v>
      </c>
      <c r="L20" s="149">
        <f t="shared" ca="1" si="8"/>
        <v>302.74060000000003</v>
      </c>
      <c r="M20" s="149">
        <f t="shared" ca="1" si="8"/>
        <v>302.74060000000003</v>
      </c>
      <c r="N20" s="149">
        <f t="shared" ca="1" si="8"/>
        <v>302.74060000000003</v>
      </c>
      <c r="O20" s="149">
        <f t="shared" ca="1" si="8"/>
        <v>302.74060000000003</v>
      </c>
      <c r="Q20" s="149">
        <f ca="1">SUM(Q21:Q30)</f>
        <v>3442.4271999999996</v>
      </c>
      <c r="R20" s="149">
        <f ca="1">SUM(R21:R30)</f>
        <v>286.8689333333333</v>
      </c>
      <c r="S20" s="149"/>
      <c r="T20" s="149">
        <f>SUM(T21:T30)</f>
        <v>3320</v>
      </c>
      <c r="U20" s="149">
        <f>SUM(U21:U30)</f>
        <v>276.66666666666669</v>
      </c>
      <c r="W20" s="168">
        <f ca="1">Q20-T20</f>
        <v>122.42719999999963</v>
      </c>
      <c r="X20" s="319">
        <f ca="1">IF(T20=0,"-",Q20/T20)</f>
        <v>1.0368756626506024</v>
      </c>
      <c r="Z20" s="233" t="str">
        <f>'Conto Economico'!A92</f>
        <v>Spese Ricorrenti</v>
      </c>
    </row>
    <row r="21" spans="1:26" x14ac:dyDescent="0.2">
      <c r="B21" s="169" t="str">
        <f>'Conto Economico'!A93</f>
        <v>Luce</v>
      </c>
      <c r="C21" s="169"/>
      <c r="D21" s="147">
        <f ca="1">IF(AND(TODAY()&gt;=DATE(2026,1,1),OR(TODAY()&gt;=DATE(2026,2,1),'Conto Economico'!C93&lt;&gt;0)),'Conto Economico'!C93,$U21)</f>
        <v>0</v>
      </c>
      <c r="E21" s="147">
        <f ca="1">IF(AND(TODAY()&gt;=DATE(2026,2,1),OR(TODAY()&gt;=DATE(2026,3,1),'Conto Economico'!D93&lt;&gt;0)),'Conto Economico'!D93,MIN(MAX($U21,IFERROR(AVERAGEIF('Conto Economico'!$C93:C93,"&lt;&gt;0"),0)),MAX(0,($U21*12) - SUM('Conto Economico'!$C93:C93))))</f>
        <v>162.01</v>
      </c>
      <c r="F21" s="147">
        <f ca="1">IF(AND(TODAY()&gt;=DATE(2026,3,1),OR(TODAY()&gt;=DATE(2026,4,1),'Conto Economico'!E93&lt;&gt;0)),'Conto Economico'!E93,MIN(MAX($U21,IFERROR(AVERAGEIF('Conto Economico'!$C93:D93,"&lt;&gt;0"),0)),MAX(0,($U21*12) - SUM('Conto Economico'!$C93:D93))))</f>
        <v>103.66</v>
      </c>
      <c r="G21" s="147">
        <f ca="1">IF(AND(TODAY()&gt;=DATE(2026,4,1),OR(TODAY()&gt;=DATE(2026,5,1),'Conto Economico'!F93&lt;&gt;0)),'Conto Economico'!F93,MIN(MAX($U21,IFERROR(AVERAGEIF('Conto Economico'!$C93:E93,"&lt;&gt;0"),0)),MAX(0,($U21*12) - SUM('Conto Economico'!$C93:E93))))</f>
        <v>73.5</v>
      </c>
      <c r="H21" s="147">
        <f ca="1">IF(AND(TODAY()&gt;=DATE(2026,5,1),OR(TODAY()&gt;=DATE(2026,6,1),'Conto Economico'!G93&lt;&gt;0)),'Conto Economico'!G93,MIN(MAX($U21,IFERROR(AVERAGEIF('Conto Economico'!$C93:F93,"&lt;&gt;0"),0)),MAX(0,($U21*12) - SUM('Conto Economico'!$C93:F93))))</f>
        <v>95.330000000000013</v>
      </c>
      <c r="I21" s="147">
        <f ca="1">IF(AND(TODAY()&gt;=DATE(2026,6,1),OR(TODAY()&gt;=DATE(2026,7,1),'Conto Economico'!H93&lt;&gt;0)),'Conto Economico'!H93,MIN(MAX($U21,IFERROR(AVERAGEIF('Conto Economico'!$C93:G93,"&lt;&gt;0"),0)),MAX(0,($U21*12) - SUM('Conto Economico'!$C93:G93))))</f>
        <v>87.85</v>
      </c>
      <c r="J21" s="147">
        <f ca="1">IF(AND(TODAY()&gt;=DATE(2026,7,1),OR(TODAY()&gt;=DATE(2026,8,1),'Conto Economico'!I93&lt;&gt;0)),'Conto Economico'!I93,MIN(MAX($U21,IFERROR(AVERAGEIF('Conto Economico'!$C93:H93,"&lt;&gt;0"),0)),MAX(0,($U21*12) - SUM('Conto Economico'!$C93:H93))))</f>
        <v>104.47</v>
      </c>
      <c r="K21" s="147">
        <f ca="1">IF(AND(TODAY()&gt;=DATE(2026,8,1),OR(TODAY()&gt;=DATE(2026,9,1),'Conto Economico'!J93&lt;&gt;0)),'Conto Economico'!J93,MIN(MAX($U21,IFERROR(AVERAGEIF('Conto Economico'!$C93:I93,"&lt;&gt;0"),0)),MAX(0,($U21*12) - SUM('Conto Economico'!$C93:I93))))</f>
        <v>104.47</v>
      </c>
      <c r="L21" s="147">
        <f ca="1">IF(AND(TODAY()&gt;=DATE(2026,9,1),OR(TODAY()&gt;=DATE(2026,10,1),'Conto Economico'!K93&lt;&gt;0)),'Conto Economico'!K93,MIN(MAX($U21,IFERROR(AVERAGEIF('Conto Economico'!$C93:J93,"&lt;&gt;0"),0)),MAX(0,($U21*12) - SUM('Conto Economico'!$C93:J93))))</f>
        <v>104.47</v>
      </c>
      <c r="M21" s="147">
        <f ca="1">IF(AND(TODAY()&gt;=DATE(2026,10,1),OR(TODAY()&gt;=DATE(2026,11,1),'Conto Economico'!L93&lt;&gt;0)),'Conto Economico'!L93,MIN(MAX($U21,IFERROR(AVERAGEIF('Conto Economico'!$C93:K93,"&lt;&gt;0"),0)),MAX(0,($U21*12) - SUM('Conto Economico'!$C93:K93))))</f>
        <v>104.47</v>
      </c>
      <c r="N21" s="147">
        <f ca="1">IF(AND(TODAY()&gt;=DATE(2026,11,1),OR(TODAY()&gt;=DATE(2026,12,1),'Conto Economico'!M93&lt;&gt;0)),'Conto Economico'!M93,MIN(MAX($U21,IFERROR(AVERAGEIF('Conto Economico'!$C93:L93,"&lt;&gt;0"),0)),MAX(0,($U21*12) - SUM('Conto Economico'!$C93:L93))))</f>
        <v>104.47</v>
      </c>
      <c r="O21" s="147">
        <f ca="1">IF(AND(TODAY()&gt;=DATE(2026,12,1),OR(TODAY()&gt;=DATE(2027,1,1),'Conto Economico'!N93&lt;&gt;0)),'Conto Economico'!N93,MIN(MAX($U21,IFERROR(AVERAGEIF('Conto Economico'!$C93:M93,"&lt;&gt;0"),0)),MAX(0,($U21*12) - SUM('Conto Economico'!$C93:M93))))</f>
        <v>104.47</v>
      </c>
      <c r="Q21" s="147">
        <f t="shared" ref="Q21:Q30" ca="1" si="9">SUM(D21:O21)</f>
        <v>1149.17</v>
      </c>
      <c r="R21" s="147">
        <f t="shared" ref="R21:R30" ca="1" si="10">Q21/12</f>
        <v>95.764166666666668</v>
      </c>
      <c r="T21" s="170">
        <f>'Budget 27'!C23</f>
        <v>1200</v>
      </c>
      <c r="U21" s="170">
        <f t="shared" ref="U21:U30" si="11">T21/12</f>
        <v>100</v>
      </c>
      <c r="W21" s="170">
        <f t="shared" ref="W21:W30" ca="1" si="12">Q21-T21</f>
        <v>-50.829999999999927</v>
      </c>
      <c r="X21" s="405">
        <f t="shared" ref="X21:X30" ca="1" si="13">IF(T21=0,"-",Q21/T21)</f>
        <v>0.95764166666666672</v>
      </c>
      <c r="Z21" s="234" t="str">
        <f>'Conto Economico'!A93</f>
        <v>Luce</v>
      </c>
    </row>
    <row r="22" spans="1:26" x14ac:dyDescent="0.2">
      <c r="B22" s="169" t="str">
        <f>'Conto Economico'!A94</f>
        <v>Acqua Potabile</v>
      </c>
      <c r="C22" s="169"/>
      <c r="D22" s="147">
        <f ca="1">IF(AND(TODAY()&gt;=DATE(2026,1,1),OR(TODAY()&gt;=DATE(2026,2,1),'Conto Economico'!C94&lt;&gt;0)),'Conto Economico'!C94,$U22)</f>
        <v>52.15</v>
      </c>
      <c r="E22" s="147">
        <f ca="1">IF(AND(TODAY()&gt;=DATE(2026,2,1),OR(TODAY()&gt;=DATE(2026,3,1),'Conto Economico'!D94&lt;&gt;0)),'Conto Economico'!D94,MIN(MAX($U22,IFERROR(AVERAGEIF('Conto Economico'!$C94:C94,"&lt;&gt;0"),0)),MAX(0,($U22*12) - SUM('Conto Economico'!$C94:C94))))</f>
        <v>0</v>
      </c>
      <c r="F22" s="147">
        <f ca="1">IF(AND(TODAY()&gt;=DATE(2026,3,1),OR(TODAY()&gt;=DATE(2026,4,1),'Conto Economico'!E94&lt;&gt;0)),'Conto Economico'!E94,MIN(MAX($U22,IFERROR(AVERAGEIF('Conto Economico'!$C94:D94,"&lt;&gt;0"),0)),MAX(0,($U22*12) - SUM('Conto Economico'!$C94:D94))))</f>
        <v>40.31</v>
      </c>
      <c r="G22" s="147">
        <f ca="1">IF(AND(TODAY()&gt;=DATE(2026,4,1),OR(TODAY()&gt;=DATE(2026,5,1),'Conto Economico'!F94&lt;&gt;0)),'Conto Economico'!F94,MIN(MAX($U22,IFERROR(AVERAGEIF('Conto Economico'!$C94:E94,"&lt;&gt;0"),0)),MAX(0,($U22*12) - SUM('Conto Economico'!$C94:E94))))</f>
        <v>0</v>
      </c>
      <c r="H22" s="147">
        <f ca="1">IF(AND(TODAY()&gt;=DATE(2026,5,1),OR(TODAY()&gt;=DATE(2026,6,1),'Conto Economico'!G94&lt;&gt;0)),'Conto Economico'!G94,MIN(MAX($U22,IFERROR(AVERAGEIF('Conto Economico'!$C94:F94,"&lt;&gt;0"),0)),MAX(0,($U22*12) - SUM('Conto Economico'!$C94:F94))))</f>
        <v>66.87</v>
      </c>
      <c r="I22" s="147">
        <f ca="1">IF(AND(TODAY()&gt;=DATE(2026,6,1),OR(TODAY()&gt;=DATE(2026,7,1),'Conto Economico'!H94&lt;&gt;0)),'Conto Economico'!H94,MIN(MAX($U22,IFERROR(AVERAGEIF('Conto Economico'!$C94:G94,"&lt;&gt;0"),0)),MAX(0,($U22*12) - SUM('Conto Economico'!$C94:G94))))</f>
        <v>0</v>
      </c>
      <c r="J22" s="147">
        <f ca="1">IF(AND(TODAY()&gt;=DATE(2026,7,1),OR(TODAY()&gt;=DATE(2026,8,1),'Conto Economico'!I94&lt;&gt;0)),'Conto Economico'!I94,MIN(MAX($U22,IFERROR(AVERAGEIF('Conto Economico'!$C94:H94,"&lt;&gt;0"),0)),MAX(0,($U22*12) - SUM('Conto Economico'!$C94:H94))))</f>
        <v>96.99</v>
      </c>
      <c r="K22" s="147">
        <f ca="1">IF(AND(TODAY()&gt;=DATE(2026,8,1),OR(TODAY()&gt;=DATE(2026,9,1),'Conto Economico'!J94&lt;&gt;0)),'Conto Economico'!J94,MIN(MAX($U22,IFERROR(AVERAGEIF('Conto Economico'!$C94:I94,"&lt;&gt;0"),0)),MAX(0,($U22*12) - SUM('Conto Economico'!$C94:I94))))</f>
        <v>64.08</v>
      </c>
      <c r="L22" s="147">
        <f ca="1">IF(AND(TODAY()&gt;=DATE(2026,9,1),OR(TODAY()&gt;=DATE(2026,10,1),'Conto Economico'!K94&lt;&gt;0)),'Conto Economico'!K94,MIN(MAX($U22,IFERROR(AVERAGEIF('Conto Economico'!$C94:J94,"&lt;&gt;0"),0)),MAX(0,($U22*12) - SUM('Conto Economico'!$C94:J94))))</f>
        <v>64.08</v>
      </c>
      <c r="M22" s="147">
        <f ca="1">IF(AND(TODAY()&gt;=DATE(2026,10,1),OR(TODAY()&gt;=DATE(2026,11,1),'Conto Economico'!L94&lt;&gt;0)),'Conto Economico'!L94,MIN(MAX($U22,IFERROR(AVERAGEIF('Conto Economico'!$C94:K94,"&lt;&gt;0"),0)),MAX(0,($U22*12) - SUM('Conto Economico'!$C94:K94))))</f>
        <v>64.08</v>
      </c>
      <c r="N22" s="147">
        <f ca="1">IF(AND(TODAY()&gt;=DATE(2026,11,1),OR(TODAY()&gt;=DATE(2026,12,1),'Conto Economico'!M94&lt;&gt;0)),'Conto Economico'!M94,MIN(MAX($U22,IFERROR(AVERAGEIF('Conto Economico'!$C94:L94,"&lt;&gt;0"),0)),MAX(0,($U22*12) - SUM('Conto Economico'!$C94:L94))))</f>
        <v>64.08</v>
      </c>
      <c r="O22" s="147">
        <f ca="1">IF(AND(TODAY()&gt;=DATE(2026,12,1),OR(TODAY()&gt;=DATE(2027,1,1),'Conto Economico'!N94&lt;&gt;0)),'Conto Economico'!N94,MIN(MAX($U22,IFERROR(AVERAGEIF('Conto Economico'!$C94:M94,"&lt;&gt;0"),0)),MAX(0,($U22*12) - SUM('Conto Economico'!$C94:M94))))</f>
        <v>64.08</v>
      </c>
      <c r="Q22" s="147">
        <f t="shared" ca="1" si="9"/>
        <v>576.72</v>
      </c>
      <c r="R22" s="147">
        <f t="shared" ca="1" si="10"/>
        <v>48.06</v>
      </c>
      <c r="T22" s="170">
        <f>'Budget 27'!C24</f>
        <v>500</v>
      </c>
      <c r="U22" s="170">
        <f t="shared" si="11"/>
        <v>41.666666666666664</v>
      </c>
      <c r="W22" s="170">
        <f t="shared" ca="1" si="12"/>
        <v>76.720000000000027</v>
      </c>
      <c r="X22" s="405">
        <f t="shared" ca="1" si="13"/>
        <v>1.15344</v>
      </c>
      <c r="Z22" s="234" t="str">
        <f>'Conto Economico'!A94</f>
        <v>Acqua Potabile</v>
      </c>
    </row>
    <row r="23" spans="1:26" x14ac:dyDescent="0.2">
      <c r="B23" s="169" t="str">
        <f>'Conto Economico'!A95</f>
        <v>Gas</v>
      </c>
      <c r="C23" s="169"/>
      <c r="D23" s="147">
        <f ca="1">IF(AND(TODAY()&gt;=DATE(2026,1,1),OR(TODAY()&gt;=DATE(2026,2,1),'Conto Economico'!C95&lt;&gt;0)),'Conto Economico'!C95,$U23)</f>
        <v>0</v>
      </c>
      <c r="E23" s="147">
        <f ca="1">IF(AND(TODAY()&gt;=DATE(2026,2,1),OR(TODAY()&gt;=DATE(2026,3,1),'Conto Economico'!D95&lt;&gt;0)),'Conto Economico'!D95,MIN(MAX($U23,IFERROR(AVERAGEIF('Conto Economico'!$C95:C95,"&lt;&gt;0"),0)),MAX(0,($U23*12) - SUM('Conto Economico'!$C95:C95))))</f>
        <v>0</v>
      </c>
      <c r="F23" s="147">
        <f ca="1">IF(AND(TODAY()&gt;=DATE(2026,3,1),OR(TODAY()&gt;=DATE(2026,4,1),'Conto Economico'!E95&lt;&gt;0)),'Conto Economico'!E95,MIN(MAX($U23,IFERROR(AVERAGEIF('Conto Economico'!$C95:D95,"&lt;&gt;0"),0)),MAX(0,($U23*12) - SUM('Conto Economico'!$C95:D95))))</f>
        <v>0</v>
      </c>
      <c r="G23" s="147">
        <f ca="1">IF(AND(TODAY()&gt;=DATE(2026,4,1),OR(TODAY()&gt;=DATE(2026,5,1),'Conto Economico'!F95&lt;&gt;0)),'Conto Economico'!F95,MIN(MAX($U23,IFERROR(AVERAGEIF('Conto Economico'!$C95:E95,"&lt;&gt;0"),0)),MAX(0,($U23*12) - SUM('Conto Economico'!$C95:E95))))</f>
        <v>0</v>
      </c>
      <c r="H23" s="147">
        <f ca="1">IF(AND(TODAY()&gt;=DATE(2026,5,1),OR(TODAY()&gt;=DATE(2026,6,1),'Conto Economico'!G95&lt;&gt;0)),'Conto Economico'!G95,MIN(MAX($U23,IFERROR(AVERAGEIF('Conto Economico'!$C95:F95,"&lt;&gt;0"),0)),MAX(0,($U23*12) - SUM('Conto Economico'!$C95:F95))))</f>
        <v>0</v>
      </c>
      <c r="I23" s="147">
        <f ca="1">IF(AND(TODAY()&gt;=DATE(2026,6,1),OR(TODAY()&gt;=DATE(2026,7,1),'Conto Economico'!H95&lt;&gt;0)),'Conto Economico'!H95,MIN(MAX($U23,IFERROR(AVERAGEIF('Conto Economico'!$C95:G95,"&lt;&gt;0"),0)),MAX(0,($U23*12) - SUM('Conto Economico'!$C95:G95))))</f>
        <v>0</v>
      </c>
      <c r="J23" s="147">
        <f ca="1">IF(AND(TODAY()&gt;=DATE(2026,7,1),OR(TODAY()&gt;=DATE(2026,8,1),'Conto Economico'!I95&lt;&gt;0)),'Conto Economico'!I95,MIN(MAX($U23,IFERROR(AVERAGEIF('Conto Economico'!$C95:H95,"&lt;&gt;0"),0)),MAX(0,($U23*12) - SUM('Conto Economico'!$C95:H95))))</f>
        <v>0</v>
      </c>
      <c r="K23" s="147">
        <f ca="1">IF(AND(TODAY()&gt;=DATE(2026,8,1),OR(TODAY()&gt;=DATE(2026,9,1),'Conto Economico'!J95&lt;&gt;0)),'Conto Economico'!J95,MIN(MAX($U23,IFERROR(AVERAGEIF('Conto Economico'!$C95:I95,"&lt;&gt;0"),0)),MAX(0,($U23*12) - SUM('Conto Economico'!$C95:I95))))</f>
        <v>0</v>
      </c>
      <c r="L23" s="147">
        <f ca="1">IF(AND(TODAY()&gt;=DATE(2026,9,1),OR(TODAY()&gt;=DATE(2026,10,1),'Conto Economico'!K95&lt;&gt;0)),'Conto Economico'!K95,MIN(MAX($U23,IFERROR(AVERAGEIF('Conto Economico'!$C95:J95,"&lt;&gt;0"),0)),MAX(0,($U23*12) - SUM('Conto Economico'!$C95:J95))))</f>
        <v>0</v>
      </c>
      <c r="M23" s="147">
        <f ca="1">IF(AND(TODAY()&gt;=DATE(2026,10,1),OR(TODAY()&gt;=DATE(2026,11,1),'Conto Economico'!L95&lt;&gt;0)),'Conto Economico'!L95,MIN(MAX($U23,IFERROR(AVERAGEIF('Conto Economico'!$C95:K95,"&lt;&gt;0"),0)),MAX(0,($U23*12) - SUM('Conto Economico'!$C95:K95))))</f>
        <v>0</v>
      </c>
      <c r="N23" s="147">
        <f ca="1">IF(AND(TODAY()&gt;=DATE(2026,11,1),OR(TODAY()&gt;=DATE(2026,12,1),'Conto Economico'!M95&lt;&gt;0)),'Conto Economico'!M95,MIN(MAX($U23,IFERROR(AVERAGEIF('Conto Economico'!$C95:L95,"&lt;&gt;0"),0)),MAX(0,($U23*12) - SUM('Conto Economico'!$C95:L95))))</f>
        <v>0</v>
      </c>
      <c r="O23" s="147">
        <f ca="1">IF(AND(TODAY()&gt;=DATE(2026,12,1),OR(TODAY()&gt;=DATE(2027,1,1),'Conto Economico'!N95&lt;&gt;0)),'Conto Economico'!N95,MIN(MAX($U23,IFERROR(AVERAGEIF('Conto Economico'!$C95:M95,"&lt;&gt;0"),0)),MAX(0,($U23*12) - SUM('Conto Economico'!$C95:M95))))</f>
        <v>0</v>
      </c>
      <c r="Q23" s="147">
        <f t="shared" ca="1" si="9"/>
        <v>0</v>
      </c>
      <c r="R23" s="147">
        <f t="shared" ca="1" si="10"/>
        <v>0</v>
      </c>
      <c r="T23" s="170">
        <f>'Budget 27'!C25</f>
        <v>0</v>
      </c>
      <c r="U23" s="170">
        <f t="shared" si="11"/>
        <v>0</v>
      </c>
      <c r="W23" s="170">
        <f t="shared" ca="1" si="12"/>
        <v>0</v>
      </c>
      <c r="X23" s="405" t="str">
        <f t="shared" si="13"/>
        <v>-</v>
      </c>
      <c r="Z23" s="234" t="str">
        <f>'Conto Economico'!A95</f>
        <v>Gas</v>
      </c>
    </row>
    <row r="24" spans="1:26" x14ac:dyDescent="0.2">
      <c r="B24" s="169" t="str">
        <f>'Conto Economico'!A96</f>
        <v>Rifiuti</v>
      </c>
      <c r="C24" s="169"/>
      <c r="D24" s="147">
        <f ca="1">IF(AND(TODAY()&gt;=DATE(2026,1,1),OR(TODAY()&gt;=DATE(2026,2,1),'Conto Economico'!C96&lt;&gt;0)),'Conto Economico'!C96,$U24)</f>
        <v>0</v>
      </c>
      <c r="E24" s="147">
        <f ca="1">IF(AND(TODAY()&gt;=DATE(2026,2,1),OR(TODAY()&gt;=DATE(2026,3,1),'Conto Economico'!D96&lt;&gt;0)),'Conto Economico'!D96,MIN(MAX($U24,IFERROR(AVERAGEIF('Conto Economico'!$C96:C96,"&lt;&gt;0"),0)),MAX(0,($U24*12) - SUM('Conto Economico'!$C96:C96))))</f>
        <v>0</v>
      </c>
      <c r="F24" s="147">
        <f ca="1">IF(AND(TODAY()&gt;=DATE(2026,3,1),OR(TODAY()&gt;=DATE(2026,4,1),'Conto Economico'!E96&lt;&gt;0)),'Conto Economico'!E96,MIN(MAX($U24,IFERROR(AVERAGEIF('Conto Economico'!$C96:D96,"&lt;&gt;0"),0)),MAX(0,($U24*12) - SUM('Conto Economico'!$C96:D96))))</f>
        <v>0</v>
      </c>
      <c r="G24" s="147">
        <f ca="1">IF(AND(TODAY()&gt;=DATE(2026,4,1),OR(TODAY()&gt;=DATE(2026,5,1),'Conto Economico'!F96&lt;&gt;0)),'Conto Economico'!F96,MIN(MAX($U24,IFERROR(AVERAGEIF('Conto Economico'!$C96:E96,"&lt;&gt;0"),0)),MAX(0,($U24*12) - SUM('Conto Economico'!$C96:E96))))</f>
        <v>0</v>
      </c>
      <c r="H24" s="147">
        <f ca="1">IF(AND(TODAY()&gt;=DATE(2026,5,1),OR(TODAY()&gt;=DATE(2026,6,1),'Conto Economico'!G96&lt;&gt;0)),'Conto Economico'!G96,MIN(MAX($U24,IFERROR(AVERAGEIF('Conto Economico'!$C96:F96,"&lt;&gt;0"),0)),MAX(0,($U24*12) - SUM('Conto Economico'!$C96:F96))))</f>
        <v>0</v>
      </c>
      <c r="I24" s="147">
        <f ca="1">IF(AND(TODAY()&gt;=DATE(2026,6,1),OR(TODAY()&gt;=DATE(2026,7,1),'Conto Economico'!H96&lt;&gt;0)),'Conto Economico'!H96,MIN(MAX($U24,IFERROR(AVERAGEIF('Conto Economico'!$C96:G96,"&lt;&gt;0"),0)),MAX(0,($U24*12) - SUM('Conto Economico'!$C96:G96))))</f>
        <v>0</v>
      </c>
      <c r="J24" s="147">
        <f ca="1">IF(AND(TODAY()&gt;=DATE(2026,7,1),OR(TODAY()&gt;=DATE(2026,8,1),'Conto Economico'!I96&lt;&gt;0)),'Conto Economico'!I96,MIN(MAX($U24,IFERROR(AVERAGEIF('Conto Economico'!$C96:H96,"&lt;&gt;0"),0)),MAX(0,($U24*12) - SUM('Conto Economico'!$C96:H96))))</f>
        <v>316.64999999999998</v>
      </c>
      <c r="K24" s="147">
        <f ca="1">IF(AND(TODAY()&gt;=DATE(2026,8,1),OR(TODAY()&gt;=DATE(2026,9,1),'Conto Economico'!J96&lt;&gt;0)),'Conto Economico'!J96,MIN(MAX($U24,IFERROR(AVERAGEIF('Conto Economico'!$C96:I96,"&lt;&gt;0"),0)),MAX(0,($U24*12) - SUM('Conto Economico'!$C96:I96))))</f>
        <v>13.350000000000023</v>
      </c>
      <c r="L24" s="147">
        <f ca="1">IF(AND(TODAY()&gt;=DATE(2026,9,1),OR(TODAY()&gt;=DATE(2026,10,1),'Conto Economico'!K96&lt;&gt;0)),'Conto Economico'!K96,MIN(MAX($U24,IFERROR(AVERAGEIF('Conto Economico'!$C96:J96,"&lt;&gt;0"),0)),MAX(0,($U24*12) - SUM('Conto Economico'!$C96:J96))))</f>
        <v>13.350000000000023</v>
      </c>
      <c r="M24" s="147">
        <f ca="1">IF(AND(TODAY()&gt;=DATE(2026,10,1),OR(TODAY()&gt;=DATE(2026,11,1),'Conto Economico'!L96&lt;&gt;0)),'Conto Economico'!L96,MIN(MAX($U24,IFERROR(AVERAGEIF('Conto Economico'!$C96:K96,"&lt;&gt;0"),0)),MAX(0,($U24*12) - SUM('Conto Economico'!$C96:K96))))</f>
        <v>13.350000000000023</v>
      </c>
      <c r="N24" s="147">
        <f ca="1">IF(AND(TODAY()&gt;=DATE(2026,11,1),OR(TODAY()&gt;=DATE(2026,12,1),'Conto Economico'!M96&lt;&gt;0)),'Conto Economico'!M96,MIN(MAX($U24,IFERROR(AVERAGEIF('Conto Economico'!$C96:L96,"&lt;&gt;0"),0)),MAX(0,($U24*12) - SUM('Conto Economico'!$C96:L96))))</f>
        <v>13.350000000000023</v>
      </c>
      <c r="O24" s="147">
        <f ca="1">IF(AND(TODAY()&gt;=DATE(2026,12,1),OR(TODAY()&gt;=DATE(2027,1,1),'Conto Economico'!N96&lt;&gt;0)),'Conto Economico'!N96,MIN(MAX($U24,IFERROR(AVERAGEIF('Conto Economico'!$C96:M96,"&lt;&gt;0"),0)),MAX(0,($U24*12) - SUM('Conto Economico'!$C96:M96))))</f>
        <v>13.350000000000023</v>
      </c>
      <c r="Q24" s="147">
        <f t="shared" ca="1" si="9"/>
        <v>383.40000000000009</v>
      </c>
      <c r="R24" s="147">
        <f t="shared" ca="1" si="10"/>
        <v>31.950000000000006</v>
      </c>
      <c r="T24" s="170">
        <f>'Budget 27'!C26</f>
        <v>330</v>
      </c>
      <c r="U24" s="170">
        <f t="shared" si="11"/>
        <v>27.5</v>
      </c>
      <c r="W24" s="170">
        <f t="shared" ca="1" si="12"/>
        <v>53.400000000000091</v>
      </c>
      <c r="X24" s="405">
        <f t="shared" ca="1" si="13"/>
        <v>1.1618181818181821</v>
      </c>
      <c r="Z24" s="234" t="str">
        <f>'Conto Economico'!A96</f>
        <v>Rifiuti</v>
      </c>
    </row>
    <row r="25" spans="1:26" x14ac:dyDescent="0.2">
      <c r="B25" s="169" t="str">
        <f>'Conto Economico'!A97</f>
        <v>Servizi Internet - Amazon Prime - iCloud</v>
      </c>
      <c r="C25" s="169"/>
      <c r="D25" s="147">
        <f ca="1">IF(AND(TODAY()&gt;=DATE(2026,1,1),OR(TODAY()&gt;=DATE(2026,2,1),'Conto Economico'!C97&lt;&gt;0)),'Conto Economico'!C97,$U25)</f>
        <v>2.99</v>
      </c>
      <c r="E25" s="147">
        <f ca="1">IF(AND(TODAY()&gt;=DATE(2026,2,1),OR(TODAY()&gt;=DATE(2026,3,1),'Conto Economico'!D97&lt;&gt;0)),'Conto Economico'!D97,MIN(MAX($U25,IFERROR(AVERAGEIF('Conto Economico'!$C97:C97,"&lt;&gt;0"),0)),MAX(0,($U25*12) - SUM('Conto Economico'!$C97:C97))))</f>
        <v>2.99</v>
      </c>
      <c r="F25" s="147">
        <f ca="1">IF(AND(TODAY()&gt;=DATE(2026,3,1),OR(TODAY()&gt;=DATE(2026,4,1),'Conto Economico'!E97&lt;&gt;0)),'Conto Economico'!E97,MIN(MAX($U25,IFERROR(AVERAGEIF('Conto Economico'!$C97:D97,"&lt;&gt;0"),0)),MAX(0,($U25*12) - SUM('Conto Economico'!$C97:D97))))</f>
        <v>12.98</v>
      </c>
      <c r="G25" s="147">
        <f ca="1">IF(AND(TODAY()&gt;=DATE(2026,4,1),OR(TODAY()&gt;=DATE(2026,5,1),'Conto Economico'!F97&lt;&gt;0)),'Conto Economico'!F97,MIN(MAX($U25,IFERROR(AVERAGEIF('Conto Economico'!$C97:E97,"&lt;&gt;0"),0)),MAX(0,($U25*12) - SUM('Conto Economico'!$C97:E97))))</f>
        <v>12.98</v>
      </c>
      <c r="H25" s="147">
        <f ca="1">IF(AND(TODAY()&gt;=DATE(2026,5,1),OR(TODAY()&gt;=DATE(2026,6,1),'Conto Economico'!G97&lt;&gt;0)),'Conto Economico'!G97,MIN(MAX($U25,IFERROR(AVERAGEIF('Conto Economico'!$C97:F97,"&lt;&gt;0"),0)),MAX(0,($U25*12) - SUM('Conto Economico'!$C97:F97))))</f>
        <v>2.99</v>
      </c>
      <c r="I25" s="147">
        <f ca="1">IF(AND(TODAY()&gt;=DATE(2026,6,1),OR(TODAY()&gt;=DATE(2026,7,1),'Conto Economico'!H97&lt;&gt;0)),'Conto Economico'!H97,MIN(MAX($U25,IFERROR(AVERAGEIF('Conto Economico'!$C97:G97,"&lt;&gt;0"),0)),MAX(0,($U25*12) - SUM('Conto Economico'!$C97:G97))))</f>
        <v>95.48</v>
      </c>
      <c r="J25" s="147">
        <f ca="1">IF(AND(TODAY()&gt;=DATE(2026,7,1),OR(TODAY()&gt;=DATE(2026,8,1),'Conto Economico'!I97&lt;&gt;0)),'Conto Economico'!I97,MIN(MAX($U25,IFERROR(AVERAGEIF('Conto Economico'!$C97:H97,"&lt;&gt;0"),0)),MAX(0,($U25*12) - SUM('Conto Economico'!$C97:H97))))</f>
        <v>19.590000000000003</v>
      </c>
      <c r="K25" s="147">
        <f ca="1">IF(AND(TODAY()&gt;=DATE(2026,8,1),OR(TODAY()&gt;=DATE(2026,9,1),'Conto Economico'!J97&lt;&gt;0)),'Conto Economico'!J97,MIN(MAX($U25,IFERROR(AVERAGEIF('Conto Economico'!$C97:I97,"&lt;&gt;0"),0)),MAX(0,($U25*12) - SUM('Conto Economico'!$C97:I97))))</f>
        <v>19.590000000000003</v>
      </c>
      <c r="L25" s="147">
        <f ca="1">IF(AND(TODAY()&gt;=DATE(2026,9,1),OR(TODAY()&gt;=DATE(2026,10,1),'Conto Economico'!K97&lt;&gt;0)),'Conto Economico'!K97,MIN(MAX($U25,IFERROR(AVERAGEIF('Conto Economico'!$C97:J97,"&lt;&gt;0"),0)),MAX(0,($U25*12) - SUM('Conto Economico'!$C97:J97))))</f>
        <v>19.590000000000003</v>
      </c>
      <c r="M25" s="147">
        <f ca="1">IF(AND(TODAY()&gt;=DATE(2026,10,1),OR(TODAY()&gt;=DATE(2026,11,1),'Conto Economico'!L97&lt;&gt;0)),'Conto Economico'!L97,MIN(MAX($U25,IFERROR(AVERAGEIF('Conto Economico'!$C97:K97,"&lt;&gt;0"),0)),MAX(0,($U25*12) - SUM('Conto Economico'!$C97:K97))))</f>
        <v>19.590000000000003</v>
      </c>
      <c r="N25" s="147">
        <f ca="1">IF(AND(TODAY()&gt;=DATE(2026,11,1),OR(TODAY()&gt;=DATE(2026,12,1),'Conto Economico'!M97&lt;&gt;0)),'Conto Economico'!M97,MIN(MAX($U25,IFERROR(AVERAGEIF('Conto Economico'!$C97:L97,"&lt;&gt;0"),0)),MAX(0,($U25*12) - SUM('Conto Economico'!$C97:L97))))</f>
        <v>19.590000000000003</v>
      </c>
      <c r="O25" s="147">
        <f ca="1">IF(AND(TODAY()&gt;=DATE(2026,12,1),OR(TODAY()&gt;=DATE(2027,1,1),'Conto Economico'!N97&lt;&gt;0)),'Conto Economico'!N97,MIN(MAX($U25,IFERROR(AVERAGEIF('Conto Economico'!$C97:M97,"&lt;&gt;0"),0)),MAX(0,($U25*12) - SUM('Conto Economico'!$C97:M97))))</f>
        <v>19.590000000000003</v>
      </c>
      <c r="Q25" s="147">
        <f t="shared" ca="1" si="9"/>
        <v>247.95000000000002</v>
      </c>
      <c r="R25" s="147">
        <f t="shared" ca="1" si="10"/>
        <v>20.662500000000001</v>
      </c>
      <c r="T25" s="170">
        <f>'Budget 27'!C27</f>
        <v>150</v>
      </c>
      <c r="U25" s="170">
        <f t="shared" si="11"/>
        <v>12.5</v>
      </c>
      <c r="W25" s="170">
        <f t="shared" ca="1" si="12"/>
        <v>97.950000000000017</v>
      </c>
      <c r="X25" s="405">
        <f t="shared" ca="1" si="13"/>
        <v>1.653</v>
      </c>
      <c r="Z25" s="234" t="str">
        <f>'Conto Economico'!A97</f>
        <v>Servizi Internet - Amazon Prime - iCloud</v>
      </c>
    </row>
    <row r="26" spans="1:26" x14ac:dyDescent="0.2">
      <c r="B26" s="169" t="str">
        <f>'Conto Economico'!A98</f>
        <v>Editoria Digitale</v>
      </c>
      <c r="C26" s="169"/>
      <c r="D26" s="147">
        <f ca="1">IF(AND(TODAY()&gt;=DATE(2026,1,1),OR(TODAY()&gt;=DATE(2026,2,1),'Conto Economico'!C98&lt;&gt;0)),'Conto Economico'!C98,$U26)</f>
        <v>0</v>
      </c>
      <c r="E26" s="147">
        <f ca="1">IF(AND(TODAY()&gt;=DATE(2026,2,1),OR(TODAY()&gt;=DATE(2026,3,1),'Conto Economico'!D98&lt;&gt;0)),'Conto Economico'!D98,MIN(MAX($U26,IFERROR(AVERAGEIF('Conto Economico'!$C98:C98,"&lt;&gt;0"),0)),MAX(0,($U26*12) - SUM('Conto Economico'!$C98:C98))))</f>
        <v>0</v>
      </c>
      <c r="F26" s="147">
        <f ca="1">IF(AND(TODAY()&gt;=DATE(2026,3,1),OR(TODAY()&gt;=DATE(2026,4,1),'Conto Economico'!E98&lt;&gt;0)),'Conto Economico'!E98,MIN(MAX($U26,IFERROR(AVERAGEIF('Conto Economico'!$C98:D98,"&lt;&gt;0"),0)),MAX(0,($U26*12) - SUM('Conto Economico'!$C98:D98))))</f>
        <v>0</v>
      </c>
      <c r="G26" s="147">
        <f ca="1">IF(AND(TODAY()&gt;=DATE(2026,4,1),OR(TODAY()&gt;=DATE(2026,5,1),'Conto Economico'!F98&lt;&gt;0)),'Conto Economico'!F98,MIN(MAX($U26,IFERROR(AVERAGEIF('Conto Economico'!$C98:E98,"&lt;&gt;0"),0)),MAX(0,($U26*12) - SUM('Conto Economico'!$C98:E98))))</f>
        <v>0</v>
      </c>
      <c r="H26" s="147">
        <f ca="1">IF(AND(TODAY()&gt;=DATE(2026,5,1),OR(TODAY()&gt;=DATE(2026,6,1),'Conto Economico'!G98&lt;&gt;0)),'Conto Economico'!G98,MIN(MAX($U26,IFERROR(AVERAGEIF('Conto Economico'!$C98:F98,"&lt;&gt;0"),0)),MAX(0,($U26*12) - SUM('Conto Economico'!$C98:F98))))</f>
        <v>0</v>
      </c>
      <c r="I26" s="147">
        <f ca="1">IF(AND(TODAY()&gt;=DATE(2026,6,1),OR(TODAY()&gt;=DATE(2026,7,1),'Conto Economico'!H98&lt;&gt;0)),'Conto Economico'!H98,MIN(MAX($U26,IFERROR(AVERAGEIF('Conto Economico'!$C98:G98,"&lt;&gt;0"),0)),MAX(0,($U26*12) - SUM('Conto Economico'!$C98:G98))))</f>
        <v>0</v>
      </c>
      <c r="J26" s="147">
        <f ca="1">IF(AND(TODAY()&gt;=DATE(2026,7,1),OR(TODAY()&gt;=DATE(2026,8,1),'Conto Economico'!I98&lt;&gt;0)),'Conto Economico'!I98,MIN(MAX($U26,IFERROR(AVERAGEIF('Conto Economico'!$C98:H98,"&lt;&gt;0"),0)),MAX(0,($U26*12) - SUM('Conto Economico'!$C98:H98))))</f>
        <v>4.166666666666667</v>
      </c>
      <c r="K26" s="147">
        <f ca="1">IF(AND(TODAY()&gt;=DATE(2026,8,1),OR(TODAY()&gt;=DATE(2026,9,1),'Conto Economico'!J98&lt;&gt;0)),'Conto Economico'!J98,MIN(MAX($U26,IFERROR(AVERAGEIF('Conto Economico'!$C98:I98,"&lt;&gt;0"),0)),MAX(0,($U26*12) - SUM('Conto Economico'!$C98:I98))))</f>
        <v>4.166666666666667</v>
      </c>
      <c r="L26" s="147">
        <f ca="1">IF(AND(TODAY()&gt;=DATE(2026,9,1),OR(TODAY()&gt;=DATE(2026,10,1),'Conto Economico'!K98&lt;&gt;0)),'Conto Economico'!K98,MIN(MAX($U26,IFERROR(AVERAGEIF('Conto Economico'!$C98:J98,"&lt;&gt;0"),0)),MAX(0,($U26*12) - SUM('Conto Economico'!$C98:J98))))</f>
        <v>4.166666666666667</v>
      </c>
      <c r="M26" s="147">
        <f ca="1">IF(AND(TODAY()&gt;=DATE(2026,10,1),OR(TODAY()&gt;=DATE(2026,11,1),'Conto Economico'!L98&lt;&gt;0)),'Conto Economico'!L98,MIN(MAX($U26,IFERROR(AVERAGEIF('Conto Economico'!$C98:K98,"&lt;&gt;0"),0)),MAX(0,($U26*12) - SUM('Conto Economico'!$C98:K98))))</f>
        <v>4.166666666666667</v>
      </c>
      <c r="N26" s="147">
        <f ca="1">IF(AND(TODAY()&gt;=DATE(2026,11,1),OR(TODAY()&gt;=DATE(2026,12,1),'Conto Economico'!M98&lt;&gt;0)),'Conto Economico'!M98,MIN(MAX($U26,IFERROR(AVERAGEIF('Conto Economico'!$C98:L98,"&lt;&gt;0"),0)),MAX(0,($U26*12) - SUM('Conto Economico'!$C98:L98))))</f>
        <v>4.166666666666667</v>
      </c>
      <c r="O26" s="147">
        <f ca="1">IF(AND(TODAY()&gt;=DATE(2026,12,1),OR(TODAY()&gt;=DATE(2027,1,1),'Conto Economico'!N98&lt;&gt;0)),'Conto Economico'!N98,MIN(MAX($U26,IFERROR(AVERAGEIF('Conto Economico'!$C98:M98,"&lt;&gt;0"),0)),MAX(0,($U26*12) - SUM('Conto Economico'!$C98:M98))))</f>
        <v>4.166666666666667</v>
      </c>
      <c r="Q26" s="147">
        <f t="shared" ca="1" si="9"/>
        <v>25.000000000000004</v>
      </c>
      <c r="R26" s="147">
        <f ca="1">Q26/12</f>
        <v>2.0833333333333335</v>
      </c>
      <c r="T26" s="170">
        <f>'Budget 27'!C28</f>
        <v>50</v>
      </c>
      <c r="U26" s="170">
        <f t="shared" si="11"/>
        <v>4.166666666666667</v>
      </c>
      <c r="W26" s="170">
        <f t="shared" ca="1" si="12"/>
        <v>-24.999999999999996</v>
      </c>
      <c r="X26" s="405">
        <f t="shared" ca="1" si="13"/>
        <v>0.50000000000000011</v>
      </c>
      <c r="Z26" s="234" t="str">
        <f>'Conto Economico'!A98</f>
        <v>Editoria Digitale</v>
      </c>
    </row>
    <row r="27" spans="1:26" x14ac:dyDescent="0.2">
      <c r="B27" s="169" t="str">
        <f>'Conto Economico'!A99</f>
        <v>Fibra Telefonica</v>
      </c>
      <c r="C27" s="169"/>
      <c r="D27" s="147">
        <f ca="1">IF(AND(TODAY()&gt;=DATE(2026,1,1),OR(TODAY()&gt;=DATE(2026,2,1),'Conto Economico'!C99&lt;&gt;0)),'Conto Economico'!C99,$U27)</f>
        <v>30.189999999999998</v>
      </c>
      <c r="E27" s="147">
        <f ca="1">IF(AND(TODAY()&gt;=DATE(2026,2,1),OR(TODAY()&gt;=DATE(2026,3,1),'Conto Economico'!D99&lt;&gt;0)),'Conto Economico'!D99,MIN(MAX($U27,IFERROR(AVERAGEIF('Conto Economico'!$C99:C99,"&lt;&gt;0"),0)),MAX(0,($U27*12) - SUM('Conto Economico'!$C99:C99))))</f>
        <v>30</v>
      </c>
      <c r="F27" s="147">
        <f ca="1">IF(AND(TODAY()&gt;=DATE(2026,3,1),OR(TODAY()&gt;=DATE(2026,4,1),'Conto Economico'!E99&lt;&gt;0)),'Conto Economico'!E99,MIN(MAX($U27,IFERROR(AVERAGEIF('Conto Economico'!$C99:D99,"&lt;&gt;0"),0)),MAX(0,($U27*12) - SUM('Conto Economico'!$C99:D99))))</f>
        <v>30.299999999999997</v>
      </c>
      <c r="G27" s="147">
        <f ca="1">IF(AND(TODAY()&gt;=DATE(2026,4,1),OR(TODAY()&gt;=DATE(2026,5,1),'Conto Economico'!F99&lt;&gt;0)),'Conto Economico'!F99,MIN(MAX($U27,IFERROR(AVERAGEIF('Conto Economico'!$C99:E99,"&lt;&gt;0"),0)),MAX(0,($U27*12) - SUM('Conto Economico'!$C99:E99))))</f>
        <v>30</v>
      </c>
      <c r="H27" s="147">
        <f ca="1">IF(AND(TODAY()&gt;=DATE(2026,5,1),OR(TODAY()&gt;=DATE(2026,6,1),'Conto Economico'!G99&lt;&gt;0)),'Conto Economico'!G99,MIN(MAX($U27,IFERROR(AVERAGEIF('Conto Economico'!$C99:F99,"&lt;&gt;0"),0)),MAX(0,($U27*12) - SUM('Conto Economico'!$C99:F99))))</f>
        <v>30</v>
      </c>
      <c r="I27" s="147">
        <f ca="1">IF(AND(TODAY()&gt;=DATE(2026,6,1),OR(TODAY()&gt;=DATE(2026,7,1),'Conto Economico'!H99&lt;&gt;0)),'Conto Economico'!H99,MIN(MAX($U27,IFERROR(AVERAGEIF('Conto Economico'!$C99:G99,"&lt;&gt;0"),0)),MAX(0,($U27*12) - SUM('Conto Economico'!$C99:G99))))</f>
        <v>30.96</v>
      </c>
      <c r="J27" s="147">
        <f ca="1">IF(AND(TODAY()&gt;=DATE(2026,7,1),OR(TODAY()&gt;=DATE(2026,8,1),'Conto Economico'!I99&lt;&gt;0)),'Conto Economico'!I99,MIN(MAX($U27,IFERROR(AVERAGEIF('Conto Economico'!$C99:H99,"&lt;&gt;0"),0)),MAX(0,($U27*12) - SUM('Conto Economico'!$C99:H99))))</f>
        <v>30.241666666666671</v>
      </c>
      <c r="K27" s="147">
        <f ca="1">IF(AND(TODAY()&gt;=DATE(2026,8,1),OR(TODAY()&gt;=DATE(2026,9,1),'Conto Economico'!J99&lt;&gt;0)),'Conto Economico'!J99,MIN(MAX($U27,IFERROR(AVERAGEIF('Conto Economico'!$C99:I99,"&lt;&gt;0"),0)),MAX(0,($U27*12) - SUM('Conto Economico'!$C99:I99))))</f>
        <v>30.241666666666671</v>
      </c>
      <c r="L27" s="147">
        <f ca="1">IF(AND(TODAY()&gt;=DATE(2026,9,1),OR(TODAY()&gt;=DATE(2026,10,1),'Conto Economico'!K99&lt;&gt;0)),'Conto Economico'!K99,MIN(MAX($U27,IFERROR(AVERAGEIF('Conto Economico'!$C99:J99,"&lt;&gt;0"),0)),MAX(0,($U27*12) - SUM('Conto Economico'!$C99:J99))))</f>
        <v>30.241666666666671</v>
      </c>
      <c r="M27" s="147">
        <f ca="1">IF(AND(TODAY()&gt;=DATE(2026,10,1),OR(TODAY()&gt;=DATE(2026,11,1),'Conto Economico'!L99&lt;&gt;0)),'Conto Economico'!L99,MIN(MAX($U27,IFERROR(AVERAGEIF('Conto Economico'!$C99:K99,"&lt;&gt;0"),0)),MAX(0,($U27*12) - SUM('Conto Economico'!$C99:K99))))</f>
        <v>30.241666666666671</v>
      </c>
      <c r="N27" s="147">
        <f ca="1">IF(AND(TODAY()&gt;=DATE(2026,11,1),OR(TODAY()&gt;=DATE(2026,12,1),'Conto Economico'!M99&lt;&gt;0)),'Conto Economico'!M99,MIN(MAX($U27,IFERROR(AVERAGEIF('Conto Economico'!$C99:L99,"&lt;&gt;0"),0)),MAX(0,($U27*12) - SUM('Conto Economico'!$C99:L99))))</f>
        <v>30.241666666666671</v>
      </c>
      <c r="O27" s="147">
        <f ca="1">IF(AND(TODAY()&gt;=DATE(2026,12,1),OR(TODAY()&gt;=DATE(2027,1,1),'Conto Economico'!N99&lt;&gt;0)),'Conto Economico'!N99,MIN(MAX($U27,IFERROR(AVERAGEIF('Conto Economico'!$C99:M99,"&lt;&gt;0"),0)),MAX(0,($U27*12) - SUM('Conto Economico'!$C99:M99))))</f>
        <v>30.241666666666671</v>
      </c>
      <c r="Q27" s="147">
        <f t="shared" ca="1" si="9"/>
        <v>362.90000000000003</v>
      </c>
      <c r="R27" s="147">
        <f ca="1">Q27/12</f>
        <v>30.241666666666671</v>
      </c>
      <c r="T27" s="170">
        <f>'Budget 27'!C29</f>
        <v>360</v>
      </c>
      <c r="U27" s="170">
        <f>T27/12</f>
        <v>30</v>
      </c>
      <c r="W27" s="170">
        <f ca="1">Q27-T27</f>
        <v>2.9000000000000341</v>
      </c>
      <c r="X27" s="405">
        <f t="shared" ca="1" si="13"/>
        <v>1.0080555555555557</v>
      </c>
      <c r="Z27" s="234" t="str">
        <f>'Conto Economico'!A99</f>
        <v>Fibra Telefonica</v>
      </c>
    </row>
    <row r="28" spans="1:26" x14ac:dyDescent="0.2">
      <c r="B28" s="169" t="str">
        <f>'Conto Economico'!A100</f>
        <v>Telefonia Cellulare</v>
      </c>
      <c r="C28" s="169"/>
      <c r="D28" s="147">
        <f ca="1">IF(AND(TODAY()&gt;=DATE(2026,1,1),OR(TODAY()&gt;=DATE(2026,2,1),'Conto Economico'!C100&lt;&gt;0)),'Conto Economico'!C100,$U28)</f>
        <v>26.490000000000002</v>
      </c>
      <c r="E28" s="147">
        <f ca="1">IF(AND(TODAY()&gt;=DATE(2026,2,1),OR(TODAY()&gt;=DATE(2026,3,1),'Conto Economico'!D100&lt;&gt;0)),'Conto Economico'!D100,MIN(MAX($U28,IFERROR(AVERAGEIF('Conto Economico'!$C100:C100,"&lt;&gt;0"),0)),MAX(0,($U28*12) - SUM('Conto Economico'!$C100:C100))))</f>
        <v>54.129999999999995</v>
      </c>
      <c r="F28" s="147">
        <f ca="1">IF(AND(TODAY()&gt;=DATE(2026,3,1),OR(TODAY()&gt;=DATE(2026,4,1),'Conto Economico'!E100&lt;&gt;0)),'Conto Economico'!E100,MIN(MAX($U28,IFERROR(AVERAGEIF('Conto Economico'!$C100:D100,"&lt;&gt;0"),0)),MAX(0,($U28*12) - SUM('Conto Economico'!$C100:D100))))</f>
        <v>21.42</v>
      </c>
      <c r="G28" s="147">
        <f ca="1">IF(AND(TODAY()&gt;=DATE(2026,4,1),OR(TODAY()&gt;=DATE(2026,5,1),'Conto Economico'!F100&lt;&gt;0)),'Conto Economico'!F100,MIN(MAX($U28,IFERROR(AVERAGEIF('Conto Economico'!$C100:E100,"&lt;&gt;0"),0)),MAX(0,($U28*12) - SUM('Conto Economico'!$C100:E100))))</f>
        <v>15</v>
      </c>
      <c r="H28" s="147">
        <f ca="1">IF(AND(TODAY()&gt;=DATE(2026,5,1),OR(TODAY()&gt;=DATE(2026,6,1),'Conto Economico'!G100&lt;&gt;0)),'Conto Economico'!G100,MIN(MAX($U28,IFERROR(AVERAGEIF('Conto Economico'!$C100:F100,"&lt;&gt;0"),0)),MAX(0,($U28*12) - SUM('Conto Economico'!$C100:F100))))</f>
        <v>29.0136</v>
      </c>
      <c r="I28" s="147">
        <f ca="1">IF(AND(TODAY()&gt;=DATE(2026,6,1),OR(TODAY()&gt;=DATE(2026,7,1),'Conto Economico'!H100&lt;&gt;0)),'Conto Economico'!H100,MIN(MAX($U28,IFERROR(AVERAGEIF('Conto Economico'!$C100:G100,"&lt;&gt;0"),0)),MAX(0,($U28*12) - SUM('Conto Economico'!$C100:G100))))</f>
        <v>15</v>
      </c>
      <c r="J28" s="147">
        <f ca="1">IF(AND(TODAY()&gt;=DATE(2026,7,1),OR(TODAY()&gt;=DATE(2026,8,1),'Conto Economico'!I100&lt;&gt;0)),'Conto Economico'!I100,MIN(MAX($U28,IFERROR(AVERAGEIF('Conto Economico'!$C100:H100,"&lt;&gt;0"),0)),MAX(0,($U28*12) - SUM('Conto Economico'!$C100:H100))))</f>
        <v>26.842266666666671</v>
      </c>
      <c r="K28" s="147">
        <f ca="1">IF(AND(TODAY()&gt;=DATE(2026,8,1),OR(TODAY()&gt;=DATE(2026,9,1),'Conto Economico'!J100&lt;&gt;0)),'Conto Economico'!J100,MIN(MAX($U28,IFERROR(AVERAGEIF('Conto Economico'!$C100:I100,"&lt;&gt;0"),0)),MAX(0,($U28*12) - SUM('Conto Economico'!$C100:I100))))</f>
        <v>26.842266666666671</v>
      </c>
      <c r="L28" s="147">
        <f ca="1">IF(AND(TODAY()&gt;=DATE(2026,9,1),OR(TODAY()&gt;=DATE(2026,10,1),'Conto Economico'!K100&lt;&gt;0)),'Conto Economico'!K100,MIN(MAX($U28,IFERROR(AVERAGEIF('Conto Economico'!$C100:J100,"&lt;&gt;0"),0)),MAX(0,($U28*12) - SUM('Conto Economico'!$C100:J100))))</f>
        <v>26.842266666666671</v>
      </c>
      <c r="M28" s="147">
        <f ca="1">IF(AND(TODAY()&gt;=DATE(2026,10,1),OR(TODAY()&gt;=DATE(2026,11,1),'Conto Economico'!L100&lt;&gt;0)),'Conto Economico'!L100,MIN(MAX($U28,IFERROR(AVERAGEIF('Conto Economico'!$C100:K100,"&lt;&gt;0"),0)),MAX(0,($U28*12) - SUM('Conto Economico'!$C100:K100))))</f>
        <v>26.842266666666671</v>
      </c>
      <c r="N28" s="147">
        <f ca="1">IF(AND(TODAY()&gt;=DATE(2026,11,1),OR(TODAY()&gt;=DATE(2026,12,1),'Conto Economico'!M100&lt;&gt;0)),'Conto Economico'!M100,MIN(MAX($U28,IFERROR(AVERAGEIF('Conto Economico'!$C100:L100,"&lt;&gt;0"),0)),MAX(0,($U28*12) - SUM('Conto Economico'!$C100:L100))))</f>
        <v>26.842266666666671</v>
      </c>
      <c r="O28" s="147">
        <f ca="1">IF(AND(TODAY()&gt;=DATE(2026,12,1),OR(TODAY()&gt;=DATE(2027,1,1),'Conto Economico'!N100&lt;&gt;0)),'Conto Economico'!N100,MIN(MAX($U28,IFERROR(AVERAGEIF('Conto Economico'!$C100:M100,"&lt;&gt;0"),0)),MAX(0,($U28*12) - SUM('Conto Economico'!$C100:M100))))</f>
        <v>26.842266666666671</v>
      </c>
      <c r="Q28" s="147">
        <f t="shared" ca="1" si="9"/>
        <v>322.10719999999998</v>
      </c>
      <c r="R28" s="147">
        <f t="shared" ca="1" si="10"/>
        <v>26.842266666666664</v>
      </c>
      <c r="T28" s="170">
        <f>'Budget 27'!C30</f>
        <v>250</v>
      </c>
      <c r="U28" s="170">
        <f t="shared" si="11"/>
        <v>20.833333333333332</v>
      </c>
      <c r="W28" s="170">
        <f t="shared" ca="1" si="12"/>
        <v>72.107199999999978</v>
      </c>
      <c r="X28" s="405">
        <f t="shared" ca="1" si="13"/>
        <v>1.2884287999999999</v>
      </c>
      <c r="Z28" s="234" t="str">
        <f>'Conto Economico'!A100</f>
        <v>Telefonia Cellulare</v>
      </c>
    </row>
    <row r="29" spans="1:26" x14ac:dyDescent="0.2">
      <c r="B29" s="169" t="str">
        <f>'Conto Economico'!A101</f>
        <v>Streaming TV</v>
      </c>
      <c r="C29" s="169"/>
      <c r="D29" s="147">
        <f ca="1">IF(AND(TODAY()&gt;=DATE(2026,1,1),OR(TODAY()&gt;=DATE(2026,2,1),'Conto Economico'!C101&lt;&gt;0)),'Conto Economico'!C101,$U29)</f>
        <v>32.85</v>
      </c>
      <c r="E29" s="147">
        <f ca="1">IF(AND(TODAY()&gt;=DATE(2026,2,1),OR(TODAY()&gt;=DATE(2026,3,1),'Conto Economico'!D101&lt;&gt;0)),'Conto Economico'!D101,MIN(MAX($U29,IFERROR(AVERAGEIF('Conto Economico'!$C101:C101,"&lt;&gt;0"),0)),MAX(0,($U29*12) - SUM('Conto Economico'!$C101:C101))))</f>
        <v>25.86</v>
      </c>
      <c r="F29" s="147">
        <f ca="1">IF(AND(TODAY()&gt;=DATE(2026,3,1),OR(TODAY()&gt;=DATE(2026,4,1),'Conto Economico'!E101&lt;&gt;0)),'Conto Economico'!E101,MIN(MAX($U29,IFERROR(AVERAGEIF('Conto Economico'!$C101:D101,"&lt;&gt;0"),0)),MAX(0,($U29*12) - SUM('Conto Economico'!$C101:D101))))</f>
        <v>15.870000000000001</v>
      </c>
      <c r="G29" s="147">
        <f ca="1">IF(AND(TODAY()&gt;=DATE(2026,4,1),OR(TODAY()&gt;=DATE(2026,5,1),'Conto Economico'!F101&lt;&gt;0)),'Conto Economico'!F101,MIN(MAX($U29,IFERROR(AVERAGEIF('Conto Economico'!$C101:E101,"&lt;&gt;0"),0)),MAX(0,($U29*12) - SUM('Conto Economico'!$C101:E101))))</f>
        <v>16.87</v>
      </c>
      <c r="H29" s="147">
        <f ca="1">IF(AND(TODAY()&gt;=DATE(2026,5,1),OR(TODAY()&gt;=DATE(2026,6,1),'Conto Economico'!G101&lt;&gt;0)),'Conto Economico'!G101,MIN(MAX($U29,IFERROR(AVERAGEIF('Conto Economico'!$C101:F101,"&lt;&gt;0"),0)),MAX(0,($U29*12) - SUM('Conto Economico'!$C101:F101))))</f>
        <v>26.86</v>
      </c>
      <c r="I29" s="147">
        <f ca="1">IF(AND(TODAY()&gt;=DATE(2026,6,1),OR(TODAY()&gt;=DATE(2026,7,1),'Conto Economico'!H101&lt;&gt;0)),'Conto Economico'!H101,MIN(MAX($U29,IFERROR(AVERAGEIF('Conto Economico'!$C101:G101,"&lt;&gt;0"),0)),MAX(0,($U29*12) - SUM('Conto Economico'!$C101:G101))))</f>
        <v>16.87</v>
      </c>
      <c r="J29" s="147">
        <f ca="1">IF(AND(TODAY()&gt;=DATE(2026,7,1),OR(TODAY()&gt;=DATE(2026,8,1),'Conto Economico'!I101&lt;&gt;0)),'Conto Economico'!I101,MIN(MAX($U29,IFERROR(AVERAGEIF('Conto Economico'!$C101:H101,"&lt;&gt;0"),0)),MAX(0,($U29*12) - SUM('Conto Economico'!$C101:H101))))</f>
        <v>35.833333333333336</v>
      </c>
      <c r="K29" s="147">
        <f ca="1">IF(AND(TODAY()&gt;=DATE(2026,8,1),OR(TODAY()&gt;=DATE(2026,9,1),'Conto Economico'!J101&lt;&gt;0)),'Conto Economico'!J101,MIN(MAX($U29,IFERROR(AVERAGEIF('Conto Economico'!$C101:I101,"&lt;&gt;0"),0)),MAX(0,($U29*12) - SUM('Conto Economico'!$C101:I101))))</f>
        <v>35.833333333333336</v>
      </c>
      <c r="L29" s="147">
        <f ca="1">IF(AND(TODAY()&gt;=DATE(2026,9,1),OR(TODAY()&gt;=DATE(2026,10,1),'Conto Economico'!K101&lt;&gt;0)),'Conto Economico'!K101,MIN(MAX($U29,IFERROR(AVERAGEIF('Conto Economico'!$C101:J101,"&lt;&gt;0"),0)),MAX(0,($U29*12) - SUM('Conto Economico'!$C101:J101))))</f>
        <v>35.833333333333336</v>
      </c>
      <c r="M29" s="147">
        <f ca="1">IF(AND(TODAY()&gt;=DATE(2026,10,1),OR(TODAY()&gt;=DATE(2026,11,1),'Conto Economico'!L101&lt;&gt;0)),'Conto Economico'!L101,MIN(MAX($U29,IFERROR(AVERAGEIF('Conto Economico'!$C101:K101,"&lt;&gt;0"),0)),MAX(0,($U29*12) - SUM('Conto Economico'!$C101:K101))))</f>
        <v>35.833333333333336</v>
      </c>
      <c r="N29" s="147">
        <f ca="1">IF(AND(TODAY()&gt;=DATE(2026,11,1),OR(TODAY()&gt;=DATE(2026,12,1),'Conto Economico'!M101&lt;&gt;0)),'Conto Economico'!M101,MIN(MAX($U29,IFERROR(AVERAGEIF('Conto Economico'!$C101:L101,"&lt;&gt;0"),0)),MAX(0,($U29*12) - SUM('Conto Economico'!$C101:L101))))</f>
        <v>35.833333333333336</v>
      </c>
      <c r="O29" s="147">
        <f ca="1">IF(AND(TODAY()&gt;=DATE(2026,12,1),OR(TODAY()&gt;=DATE(2027,1,1),'Conto Economico'!N101&lt;&gt;0)),'Conto Economico'!N101,MIN(MAX($U29,IFERROR(AVERAGEIF('Conto Economico'!$C101:M101,"&lt;&gt;0"),0)),MAX(0,($U29*12) - SUM('Conto Economico'!$C101:M101))))</f>
        <v>35.833333333333336</v>
      </c>
      <c r="Q29" s="147">
        <f t="shared" ca="1" si="9"/>
        <v>350.18</v>
      </c>
      <c r="R29" s="147">
        <f t="shared" ca="1" si="10"/>
        <v>29.181666666666668</v>
      </c>
      <c r="T29" s="170">
        <f>'Budget 27'!C31</f>
        <v>430</v>
      </c>
      <c r="U29" s="170">
        <f t="shared" si="11"/>
        <v>35.833333333333336</v>
      </c>
      <c r="W29" s="170">
        <f t="shared" ca="1" si="12"/>
        <v>-79.819999999999993</v>
      </c>
      <c r="X29" s="405">
        <f t="shared" ca="1" si="13"/>
        <v>0.81437209302325586</v>
      </c>
      <c r="Z29" s="234" t="str">
        <f>'Conto Economico'!A101</f>
        <v>Streaming TV</v>
      </c>
    </row>
    <row r="30" spans="1:26" x14ac:dyDescent="0.2">
      <c r="B30" s="169" t="str">
        <f>'Conto Economico'!A102</f>
        <v>Streaming Audio</v>
      </c>
      <c r="C30" s="169"/>
      <c r="D30" s="147">
        <f ca="1">IF(AND(TODAY()&gt;=DATE(2026,1,1),OR(TODAY()&gt;=DATE(2026,2,1),'Conto Economico'!C102&lt;&gt;0)),'Conto Economico'!C102,$U30)</f>
        <v>0</v>
      </c>
      <c r="E30" s="147">
        <f ca="1">IF(AND(TODAY()&gt;=DATE(2026,2,1),OR(TODAY()&gt;=DATE(2026,3,1),'Conto Economico'!D102&lt;&gt;0)),'Conto Economico'!D102,MIN(MAX($U30,IFERROR(AVERAGEIF('Conto Economico'!$C102:C102,"&lt;&gt;0"),0)),MAX(0,($U30*12) - SUM('Conto Economico'!$C102:C102))))</f>
        <v>0</v>
      </c>
      <c r="F30" s="147">
        <f ca="1">IF(AND(TODAY()&gt;=DATE(2026,3,1),OR(TODAY()&gt;=DATE(2026,4,1),'Conto Economico'!E102&lt;&gt;0)),'Conto Economico'!E102,MIN(MAX($U30,IFERROR(AVERAGEIF('Conto Economico'!$C102:D102,"&lt;&gt;0"),0)),MAX(0,($U30*12) - SUM('Conto Economico'!$C102:D102))))</f>
        <v>0</v>
      </c>
      <c r="G30" s="147">
        <f ca="1">IF(AND(TODAY()&gt;=DATE(2026,4,1),OR(TODAY()&gt;=DATE(2026,5,1),'Conto Economico'!F102&lt;&gt;0)),'Conto Economico'!F102,MIN(MAX($U30,IFERROR(AVERAGEIF('Conto Economico'!$C102:E102,"&lt;&gt;0"),0)),MAX(0,($U30*12) - SUM('Conto Economico'!$C102:E102))))</f>
        <v>0</v>
      </c>
      <c r="H30" s="147">
        <f ca="1">IF(AND(TODAY()&gt;=DATE(2026,5,1),OR(TODAY()&gt;=DATE(2026,6,1),'Conto Economico'!G102&lt;&gt;0)),'Conto Economico'!G102,MIN(MAX($U30,IFERROR(AVERAGEIF('Conto Economico'!$C102:F102,"&lt;&gt;0"),0)),MAX(0,($U30*12) - SUM('Conto Economico'!$C102:F102))))</f>
        <v>0</v>
      </c>
      <c r="I30" s="147">
        <f ca="1">IF(AND(TODAY()&gt;=DATE(2026,6,1),OR(TODAY()&gt;=DATE(2026,7,1),'Conto Economico'!H102&lt;&gt;0)),'Conto Economico'!H102,MIN(MAX($U30,IFERROR(AVERAGEIF('Conto Economico'!$C102:G102,"&lt;&gt;0"),0)),MAX(0,($U30*12) - SUM('Conto Economico'!$C102:G102))))</f>
        <v>0</v>
      </c>
      <c r="J30" s="147">
        <f ca="1">IF(AND(TODAY()&gt;=DATE(2026,7,1),OR(TODAY()&gt;=DATE(2026,8,1),'Conto Economico'!I102&lt;&gt;0)),'Conto Economico'!I102,MIN(MAX($U30,IFERROR(AVERAGEIF('Conto Economico'!$C102:H102,"&lt;&gt;0"),0)),MAX(0,($U30*12) - SUM('Conto Economico'!$C102:H102))))</f>
        <v>4.166666666666667</v>
      </c>
      <c r="K30" s="147">
        <f ca="1">IF(AND(TODAY()&gt;=DATE(2026,8,1),OR(TODAY()&gt;=DATE(2026,9,1),'Conto Economico'!J102&lt;&gt;0)),'Conto Economico'!J102,MIN(MAX($U30,IFERROR(AVERAGEIF('Conto Economico'!$C102:I102,"&lt;&gt;0"),0)),MAX(0,($U30*12) - SUM('Conto Economico'!$C102:I102))))</f>
        <v>4.166666666666667</v>
      </c>
      <c r="L30" s="147">
        <f ca="1">IF(AND(TODAY()&gt;=DATE(2026,9,1),OR(TODAY()&gt;=DATE(2026,10,1),'Conto Economico'!K102&lt;&gt;0)),'Conto Economico'!K102,MIN(MAX($U30,IFERROR(AVERAGEIF('Conto Economico'!$C102:J102,"&lt;&gt;0"),0)),MAX(0,($U30*12) - SUM('Conto Economico'!$C102:J102))))</f>
        <v>4.166666666666667</v>
      </c>
      <c r="M30" s="147">
        <f ca="1">IF(AND(TODAY()&gt;=DATE(2026,10,1),OR(TODAY()&gt;=DATE(2026,11,1),'Conto Economico'!L102&lt;&gt;0)),'Conto Economico'!L102,MIN(MAX($U30,IFERROR(AVERAGEIF('Conto Economico'!$C102:K102,"&lt;&gt;0"),0)),MAX(0,($U30*12) - SUM('Conto Economico'!$C102:K102))))</f>
        <v>4.166666666666667</v>
      </c>
      <c r="N30" s="147">
        <f ca="1">IF(AND(TODAY()&gt;=DATE(2026,11,1),OR(TODAY()&gt;=DATE(2026,12,1),'Conto Economico'!M102&lt;&gt;0)),'Conto Economico'!M102,MIN(MAX($U30,IFERROR(AVERAGEIF('Conto Economico'!$C102:L102,"&lt;&gt;0"),0)),MAX(0,($U30*12) - SUM('Conto Economico'!$C102:L102))))</f>
        <v>4.166666666666667</v>
      </c>
      <c r="O30" s="147">
        <f ca="1">IF(AND(TODAY()&gt;=DATE(2026,12,1),OR(TODAY()&gt;=DATE(2027,1,1),'Conto Economico'!N102&lt;&gt;0)),'Conto Economico'!N102,MIN(MAX($U30,IFERROR(AVERAGEIF('Conto Economico'!$C102:M102,"&lt;&gt;0"),0)),MAX(0,($U30*12) - SUM('Conto Economico'!$C102:M102))))</f>
        <v>4.166666666666667</v>
      </c>
      <c r="Q30" s="147">
        <f t="shared" ca="1" si="9"/>
        <v>25.000000000000004</v>
      </c>
      <c r="R30" s="147">
        <f t="shared" ca="1" si="10"/>
        <v>2.0833333333333335</v>
      </c>
      <c r="T30" s="170">
        <f>'Budget 27'!C32</f>
        <v>50</v>
      </c>
      <c r="U30" s="170">
        <f t="shared" si="11"/>
        <v>4.166666666666667</v>
      </c>
      <c r="W30" s="170">
        <f t="shared" ca="1" si="12"/>
        <v>-24.999999999999996</v>
      </c>
      <c r="X30" s="405">
        <f t="shared" ca="1" si="13"/>
        <v>0.50000000000000011</v>
      </c>
      <c r="Z30" s="234" t="str">
        <f>'Conto Economico'!A102</f>
        <v>Streaming Audio</v>
      </c>
    </row>
    <row r="31" spans="1:26" x14ac:dyDescent="0.2">
      <c r="A31" s="157"/>
      <c r="B31" s="165"/>
      <c r="C31" s="203"/>
      <c r="D31" s="166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Q31" s="164"/>
      <c r="R31" s="164"/>
      <c r="S31" s="157"/>
      <c r="T31" s="164"/>
      <c r="U31" s="164"/>
      <c r="V31" s="157"/>
      <c r="W31" s="164"/>
      <c r="X31" s="320"/>
      <c r="Z31" s="235"/>
    </row>
    <row r="32" spans="1:26" x14ac:dyDescent="0.2">
      <c r="B32" s="167" t="str">
        <f>'Conto Economico'!A104</f>
        <v>Spese Alimentari</v>
      </c>
      <c r="C32" s="167"/>
      <c r="D32" s="149">
        <f t="shared" ref="D32:O32" ca="1" si="14">SUM(D33:D35)</f>
        <v>1060.7500000000002</v>
      </c>
      <c r="E32" s="149">
        <f t="shared" ca="1" si="14"/>
        <v>502.4</v>
      </c>
      <c r="F32" s="149">
        <f t="shared" ca="1" si="14"/>
        <v>1110.3399999999999</v>
      </c>
      <c r="G32" s="149">
        <f t="shared" ca="1" si="14"/>
        <v>1168.18</v>
      </c>
      <c r="H32" s="149">
        <f t="shared" ca="1" si="14"/>
        <v>1270.04</v>
      </c>
      <c r="I32" s="149">
        <f t="shared" ca="1" si="14"/>
        <v>1337.1399999999999</v>
      </c>
      <c r="J32" s="149">
        <f t="shared" ca="1" si="14"/>
        <v>250.06</v>
      </c>
      <c r="K32" s="149">
        <f t="shared" ca="1" si="14"/>
        <v>1191.7419047619048</v>
      </c>
      <c r="L32" s="149">
        <f t="shared" ca="1" si="14"/>
        <v>1191.7419047619048</v>
      </c>
      <c r="M32" s="149">
        <f t="shared" ca="1" si="14"/>
        <v>1191.7419047619048</v>
      </c>
      <c r="N32" s="149">
        <f t="shared" ca="1" si="14"/>
        <v>1191.7419047619048</v>
      </c>
      <c r="O32" s="149">
        <f t="shared" ca="1" si="14"/>
        <v>1191.7419047619048</v>
      </c>
      <c r="Q32" s="149">
        <f ca="1">SUM(Q33:Q35)</f>
        <v>12657.619523809522</v>
      </c>
      <c r="R32" s="149">
        <f ca="1">SUM(R33:R35)</f>
        <v>1054.8016269841269</v>
      </c>
      <c r="S32" s="149"/>
      <c r="T32" s="149">
        <f>SUM(T33:T35)</f>
        <v>14300</v>
      </c>
      <c r="U32" s="149">
        <f>SUM(U33:U35)</f>
        <v>1191.6666666666667</v>
      </c>
      <c r="W32" s="168">
        <f ca="1">Q32-T32</f>
        <v>-1642.3804761904776</v>
      </c>
      <c r="X32" s="319">
        <f ca="1">IF(T32=0,"-",Q32/T32)</f>
        <v>0.88514821844821834</v>
      </c>
      <c r="Z32" s="233" t="str">
        <f>'Conto Economico'!A104</f>
        <v>Spese Alimentari</v>
      </c>
    </row>
    <row r="33" spans="1:26" x14ac:dyDescent="0.2">
      <c r="B33" s="169" t="str">
        <f>'Conto Economico'!A105</f>
        <v>Alimentari</v>
      </c>
      <c r="C33" s="169"/>
      <c r="D33" s="147">
        <f ca="1">IF(AND(TODAY()&gt;=DATE(2026,1,1),OR(TODAY()&gt;=DATE(2026,2,1),'Conto Economico'!C105&lt;&gt;0)),'Conto Economico'!C105,$U33)</f>
        <v>725.00000000000023</v>
      </c>
      <c r="E33" s="147">
        <f ca="1">IF(AND(TODAY()&gt;=DATE(2026,2,1),OR(TODAY()&gt;=DATE(2026,3,1),'Conto Economico'!D105&lt;&gt;0)),'Conto Economico'!D105,MIN(MAX($U33,IFERROR(AVERAGEIF('Conto Economico'!$C105:C105,"&lt;&gt;0"),0)),MAX(0,($U33*12) - SUM('Conto Economico'!$C105:C105))))</f>
        <v>378.26</v>
      </c>
      <c r="F33" s="147">
        <f ca="1">IF(AND(TODAY()&gt;=DATE(2026,3,1),OR(TODAY()&gt;=DATE(2026,4,1),'Conto Economico'!E105&lt;&gt;0)),'Conto Economico'!E105,MIN(MAX($U33,IFERROR(AVERAGEIF('Conto Economico'!$C105:D105,"&lt;&gt;0"),0)),MAX(0,($U33*12) - SUM('Conto Economico'!$C105:D105))))</f>
        <v>858.58999999999992</v>
      </c>
      <c r="G33" s="147">
        <f ca="1">IF(AND(TODAY()&gt;=DATE(2026,4,1),OR(TODAY()&gt;=DATE(2026,5,1),'Conto Economico'!F105&lt;&gt;0)),'Conto Economico'!F105,MIN(MAX($U33,IFERROR(AVERAGEIF('Conto Economico'!$C105:E105,"&lt;&gt;0"),0)),MAX(0,($U33*12) - SUM('Conto Economico'!$C105:E105))))</f>
        <v>618.62</v>
      </c>
      <c r="H33" s="147">
        <f ca="1">IF(AND(TODAY()&gt;=DATE(2026,5,1),OR(TODAY()&gt;=DATE(2026,6,1),'Conto Economico'!G105&lt;&gt;0)),'Conto Economico'!G105,MIN(MAX($U33,IFERROR(AVERAGEIF('Conto Economico'!$C105:F105,"&lt;&gt;0"),0)),MAX(0,($U33*12) - SUM('Conto Economico'!$C105:F105))))</f>
        <v>888.19</v>
      </c>
      <c r="I33" s="147">
        <f ca="1">IF(AND(TODAY()&gt;=DATE(2026,6,1),OR(TODAY()&gt;=DATE(2026,7,1),'Conto Economico'!H105&lt;&gt;0)),'Conto Economico'!H105,MIN(MAX($U33,IFERROR(AVERAGEIF('Conto Economico'!$C105:G105,"&lt;&gt;0"),0)),MAX(0,($U33*12) - SUM('Conto Economico'!$C105:G105))))</f>
        <v>725.97</v>
      </c>
      <c r="J33" s="147">
        <f ca="1">IF(AND(TODAY()&gt;=DATE(2026,7,1),OR(TODAY()&gt;=DATE(2026,8,1),'Conto Economico'!I105&lt;&gt;0)),'Conto Economico'!I105,MIN(MAX($U33,IFERROR(AVERAGEIF('Conto Economico'!$C105:H105,"&lt;&gt;0"),0)),MAX(0,($U33*12) - SUM('Conto Economico'!$C105:H105))))</f>
        <v>141.76</v>
      </c>
      <c r="K33" s="147">
        <f ca="1">IF(AND(TODAY()&gt;=DATE(2026,8,1),OR(TODAY()&gt;=DATE(2026,9,1),'Conto Economico'!J105&lt;&gt;0)),'Conto Economico'!J105,MIN(MAX($U33,IFERROR(AVERAGEIF('Conto Economico'!$C105:I105,"&lt;&gt;0"),0)),MAX(0,($U33*12) - SUM('Conto Economico'!$C105:I105))))</f>
        <v>733.33333333333337</v>
      </c>
      <c r="L33" s="147">
        <f ca="1">IF(AND(TODAY()&gt;=DATE(2026,9,1),OR(TODAY()&gt;=DATE(2026,10,1),'Conto Economico'!K105&lt;&gt;0)),'Conto Economico'!K105,MIN(MAX($U33,IFERROR(AVERAGEIF('Conto Economico'!$C105:J105,"&lt;&gt;0"),0)),MAX(0,($U33*12) - SUM('Conto Economico'!$C105:J105))))</f>
        <v>733.33333333333337</v>
      </c>
      <c r="M33" s="147">
        <f ca="1">IF(AND(TODAY()&gt;=DATE(2026,10,1),OR(TODAY()&gt;=DATE(2026,11,1),'Conto Economico'!L105&lt;&gt;0)),'Conto Economico'!L105,MIN(MAX($U33,IFERROR(AVERAGEIF('Conto Economico'!$C105:K105,"&lt;&gt;0"),0)),MAX(0,($U33*12) - SUM('Conto Economico'!$C105:K105))))</f>
        <v>733.33333333333337</v>
      </c>
      <c r="N33" s="147">
        <f ca="1">IF(AND(TODAY()&gt;=DATE(2026,11,1),OR(TODAY()&gt;=DATE(2026,12,1),'Conto Economico'!M105&lt;&gt;0)),'Conto Economico'!M105,MIN(MAX($U33,IFERROR(AVERAGEIF('Conto Economico'!$C105:L105,"&lt;&gt;0"),0)),MAX(0,($U33*12) - SUM('Conto Economico'!$C105:L105))))</f>
        <v>733.33333333333337</v>
      </c>
      <c r="O33" s="147">
        <f ca="1">IF(AND(TODAY()&gt;=DATE(2026,12,1),OR(TODAY()&gt;=DATE(2027,1,1),'Conto Economico'!N105&lt;&gt;0)),'Conto Economico'!N105,MIN(MAX($U33,IFERROR(AVERAGEIF('Conto Economico'!$C105:M105,"&lt;&gt;0"),0)),MAX(0,($U33*12) - SUM('Conto Economico'!$C105:M105))))</f>
        <v>733.33333333333337</v>
      </c>
      <c r="Q33" s="147">
        <f ca="1">SUM(D33:O33)</f>
        <v>8003.0566666666655</v>
      </c>
      <c r="R33" s="147">
        <f ca="1">Q33/12</f>
        <v>666.92138888888883</v>
      </c>
      <c r="T33" s="170">
        <f>'Budget 27'!C35</f>
        <v>8800</v>
      </c>
      <c r="U33" s="170">
        <f>T33/12</f>
        <v>733.33333333333337</v>
      </c>
      <c r="W33" s="170">
        <f ca="1">Q33-T33</f>
        <v>-796.94333333333452</v>
      </c>
      <c r="X33" s="405">
        <f t="shared" ref="X33:X35" ca="1" si="15">IF(T33=0,"-",Q33/T33)</f>
        <v>0.90943825757575747</v>
      </c>
      <c r="Z33" s="234" t="str">
        <f>'Conto Economico'!A105</f>
        <v>Alimentari</v>
      </c>
    </row>
    <row r="34" spans="1:26" x14ac:dyDescent="0.2">
      <c r="B34" s="169" t="str">
        <f>'Conto Economico'!A106</f>
        <v>Colazioni - Bar - Aperitivi - Gelateria</v>
      </c>
      <c r="C34" s="169"/>
      <c r="D34" s="147">
        <f ca="1">IF(AND(TODAY()&gt;=DATE(2026,1,1),OR(TODAY()&gt;=DATE(2026,2,1),'Conto Economico'!C106&lt;&gt;0)),'Conto Economico'!C106,$U34)</f>
        <v>102.64999999999999</v>
      </c>
      <c r="E34" s="147">
        <f ca="1">IF(AND(TODAY()&gt;=DATE(2026,2,1),OR(TODAY()&gt;=DATE(2026,3,1),'Conto Economico'!D106&lt;&gt;0)),'Conto Economico'!D106,MIN(MAX($U34,IFERROR(AVERAGEIF('Conto Economico'!$C106:C106,"&lt;&gt;0"),0)),MAX(0,($U34*12) - SUM('Conto Economico'!$C106:C106))))</f>
        <v>22</v>
      </c>
      <c r="F34" s="147">
        <f ca="1">IF(AND(TODAY()&gt;=DATE(2026,3,1),OR(TODAY()&gt;=DATE(2026,4,1),'Conto Economico'!E106&lt;&gt;0)),'Conto Economico'!E106,MIN(MAX($U34,IFERROR(AVERAGEIF('Conto Economico'!$C106:D106,"&lt;&gt;0"),0)),MAX(0,($U34*12) - SUM('Conto Economico'!$C106:D106))))</f>
        <v>104.90000000000002</v>
      </c>
      <c r="G34" s="147">
        <f ca="1">IF(AND(TODAY()&gt;=DATE(2026,4,1),OR(TODAY()&gt;=DATE(2026,5,1),'Conto Economico'!F106&lt;&gt;0)),'Conto Economico'!F106,MIN(MAX($U34,IFERROR(AVERAGEIF('Conto Economico'!$C106:E106,"&lt;&gt;0"),0)),MAX(0,($U34*12) - SUM('Conto Economico'!$C106:E106))))</f>
        <v>112.46</v>
      </c>
      <c r="H34" s="147">
        <f ca="1">IF(AND(TODAY()&gt;=DATE(2026,5,1),OR(TODAY()&gt;=DATE(2026,6,1),'Conto Economico'!G106&lt;&gt;0)),'Conto Economico'!G106,MIN(MAX($U34,IFERROR(AVERAGEIF('Conto Economico'!$C106:F106,"&lt;&gt;0"),0)),MAX(0,($U34*12) - SUM('Conto Economico'!$C106:F106))))</f>
        <v>122.9</v>
      </c>
      <c r="I34" s="147">
        <f ca="1">IF(AND(TODAY()&gt;=DATE(2026,6,1),OR(TODAY()&gt;=DATE(2026,7,1),'Conto Economico'!H106&lt;&gt;0)),'Conto Economico'!H106,MIN(MAX($U34,IFERROR(AVERAGEIF('Conto Economico'!$C106:G106,"&lt;&gt;0"),0)),MAX(0,($U34*12) - SUM('Conto Economico'!$C106:G106))))</f>
        <v>111.55000000000001</v>
      </c>
      <c r="J34" s="147">
        <f ca="1">IF(AND(TODAY()&gt;=DATE(2026,7,1),OR(TODAY()&gt;=DATE(2026,8,1),'Conto Economico'!I106&lt;&gt;0)),'Conto Economico'!I106,MIN(MAX($U34,IFERROR(AVERAGEIF('Conto Economico'!$C106:H106,"&lt;&gt;0"),0)),MAX(0,($U34*12) - SUM('Conto Economico'!$C106:H106))))</f>
        <v>7.4</v>
      </c>
      <c r="K34" s="147">
        <f ca="1">IF(AND(TODAY()&gt;=DATE(2026,8,1),OR(TODAY()&gt;=DATE(2026,9,1),'Conto Economico'!J106&lt;&gt;0)),'Conto Economico'!J106,MIN(MAX($U34,IFERROR(AVERAGEIF('Conto Economico'!$C106:I106,"&lt;&gt;0"),0)),MAX(0,($U34*12) - SUM('Conto Economico'!$C106:I106))))</f>
        <v>83.408571428571435</v>
      </c>
      <c r="L34" s="147">
        <f ca="1">IF(AND(TODAY()&gt;=DATE(2026,9,1),OR(TODAY()&gt;=DATE(2026,10,1),'Conto Economico'!K106&lt;&gt;0)),'Conto Economico'!K106,MIN(MAX($U34,IFERROR(AVERAGEIF('Conto Economico'!$C106:J106,"&lt;&gt;0"),0)),MAX(0,($U34*12) - SUM('Conto Economico'!$C106:J106))))</f>
        <v>83.408571428571435</v>
      </c>
      <c r="M34" s="147">
        <f ca="1">IF(AND(TODAY()&gt;=DATE(2026,10,1),OR(TODAY()&gt;=DATE(2026,11,1),'Conto Economico'!L106&lt;&gt;0)),'Conto Economico'!L106,MIN(MAX($U34,IFERROR(AVERAGEIF('Conto Economico'!$C106:K106,"&lt;&gt;0"),0)),MAX(0,($U34*12) - SUM('Conto Economico'!$C106:K106))))</f>
        <v>83.408571428571435</v>
      </c>
      <c r="N34" s="147">
        <f ca="1">IF(AND(TODAY()&gt;=DATE(2026,11,1),OR(TODAY()&gt;=DATE(2026,12,1),'Conto Economico'!M106&lt;&gt;0)),'Conto Economico'!M106,MIN(MAX($U34,IFERROR(AVERAGEIF('Conto Economico'!$C106:L106,"&lt;&gt;0"),0)),MAX(0,($U34*12) - SUM('Conto Economico'!$C106:L106))))</f>
        <v>83.408571428571435</v>
      </c>
      <c r="O34" s="147">
        <f ca="1">IF(AND(TODAY()&gt;=DATE(2026,12,1),OR(TODAY()&gt;=DATE(2027,1,1),'Conto Economico'!N106&lt;&gt;0)),'Conto Economico'!N106,MIN(MAX($U34,IFERROR(AVERAGEIF('Conto Economico'!$C106:M106,"&lt;&gt;0"),0)),MAX(0,($U34*12) - SUM('Conto Economico'!$C106:M106))))</f>
        <v>83.408571428571435</v>
      </c>
      <c r="Q34" s="147">
        <f ca="1">SUM(D34:O34)</f>
        <v>1000.9028571428573</v>
      </c>
      <c r="R34" s="147">
        <f ca="1">Q34/12</f>
        <v>83.408571428571449</v>
      </c>
      <c r="T34" s="170">
        <f>'Budget 27'!C36</f>
        <v>1000</v>
      </c>
      <c r="U34" s="170">
        <f>T34/12</f>
        <v>83.333333333333329</v>
      </c>
      <c r="W34" s="170">
        <f ca="1">Q34-T34</f>
        <v>0.90285714285732865</v>
      </c>
      <c r="X34" s="405">
        <f t="shared" ca="1" si="15"/>
        <v>1.0009028571428573</v>
      </c>
      <c r="Z34" s="234" t="str">
        <f>'Conto Economico'!A106</f>
        <v>Colazioni - Bar - Aperitivi - Gelateria</v>
      </c>
    </row>
    <row r="35" spans="1:26" x14ac:dyDescent="0.2">
      <c r="B35" s="169" t="str">
        <f>'Conto Economico'!A107</f>
        <v>Ristorazione</v>
      </c>
      <c r="C35" s="169"/>
      <c r="D35" s="147">
        <f ca="1">IF(AND(TODAY()&gt;=DATE(2026,1,1),OR(TODAY()&gt;=DATE(2026,2,1),'Conto Economico'!C107&lt;&gt;0)),'Conto Economico'!C107,$U35)</f>
        <v>233.1</v>
      </c>
      <c r="E35" s="147">
        <f ca="1">IF(AND(TODAY()&gt;=DATE(2026,2,1),OR(TODAY()&gt;=DATE(2026,3,1),'Conto Economico'!D107&lt;&gt;0)),'Conto Economico'!D107,MIN(MAX($U35,IFERROR(AVERAGEIF('Conto Economico'!$C107:C107,"&lt;&gt;0"),0)),MAX(0,($U35*12) - SUM('Conto Economico'!$C107:C107))))</f>
        <v>102.13999999999999</v>
      </c>
      <c r="F35" s="147">
        <f ca="1">IF(AND(TODAY()&gt;=DATE(2026,3,1),OR(TODAY()&gt;=DATE(2026,4,1),'Conto Economico'!E107&lt;&gt;0)),'Conto Economico'!E107,MIN(MAX($U35,IFERROR(AVERAGEIF('Conto Economico'!$C107:D107,"&lt;&gt;0"),0)),MAX(0,($U35*12) - SUM('Conto Economico'!$C107:D107))))</f>
        <v>146.85</v>
      </c>
      <c r="G35" s="147">
        <f ca="1">IF(AND(TODAY()&gt;=DATE(2026,4,1),OR(TODAY()&gt;=DATE(2026,5,1),'Conto Economico'!F107&lt;&gt;0)),'Conto Economico'!F107,MIN(MAX($U35,IFERROR(AVERAGEIF('Conto Economico'!$C107:E107,"&lt;&gt;0"),0)),MAX(0,($U35*12) - SUM('Conto Economico'!$C107:E107))))</f>
        <v>437.1</v>
      </c>
      <c r="H35" s="147">
        <f ca="1">IF(AND(TODAY()&gt;=DATE(2026,5,1),OR(TODAY()&gt;=DATE(2026,6,1),'Conto Economico'!G107&lt;&gt;0)),'Conto Economico'!G107,MIN(MAX($U35,IFERROR(AVERAGEIF('Conto Economico'!$C107:F107,"&lt;&gt;0"),0)),MAX(0,($U35*12) - SUM('Conto Economico'!$C107:F107))))</f>
        <v>258.95</v>
      </c>
      <c r="I35" s="147">
        <f ca="1">IF(AND(TODAY()&gt;=DATE(2026,6,1),OR(TODAY()&gt;=DATE(2026,7,1),'Conto Economico'!H107&lt;&gt;0)),'Conto Economico'!H107,MIN(MAX($U35,IFERROR(AVERAGEIF('Conto Economico'!$C107:G107,"&lt;&gt;0"),0)),MAX(0,($U35*12) - SUM('Conto Economico'!$C107:G107))))</f>
        <v>499.62</v>
      </c>
      <c r="J35" s="147">
        <f ca="1">IF(AND(TODAY()&gt;=DATE(2026,7,1),OR(TODAY()&gt;=DATE(2026,8,1),'Conto Economico'!I107&lt;&gt;0)),'Conto Economico'!I107,MIN(MAX($U35,IFERROR(AVERAGEIF('Conto Economico'!$C107:H107,"&lt;&gt;0"),0)),MAX(0,($U35*12) - SUM('Conto Economico'!$C107:H107))))</f>
        <v>100.9</v>
      </c>
      <c r="K35" s="147">
        <f ca="1">IF(AND(TODAY()&gt;=DATE(2026,8,1),OR(TODAY()&gt;=DATE(2026,9,1),'Conto Economico'!J107&lt;&gt;0)),'Conto Economico'!J107,MIN(MAX($U35,IFERROR(AVERAGEIF('Conto Economico'!$C107:I107,"&lt;&gt;0"),0)),MAX(0,($U35*12) - SUM('Conto Economico'!$C107:I107))))</f>
        <v>375</v>
      </c>
      <c r="L35" s="147">
        <f ca="1">IF(AND(TODAY()&gt;=DATE(2026,9,1),OR(TODAY()&gt;=DATE(2026,10,1),'Conto Economico'!K107&lt;&gt;0)),'Conto Economico'!K107,MIN(MAX($U35,IFERROR(AVERAGEIF('Conto Economico'!$C107:J107,"&lt;&gt;0"),0)),MAX(0,($U35*12) - SUM('Conto Economico'!$C107:J107))))</f>
        <v>375</v>
      </c>
      <c r="M35" s="147">
        <f ca="1">IF(AND(TODAY()&gt;=DATE(2026,10,1),OR(TODAY()&gt;=DATE(2026,11,1),'Conto Economico'!L107&lt;&gt;0)),'Conto Economico'!L107,MIN(MAX($U35,IFERROR(AVERAGEIF('Conto Economico'!$C107:K107,"&lt;&gt;0"),0)),MAX(0,($U35*12) - SUM('Conto Economico'!$C107:K107))))</f>
        <v>375</v>
      </c>
      <c r="N35" s="147">
        <f ca="1">IF(AND(TODAY()&gt;=DATE(2026,11,1),OR(TODAY()&gt;=DATE(2026,12,1),'Conto Economico'!M107&lt;&gt;0)),'Conto Economico'!M107,MIN(MAX($U35,IFERROR(AVERAGEIF('Conto Economico'!$C107:L107,"&lt;&gt;0"),0)),MAX(0,($U35*12) - SUM('Conto Economico'!$C107:L107))))</f>
        <v>375</v>
      </c>
      <c r="O35" s="147">
        <f ca="1">IF(AND(TODAY()&gt;=DATE(2026,12,1),OR(TODAY()&gt;=DATE(2027,1,1),'Conto Economico'!N107&lt;&gt;0)),'Conto Economico'!N107,MIN(MAX($U35,IFERROR(AVERAGEIF('Conto Economico'!$C107:M107,"&lt;&gt;0"),0)),MAX(0,($U35*12) - SUM('Conto Economico'!$C107:M107))))</f>
        <v>375</v>
      </c>
      <c r="Q35" s="147">
        <f ca="1">SUM(D35:O35)</f>
        <v>3653.6600000000003</v>
      </c>
      <c r="R35" s="147">
        <f ca="1">Q35/12</f>
        <v>304.47166666666669</v>
      </c>
      <c r="T35" s="170">
        <f>'Budget 27'!C37</f>
        <v>4500</v>
      </c>
      <c r="U35" s="170">
        <f>T35/12</f>
        <v>375</v>
      </c>
      <c r="W35" s="170">
        <f ca="1">Q35-T35</f>
        <v>-846.33999999999969</v>
      </c>
      <c r="X35" s="405">
        <f t="shared" ca="1" si="15"/>
        <v>0.81192444444444456</v>
      </c>
      <c r="Z35" s="234" t="str">
        <f>'Conto Economico'!A107</f>
        <v>Ristorazione</v>
      </c>
    </row>
    <row r="36" spans="1:26" x14ac:dyDescent="0.2">
      <c r="A36" s="157"/>
      <c r="B36" s="165"/>
      <c r="C36" s="203"/>
      <c r="D36" s="166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Q36" s="164"/>
      <c r="R36" s="164"/>
      <c r="S36" s="157"/>
      <c r="T36" s="164"/>
      <c r="U36" s="164"/>
      <c r="V36" s="157"/>
      <c r="W36" s="164"/>
      <c r="X36" s="235"/>
      <c r="Z36" s="235"/>
    </row>
    <row r="37" spans="1:26" x14ac:dyDescent="0.2">
      <c r="B37" s="167" t="str">
        <f>'Conto Economico'!A109</f>
        <v>Manutenzioni</v>
      </c>
      <c r="C37" s="167"/>
      <c r="D37" s="149">
        <f t="shared" ref="D37:O37" ca="1" si="16">SUM(D38:D40)</f>
        <v>0</v>
      </c>
      <c r="E37" s="149">
        <f t="shared" ca="1" si="16"/>
        <v>1010.3900000000001</v>
      </c>
      <c r="F37" s="149">
        <f t="shared" ca="1" si="16"/>
        <v>16.920000000000002</v>
      </c>
      <c r="G37" s="149">
        <f t="shared" ca="1" si="16"/>
        <v>3.99</v>
      </c>
      <c r="H37" s="149">
        <f t="shared" ca="1" si="16"/>
        <v>14.9</v>
      </c>
      <c r="I37" s="149">
        <f t="shared" ca="1" si="16"/>
        <v>868.94999999999993</v>
      </c>
      <c r="J37" s="149">
        <f t="shared" ca="1" si="16"/>
        <v>80.786666666666662</v>
      </c>
      <c r="K37" s="149">
        <f t="shared" ca="1" si="16"/>
        <v>66.666666666666657</v>
      </c>
      <c r="L37" s="149">
        <f t="shared" ca="1" si="16"/>
        <v>66.666666666666657</v>
      </c>
      <c r="M37" s="149">
        <f t="shared" ca="1" si="16"/>
        <v>66.666666666666657</v>
      </c>
      <c r="N37" s="149">
        <f t="shared" ca="1" si="16"/>
        <v>66.666666666666657</v>
      </c>
      <c r="O37" s="149">
        <f t="shared" ca="1" si="16"/>
        <v>66.666666666666657</v>
      </c>
      <c r="Q37" s="149">
        <f ca="1">SUM(Q38:Q40)</f>
        <v>2329.27</v>
      </c>
      <c r="R37" s="149">
        <f ca="1">SUM(R38:R40)</f>
        <v>194.10583333333332</v>
      </c>
      <c r="S37" s="149"/>
      <c r="T37" s="149">
        <f>SUM(T38:T40)</f>
        <v>2300</v>
      </c>
      <c r="U37" s="149">
        <f>SUM(U38:U40)</f>
        <v>191.66666666666666</v>
      </c>
      <c r="W37" s="168">
        <f ca="1">Q37-T37</f>
        <v>29.269999999999982</v>
      </c>
      <c r="X37" s="319">
        <f ca="1">IF(T37=0,"-",Q37/T37)</f>
        <v>1.0127260869565218</v>
      </c>
      <c r="Z37" s="233" t="str">
        <f>'Conto Economico'!A109</f>
        <v>Manutenzioni</v>
      </c>
    </row>
    <row r="38" spans="1:26" x14ac:dyDescent="0.2">
      <c r="B38" s="169" t="str">
        <f>'Conto Economico'!A110</f>
        <v>Manutenzione Immobile</v>
      </c>
      <c r="C38" s="169"/>
      <c r="D38" s="147">
        <f ca="1">IF(AND(TODAY()&gt;=DATE(2026,1,1),OR(TODAY()&gt;=DATE(2026,2,1),'Conto Economico'!C110&lt;&gt;0)),'Conto Economico'!C110,$U38)</f>
        <v>0</v>
      </c>
      <c r="E38" s="147">
        <f ca="1">IF(AND(TODAY()&gt;=DATE(2026,2,1),OR(TODAY()&gt;=DATE(2026,3,1),'Conto Economico'!D110&lt;&gt;0)),'Conto Economico'!D110,MIN(MAX($U38,IFERROR(AVERAGEIF('Conto Economico'!$C110:C110,"&lt;&gt;0"),0)),MAX(0,($U38*12) - SUM('Conto Economico'!$C110:C110))))</f>
        <v>1010.3900000000001</v>
      </c>
      <c r="F38" s="147">
        <f ca="1">IF(AND(TODAY()&gt;=DATE(2026,3,1),OR(TODAY()&gt;=DATE(2026,4,1),'Conto Economico'!E110&lt;&gt;0)),'Conto Economico'!E110,MIN(MAX($U38,IFERROR(AVERAGEIF('Conto Economico'!$C110:D110,"&lt;&gt;0"),0)),MAX(0,($U38*12) - SUM('Conto Economico'!$C110:D110))))</f>
        <v>0</v>
      </c>
      <c r="G38" s="147">
        <f ca="1">IF(AND(TODAY()&gt;=DATE(2026,4,1),OR(TODAY()&gt;=DATE(2026,5,1),'Conto Economico'!F110&lt;&gt;0)),'Conto Economico'!F110,MIN(MAX($U38,IFERROR(AVERAGEIF('Conto Economico'!$C110:E110,"&lt;&gt;0"),0)),MAX(0,($U38*12) - SUM('Conto Economico'!$C110:E110))))</f>
        <v>0</v>
      </c>
      <c r="H38" s="147">
        <f ca="1">IF(AND(TODAY()&gt;=DATE(2026,5,1),OR(TODAY()&gt;=DATE(2026,6,1),'Conto Economico'!G110&lt;&gt;0)),'Conto Economico'!G110,MIN(MAX($U38,IFERROR(AVERAGEIF('Conto Economico'!$C110:F110,"&lt;&gt;0"),0)),MAX(0,($U38*12) - SUM('Conto Economico'!$C110:F110))))</f>
        <v>0</v>
      </c>
      <c r="I38" s="147">
        <f ca="1">IF(AND(TODAY()&gt;=DATE(2026,6,1),OR(TODAY()&gt;=DATE(2026,7,1),'Conto Economico'!H110&lt;&gt;0)),'Conto Economico'!H110,MIN(MAX($U38,IFERROR(AVERAGEIF('Conto Economico'!$C110:G110,"&lt;&gt;0"),0)),MAX(0,($U38*12) - SUM('Conto Economico'!$C110:G110))))</f>
        <v>835.67</v>
      </c>
      <c r="J38" s="147">
        <f ca="1">IF(AND(TODAY()&gt;=DATE(2026,7,1),OR(TODAY()&gt;=DATE(2026,8,1),'Conto Economico'!I110&lt;&gt;0)),'Conto Economico'!I110,MIN(MAX($U38,IFERROR(AVERAGEIF('Conto Economico'!$C110:H110,"&lt;&gt;0"),0)),MAX(0,($U38*12) - SUM('Conto Economico'!$C110:H110))))</f>
        <v>14.12</v>
      </c>
      <c r="K38" s="147">
        <f ca="1">IF(AND(TODAY()&gt;=DATE(2026,8,1),OR(TODAY()&gt;=DATE(2026,9,1),'Conto Economico'!J110&lt;&gt;0)),'Conto Economico'!J110,MIN(MAX($U38,IFERROR(AVERAGEIF('Conto Economico'!$C110:I110,"&lt;&gt;0"),0)),MAX(0,($U38*12) - SUM('Conto Economico'!$C110:I110))))</f>
        <v>0</v>
      </c>
      <c r="L38" s="147">
        <f ca="1">IF(AND(TODAY()&gt;=DATE(2026,9,1),OR(TODAY()&gt;=DATE(2026,10,1),'Conto Economico'!K110&lt;&gt;0)),'Conto Economico'!K110,MIN(MAX($U38,IFERROR(AVERAGEIF('Conto Economico'!$C110:J110,"&lt;&gt;0"),0)),MAX(0,($U38*12) - SUM('Conto Economico'!$C110:J110))))</f>
        <v>0</v>
      </c>
      <c r="M38" s="147">
        <f ca="1">IF(AND(TODAY()&gt;=DATE(2026,10,1),OR(TODAY()&gt;=DATE(2026,11,1),'Conto Economico'!L110&lt;&gt;0)),'Conto Economico'!L110,MIN(MAX($U38,IFERROR(AVERAGEIF('Conto Economico'!$C110:K110,"&lt;&gt;0"),0)),MAX(0,($U38*12) - SUM('Conto Economico'!$C110:K110))))</f>
        <v>0</v>
      </c>
      <c r="N38" s="147">
        <f ca="1">IF(AND(TODAY()&gt;=DATE(2026,11,1),OR(TODAY()&gt;=DATE(2026,12,1),'Conto Economico'!M110&lt;&gt;0)),'Conto Economico'!M110,MIN(MAX($U38,IFERROR(AVERAGEIF('Conto Economico'!$C110:L110,"&lt;&gt;0"),0)),MAX(0,($U38*12) - SUM('Conto Economico'!$C110:L110))))</f>
        <v>0</v>
      </c>
      <c r="O38" s="147">
        <f ca="1">IF(AND(TODAY()&gt;=DATE(2026,12,1),OR(TODAY()&gt;=DATE(2027,1,1),'Conto Economico'!N110&lt;&gt;0)),'Conto Economico'!N110,MIN(MAX($U38,IFERROR(AVERAGEIF('Conto Economico'!$C110:M110,"&lt;&gt;0"),0)),MAX(0,($U38*12) - SUM('Conto Economico'!$C110:M110))))</f>
        <v>0</v>
      </c>
      <c r="Q38" s="147">
        <f ca="1">SUM(D38:O38)</f>
        <v>1860.1799999999998</v>
      </c>
      <c r="R38" s="147">
        <f ca="1">Q38/12</f>
        <v>155.01499999999999</v>
      </c>
      <c r="T38" s="170">
        <f>'Budget 27'!C40</f>
        <v>1500</v>
      </c>
      <c r="U38" s="170">
        <f>T38/12</f>
        <v>125</v>
      </c>
      <c r="W38" s="170">
        <f ca="1">Q38-T38</f>
        <v>360.17999999999984</v>
      </c>
      <c r="X38" s="405">
        <f t="shared" ref="X38:X40" ca="1" si="17">IF(T38=0,"-",Q38/T38)</f>
        <v>1.2401199999999999</v>
      </c>
      <c r="Z38" s="234" t="str">
        <f>'Conto Economico'!A110</f>
        <v>Manutenzione Immobile</v>
      </c>
    </row>
    <row r="39" spans="1:26" x14ac:dyDescent="0.2">
      <c r="B39" s="169" t="str">
        <f>'Conto Economico'!A111</f>
        <v>Manutenzione del Giardino</v>
      </c>
      <c r="C39" s="169"/>
      <c r="D39" s="147">
        <f ca="1">IF(AND(TODAY()&gt;=DATE(2026,1,1),OR(TODAY()&gt;=DATE(2026,2,1),'Conto Economico'!C111&lt;&gt;0)),'Conto Economico'!C111,$U39)</f>
        <v>0</v>
      </c>
      <c r="E39" s="147">
        <f ca="1">IF(AND(TODAY()&gt;=DATE(2026,2,1),OR(TODAY()&gt;=DATE(2026,3,1),'Conto Economico'!D111&lt;&gt;0)),'Conto Economico'!D111,MIN(MAX($U39,IFERROR(AVERAGEIF('Conto Economico'!$C111:C111,"&lt;&gt;0"),0)),MAX(0,($U39*12) - SUM('Conto Economico'!$C111:C111))))</f>
        <v>0</v>
      </c>
      <c r="F39" s="147">
        <f ca="1">IF(AND(TODAY()&gt;=DATE(2026,3,1),OR(TODAY()&gt;=DATE(2026,4,1),'Conto Economico'!E111&lt;&gt;0)),'Conto Economico'!E111,MIN(MAX($U39,IFERROR(AVERAGEIF('Conto Economico'!$C111:D111,"&lt;&gt;0"),0)),MAX(0,($U39*12) - SUM('Conto Economico'!$C111:D111))))</f>
        <v>0</v>
      </c>
      <c r="G39" s="147">
        <f ca="1">IF(AND(TODAY()&gt;=DATE(2026,4,1),OR(TODAY()&gt;=DATE(2026,5,1),'Conto Economico'!F111&lt;&gt;0)),'Conto Economico'!F111,MIN(MAX($U39,IFERROR(AVERAGEIF('Conto Economico'!$C111:E111,"&lt;&gt;0"),0)),MAX(0,($U39*12) - SUM('Conto Economico'!$C111:E111))))</f>
        <v>3.99</v>
      </c>
      <c r="H39" s="147">
        <f ca="1">IF(AND(TODAY()&gt;=DATE(2026,5,1),OR(TODAY()&gt;=DATE(2026,6,1),'Conto Economico'!G111&lt;&gt;0)),'Conto Economico'!G111,MIN(MAX($U39,IFERROR(AVERAGEIF('Conto Economico'!$C111:F111,"&lt;&gt;0"),0)),MAX(0,($U39*12) - SUM('Conto Economico'!$C111:F111))))</f>
        <v>14.9</v>
      </c>
      <c r="I39" s="147">
        <f ca="1">IF(AND(TODAY()&gt;=DATE(2026,6,1),OR(TODAY()&gt;=DATE(2026,7,1),'Conto Economico'!H111&lt;&gt;0)),'Conto Economico'!H111,MIN(MAX($U39,IFERROR(AVERAGEIF('Conto Economico'!$C111:G111,"&lt;&gt;0"),0)),MAX(0,($U39*12) - SUM('Conto Economico'!$C111:G111))))</f>
        <v>33.28</v>
      </c>
      <c r="J39" s="147">
        <f ca="1">IF(AND(TODAY()&gt;=DATE(2026,7,1),OR(TODAY()&gt;=DATE(2026,8,1),'Conto Economico'!I111&lt;&gt;0)),'Conto Economico'!I111,MIN(MAX($U39,IFERROR(AVERAGEIF('Conto Economico'!$C111:H111,"&lt;&gt;0"),0)),MAX(0,($U39*12) - SUM('Conto Economico'!$C111:H111))))</f>
        <v>41.666666666666664</v>
      </c>
      <c r="K39" s="147">
        <f ca="1">IF(AND(TODAY()&gt;=DATE(2026,8,1),OR(TODAY()&gt;=DATE(2026,9,1),'Conto Economico'!J111&lt;&gt;0)),'Conto Economico'!J111,MIN(MAX($U39,IFERROR(AVERAGEIF('Conto Economico'!$C111:I111,"&lt;&gt;0"),0)),MAX(0,($U39*12) - SUM('Conto Economico'!$C111:I111))))</f>
        <v>41.666666666666664</v>
      </c>
      <c r="L39" s="147">
        <f ca="1">IF(AND(TODAY()&gt;=DATE(2026,9,1),OR(TODAY()&gt;=DATE(2026,10,1),'Conto Economico'!K111&lt;&gt;0)),'Conto Economico'!K111,MIN(MAX($U39,IFERROR(AVERAGEIF('Conto Economico'!$C111:J111,"&lt;&gt;0"),0)),MAX(0,($U39*12) - SUM('Conto Economico'!$C111:J111))))</f>
        <v>41.666666666666664</v>
      </c>
      <c r="M39" s="147">
        <f ca="1">IF(AND(TODAY()&gt;=DATE(2026,10,1),OR(TODAY()&gt;=DATE(2026,11,1),'Conto Economico'!L111&lt;&gt;0)),'Conto Economico'!L111,MIN(MAX($U39,IFERROR(AVERAGEIF('Conto Economico'!$C111:K111,"&lt;&gt;0"),0)),MAX(0,($U39*12) - SUM('Conto Economico'!$C111:K111))))</f>
        <v>41.666666666666664</v>
      </c>
      <c r="N39" s="147">
        <f ca="1">IF(AND(TODAY()&gt;=DATE(2026,11,1),OR(TODAY()&gt;=DATE(2026,12,1),'Conto Economico'!M111&lt;&gt;0)),'Conto Economico'!M111,MIN(MAX($U39,IFERROR(AVERAGEIF('Conto Economico'!$C111:L111,"&lt;&gt;0"),0)),MAX(0,($U39*12) - SUM('Conto Economico'!$C111:L111))))</f>
        <v>41.666666666666664</v>
      </c>
      <c r="O39" s="147">
        <f ca="1">IF(AND(TODAY()&gt;=DATE(2026,12,1),OR(TODAY()&gt;=DATE(2027,1,1),'Conto Economico'!N111&lt;&gt;0)),'Conto Economico'!N111,MIN(MAX($U39,IFERROR(AVERAGEIF('Conto Economico'!$C111:M111,"&lt;&gt;0"),0)),MAX(0,($U39*12) - SUM('Conto Economico'!$C111:M111))))</f>
        <v>41.666666666666664</v>
      </c>
      <c r="Q39" s="147">
        <f ca="1">SUM(D39:O39)</f>
        <v>302.17</v>
      </c>
      <c r="R39" s="147">
        <f ca="1">Q39/12</f>
        <v>25.180833333333336</v>
      </c>
      <c r="T39" s="170">
        <f>'Budget 27'!C41</f>
        <v>500</v>
      </c>
      <c r="U39" s="170">
        <f>T39/12</f>
        <v>41.666666666666664</v>
      </c>
      <c r="W39" s="170">
        <f ca="1">Q39-T39</f>
        <v>-197.82999999999998</v>
      </c>
      <c r="X39" s="405">
        <f t="shared" ca="1" si="17"/>
        <v>0.60433999999999999</v>
      </c>
      <c r="Z39" s="234" t="str">
        <f>'Conto Economico'!A111</f>
        <v>Manutenzione del Giardino</v>
      </c>
    </row>
    <row r="40" spans="1:26" x14ac:dyDescent="0.2">
      <c r="B40" s="169" t="str">
        <f>'Conto Economico'!A112</f>
        <v>Manutenzione Piscina</v>
      </c>
      <c r="C40" s="169"/>
      <c r="D40" s="147">
        <f ca="1">IF(AND(TODAY()&gt;=DATE(2026,1,1),OR(TODAY()&gt;=DATE(2026,2,1),'Conto Economico'!C112&lt;&gt;0)),'Conto Economico'!C112,$U40)</f>
        <v>0</v>
      </c>
      <c r="E40" s="147">
        <f ca="1">IF(AND(TODAY()&gt;=DATE(2026,2,1),OR(TODAY()&gt;=DATE(2026,3,1),'Conto Economico'!D112&lt;&gt;0)),'Conto Economico'!D112,MIN(MAX($U40,IFERROR(AVERAGEIF('Conto Economico'!$C112:C112,"&lt;&gt;0"),0)),MAX(0,($U40*12) - SUM('Conto Economico'!$C112:C112))))</f>
        <v>0</v>
      </c>
      <c r="F40" s="147">
        <f ca="1">IF(AND(TODAY()&gt;=DATE(2026,3,1),OR(TODAY()&gt;=DATE(2026,4,1),'Conto Economico'!E112&lt;&gt;0)),'Conto Economico'!E112,MIN(MAX($U40,IFERROR(AVERAGEIF('Conto Economico'!$C112:D112,"&lt;&gt;0"),0)),MAX(0,($U40*12) - SUM('Conto Economico'!$C112:D112))))</f>
        <v>16.920000000000002</v>
      </c>
      <c r="G40" s="147">
        <f ca="1">IF(AND(TODAY()&gt;=DATE(2026,4,1),OR(TODAY()&gt;=DATE(2026,5,1),'Conto Economico'!F112&lt;&gt;0)),'Conto Economico'!F112,MIN(MAX($U40,IFERROR(AVERAGEIF('Conto Economico'!$C112:E112,"&lt;&gt;0"),0)),MAX(0,($U40*12) - SUM('Conto Economico'!$C112:E112))))</f>
        <v>0</v>
      </c>
      <c r="H40" s="147">
        <f ca="1">IF(AND(TODAY()&gt;=DATE(2026,5,1),OR(TODAY()&gt;=DATE(2026,6,1),'Conto Economico'!G112&lt;&gt;0)),'Conto Economico'!G112,MIN(MAX($U40,IFERROR(AVERAGEIF('Conto Economico'!$C112:F112,"&lt;&gt;0"),0)),MAX(0,($U40*12) - SUM('Conto Economico'!$C112:F112))))</f>
        <v>0</v>
      </c>
      <c r="I40" s="147">
        <f ca="1">IF(AND(TODAY()&gt;=DATE(2026,6,1),OR(TODAY()&gt;=DATE(2026,7,1),'Conto Economico'!H112&lt;&gt;0)),'Conto Economico'!H112,MIN(MAX($U40,IFERROR(AVERAGEIF('Conto Economico'!$C112:G112,"&lt;&gt;0"),0)),MAX(0,($U40*12) - SUM('Conto Economico'!$C112:G112))))</f>
        <v>0</v>
      </c>
      <c r="J40" s="147">
        <f ca="1">IF(AND(TODAY()&gt;=DATE(2026,7,1),OR(TODAY()&gt;=DATE(2026,8,1),'Conto Economico'!I112&lt;&gt;0)),'Conto Economico'!I112,MIN(MAX($U40,IFERROR(AVERAGEIF('Conto Economico'!$C112:H112,"&lt;&gt;0"),0)),MAX(0,($U40*12) - SUM('Conto Economico'!$C112:H112))))</f>
        <v>25</v>
      </c>
      <c r="K40" s="147">
        <f ca="1">IF(AND(TODAY()&gt;=DATE(2026,8,1),OR(TODAY()&gt;=DATE(2026,9,1),'Conto Economico'!J112&lt;&gt;0)),'Conto Economico'!J112,MIN(MAX($U40,IFERROR(AVERAGEIF('Conto Economico'!$C112:I112,"&lt;&gt;0"),0)),MAX(0,($U40*12) - SUM('Conto Economico'!$C112:I112))))</f>
        <v>25</v>
      </c>
      <c r="L40" s="147">
        <f ca="1">IF(AND(TODAY()&gt;=DATE(2026,9,1),OR(TODAY()&gt;=DATE(2026,10,1),'Conto Economico'!K112&lt;&gt;0)),'Conto Economico'!K112,MIN(MAX($U40,IFERROR(AVERAGEIF('Conto Economico'!$C112:J112,"&lt;&gt;0"),0)),MAX(0,($U40*12) - SUM('Conto Economico'!$C112:J112))))</f>
        <v>25</v>
      </c>
      <c r="M40" s="147">
        <f ca="1">IF(AND(TODAY()&gt;=DATE(2026,10,1),OR(TODAY()&gt;=DATE(2026,11,1),'Conto Economico'!L112&lt;&gt;0)),'Conto Economico'!L112,MIN(MAX($U40,IFERROR(AVERAGEIF('Conto Economico'!$C112:K112,"&lt;&gt;0"),0)),MAX(0,($U40*12) - SUM('Conto Economico'!$C112:K112))))</f>
        <v>25</v>
      </c>
      <c r="N40" s="147">
        <f ca="1">IF(AND(TODAY()&gt;=DATE(2026,11,1),OR(TODAY()&gt;=DATE(2026,12,1),'Conto Economico'!M112&lt;&gt;0)),'Conto Economico'!M112,MIN(MAX($U40,IFERROR(AVERAGEIF('Conto Economico'!$C112:L112,"&lt;&gt;0"),0)),MAX(0,($U40*12) - SUM('Conto Economico'!$C112:L112))))</f>
        <v>25</v>
      </c>
      <c r="O40" s="147">
        <f ca="1">IF(AND(TODAY()&gt;=DATE(2026,12,1),OR(TODAY()&gt;=DATE(2027,1,1),'Conto Economico'!N112&lt;&gt;0)),'Conto Economico'!N112,MIN(MAX($U40,IFERROR(AVERAGEIF('Conto Economico'!$C112:M112,"&lt;&gt;0"),0)),MAX(0,($U40*12) - SUM('Conto Economico'!$C112:M112))))</f>
        <v>25</v>
      </c>
      <c r="Q40" s="147">
        <f ca="1">SUM(D40:O40)</f>
        <v>166.92000000000002</v>
      </c>
      <c r="R40" s="147">
        <f ca="1">Q40/12</f>
        <v>13.910000000000002</v>
      </c>
      <c r="T40" s="170">
        <f>'Budget 27'!C42</f>
        <v>300</v>
      </c>
      <c r="U40" s="170">
        <f>T40/12</f>
        <v>25</v>
      </c>
      <c r="W40" s="170">
        <f ca="1">Q40-T40</f>
        <v>-133.07999999999998</v>
      </c>
      <c r="X40" s="405">
        <f t="shared" ca="1" si="17"/>
        <v>0.55640000000000001</v>
      </c>
      <c r="Z40" s="234" t="str">
        <f>'Conto Economico'!A112</f>
        <v>Manutenzione Piscina</v>
      </c>
    </row>
    <row r="41" spans="1:26" x14ac:dyDescent="0.2">
      <c r="A41" s="157"/>
      <c r="B41" s="165"/>
      <c r="C41" s="203"/>
      <c r="D41" s="166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Q41" s="164"/>
      <c r="R41" s="164"/>
      <c r="S41" s="157"/>
      <c r="T41" s="164"/>
      <c r="U41" s="164"/>
      <c r="V41" s="157"/>
      <c r="W41" s="164"/>
      <c r="X41" s="320"/>
      <c r="Z41" s="235"/>
    </row>
    <row r="42" spans="1:26" x14ac:dyDescent="0.2">
      <c r="B42" s="167" t="str">
        <f>'Conto Economico'!A114</f>
        <v>Educazione Emma</v>
      </c>
      <c r="C42" s="167"/>
      <c r="D42" s="149">
        <f t="shared" ref="D42:U42" ca="1" si="18">D43</f>
        <v>0</v>
      </c>
      <c r="E42" s="149">
        <f t="shared" ca="1" si="18"/>
        <v>1508.27</v>
      </c>
      <c r="F42" s="149">
        <f t="shared" ca="1" si="18"/>
        <v>0</v>
      </c>
      <c r="G42" s="149">
        <f t="shared" ca="1" si="18"/>
        <v>287.99</v>
      </c>
      <c r="H42" s="149">
        <f t="shared" ca="1" si="18"/>
        <v>402.19</v>
      </c>
      <c r="I42" s="149">
        <f t="shared" ca="1" si="18"/>
        <v>120</v>
      </c>
      <c r="J42" s="149">
        <f t="shared" ca="1" si="18"/>
        <v>0</v>
      </c>
      <c r="K42" s="149">
        <f t="shared" ca="1" si="18"/>
        <v>0</v>
      </c>
      <c r="L42" s="149">
        <f t="shared" ca="1" si="18"/>
        <v>19331.576400000002</v>
      </c>
      <c r="M42" s="149">
        <f t="shared" ca="1" si="18"/>
        <v>0</v>
      </c>
      <c r="N42" s="149">
        <f t="shared" ca="1" si="18"/>
        <v>0</v>
      </c>
      <c r="O42" s="149">
        <f t="shared" ca="1" si="18"/>
        <v>0</v>
      </c>
      <c r="Q42" s="149">
        <f t="shared" ca="1" si="18"/>
        <v>21650.026400000002</v>
      </c>
      <c r="R42" s="149">
        <f t="shared" ca="1" si="18"/>
        <v>1804.1688666666669</v>
      </c>
      <c r="S42" s="149"/>
      <c r="T42" s="149">
        <f t="shared" si="18"/>
        <v>6500</v>
      </c>
      <c r="U42" s="149">
        <f t="shared" si="18"/>
        <v>541.66666666666663</v>
      </c>
      <c r="W42" s="168">
        <f ca="1">Q42-T42</f>
        <v>15150.026400000002</v>
      </c>
      <c r="X42" s="319">
        <f ca="1">IF(T42=0,"-",Q42/T42)</f>
        <v>3.3307732923076925</v>
      </c>
      <c r="Z42" s="233" t="str">
        <f>'Conto Economico'!A114</f>
        <v>Educazione Emma</v>
      </c>
    </row>
    <row r="43" spans="1:26" x14ac:dyDescent="0.2">
      <c r="B43" s="169" t="str">
        <f>'Conto Economico'!A115</f>
        <v>Istruzione e Corsi</v>
      </c>
      <c r="C43" s="169"/>
      <c r="D43" s="147">
        <f ca="1">IF(AND(TODAY()&gt;=DATE(2026,1,1),OR(TODAY()&gt;=DATE(2026,2,1),'Conto Economico'!C115&lt;&gt;0)),'Conto Economico'!C115,$U43)</f>
        <v>0</v>
      </c>
      <c r="E43" s="147">
        <f ca="1">IF(AND(TODAY()&gt;=DATE(2026,2,1),OR(TODAY()&gt;=DATE(2026,3,1),'Conto Economico'!D115&lt;&gt;0)),'Conto Economico'!D115,$U43)</f>
        <v>1508.27</v>
      </c>
      <c r="F43" s="147">
        <f ca="1">IF(AND(TODAY()&gt;=DATE(2026,3,1),OR(TODAY()&gt;=DATE(2026,4,1),'Conto Economico'!E115&lt;&gt;0)),'Conto Economico'!E115,0)</f>
        <v>0</v>
      </c>
      <c r="G43" s="147">
        <f ca="1">IF(AND(TODAY()&gt;=DATE(2026,4,1),OR(TODAY()&gt;=DATE(2026,5,1),'Conto Economico'!F115&lt;&gt;0)),'Conto Economico'!F115,0)</f>
        <v>287.99</v>
      </c>
      <c r="H43" s="147">
        <f ca="1">IF(AND(TODAY()&gt;=DATE(2026,5,1),OR(TODAY()&gt;=DATE(2026,6,1),'Conto Economico'!G115&lt;&gt;0)),'Conto Economico'!G115,0)</f>
        <v>402.19</v>
      </c>
      <c r="I43" s="147">
        <f ca="1">IF(AND(TODAY()&gt;=DATE(2026,6,1),OR(TODAY()&gt;=DATE(2026,7,1),'Conto Economico'!H115&lt;&gt;0)),'Conto Economico'!H115,0)</f>
        <v>120</v>
      </c>
      <c r="J43" s="147">
        <f ca="1">IF(AND(TODAY()&gt;=DATE(2026,7,1),OR(TODAY()&gt;=DATE(2026,8,1),'Conto Economico'!I115&lt;&gt;0)),'Conto Economico'!I115,0)</f>
        <v>0</v>
      </c>
      <c r="K43" s="147">
        <f ca="1">IF(AND(TODAY()&gt;=DATE(2026,8,1),OR(TODAY()&gt;=DATE(2026,9,1),'Conto Economico'!J115&lt;&gt;0)),'Conto Economico'!J115,0)</f>
        <v>0</v>
      </c>
      <c r="L43" s="147">
        <f ca="1">IF(AND(TODAY()&gt;=DATE(2026,9,1),OR(TODAY()&gt;=DATE(2026,10,1),'Conto Economico'!K115&lt;&gt;0)),'Conto Economico'!K115,'Budget 27'!D45-6500)</f>
        <v>19331.576400000002</v>
      </c>
      <c r="M43" s="147">
        <f ca="1">IF(AND(TODAY()&gt;=DATE(2026,10,1),OR(TODAY()&gt;=DATE(2026,11,1),'Conto Economico'!L115&lt;&gt;0)),'Conto Economico'!L115,0)</f>
        <v>0</v>
      </c>
      <c r="N43" s="147">
        <f ca="1">IF(AND(TODAY()&gt;=DATE(2026,11,1),OR(TODAY()&gt;=DATE(2026,12,1),'Conto Economico'!M115&lt;&gt;0)),'Conto Economico'!M115,0)</f>
        <v>0</v>
      </c>
      <c r="O43" s="147">
        <f ca="1">IF(AND(TODAY()&gt;=DATE(2026,12,1),OR(TODAY()&gt;=DATE(2027,1,1),'Conto Economico'!N115&lt;&gt;0)),'Conto Economico'!N115,0)</f>
        <v>0</v>
      </c>
      <c r="Q43" s="147">
        <f ca="1">SUM(D43:O43)</f>
        <v>21650.026400000002</v>
      </c>
      <c r="R43" s="147">
        <f ca="1">Q43/12</f>
        <v>1804.1688666666669</v>
      </c>
      <c r="T43" s="170">
        <f>'Budget 27'!C45</f>
        <v>6500</v>
      </c>
      <c r="U43" s="170">
        <f>T43/12</f>
        <v>541.66666666666663</v>
      </c>
      <c r="W43" s="170">
        <f ca="1">Q43-T43</f>
        <v>15150.026400000002</v>
      </c>
      <c r="X43" s="405">
        <f t="shared" ref="X43" ca="1" si="19">IF(T43=0,"-",Q43/T43)</f>
        <v>3.3307732923076925</v>
      </c>
      <c r="Z43" s="234" t="str">
        <f>'Conto Economico'!A115</f>
        <v>Istruzione e Corsi</v>
      </c>
    </row>
    <row r="44" spans="1:26" x14ac:dyDescent="0.2">
      <c r="A44" s="157"/>
      <c r="B44" s="165"/>
      <c r="C44" s="203"/>
      <c r="D44" s="166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Q44" s="164"/>
      <c r="R44" s="164"/>
      <c r="S44" s="157"/>
      <c r="T44" s="164"/>
      <c r="U44" s="164"/>
      <c r="V44" s="157"/>
      <c r="W44" s="164"/>
      <c r="X44" s="320"/>
      <c r="Z44" s="235"/>
    </row>
    <row r="45" spans="1:26" s="149" customFormat="1" x14ac:dyDescent="0.2">
      <c r="B45" s="167" t="str">
        <f>'Conto Economico'!A117</f>
        <v>Viaggi</v>
      </c>
      <c r="C45" s="167"/>
      <c r="D45" s="149">
        <f t="shared" ref="D45:N45" ca="1" si="20">SUM(D46:D56)</f>
        <v>0</v>
      </c>
      <c r="E45" s="149">
        <f t="shared" ca="1" si="20"/>
        <v>998.69220183486232</v>
      </c>
      <c r="F45" s="149">
        <f t="shared" ca="1" si="20"/>
        <v>43.84</v>
      </c>
      <c r="G45" s="149">
        <f t="shared" ca="1" si="20"/>
        <v>33.61</v>
      </c>
      <c r="H45" s="149">
        <f t="shared" ca="1" si="20"/>
        <v>410.81333333333333</v>
      </c>
      <c r="I45" s="149">
        <f t="shared" ca="1" si="20"/>
        <v>0</v>
      </c>
      <c r="J45" s="149">
        <f t="shared" ca="1" si="20"/>
        <v>0</v>
      </c>
      <c r="K45" s="149">
        <f t="shared" ca="1" si="20"/>
        <v>0</v>
      </c>
      <c r="L45" s="149">
        <f t="shared" ca="1" si="20"/>
        <v>0</v>
      </c>
      <c r="M45" s="149">
        <f t="shared" ca="1" si="20"/>
        <v>0</v>
      </c>
      <c r="N45" s="149">
        <f t="shared" ca="1" si="20"/>
        <v>0</v>
      </c>
      <c r="O45" s="149">
        <f t="shared" ref="O45" ca="1" si="21">SUM(O46:O56)</f>
        <v>0</v>
      </c>
      <c r="P45"/>
      <c r="Q45" s="149">
        <f ca="1">SUM(D45:P45)</f>
        <v>1486.9555351681954</v>
      </c>
      <c r="R45" s="149">
        <f ca="1">Q45/12</f>
        <v>123.91296126401629</v>
      </c>
      <c r="T45" s="149">
        <f>SUM(T46:T56)</f>
        <v>8000</v>
      </c>
      <c r="U45" s="171">
        <f>T45/12</f>
        <v>666.66666666666663</v>
      </c>
      <c r="W45" s="168">
        <f ca="1">Q45-T45</f>
        <v>-6513.0444648318044</v>
      </c>
      <c r="X45" s="319">
        <f ca="1">IF(T45=0,"-",Q45/T45)</f>
        <v>0.18586944189602442</v>
      </c>
      <c r="Z45" s="233" t="str">
        <f>'Conto Economico'!A117</f>
        <v>Viaggi</v>
      </c>
    </row>
    <row r="46" spans="1:26" x14ac:dyDescent="0.2">
      <c r="B46" s="169" t="str">
        <f>'Conto Economico'!A118</f>
        <v>V - Trasporto Aereo</v>
      </c>
      <c r="C46" s="169"/>
      <c r="D46" s="147">
        <f ca="1">IF(AND(TODAY()&gt;=DATE(2026,1,1),OR(TODAY()&gt;=DATE(2026,2,1),'Conto Economico'!C118&lt;&gt;0)),'Conto Economico'!C118,$U46)</f>
        <v>0</v>
      </c>
      <c r="E46" s="147">
        <f ca="1">IF(AND(TODAY()&gt;=DATE(2026,2,1),OR(TODAY()&gt;=DATE(2026,3,1),'Conto Economico'!D118&lt;&gt;0)),'Conto Economico'!D118,$U46)</f>
        <v>0</v>
      </c>
      <c r="F46" s="147">
        <f ca="1">IF(AND(TODAY()&gt;=DATE(2026,3,1),OR(TODAY()&gt;=DATE(2026,4,1),'Conto Economico'!E118&lt;&gt;0)),'Conto Economico'!E118,$U46)</f>
        <v>0</v>
      </c>
      <c r="G46" s="147">
        <f ca="1">IF(AND(TODAY()&gt;=DATE(2026,4,1),OR(TODAY()&gt;=DATE(2026,5,1),'Conto Economico'!F118&lt;&gt;0)),'Conto Economico'!F118,$U46)</f>
        <v>23.84</v>
      </c>
      <c r="H46" s="147">
        <f ca="1">IF(AND(TODAY()&gt;=DATE(2026,5,1),OR(TODAY()&gt;=DATE(2026,6,1),'Conto Economico'!G118&lt;&gt;0)),'Conto Economico'!G118,$U46)</f>
        <v>0</v>
      </c>
      <c r="I46" s="147">
        <f ca="1">IF(AND(TODAY()&gt;=DATE(2026,6,1),OR(TODAY()&gt;=DATE(2026,7,1),'Conto Economico'!H118&lt;&gt;0)),'Conto Economico'!H118,$U46)</f>
        <v>0</v>
      </c>
      <c r="J46" s="147">
        <f ca="1">IF(AND(TODAY()&gt;=DATE(2026,7,1),OR(TODAY()&gt;=DATE(2026,8,1),'Conto Economico'!I118&lt;&gt;0)),'Conto Economico'!I118,$U46)</f>
        <v>0</v>
      </c>
      <c r="K46" s="147">
        <f ca="1">IF(AND(TODAY()&gt;=DATE(2026,8,1),OR(TODAY()&gt;=DATE(2026,9,1),'Conto Economico'!J118&lt;&gt;0)),'Conto Economico'!J118,$U46)</f>
        <v>0</v>
      </c>
      <c r="L46" s="147">
        <f ca="1">IF(AND(TODAY()&gt;=DATE(2026,9,1),OR(TODAY()&gt;=DATE(2026,10,1),'Conto Economico'!K118&lt;&gt;0)),'Conto Economico'!K118,$U46)</f>
        <v>0</v>
      </c>
      <c r="M46" s="147">
        <f ca="1">IF(AND(TODAY()&gt;=DATE(2026,10,1),OR(TODAY()&gt;=DATE(2026,11,1),'Conto Economico'!L118&lt;&gt;0)),'Conto Economico'!L118,$U46)</f>
        <v>0</v>
      </c>
      <c r="N46" s="147">
        <f ca="1">IF(AND(TODAY()&gt;=DATE(2026,11,1),OR(TODAY()&gt;=DATE(2026,12,1),'Conto Economico'!M118&lt;&gt;0)),'Conto Economico'!M118,$U46)</f>
        <v>0</v>
      </c>
      <c r="O46" s="147">
        <f ca="1">IF(AND(TODAY()&gt;=DATE(2026,12,1),OR(TODAY()&gt;=DATE(2027,1,1),'Conto Economico'!N118&lt;&gt;0)),'Conto Economico'!N118,$U46)</f>
        <v>0</v>
      </c>
      <c r="Q46" s="147">
        <f t="shared" ref="Q46:Q56" ca="1" si="22">SUM(D46:O46)</f>
        <v>23.84</v>
      </c>
      <c r="R46" s="147">
        <f t="shared" ref="R46:R56" ca="1" si="23">Q46/12</f>
        <v>1.9866666666666666</v>
      </c>
      <c r="T46" s="170"/>
      <c r="U46" s="170"/>
      <c r="X46" s="148"/>
      <c r="Z46" s="234" t="str">
        <f>'Conto Economico'!A118</f>
        <v>V - Trasporto Aereo</v>
      </c>
    </row>
    <row r="47" spans="1:26" x14ac:dyDescent="0.2">
      <c r="B47" s="169" t="str">
        <f>'Conto Economico'!A119</f>
        <v>V - Automobile a noleggio</v>
      </c>
      <c r="C47" s="169"/>
      <c r="D47" s="147">
        <f ca="1">IF(AND(TODAY()&gt;=DATE(2026,1,1),OR(TODAY()&gt;=DATE(2026,2,1),'Conto Economico'!C119&lt;&gt;0)),'Conto Economico'!C119,$U47)</f>
        <v>0</v>
      </c>
      <c r="E47" s="147">
        <f ca="1">IF(AND(TODAY()&gt;=DATE(2026,2,1),OR(TODAY()&gt;=DATE(2026,3,1),'Conto Economico'!D119&lt;&gt;0)),'Conto Economico'!D119,$U47)</f>
        <v>48.34</v>
      </c>
      <c r="F47" s="147">
        <f ca="1">IF(AND(TODAY()&gt;=DATE(2026,3,1),OR(TODAY()&gt;=DATE(2026,4,1),'Conto Economico'!E119&lt;&gt;0)),'Conto Economico'!E119,$U47)</f>
        <v>43.84</v>
      </c>
      <c r="G47" s="147">
        <f ca="1">IF(AND(TODAY()&gt;=DATE(2026,4,1),OR(TODAY()&gt;=DATE(2026,5,1),'Conto Economico'!F119&lt;&gt;0)),'Conto Economico'!F119,$U47)</f>
        <v>9.77</v>
      </c>
      <c r="H47" s="147">
        <f ca="1">IF(AND(TODAY()&gt;=DATE(2026,5,1),OR(TODAY()&gt;=DATE(2026,6,1),'Conto Economico'!G119&lt;&gt;0)),'Conto Economico'!G119,$U47)</f>
        <v>0</v>
      </c>
      <c r="I47" s="147">
        <f ca="1">IF(AND(TODAY()&gt;=DATE(2026,6,1),OR(TODAY()&gt;=DATE(2026,7,1),'Conto Economico'!H119&lt;&gt;0)),'Conto Economico'!H119,$U47)</f>
        <v>0</v>
      </c>
      <c r="J47" s="147">
        <f ca="1">IF(AND(TODAY()&gt;=DATE(2026,7,1),OR(TODAY()&gt;=DATE(2026,8,1),'Conto Economico'!I119&lt;&gt;0)),'Conto Economico'!I119,$U47)</f>
        <v>0</v>
      </c>
      <c r="K47" s="147">
        <f ca="1">IF(AND(TODAY()&gt;=DATE(2026,8,1),OR(TODAY()&gt;=DATE(2026,9,1),'Conto Economico'!J119&lt;&gt;0)),'Conto Economico'!J119,$U47)</f>
        <v>0</v>
      </c>
      <c r="L47" s="147">
        <f ca="1">IF(AND(TODAY()&gt;=DATE(2026,9,1),OR(TODAY()&gt;=DATE(2026,10,1),'Conto Economico'!K119&lt;&gt;0)),'Conto Economico'!K119,$U47)</f>
        <v>0</v>
      </c>
      <c r="M47" s="147">
        <f ca="1">IF(AND(TODAY()&gt;=DATE(2026,10,1),OR(TODAY()&gt;=DATE(2026,11,1),'Conto Economico'!L119&lt;&gt;0)),'Conto Economico'!L119,$U47)</f>
        <v>0</v>
      </c>
      <c r="N47" s="147">
        <f ca="1">IF(AND(TODAY()&gt;=DATE(2026,11,1),OR(TODAY()&gt;=DATE(2026,12,1),'Conto Economico'!M119&lt;&gt;0)),'Conto Economico'!M119,$U47)</f>
        <v>0</v>
      </c>
      <c r="O47" s="147">
        <f ca="1">IF(AND(TODAY()&gt;=DATE(2026,12,1),OR(TODAY()&gt;=DATE(2027,1,1),'Conto Economico'!N119&lt;&gt;0)),'Conto Economico'!N119,$U47)</f>
        <v>0</v>
      </c>
      <c r="Q47" s="147">
        <f t="shared" ca="1" si="22"/>
        <v>101.95</v>
      </c>
      <c r="R47" s="147">
        <f t="shared" ca="1" si="23"/>
        <v>8.4958333333333336</v>
      </c>
      <c r="T47" s="170"/>
      <c r="U47" s="170"/>
      <c r="X47" s="148"/>
      <c r="Z47" s="234" t="str">
        <f>'Conto Economico'!A119</f>
        <v>V - Automobile a noleggio</v>
      </c>
    </row>
    <row r="48" spans="1:26" x14ac:dyDescent="0.2">
      <c r="B48" s="169" t="str">
        <f>'Conto Economico'!A120</f>
        <v>V - Carburante</v>
      </c>
      <c r="C48" s="169"/>
      <c r="D48" s="147">
        <f ca="1">IF(AND(TODAY()&gt;=DATE(2026,1,1),OR(TODAY()&gt;=DATE(2026,2,1),'Conto Economico'!C120&lt;&gt;0)),'Conto Economico'!C120,$U48)</f>
        <v>0</v>
      </c>
      <c r="E48" s="147">
        <f ca="1">IF(AND(TODAY()&gt;=DATE(2026,2,1),OR(TODAY()&gt;=DATE(2026,3,1),'Conto Economico'!D120&lt;&gt;0)),'Conto Economico'!D120,$U48)</f>
        <v>30.09</v>
      </c>
      <c r="F48" s="147">
        <f ca="1">IF(AND(TODAY()&gt;=DATE(2026,3,1),OR(TODAY()&gt;=DATE(2026,4,1),'Conto Economico'!E120&lt;&gt;0)),'Conto Economico'!E120,$U48)</f>
        <v>0</v>
      </c>
      <c r="G48" s="147">
        <f ca="1">IF(AND(TODAY()&gt;=DATE(2026,4,1),OR(TODAY()&gt;=DATE(2026,5,1),'Conto Economico'!F120&lt;&gt;0)),'Conto Economico'!F120,$U48)</f>
        <v>0</v>
      </c>
      <c r="H48" s="147">
        <f ca="1">IF(AND(TODAY()&gt;=DATE(2026,5,1),OR(TODAY()&gt;=DATE(2026,6,1),'Conto Economico'!G120&lt;&gt;0)),'Conto Economico'!G120,$U48)</f>
        <v>0</v>
      </c>
      <c r="I48" s="147">
        <f ca="1">IF(AND(TODAY()&gt;=DATE(2026,6,1),OR(TODAY()&gt;=DATE(2026,7,1),'Conto Economico'!H120&lt;&gt;0)),'Conto Economico'!H120,$U48)</f>
        <v>0</v>
      </c>
      <c r="J48" s="147">
        <f ca="1">IF(AND(TODAY()&gt;=DATE(2026,7,1),OR(TODAY()&gt;=DATE(2026,8,1),'Conto Economico'!I120&lt;&gt;0)),'Conto Economico'!I120,$U48)</f>
        <v>0</v>
      </c>
      <c r="K48" s="147">
        <f ca="1">IF(AND(TODAY()&gt;=DATE(2026,8,1),OR(TODAY()&gt;=DATE(2026,9,1),'Conto Economico'!J120&lt;&gt;0)),'Conto Economico'!J120,$U48)</f>
        <v>0</v>
      </c>
      <c r="L48" s="147">
        <f ca="1">IF(AND(TODAY()&gt;=DATE(2026,9,1),OR(TODAY()&gt;=DATE(2026,10,1),'Conto Economico'!K120&lt;&gt;0)),'Conto Economico'!K120,$U48)</f>
        <v>0</v>
      </c>
      <c r="M48" s="147">
        <f ca="1">IF(AND(TODAY()&gt;=DATE(2026,10,1),OR(TODAY()&gt;=DATE(2026,11,1),'Conto Economico'!L120&lt;&gt;0)),'Conto Economico'!L120,$U48)</f>
        <v>0</v>
      </c>
      <c r="N48" s="147">
        <f ca="1">IF(AND(TODAY()&gt;=DATE(2026,11,1),OR(TODAY()&gt;=DATE(2026,12,1),'Conto Economico'!M120&lt;&gt;0)),'Conto Economico'!M120,$U48)</f>
        <v>0</v>
      </c>
      <c r="O48" s="147">
        <f ca="1">IF(AND(TODAY()&gt;=DATE(2026,12,1),OR(TODAY()&gt;=DATE(2027,1,1),'Conto Economico'!N120&lt;&gt;0)),'Conto Economico'!N120,$U48)</f>
        <v>0</v>
      </c>
      <c r="Q48" s="147">
        <f t="shared" ca="1" si="22"/>
        <v>30.09</v>
      </c>
      <c r="R48" s="147">
        <f t="shared" ca="1" si="23"/>
        <v>2.5074999999999998</v>
      </c>
      <c r="T48" s="170"/>
      <c r="U48" s="170"/>
      <c r="X48" s="148"/>
      <c r="Z48" s="234" t="str">
        <f>'Conto Economico'!A120</f>
        <v>V - Carburante</v>
      </c>
    </row>
    <row r="49" spans="1:26" x14ac:dyDescent="0.2">
      <c r="B49" s="169" t="str">
        <f>'Conto Economico'!A121</f>
        <v>V - Altri Trasporti - Parcheggio</v>
      </c>
      <c r="C49" s="169"/>
      <c r="D49" s="147">
        <f ca="1">IF(AND(TODAY()&gt;=DATE(2026,1,1),OR(TODAY()&gt;=DATE(2026,2,1),'Conto Economico'!C121&lt;&gt;0)),'Conto Economico'!C121,$U49)</f>
        <v>0</v>
      </c>
      <c r="E49" s="147">
        <f ca="1">IF(AND(TODAY()&gt;=DATE(2026,2,1),OR(TODAY()&gt;=DATE(2026,3,1),'Conto Economico'!D121&lt;&gt;0)),'Conto Economico'!D121,$U49)</f>
        <v>30.032201834862384</v>
      </c>
      <c r="F49" s="147">
        <f ca="1">IF(AND(TODAY()&gt;=DATE(2026,3,1),OR(TODAY()&gt;=DATE(2026,4,1),'Conto Economico'!E121&lt;&gt;0)),'Conto Economico'!E121,$U49)</f>
        <v>0</v>
      </c>
      <c r="G49" s="147">
        <f ca="1">IF(AND(TODAY()&gt;=DATE(2026,4,1),OR(TODAY()&gt;=DATE(2026,5,1),'Conto Economico'!F121&lt;&gt;0)),'Conto Economico'!F121,$U49)</f>
        <v>0</v>
      </c>
      <c r="H49" s="147">
        <f ca="1">IF(AND(TODAY()&gt;=DATE(2026,5,1),OR(TODAY()&gt;=DATE(2026,6,1),'Conto Economico'!G121&lt;&gt;0)),'Conto Economico'!G121,$U49)</f>
        <v>13.096666666666668</v>
      </c>
      <c r="I49" s="147">
        <f ca="1">IF(AND(TODAY()&gt;=DATE(2026,6,1),OR(TODAY()&gt;=DATE(2026,7,1),'Conto Economico'!H121&lt;&gt;0)),'Conto Economico'!H121,$U49)</f>
        <v>0</v>
      </c>
      <c r="J49" s="147">
        <f ca="1">IF(AND(TODAY()&gt;=DATE(2026,7,1),OR(TODAY()&gt;=DATE(2026,8,1),'Conto Economico'!I121&lt;&gt;0)),'Conto Economico'!I121,$U49)</f>
        <v>0</v>
      </c>
      <c r="K49" s="147">
        <f ca="1">IF(AND(TODAY()&gt;=DATE(2026,8,1),OR(TODAY()&gt;=DATE(2026,9,1),'Conto Economico'!J121&lt;&gt;0)),'Conto Economico'!J121,$U49)</f>
        <v>0</v>
      </c>
      <c r="L49" s="147">
        <f ca="1">IF(AND(TODAY()&gt;=DATE(2026,9,1),OR(TODAY()&gt;=DATE(2026,10,1),'Conto Economico'!K121&lt;&gt;0)),'Conto Economico'!K121,$U49)</f>
        <v>0</v>
      </c>
      <c r="M49" s="147">
        <f ca="1">IF(AND(TODAY()&gt;=DATE(2026,10,1),OR(TODAY()&gt;=DATE(2026,11,1),'Conto Economico'!L121&lt;&gt;0)),'Conto Economico'!L121,$U49)</f>
        <v>0</v>
      </c>
      <c r="N49" s="147">
        <f ca="1">IF(AND(TODAY()&gt;=DATE(2026,11,1),OR(TODAY()&gt;=DATE(2026,12,1),'Conto Economico'!M121&lt;&gt;0)),'Conto Economico'!M121,$U49)</f>
        <v>0</v>
      </c>
      <c r="O49" s="147">
        <f ca="1">IF(AND(TODAY()&gt;=DATE(2026,12,1),OR(TODAY()&gt;=DATE(2027,1,1),'Conto Economico'!N121&lt;&gt;0)),'Conto Economico'!N121,$U49)</f>
        <v>0</v>
      </c>
      <c r="Q49" s="147">
        <f t="shared" ca="1" si="22"/>
        <v>43.128868501529055</v>
      </c>
      <c r="R49" s="147">
        <f t="shared" ca="1" si="23"/>
        <v>3.5940723751274213</v>
      </c>
      <c r="T49" s="170"/>
      <c r="U49" s="170"/>
      <c r="X49" s="148"/>
      <c r="Z49" s="234" t="str">
        <f>'Conto Economico'!A121</f>
        <v>V - Altri Trasporti - Parcheggio</v>
      </c>
    </row>
    <row r="50" spans="1:26" x14ac:dyDescent="0.2">
      <c r="B50" s="169" t="str">
        <f>'Conto Economico'!A122</f>
        <v>V - Assicurazione di Viaggio</v>
      </c>
      <c r="C50" s="169"/>
      <c r="D50" s="147">
        <f ca="1">IF(AND(TODAY()&gt;=DATE(2026,1,1),OR(TODAY()&gt;=DATE(2026,2,1),'Conto Economico'!C122&lt;&gt;0)),'Conto Economico'!C122,$U50)</f>
        <v>0</v>
      </c>
      <c r="E50" s="147">
        <f ca="1">IF(AND(TODAY()&gt;=DATE(2026,2,1),OR(TODAY()&gt;=DATE(2026,3,1),'Conto Economico'!D122&lt;&gt;0)),'Conto Economico'!D122,$U50)</f>
        <v>0</v>
      </c>
      <c r="F50" s="147">
        <f ca="1">IF(AND(TODAY()&gt;=DATE(2026,3,1),OR(TODAY()&gt;=DATE(2026,4,1),'Conto Economico'!E122&lt;&gt;0)),'Conto Economico'!E122,$U50)</f>
        <v>0</v>
      </c>
      <c r="G50" s="147">
        <f ca="1">IF(AND(TODAY()&gt;=DATE(2026,4,1),OR(TODAY()&gt;=DATE(2026,5,1),'Conto Economico'!F122&lt;&gt;0)),'Conto Economico'!F122,$U50)</f>
        <v>0</v>
      </c>
      <c r="H50" s="147">
        <f ca="1">IF(AND(TODAY()&gt;=DATE(2026,5,1),OR(TODAY()&gt;=DATE(2026,6,1),'Conto Economico'!G122&lt;&gt;0)),'Conto Economico'!G122,$U50)</f>
        <v>0</v>
      </c>
      <c r="I50" s="147">
        <f ca="1">IF(AND(TODAY()&gt;=DATE(2026,6,1),OR(TODAY()&gt;=DATE(2026,7,1),'Conto Economico'!H122&lt;&gt;0)),'Conto Economico'!H122,$U50)</f>
        <v>0</v>
      </c>
      <c r="J50" s="147">
        <f ca="1">IF(AND(TODAY()&gt;=DATE(2026,7,1),OR(TODAY()&gt;=DATE(2026,8,1),'Conto Economico'!I122&lt;&gt;0)),'Conto Economico'!I122,$U50)</f>
        <v>0</v>
      </c>
      <c r="K50" s="147">
        <f ca="1">IF(AND(TODAY()&gt;=DATE(2026,8,1),OR(TODAY()&gt;=DATE(2026,9,1),'Conto Economico'!J122&lt;&gt;0)),'Conto Economico'!J122,$U50)</f>
        <v>0</v>
      </c>
      <c r="L50" s="147">
        <f ca="1">IF(AND(TODAY()&gt;=DATE(2026,9,1),OR(TODAY()&gt;=DATE(2026,10,1),'Conto Economico'!K122&lt;&gt;0)),'Conto Economico'!K122,$U50)</f>
        <v>0</v>
      </c>
      <c r="M50" s="147">
        <f ca="1">IF(AND(TODAY()&gt;=DATE(2026,10,1),OR(TODAY()&gt;=DATE(2026,11,1),'Conto Economico'!L122&lt;&gt;0)),'Conto Economico'!L122,$U50)</f>
        <v>0</v>
      </c>
      <c r="N50" s="147">
        <f ca="1">IF(AND(TODAY()&gt;=DATE(2026,11,1),OR(TODAY()&gt;=DATE(2026,12,1),'Conto Economico'!M122&lt;&gt;0)),'Conto Economico'!M122,$U50)</f>
        <v>0</v>
      </c>
      <c r="O50" s="147">
        <f ca="1">IF(AND(TODAY()&gt;=DATE(2026,12,1),OR(TODAY()&gt;=DATE(2027,1,1),'Conto Economico'!N122&lt;&gt;0)),'Conto Economico'!N122,$U50)</f>
        <v>0</v>
      </c>
      <c r="Q50" s="147">
        <f t="shared" ca="1" si="22"/>
        <v>0</v>
      </c>
      <c r="R50" s="147">
        <f t="shared" ca="1" si="23"/>
        <v>0</v>
      </c>
      <c r="T50" s="170"/>
      <c r="U50" s="170"/>
      <c r="X50" s="148"/>
      <c r="Z50" s="234" t="str">
        <f>'Conto Economico'!A122</f>
        <v>V - Assicurazione di Viaggio</v>
      </c>
    </row>
    <row r="51" spans="1:26" x14ac:dyDescent="0.2">
      <c r="B51" s="169" t="str">
        <f>'Conto Economico'!A123</f>
        <v>V - Alloggio</v>
      </c>
      <c r="C51" s="169"/>
      <c r="D51" s="147">
        <f ca="1">IF(AND(TODAY()&gt;=DATE(2026,1,1),OR(TODAY()&gt;=DATE(2026,2,1),'Conto Economico'!C123&lt;&gt;0)),'Conto Economico'!C123,$U51)</f>
        <v>0</v>
      </c>
      <c r="E51" s="147">
        <f ca="1">IF(AND(TODAY()&gt;=DATE(2026,2,1),OR(TODAY()&gt;=DATE(2026,3,1),'Conto Economico'!D123&lt;&gt;0)),'Conto Economico'!D123,$U51)</f>
        <v>0</v>
      </c>
      <c r="F51" s="147">
        <f ca="1">IF(AND(TODAY()&gt;=DATE(2026,3,1),OR(TODAY()&gt;=DATE(2026,4,1),'Conto Economico'!E123&lt;&gt;0)),'Conto Economico'!E123,$U51)</f>
        <v>0</v>
      </c>
      <c r="G51" s="147">
        <f ca="1">IF(AND(TODAY()&gt;=DATE(2026,4,1),OR(TODAY()&gt;=DATE(2026,5,1),'Conto Economico'!F123&lt;&gt;0)),'Conto Economico'!F123,$U51)</f>
        <v>0</v>
      </c>
      <c r="H51" s="147">
        <f ca="1">IF(AND(TODAY()&gt;=DATE(2026,5,1),OR(TODAY()&gt;=DATE(2026,6,1),'Conto Economico'!G123&lt;&gt;0)),'Conto Economico'!G123,$U51)</f>
        <v>276.89999999999998</v>
      </c>
      <c r="I51" s="147">
        <f ca="1">IF(AND(TODAY()&gt;=DATE(2026,6,1),OR(TODAY()&gt;=DATE(2026,7,1),'Conto Economico'!H123&lt;&gt;0)),'Conto Economico'!H123,$U51)</f>
        <v>0</v>
      </c>
      <c r="J51" s="147">
        <f ca="1">IF(AND(TODAY()&gt;=DATE(2026,7,1),OR(TODAY()&gt;=DATE(2026,8,1),'Conto Economico'!I123&lt;&gt;0)),'Conto Economico'!I123,$U51)</f>
        <v>0</v>
      </c>
      <c r="K51" s="147">
        <f ca="1">IF(AND(TODAY()&gt;=DATE(2026,8,1),OR(TODAY()&gt;=DATE(2026,9,1),'Conto Economico'!J123&lt;&gt;0)),'Conto Economico'!J123,$U51)</f>
        <v>0</v>
      </c>
      <c r="L51" s="147">
        <f ca="1">IF(AND(TODAY()&gt;=DATE(2026,9,1),OR(TODAY()&gt;=DATE(2026,10,1),'Conto Economico'!K123&lt;&gt;0)),'Conto Economico'!K123,$U51)</f>
        <v>0</v>
      </c>
      <c r="M51" s="147">
        <f ca="1">IF(AND(TODAY()&gt;=DATE(2026,10,1),OR(TODAY()&gt;=DATE(2026,11,1),'Conto Economico'!L123&lt;&gt;0)),'Conto Economico'!L123,$U51)</f>
        <v>0</v>
      </c>
      <c r="N51" s="147">
        <f ca="1">IF(AND(TODAY()&gt;=DATE(2026,11,1),OR(TODAY()&gt;=DATE(2026,12,1),'Conto Economico'!M123&lt;&gt;0)),'Conto Economico'!M123,$U51)</f>
        <v>0</v>
      </c>
      <c r="O51" s="147">
        <f ca="1">IF(AND(TODAY()&gt;=DATE(2026,12,1),OR(TODAY()&gt;=DATE(2027,1,1),'Conto Economico'!N123&lt;&gt;0)),'Conto Economico'!N123,$U51)</f>
        <v>0</v>
      </c>
      <c r="Q51" s="147">
        <f t="shared" ca="1" si="22"/>
        <v>276.89999999999998</v>
      </c>
      <c r="R51" s="147">
        <f t="shared" ca="1" si="23"/>
        <v>23.074999999999999</v>
      </c>
      <c r="T51" s="170"/>
      <c r="U51" s="170"/>
      <c r="X51" s="148"/>
      <c r="Z51" s="234" t="str">
        <f>'Conto Economico'!A123</f>
        <v>V - Alloggio</v>
      </c>
    </row>
    <row r="52" spans="1:26" x14ac:dyDescent="0.2">
      <c r="B52" s="169" t="str">
        <f>'Conto Economico'!A124</f>
        <v>V - Alimentari/Ristorazione</v>
      </c>
      <c r="C52" s="169"/>
      <c r="D52" s="147">
        <f ca="1">IF(AND(TODAY()&gt;=DATE(2026,1,1),OR(TODAY()&gt;=DATE(2026,2,1),'Conto Economico'!C124&lt;&gt;0)),'Conto Economico'!C124,$U52)</f>
        <v>0</v>
      </c>
      <c r="E52" s="147">
        <f ca="1">IF(AND(TODAY()&gt;=DATE(2026,2,1),OR(TODAY()&gt;=DATE(2026,3,1),'Conto Economico'!D124&lt;&gt;0)),'Conto Economico'!D124,$U52)</f>
        <v>324.73</v>
      </c>
      <c r="F52" s="147">
        <f ca="1">IF(AND(TODAY()&gt;=DATE(2026,3,1),OR(TODAY()&gt;=DATE(2026,4,1),'Conto Economico'!E124&lt;&gt;0)),'Conto Economico'!E124,$U52)</f>
        <v>0</v>
      </c>
      <c r="G52" s="147">
        <f ca="1">IF(AND(TODAY()&gt;=DATE(2026,4,1),OR(TODAY()&gt;=DATE(2026,5,1),'Conto Economico'!F124&lt;&gt;0)),'Conto Economico'!F124,$U52)</f>
        <v>0</v>
      </c>
      <c r="H52" s="147">
        <f ca="1">IF(AND(TODAY()&gt;=DATE(2026,5,1),OR(TODAY()&gt;=DATE(2026,6,1),'Conto Economico'!G124&lt;&gt;0)),'Conto Economico'!G124,$U52)</f>
        <v>120.81666666666668</v>
      </c>
      <c r="I52" s="147">
        <f ca="1">IF(AND(TODAY()&gt;=DATE(2026,6,1),OR(TODAY()&gt;=DATE(2026,7,1),'Conto Economico'!H124&lt;&gt;0)),'Conto Economico'!H124,$U52)</f>
        <v>0</v>
      </c>
      <c r="J52" s="147">
        <f ca="1">IF(AND(TODAY()&gt;=DATE(2026,7,1),OR(TODAY()&gt;=DATE(2026,8,1),'Conto Economico'!I124&lt;&gt;0)),'Conto Economico'!I124,$U52)</f>
        <v>0</v>
      </c>
      <c r="K52" s="147">
        <f ca="1">IF(AND(TODAY()&gt;=DATE(2026,8,1),OR(TODAY()&gt;=DATE(2026,9,1),'Conto Economico'!J124&lt;&gt;0)),'Conto Economico'!J124,$U52)</f>
        <v>0</v>
      </c>
      <c r="L52" s="147">
        <f ca="1">IF(AND(TODAY()&gt;=DATE(2026,9,1),OR(TODAY()&gt;=DATE(2026,10,1),'Conto Economico'!K124&lt;&gt;0)),'Conto Economico'!K124,$U52)</f>
        <v>0</v>
      </c>
      <c r="M52" s="147">
        <f ca="1">IF(AND(TODAY()&gt;=DATE(2026,10,1),OR(TODAY()&gt;=DATE(2026,11,1),'Conto Economico'!L124&lt;&gt;0)),'Conto Economico'!L124,$U52)</f>
        <v>0</v>
      </c>
      <c r="N52" s="147">
        <f ca="1">IF(AND(TODAY()&gt;=DATE(2026,11,1),OR(TODAY()&gt;=DATE(2026,12,1),'Conto Economico'!M124&lt;&gt;0)),'Conto Economico'!M124,$U52)</f>
        <v>0</v>
      </c>
      <c r="O52" s="147">
        <f ca="1">IF(AND(TODAY()&gt;=DATE(2026,12,1),OR(TODAY()&gt;=DATE(2027,1,1),'Conto Economico'!N124&lt;&gt;0)),'Conto Economico'!N124,$U52)</f>
        <v>0</v>
      </c>
      <c r="Q52" s="147">
        <f t="shared" ca="1" si="22"/>
        <v>445.54666666666668</v>
      </c>
      <c r="R52" s="147">
        <f t="shared" ca="1" si="23"/>
        <v>37.128888888888888</v>
      </c>
      <c r="T52" s="170"/>
      <c r="U52" s="170"/>
      <c r="X52" s="148"/>
      <c r="Z52" s="234" t="str">
        <f>'Conto Economico'!A124</f>
        <v>V - Alimentari/Ristorazione</v>
      </c>
    </row>
    <row r="53" spans="1:26" x14ac:dyDescent="0.2">
      <c r="B53" s="169" t="str">
        <f>'Conto Economico'!A125</f>
        <v>V - Musei - Parchi - Siti di Interesse</v>
      </c>
      <c r="C53" s="169"/>
      <c r="D53" s="147">
        <f ca="1">IF(AND(TODAY()&gt;=DATE(2026,1,1),OR(TODAY()&gt;=DATE(2026,2,1),'Conto Economico'!C125&lt;&gt;0)),'Conto Economico'!C125,$U53)</f>
        <v>0</v>
      </c>
      <c r="E53" s="147">
        <f ca="1">IF(AND(TODAY()&gt;=DATE(2026,2,1),OR(TODAY()&gt;=DATE(2026,3,1),'Conto Economico'!D125&lt;&gt;0)),'Conto Economico'!D125,$U53)</f>
        <v>182.2</v>
      </c>
      <c r="F53" s="147">
        <f ca="1">IF(AND(TODAY()&gt;=DATE(2026,3,1),OR(TODAY()&gt;=DATE(2026,4,1),'Conto Economico'!E125&lt;&gt;0)),'Conto Economico'!E125,$U53)</f>
        <v>0</v>
      </c>
      <c r="G53" s="147">
        <f ca="1">IF(AND(TODAY()&gt;=DATE(2026,4,1),OR(TODAY()&gt;=DATE(2026,5,1),'Conto Economico'!F125&lt;&gt;0)),'Conto Economico'!F125,$U53)</f>
        <v>0</v>
      </c>
      <c r="H53" s="147">
        <f ca="1">IF(AND(TODAY()&gt;=DATE(2026,5,1),OR(TODAY()&gt;=DATE(2026,6,1),'Conto Economico'!G125&lt;&gt;0)),'Conto Economico'!G125,$U53)</f>
        <v>0</v>
      </c>
      <c r="I53" s="147">
        <f ca="1">IF(AND(TODAY()&gt;=DATE(2026,6,1),OR(TODAY()&gt;=DATE(2026,7,1),'Conto Economico'!H125&lt;&gt;0)),'Conto Economico'!H125,$U53)</f>
        <v>0</v>
      </c>
      <c r="J53" s="147">
        <f ca="1">IF(AND(TODAY()&gt;=DATE(2026,7,1),OR(TODAY()&gt;=DATE(2026,8,1),'Conto Economico'!I125&lt;&gt;0)),'Conto Economico'!I125,$U53)</f>
        <v>0</v>
      </c>
      <c r="K53" s="147">
        <f ca="1">IF(AND(TODAY()&gt;=DATE(2026,8,1),OR(TODAY()&gt;=DATE(2026,9,1),'Conto Economico'!J125&lt;&gt;0)),'Conto Economico'!J125,$U53)</f>
        <v>0</v>
      </c>
      <c r="L53" s="147">
        <f ca="1">IF(AND(TODAY()&gt;=DATE(2026,9,1),OR(TODAY()&gt;=DATE(2026,10,1),'Conto Economico'!K125&lt;&gt;0)),'Conto Economico'!K125,$U53)</f>
        <v>0</v>
      </c>
      <c r="M53" s="147">
        <f ca="1">IF(AND(TODAY()&gt;=DATE(2026,10,1),OR(TODAY()&gt;=DATE(2026,11,1),'Conto Economico'!L125&lt;&gt;0)),'Conto Economico'!L125,$U53)</f>
        <v>0</v>
      </c>
      <c r="N53" s="147">
        <f ca="1">IF(AND(TODAY()&gt;=DATE(2026,11,1),OR(TODAY()&gt;=DATE(2026,12,1),'Conto Economico'!M125&lt;&gt;0)),'Conto Economico'!M125,$U53)</f>
        <v>0</v>
      </c>
      <c r="O53" s="147">
        <f ca="1">IF(AND(TODAY()&gt;=DATE(2026,12,1),OR(TODAY()&gt;=DATE(2027,1,1),'Conto Economico'!N125&lt;&gt;0)),'Conto Economico'!N125,$U53)</f>
        <v>0</v>
      </c>
      <c r="Q53" s="147">
        <f t="shared" ca="1" si="22"/>
        <v>182.2</v>
      </c>
      <c r="R53" s="147">
        <f t="shared" ca="1" si="23"/>
        <v>15.183333333333332</v>
      </c>
      <c r="T53" s="170"/>
      <c r="U53" s="170"/>
      <c r="X53" s="148"/>
      <c r="Z53" s="234" t="str">
        <f>'Conto Economico'!A125</f>
        <v>V - Musei - Parchi - Siti di Interesse</v>
      </c>
    </row>
    <row r="54" spans="1:26" x14ac:dyDescent="0.2">
      <c r="B54" s="169" t="str">
        <f>'Conto Economico'!A126</f>
        <v>V - Spese di Alloggio per Animali</v>
      </c>
      <c r="C54" s="169"/>
      <c r="D54" s="147">
        <f ca="1">IF(AND(TODAY()&gt;=DATE(2026,1,1),OR(TODAY()&gt;=DATE(2026,2,1),'Conto Economico'!C126&lt;&gt;0)),'Conto Economico'!C126,$U54)</f>
        <v>0</v>
      </c>
      <c r="E54" s="147">
        <f ca="1">IF(AND(TODAY()&gt;=DATE(2026,2,1),OR(TODAY()&gt;=DATE(2026,3,1),'Conto Economico'!D126&lt;&gt;0)),'Conto Economico'!D126,$U54)</f>
        <v>360</v>
      </c>
      <c r="F54" s="147">
        <f ca="1">IF(AND(TODAY()&gt;=DATE(2026,3,1),OR(TODAY()&gt;=DATE(2026,4,1),'Conto Economico'!E126&lt;&gt;0)),'Conto Economico'!E126,$U54)</f>
        <v>0</v>
      </c>
      <c r="G54" s="147">
        <f ca="1">IF(AND(TODAY()&gt;=DATE(2026,4,1),OR(TODAY()&gt;=DATE(2026,5,1),'Conto Economico'!F126&lt;&gt;0)),'Conto Economico'!F126,$U54)</f>
        <v>0</v>
      </c>
      <c r="H54" s="147">
        <f ca="1">IF(AND(TODAY()&gt;=DATE(2026,5,1),OR(TODAY()&gt;=DATE(2026,6,1),'Conto Economico'!G126&lt;&gt;0)),'Conto Economico'!G126,$U54)</f>
        <v>0</v>
      </c>
      <c r="I54" s="147">
        <f ca="1">IF(AND(TODAY()&gt;=DATE(2026,6,1),OR(TODAY()&gt;=DATE(2026,7,1),'Conto Economico'!H126&lt;&gt;0)),'Conto Economico'!H126,$U54)</f>
        <v>0</v>
      </c>
      <c r="J54" s="147">
        <f ca="1">IF(AND(TODAY()&gt;=DATE(2026,7,1),OR(TODAY()&gt;=DATE(2026,8,1),'Conto Economico'!I126&lt;&gt;0)),'Conto Economico'!I126,$U54)</f>
        <v>0</v>
      </c>
      <c r="K54" s="147">
        <f ca="1">IF(AND(TODAY()&gt;=DATE(2026,8,1),OR(TODAY()&gt;=DATE(2026,9,1),'Conto Economico'!J126&lt;&gt;0)),'Conto Economico'!J126,$U54)</f>
        <v>0</v>
      </c>
      <c r="L54" s="147">
        <f ca="1">IF(AND(TODAY()&gt;=DATE(2026,9,1),OR(TODAY()&gt;=DATE(2026,10,1),'Conto Economico'!K126&lt;&gt;0)),'Conto Economico'!K126,$U54)</f>
        <v>0</v>
      </c>
      <c r="M54" s="147">
        <f ca="1">IF(AND(TODAY()&gt;=DATE(2026,10,1),OR(TODAY()&gt;=DATE(2026,11,1),'Conto Economico'!L126&lt;&gt;0)),'Conto Economico'!L126,$U54)</f>
        <v>0</v>
      </c>
      <c r="N54" s="147">
        <f ca="1">IF(AND(TODAY()&gt;=DATE(2026,11,1),OR(TODAY()&gt;=DATE(2026,12,1),'Conto Economico'!M126&lt;&gt;0)),'Conto Economico'!M126,$U54)</f>
        <v>0</v>
      </c>
      <c r="O54" s="147">
        <f ca="1">IF(AND(TODAY()&gt;=DATE(2026,12,1),OR(TODAY()&gt;=DATE(2027,1,1),'Conto Economico'!N126&lt;&gt;0)),'Conto Economico'!N126,$U54)</f>
        <v>0</v>
      </c>
      <c r="Q54" s="147">
        <f t="shared" ca="1" si="22"/>
        <v>360</v>
      </c>
      <c r="R54" s="147">
        <f t="shared" ca="1" si="23"/>
        <v>30</v>
      </c>
      <c r="T54" s="170"/>
      <c r="U54" s="170"/>
      <c r="X54" s="148"/>
      <c r="Z54" s="234" t="str">
        <f>'Conto Economico'!A126</f>
        <v>V - Spese di Alloggio per Animali</v>
      </c>
    </row>
    <row r="55" spans="1:26" x14ac:dyDescent="0.2">
      <c r="B55" s="169" t="str">
        <f>'Conto Economico'!A127</f>
        <v>V - Parcheggio Aeroporto</v>
      </c>
      <c r="C55" s="169"/>
      <c r="D55" s="147">
        <f ca="1">IF(AND(TODAY()&gt;=DATE(2026,1,1),OR(TODAY()&gt;=DATE(2026,2,1),'Conto Economico'!C127&lt;&gt;0)),'Conto Economico'!C127,$U55)</f>
        <v>0</v>
      </c>
      <c r="E55" s="147">
        <f ca="1">IF(AND(TODAY()&gt;=DATE(2026,2,1),OR(TODAY()&gt;=DATE(2026,3,1),'Conto Economico'!D127&lt;&gt;0)),'Conto Economico'!D127,$U55)</f>
        <v>0</v>
      </c>
      <c r="F55" s="147">
        <f ca="1">IF(AND(TODAY()&gt;=DATE(2026,3,1),OR(TODAY()&gt;=DATE(2026,4,1),'Conto Economico'!E127&lt;&gt;0)),'Conto Economico'!E127,$U55)</f>
        <v>0</v>
      </c>
      <c r="G55" s="147">
        <f ca="1">IF(AND(TODAY()&gt;=DATE(2026,4,1),OR(TODAY()&gt;=DATE(2026,5,1),'Conto Economico'!F127&lt;&gt;0)),'Conto Economico'!F127,$U55)</f>
        <v>0</v>
      </c>
      <c r="H55" s="147">
        <f ca="1">IF(AND(TODAY()&gt;=DATE(2026,5,1),OR(TODAY()&gt;=DATE(2026,6,1),'Conto Economico'!G127&lt;&gt;0)),'Conto Economico'!G127,$U55)</f>
        <v>0</v>
      </c>
      <c r="I55" s="147">
        <f ca="1">IF(AND(TODAY()&gt;=DATE(2026,6,1),OR(TODAY()&gt;=DATE(2026,7,1),'Conto Economico'!H127&lt;&gt;0)),'Conto Economico'!H127,$U55)</f>
        <v>0</v>
      </c>
      <c r="J55" s="147">
        <f ca="1">IF(AND(TODAY()&gt;=DATE(2026,7,1),OR(TODAY()&gt;=DATE(2026,8,1),'Conto Economico'!I127&lt;&gt;0)),'Conto Economico'!I127,$U55)</f>
        <v>0</v>
      </c>
      <c r="K55" s="147">
        <f ca="1">IF(AND(TODAY()&gt;=DATE(2026,8,1),OR(TODAY()&gt;=DATE(2026,9,1),'Conto Economico'!J127&lt;&gt;0)),'Conto Economico'!J127,$U55)</f>
        <v>0</v>
      </c>
      <c r="L55" s="147">
        <f ca="1">IF(AND(TODAY()&gt;=DATE(2026,9,1),OR(TODAY()&gt;=DATE(2026,10,1),'Conto Economico'!K127&lt;&gt;0)),'Conto Economico'!K127,$U55)</f>
        <v>0</v>
      </c>
      <c r="M55" s="147">
        <f ca="1">IF(AND(TODAY()&gt;=DATE(2026,10,1),OR(TODAY()&gt;=DATE(2026,11,1),'Conto Economico'!L127&lt;&gt;0)),'Conto Economico'!L127,$U55)</f>
        <v>0</v>
      </c>
      <c r="N55" s="147">
        <f ca="1">IF(AND(TODAY()&gt;=DATE(2026,11,1),OR(TODAY()&gt;=DATE(2026,12,1),'Conto Economico'!M127&lt;&gt;0)),'Conto Economico'!M127,$U55)</f>
        <v>0</v>
      </c>
      <c r="O55" s="147">
        <f ca="1">IF(AND(TODAY()&gt;=DATE(2026,12,1),OR(TODAY()&gt;=DATE(2027,1,1),'Conto Economico'!N127&lt;&gt;0)),'Conto Economico'!N127,$U55)</f>
        <v>0</v>
      </c>
      <c r="Q55" s="147">
        <f t="shared" ca="1" si="22"/>
        <v>0</v>
      </c>
      <c r="R55" s="147">
        <f t="shared" ca="1" si="23"/>
        <v>0</v>
      </c>
      <c r="T55" s="170"/>
      <c r="U55" s="170"/>
      <c r="X55" s="148"/>
      <c r="Z55" s="234" t="str">
        <f>'Conto Economico'!A127</f>
        <v>V - Parcheggio Aeroporto</v>
      </c>
    </row>
    <row r="56" spans="1:26" x14ac:dyDescent="0.2">
      <c r="B56" s="169" t="str">
        <f>'Conto Economico'!A128</f>
        <v>V - Altre Spese di Viaggio</v>
      </c>
      <c r="C56" s="169"/>
      <c r="D56" s="147">
        <f ca="1">IF(AND(TODAY()&gt;=DATE(2026,1,1),OR(TODAY()&gt;=DATE(2026,2,1),'Conto Economico'!C128&lt;&gt;0)),'Conto Economico'!C128,)</f>
        <v>0</v>
      </c>
      <c r="E56" s="147">
        <f ca="1">IF(AND(TODAY()&gt;=DATE(2026,2,1),OR(TODAY()&gt;=DATE(2026,3,1),'Conto Economico'!D128&lt;&gt;0)),'Conto Economico'!D128,)</f>
        <v>23.299999999999997</v>
      </c>
      <c r="F56" s="147">
        <f ca="1">IF(AND(TODAY()&gt;=DATE(2026,3,1),OR(TODAY()&gt;=DATE(2026,4,1),'Conto Economico'!E128&lt;&gt;0)),'Conto Economico'!E128,)</f>
        <v>0</v>
      </c>
      <c r="G56" s="147">
        <f ca="1">IF(AND(TODAY()&gt;=DATE(2026,4,1),OR(TODAY()&gt;=DATE(2026,5,1),'Conto Economico'!F128&lt;&gt;0)),'Conto Economico'!F128,)</f>
        <v>0</v>
      </c>
      <c r="H56" s="147">
        <f ca="1">IF(AND(TODAY()&gt;=DATE(2026,5,1),OR(TODAY()&gt;=DATE(2026,6,1),'Conto Economico'!G128&lt;&gt;0)),'Conto Economico'!G128,)</f>
        <v>0</v>
      </c>
      <c r="I56" s="147">
        <f ca="1">IF(AND(TODAY()&gt;=DATE(2026,6,1),OR(TODAY()&gt;=DATE(2026,7,1),'Conto Economico'!H128&lt;&gt;0)),'Conto Economico'!H128,)</f>
        <v>0</v>
      </c>
      <c r="J56" s="147">
        <f ca="1">IF(AND(TODAY()&gt;=DATE(2026,7,1),OR(TODAY()&gt;=DATE(2026,8,1),'Conto Economico'!I128&lt;&gt;0)),'Conto Economico'!I128,)</f>
        <v>0</v>
      </c>
      <c r="K56" s="147">
        <f ca="1">IF(AND(TODAY()&gt;=DATE(2026,8,1),OR(TODAY()&gt;=DATE(2026,9,1),'Conto Economico'!J128&lt;&gt;0)),'Conto Economico'!J128,)</f>
        <v>0</v>
      </c>
      <c r="L56" s="147">
        <f ca="1">IF(AND(TODAY()&gt;=DATE(2026,9,1),OR(TODAY()&gt;=DATE(2026,10,1),'Conto Economico'!K128&lt;&gt;0)),'Conto Economico'!K128,)</f>
        <v>0</v>
      </c>
      <c r="M56" s="147">
        <f ca="1">IF(AND(TODAY()&gt;=DATE(2026,10,1),OR(TODAY()&gt;=DATE(2026,11,1),'Conto Economico'!L128&lt;&gt;0)),'Conto Economico'!L128,)</f>
        <v>0</v>
      </c>
      <c r="N56" s="147">
        <f ca="1">IF(AND(TODAY()&gt;=DATE(2026,11,1),OR(TODAY()&gt;=DATE(2026,12,1),'Conto Economico'!M128&lt;&gt;0)),'Conto Economico'!M128,)</f>
        <v>0</v>
      </c>
      <c r="O56" s="147">
        <f ca="1">IF(AND(TODAY()&gt;=DATE(2026,12,1),OR(TODAY()&gt;=DATE(2027,1,1),'Conto Economico'!N128&lt;&gt;0)),'Conto Economico'!N128,(T56-SUM(D45:N45))*0)</f>
        <v>0</v>
      </c>
      <c r="Q56" s="147">
        <f t="shared" ca="1" si="22"/>
        <v>23.299999999999997</v>
      </c>
      <c r="R56" s="147">
        <f t="shared" ca="1" si="23"/>
        <v>1.9416666666666664</v>
      </c>
      <c r="T56" s="170">
        <f>'Budget 27'!C58</f>
        <v>8000</v>
      </c>
      <c r="U56" s="170">
        <f>T56/12</f>
        <v>666.66666666666663</v>
      </c>
      <c r="W56" s="170"/>
      <c r="X56" s="148"/>
      <c r="Z56" s="234" t="str">
        <f>'Conto Economico'!A128</f>
        <v>V - Altre Spese di Viaggio</v>
      </c>
    </row>
    <row r="57" spans="1:26" x14ac:dyDescent="0.2">
      <c r="A57" s="157"/>
      <c r="B57" s="165"/>
      <c r="C57" s="203"/>
      <c r="D57" s="166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Q57" s="164"/>
      <c r="R57" s="164"/>
      <c r="S57" s="157"/>
      <c r="T57" s="164"/>
      <c r="U57" s="164"/>
      <c r="V57" s="157"/>
      <c r="X57" s="148"/>
      <c r="Z57" s="235"/>
    </row>
    <row r="58" spans="1:26" s="149" customFormat="1" x14ac:dyDescent="0.2">
      <c r="B58" s="167" t="str">
        <f>'Conto Economico'!A196</f>
        <v>Auto e Trasporti</v>
      </c>
      <c r="C58" s="167"/>
      <c r="D58" s="149">
        <f t="shared" ref="D58:O58" ca="1" si="24">SUM(D59:D66)</f>
        <v>168.80000000000004</v>
      </c>
      <c r="E58" s="149">
        <f t="shared" ca="1" si="24"/>
        <v>153.88999999999999</v>
      </c>
      <c r="F58" s="149">
        <f t="shared" ca="1" si="24"/>
        <v>700.96</v>
      </c>
      <c r="G58" s="149">
        <f t="shared" ca="1" si="24"/>
        <v>165.75</v>
      </c>
      <c r="H58" s="149">
        <f t="shared" ca="1" si="24"/>
        <v>193</v>
      </c>
      <c r="I58" s="149">
        <f t="shared" ca="1" si="24"/>
        <v>335.64000000000004</v>
      </c>
      <c r="J58" s="149">
        <f t="shared" ca="1" si="24"/>
        <v>893.29000000000008</v>
      </c>
      <c r="K58" s="149">
        <f t="shared" ca="1" si="24"/>
        <v>809.54</v>
      </c>
      <c r="L58" s="149">
        <f t="shared" ca="1" si="24"/>
        <v>809.54</v>
      </c>
      <c r="M58" s="149">
        <f t="shared" ca="1" si="24"/>
        <v>809.54</v>
      </c>
      <c r="N58" s="149">
        <f t="shared" ca="1" si="24"/>
        <v>809.54</v>
      </c>
      <c r="O58" s="149">
        <f t="shared" ca="1" si="24"/>
        <v>809.54</v>
      </c>
      <c r="P58"/>
      <c r="Q58" s="149">
        <f ca="1">SUM(Q59:Q66)</f>
        <v>6659.03</v>
      </c>
      <c r="R58" s="149">
        <f ca="1">SUM(R59:R66)</f>
        <v>554.91916666666668</v>
      </c>
      <c r="T58" s="149">
        <f ca="1">SUM(T59:T66)</f>
        <v>3898.4</v>
      </c>
      <c r="U58" s="149">
        <f ca="1">SUM(U59:U66)</f>
        <v>324.86666666666673</v>
      </c>
      <c r="W58" s="168">
        <f ca="1">Q58-T58</f>
        <v>2760.6299999999997</v>
      </c>
      <c r="X58" s="319">
        <f ca="1">IF(T58=0,"-",Q58/T58)</f>
        <v>1.7081443669197618</v>
      </c>
      <c r="Z58" s="233" t="str">
        <f>'Conto Economico'!A196</f>
        <v>Auto e Trasporti</v>
      </c>
    </row>
    <row r="59" spans="1:26" x14ac:dyDescent="0.2">
      <c r="B59" s="169" t="str">
        <f>'Conto Economico'!A197</f>
        <v xml:space="preserve">Assicurazione </v>
      </c>
      <c r="C59" s="169"/>
      <c r="D59" s="147">
        <f ca="1">IF(AND(TODAY()&gt;=DATE(2026,1,1),OR(TODAY()&gt;=DATE(2026,2,1),'Conto Economico'!C197&lt;&gt;0)),'Conto Economico'!C197,$U59)</f>
        <v>0</v>
      </c>
      <c r="E59" s="147">
        <f ca="1">IF(AND(TODAY()&gt;=DATE(2026,2,1),OR(TODAY()&gt;=DATE(2026,3,1),'Conto Economico'!D197&lt;&gt;0)),'Conto Economico'!D197,MIN(MAX($U59,IFERROR(AVERAGEIF('Conto Economico'!$C197:C197,"&lt;&gt;0"),0)),MAX(0,($U59*12) - SUM('Conto Economico'!$C197:C197))))</f>
        <v>0</v>
      </c>
      <c r="F59" s="147">
        <f ca="1">IF(AND(TODAY()&gt;=DATE(2026,3,1),OR(TODAY()&gt;=DATE(2026,4,1),'Conto Economico'!E197&lt;&gt;0)),'Conto Economico'!E197,MIN(MAX($U59,IFERROR(AVERAGEIF('Conto Economico'!$C197:D197,"&lt;&gt;0"),0)),MAX(0,($U59*12) - SUM('Conto Economico'!$C197:D197))))</f>
        <v>517.78</v>
      </c>
      <c r="G59" s="147">
        <f ca="1">IF(AND(TODAY()&gt;=DATE(2026,4,1),OR(TODAY()&gt;=DATE(2026,5,1),'Conto Economico'!F197&lt;&gt;0)),'Conto Economico'!F197,MIN(MAX($U59,IFERROR(AVERAGEIF('Conto Economico'!$C197:E197,"&lt;&gt;0"),0)),MAX(0,($U59*12) - SUM('Conto Economico'!$C197:E197))))</f>
        <v>0</v>
      </c>
      <c r="H59" s="147">
        <f ca="1">IF(AND(TODAY()&gt;=DATE(2026,5,1),OR(TODAY()&gt;=DATE(2026,6,1),'Conto Economico'!G197&lt;&gt;0)),'Conto Economico'!G197,MIN(MAX($U59,IFERROR(AVERAGEIF('Conto Economico'!$C197:F197,"&lt;&gt;0"),0)),MAX(0,($U59*12) - SUM('Conto Economico'!$C197:F197))))</f>
        <v>0</v>
      </c>
      <c r="I59" s="147">
        <f ca="1">IF(AND(TODAY()&gt;=DATE(2026,6,1),OR(TODAY()&gt;=DATE(2026,7,1),'Conto Economico'!H197&lt;&gt;0)),'Conto Economico'!H197,MIN(MAX($U59,IFERROR(AVERAGEIF('Conto Economico'!$C197:G197,"&lt;&gt;0"),0)),MAX(0,($U59*12) - SUM('Conto Economico'!$C197:G197))))</f>
        <v>0</v>
      </c>
      <c r="J59" s="147">
        <f ca="1">IF(AND(TODAY()&gt;=DATE(2026,7,1),OR(TODAY()&gt;=DATE(2026,8,1),'Conto Economico'!I197&lt;&gt;0)),'Conto Economico'!I197,MIN(MAX($U59,IFERROR(AVERAGEIF('Conto Economico'!$C197:H197,"&lt;&gt;0"),0)),MAX(0,($U59*12) - SUM('Conto Economico'!$C197:H197))))</f>
        <v>517.78</v>
      </c>
      <c r="K59" s="147">
        <f ca="1">IF(AND(TODAY()&gt;=DATE(2026,8,1),OR(TODAY()&gt;=DATE(2026,9,1),'Conto Economico'!J197&lt;&gt;0)),'Conto Economico'!J197,MIN(MAX($U59,IFERROR(AVERAGEIF('Conto Economico'!$C197:I197,"&lt;&gt;0"),0)),MAX(0,($U59*12) - SUM('Conto Economico'!$C197:I197))))</f>
        <v>517.78</v>
      </c>
      <c r="L59" s="147">
        <f ca="1">IF(AND(TODAY()&gt;=DATE(2026,9,1),OR(TODAY()&gt;=DATE(2026,10,1),'Conto Economico'!K197&lt;&gt;0)),'Conto Economico'!K197,MIN(MAX($U59,IFERROR(AVERAGEIF('Conto Economico'!$C197:J197,"&lt;&gt;0"),0)),MAX(0,($U59*12) - SUM('Conto Economico'!$C197:J197))))</f>
        <v>517.78</v>
      </c>
      <c r="M59" s="147">
        <f ca="1">IF(AND(TODAY()&gt;=DATE(2026,10,1),OR(TODAY()&gt;=DATE(2026,11,1),'Conto Economico'!L197&lt;&gt;0)),'Conto Economico'!L197,MIN(MAX($U59,IFERROR(AVERAGEIF('Conto Economico'!$C197:K197,"&lt;&gt;0"),0)),MAX(0,($U59*12) - SUM('Conto Economico'!$C197:K197))))</f>
        <v>517.78</v>
      </c>
      <c r="N59" s="147">
        <f ca="1">IF(AND(TODAY()&gt;=DATE(2026,11,1),OR(TODAY()&gt;=DATE(2026,12,1),'Conto Economico'!M197&lt;&gt;0)),'Conto Economico'!M197,MIN(MAX($U59,IFERROR(AVERAGEIF('Conto Economico'!$C197:L197,"&lt;&gt;0"),0)),MAX(0,($U59*12) - SUM('Conto Economico'!$C197:L197))))</f>
        <v>517.78</v>
      </c>
      <c r="O59" s="147">
        <f ca="1">IF(AND(TODAY()&gt;=DATE(2026,12,1),OR(TODAY()&gt;=DATE(2027,1,1),'Conto Economico'!N197&lt;&gt;0)),'Conto Economico'!N197,MIN(MAX($U59,IFERROR(AVERAGEIF('Conto Economico'!$C197:M197,"&lt;&gt;0"),0)),MAX(0,($U59*12) - SUM('Conto Economico'!$C197:M197))))</f>
        <v>517.78</v>
      </c>
      <c r="Q59" s="147">
        <f t="shared" ref="Q59" ca="1" si="25">SUM(D59:O59)</f>
        <v>3624.4599999999991</v>
      </c>
      <c r="R59" s="147">
        <f t="shared" ref="R59" ca="1" si="26">Q59/12</f>
        <v>302.03833333333324</v>
      </c>
      <c r="T59" s="170">
        <f ca="1">'Budget 27'!C61</f>
        <v>1176.4000000000001</v>
      </c>
      <c r="U59" s="170">
        <f t="shared" ref="U59" ca="1" si="27">T59/12</f>
        <v>98.033333333333346</v>
      </c>
      <c r="W59" s="170">
        <f t="shared" ref="W59" ca="1" si="28">Q59-T59</f>
        <v>2448.059999999999</v>
      </c>
      <c r="X59" s="405">
        <f t="shared" ref="X59" ca="1" si="29">IF(T59=0,"-",Q59/T59)</f>
        <v>3.0809758585515121</v>
      </c>
      <c r="Z59" s="234" t="str">
        <f>'Conto Economico'!A197</f>
        <v xml:space="preserve">Assicurazione </v>
      </c>
    </row>
    <row r="60" spans="1:26" x14ac:dyDescent="0.2">
      <c r="B60" s="169" t="str">
        <f>'Conto Economico'!A198</f>
        <v xml:space="preserve">Carburante </v>
      </c>
      <c r="C60" s="169"/>
      <c r="D60" s="147">
        <f ca="1">IF(AND(TODAY()&gt;=DATE(2026,1,1),OR(TODAY()&gt;=DATE(2026,2,1),'Conto Economico'!C198&lt;&gt;0)),'Conto Economico'!C198,$U60)</f>
        <v>151.10000000000002</v>
      </c>
      <c r="E60" s="147">
        <f ca="1">IF(AND(TODAY()&gt;=DATE(2026,2,1),OR(TODAY()&gt;=DATE(2026,3,1),'Conto Economico'!D198&lt;&gt;0)),'Conto Economico'!D198,MIN(MAX($U60,IFERROR(AVERAGEIF('Conto Economico'!$C198:C198,"&lt;&gt;0"),0)),MAX(0,($U60*12) - SUM('Conto Economico'!$C198:C198))))</f>
        <v>141.04</v>
      </c>
      <c r="F60" s="147">
        <f ca="1">IF(AND(TODAY()&gt;=DATE(2026,3,1),OR(TODAY()&gt;=DATE(2026,4,1),'Conto Economico'!E198&lt;&gt;0)),'Conto Economico'!E198,MIN(MAX($U60,IFERROR(AVERAGEIF('Conto Economico'!$C198:D198,"&lt;&gt;0"),0)),MAX(0,($U60*12) - SUM('Conto Economico'!$C198:D198))))</f>
        <v>176.98000000000002</v>
      </c>
      <c r="G60" s="147">
        <f ca="1">IF(AND(TODAY()&gt;=DATE(2026,4,1),OR(TODAY()&gt;=DATE(2026,5,1),'Conto Economico'!F198&lt;&gt;0)),'Conto Economico'!F198,MIN(MAX($U60,IFERROR(AVERAGEIF('Conto Economico'!$C198:E198,"&lt;&gt;0"),0)),MAX(0,($U60*12) - SUM('Conto Economico'!$C198:E198))))</f>
        <v>160</v>
      </c>
      <c r="H60" s="147">
        <f ca="1">IF(AND(TODAY()&gt;=DATE(2026,5,1),OR(TODAY()&gt;=DATE(2026,6,1),'Conto Economico'!G198&lt;&gt;0)),'Conto Economico'!G198,MIN(MAX($U60,IFERROR(AVERAGEIF('Conto Economico'!$C198:F198,"&lt;&gt;0"),0)),MAX(0,($U60*12) - SUM('Conto Economico'!$C198:F198))))</f>
        <v>190.7</v>
      </c>
      <c r="I60" s="147">
        <f ca="1">IF(AND(TODAY()&gt;=DATE(2026,6,1),OR(TODAY()&gt;=DATE(2026,7,1),'Conto Economico'!H198&lt;&gt;0)),'Conto Economico'!H198,MIN(MAX($U60,IFERROR(AVERAGEIF('Conto Economico'!$C198:G198,"&lt;&gt;0"),0)),MAX(0,($U60*12) - SUM('Conto Economico'!$C198:G198))))</f>
        <v>230.28</v>
      </c>
      <c r="J60" s="147">
        <f ca="1">IF(AND(TODAY()&gt;=DATE(2026,7,1),OR(TODAY()&gt;=DATE(2026,8,1),'Conto Economico'!I198&lt;&gt;0)),'Conto Economico'!I198,MIN(MAX($U60,IFERROR(AVERAGEIF('Conto Economico'!$C198:H198,"&lt;&gt;0"),0)),MAX(0,($U60*12) - SUM('Conto Economico'!$C198:H198))))</f>
        <v>100</v>
      </c>
      <c r="K60" s="147">
        <f ca="1">IF(AND(TODAY()&gt;=DATE(2026,8,1),OR(TODAY()&gt;=DATE(2026,9,1),'Conto Economico'!J198&lt;&gt;0)),'Conto Economico'!J198,MIN(MAX($U60,IFERROR(AVERAGEIF('Conto Economico'!$C198:I198,"&lt;&gt;0"),0)),MAX(0,($U60*12) - SUM('Conto Economico'!$C198:I198))))</f>
        <v>164.29999999999998</v>
      </c>
      <c r="L60" s="147">
        <f ca="1">IF(AND(TODAY()&gt;=DATE(2026,9,1),OR(TODAY()&gt;=DATE(2026,10,1),'Conto Economico'!K198&lt;&gt;0)),'Conto Economico'!K198,MIN(MAX($U60,IFERROR(AVERAGEIF('Conto Economico'!$C198:J198,"&lt;&gt;0"),0)),MAX(0,($U60*12) - SUM('Conto Economico'!$C198:J198))))</f>
        <v>164.29999999999998</v>
      </c>
      <c r="M60" s="147">
        <f ca="1">IF(AND(TODAY()&gt;=DATE(2026,10,1),OR(TODAY()&gt;=DATE(2026,11,1),'Conto Economico'!L198&lt;&gt;0)),'Conto Economico'!L198,MIN(MAX($U60,IFERROR(AVERAGEIF('Conto Economico'!$C198:K198,"&lt;&gt;0"),0)),MAX(0,($U60*12) - SUM('Conto Economico'!$C198:K198))))</f>
        <v>164.29999999999998</v>
      </c>
      <c r="N60" s="147">
        <f ca="1">IF(AND(TODAY()&gt;=DATE(2026,11,1),OR(TODAY()&gt;=DATE(2026,12,1),'Conto Economico'!M198&lt;&gt;0)),'Conto Economico'!M198,MIN(MAX($U60,IFERROR(AVERAGEIF('Conto Economico'!$C198:L198,"&lt;&gt;0"),0)),MAX(0,($U60*12) - SUM('Conto Economico'!$C198:L198))))</f>
        <v>164.29999999999998</v>
      </c>
      <c r="O60" s="147">
        <f ca="1">IF(AND(TODAY()&gt;=DATE(2026,12,1),OR(TODAY()&gt;=DATE(2027,1,1),'Conto Economico'!N198&lt;&gt;0)),'Conto Economico'!N198,MIN(MAX($U60,IFERROR(AVERAGEIF('Conto Economico'!$C198:M198,"&lt;&gt;0"),0)),MAX(0,($U60*12) - SUM('Conto Economico'!$C198:M198))))</f>
        <v>164.29999999999998</v>
      </c>
      <c r="Q60" s="147">
        <f t="shared" ref="Q60:Q66" ca="1" si="30">SUM(D60:O60)</f>
        <v>1971.5999999999997</v>
      </c>
      <c r="R60" s="147">
        <f t="shared" ref="R60:R66" ca="1" si="31">Q60/12</f>
        <v>164.29999999999998</v>
      </c>
      <c r="T60" s="170">
        <f>'Budget 27'!C62</f>
        <v>1800</v>
      </c>
      <c r="U60" s="170">
        <f t="shared" ref="U60:U66" si="32">T60/12</f>
        <v>150</v>
      </c>
      <c r="W60" s="170">
        <f t="shared" ref="W60:W66" ca="1" si="33">Q60-T60</f>
        <v>171.59999999999968</v>
      </c>
      <c r="X60" s="405">
        <f t="shared" ref="X60:X66" ca="1" si="34">IF(T60=0,"-",Q60/T60)</f>
        <v>1.095333333333333</v>
      </c>
      <c r="Z60" s="234" t="str">
        <f>'Conto Economico'!A198</f>
        <v xml:space="preserve">Carburante </v>
      </c>
    </row>
    <row r="61" spans="1:26" x14ac:dyDescent="0.2">
      <c r="B61" s="169" t="str">
        <f>'Conto Economico'!A199</f>
        <v>Tassa di circolazione</v>
      </c>
      <c r="C61" s="169"/>
      <c r="D61" s="147">
        <f ca="1">IF(AND(TODAY()&gt;=DATE(2026,1,1),OR(TODAY()&gt;=DATE(2026,2,1),'Conto Economico'!C199&lt;&gt;0)),'Conto Economico'!C199,$U61)</f>
        <v>0</v>
      </c>
      <c r="E61" s="147">
        <f ca="1">IF(AND(TODAY()&gt;=DATE(2026,2,1),OR(TODAY()&gt;=DATE(2026,3,1),'Conto Economico'!D199&lt;&gt;0)),'Conto Economico'!D199,MIN(MAX($U61,IFERROR(AVERAGEIF('Conto Economico'!$C199:C199,"&lt;&gt;0"),0)),MAX(0,($U61*12) - SUM('Conto Economico'!$C199:C199))))</f>
        <v>0</v>
      </c>
      <c r="F61" s="147">
        <f ca="1">IF(AND(TODAY()&gt;=DATE(2026,3,1),OR(TODAY()&gt;=DATE(2026,4,1),'Conto Economico'!E199&lt;&gt;0)),'Conto Economico'!E199,MIN(MAX($U61,IFERROR(AVERAGEIF('Conto Economico'!$C199:D199,"&lt;&gt;0"),0)),MAX(0,($U61*12) - SUM('Conto Economico'!$C199:D199))))</f>
        <v>0</v>
      </c>
      <c r="G61" s="147">
        <f ca="1">IF(AND(TODAY()&gt;=DATE(2026,4,1),OR(TODAY()&gt;=DATE(2026,5,1),'Conto Economico'!F199&lt;&gt;0)),'Conto Economico'!F199,MIN(MAX($U61,IFERROR(AVERAGEIF('Conto Economico'!$C199:E199,"&lt;&gt;0"),0)),MAX(0,($U61*12) - SUM('Conto Economico'!$C199:E199))))</f>
        <v>0</v>
      </c>
      <c r="H61" s="147">
        <f ca="1">IF(AND(TODAY()&gt;=DATE(2026,5,1),OR(TODAY()&gt;=DATE(2026,6,1),'Conto Economico'!G199&lt;&gt;0)),'Conto Economico'!G199,MIN(MAX($U61,IFERROR(AVERAGEIF('Conto Economico'!$C199:F199,"&lt;&gt;0"),0)),MAX(0,($U61*12) - SUM('Conto Economico'!$C199:F199))))</f>
        <v>0</v>
      </c>
      <c r="I61" s="147">
        <f ca="1">IF(AND(TODAY()&gt;=DATE(2026,6,1),OR(TODAY()&gt;=DATE(2026,7,1),'Conto Economico'!H199&lt;&gt;0)),'Conto Economico'!H199,MIN(MAX($U61,IFERROR(AVERAGEIF('Conto Economico'!$C199:G199,"&lt;&gt;0"),0)),MAX(0,($U61*12) - SUM('Conto Economico'!$C199:G199))))</f>
        <v>0</v>
      </c>
      <c r="J61" s="147">
        <f ca="1">IF(AND(TODAY()&gt;=DATE(2026,7,1),OR(TODAY()&gt;=DATE(2026,8,1),'Conto Economico'!I199&lt;&gt;0)),'Conto Economico'!I199,MIN(MAX($U61,IFERROR(AVERAGEIF('Conto Economico'!$C199:H199,"&lt;&gt;0"),0)),MAX(0,($U61*12) - SUM('Conto Economico'!$C199:H199))))</f>
        <v>165.1</v>
      </c>
      <c r="K61" s="147">
        <f ca="1">IF(AND(TODAY()&gt;=DATE(2026,8,1),OR(TODAY()&gt;=DATE(2026,9,1),'Conto Economico'!J199&lt;&gt;0)),'Conto Economico'!J199,MIN(MAX($U61,IFERROR(AVERAGEIF('Conto Economico'!$C199:I199,"&lt;&gt;0"),0)),MAX(0,($U61*12) - SUM('Conto Economico'!$C199:I199))))</f>
        <v>4.9000000000000057</v>
      </c>
      <c r="L61" s="147">
        <f ca="1">IF(AND(TODAY()&gt;=DATE(2026,9,1),OR(TODAY()&gt;=DATE(2026,10,1),'Conto Economico'!K199&lt;&gt;0)),'Conto Economico'!K199,MIN(MAX($U61,IFERROR(AVERAGEIF('Conto Economico'!$C199:J199,"&lt;&gt;0"),0)),MAX(0,($U61*12) - SUM('Conto Economico'!$C199:J199))))</f>
        <v>4.9000000000000057</v>
      </c>
      <c r="M61" s="147">
        <f ca="1">IF(AND(TODAY()&gt;=DATE(2026,10,1),OR(TODAY()&gt;=DATE(2026,11,1),'Conto Economico'!L199&lt;&gt;0)),'Conto Economico'!L199,MIN(MAX($U61,IFERROR(AVERAGEIF('Conto Economico'!$C199:K199,"&lt;&gt;0"),0)),MAX(0,($U61*12) - SUM('Conto Economico'!$C199:K199))))</f>
        <v>4.9000000000000057</v>
      </c>
      <c r="N61" s="147">
        <f ca="1">IF(AND(TODAY()&gt;=DATE(2026,11,1),OR(TODAY()&gt;=DATE(2026,12,1),'Conto Economico'!M199&lt;&gt;0)),'Conto Economico'!M199,MIN(MAX($U61,IFERROR(AVERAGEIF('Conto Economico'!$C199:L199,"&lt;&gt;0"),0)),MAX(0,($U61*12) - SUM('Conto Economico'!$C199:L199))))</f>
        <v>4.9000000000000057</v>
      </c>
      <c r="O61" s="147">
        <f ca="1">IF(AND(TODAY()&gt;=DATE(2026,12,1),OR(TODAY()&gt;=DATE(2027,1,1),'Conto Economico'!N199&lt;&gt;0)),'Conto Economico'!N199,MIN(MAX($U61,IFERROR(AVERAGEIF('Conto Economico'!$C199:M199,"&lt;&gt;0"),0)),MAX(0,($U61*12) - SUM('Conto Economico'!$C199:M199))))</f>
        <v>4.9000000000000057</v>
      </c>
      <c r="Q61" s="147">
        <f t="shared" ca="1" si="30"/>
        <v>189.60000000000002</v>
      </c>
      <c r="R61" s="147">
        <f t="shared" ca="1" si="31"/>
        <v>15.800000000000002</v>
      </c>
      <c r="T61" s="170">
        <f>'Budget 27'!C63</f>
        <v>170</v>
      </c>
      <c r="U61" s="170">
        <f t="shared" si="32"/>
        <v>14.166666666666666</v>
      </c>
      <c r="W61" s="170">
        <f t="shared" ca="1" si="33"/>
        <v>19.600000000000023</v>
      </c>
      <c r="X61" s="405">
        <f t="shared" ca="1" si="34"/>
        <v>1.115294117647059</v>
      </c>
      <c r="Z61" s="234" t="str">
        <f>'Conto Economico'!A199</f>
        <v>Tassa di circolazione</v>
      </c>
    </row>
    <row r="62" spans="1:26" x14ac:dyDescent="0.2">
      <c r="B62" s="169" t="str">
        <f>'Conto Economico'!A200</f>
        <v>ITV</v>
      </c>
      <c r="C62" s="169"/>
      <c r="D62" s="147">
        <f ca="1">IF(AND(TODAY()&gt;=DATE(2026,1,1),OR(TODAY()&gt;=DATE(2026,2,1),'Conto Economico'!C200&lt;&gt;0)),'Conto Economico'!C200,$U62)</f>
        <v>0</v>
      </c>
      <c r="E62" s="147">
        <f ca="1">IF(AND(TODAY()&gt;=DATE(2026,2,1),OR(TODAY()&gt;=DATE(2026,3,1),'Conto Economico'!D200&lt;&gt;0)),'Conto Economico'!D200,MIN(MAX($U62,IFERROR(AVERAGEIF('Conto Economico'!$C200:C200,"&lt;&gt;0"),0)),MAX(0,($U62*12) - SUM('Conto Economico'!$C200:C200))))</f>
        <v>0</v>
      </c>
      <c r="F62" s="147">
        <f ca="1">IF(AND(TODAY()&gt;=DATE(2026,3,1),OR(TODAY()&gt;=DATE(2026,4,1),'Conto Economico'!E200&lt;&gt;0)),'Conto Economico'!E200,MIN(MAX($U62,IFERROR(AVERAGEIF('Conto Economico'!$C200:D200,"&lt;&gt;0"),0)),MAX(0,($U62*12) - SUM('Conto Economico'!$C200:D200))))</f>
        <v>0</v>
      </c>
      <c r="G62" s="147">
        <f ca="1">IF(AND(TODAY()&gt;=DATE(2026,4,1),OR(TODAY()&gt;=DATE(2026,5,1),'Conto Economico'!F200&lt;&gt;0)),'Conto Economico'!F200,MIN(MAX($U62,IFERROR(AVERAGEIF('Conto Economico'!$C200:E200,"&lt;&gt;0"),0)),MAX(0,($U62*12) - SUM('Conto Economico'!$C200:E200))))</f>
        <v>0</v>
      </c>
      <c r="H62" s="147">
        <f ca="1">IF(AND(TODAY()&gt;=DATE(2026,5,1),OR(TODAY()&gt;=DATE(2026,6,1),'Conto Economico'!G200&lt;&gt;0)),'Conto Economico'!G200,MIN(MAX($U62,IFERROR(AVERAGEIF('Conto Economico'!$C200:F200,"&lt;&gt;0"),0)),MAX(0,($U62*12) - SUM('Conto Economico'!$C200:F200))))</f>
        <v>0</v>
      </c>
      <c r="I62" s="147">
        <f ca="1">IF(AND(TODAY()&gt;=DATE(2026,6,1),OR(TODAY()&gt;=DATE(2026,7,1),'Conto Economico'!H200&lt;&gt;0)),'Conto Economico'!H200,MIN(MAX($U62,IFERROR(AVERAGEIF('Conto Economico'!$C200:G200,"&lt;&gt;0"),0)),MAX(0,($U62*12) - SUM('Conto Economico'!$C200:G200))))</f>
        <v>0</v>
      </c>
      <c r="J62" s="147">
        <f ca="1">IF(AND(TODAY()&gt;=DATE(2026,7,1),OR(TODAY()&gt;=DATE(2026,8,1),'Conto Economico'!I200&lt;&gt;0)),'Conto Economico'!I200,MIN(MAX($U62,IFERROR(AVERAGEIF('Conto Economico'!$C200:H200,"&lt;&gt;0"),0)),MAX(0,($U62*12) - SUM('Conto Economico'!$C200:H200))))</f>
        <v>3</v>
      </c>
      <c r="K62" s="147">
        <f ca="1">IF(AND(TODAY()&gt;=DATE(2026,8,1),OR(TODAY()&gt;=DATE(2026,9,1),'Conto Economico'!J200&lt;&gt;0)),'Conto Economico'!J200,MIN(MAX($U62,IFERROR(AVERAGEIF('Conto Economico'!$C200:I200,"&lt;&gt;0"),0)),MAX(0,($U62*12) - SUM('Conto Economico'!$C200:I200))))</f>
        <v>3</v>
      </c>
      <c r="L62" s="147">
        <f ca="1">IF(AND(TODAY()&gt;=DATE(2026,9,1),OR(TODAY()&gt;=DATE(2026,10,1),'Conto Economico'!K200&lt;&gt;0)),'Conto Economico'!K200,MIN(MAX($U62,IFERROR(AVERAGEIF('Conto Economico'!$C200:J200,"&lt;&gt;0"),0)),MAX(0,($U62*12) - SUM('Conto Economico'!$C200:J200))))</f>
        <v>3</v>
      </c>
      <c r="M62" s="147">
        <f ca="1">IF(AND(TODAY()&gt;=DATE(2026,10,1),OR(TODAY()&gt;=DATE(2026,11,1),'Conto Economico'!L200&lt;&gt;0)),'Conto Economico'!L200,MIN(MAX($U62,IFERROR(AVERAGEIF('Conto Economico'!$C200:K200,"&lt;&gt;0"),0)),MAX(0,($U62*12) - SUM('Conto Economico'!$C200:K200))))</f>
        <v>3</v>
      </c>
      <c r="N62" s="147">
        <f ca="1">IF(AND(TODAY()&gt;=DATE(2026,11,1),OR(TODAY()&gt;=DATE(2026,12,1),'Conto Economico'!M200&lt;&gt;0)),'Conto Economico'!M200,MIN(MAX($U62,IFERROR(AVERAGEIF('Conto Economico'!$C200:L200,"&lt;&gt;0"),0)),MAX(0,($U62*12) - SUM('Conto Economico'!$C200:L200))))</f>
        <v>3</v>
      </c>
      <c r="O62" s="147">
        <f ca="1">IF(AND(TODAY()&gt;=DATE(2026,12,1),OR(TODAY()&gt;=DATE(2027,1,1),'Conto Economico'!N200&lt;&gt;0)),'Conto Economico'!N200,MIN(MAX($U62,IFERROR(AVERAGEIF('Conto Economico'!$C200:M200,"&lt;&gt;0"),0)),MAX(0,($U62*12) - SUM('Conto Economico'!$C200:M200))))</f>
        <v>3</v>
      </c>
      <c r="Q62" s="147">
        <f t="shared" ca="1" si="30"/>
        <v>18</v>
      </c>
      <c r="R62" s="147">
        <f t="shared" ca="1" si="31"/>
        <v>1.5</v>
      </c>
      <c r="T62" s="170">
        <f>'Budget 27'!C64</f>
        <v>36</v>
      </c>
      <c r="U62" s="170">
        <f t="shared" si="32"/>
        <v>3</v>
      </c>
      <c r="W62" s="170">
        <f t="shared" ca="1" si="33"/>
        <v>-18</v>
      </c>
      <c r="X62" s="405">
        <f t="shared" ca="1" si="34"/>
        <v>0.5</v>
      </c>
      <c r="Z62" s="234" t="str">
        <f>'Conto Economico'!A200</f>
        <v>ITV</v>
      </c>
    </row>
    <row r="63" spans="1:26" x14ac:dyDescent="0.2">
      <c r="B63" s="169" t="str">
        <f>'Conto Economico'!A201</f>
        <v>Silik</v>
      </c>
      <c r="C63" s="169"/>
      <c r="D63" s="147">
        <f ca="1">IF(AND(TODAY()&gt;=DATE(2026,1,1),OR(TODAY()&gt;=DATE(2026,2,1),'Conto Economico'!C201&lt;&gt;0)),'Conto Economico'!C201,$U63)</f>
        <v>0</v>
      </c>
      <c r="E63" s="147">
        <f ca="1">IF(AND(TODAY()&gt;=DATE(2026,2,1),OR(TODAY()&gt;=DATE(2026,3,1),'Conto Economico'!D201&lt;&gt;0)),'Conto Economico'!D201,MIN(MAX($U63,IFERROR(AVERAGEIF('Conto Economico'!$C201:C201,"&lt;&gt;0"),0)),MAX(0,($U63*12) - SUM('Conto Economico'!$C201:C201))))</f>
        <v>0</v>
      </c>
      <c r="F63" s="147">
        <f ca="1">IF(AND(TODAY()&gt;=DATE(2026,3,1),OR(TODAY()&gt;=DATE(2026,4,1),'Conto Economico'!E201&lt;&gt;0)),'Conto Economico'!E201,MIN(MAX($U63,IFERROR(AVERAGEIF('Conto Economico'!$C201:D201,"&lt;&gt;0"),0)),MAX(0,($U63*12) - SUM('Conto Economico'!$C201:D201))))</f>
        <v>0</v>
      </c>
      <c r="G63" s="147">
        <f ca="1">IF(AND(TODAY()&gt;=DATE(2026,4,1),OR(TODAY()&gt;=DATE(2026,5,1),'Conto Economico'!F201&lt;&gt;0)),'Conto Economico'!F201,MIN(MAX($U63,IFERROR(AVERAGEIF('Conto Economico'!$C201:E201,"&lt;&gt;0"),0)),MAX(0,($U63*12) - SUM('Conto Economico'!$C201:E201))))</f>
        <v>0</v>
      </c>
      <c r="H63" s="147">
        <f ca="1">IF(AND(TODAY()&gt;=DATE(2026,5,1),OR(TODAY()&gt;=DATE(2026,6,1),'Conto Economico'!G201&lt;&gt;0)),'Conto Economico'!G201,MIN(MAX($U63,IFERROR(AVERAGEIF('Conto Economico'!$C201:F201,"&lt;&gt;0"),0)),MAX(0,($U63*12) - SUM('Conto Economico'!$C201:F201))))</f>
        <v>0</v>
      </c>
      <c r="I63" s="147">
        <f ca="1">IF(AND(TODAY()&gt;=DATE(2026,6,1),OR(TODAY()&gt;=DATE(2026,7,1),'Conto Economico'!H201&lt;&gt;0)),'Conto Economico'!H201,MIN(MAX($U63,IFERROR(AVERAGEIF('Conto Economico'!$C201:G201,"&lt;&gt;0"),0)),MAX(0,($U63*12) - SUM('Conto Economico'!$C201:G201))))</f>
        <v>0</v>
      </c>
      <c r="J63" s="147">
        <f ca="1">IF(AND(TODAY()&gt;=DATE(2026,7,1),OR(TODAY()&gt;=DATE(2026,8,1),'Conto Economico'!I201&lt;&gt;0)),'Conto Economico'!I201,MIN(MAX($U63,IFERROR(AVERAGEIF('Conto Economico'!$C201:H201,"&lt;&gt;0"),0)),MAX(0,($U63*12) - SUM('Conto Economico'!$C201:H201))))</f>
        <v>3</v>
      </c>
      <c r="K63" s="147">
        <f ca="1">IF(AND(TODAY()&gt;=DATE(2026,8,1),OR(TODAY()&gt;=DATE(2026,9,1),'Conto Economico'!J201&lt;&gt;0)),'Conto Economico'!J201,MIN(MAX($U63,IFERROR(AVERAGEIF('Conto Economico'!$C201:I201,"&lt;&gt;0"),0)),MAX(0,($U63*12) - SUM('Conto Economico'!$C201:I201))))</f>
        <v>3</v>
      </c>
      <c r="L63" s="147">
        <f ca="1">IF(AND(TODAY()&gt;=DATE(2026,9,1),OR(TODAY()&gt;=DATE(2026,10,1),'Conto Economico'!K201&lt;&gt;0)),'Conto Economico'!K201,MIN(MAX($U63,IFERROR(AVERAGEIF('Conto Economico'!$C201:J201,"&lt;&gt;0"),0)),MAX(0,($U63*12) - SUM('Conto Economico'!$C201:J201))))</f>
        <v>3</v>
      </c>
      <c r="M63" s="147">
        <f ca="1">IF(AND(TODAY()&gt;=DATE(2026,10,1),OR(TODAY()&gt;=DATE(2026,11,1),'Conto Economico'!L201&lt;&gt;0)),'Conto Economico'!L201,MIN(MAX($U63,IFERROR(AVERAGEIF('Conto Economico'!$C201:K201,"&lt;&gt;0"),0)),MAX(0,($U63*12) - SUM('Conto Economico'!$C201:K201))))</f>
        <v>3</v>
      </c>
      <c r="N63" s="147">
        <f ca="1">IF(AND(TODAY()&gt;=DATE(2026,11,1),OR(TODAY()&gt;=DATE(2026,12,1),'Conto Economico'!M201&lt;&gt;0)),'Conto Economico'!M201,MIN(MAX($U63,IFERROR(AVERAGEIF('Conto Economico'!$C201:L201,"&lt;&gt;0"),0)),MAX(0,($U63*12) - SUM('Conto Economico'!$C201:L201))))</f>
        <v>3</v>
      </c>
      <c r="O63" s="147">
        <f ca="1">IF(AND(TODAY()&gt;=DATE(2026,12,1),OR(TODAY()&gt;=DATE(2027,1,1),'Conto Economico'!N201&lt;&gt;0)),'Conto Economico'!N201,MIN(MAX($U63,IFERROR(AVERAGEIF('Conto Economico'!$C201:M201,"&lt;&gt;0"),0)),MAX(0,($U63*12) - SUM('Conto Economico'!$C201:M201))))</f>
        <v>3</v>
      </c>
      <c r="Q63" s="147">
        <f t="shared" ca="1" si="30"/>
        <v>18</v>
      </c>
      <c r="R63" s="147">
        <f t="shared" ca="1" si="31"/>
        <v>1.5</v>
      </c>
      <c r="T63" s="170">
        <f>'Budget 27'!C65</f>
        <v>36</v>
      </c>
      <c r="U63" s="170">
        <f t="shared" si="32"/>
        <v>3</v>
      </c>
      <c r="W63" s="170">
        <f t="shared" ca="1" si="33"/>
        <v>-18</v>
      </c>
      <c r="X63" s="405">
        <f t="shared" ca="1" si="34"/>
        <v>0.5</v>
      </c>
      <c r="Z63" s="234" t="str">
        <f>'Conto Economico'!A201</f>
        <v>Silik</v>
      </c>
    </row>
    <row r="64" spans="1:26" x14ac:dyDescent="0.2">
      <c r="B64" s="169" t="str">
        <f>'Conto Economico'!A202</f>
        <v>Manutenzione Auto</v>
      </c>
      <c r="C64" s="169"/>
      <c r="D64" s="147">
        <f ca="1">IF(AND(TODAY()&gt;=DATE(2026,1,1),OR(TODAY()&gt;=DATE(2026,2,1),'Conto Economico'!C202&lt;&gt;0)),'Conto Economico'!C202,$U64)</f>
        <v>0</v>
      </c>
      <c r="E64" s="147">
        <f ca="1">IF(AND(TODAY()&gt;=DATE(2026,2,1),OR(TODAY()&gt;=DATE(2026,3,1),'Conto Economico'!D202&lt;&gt;0)),'Conto Economico'!D202,MIN(MAX($U64,IFERROR(AVERAGEIF('Conto Economico'!$C202:C202,"&lt;&gt;0"),0)),MAX(0,($U64*12) - SUM('Conto Economico'!$C202:C202))))</f>
        <v>0</v>
      </c>
      <c r="F64" s="147">
        <f ca="1">IF(AND(TODAY()&gt;=DATE(2026,3,1),OR(TODAY()&gt;=DATE(2026,4,1),'Conto Economico'!E202&lt;&gt;0)),'Conto Economico'!E202,MIN(MAX($U64,IFERROR(AVERAGEIF('Conto Economico'!$C202:D202,"&lt;&gt;0"),0)),MAX(0,($U64*12) - SUM('Conto Economico'!$C202:D202))))</f>
        <v>0</v>
      </c>
      <c r="G64" s="147">
        <f ca="1">IF(AND(TODAY()&gt;=DATE(2026,4,1),OR(TODAY()&gt;=DATE(2026,5,1),'Conto Economico'!F202&lt;&gt;0)),'Conto Economico'!F202,MIN(MAX($U64,IFERROR(AVERAGEIF('Conto Economico'!$C202:E202,"&lt;&gt;0"),0)),MAX(0,($U64*12) - SUM('Conto Economico'!$C202:E202))))</f>
        <v>0</v>
      </c>
      <c r="H64" s="147">
        <f ca="1">IF(AND(TODAY()&gt;=DATE(2026,5,1),OR(TODAY()&gt;=DATE(2026,6,1),'Conto Economico'!G202&lt;&gt;0)),'Conto Economico'!G202,MIN(MAX($U64,IFERROR(AVERAGEIF('Conto Economico'!$C202:F202,"&lt;&gt;0"),0)),MAX(0,($U64*12) - SUM('Conto Economico'!$C202:F202))))</f>
        <v>0</v>
      </c>
      <c r="I64" s="147">
        <f ca="1">IF(AND(TODAY()&gt;=DATE(2026,6,1),OR(TODAY()&gt;=DATE(2026,7,1),'Conto Economico'!H202&lt;&gt;0)),'Conto Economico'!H202,MIN(MAX($U64,IFERROR(AVERAGEIF('Conto Economico'!$C202:G202,"&lt;&gt;0"),0)),MAX(0,($U64*12) - SUM('Conto Economico'!$C202:G202))))</f>
        <v>101.56</v>
      </c>
      <c r="J64" s="147">
        <f ca="1">IF(AND(TODAY()&gt;=DATE(2026,7,1),OR(TODAY()&gt;=DATE(2026,8,1),'Conto Economico'!I202&lt;&gt;0)),'Conto Economico'!I202,MIN(MAX($U64,IFERROR(AVERAGEIF('Conto Economico'!$C202:H202,"&lt;&gt;0"),0)),MAX(0,($U64*12) - SUM('Conto Economico'!$C202:H202))))</f>
        <v>101.56</v>
      </c>
      <c r="K64" s="147">
        <f ca="1">IF(AND(TODAY()&gt;=DATE(2026,8,1),OR(TODAY()&gt;=DATE(2026,9,1),'Conto Economico'!J202&lt;&gt;0)),'Conto Economico'!J202,MIN(MAX($U64,IFERROR(AVERAGEIF('Conto Economico'!$C202:I202,"&lt;&gt;0"),0)),MAX(0,($U64*12) - SUM('Conto Economico'!$C202:I202))))</f>
        <v>101.56</v>
      </c>
      <c r="L64" s="147">
        <f ca="1">IF(AND(TODAY()&gt;=DATE(2026,9,1),OR(TODAY()&gt;=DATE(2026,10,1),'Conto Economico'!K202&lt;&gt;0)),'Conto Economico'!K202,MIN(MAX($U64,IFERROR(AVERAGEIF('Conto Economico'!$C202:J202,"&lt;&gt;0"),0)),MAX(0,($U64*12) - SUM('Conto Economico'!$C202:J202))))</f>
        <v>101.56</v>
      </c>
      <c r="M64" s="147">
        <f ca="1">IF(AND(TODAY()&gt;=DATE(2026,10,1),OR(TODAY()&gt;=DATE(2026,11,1),'Conto Economico'!L202&lt;&gt;0)),'Conto Economico'!L202,MIN(MAX($U64,IFERROR(AVERAGEIF('Conto Economico'!$C202:K202,"&lt;&gt;0"),0)),MAX(0,($U64*12) - SUM('Conto Economico'!$C202:K202))))</f>
        <v>101.56</v>
      </c>
      <c r="N64" s="147">
        <f ca="1">IF(AND(TODAY()&gt;=DATE(2026,11,1),OR(TODAY()&gt;=DATE(2026,12,1),'Conto Economico'!M202&lt;&gt;0)),'Conto Economico'!M202,MIN(MAX($U64,IFERROR(AVERAGEIF('Conto Economico'!$C202:L202,"&lt;&gt;0"),0)),MAX(0,($U64*12) - SUM('Conto Economico'!$C202:L202))))</f>
        <v>101.56</v>
      </c>
      <c r="O64" s="147">
        <f ca="1">IF(AND(TODAY()&gt;=DATE(2026,12,1),OR(TODAY()&gt;=DATE(2027,1,1),'Conto Economico'!N202&lt;&gt;0)),'Conto Economico'!N202,MIN(MAX($U64,IFERROR(AVERAGEIF('Conto Economico'!$C202:M202,"&lt;&gt;0"),0)),MAX(0,($U64*12) - SUM('Conto Economico'!$C202:M202))))</f>
        <v>101.56</v>
      </c>
      <c r="Q64" s="147">
        <f t="shared" ca="1" si="30"/>
        <v>710.92000000000007</v>
      </c>
      <c r="R64" s="147">
        <f t="shared" ca="1" si="31"/>
        <v>59.243333333333339</v>
      </c>
      <c r="T64" s="170">
        <f>'Budget 27'!C66</f>
        <v>500</v>
      </c>
      <c r="U64" s="170">
        <f t="shared" si="32"/>
        <v>41.666666666666664</v>
      </c>
      <c r="W64" s="170">
        <f t="shared" ca="1" si="33"/>
        <v>210.92000000000007</v>
      </c>
      <c r="X64" s="405">
        <f t="shared" ca="1" si="34"/>
        <v>1.4218400000000002</v>
      </c>
      <c r="Z64" s="234" t="str">
        <f>'Conto Economico'!A202</f>
        <v>Manutenzione Auto</v>
      </c>
    </row>
    <row r="65" spans="1:26" x14ac:dyDescent="0.2">
      <c r="B65" s="169" t="str">
        <f>'Conto Economico'!A203</f>
        <v>Trasporti pubblici</v>
      </c>
      <c r="C65" s="169"/>
      <c r="D65" s="147">
        <f ca="1">IF(AND(TODAY()&gt;=DATE(2026,1,1),OR(TODAY()&gt;=DATE(2026,2,1),'Conto Economico'!C203&lt;&gt;0)),'Conto Economico'!C203,$U65)</f>
        <v>2.2999999999999998</v>
      </c>
      <c r="E65" s="147">
        <f ca="1">IF(AND(TODAY()&gt;=DATE(2026,2,1),OR(TODAY()&gt;=DATE(2026,3,1),'Conto Economico'!D203&lt;&gt;0)),'Conto Economico'!D203,MIN(MAX($U65,IFERROR(AVERAGEIF('Conto Economico'!$C203:C203,"&lt;&gt;0"),0)),MAX(0,($U65*12) - SUM('Conto Economico'!$C203:C203))))</f>
        <v>0</v>
      </c>
      <c r="F65" s="147">
        <f ca="1">IF(AND(TODAY()&gt;=DATE(2026,3,1),OR(TODAY()&gt;=DATE(2026,4,1),'Conto Economico'!E203&lt;&gt;0)),'Conto Economico'!E203,MIN(MAX($U65,IFERROR(AVERAGEIF('Conto Economico'!$C203:D203,"&lt;&gt;0"),0)),MAX(0,($U65*12) - SUM('Conto Economico'!$C203:D203))))</f>
        <v>0</v>
      </c>
      <c r="G65" s="147">
        <f ca="1">IF(AND(TODAY()&gt;=DATE(2026,4,1),OR(TODAY()&gt;=DATE(2026,5,1),'Conto Economico'!F203&lt;&gt;0)),'Conto Economico'!F203,MIN(MAX($U65,IFERROR(AVERAGEIF('Conto Economico'!$C203:E203,"&lt;&gt;0"),0)),MAX(0,($U65*12) - SUM('Conto Economico'!$C203:E203))))</f>
        <v>0</v>
      </c>
      <c r="H65" s="147">
        <f ca="1">IF(AND(TODAY()&gt;=DATE(2026,5,1),OR(TODAY()&gt;=DATE(2026,6,1),'Conto Economico'!G203&lt;&gt;0)),'Conto Economico'!G203,MIN(MAX($U65,IFERROR(AVERAGEIF('Conto Economico'!$C203:F203,"&lt;&gt;0"),0)),MAX(0,($U65*12) - SUM('Conto Economico'!$C203:F203))))</f>
        <v>2.2999999999999998</v>
      </c>
      <c r="I65" s="147">
        <f ca="1">IF(AND(TODAY()&gt;=DATE(2026,6,1),OR(TODAY()&gt;=DATE(2026,7,1),'Conto Economico'!H203&lt;&gt;0)),'Conto Economico'!H203,MIN(MAX($U65,IFERROR(AVERAGEIF('Conto Economico'!$C203:G203,"&lt;&gt;0"),0)),MAX(0,($U65*12) - SUM('Conto Economico'!$C203:G203))))</f>
        <v>0</v>
      </c>
      <c r="J65" s="147">
        <f ca="1">IF(AND(TODAY()&gt;=DATE(2026,7,1),OR(TODAY()&gt;=DATE(2026,8,1),'Conto Economico'!I203&lt;&gt;0)),'Conto Economico'!I203,MIN(MAX($U65,IFERROR(AVERAGEIF('Conto Economico'!$C203:H203,"&lt;&gt;0"),0)),MAX(0,($U65*12) - SUM('Conto Economico'!$C203:H203))))</f>
        <v>2.5</v>
      </c>
      <c r="K65" s="147">
        <f ca="1">IF(AND(TODAY()&gt;=DATE(2026,8,1),OR(TODAY()&gt;=DATE(2026,9,1),'Conto Economico'!J203&lt;&gt;0)),'Conto Economico'!J203,MIN(MAX($U65,IFERROR(AVERAGEIF('Conto Economico'!$C203:I203,"&lt;&gt;0"),0)),MAX(0,($U65*12) - SUM('Conto Economico'!$C203:I203))))</f>
        <v>2.5</v>
      </c>
      <c r="L65" s="147">
        <f ca="1">IF(AND(TODAY()&gt;=DATE(2026,9,1),OR(TODAY()&gt;=DATE(2026,10,1),'Conto Economico'!K203&lt;&gt;0)),'Conto Economico'!K203,MIN(MAX($U65,IFERROR(AVERAGEIF('Conto Economico'!$C203:J203,"&lt;&gt;0"),0)),MAX(0,($U65*12) - SUM('Conto Economico'!$C203:J203))))</f>
        <v>2.5</v>
      </c>
      <c r="M65" s="147">
        <f ca="1">IF(AND(TODAY()&gt;=DATE(2026,10,1),OR(TODAY()&gt;=DATE(2026,11,1),'Conto Economico'!L203&lt;&gt;0)),'Conto Economico'!L203,MIN(MAX($U65,IFERROR(AVERAGEIF('Conto Economico'!$C203:K203,"&lt;&gt;0"),0)),MAX(0,($U65*12) - SUM('Conto Economico'!$C203:K203))))</f>
        <v>2.5</v>
      </c>
      <c r="N65" s="147">
        <f ca="1">IF(AND(TODAY()&gt;=DATE(2026,11,1),OR(TODAY()&gt;=DATE(2026,12,1),'Conto Economico'!M203&lt;&gt;0)),'Conto Economico'!M203,MIN(MAX($U65,IFERROR(AVERAGEIF('Conto Economico'!$C203:L203,"&lt;&gt;0"),0)),MAX(0,($U65*12) - SUM('Conto Economico'!$C203:L203))))</f>
        <v>2.5</v>
      </c>
      <c r="O65" s="147">
        <f ca="1">IF(AND(TODAY()&gt;=DATE(2026,12,1),OR(TODAY()&gt;=DATE(2027,1,1),'Conto Economico'!N203&lt;&gt;0)),'Conto Economico'!N203,MIN(MAX($U65,IFERROR(AVERAGEIF('Conto Economico'!$C203:M203,"&lt;&gt;0"),0)),MAX(0,($U65*12) - SUM('Conto Economico'!$C203:M203))))</f>
        <v>2.5</v>
      </c>
      <c r="Q65" s="147">
        <f t="shared" ca="1" si="30"/>
        <v>19.600000000000001</v>
      </c>
      <c r="R65" s="147">
        <f t="shared" ca="1" si="31"/>
        <v>1.6333333333333335</v>
      </c>
      <c r="T65" s="170">
        <f>'Budget 27'!C67</f>
        <v>30</v>
      </c>
      <c r="U65" s="170">
        <f t="shared" si="32"/>
        <v>2.5</v>
      </c>
      <c r="W65" s="170">
        <f t="shared" ca="1" si="33"/>
        <v>-10.399999999999999</v>
      </c>
      <c r="X65" s="405">
        <f t="shared" ca="1" si="34"/>
        <v>0.65333333333333343</v>
      </c>
      <c r="Z65" s="234" t="str">
        <f>'Conto Economico'!A203</f>
        <v>Trasporti pubblici</v>
      </c>
    </row>
    <row r="66" spans="1:26" x14ac:dyDescent="0.2">
      <c r="B66" s="169" t="str">
        <f>'Conto Economico'!A204</f>
        <v>Parcheggio</v>
      </c>
      <c r="C66" s="169"/>
      <c r="D66" s="147">
        <f ca="1">IF(AND(TODAY()&gt;=DATE(2026,1,1),OR(TODAY()&gt;=DATE(2026,2,1),'Conto Economico'!C204&lt;&gt;0)),'Conto Economico'!C204,$U66)</f>
        <v>15.399999999999999</v>
      </c>
      <c r="E66" s="147">
        <f ca="1">IF(AND(TODAY()&gt;=DATE(2026,2,1),OR(TODAY()&gt;=DATE(2026,3,1),'Conto Economico'!D204&lt;&gt;0)),'Conto Economico'!D204,MIN(MAX($U66,IFERROR(AVERAGEIF('Conto Economico'!$C204:C204,"&lt;&gt;0"),0)),MAX(0,($U66*12) - SUM('Conto Economico'!$C204:C204))))</f>
        <v>12.85</v>
      </c>
      <c r="F66" s="147">
        <f ca="1">IF(AND(TODAY()&gt;=DATE(2026,3,1),OR(TODAY()&gt;=DATE(2026,4,1),'Conto Economico'!E204&lt;&gt;0)),'Conto Economico'!E204,MIN(MAX($U66,IFERROR(AVERAGEIF('Conto Economico'!$C204:D204,"&lt;&gt;0"),0)),MAX(0,($U66*12) - SUM('Conto Economico'!$C204:D204))))</f>
        <v>6.2</v>
      </c>
      <c r="G66" s="147">
        <f ca="1">IF(AND(TODAY()&gt;=DATE(2026,4,1),OR(TODAY()&gt;=DATE(2026,5,1),'Conto Economico'!F204&lt;&gt;0)),'Conto Economico'!F204,MIN(MAX($U66,IFERROR(AVERAGEIF('Conto Economico'!$C204:E204,"&lt;&gt;0"),0)),MAX(0,($U66*12) - SUM('Conto Economico'!$C204:E204))))</f>
        <v>5.75</v>
      </c>
      <c r="H66" s="147">
        <f ca="1">IF(AND(TODAY()&gt;=DATE(2026,5,1),OR(TODAY()&gt;=DATE(2026,6,1),'Conto Economico'!G204&lt;&gt;0)),'Conto Economico'!G204,MIN(MAX($U66,IFERROR(AVERAGEIF('Conto Economico'!$C204:F204,"&lt;&gt;0"),0)),MAX(0,($U66*12) - SUM('Conto Economico'!$C204:F204))))</f>
        <v>0</v>
      </c>
      <c r="I66" s="147">
        <f ca="1">IF(AND(TODAY()&gt;=DATE(2026,6,1),OR(TODAY()&gt;=DATE(2026,7,1),'Conto Economico'!H204&lt;&gt;0)),'Conto Economico'!H204,MIN(MAX($U66,IFERROR(AVERAGEIF('Conto Economico'!$C204:G204,"&lt;&gt;0"),0)),MAX(0,($U66*12) - SUM('Conto Economico'!$C204:G204))))</f>
        <v>3.8</v>
      </c>
      <c r="J66" s="147">
        <f ca="1">IF(AND(TODAY()&gt;=DATE(2026,7,1),OR(TODAY()&gt;=DATE(2026,8,1),'Conto Economico'!I204&lt;&gt;0)),'Conto Economico'!I204,MIN(MAX($U66,IFERROR(AVERAGEIF('Conto Economico'!$C204:H204,"&lt;&gt;0"),0)),MAX(0,($U66*12) - SUM('Conto Economico'!$C204:H204))))</f>
        <v>0.35</v>
      </c>
      <c r="K66" s="147">
        <f ca="1">IF(AND(TODAY()&gt;=DATE(2026,8,1),OR(TODAY()&gt;=DATE(2026,9,1),'Conto Economico'!J204&lt;&gt;0)),'Conto Economico'!J204,MIN(MAX($U66,IFERROR(AVERAGEIF('Conto Economico'!$C204:I204,"&lt;&gt;0"),0)),MAX(0,($U66*12) - SUM('Conto Economico'!$C204:I204))))</f>
        <v>12.5</v>
      </c>
      <c r="L66" s="147">
        <f ca="1">IF(AND(TODAY()&gt;=DATE(2026,9,1),OR(TODAY()&gt;=DATE(2026,10,1),'Conto Economico'!K204&lt;&gt;0)),'Conto Economico'!K204,MIN(MAX($U66,IFERROR(AVERAGEIF('Conto Economico'!$C204:J204,"&lt;&gt;0"),0)),MAX(0,($U66*12) - SUM('Conto Economico'!$C204:J204))))</f>
        <v>12.5</v>
      </c>
      <c r="M66" s="147">
        <f ca="1">IF(AND(TODAY()&gt;=DATE(2026,10,1),OR(TODAY()&gt;=DATE(2026,11,1),'Conto Economico'!L204&lt;&gt;0)),'Conto Economico'!L204,MIN(MAX($U66,IFERROR(AVERAGEIF('Conto Economico'!$C204:K204,"&lt;&gt;0"),0)),MAX(0,($U66*12) - SUM('Conto Economico'!$C204:K204))))</f>
        <v>12.5</v>
      </c>
      <c r="N66" s="147">
        <f ca="1">IF(AND(TODAY()&gt;=DATE(2026,11,1),OR(TODAY()&gt;=DATE(2026,12,1),'Conto Economico'!M204&lt;&gt;0)),'Conto Economico'!M204,MIN(MAX($U66,IFERROR(AVERAGEIF('Conto Economico'!$C204:L204,"&lt;&gt;0"),0)),MAX(0,($U66*12) - SUM('Conto Economico'!$C204:L204))))</f>
        <v>12.5</v>
      </c>
      <c r="O66" s="147">
        <f ca="1">IF(AND(TODAY()&gt;=DATE(2026,12,1),OR(TODAY()&gt;=DATE(2027,1,1),'Conto Economico'!N204&lt;&gt;0)),'Conto Economico'!N204,MIN(MAX($U66,IFERROR(AVERAGEIF('Conto Economico'!$C204:M204,"&lt;&gt;0"),0)),MAX(0,($U66*12) - SUM('Conto Economico'!$C204:M204))))</f>
        <v>12.5</v>
      </c>
      <c r="Q66" s="147">
        <f t="shared" ca="1" si="30"/>
        <v>106.85</v>
      </c>
      <c r="R66" s="147">
        <f t="shared" ca="1" si="31"/>
        <v>8.9041666666666668</v>
      </c>
      <c r="T66" s="170">
        <f>'Budget 27'!C68</f>
        <v>150</v>
      </c>
      <c r="U66" s="170">
        <f t="shared" si="32"/>
        <v>12.5</v>
      </c>
      <c r="W66" s="170">
        <f t="shared" ca="1" si="33"/>
        <v>-43.150000000000006</v>
      </c>
      <c r="X66" s="405">
        <f t="shared" ca="1" si="34"/>
        <v>0.71233333333333326</v>
      </c>
      <c r="Z66" s="234" t="str">
        <f>'Conto Economico'!A204</f>
        <v>Parcheggio</v>
      </c>
    </row>
    <row r="67" spans="1:26" x14ac:dyDescent="0.2">
      <c r="A67" s="157"/>
      <c r="B67" s="165"/>
      <c r="C67" s="203"/>
      <c r="D67" s="166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Q67" s="164"/>
      <c r="R67" s="164"/>
      <c r="S67" s="157"/>
      <c r="T67" s="164"/>
      <c r="U67" s="164"/>
      <c r="V67" s="157"/>
      <c r="W67" s="164"/>
      <c r="X67" s="320"/>
      <c r="Z67" s="235"/>
    </row>
    <row r="68" spans="1:26" s="149" customFormat="1" x14ac:dyDescent="0.2">
      <c r="B68" s="167" t="str">
        <f>'Conto Economico'!A206</f>
        <v>Assicurazioni</v>
      </c>
      <c r="C68" s="167"/>
      <c r="D68" s="149">
        <f t="shared" ref="D68:O68" ca="1" si="35">SUM(D69:D71)</f>
        <v>663.75</v>
      </c>
      <c r="E68" s="149">
        <f t="shared" ca="1" si="35"/>
        <v>0</v>
      </c>
      <c r="F68" s="149">
        <f t="shared" ca="1" si="35"/>
        <v>0</v>
      </c>
      <c r="G68" s="149">
        <f t="shared" ca="1" si="35"/>
        <v>663.75</v>
      </c>
      <c r="H68" s="149">
        <f t="shared" ca="1" si="35"/>
        <v>834.99</v>
      </c>
      <c r="I68" s="149">
        <f t="shared" ca="1" si="35"/>
        <v>0</v>
      </c>
      <c r="J68" s="149">
        <f t="shared" ca="1" si="35"/>
        <v>680.41666666666663</v>
      </c>
      <c r="K68" s="149">
        <f t="shared" ca="1" si="35"/>
        <v>1075</v>
      </c>
      <c r="L68" s="149">
        <f t="shared" ca="1" si="35"/>
        <v>1075</v>
      </c>
      <c r="M68" s="149">
        <f t="shared" ca="1" si="35"/>
        <v>1075</v>
      </c>
      <c r="N68" s="149">
        <f t="shared" ca="1" si="35"/>
        <v>1075</v>
      </c>
      <c r="O68" s="149">
        <f t="shared" ca="1" si="35"/>
        <v>1075</v>
      </c>
      <c r="P68"/>
      <c r="Q68" s="149">
        <f ca="1">SUM(Q69:Q71)</f>
        <v>8217.9066666666658</v>
      </c>
      <c r="R68" s="149">
        <f ca="1">SUM(R69:R71)</f>
        <v>684.82555555555541</v>
      </c>
      <c r="T68" s="149">
        <f>SUM(T69:T71)</f>
        <v>13650</v>
      </c>
      <c r="U68" s="149">
        <f>SUM(U69:U71)</f>
        <v>1137.5</v>
      </c>
      <c r="W68" s="168">
        <f ca="1">Q68-T68</f>
        <v>-5432.0933333333342</v>
      </c>
      <c r="X68" s="319">
        <f ca="1">IF(T68=0,"-",Q68/T68)</f>
        <v>0.60204444444444438</v>
      </c>
      <c r="Z68" s="233" t="str">
        <f>'Conto Economico'!A206</f>
        <v>Assicurazioni</v>
      </c>
    </row>
    <row r="69" spans="1:26" s="149" customFormat="1" x14ac:dyDescent="0.2">
      <c r="B69" s="169" t="str">
        <f>'Conto Economico'!A207</f>
        <v>Polizza Vita</v>
      </c>
      <c r="C69" s="169"/>
      <c r="D69" s="147">
        <f ca="1">IF(AND(TODAY()&gt;=DATE(2026,1,1),OR(TODAY()&gt;=DATE(2026,2,1),'Conto Economico'!C207&lt;&gt;0)),'Conto Economico'!C207,$U69)</f>
        <v>0</v>
      </c>
      <c r="E69" s="147">
        <f ca="1">IF(AND(TODAY()&gt;=DATE(2026,2,1),OR(TODAY()&gt;=DATE(2026,3,1),'Conto Economico'!D207&lt;&gt;0)),'Conto Economico'!D207,MIN(MAX($U69,IFERROR(AVERAGEIF('Conto Economico'!$C207:C207,"&lt;&gt;0"),0)),MAX(0,($U69*12) - SUM('Conto Economico'!$C207:C207))))</f>
        <v>0</v>
      </c>
      <c r="F69" s="147">
        <f ca="1">IF(AND(TODAY()&gt;=DATE(2026,3,1),OR(TODAY()&gt;=DATE(2026,4,1),'Conto Economico'!E207&lt;&gt;0)),'Conto Economico'!E207,MIN(MAX($U69,IFERROR(AVERAGEIF('Conto Economico'!$C207:D207,"&lt;&gt;0"),0)),MAX(0,($U69*12) - SUM('Conto Economico'!$C207:D207))))</f>
        <v>0</v>
      </c>
      <c r="G69" s="147">
        <f ca="1">IF(AND(TODAY()&gt;=DATE(2026,4,1),OR(TODAY()&gt;=DATE(2026,5,1),'Conto Economico'!F207&lt;&gt;0)),'Conto Economico'!F207,MIN(MAX($U69,IFERROR(AVERAGEIF('Conto Economico'!$C207:E207,"&lt;&gt;0"),0)),MAX(0,($U69*12) - SUM('Conto Economico'!$C207:E207))))</f>
        <v>0</v>
      </c>
      <c r="H69" s="147">
        <f ca="1">IF(AND(TODAY()&gt;=DATE(2026,5,1),OR(TODAY()&gt;=DATE(2026,6,1),'Conto Economico'!G207&lt;&gt;0)),'Conto Economico'!G207,MIN(MAX($U69,IFERROR(AVERAGEIF('Conto Economico'!$C207:F207,"&lt;&gt;0"),0)),MAX(0,($U69*12) - SUM('Conto Economico'!$C207:F207))))</f>
        <v>0</v>
      </c>
      <c r="I69" s="147">
        <f ca="1">IF(AND(TODAY()&gt;=DATE(2026,6,1),OR(TODAY()&gt;=DATE(2026,7,1),'Conto Economico'!H207&lt;&gt;0)),'Conto Economico'!H207,MIN(MAX($U69,IFERROR(AVERAGEIF('Conto Economico'!$C207:G207,"&lt;&gt;0"),0)),MAX(0,($U69*12) - SUM('Conto Economico'!$C207:G207))))</f>
        <v>0</v>
      </c>
      <c r="J69" s="147">
        <f ca="1">IF(AND(TODAY()&gt;=DATE(2026,7,1),OR(TODAY()&gt;=DATE(2026,8,1),'Conto Economico'!I207&lt;&gt;0)),'Conto Economico'!I207,MIN(MAX($U69,IFERROR(AVERAGEIF('Conto Economico'!$C207:H207,"&lt;&gt;0"),0)),MAX(0,($U69*12) - SUM('Conto Economico'!$C207:H207))))</f>
        <v>16.666666666666668</v>
      </c>
      <c r="K69" s="147">
        <f ca="1">IF(AND(TODAY()&gt;=DATE(2026,8,1),OR(TODAY()&gt;=DATE(2026,9,1),'Conto Economico'!J207&lt;&gt;0)),'Conto Economico'!J207,MIN(MAX($U69,IFERROR(AVERAGEIF('Conto Economico'!$C207:I207,"&lt;&gt;0"),0)),MAX(0,($U69*12) - SUM('Conto Economico'!$C207:I207))))</f>
        <v>16.666666666666668</v>
      </c>
      <c r="L69" s="147">
        <f ca="1">IF(AND(TODAY()&gt;=DATE(2026,9,1),OR(TODAY()&gt;=DATE(2026,10,1),'Conto Economico'!K207&lt;&gt;0)),'Conto Economico'!K207,MIN(MAX($U69,IFERROR(AVERAGEIF('Conto Economico'!$C207:J207,"&lt;&gt;0"),0)),MAX(0,($U69*12) - SUM('Conto Economico'!$C207:J207))))</f>
        <v>16.666666666666668</v>
      </c>
      <c r="M69" s="147">
        <f ca="1">IF(AND(TODAY()&gt;=DATE(2026,10,1),OR(TODAY()&gt;=DATE(2026,11,1),'Conto Economico'!L207&lt;&gt;0)),'Conto Economico'!L207,MIN(MAX($U69,IFERROR(AVERAGEIF('Conto Economico'!$C207:K207,"&lt;&gt;0"),0)),MAX(0,($U69*12) - SUM('Conto Economico'!$C207:K207))))</f>
        <v>16.666666666666668</v>
      </c>
      <c r="N69" s="147">
        <f ca="1">IF(AND(TODAY()&gt;=DATE(2026,11,1),OR(TODAY()&gt;=DATE(2026,12,1),'Conto Economico'!M207&lt;&gt;0)),'Conto Economico'!M207,MIN(MAX($U69,IFERROR(AVERAGEIF('Conto Economico'!$C207:L207,"&lt;&gt;0"),0)),MAX(0,($U69*12) - SUM('Conto Economico'!$C207:L207))))</f>
        <v>16.666666666666668</v>
      </c>
      <c r="O69" s="147">
        <f ca="1">IF(AND(TODAY()&gt;=DATE(2026,12,1),OR(TODAY()&gt;=DATE(2027,1,1),'Conto Economico'!N207&lt;&gt;0)),'Conto Economico'!N207,MIN(MAX($U69,IFERROR(AVERAGEIF('Conto Economico'!$C207:M207,"&lt;&gt;0"),0)),MAX(0,($U69*12) - SUM('Conto Economico'!$C207:M207))))</f>
        <v>16.666666666666668</v>
      </c>
      <c r="P69"/>
      <c r="Q69" s="147">
        <f ca="1">SUM(D69:O69)</f>
        <v>100.00000000000001</v>
      </c>
      <c r="R69" s="147">
        <f ca="1">Q69/12</f>
        <v>8.3333333333333339</v>
      </c>
      <c r="S69" s="147"/>
      <c r="T69" s="170">
        <f>'Budget 27'!C71</f>
        <v>200</v>
      </c>
      <c r="U69" s="170">
        <f>T69/12</f>
        <v>16.666666666666668</v>
      </c>
      <c r="W69" s="170">
        <f ca="1">Q69-T69</f>
        <v>-99.999999999999986</v>
      </c>
      <c r="X69" s="405">
        <f t="shared" ref="X69:X71" ca="1" si="36">IF(T69=0,"-",Q69/T69)</f>
        <v>0.50000000000000011</v>
      </c>
      <c r="Z69" s="234" t="str">
        <f>'Conto Economico'!A207</f>
        <v>Polizza Vita</v>
      </c>
    </row>
    <row r="70" spans="1:26" x14ac:dyDescent="0.2">
      <c r="B70" s="169" t="str">
        <f>'Conto Economico'!A208</f>
        <v>Polizza Salute</v>
      </c>
      <c r="C70" s="169"/>
      <c r="D70" s="147">
        <f ca="1">IF(AND(TODAY()&gt;=DATE(2026,1,1),OR(TODAY()&gt;=DATE(2026,2,1),'Conto Economico'!C208&lt;&gt;0)),'Conto Economico'!C208,$U70)</f>
        <v>663.75</v>
      </c>
      <c r="E70" s="147">
        <f ca="1">IF(AND(TODAY()&gt;=DATE(2026,2,1),OR(TODAY()&gt;=DATE(2026,3,1),'Conto Economico'!D208&lt;&gt;0)),'Conto Economico'!D208,MIN(MAX($U70,IFERROR(AVERAGEIF('Conto Economico'!$C208:C208,"&lt;&gt;0"),0)),MAX(0,($U70*12) - SUM('Conto Economico'!$C208:C208))))</f>
        <v>0</v>
      </c>
      <c r="F70" s="147">
        <f ca="1">IF(AND(TODAY()&gt;=DATE(2026,3,1),OR(TODAY()&gt;=DATE(2026,4,1),'Conto Economico'!E208&lt;&gt;0)),'Conto Economico'!E208,MIN(MAX($U70,IFERROR(AVERAGEIF('Conto Economico'!$C208:D208,"&lt;&gt;0"),0)),MAX(0,($U70*12) - SUM('Conto Economico'!$C208:D208))))</f>
        <v>0</v>
      </c>
      <c r="G70" s="147">
        <f ca="1">IF(AND(TODAY()&gt;=DATE(2026,4,1),OR(TODAY()&gt;=DATE(2026,5,1),'Conto Economico'!F208&lt;&gt;0)),'Conto Economico'!F208,MIN(MAX($U70,IFERROR(AVERAGEIF('Conto Economico'!$C208:E208,"&lt;&gt;0"),0)),MAX(0,($U70*12) - SUM('Conto Economico'!$C208:E208))))</f>
        <v>663.75</v>
      </c>
      <c r="H70" s="147">
        <f ca="1">IF(AND(TODAY()&gt;=DATE(2026,5,1),OR(TODAY()&gt;=DATE(2026,6,1),'Conto Economico'!G208&lt;&gt;0)),'Conto Economico'!G208,MIN(MAX($U70,IFERROR(AVERAGEIF('Conto Economico'!$C208:F208,"&lt;&gt;0"),0)),MAX(0,($U70*12) - SUM('Conto Economico'!$C208:F208))))</f>
        <v>0</v>
      </c>
      <c r="I70" s="147">
        <f ca="1">IF(AND(TODAY()&gt;=DATE(2026,6,1),OR(TODAY()&gt;=DATE(2026,7,1),'Conto Economico'!H208&lt;&gt;0)),'Conto Economico'!H208,MIN(MAX($U70,IFERROR(AVERAGEIF('Conto Economico'!$C208:G208,"&lt;&gt;0"),0)),MAX(0,($U70*12) - SUM('Conto Economico'!$C208:G208))))</f>
        <v>0</v>
      </c>
      <c r="J70" s="147">
        <f ca="1">IF(AND(TODAY()&gt;=DATE(2026,7,1),OR(TODAY()&gt;=DATE(2026,8,1),'Conto Economico'!I208&lt;&gt;0)),'Conto Economico'!I208,MIN(MAX($U70,IFERROR(AVERAGEIF('Conto Economico'!$C208:H208,"&lt;&gt;0"),0)),MAX(0,($U70*12) - SUM('Conto Economico'!$C208:H208))))</f>
        <v>663.75</v>
      </c>
      <c r="K70" s="147">
        <f ca="1">IF(AND(TODAY()&gt;=DATE(2026,8,1),OR(TODAY()&gt;=DATE(2026,9,1),'Conto Economico'!J208&lt;&gt;0)),'Conto Economico'!J208,MIN(MAX($U70,IFERROR(AVERAGEIF('Conto Economico'!$C208:I208,"&lt;&gt;0"),0)),MAX(0,($U70*12) - SUM('Conto Economico'!$C208:I208))))</f>
        <v>1058.3333333333333</v>
      </c>
      <c r="L70" s="147">
        <f ca="1">IF(AND(TODAY()&gt;=DATE(2026,9,1),OR(TODAY()&gt;=DATE(2026,10,1),'Conto Economico'!K208&lt;&gt;0)),'Conto Economico'!K208,MIN(MAX($U70,IFERROR(AVERAGEIF('Conto Economico'!$C208:J208,"&lt;&gt;0"),0)),MAX(0,($U70*12) - SUM('Conto Economico'!$C208:J208))))</f>
        <v>1058.3333333333333</v>
      </c>
      <c r="M70" s="147">
        <f ca="1">IF(AND(TODAY()&gt;=DATE(2026,10,1),OR(TODAY()&gt;=DATE(2026,11,1),'Conto Economico'!L208&lt;&gt;0)),'Conto Economico'!L208,MIN(MAX($U70,IFERROR(AVERAGEIF('Conto Economico'!$C208:K208,"&lt;&gt;0"),0)),MAX(0,($U70*12) - SUM('Conto Economico'!$C208:K208))))</f>
        <v>1058.3333333333333</v>
      </c>
      <c r="N70" s="147">
        <f ca="1">IF(AND(TODAY()&gt;=DATE(2026,11,1),OR(TODAY()&gt;=DATE(2026,12,1),'Conto Economico'!M208&lt;&gt;0)),'Conto Economico'!M208,MIN(MAX($U70,IFERROR(AVERAGEIF('Conto Economico'!$C208:L208,"&lt;&gt;0"),0)),MAX(0,($U70*12) - SUM('Conto Economico'!$C208:L208))))</f>
        <v>1058.3333333333333</v>
      </c>
      <c r="O70" s="147">
        <f ca="1">IF(AND(TODAY()&gt;=DATE(2026,12,1),OR(TODAY()&gt;=DATE(2027,1,1),'Conto Economico'!N208&lt;&gt;0)),'Conto Economico'!N208,MIN(MAX($U70,IFERROR(AVERAGEIF('Conto Economico'!$C208:M208,"&lt;&gt;0"),0)),MAX(0,($U70*12) - SUM('Conto Economico'!$C208:M208))))</f>
        <v>1058.3333333333333</v>
      </c>
      <c r="Q70" s="147">
        <f ca="1">SUM(D70:O70)</f>
        <v>7282.9166666666652</v>
      </c>
      <c r="R70" s="147">
        <f ca="1">Q70/12</f>
        <v>606.90972222222206</v>
      </c>
      <c r="T70" s="170">
        <f>'Budget 27'!C72</f>
        <v>12700</v>
      </c>
      <c r="U70" s="170">
        <f>T70/12</f>
        <v>1058.3333333333333</v>
      </c>
      <c r="W70" s="170">
        <f ca="1">Q70-T70</f>
        <v>-5417.0833333333348</v>
      </c>
      <c r="X70" s="405">
        <f t="shared" ca="1" si="36"/>
        <v>0.57345800524934376</v>
      </c>
      <c r="Z70" s="234" t="str">
        <f>'Conto Economico'!A208</f>
        <v>Polizza Salute</v>
      </c>
    </row>
    <row r="71" spans="1:26" x14ac:dyDescent="0.2">
      <c r="B71" s="169" t="str">
        <f>'Conto Economico'!A209</f>
        <v>Polizza Casa</v>
      </c>
      <c r="C71" s="169"/>
      <c r="D71" s="147">
        <f ca="1">IF(AND(TODAY()&gt;=DATE(2026,1,1),OR(TODAY()&gt;=DATE(2026,2,1),'Conto Economico'!C209&lt;&gt;0)),'Conto Economico'!C209,$U71)</f>
        <v>0</v>
      </c>
      <c r="E71" s="147">
        <f ca="1">IF(AND(TODAY()&gt;=DATE(2026,2,1),OR(TODAY()&gt;=DATE(2026,3,1),'Conto Economico'!D209&lt;&gt;0)),'Conto Economico'!D209,MIN(MAX($U71,IFERROR(AVERAGEIF('Conto Economico'!$C209:C209,"&lt;&gt;0"),0)),MAX(0,($U71*12) - SUM('Conto Economico'!$C209:C209))))</f>
        <v>0</v>
      </c>
      <c r="F71" s="147">
        <f ca="1">IF(AND(TODAY()&gt;=DATE(2026,3,1),OR(TODAY()&gt;=DATE(2026,4,1),'Conto Economico'!E209&lt;&gt;0)),'Conto Economico'!E209,MIN(MAX($U71,IFERROR(AVERAGEIF('Conto Economico'!$C209:D209,"&lt;&gt;0"),0)),MAX(0,($U71*12) - SUM('Conto Economico'!$C209:D209))))</f>
        <v>0</v>
      </c>
      <c r="G71" s="147">
        <f ca="1">IF(AND(TODAY()&gt;=DATE(2026,4,1),OR(TODAY()&gt;=DATE(2026,5,1),'Conto Economico'!F209&lt;&gt;0)),'Conto Economico'!F209,MIN(MAX($U71,IFERROR(AVERAGEIF('Conto Economico'!$C209:E209,"&lt;&gt;0"),0)),MAX(0,($U71*12) - SUM('Conto Economico'!$C209:E209))))</f>
        <v>0</v>
      </c>
      <c r="H71" s="147">
        <f ca="1">IF(AND(TODAY()&gt;=DATE(2026,5,1),OR(TODAY()&gt;=DATE(2026,6,1),'Conto Economico'!G209&lt;&gt;0)),'Conto Economico'!G209,MIN(MAX($U71,IFERROR(AVERAGEIF('Conto Economico'!$C209:F209,"&lt;&gt;0"),0)),MAX(0,($U71*12) - SUM('Conto Economico'!$C209:F209))))</f>
        <v>834.99</v>
      </c>
      <c r="I71" s="147">
        <f ca="1">IF(AND(TODAY()&gt;=DATE(2026,6,1),OR(TODAY()&gt;=DATE(2026,7,1),'Conto Economico'!H209&lt;&gt;0)),'Conto Economico'!H209,MIN(MAX($U71,IFERROR(AVERAGEIF('Conto Economico'!$C209:G209,"&lt;&gt;0"),0)),MAX(0,($U71*12) - SUM('Conto Economico'!$C209:G209))))</f>
        <v>0</v>
      </c>
      <c r="J71" s="147">
        <f ca="1">IF(AND(TODAY()&gt;=DATE(2026,7,1),OR(TODAY()&gt;=DATE(2026,8,1),'Conto Economico'!I209&lt;&gt;0)),'Conto Economico'!I209,MIN(MAX($U71,IFERROR(AVERAGEIF('Conto Economico'!$C209:H209,"&lt;&gt;0"),0)),MAX(0,($U71*12) - SUM('Conto Economico'!$C209:H209))))</f>
        <v>0</v>
      </c>
      <c r="K71" s="147">
        <f ca="1">IF(AND(TODAY()&gt;=DATE(2026,8,1),OR(TODAY()&gt;=DATE(2026,9,1),'Conto Economico'!J209&lt;&gt;0)),'Conto Economico'!J209,MIN(MAX($U71,IFERROR(AVERAGEIF('Conto Economico'!$C209:I209,"&lt;&gt;0"),0)),MAX(0,($U71*12) - SUM('Conto Economico'!$C209:I209))))</f>
        <v>0</v>
      </c>
      <c r="L71" s="147">
        <f ca="1">IF(AND(TODAY()&gt;=DATE(2026,9,1),OR(TODAY()&gt;=DATE(2026,10,1),'Conto Economico'!K209&lt;&gt;0)),'Conto Economico'!K209,MIN(MAX($U71,IFERROR(AVERAGEIF('Conto Economico'!$C209:J209,"&lt;&gt;0"),0)),MAX(0,($U71*12) - SUM('Conto Economico'!$C209:J209))))</f>
        <v>0</v>
      </c>
      <c r="M71" s="147">
        <f ca="1">IF(AND(TODAY()&gt;=DATE(2026,10,1),OR(TODAY()&gt;=DATE(2026,11,1),'Conto Economico'!L209&lt;&gt;0)),'Conto Economico'!L209,MIN(MAX($U71,IFERROR(AVERAGEIF('Conto Economico'!$C209:K209,"&lt;&gt;0"),0)),MAX(0,($U71*12) - SUM('Conto Economico'!$C209:K209))))</f>
        <v>0</v>
      </c>
      <c r="N71" s="147">
        <f ca="1">IF(AND(TODAY()&gt;=DATE(2026,11,1),OR(TODAY()&gt;=DATE(2026,12,1),'Conto Economico'!M209&lt;&gt;0)),'Conto Economico'!M209,MIN(MAX($U71,IFERROR(AVERAGEIF('Conto Economico'!$C209:L209,"&lt;&gt;0"),0)),MAX(0,($U71*12) - SUM('Conto Economico'!$C209:L209))))</f>
        <v>0</v>
      </c>
      <c r="O71" s="147">
        <f ca="1">IF(AND(TODAY()&gt;=DATE(2026,12,1),OR(TODAY()&gt;=DATE(2027,1,1),'Conto Economico'!N209&lt;&gt;0)),'Conto Economico'!N209,MIN(MAX($U71,IFERROR(AVERAGEIF('Conto Economico'!$C209:M209,"&lt;&gt;0"),0)),MAX(0,($U71*12) - SUM('Conto Economico'!$C209:M209))))</f>
        <v>0</v>
      </c>
      <c r="Q71" s="147">
        <f ca="1">SUM(D71:O71)</f>
        <v>834.99</v>
      </c>
      <c r="R71" s="147">
        <f ca="1">Q71/12</f>
        <v>69.582499999999996</v>
      </c>
      <c r="T71" s="170">
        <f>'Budget 27'!C73</f>
        <v>750</v>
      </c>
      <c r="U71" s="170">
        <f>T71/12</f>
        <v>62.5</v>
      </c>
      <c r="W71" s="170">
        <f ca="1">Q71-T71</f>
        <v>84.990000000000009</v>
      </c>
      <c r="X71" s="405">
        <f t="shared" ca="1" si="36"/>
        <v>1.1133200000000001</v>
      </c>
      <c r="Z71" s="234" t="str">
        <f>'Conto Economico'!A209</f>
        <v>Polizza Casa</v>
      </c>
    </row>
    <row r="72" spans="1:26" x14ac:dyDescent="0.2">
      <c r="A72" s="157"/>
      <c r="B72" s="165"/>
      <c r="C72" s="203"/>
      <c r="D72" s="166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Q72" s="164"/>
      <c r="R72" s="164"/>
      <c r="S72" s="157"/>
      <c r="T72" s="164"/>
      <c r="U72" s="164"/>
      <c r="V72" s="157"/>
      <c r="W72" s="164"/>
      <c r="X72" s="320"/>
      <c r="Z72" s="235"/>
    </row>
    <row r="73" spans="1:26" x14ac:dyDescent="0.2">
      <c r="B73" s="167" t="str">
        <f>'Conto Economico'!A211</f>
        <v>Attività sportive</v>
      </c>
      <c r="C73" s="167"/>
      <c r="D73" s="149">
        <f t="shared" ref="D73:O73" ca="1" si="37">SUM(D74:D78)</f>
        <v>318.7</v>
      </c>
      <c r="E73" s="149">
        <f t="shared" ca="1" si="37"/>
        <v>126.9</v>
      </c>
      <c r="F73" s="149">
        <f t="shared" ca="1" si="37"/>
        <v>157.20000000000002</v>
      </c>
      <c r="G73" s="149">
        <f t="shared" ca="1" si="37"/>
        <v>416.5</v>
      </c>
      <c r="H73" s="149">
        <f t="shared" ca="1" si="37"/>
        <v>7.9</v>
      </c>
      <c r="I73" s="149">
        <f t="shared" ca="1" si="37"/>
        <v>171.20000000000002</v>
      </c>
      <c r="J73" s="149">
        <f t="shared" ca="1" si="37"/>
        <v>133</v>
      </c>
      <c r="K73" s="149">
        <f t="shared" ca="1" si="37"/>
        <v>232.5</v>
      </c>
      <c r="L73" s="149">
        <f t="shared" ca="1" si="37"/>
        <v>232.5</v>
      </c>
      <c r="M73" s="149">
        <f t="shared" ca="1" si="37"/>
        <v>232.5</v>
      </c>
      <c r="N73" s="149">
        <f t="shared" ca="1" si="37"/>
        <v>232.5</v>
      </c>
      <c r="O73" s="149">
        <f t="shared" ca="1" si="37"/>
        <v>232.5</v>
      </c>
      <c r="Q73" s="149">
        <f ca="1">SUM(Q74:Q78)</f>
        <v>2493.9</v>
      </c>
      <c r="R73" s="149">
        <f ca="1">SUM(R74:R78)</f>
        <v>207.82500000000002</v>
      </c>
      <c r="T73" s="149">
        <f>SUM(T74:T78)</f>
        <v>1800</v>
      </c>
      <c r="U73" s="149">
        <f>SUM(U74:U78)</f>
        <v>150</v>
      </c>
      <c r="W73" s="168">
        <f ca="1">Q73-T73</f>
        <v>693.90000000000009</v>
      </c>
      <c r="X73" s="319">
        <f ca="1">IF(T73=0,"-",Q73/T73)</f>
        <v>1.3855</v>
      </c>
      <c r="Z73" s="233" t="str">
        <f>'Conto Economico'!A211</f>
        <v>Attività sportive</v>
      </c>
    </row>
    <row r="74" spans="1:26" x14ac:dyDescent="0.2">
      <c r="B74" s="169" t="str">
        <f>'Conto Economico'!A212</f>
        <v>Nautica</v>
      </c>
      <c r="C74" s="169"/>
      <c r="D74" s="147">
        <f ca="1">IF(AND(TODAY()&gt;=DATE(2026,1,1),OR(TODAY()&gt;=DATE(2026,2,1),'Conto Economico'!C212&lt;&gt;0)),'Conto Economico'!C212,$U74)</f>
        <v>0</v>
      </c>
      <c r="E74" s="147">
        <f ca="1">IF(AND(TODAY()&gt;=DATE(2026,2,1),OR(TODAY()&gt;=DATE(2026,3,1),'Conto Economico'!D212&lt;&gt;0)),'Conto Economico'!D212,MIN(MAX($U74,IFERROR(AVERAGEIF('Conto Economico'!$C212:C212,"&lt;&gt;0"),0)),MAX(0,($U74*12) - SUM('Conto Economico'!$C212:C212))))</f>
        <v>0</v>
      </c>
      <c r="F74" s="147">
        <f ca="1">IF(AND(TODAY()&gt;=DATE(2026,3,1),OR(TODAY()&gt;=DATE(2026,4,1),'Conto Economico'!E212&lt;&gt;0)),'Conto Economico'!E212,MIN(MAX($U74,IFERROR(AVERAGEIF('Conto Economico'!$C212:D212,"&lt;&gt;0"),0)),MAX(0,($U74*12) - SUM('Conto Economico'!$C212:D212))))</f>
        <v>0</v>
      </c>
      <c r="G74" s="147">
        <f ca="1">IF(AND(TODAY()&gt;=DATE(2026,4,1),OR(TODAY()&gt;=DATE(2026,5,1),'Conto Economico'!F212&lt;&gt;0)),'Conto Economico'!F212,MIN(MAX($U74,IFERROR(AVERAGEIF('Conto Economico'!$C212:E212,"&lt;&gt;0"),0)),MAX(0,($U74*12) - SUM('Conto Economico'!$C212:E212))))</f>
        <v>0</v>
      </c>
      <c r="H74" s="147">
        <f ca="1">IF(AND(TODAY()&gt;=DATE(2026,5,1),OR(TODAY()&gt;=DATE(2026,6,1),'Conto Economico'!G212&lt;&gt;0)),'Conto Economico'!G212,MIN(MAX($U74,IFERROR(AVERAGEIF('Conto Economico'!$C212:F212,"&lt;&gt;0"),0)),MAX(0,($U74*12) - SUM('Conto Economico'!$C212:F212))))</f>
        <v>0</v>
      </c>
      <c r="I74" s="147">
        <f ca="1">IF(AND(TODAY()&gt;=DATE(2026,6,1),OR(TODAY()&gt;=DATE(2026,7,1),'Conto Economico'!H212&lt;&gt;0)),'Conto Economico'!H212,MIN(MAX($U74,IFERROR(AVERAGEIF('Conto Economico'!$C212:G212,"&lt;&gt;0"),0)),MAX(0,($U74*12) - SUM('Conto Economico'!$C212:G212))))</f>
        <v>0</v>
      </c>
      <c r="J74" s="147">
        <f ca="1">IF(AND(TODAY()&gt;=DATE(2026,7,1),OR(TODAY()&gt;=DATE(2026,8,1),'Conto Economico'!I212&lt;&gt;0)),'Conto Economico'!I212,MIN(MAX($U74,IFERROR(AVERAGEIF('Conto Economico'!$C212:H212,"&lt;&gt;0"),0)),MAX(0,($U74*12) - SUM('Conto Economico'!$C212:H212))))</f>
        <v>0</v>
      </c>
      <c r="K74" s="147">
        <f ca="1">IF(AND(TODAY()&gt;=DATE(2026,8,1),OR(TODAY()&gt;=DATE(2026,9,1),'Conto Economico'!J212&lt;&gt;0)),'Conto Economico'!J212,MIN(MAX($U74,IFERROR(AVERAGEIF('Conto Economico'!$C212:I212,"&lt;&gt;0"),0)),MAX(0,($U74*12) - SUM('Conto Economico'!$C212:I212))))</f>
        <v>0</v>
      </c>
      <c r="L74" s="147">
        <f ca="1">IF(AND(TODAY()&gt;=DATE(2026,9,1),OR(TODAY()&gt;=DATE(2026,10,1),'Conto Economico'!K212&lt;&gt;0)),'Conto Economico'!K212,MIN(MAX($U74,IFERROR(AVERAGEIF('Conto Economico'!$C212:J212,"&lt;&gt;0"),0)),MAX(0,($U74*12) - SUM('Conto Economico'!$C212:J212))))</f>
        <v>0</v>
      </c>
      <c r="M74" s="147">
        <f ca="1">IF(AND(TODAY()&gt;=DATE(2026,10,1),OR(TODAY()&gt;=DATE(2026,11,1),'Conto Economico'!L212&lt;&gt;0)),'Conto Economico'!L212,MIN(MAX($U74,IFERROR(AVERAGEIF('Conto Economico'!$C212:K212,"&lt;&gt;0"),0)),MAX(0,($U74*12) - SUM('Conto Economico'!$C212:K212))))</f>
        <v>0</v>
      </c>
      <c r="N74" s="147">
        <f ca="1">IF(AND(TODAY()&gt;=DATE(2026,11,1),OR(TODAY()&gt;=DATE(2026,12,1),'Conto Economico'!M212&lt;&gt;0)),'Conto Economico'!M212,MIN(MAX($U74,IFERROR(AVERAGEIF('Conto Economico'!$C212:L212,"&lt;&gt;0"),0)),MAX(0,($U74*12) - SUM('Conto Economico'!$C212:L212))))</f>
        <v>0</v>
      </c>
      <c r="O74" s="147">
        <f ca="1">IF(AND(TODAY()&gt;=DATE(2026,12,1),OR(TODAY()&gt;=DATE(2027,1,1),'Conto Economico'!N212&lt;&gt;0)),'Conto Economico'!N212,MIN(MAX($U74,IFERROR(AVERAGEIF('Conto Economico'!$C212:M212,"&lt;&gt;0"),0)),MAX(0,($U74*12) - SUM('Conto Economico'!$C212:M212))))</f>
        <v>0</v>
      </c>
      <c r="Q74" s="147">
        <f t="shared" ref="Q74:Q78" ca="1" si="38">SUM(D74:O74)</f>
        <v>0</v>
      </c>
      <c r="R74" s="147">
        <f t="shared" ref="R74:R78" ca="1" si="39">Q74/12</f>
        <v>0</v>
      </c>
      <c r="T74" s="170">
        <f>'Budget 27'!C76</f>
        <v>0</v>
      </c>
      <c r="U74" s="170">
        <f t="shared" ref="U74:U78" si="40">T74/12</f>
        <v>0</v>
      </c>
      <c r="W74" s="170">
        <f t="shared" ref="W74:W78" ca="1" si="41">Q74-T74</f>
        <v>0</v>
      </c>
      <c r="X74" s="405" t="str">
        <f t="shared" ref="X74:X78" si="42">IF(T74=0,"-",Q74/T74)</f>
        <v>-</v>
      </c>
      <c r="Z74" s="234" t="str">
        <f>'Conto Economico'!A212</f>
        <v>Nautica</v>
      </c>
    </row>
    <row r="75" spans="1:26" x14ac:dyDescent="0.2">
      <c r="B75" s="169" t="str">
        <f>'Conto Economico'!A213</f>
        <v>Fitness</v>
      </c>
      <c r="C75" s="169"/>
      <c r="D75" s="147">
        <f ca="1">IF(AND(TODAY()&gt;=DATE(2026,1,1),OR(TODAY()&gt;=DATE(2026,2,1),'Conto Economico'!C213&lt;&gt;0)),'Conto Economico'!C213,$U75)</f>
        <v>310.8</v>
      </c>
      <c r="E75" s="147">
        <f ca="1">IF(AND(TODAY()&gt;=DATE(2026,2,1),OR(TODAY()&gt;=DATE(2026,3,1),'Conto Economico'!D213&lt;&gt;0)),'Conto Economico'!D213,MIN(MAX($U75,IFERROR(AVERAGEIF('Conto Economico'!$C213:C213,"&lt;&gt;0"),0)),MAX(0,($U75*12) - SUM('Conto Economico'!$C213:C213))))</f>
        <v>119</v>
      </c>
      <c r="F75" s="147">
        <f ca="1">IF(AND(TODAY()&gt;=DATE(2026,3,1),OR(TODAY()&gt;=DATE(2026,4,1),'Conto Economico'!E213&lt;&gt;0)),'Conto Economico'!E213,MIN(MAX($U75,IFERROR(AVERAGEIF('Conto Economico'!$C213:D213,"&lt;&gt;0"),0)),MAX(0,($U75*12) - SUM('Conto Economico'!$C213:D213))))</f>
        <v>149.30000000000001</v>
      </c>
      <c r="G75" s="147">
        <f ca="1">IF(AND(TODAY()&gt;=DATE(2026,4,1),OR(TODAY()&gt;=DATE(2026,5,1),'Conto Economico'!F213&lt;&gt;0)),'Conto Economico'!F213,MIN(MAX($U75,IFERROR(AVERAGEIF('Conto Economico'!$C213:E213,"&lt;&gt;0"),0)),MAX(0,($U75*12) - SUM('Conto Economico'!$C213:E213))))</f>
        <v>408.6</v>
      </c>
      <c r="H75" s="147">
        <f ca="1">IF(AND(TODAY()&gt;=DATE(2026,5,1),OR(TODAY()&gt;=DATE(2026,6,1),'Conto Economico'!G213&lt;&gt;0)),'Conto Economico'!G213,MIN(MAX($U75,IFERROR(AVERAGEIF('Conto Economico'!$C213:F213,"&lt;&gt;0"),0)),MAX(0,($U75*12) - SUM('Conto Economico'!$C213:F213))))</f>
        <v>0</v>
      </c>
      <c r="I75" s="147">
        <f ca="1">IF(AND(TODAY()&gt;=DATE(2026,6,1),OR(TODAY()&gt;=DATE(2026,7,1),'Conto Economico'!H213&lt;&gt;0)),'Conto Economico'!H213,MIN(MAX($U75,IFERROR(AVERAGEIF('Conto Economico'!$C213:G213,"&lt;&gt;0"),0)),MAX(0,($U75*12) - SUM('Conto Economico'!$C213:G213))))</f>
        <v>149.30000000000001</v>
      </c>
      <c r="J75" s="147">
        <f ca="1">IF(AND(TODAY()&gt;=DATE(2026,7,1),OR(TODAY()&gt;=DATE(2026,8,1),'Conto Economico'!I213&lt;&gt;0)),'Conto Economico'!I213,MIN(MAX($U75,IFERROR(AVERAGEIF('Conto Economico'!$C213:H213,"&lt;&gt;0"),0)),MAX(0,($U75*12) - SUM('Conto Economico'!$C213:H213))))</f>
        <v>108</v>
      </c>
      <c r="K75" s="147">
        <f ca="1">IF(AND(TODAY()&gt;=DATE(2026,8,1),OR(TODAY()&gt;=DATE(2026,9,1),'Conto Economico'!J213&lt;&gt;0)),'Conto Economico'!J213,MIN(MAX($U75,IFERROR(AVERAGEIF('Conto Economico'!$C213:I213,"&lt;&gt;0"),0)),MAX(0,($U75*12) - SUM('Conto Economico'!$C213:I213))))</f>
        <v>207.5</v>
      </c>
      <c r="L75" s="147">
        <f ca="1">IF(AND(TODAY()&gt;=DATE(2026,9,1),OR(TODAY()&gt;=DATE(2026,10,1),'Conto Economico'!K213&lt;&gt;0)),'Conto Economico'!K213,MIN(MAX($U75,IFERROR(AVERAGEIF('Conto Economico'!$C213:J213,"&lt;&gt;0"),0)),MAX(0,($U75*12) - SUM('Conto Economico'!$C213:J213))))</f>
        <v>207.5</v>
      </c>
      <c r="M75" s="147">
        <f ca="1">IF(AND(TODAY()&gt;=DATE(2026,10,1),OR(TODAY()&gt;=DATE(2026,11,1),'Conto Economico'!L213&lt;&gt;0)),'Conto Economico'!L213,MIN(MAX($U75,IFERROR(AVERAGEIF('Conto Economico'!$C213:K213,"&lt;&gt;0"),0)),MAX(0,($U75*12) - SUM('Conto Economico'!$C213:K213))))</f>
        <v>207.5</v>
      </c>
      <c r="N75" s="147">
        <f ca="1">IF(AND(TODAY()&gt;=DATE(2026,11,1),OR(TODAY()&gt;=DATE(2026,12,1),'Conto Economico'!M213&lt;&gt;0)),'Conto Economico'!M213,MIN(MAX($U75,IFERROR(AVERAGEIF('Conto Economico'!$C213:L213,"&lt;&gt;0"),0)),MAX(0,($U75*12) - SUM('Conto Economico'!$C213:L213))))</f>
        <v>207.5</v>
      </c>
      <c r="O75" s="147">
        <f ca="1">IF(AND(TODAY()&gt;=DATE(2026,12,1),OR(TODAY()&gt;=DATE(2027,1,1),'Conto Economico'!N213&lt;&gt;0)),'Conto Economico'!N213,MIN(MAX($U75,IFERROR(AVERAGEIF('Conto Economico'!$C213:M213,"&lt;&gt;0"),0)),MAX(0,($U75*12) - SUM('Conto Economico'!$C213:M213))))</f>
        <v>207.5</v>
      </c>
      <c r="Q75" s="147">
        <f t="shared" ca="1" si="38"/>
        <v>2282.5</v>
      </c>
      <c r="R75" s="147">
        <f t="shared" ca="1" si="39"/>
        <v>190.20833333333334</v>
      </c>
      <c r="T75" s="170">
        <f>'Budget 27'!C77</f>
        <v>1500</v>
      </c>
      <c r="U75" s="170">
        <f t="shared" si="40"/>
        <v>125</v>
      </c>
      <c r="W75" s="170">
        <f t="shared" ca="1" si="41"/>
        <v>782.5</v>
      </c>
      <c r="X75" s="405">
        <f t="shared" ca="1" si="42"/>
        <v>1.5216666666666667</v>
      </c>
      <c r="Z75" s="234" t="str">
        <f>'Conto Economico'!A213</f>
        <v>Fitness</v>
      </c>
    </row>
    <row r="76" spans="1:26" x14ac:dyDescent="0.2">
      <c r="B76" s="169" t="str">
        <f>'Conto Economico'!A214</f>
        <v>Lingue Straniere</v>
      </c>
      <c r="C76" s="169"/>
      <c r="D76" s="147">
        <f ca="1">IF(AND(TODAY()&gt;=DATE(2026,1,1),OR(TODAY()&gt;=DATE(2026,2,1),'Conto Economico'!C214&lt;&gt;0)),'Conto Economico'!C214,$U76)</f>
        <v>7.9</v>
      </c>
      <c r="E76" s="147">
        <f ca="1">IF(AND(TODAY()&gt;=DATE(2026,2,1),OR(TODAY()&gt;=DATE(2026,3,1),'Conto Economico'!D214&lt;&gt;0)),'Conto Economico'!D214,MIN(MAX($U76,IFERROR(AVERAGEIF('Conto Economico'!$C214:C214,"&lt;&gt;0"),0)),MAX(0,($U76*12) - SUM('Conto Economico'!$C214:C214))))</f>
        <v>7.9</v>
      </c>
      <c r="F76" s="147">
        <f ca="1">IF(AND(TODAY()&gt;=DATE(2026,3,1),OR(TODAY()&gt;=DATE(2026,4,1),'Conto Economico'!E214&lt;&gt;0)),'Conto Economico'!E214,MIN(MAX($U76,IFERROR(AVERAGEIF('Conto Economico'!$C214:D214,"&lt;&gt;0"),0)),MAX(0,($U76*12) - SUM('Conto Economico'!$C214:D214))))</f>
        <v>7.9</v>
      </c>
      <c r="G76" s="147">
        <f ca="1">IF(AND(TODAY()&gt;=DATE(2026,4,1),OR(TODAY()&gt;=DATE(2026,5,1),'Conto Economico'!F214&lt;&gt;0)),'Conto Economico'!F214,MIN(MAX($U76,IFERROR(AVERAGEIF('Conto Economico'!$C214:E214,"&lt;&gt;0"),0)),MAX(0,($U76*12) - SUM('Conto Economico'!$C214:E214))))</f>
        <v>7.9</v>
      </c>
      <c r="H76" s="147">
        <f ca="1">IF(AND(TODAY()&gt;=DATE(2026,5,1),OR(TODAY()&gt;=DATE(2026,6,1),'Conto Economico'!G214&lt;&gt;0)),'Conto Economico'!G214,MIN(MAX($U76,IFERROR(AVERAGEIF('Conto Economico'!$C214:F214,"&lt;&gt;0"),0)),MAX(0,($U76*12) - SUM('Conto Economico'!$C214:F214))))</f>
        <v>7.9</v>
      </c>
      <c r="I76" s="147">
        <f ca="1">IF(AND(TODAY()&gt;=DATE(2026,6,1),OR(TODAY()&gt;=DATE(2026,7,1),'Conto Economico'!H214&lt;&gt;0)),'Conto Economico'!H214,MIN(MAX($U76,IFERROR(AVERAGEIF('Conto Economico'!$C214:G214,"&lt;&gt;0"),0)),MAX(0,($U76*12) - SUM('Conto Economico'!$C214:G214))))</f>
        <v>7.9</v>
      </c>
      <c r="J76" s="147">
        <f ca="1">IF(AND(TODAY()&gt;=DATE(2026,7,1),OR(TODAY()&gt;=DATE(2026,8,1),'Conto Economico'!I214&lt;&gt;0)),'Conto Economico'!I214,MIN(MAX($U76,IFERROR(AVERAGEIF('Conto Economico'!$C214:H214,"&lt;&gt;0"),0)),MAX(0,($U76*12) - SUM('Conto Economico'!$C214:H214))))</f>
        <v>8.3333333333333339</v>
      </c>
      <c r="K76" s="147">
        <f ca="1">IF(AND(TODAY()&gt;=DATE(2026,8,1),OR(TODAY()&gt;=DATE(2026,9,1),'Conto Economico'!J214&lt;&gt;0)),'Conto Economico'!J214,MIN(MAX($U76,IFERROR(AVERAGEIF('Conto Economico'!$C214:I214,"&lt;&gt;0"),0)),MAX(0,($U76*12) - SUM('Conto Economico'!$C214:I214))))</f>
        <v>8.3333333333333339</v>
      </c>
      <c r="L76" s="147">
        <f ca="1">IF(AND(TODAY()&gt;=DATE(2026,9,1),OR(TODAY()&gt;=DATE(2026,10,1),'Conto Economico'!K214&lt;&gt;0)),'Conto Economico'!K214,MIN(MAX($U76,IFERROR(AVERAGEIF('Conto Economico'!$C214:J214,"&lt;&gt;0"),0)),MAX(0,($U76*12) - SUM('Conto Economico'!$C214:J214))))</f>
        <v>8.3333333333333339</v>
      </c>
      <c r="M76" s="147">
        <f ca="1">IF(AND(TODAY()&gt;=DATE(2026,10,1),OR(TODAY()&gt;=DATE(2026,11,1),'Conto Economico'!L214&lt;&gt;0)),'Conto Economico'!L214,MIN(MAX($U76,IFERROR(AVERAGEIF('Conto Economico'!$C214:K214,"&lt;&gt;0"),0)),MAX(0,($U76*12) - SUM('Conto Economico'!$C214:K214))))</f>
        <v>8.3333333333333339</v>
      </c>
      <c r="N76" s="147">
        <f ca="1">IF(AND(TODAY()&gt;=DATE(2026,11,1),OR(TODAY()&gt;=DATE(2026,12,1),'Conto Economico'!M214&lt;&gt;0)),'Conto Economico'!M214,MIN(MAX($U76,IFERROR(AVERAGEIF('Conto Economico'!$C214:L214,"&lt;&gt;0"),0)),MAX(0,($U76*12) - SUM('Conto Economico'!$C214:L214))))</f>
        <v>8.3333333333333339</v>
      </c>
      <c r="O76" s="147">
        <f ca="1">IF(AND(TODAY()&gt;=DATE(2026,12,1),OR(TODAY()&gt;=DATE(2027,1,1),'Conto Economico'!N214&lt;&gt;0)),'Conto Economico'!N214,MIN(MAX($U76,IFERROR(AVERAGEIF('Conto Economico'!$C214:M214,"&lt;&gt;0"),0)),MAX(0,($U76*12) - SUM('Conto Economico'!$C214:M214))))</f>
        <v>8.3333333333333339</v>
      </c>
      <c r="Q76" s="147">
        <f t="shared" ca="1" si="38"/>
        <v>97.399999999999977</v>
      </c>
      <c r="R76" s="147">
        <f t="shared" ca="1" si="39"/>
        <v>8.1166666666666654</v>
      </c>
      <c r="T76" s="170">
        <f>'Budget 27'!C78</f>
        <v>100</v>
      </c>
      <c r="U76" s="170">
        <f t="shared" si="40"/>
        <v>8.3333333333333339</v>
      </c>
      <c r="W76" s="170">
        <f t="shared" ca="1" si="41"/>
        <v>-2.6000000000000227</v>
      </c>
      <c r="X76" s="405">
        <f t="shared" ca="1" si="42"/>
        <v>0.97399999999999975</v>
      </c>
      <c r="Z76" s="234" t="str">
        <f>'Conto Economico'!A214</f>
        <v>Lingue Straniere</v>
      </c>
    </row>
    <row r="77" spans="1:26" x14ac:dyDescent="0.2">
      <c r="B77" s="169" t="str">
        <f>'Conto Economico'!A215</f>
        <v>Altri Corsi</v>
      </c>
      <c r="C77" s="169"/>
      <c r="D77" s="147">
        <f ca="1">IF(AND(TODAY()&gt;=DATE(2026,1,1),OR(TODAY()&gt;=DATE(2026,2,1),'Conto Economico'!C215&lt;&gt;0)),'Conto Economico'!C215,$U77)</f>
        <v>0</v>
      </c>
      <c r="E77" s="147">
        <f ca="1">IF(AND(TODAY()&gt;=DATE(2026,2,1),OR(TODAY()&gt;=DATE(2026,3,1),'Conto Economico'!D215&lt;&gt;0)),'Conto Economico'!D215,MIN(MAX($U77,IFERROR(AVERAGEIF('Conto Economico'!$C215:C215,"&lt;&gt;0"),0)),MAX(0,($U77*12) - SUM('Conto Economico'!$C215:C215))))</f>
        <v>0</v>
      </c>
      <c r="F77" s="147">
        <f ca="1">IF(AND(TODAY()&gt;=DATE(2026,3,1),OR(TODAY()&gt;=DATE(2026,4,1),'Conto Economico'!E215&lt;&gt;0)),'Conto Economico'!E215,MIN(MAX($U77,IFERROR(AVERAGEIF('Conto Economico'!$C215:D215,"&lt;&gt;0"),0)),MAX(0,($U77*12) - SUM('Conto Economico'!$C215:D215))))</f>
        <v>0</v>
      </c>
      <c r="G77" s="147">
        <f ca="1">IF(AND(TODAY()&gt;=DATE(2026,4,1),OR(TODAY()&gt;=DATE(2026,5,1),'Conto Economico'!F215&lt;&gt;0)),'Conto Economico'!F215,MIN(MAX($U77,IFERROR(AVERAGEIF('Conto Economico'!$C215:E215,"&lt;&gt;0"),0)),MAX(0,($U77*12) - SUM('Conto Economico'!$C215:E215))))</f>
        <v>0</v>
      </c>
      <c r="H77" s="147">
        <f ca="1">IF(AND(TODAY()&gt;=DATE(2026,5,1),OR(TODAY()&gt;=DATE(2026,6,1),'Conto Economico'!G215&lt;&gt;0)),'Conto Economico'!G215,MIN(MAX($U77,IFERROR(AVERAGEIF('Conto Economico'!$C215:F215,"&lt;&gt;0"),0)),MAX(0,($U77*12) - SUM('Conto Economico'!$C215:F215))))</f>
        <v>0</v>
      </c>
      <c r="I77" s="147">
        <f ca="1">IF(AND(TODAY()&gt;=DATE(2026,6,1),OR(TODAY()&gt;=DATE(2026,7,1),'Conto Economico'!H215&lt;&gt;0)),'Conto Economico'!H215,MIN(MAX($U77,IFERROR(AVERAGEIF('Conto Economico'!$C215:G215,"&lt;&gt;0"),0)),MAX(0,($U77*12) - SUM('Conto Economico'!$C215:G215))))</f>
        <v>0</v>
      </c>
      <c r="J77" s="147">
        <f ca="1">IF(AND(TODAY()&gt;=DATE(2026,7,1),OR(TODAY()&gt;=DATE(2026,8,1),'Conto Economico'!I215&lt;&gt;0)),'Conto Economico'!I215,MIN(MAX($U77,IFERROR(AVERAGEIF('Conto Economico'!$C215:H215,"&lt;&gt;0"),0)),MAX(0,($U77*12) - SUM('Conto Economico'!$C215:H215))))</f>
        <v>0</v>
      </c>
      <c r="K77" s="147">
        <f ca="1">IF(AND(TODAY()&gt;=DATE(2026,8,1),OR(TODAY()&gt;=DATE(2026,9,1),'Conto Economico'!J215&lt;&gt;0)),'Conto Economico'!J215,MIN(MAX($U77,IFERROR(AVERAGEIF('Conto Economico'!$C215:I215,"&lt;&gt;0"),0)),MAX(0,($U77*12) - SUM('Conto Economico'!$C215:I215))))</f>
        <v>0</v>
      </c>
      <c r="L77" s="147">
        <f ca="1">IF(AND(TODAY()&gt;=DATE(2026,9,1),OR(TODAY()&gt;=DATE(2026,10,1),'Conto Economico'!K215&lt;&gt;0)),'Conto Economico'!K215,MIN(MAX($U77,IFERROR(AVERAGEIF('Conto Economico'!$C215:J215,"&lt;&gt;0"),0)),MAX(0,($U77*12) - SUM('Conto Economico'!$C215:J215))))</f>
        <v>0</v>
      </c>
      <c r="M77" s="147">
        <f ca="1">IF(AND(TODAY()&gt;=DATE(2026,10,1),OR(TODAY()&gt;=DATE(2026,11,1),'Conto Economico'!L215&lt;&gt;0)),'Conto Economico'!L215,MIN(MAX($U77,IFERROR(AVERAGEIF('Conto Economico'!$C215:K215,"&lt;&gt;0"),0)),MAX(0,($U77*12) - SUM('Conto Economico'!$C215:K215))))</f>
        <v>0</v>
      </c>
      <c r="N77" s="147">
        <f ca="1">IF(AND(TODAY()&gt;=DATE(2026,11,1),OR(TODAY()&gt;=DATE(2026,12,1),'Conto Economico'!M215&lt;&gt;0)),'Conto Economico'!M215,MIN(MAX($U77,IFERROR(AVERAGEIF('Conto Economico'!$C215:L215,"&lt;&gt;0"),0)),MAX(0,($U77*12) - SUM('Conto Economico'!$C215:L215))))</f>
        <v>0</v>
      </c>
      <c r="O77" s="147">
        <f ca="1">IF(AND(TODAY()&gt;=DATE(2026,12,1),OR(TODAY()&gt;=DATE(2027,1,1),'Conto Economico'!N215&lt;&gt;0)),'Conto Economico'!N215,MIN(MAX($U77,IFERROR(AVERAGEIF('Conto Economico'!$C215:M215,"&lt;&gt;0"),0)),MAX(0,($U77*12) - SUM('Conto Economico'!$C215:M215))))</f>
        <v>0</v>
      </c>
      <c r="Q77" s="147">
        <f t="shared" ca="1" si="38"/>
        <v>0</v>
      </c>
      <c r="R77" s="147">
        <f t="shared" ca="1" si="39"/>
        <v>0</v>
      </c>
      <c r="T77" s="170">
        <f>'Budget 27'!C79</f>
        <v>0</v>
      </c>
      <c r="U77" s="170">
        <f t="shared" si="40"/>
        <v>0</v>
      </c>
      <c r="W77" s="170">
        <f t="shared" ca="1" si="41"/>
        <v>0</v>
      </c>
      <c r="X77" s="405" t="str">
        <f t="shared" si="42"/>
        <v>-</v>
      </c>
      <c r="Z77" s="234" t="str">
        <f>'Conto Economico'!A215</f>
        <v>Altri Corsi</v>
      </c>
    </row>
    <row r="78" spans="1:26" x14ac:dyDescent="0.2">
      <c r="B78" s="169" t="str">
        <f>'Conto Economico'!A216</f>
        <v>Attività Spot</v>
      </c>
      <c r="C78" s="169"/>
      <c r="D78" s="147">
        <f ca="1">IF(AND(TODAY()&gt;=DATE(2026,1,1),OR(TODAY()&gt;=DATE(2026,2,1),'Conto Economico'!C216&lt;&gt;0)),'Conto Economico'!C216,$U78)</f>
        <v>0</v>
      </c>
      <c r="E78" s="147">
        <f ca="1">IF(AND(TODAY()&gt;=DATE(2026,2,1),OR(TODAY()&gt;=DATE(2026,3,1),'Conto Economico'!D216&lt;&gt;0)),'Conto Economico'!D216,MIN(MAX($U78,IFERROR(AVERAGEIF('Conto Economico'!$C216:C216,"&lt;&gt;0"),0)),MAX(0,($U78*12) - SUM('Conto Economico'!$C216:C216))))</f>
        <v>0</v>
      </c>
      <c r="F78" s="147">
        <f ca="1">IF(AND(TODAY()&gt;=DATE(2026,3,1),OR(TODAY()&gt;=DATE(2026,4,1),'Conto Economico'!E216&lt;&gt;0)),'Conto Economico'!E216,MIN(MAX($U78,IFERROR(AVERAGEIF('Conto Economico'!$C216:D216,"&lt;&gt;0"),0)),MAX(0,($U78*12) - SUM('Conto Economico'!$C216:D216))))</f>
        <v>0</v>
      </c>
      <c r="G78" s="147">
        <f ca="1">IF(AND(TODAY()&gt;=DATE(2026,4,1),OR(TODAY()&gt;=DATE(2026,5,1),'Conto Economico'!F216&lt;&gt;0)),'Conto Economico'!F216,MIN(MAX($U78,IFERROR(AVERAGEIF('Conto Economico'!$C216:E216,"&lt;&gt;0"),0)),MAX(0,($U78*12) - SUM('Conto Economico'!$C216:E216))))</f>
        <v>0</v>
      </c>
      <c r="H78" s="147">
        <f ca="1">IF(AND(TODAY()&gt;=DATE(2026,5,1),OR(TODAY()&gt;=DATE(2026,6,1),'Conto Economico'!G216&lt;&gt;0)),'Conto Economico'!G216,MIN(MAX($U78,IFERROR(AVERAGEIF('Conto Economico'!$C216:F216,"&lt;&gt;0"),0)),MAX(0,($U78*12) - SUM('Conto Economico'!$C216:F216))))</f>
        <v>0</v>
      </c>
      <c r="I78" s="147">
        <f ca="1">IF(AND(TODAY()&gt;=DATE(2026,6,1),OR(TODAY()&gt;=DATE(2026,7,1),'Conto Economico'!H216&lt;&gt;0)),'Conto Economico'!H216,MIN(MAX($U78,IFERROR(AVERAGEIF('Conto Economico'!$C216:G216,"&lt;&gt;0"),0)),MAX(0,($U78*12) - SUM('Conto Economico'!$C216:G216))))</f>
        <v>14</v>
      </c>
      <c r="J78" s="147">
        <f ca="1">IF(AND(TODAY()&gt;=DATE(2026,7,1),OR(TODAY()&gt;=DATE(2026,8,1),'Conto Economico'!I216&lt;&gt;0)),'Conto Economico'!I216,MIN(MAX($U78,IFERROR(AVERAGEIF('Conto Economico'!$C216:H216,"&lt;&gt;0"),0)),MAX(0,($U78*12) - SUM('Conto Economico'!$C216:H216))))</f>
        <v>16.666666666666668</v>
      </c>
      <c r="K78" s="147">
        <f ca="1">IF(AND(TODAY()&gt;=DATE(2026,8,1),OR(TODAY()&gt;=DATE(2026,9,1),'Conto Economico'!J216&lt;&gt;0)),'Conto Economico'!J216,MIN(MAX($U78,IFERROR(AVERAGEIF('Conto Economico'!$C216:I216,"&lt;&gt;0"),0)),MAX(0,($U78*12) - SUM('Conto Economico'!$C216:I216))))</f>
        <v>16.666666666666668</v>
      </c>
      <c r="L78" s="147">
        <f ca="1">IF(AND(TODAY()&gt;=DATE(2026,9,1),OR(TODAY()&gt;=DATE(2026,10,1),'Conto Economico'!K216&lt;&gt;0)),'Conto Economico'!K216,MIN(MAX($U78,IFERROR(AVERAGEIF('Conto Economico'!$C216:J216,"&lt;&gt;0"),0)),MAX(0,($U78*12) - SUM('Conto Economico'!$C216:J216))))</f>
        <v>16.666666666666668</v>
      </c>
      <c r="M78" s="147">
        <f ca="1">IF(AND(TODAY()&gt;=DATE(2026,10,1),OR(TODAY()&gt;=DATE(2026,11,1),'Conto Economico'!L216&lt;&gt;0)),'Conto Economico'!L216,MIN(MAX($U78,IFERROR(AVERAGEIF('Conto Economico'!$C216:K216,"&lt;&gt;0"),0)),MAX(0,($U78*12) - SUM('Conto Economico'!$C216:K216))))</f>
        <v>16.666666666666668</v>
      </c>
      <c r="N78" s="147">
        <f ca="1">IF(AND(TODAY()&gt;=DATE(2026,11,1),OR(TODAY()&gt;=DATE(2026,12,1),'Conto Economico'!M216&lt;&gt;0)),'Conto Economico'!M216,MIN(MAX($U78,IFERROR(AVERAGEIF('Conto Economico'!$C216:L216,"&lt;&gt;0"),0)),MAX(0,($U78*12) - SUM('Conto Economico'!$C216:L216))))</f>
        <v>16.666666666666668</v>
      </c>
      <c r="O78" s="147">
        <f ca="1">IF(AND(TODAY()&gt;=DATE(2026,12,1),OR(TODAY()&gt;=DATE(2027,1,1),'Conto Economico'!N216&lt;&gt;0)),'Conto Economico'!N216,MIN(MAX($U78,IFERROR(AVERAGEIF('Conto Economico'!$C216:M216,"&lt;&gt;0"),0)),MAX(0,($U78*12) - SUM('Conto Economico'!$C216:M216))))</f>
        <v>16.666666666666668</v>
      </c>
      <c r="Q78" s="147">
        <f t="shared" ca="1" si="38"/>
        <v>114.00000000000001</v>
      </c>
      <c r="R78" s="147">
        <f t="shared" ca="1" si="39"/>
        <v>9.5000000000000018</v>
      </c>
      <c r="T78" s="170">
        <f>'Budget 27'!C80</f>
        <v>200</v>
      </c>
      <c r="U78" s="170">
        <f t="shared" si="40"/>
        <v>16.666666666666668</v>
      </c>
      <c r="W78" s="170">
        <f t="shared" ca="1" si="41"/>
        <v>-85.999999999999986</v>
      </c>
      <c r="X78" s="405">
        <f t="shared" ca="1" si="42"/>
        <v>0.57000000000000006</v>
      </c>
      <c r="Z78" s="234" t="str">
        <f>'Conto Economico'!A216</f>
        <v>Attività Spot</v>
      </c>
    </row>
    <row r="79" spans="1:26" x14ac:dyDescent="0.2">
      <c r="A79" s="157"/>
      <c r="B79" s="165"/>
      <c r="C79" s="203"/>
      <c r="D79" s="166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Q79" s="164"/>
      <c r="R79" s="164"/>
      <c r="S79" s="157"/>
      <c r="T79" s="164"/>
      <c r="U79" s="164"/>
      <c r="V79" s="157"/>
      <c r="W79" s="164"/>
      <c r="X79" s="320"/>
      <c r="Z79" s="235"/>
    </row>
    <row r="80" spans="1:26" s="149" customFormat="1" x14ac:dyDescent="0.2">
      <c r="B80" s="167" t="str">
        <f>'Conto Economico'!A218</f>
        <v>Spese Personali</v>
      </c>
      <c r="C80" s="167"/>
      <c r="D80" s="149">
        <f t="shared" ref="D80:O80" ca="1" si="43">SUM(D81:D85)</f>
        <v>451.23</v>
      </c>
      <c r="E80" s="149">
        <f t="shared" ca="1" si="43"/>
        <v>1981.8600000000001</v>
      </c>
      <c r="F80" s="149">
        <f t="shared" ca="1" si="43"/>
        <v>875.73</v>
      </c>
      <c r="G80" s="149">
        <f t="shared" ca="1" si="43"/>
        <v>874.28</v>
      </c>
      <c r="H80" s="149">
        <f t="shared" ca="1" si="43"/>
        <v>584.15000000000009</v>
      </c>
      <c r="I80" s="149">
        <f t="shared" ca="1" si="43"/>
        <v>359.38</v>
      </c>
      <c r="J80" s="149">
        <f t="shared" ca="1" si="43"/>
        <v>509.13666666666666</v>
      </c>
      <c r="K80" s="149">
        <f t="shared" ca="1" si="43"/>
        <v>565</v>
      </c>
      <c r="L80" s="149">
        <f t="shared" ca="1" si="43"/>
        <v>565</v>
      </c>
      <c r="M80" s="149">
        <f t="shared" ca="1" si="43"/>
        <v>565</v>
      </c>
      <c r="N80" s="149">
        <f t="shared" ca="1" si="43"/>
        <v>565</v>
      </c>
      <c r="O80" s="149">
        <f t="shared" ca="1" si="43"/>
        <v>565</v>
      </c>
      <c r="P80"/>
      <c r="Q80" s="149">
        <f ca="1">SUM(Q81:Q85)</f>
        <v>8460.7666666666664</v>
      </c>
      <c r="R80" s="149">
        <f ca="1">SUM(R81:R85)</f>
        <v>705.06388888888875</v>
      </c>
      <c r="T80" s="149">
        <f>SUM(T81:T85)</f>
        <v>6750</v>
      </c>
      <c r="U80" s="149">
        <f>SUM(U81:U85)</f>
        <v>562.5</v>
      </c>
      <c r="W80" s="168">
        <f t="shared" ref="W80:W85" ca="1" si="44">Q80-T80</f>
        <v>1710.7666666666664</v>
      </c>
      <c r="X80" s="319">
        <f ca="1">IF(T80=0,"-",Q80/T80)</f>
        <v>1.2534469135802468</v>
      </c>
      <c r="Z80" s="233" t="str">
        <f>'Conto Economico'!A218</f>
        <v>Spese Personali</v>
      </c>
    </row>
    <row r="81" spans="1:26" x14ac:dyDescent="0.2">
      <c r="B81" s="169" t="str">
        <f>'Conto Economico'!A219</f>
        <v>Abbigliamento e Accessori</v>
      </c>
      <c r="C81" s="169"/>
      <c r="D81" s="147">
        <f ca="1">IF(AND(TODAY()&gt;=DATE(2026,1,1),OR(TODAY()&gt;=DATE(2026,2,1),'Conto Economico'!C219&lt;&gt;0)),'Conto Economico'!C219,$U81)</f>
        <v>76.23</v>
      </c>
      <c r="E81" s="147">
        <f ca="1">IF(AND(TODAY()&gt;=DATE(2026,2,1),OR(TODAY()&gt;=DATE(2026,3,1),'Conto Economico'!D219&lt;&gt;0)),'Conto Economico'!D219,MIN(MAX($U81,IFERROR(AVERAGEIF('Conto Economico'!$C219:C219,"&lt;&gt;0"),0)),MAX(0,($U81*12) - SUM('Conto Economico'!$C219:C219))))</f>
        <v>-34.99</v>
      </c>
      <c r="F81" s="147">
        <f ca="1">IF(AND(TODAY()&gt;=DATE(2026,3,1),OR(TODAY()&gt;=DATE(2026,4,1),'Conto Economico'!E219&lt;&gt;0)),'Conto Economico'!E219,MIN(MAX($U81,IFERROR(AVERAGEIF('Conto Economico'!$C219:D219,"&lt;&gt;0"),0)),MAX(0,($U81*12) - SUM('Conto Economico'!$C219:D219))))</f>
        <v>363.53999999999996</v>
      </c>
      <c r="G81" s="147">
        <f ca="1">IF(AND(TODAY()&gt;=DATE(2026,4,1),OR(TODAY()&gt;=DATE(2026,5,1),'Conto Economico'!F219&lt;&gt;0)),'Conto Economico'!F219,MIN(MAX($U81,IFERROR(AVERAGEIF('Conto Economico'!$C219:E219,"&lt;&gt;0"),0)),MAX(0,($U81*12) - SUM('Conto Economico'!$C219:E219))))</f>
        <v>499.7</v>
      </c>
      <c r="H81" s="147">
        <f ca="1">IF(AND(TODAY()&gt;=DATE(2026,5,1),OR(TODAY()&gt;=DATE(2026,6,1),'Conto Economico'!G219&lt;&gt;0)),'Conto Economico'!G219,MIN(MAX($U81,IFERROR(AVERAGEIF('Conto Economico'!$C219:F219,"&lt;&gt;0"),0)),MAX(0,($U81*12) - SUM('Conto Economico'!$C219:F219))))</f>
        <v>437.93</v>
      </c>
      <c r="I81" s="147">
        <f ca="1">IF(AND(TODAY()&gt;=DATE(2026,6,1),OR(TODAY()&gt;=DATE(2026,7,1),'Conto Economico'!H219&lt;&gt;0)),'Conto Economico'!H219,MIN(MAX($U81,IFERROR(AVERAGEIF('Conto Economico'!$C219:G219,"&lt;&gt;0"),0)),MAX(0,($U81*12) - SUM('Conto Economico'!$C219:G219))))</f>
        <v>87.28</v>
      </c>
      <c r="J81" s="147">
        <f ca="1">IF(AND(TODAY()&gt;=DATE(2026,7,1),OR(TODAY()&gt;=DATE(2026,8,1),'Conto Economico'!I219&lt;&gt;0)),'Conto Economico'!I219,MIN(MAX($U81,IFERROR(AVERAGEIF('Conto Economico'!$C219:H219,"&lt;&gt;0"),0)),MAX(0,($U81*12) - SUM('Conto Economico'!$C219:H219))))</f>
        <v>137.47</v>
      </c>
      <c r="K81" s="147">
        <f ca="1">IF(AND(TODAY()&gt;=DATE(2026,8,1),OR(TODAY()&gt;=DATE(2026,9,1),'Conto Economico'!J219&lt;&gt;0)),'Conto Economico'!J219,MIN(MAX($U81,IFERROR(AVERAGEIF('Conto Economico'!$C219:I219,"&lt;&gt;0"),0)),MAX(0,($U81*12) - SUM('Conto Economico'!$C219:I219))))</f>
        <v>275</v>
      </c>
      <c r="L81" s="147">
        <f ca="1">IF(AND(TODAY()&gt;=DATE(2026,9,1),OR(TODAY()&gt;=DATE(2026,10,1),'Conto Economico'!K219&lt;&gt;0)),'Conto Economico'!K219,MIN(MAX($U81,IFERROR(AVERAGEIF('Conto Economico'!$C219:J219,"&lt;&gt;0"),0)),MAX(0,($U81*12) - SUM('Conto Economico'!$C219:J219))))</f>
        <v>275</v>
      </c>
      <c r="M81" s="147">
        <f ca="1">IF(AND(TODAY()&gt;=DATE(2026,10,1),OR(TODAY()&gt;=DATE(2026,11,1),'Conto Economico'!L219&lt;&gt;0)),'Conto Economico'!L219,MIN(MAX($U81,IFERROR(AVERAGEIF('Conto Economico'!$C219:K219,"&lt;&gt;0"),0)),MAX(0,($U81*12) - SUM('Conto Economico'!$C219:K219))))</f>
        <v>275</v>
      </c>
      <c r="N81" s="147">
        <f ca="1">IF(AND(TODAY()&gt;=DATE(2026,11,1),OR(TODAY()&gt;=DATE(2026,12,1),'Conto Economico'!M219&lt;&gt;0)),'Conto Economico'!M219,MIN(MAX($U81,IFERROR(AVERAGEIF('Conto Economico'!$C219:L219,"&lt;&gt;0"),0)),MAX(0,($U81*12) - SUM('Conto Economico'!$C219:L219))))</f>
        <v>275</v>
      </c>
      <c r="O81" s="147">
        <f ca="1">IF(AND(TODAY()&gt;=DATE(2026,12,1),OR(TODAY()&gt;=DATE(2027,1,1),'Conto Economico'!N219&lt;&gt;0)),'Conto Economico'!N219,MIN(MAX($U81,IFERROR(AVERAGEIF('Conto Economico'!$C219:M219,"&lt;&gt;0"),0)),MAX(0,($U81*12) - SUM('Conto Economico'!$C219:M219))))</f>
        <v>275</v>
      </c>
      <c r="Q81" s="147">
        <f ca="1">SUM(D81:O81)</f>
        <v>2942.16</v>
      </c>
      <c r="R81" s="147">
        <f ca="1">Q81/12</f>
        <v>245.17999999999998</v>
      </c>
      <c r="T81" s="170">
        <f>'Budget 27'!C83</f>
        <v>3300</v>
      </c>
      <c r="U81" s="170">
        <f>T81/12</f>
        <v>275</v>
      </c>
      <c r="W81" s="170">
        <f t="shared" ca="1" si="44"/>
        <v>-357.84000000000015</v>
      </c>
      <c r="X81" s="405">
        <f t="shared" ref="X81:X85" ca="1" si="45">IF(T81=0,"-",Q81/T81)</f>
        <v>0.89156363636363634</v>
      </c>
      <c r="Z81" s="234" t="str">
        <f>'Conto Economico'!A219</f>
        <v>Abbigliamento e Accessori</v>
      </c>
    </row>
    <row r="82" spans="1:26" x14ac:dyDescent="0.2">
      <c r="B82" s="169" t="str">
        <f>'Conto Economico'!A220</f>
        <v>Abbigliamento Sportivo e Accessori</v>
      </c>
      <c r="C82" s="169"/>
      <c r="D82" s="147">
        <f ca="1">IF(AND(TODAY()&gt;=DATE(2026,1,1),OR(TODAY()&gt;=DATE(2026,2,1),'Conto Economico'!C220&lt;&gt;0)),'Conto Economico'!C220,$U82)</f>
        <v>0</v>
      </c>
      <c r="E82" s="147">
        <f ca="1">IF(AND(TODAY()&gt;=DATE(2026,2,1),OR(TODAY()&gt;=DATE(2026,3,1),'Conto Economico'!D220&lt;&gt;0)),'Conto Economico'!D220,MIN(MAX($U82,IFERROR(AVERAGEIF('Conto Economico'!$C220:C220,"&lt;&gt;0"),0)),MAX(0,($U82*12) - SUM('Conto Economico'!$C220:C220))))</f>
        <v>0</v>
      </c>
      <c r="F82" s="147">
        <f ca="1">IF(AND(TODAY()&gt;=DATE(2026,3,1),OR(TODAY()&gt;=DATE(2026,4,1),'Conto Economico'!E220&lt;&gt;0)),'Conto Economico'!E220,MIN(MAX($U82,IFERROR(AVERAGEIF('Conto Economico'!$C220:D220,"&lt;&gt;0"),0)),MAX(0,($U82*12) - SUM('Conto Economico'!$C220:D220))))</f>
        <v>0</v>
      </c>
      <c r="G82" s="147">
        <f ca="1">IF(AND(TODAY()&gt;=DATE(2026,4,1),OR(TODAY()&gt;=DATE(2026,5,1),'Conto Economico'!F220&lt;&gt;0)),'Conto Economico'!F220,MIN(MAX($U82,IFERROR(AVERAGEIF('Conto Economico'!$C220:E220,"&lt;&gt;0"),0)),MAX(0,($U82*12) - SUM('Conto Economico'!$C220:E220))))</f>
        <v>0</v>
      </c>
      <c r="H82" s="147">
        <f ca="1">IF(AND(TODAY()&gt;=DATE(2026,5,1),OR(TODAY()&gt;=DATE(2026,6,1),'Conto Economico'!G220&lt;&gt;0)),'Conto Economico'!G220,MIN(MAX($U82,IFERROR(AVERAGEIF('Conto Economico'!$C220:F220,"&lt;&gt;0"),0)),MAX(0,($U82*12) - SUM('Conto Economico'!$C220:F220))))</f>
        <v>0</v>
      </c>
      <c r="I82" s="147">
        <f ca="1">IF(AND(TODAY()&gt;=DATE(2026,6,1),OR(TODAY()&gt;=DATE(2026,7,1),'Conto Economico'!H220&lt;&gt;0)),'Conto Economico'!H220,MIN(MAX($U82,IFERROR(AVERAGEIF('Conto Economico'!$C220:G220,"&lt;&gt;0"),0)),MAX(0,($U82*12) - SUM('Conto Economico'!$C220:G220))))</f>
        <v>65</v>
      </c>
      <c r="J82" s="147">
        <f ca="1">IF(AND(TODAY()&gt;=DATE(2026,7,1),OR(TODAY()&gt;=DATE(2026,8,1),'Conto Economico'!I220&lt;&gt;0)),'Conto Economico'!I220,MIN(MAX($U82,IFERROR(AVERAGEIF('Conto Economico'!$C220:H220,"&lt;&gt;0"),0)),MAX(0,($U82*12) - SUM('Conto Economico'!$C220:H220))))</f>
        <v>65</v>
      </c>
      <c r="K82" s="147">
        <f ca="1">IF(AND(TODAY()&gt;=DATE(2026,8,1),OR(TODAY()&gt;=DATE(2026,9,1),'Conto Economico'!J220&lt;&gt;0)),'Conto Economico'!J220,MIN(MAX($U82,IFERROR(AVERAGEIF('Conto Economico'!$C220:I220,"&lt;&gt;0"),0)),MAX(0,($U82*12) - SUM('Conto Economico'!$C220:I220))))</f>
        <v>65</v>
      </c>
      <c r="L82" s="147">
        <f ca="1">IF(AND(TODAY()&gt;=DATE(2026,9,1),OR(TODAY()&gt;=DATE(2026,10,1),'Conto Economico'!K220&lt;&gt;0)),'Conto Economico'!K220,MIN(MAX($U82,IFERROR(AVERAGEIF('Conto Economico'!$C220:J220,"&lt;&gt;0"),0)),MAX(0,($U82*12) - SUM('Conto Economico'!$C220:J220))))</f>
        <v>65</v>
      </c>
      <c r="M82" s="147">
        <f ca="1">IF(AND(TODAY()&gt;=DATE(2026,10,1),OR(TODAY()&gt;=DATE(2026,11,1),'Conto Economico'!L220&lt;&gt;0)),'Conto Economico'!L220,MIN(MAX($U82,IFERROR(AVERAGEIF('Conto Economico'!$C220:K220,"&lt;&gt;0"),0)),MAX(0,($U82*12) - SUM('Conto Economico'!$C220:K220))))</f>
        <v>65</v>
      </c>
      <c r="N82" s="147">
        <f ca="1">IF(AND(TODAY()&gt;=DATE(2026,11,1),OR(TODAY()&gt;=DATE(2026,12,1),'Conto Economico'!M220&lt;&gt;0)),'Conto Economico'!M220,MIN(MAX($U82,IFERROR(AVERAGEIF('Conto Economico'!$C220:L220,"&lt;&gt;0"),0)),MAX(0,($U82*12) - SUM('Conto Economico'!$C220:L220))))</f>
        <v>65</v>
      </c>
      <c r="O82" s="147">
        <f ca="1">IF(AND(TODAY()&gt;=DATE(2026,12,1),OR(TODAY()&gt;=DATE(2027,1,1),'Conto Economico'!N220&lt;&gt;0)),'Conto Economico'!N220,MIN(MAX($U82,IFERROR(AVERAGEIF('Conto Economico'!$C220:M220,"&lt;&gt;0"),0)),MAX(0,($U82*12) - SUM('Conto Economico'!$C220:M220))))</f>
        <v>65</v>
      </c>
      <c r="Q82" s="147">
        <f ca="1">SUM(D82:O82)</f>
        <v>455</v>
      </c>
      <c r="R82" s="147">
        <f ca="1">Q82/12</f>
        <v>37.916666666666664</v>
      </c>
      <c r="T82" s="170">
        <f>'Budget 27'!C84</f>
        <v>150</v>
      </c>
      <c r="U82" s="170">
        <f>T82/12</f>
        <v>12.5</v>
      </c>
      <c r="W82" s="170">
        <f t="shared" ca="1" si="44"/>
        <v>305</v>
      </c>
      <c r="X82" s="405">
        <f t="shared" ca="1" si="45"/>
        <v>3.0333333333333332</v>
      </c>
      <c r="Z82" s="234" t="str">
        <f>'Conto Economico'!A220</f>
        <v>Abbigliamento Sportivo e Accessori</v>
      </c>
    </row>
    <row r="83" spans="1:26" x14ac:dyDescent="0.2">
      <c r="B83" s="169" t="str">
        <f>'Conto Economico'!A221</f>
        <v>Prodotti per la Cura della Persona</v>
      </c>
      <c r="C83" s="169"/>
      <c r="D83" s="147">
        <f ca="1">IF(AND(TODAY()&gt;=DATE(2026,1,1),OR(TODAY()&gt;=DATE(2026,2,1),'Conto Economico'!C221&lt;&gt;0)),'Conto Economico'!C221,$U83)</f>
        <v>66</v>
      </c>
      <c r="E83" s="147">
        <f ca="1">IF(AND(TODAY()&gt;=DATE(2026,2,1),OR(TODAY()&gt;=DATE(2026,3,1),'Conto Economico'!D221&lt;&gt;0)),'Conto Economico'!D221,MIN(MAX($U83,IFERROR(AVERAGEIF('Conto Economico'!$C221:C221,"&lt;&gt;0"),0)),MAX(0,($U83*12) - SUM('Conto Economico'!$C221:C221))))</f>
        <v>35.86</v>
      </c>
      <c r="F83" s="147">
        <f ca="1">IF(AND(TODAY()&gt;=DATE(2026,3,1),OR(TODAY()&gt;=DATE(2026,4,1),'Conto Economico'!E221&lt;&gt;0)),'Conto Economico'!E221,MIN(MAX($U83,IFERROR(AVERAGEIF('Conto Economico'!$C221:D221,"&lt;&gt;0"),0)),MAX(0,($U83*12) - SUM('Conto Economico'!$C221:D221))))</f>
        <v>63.190000000000005</v>
      </c>
      <c r="G83" s="147">
        <f ca="1">IF(AND(TODAY()&gt;=DATE(2026,4,1),OR(TODAY()&gt;=DATE(2026,5,1),'Conto Economico'!F221&lt;&gt;0)),'Conto Economico'!F221,MIN(MAX($U83,IFERROR(AVERAGEIF('Conto Economico'!$C221:E221,"&lt;&gt;0"),0)),MAX(0,($U83*12) - SUM('Conto Economico'!$C221:E221))))</f>
        <v>130.57999999999998</v>
      </c>
      <c r="H83" s="147">
        <f ca="1">IF(AND(TODAY()&gt;=DATE(2026,5,1),OR(TODAY()&gt;=DATE(2026,6,1),'Conto Economico'!G221&lt;&gt;0)),'Conto Economico'!G221,MIN(MAX($U83,IFERROR(AVERAGEIF('Conto Economico'!$C221:F221,"&lt;&gt;0"),0)),MAX(0,($U83*12) - SUM('Conto Economico'!$C221:F221))))</f>
        <v>46.220000000000006</v>
      </c>
      <c r="I83" s="147">
        <f ca="1">IF(AND(TODAY()&gt;=DATE(2026,6,1),OR(TODAY()&gt;=DATE(2026,7,1),'Conto Economico'!H221&lt;&gt;0)),'Conto Economico'!H221,MIN(MAX($U83,IFERROR(AVERAGEIF('Conto Economico'!$C221:G221,"&lt;&gt;0"),0)),MAX(0,($U83*12) - SUM('Conto Economico'!$C221:G221))))</f>
        <v>63.1</v>
      </c>
      <c r="J83" s="147">
        <f ca="1">IF(AND(TODAY()&gt;=DATE(2026,7,1),OR(TODAY()&gt;=DATE(2026,8,1),'Conto Economico'!I221&lt;&gt;0)),'Conto Economico'!I221,MIN(MAX($U83,IFERROR(AVERAGEIF('Conto Economico'!$C221:H221,"&lt;&gt;0"),0)),MAX(0,($U83*12) - SUM('Conto Economico'!$C221:H221))))</f>
        <v>91.666666666666671</v>
      </c>
      <c r="K83" s="147">
        <f ca="1">IF(AND(TODAY()&gt;=DATE(2026,8,1),OR(TODAY()&gt;=DATE(2026,9,1),'Conto Economico'!J221&lt;&gt;0)),'Conto Economico'!J221,MIN(MAX($U83,IFERROR(AVERAGEIF('Conto Economico'!$C221:I221,"&lt;&gt;0"),0)),MAX(0,($U83*12) - SUM('Conto Economico'!$C221:I221))))</f>
        <v>91.666666666666671</v>
      </c>
      <c r="L83" s="147">
        <f ca="1">IF(AND(TODAY()&gt;=DATE(2026,9,1),OR(TODAY()&gt;=DATE(2026,10,1),'Conto Economico'!K221&lt;&gt;0)),'Conto Economico'!K221,MIN(MAX($U83,IFERROR(AVERAGEIF('Conto Economico'!$C221:J221,"&lt;&gt;0"),0)),MAX(0,($U83*12) - SUM('Conto Economico'!$C221:J221))))</f>
        <v>91.666666666666671</v>
      </c>
      <c r="M83" s="147">
        <f ca="1">IF(AND(TODAY()&gt;=DATE(2026,10,1),OR(TODAY()&gt;=DATE(2026,11,1),'Conto Economico'!L221&lt;&gt;0)),'Conto Economico'!L221,MIN(MAX($U83,IFERROR(AVERAGEIF('Conto Economico'!$C221:K221,"&lt;&gt;0"),0)),MAX(0,($U83*12) - SUM('Conto Economico'!$C221:K221))))</f>
        <v>91.666666666666671</v>
      </c>
      <c r="N83" s="147">
        <f ca="1">IF(AND(TODAY()&gt;=DATE(2026,11,1),OR(TODAY()&gt;=DATE(2026,12,1),'Conto Economico'!M221&lt;&gt;0)),'Conto Economico'!M221,MIN(MAX($U83,IFERROR(AVERAGEIF('Conto Economico'!$C221:L221,"&lt;&gt;0"),0)),MAX(0,($U83*12) - SUM('Conto Economico'!$C221:L221))))</f>
        <v>91.666666666666671</v>
      </c>
      <c r="O83" s="147">
        <f ca="1">IF(AND(TODAY()&gt;=DATE(2026,12,1),OR(TODAY()&gt;=DATE(2027,1,1),'Conto Economico'!N221&lt;&gt;0)),'Conto Economico'!N221,MIN(MAX($U83,IFERROR(AVERAGEIF('Conto Economico'!$C221:M221,"&lt;&gt;0"),0)),MAX(0,($U83*12) - SUM('Conto Economico'!$C221:M221))))</f>
        <v>91.666666666666671</v>
      </c>
      <c r="Q83" s="147">
        <f ca="1">SUM(D83:O83)</f>
        <v>954.94999999999993</v>
      </c>
      <c r="R83" s="147">
        <f ca="1">Q83/12</f>
        <v>79.579166666666666</v>
      </c>
      <c r="T83" s="170">
        <f>'Budget 27'!C85</f>
        <v>1100</v>
      </c>
      <c r="U83" s="170">
        <f>T83/12</f>
        <v>91.666666666666671</v>
      </c>
      <c r="W83" s="170">
        <f t="shared" ca="1" si="44"/>
        <v>-145.05000000000007</v>
      </c>
      <c r="X83" s="405">
        <f t="shared" ca="1" si="45"/>
        <v>0.86813636363636359</v>
      </c>
      <c r="Z83" s="234" t="str">
        <f>'Conto Economico'!A221</f>
        <v>Prodotti per la Cura della Persona</v>
      </c>
    </row>
    <row r="84" spans="1:26" x14ac:dyDescent="0.2">
      <c r="B84" s="169" t="str">
        <f>'Conto Economico'!A222</f>
        <v>Parrucchiera/e</v>
      </c>
      <c r="C84" s="169"/>
      <c r="D84" s="147">
        <f ca="1">IF(AND(TODAY()&gt;=DATE(2026,1,1),OR(TODAY()&gt;=DATE(2026,2,1),'Conto Economico'!C222&lt;&gt;0)),'Conto Economico'!C222,$U84)</f>
        <v>210</v>
      </c>
      <c r="E84" s="147">
        <f ca="1">IF(AND(TODAY()&gt;=DATE(2026,2,1),OR(TODAY()&gt;=DATE(2026,3,1),'Conto Economico'!D222&lt;&gt;0)),'Conto Economico'!D222,MIN(MAX($U84,IFERROR(AVERAGEIF('Conto Economico'!$C222:C222,"&lt;&gt;0"),0)),MAX(0,($U84*12) - SUM('Conto Economico'!$C222:C222))))</f>
        <v>105</v>
      </c>
      <c r="F84" s="147">
        <f ca="1">IF(AND(TODAY()&gt;=DATE(2026,3,1),OR(TODAY()&gt;=DATE(2026,4,1),'Conto Economico'!E222&lt;&gt;0)),'Conto Economico'!E222,MIN(MAX($U84,IFERROR(AVERAGEIF('Conto Economico'!$C222:D222,"&lt;&gt;0"),0)),MAX(0,($U84*12) - SUM('Conto Economico'!$C222:D222))))</f>
        <v>115</v>
      </c>
      <c r="G84" s="147">
        <f ca="1">IF(AND(TODAY()&gt;=DATE(2026,4,1),OR(TODAY()&gt;=DATE(2026,5,1),'Conto Economico'!F222&lt;&gt;0)),'Conto Economico'!F222,MIN(MAX($U84,IFERROR(AVERAGEIF('Conto Economico'!$C222:E222,"&lt;&gt;0"),0)),MAX(0,($U84*12) - SUM('Conto Economico'!$C222:E222))))</f>
        <v>145</v>
      </c>
      <c r="H84" s="147">
        <f ca="1">IF(AND(TODAY()&gt;=DATE(2026,5,1),OR(TODAY()&gt;=DATE(2026,6,1),'Conto Economico'!G222&lt;&gt;0)),'Conto Economico'!G222,MIN(MAX($U84,IFERROR(AVERAGEIF('Conto Economico'!$C222:F222,"&lt;&gt;0"),0)),MAX(0,($U84*12) - SUM('Conto Economico'!$C222:F222))))</f>
        <v>100</v>
      </c>
      <c r="I84" s="147">
        <f ca="1">IF(AND(TODAY()&gt;=DATE(2026,6,1),OR(TODAY()&gt;=DATE(2026,7,1),'Conto Economico'!H222&lt;&gt;0)),'Conto Economico'!H222,MIN(MAX($U84,IFERROR(AVERAGEIF('Conto Economico'!$C222:G222,"&lt;&gt;0"),0)),MAX(0,($U84*12) - SUM('Conto Economico'!$C222:G222))))</f>
        <v>100</v>
      </c>
      <c r="J84" s="147">
        <f ca="1">IF(AND(TODAY()&gt;=DATE(2026,7,1),OR(TODAY()&gt;=DATE(2026,8,1),'Conto Economico'!I222&lt;&gt;0)),'Conto Economico'!I222,MIN(MAX($U84,IFERROR(AVERAGEIF('Conto Economico'!$C222:H222,"&lt;&gt;0"),0)),MAX(0,($U84*12) - SUM('Conto Economico'!$C222:H222))))</f>
        <v>105</v>
      </c>
      <c r="K84" s="147">
        <f ca="1">IF(AND(TODAY()&gt;=DATE(2026,8,1),OR(TODAY()&gt;=DATE(2026,9,1),'Conto Economico'!J222&lt;&gt;0)),'Conto Economico'!J222,MIN(MAX($U84,IFERROR(AVERAGEIF('Conto Economico'!$C222:I222,"&lt;&gt;0"),0)),MAX(0,($U84*12) - SUM('Conto Economico'!$C222:I222))))</f>
        <v>133.33333333333334</v>
      </c>
      <c r="L84" s="147">
        <f ca="1">IF(AND(TODAY()&gt;=DATE(2026,9,1),OR(TODAY()&gt;=DATE(2026,10,1),'Conto Economico'!K222&lt;&gt;0)),'Conto Economico'!K222,MIN(MAX($U84,IFERROR(AVERAGEIF('Conto Economico'!$C222:J222,"&lt;&gt;0"),0)),MAX(0,($U84*12) - SUM('Conto Economico'!$C222:J222))))</f>
        <v>133.33333333333334</v>
      </c>
      <c r="M84" s="147">
        <f ca="1">IF(AND(TODAY()&gt;=DATE(2026,10,1),OR(TODAY()&gt;=DATE(2026,11,1),'Conto Economico'!L222&lt;&gt;0)),'Conto Economico'!L222,MIN(MAX($U84,IFERROR(AVERAGEIF('Conto Economico'!$C222:K222,"&lt;&gt;0"),0)),MAX(0,($U84*12) - SUM('Conto Economico'!$C222:K222))))</f>
        <v>133.33333333333334</v>
      </c>
      <c r="N84" s="147">
        <f ca="1">IF(AND(TODAY()&gt;=DATE(2026,11,1),OR(TODAY()&gt;=DATE(2026,12,1),'Conto Economico'!M222&lt;&gt;0)),'Conto Economico'!M222,MIN(MAX($U84,IFERROR(AVERAGEIF('Conto Economico'!$C222:L222,"&lt;&gt;0"),0)),MAX(0,($U84*12) - SUM('Conto Economico'!$C222:L222))))</f>
        <v>133.33333333333334</v>
      </c>
      <c r="O84" s="147">
        <f ca="1">IF(AND(TODAY()&gt;=DATE(2026,12,1),OR(TODAY()&gt;=DATE(2027,1,1),'Conto Economico'!N222&lt;&gt;0)),'Conto Economico'!N222,MIN(MAX($U84,IFERROR(AVERAGEIF('Conto Economico'!$C222:M222,"&lt;&gt;0"),0)),MAX(0,($U84*12) - SUM('Conto Economico'!$C222:M222))))</f>
        <v>133.33333333333334</v>
      </c>
      <c r="Q84" s="147">
        <f ca="1">SUM(D84:O84)</f>
        <v>1546.6666666666665</v>
      </c>
      <c r="R84" s="147">
        <f ca="1">Q84/12</f>
        <v>128.88888888888889</v>
      </c>
      <c r="T84" s="170">
        <f>'Budget 27'!C86</f>
        <v>1600</v>
      </c>
      <c r="U84" s="170">
        <f>T84/12</f>
        <v>133.33333333333334</v>
      </c>
      <c r="W84" s="170">
        <f t="shared" ca="1" si="44"/>
        <v>-53.333333333333485</v>
      </c>
      <c r="X84" s="405">
        <f t="shared" ca="1" si="45"/>
        <v>0.96666666666666656</v>
      </c>
      <c r="Z84" s="234" t="str">
        <f>'Conto Economico'!A222</f>
        <v>Parrucchiera/e</v>
      </c>
    </row>
    <row r="85" spans="1:26" x14ac:dyDescent="0.2">
      <c r="B85" s="169" t="str">
        <f>'Conto Economico'!A223</f>
        <v>Estetista</v>
      </c>
      <c r="C85" s="169"/>
      <c r="D85" s="147">
        <f ca="1">IF(AND(TODAY()&gt;=DATE(2026,1,1),OR(TODAY()&gt;=DATE(2026,2,1),'Conto Economico'!C223&lt;&gt;0)),'Conto Economico'!C223,$U85)</f>
        <v>99</v>
      </c>
      <c r="E85" s="147">
        <f ca="1">IF(AND(TODAY()&gt;=DATE(2026,2,1),OR(TODAY()&gt;=DATE(2026,3,1),'Conto Economico'!D223&lt;&gt;0)),'Conto Economico'!D223,MIN(MAX($U85,IFERROR(AVERAGEIF('Conto Economico'!$C223:C223,"&lt;&gt;0"),0)),MAX(0,($U85*12) - SUM('Conto Economico'!$C223:C223))))</f>
        <v>1875.99</v>
      </c>
      <c r="F85" s="147">
        <f ca="1">IF(AND(TODAY()&gt;=DATE(2026,3,1),OR(TODAY()&gt;=DATE(2026,4,1),'Conto Economico'!E223&lt;&gt;0)),'Conto Economico'!E223,MIN(MAX($U85,IFERROR(AVERAGEIF('Conto Economico'!$C223:D223,"&lt;&gt;0"),0)),MAX(0,($U85*12) - SUM('Conto Economico'!$C223:D223))))</f>
        <v>334</v>
      </c>
      <c r="G85" s="147">
        <f ca="1">IF(AND(TODAY()&gt;=DATE(2026,4,1),OR(TODAY()&gt;=DATE(2026,5,1),'Conto Economico'!F223&lt;&gt;0)),'Conto Economico'!F223,MIN(MAX($U85,IFERROR(AVERAGEIF('Conto Economico'!$C223:E223,"&lt;&gt;0"),0)),MAX(0,($U85*12) - SUM('Conto Economico'!$C223:E223))))</f>
        <v>99</v>
      </c>
      <c r="H85" s="147">
        <f ca="1">IF(AND(TODAY()&gt;=DATE(2026,5,1),OR(TODAY()&gt;=DATE(2026,6,1),'Conto Economico'!G223&lt;&gt;0)),'Conto Economico'!G223,MIN(MAX($U85,IFERROR(AVERAGEIF('Conto Economico'!$C223:F223,"&lt;&gt;0"),0)),MAX(0,($U85*12) - SUM('Conto Economico'!$C223:F223))))</f>
        <v>0</v>
      </c>
      <c r="I85" s="147">
        <f ca="1">IF(AND(TODAY()&gt;=DATE(2026,6,1),OR(TODAY()&gt;=DATE(2026,7,1),'Conto Economico'!H223&lt;&gt;0)),'Conto Economico'!H223,MIN(MAX($U85,IFERROR(AVERAGEIF('Conto Economico'!$C223:G223,"&lt;&gt;0"),0)),MAX(0,($U85*12) - SUM('Conto Economico'!$C223:G223))))</f>
        <v>44</v>
      </c>
      <c r="J85" s="147">
        <f ca="1">IF(AND(TODAY()&gt;=DATE(2026,7,1),OR(TODAY()&gt;=DATE(2026,8,1),'Conto Economico'!I223&lt;&gt;0)),'Conto Economico'!I223,MIN(MAX($U85,IFERROR(AVERAGEIF('Conto Economico'!$C223:H223,"&lt;&gt;0"),0)),MAX(0,($U85*12) - SUM('Conto Economico'!$C223:H223))))</f>
        <v>110</v>
      </c>
      <c r="K85" s="147">
        <f ca="1">IF(AND(TODAY()&gt;=DATE(2026,8,1),OR(TODAY()&gt;=DATE(2026,9,1),'Conto Economico'!J223&lt;&gt;0)),'Conto Economico'!J223,MIN(MAX($U85,IFERROR(AVERAGEIF('Conto Economico'!$C223:I223,"&lt;&gt;0"),0)),MAX(0,($U85*12) - SUM('Conto Economico'!$C223:I223))))</f>
        <v>0</v>
      </c>
      <c r="L85" s="147">
        <f ca="1">IF(AND(TODAY()&gt;=DATE(2026,9,1),OR(TODAY()&gt;=DATE(2026,10,1),'Conto Economico'!K223&lt;&gt;0)),'Conto Economico'!K223,MIN(MAX($U85,IFERROR(AVERAGEIF('Conto Economico'!$C223:J223,"&lt;&gt;0"),0)),MAX(0,($U85*12) - SUM('Conto Economico'!$C223:J223))))</f>
        <v>0</v>
      </c>
      <c r="M85" s="147">
        <f ca="1">IF(AND(TODAY()&gt;=DATE(2026,10,1),OR(TODAY()&gt;=DATE(2026,11,1),'Conto Economico'!L223&lt;&gt;0)),'Conto Economico'!L223,MIN(MAX($U85,IFERROR(AVERAGEIF('Conto Economico'!$C223:K223,"&lt;&gt;0"),0)),MAX(0,($U85*12) - SUM('Conto Economico'!$C223:K223))))</f>
        <v>0</v>
      </c>
      <c r="N85" s="147">
        <f ca="1">IF(AND(TODAY()&gt;=DATE(2026,11,1),OR(TODAY()&gt;=DATE(2026,12,1),'Conto Economico'!M223&lt;&gt;0)),'Conto Economico'!M223,MIN(MAX($U85,IFERROR(AVERAGEIF('Conto Economico'!$C223:L223,"&lt;&gt;0"),0)),MAX(0,($U85*12) - SUM('Conto Economico'!$C223:L223))))</f>
        <v>0</v>
      </c>
      <c r="O85" s="147">
        <f ca="1">IF(AND(TODAY()&gt;=DATE(2026,12,1),OR(TODAY()&gt;=DATE(2027,1,1),'Conto Economico'!N223&lt;&gt;0)),'Conto Economico'!N223,MIN(MAX($U85,IFERROR(AVERAGEIF('Conto Economico'!$C223:M223,"&lt;&gt;0"),0)),MAX(0,($U85*12) - SUM('Conto Economico'!$C223:M223))))</f>
        <v>0</v>
      </c>
      <c r="Q85" s="147">
        <f ca="1">SUM(D85:O85)</f>
        <v>2561.9899999999998</v>
      </c>
      <c r="R85" s="147">
        <f ca="1">Q85/12</f>
        <v>213.49916666666664</v>
      </c>
      <c r="T85" s="170">
        <f>'Budget 27'!C87</f>
        <v>600</v>
      </c>
      <c r="U85" s="170">
        <f>T85/12</f>
        <v>50</v>
      </c>
      <c r="W85" s="170">
        <f t="shared" ca="1" si="44"/>
        <v>1961.9899999999998</v>
      </c>
      <c r="X85" s="405">
        <f t="shared" ca="1" si="45"/>
        <v>4.2699833333333332</v>
      </c>
      <c r="Z85" s="234" t="str">
        <f>'Conto Economico'!A223</f>
        <v>Estetista</v>
      </c>
    </row>
    <row r="86" spans="1:26" x14ac:dyDescent="0.2">
      <c r="A86" s="157"/>
      <c r="B86" s="165"/>
      <c r="C86" s="203"/>
      <c r="D86" s="166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Q86" s="164"/>
      <c r="R86" s="164"/>
      <c r="S86" s="157"/>
      <c r="T86" s="164"/>
      <c r="U86" s="164"/>
      <c r="V86" s="157"/>
      <c r="W86" s="164"/>
      <c r="X86" s="320"/>
      <c r="Z86" s="235"/>
    </row>
    <row r="87" spans="1:26" x14ac:dyDescent="0.2">
      <c r="B87" s="167" t="str">
        <f>'Conto Economico'!A225</f>
        <v>Cure mediche</v>
      </c>
      <c r="C87" s="167"/>
      <c r="D87" s="149">
        <f t="shared" ref="D87:O87" ca="1" si="46">SUM(D88:D91)</f>
        <v>138.86000000000001</v>
      </c>
      <c r="E87" s="149">
        <f t="shared" ca="1" si="46"/>
        <v>100.25999999999999</v>
      </c>
      <c r="F87" s="149">
        <f t="shared" ca="1" si="46"/>
        <v>88.699999999999989</v>
      </c>
      <c r="G87" s="149">
        <f t="shared" ca="1" si="46"/>
        <v>108.74999999999999</v>
      </c>
      <c r="H87" s="149">
        <f t="shared" ca="1" si="46"/>
        <v>132.25</v>
      </c>
      <c r="I87" s="149">
        <f t="shared" ca="1" si="46"/>
        <v>13.52</v>
      </c>
      <c r="J87" s="149">
        <f t="shared" ca="1" si="46"/>
        <v>167.22333333333333</v>
      </c>
      <c r="K87" s="149">
        <f t="shared" ca="1" si="46"/>
        <v>167.22333333333333</v>
      </c>
      <c r="L87" s="149">
        <f t="shared" ca="1" si="46"/>
        <v>167.22333333333333</v>
      </c>
      <c r="M87" s="149">
        <f t="shared" ca="1" si="46"/>
        <v>167.22333333333333</v>
      </c>
      <c r="N87" s="149">
        <f t="shared" ca="1" si="46"/>
        <v>167.22333333333333</v>
      </c>
      <c r="O87" s="149">
        <f t="shared" ca="1" si="46"/>
        <v>167.22333333333333</v>
      </c>
      <c r="Q87" s="149">
        <f ca="1">SUM(Q88:Q91)</f>
        <v>1585.6799999999998</v>
      </c>
      <c r="R87" s="149">
        <f ca="1">SUM(R88:R91)</f>
        <v>132.14000000000001</v>
      </c>
      <c r="S87" s="149">
        <f>SUM(S88:S91)</f>
        <v>0</v>
      </c>
      <c r="T87" s="149">
        <f>SUM(T88:T91)</f>
        <v>1250</v>
      </c>
      <c r="U87" s="149">
        <f>SUM(U88:U91)</f>
        <v>104.16666666666667</v>
      </c>
      <c r="W87" s="168">
        <f ca="1">Q87-T87</f>
        <v>335.67999999999984</v>
      </c>
      <c r="X87" s="319">
        <f ca="1">IF(T87=0,"-",Q87/T87)</f>
        <v>1.2685439999999999</v>
      </c>
      <c r="Z87" s="233" t="str">
        <f>'Conto Economico'!A225</f>
        <v>Cure mediche</v>
      </c>
    </row>
    <row r="88" spans="1:26" x14ac:dyDescent="0.2">
      <c r="B88" s="169" t="str">
        <f>'Conto Economico'!A226</f>
        <v>Cure mediche extra ass.</v>
      </c>
      <c r="C88" s="169"/>
      <c r="D88" s="147">
        <f ca="1">IF(AND(TODAY()&gt;=DATE(2026,1,1),OR(TODAY()&gt;=DATE(2026,2,1),'Conto Economico'!C226&lt;&gt;0)),'Conto Economico'!C226,$U88)</f>
        <v>0</v>
      </c>
      <c r="E88" s="147">
        <f ca="1">IF(AND(TODAY()&gt;=DATE(2026,2,1),OR(TODAY()&gt;=DATE(2026,3,1),'Conto Economico'!D226&lt;&gt;0)),'Conto Economico'!D226,MIN(MAX($U88,IFERROR(AVERAGEIF('Conto Economico'!$C226:C226,"&lt;&gt;0"),0)),MAX(0,($U88*12) - SUM('Conto Economico'!$C226:C226))))</f>
        <v>0</v>
      </c>
      <c r="F88" s="147">
        <f ca="1">IF(AND(TODAY()&gt;=DATE(2026,3,1),OR(TODAY()&gt;=DATE(2026,4,1),'Conto Economico'!E226&lt;&gt;0)),'Conto Economico'!E226,MIN(MAX($U88,IFERROR(AVERAGEIF('Conto Economico'!$C226:D226,"&lt;&gt;0"),0)),MAX(0,($U88*12) - SUM('Conto Economico'!$C226:D226))))</f>
        <v>0</v>
      </c>
      <c r="G88" s="147">
        <f ca="1">IF(AND(TODAY()&gt;=DATE(2026,4,1),OR(TODAY()&gt;=DATE(2026,5,1),'Conto Economico'!F226&lt;&gt;0)),'Conto Economico'!F226,MIN(MAX($U88,IFERROR(AVERAGEIF('Conto Economico'!$C226:E226,"&lt;&gt;0"),0)),MAX(0,($U88*12) - SUM('Conto Economico'!$C226:E226))))</f>
        <v>0</v>
      </c>
      <c r="H88" s="147">
        <f ca="1">IF(AND(TODAY()&gt;=DATE(2026,5,1),OR(TODAY()&gt;=DATE(2026,6,1),'Conto Economico'!G226&lt;&gt;0)),'Conto Economico'!G226,MIN(MAX($U88,IFERROR(AVERAGEIF('Conto Economico'!$C226:F226,"&lt;&gt;0"),0)),MAX(0,($U88*12) - SUM('Conto Economico'!$C226:F226))))</f>
        <v>0</v>
      </c>
      <c r="I88" s="147">
        <f ca="1">IF(AND(TODAY()&gt;=DATE(2026,6,1),OR(TODAY()&gt;=DATE(2026,7,1),'Conto Economico'!H226&lt;&gt;0)),'Conto Economico'!H226,MIN(MAX($U88,IFERROR(AVERAGEIF('Conto Economico'!$C226:G226,"&lt;&gt;0"),0)),MAX(0,($U88*12) - SUM('Conto Economico'!$C226:G226))))</f>
        <v>0</v>
      </c>
      <c r="J88" s="147">
        <f ca="1">IF(AND(TODAY()&gt;=DATE(2026,7,1),OR(TODAY()&gt;=DATE(2026,8,1),'Conto Economico'!I226&lt;&gt;0)),'Conto Economico'!I226,MIN(MAX($U88,IFERROR(AVERAGEIF('Conto Economico'!$C226:H226,"&lt;&gt;0"),0)),MAX(0,($U88*12) - SUM('Conto Economico'!$C226:H226))))</f>
        <v>8.3333333333333339</v>
      </c>
      <c r="K88" s="147">
        <f ca="1">IF(AND(TODAY()&gt;=DATE(2026,8,1),OR(TODAY()&gt;=DATE(2026,9,1),'Conto Economico'!J226&lt;&gt;0)),'Conto Economico'!J226,MIN(MAX($U88,IFERROR(AVERAGEIF('Conto Economico'!$C226:I226,"&lt;&gt;0"),0)),MAX(0,($U88*12) - SUM('Conto Economico'!$C226:I226))))</f>
        <v>8.3333333333333339</v>
      </c>
      <c r="L88" s="147">
        <f ca="1">IF(AND(TODAY()&gt;=DATE(2026,9,1),OR(TODAY()&gt;=DATE(2026,10,1),'Conto Economico'!K226&lt;&gt;0)),'Conto Economico'!K226,MIN(MAX($U88,IFERROR(AVERAGEIF('Conto Economico'!$C226:J226,"&lt;&gt;0"),0)),MAX(0,($U88*12) - SUM('Conto Economico'!$C226:J226))))</f>
        <v>8.3333333333333339</v>
      </c>
      <c r="M88" s="147">
        <f ca="1">IF(AND(TODAY()&gt;=DATE(2026,10,1),OR(TODAY()&gt;=DATE(2026,11,1),'Conto Economico'!L226&lt;&gt;0)),'Conto Economico'!L226,MIN(MAX($U88,IFERROR(AVERAGEIF('Conto Economico'!$C226:K226,"&lt;&gt;0"),0)),MAX(0,($U88*12) - SUM('Conto Economico'!$C226:K226))))</f>
        <v>8.3333333333333339</v>
      </c>
      <c r="N88" s="147">
        <f ca="1">IF(AND(TODAY()&gt;=DATE(2026,11,1),OR(TODAY()&gt;=DATE(2026,12,1),'Conto Economico'!M226&lt;&gt;0)),'Conto Economico'!M226,MIN(MAX($U88,IFERROR(AVERAGEIF('Conto Economico'!$C226:L226,"&lt;&gt;0"),0)),MAX(0,($U88*12) - SUM('Conto Economico'!$C226:L226))))</f>
        <v>8.3333333333333339</v>
      </c>
      <c r="O88" s="147">
        <f ca="1">IF(AND(TODAY()&gt;=DATE(2026,12,1),OR(TODAY()&gt;=DATE(2027,1,1),'Conto Economico'!N226&lt;&gt;0)),'Conto Economico'!N226,MIN(MAX($U88,IFERROR(AVERAGEIF('Conto Economico'!$C226:M226,"&lt;&gt;0"),0)),MAX(0,($U88*12) - SUM('Conto Economico'!$C226:M226))))</f>
        <v>8.3333333333333339</v>
      </c>
      <c r="Q88" s="147">
        <f ca="1">SUM(D88:O88)</f>
        <v>50.000000000000007</v>
      </c>
      <c r="R88" s="147">
        <f ca="1">Q88/12</f>
        <v>4.166666666666667</v>
      </c>
      <c r="T88" s="170">
        <f>'Budget 27'!C90</f>
        <v>100</v>
      </c>
      <c r="U88" s="170">
        <f>T88/12</f>
        <v>8.3333333333333339</v>
      </c>
      <c r="W88" s="170">
        <f ca="1">Q88-T88</f>
        <v>-49.999999999999993</v>
      </c>
      <c r="X88" s="405">
        <f t="shared" ref="X88:X91" ca="1" si="47">IF(T88=0,"-",Q88/T88)</f>
        <v>0.50000000000000011</v>
      </c>
      <c r="Z88" s="234" t="str">
        <f>'Conto Economico'!A226</f>
        <v>Cure mediche extra ass.</v>
      </c>
    </row>
    <row r="89" spans="1:26" x14ac:dyDescent="0.2">
      <c r="B89" s="169" t="str">
        <f>'Conto Economico'!A227</f>
        <v>Medicinali - Test Covid - Integratori</v>
      </c>
      <c r="C89" s="169"/>
      <c r="D89" s="147">
        <f ca="1">IF(AND(TODAY()&gt;=DATE(2026,1,1),OR(TODAY()&gt;=DATE(2026,2,1),'Conto Economico'!C227&lt;&gt;0)),'Conto Economico'!C227,$U89)</f>
        <v>41.86</v>
      </c>
      <c r="E89" s="147">
        <f ca="1">IF(AND(TODAY()&gt;=DATE(2026,2,1),OR(TODAY()&gt;=DATE(2026,3,1),'Conto Economico'!D227&lt;&gt;0)),'Conto Economico'!D227,MIN(MAX($U89,IFERROR(AVERAGEIF('Conto Economico'!$C227:C227,"&lt;&gt;0"),0)),MAX(0,($U89*12) - SUM('Conto Economico'!$C227:C227))))</f>
        <v>100.25999999999999</v>
      </c>
      <c r="F89" s="147">
        <f ca="1">IF(AND(TODAY()&gt;=DATE(2026,3,1),OR(TODAY()&gt;=DATE(2026,4,1),'Conto Economico'!E227&lt;&gt;0)),'Conto Economico'!E227,MIN(MAX($U89,IFERROR(AVERAGEIF('Conto Economico'!$C227:D227,"&lt;&gt;0"),0)),MAX(0,($U89*12) - SUM('Conto Economico'!$C227:D227))))</f>
        <v>88.699999999999989</v>
      </c>
      <c r="G89" s="147">
        <f ca="1">IF(AND(TODAY()&gt;=DATE(2026,4,1),OR(TODAY()&gt;=DATE(2026,5,1),'Conto Economico'!F227&lt;&gt;0)),'Conto Economico'!F227,MIN(MAX($U89,IFERROR(AVERAGEIF('Conto Economico'!$C227:E227,"&lt;&gt;0"),0)),MAX(0,($U89*12) - SUM('Conto Economico'!$C227:E227))))</f>
        <v>108.74999999999999</v>
      </c>
      <c r="H89" s="147">
        <f ca="1">IF(AND(TODAY()&gt;=DATE(2026,5,1),OR(TODAY()&gt;=DATE(2026,6,1),'Conto Economico'!G227&lt;&gt;0)),'Conto Economico'!G227,MIN(MAX($U89,IFERROR(AVERAGEIF('Conto Economico'!$C227:F227,"&lt;&gt;0"),0)),MAX(0,($U89*12) - SUM('Conto Economico'!$C227:F227))))</f>
        <v>132.25</v>
      </c>
      <c r="I89" s="147">
        <f ca="1">IF(AND(TODAY()&gt;=DATE(2026,6,1),OR(TODAY()&gt;=DATE(2026,7,1),'Conto Economico'!H227&lt;&gt;0)),'Conto Economico'!H227,MIN(MAX($U89,IFERROR(AVERAGEIF('Conto Economico'!$C227:G227,"&lt;&gt;0"),0)),MAX(0,($U89*12) - SUM('Conto Economico'!$C227:G227))))</f>
        <v>13.52</v>
      </c>
      <c r="J89" s="147">
        <f ca="1">IF(AND(TODAY()&gt;=DATE(2026,7,1),OR(TODAY()&gt;=DATE(2026,8,1),'Conto Economico'!I227&lt;&gt;0)),'Conto Economico'!I227,MIN(MAX($U89,IFERROR(AVERAGEIF('Conto Economico'!$C227:H227,"&lt;&gt;0"),0)),MAX(0,($U89*12) - SUM('Conto Economico'!$C227:H227))))</f>
        <v>80.89</v>
      </c>
      <c r="K89" s="147">
        <f ca="1">IF(AND(TODAY()&gt;=DATE(2026,8,1),OR(TODAY()&gt;=DATE(2026,9,1),'Conto Economico'!J227&lt;&gt;0)),'Conto Economico'!J227,MIN(MAX($U89,IFERROR(AVERAGEIF('Conto Economico'!$C227:I227,"&lt;&gt;0"),0)),MAX(0,($U89*12) - SUM('Conto Economico'!$C227:I227))))</f>
        <v>80.89</v>
      </c>
      <c r="L89" s="147">
        <f ca="1">IF(AND(TODAY()&gt;=DATE(2026,9,1),OR(TODAY()&gt;=DATE(2026,10,1),'Conto Economico'!K227&lt;&gt;0)),'Conto Economico'!K227,MIN(MAX($U89,IFERROR(AVERAGEIF('Conto Economico'!$C227:J227,"&lt;&gt;0"),0)),MAX(0,($U89*12) - SUM('Conto Economico'!$C227:J227))))</f>
        <v>80.89</v>
      </c>
      <c r="M89" s="147">
        <f ca="1">IF(AND(TODAY()&gt;=DATE(2026,10,1),OR(TODAY()&gt;=DATE(2026,11,1),'Conto Economico'!L227&lt;&gt;0)),'Conto Economico'!L227,MIN(MAX($U89,IFERROR(AVERAGEIF('Conto Economico'!$C227:K227,"&lt;&gt;0"),0)),MAX(0,($U89*12) - SUM('Conto Economico'!$C227:K227))))</f>
        <v>80.89</v>
      </c>
      <c r="N89" s="147">
        <f ca="1">IF(AND(TODAY()&gt;=DATE(2026,11,1),OR(TODAY()&gt;=DATE(2026,12,1),'Conto Economico'!M227&lt;&gt;0)),'Conto Economico'!M227,MIN(MAX($U89,IFERROR(AVERAGEIF('Conto Economico'!$C227:L227,"&lt;&gt;0"),0)),MAX(0,($U89*12) - SUM('Conto Economico'!$C227:L227))))</f>
        <v>80.89</v>
      </c>
      <c r="O89" s="147">
        <f ca="1">IF(AND(TODAY()&gt;=DATE(2026,12,1),OR(TODAY()&gt;=DATE(2027,1,1),'Conto Economico'!N227&lt;&gt;0)),'Conto Economico'!N227,MIN(MAX($U89,IFERROR(AVERAGEIF('Conto Economico'!$C227:M227,"&lt;&gt;0"),0)),MAX(0,($U89*12) - SUM('Conto Economico'!$C227:M227))))</f>
        <v>80.89</v>
      </c>
      <c r="Q89" s="147">
        <f ca="1">SUM(D89:O89)</f>
        <v>970.68</v>
      </c>
      <c r="R89" s="147">
        <f ca="1">Q89/12</f>
        <v>80.89</v>
      </c>
      <c r="T89" s="170">
        <f>'Budget 27'!C91</f>
        <v>700</v>
      </c>
      <c r="U89" s="170">
        <f t="shared" ref="U89:U91" si="48">T89/12</f>
        <v>58.333333333333336</v>
      </c>
      <c r="W89" s="170">
        <f ca="1">Q89-T89</f>
        <v>270.67999999999995</v>
      </c>
      <c r="X89" s="405">
        <f t="shared" ca="1" si="47"/>
        <v>1.3866857142857143</v>
      </c>
      <c r="Z89" s="234" t="str">
        <f>'Conto Economico'!A227</f>
        <v>Medicinali - Test Covid - Integratori</v>
      </c>
    </row>
    <row r="90" spans="1:26" x14ac:dyDescent="0.2">
      <c r="B90" s="169" t="str">
        <f>'Conto Economico'!A228</f>
        <v>Dentista</v>
      </c>
      <c r="C90" s="169"/>
      <c r="D90" s="147">
        <f ca="1">IF(AND(TODAY()&gt;=DATE(2026,1,1),OR(TODAY()&gt;=DATE(2026,2,1),'Conto Economico'!C228&lt;&gt;0)),'Conto Economico'!C228,$U90)</f>
        <v>0</v>
      </c>
      <c r="E90" s="147">
        <f ca="1">IF(AND(TODAY()&gt;=DATE(2026,2,1),OR(TODAY()&gt;=DATE(2026,3,1),'Conto Economico'!D228&lt;&gt;0)),'Conto Economico'!D228,MIN(MAX($U90,IFERROR(AVERAGEIF('Conto Economico'!$C228:C228,"&lt;&gt;0"),0)),MAX(0,($U90*12) - SUM('Conto Economico'!$C228:C228))))</f>
        <v>0</v>
      </c>
      <c r="F90" s="147">
        <f ca="1">IF(AND(TODAY()&gt;=DATE(2026,3,1),OR(TODAY()&gt;=DATE(2026,4,1),'Conto Economico'!E228&lt;&gt;0)),'Conto Economico'!E228,MIN(MAX($U90,IFERROR(AVERAGEIF('Conto Economico'!$C228:D228,"&lt;&gt;0"),0)),MAX(0,($U90*12) - SUM('Conto Economico'!$C228:D228))))</f>
        <v>0</v>
      </c>
      <c r="G90" s="147">
        <f ca="1">IF(AND(TODAY()&gt;=DATE(2026,4,1),OR(TODAY()&gt;=DATE(2026,5,1),'Conto Economico'!F228&lt;&gt;0)),'Conto Economico'!F228,MIN(MAX($U90,IFERROR(AVERAGEIF('Conto Economico'!$C228:E228,"&lt;&gt;0"),0)),MAX(0,($U90*12) - SUM('Conto Economico'!$C228:E228))))</f>
        <v>0</v>
      </c>
      <c r="H90" s="147">
        <f ca="1">IF(AND(TODAY()&gt;=DATE(2026,5,1),OR(TODAY()&gt;=DATE(2026,6,1),'Conto Economico'!G228&lt;&gt;0)),'Conto Economico'!G228,MIN(MAX($U90,IFERROR(AVERAGEIF('Conto Economico'!$C228:F228,"&lt;&gt;0"),0)),MAX(0,($U90*12) - SUM('Conto Economico'!$C228:F228))))</f>
        <v>0</v>
      </c>
      <c r="I90" s="147">
        <f ca="1">IF(AND(TODAY()&gt;=DATE(2026,6,1),OR(TODAY()&gt;=DATE(2026,7,1),'Conto Economico'!H228&lt;&gt;0)),'Conto Economico'!H228,MIN(MAX($U90,IFERROR(AVERAGEIF('Conto Economico'!$C228:G228,"&lt;&gt;0"),0)),MAX(0,($U90*12) - SUM('Conto Economico'!$C228:G228))))</f>
        <v>0</v>
      </c>
      <c r="J90" s="147">
        <f ca="1">IF(AND(TODAY()&gt;=DATE(2026,7,1),OR(TODAY()&gt;=DATE(2026,8,1),'Conto Economico'!I228&lt;&gt;0)),'Conto Economico'!I228,MIN(MAX($U90,IFERROR(AVERAGEIF('Conto Economico'!$C228:H228,"&lt;&gt;0"),0)),MAX(0,($U90*12) - SUM('Conto Economico'!$C228:H228))))</f>
        <v>25</v>
      </c>
      <c r="K90" s="147">
        <f ca="1">IF(AND(TODAY()&gt;=DATE(2026,8,1),OR(TODAY()&gt;=DATE(2026,9,1),'Conto Economico'!J228&lt;&gt;0)),'Conto Economico'!J228,MIN(MAX($U90,IFERROR(AVERAGEIF('Conto Economico'!$C228:I228,"&lt;&gt;0"),0)),MAX(0,($U90*12) - SUM('Conto Economico'!$C228:I228))))</f>
        <v>25</v>
      </c>
      <c r="L90" s="147">
        <f ca="1">IF(AND(TODAY()&gt;=DATE(2026,9,1),OR(TODAY()&gt;=DATE(2026,10,1),'Conto Economico'!K228&lt;&gt;0)),'Conto Economico'!K228,MIN(MAX($U90,IFERROR(AVERAGEIF('Conto Economico'!$C228:J228,"&lt;&gt;0"),0)),MAX(0,($U90*12) - SUM('Conto Economico'!$C228:J228))))</f>
        <v>25</v>
      </c>
      <c r="M90" s="147">
        <f ca="1">IF(AND(TODAY()&gt;=DATE(2026,10,1),OR(TODAY()&gt;=DATE(2026,11,1),'Conto Economico'!L228&lt;&gt;0)),'Conto Economico'!L228,MIN(MAX($U90,IFERROR(AVERAGEIF('Conto Economico'!$C228:K228,"&lt;&gt;0"),0)),MAX(0,($U90*12) - SUM('Conto Economico'!$C228:K228))))</f>
        <v>25</v>
      </c>
      <c r="N90" s="147">
        <f ca="1">IF(AND(TODAY()&gt;=DATE(2026,11,1),OR(TODAY()&gt;=DATE(2026,12,1),'Conto Economico'!M228&lt;&gt;0)),'Conto Economico'!M228,MIN(MAX($U90,IFERROR(AVERAGEIF('Conto Economico'!$C228:L228,"&lt;&gt;0"),0)),MAX(0,($U90*12) - SUM('Conto Economico'!$C228:L228))))</f>
        <v>25</v>
      </c>
      <c r="O90" s="147">
        <f ca="1">IF(AND(TODAY()&gt;=DATE(2026,12,1),OR(TODAY()&gt;=DATE(2027,1,1),'Conto Economico'!N228&lt;&gt;0)),'Conto Economico'!N228,MIN(MAX($U90,IFERROR(AVERAGEIF('Conto Economico'!$C228:M228,"&lt;&gt;0"),0)),MAX(0,($U90*12) - SUM('Conto Economico'!$C228:M228))))</f>
        <v>25</v>
      </c>
      <c r="Q90" s="147">
        <f ca="1">SUM(D90:O90)</f>
        <v>150</v>
      </c>
      <c r="R90" s="147">
        <f ca="1">Q90/12</f>
        <v>12.5</v>
      </c>
      <c r="T90" s="170">
        <f>'Budget 27'!C92</f>
        <v>300</v>
      </c>
      <c r="U90" s="170">
        <f t="shared" si="48"/>
        <v>25</v>
      </c>
      <c r="W90" s="170">
        <f ca="1">Q90-T90</f>
        <v>-150</v>
      </c>
      <c r="X90" s="405">
        <f t="shared" ca="1" si="47"/>
        <v>0.5</v>
      </c>
      <c r="Z90" s="234" t="str">
        <f>'Conto Economico'!A228</f>
        <v>Dentista</v>
      </c>
    </row>
    <row r="91" spans="1:26" x14ac:dyDescent="0.2">
      <c r="B91" s="169" t="str">
        <f>'Conto Economico'!A229</f>
        <v>Oculista - Occhiali</v>
      </c>
      <c r="C91" s="169"/>
      <c r="D91" s="147">
        <f ca="1">IF(AND(TODAY()&gt;=DATE(2026,1,1),OR(TODAY()&gt;=DATE(2026,2,1),'Conto Economico'!C229&lt;&gt;0)),'Conto Economico'!C229,$U91)</f>
        <v>97</v>
      </c>
      <c r="E91" s="147">
        <f ca="1">IF(AND(TODAY()&gt;=DATE(2026,2,1),OR(TODAY()&gt;=DATE(2026,3,1),'Conto Economico'!D229&lt;&gt;0)),'Conto Economico'!D229,MIN(MAX($U91,IFERROR(AVERAGEIF('Conto Economico'!$C229:C229,"&lt;&gt;0"),0)),MAX(0,($U91*12) - SUM('Conto Economico'!$C229:C229))))</f>
        <v>0</v>
      </c>
      <c r="F91" s="147">
        <f ca="1">IF(AND(TODAY()&gt;=DATE(2026,3,1),OR(TODAY()&gt;=DATE(2026,4,1),'Conto Economico'!E229&lt;&gt;0)),'Conto Economico'!E229,MIN(MAX($U91,IFERROR(AVERAGEIF('Conto Economico'!$C229:D229,"&lt;&gt;0"),0)),MAX(0,($U91*12) - SUM('Conto Economico'!$C229:D229))))</f>
        <v>0</v>
      </c>
      <c r="G91" s="147">
        <f ca="1">IF(AND(TODAY()&gt;=DATE(2026,4,1),OR(TODAY()&gt;=DATE(2026,5,1),'Conto Economico'!F229&lt;&gt;0)),'Conto Economico'!F229,MIN(MAX($U91,IFERROR(AVERAGEIF('Conto Economico'!$C229:E229,"&lt;&gt;0"),0)),MAX(0,($U91*12) - SUM('Conto Economico'!$C229:E229))))</f>
        <v>0</v>
      </c>
      <c r="H91" s="147">
        <f ca="1">IF(AND(TODAY()&gt;=DATE(2026,5,1),OR(TODAY()&gt;=DATE(2026,6,1),'Conto Economico'!G229&lt;&gt;0)),'Conto Economico'!G229,MIN(MAX($U91,IFERROR(AVERAGEIF('Conto Economico'!$C229:F229,"&lt;&gt;0"),0)),MAX(0,($U91*12) - SUM('Conto Economico'!$C229:F229))))</f>
        <v>0</v>
      </c>
      <c r="I91" s="147">
        <f ca="1">IF(AND(TODAY()&gt;=DATE(2026,6,1),OR(TODAY()&gt;=DATE(2026,7,1),'Conto Economico'!H229&lt;&gt;0)),'Conto Economico'!H229,MIN(MAX($U91,IFERROR(AVERAGEIF('Conto Economico'!$C229:G229,"&lt;&gt;0"),0)),MAX(0,($U91*12) - SUM('Conto Economico'!$C229:G229))))</f>
        <v>0</v>
      </c>
      <c r="J91" s="147">
        <f ca="1">IF(AND(TODAY()&gt;=DATE(2026,7,1),OR(TODAY()&gt;=DATE(2026,8,1),'Conto Economico'!I229&lt;&gt;0)),'Conto Economico'!I229,MIN(MAX($U91,IFERROR(AVERAGEIF('Conto Economico'!$C229:H229,"&lt;&gt;0"),0)),MAX(0,($U91*12) - SUM('Conto Economico'!$C229:H229))))</f>
        <v>53</v>
      </c>
      <c r="K91" s="147">
        <f ca="1">IF(AND(TODAY()&gt;=DATE(2026,8,1),OR(TODAY()&gt;=DATE(2026,9,1),'Conto Economico'!J229&lt;&gt;0)),'Conto Economico'!J229,MIN(MAX($U91,IFERROR(AVERAGEIF('Conto Economico'!$C229:I229,"&lt;&gt;0"),0)),MAX(0,($U91*12) - SUM('Conto Economico'!$C229:I229))))</f>
        <v>53</v>
      </c>
      <c r="L91" s="147">
        <f ca="1">IF(AND(TODAY()&gt;=DATE(2026,9,1),OR(TODAY()&gt;=DATE(2026,10,1),'Conto Economico'!K229&lt;&gt;0)),'Conto Economico'!K229,MIN(MAX($U91,IFERROR(AVERAGEIF('Conto Economico'!$C229:J229,"&lt;&gt;0"),0)),MAX(0,($U91*12) - SUM('Conto Economico'!$C229:J229))))</f>
        <v>53</v>
      </c>
      <c r="M91" s="147">
        <f ca="1">IF(AND(TODAY()&gt;=DATE(2026,10,1),OR(TODAY()&gt;=DATE(2026,11,1),'Conto Economico'!L229&lt;&gt;0)),'Conto Economico'!L229,MIN(MAX($U91,IFERROR(AVERAGEIF('Conto Economico'!$C229:K229,"&lt;&gt;0"),0)),MAX(0,($U91*12) - SUM('Conto Economico'!$C229:K229))))</f>
        <v>53</v>
      </c>
      <c r="N91" s="147">
        <f ca="1">IF(AND(TODAY()&gt;=DATE(2026,11,1),OR(TODAY()&gt;=DATE(2026,12,1),'Conto Economico'!M229&lt;&gt;0)),'Conto Economico'!M229,MIN(MAX($U91,IFERROR(AVERAGEIF('Conto Economico'!$C229:L229,"&lt;&gt;0"),0)),MAX(0,($U91*12) - SUM('Conto Economico'!$C229:L229))))</f>
        <v>53</v>
      </c>
      <c r="O91" s="147">
        <f ca="1">IF(AND(TODAY()&gt;=DATE(2026,12,1),OR(TODAY()&gt;=DATE(2027,1,1),'Conto Economico'!N229&lt;&gt;0)),'Conto Economico'!N229,MIN(MAX($U91,IFERROR(AVERAGEIF('Conto Economico'!$C229:M229,"&lt;&gt;0"),0)),MAX(0,($U91*12) - SUM('Conto Economico'!$C229:M229))))</f>
        <v>53</v>
      </c>
      <c r="Q91" s="147">
        <f ca="1">SUM(D91:O91)</f>
        <v>415</v>
      </c>
      <c r="R91" s="147">
        <f ca="1">Q91/12</f>
        <v>34.583333333333336</v>
      </c>
      <c r="T91" s="170">
        <f>'Budget 27'!C93</f>
        <v>150</v>
      </c>
      <c r="U91" s="170">
        <f t="shared" si="48"/>
        <v>12.5</v>
      </c>
      <c r="W91" s="170">
        <f ca="1">Q91-T91</f>
        <v>265</v>
      </c>
      <c r="X91" s="405">
        <f t="shared" ca="1" si="47"/>
        <v>2.7666666666666666</v>
      </c>
      <c r="Z91" s="234" t="str">
        <f>'Conto Economico'!A229</f>
        <v>Oculista - Occhiali</v>
      </c>
    </row>
    <row r="92" spans="1:26" x14ac:dyDescent="0.2">
      <c r="A92" s="157"/>
      <c r="B92" s="165"/>
      <c r="C92" s="203"/>
      <c r="D92" s="166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Q92" s="164"/>
      <c r="R92" s="164"/>
      <c r="S92" s="157"/>
      <c r="T92" s="164"/>
      <c r="U92" s="164"/>
      <c r="V92" s="157"/>
      <c r="W92" s="164"/>
      <c r="X92" s="320"/>
      <c r="Z92" s="235"/>
    </row>
    <row r="93" spans="1:26" x14ac:dyDescent="0.2">
      <c r="B93" s="167" t="str">
        <f>'Conto Economico'!A231</f>
        <v>Imposte Spagna</v>
      </c>
      <c r="C93" s="167"/>
      <c r="D93" s="149">
        <f t="shared" ref="D93:O93" ca="1" si="49">SUM(D94:D96)</f>
        <v>0</v>
      </c>
      <c r="E93" s="149">
        <f t="shared" ca="1" si="49"/>
        <v>0</v>
      </c>
      <c r="F93" s="149">
        <f t="shared" ca="1" si="49"/>
        <v>0</v>
      </c>
      <c r="G93" s="149">
        <f t="shared" ca="1" si="49"/>
        <v>0</v>
      </c>
      <c r="H93" s="149">
        <f t="shared" ca="1" si="49"/>
        <v>0</v>
      </c>
      <c r="I93" s="149">
        <f t="shared" ca="1" si="49"/>
        <v>0</v>
      </c>
      <c r="J93" s="149">
        <f t="shared" ca="1" si="49"/>
        <v>548.01</v>
      </c>
      <c r="K93" s="149">
        <f t="shared" ca="1" si="49"/>
        <v>547.80999999999995</v>
      </c>
      <c r="L93" s="149">
        <f t="shared" ca="1" si="49"/>
        <v>547.80999999999995</v>
      </c>
      <c r="M93" s="149">
        <f t="shared" ca="1" si="49"/>
        <v>547.80999999999995</v>
      </c>
      <c r="N93" s="149">
        <f t="shared" ca="1" si="49"/>
        <v>547.80999999999995</v>
      </c>
      <c r="O93" s="149">
        <f t="shared" ca="1" si="49"/>
        <v>547.80999999999995</v>
      </c>
      <c r="Q93" s="149">
        <f ca="1">SUM(Q94:Q96)</f>
        <v>3287.0599999999995</v>
      </c>
      <c r="R93" s="149">
        <f ca="1">SUM(R94:R96)</f>
        <v>273.92166666666662</v>
      </c>
      <c r="S93" s="149">
        <f>SUM(S94:S96)</f>
        <v>0</v>
      </c>
      <c r="T93" s="149">
        <f>SUM(T94:T96)</f>
        <v>1525</v>
      </c>
      <c r="U93" s="149">
        <f>SUM(U94:U95)</f>
        <v>127.08333333333333</v>
      </c>
      <c r="W93" s="168">
        <f ca="1">Q93-T93</f>
        <v>1762.0599999999995</v>
      </c>
      <c r="X93" s="319">
        <f ca="1">IF(T93=0,"-",Q93/T93)</f>
        <v>2.1554491803278686</v>
      </c>
      <c r="Z93" s="233" t="str">
        <f>'Conto Economico'!A231</f>
        <v>Imposte Spagna</v>
      </c>
    </row>
    <row r="94" spans="1:26" x14ac:dyDescent="0.2">
      <c r="B94" s="169" t="str">
        <f>'Conto Economico'!A232</f>
        <v>IBI</v>
      </c>
      <c r="C94" s="169"/>
      <c r="D94" s="147">
        <f ca="1">IF(AND(TODAY()&gt;=DATE(2026,1,1),OR(TODAY()&gt;=DATE(2026,2,1),'Conto Economico'!C232&lt;&gt;0)),'Conto Economico'!C232,$U94)</f>
        <v>0</v>
      </c>
      <c r="E94" s="147">
        <f ca="1">IF(AND(TODAY()&gt;=DATE(2026,2,1),OR(TODAY()&gt;=DATE(2026,3,1),'Conto Economico'!D232&lt;&gt;0)),'Conto Economico'!D232,MIN(MAX($U94,IFERROR(AVERAGEIF('Conto Economico'!$C232:C232,"&lt;&gt;0"),0)),MAX(0,($U94*12) - SUM('Conto Economico'!$C232:C232))))</f>
        <v>0</v>
      </c>
      <c r="F94" s="147">
        <f ca="1">IF(AND(TODAY()&gt;=DATE(2026,3,1),OR(TODAY()&gt;=DATE(2026,4,1),'Conto Economico'!E232&lt;&gt;0)),'Conto Economico'!E232,MIN(MAX($U94,IFERROR(AVERAGEIF('Conto Economico'!$C232:D232,"&lt;&gt;0"),0)),MAX(0,($U94*12) - SUM('Conto Economico'!$C232:D232))))</f>
        <v>0</v>
      </c>
      <c r="G94" s="147">
        <f ca="1">IF(AND(TODAY()&gt;=DATE(2026,4,1),OR(TODAY()&gt;=DATE(2026,5,1),'Conto Economico'!F232&lt;&gt;0)),'Conto Economico'!F232,MIN(MAX($U94,IFERROR(AVERAGEIF('Conto Economico'!$C232:E232,"&lt;&gt;0"),0)),MAX(0,($U94*12) - SUM('Conto Economico'!$C232:E232))))</f>
        <v>0</v>
      </c>
      <c r="H94" s="147">
        <f ca="1">IF(AND(TODAY()&gt;=DATE(2026,5,1),OR(TODAY()&gt;=DATE(2026,6,1),'Conto Economico'!G232&lt;&gt;0)),'Conto Economico'!G232,MIN(MAX($U94,IFERROR(AVERAGEIF('Conto Economico'!$C232:F232,"&lt;&gt;0"),0)),MAX(0,($U94*12) - SUM('Conto Economico'!$C232:F232))))</f>
        <v>0</v>
      </c>
      <c r="I94" s="147">
        <f ca="1">IF(AND(TODAY()&gt;=DATE(2026,6,1),OR(TODAY()&gt;=DATE(2026,7,1),'Conto Economico'!H232&lt;&gt;0)),'Conto Economico'!H232,MIN(MAX($U94,IFERROR(AVERAGEIF('Conto Economico'!$C232:G232,"&lt;&gt;0"),0)),MAX(0,($U94*12) - SUM('Conto Economico'!$C232:G232))))</f>
        <v>0</v>
      </c>
      <c r="J94" s="147">
        <f ca="1">IF(AND(TODAY()&gt;=DATE(2026,7,1),OR(TODAY()&gt;=DATE(2026,8,1),'Conto Economico'!I232&lt;&gt;0)),'Conto Economico'!I232,MIN(MAX($U94,IFERROR(AVERAGEIF('Conto Economico'!$C232:H232,"&lt;&gt;0"),0)),MAX(0,($U94*12) - SUM('Conto Economico'!$C232:H232))))</f>
        <v>535.41</v>
      </c>
      <c r="K94" s="147">
        <f ca="1">IF(AND(TODAY()&gt;=DATE(2026,8,1),OR(TODAY()&gt;=DATE(2026,9,1),'Conto Economico'!J232&lt;&gt;0)),'Conto Economico'!J232,MIN(MAX($U94,IFERROR(AVERAGEIF('Conto Economico'!$C232:I232,"&lt;&gt;0"),0)),MAX(0,($U94*12) - SUM('Conto Economico'!$C232:I232))))</f>
        <v>535.41</v>
      </c>
      <c r="L94" s="147">
        <f ca="1">IF(AND(TODAY()&gt;=DATE(2026,9,1),OR(TODAY()&gt;=DATE(2026,10,1),'Conto Economico'!K232&lt;&gt;0)),'Conto Economico'!K232,MIN(MAX($U94,IFERROR(AVERAGEIF('Conto Economico'!$C232:J232,"&lt;&gt;0"),0)),MAX(0,($U94*12) - SUM('Conto Economico'!$C232:J232))))</f>
        <v>535.41</v>
      </c>
      <c r="M94" s="147">
        <f ca="1">IF(AND(TODAY()&gt;=DATE(2026,10,1),OR(TODAY()&gt;=DATE(2026,11,1),'Conto Economico'!L232&lt;&gt;0)),'Conto Economico'!L232,MIN(MAX($U94,IFERROR(AVERAGEIF('Conto Economico'!$C232:K232,"&lt;&gt;0"),0)),MAX(0,($U94*12) - SUM('Conto Economico'!$C232:K232))))</f>
        <v>535.41</v>
      </c>
      <c r="N94" s="147">
        <f ca="1">IF(AND(TODAY()&gt;=DATE(2026,11,1),OR(TODAY()&gt;=DATE(2026,12,1),'Conto Economico'!M232&lt;&gt;0)),'Conto Economico'!M232,MIN(MAX($U94,IFERROR(AVERAGEIF('Conto Economico'!$C232:L232,"&lt;&gt;0"),0)),MAX(0,($U94*12) - SUM('Conto Economico'!$C232:L232))))</f>
        <v>535.41</v>
      </c>
      <c r="O94" s="147">
        <f ca="1">IF(AND(TODAY()&gt;=DATE(2026,12,1),OR(TODAY()&gt;=DATE(2027,1,1),'Conto Economico'!N232&lt;&gt;0)),'Conto Economico'!N232,MIN(MAX($U94,IFERROR(AVERAGEIF('Conto Economico'!$C232:M232,"&lt;&gt;0"),0)),MAX(0,($U94*12) - SUM('Conto Economico'!$C232:M232))))</f>
        <v>535.41</v>
      </c>
      <c r="Q94" s="147">
        <f ca="1">SUM(D94:O94)</f>
        <v>3212.4599999999996</v>
      </c>
      <c r="R94" s="147">
        <f ca="1">Q94/12</f>
        <v>267.70499999999998</v>
      </c>
      <c r="T94" s="170">
        <f>'Budget 27'!C96</f>
        <v>1500</v>
      </c>
      <c r="U94" s="170">
        <f>T94/12</f>
        <v>125</v>
      </c>
      <c r="W94" s="170">
        <f ca="1">Q94-T94</f>
        <v>1712.4599999999996</v>
      </c>
      <c r="X94" s="405">
        <f t="shared" ref="X94:X96" ca="1" si="50">IF(T94=0,"-",Q94/T94)</f>
        <v>2.1416399999999998</v>
      </c>
      <c r="Z94" s="234" t="str">
        <f>'Conto Economico'!A232</f>
        <v>IBI</v>
      </c>
    </row>
    <row r="95" spans="1:26" x14ac:dyDescent="0.2">
      <c r="B95" s="169" t="str">
        <f>'Conto Economico'!A233</f>
        <v>Imposte Spagna</v>
      </c>
      <c r="C95" s="169"/>
      <c r="D95" s="147">
        <f ca="1">IF(AND(TODAY()&gt;=DATE(2026,1,1),OR(TODAY()&gt;=DATE(2026,2,1),'Conto Economico'!C233&lt;&gt;0)),'Conto Economico'!C233,$U95)</f>
        <v>0</v>
      </c>
      <c r="E95" s="147">
        <f ca="1">IF(AND(TODAY()&gt;=DATE(2026,2,1),OR(TODAY()&gt;=DATE(2026,3,1),'Conto Economico'!D233&lt;&gt;0)),'Conto Economico'!D233,MIN(MAX($U95,IFERROR(AVERAGEIF('Conto Economico'!$C233:C233,"&lt;&gt;0"),0)),MAX(0,($U95*12) - SUM('Conto Economico'!$C233:C233))))</f>
        <v>0</v>
      </c>
      <c r="F95" s="147">
        <f ca="1">IF(AND(TODAY()&gt;=DATE(2026,3,1),OR(TODAY()&gt;=DATE(2026,4,1),'Conto Economico'!E233&lt;&gt;0)),'Conto Economico'!E233,MIN(MAX($U95,IFERROR(AVERAGEIF('Conto Economico'!$C233:D233,"&lt;&gt;0"),0)),MAX(0,($U95*12) - SUM('Conto Economico'!$C233:D233))))</f>
        <v>0</v>
      </c>
      <c r="G95" s="147">
        <f ca="1">IF(AND(TODAY()&gt;=DATE(2026,4,1),OR(TODAY()&gt;=DATE(2026,5,1),'Conto Economico'!F233&lt;&gt;0)),'Conto Economico'!F233,MIN(MAX($U95,IFERROR(AVERAGEIF('Conto Economico'!$C233:E233,"&lt;&gt;0"),0)),MAX(0,($U95*12) - SUM('Conto Economico'!$C233:E233))))</f>
        <v>0</v>
      </c>
      <c r="H95" s="147">
        <f ca="1">IF(AND(TODAY()&gt;=DATE(2026,5,1),OR(TODAY()&gt;=DATE(2026,6,1),'Conto Economico'!G233&lt;&gt;0)),'Conto Economico'!G233,MIN(MAX($U95,IFERROR(AVERAGEIF('Conto Economico'!$C233:F233,"&lt;&gt;0"),0)),MAX(0,($U95*12) - SUM('Conto Economico'!$C233:F233))))</f>
        <v>0</v>
      </c>
      <c r="I95" s="147">
        <f ca="1">IF(AND(TODAY()&gt;=DATE(2026,6,1),OR(TODAY()&gt;=DATE(2026,7,1),'Conto Economico'!H233&lt;&gt;0)),'Conto Economico'!H233,MIN(MAX($U95,IFERROR(AVERAGEIF('Conto Economico'!$C233:G233,"&lt;&gt;0"),0)),MAX(0,($U95*12) - SUM('Conto Economico'!$C233:G233))))</f>
        <v>0</v>
      </c>
      <c r="J95" s="147">
        <f ca="1">IF(AND(TODAY()&gt;=DATE(2026,7,1),OR(TODAY()&gt;=DATE(2026,8,1),'Conto Economico'!I233&lt;&gt;0)),'Conto Economico'!I233,MIN(MAX($U95,IFERROR(AVERAGEIF('Conto Economico'!$C233:H233,"&lt;&gt;0"),0)),MAX(0,($U95*12) - SUM('Conto Economico'!$C233:H233))))</f>
        <v>12.6</v>
      </c>
      <c r="K95" s="147">
        <f ca="1">IF(AND(TODAY()&gt;=DATE(2026,8,1),OR(TODAY()&gt;=DATE(2026,9,1),'Conto Economico'!J233&lt;&gt;0)),'Conto Economico'!J233,MIN(MAX($U95,IFERROR(AVERAGEIF('Conto Economico'!$C233:I233,"&lt;&gt;0"),0)),MAX(0,($U95*12) - SUM('Conto Economico'!$C233:I233))))</f>
        <v>12.4</v>
      </c>
      <c r="L95" s="147">
        <f ca="1">IF(AND(TODAY()&gt;=DATE(2026,9,1),OR(TODAY()&gt;=DATE(2026,10,1),'Conto Economico'!K233&lt;&gt;0)),'Conto Economico'!K233,MIN(MAX($U95,IFERROR(AVERAGEIF('Conto Economico'!$C233:J233,"&lt;&gt;0"),0)),MAX(0,($U95*12) - SUM('Conto Economico'!$C233:J233))))</f>
        <v>12.4</v>
      </c>
      <c r="M95" s="147">
        <f ca="1">IF(AND(TODAY()&gt;=DATE(2026,10,1),OR(TODAY()&gt;=DATE(2026,11,1),'Conto Economico'!L233&lt;&gt;0)),'Conto Economico'!L233,MIN(MAX($U95,IFERROR(AVERAGEIF('Conto Economico'!$C233:K233,"&lt;&gt;0"),0)),MAX(0,($U95*12) - SUM('Conto Economico'!$C233:K233))))</f>
        <v>12.4</v>
      </c>
      <c r="N95" s="147">
        <f ca="1">IF(AND(TODAY()&gt;=DATE(2026,11,1),OR(TODAY()&gt;=DATE(2026,12,1),'Conto Economico'!M233&lt;&gt;0)),'Conto Economico'!M233,MIN(MAX($U95,IFERROR(AVERAGEIF('Conto Economico'!$C233:L233,"&lt;&gt;0"),0)),MAX(0,($U95*12) - SUM('Conto Economico'!$C233:L233))))</f>
        <v>12.4</v>
      </c>
      <c r="O95" s="147">
        <f ca="1">IF(AND(TODAY()&gt;=DATE(2026,12,1),OR(TODAY()&gt;=DATE(2027,1,1),'Conto Economico'!N233&lt;&gt;0)),'Conto Economico'!N233,MIN(MAX($U95,IFERROR(AVERAGEIF('Conto Economico'!$C233:M233,"&lt;&gt;0"),0)),MAX(0,($U95*12) - SUM('Conto Economico'!$C233:M233))))</f>
        <v>12.4</v>
      </c>
      <c r="Q95" s="147">
        <f ca="1">SUM(D95:O95)</f>
        <v>74.599999999999994</v>
      </c>
      <c r="R95" s="147">
        <f ca="1">Q95/12</f>
        <v>6.2166666666666659</v>
      </c>
      <c r="T95" s="170">
        <f>'Budget 27'!C97</f>
        <v>25</v>
      </c>
      <c r="U95" s="170">
        <f>T95/12</f>
        <v>2.0833333333333335</v>
      </c>
      <c r="W95" s="170">
        <f ca="1">Q95-T95</f>
        <v>49.599999999999994</v>
      </c>
      <c r="X95" s="405">
        <f t="shared" ca="1" si="50"/>
        <v>2.984</v>
      </c>
      <c r="Z95" s="234" t="str">
        <f>'Conto Economico'!A233</f>
        <v>Imposte Spagna</v>
      </c>
    </row>
    <row r="96" spans="1:26" x14ac:dyDescent="0.2">
      <c r="B96" s="169" t="str">
        <f>'Conto Economico'!A234</f>
        <v>Commercialista Spagna</v>
      </c>
      <c r="C96" s="169"/>
      <c r="D96" s="147">
        <f ca="1">IF(AND(TODAY()&gt;=DATE(2026,1,1),OR(TODAY()&gt;=DATE(2026,2,1),'Conto Economico'!C234&lt;&gt;0)),'Conto Economico'!C234,$U96)</f>
        <v>0</v>
      </c>
      <c r="E96" s="147">
        <f ca="1">IF(AND(TODAY()&gt;=DATE(2026,2,1),OR(TODAY()&gt;=DATE(2026,3,1),'Conto Economico'!D234&lt;&gt;0)),'Conto Economico'!D234,MIN(MAX($U96,IFERROR(AVERAGEIF('Conto Economico'!$C234:C234,"&lt;&gt;0"),0)),MAX(0,($U96*12) - SUM('Conto Economico'!$C234:C234))))</f>
        <v>0</v>
      </c>
      <c r="F96" s="147">
        <f ca="1">IF(AND(TODAY()&gt;=DATE(2026,3,1),OR(TODAY()&gt;=DATE(2026,4,1),'Conto Economico'!E234&lt;&gt;0)),'Conto Economico'!E234,MIN(MAX($U96,IFERROR(AVERAGEIF('Conto Economico'!$C234:D234,"&lt;&gt;0"),0)),MAX(0,($U96*12) - SUM('Conto Economico'!$C234:D234))))</f>
        <v>0</v>
      </c>
      <c r="G96" s="147">
        <f ca="1">IF(AND(TODAY()&gt;=DATE(2026,4,1),OR(TODAY()&gt;=DATE(2026,5,1),'Conto Economico'!F234&lt;&gt;0)),'Conto Economico'!F234,MIN(MAX($U96,IFERROR(AVERAGEIF('Conto Economico'!$C234:E234,"&lt;&gt;0"),0)),MAX(0,($U96*12) - SUM('Conto Economico'!$C234:E234))))</f>
        <v>0</v>
      </c>
      <c r="H96" s="147">
        <f ca="1">IF(AND(TODAY()&gt;=DATE(2026,5,1),OR(TODAY()&gt;=DATE(2026,6,1),'Conto Economico'!G234&lt;&gt;0)),'Conto Economico'!G234,MIN(MAX($U96,IFERROR(AVERAGEIF('Conto Economico'!$C234:F234,"&lt;&gt;0"),0)),MAX(0,($U96*12) - SUM('Conto Economico'!$C234:F234))))</f>
        <v>0</v>
      </c>
      <c r="I96" s="147">
        <f ca="1">IF(AND(TODAY()&gt;=DATE(2026,6,1),OR(TODAY()&gt;=DATE(2026,7,1),'Conto Economico'!H234&lt;&gt;0)),'Conto Economico'!H234,MIN(MAX($U96,IFERROR(AVERAGEIF('Conto Economico'!$C234:G234,"&lt;&gt;0"),0)),MAX(0,($U96*12) - SUM('Conto Economico'!$C234:G234))))</f>
        <v>0</v>
      </c>
      <c r="J96" s="147">
        <f ca="1">IF(AND(TODAY()&gt;=DATE(2026,7,1),OR(TODAY()&gt;=DATE(2026,8,1),'Conto Economico'!I234&lt;&gt;0)),'Conto Economico'!I234,MIN(MAX($U96,IFERROR(AVERAGEIF('Conto Economico'!$C234:H234,"&lt;&gt;0"),0)),MAX(0,($U96*12) - SUM('Conto Economico'!$C234:H234))))</f>
        <v>0</v>
      </c>
      <c r="K96" s="147">
        <f ca="1">IF(AND(TODAY()&gt;=DATE(2026,8,1),OR(TODAY()&gt;=DATE(2026,9,1),'Conto Economico'!J234&lt;&gt;0)),'Conto Economico'!J234,MIN(MAX($U96,IFERROR(AVERAGEIF('Conto Economico'!$C234:I234,"&lt;&gt;0"),0)),MAX(0,($U96*12) - SUM('Conto Economico'!$C234:I234))))</f>
        <v>0</v>
      </c>
      <c r="L96" s="147">
        <f ca="1">IF(AND(TODAY()&gt;=DATE(2026,9,1),OR(TODAY()&gt;=DATE(2026,10,1),'Conto Economico'!K234&lt;&gt;0)),'Conto Economico'!K234,MIN(MAX($U96,IFERROR(AVERAGEIF('Conto Economico'!$C234:J234,"&lt;&gt;0"),0)),MAX(0,($U96*12) - SUM('Conto Economico'!$C234:J234))))</f>
        <v>0</v>
      </c>
      <c r="M96" s="147">
        <f ca="1">IF(AND(TODAY()&gt;=DATE(2026,10,1),OR(TODAY()&gt;=DATE(2026,11,1),'Conto Economico'!L234&lt;&gt;0)),'Conto Economico'!L234,MIN(MAX($U96,IFERROR(AVERAGEIF('Conto Economico'!$C234:K234,"&lt;&gt;0"),0)),MAX(0,($U96*12) - SUM('Conto Economico'!$C234:K234))))</f>
        <v>0</v>
      </c>
      <c r="N96" s="147">
        <f ca="1">IF(AND(TODAY()&gt;=DATE(2026,11,1),OR(TODAY()&gt;=DATE(2026,12,1),'Conto Economico'!M234&lt;&gt;0)),'Conto Economico'!M234,MIN(MAX($U96,IFERROR(AVERAGEIF('Conto Economico'!$C234:L234,"&lt;&gt;0"),0)),MAX(0,($U96*12) - SUM('Conto Economico'!$C234:L234))))</f>
        <v>0</v>
      </c>
      <c r="O96" s="147">
        <f ca="1">IF(AND(TODAY()&gt;=DATE(2026,12,1),OR(TODAY()&gt;=DATE(2027,1,1),'Conto Economico'!N234&lt;&gt;0)),'Conto Economico'!N234,MIN(MAX($U96,IFERROR(AVERAGEIF('Conto Economico'!$C234:M234,"&lt;&gt;0"),0)),MAX(0,($U96*12) - SUM('Conto Economico'!$C234:M234))))</f>
        <v>0</v>
      </c>
      <c r="Q96" s="147">
        <f ca="1">SUM(D96:O96)</f>
        <v>0</v>
      </c>
      <c r="R96" s="147">
        <f ca="1">Q96/12</f>
        <v>0</v>
      </c>
      <c r="T96" s="170">
        <f>'Budget 27'!C98</f>
        <v>0</v>
      </c>
      <c r="U96" s="170">
        <f>T96/12</f>
        <v>0</v>
      </c>
      <c r="W96" s="170">
        <f ca="1">Q96-T96</f>
        <v>0</v>
      </c>
      <c r="X96" s="405" t="str">
        <f t="shared" si="50"/>
        <v>-</v>
      </c>
      <c r="Z96" s="234" t="str">
        <f>'Conto Economico'!A234</f>
        <v>Commercialista Spagna</v>
      </c>
    </row>
    <row r="97" spans="1:26" x14ac:dyDescent="0.2">
      <c r="B97" s="172"/>
      <c r="C97" s="169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Q97" s="173"/>
      <c r="R97" s="173"/>
      <c r="T97" s="174"/>
      <c r="U97" s="174"/>
      <c r="V97" s="173"/>
      <c r="W97" s="174"/>
      <c r="X97" s="320"/>
      <c r="Z97" s="236"/>
    </row>
    <row r="98" spans="1:26" x14ac:dyDescent="0.2">
      <c r="A98" s="157"/>
      <c r="B98" s="167" t="str">
        <f>'Conto Economico'!A236</f>
        <v>Imposte Italia</v>
      </c>
      <c r="C98" s="167"/>
      <c r="D98" s="149">
        <f t="shared" ref="D98:O98" ca="1" si="51">SUM(D99:D101)</f>
        <v>2</v>
      </c>
      <c r="E98" s="149">
        <f t="shared" ca="1" si="51"/>
        <v>2</v>
      </c>
      <c r="F98" s="149">
        <f t="shared" ca="1" si="51"/>
        <v>590.25999999999988</v>
      </c>
      <c r="G98" s="149">
        <f t="shared" ca="1" si="51"/>
        <v>2</v>
      </c>
      <c r="H98" s="149">
        <f t="shared" ca="1" si="51"/>
        <v>882.74</v>
      </c>
      <c r="I98" s="149">
        <f t="shared" ca="1" si="51"/>
        <v>551.76</v>
      </c>
      <c r="J98" s="149">
        <f t="shared" ca="1" si="51"/>
        <v>191.67</v>
      </c>
      <c r="K98" s="149">
        <f t="shared" ca="1" si="51"/>
        <v>191.67</v>
      </c>
      <c r="L98" s="149">
        <f t="shared" ca="1" si="51"/>
        <v>191.67</v>
      </c>
      <c r="M98" s="149">
        <f t="shared" ca="1" si="51"/>
        <v>191.67</v>
      </c>
      <c r="N98" s="149">
        <f t="shared" ca="1" si="51"/>
        <v>191.67</v>
      </c>
      <c r="O98" s="149">
        <f t="shared" ca="1" si="51"/>
        <v>191.67</v>
      </c>
      <c r="Q98" s="149">
        <f ca="1">SUM(Q99:Q101)</f>
        <v>3180.7800000000007</v>
      </c>
      <c r="R98" s="149">
        <f ca="1">SUM(R99:R101)</f>
        <v>265.06500000000005</v>
      </c>
      <c r="S98" s="149"/>
      <c r="T98" s="149">
        <f>SUM(T99:T101)</f>
        <v>2000</v>
      </c>
      <c r="U98" s="149">
        <f>SUM(U99:U101)</f>
        <v>166.66666666666666</v>
      </c>
      <c r="W98" s="168">
        <f ca="1">Q98-T98</f>
        <v>1180.7800000000007</v>
      </c>
      <c r="X98" s="319">
        <f ca="1">IF(T98=0,"-",Q98/T98)</f>
        <v>1.5903900000000004</v>
      </c>
      <c r="Z98" s="233" t="str">
        <f>'Conto Economico'!A236</f>
        <v>Imposte Italia</v>
      </c>
    </row>
    <row r="99" spans="1:26" x14ac:dyDescent="0.2">
      <c r="B99" s="169" t="str">
        <f>'Conto Economico'!A237</f>
        <v>Imposte Italia</v>
      </c>
      <c r="C99" s="169"/>
      <c r="D99" s="147">
        <f ca="1">IF(AND(TODAY()&gt;=DATE(2026,1,1),OR(TODAY()&gt;=DATE(2026,2,1),'Conto Economico'!C237&lt;&gt;0)),'Conto Economico'!C237,$U99)</f>
        <v>0</v>
      </c>
      <c r="E99" s="147">
        <f ca="1">IF(AND(TODAY()&gt;=DATE(2026,2,1),OR(TODAY()&gt;=DATE(2026,3,1),'Conto Economico'!D237&lt;&gt;0)),'Conto Economico'!D237,MIN(MAX($U99,IFERROR(AVERAGEIF('Conto Economico'!$C237:C237,"&lt;&gt;0"),0)),MAX(0,($U99*12) - SUM('Conto Economico'!$C237:C237))))</f>
        <v>0</v>
      </c>
      <c r="F99" s="147">
        <f ca="1">IF(AND(TODAY()&gt;=DATE(2026,3,1),OR(TODAY()&gt;=DATE(2026,4,1),'Conto Economico'!E237&lt;&gt;0)),'Conto Economico'!E237,MIN(MAX($U99,IFERROR(AVERAGEIF('Conto Economico'!$C237:D237,"&lt;&gt;0"),0)),MAX(0,($U99*12) - SUM('Conto Economico'!$C237:D237))))</f>
        <v>0</v>
      </c>
      <c r="G99" s="147">
        <f ca="1">IF(AND(TODAY()&gt;=DATE(2026,4,1),OR(TODAY()&gt;=DATE(2026,5,1),'Conto Economico'!F237&lt;&gt;0)),'Conto Economico'!F237,MIN(MAX($U99,IFERROR(AVERAGEIF('Conto Economico'!$C237:E237,"&lt;&gt;0"),0)),MAX(0,($U99*12) - SUM('Conto Economico'!$C237:E237))))</f>
        <v>0</v>
      </c>
      <c r="H99" s="147">
        <f ca="1">IF(AND(TODAY()&gt;=DATE(2026,5,1),OR(TODAY()&gt;=DATE(2026,6,1),'Conto Economico'!G237&lt;&gt;0)),'Conto Economico'!G237,MIN(MAX($U99,IFERROR(AVERAGEIF('Conto Economico'!$C237:F237,"&lt;&gt;0"),0)),MAX(0,($U99*12) - SUM('Conto Economico'!$C237:F237))))</f>
        <v>880.74</v>
      </c>
      <c r="I99" s="147">
        <f ca="1">IF(AND(TODAY()&gt;=DATE(2026,6,1),OR(TODAY()&gt;=DATE(2026,7,1),'Conto Economico'!H237&lt;&gt;0)),'Conto Economico'!H237,MIN(MAX($U99,IFERROR(AVERAGEIF('Conto Economico'!$C237:G237,"&lt;&gt;0"),0)),MAX(0,($U99*12) - SUM('Conto Economico'!$C237:G237))))</f>
        <v>0</v>
      </c>
      <c r="J99" s="147">
        <f ca="1">IF(AND(TODAY()&gt;=DATE(2026,7,1),OR(TODAY()&gt;=DATE(2026,8,1),'Conto Economico'!I237&lt;&gt;0)),'Conto Economico'!I237,MIN(MAX($U99,IFERROR(AVERAGEIF('Conto Economico'!$C237:H237,"&lt;&gt;0"),0)),MAX(0,($U99*12) - SUM('Conto Economico'!$C237:H237))))</f>
        <v>0</v>
      </c>
      <c r="K99" s="147">
        <f ca="1">IF(AND(TODAY()&gt;=DATE(2026,8,1),OR(TODAY()&gt;=DATE(2026,9,1),'Conto Economico'!J237&lt;&gt;0)),'Conto Economico'!J237,MIN(MAX($U99,IFERROR(AVERAGEIF('Conto Economico'!$C237:I237,"&lt;&gt;0"),0)),MAX(0,($U99*12) - SUM('Conto Economico'!$C237:I237))))</f>
        <v>0</v>
      </c>
      <c r="L99" s="147">
        <f ca="1">IF(AND(TODAY()&gt;=DATE(2026,9,1),OR(TODAY()&gt;=DATE(2026,10,1),'Conto Economico'!K237&lt;&gt;0)),'Conto Economico'!K237,MIN(MAX($U99,IFERROR(AVERAGEIF('Conto Economico'!$C237:J237,"&lt;&gt;0"),0)),MAX(0,($U99*12) - SUM('Conto Economico'!$C237:J237))))</f>
        <v>0</v>
      </c>
      <c r="M99" s="147">
        <f ca="1">IF(AND(TODAY()&gt;=DATE(2026,10,1),OR(TODAY()&gt;=DATE(2026,11,1),'Conto Economico'!L237&lt;&gt;0)),'Conto Economico'!L237,MIN(MAX($U99,IFERROR(AVERAGEIF('Conto Economico'!$C237:K237,"&lt;&gt;0"),0)),MAX(0,($U99*12) - SUM('Conto Economico'!$C237:K237))))</f>
        <v>0</v>
      </c>
      <c r="N99" s="147">
        <f ca="1">IF(AND(TODAY()&gt;=DATE(2026,11,1),OR(TODAY()&gt;=DATE(2026,12,1),'Conto Economico'!M237&lt;&gt;0)),'Conto Economico'!M237,MIN(MAX($U99,IFERROR(AVERAGEIF('Conto Economico'!$C237:L237,"&lt;&gt;0"),0)),MAX(0,($U99*12) - SUM('Conto Economico'!$C237:L237))))</f>
        <v>0</v>
      </c>
      <c r="O99" s="147">
        <f ca="1">IF(AND(TODAY()&gt;=DATE(2026,12,1),OR(TODAY()&gt;=DATE(2027,1,1),'Conto Economico'!N237&lt;&gt;0)),'Conto Economico'!N237,MIN(MAX($U99,IFERROR(AVERAGEIF('Conto Economico'!$C237:M237,"&lt;&gt;0"),0)),MAX(0,($U99*12) - SUM('Conto Economico'!$C237:M237))))</f>
        <v>0</v>
      </c>
      <c r="Q99" s="147">
        <f ca="1">SUM(D99:O99)</f>
        <v>880.74</v>
      </c>
      <c r="R99" s="147">
        <f ca="1">Q99/12</f>
        <v>73.394999999999996</v>
      </c>
      <c r="T99" s="170">
        <f>'Budget 27'!C101</f>
        <v>0</v>
      </c>
      <c r="U99" s="170">
        <f>T99/12</f>
        <v>0</v>
      </c>
      <c r="W99" s="170">
        <f ca="1">Q99-T99</f>
        <v>880.74</v>
      </c>
      <c r="X99" s="405" t="str">
        <f t="shared" ref="X99:X101" si="52">IF(T99=0,"-",Q99/T99)</f>
        <v>-</v>
      </c>
      <c r="Z99" s="234" t="str">
        <f>'Conto Economico'!A237</f>
        <v>Imposte Italia</v>
      </c>
    </row>
    <row r="100" spans="1:26" x14ac:dyDescent="0.2">
      <c r="B100" s="169" t="str">
        <f>'Conto Economico'!A238</f>
        <v>Imposta di Bollo Titoli e CC</v>
      </c>
      <c r="C100" s="169"/>
      <c r="D100" s="147">
        <f ca="1">IF(AND(TODAY()&gt;=DATE(2026,1,1),OR(TODAY()&gt;=DATE(2026,2,1),'Conto Economico'!C238&lt;&gt;0)),'Conto Economico'!C238,$U100)</f>
        <v>2</v>
      </c>
      <c r="E100" s="147">
        <f ca="1">IF(AND(TODAY()&gt;=DATE(2026,2,1),OR(TODAY()&gt;=DATE(2026,3,1),'Conto Economico'!D238&lt;&gt;0)),'Conto Economico'!D238,MIN(MAX($U100,IFERROR(AVERAGEIF('Conto Economico'!$C238:C238,"&lt;&gt;0"),0)),MAX(0,($U100*12) - SUM('Conto Economico'!$C238:C238))))</f>
        <v>2</v>
      </c>
      <c r="F100" s="147">
        <f ca="1">IF(AND(TODAY()&gt;=DATE(2026,3,1),OR(TODAY()&gt;=DATE(2026,4,1),'Conto Economico'!E238&lt;&gt;0)),'Conto Economico'!E238,MIN(MAX($U100,IFERROR(AVERAGEIF('Conto Economico'!$C238:D238,"&lt;&gt;0"),0)),MAX(0,($U100*12) - SUM('Conto Economico'!$C238:D238))))</f>
        <v>590.25999999999988</v>
      </c>
      <c r="G100" s="147">
        <f ca="1">IF(AND(TODAY()&gt;=DATE(2026,4,1),OR(TODAY()&gt;=DATE(2026,5,1),'Conto Economico'!F238&lt;&gt;0)),'Conto Economico'!F238,MIN(MAX($U100,IFERROR(AVERAGEIF('Conto Economico'!$C238:E238,"&lt;&gt;0"),0)),MAX(0,($U100*12) - SUM('Conto Economico'!$C238:E238))))</f>
        <v>2</v>
      </c>
      <c r="H100" s="147">
        <f ca="1">IF(AND(TODAY()&gt;=DATE(2026,5,1),OR(TODAY()&gt;=DATE(2026,6,1),'Conto Economico'!G238&lt;&gt;0)),'Conto Economico'!G238,MIN(MAX($U100,IFERROR(AVERAGEIF('Conto Economico'!$C238:F238,"&lt;&gt;0"),0)),MAX(0,($U100*12) - SUM('Conto Economico'!$C238:F238))))</f>
        <v>2</v>
      </c>
      <c r="I100" s="147">
        <f ca="1">IF(AND(TODAY()&gt;=DATE(2026,6,1),OR(TODAY()&gt;=DATE(2026,7,1),'Conto Economico'!H238&lt;&gt;0)),'Conto Economico'!H238,MIN(MAX($U100,IFERROR(AVERAGEIF('Conto Economico'!$C238:G238,"&lt;&gt;0"),0)),MAX(0,($U100*12) - SUM('Conto Economico'!$C238:G238))))</f>
        <v>551.76</v>
      </c>
      <c r="J100" s="147">
        <f ca="1">IF(AND(TODAY()&gt;=DATE(2026,7,1),OR(TODAY()&gt;=DATE(2026,8,1),'Conto Economico'!I238&lt;&gt;0)),'Conto Economico'!I238,MIN(MAX($U100,IFERROR(AVERAGEIF('Conto Economico'!$C238:H238,"&lt;&gt;0"),0)),MAX(0,($U100*12) - SUM('Conto Economico'!$C238:H238))))</f>
        <v>191.67</v>
      </c>
      <c r="K100" s="147">
        <f ca="1">IF(AND(TODAY()&gt;=DATE(2026,8,1),OR(TODAY()&gt;=DATE(2026,9,1),'Conto Economico'!J238&lt;&gt;0)),'Conto Economico'!J238,MIN(MAX($U100,IFERROR(AVERAGEIF('Conto Economico'!$C238:I238,"&lt;&gt;0"),0)),MAX(0,($U100*12) - SUM('Conto Economico'!$C238:I238))))</f>
        <v>191.67</v>
      </c>
      <c r="L100" s="147">
        <f ca="1">IF(AND(TODAY()&gt;=DATE(2026,9,1),OR(TODAY()&gt;=DATE(2026,10,1),'Conto Economico'!K238&lt;&gt;0)),'Conto Economico'!K238,MIN(MAX($U100,IFERROR(AVERAGEIF('Conto Economico'!$C238:J238,"&lt;&gt;0"),0)),MAX(0,($U100*12) - SUM('Conto Economico'!$C238:J238))))</f>
        <v>191.67</v>
      </c>
      <c r="M100" s="147">
        <f ca="1">IF(AND(TODAY()&gt;=DATE(2026,10,1),OR(TODAY()&gt;=DATE(2026,11,1),'Conto Economico'!L238&lt;&gt;0)),'Conto Economico'!L238,MIN(MAX($U100,IFERROR(AVERAGEIF('Conto Economico'!$C238:K238,"&lt;&gt;0"),0)),MAX(0,($U100*12) - SUM('Conto Economico'!$C238:K238))))</f>
        <v>191.67</v>
      </c>
      <c r="N100" s="147">
        <f ca="1">IF(AND(TODAY()&gt;=DATE(2026,11,1),OR(TODAY()&gt;=DATE(2026,12,1),'Conto Economico'!M238&lt;&gt;0)),'Conto Economico'!M238,MIN(MAX($U100,IFERROR(AVERAGEIF('Conto Economico'!$C238:L238,"&lt;&gt;0"),0)),MAX(0,($U100*12) - SUM('Conto Economico'!$C238:L238))))</f>
        <v>191.67</v>
      </c>
      <c r="O100" s="147">
        <f ca="1">IF(AND(TODAY()&gt;=DATE(2026,12,1),OR(TODAY()&gt;=DATE(2027,1,1),'Conto Economico'!N238&lt;&gt;0)),'Conto Economico'!N238,MIN(MAX($U100,IFERROR(AVERAGEIF('Conto Economico'!$C238:M238,"&lt;&gt;0"),0)),MAX(0,($U100*12) - SUM('Conto Economico'!$C238:M238))))</f>
        <v>191.67</v>
      </c>
      <c r="Q100" s="147">
        <f ca="1">SUM(D100:O100)</f>
        <v>2300.0400000000004</v>
      </c>
      <c r="R100" s="147">
        <f ca="1">Q100/12</f>
        <v>191.67000000000004</v>
      </c>
      <c r="T100" s="170">
        <f>'Budget 27'!C102</f>
        <v>2000</v>
      </c>
      <c r="U100" s="170">
        <f>T100/12</f>
        <v>166.66666666666666</v>
      </c>
      <c r="W100" s="170">
        <f ca="1">Q100-T100</f>
        <v>300.04000000000042</v>
      </c>
      <c r="X100" s="405">
        <f t="shared" ca="1" si="52"/>
        <v>1.1500200000000003</v>
      </c>
      <c r="Z100" s="234" t="str">
        <f>'Conto Economico'!A238</f>
        <v>Imposta di Bollo Titoli e CC</v>
      </c>
    </row>
    <row r="101" spans="1:26" x14ac:dyDescent="0.2">
      <c r="A101" s="169"/>
      <c r="B101" s="169" t="str">
        <f>'Conto Economico'!A239</f>
        <v>Commercialista Italia</v>
      </c>
      <c r="C101" s="169"/>
      <c r="D101" s="147">
        <f ca="1">IF(AND(TODAY()&gt;=DATE(2026,1,1),OR(TODAY()&gt;=DATE(2026,2,1),'Conto Economico'!C239&lt;&gt;0)),'Conto Economico'!C239,$U101)</f>
        <v>0</v>
      </c>
      <c r="E101" s="147">
        <f ca="1">IF(AND(TODAY()&gt;=DATE(2026,2,1),OR(TODAY()&gt;=DATE(2026,3,1),'Conto Economico'!D239&lt;&gt;0)),'Conto Economico'!D239,MIN(MAX($U101,IFERROR(AVERAGEIF('Conto Economico'!$C239:C239,"&lt;&gt;0"),0)),MAX(0,($U101*12) - SUM('Conto Economico'!$C239:C239))))</f>
        <v>0</v>
      </c>
      <c r="F101" s="147">
        <f ca="1">IF(AND(TODAY()&gt;=DATE(2026,3,1),OR(TODAY()&gt;=DATE(2026,4,1),'Conto Economico'!E239&lt;&gt;0)),'Conto Economico'!E239,MIN(MAX($U101,IFERROR(AVERAGEIF('Conto Economico'!$C239:D239,"&lt;&gt;0"),0)),MAX(0,($U101*12) - SUM('Conto Economico'!$C239:D239))))</f>
        <v>0</v>
      </c>
      <c r="G101" s="147">
        <f ca="1">IF(AND(TODAY()&gt;=DATE(2026,4,1),OR(TODAY()&gt;=DATE(2026,5,1),'Conto Economico'!F239&lt;&gt;0)),'Conto Economico'!F239,MIN(MAX($U101,IFERROR(AVERAGEIF('Conto Economico'!$C239:E239,"&lt;&gt;0"),0)),MAX(0,($U101*12) - SUM('Conto Economico'!$C239:E239))))</f>
        <v>0</v>
      </c>
      <c r="H101" s="147">
        <f ca="1">IF(AND(TODAY()&gt;=DATE(2026,5,1),OR(TODAY()&gt;=DATE(2026,6,1),'Conto Economico'!G239&lt;&gt;0)),'Conto Economico'!G239,MIN(MAX($U101,IFERROR(AVERAGEIF('Conto Economico'!$C239:F239,"&lt;&gt;0"),0)),MAX(0,($U101*12) - SUM('Conto Economico'!$C239:F239))))</f>
        <v>0</v>
      </c>
      <c r="I101" s="147">
        <f ca="1">IF(AND(TODAY()&gt;=DATE(2026,6,1),OR(TODAY()&gt;=DATE(2026,7,1),'Conto Economico'!H239&lt;&gt;0)),'Conto Economico'!H239,MIN(MAX($U101,IFERROR(AVERAGEIF('Conto Economico'!$C239:G239,"&lt;&gt;0"),0)),MAX(0,($U101*12) - SUM('Conto Economico'!$C239:G239))))</f>
        <v>0</v>
      </c>
      <c r="J101" s="147">
        <f ca="1">IF(AND(TODAY()&gt;=DATE(2026,7,1),OR(TODAY()&gt;=DATE(2026,8,1),'Conto Economico'!I239&lt;&gt;0)),'Conto Economico'!I239,MIN(MAX($U101,IFERROR(AVERAGEIF('Conto Economico'!$C239:H239,"&lt;&gt;0"),0)),MAX(0,($U101*12) - SUM('Conto Economico'!$C239:H239))))</f>
        <v>0</v>
      </c>
      <c r="K101" s="147">
        <f ca="1">IF(AND(TODAY()&gt;=DATE(2026,8,1),OR(TODAY()&gt;=DATE(2026,9,1),'Conto Economico'!J239&lt;&gt;0)),'Conto Economico'!J239,MIN(MAX($U101,IFERROR(AVERAGEIF('Conto Economico'!$C239:I239,"&lt;&gt;0"),0)),MAX(0,($U101*12) - SUM('Conto Economico'!$C239:I239))))</f>
        <v>0</v>
      </c>
      <c r="L101" s="147">
        <f ca="1">IF(AND(TODAY()&gt;=DATE(2026,9,1),OR(TODAY()&gt;=DATE(2026,10,1),'Conto Economico'!K239&lt;&gt;0)),'Conto Economico'!K239,MIN(MAX($U101,IFERROR(AVERAGEIF('Conto Economico'!$C239:J239,"&lt;&gt;0"),0)),MAX(0,($U101*12) - SUM('Conto Economico'!$C239:J239))))</f>
        <v>0</v>
      </c>
      <c r="M101" s="147">
        <f ca="1">IF(AND(TODAY()&gt;=DATE(2026,10,1),OR(TODAY()&gt;=DATE(2026,11,1),'Conto Economico'!L239&lt;&gt;0)),'Conto Economico'!L239,MIN(MAX($U101,IFERROR(AVERAGEIF('Conto Economico'!$C239:K239,"&lt;&gt;0"),0)),MAX(0,($U101*12) - SUM('Conto Economico'!$C239:K239))))</f>
        <v>0</v>
      </c>
      <c r="N101" s="147">
        <f ca="1">IF(AND(TODAY()&gt;=DATE(2026,11,1),OR(TODAY()&gt;=DATE(2026,12,1),'Conto Economico'!M239&lt;&gt;0)),'Conto Economico'!M239,MIN(MAX($U101,IFERROR(AVERAGEIF('Conto Economico'!$C239:L239,"&lt;&gt;0"),0)),MAX(0,($U101*12) - SUM('Conto Economico'!$C239:L239))))</f>
        <v>0</v>
      </c>
      <c r="O101" s="147">
        <f ca="1">IF(AND(TODAY()&gt;=DATE(2026,12,1),OR(TODAY()&gt;=DATE(2027,1,1),'Conto Economico'!N239&lt;&gt;0)),'Conto Economico'!N239,MIN(MAX($U101,IFERROR(AVERAGEIF('Conto Economico'!$C239:M239,"&lt;&gt;0"),0)),MAX(0,($U101*12) - SUM('Conto Economico'!$C239:M239))))</f>
        <v>0</v>
      </c>
      <c r="Q101" s="147">
        <f ca="1">SUM(D101:O101)</f>
        <v>0</v>
      </c>
      <c r="R101" s="147">
        <f ca="1">Q101/12</f>
        <v>0</v>
      </c>
      <c r="T101" s="170">
        <f>'Budget 27'!C103</f>
        <v>0</v>
      </c>
      <c r="U101" s="170">
        <f>T101/12</f>
        <v>0</v>
      </c>
      <c r="W101" s="170">
        <f ca="1">Q101-T101</f>
        <v>0</v>
      </c>
      <c r="X101" s="405" t="str">
        <f t="shared" si="52"/>
        <v>-</v>
      </c>
      <c r="Z101" s="234" t="str">
        <f>'Conto Economico'!A239</f>
        <v>Commercialista Italia</v>
      </c>
    </row>
    <row r="102" spans="1:26" x14ac:dyDescent="0.2">
      <c r="B102" s="169"/>
      <c r="C102" s="169"/>
      <c r="T102" s="175"/>
      <c r="U102" s="175"/>
      <c r="W102" s="175"/>
      <c r="X102" s="234"/>
      <c r="Z102" s="234"/>
    </row>
    <row r="103" spans="1:26" x14ac:dyDescent="0.2">
      <c r="B103" s="176" t="str">
        <f>'Conto Economico'!A241</f>
        <v>Commissioni Bancarie</v>
      </c>
      <c r="C103" s="167"/>
      <c r="D103" s="168">
        <f t="shared" ref="D103:O103" ca="1" si="53">SUM(D104:D106)</f>
        <v>510.61</v>
      </c>
      <c r="E103" s="168">
        <f t="shared" ca="1" si="53"/>
        <v>490.35999999999996</v>
      </c>
      <c r="F103" s="168">
        <f t="shared" ca="1" si="53"/>
        <v>487.59000000000009</v>
      </c>
      <c r="G103" s="168">
        <f t="shared" ca="1" si="53"/>
        <v>792.07999999999993</v>
      </c>
      <c r="H103" s="168">
        <f t="shared" ca="1" si="53"/>
        <v>462.69000000000005</v>
      </c>
      <c r="I103" s="168">
        <f t="shared" ca="1" si="53"/>
        <v>484.42999999999989</v>
      </c>
      <c r="J103" s="168">
        <f t="shared" ca="1" si="53"/>
        <v>478.37166666666667</v>
      </c>
      <c r="K103" s="168">
        <f t="shared" ca="1" si="53"/>
        <v>478.37166666666667</v>
      </c>
      <c r="L103" s="168">
        <f t="shared" ca="1" si="53"/>
        <v>478.37166666666667</v>
      </c>
      <c r="M103" s="168">
        <f t="shared" ca="1" si="53"/>
        <v>478.37166666666667</v>
      </c>
      <c r="N103" s="168">
        <f t="shared" ca="1" si="53"/>
        <v>478.37166666666667</v>
      </c>
      <c r="O103" s="168">
        <f t="shared" ca="1" si="53"/>
        <v>478.37166666666667</v>
      </c>
      <c r="Q103" s="168">
        <f ca="1">SUM(Q104:Q106)</f>
        <v>6097.9899999999989</v>
      </c>
      <c r="R103" s="168">
        <f ca="1">SUM(R104:R106)</f>
        <v>508.16583333333324</v>
      </c>
      <c r="T103" s="168">
        <f>SUM(T104:T106)</f>
        <v>5560</v>
      </c>
      <c r="U103" s="168">
        <f>SUM(U104:U106)</f>
        <v>463.33333333333331</v>
      </c>
      <c r="V103" s="177"/>
      <c r="W103" s="168">
        <f ca="1">Q103-T103</f>
        <v>537.98999999999887</v>
      </c>
      <c r="X103" s="406">
        <f ca="1">IF(T103=0,"-",Q103/T103)</f>
        <v>1.0967607913669062</v>
      </c>
      <c r="Z103" s="237" t="str">
        <f>'Conto Economico'!A241</f>
        <v>Commissioni Bancarie</v>
      </c>
    </row>
    <row r="104" spans="1:26" x14ac:dyDescent="0.2">
      <c r="B104" s="169" t="str">
        <f>'Conto Economico'!A242</f>
        <v>Commissioni Amex</v>
      </c>
      <c r="C104" s="169"/>
      <c r="D104" s="147">
        <f ca="1">IF(AND(TODAY()&gt;=DATE(2026,1,1),OR(TODAY()&gt;=DATE(2026,2,1),'Conto Economico'!C242&lt;&gt;0)),'Conto Economico'!C242,$U104)</f>
        <v>0</v>
      </c>
      <c r="E104" s="147">
        <f ca="1">IF(AND(TODAY()&gt;=DATE(2026,2,1),OR(TODAY()&gt;=DATE(2026,3,1),'Conto Economico'!D242&lt;&gt;0)),'Conto Economico'!D242,MIN(MAX($U104,IFERROR(AVERAGEIF('Conto Economico'!$C242:C242,"&lt;&gt;0"),0)),MAX(0,($U104*12) - SUM('Conto Economico'!$C242:C242))))</f>
        <v>0</v>
      </c>
      <c r="F104" s="147">
        <f ca="1">IF(AND(TODAY()&gt;=DATE(2026,3,1),OR(TODAY()&gt;=DATE(2026,4,1),'Conto Economico'!E242&lt;&gt;0)),'Conto Economico'!E242,MIN(MAX($U104,IFERROR(AVERAGEIF('Conto Economico'!$C242:D242,"&lt;&gt;0"),0)),MAX(0,($U104*12) - SUM('Conto Economico'!$C242:D242))))</f>
        <v>0</v>
      </c>
      <c r="G104" s="147">
        <f ca="1">IF(AND(TODAY()&gt;=DATE(2026,4,1),OR(TODAY()&gt;=DATE(2026,5,1),'Conto Economico'!F242&lt;&gt;0)),'Conto Economico'!F242,MIN(MAX($U104,IFERROR(AVERAGEIF('Conto Economico'!$C242:E242,"&lt;&gt;0"),0)),MAX(0,($U104*12) - SUM('Conto Economico'!$C242:E242))))</f>
        <v>0</v>
      </c>
      <c r="H104" s="147">
        <f ca="1">IF(AND(TODAY()&gt;=DATE(2026,5,1),OR(TODAY()&gt;=DATE(2026,6,1),'Conto Economico'!G242&lt;&gt;0)),'Conto Economico'!G242,MIN(MAX($U104,IFERROR(AVERAGEIF('Conto Economico'!$C242:F242,"&lt;&gt;0"),0)),MAX(0,($U104*12) - SUM('Conto Economico'!$C242:F242))))</f>
        <v>0</v>
      </c>
      <c r="I104" s="147">
        <f ca="1">IF(AND(TODAY()&gt;=DATE(2026,6,1),OR(TODAY()&gt;=DATE(2026,7,1),'Conto Economico'!H242&lt;&gt;0)),'Conto Economico'!H242,MIN(MAX($U104,IFERROR(AVERAGEIF('Conto Economico'!$C242:G242,"&lt;&gt;0"),0)),MAX(0,($U104*12) - SUM('Conto Economico'!$C242:G242))))</f>
        <v>0</v>
      </c>
      <c r="J104" s="147">
        <f ca="1">IF(AND(TODAY()&gt;=DATE(2026,7,1),OR(TODAY()&gt;=DATE(2026,8,1),'Conto Economico'!I242&lt;&gt;0)),'Conto Economico'!I242,MIN(MAX($U104,IFERROR(AVERAGEIF('Conto Economico'!$C242:H242,"&lt;&gt;0"),0)),MAX(0,($U104*12) - SUM('Conto Economico'!$C242:H242))))</f>
        <v>2.0833333333333335</v>
      </c>
      <c r="K104" s="147">
        <f ca="1">IF(AND(TODAY()&gt;=DATE(2026,8,1),OR(TODAY()&gt;=DATE(2026,9,1),'Conto Economico'!J242&lt;&gt;0)),'Conto Economico'!J242,MIN(MAX($U104,IFERROR(AVERAGEIF('Conto Economico'!$C242:I242,"&lt;&gt;0"),0)),MAX(0,($U104*12) - SUM('Conto Economico'!$C242:I242))))</f>
        <v>2.0833333333333335</v>
      </c>
      <c r="L104" s="147">
        <f ca="1">IF(AND(TODAY()&gt;=DATE(2026,9,1),OR(TODAY()&gt;=DATE(2026,10,1),'Conto Economico'!K242&lt;&gt;0)),'Conto Economico'!K242,MIN(MAX($U104,IFERROR(AVERAGEIF('Conto Economico'!$C242:J242,"&lt;&gt;0"),0)),MAX(0,($U104*12) - SUM('Conto Economico'!$C242:J242))))</f>
        <v>2.0833333333333335</v>
      </c>
      <c r="M104" s="147">
        <f ca="1">IF(AND(TODAY()&gt;=DATE(2026,10,1),OR(TODAY()&gt;=DATE(2026,11,1),'Conto Economico'!L242&lt;&gt;0)),'Conto Economico'!L242,MIN(MAX($U104,IFERROR(AVERAGEIF('Conto Economico'!$C242:K242,"&lt;&gt;0"),0)),MAX(0,($U104*12) - SUM('Conto Economico'!$C242:K242))))</f>
        <v>2.0833333333333335</v>
      </c>
      <c r="N104" s="147">
        <f ca="1">IF(AND(TODAY()&gt;=DATE(2026,11,1),OR(TODAY()&gt;=DATE(2026,12,1),'Conto Economico'!M242&lt;&gt;0)),'Conto Economico'!M242,MIN(MAX($U104,IFERROR(AVERAGEIF('Conto Economico'!$C242:L242,"&lt;&gt;0"),0)),MAX(0,($U104*12) - SUM('Conto Economico'!$C242:L242))))</f>
        <v>2.0833333333333335</v>
      </c>
      <c r="O104" s="147">
        <f ca="1">IF(AND(TODAY()&gt;=DATE(2026,12,1),OR(TODAY()&gt;=DATE(2027,1,1),'Conto Economico'!N242&lt;&gt;0)),'Conto Economico'!N242,MIN(MAX($U104,IFERROR(AVERAGEIF('Conto Economico'!$C242:M242,"&lt;&gt;0"),0)),MAX(0,($U104*12) - SUM('Conto Economico'!$C242:M242))))</f>
        <v>2.0833333333333335</v>
      </c>
      <c r="Q104" s="147">
        <f ca="1">SUM(D104:O104)</f>
        <v>12.500000000000002</v>
      </c>
      <c r="R104" s="147">
        <f ca="1">Q104/12</f>
        <v>1.0416666666666667</v>
      </c>
      <c r="T104" s="170">
        <f>'Budget 27'!C106</f>
        <v>25</v>
      </c>
      <c r="U104" s="170">
        <f>T104/12</f>
        <v>2.0833333333333335</v>
      </c>
      <c r="W104" s="170">
        <f ca="1">Q104-T104</f>
        <v>-12.499999999999998</v>
      </c>
      <c r="X104" s="405">
        <f t="shared" ref="X104:X106" ca="1" si="54">IF(T104=0,"-",Q104/T104)</f>
        <v>0.50000000000000011</v>
      </c>
      <c r="Z104" s="234" t="str">
        <f>'Conto Economico'!A242</f>
        <v>Commissioni Amex</v>
      </c>
    </row>
    <row r="105" spans="1:26" x14ac:dyDescent="0.2">
      <c r="B105" s="169" t="str">
        <f>'Conto Economico'!A243</f>
        <v>Commissioni Bancarie su Investimenti</v>
      </c>
      <c r="C105" s="169"/>
      <c r="D105" s="147">
        <f ca="1">IF(AND(TODAY()&gt;=DATE(2026,1,1),OR(TODAY()&gt;=DATE(2026,2,1),'Conto Economico'!C243&lt;&gt;0)),'Conto Economico'!C243,$U105)</f>
        <v>506.66</v>
      </c>
      <c r="E105" s="147">
        <f ca="1">IF(AND(TODAY()&gt;=DATE(2026,2,1),OR(TODAY()&gt;=DATE(2026,3,1),'Conto Economico'!D243&lt;&gt;0)),'Conto Economico'!D243,MIN(MAX($U105,IFERROR(AVERAGEIF('Conto Economico'!$C243:C243,"&lt;&gt;0"),0)),MAX(0,($U105*12) - SUM('Conto Economico'!$C243:C243))))</f>
        <v>486.40999999999997</v>
      </c>
      <c r="F105" s="147">
        <f ca="1">IF(AND(TODAY()&gt;=DATE(2026,3,1),OR(TODAY()&gt;=DATE(2026,4,1),'Conto Economico'!E243&lt;&gt;0)),'Conto Economico'!E243,MIN(MAX($U105,IFERROR(AVERAGEIF('Conto Economico'!$C243:D243,"&lt;&gt;0"),0)),MAX(0,($U105*12) - SUM('Conto Economico'!$C243:D243))))</f>
        <v>471.69000000000011</v>
      </c>
      <c r="G105" s="147">
        <f ca="1">IF(AND(TODAY()&gt;=DATE(2026,4,1),OR(TODAY()&gt;=DATE(2026,5,1),'Conto Economico'!F243&lt;&gt;0)),'Conto Economico'!F243,MIN(MAX($U105,IFERROR(AVERAGEIF('Conto Economico'!$C243:E243,"&lt;&gt;0"),0)),MAX(0,($U105*12) - SUM('Conto Economico'!$C243:E243))))</f>
        <v>458.75</v>
      </c>
      <c r="H105" s="147">
        <f ca="1">IF(AND(TODAY()&gt;=DATE(2026,5,1),OR(TODAY()&gt;=DATE(2026,6,1),'Conto Economico'!G243&lt;&gt;0)),'Conto Economico'!G243,MIN(MAX($U105,IFERROR(AVERAGEIF('Conto Economico'!$C243:F243,"&lt;&gt;0"),0)),MAX(0,($U105*12) - SUM('Conto Economico'!$C243:F243))))</f>
        <v>458.74000000000007</v>
      </c>
      <c r="I105" s="147">
        <f ca="1">IF(AND(TODAY()&gt;=DATE(2026,6,1),OR(TODAY()&gt;=DATE(2026,7,1),'Conto Economico'!H243&lt;&gt;0)),'Conto Economico'!H243,MIN(MAX($U105,IFERROR(AVERAGEIF('Conto Economico'!$C243:G243,"&lt;&gt;0"),0)),MAX(0,($U105*12) - SUM('Conto Economico'!$C243:G243))))</f>
        <v>475.4799999999999</v>
      </c>
      <c r="J105" s="147">
        <f ca="1">IF(AND(TODAY()&gt;=DATE(2026,7,1),OR(TODAY()&gt;=DATE(2026,8,1),'Conto Economico'!I243&lt;&gt;0)),'Conto Economico'!I243,MIN(MAX($U105,IFERROR(AVERAGEIF('Conto Economico'!$C243:H243,"&lt;&gt;0"),0)),MAX(0,($U105*12) - SUM('Conto Economico'!$C243:H243))))</f>
        <v>476.28833333333336</v>
      </c>
      <c r="K105" s="147">
        <f ca="1">IF(AND(TODAY()&gt;=DATE(2026,8,1),OR(TODAY()&gt;=DATE(2026,9,1),'Conto Economico'!J243&lt;&gt;0)),'Conto Economico'!J243,MIN(MAX($U105,IFERROR(AVERAGEIF('Conto Economico'!$C243:I243,"&lt;&gt;0"),0)),MAX(0,($U105*12) - SUM('Conto Economico'!$C243:I243))))</f>
        <v>476.28833333333336</v>
      </c>
      <c r="L105" s="147">
        <f ca="1">IF(AND(TODAY()&gt;=DATE(2026,9,1),OR(TODAY()&gt;=DATE(2026,10,1),'Conto Economico'!K243&lt;&gt;0)),'Conto Economico'!K243,MIN(MAX($U105,IFERROR(AVERAGEIF('Conto Economico'!$C243:J243,"&lt;&gt;0"),0)),MAX(0,($U105*12) - SUM('Conto Economico'!$C243:J243))))</f>
        <v>476.28833333333336</v>
      </c>
      <c r="M105" s="147">
        <f ca="1">IF(AND(TODAY()&gt;=DATE(2026,10,1),OR(TODAY()&gt;=DATE(2026,11,1),'Conto Economico'!L243&lt;&gt;0)),'Conto Economico'!L243,MIN(MAX($U105,IFERROR(AVERAGEIF('Conto Economico'!$C243:K243,"&lt;&gt;0"),0)),MAX(0,($U105*12) - SUM('Conto Economico'!$C243:K243))))</f>
        <v>476.28833333333336</v>
      </c>
      <c r="N105" s="147">
        <f ca="1">IF(AND(TODAY()&gt;=DATE(2026,11,1),OR(TODAY()&gt;=DATE(2026,12,1),'Conto Economico'!M243&lt;&gt;0)),'Conto Economico'!M243,MIN(MAX($U105,IFERROR(AVERAGEIF('Conto Economico'!$C243:L243,"&lt;&gt;0"),0)),MAX(0,($U105*12) - SUM('Conto Economico'!$C243:L243))))</f>
        <v>476.28833333333336</v>
      </c>
      <c r="O105" s="147">
        <f ca="1">IF(AND(TODAY()&gt;=DATE(2026,12,1),OR(TODAY()&gt;=DATE(2027,1,1),'Conto Economico'!N243&lt;&gt;0)),'Conto Economico'!N243,MIN(MAX($U105,IFERROR(AVERAGEIF('Conto Economico'!$C243:M243,"&lt;&gt;0"),0)),MAX(0,($U105*12) - SUM('Conto Economico'!$C243:M243))))</f>
        <v>476.28833333333336</v>
      </c>
      <c r="Q105" s="147">
        <f ca="1">SUM(D105:O105)</f>
        <v>5715.4599999999991</v>
      </c>
      <c r="R105" s="147">
        <f ca="1">Q105/12</f>
        <v>476.28833333333324</v>
      </c>
      <c r="T105" s="170">
        <f>'Budget 27'!C107</f>
        <v>5500</v>
      </c>
      <c r="U105" s="170">
        <f>T105/12</f>
        <v>458.33333333333331</v>
      </c>
      <c r="W105" s="170">
        <f ca="1">Q105-T105</f>
        <v>215.45999999999913</v>
      </c>
      <c r="X105" s="405">
        <f t="shared" ca="1" si="54"/>
        <v>1.0391745454545454</v>
      </c>
      <c r="Z105" s="234" t="str">
        <f>'Conto Economico'!A243</f>
        <v>Commissioni Bancarie su Investimenti</v>
      </c>
    </row>
    <row r="106" spans="1:26" x14ac:dyDescent="0.2">
      <c r="B106" s="169" t="str">
        <f>'Conto Economico'!A244</f>
        <v>Altre Commissioni Bancarie</v>
      </c>
      <c r="C106" s="169"/>
      <c r="D106" s="147">
        <f ca="1">IF(AND(TODAY()&gt;=DATE(2026,1,1),OR(TODAY()&gt;=DATE(2026,2,1),'Conto Economico'!C244&lt;&gt;0)),'Conto Economico'!C244,$U106)</f>
        <v>3.95</v>
      </c>
      <c r="E106" s="147">
        <f ca="1">IF(AND(TODAY()&gt;=DATE(2026,2,1),OR(TODAY()&gt;=DATE(2026,3,1),'Conto Economico'!D244&lt;&gt;0)),'Conto Economico'!D244,MIN(MAX($U106,IFERROR(AVERAGEIF('Conto Economico'!$C244:C244,"&lt;&gt;0"),0)),MAX(0,($U106*12) - SUM('Conto Economico'!$C244:C244))))</f>
        <v>3.95</v>
      </c>
      <c r="F106" s="147">
        <f ca="1">IF(AND(TODAY()&gt;=DATE(2026,3,1),OR(TODAY()&gt;=DATE(2026,4,1),'Conto Economico'!E244&lt;&gt;0)),'Conto Economico'!E244,MIN(MAX($U106,IFERROR(AVERAGEIF('Conto Economico'!$C244:D244,"&lt;&gt;0"),0)),MAX(0,($U106*12) - SUM('Conto Economico'!$C244:D244))))</f>
        <v>15.899999999999999</v>
      </c>
      <c r="G106" s="147">
        <f ca="1">IF(AND(TODAY()&gt;=DATE(2026,4,1),OR(TODAY()&gt;=DATE(2026,5,1),'Conto Economico'!F244&lt;&gt;0)),'Conto Economico'!F244,MIN(MAX($U106,IFERROR(AVERAGEIF('Conto Economico'!$C244:E244,"&lt;&gt;0"),0)),MAX(0,($U106*12) - SUM('Conto Economico'!$C244:E244))))</f>
        <v>333.33</v>
      </c>
      <c r="H106" s="147">
        <f ca="1">IF(AND(TODAY()&gt;=DATE(2026,5,1),OR(TODAY()&gt;=DATE(2026,6,1),'Conto Economico'!G244&lt;&gt;0)),'Conto Economico'!G244,MIN(MAX($U106,IFERROR(AVERAGEIF('Conto Economico'!$C244:F244,"&lt;&gt;0"),0)),MAX(0,($U106*12) - SUM('Conto Economico'!$C244:F244))))</f>
        <v>3.95</v>
      </c>
      <c r="I106" s="147">
        <f ca="1">IF(AND(TODAY()&gt;=DATE(2026,6,1),OR(TODAY()&gt;=DATE(2026,7,1),'Conto Economico'!H244&lt;&gt;0)),'Conto Economico'!H244,MIN(MAX($U106,IFERROR(AVERAGEIF('Conto Economico'!$C244:G244,"&lt;&gt;0"),0)),MAX(0,($U106*12) - SUM('Conto Economico'!$C244:G244))))</f>
        <v>8.9499999999999993</v>
      </c>
      <c r="J106" s="147">
        <f ca="1">IF(AND(TODAY()&gt;=DATE(2026,7,1),OR(TODAY()&gt;=DATE(2026,8,1),'Conto Economico'!I244&lt;&gt;0)),'Conto Economico'!I244,MIN(MAX($U106,IFERROR(AVERAGEIF('Conto Economico'!$C244:H244,"&lt;&gt;0"),0)),MAX(0,($U106*12) - SUM('Conto Economico'!$C244:H244))))</f>
        <v>0</v>
      </c>
      <c r="K106" s="147">
        <f ca="1">IF(AND(TODAY()&gt;=DATE(2026,8,1),OR(TODAY()&gt;=DATE(2026,9,1),'Conto Economico'!J244&lt;&gt;0)),'Conto Economico'!J244,MIN(MAX($U106,IFERROR(AVERAGEIF('Conto Economico'!$C244:I244,"&lt;&gt;0"),0)),MAX(0,($U106*12) - SUM('Conto Economico'!$C244:I244))))</f>
        <v>0</v>
      </c>
      <c r="L106" s="147">
        <f ca="1">IF(AND(TODAY()&gt;=DATE(2026,9,1),OR(TODAY()&gt;=DATE(2026,10,1),'Conto Economico'!K244&lt;&gt;0)),'Conto Economico'!K244,MIN(MAX($U106,IFERROR(AVERAGEIF('Conto Economico'!$C244:J244,"&lt;&gt;0"),0)),MAX(0,($U106*12) - SUM('Conto Economico'!$C244:J244))))</f>
        <v>0</v>
      </c>
      <c r="M106" s="147">
        <f ca="1">IF(AND(TODAY()&gt;=DATE(2026,10,1),OR(TODAY()&gt;=DATE(2026,11,1),'Conto Economico'!L244&lt;&gt;0)),'Conto Economico'!L244,MIN(MAX($U106,IFERROR(AVERAGEIF('Conto Economico'!$C244:K244,"&lt;&gt;0"),0)),MAX(0,($U106*12) - SUM('Conto Economico'!$C244:K244))))</f>
        <v>0</v>
      </c>
      <c r="N106" s="147">
        <f ca="1">IF(AND(TODAY()&gt;=DATE(2026,11,1),OR(TODAY()&gt;=DATE(2026,12,1),'Conto Economico'!M244&lt;&gt;0)),'Conto Economico'!M244,MIN(MAX($U106,IFERROR(AVERAGEIF('Conto Economico'!$C244:L244,"&lt;&gt;0"),0)),MAX(0,($U106*12) - SUM('Conto Economico'!$C244:L244))))</f>
        <v>0</v>
      </c>
      <c r="O106" s="147">
        <f ca="1">IF(AND(TODAY()&gt;=DATE(2026,12,1),OR(TODAY()&gt;=DATE(2027,1,1),'Conto Economico'!N244&lt;&gt;0)),'Conto Economico'!N244,MIN(MAX($U106,IFERROR(AVERAGEIF('Conto Economico'!$C244:M244,"&lt;&gt;0"),0)),MAX(0,($U106*12) - SUM('Conto Economico'!$C244:M244))))</f>
        <v>0</v>
      </c>
      <c r="Q106" s="147">
        <f ca="1">SUM(D106:O106)</f>
        <v>370.03</v>
      </c>
      <c r="R106" s="147">
        <f ca="1">Q106/12</f>
        <v>30.83583333333333</v>
      </c>
      <c r="T106" s="170">
        <f>'Budget 27'!C108</f>
        <v>35</v>
      </c>
      <c r="U106" s="170">
        <f>T106/12</f>
        <v>2.9166666666666665</v>
      </c>
      <c r="W106" s="170">
        <f ca="1">Q106-T106</f>
        <v>335.03</v>
      </c>
      <c r="X106" s="405">
        <f t="shared" ca="1" si="54"/>
        <v>10.572285714285714</v>
      </c>
      <c r="Z106" s="234" t="str">
        <f>'Conto Economico'!A244</f>
        <v>Altre Commissioni Bancarie</v>
      </c>
    </row>
    <row r="107" spans="1:26" x14ac:dyDescent="0.2">
      <c r="B107" s="172"/>
      <c r="C107" s="169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Q107" s="173"/>
      <c r="R107" s="173"/>
      <c r="T107" s="174"/>
      <c r="U107" s="174"/>
      <c r="V107" s="173"/>
      <c r="W107" s="174"/>
      <c r="X107" s="320"/>
      <c r="Z107" s="236"/>
    </row>
    <row r="108" spans="1:26" s="178" customFormat="1" x14ac:dyDescent="0.2">
      <c r="B108" s="167" t="str">
        <f>'Conto Economico'!A246</f>
        <v>Altre Spese</v>
      </c>
      <c r="C108" s="167"/>
      <c r="D108" s="149">
        <f t="shared" ref="D108:O108" ca="1" si="55">SUM(D109:D115)</f>
        <v>1013.5200000000001</v>
      </c>
      <c r="E108" s="149">
        <f t="shared" ca="1" si="55"/>
        <v>1665.72</v>
      </c>
      <c r="F108" s="149">
        <f t="shared" ca="1" si="55"/>
        <v>843.92000000000007</v>
      </c>
      <c r="G108" s="149">
        <f t="shared" ca="1" si="55"/>
        <v>665.30000000000007</v>
      </c>
      <c r="H108" s="149">
        <f t="shared" ca="1" si="55"/>
        <v>374.29</v>
      </c>
      <c r="I108" s="149">
        <f t="shared" ca="1" si="55"/>
        <v>859.47</v>
      </c>
      <c r="J108" s="149">
        <f t="shared" ca="1" si="55"/>
        <v>636.13666666666666</v>
      </c>
      <c r="K108" s="149">
        <f t="shared" ca="1" si="55"/>
        <v>824.65</v>
      </c>
      <c r="L108" s="149">
        <f t="shared" ca="1" si="55"/>
        <v>824.65</v>
      </c>
      <c r="M108" s="149">
        <f t="shared" ca="1" si="55"/>
        <v>824.65</v>
      </c>
      <c r="N108" s="149">
        <f t="shared" ca="1" si="55"/>
        <v>824.65</v>
      </c>
      <c r="O108" s="149">
        <f t="shared" ca="1" si="55"/>
        <v>824.65</v>
      </c>
      <c r="P108"/>
      <c r="Q108" s="149">
        <f ca="1">SUM(Q109:Q115)</f>
        <v>10181.606666666665</v>
      </c>
      <c r="R108" s="149">
        <f ca="1">SUM(R109:R115)</f>
        <v>848.4672222222224</v>
      </c>
      <c r="S108" s="149"/>
      <c r="T108" s="149">
        <f>SUM(T109:T115)</f>
        <v>8820</v>
      </c>
      <c r="U108" s="149">
        <f>SUM(U109:U115)</f>
        <v>734.99999999999989</v>
      </c>
      <c r="V108" s="147"/>
      <c r="W108" s="168">
        <f t="shared" ref="W108:W109" ca="1" si="56">Q108-T108</f>
        <v>1361.6066666666648</v>
      </c>
      <c r="X108" s="319">
        <f ca="1">IF(T108=0,"-",Q108/T108)</f>
        <v>1.1543771730914585</v>
      </c>
      <c r="Z108" s="233" t="str">
        <f>'Conto Economico'!A246</f>
        <v>Altre Spese</v>
      </c>
    </row>
    <row r="109" spans="1:26" s="178" customFormat="1" x14ac:dyDescent="0.2">
      <c r="B109" s="169" t="str">
        <f>'Conto Economico'!A247</f>
        <v>Animali domestici</v>
      </c>
      <c r="C109" s="169"/>
      <c r="D109" s="147">
        <f ca="1">IF(AND(TODAY()&gt;=DATE(2026,1,1),OR(TODAY()&gt;=DATE(2026,2,1),'Conto Economico'!C247&lt;&gt;0)),'Conto Economico'!C247,$U109)</f>
        <v>321.56</v>
      </c>
      <c r="E109" s="147">
        <f ca="1">IF(AND(TODAY()&gt;=DATE(2026,2,1),OR(TODAY()&gt;=DATE(2026,3,1),'Conto Economico'!D247&lt;&gt;0)),'Conto Economico'!D247,MIN(MAX($U109,IFERROR(AVERAGEIF('Conto Economico'!$C247:C247,"&lt;&gt;0"),0)),MAX(0,($U109*12) - SUM('Conto Economico'!$C247:C247))))</f>
        <v>239.18</v>
      </c>
      <c r="F109" s="147">
        <f ca="1">IF(AND(TODAY()&gt;=DATE(2026,3,1),OR(TODAY()&gt;=DATE(2026,4,1),'Conto Economico'!E247&lt;&gt;0)),'Conto Economico'!E247,MIN(MAX($U109,IFERROR(AVERAGEIF('Conto Economico'!$C247:D247,"&lt;&gt;0"),0)),MAX(0,($U109*12) - SUM('Conto Economico'!$C247:D247))))</f>
        <v>375.35</v>
      </c>
      <c r="G109" s="147">
        <f ca="1">IF(AND(TODAY()&gt;=DATE(2026,4,1),OR(TODAY()&gt;=DATE(2026,5,1),'Conto Economico'!F247&lt;&gt;0)),'Conto Economico'!F247,MIN(MAX($U109,IFERROR(AVERAGEIF('Conto Economico'!$C247:E247,"&lt;&gt;0"),0)),MAX(0,($U109*12) - SUM('Conto Economico'!$C247:E247))))</f>
        <v>319.73</v>
      </c>
      <c r="H109" s="147">
        <f ca="1">IF(AND(TODAY()&gt;=DATE(2026,5,1),OR(TODAY()&gt;=DATE(2026,6,1),'Conto Economico'!G247&lt;&gt;0)),'Conto Economico'!G247,MIN(MAX($U109,IFERROR(AVERAGEIF('Conto Economico'!$C247:F247,"&lt;&gt;0"),0)),MAX(0,($U109*12) - SUM('Conto Economico'!$C247:F247))))</f>
        <v>47.74</v>
      </c>
      <c r="I109" s="147">
        <f ca="1">IF(AND(TODAY()&gt;=DATE(2026,6,1),OR(TODAY()&gt;=DATE(2026,7,1),'Conto Economico'!H247&lt;&gt;0)),'Conto Economico'!H247,MIN(MAX($U109,IFERROR(AVERAGEIF('Conto Economico'!$C247:G247,"&lt;&gt;0"),0)),MAX(0,($U109*12) - SUM('Conto Economico'!$C247:G247))))</f>
        <v>378.51</v>
      </c>
      <c r="J109" s="147">
        <f ca="1">IF(AND(TODAY()&gt;=DATE(2026,7,1),OR(TODAY()&gt;=DATE(2026,8,1),'Conto Economico'!I247&lt;&gt;0)),'Conto Economico'!I247,MIN(MAX($U109,IFERROR(AVERAGEIF('Conto Economico'!$C247:H247,"&lt;&gt;0"),0)),MAX(0,($U109*12) - SUM('Conto Economico'!$C247:H247))))</f>
        <v>95.58</v>
      </c>
      <c r="K109" s="147">
        <f ca="1">IF(AND(TODAY()&gt;=DATE(2026,8,1),OR(TODAY()&gt;=DATE(2026,9,1),'Conto Economico'!J247&lt;&gt;0)),'Conto Economico'!J247,MIN(MAX($U109,IFERROR(AVERAGEIF('Conto Economico'!$C247:I247,"&lt;&gt;0"),0)),MAX(0,($U109*12) - SUM('Conto Economico'!$C247:I247))))</f>
        <v>253.95000000000002</v>
      </c>
      <c r="L109" s="147">
        <f ca="1">IF(AND(TODAY()&gt;=DATE(2026,9,1),OR(TODAY()&gt;=DATE(2026,10,1),'Conto Economico'!K247&lt;&gt;0)),'Conto Economico'!K247,MIN(MAX($U109,IFERROR(AVERAGEIF('Conto Economico'!$C247:J247,"&lt;&gt;0"),0)),MAX(0,($U109*12) - SUM('Conto Economico'!$C247:J247))))</f>
        <v>253.95000000000002</v>
      </c>
      <c r="M109" s="147">
        <f ca="1">IF(AND(TODAY()&gt;=DATE(2026,10,1),OR(TODAY()&gt;=DATE(2026,11,1),'Conto Economico'!L247&lt;&gt;0)),'Conto Economico'!L247,MIN(MAX($U109,IFERROR(AVERAGEIF('Conto Economico'!$C247:K247,"&lt;&gt;0"),0)),MAX(0,($U109*12) - SUM('Conto Economico'!$C247:K247))))</f>
        <v>253.95000000000002</v>
      </c>
      <c r="N109" s="147">
        <f ca="1">IF(AND(TODAY()&gt;=DATE(2026,11,1),OR(TODAY()&gt;=DATE(2026,12,1),'Conto Economico'!M247&lt;&gt;0)),'Conto Economico'!M247,MIN(MAX($U109,IFERROR(AVERAGEIF('Conto Economico'!$C247:L247,"&lt;&gt;0"),0)),MAX(0,($U109*12) - SUM('Conto Economico'!$C247:L247))))</f>
        <v>253.95000000000002</v>
      </c>
      <c r="O109" s="147">
        <f ca="1">IF(AND(TODAY()&gt;=DATE(2026,12,1),OR(TODAY()&gt;=DATE(2027,1,1),'Conto Economico'!N247&lt;&gt;0)),'Conto Economico'!N247,MIN(MAX($U109,IFERROR(AVERAGEIF('Conto Economico'!$C247:M247,"&lt;&gt;0"),0)),MAX(0,($U109*12) - SUM('Conto Economico'!$C247:M247))))</f>
        <v>253.95000000000002</v>
      </c>
      <c r="P109"/>
      <c r="Q109" s="147">
        <f t="shared" ref="Q109:Q115" ca="1" si="57">SUM(D109:O109)</f>
        <v>3047.3999999999996</v>
      </c>
      <c r="R109" s="147">
        <f t="shared" ref="R109" ca="1" si="58">Q109/12</f>
        <v>253.94999999999996</v>
      </c>
      <c r="S109" s="147"/>
      <c r="T109" s="170">
        <f>'Budget 27'!C111</f>
        <v>3000</v>
      </c>
      <c r="U109" s="170">
        <f t="shared" ref="U109:U115" si="59">T109/12</f>
        <v>250</v>
      </c>
      <c r="V109" s="147"/>
      <c r="W109" s="170">
        <f t="shared" ca="1" si="56"/>
        <v>47.399999999999636</v>
      </c>
      <c r="X109" s="405">
        <f t="shared" ref="X109:X115" ca="1" si="60">IF(T109=0,"-",Q109/T109)</f>
        <v>1.0157999999999998</v>
      </c>
      <c r="Z109" s="234" t="str">
        <f>'Conto Economico'!A247</f>
        <v>Animali domestici</v>
      </c>
    </row>
    <row r="110" spans="1:26" s="178" customFormat="1" x14ac:dyDescent="0.2">
      <c r="B110" s="169" t="str">
        <f>'Conto Economico'!A248</f>
        <v>Eventi musicali - Teatro - Musei</v>
      </c>
      <c r="C110" s="169"/>
      <c r="D110" s="147">
        <f ca="1">IF(AND(TODAY()&gt;=DATE(2026,1,1),OR(TODAY()&gt;=DATE(2026,2,1),'Conto Economico'!C248&lt;&gt;0)),'Conto Economico'!C248,$U110)</f>
        <v>0</v>
      </c>
      <c r="E110" s="147">
        <f ca="1">IF(AND(TODAY()&gt;=DATE(2026,2,1),OR(TODAY()&gt;=DATE(2026,3,1),'Conto Economico'!D248&lt;&gt;0)),'Conto Economico'!D248,MIN(MAX($U110,IFERROR(AVERAGEIF('Conto Economico'!$C248:C248,"&lt;&gt;0"),0)),MAX(0,($U110*12) - SUM('Conto Economico'!$C248:C248))))</f>
        <v>0</v>
      </c>
      <c r="F110" s="147">
        <f ca="1">IF(AND(TODAY()&gt;=DATE(2026,3,1),OR(TODAY()&gt;=DATE(2026,4,1),'Conto Economico'!E248&lt;&gt;0)),'Conto Economico'!E248,MIN(MAX($U110,IFERROR(AVERAGEIF('Conto Economico'!$C248:D248,"&lt;&gt;0"),0)),MAX(0,($U110*12) - SUM('Conto Economico'!$C248:D248))))</f>
        <v>89.1</v>
      </c>
      <c r="G110" s="147">
        <f ca="1">IF(AND(TODAY()&gt;=DATE(2026,4,1),OR(TODAY()&gt;=DATE(2026,5,1),'Conto Economico'!F248&lt;&gt;0)),'Conto Economico'!F248,MIN(MAX($U110,IFERROR(AVERAGEIF('Conto Economico'!$C248:E248,"&lt;&gt;0"),0)),MAX(0,($U110*12) - SUM('Conto Economico'!$C248:E248))))</f>
        <v>0</v>
      </c>
      <c r="H110" s="147">
        <f ca="1">IF(AND(TODAY()&gt;=DATE(2026,5,1),OR(TODAY()&gt;=DATE(2026,6,1),'Conto Economico'!G248&lt;&gt;0)),'Conto Economico'!G248,MIN(MAX($U110,IFERROR(AVERAGEIF('Conto Economico'!$C248:F248,"&lt;&gt;0"),0)),MAX(0,($U110*12) - SUM('Conto Economico'!$C248:F248))))</f>
        <v>0</v>
      </c>
      <c r="I110" s="147">
        <f ca="1">IF(AND(TODAY()&gt;=DATE(2026,6,1),OR(TODAY()&gt;=DATE(2026,7,1),'Conto Economico'!H248&lt;&gt;0)),'Conto Economico'!H248,MIN(MAX($U110,IFERROR(AVERAGEIF('Conto Economico'!$C248:G248,"&lt;&gt;0"),0)),MAX(0,($U110*12) - SUM('Conto Economico'!$C248:G248))))</f>
        <v>0</v>
      </c>
      <c r="J110" s="147">
        <f ca="1">IF(AND(TODAY()&gt;=DATE(2026,7,1),OR(TODAY()&gt;=DATE(2026,8,1),'Conto Economico'!I248&lt;&gt;0)),'Conto Economico'!I248,MIN(MAX($U110,IFERROR(AVERAGEIF('Conto Economico'!$C248:H248,"&lt;&gt;0"),0)),MAX(0,($U110*12) - SUM('Conto Economico'!$C248:H248))))</f>
        <v>89.1</v>
      </c>
      <c r="K110" s="147">
        <f ca="1">IF(AND(TODAY()&gt;=DATE(2026,8,1),OR(TODAY()&gt;=DATE(2026,9,1),'Conto Economico'!J248&lt;&gt;0)),'Conto Economico'!J248,MIN(MAX($U110,IFERROR(AVERAGEIF('Conto Economico'!$C248:I248,"&lt;&gt;0"),0)),MAX(0,($U110*12) - SUM('Conto Economico'!$C248:I248))))</f>
        <v>89.1</v>
      </c>
      <c r="L110" s="147">
        <f ca="1">IF(AND(TODAY()&gt;=DATE(2026,9,1),OR(TODAY()&gt;=DATE(2026,10,1),'Conto Economico'!K248&lt;&gt;0)),'Conto Economico'!K248,MIN(MAX($U110,IFERROR(AVERAGEIF('Conto Economico'!$C248:J248,"&lt;&gt;0"),0)),MAX(0,($U110*12) - SUM('Conto Economico'!$C248:J248))))</f>
        <v>89.1</v>
      </c>
      <c r="M110" s="147">
        <f ca="1">IF(AND(TODAY()&gt;=DATE(2026,10,1),OR(TODAY()&gt;=DATE(2026,11,1),'Conto Economico'!L248&lt;&gt;0)),'Conto Economico'!L248,MIN(MAX($U110,IFERROR(AVERAGEIF('Conto Economico'!$C248:K248,"&lt;&gt;0"),0)),MAX(0,($U110*12) - SUM('Conto Economico'!$C248:K248))))</f>
        <v>89.1</v>
      </c>
      <c r="N110" s="147">
        <f ca="1">IF(AND(TODAY()&gt;=DATE(2026,11,1),OR(TODAY()&gt;=DATE(2026,12,1),'Conto Economico'!M248&lt;&gt;0)),'Conto Economico'!M248,MIN(MAX($U110,IFERROR(AVERAGEIF('Conto Economico'!$C248:L248,"&lt;&gt;0"),0)),MAX(0,($U110*12) - SUM('Conto Economico'!$C248:L248))))</f>
        <v>89.1</v>
      </c>
      <c r="O110" s="147">
        <f ca="1">IF(AND(TODAY()&gt;=DATE(2026,12,1),OR(TODAY()&gt;=DATE(2027,1,1),'Conto Economico'!N248&lt;&gt;0)),'Conto Economico'!N248,MIN(MAX($U110,IFERROR(AVERAGEIF('Conto Economico'!$C248:M248,"&lt;&gt;0"),0)),MAX(0,($U110*12) - SUM('Conto Economico'!$C248:M248))))</f>
        <v>89.1</v>
      </c>
      <c r="P110"/>
      <c r="Q110" s="147">
        <f t="shared" ca="1" si="57"/>
        <v>623.70000000000005</v>
      </c>
      <c r="R110" s="147">
        <f t="shared" ref="R110:R115" ca="1" si="61">Q110/12</f>
        <v>51.975000000000001</v>
      </c>
      <c r="S110" s="147"/>
      <c r="T110" s="170">
        <f>'Budget 27'!C112</f>
        <v>500</v>
      </c>
      <c r="U110" s="170">
        <f t="shared" si="59"/>
        <v>41.666666666666664</v>
      </c>
      <c r="V110" s="147"/>
      <c r="W110" s="170">
        <f t="shared" ref="W110:W115" ca="1" si="62">Q110-T110</f>
        <v>123.70000000000005</v>
      </c>
      <c r="X110" s="405">
        <f t="shared" ca="1" si="60"/>
        <v>1.2474000000000001</v>
      </c>
      <c r="Z110" s="234" t="str">
        <f>'Conto Economico'!A248</f>
        <v>Eventi musicali - Teatro - Musei</v>
      </c>
    </row>
    <row r="111" spans="1:26" s="178" customFormat="1" x14ac:dyDescent="0.2">
      <c r="B111" s="169" t="str">
        <f>'Conto Economico'!A249</f>
        <v>Rientri a Bologna - Trasporti</v>
      </c>
      <c r="C111" s="169"/>
      <c r="D111" s="147">
        <f ca="1">IF(AND(TODAY()&gt;=DATE(2026,1,1),OR(TODAY()&gt;=DATE(2026,2,1),'Conto Economico'!C249&lt;&gt;0)),'Conto Economico'!C249,$U111)</f>
        <v>349.85</v>
      </c>
      <c r="E111" s="147">
        <f ca="1">IF(AND(TODAY()&gt;=DATE(2026,2,1),OR(TODAY()&gt;=DATE(2026,3,1),'Conto Economico'!D249&lt;&gt;0)),'Conto Economico'!D249,MIN(MAX($U111,IFERROR(AVERAGEIF('Conto Economico'!$C249:C249,"&lt;&gt;0"),0)),MAX(0,($U111*12) - SUM('Conto Economico'!$C249:C249))))</f>
        <v>0</v>
      </c>
      <c r="F111" s="147">
        <f ca="1">IF(AND(TODAY()&gt;=DATE(2026,3,1),OR(TODAY()&gt;=DATE(2026,4,1),'Conto Economico'!E249&lt;&gt;0)),'Conto Economico'!E249,MIN(MAX($U111,IFERROR(AVERAGEIF('Conto Economico'!$C249:D249,"&lt;&gt;0"),0)),MAX(0,($U111*12) - SUM('Conto Economico'!$C249:D249))))</f>
        <v>56.859999999999992</v>
      </c>
      <c r="G111" s="147">
        <f ca="1">IF(AND(TODAY()&gt;=DATE(2026,4,1),OR(TODAY()&gt;=DATE(2026,5,1),'Conto Economico'!F249&lt;&gt;0)),'Conto Economico'!F249,MIN(MAX($U111,IFERROR(AVERAGEIF('Conto Economico'!$C249:E249,"&lt;&gt;0"),0)),MAX(0,($U111*12) - SUM('Conto Economico'!$C249:E249))))</f>
        <v>0</v>
      </c>
      <c r="H111" s="147">
        <f ca="1">IF(AND(TODAY()&gt;=DATE(2026,5,1),OR(TODAY()&gt;=DATE(2026,6,1),'Conto Economico'!G249&lt;&gt;0)),'Conto Economico'!G249,MIN(MAX($U111,IFERROR(AVERAGEIF('Conto Economico'!$C249:F249,"&lt;&gt;0"),0)),MAX(0,($U111*12) - SUM('Conto Economico'!$C249:F249))))</f>
        <v>0</v>
      </c>
      <c r="I111" s="147">
        <f ca="1">IF(AND(TODAY()&gt;=DATE(2026,6,1),OR(TODAY()&gt;=DATE(2026,7,1),'Conto Economico'!H249&lt;&gt;0)),'Conto Economico'!H249,MIN(MAX($U111,IFERROR(AVERAGEIF('Conto Economico'!$C249:G249,"&lt;&gt;0"),0)),MAX(0,($U111*12) - SUM('Conto Economico'!$C249:G249))))</f>
        <v>142.24</v>
      </c>
      <c r="J111" s="147">
        <f ca="1">IF(AND(TODAY()&gt;=DATE(2026,7,1),OR(TODAY()&gt;=DATE(2026,8,1),'Conto Economico'!I249&lt;&gt;0)),'Conto Economico'!I249,MIN(MAX($U111,IFERROR(AVERAGEIF('Conto Economico'!$C249:H249,"&lt;&gt;0"),0)),MAX(0,($U111*12) - SUM('Conto Economico'!$C249:H249))))</f>
        <v>0</v>
      </c>
      <c r="K111" s="147">
        <f ca="1">IF(AND(TODAY()&gt;=DATE(2026,8,1),OR(TODAY()&gt;=DATE(2026,9,1),'Conto Economico'!J249&lt;&gt;0)),'Conto Economico'!J249,MIN(MAX($U111,IFERROR(AVERAGEIF('Conto Economico'!$C249:I249,"&lt;&gt;0"),0)),MAX(0,($U111*12) - SUM('Conto Economico'!$C249:I249))))</f>
        <v>0</v>
      </c>
      <c r="L111" s="147">
        <f ca="1">IF(AND(TODAY()&gt;=DATE(2026,9,1),OR(TODAY()&gt;=DATE(2026,10,1),'Conto Economico'!K249&lt;&gt;0)),'Conto Economico'!K249,MIN(MAX($U111,IFERROR(AVERAGEIF('Conto Economico'!$C249:J249,"&lt;&gt;0"),0)),MAX(0,($U111*12) - SUM('Conto Economico'!$C249:J249))))</f>
        <v>0</v>
      </c>
      <c r="M111" s="147">
        <f ca="1">IF(AND(TODAY()&gt;=DATE(2026,10,1),OR(TODAY()&gt;=DATE(2026,11,1),'Conto Economico'!L249&lt;&gt;0)),'Conto Economico'!L249,MIN(MAX($U111,IFERROR(AVERAGEIF('Conto Economico'!$C249:K249,"&lt;&gt;0"),0)),MAX(0,($U111*12) - SUM('Conto Economico'!$C249:K249))))</f>
        <v>0</v>
      </c>
      <c r="N111" s="147">
        <f ca="1">IF(AND(TODAY()&gt;=DATE(2026,11,1),OR(TODAY()&gt;=DATE(2026,12,1),'Conto Economico'!M249&lt;&gt;0)),'Conto Economico'!M249,MIN(MAX($U111,IFERROR(AVERAGEIF('Conto Economico'!$C249:L249,"&lt;&gt;0"),0)),MAX(0,($U111*12) - SUM('Conto Economico'!$C249:L249))))</f>
        <v>0</v>
      </c>
      <c r="O111" s="147">
        <f ca="1">IF(AND(TODAY()&gt;=DATE(2026,12,1),OR(TODAY()&gt;=DATE(2027,1,1),'Conto Economico'!N249&lt;&gt;0)),'Conto Economico'!N249,MIN(MAX($U111,IFERROR(AVERAGEIF('Conto Economico'!$C249:M249,"&lt;&gt;0"),0)),MAX(0,($U111*12) - SUM('Conto Economico'!$C249:M249))))</f>
        <v>0</v>
      </c>
      <c r="P111"/>
      <c r="Q111" s="147">
        <f t="shared" ca="1" si="57"/>
        <v>548.95000000000005</v>
      </c>
      <c r="R111" s="147">
        <f t="shared" ca="1" si="61"/>
        <v>45.745833333333337</v>
      </c>
      <c r="S111" s="147"/>
      <c r="T111" s="170">
        <f>'Budget 27'!C113</f>
        <v>300</v>
      </c>
      <c r="U111" s="170">
        <f t="shared" si="59"/>
        <v>25</v>
      </c>
      <c r="V111" s="147"/>
      <c r="W111" s="170">
        <f t="shared" ca="1" si="62"/>
        <v>248.95000000000005</v>
      </c>
      <c r="X111" s="405">
        <f t="shared" ca="1" si="60"/>
        <v>1.8298333333333334</v>
      </c>
      <c r="Z111" s="234" t="str">
        <f>'Conto Economico'!A249</f>
        <v>Rientri a Bologna - Trasporti</v>
      </c>
    </row>
    <row r="112" spans="1:26" x14ac:dyDescent="0.2">
      <c r="B112" s="169" t="str">
        <f>'Conto Economico'!A250</f>
        <v>Mutuo Riccione</v>
      </c>
      <c r="C112" s="169"/>
      <c r="D112" s="147">
        <f ca="1">IF(AND(TODAY()&gt;=DATE(2026,1,1),OR(TODAY()&gt;=DATE(2026,2,1),'Conto Economico'!C250&lt;&gt;0)),'Conto Economico'!C250,$U112)</f>
        <v>334.13</v>
      </c>
      <c r="E112" s="147">
        <f ca="1">IF(AND(TODAY()&gt;=DATE(2026,2,1),OR(TODAY()&gt;=DATE(2026,3,1),'Conto Economico'!D250&lt;&gt;0)),'Conto Economico'!D250,MIN(MAX($U112,IFERROR(AVERAGEIF('Conto Economico'!$C250:C250,"&lt;&gt;0"),0)),MAX(0,($U112*12) - SUM('Conto Economico'!$C250:C250))))</f>
        <v>332.45</v>
      </c>
      <c r="F112" s="147">
        <f ca="1">IF(AND(TODAY()&gt;=DATE(2026,3,1),OR(TODAY()&gt;=DATE(2026,4,1),'Conto Economico'!E250&lt;&gt;0)),'Conto Economico'!E250,MIN(MAX($U112,IFERROR(AVERAGEIF('Conto Economico'!$C250:D250,"&lt;&gt;0"),0)),MAX(0,($U112*12) - SUM('Conto Economico'!$C250:D250))))</f>
        <v>322.61</v>
      </c>
      <c r="G112" s="147">
        <f ca="1">IF(AND(TODAY()&gt;=DATE(2026,4,1),OR(TODAY()&gt;=DATE(2026,5,1),'Conto Economico'!F250&lt;&gt;0)),'Conto Economico'!F250,MIN(MAX($U112,IFERROR(AVERAGEIF('Conto Economico'!$C250:E250,"&lt;&gt;0"),0)),MAX(0,($U112*12) - SUM('Conto Economico'!$C250:E250))))</f>
        <v>333.38</v>
      </c>
      <c r="H112" s="147">
        <f ca="1">IF(AND(TODAY()&gt;=DATE(2026,5,1),OR(TODAY()&gt;=DATE(2026,6,1),'Conto Economico'!G250&lt;&gt;0)),'Conto Economico'!G250,MIN(MAX($U112,IFERROR(AVERAGEIF('Conto Economico'!$C250:F250,"&lt;&gt;0"),0)),MAX(0,($U112*12) - SUM('Conto Economico'!$C250:F250))))</f>
        <v>326.55</v>
      </c>
      <c r="I112" s="147">
        <f ca="1">IF(AND(TODAY()&gt;=DATE(2026,6,1),OR(TODAY()&gt;=DATE(2026,7,1),'Conto Economico'!H250&lt;&gt;0)),'Conto Economico'!H250,MIN(MAX($U112,IFERROR(AVERAGEIF('Conto Economico'!$C250:G250,"&lt;&gt;0"),0)),MAX(0,($U112*12) - SUM('Conto Economico'!$C250:G250))))</f>
        <v>333.29</v>
      </c>
      <c r="J112" s="147">
        <f ca="1">IF(AND(TODAY()&gt;=DATE(2026,7,1),OR(TODAY()&gt;=DATE(2026,8,1),'Conto Economico'!I250&lt;&gt;0)),'Conto Economico'!I250,MIN(MAX($U112,IFERROR(AVERAGEIF('Conto Economico'!$C250:H250,"&lt;&gt;0"),0)),MAX(0,($U112*12) - SUM('Conto Economico'!$C250:H250))))</f>
        <v>328.19</v>
      </c>
      <c r="K112" s="147">
        <f ca="1">IF(AND(TODAY()&gt;=DATE(2026,8,1),OR(TODAY()&gt;=DATE(2026,9,1),'Conto Economico'!J250&lt;&gt;0)),'Conto Economico'!J250,MIN(MAX($U112,IFERROR(AVERAGEIF('Conto Economico'!$C250:I250,"&lt;&gt;0"),0)),MAX(0,($U112*12) - SUM('Conto Economico'!$C250:I250))))</f>
        <v>358.33333333333331</v>
      </c>
      <c r="L112" s="147">
        <f ca="1">IF(AND(TODAY()&gt;=DATE(2026,9,1),OR(TODAY()&gt;=DATE(2026,10,1),'Conto Economico'!K250&lt;&gt;0)),'Conto Economico'!K250,MIN(MAX($U112,IFERROR(AVERAGEIF('Conto Economico'!$C250:J250,"&lt;&gt;0"),0)),MAX(0,($U112*12) - SUM('Conto Economico'!$C250:J250))))</f>
        <v>358.33333333333331</v>
      </c>
      <c r="M112" s="147">
        <f ca="1">IF(AND(TODAY()&gt;=DATE(2026,10,1),OR(TODAY()&gt;=DATE(2026,11,1),'Conto Economico'!L250&lt;&gt;0)),'Conto Economico'!L250,MIN(MAX($U112,IFERROR(AVERAGEIF('Conto Economico'!$C250:K250,"&lt;&gt;0"),0)),MAX(0,($U112*12) - SUM('Conto Economico'!$C250:K250))))</f>
        <v>358.33333333333331</v>
      </c>
      <c r="N112" s="147">
        <f ca="1">IF(AND(TODAY()&gt;=DATE(2026,11,1),OR(TODAY()&gt;=DATE(2026,12,1),'Conto Economico'!M250&lt;&gt;0)),'Conto Economico'!M250,MIN(MAX($U112,IFERROR(AVERAGEIF('Conto Economico'!$C250:L250,"&lt;&gt;0"),0)),MAX(0,($U112*12) - SUM('Conto Economico'!$C250:L250))))</f>
        <v>358.33333333333331</v>
      </c>
      <c r="O112" s="147">
        <f ca="1">IF(AND(TODAY()&gt;=DATE(2026,12,1),OR(TODAY()&gt;=DATE(2027,1,1),'Conto Economico'!N250&lt;&gt;0)),'Conto Economico'!N250,MIN(MAX($U112,IFERROR(AVERAGEIF('Conto Economico'!$C250:M250,"&lt;&gt;0"),0)),MAX(0,($U112*12) - SUM('Conto Economico'!$C250:M250))))</f>
        <v>358.33333333333331</v>
      </c>
      <c r="Q112" s="147">
        <f t="shared" ca="1" si="57"/>
        <v>4102.2666666666673</v>
      </c>
      <c r="R112" s="147">
        <f t="shared" ca="1" si="61"/>
        <v>341.85555555555561</v>
      </c>
      <c r="T112" s="170">
        <f>'Budget 27'!C114</f>
        <v>4300</v>
      </c>
      <c r="U112" s="170">
        <f t="shared" si="59"/>
        <v>358.33333333333331</v>
      </c>
      <c r="W112" s="170">
        <f t="shared" ca="1" si="62"/>
        <v>-197.73333333333267</v>
      </c>
      <c r="X112" s="405">
        <f t="shared" ca="1" si="60"/>
        <v>0.95401550387596912</v>
      </c>
      <c r="Z112" s="234" t="str">
        <f>'Conto Economico'!A250</f>
        <v>Mutuo Riccione</v>
      </c>
    </row>
    <row r="113" spans="1:26" x14ac:dyDescent="0.2">
      <c r="A113" s="157"/>
      <c r="B113" s="169" t="str">
        <f>'Conto Economico'!A251</f>
        <v>Spese Amministrative - Passaporti - SPID</v>
      </c>
      <c r="C113" s="203"/>
      <c r="D113" s="147">
        <f ca="1">IF(AND(TODAY()&gt;=DATE(2026,1,1),OR(TODAY()&gt;=DATE(2026,2,1),'Conto Economico'!C251&lt;&gt;0)),'Conto Economico'!C251,$U113)</f>
        <v>0</v>
      </c>
      <c r="E113" s="147">
        <f ca="1">IF(AND(TODAY()&gt;=DATE(2026,2,1),OR(TODAY()&gt;=DATE(2026,3,1),'Conto Economico'!D251&lt;&gt;0)),'Conto Economico'!D251,MIN(MAX($U113,IFERROR(AVERAGEIF('Conto Economico'!$C251:C251,"&lt;&gt;0"),0)),MAX(0,($U113*12) - SUM('Conto Economico'!$C251:C251))))</f>
        <v>201.01</v>
      </c>
      <c r="F113" s="147">
        <f ca="1">IF(AND(TODAY()&gt;=DATE(2026,3,1),OR(TODAY()&gt;=DATE(2026,4,1),'Conto Economico'!E251&lt;&gt;0)),'Conto Economico'!E251,MIN(MAX($U113,IFERROR(AVERAGEIF('Conto Economico'!$C251:D251,"&lt;&gt;0"),0)),MAX(0,($U113*12) - SUM('Conto Economico'!$C251:D251))))</f>
        <v>0</v>
      </c>
      <c r="G113" s="147">
        <f ca="1">IF(AND(TODAY()&gt;=DATE(2026,4,1),OR(TODAY()&gt;=DATE(2026,5,1),'Conto Economico'!F251&lt;&gt;0)),'Conto Economico'!F251,MIN(MAX($U113,IFERROR(AVERAGEIF('Conto Economico'!$C251:E251,"&lt;&gt;0"),0)),MAX(0,($U113*12) - SUM('Conto Economico'!$C251:E251))))</f>
        <v>12.19</v>
      </c>
      <c r="H113" s="147">
        <f ca="1">IF(AND(TODAY()&gt;=DATE(2026,5,1),OR(TODAY()&gt;=DATE(2026,6,1),'Conto Economico'!G251&lt;&gt;0)),'Conto Economico'!G251,MIN(MAX($U113,IFERROR(AVERAGEIF('Conto Economico'!$C251:F251,"&lt;&gt;0"),0)),MAX(0,($U113*12) - SUM('Conto Economico'!$C251:F251))))</f>
        <v>0</v>
      </c>
      <c r="I113" s="147">
        <f ca="1">IF(AND(TODAY()&gt;=DATE(2026,6,1),OR(TODAY()&gt;=DATE(2026,7,1),'Conto Economico'!H251&lt;&gt;0)),'Conto Economico'!H251,MIN(MAX($U113,IFERROR(AVERAGEIF('Conto Economico'!$C251:G251,"&lt;&gt;0"),0)),MAX(0,($U113*12) - SUM('Conto Economico'!$C251:G251))))</f>
        <v>0</v>
      </c>
      <c r="J113" s="147">
        <f ca="1">IF(AND(TODAY()&gt;=DATE(2026,7,1),OR(TODAY()&gt;=DATE(2026,8,1),'Conto Economico'!I251&lt;&gt;0)),'Conto Economico'!I251,MIN(MAX($U113,IFERROR(AVERAGEIF('Conto Economico'!$C251:H251,"&lt;&gt;0"),0)),MAX(0,($U113*12) - SUM('Conto Economico'!$C251:H251))))</f>
        <v>106.6</v>
      </c>
      <c r="K113" s="147">
        <f ca="1">IF(AND(TODAY()&gt;=DATE(2026,8,1),OR(TODAY()&gt;=DATE(2026,9,1),'Conto Economico'!J251&lt;&gt;0)),'Conto Economico'!J251,MIN(MAX($U113,IFERROR(AVERAGEIF('Conto Economico'!$C251:I251,"&lt;&gt;0"),0)),MAX(0,($U113*12) - SUM('Conto Economico'!$C251:I251))))</f>
        <v>106.6</v>
      </c>
      <c r="L113" s="147">
        <f ca="1">IF(AND(TODAY()&gt;=DATE(2026,9,1),OR(TODAY()&gt;=DATE(2026,10,1),'Conto Economico'!K251&lt;&gt;0)),'Conto Economico'!K251,MIN(MAX($U113,IFERROR(AVERAGEIF('Conto Economico'!$C251:J251,"&lt;&gt;0"),0)),MAX(0,($U113*12) - SUM('Conto Economico'!$C251:J251))))</f>
        <v>106.6</v>
      </c>
      <c r="M113" s="147">
        <f ca="1">IF(AND(TODAY()&gt;=DATE(2026,10,1),OR(TODAY()&gt;=DATE(2026,11,1),'Conto Economico'!L251&lt;&gt;0)),'Conto Economico'!L251,MIN(MAX($U113,IFERROR(AVERAGEIF('Conto Economico'!$C251:K251,"&lt;&gt;0"),0)),MAX(0,($U113*12) - SUM('Conto Economico'!$C251:K251))))</f>
        <v>106.6</v>
      </c>
      <c r="N113" s="147">
        <f ca="1">IF(AND(TODAY()&gt;=DATE(2026,11,1),OR(TODAY()&gt;=DATE(2026,12,1),'Conto Economico'!M251&lt;&gt;0)),'Conto Economico'!M251,MIN(MAX($U113,IFERROR(AVERAGEIF('Conto Economico'!$C251:L251,"&lt;&gt;0"),0)),MAX(0,($U113*12) - SUM('Conto Economico'!$C251:L251))))</f>
        <v>106.6</v>
      </c>
      <c r="O113" s="147">
        <f ca="1">IF(AND(TODAY()&gt;=DATE(2026,12,1),OR(TODAY()&gt;=DATE(2027,1,1),'Conto Economico'!N251&lt;&gt;0)),'Conto Economico'!N251,MIN(MAX($U113,IFERROR(AVERAGEIF('Conto Economico'!$C251:M251,"&lt;&gt;0"),0)),MAX(0,($U113*12) - SUM('Conto Economico'!$C251:M251))))</f>
        <v>106.6</v>
      </c>
      <c r="Q113" s="147">
        <f t="shared" ca="1" si="57"/>
        <v>852.80000000000007</v>
      </c>
      <c r="R113" s="147">
        <f t="shared" ca="1" si="61"/>
        <v>71.066666666666677</v>
      </c>
      <c r="T113" s="170">
        <f>'Budget 27'!C115</f>
        <v>320</v>
      </c>
      <c r="U113" s="170">
        <f t="shared" si="59"/>
        <v>26.666666666666668</v>
      </c>
      <c r="W113" s="170">
        <f t="shared" ca="1" si="62"/>
        <v>532.80000000000007</v>
      </c>
      <c r="X113" s="405">
        <f t="shared" ca="1" si="60"/>
        <v>2.665</v>
      </c>
      <c r="Z113" s="234" t="str">
        <f>'Conto Economico'!A251</f>
        <v>Spese Amministrative - Passaporti - SPID</v>
      </c>
    </row>
    <row r="114" spans="1:26" s="178" customFormat="1" x14ac:dyDescent="0.2">
      <c r="B114" s="169" t="str">
        <f>'Conto Economico'!A252</f>
        <v>Altre spese Italia</v>
      </c>
      <c r="C114" s="169"/>
      <c r="D114" s="147">
        <f ca="1">IF(AND(TODAY()&gt;=DATE(2026,1,1),OR(TODAY()&gt;=DATE(2026,2,1),'Conto Economico'!C252&lt;&gt;0)),'Conto Economico'!C252,$U114)</f>
        <v>0</v>
      </c>
      <c r="E114" s="147">
        <f ca="1">IF(AND(TODAY()&gt;=DATE(2026,2,1),OR(TODAY()&gt;=DATE(2026,3,1),'Conto Economico'!D252&lt;&gt;0)),'Conto Economico'!D252,MIN(MAX($U114,IFERROR(AVERAGEIF('Conto Economico'!$C252:C252,"&lt;&gt;0"),0)),MAX(0,($U114*12) - SUM('Conto Economico'!$C252:C252))))</f>
        <v>854.73000000000013</v>
      </c>
      <c r="F114" s="147">
        <f ca="1">IF(AND(TODAY()&gt;=DATE(2026,3,1),OR(TODAY()&gt;=DATE(2026,4,1),'Conto Economico'!E252&lt;&gt;0)),'Conto Economico'!E252,MIN(MAX($U114,IFERROR(AVERAGEIF('Conto Economico'!$C252:D252,"&lt;&gt;0"),0)),MAX(0,($U114*12) - SUM('Conto Economico'!$C252:D252))))</f>
        <v>0</v>
      </c>
      <c r="G114" s="147">
        <f ca="1">IF(AND(TODAY()&gt;=DATE(2026,4,1),OR(TODAY()&gt;=DATE(2026,5,1),'Conto Economico'!F252&lt;&gt;0)),'Conto Economico'!F252,MIN(MAX($U114,IFERROR(AVERAGEIF('Conto Economico'!$C252:E252,"&lt;&gt;0"),0)),MAX(0,($U114*12) - SUM('Conto Economico'!$C252:E252))))</f>
        <v>0</v>
      </c>
      <c r="H114" s="147">
        <f ca="1">IF(AND(TODAY()&gt;=DATE(2026,5,1),OR(TODAY()&gt;=DATE(2026,6,1),'Conto Economico'!G252&lt;&gt;0)),'Conto Economico'!G252,MIN(MAX($U114,IFERROR(AVERAGEIF('Conto Economico'!$C252:F252,"&lt;&gt;0"),0)),MAX(0,($U114*12) - SUM('Conto Economico'!$C252:F252))))</f>
        <v>0</v>
      </c>
      <c r="I114" s="147">
        <f ca="1">IF(AND(TODAY()&gt;=DATE(2026,6,1),OR(TODAY()&gt;=DATE(2026,7,1),'Conto Economico'!H252&lt;&gt;0)),'Conto Economico'!H252,MIN(MAX($U114,IFERROR(AVERAGEIF('Conto Economico'!$C252:G252,"&lt;&gt;0"),0)),MAX(0,($U114*12) - SUM('Conto Economico'!$C252:G252))))</f>
        <v>2.44</v>
      </c>
      <c r="J114" s="147">
        <f ca="1">IF(AND(TODAY()&gt;=DATE(2026,7,1),OR(TODAY()&gt;=DATE(2026,8,1),'Conto Economico'!I252&lt;&gt;0)),'Conto Economico'!I252,MIN(MAX($U114,IFERROR(AVERAGEIF('Conto Economico'!$C252:H252,"&lt;&gt;0"),0)),MAX(0,($U114*12) - SUM('Conto Economico'!$C252:H252))))</f>
        <v>0</v>
      </c>
      <c r="K114" s="147">
        <f ca="1">IF(AND(TODAY()&gt;=DATE(2026,8,1),OR(TODAY()&gt;=DATE(2026,9,1),'Conto Economico'!J252&lt;&gt;0)),'Conto Economico'!J252,MIN(MAX($U114,IFERROR(AVERAGEIF('Conto Economico'!$C252:I252,"&lt;&gt;0"),0)),MAX(0,($U114*12) - SUM('Conto Economico'!$C252:I252))))</f>
        <v>0</v>
      </c>
      <c r="L114" s="147">
        <f ca="1">IF(AND(TODAY()&gt;=DATE(2026,9,1),OR(TODAY()&gt;=DATE(2026,10,1),'Conto Economico'!K252&lt;&gt;0)),'Conto Economico'!K252,MIN(MAX($U114,IFERROR(AVERAGEIF('Conto Economico'!$C252:J252,"&lt;&gt;0"),0)),MAX(0,($U114*12) - SUM('Conto Economico'!$C252:J252))))</f>
        <v>0</v>
      </c>
      <c r="M114" s="147">
        <f ca="1">IF(AND(TODAY()&gt;=DATE(2026,10,1),OR(TODAY()&gt;=DATE(2026,11,1),'Conto Economico'!L252&lt;&gt;0)),'Conto Economico'!L252,MIN(MAX($U114,IFERROR(AVERAGEIF('Conto Economico'!$C252:K252,"&lt;&gt;0"),0)),MAX(0,($U114*12) - SUM('Conto Economico'!$C252:K252))))</f>
        <v>0</v>
      </c>
      <c r="N114" s="147">
        <f ca="1">IF(AND(TODAY()&gt;=DATE(2026,11,1),OR(TODAY()&gt;=DATE(2026,12,1),'Conto Economico'!M252&lt;&gt;0)),'Conto Economico'!M252,MIN(MAX($U114,IFERROR(AVERAGEIF('Conto Economico'!$C252:L252,"&lt;&gt;0"),0)),MAX(0,($U114*12) - SUM('Conto Economico'!$C252:L252))))</f>
        <v>0</v>
      </c>
      <c r="O114" s="147">
        <f ca="1">IF(AND(TODAY()&gt;=DATE(2026,12,1),OR(TODAY()&gt;=DATE(2027,1,1),'Conto Economico'!N252&lt;&gt;0)),'Conto Economico'!N252,MIN(MAX($U114,IFERROR(AVERAGEIF('Conto Economico'!$C252:M252,"&lt;&gt;0"),0)),MAX(0,($U114*12) - SUM('Conto Economico'!$C252:M252))))</f>
        <v>0</v>
      </c>
      <c r="P114"/>
      <c r="Q114" s="147">
        <f t="shared" ca="1" si="57"/>
        <v>857.17000000000019</v>
      </c>
      <c r="R114" s="147">
        <f t="shared" ca="1" si="61"/>
        <v>71.430833333333354</v>
      </c>
      <c r="S114" s="147"/>
      <c r="T114" s="170">
        <f>'Budget 27'!C116</f>
        <v>200</v>
      </c>
      <c r="U114" s="170">
        <f t="shared" si="59"/>
        <v>16.666666666666668</v>
      </c>
      <c r="V114" s="147"/>
      <c r="W114" s="170">
        <f t="shared" ca="1" si="62"/>
        <v>657.17000000000019</v>
      </c>
      <c r="X114" s="405">
        <f t="shared" ca="1" si="60"/>
        <v>4.2858500000000008</v>
      </c>
      <c r="Z114" s="234" t="str">
        <f>'Conto Economico'!A252</f>
        <v>Altre spese Italia</v>
      </c>
    </row>
    <row r="115" spans="1:26" s="178" customFormat="1" x14ac:dyDescent="0.2">
      <c r="B115" s="169" t="str">
        <f>'Conto Economico'!A253</f>
        <v>Altre spese Spagna</v>
      </c>
      <c r="C115" s="169"/>
      <c r="D115" s="147">
        <f ca="1">IF(AND(TODAY()&gt;=DATE(2026,1,1),OR(TODAY()&gt;=DATE(2026,2,1),'Conto Economico'!C253&lt;&gt;0)),'Conto Economico'!C253,$U115)</f>
        <v>7.98</v>
      </c>
      <c r="E115" s="147">
        <f ca="1">IF(AND(TODAY()&gt;=DATE(2026,2,1),OR(TODAY()&gt;=DATE(2026,3,1),'Conto Economico'!D253&lt;&gt;0)),'Conto Economico'!D253,MIN(MAX($U115,IFERROR(AVERAGEIF('Conto Economico'!$C253:C253,"&lt;&gt;0"),0)),MAX(0,($U115*12) - SUM('Conto Economico'!$C253:C253))))</f>
        <v>38.35</v>
      </c>
      <c r="F115" s="147">
        <f ca="1">IF(AND(TODAY()&gt;=DATE(2026,3,1),OR(TODAY()&gt;=DATE(2026,4,1),'Conto Economico'!E253&lt;&gt;0)),'Conto Economico'!E253,MIN(MAX($U115,IFERROR(AVERAGEIF('Conto Economico'!$C253:D253,"&lt;&gt;0"),0)),MAX(0,($U115*12) - SUM('Conto Economico'!$C253:D253))))</f>
        <v>0</v>
      </c>
      <c r="G115" s="147">
        <f ca="1">IF(AND(TODAY()&gt;=DATE(2026,4,1),OR(TODAY()&gt;=DATE(2026,5,1),'Conto Economico'!F253&lt;&gt;0)),'Conto Economico'!F253,MIN(MAX($U115,IFERROR(AVERAGEIF('Conto Economico'!$C253:E253,"&lt;&gt;0"),0)),MAX(0,($U115*12) - SUM('Conto Economico'!$C253:E253))))</f>
        <v>0</v>
      </c>
      <c r="H115" s="147">
        <f ca="1">IF(AND(TODAY()&gt;=DATE(2026,5,1),OR(TODAY()&gt;=DATE(2026,6,1),'Conto Economico'!G253&lt;&gt;0)),'Conto Economico'!G253,MIN(MAX($U115,IFERROR(AVERAGEIF('Conto Economico'!$C253:F253,"&lt;&gt;0"),0)),MAX(0,($U115*12) - SUM('Conto Economico'!$C253:F253))))</f>
        <v>0</v>
      </c>
      <c r="I115" s="147">
        <f ca="1">IF(AND(TODAY()&gt;=DATE(2026,6,1),OR(TODAY()&gt;=DATE(2026,7,1),'Conto Economico'!H253&lt;&gt;0)),'Conto Economico'!H253,MIN(MAX($U115,IFERROR(AVERAGEIF('Conto Economico'!$C253:G253,"&lt;&gt;0"),0)),MAX(0,($U115*12) - SUM('Conto Economico'!$C253:G253))))</f>
        <v>2.99</v>
      </c>
      <c r="J115" s="147">
        <f ca="1">IF(AND(TODAY()&gt;=DATE(2026,7,1),OR(TODAY()&gt;=DATE(2026,8,1),'Conto Economico'!I253&lt;&gt;0)),'Conto Economico'!I253,MIN(MAX($U115,IFERROR(AVERAGEIF('Conto Economico'!$C253:H253,"&lt;&gt;0"),0)),MAX(0,($U115*12) - SUM('Conto Economico'!$C253:H253))))</f>
        <v>16.666666666666668</v>
      </c>
      <c r="K115" s="147">
        <f ca="1">IF(AND(TODAY()&gt;=DATE(2026,8,1),OR(TODAY()&gt;=DATE(2026,9,1),'Conto Economico'!J253&lt;&gt;0)),'Conto Economico'!J253,MIN(MAX($U115,IFERROR(AVERAGEIF('Conto Economico'!$C253:I253,"&lt;&gt;0"),0)),MAX(0,($U115*12) - SUM('Conto Economico'!$C253:I253))))</f>
        <v>16.666666666666668</v>
      </c>
      <c r="L115" s="147">
        <f ca="1">IF(AND(TODAY()&gt;=DATE(2026,9,1),OR(TODAY()&gt;=DATE(2026,10,1),'Conto Economico'!K253&lt;&gt;0)),'Conto Economico'!K253,MIN(MAX($U115,IFERROR(AVERAGEIF('Conto Economico'!$C253:J253,"&lt;&gt;0"),0)),MAX(0,($U115*12) - SUM('Conto Economico'!$C253:J253))))</f>
        <v>16.666666666666668</v>
      </c>
      <c r="M115" s="147">
        <f ca="1">IF(AND(TODAY()&gt;=DATE(2026,10,1),OR(TODAY()&gt;=DATE(2026,11,1),'Conto Economico'!L253&lt;&gt;0)),'Conto Economico'!L253,MIN(MAX($U115,IFERROR(AVERAGEIF('Conto Economico'!$C253:K253,"&lt;&gt;0"),0)),MAX(0,($U115*12) - SUM('Conto Economico'!$C253:K253))))</f>
        <v>16.666666666666668</v>
      </c>
      <c r="N115" s="147">
        <f ca="1">IF(AND(TODAY()&gt;=DATE(2026,11,1),OR(TODAY()&gt;=DATE(2026,12,1),'Conto Economico'!M253&lt;&gt;0)),'Conto Economico'!M253,MIN(MAX($U115,IFERROR(AVERAGEIF('Conto Economico'!$C253:L253,"&lt;&gt;0"),0)),MAX(0,($U115*12) - SUM('Conto Economico'!$C253:L253))))</f>
        <v>16.666666666666668</v>
      </c>
      <c r="O115" s="147">
        <f ca="1">IF(AND(TODAY()&gt;=DATE(2026,12,1),OR(TODAY()&gt;=DATE(2027,1,1),'Conto Economico'!N253&lt;&gt;0)),'Conto Economico'!N253,MIN(MAX($U115,IFERROR(AVERAGEIF('Conto Economico'!$C253:M253,"&lt;&gt;0"),0)),MAX(0,($U115*12) - SUM('Conto Economico'!$C253:M253))))</f>
        <v>16.666666666666668</v>
      </c>
      <c r="P115"/>
      <c r="Q115" s="147">
        <f t="shared" ca="1" si="57"/>
        <v>149.32</v>
      </c>
      <c r="R115" s="147">
        <f t="shared" ca="1" si="61"/>
        <v>12.443333333333333</v>
      </c>
      <c r="S115" s="147"/>
      <c r="T115" s="170">
        <f>'Budget 27'!C117</f>
        <v>200</v>
      </c>
      <c r="U115" s="170">
        <f t="shared" si="59"/>
        <v>16.666666666666668</v>
      </c>
      <c r="V115" s="147"/>
      <c r="W115" s="170">
        <f t="shared" ca="1" si="62"/>
        <v>-50.680000000000007</v>
      </c>
      <c r="X115" s="405">
        <f t="shared" ca="1" si="60"/>
        <v>0.74659999999999993</v>
      </c>
      <c r="Z115" s="234" t="str">
        <f>'Conto Economico'!A253</f>
        <v>Altre spese Spagna</v>
      </c>
    </row>
    <row r="116" spans="1:26" x14ac:dyDescent="0.2">
      <c r="B116" s="169"/>
      <c r="C116" s="169"/>
      <c r="Q116" s="157"/>
      <c r="T116" s="175"/>
      <c r="U116" s="175"/>
      <c r="W116" s="175"/>
      <c r="X116" s="322"/>
      <c r="Z116" s="234"/>
    </row>
    <row r="117" spans="1:26" s="162" customFormat="1" x14ac:dyDescent="0.2">
      <c r="A117" s="163"/>
      <c r="B117" s="160" t="s">
        <v>928</v>
      </c>
      <c r="C117" s="161"/>
      <c r="D117" s="160">
        <f ca="1">D119+D129</f>
        <v>36447.81</v>
      </c>
      <c r="E117" s="160">
        <f t="shared" ref="E117:N117" ca="1" si="63">E119+E129</f>
        <v>29742.83</v>
      </c>
      <c r="F117" s="160">
        <f t="shared" ca="1" si="63"/>
        <v>9654.83</v>
      </c>
      <c r="G117" s="160">
        <f t="shared" ca="1" si="63"/>
        <v>-12949.609999999999</v>
      </c>
      <c r="H117" s="160">
        <f t="shared" ca="1" si="63"/>
        <v>13405.411214</v>
      </c>
      <c r="I117" s="160">
        <f t="shared" ca="1" si="63"/>
        <v>18696.9001264</v>
      </c>
      <c r="J117" s="160">
        <f t="shared" ca="1" si="63"/>
        <v>18906.056557600001</v>
      </c>
      <c r="K117" s="160">
        <f t="shared" ca="1" si="63"/>
        <v>9778.2312609666933</v>
      </c>
      <c r="L117" s="160">
        <f t="shared" ca="1" si="63"/>
        <v>9778.2312609666933</v>
      </c>
      <c r="M117" s="160">
        <f t="shared" ca="1" si="63"/>
        <v>9778.2312609666933</v>
      </c>
      <c r="N117" s="160">
        <f t="shared" ca="1" si="63"/>
        <v>9778.2312609666933</v>
      </c>
      <c r="O117" s="160">
        <f ca="1">O119+O129</f>
        <v>66322.231260966699</v>
      </c>
      <c r="P117"/>
      <c r="Q117" s="160">
        <f ca="1">Q119+Q129</f>
        <v>219339.38420283352</v>
      </c>
      <c r="R117" s="160">
        <f ca="1">Q117/12</f>
        <v>18278.282016902795</v>
      </c>
      <c r="S117" s="179"/>
      <c r="T117" s="160">
        <f ca="1">T119+T129</f>
        <v>610066.77513160033</v>
      </c>
      <c r="U117" s="160">
        <f ca="1">U119</f>
        <v>7628.6666666666679</v>
      </c>
      <c r="W117" s="160">
        <f ca="1">T117-Q117</f>
        <v>390727.39092876681</v>
      </c>
      <c r="X117" s="319">
        <v>1.0089708098608954</v>
      </c>
      <c r="Z117" s="159" t="str">
        <f>'Conto Economico'!A255</f>
        <v>Spese Straordinarie</v>
      </c>
    </row>
    <row r="118" spans="1:26" s="180" customFormat="1" x14ac:dyDescent="0.2">
      <c r="A118" s="336"/>
      <c r="B118" s="161"/>
      <c r="C118" s="161"/>
      <c r="D118" s="161"/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/>
      <c r="Q118" s="161"/>
      <c r="R118" s="161"/>
      <c r="S118" s="179"/>
      <c r="T118" s="161"/>
      <c r="U118" s="161"/>
      <c r="W118" s="161">
        <f>T118-Q118</f>
        <v>0</v>
      </c>
      <c r="X118" s="323"/>
      <c r="Z118" s="238"/>
    </row>
    <row r="119" spans="1:26" x14ac:dyDescent="0.2">
      <c r="B119" s="176" t="str">
        <f>'Conto Economico'!A255</f>
        <v>Spese Straordinarie</v>
      </c>
      <c r="C119" s="167"/>
      <c r="D119" s="168">
        <f ca="1">SUM(D120:D127)</f>
        <v>22252.95</v>
      </c>
      <c r="E119" s="168">
        <f t="shared" ref="E119:U119" ca="1" si="64">SUM(E120:E127)</f>
        <v>-2709.99</v>
      </c>
      <c r="F119" s="168">
        <f t="shared" ca="1" si="64"/>
        <v>65</v>
      </c>
      <c r="G119" s="168">
        <f t="shared" ca="1" si="64"/>
        <v>0</v>
      </c>
      <c r="H119" s="168">
        <f t="shared" ca="1" si="64"/>
        <v>3970.0880800000004</v>
      </c>
      <c r="I119" s="168">
        <f t="shared" ca="1" si="64"/>
        <v>9261.5816539999996</v>
      </c>
      <c r="J119" s="168">
        <f t="shared" ca="1" si="64"/>
        <v>9470.7380852000006</v>
      </c>
      <c r="K119" s="168">
        <f t="shared" ca="1" si="64"/>
        <v>0</v>
      </c>
      <c r="L119" s="168">
        <f t="shared" ca="1" si="64"/>
        <v>0</v>
      </c>
      <c r="M119" s="168">
        <f t="shared" ca="1" si="64"/>
        <v>0</v>
      </c>
      <c r="N119" s="168">
        <f t="shared" ca="1" si="64"/>
        <v>0</v>
      </c>
      <c r="O119" s="168">
        <f t="shared" ca="1" si="64"/>
        <v>56544</v>
      </c>
      <c r="Q119" s="168">
        <f t="shared" ca="1" si="64"/>
        <v>98854.367819200008</v>
      </c>
      <c r="R119" s="168">
        <f t="shared" ca="1" si="64"/>
        <v>8237.8639849333322</v>
      </c>
      <c r="S119" s="168"/>
      <c r="T119" s="168">
        <f t="shared" ca="1" si="64"/>
        <v>91544</v>
      </c>
      <c r="U119" s="168">
        <f t="shared" ca="1" si="64"/>
        <v>7628.6666666666679</v>
      </c>
      <c r="W119" s="168">
        <f t="shared" ref="W119:W133" ca="1" si="65">Q119-T119</f>
        <v>7310.3678192000079</v>
      </c>
      <c r="X119" s="406">
        <f ca="1">IF(T119=0,"-",Q119/T119)</f>
        <v>1.0798563294066241</v>
      </c>
      <c r="Z119" s="237" t="str">
        <f>'Conto Economico'!A255</f>
        <v>Spese Straordinarie</v>
      </c>
    </row>
    <row r="120" spans="1:26" x14ac:dyDescent="0.2">
      <c r="B120" s="169" t="str">
        <f>'Conto Economico'!A256</f>
        <v>Spese Per Vendita El Toro</v>
      </c>
      <c r="C120" s="169"/>
      <c r="D120" s="147">
        <f ca="1">IF(AND(TODAY()&gt;=DATE(2026,1,1),OR(TODAY()&gt;=DATE(2026,2,1),'Conto Economico'!C256&lt;&gt;0)),'Conto Economico'!C256,)</f>
        <v>22252.95</v>
      </c>
      <c r="E120" s="147">
        <f ca="1">IF(AND(TODAY()&gt;=DATE(2026,2,1),OR(TODAY()&gt;=DATE(2026,3,1),'Conto Economico'!D256&lt;&gt;0)),'Conto Economico'!D256,)</f>
        <v>-2709.99</v>
      </c>
      <c r="F120" s="147">
        <f ca="1">IF(AND(TODAY()&gt;=DATE(2026,3,1),OR(TODAY()&gt;=DATE(2026,4,1),'Conto Economico'!E256&lt;&gt;0)),'Conto Economico'!E256,)</f>
        <v>0</v>
      </c>
      <c r="G120" s="147">
        <f ca="1">IF(AND(TODAY()&gt;=DATE(2026,4,1),OR(TODAY()&gt;=DATE(2026,5,1),'Conto Economico'!F256&lt;&gt;0)),'Conto Economico'!F256,)</f>
        <v>0</v>
      </c>
      <c r="H120" s="147">
        <f ca="1">IF(AND(TODAY()&gt;=DATE(2026,5,1),OR(TODAY()&gt;=DATE(2026,6,1),'Conto Economico'!G256&lt;&gt;0)),'Conto Economico'!G256,)</f>
        <v>0</v>
      </c>
      <c r="I120" s="147">
        <f ca="1">IF(AND(TODAY()&gt;=DATE(2026,6,1),OR(TODAY()&gt;=DATE(2026,7,1),'Conto Economico'!H256&lt;&gt;0)),'Conto Economico'!H256,)</f>
        <v>0</v>
      </c>
      <c r="J120" s="147">
        <f ca="1">IF(AND(TODAY()&gt;=DATE(2026,7,1),OR(TODAY()&gt;=DATE(2026,8,1),'Conto Economico'!I256&lt;&gt;0)),'Conto Economico'!I256,)</f>
        <v>0</v>
      </c>
      <c r="K120" s="147">
        <f ca="1">IF(AND(TODAY()&gt;=DATE(2026,8,1),OR(TODAY()&gt;=DATE(2026,9,1),'Conto Economico'!J256&lt;&gt;0)),'Conto Economico'!J256,)</f>
        <v>0</v>
      </c>
      <c r="L120" s="147">
        <f ca="1">IF(AND(TODAY()&gt;=DATE(2026,9,1),OR(TODAY()&gt;=DATE(2026,10,1),'Conto Economico'!K256&lt;&gt;0)),'Conto Economico'!K256,)</f>
        <v>0</v>
      </c>
      <c r="M120" s="147">
        <f ca="1">IF(AND(TODAY()&gt;=DATE(2026,10,1),OR(TODAY()&gt;=DATE(2026,11,1),'Conto Economico'!L256&lt;&gt;0)),'Conto Economico'!L256,)</f>
        <v>0</v>
      </c>
      <c r="N120" s="147">
        <f ca="1">IF(AND(TODAY()&gt;=DATE(2026,11,1),OR(TODAY()&gt;=DATE(2026,12,1),'Conto Economico'!M256&lt;&gt;0)),'Conto Economico'!M256,)</f>
        <v>0</v>
      </c>
      <c r="O120" s="147">
        <f ca="1">IF(AND(TODAY()&gt;=DATE(2026,12,1),OR(TODAY()&gt;=DATE(2027,1,1),'Conto Economico'!N256&lt;&gt;0)),'Conto Economico'!N256,)</f>
        <v>0</v>
      </c>
      <c r="P120" s="147">
        <f ca="1">IF(AND(TODAY()&gt;=DATE(2026,1,1),OR(TODAY()&gt;=DATE(2026,2,1),'Conto Economico'!O258&lt;&gt;0)),'Conto Economico'!O258,$U120)</f>
        <v>3447.45</v>
      </c>
      <c r="Q120" s="157">
        <f t="shared" ref="Q120:Q132" ca="1" si="66">SUM(D120:O120)</f>
        <v>19542.96</v>
      </c>
      <c r="R120" s="147">
        <f t="shared" ref="R120:R132" ca="1" si="67">Q120/12</f>
        <v>1628.58</v>
      </c>
      <c r="T120" s="170">
        <f>'Budget 27'!C122</f>
        <v>20000</v>
      </c>
      <c r="U120" s="170">
        <f t="shared" ref="U120:U130" si="68">T120/12</f>
        <v>1666.6666666666667</v>
      </c>
      <c r="W120" s="170">
        <f t="shared" ref="W120" ca="1" si="69">Q120-T120</f>
        <v>-457.04000000000087</v>
      </c>
      <c r="X120" s="405">
        <f t="shared" ref="X120:X134" ca="1" si="70">IF(T120=0,"-",Q120/T120)</f>
        <v>0.97714799999999991</v>
      </c>
      <c r="Z120" s="234" t="str">
        <f>'Conto Economico'!A256</f>
        <v>Spese Per Vendita El Toro</v>
      </c>
    </row>
    <row r="121" spans="1:26" x14ac:dyDescent="0.2">
      <c r="B121" s="169" t="str">
        <f>'Conto Economico'!A257</f>
        <v>Spese per Trasferimento EAU</v>
      </c>
      <c r="C121" s="169"/>
      <c r="D121" s="147">
        <f ca="1">IF(AND(TODAY()&gt;=DATE(2026,1,1),OR(TODAY()&gt;=DATE(2026,2,1),'Conto Economico'!C257&lt;&gt;0)),'Conto Economico'!C257,)</f>
        <v>0</v>
      </c>
      <c r="E121" s="147">
        <f ca="1">IF(AND(TODAY()&gt;=DATE(2026,2,1),OR(TODAY()&gt;=DATE(2026,3,1),'Conto Economico'!D257&lt;&gt;0)),'Conto Economico'!D257,)</f>
        <v>0</v>
      </c>
      <c r="F121" s="147">
        <f ca="1">IF(AND(TODAY()&gt;=DATE(2026,3,1),OR(TODAY()&gt;=DATE(2026,4,1),'Conto Economico'!E257&lt;&gt;0)),'Conto Economico'!E257,)</f>
        <v>65</v>
      </c>
      <c r="G121" s="147">
        <f ca="1">IF(AND(TODAY()&gt;=DATE(2026,4,1),OR(TODAY()&gt;=DATE(2026,5,1),'Conto Economico'!F257&lt;&gt;0)),'Conto Economico'!F257,)</f>
        <v>0</v>
      </c>
      <c r="H121" s="147">
        <f ca="1">IF(AND(TODAY()&gt;=DATE(2026,5,1),OR(TODAY()&gt;=DATE(2026,6,1),'Conto Economico'!G257&lt;&gt;0)),'Conto Economico'!G257,)</f>
        <v>3933.4880800000005</v>
      </c>
      <c r="I121" s="147">
        <f ca="1">IF(AND(TODAY()&gt;=DATE(2026,6,1),OR(TODAY()&gt;=DATE(2026,7,1),'Conto Economico'!H257&lt;&gt;0)),'Conto Economico'!H257,)</f>
        <v>2738.3816540000003</v>
      </c>
      <c r="J121" s="147">
        <f ca="1">IF(AND(TODAY()&gt;=DATE(2026,7,1),OR(TODAY()&gt;=DATE(2026,8,1),'Conto Economico'!I257&lt;&gt;0)),'Conto Economico'!I257,)</f>
        <v>5755.4280852000002</v>
      </c>
      <c r="K121" s="147">
        <f ca="1">IF(AND(TODAY()&gt;=DATE(2026,8,1),OR(TODAY()&gt;=DATE(2026,9,1),'Conto Economico'!J257&lt;&gt;0)),'Conto Economico'!J257,)</f>
        <v>0</v>
      </c>
      <c r="L121" s="147">
        <f ca="1">IF(AND(TODAY()&gt;=DATE(2026,9,1),OR(TODAY()&gt;=DATE(2026,10,1),'Conto Economico'!K257&lt;&gt;0)),'Conto Economico'!K257,)</f>
        <v>0</v>
      </c>
      <c r="M121" s="147">
        <f ca="1">IF(AND(TODAY()&gt;=DATE(2026,10,1),OR(TODAY()&gt;=DATE(2026,11,1),'Conto Economico'!L257&lt;&gt;0)),'Conto Economico'!L257,)</f>
        <v>0</v>
      </c>
      <c r="N121" s="147">
        <f ca="1">IF(AND(TODAY()&gt;=DATE(2026,11,1),OR(TODAY()&gt;=DATE(2026,12,1),'Conto Economico'!M257&lt;&gt;0)),'Conto Economico'!M257,)</f>
        <v>0</v>
      </c>
      <c r="O121" s="147">
        <f ca="1">IF(AND(TODAY()&gt;=DATE(2026,12,1),OR(TODAY()&gt;=DATE(2027,1,1),'Conto Economico'!N257&lt;&gt;0)),'Conto Economico'!N257,)</f>
        <v>0</v>
      </c>
      <c r="Q121" s="157">
        <f t="shared" ca="1" si="66"/>
        <v>12492.297819200001</v>
      </c>
      <c r="R121" s="147">
        <f t="shared" ca="1" si="67"/>
        <v>1041.0248182666667</v>
      </c>
      <c r="T121" s="170">
        <f>'Budget 27'!C123</f>
        <v>15000</v>
      </c>
      <c r="U121" s="170">
        <f t="shared" ref="U121:U126" si="71">T121/12</f>
        <v>1250</v>
      </c>
      <c r="W121" s="170">
        <f t="shared" ca="1" si="65"/>
        <v>-2507.702180799999</v>
      </c>
      <c r="X121" s="405">
        <f t="shared" ca="1" si="70"/>
        <v>0.83281985461333341</v>
      </c>
      <c r="Z121" s="234" t="str">
        <f>'Conto Economico'!A257</f>
        <v>Spese per Trasferimento EAU</v>
      </c>
    </row>
    <row r="122" spans="1:26" x14ac:dyDescent="0.2">
      <c r="B122" s="169" t="str">
        <f>'Conto Economico'!A258</f>
        <v>Affitto Dubai</v>
      </c>
      <c r="C122" s="169"/>
      <c r="D122" s="147">
        <f ca="1">IF(AND(TODAY()&gt;=DATE(2026,1,1),OR(TODAY()&gt;=DATE(2026,2,1),'Conto Economico'!C258&lt;&gt;0)),'Conto Economico'!C258,)</f>
        <v>0</v>
      </c>
      <c r="E122" s="147">
        <f ca="1">IF(AND(TODAY()&gt;=DATE(2026,2,1),OR(TODAY()&gt;=DATE(2026,3,1),'Conto Economico'!D258&lt;&gt;0)),'Conto Economico'!D258,)</f>
        <v>0</v>
      </c>
      <c r="F122" s="147">
        <f ca="1">IF(AND(TODAY()&gt;=DATE(2026,3,1),OR(TODAY()&gt;=DATE(2026,4,1),'Conto Economico'!E258&lt;&gt;0)),'Conto Economico'!E258,)</f>
        <v>0</v>
      </c>
      <c r="G122" s="147">
        <f ca="1">IF(AND(TODAY()&gt;=DATE(2026,4,1),OR(TODAY()&gt;=DATE(2026,5,1),'Conto Economico'!F258&lt;&gt;0)),'Conto Economico'!F258,)</f>
        <v>0</v>
      </c>
      <c r="H122" s="147">
        <f ca="1">IF(AND(TODAY()&gt;=DATE(2026,5,1),OR(TODAY()&gt;=DATE(2026,6,1),'Conto Economico'!G258&lt;&gt;0)),'Conto Economico'!G258,)</f>
        <v>0</v>
      </c>
      <c r="I122" s="147">
        <f ca="1">IF(AND(TODAY()&gt;=DATE(2026,6,1),OR(TODAY()&gt;=DATE(2026,7,1),'Conto Economico'!H258&lt;&gt;0)),'Conto Economico'!H258,)</f>
        <v>3447.45</v>
      </c>
      <c r="J122" s="147">
        <f ca="1">IF(AND(TODAY()&gt;=DATE(2026,7,1),OR(TODAY()&gt;=DATE(2026,8,1),'Conto Economico'!I258&lt;&gt;0)),'Conto Economico'!I258,)</f>
        <v>0</v>
      </c>
      <c r="K122" s="147">
        <f ca="1">IF(AND(TODAY()&gt;=DATE(2026,8,1),OR(TODAY()&gt;=DATE(2026,9,1),'Conto Economico'!J258&lt;&gt;0)),'Conto Economico'!J258,)</f>
        <v>0</v>
      </c>
      <c r="L122" s="147">
        <f ca="1">IF(AND(TODAY()&gt;=DATE(2026,9,1),OR(TODAY()&gt;=DATE(2026,10,1),'Conto Economico'!K258&lt;&gt;0)),'Conto Economico'!K258,)</f>
        <v>0</v>
      </c>
      <c r="M122" s="147">
        <f ca="1">IF(AND(TODAY()&gt;=DATE(2026,10,1),OR(TODAY()&gt;=DATE(2026,11,1),'Conto Economico'!L258&lt;&gt;0)),'Conto Economico'!L258,)</f>
        <v>0</v>
      </c>
      <c r="N122" s="147">
        <f ca="1">IF(AND(TODAY()&gt;=DATE(2026,11,1),OR(TODAY()&gt;=DATE(2026,12,1),'Conto Economico'!M258&lt;&gt;0)),'Conto Economico'!M258,)</f>
        <v>0</v>
      </c>
      <c r="O122" s="147">
        <f ca="1">IF(AND(TODAY()&gt;=DATE(2026,12,1),OR(TODAY()&gt;=DATE(2027,1,1),'Conto Economico'!N258&lt;&gt;0)),'Conto Economico'!N258,T122)</f>
        <v>12500</v>
      </c>
      <c r="Q122" s="157">
        <f t="shared" ca="1" si="66"/>
        <v>15947.45</v>
      </c>
      <c r="R122" s="147">
        <f t="shared" ca="1" si="67"/>
        <v>1328.9541666666667</v>
      </c>
      <c r="T122" s="170">
        <f>'Budget 27'!C124</f>
        <v>12500</v>
      </c>
      <c r="U122" s="170">
        <f t="shared" si="71"/>
        <v>1041.6666666666667</v>
      </c>
      <c r="W122" s="170">
        <f t="shared" ca="1" si="65"/>
        <v>3447.4500000000007</v>
      </c>
      <c r="X122" s="405">
        <f t="shared" ca="1" si="70"/>
        <v>1.2757960000000002</v>
      </c>
      <c r="Z122" s="234" t="str">
        <f>'Conto Economico'!A258</f>
        <v>Affitto Dubai</v>
      </c>
    </row>
    <row r="123" spans="1:26" x14ac:dyDescent="0.2">
      <c r="B123" s="169" t="str">
        <f>'Conto Economico'!A259</f>
        <v>Acquisto Autovettura</v>
      </c>
      <c r="C123" s="169"/>
      <c r="D123" s="147">
        <f ca="1">IF(AND(TODAY()&gt;=DATE(2026,1,1),OR(TODAY()&gt;=DATE(2026,2,1),'Conto Economico'!C259&lt;&gt;0)),'Conto Economico'!C259,)</f>
        <v>0</v>
      </c>
      <c r="E123" s="147">
        <f ca="1">IF(AND(TODAY()&gt;=DATE(2026,2,1),OR(TODAY()&gt;=DATE(2026,3,1),'Conto Economico'!D259&lt;&gt;0)),'Conto Economico'!D259,)</f>
        <v>0</v>
      </c>
      <c r="F123" s="147">
        <f ca="1">IF(AND(TODAY()&gt;=DATE(2026,3,1),OR(TODAY()&gt;=DATE(2026,4,1),'Conto Economico'!E259&lt;&gt;0)),'Conto Economico'!E259,)</f>
        <v>0</v>
      </c>
      <c r="G123" s="147">
        <f ca="1">IF(AND(TODAY()&gt;=DATE(2026,4,1),OR(TODAY()&gt;=DATE(2026,5,1),'Conto Economico'!F259&lt;&gt;0)),'Conto Economico'!F259,)</f>
        <v>0</v>
      </c>
      <c r="H123" s="147">
        <f ca="1">IF(AND(TODAY()&gt;=DATE(2026,5,1),OR(TODAY()&gt;=DATE(2026,6,1),'Conto Economico'!G259&lt;&gt;0)),'Conto Economico'!G259,)</f>
        <v>0</v>
      </c>
      <c r="I123" s="147">
        <f ca="1">IF(AND(TODAY()&gt;=DATE(2026,6,1),OR(TODAY()&gt;=DATE(2026,7,1),'Conto Economico'!H259&lt;&gt;0)),'Conto Economico'!H259,)</f>
        <v>0</v>
      </c>
      <c r="J123" s="147">
        <f ca="1">IF(AND(TODAY()&gt;=DATE(2026,7,1),OR(TODAY()&gt;=DATE(2026,8,1),'Conto Economico'!I259&lt;&gt;0)),'Conto Economico'!I259,)</f>
        <v>0</v>
      </c>
      <c r="K123" s="147">
        <f ca="1">IF(AND(TODAY()&gt;=DATE(2026,8,1),OR(TODAY()&gt;=DATE(2026,9,1),'Conto Economico'!J259&lt;&gt;0)),'Conto Economico'!J259,)</f>
        <v>0</v>
      </c>
      <c r="L123" s="147">
        <f ca="1">IF(AND(TODAY()&gt;=DATE(2026,9,1),OR(TODAY()&gt;=DATE(2026,10,1),'Conto Economico'!K259&lt;&gt;0)),'Conto Economico'!K259,)</f>
        <v>0</v>
      </c>
      <c r="M123" s="147">
        <f ca="1">IF(AND(TODAY()&gt;=DATE(2026,10,1),OR(TODAY()&gt;=DATE(2026,11,1),'Conto Economico'!L259&lt;&gt;0)),'Conto Economico'!L259,)</f>
        <v>0</v>
      </c>
      <c r="N123" s="147">
        <f ca="1">IF(AND(TODAY()&gt;=DATE(2026,11,1),OR(TODAY()&gt;=DATE(2026,12,1),'Conto Economico'!M259&lt;&gt;0)),'Conto Economico'!M259,)</f>
        <v>0</v>
      </c>
      <c r="O123" s="147">
        <f ca="1">IF(AND(TODAY()&gt;=DATE(2026,12,1),OR(TODAY()&gt;=DATE(2027,1,1),'Conto Economico'!N259&lt;&gt;0)),'Conto Economico'!N259,T123)</f>
        <v>31044</v>
      </c>
      <c r="Q123" s="157">
        <f t="shared" ca="1" si="66"/>
        <v>31044</v>
      </c>
      <c r="R123" s="147">
        <f t="shared" ca="1" si="67"/>
        <v>2587</v>
      </c>
      <c r="T123" s="170">
        <f ca="1">'Budget 27'!C125</f>
        <v>31044</v>
      </c>
      <c r="U123" s="170">
        <f t="shared" ca="1" si="71"/>
        <v>2587</v>
      </c>
      <c r="W123" s="170">
        <f t="shared" ca="1" si="65"/>
        <v>0</v>
      </c>
      <c r="X123" s="405">
        <f t="shared" ca="1" si="70"/>
        <v>1</v>
      </c>
      <c r="Z123" s="234" t="str">
        <f>'Conto Economico'!A259</f>
        <v>Acquisto Autovettura</v>
      </c>
    </row>
    <row r="124" spans="1:26" x14ac:dyDescent="0.2">
      <c r="B124" s="169" t="str">
        <f>'Conto Economico'!A260</f>
        <v>Voli Aerei su Dubai</v>
      </c>
      <c r="C124" s="169"/>
      <c r="D124" s="147">
        <f ca="1">IF(AND(TODAY()&gt;=DATE(2026,1,1),OR(TODAY()&gt;=DATE(2026,2,1),'Conto Economico'!C260&lt;&gt;0)),'Conto Economico'!C260,)</f>
        <v>0</v>
      </c>
      <c r="E124" s="147">
        <f ca="1">IF(AND(TODAY()&gt;=DATE(2026,2,1),OR(TODAY()&gt;=DATE(2026,3,1),'Conto Economico'!D260&lt;&gt;0)),'Conto Economico'!D260,)</f>
        <v>0</v>
      </c>
      <c r="F124" s="147">
        <f ca="1">IF(AND(TODAY()&gt;=DATE(2026,3,1),OR(TODAY()&gt;=DATE(2026,4,1),'Conto Economico'!E260&lt;&gt;0)),'Conto Economico'!E260,)</f>
        <v>0</v>
      </c>
      <c r="G124" s="147">
        <f ca="1">IF(AND(TODAY()&gt;=DATE(2026,4,1),OR(TODAY()&gt;=DATE(2026,5,1),'Conto Economico'!F260&lt;&gt;0)),'Conto Economico'!F260,)</f>
        <v>0</v>
      </c>
      <c r="H124" s="147">
        <f ca="1">IF(AND(TODAY()&gt;=DATE(2026,5,1),OR(TODAY()&gt;=DATE(2026,6,1),'Conto Economico'!G260&lt;&gt;0)),'Conto Economico'!G260,)</f>
        <v>0</v>
      </c>
      <c r="I124" s="147">
        <f ca="1">IF(AND(TODAY()&gt;=DATE(2026,6,1),OR(TODAY()&gt;=DATE(2026,7,1),'Conto Economico'!H260&lt;&gt;0)),'Conto Economico'!H260,)</f>
        <v>0</v>
      </c>
      <c r="J124" s="147">
        <f ca="1">IF(AND(TODAY()&gt;=DATE(2026,7,1),OR(TODAY()&gt;=DATE(2026,8,1),'Conto Economico'!I260&lt;&gt;0)),'Conto Economico'!I260,)</f>
        <v>0</v>
      </c>
      <c r="K124" s="147">
        <f ca="1">IF(AND(TODAY()&gt;=DATE(2026,8,1),OR(TODAY()&gt;=DATE(2026,9,1),'Conto Economico'!J260&lt;&gt;0)),'Conto Economico'!J260,)</f>
        <v>0</v>
      </c>
      <c r="L124" s="147">
        <f ca="1">IF(AND(TODAY()&gt;=DATE(2026,9,1),OR(TODAY()&gt;=DATE(2026,10,1),'Conto Economico'!K260&lt;&gt;0)),'Conto Economico'!K260,)</f>
        <v>0</v>
      </c>
      <c r="M124" s="147">
        <f ca="1">IF(AND(TODAY()&gt;=DATE(2026,10,1),OR(TODAY()&gt;=DATE(2026,11,1),'Conto Economico'!L260&lt;&gt;0)),'Conto Economico'!L260,)</f>
        <v>0</v>
      </c>
      <c r="N124" s="147">
        <f ca="1">IF(AND(TODAY()&gt;=DATE(2026,11,1),OR(TODAY()&gt;=DATE(2026,12,1),'Conto Economico'!M260&lt;&gt;0)),'Conto Economico'!M260,)</f>
        <v>0</v>
      </c>
      <c r="O124" s="147">
        <f ca="1">IF(AND(TODAY()&gt;=DATE(2026,12,1),OR(TODAY()&gt;=DATE(2027,1,1),'Conto Economico'!N260&lt;&gt;0)),'Conto Economico'!N260,T124)</f>
        <v>3000</v>
      </c>
      <c r="Q124" s="157">
        <f t="shared" ca="1" si="66"/>
        <v>3000</v>
      </c>
      <c r="R124" s="147">
        <f t="shared" ca="1" si="67"/>
        <v>250</v>
      </c>
      <c r="T124" s="170">
        <f>'Budget 27'!C126</f>
        <v>3000</v>
      </c>
      <c r="U124" s="170">
        <f t="shared" si="71"/>
        <v>250</v>
      </c>
      <c r="W124" s="170">
        <f t="shared" ca="1" si="65"/>
        <v>0</v>
      </c>
      <c r="X124" s="405">
        <f t="shared" ca="1" si="70"/>
        <v>1</v>
      </c>
      <c r="Z124" s="234" t="str">
        <f>'Conto Economico'!A260</f>
        <v>Voli Aerei su Dubai</v>
      </c>
    </row>
    <row r="125" spans="1:26" x14ac:dyDescent="0.2">
      <c r="B125" s="169" t="str">
        <f>'Conto Economico'!A261</f>
        <v>Voli Aerei su Amsterdam</v>
      </c>
      <c r="C125" s="169"/>
      <c r="D125" s="147">
        <f ca="1">IF(AND(TODAY()&gt;=DATE(2026,1,1),OR(TODAY()&gt;=DATE(2026,2,1),'Conto Economico'!C261&lt;&gt;0)),'Conto Economico'!C261,$U125)</f>
        <v>0</v>
      </c>
      <c r="E125" s="147">
        <f ca="1">IF(AND(TODAY()&gt;=DATE(2026,2,1),OR(TODAY()&gt;=DATE(2026,3,1),'Conto Economico'!D261&lt;&gt;0)),'Conto Economico'!D261,$U125)</f>
        <v>0</v>
      </c>
      <c r="F125" s="147">
        <f ca="1">IF(AND(TODAY()&gt;=DATE(2026,3,1),OR(TODAY()&gt;=DATE(2026,4,1),'Conto Economico'!E261&lt;&gt;0)),'Conto Economico'!E261,$U125)</f>
        <v>0</v>
      </c>
      <c r="G125" s="147">
        <f ca="1">IF(AND(TODAY()&gt;=DATE(2026,4,1),OR(TODAY()&gt;=DATE(2026,5,1),'Conto Economico'!F261&lt;&gt;0)),'Conto Economico'!F261,$U125)</f>
        <v>0</v>
      </c>
      <c r="H125" s="147">
        <f ca="1">IF(AND(TODAY()&gt;=DATE(2026,5,1),OR(TODAY()&gt;=DATE(2026,6,1),'Conto Economico'!G261&lt;&gt;0)),'Conto Economico'!G261,$U125)</f>
        <v>0</v>
      </c>
      <c r="I125" s="147">
        <f ca="1">IF(AND(TODAY()&gt;=DATE(2026,6,1),OR(TODAY()&gt;=DATE(2026,7,1),'Conto Economico'!H261&lt;&gt;0)),'Conto Economico'!H261,$U125)</f>
        <v>0</v>
      </c>
      <c r="J125" s="147">
        <f ca="1">IF(AND(TODAY()&gt;=DATE(2026,7,1),OR(TODAY()&gt;=DATE(2026,8,1),'Conto Economico'!I261&lt;&gt;0)),'Conto Economico'!I261,$U125)</f>
        <v>0</v>
      </c>
      <c r="K125" s="147">
        <f ca="1">IF(AND(TODAY()&gt;=DATE(2026,8,1),OR(TODAY()&gt;=DATE(2026,9,1),'Conto Economico'!J261&lt;&gt;0)),'Conto Economico'!J261,$U125)</f>
        <v>0</v>
      </c>
      <c r="L125" s="147">
        <f ca="1">IF(AND(TODAY()&gt;=DATE(2026,9,1),OR(TODAY()&gt;=DATE(2026,10,1),'Conto Economico'!K261&lt;&gt;0)),'Conto Economico'!K261,$U125)</f>
        <v>0</v>
      </c>
      <c r="M125" s="147">
        <f ca="1">IF(AND(TODAY()&gt;=DATE(2026,10,1),OR(TODAY()&gt;=DATE(2026,11,1),'Conto Economico'!L261&lt;&gt;0)),'Conto Economico'!L261,$U125)</f>
        <v>0</v>
      </c>
      <c r="N125" s="147">
        <f ca="1">IF(AND(TODAY()&gt;=DATE(2026,11,1),OR(TODAY()&gt;=DATE(2026,12,1),'Conto Economico'!M261&lt;&gt;0)),'Conto Economico'!M261,$U125)</f>
        <v>0</v>
      </c>
      <c r="O125" s="147">
        <f ca="1">IF(AND(TODAY()&gt;=DATE(2026,12,1),OR(TODAY()&gt;=DATE(2027,1,1),'Conto Economico'!N261&lt;&gt;0)),'Conto Economico'!N261,$U125)</f>
        <v>0</v>
      </c>
      <c r="Q125" s="157">
        <f t="shared" ca="1" si="66"/>
        <v>0</v>
      </c>
      <c r="R125" s="147">
        <f t="shared" ca="1" si="67"/>
        <v>0</v>
      </c>
      <c r="T125" s="170">
        <f>'Budget 27'!C127</f>
        <v>0</v>
      </c>
      <c r="U125" s="170">
        <f t="shared" si="71"/>
        <v>0</v>
      </c>
      <c r="W125" s="170">
        <f t="shared" ca="1" si="65"/>
        <v>0</v>
      </c>
      <c r="X125" s="405" t="str">
        <f t="shared" si="70"/>
        <v>-</v>
      </c>
      <c r="Z125" s="234" t="str">
        <f>'Conto Economico'!A261</f>
        <v>Voli Aerei su Amsterdam</v>
      </c>
    </row>
    <row r="126" spans="1:26" x14ac:dyDescent="0.2">
      <c r="B126" s="169" t="str">
        <f>'Conto Economico'!A262</f>
        <v>Successione Vanzini</v>
      </c>
      <c r="C126" s="169"/>
      <c r="D126" s="147">
        <f ca="1">IF(AND(TODAY()&gt;=DATE(2026,1,1),OR(TODAY()&gt;=DATE(2026,2,1),'Conto Economico'!C262&lt;&gt;0)),'Conto Economico'!C262,)</f>
        <v>0</v>
      </c>
      <c r="E126" s="147">
        <f ca="1">IF(AND(TODAY()&gt;=DATE(2026,2,1),OR(TODAY()&gt;=DATE(2026,3,1),'Conto Economico'!D262&lt;&gt;0)),'Conto Economico'!D262,)</f>
        <v>0</v>
      </c>
      <c r="F126" s="147">
        <f ca="1">IF(AND(TODAY()&gt;=DATE(2026,3,1),OR(TODAY()&gt;=DATE(2026,4,1),'Conto Economico'!E262&lt;&gt;0)),'Conto Economico'!E262,)</f>
        <v>0</v>
      </c>
      <c r="G126" s="147">
        <f ca="1">IF(AND(TODAY()&gt;=DATE(2026,4,1),OR(TODAY()&gt;=DATE(2026,5,1),'Conto Economico'!F262&lt;&gt;0)),'Conto Economico'!F262,)</f>
        <v>0</v>
      </c>
      <c r="H126" s="147">
        <f ca="1">IF(AND(TODAY()&gt;=DATE(2026,5,1),OR(TODAY()&gt;=DATE(2026,6,1),'Conto Economico'!G262&lt;&gt;0)),'Conto Economico'!G262,)</f>
        <v>36.6</v>
      </c>
      <c r="I126" s="147">
        <f ca="1">IF(AND(TODAY()&gt;=DATE(2026,6,1),OR(TODAY()&gt;=DATE(2026,7,1),'Conto Economico'!H262&lt;&gt;0)),'Conto Economico'!H262,)</f>
        <v>3075.75</v>
      </c>
      <c r="J126" s="147">
        <f ca="1">IF(AND(TODAY()&gt;=DATE(2026,7,1),OR(TODAY()&gt;=DATE(2026,8,1),'Conto Economico'!I262&lt;&gt;0)),'Conto Economico'!I262,)</f>
        <v>3715.31</v>
      </c>
      <c r="K126" s="147">
        <f ca="1">IF(AND(TODAY()&gt;=DATE(2026,8,1),OR(TODAY()&gt;=DATE(2026,9,1),'Conto Economico'!J262&lt;&gt;0)),'Conto Economico'!J262,)</f>
        <v>0</v>
      </c>
      <c r="L126" s="147">
        <f ca="1">IF(AND(TODAY()&gt;=DATE(2026,9,1),OR(TODAY()&gt;=DATE(2026,10,1),'Conto Economico'!K262&lt;&gt;0)),'Conto Economico'!K262,)</f>
        <v>0</v>
      </c>
      <c r="M126" s="147">
        <f ca="1">IF(AND(TODAY()&gt;=DATE(2026,10,1),OR(TODAY()&gt;=DATE(2026,11,1),'Conto Economico'!L262&lt;&gt;0)),'Conto Economico'!L262,)</f>
        <v>0</v>
      </c>
      <c r="N126" s="147">
        <f ca="1">IF(AND(TODAY()&gt;=DATE(2026,11,1),OR(TODAY()&gt;=DATE(2026,12,1),'Conto Economico'!M262&lt;&gt;0)),'Conto Economico'!M262,)</f>
        <v>0</v>
      </c>
      <c r="O126" s="147">
        <f ca="1">IF(AND(TODAY()&gt;=DATE(2026,12,1),OR(TODAY()&gt;=DATE(2027,1,1),'Conto Economico'!N262&lt;&gt;0)),'Conto Economico'!N262,T126)</f>
        <v>5000</v>
      </c>
      <c r="Q126" s="157">
        <f t="shared" ca="1" si="66"/>
        <v>11827.66</v>
      </c>
      <c r="R126" s="147">
        <f t="shared" ca="1" si="67"/>
        <v>985.63833333333332</v>
      </c>
      <c r="T126" s="170">
        <f>'Budget 27'!C128</f>
        <v>5000</v>
      </c>
      <c r="U126" s="170">
        <f t="shared" si="71"/>
        <v>416.66666666666669</v>
      </c>
      <c r="W126" s="170">
        <f t="shared" ca="1" si="65"/>
        <v>6827.66</v>
      </c>
      <c r="X126" s="405">
        <f t="shared" ca="1" si="70"/>
        <v>2.365532</v>
      </c>
      <c r="Z126" s="234" t="str">
        <f>'Conto Economico'!A262</f>
        <v>Successione Vanzini</v>
      </c>
    </row>
    <row r="127" spans="1:26" x14ac:dyDescent="0.2">
      <c r="B127" s="169" t="str">
        <f>'Conto Economico'!A263</f>
        <v>Imprevisti</v>
      </c>
      <c r="C127" s="169"/>
      <c r="D127" s="147">
        <f ca="1">IF(AND(TODAY()&gt;=DATE(2026,1,1),OR(TODAY()&gt;=DATE(2026,2,1),'Conto Economico'!C263&lt;&gt;0)),'Conto Economico'!C263,)</f>
        <v>0</v>
      </c>
      <c r="E127" s="147">
        <f ca="1">IF(AND(TODAY()&gt;=DATE(2026,2,1),OR(TODAY()&gt;=DATE(2026,3,1),'Conto Economico'!D263&lt;&gt;0)),'Conto Economico'!D263,)</f>
        <v>0</v>
      </c>
      <c r="F127" s="147">
        <f ca="1">IF(AND(TODAY()&gt;=DATE(2026,3,1),OR(TODAY()&gt;=DATE(2026,4,1),'Conto Economico'!E263&lt;&gt;0)),'Conto Economico'!E263,)</f>
        <v>0</v>
      </c>
      <c r="G127" s="147">
        <f ca="1">IF(AND(TODAY()&gt;=DATE(2026,4,1),OR(TODAY()&gt;=DATE(2026,5,1),'Conto Economico'!F263&lt;&gt;0)),'Conto Economico'!F263,)</f>
        <v>0</v>
      </c>
      <c r="H127" s="147">
        <f ca="1">IF(AND(TODAY()&gt;=DATE(2026,5,1),OR(TODAY()&gt;=DATE(2026,6,1),'Conto Economico'!G263&lt;&gt;0)),'Conto Economico'!G263,)</f>
        <v>0</v>
      </c>
      <c r="I127" s="147">
        <f ca="1">IF(AND(TODAY()&gt;=DATE(2026,6,1),OR(TODAY()&gt;=DATE(2026,7,1),'Conto Economico'!H263&lt;&gt;0)),'Conto Economico'!H263,)</f>
        <v>0</v>
      </c>
      <c r="J127" s="147">
        <f ca="1">IF(AND(TODAY()&gt;=DATE(2026,7,1),OR(TODAY()&gt;=DATE(2026,8,1),'Conto Economico'!I263&lt;&gt;0)),'Conto Economico'!I263,)</f>
        <v>0</v>
      </c>
      <c r="K127" s="147">
        <f ca="1">IF(AND(TODAY()&gt;=DATE(2026,8,1),OR(TODAY()&gt;=DATE(2026,9,1),'Conto Economico'!J263&lt;&gt;0)),'Conto Economico'!J263,)</f>
        <v>0</v>
      </c>
      <c r="L127" s="147">
        <f ca="1">IF(AND(TODAY()&gt;=DATE(2026,9,1),OR(TODAY()&gt;=DATE(2026,10,1),'Conto Economico'!K263&lt;&gt;0)),'Conto Economico'!K263,)</f>
        <v>0</v>
      </c>
      <c r="M127" s="147">
        <f ca="1">IF(AND(TODAY()&gt;=DATE(2026,10,1),OR(TODAY()&gt;=DATE(2026,11,1),'Conto Economico'!L263&lt;&gt;0)),'Conto Economico'!L263,)</f>
        <v>0</v>
      </c>
      <c r="N127" s="147">
        <f ca="1">IF(AND(TODAY()&gt;=DATE(2026,11,1),OR(TODAY()&gt;=DATE(2026,12,1),'Conto Economico'!M263&lt;&gt;0)),'Conto Economico'!M263,)</f>
        <v>0</v>
      </c>
      <c r="O127" s="147">
        <f ca="1">IF(AND(TODAY()&gt;=DATE(2026,12,1),OR(TODAY()&gt;=DATE(2027,1,1),'Conto Economico'!N263&lt;&gt;0)),'Conto Economico'!N263,T127)</f>
        <v>5000</v>
      </c>
      <c r="Q127" s="157">
        <f t="shared" ca="1" si="66"/>
        <v>5000</v>
      </c>
      <c r="R127" s="147">
        <f t="shared" ca="1" si="67"/>
        <v>416.66666666666669</v>
      </c>
      <c r="T127" s="170">
        <f>'Budget 27'!C129</f>
        <v>5000</v>
      </c>
      <c r="U127" s="170">
        <f t="shared" si="68"/>
        <v>416.66666666666669</v>
      </c>
      <c r="W127" s="170">
        <f t="shared" ca="1" si="65"/>
        <v>0</v>
      </c>
      <c r="X127" s="405">
        <f t="shared" ca="1" si="70"/>
        <v>1</v>
      </c>
      <c r="Z127" s="234" t="str">
        <f>'Conto Economico'!A263</f>
        <v>Imprevisti</v>
      </c>
    </row>
    <row r="128" spans="1:26" x14ac:dyDescent="0.2">
      <c r="B128" s="169"/>
      <c r="C128" s="169"/>
      <c r="Q128" s="157"/>
      <c r="T128" s="170"/>
      <c r="U128" s="170"/>
      <c r="W128" s="170"/>
      <c r="Z128" s="234"/>
    </row>
    <row r="129" spans="2:28" x14ac:dyDescent="0.2">
      <c r="B129" s="176" t="str">
        <f>'Conto Economico'!A265</f>
        <v>Investimenti Immobili</v>
      </c>
      <c r="C129" s="167"/>
      <c r="D129" s="168">
        <f ca="1">SUM(D130:D134)</f>
        <v>14194.86</v>
      </c>
      <c r="E129" s="168">
        <f t="shared" ref="E129:O129" ca="1" si="72">SUM(E130:E134)</f>
        <v>32452.82</v>
      </c>
      <c r="F129" s="168">
        <f t="shared" ca="1" si="72"/>
        <v>9589.83</v>
      </c>
      <c r="G129" s="168">
        <f t="shared" ca="1" si="72"/>
        <v>-12949.609999999999</v>
      </c>
      <c r="H129" s="168">
        <f t="shared" ca="1" si="72"/>
        <v>9435.3231340000002</v>
      </c>
      <c r="I129" s="168">
        <f t="shared" ca="1" si="72"/>
        <v>9435.3184724000002</v>
      </c>
      <c r="J129" s="168">
        <f t="shared" ca="1" si="72"/>
        <v>9435.3184724000002</v>
      </c>
      <c r="K129" s="168">
        <f t="shared" ca="1" si="72"/>
        <v>9778.2312609666933</v>
      </c>
      <c r="L129" s="168">
        <f t="shared" ca="1" si="72"/>
        <v>9778.2312609666933</v>
      </c>
      <c r="M129" s="168">
        <f t="shared" ca="1" si="72"/>
        <v>9778.2312609666933</v>
      </c>
      <c r="N129" s="168">
        <f t="shared" ca="1" si="72"/>
        <v>9778.2312609666933</v>
      </c>
      <c r="O129" s="168">
        <f t="shared" ca="1" si="72"/>
        <v>9778.2312609666933</v>
      </c>
      <c r="Q129" s="168">
        <f t="shared" ca="1" si="66"/>
        <v>120485.0163836335</v>
      </c>
      <c r="R129" s="168">
        <f t="shared" ca="1" si="67"/>
        <v>10040.418031969459</v>
      </c>
      <c r="S129" s="168"/>
      <c r="T129" s="168">
        <f ca="1">'Budget 27'!C131</f>
        <v>518522.77513160033</v>
      </c>
      <c r="U129" s="168">
        <f t="shared" ca="1" si="68"/>
        <v>43210.231260966691</v>
      </c>
      <c r="W129" s="168">
        <f t="shared" ca="1" si="65"/>
        <v>-398037.75874796684</v>
      </c>
      <c r="X129" s="439">
        <f t="shared" ca="1" si="70"/>
        <v>0.23236205266596935</v>
      </c>
      <c r="Z129" s="237" t="str">
        <f>'Conto Economico'!A265</f>
        <v>Investimenti Immobili</v>
      </c>
    </row>
    <row r="130" spans="2:28" x14ac:dyDescent="0.2">
      <c r="B130" s="169" t="str">
        <f>'Conto Economico'!A266</f>
        <v>Project Plan Dubai I</v>
      </c>
      <c r="C130" s="169"/>
      <c r="D130" s="147">
        <f ca="1">IF(AND(TODAY()&gt;=DATE(2026,1,1),OR(TODAY()&gt;=DATE(2026,2,1),'Conto Economico'!C266&lt;&gt;0)),'Conto Economico'!C266,$U130)</f>
        <v>14194.86</v>
      </c>
      <c r="E130" s="147">
        <f ca="1">IF(AND(TODAY()&gt;=DATE(2026,2,1),OR(TODAY()&gt;=DATE(2026,3,1),'Conto Economico'!D266&lt;&gt;0)),'Conto Economico'!D266,$U130)</f>
        <v>9421.58</v>
      </c>
      <c r="F130" s="147">
        <f ca="1">IF(AND(TODAY()&gt;=DATE(2026,3,1),OR(TODAY()&gt;=DATE(2026,4,1),'Conto Economico'!E266&lt;&gt;0)),'Conto Economico'!E266,$U130)</f>
        <v>9589.83</v>
      </c>
      <c r="G130" s="147">
        <f ca="1">IF(AND(TODAY()&gt;=DATE(2026,4,1),OR(TODAY()&gt;=DATE(2026,5,1),'Conto Economico'!F266&lt;&gt;0)),'Conto Economico'!F266,$U130)</f>
        <v>9548.590000000002</v>
      </c>
      <c r="H130" s="147">
        <f ca="1">IF(AND(TODAY()&gt;=DATE(2026,5,1),OR(TODAY()&gt;=DATE(2026,6,1),'Conto Economico'!G266&lt;&gt;0)),'Conto Economico'!G266,$U130)</f>
        <v>9435.3231340000002</v>
      </c>
      <c r="I130" s="147">
        <f ca="1">IF(AND(TODAY()&gt;=DATE(2026,6,1),OR(TODAY()&gt;=DATE(2026,7,1),'Conto Economico'!H266&lt;&gt;0)),'Conto Economico'!H266,$U130)</f>
        <v>9435.3184724000002</v>
      </c>
      <c r="J130" s="147">
        <f ca="1">IF(AND(TODAY()&gt;=DATE(2026,7,1),OR(TODAY()&gt;=DATE(2026,8,1),'Conto Economico'!I266&lt;&gt;0)),'Conto Economico'!I266,$U130)</f>
        <v>9435.3184724000002</v>
      </c>
      <c r="K130" s="147">
        <f ca="1">IF(AND(TODAY()&gt;=DATE(2026,8,1),OR(TODAY()&gt;=DATE(2026,9,1),'Conto Economico'!J266&lt;&gt;0)),'Conto Economico'!J266,$U130)</f>
        <v>9778.2312609666933</v>
      </c>
      <c r="L130" s="147">
        <f ca="1">IF(AND(TODAY()&gt;=DATE(2026,9,1),OR(TODAY()&gt;=DATE(2026,10,1),'Conto Economico'!K266&lt;&gt;0)),'Conto Economico'!K266,$U130)</f>
        <v>9778.2312609666933</v>
      </c>
      <c r="M130" s="147">
        <f ca="1">IF(AND(TODAY()&gt;=DATE(2026,10,1),OR(TODAY()&gt;=DATE(2026,11,1),'Conto Economico'!L266&lt;&gt;0)),'Conto Economico'!L266,$U130)</f>
        <v>9778.2312609666933</v>
      </c>
      <c r="N130" s="147">
        <f ca="1">IF(AND(TODAY()&gt;=DATE(2026,11,1),OR(TODAY()&gt;=DATE(2026,12,1),'Conto Economico'!M266&lt;&gt;0)),'Conto Economico'!M266,$U130)</f>
        <v>9778.2312609666933</v>
      </c>
      <c r="O130" s="147">
        <f ca="1">IF(AND(TODAY()&gt;=DATE(2026,12,1),OR(TODAY()&gt;=DATE(2027,1,1),'Conto Economico'!N266&lt;&gt;0)),'Conto Economico'!N266,$U130)</f>
        <v>9778.2312609666933</v>
      </c>
      <c r="P130" s="147"/>
      <c r="Q130" s="157">
        <f t="shared" ref="Q130" ca="1" si="73">SUM(D130:O130)</f>
        <v>119951.9763836335</v>
      </c>
      <c r="R130" s="147">
        <f t="shared" ref="R130" ca="1" si="74">Q130/12</f>
        <v>9995.9980319694587</v>
      </c>
      <c r="T130" s="170">
        <f>'Budget 27'!C132</f>
        <v>117338.77513160031</v>
      </c>
      <c r="U130" s="170">
        <f t="shared" si="68"/>
        <v>9778.2312609666933</v>
      </c>
      <c r="W130" s="170">
        <f t="shared" ref="W130" ca="1" si="75">Q130-T130</f>
        <v>2613.2012520331918</v>
      </c>
      <c r="X130" s="440">
        <f t="shared" ca="1" si="70"/>
        <v>1.0222705686939579</v>
      </c>
      <c r="Y130" s="170">
        <f t="shared" ref="Y130" si="76">S130-V130</f>
        <v>0</v>
      </c>
      <c r="Z130" s="234" t="str">
        <f>'Conto Economico'!A266</f>
        <v>Project Plan Dubai I</v>
      </c>
      <c r="AB130" s="234"/>
    </row>
    <row r="131" spans="2:28" x14ac:dyDescent="0.2">
      <c r="B131" s="169" t="str">
        <f>'Conto Economico'!A267</f>
        <v>Project Plan Dubai II</v>
      </c>
      <c r="C131" s="169"/>
      <c r="D131" s="147">
        <f ca="1">IF(AND(TODAY()&gt;=DATE(2026,1,1),OR(TODAY()&gt;=DATE(2026,2,1),'Conto Economico'!C267&lt;&gt;0)),'Conto Economico'!C267,)</f>
        <v>0</v>
      </c>
      <c r="E131" s="147">
        <f ca="1">IF(AND(TODAY()&gt;=DATE(2026,2,1),OR(TODAY()&gt;=DATE(2026,3,1),'Conto Economico'!D267&lt;&gt;0)),'Conto Economico'!D267,)</f>
        <v>23031.24</v>
      </c>
      <c r="F131" s="147">
        <f ca="1">IF(AND(TODAY()&gt;=DATE(2026,3,1),OR(TODAY()&gt;=DATE(2026,4,1),'Conto Economico'!E267&lt;&gt;0)),'Conto Economico'!E267,)</f>
        <v>0</v>
      </c>
      <c r="G131" s="147">
        <f ca="1">IF(AND(TODAY()&gt;=DATE(2026,4,1),OR(TODAY()&gt;=DATE(2026,5,1),'Conto Economico'!F267&lt;&gt;0)),'Conto Economico'!F267,)</f>
        <v>-22498.2</v>
      </c>
      <c r="H131" s="147">
        <f ca="1">IF(AND(TODAY()&gt;=DATE(2026,5,1),OR(TODAY()&gt;=DATE(2026,6,1),'Conto Economico'!G267&lt;&gt;0)),'Conto Economico'!G267,)</f>
        <v>0</v>
      </c>
      <c r="I131" s="147">
        <f ca="1">IF(AND(TODAY()&gt;=DATE(2026,6,1),OR(TODAY()&gt;=DATE(2026,7,1),'Conto Economico'!H267&lt;&gt;0)),'Conto Economico'!H267,)</f>
        <v>0</v>
      </c>
      <c r="J131" s="147">
        <f ca="1">IF(AND(TODAY()&gt;=DATE(2026,7,1),OR(TODAY()&gt;=DATE(2026,8,1),'Conto Economico'!I267&lt;&gt;0)),'Conto Economico'!I267,)</f>
        <v>0</v>
      </c>
      <c r="K131" s="147">
        <f ca="1">IF(AND(TODAY()&gt;=DATE(2026,8,1),OR(TODAY()&gt;=DATE(2026,9,1),'Conto Economico'!J267&lt;&gt;0)),'Conto Economico'!J267,)</f>
        <v>0</v>
      </c>
      <c r="L131" s="147">
        <f ca="1">IF(AND(TODAY()&gt;=DATE(2026,9,1),OR(TODAY()&gt;=DATE(2026,10,1),'Conto Economico'!K267&lt;&gt;0)),'Conto Economico'!K267,)</f>
        <v>0</v>
      </c>
      <c r="M131" s="147">
        <f ca="1">IF(AND(TODAY()&gt;=DATE(2026,10,1),OR(TODAY()&gt;=DATE(2026,11,1),'Conto Economico'!L267&lt;&gt;0)),'Conto Economico'!L267,)</f>
        <v>0</v>
      </c>
      <c r="N131" s="147">
        <f ca="1">IF(AND(TODAY()&gt;=DATE(2026,11,1),OR(TODAY()&gt;=DATE(2026,12,1),'Conto Economico'!M267&lt;&gt;0)),'Conto Economico'!M267,)</f>
        <v>0</v>
      </c>
      <c r="O131" s="147">
        <f ca="1">IF(AND(TODAY()&gt;=DATE(2026,12,1),OR(TODAY()&gt;=DATE(2027,1,1),'Conto Economico'!N267&lt;&gt;0)),'Conto Economico'!N267,)</f>
        <v>0</v>
      </c>
      <c r="Q131" s="157">
        <f t="shared" ca="1" si="66"/>
        <v>533.04000000000087</v>
      </c>
      <c r="R131" s="147">
        <f t="shared" ca="1" si="67"/>
        <v>44.420000000000073</v>
      </c>
      <c r="T131" s="170">
        <f ca="1">'Budget 27'!C133</f>
        <v>401184</v>
      </c>
      <c r="U131" s="170">
        <f t="shared" ref="U131:U133" ca="1" si="77">T131/12</f>
        <v>33432</v>
      </c>
      <c r="W131" s="170">
        <f t="shared" ca="1" si="65"/>
        <v>-400650.96</v>
      </c>
      <c r="X131" s="440">
        <f t="shared" ca="1" si="70"/>
        <v>1.3286671452500619E-3</v>
      </c>
      <c r="Z131" s="234" t="str">
        <f>'Conto Economico'!A267</f>
        <v>Project Plan Dubai II</v>
      </c>
    </row>
    <row r="132" spans="2:28" x14ac:dyDescent="0.2">
      <c r="B132" s="169" t="str">
        <f>'Conto Economico'!A268</f>
        <v>Project Plan Dubai III</v>
      </c>
      <c r="C132" s="169"/>
      <c r="D132" s="147">
        <f ca="1">IF(AND(TODAY()&gt;=DATE(2026,1,1),OR(TODAY()&gt;=DATE(2026,2,1),'Conto Economico'!C268&lt;&gt;0)),'Conto Economico'!C268,$U132)</f>
        <v>0</v>
      </c>
      <c r="E132" s="147">
        <f ca="1">IF(AND(TODAY()&gt;=DATE(2026,2,1),OR(TODAY()&gt;=DATE(2026,3,1),'Conto Economico'!D268&lt;&gt;0)),'Conto Economico'!D268,$U132)</f>
        <v>0</v>
      </c>
      <c r="F132" s="147">
        <f ca="1">IF(AND(TODAY()&gt;=DATE(2026,3,1),OR(TODAY()&gt;=DATE(2026,4,1),'Conto Economico'!E268&lt;&gt;0)),'Conto Economico'!E268,$U132)</f>
        <v>0</v>
      </c>
      <c r="G132" s="147">
        <f ca="1">IF(AND(TODAY()&gt;=DATE(2026,4,1),OR(TODAY()&gt;=DATE(2026,5,1),'Conto Economico'!F268&lt;&gt;0)),'Conto Economico'!F268,$U132)</f>
        <v>0</v>
      </c>
      <c r="H132" s="147">
        <f ca="1">IF(AND(TODAY()&gt;=DATE(2026,5,1),OR(TODAY()&gt;=DATE(2026,6,1),'Conto Economico'!G268&lt;&gt;0)),'Conto Economico'!G268,$U132)</f>
        <v>0</v>
      </c>
      <c r="I132" s="147">
        <f ca="1">IF(AND(TODAY()&gt;=DATE(2026,6,1),OR(TODAY()&gt;=DATE(2026,7,1),'Conto Economico'!H268&lt;&gt;0)),'Conto Economico'!H268,$U132)</f>
        <v>0</v>
      </c>
      <c r="J132" s="147">
        <f ca="1">IF(AND(TODAY()&gt;=DATE(2026,7,1),OR(TODAY()&gt;=DATE(2026,8,1),'Conto Economico'!I268&lt;&gt;0)),'Conto Economico'!I268,$U132)</f>
        <v>0</v>
      </c>
      <c r="K132" s="147">
        <f ca="1">IF(AND(TODAY()&gt;=DATE(2026,8,1),OR(TODAY()&gt;=DATE(2026,9,1),'Conto Economico'!J268&lt;&gt;0)),'Conto Economico'!J268,$U132)</f>
        <v>0</v>
      </c>
      <c r="L132" s="147">
        <f ca="1">IF(AND(TODAY()&gt;=DATE(2026,9,1),OR(TODAY()&gt;=DATE(2026,10,1),'Conto Economico'!K268&lt;&gt;0)),'Conto Economico'!K268,$U132)</f>
        <v>0</v>
      </c>
      <c r="M132" s="147">
        <f ca="1">IF(AND(TODAY()&gt;=DATE(2026,10,1),OR(TODAY()&gt;=DATE(2026,11,1),'Conto Economico'!L268&lt;&gt;0)),'Conto Economico'!L268,$U132)</f>
        <v>0</v>
      </c>
      <c r="N132" s="147">
        <f ca="1">IF(AND(TODAY()&gt;=DATE(2026,11,1),OR(TODAY()&gt;=DATE(2026,12,1),'Conto Economico'!M268&lt;&gt;0)),'Conto Economico'!M268,$U132)</f>
        <v>0</v>
      </c>
      <c r="O132" s="147">
        <f ca="1">IF(AND(TODAY()&gt;=DATE(2026,12,1),OR(TODAY()&gt;=DATE(2027,1,1),'Conto Economico'!N268&lt;&gt;0)),'Conto Economico'!N268,$U132)</f>
        <v>0</v>
      </c>
      <c r="Q132" s="157">
        <f t="shared" ca="1" si="66"/>
        <v>0</v>
      </c>
      <c r="R132" s="147">
        <f t="shared" ca="1" si="67"/>
        <v>0</v>
      </c>
      <c r="T132" s="170">
        <f>'Budget 27'!C134</f>
        <v>0</v>
      </c>
      <c r="U132" s="170">
        <f t="shared" si="77"/>
        <v>0</v>
      </c>
      <c r="W132" s="170">
        <f t="shared" ca="1" si="65"/>
        <v>0</v>
      </c>
      <c r="X132" s="440" t="str">
        <f t="shared" si="70"/>
        <v>-</v>
      </c>
      <c r="Z132" s="234" t="str">
        <f>'Conto Economico'!A268</f>
        <v>Project Plan Dubai III</v>
      </c>
    </row>
    <row r="133" spans="2:28" x14ac:dyDescent="0.2">
      <c r="B133" s="169" t="str">
        <f>'Conto Economico'!A269</f>
        <v>Acquisto Immobile Principale Dubai</v>
      </c>
      <c r="C133" s="169"/>
      <c r="D133" s="147">
        <f ca="1">IF(AND(TODAY()&gt;=DATE(2026,1,1),OR(TODAY()&gt;=DATE(2026,2,1),'Conto Economico'!C269&lt;&gt;0)),'Conto Economico'!C269,$U133)</f>
        <v>0</v>
      </c>
      <c r="E133" s="147">
        <f ca="1">IF(AND(TODAY()&gt;=DATE(2026,2,1),OR(TODAY()&gt;=DATE(2026,3,1),'Conto Economico'!D269&lt;&gt;0)),'Conto Economico'!D269,$U133)</f>
        <v>0</v>
      </c>
      <c r="F133" s="147">
        <f ca="1">IF(AND(TODAY()&gt;=DATE(2026,3,1),OR(TODAY()&gt;=DATE(2026,4,1),'Conto Economico'!E269&lt;&gt;0)),'Conto Economico'!E269,$U133)</f>
        <v>0</v>
      </c>
      <c r="G133" s="147">
        <f ca="1">IF(AND(TODAY()&gt;=DATE(2026,4,1),OR(TODAY()&gt;=DATE(2026,5,1),'Conto Economico'!F269&lt;&gt;0)),'Conto Economico'!F269,$U133)</f>
        <v>0</v>
      </c>
      <c r="H133" s="147">
        <f ca="1">IF(AND(TODAY()&gt;=DATE(2026,5,1),OR(TODAY()&gt;=DATE(2026,6,1),'Conto Economico'!G269&lt;&gt;0)),'Conto Economico'!G269,$U133)</f>
        <v>0</v>
      </c>
      <c r="I133" s="147">
        <f ca="1">IF(AND(TODAY()&gt;=DATE(2026,6,1),OR(TODAY()&gt;=DATE(2026,7,1),'Conto Economico'!H269&lt;&gt;0)),'Conto Economico'!H269,$U133)</f>
        <v>0</v>
      </c>
      <c r="J133" s="147">
        <f ca="1">IF(AND(TODAY()&gt;=DATE(2026,7,1),OR(TODAY()&gt;=DATE(2026,8,1),'Conto Economico'!I269&lt;&gt;0)),'Conto Economico'!I269,$U133)</f>
        <v>0</v>
      </c>
      <c r="K133" s="147">
        <f ca="1">IF(AND(TODAY()&gt;=DATE(2026,8,1),OR(TODAY()&gt;=DATE(2026,9,1),'Conto Economico'!J269&lt;&gt;0)),'Conto Economico'!J269,$U133)</f>
        <v>0</v>
      </c>
      <c r="L133" s="147">
        <f ca="1">IF(AND(TODAY()&gt;=DATE(2026,9,1),OR(TODAY()&gt;=DATE(2026,10,1),'Conto Economico'!K269&lt;&gt;0)),'Conto Economico'!K269,$U133)</f>
        <v>0</v>
      </c>
      <c r="M133" s="147">
        <f ca="1">IF(AND(TODAY()&gt;=DATE(2026,10,1),OR(TODAY()&gt;=DATE(2026,11,1),'Conto Economico'!L269&lt;&gt;0)),'Conto Economico'!L269,$U133)</f>
        <v>0</v>
      </c>
      <c r="N133" s="147">
        <f ca="1">IF(AND(TODAY()&gt;=DATE(2026,11,1),OR(TODAY()&gt;=DATE(2026,12,1),'Conto Economico'!M269&lt;&gt;0)),'Conto Economico'!M269,$U133)</f>
        <v>0</v>
      </c>
      <c r="O133" s="147">
        <f ca="1">IF(AND(TODAY()&gt;=DATE(2026,12,1),OR(TODAY()&gt;=DATE(2027,1,1),'Conto Economico'!N269&lt;&gt;0)),'Conto Economico'!N269,$U133)</f>
        <v>0</v>
      </c>
      <c r="Q133" s="157">
        <f t="shared" ref="Q133" ca="1" si="78">SUM(D133:O133)</f>
        <v>0</v>
      </c>
      <c r="R133" s="147">
        <f t="shared" ref="R133" ca="1" si="79">Q133/12</f>
        <v>0</v>
      </c>
      <c r="T133" s="170">
        <f>'Budget 27'!C135</f>
        <v>0</v>
      </c>
      <c r="U133" s="170">
        <f t="shared" si="77"/>
        <v>0</v>
      </c>
      <c r="W133" s="170">
        <f t="shared" ca="1" si="65"/>
        <v>0</v>
      </c>
      <c r="X133" s="440" t="str">
        <f t="shared" si="70"/>
        <v>-</v>
      </c>
      <c r="Z133" s="234" t="str">
        <f>'Conto Economico'!A269</f>
        <v>Acquisto Immobile Principale Dubai</v>
      </c>
    </row>
    <row r="134" spans="2:28" x14ac:dyDescent="0.2">
      <c r="B134" s="169" t="str">
        <f>'Conto Economico'!A270</f>
        <v>Acquisto Immobile per Emma</v>
      </c>
      <c r="C134" s="169"/>
      <c r="D134" s="147">
        <f ca="1">IF(AND(TODAY()&gt;=DATE(2026,1,1),OR(TODAY()&gt;=DATE(2026,2,1),'Conto Economico'!C270&lt;&gt;0)),'Conto Economico'!C270,$U134)</f>
        <v>0</v>
      </c>
      <c r="E134" s="147">
        <f ca="1">IF(AND(TODAY()&gt;=DATE(2026,2,1),OR(TODAY()&gt;=DATE(2026,3,1),'Conto Economico'!D270&lt;&gt;0)),'Conto Economico'!D270,$U134)</f>
        <v>0</v>
      </c>
      <c r="F134" s="147">
        <f ca="1">IF(AND(TODAY()&gt;=DATE(2026,3,1),OR(TODAY()&gt;=DATE(2026,4,1),'Conto Economico'!E270&lt;&gt;0)),'Conto Economico'!E270,$U134)</f>
        <v>0</v>
      </c>
      <c r="G134" s="147">
        <f ca="1">IF(AND(TODAY()&gt;=DATE(2026,4,1),OR(TODAY()&gt;=DATE(2026,5,1),'Conto Economico'!F270&lt;&gt;0)),'Conto Economico'!F270,$U134)</f>
        <v>0</v>
      </c>
      <c r="H134" s="147">
        <f ca="1">IF(AND(TODAY()&gt;=DATE(2026,5,1),OR(TODAY()&gt;=DATE(2026,6,1),'Conto Economico'!G270&lt;&gt;0)),'Conto Economico'!G270,$U134)</f>
        <v>0</v>
      </c>
      <c r="I134" s="147">
        <f ca="1">IF(AND(TODAY()&gt;=DATE(2026,6,1),OR(TODAY()&gt;=DATE(2026,7,1),'Conto Economico'!H270&lt;&gt;0)),'Conto Economico'!H270,$U134)</f>
        <v>0</v>
      </c>
      <c r="J134" s="147">
        <f ca="1">IF(AND(TODAY()&gt;=DATE(2026,7,1),OR(TODAY()&gt;=DATE(2026,8,1),'Conto Economico'!I270&lt;&gt;0)),'Conto Economico'!I270,$U134)</f>
        <v>0</v>
      </c>
      <c r="K134" s="147">
        <f ca="1">IF(AND(TODAY()&gt;=DATE(2026,8,1),OR(TODAY()&gt;=DATE(2026,9,1),'Conto Economico'!J270&lt;&gt;0)),'Conto Economico'!J270,$U134)</f>
        <v>0</v>
      </c>
      <c r="L134" s="147">
        <f ca="1">IF(AND(TODAY()&gt;=DATE(2026,9,1),OR(TODAY()&gt;=DATE(2026,10,1),'Conto Economico'!K270&lt;&gt;0)),'Conto Economico'!K270,$U134)</f>
        <v>0</v>
      </c>
      <c r="M134" s="147">
        <f ca="1">IF(AND(TODAY()&gt;=DATE(2026,10,1),OR(TODAY()&gt;=DATE(2026,11,1),'Conto Economico'!L270&lt;&gt;0)),'Conto Economico'!L270,$U134)</f>
        <v>0</v>
      </c>
      <c r="N134" s="147">
        <f ca="1">IF(AND(TODAY()&gt;=DATE(2026,11,1),OR(TODAY()&gt;=DATE(2026,12,1),'Conto Economico'!M270&lt;&gt;0)),'Conto Economico'!M270,$U134)</f>
        <v>0</v>
      </c>
      <c r="O134" s="147">
        <f ca="1">IF(AND(TODAY()&gt;=DATE(2026,12,1),OR(TODAY()&gt;=DATE(2027,1,1),'Conto Economico'!N270&lt;&gt;0)),'Conto Economico'!N270,$U134)</f>
        <v>0</v>
      </c>
      <c r="Q134" s="157"/>
      <c r="T134" s="170"/>
      <c r="U134" s="170"/>
      <c r="W134" s="170"/>
      <c r="X134" s="440" t="str">
        <f t="shared" si="70"/>
        <v>-</v>
      </c>
      <c r="Z134" s="234" t="str">
        <f>'Conto Economico'!A270</f>
        <v>Acquisto Immobile per Emma</v>
      </c>
    </row>
    <row r="135" spans="2:28" s="178" customFormat="1" x14ac:dyDescent="0.2">
      <c r="B135" s="181"/>
      <c r="C135" s="181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/>
      <c r="Q135" s="182"/>
      <c r="R135" s="147"/>
      <c r="S135" s="147"/>
      <c r="X135" s="214"/>
      <c r="Z135" s="239"/>
    </row>
    <row r="136" spans="2:28" x14ac:dyDescent="0.2">
      <c r="B136" s="183" t="s">
        <v>57</v>
      </c>
      <c r="C136" s="206"/>
      <c r="D136" s="184">
        <f ca="1">D138</f>
        <v>0</v>
      </c>
      <c r="E136" s="184">
        <f t="shared" ref="E136:O136" ca="1" si="80">E138</f>
        <v>31048.09</v>
      </c>
      <c r="F136" s="184">
        <f t="shared" ca="1" si="80"/>
        <v>0</v>
      </c>
      <c r="G136" s="184">
        <f t="shared" ca="1" si="80"/>
        <v>231275.62000000002</v>
      </c>
      <c r="H136" s="184">
        <f t="shared" ca="1" si="80"/>
        <v>0</v>
      </c>
      <c r="I136" s="184">
        <f t="shared" ca="1" si="80"/>
        <v>54119.479999999996</v>
      </c>
      <c r="J136" s="184">
        <f t="shared" ca="1" si="80"/>
        <v>0</v>
      </c>
      <c r="K136" s="184">
        <f t="shared" ca="1" si="80"/>
        <v>0</v>
      </c>
      <c r="L136" s="184">
        <f t="shared" ca="1" si="80"/>
        <v>0</v>
      </c>
      <c r="M136" s="184">
        <f t="shared" ca="1" si="80"/>
        <v>1817507.04</v>
      </c>
      <c r="N136" s="184">
        <f t="shared" ca="1" si="80"/>
        <v>0</v>
      </c>
      <c r="O136" s="184">
        <f t="shared" ca="1" si="80"/>
        <v>0</v>
      </c>
      <c r="Q136" s="184">
        <f ca="1">Q138</f>
        <v>2133950.23</v>
      </c>
      <c r="R136" s="184">
        <f ca="1">R138</f>
        <v>177829.18583333335</v>
      </c>
      <c r="S136" s="185"/>
      <c r="T136" s="184">
        <f>T138</f>
        <v>1817507.04</v>
      </c>
      <c r="U136" s="184"/>
      <c r="W136" s="184">
        <f ca="1">T136-Q136</f>
        <v>-316443.18999999994</v>
      </c>
      <c r="X136" s="215">
        <v>0</v>
      </c>
      <c r="Z136" s="183" t="s">
        <v>57</v>
      </c>
    </row>
    <row r="137" spans="2:28" s="178" customFormat="1" x14ac:dyDescent="0.2">
      <c r="B137" s="181"/>
      <c r="C137" s="181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/>
      <c r="Q137" s="182"/>
      <c r="R137" s="147"/>
      <c r="S137" s="147"/>
      <c r="W137" s="178">
        <f>T137-Q137</f>
        <v>0</v>
      </c>
      <c r="X137" s="214"/>
      <c r="Z137" s="239"/>
    </row>
    <row r="138" spans="2:28" x14ac:dyDescent="0.2">
      <c r="B138" s="176" t="str">
        <f>'Conto Economico'!A61</f>
        <v>Tipologia di entrata</v>
      </c>
      <c r="C138" s="167"/>
      <c r="D138" s="186">
        <f t="shared" ref="D138:L138" ca="1" si="81">SUM(D139:D148)</f>
        <v>0</v>
      </c>
      <c r="E138" s="186">
        <f t="shared" ca="1" si="81"/>
        <v>31048.09</v>
      </c>
      <c r="F138" s="186">
        <f t="shared" ca="1" si="81"/>
        <v>0</v>
      </c>
      <c r="G138" s="186">
        <f t="shared" ca="1" si="81"/>
        <v>231275.62000000002</v>
      </c>
      <c r="H138" s="186">
        <f t="shared" ca="1" si="81"/>
        <v>0</v>
      </c>
      <c r="I138" s="186">
        <f t="shared" ca="1" si="81"/>
        <v>54119.479999999996</v>
      </c>
      <c r="J138" s="186">
        <f t="shared" ca="1" si="81"/>
        <v>0</v>
      </c>
      <c r="K138" s="186">
        <f t="shared" ca="1" si="81"/>
        <v>0</v>
      </c>
      <c r="L138" s="186">
        <f t="shared" ca="1" si="81"/>
        <v>0</v>
      </c>
      <c r="M138" s="186">
        <f ca="1">SUM(M139:M148)</f>
        <v>1817507.04</v>
      </c>
      <c r="N138" s="186">
        <f t="shared" ref="N138" ca="1" si="82">SUM(N139:N148)</f>
        <v>0</v>
      </c>
      <c r="O138" s="186">
        <f t="shared" ref="O138" ca="1" si="83">SUM(O139:O148)</f>
        <v>0</v>
      </c>
      <c r="Q138" s="186">
        <f ca="1">SUM(Q139:Q148)</f>
        <v>2133950.23</v>
      </c>
      <c r="R138" s="186">
        <f ca="1">SUM(R139:R148)</f>
        <v>177829.18583333335</v>
      </c>
      <c r="S138" s="149"/>
      <c r="T138" s="187">
        <f>SUM(T139:T148)</f>
        <v>1817507.04</v>
      </c>
      <c r="U138" s="187">
        <f>T138/12</f>
        <v>151458.92000000001</v>
      </c>
      <c r="W138" s="187">
        <f ca="1">T138-Q138</f>
        <v>-316443.18999999994</v>
      </c>
      <c r="X138" s="406">
        <f ca="1">IF(T138=0,"-",Q138/T138)</f>
        <v>1.1741083709915092</v>
      </c>
      <c r="Z138" s="237" t="str">
        <f>'Conto Economico'!A61</f>
        <v>Tipologia di entrata</v>
      </c>
    </row>
    <row r="139" spans="2:28" x14ac:dyDescent="0.2">
      <c r="B139" s="181" t="str">
        <f>'Conto Economico'!A63</f>
        <v>Ricavi Affitto Dubai I</v>
      </c>
      <c r="C139" s="181"/>
      <c r="D139" s="147">
        <f ca="1">IF(AND(TODAY()&gt;=DATE(2026,1,1),OR(TODAY()&gt;=DATE(2026,2,1),'Conto Economico'!C63&lt;&gt;0)),'Conto Economico'!C63,$U139)</f>
        <v>0</v>
      </c>
      <c r="E139" s="147">
        <f ca="1">IF(AND(TODAY()&gt;=DATE(2026,2,1),OR(TODAY()&gt;=DATE(2026,3,1),'Conto Economico'!D63&lt;&gt;0)),'Conto Economico'!D63,$U139)</f>
        <v>0</v>
      </c>
      <c r="F139" s="147">
        <f ca="1">IF(AND(TODAY()&gt;=DATE(2026,3,1),OR(TODAY()&gt;=DATE(2026,4,1),'Conto Economico'!E63&lt;&gt;0)),'Conto Economico'!E63,$U139)</f>
        <v>0</v>
      </c>
      <c r="G139" s="147">
        <f ca="1">IF(AND(TODAY()&gt;=DATE(2026,4,1),OR(TODAY()&gt;=DATE(2026,5,1),'Conto Economico'!F63&lt;&gt;0)),'Conto Economico'!F63,$U139)</f>
        <v>0</v>
      </c>
      <c r="H139" s="147">
        <f ca="1">IF(AND(TODAY()&gt;=DATE(2026,5,1),OR(TODAY()&gt;=DATE(2026,6,1),'Conto Economico'!G63&lt;&gt;0)),'Conto Economico'!G63,$U139)</f>
        <v>0</v>
      </c>
      <c r="I139" s="147">
        <f ca="1">IF(AND(TODAY()&gt;=DATE(2026,6,1),OR(TODAY()&gt;=DATE(2026,7,1),'Conto Economico'!H63&lt;&gt;0)),'Conto Economico'!H63,$U139)</f>
        <v>0</v>
      </c>
      <c r="J139" s="147">
        <f ca="1">IF(AND(TODAY()&gt;=DATE(2026,7,1),OR(TODAY()&gt;=DATE(2026,8,1),'Conto Economico'!I63&lt;&gt;0)),'Conto Economico'!I63,$U139)</f>
        <v>0</v>
      </c>
      <c r="K139" s="147">
        <f ca="1">IF(AND(TODAY()&gt;=DATE(2026,8,1),OR(TODAY()&gt;=DATE(2026,9,1),'Conto Economico'!J63&lt;&gt;0)),'Conto Economico'!J63,$U139)</f>
        <v>0</v>
      </c>
      <c r="L139" s="147">
        <f ca="1">IF(AND(TODAY()&gt;=DATE(2026,9,1),OR(TODAY()&gt;=DATE(2026,10,1),'Conto Economico'!K63&lt;&gt;0)),'Conto Economico'!K63,$U139)</f>
        <v>0</v>
      </c>
      <c r="M139" s="147">
        <f ca="1">IF(AND(TODAY()&gt;=DATE(2026,10,1),OR(TODAY()&gt;=DATE(2026,11,1),'Conto Economico'!L63&lt;&gt;0)),'Conto Economico'!L63,$U139)</f>
        <v>0</v>
      </c>
      <c r="N139" s="147">
        <f ca="1">IF(AND(TODAY()&gt;=DATE(2026,11,1),OR(TODAY()&gt;=DATE(2026,12,1),'Conto Economico'!M63&lt;&gt;0)),'Conto Economico'!M63,$U139)</f>
        <v>0</v>
      </c>
      <c r="O139" s="147">
        <f ca="1">IF(AND(TODAY()&gt;=DATE(2026,12,1),OR(TODAY()&gt;=DATE(2027,1,1),'Conto Economico'!N63&lt;&gt;0)),'Conto Economico'!N63,$U139)</f>
        <v>0</v>
      </c>
      <c r="Q139" s="157">
        <f t="shared" ref="Q139:Q148" ca="1" si="84">SUM(D139:O139)</f>
        <v>0</v>
      </c>
      <c r="R139" s="147">
        <f t="shared" ref="R139:R148" ca="1" si="85">Q139/12</f>
        <v>0</v>
      </c>
      <c r="T139" s="170">
        <f>'Budget 27'!C141</f>
        <v>0</v>
      </c>
      <c r="U139" s="170">
        <v>0</v>
      </c>
      <c r="W139" s="170">
        <f ca="1">T139-Q139</f>
        <v>0</v>
      </c>
      <c r="X139" s="405" t="str">
        <f t="shared" ref="X139:X149" si="86">IF(T139=0,"-",Q139/T139)</f>
        <v>-</v>
      </c>
      <c r="Z139" s="234" t="str">
        <f>'Conto Economico'!A63</f>
        <v>Ricavi Affitto Dubai I</v>
      </c>
    </row>
    <row r="140" spans="2:28" x14ac:dyDescent="0.2">
      <c r="B140" s="181" t="str">
        <f>'Conto Economico'!A64</f>
        <v>Ricavi Affitto Dubai II</v>
      </c>
      <c r="C140" s="181"/>
      <c r="D140" s="147">
        <f ca="1">IF(AND(TODAY()&gt;=DATE(2026,1,1),OR(TODAY()&gt;=DATE(2026,2,1),'Conto Economico'!C64&lt;&gt;0)),'Conto Economico'!C64,$U140)</f>
        <v>0</v>
      </c>
      <c r="E140" s="147">
        <f ca="1">IF(AND(TODAY()&gt;=DATE(2026,2,1),OR(TODAY()&gt;=DATE(2026,3,1),'Conto Economico'!D64&lt;&gt;0)),'Conto Economico'!D64,$U140)</f>
        <v>0</v>
      </c>
      <c r="F140" s="147">
        <f ca="1">IF(AND(TODAY()&gt;=DATE(2026,3,1),OR(TODAY()&gt;=DATE(2026,4,1),'Conto Economico'!E64&lt;&gt;0)),'Conto Economico'!E64,$U140)</f>
        <v>0</v>
      </c>
      <c r="G140" s="147">
        <f ca="1">IF(AND(TODAY()&gt;=DATE(2026,4,1),OR(TODAY()&gt;=DATE(2026,5,1),'Conto Economico'!F64&lt;&gt;0)),'Conto Economico'!F64,)</f>
        <v>0</v>
      </c>
      <c r="H140" s="147">
        <f ca="1">IF(AND(TODAY()&gt;=DATE(2026,5,1),OR(TODAY()&gt;=DATE(2026,6,1),'Conto Economico'!G64&lt;&gt;0)),'Conto Economico'!G64,$U140)</f>
        <v>0</v>
      </c>
      <c r="I140" s="147">
        <f ca="1">IF(AND(TODAY()&gt;=DATE(2026,6,1),OR(TODAY()&gt;=DATE(2026,7,1),'Conto Economico'!H64&lt;&gt;0)),'Conto Economico'!H64,$U140)</f>
        <v>0</v>
      </c>
      <c r="J140" s="147">
        <f ca="1">IF(AND(TODAY()&gt;=DATE(2026,7,1),OR(TODAY()&gt;=DATE(2026,8,1),'Conto Economico'!I64&lt;&gt;0)),'Conto Economico'!I64,$U140)</f>
        <v>0</v>
      </c>
      <c r="K140" s="147">
        <f ca="1">IF(AND(TODAY()&gt;=DATE(2026,8,1),OR(TODAY()&gt;=DATE(2026,9,1),'Conto Economico'!J64&lt;&gt;0)),'Conto Economico'!J64,$U140)</f>
        <v>0</v>
      </c>
      <c r="L140" s="147">
        <f ca="1">IF(AND(TODAY()&gt;=DATE(2026,9,1),OR(TODAY()&gt;=DATE(2026,10,1),'Conto Economico'!K64&lt;&gt;0)),'Conto Economico'!K64,$U140)</f>
        <v>0</v>
      </c>
      <c r="M140" s="147">
        <f ca="1">IF(AND(TODAY()&gt;=DATE(2026,10,1),OR(TODAY()&gt;=DATE(2026,11,1),'Conto Economico'!L64&lt;&gt;0)),'Conto Economico'!L64,$U140)</f>
        <v>0</v>
      </c>
      <c r="N140" s="147">
        <f ca="1">IF(AND(TODAY()&gt;=DATE(2026,11,1),OR(TODAY()&gt;=DATE(2026,12,1),'Conto Economico'!M64&lt;&gt;0)),'Conto Economico'!M64,$U140)</f>
        <v>0</v>
      </c>
      <c r="O140" s="147">
        <f ca="1">IF(AND(TODAY()&gt;=DATE(2026,12,1),OR(TODAY()&gt;=DATE(2027,1,1),'Conto Economico'!N64&lt;&gt;0)),'Conto Economico'!N64,$U140)</f>
        <v>0</v>
      </c>
      <c r="Q140" s="157">
        <f t="shared" ca="1" si="84"/>
        <v>0</v>
      </c>
      <c r="R140" s="147">
        <f t="shared" ca="1" si="85"/>
        <v>0</v>
      </c>
      <c r="T140" s="170">
        <f>'Budget 27'!C142</f>
        <v>0</v>
      </c>
      <c r="U140" s="170"/>
      <c r="W140" s="170"/>
      <c r="X140" s="405" t="str">
        <f t="shared" si="86"/>
        <v>-</v>
      </c>
      <c r="Z140" s="234" t="str">
        <f>'Conto Economico'!A64</f>
        <v>Ricavi Affitto Dubai II</v>
      </c>
    </row>
    <row r="141" spans="2:28" x14ac:dyDescent="0.2">
      <c r="B141" s="181" t="str">
        <f>'Conto Economico'!A65</f>
        <v>Ricavi Affitto Dubai III</v>
      </c>
      <c r="C141" s="181"/>
      <c r="D141" s="147">
        <f ca="1">IF(AND(TODAY()&gt;=DATE(2026,1,1),OR(TODAY()&gt;=DATE(2026,2,1),'Conto Economico'!C65&lt;&gt;0)),'Conto Economico'!C65,$U141)</f>
        <v>0</v>
      </c>
      <c r="E141" s="147">
        <f ca="1">IF(AND(TODAY()&gt;=DATE(2026,2,1),OR(TODAY()&gt;=DATE(2026,3,1),'Conto Economico'!D65&lt;&gt;0)),'Conto Economico'!D65,$U141)</f>
        <v>0</v>
      </c>
      <c r="F141" s="147">
        <f ca="1">IF(AND(TODAY()&gt;=DATE(2026,3,1),OR(TODAY()&gt;=DATE(2026,4,1),'Conto Economico'!E65&lt;&gt;0)),'Conto Economico'!E65,$U141)</f>
        <v>0</v>
      </c>
      <c r="G141" s="147">
        <f ca="1">IF(AND(TODAY()&gt;=DATE(2026,4,1),OR(TODAY()&gt;=DATE(2026,5,1),'Conto Economico'!F65&lt;&gt;0)),'Conto Economico'!F65,$U141)</f>
        <v>0</v>
      </c>
      <c r="H141" s="147">
        <f ca="1">IF(AND(TODAY()&gt;=DATE(2026,5,1),OR(TODAY()&gt;=DATE(2026,6,1),'Conto Economico'!G65&lt;&gt;0)),'Conto Economico'!G65,$U141)</f>
        <v>0</v>
      </c>
      <c r="I141" s="147">
        <f ca="1">IF(AND(TODAY()&gt;=DATE(2026,6,1),OR(TODAY()&gt;=DATE(2026,7,1),'Conto Economico'!H65&lt;&gt;0)),'Conto Economico'!H65,$U141)</f>
        <v>0</v>
      </c>
      <c r="J141" s="147">
        <f ca="1">IF(AND(TODAY()&gt;=DATE(2026,7,1),OR(TODAY()&gt;=DATE(2026,8,1),'Conto Economico'!I65&lt;&gt;0)),'Conto Economico'!I65,$U141)</f>
        <v>0</v>
      </c>
      <c r="K141" s="147">
        <f ca="1">IF(AND(TODAY()&gt;=DATE(2026,8,1),OR(TODAY()&gt;=DATE(2026,9,1),'Conto Economico'!J65&lt;&gt;0)),'Conto Economico'!J65,$U141)</f>
        <v>0</v>
      </c>
      <c r="L141" s="147">
        <f ca="1">IF(AND(TODAY()&gt;=DATE(2026,9,1),OR(TODAY()&gt;=DATE(2026,10,1),'Conto Economico'!K65&lt;&gt;0)),'Conto Economico'!K65,$U141)</f>
        <v>0</v>
      </c>
      <c r="M141" s="147">
        <f ca="1">IF(AND(TODAY()&gt;=DATE(2026,10,1),OR(TODAY()&gt;=DATE(2026,11,1),'Conto Economico'!L65&lt;&gt;0)),'Conto Economico'!L65,$U141)</f>
        <v>0</v>
      </c>
      <c r="N141" s="147">
        <f ca="1">IF(AND(TODAY()&gt;=DATE(2026,11,1),OR(TODAY()&gt;=DATE(2026,12,1),'Conto Economico'!M65&lt;&gt;0)),'Conto Economico'!M65,$U141)</f>
        <v>0</v>
      </c>
      <c r="O141" s="147">
        <f ca="1">IF(AND(TODAY()&gt;=DATE(2026,12,1),OR(TODAY()&gt;=DATE(2027,1,1),'Conto Economico'!N65&lt;&gt;0)),'Conto Economico'!N65,$U141)</f>
        <v>0</v>
      </c>
      <c r="Q141" s="157">
        <f t="shared" ca="1" si="84"/>
        <v>0</v>
      </c>
      <c r="R141" s="147">
        <f t="shared" ca="1" si="85"/>
        <v>0</v>
      </c>
      <c r="T141" s="170">
        <f>'Budget 27'!C143</f>
        <v>0</v>
      </c>
      <c r="U141" s="170"/>
      <c r="W141" s="170"/>
      <c r="X141" s="405" t="str">
        <f t="shared" si="86"/>
        <v>-</v>
      </c>
      <c r="Z141" s="234" t="str">
        <f>'Conto Economico'!A65</f>
        <v>Ricavi Affitto Dubai III</v>
      </c>
    </row>
    <row r="142" spans="2:28" x14ac:dyDescent="0.2">
      <c r="B142" s="181" t="str">
        <f>'Conto Economico'!A66</f>
        <v>Vendita Immobile El Toro</v>
      </c>
      <c r="C142" s="181"/>
      <c r="D142" s="147">
        <f ca="1">IF(AND(TODAY()&gt;=DATE(2026,1,1),OR(TODAY()&gt;=DATE(2026,2,1),'Conto Economico'!C66&lt;&gt;0)),'Conto Economico'!C66,$U142)</f>
        <v>0</v>
      </c>
      <c r="E142" s="147">
        <f ca="1">IF(AND(TODAY()&gt;=DATE(2026,2,1),OR(TODAY()&gt;=DATE(2026,3,1),'Conto Economico'!D66&lt;&gt;0)),'Conto Economico'!D66,$U142)</f>
        <v>0</v>
      </c>
      <c r="F142" s="147">
        <f ca="1">IF(AND(TODAY()&gt;=DATE(2026,3,1),OR(TODAY()&gt;=DATE(2026,4,1),'Conto Economico'!E66&lt;&gt;0)),'Conto Economico'!E66,$U142)</f>
        <v>0</v>
      </c>
      <c r="G142" s="147">
        <f ca="1">IF(AND(TODAY()&gt;=DATE(2026,4,1),OR(TODAY()&gt;=DATE(2026,5,1),'Conto Economico'!F66&lt;&gt;0)),'Conto Economico'!F66,$U142)</f>
        <v>0</v>
      </c>
      <c r="H142" s="147">
        <f ca="1">IF(AND(TODAY()&gt;=DATE(2026,5,1),OR(TODAY()&gt;=DATE(2026,6,1),'Conto Economico'!G66&lt;&gt;0)),'Conto Economico'!G66,$U142)</f>
        <v>0</v>
      </c>
      <c r="I142" s="147">
        <f ca="1">IF(AND(TODAY()&gt;=DATE(2026,6,1),OR(TODAY()&gt;=DATE(2026,7,1),'Conto Economico'!H66&lt;&gt;0)),'Conto Economico'!H66,$U142)</f>
        <v>0</v>
      </c>
      <c r="J142" s="147">
        <f ca="1">IF(AND(TODAY()&gt;=DATE(2026,7,1),OR(TODAY()&gt;=DATE(2026,8,1),'Conto Economico'!I66&lt;&gt;0)),'Conto Economico'!I66,$U142)</f>
        <v>0</v>
      </c>
      <c r="K142" s="147">
        <f ca="1">IF(AND(TODAY()&gt;=DATE(2026,8,1),OR(TODAY()&gt;=DATE(2026,9,1),'Conto Economico'!J66&lt;&gt;0)),'Conto Economico'!J66,$U142)</f>
        <v>0</v>
      </c>
      <c r="L142" s="147">
        <f ca="1">IF(AND(TODAY()&gt;=DATE(2026,9,1),OR(TODAY()&gt;=DATE(2026,10,1),'Conto Economico'!K66&lt;&gt;0)),'Conto Economico'!K66,$U142)</f>
        <v>0</v>
      </c>
      <c r="M142" s="147">
        <f ca="1">IF(AND(TODAY()&gt;=DATE(2026,10,1),OR(TODAY()&gt;=DATE(2026,11,1),'Conto Economico'!L66&lt;&gt;0)),'Conto Economico'!L66,T142)</f>
        <v>1817507.04</v>
      </c>
      <c r="N142" s="147">
        <f ca="1">IF(AND(TODAY()&gt;=DATE(2026,11,1),OR(TODAY()&gt;=DATE(2026,12,1),'Conto Economico'!M66&lt;&gt;0)),'Conto Economico'!M66,$U142)</f>
        <v>0</v>
      </c>
      <c r="O142" s="147">
        <f ca="1">IF(AND(TODAY()&gt;=DATE(2026,12,1),OR(TODAY()&gt;=DATE(2027,1,1),'Conto Economico'!N66&lt;&gt;0)),'Conto Economico'!N66,$U142)</f>
        <v>0</v>
      </c>
      <c r="Q142" s="157">
        <f t="shared" ca="1" si="84"/>
        <v>1817507.04</v>
      </c>
      <c r="R142" s="147">
        <f t="shared" ca="1" si="85"/>
        <v>151458.92000000001</v>
      </c>
      <c r="T142" s="170">
        <f>'Budget 27'!C144</f>
        <v>1817507.04</v>
      </c>
      <c r="U142" s="170"/>
      <c r="W142" s="170"/>
      <c r="X142" s="405">
        <f t="shared" ca="1" si="86"/>
        <v>1</v>
      </c>
      <c r="Z142" s="234" t="str">
        <f>'Conto Economico'!A66</f>
        <v>Vendita Immobile El Toro</v>
      </c>
    </row>
    <row r="143" spans="2:28" x14ac:dyDescent="0.2">
      <c r="B143" s="181" t="str">
        <f>'Conto Economico'!A67</f>
        <v>Vendita Immobile Riccione</v>
      </c>
      <c r="C143" s="181"/>
      <c r="D143" s="147">
        <f ca="1">IF(AND(TODAY()&gt;=DATE(2026,1,1),OR(TODAY()&gt;=DATE(2026,2,1),'Conto Economico'!C67&lt;&gt;0)),'Conto Economico'!C67,$U143)</f>
        <v>0</v>
      </c>
      <c r="E143" s="147">
        <f ca="1">IF(AND(TODAY()&gt;=DATE(2026,2,1),OR(TODAY()&gt;=DATE(2026,3,1),'Conto Economico'!D67&lt;&gt;0)),'Conto Economico'!D67,$U143)</f>
        <v>0</v>
      </c>
      <c r="F143" s="147">
        <f ca="1">IF(AND(TODAY()&gt;=DATE(2026,3,1),OR(TODAY()&gt;=DATE(2026,4,1),'Conto Economico'!E67&lt;&gt;0)),'Conto Economico'!E67,$U143)</f>
        <v>0</v>
      </c>
      <c r="G143" s="147">
        <f ca="1">IF(AND(TODAY()&gt;=DATE(2026,4,1),OR(TODAY()&gt;=DATE(2026,5,1),'Conto Economico'!F67&lt;&gt;0)),'Conto Economico'!F67,$U143)</f>
        <v>0</v>
      </c>
      <c r="H143" s="147">
        <f ca="1">IF(AND(TODAY()&gt;=DATE(2026,5,1),OR(TODAY()&gt;=DATE(2026,6,1),'Conto Economico'!G67&lt;&gt;0)),'Conto Economico'!G67,$U143)</f>
        <v>0</v>
      </c>
      <c r="I143" s="147">
        <f ca="1">IF(AND(TODAY()&gt;=DATE(2026,6,1),OR(TODAY()&gt;=DATE(2026,7,1),'Conto Economico'!H67&lt;&gt;0)),'Conto Economico'!H67,$U143)</f>
        <v>0</v>
      </c>
      <c r="J143" s="147">
        <f ca="1">IF(AND(TODAY()&gt;=DATE(2026,7,1),OR(TODAY()&gt;=DATE(2026,8,1),'Conto Economico'!I67&lt;&gt;0)),'Conto Economico'!I67,$U143)</f>
        <v>0</v>
      </c>
      <c r="K143" s="147">
        <f ca="1">IF(AND(TODAY()&gt;=DATE(2026,8,1),OR(TODAY()&gt;=DATE(2026,9,1),'Conto Economico'!J67&lt;&gt;0)),'Conto Economico'!J67,$U143)</f>
        <v>0</v>
      </c>
      <c r="L143" s="147">
        <f ca="1">IF(AND(TODAY()&gt;=DATE(2026,9,1),OR(TODAY()&gt;=DATE(2026,10,1),'Conto Economico'!K67&lt;&gt;0)),'Conto Economico'!K67,$U143)</f>
        <v>0</v>
      </c>
      <c r="M143" s="147">
        <f ca="1">IF(AND(TODAY()&gt;=DATE(2026,10,1),OR(TODAY()&gt;=DATE(2026,11,1),'Conto Economico'!L67&lt;&gt;0)),'Conto Economico'!L67,$U143)</f>
        <v>0</v>
      </c>
      <c r="N143" s="147">
        <f ca="1">IF(AND(TODAY()&gt;=DATE(2026,11,1),OR(TODAY()&gt;=DATE(2026,12,1),'Conto Economico'!M67&lt;&gt;0)),'Conto Economico'!M67,$U143)</f>
        <v>0</v>
      </c>
      <c r="O143" s="147">
        <f ca="1">IF(AND(TODAY()&gt;=DATE(2026,12,1),OR(TODAY()&gt;=DATE(2027,1,1),'Conto Economico'!N67&lt;&gt;0)),'Conto Economico'!N67,$U143)</f>
        <v>0</v>
      </c>
      <c r="Q143" s="157">
        <f t="shared" ca="1" si="84"/>
        <v>0</v>
      </c>
      <c r="R143" s="147">
        <f t="shared" ca="1" si="85"/>
        <v>0</v>
      </c>
      <c r="T143" s="170">
        <f>'Budget 27'!C145</f>
        <v>0</v>
      </c>
      <c r="U143" s="170"/>
      <c r="W143" s="170"/>
      <c r="X143" s="405" t="str">
        <f t="shared" si="86"/>
        <v>-</v>
      </c>
      <c r="Z143" s="234" t="str">
        <f>'Conto Economico'!A67</f>
        <v>Vendita Immobile Riccione</v>
      </c>
    </row>
    <row r="144" spans="2:28" x14ac:dyDescent="0.2">
      <c r="B144" s="181" t="str">
        <f>'Conto Economico'!A68</f>
        <v>Pensione di Vecchiaia Stefano</v>
      </c>
      <c r="C144" s="181"/>
      <c r="D144" s="147">
        <f ca="1">IF(AND(TODAY()&gt;=DATE(2026,1,1),OR(TODAY()&gt;=DATE(2026,2,1),'Conto Economico'!C68&lt;&gt;0)),'Conto Economico'!C68,$U144)</f>
        <v>0</v>
      </c>
      <c r="E144" s="147">
        <f ca="1">IF(AND(TODAY()&gt;=DATE(2026,2,1),OR(TODAY()&gt;=DATE(2026,3,1),'Conto Economico'!D68&lt;&gt;0)),'Conto Economico'!D68,$U144)</f>
        <v>0</v>
      </c>
      <c r="F144" s="147">
        <f ca="1">IF(AND(TODAY()&gt;=DATE(2026,3,1),OR(TODAY()&gt;=DATE(2026,4,1),'Conto Economico'!E68&lt;&gt;0)),'Conto Economico'!E68,$U144)</f>
        <v>0</v>
      </c>
      <c r="G144" s="147">
        <f ca="1">IF(AND(TODAY()&gt;=DATE(2026,4,1),OR(TODAY()&gt;=DATE(2026,5,1),'Conto Economico'!F68&lt;&gt;0)),'Conto Economico'!F68,$U144)</f>
        <v>0</v>
      </c>
      <c r="H144" s="147">
        <f ca="1">IF(AND(TODAY()&gt;=DATE(2026,5,1),OR(TODAY()&gt;=DATE(2026,6,1),'Conto Economico'!G68&lt;&gt;0)),'Conto Economico'!G68,$U144)</f>
        <v>0</v>
      </c>
      <c r="I144" s="147">
        <f ca="1">IF(AND(TODAY()&gt;=DATE(2026,6,1),OR(TODAY()&gt;=DATE(2026,7,1),'Conto Economico'!H68&lt;&gt;0)),'Conto Economico'!H68,$U144)</f>
        <v>0</v>
      </c>
      <c r="J144" s="147">
        <f ca="1">IF(AND(TODAY()&gt;=DATE(2026,7,1),OR(TODAY()&gt;=DATE(2026,8,1),'Conto Economico'!I68&lt;&gt;0)),'Conto Economico'!I68,$U144)</f>
        <v>0</v>
      </c>
      <c r="K144" s="147">
        <f ca="1">IF(AND(TODAY()&gt;=DATE(2026,8,1),OR(TODAY()&gt;=DATE(2026,9,1),'Conto Economico'!J68&lt;&gt;0)),'Conto Economico'!J68,$U144)</f>
        <v>0</v>
      </c>
      <c r="L144" s="147">
        <f ca="1">IF(AND(TODAY()&gt;=DATE(2026,9,1),OR(TODAY()&gt;=DATE(2026,10,1),'Conto Economico'!K68&lt;&gt;0)),'Conto Economico'!K68,$U144)</f>
        <v>0</v>
      </c>
      <c r="M144" s="147">
        <f ca="1">IF(AND(TODAY()&gt;=DATE(2026,10,1),OR(TODAY()&gt;=DATE(2026,11,1),'Conto Economico'!L68&lt;&gt;0)),'Conto Economico'!L68,$U144)</f>
        <v>0</v>
      </c>
      <c r="N144" s="147">
        <f ca="1">IF(AND(TODAY()&gt;=DATE(2026,11,1),OR(TODAY()&gt;=DATE(2026,12,1),'Conto Economico'!M68&lt;&gt;0)),'Conto Economico'!M68,$U144)</f>
        <v>0</v>
      </c>
      <c r="O144" s="147">
        <f ca="1">IF(AND(TODAY()&gt;=DATE(2026,12,1),OR(TODAY()&gt;=DATE(2027,1,1),'Conto Economico'!N68&lt;&gt;0)),'Conto Economico'!N68,$U144)</f>
        <v>0</v>
      </c>
      <c r="Q144" s="157">
        <f t="shared" ca="1" si="84"/>
        <v>0</v>
      </c>
      <c r="R144" s="147">
        <f t="shared" ca="1" si="85"/>
        <v>0</v>
      </c>
      <c r="T144" s="170">
        <f>'Budget 27'!C146</f>
        <v>0</v>
      </c>
      <c r="U144" s="170"/>
      <c r="W144" s="170"/>
      <c r="X144" s="405" t="str">
        <f t="shared" si="86"/>
        <v>-</v>
      </c>
      <c r="Z144" s="234" t="str">
        <f>'Conto Economico'!A68</f>
        <v>Pensione di Vecchiaia Stefano</v>
      </c>
    </row>
    <row r="145" spans="2:26" x14ac:dyDescent="0.2">
      <c r="B145" s="181" t="str">
        <f>'Conto Economico'!A69</f>
        <v>Pensione di Vecchiaia Sandra</v>
      </c>
      <c r="C145" s="181"/>
      <c r="D145" s="147">
        <f ca="1">IF(AND(TODAY()&gt;=DATE(2026,1,1),OR(TODAY()&gt;=DATE(2026,2,1),'Conto Economico'!C69&lt;&gt;0)),'Conto Economico'!C69,$U145)</f>
        <v>0</v>
      </c>
      <c r="E145" s="147">
        <f ca="1">IF(AND(TODAY()&gt;=DATE(2026,2,1),OR(TODAY()&gt;=DATE(2026,3,1),'Conto Economico'!D69&lt;&gt;0)),'Conto Economico'!D69,$U145)</f>
        <v>0</v>
      </c>
      <c r="F145" s="147">
        <f ca="1">IF(AND(TODAY()&gt;=DATE(2026,3,1),OR(TODAY()&gt;=DATE(2026,4,1),'Conto Economico'!E69&lt;&gt;0)),'Conto Economico'!E69,$U145)</f>
        <v>0</v>
      </c>
      <c r="G145" s="147">
        <f ca="1">IF(AND(TODAY()&gt;=DATE(2026,4,1),OR(TODAY()&gt;=DATE(2026,5,1),'Conto Economico'!F69&lt;&gt;0)),'Conto Economico'!F69,$U145)</f>
        <v>0</v>
      </c>
      <c r="H145" s="147">
        <f ca="1">IF(AND(TODAY()&gt;=DATE(2026,5,1),OR(TODAY()&gt;=DATE(2026,6,1),'Conto Economico'!G69&lt;&gt;0)),'Conto Economico'!G69,$U145)</f>
        <v>0</v>
      </c>
      <c r="I145" s="147">
        <f ca="1">IF(AND(TODAY()&gt;=DATE(2026,6,1),OR(TODAY()&gt;=DATE(2026,7,1),'Conto Economico'!H69&lt;&gt;0)),'Conto Economico'!H69,$U145)</f>
        <v>0</v>
      </c>
      <c r="J145" s="147">
        <f ca="1">IF(AND(TODAY()&gt;=DATE(2026,7,1),OR(TODAY()&gt;=DATE(2026,8,1),'Conto Economico'!I69&lt;&gt;0)),'Conto Economico'!I69,$U145)</f>
        <v>0</v>
      </c>
      <c r="K145" s="147">
        <f ca="1">IF(AND(TODAY()&gt;=DATE(2026,8,1),OR(TODAY()&gt;=DATE(2026,9,1),'Conto Economico'!J69&lt;&gt;0)),'Conto Economico'!J69,$U145)</f>
        <v>0</v>
      </c>
      <c r="L145" s="147">
        <f ca="1">IF(AND(TODAY()&gt;=DATE(2026,9,1),OR(TODAY()&gt;=DATE(2026,10,1),'Conto Economico'!K69&lt;&gt;0)),'Conto Economico'!K69,$U145)</f>
        <v>0</v>
      </c>
      <c r="M145" s="147">
        <f ca="1">IF(AND(TODAY()&gt;=DATE(2026,10,1),OR(TODAY()&gt;=DATE(2026,11,1),'Conto Economico'!L69&lt;&gt;0)),'Conto Economico'!L69,$U145)</f>
        <v>0</v>
      </c>
      <c r="N145" s="147">
        <f ca="1">IF(AND(TODAY()&gt;=DATE(2026,11,1),OR(TODAY()&gt;=DATE(2026,12,1),'Conto Economico'!M69&lt;&gt;0)),'Conto Economico'!M69,$U145)</f>
        <v>0</v>
      </c>
      <c r="O145" s="147">
        <f ca="1">IF(AND(TODAY()&gt;=DATE(2026,12,1),OR(TODAY()&gt;=DATE(2027,1,1),'Conto Economico'!N69&lt;&gt;0)),'Conto Economico'!N69,$U145)</f>
        <v>0</v>
      </c>
      <c r="Q145" s="157">
        <f t="shared" ca="1" si="84"/>
        <v>0</v>
      </c>
      <c r="R145" s="147">
        <f t="shared" ca="1" si="85"/>
        <v>0</v>
      </c>
      <c r="T145" s="170">
        <f>'Budget 27'!C147</f>
        <v>0</v>
      </c>
      <c r="U145" s="170"/>
      <c r="W145" s="170"/>
      <c r="X145" s="405" t="str">
        <f t="shared" si="86"/>
        <v>-</v>
      </c>
      <c r="Z145" s="234" t="str">
        <f>'Conto Economico'!A69</f>
        <v>Pensione di Vecchiaia Sandra</v>
      </c>
    </row>
    <row r="146" spans="2:26" x14ac:dyDescent="0.2">
      <c r="B146" s="404" t="str">
        <f>'Conto Economico'!A70</f>
        <v>Interessi sugli Investimenti</v>
      </c>
      <c r="C146" s="181"/>
      <c r="D146" s="147">
        <f ca="1">IF(AND(TODAY()&gt;=DATE(2026,1,1),OR(TODAY()&gt;=DATE(2026,2,1),'Conto Economico'!C70&lt;&gt;0)),'Conto Economico'!C70,$U146)</f>
        <v>0</v>
      </c>
      <c r="E146" s="147">
        <f ca="1">IF(AND(TODAY()&gt;=DATE(2026,2,1),OR(TODAY()&gt;=DATE(2026,3,1),'Conto Economico'!D70&lt;&gt;0)),'Conto Economico'!D70,$U146)</f>
        <v>0</v>
      </c>
      <c r="F146" s="147">
        <f ca="1">IF(AND(TODAY()&gt;=DATE(2026,3,1),OR(TODAY()&gt;=DATE(2026,4,1),'Conto Economico'!E70&lt;&gt;0)),'Conto Economico'!E70,$U146)</f>
        <v>0</v>
      </c>
      <c r="G146" s="147">
        <f ca="1">IF(AND(TODAY()&gt;=DATE(2026,4,1),OR(TODAY()&gt;=DATE(2026,5,1),'Conto Economico'!F70&lt;&gt;0)),'Conto Economico'!F70,$U146)</f>
        <v>0</v>
      </c>
      <c r="H146" s="147">
        <f ca="1">IF(AND(TODAY()&gt;=DATE(2026,5,1),OR(TODAY()&gt;=DATE(2026,6,1),'Conto Economico'!G70&lt;&gt;0)),'Conto Economico'!G70,$U146)</f>
        <v>0</v>
      </c>
      <c r="I146" s="147">
        <f ca="1">IF(AND(TODAY()&gt;=DATE(2026,6,1),OR(TODAY()&gt;=DATE(2026,7,1),'Conto Economico'!H70&lt;&gt;0)),'Conto Economico'!H70,$U146)</f>
        <v>0</v>
      </c>
      <c r="J146" s="147">
        <f ca="1">IF(AND(TODAY()&gt;=DATE(2026,7,1),OR(TODAY()&gt;=DATE(2026,8,1),'Conto Economico'!I70&lt;&gt;0)),'Conto Economico'!I70,$U146)</f>
        <v>0</v>
      </c>
      <c r="K146" s="147">
        <f ca="1">IF(AND(TODAY()&gt;=DATE(2026,8,1),OR(TODAY()&gt;=DATE(2026,9,1),'Conto Economico'!J70&lt;&gt;0)),'Conto Economico'!J70,$U146)</f>
        <v>0</v>
      </c>
      <c r="L146" s="147">
        <f ca="1">IF(AND(TODAY()&gt;=DATE(2026,9,1),OR(TODAY()&gt;=DATE(2026,10,1),'Conto Economico'!K70&lt;&gt;0)),'Conto Economico'!K70,$U146)</f>
        <v>0</v>
      </c>
      <c r="M146" s="147">
        <f ca="1">IF(AND(TODAY()&gt;=DATE(2026,10,1),OR(TODAY()&gt;=DATE(2026,11,1),'Conto Economico'!L70&lt;&gt;0)),'Conto Economico'!L70,$U146)</f>
        <v>0</v>
      </c>
      <c r="N146" s="147">
        <f ca="1">IF(AND(TODAY()&gt;=DATE(2026,11,1),OR(TODAY()&gt;=DATE(2026,12,1),'Conto Economico'!M70&lt;&gt;0)),'Conto Economico'!M70,$U146)</f>
        <v>0</v>
      </c>
      <c r="O146" s="147">
        <f ca="1">IF(AND(TODAY()&gt;=DATE(2026,12,1),OR(TODAY()&gt;=DATE(2027,1,1),'Conto Economico'!N70&lt;&gt;0)),'Conto Economico'!N70,$U146)</f>
        <v>0</v>
      </c>
      <c r="Q146" s="157">
        <f t="shared" ca="1" si="84"/>
        <v>0</v>
      </c>
      <c r="R146" s="147">
        <f t="shared" ca="1" si="85"/>
        <v>0</v>
      </c>
      <c r="T146" s="170"/>
      <c r="U146" s="170">
        <v>0</v>
      </c>
      <c r="W146" s="170"/>
      <c r="X146" s="405" t="str">
        <f t="shared" si="86"/>
        <v>-</v>
      </c>
      <c r="Z146" s="234" t="str">
        <f>'Conto Economico'!A70</f>
        <v>Interessi sugli Investimenti</v>
      </c>
    </row>
    <row r="147" spans="2:26" x14ac:dyDescent="0.2">
      <c r="B147" s="181" t="str">
        <f>'Conto Economico'!A71</f>
        <v>Rimborsi</v>
      </c>
      <c r="C147" s="181"/>
      <c r="D147" s="147">
        <f ca="1">IF(AND(TODAY()&gt;=DATE(2026,1,1),OR(TODAY()&gt;=DATE(2026,2,1),'Conto Economico'!C71&lt;&gt;0)),'Conto Economico'!C71,$U147)</f>
        <v>0</v>
      </c>
      <c r="E147" s="147">
        <f ca="1">IF(AND(TODAY()&gt;=DATE(2026,2,1),OR(TODAY()&gt;=DATE(2026,3,1),'Conto Economico'!D71&lt;&gt;0)),'Conto Economico'!D71,$U147)</f>
        <v>0</v>
      </c>
      <c r="F147" s="147">
        <f ca="1">IF(AND(TODAY()&gt;=DATE(2026,3,1),OR(TODAY()&gt;=DATE(2026,4,1),'Conto Economico'!E71&lt;&gt;0)),'Conto Economico'!E71,$U147)</f>
        <v>0</v>
      </c>
      <c r="G147" s="147">
        <f ca="1">IF(AND(TODAY()&gt;=DATE(2026,4,1),OR(TODAY()&gt;=DATE(2026,5,1),'Conto Economico'!F71&lt;&gt;0)),'Conto Economico'!F71,$U147)</f>
        <v>0</v>
      </c>
      <c r="H147" s="147">
        <f ca="1">IF(AND(TODAY()&gt;=DATE(2026,5,1),OR(TODAY()&gt;=DATE(2026,6,1),'Conto Economico'!G71&lt;&gt;0)),'Conto Economico'!G71,$U147)</f>
        <v>0</v>
      </c>
      <c r="I147" s="147">
        <f ca="1">IF(AND(TODAY()&gt;=DATE(2026,6,1),OR(TODAY()&gt;=DATE(2026,7,1),'Conto Economico'!H71&lt;&gt;0)),'Conto Economico'!H71,$U147)</f>
        <v>0</v>
      </c>
      <c r="J147" s="147">
        <f ca="1">IF(AND(TODAY()&gt;=DATE(2026,7,1),OR(TODAY()&gt;=DATE(2026,8,1),'Conto Economico'!I71&lt;&gt;0)),'Conto Economico'!I71,$U147)</f>
        <v>0</v>
      </c>
      <c r="K147" s="147">
        <f ca="1">IF(AND(TODAY()&gt;=DATE(2026,8,1),OR(TODAY()&gt;=DATE(2026,9,1),'Conto Economico'!J71&lt;&gt;0)),'Conto Economico'!J71,$U147)</f>
        <v>0</v>
      </c>
      <c r="L147" s="147">
        <f ca="1">IF(AND(TODAY()&gt;=DATE(2026,9,1),OR(TODAY()&gt;=DATE(2026,10,1),'Conto Economico'!K71&lt;&gt;0)),'Conto Economico'!K71,$U147)</f>
        <v>0</v>
      </c>
      <c r="M147" s="147">
        <f ca="1">IF(AND(TODAY()&gt;=DATE(2026,10,1),OR(TODAY()&gt;=DATE(2026,11,1),'Conto Economico'!L71&lt;&gt;0)),'Conto Economico'!L71,$U147)</f>
        <v>0</v>
      </c>
      <c r="N147" s="147">
        <f ca="1">IF(AND(TODAY()&gt;=DATE(2026,11,1),OR(TODAY()&gt;=DATE(2026,12,1),'Conto Economico'!M71&lt;&gt;0)),'Conto Economico'!M71,$U147)</f>
        <v>0</v>
      </c>
      <c r="O147" s="147">
        <f ca="1">IF(AND(TODAY()&gt;=DATE(2026,12,1),OR(TODAY()&gt;=DATE(2027,1,1),'Conto Economico'!N71&lt;&gt;0)),'Conto Economico'!N71,$U147)</f>
        <v>0</v>
      </c>
      <c r="Q147" s="157">
        <f t="shared" ca="1" si="84"/>
        <v>0</v>
      </c>
      <c r="R147" s="147">
        <f t="shared" ca="1" si="85"/>
        <v>0</v>
      </c>
      <c r="T147" s="170">
        <f>'Budget 27'!C149</f>
        <v>0</v>
      </c>
      <c r="U147" s="170"/>
      <c r="W147" s="170"/>
      <c r="X147" s="405" t="str">
        <f t="shared" si="86"/>
        <v>-</v>
      </c>
      <c r="Z147" s="234" t="str">
        <f>'Conto Economico'!A71</f>
        <v>Rimborsi</v>
      </c>
    </row>
    <row r="148" spans="2:26" x14ac:dyDescent="0.2">
      <c r="B148" s="181" t="str">
        <f>'Conto Economico'!A72</f>
        <v>Quote da investimenti</v>
      </c>
      <c r="C148" s="181"/>
      <c r="D148" s="147">
        <f ca="1">IF(AND(TODAY()&gt;=DATE(2026,1,1),OR(TODAY()&gt;=DATE(2026,2,1),'Conto Economico'!C72&lt;&gt;0)),'Conto Economico'!C72,$U148)</f>
        <v>0</v>
      </c>
      <c r="E148" s="147">
        <f ca="1">IF(AND(TODAY()&gt;=DATE(2026,2,1),OR(TODAY()&gt;=DATE(2026,3,1),'Conto Economico'!D72&lt;&gt;0)),'Conto Economico'!D72,$U148)</f>
        <v>31048.09</v>
      </c>
      <c r="F148" s="147">
        <f ca="1">IF(AND(TODAY()&gt;=DATE(2026,3,1),OR(TODAY()&gt;=DATE(2026,4,1),'Conto Economico'!E72&lt;&gt;0)),'Conto Economico'!E72,$U148)</f>
        <v>0</v>
      </c>
      <c r="G148" s="147">
        <f ca="1">IF(AND(TODAY()&gt;=DATE(2026,4,1),OR(TODAY()&gt;=DATE(2026,5,1),'Conto Economico'!F72&lt;&gt;0)),'Conto Economico'!F72,$U148)</f>
        <v>231275.62000000002</v>
      </c>
      <c r="H148" s="147">
        <f ca="1">IF(AND(TODAY()&gt;=DATE(2026,5,1),OR(TODAY()&gt;=DATE(2026,6,1),'Conto Economico'!G72&lt;&gt;0)),'Conto Economico'!G72,$U148)</f>
        <v>0</v>
      </c>
      <c r="I148" s="147">
        <f ca="1">IF(AND(TODAY()&gt;=DATE(2026,6,1),OR(TODAY()&gt;=DATE(2026,7,1),'Conto Economico'!H72&lt;&gt;0)),'Conto Economico'!H72,$U148)</f>
        <v>54119.479999999996</v>
      </c>
      <c r="J148" s="147">
        <f ca="1">IF(AND(TODAY()&gt;=DATE(2026,7,1),OR(TODAY()&gt;=DATE(2026,8,1),'Conto Economico'!I72&lt;&gt;0)),'Conto Economico'!I72,$U148)</f>
        <v>0</v>
      </c>
      <c r="K148" s="147">
        <f ca="1">IF(AND(TODAY()&gt;=DATE(2026,8,1),OR(TODAY()&gt;=DATE(2026,9,1),'Conto Economico'!J72&lt;&gt;0)),'Conto Economico'!J72,$U148)</f>
        <v>0</v>
      </c>
      <c r="L148" s="147">
        <f ca="1">IF(AND(TODAY()&gt;=DATE(2026,9,1),OR(TODAY()&gt;=DATE(2026,10,1),'Conto Economico'!K72&lt;&gt;0)),'Conto Economico'!K72,$U148)</f>
        <v>0</v>
      </c>
      <c r="M148" s="147">
        <f ca="1">IF(AND(TODAY()&gt;=DATE(2026,10,1),OR(TODAY()&gt;=DATE(2026,11,1),'Conto Economico'!L72&lt;&gt;0)),'Conto Economico'!L72,$U148)</f>
        <v>0</v>
      </c>
      <c r="N148" s="147">
        <f ca="1">IF(AND(TODAY()&gt;=DATE(2026,11,1),OR(TODAY()&gt;=DATE(2026,12,1),'Conto Economico'!M72&lt;&gt;0)),'Conto Economico'!M72,$U148)</f>
        <v>0</v>
      </c>
      <c r="O148" s="147">
        <f ca="1">IF(AND(TODAY()&gt;=DATE(2026,12,1),OR(TODAY()&gt;=DATE(2027,1,1),'Conto Economico'!N72&lt;&gt;0)),'Conto Economico'!N72,$U148)</f>
        <v>0</v>
      </c>
      <c r="Q148" s="157">
        <f t="shared" ca="1" si="84"/>
        <v>316443.19</v>
      </c>
      <c r="R148" s="147">
        <f t="shared" ca="1" si="85"/>
        <v>26370.265833333335</v>
      </c>
      <c r="T148" s="170"/>
      <c r="U148" s="170"/>
      <c r="W148" s="170"/>
      <c r="X148" s="405" t="str">
        <f t="shared" si="86"/>
        <v>-</v>
      </c>
      <c r="Z148" s="234" t="str">
        <f>'Conto Economico'!A72</f>
        <v>Quote da investimenti</v>
      </c>
    </row>
    <row r="149" spans="2:26" x14ac:dyDescent="0.2">
      <c r="B149" s="188" t="str">
        <f>'Conto Economico'!A73</f>
        <v>Entrate da non contabilizzare</v>
      </c>
      <c r="C149" s="188"/>
      <c r="D149" s="147">
        <v>0</v>
      </c>
      <c r="E149" s="147">
        <v>0</v>
      </c>
      <c r="F149" s="147">
        <v>0</v>
      </c>
      <c r="G149" s="147">
        <v>0</v>
      </c>
      <c r="H149" s="147">
        <v>0</v>
      </c>
      <c r="I149" s="147">
        <v>0</v>
      </c>
      <c r="J149" s="147">
        <v>0</v>
      </c>
      <c r="K149" s="147">
        <v>0</v>
      </c>
      <c r="L149" s="147">
        <v>0</v>
      </c>
      <c r="M149" s="147">
        <v>0</v>
      </c>
      <c r="N149" s="147">
        <v>0</v>
      </c>
      <c r="O149" s="147">
        <v>0</v>
      </c>
      <c r="Q149" s="157">
        <f>SUM(D149:O149)</f>
        <v>0</v>
      </c>
      <c r="R149" s="147">
        <f>Q149/12</f>
        <v>0</v>
      </c>
      <c r="T149" s="170">
        <f>'Budget 27'!D151</f>
        <v>0</v>
      </c>
      <c r="U149" s="171"/>
      <c r="W149" s="171"/>
      <c r="X149" s="405" t="str">
        <f t="shared" si="86"/>
        <v>-</v>
      </c>
      <c r="Z149" s="240" t="str">
        <f>'Conto Economico'!A73</f>
        <v>Entrate da non contabilizzare</v>
      </c>
    </row>
    <row r="150" spans="2:26" x14ac:dyDescent="0.2">
      <c r="B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Q150" s="173"/>
      <c r="R150" s="173"/>
      <c r="T150" s="173"/>
      <c r="U150" s="173"/>
      <c r="W150" s="189"/>
      <c r="X150" s="216"/>
      <c r="Z150" s="241"/>
    </row>
    <row r="151" spans="2:26" x14ac:dyDescent="0.2">
      <c r="Z151" s="233"/>
    </row>
    <row r="152" spans="2:26" x14ac:dyDescent="0.2">
      <c r="Z152" s="234"/>
    </row>
  </sheetData>
  <mergeCells count="5">
    <mergeCell ref="Q2:R2"/>
    <mergeCell ref="T2:U2"/>
    <mergeCell ref="W2:X2"/>
    <mergeCell ref="W4:X4"/>
    <mergeCell ref="D2:O2"/>
  </mergeCells>
  <conditionalFormatting sqref="D5:O5">
    <cfRule type="cellIs" dxfId="72" priority="5" operator="lessThan">
      <formula>0</formula>
    </cfRule>
  </conditionalFormatting>
  <conditionalFormatting sqref="X136 X117 X7 X9 X11:X18 X20:X30 X32:X35 X42:X43 X45 X68:X71 X80:X85 X87:X91 X93:X96 X108:X115 X138:X149 X98:X101 X103:X106 X37:X40 X119:X127 X129:X134 X73:X78 X58:X66">
    <cfRule type="cellIs" dxfId="71" priority="3" stopIfTrue="1" operator="greaterThan">
      <formula>1</formula>
    </cfRule>
    <cfRule type="cellIs" dxfId="70" priority="4" stopIfTrue="1" operator="lessThanOrEqual">
      <formula>1</formula>
    </cfRule>
  </conditionalFormatting>
  <pageMargins left="0.7" right="0.7" top="0.75" bottom="0.75" header="0.3" footer="0.3"/>
  <pageSetup paperSize="9" orientation="portrait" horizontalDpi="0" verticalDpi="0"/>
  <ignoredErrors>
    <ignoredError sqref="X13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5A50-D5D8-3E46-BED5-FE552868C7E6}">
  <sheetPr codeName="Foglio28">
    <tabColor rgb="FF00B0F0"/>
  </sheetPr>
  <dimension ref="B1:K149"/>
  <sheetViews>
    <sheetView showGridLines="0" zoomScale="110" zoomScaleNormal="110" workbookViewId="0">
      <pane ySplit="9" topLeftCell="A114" activePane="bottomLeft" state="frozen"/>
      <selection pane="bottomLeft" activeCell="C1" sqref="C1"/>
    </sheetView>
  </sheetViews>
  <sheetFormatPr baseColWidth="10" defaultColWidth="13" defaultRowHeight="16" x14ac:dyDescent="0.2"/>
  <cols>
    <col min="1" max="1" width="2" style="25" customWidth="1"/>
    <col min="2" max="2" width="41.796875" style="25" bestFit="1" customWidth="1"/>
    <col min="3" max="6" width="22.19921875" style="25" customWidth="1"/>
    <col min="7" max="7" width="26.19921875" style="25" bestFit="1" customWidth="1"/>
    <col min="8" max="8" width="13" style="25"/>
    <col min="9" max="9" width="15" style="25" bestFit="1" customWidth="1"/>
    <col min="10" max="10" width="17.19921875" style="25" bestFit="1" customWidth="1"/>
    <col min="11" max="11" width="15" style="25" bestFit="1" customWidth="1"/>
    <col min="12" max="16384" width="13" style="25"/>
  </cols>
  <sheetData>
    <row r="1" spans="2:7" ht="31" x14ac:dyDescent="0.2">
      <c r="B1" s="342" t="s">
        <v>445</v>
      </c>
      <c r="C1" s="114" t="e" vm="1">
        <v>#VALUE!</v>
      </c>
      <c r="D1" s="398" cm="1">
        <f t="array" aca="1" ref="D1" ca="1">_FV(C1,"Prezzo")</f>
        <v>0.23880000000000001</v>
      </c>
    </row>
    <row r="3" spans="2:7" x14ac:dyDescent="0.2">
      <c r="B3" s="306" t="s">
        <v>736</v>
      </c>
      <c r="C3" s="90">
        <f>'Conto Economico'!D6</f>
        <v>1498703.49</v>
      </c>
    </row>
    <row r="4" spans="2:7" x14ac:dyDescent="0.2">
      <c r="B4" s="306" t="s">
        <v>737</v>
      </c>
      <c r="C4" s="90">
        <f ca="1">C3-D11-D119+D138</f>
        <v>2999656.7204715218</v>
      </c>
    </row>
    <row r="6" spans="2:7" x14ac:dyDescent="0.2">
      <c r="B6" s="120" t="s">
        <v>536</v>
      </c>
      <c r="C6" s="90">
        <f ca="1">C4</f>
        <v>2999656.7204715218</v>
      </c>
      <c r="D6" s="111"/>
      <c r="E6" s="111"/>
    </row>
    <row r="7" spans="2:7" x14ac:dyDescent="0.2">
      <c r="B7" s="120" t="s">
        <v>517</v>
      </c>
      <c r="C7" s="90">
        <f ca="1">C6-E11-E119+E138</f>
        <v>1805386.1515277794</v>
      </c>
    </row>
    <row r="9" spans="2:7" x14ac:dyDescent="0.2">
      <c r="B9" s="339"/>
      <c r="C9" s="119" t="s">
        <v>355</v>
      </c>
      <c r="D9" s="305" t="s">
        <v>883</v>
      </c>
      <c r="E9" s="119" t="s">
        <v>445</v>
      </c>
      <c r="F9" s="119" t="s">
        <v>449</v>
      </c>
      <c r="G9" s="119" t="s">
        <v>163</v>
      </c>
    </row>
    <row r="10" spans="2:7" s="30" customFormat="1" x14ac:dyDescent="0.2">
      <c r="B10" s="33"/>
      <c r="D10" s="307"/>
      <c r="E10" s="91"/>
    </row>
    <row r="11" spans="2:7" s="30" customFormat="1" x14ac:dyDescent="0.2">
      <c r="B11" s="32" t="s">
        <v>58</v>
      </c>
      <c r="C11" s="90">
        <f ca="1">C13+C22+C34+C39+C44+C47+C60+C70+C75+C82+C89+C95+C100+C105+C110</f>
        <v>81823.399999999994</v>
      </c>
      <c r="D11" s="90">
        <f ca="1">D13+D22+D34+D39+D44+D47+D60+D70+D75+D82+D89+D95+D100+D105+D110</f>
        <v>97214.425325644377</v>
      </c>
      <c r="E11" s="90">
        <f ca="1">E13+E22+E34+E39+E44+E47+E60+E70+E75+E82+E89+E95+E100+E105+E110</f>
        <v>94498.808053333341</v>
      </c>
      <c r="F11" s="41">
        <f ca="1">E11-C11</f>
        <v>12675.408053333347</v>
      </c>
    </row>
    <row r="12" spans="2:7" s="30" customFormat="1" x14ac:dyDescent="0.2">
      <c r="B12" s="33"/>
      <c r="D12" s="307"/>
      <c r="E12" s="91"/>
    </row>
    <row r="13" spans="2:7" x14ac:dyDescent="0.2">
      <c r="B13" s="112" t="str">
        <f>'Conto Economico'!A83</f>
        <v>Spese Generali</v>
      </c>
      <c r="C13" s="113">
        <f>SUM(C14:C20)</f>
        <v>2150</v>
      </c>
      <c r="D13" s="113">
        <f ca="1">SUM(D14:D20)</f>
        <v>1301.8566666666666</v>
      </c>
      <c r="E13" s="113">
        <f>SUM(E14:E20)</f>
        <v>2150</v>
      </c>
      <c r="F13" s="373">
        <f t="shared" ref="F13:F28" si="0">E13-C13</f>
        <v>0</v>
      </c>
    </row>
    <row r="14" spans="2:7" x14ac:dyDescent="0.2">
      <c r="B14" s="35" t="str">
        <f>'Conto Economico'!A84</f>
        <v>Arredamento</v>
      </c>
      <c r="C14" s="47">
        <v>300</v>
      </c>
      <c r="D14" s="147">
        <f ca="1">Forecast!Q12</f>
        <v>150</v>
      </c>
      <c r="E14" s="47">
        <v>300</v>
      </c>
      <c r="F14" s="41">
        <f t="shared" si="0"/>
        <v>0</v>
      </c>
    </row>
    <row r="15" spans="2:7" x14ac:dyDescent="0.2">
      <c r="B15" s="35" t="str">
        <f>'Conto Economico'!A85</f>
        <v>Cinema - Giochi - Libri - Regali</v>
      </c>
      <c r="C15" s="47">
        <v>300</v>
      </c>
      <c r="D15" s="147">
        <f ca="1">Forecast!Q13</f>
        <v>224.93</v>
      </c>
      <c r="E15" s="47">
        <v>300</v>
      </c>
      <c r="F15" s="41">
        <f t="shared" si="0"/>
        <v>0</v>
      </c>
    </row>
    <row r="16" spans="2:7" x14ac:dyDescent="0.2">
      <c r="B16" s="35" t="str">
        <f>'Conto Economico'!A86</f>
        <v>Elettronica e Tecnologia</v>
      </c>
      <c r="C16" s="47">
        <v>500</v>
      </c>
      <c r="D16" s="147">
        <f ca="1">Forecast!Q14</f>
        <v>281.97999999999996</v>
      </c>
      <c r="E16" s="47">
        <v>500</v>
      </c>
      <c r="F16" s="41">
        <f t="shared" si="0"/>
        <v>0</v>
      </c>
    </row>
    <row r="17" spans="2:6" x14ac:dyDescent="0.2">
      <c r="B17" s="35" t="str">
        <f>'Conto Economico'!A87</f>
        <v>Elettrodomestici</v>
      </c>
      <c r="C17" s="47">
        <v>100</v>
      </c>
      <c r="D17" s="147">
        <f ca="1">Forecast!Q15</f>
        <v>50.000000000000007</v>
      </c>
      <c r="E17" s="47">
        <v>100</v>
      </c>
      <c r="F17" s="41">
        <f t="shared" si="0"/>
        <v>0</v>
      </c>
    </row>
    <row r="18" spans="2:6" x14ac:dyDescent="0.2">
      <c r="B18" s="35" t="str">
        <f>'Conto Economico'!A88</f>
        <v>Prodotti per la Pulizia - Detersivi</v>
      </c>
      <c r="C18" s="47">
        <v>250</v>
      </c>
      <c r="D18" s="147">
        <f ca="1">Forecast!Q16</f>
        <v>192.15666666666669</v>
      </c>
      <c r="E18" s="47">
        <v>250</v>
      </c>
      <c r="F18" s="41">
        <f t="shared" si="0"/>
        <v>0</v>
      </c>
    </row>
    <row r="19" spans="2:6" x14ac:dyDescent="0.2">
      <c r="B19" s="35" t="str">
        <f>'Conto Economico'!A89</f>
        <v>Accessori per Casa e Cucina</v>
      </c>
      <c r="C19" s="47">
        <v>400</v>
      </c>
      <c r="D19" s="147">
        <f ca="1">Forecast!Q17</f>
        <v>252.79000000000005</v>
      </c>
      <c r="E19" s="47">
        <v>400</v>
      </c>
      <c r="F19" s="41">
        <f t="shared" si="0"/>
        <v>0</v>
      </c>
    </row>
    <row r="20" spans="2:6" x14ac:dyDescent="0.2">
      <c r="B20" s="35" t="str">
        <f>'Conto Economico'!A90</f>
        <v>Accessori per Piscina e Giardino</v>
      </c>
      <c r="C20" s="47">
        <v>300</v>
      </c>
      <c r="D20" s="147">
        <f ca="1">Forecast!Q18</f>
        <v>150</v>
      </c>
      <c r="E20" s="47">
        <v>300</v>
      </c>
      <c r="F20" s="41">
        <f t="shared" si="0"/>
        <v>0</v>
      </c>
    </row>
    <row r="21" spans="2:6" x14ac:dyDescent="0.2">
      <c r="B21" s="35"/>
      <c r="C21" s="47"/>
      <c r="D21" s="164"/>
      <c r="E21" s="47"/>
      <c r="F21" s="41">
        <f t="shared" si="0"/>
        <v>0</v>
      </c>
    </row>
    <row r="22" spans="2:6" x14ac:dyDescent="0.2">
      <c r="B22" s="112" t="str">
        <f>'Conto Economico'!A92</f>
        <v>Spese Ricorrenti</v>
      </c>
      <c r="C22" s="113">
        <f>SUM(C23:C32)</f>
        <v>3320</v>
      </c>
      <c r="D22" s="113">
        <f ca="1">SUM(D23:D32)</f>
        <v>3442.4271999999996</v>
      </c>
      <c r="E22" s="113">
        <f ca="1">SUM(E23:E32)</f>
        <v>4903.9127200000003</v>
      </c>
      <c r="F22" s="373">
        <f t="shared" ca="1" si="0"/>
        <v>1583.9127200000003</v>
      </c>
    </row>
    <row r="23" spans="2:6" x14ac:dyDescent="0.2">
      <c r="B23" s="35" t="str">
        <f>'Conto Economico'!A93</f>
        <v>Luce</v>
      </c>
      <c r="C23" s="47">
        <v>1200</v>
      </c>
      <c r="D23" s="147">
        <f ca="1">Forecast!Q21</f>
        <v>1149.17</v>
      </c>
      <c r="E23" s="47">
        <v>1700</v>
      </c>
      <c r="F23" s="41">
        <f t="shared" si="0"/>
        <v>500</v>
      </c>
    </row>
    <row r="24" spans="2:6" x14ac:dyDescent="0.2">
      <c r="B24" s="35" t="str">
        <f>'Conto Economico'!A94</f>
        <v>Acqua Potabile</v>
      </c>
      <c r="C24" s="47">
        <v>500</v>
      </c>
      <c r="D24" s="147">
        <f ca="1">Forecast!Q22</f>
        <v>576.72</v>
      </c>
      <c r="E24" s="47">
        <v>300</v>
      </c>
      <c r="F24" s="41">
        <f t="shared" si="0"/>
        <v>-200</v>
      </c>
    </row>
    <row r="25" spans="2:6" x14ac:dyDescent="0.2">
      <c r="B25" s="35" t="str">
        <f>'Conto Economico'!A95</f>
        <v>Gas</v>
      </c>
      <c r="C25" s="47">
        <v>0</v>
      </c>
      <c r="D25" s="147">
        <f ca="1">Forecast!Q23</f>
        <v>0</v>
      </c>
      <c r="E25" s="47">
        <v>50</v>
      </c>
      <c r="F25" s="41">
        <f t="shared" si="0"/>
        <v>50</v>
      </c>
    </row>
    <row r="26" spans="2:6" x14ac:dyDescent="0.2">
      <c r="B26" s="35" t="str">
        <f>'Conto Economico'!A96</f>
        <v>Rifiuti</v>
      </c>
      <c r="C26" s="47">
        <v>330</v>
      </c>
      <c r="D26" s="147">
        <f ca="1">Forecast!Q24</f>
        <v>383.40000000000009</v>
      </c>
      <c r="E26" s="47">
        <v>0</v>
      </c>
      <c r="F26" s="41">
        <f t="shared" si="0"/>
        <v>-330</v>
      </c>
    </row>
    <row r="27" spans="2:6" x14ac:dyDescent="0.2">
      <c r="B27" s="35" t="str">
        <f>'Conto Economico'!A97</f>
        <v>Servizi Internet - Amazon Prime - iCloud</v>
      </c>
      <c r="C27" s="47">
        <v>150</v>
      </c>
      <c r="D27" s="147">
        <f ca="1">Forecast!Q25</f>
        <v>247.95000000000002</v>
      </c>
      <c r="E27" s="47">
        <v>295.55520000000001</v>
      </c>
      <c r="F27" s="41">
        <f t="shared" si="0"/>
        <v>145.55520000000001</v>
      </c>
    </row>
    <row r="28" spans="2:6" x14ac:dyDescent="0.2">
      <c r="B28" s="35" t="str">
        <f>'Conto Economico'!A98</f>
        <v>Editoria Digitale</v>
      </c>
      <c r="C28" s="47">
        <v>50</v>
      </c>
      <c r="D28" s="147">
        <f ca="1">Forecast!Q26</f>
        <v>25.000000000000004</v>
      </c>
      <c r="E28" s="47">
        <v>51</v>
      </c>
      <c r="F28" s="41">
        <f t="shared" si="0"/>
        <v>1</v>
      </c>
    </row>
    <row r="29" spans="2:6" x14ac:dyDescent="0.2">
      <c r="B29" s="35" t="str">
        <f>'Conto Economico'!A99</f>
        <v>Fibra Telefonica</v>
      </c>
      <c r="C29" s="47">
        <v>360</v>
      </c>
      <c r="D29" s="147">
        <f ca="1">Forecast!Q27</f>
        <v>362.90000000000003</v>
      </c>
      <c r="E29" s="47" cm="1">
        <f t="array" aca="1" ref="E29" ca="1">229*1.05*_FV(C1,"Prezzo")*12</f>
        <v>689.03352000000007</v>
      </c>
      <c r="F29" s="41"/>
    </row>
    <row r="30" spans="2:6" x14ac:dyDescent="0.2">
      <c r="B30" s="35" t="str">
        <f>'Conto Economico'!A100</f>
        <v>Telefonia Cellulare</v>
      </c>
      <c r="C30" s="47">
        <v>250</v>
      </c>
      <c r="D30" s="147">
        <f ca="1">Forecast!Q28</f>
        <v>322.10719999999998</v>
      </c>
      <c r="E30" s="47" cm="1">
        <f t="array" aca="1" ref="E30" ca="1">(195+125*2)*_FV(C1,"Prezzo")*6+(260+125*2)*_FV(C1,"Prezzo")*6</f>
        <v>1368.3240000000001</v>
      </c>
      <c r="F30" s="41">
        <f t="shared" ref="F30:F42" ca="1" si="1">E30-C30</f>
        <v>1118.3240000000001</v>
      </c>
    </row>
    <row r="31" spans="2:6" x14ac:dyDescent="0.2">
      <c r="B31" s="35" t="str">
        <f>'Conto Economico'!A101</f>
        <v>Streaming TV</v>
      </c>
      <c r="C31" s="47">
        <v>430</v>
      </c>
      <c r="D31" s="147">
        <f ca="1">Forecast!Q29</f>
        <v>350.18</v>
      </c>
      <c r="E31" s="47">
        <v>450</v>
      </c>
      <c r="F31" s="41">
        <f t="shared" si="1"/>
        <v>20</v>
      </c>
    </row>
    <row r="32" spans="2:6" x14ac:dyDescent="0.2">
      <c r="B32" s="35" t="str">
        <f>'Conto Economico'!A102</f>
        <v>Streaming Audio</v>
      </c>
      <c r="C32" s="47">
        <v>50</v>
      </c>
      <c r="D32" s="147">
        <f ca="1">Forecast!Q30</f>
        <v>25.000000000000004</v>
      </c>
      <c r="E32" s="47">
        <v>0</v>
      </c>
      <c r="F32" s="41">
        <f t="shared" si="1"/>
        <v>-50</v>
      </c>
    </row>
    <row r="33" spans="2:7" x14ac:dyDescent="0.2">
      <c r="B33" s="35"/>
      <c r="C33" s="47"/>
      <c r="D33" s="164"/>
      <c r="E33" s="47"/>
      <c r="F33" s="41">
        <f t="shared" si="1"/>
        <v>0</v>
      </c>
    </row>
    <row r="34" spans="2:7" x14ac:dyDescent="0.2">
      <c r="B34" s="112" t="str">
        <f>'Conto Economico'!A104</f>
        <v>Spese Alimentari</v>
      </c>
      <c r="C34" s="113">
        <f>SUM(C35:C37)</f>
        <v>14300</v>
      </c>
      <c r="D34" s="113">
        <f ca="1">SUM(D35:D37)</f>
        <v>12657.619523809522</v>
      </c>
      <c r="E34" s="113">
        <f>SUM(E35:E37)</f>
        <v>14800</v>
      </c>
      <c r="F34" s="373">
        <f t="shared" si="1"/>
        <v>500</v>
      </c>
    </row>
    <row r="35" spans="2:7" x14ac:dyDescent="0.2">
      <c r="B35" s="35" t="str">
        <f>'Conto Economico'!A105</f>
        <v>Alimentari</v>
      </c>
      <c r="C35" s="47">
        <v>8800</v>
      </c>
      <c r="D35" s="147">
        <f ca="1">Forecast!Q33</f>
        <v>8003.0566666666655</v>
      </c>
      <c r="E35" s="47">
        <v>9000</v>
      </c>
      <c r="F35" s="41">
        <f t="shared" si="1"/>
        <v>200</v>
      </c>
    </row>
    <row r="36" spans="2:7" x14ac:dyDescent="0.2">
      <c r="B36" s="35" t="str">
        <f>'Conto Economico'!A106</f>
        <v>Colazioni - Bar - Aperitivi - Gelateria</v>
      </c>
      <c r="C36" s="47">
        <v>1000</v>
      </c>
      <c r="D36" s="147">
        <f ca="1">Forecast!Q34</f>
        <v>1000.9028571428573</v>
      </c>
      <c r="E36" s="47">
        <v>1200</v>
      </c>
      <c r="F36" s="41">
        <f t="shared" si="1"/>
        <v>200</v>
      </c>
    </row>
    <row r="37" spans="2:7" x14ac:dyDescent="0.2">
      <c r="B37" s="35" t="str">
        <f>'Conto Economico'!A107</f>
        <v>Ristorazione</v>
      </c>
      <c r="C37" s="47">
        <v>4500</v>
      </c>
      <c r="D37" s="147">
        <f ca="1">Forecast!Q35</f>
        <v>3653.6600000000003</v>
      </c>
      <c r="E37" s="47">
        <v>4600</v>
      </c>
      <c r="F37" s="41">
        <f t="shared" si="1"/>
        <v>100</v>
      </c>
    </row>
    <row r="38" spans="2:7" x14ac:dyDescent="0.2">
      <c r="B38" s="35"/>
      <c r="C38" s="47"/>
      <c r="D38" s="164"/>
      <c r="E38" s="47"/>
      <c r="F38" s="41">
        <f t="shared" si="1"/>
        <v>0</v>
      </c>
    </row>
    <row r="39" spans="2:7" x14ac:dyDescent="0.2">
      <c r="B39" s="112" t="str">
        <f>'Conto Economico'!A109</f>
        <v>Manutenzioni</v>
      </c>
      <c r="C39" s="113">
        <f>SUM(C40:C42)</f>
        <v>2300</v>
      </c>
      <c r="D39" s="113">
        <f ca="1">SUM(D40:D42)</f>
        <v>2329.27</v>
      </c>
      <c r="E39" s="113">
        <f ca="1">SUM(E40:E42)</f>
        <v>3861.3960000000002</v>
      </c>
      <c r="F39" s="373">
        <f t="shared" ca="1" si="1"/>
        <v>1561.3960000000002</v>
      </c>
    </row>
    <row r="40" spans="2:7" x14ac:dyDescent="0.2">
      <c r="B40" s="35" t="str">
        <f>'Conto Economico'!A110</f>
        <v>Manutenzione Immobile</v>
      </c>
      <c r="C40" s="47">
        <v>1500</v>
      </c>
      <c r="D40" s="147">
        <f ca="1">Forecast!Q38</f>
        <v>1860.1799999999998</v>
      </c>
      <c r="E40" s="47" cm="1">
        <f t="array" aca="1" ref="E40" ca="1">14*1100*_FV(C1,"Prezzo")*1.05</f>
        <v>3861.3960000000002</v>
      </c>
      <c r="F40" s="41">
        <f t="shared" ca="1" si="1"/>
        <v>2361.3960000000002</v>
      </c>
      <c r="G40" s="25" t="s">
        <v>975</v>
      </c>
    </row>
    <row r="41" spans="2:7" x14ac:dyDescent="0.2">
      <c r="B41" s="35" t="str">
        <f>'Conto Economico'!A111</f>
        <v>Manutenzione del Giardino</v>
      </c>
      <c r="C41" s="47">
        <v>500</v>
      </c>
      <c r="D41" s="147">
        <f ca="1">Forecast!Q39</f>
        <v>302.17</v>
      </c>
      <c r="E41" s="47"/>
      <c r="F41" s="41">
        <f t="shared" si="1"/>
        <v>-500</v>
      </c>
    </row>
    <row r="42" spans="2:7" x14ac:dyDescent="0.2">
      <c r="B42" s="35" t="str">
        <f>'Conto Economico'!A112</f>
        <v>Manutenzione Piscina</v>
      </c>
      <c r="C42" s="47">
        <v>300</v>
      </c>
      <c r="D42" s="147">
        <f ca="1">Forecast!Q40</f>
        <v>166.92000000000002</v>
      </c>
      <c r="E42" s="47"/>
      <c r="F42" s="41">
        <f t="shared" si="1"/>
        <v>-300</v>
      </c>
    </row>
    <row r="43" spans="2:7" x14ac:dyDescent="0.2">
      <c r="B43" s="35"/>
      <c r="C43" s="47"/>
      <c r="D43" s="164"/>
      <c r="E43" s="47"/>
      <c r="F43" s="41"/>
    </row>
    <row r="44" spans="2:7" x14ac:dyDescent="0.2">
      <c r="B44" s="112" t="str">
        <f>'Conto Economico'!A114</f>
        <v>Educazione Emma</v>
      </c>
      <c r="C44" s="113">
        <f>SUM(C45)</f>
        <v>6500</v>
      </c>
      <c r="D44" s="113">
        <f ca="1">SUM(D45)</f>
        <v>25831.576400000002</v>
      </c>
      <c r="E44" s="113">
        <f ca="1">SUM(E45)</f>
        <v>22553.466</v>
      </c>
      <c r="F44" s="373">
        <f ca="1">E44-C44</f>
        <v>16053.466</v>
      </c>
    </row>
    <row r="45" spans="2:7" x14ac:dyDescent="0.2">
      <c r="B45" s="35" t="str">
        <f>'Conto Economico'!A115</f>
        <v>Istruzione e Corsi</v>
      </c>
      <c r="C45" s="47">
        <v>6500</v>
      </c>
      <c r="D45" s="147" cm="1">
        <f t="array" aca="1" ref="D45" ca="1">80953*_FV(C1,"Prezzo")+6500</f>
        <v>25831.576400000002</v>
      </c>
      <c r="E45" s="343" cm="1">
        <f t="array" aca="1" ref="E45" ca="1">94445*_FV(C1,"Prezzo")</f>
        <v>22553.466</v>
      </c>
      <c r="F45" s="41">
        <f ca="1">E45-C45</f>
        <v>16053.466</v>
      </c>
      <c r="G45" s="343"/>
    </row>
    <row r="46" spans="2:7" x14ac:dyDescent="0.2">
      <c r="B46" s="35"/>
      <c r="C46" s="47"/>
      <c r="D46" s="164"/>
      <c r="E46" s="47"/>
      <c r="F46" s="41">
        <f>E46-C46</f>
        <v>0</v>
      </c>
    </row>
    <row r="47" spans="2:7" x14ac:dyDescent="0.2">
      <c r="B47" s="112" t="str">
        <f>'Conto Economico'!A117</f>
        <v>Viaggi</v>
      </c>
      <c r="C47" s="113">
        <f>SUM(C48:C58)</f>
        <v>8000</v>
      </c>
      <c r="D47" s="113">
        <f ca="1">Forecast!Q45</f>
        <v>1486.9555351681954</v>
      </c>
      <c r="E47" s="113">
        <f>SUM(E48:E58)</f>
        <v>8000</v>
      </c>
      <c r="F47" s="373">
        <f>E47-C47</f>
        <v>0</v>
      </c>
    </row>
    <row r="48" spans="2:7" x14ac:dyDescent="0.2">
      <c r="B48" s="35" t="str">
        <f>'Conto Economico'!A118</f>
        <v>V - Trasporto Aereo</v>
      </c>
      <c r="C48" s="47"/>
      <c r="D48" s="47"/>
      <c r="E48" s="47"/>
      <c r="F48" s="41"/>
    </row>
    <row r="49" spans="2:7" x14ac:dyDescent="0.2">
      <c r="B49" s="35" t="str">
        <f>'Conto Economico'!A119</f>
        <v>V - Automobile a noleggio</v>
      </c>
      <c r="C49" s="47"/>
      <c r="D49" s="47"/>
      <c r="E49" s="47"/>
      <c r="F49" s="41"/>
    </row>
    <row r="50" spans="2:7" x14ac:dyDescent="0.2">
      <c r="B50" s="35" t="str">
        <f>'Conto Economico'!A120</f>
        <v>V - Carburante</v>
      </c>
      <c r="C50" s="47"/>
      <c r="D50" s="47"/>
      <c r="E50" s="47"/>
      <c r="F50" s="41"/>
    </row>
    <row r="51" spans="2:7" x14ac:dyDescent="0.2">
      <c r="B51" s="35" t="str">
        <f>'Conto Economico'!A121</f>
        <v>V - Altri Trasporti - Parcheggio</v>
      </c>
      <c r="C51" s="47"/>
      <c r="D51" s="47"/>
      <c r="E51" s="47"/>
      <c r="F51" s="41"/>
    </row>
    <row r="52" spans="2:7" x14ac:dyDescent="0.2">
      <c r="B52" s="35" t="str">
        <f>'Conto Economico'!A122</f>
        <v>V - Assicurazione di Viaggio</v>
      </c>
      <c r="C52" s="47"/>
      <c r="D52" s="47"/>
      <c r="E52" s="47"/>
      <c r="F52" s="41"/>
    </row>
    <row r="53" spans="2:7" x14ac:dyDescent="0.2">
      <c r="B53" s="35" t="str">
        <f>'Conto Economico'!A123</f>
        <v>V - Alloggio</v>
      </c>
      <c r="C53" s="47"/>
      <c r="D53" s="47"/>
      <c r="E53" s="47"/>
      <c r="F53" s="41"/>
    </row>
    <row r="54" spans="2:7" x14ac:dyDescent="0.2">
      <c r="B54" s="35" t="str">
        <f>'Conto Economico'!A124</f>
        <v>V - Alimentari/Ristorazione</v>
      </c>
      <c r="C54" s="47"/>
      <c r="D54" s="47"/>
      <c r="E54" s="47"/>
      <c r="F54" s="41"/>
    </row>
    <row r="55" spans="2:7" x14ac:dyDescent="0.2">
      <c r="B55" s="35" t="str">
        <f>'Conto Economico'!A125</f>
        <v>V - Musei - Parchi - Siti di Interesse</v>
      </c>
      <c r="C55" s="47"/>
      <c r="D55" s="47"/>
      <c r="E55" s="47"/>
      <c r="F55" s="41"/>
    </row>
    <row r="56" spans="2:7" x14ac:dyDescent="0.2">
      <c r="B56" s="35" t="str">
        <f>'Conto Economico'!A126</f>
        <v>V - Spese di Alloggio per Animali</v>
      </c>
      <c r="C56" s="47"/>
      <c r="D56" s="47"/>
      <c r="E56" s="47"/>
      <c r="F56" s="41"/>
    </row>
    <row r="57" spans="2:7" x14ac:dyDescent="0.2">
      <c r="B57" s="35" t="str">
        <f>'Conto Economico'!A127</f>
        <v>V - Parcheggio Aeroporto</v>
      </c>
      <c r="C57" s="47"/>
      <c r="D57" s="47"/>
      <c r="E57" s="47"/>
      <c r="F57" s="41"/>
    </row>
    <row r="58" spans="2:7" x14ac:dyDescent="0.2">
      <c r="B58" s="35" t="str">
        <f>'Conto Economico'!A128</f>
        <v>V - Altre Spese di Viaggio</v>
      </c>
      <c r="C58" s="47">
        <v>8000</v>
      </c>
      <c r="D58" s="147">
        <f ca="1">D47</f>
        <v>1486.9555351681954</v>
      </c>
      <c r="E58" s="343">
        <v>8000</v>
      </c>
      <c r="F58" s="41">
        <f t="shared" ref="F58:F89" si="2">E58-C58</f>
        <v>0</v>
      </c>
    </row>
    <row r="59" spans="2:7" x14ac:dyDescent="0.2">
      <c r="C59" s="47"/>
      <c r="D59" s="47"/>
      <c r="E59" s="47"/>
      <c r="F59" s="41">
        <f t="shared" si="2"/>
        <v>0</v>
      </c>
    </row>
    <row r="60" spans="2:7" x14ac:dyDescent="0.2">
      <c r="B60" s="112" t="str">
        <f>'Conto Economico'!A196</f>
        <v>Auto e Trasporti</v>
      </c>
      <c r="C60" s="113">
        <f ca="1">SUM(C61:C68)</f>
        <v>3898.4</v>
      </c>
      <c r="D60" s="113">
        <f ca="1">SUM(D61:D68)</f>
        <v>6659.03</v>
      </c>
      <c r="E60" s="113">
        <f ca="1">SUM(E61:E68)</f>
        <v>2481.4</v>
      </c>
      <c r="F60" s="373">
        <f t="shared" ca="1" si="2"/>
        <v>-1417</v>
      </c>
    </row>
    <row r="61" spans="2:7" x14ac:dyDescent="0.2">
      <c r="B61" s="35" t="str">
        <f>'Conto Economico'!A197</f>
        <v xml:space="preserve">Assicurazione </v>
      </c>
      <c r="C61" s="47" cm="1">
        <f t="array" aca="1" ref="C61" ca="1">460+3000*_FV(C1,"Prezzo")</f>
        <v>1176.4000000000001</v>
      </c>
      <c r="D61" s="47">
        <f ca="1">Forecast!Q59</f>
        <v>3624.4599999999991</v>
      </c>
      <c r="E61" s="47" cm="1">
        <f t="array" aca="1" ref="E61" ca="1">3000*_FV(C1,"Prezzo")</f>
        <v>716.40000000000009</v>
      </c>
      <c r="F61" s="41">
        <f t="shared" ca="1" si="2"/>
        <v>-460</v>
      </c>
    </row>
    <row r="62" spans="2:7" x14ac:dyDescent="0.2">
      <c r="B62" s="35" t="str">
        <f>'Conto Economico'!A198</f>
        <v xml:space="preserve">Carburante </v>
      </c>
      <c r="C62" s="47">
        <v>1800</v>
      </c>
      <c r="D62" s="47">
        <f ca="1">Forecast!Q60</f>
        <v>1971.5999999999997</v>
      </c>
      <c r="E62" s="47">
        <f>60*12</f>
        <v>720</v>
      </c>
      <c r="F62" s="41">
        <f t="shared" si="2"/>
        <v>-1080</v>
      </c>
    </row>
    <row r="63" spans="2:7" x14ac:dyDescent="0.2">
      <c r="B63" s="35" t="str">
        <f>'Conto Economico'!A199</f>
        <v>Tassa di circolazione</v>
      </c>
      <c r="C63" s="47">
        <v>170</v>
      </c>
      <c r="D63" s="47">
        <f ca="1">Forecast!Q61</f>
        <v>189.60000000000002</v>
      </c>
      <c r="E63" s="47">
        <v>100</v>
      </c>
      <c r="F63" s="41">
        <f t="shared" si="2"/>
        <v>-70</v>
      </c>
      <c r="G63" s="25" t="s">
        <v>976</v>
      </c>
    </row>
    <row r="64" spans="2:7" x14ac:dyDescent="0.2">
      <c r="B64" s="35" t="str">
        <f>'Conto Economico'!A200</f>
        <v>ITV</v>
      </c>
      <c r="C64" s="47">
        <v>36</v>
      </c>
      <c r="D64" s="47">
        <f ca="1">Forecast!Q62</f>
        <v>18</v>
      </c>
      <c r="E64" s="47">
        <v>45</v>
      </c>
      <c r="F64" s="41">
        <f t="shared" si="2"/>
        <v>9</v>
      </c>
      <c r="G64" s="25" t="s">
        <v>977</v>
      </c>
    </row>
    <row r="65" spans="2:6" x14ac:dyDescent="0.2">
      <c r="B65" s="35" t="str">
        <f>'Conto Economico'!A201</f>
        <v>Silik</v>
      </c>
      <c r="C65" s="47">
        <v>36</v>
      </c>
      <c r="D65" s="47">
        <f ca="1">Forecast!Q63</f>
        <v>18</v>
      </c>
      <c r="E65" s="47">
        <v>100</v>
      </c>
      <c r="F65" s="41">
        <f t="shared" ref="F65" si="3">E65-C65</f>
        <v>64</v>
      </c>
    </row>
    <row r="66" spans="2:6" x14ac:dyDescent="0.2">
      <c r="B66" s="35" t="str">
        <f>'Conto Economico'!A202</f>
        <v>Manutenzione Auto</v>
      </c>
      <c r="C66" s="47">
        <v>500</v>
      </c>
      <c r="D66" s="47">
        <f ca="1">Forecast!Q64</f>
        <v>710.92000000000007</v>
      </c>
      <c r="E66" s="47">
        <v>300</v>
      </c>
      <c r="F66" s="41">
        <f t="shared" si="2"/>
        <v>-200</v>
      </c>
    </row>
    <row r="67" spans="2:6" x14ac:dyDescent="0.2">
      <c r="B67" s="35" t="str">
        <f>'Conto Economico'!A203</f>
        <v>Trasporti pubblici</v>
      </c>
      <c r="C67" s="47">
        <v>30</v>
      </c>
      <c r="D67" s="47">
        <f ca="1">Forecast!Q65</f>
        <v>19.600000000000001</v>
      </c>
      <c r="E67" s="47">
        <v>200</v>
      </c>
      <c r="F67" s="41">
        <f t="shared" si="2"/>
        <v>170</v>
      </c>
    </row>
    <row r="68" spans="2:6" x14ac:dyDescent="0.2">
      <c r="B68" s="35" t="str">
        <f>'Conto Economico'!A204</f>
        <v>Parcheggio</v>
      </c>
      <c r="C68" s="47">
        <v>150</v>
      </c>
      <c r="D68" s="47">
        <f ca="1">Forecast!Q66</f>
        <v>106.85</v>
      </c>
      <c r="E68" s="47">
        <v>300</v>
      </c>
      <c r="F68" s="41">
        <f t="shared" si="2"/>
        <v>150</v>
      </c>
    </row>
    <row r="69" spans="2:6" x14ac:dyDescent="0.2">
      <c r="B69" s="35"/>
      <c r="C69" s="47"/>
      <c r="D69" s="47"/>
      <c r="E69" s="47"/>
      <c r="F69" s="41">
        <f t="shared" si="2"/>
        <v>0</v>
      </c>
    </row>
    <row r="70" spans="2:6" x14ac:dyDescent="0.2">
      <c r="B70" s="112" t="str">
        <f>'Conto Economico'!A206</f>
        <v>Assicurazioni</v>
      </c>
      <c r="C70" s="113">
        <f>SUM(C71:C73)</f>
        <v>13650</v>
      </c>
      <c r="D70" s="113">
        <f ca="1">SUM(D71:D73)</f>
        <v>8217.9066666666658</v>
      </c>
      <c r="E70" s="113">
        <f>SUM(E71:E73)</f>
        <v>12500</v>
      </c>
      <c r="F70" s="373">
        <f t="shared" si="2"/>
        <v>-1150</v>
      </c>
    </row>
    <row r="71" spans="2:6" x14ac:dyDescent="0.2">
      <c r="B71" s="35" t="str">
        <f>'Conto Economico'!A207</f>
        <v>Polizza Vita</v>
      </c>
      <c r="C71" s="47">
        <v>200</v>
      </c>
      <c r="D71" s="47">
        <f ca="1">Forecast!Q69</f>
        <v>100.00000000000001</v>
      </c>
      <c r="E71" s="47">
        <v>0</v>
      </c>
      <c r="F71" s="41">
        <f t="shared" si="2"/>
        <v>-200</v>
      </c>
    </row>
    <row r="72" spans="2:6" x14ac:dyDescent="0.2">
      <c r="B72" s="35" t="str">
        <f>'Conto Economico'!A208</f>
        <v>Polizza Salute</v>
      </c>
      <c r="C72" s="47">
        <v>12700</v>
      </c>
      <c r="D72" s="47">
        <f ca="1">Forecast!Q70</f>
        <v>7282.9166666666652</v>
      </c>
      <c r="E72" s="343">
        <v>12000</v>
      </c>
      <c r="F72" s="41">
        <f t="shared" si="2"/>
        <v>-700</v>
      </c>
    </row>
    <row r="73" spans="2:6" x14ac:dyDescent="0.2">
      <c r="B73" s="35" t="str">
        <f>'Conto Economico'!A209</f>
        <v>Polizza Casa</v>
      </c>
      <c r="C73" s="47">
        <v>750</v>
      </c>
      <c r="D73" s="47">
        <f ca="1">Forecast!Q71</f>
        <v>834.99</v>
      </c>
      <c r="E73" s="47">
        <v>500</v>
      </c>
      <c r="F73" s="41">
        <f t="shared" si="2"/>
        <v>-250</v>
      </c>
    </row>
    <row r="74" spans="2:6" x14ac:dyDescent="0.2">
      <c r="B74" s="35"/>
      <c r="C74" s="47"/>
      <c r="D74" s="47"/>
      <c r="E74" s="47"/>
      <c r="F74" s="41">
        <f t="shared" si="2"/>
        <v>0</v>
      </c>
    </row>
    <row r="75" spans="2:6" x14ac:dyDescent="0.2">
      <c r="B75" s="112" t="str">
        <f>'Conto Economico'!A211</f>
        <v>Attività sportive</v>
      </c>
      <c r="C75" s="113">
        <f>SUM(C76:C80)</f>
        <v>1800</v>
      </c>
      <c r="D75" s="113">
        <f ca="1">SUM(D76:D80)</f>
        <v>2493.9</v>
      </c>
      <c r="E75" s="113">
        <f>SUM(E76:E80)</f>
        <v>302</v>
      </c>
      <c r="F75" s="373">
        <f t="shared" si="2"/>
        <v>-1498</v>
      </c>
    </row>
    <row r="76" spans="2:6" x14ac:dyDescent="0.2">
      <c r="B76" s="35" t="str">
        <f>'Conto Economico'!A212</f>
        <v>Nautica</v>
      </c>
      <c r="C76" s="47">
        <v>0</v>
      </c>
      <c r="D76" s="47">
        <f ca="1">Forecast!Q74</f>
        <v>0</v>
      </c>
      <c r="E76" s="47"/>
      <c r="F76" s="41">
        <f t="shared" si="2"/>
        <v>0</v>
      </c>
    </row>
    <row r="77" spans="2:6" x14ac:dyDescent="0.2">
      <c r="B77" s="35" t="str">
        <f>'Conto Economico'!A213</f>
        <v>Fitness</v>
      </c>
      <c r="C77" s="47">
        <v>1500</v>
      </c>
      <c r="D77" s="47">
        <f ca="1">Forecast!Q75</f>
        <v>2282.5</v>
      </c>
      <c r="E77" s="343"/>
      <c r="F77" s="41">
        <f t="shared" si="2"/>
        <v>-1500</v>
      </c>
    </row>
    <row r="78" spans="2:6" x14ac:dyDescent="0.2">
      <c r="B78" s="35" t="str">
        <f>'Conto Economico'!A214</f>
        <v>Lingue Straniere</v>
      </c>
      <c r="C78" s="47">
        <v>100</v>
      </c>
      <c r="D78" s="47">
        <f ca="1">Forecast!Q76</f>
        <v>97.399999999999977</v>
      </c>
      <c r="E78" s="47">
        <v>102</v>
      </c>
      <c r="F78" s="41">
        <f t="shared" si="2"/>
        <v>2</v>
      </c>
    </row>
    <row r="79" spans="2:6" x14ac:dyDescent="0.2">
      <c r="B79" s="35" t="str">
        <f>'Conto Economico'!A215</f>
        <v>Altri Corsi</v>
      </c>
      <c r="C79" s="47">
        <v>0</v>
      </c>
      <c r="D79" s="47">
        <f ca="1">Forecast!Q77</f>
        <v>0</v>
      </c>
      <c r="E79" s="47">
        <v>0</v>
      </c>
      <c r="F79" s="41">
        <f t="shared" si="2"/>
        <v>0</v>
      </c>
    </row>
    <row r="80" spans="2:6" x14ac:dyDescent="0.2">
      <c r="B80" s="35" t="str">
        <f>'Conto Economico'!A216</f>
        <v>Attività Spot</v>
      </c>
      <c r="C80" s="47">
        <v>200</v>
      </c>
      <c r="D80" s="47">
        <f ca="1">Forecast!Q78</f>
        <v>114.00000000000001</v>
      </c>
      <c r="E80" s="47">
        <v>200</v>
      </c>
      <c r="F80" s="41">
        <f t="shared" si="2"/>
        <v>0</v>
      </c>
    </row>
    <row r="81" spans="2:6" x14ac:dyDescent="0.2">
      <c r="B81" s="35"/>
      <c r="C81" s="47"/>
      <c r="D81" s="304"/>
      <c r="E81" s="47"/>
      <c r="F81" s="41">
        <f t="shared" si="2"/>
        <v>0</v>
      </c>
    </row>
    <row r="82" spans="2:6" x14ac:dyDescent="0.2">
      <c r="B82" s="112" t="str">
        <f>'Conto Economico'!A218</f>
        <v>Spese Personali</v>
      </c>
      <c r="C82" s="113">
        <f>SUM(C83:C87)</f>
        <v>6750</v>
      </c>
      <c r="D82" s="113">
        <f ca="1">SUM(D83:D87)</f>
        <v>8460.7666666666664</v>
      </c>
      <c r="E82" s="113">
        <f>SUM(E83:E87)</f>
        <v>6700</v>
      </c>
      <c r="F82" s="373">
        <f t="shared" si="2"/>
        <v>-50</v>
      </c>
    </row>
    <row r="83" spans="2:6" x14ac:dyDescent="0.2">
      <c r="B83" s="35" t="str">
        <f>'Conto Economico'!A219</f>
        <v>Abbigliamento e Accessori</v>
      </c>
      <c r="C83" s="47">
        <v>3300</v>
      </c>
      <c r="D83" s="47">
        <f ca="1">Forecast!Q81</f>
        <v>2942.16</v>
      </c>
      <c r="E83" s="47">
        <v>3000</v>
      </c>
      <c r="F83" s="41">
        <f t="shared" si="2"/>
        <v>-300</v>
      </c>
    </row>
    <row r="84" spans="2:6" x14ac:dyDescent="0.2">
      <c r="B84" s="35" t="str">
        <f>'Conto Economico'!A220</f>
        <v>Abbigliamento Sportivo e Accessori</v>
      </c>
      <c r="C84" s="47">
        <v>150</v>
      </c>
      <c r="D84" s="47">
        <f ca="1">Forecast!Q82</f>
        <v>455</v>
      </c>
      <c r="E84" s="47">
        <v>200</v>
      </c>
      <c r="F84" s="41">
        <f t="shared" si="2"/>
        <v>50</v>
      </c>
    </row>
    <row r="85" spans="2:6" x14ac:dyDescent="0.2">
      <c r="B85" s="35" t="str">
        <f>'Conto Economico'!A221</f>
        <v>Prodotti per la Cura della Persona</v>
      </c>
      <c r="C85" s="47">
        <v>1100</v>
      </c>
      <c r="D85" s="47">
        <f ca="1">Forecast!Q83</f>
        <v>954.94999999999993</v>
      </c>
      <c r="E85" s="47">
        <v>1100</v>
      </c>
      <c r="F85" s="41">
        <f t="shared" si="2"/>
        <v>0</v>
      </c>
    </row>
    <row r="86" spans="2:6" x14ac:dyDescent="0.2">
      <c r="B86" s="35" t="str">
        <f>'Conto Economico'!A222</f>
        <v>Parrucchiera/e</v>
      </c>
      <c r="C86" s="47">
        <v>1600</v>
      </c>
      <c r="D86" s="47">
        <f ca="1">Forecast!Q84</f>
        <v>1546.6666666666665</v>
      </c>
      <c r="E86" s="47">
        <v>1800</v>
      </c>
      <c r="F86" s="41">
        <f t="shared" si="2"/>
        <v>200</v>
      </c>
    </row>
    <row r="87" spans="2:6" x14ac:dyDescent="0.2">
      <c r="B87" s="35" t="str">
        <f>'Conto Economico'!A223</f>
        <v>Estetista</v>
      </c>
      <c r="C87" s="47">
        <v>600</v>
      </c>
      <c r="D87" s="47">
        <f ca="1">Forecast!Q85</f>
        <v>2561.9899999999998</v>
      </c>
      <c r="E87" s="47">
        <v>600</v>
      </c>
      <c r="F87" s="41">
        <f t="shared" si="2"/>
        <v>0</v>
      </c>
    </row>
    <row r="88" spans="2:6" x14ac:dyDescent="0.2">
      <c r="B88" s="35"/>
      <c r="C88" s="47"/>
      <c r="D88" s="47"/>
      <c r="E88" s="47"/>
      <c r="F88" s="41">
        <f t="shared" si="2"/>
        <v>0</v>
      </c>
    </row>
    <row r="89" spans="2:6" x14ac:dyDescent="0.2">
      <c r="B89" s="112" t="str">
        <f>'Conto Economico'!A225</f>
        <v>Cure mediche</v>
      </c>
      <c r="C89" s="113">
        <f>SUM(C90:C93)</f>
        <v>1250</v>
      </c>
      <c r="D89" s="113">
        <f ca="1">SUM(D90:D93)</f>
        <v>1585.6799999999998</v>
      </c>
      <c r="E89" s="113">
        <f>SUM(E90:E93)</f>
        <v>1500</v>
      </c>
      <c r="F89" s="373">
        <f t="shared" si="2"/>
        <v>250</v>
      </c>
    </row>
    <row r="90" spans="2:6" x14ac:dyDescent="0.2">
      <c r="B90" s="35" t="str">
        <f>'Conto Economico'!A226</f>
        <v>Cure mediche extra ass.</v>
      </c>
      <c r="C90" s="47">
        <v>100</v>
      </c>
      <c r="D90" s="47">
        <f ca="1">Forecast!Q88</f>
        <v>50.000000000000007</v>
      </c>
      <c r="E90" s="47">
        <v>200</v>
      </c>
      <c r="F90" s="41">
        <f t="shared" ref="F90:F117" si="4">E90-C90</f>
        <v>100</v>
      </c>
    </row>
    <row r="91" spans="2:6" x14ac:dyDescent="0.2">
      <c r="B91" s="35" t="str">
        <f>'Conto Economico'!A227</f>
        <v>Medicinali - Test Covid - Integratori</v>
      </c>
      <c r="C91" s="47">
        <v>700</v>
      </c>
      <c r="D91" s="47">
        <f ca="1">Forecast!Q89</f>
        <v>970.68</v>
      </c>
      <c r="E91" s="47">
        <v>700</v>
      </c>
      <c r="F91" s="41">
        <f t="shared" si="4"/>
        <v>0</v>
      </c>
    </row>
    <row r="92" spans="2:6" x14ac:dyDescent="0.2">
      <c r="B92" s="35" t="str">
        <f>'Conto Economico'!A228</f>
        <v>Dentista</v>
      </c>
      <c r="C92" s="47">
        <v>300</v>
      </c>
      <c r="D92" s="47">
        <f ca="1">Forecast!Q90</f>
        <v>150</v>
      </c>
      <c r="E92" s="47">
        <v>500</v>
      </c>
      <c r="F92" s="41">
        <f t="shared" si="4"/>
        <v>200</v>
      </c>
    </row>
    <row r="93" spans="2:6" x14ac:dyDescent="0.2">
      <c r="B93" s="35" t="str">
        <f>'Conto Economico'!A229</f>
        <v>Oculista - Occhiali</v>
      </c>
      <c r="C93" s="47">
        <v>150</v>
      </c>
      <c r="D93" s="47">
        <f ca="1">Forecast!Q91</f>
        <v>415</v>
      </c>
      <c r="E93" s="47">
        <v>100</v>
      </c>
      <c r="F93" s="41">
        <f t="shared" si="4"/>
        <v>-50</v>
      </c>
    </row>
    <row r="94" spans="2:6" x14ac:dyDescent="0.2">
      <c r="B94" s="35"/>
      <c r="C94" s="47"/>
      <c r="D94" s="47"/>
      <c r="E94" s="47"/>
      <c r="F94" s="41">
        <f t="shared" si="4"/>
        <v>0</v>
      </c>
    </row>
    <row r="95" spans="2:6" x14ac:dyDescent="0.2">
      <c r="B95" s="112" t="str">
        <f>'Conto Economico'!A231</f>
        <v>Imposte Spagna</v>
      </c>
      <c r="C95" s="113">
        <f>SUM(C96:C98)</f>
        <v>1525</v>
      </c>
      <c r="D95" s="113">
        <f ca="1">SUM(D96:D98)</f>
        <v>3287.0599999999995</v>
      </c>
      <c r="E95" s="113">
        <f>SUM(E96:E98)</f>
        <v>0</v>
      </c>
      <c r="F95" s="373">
        <f t="shared" si="4"/>
        <v>-1525</v>
      </c>
    </row>
    <row r="96" spans="2:6" x14ac:dyDescent="0.2">
      <c r="B96" s="114" t="str">
        <f>'Conto Economico'!A232</f>
        <v>IBI</v>
      </c>
      <c r="C96" s="47">
        <v>1500</v>
      </c>
      <c r="D96" s="47">
        <f ca="1">Forecast!Q94</f>
        <v>3212.4599999999996</v>
      </c>
      <c r="E96" s="115"/>
      <c r="F96" s="41">
        <f t="shared" si="4"/>
        <v>-1500</v>
      </c>
    </row>
    <row r="97" spans="2:6" x14ac:dyDescent="0.2">
      <c r="B97" s="35" t="str">
        <f>'Conto Economico'!A233</f>
        <v>Imposte Spagna</v>
      </c>
      <c r="C97" s="47">
        <v>25</v>
      </c>
      <c r="D97" s="47">
        <f ca="1">Forecast!Q95</f>
        <v>74.599999999999994</v>
      </c>
      <c r="E97" s="47">
        <v>0</v>
      </c>
      <c r="F97" s="41">
        <f t="shared" si="4"/>
        <v>-25</v>
      </c>
    </row>
    <row r="98" spans="2:6" x14ac:dyDescent="0.2">
      <c r="B98" s="35" t="str">
        <f>'Conto Economico'!A234</f>
        <v>Commercialista Spagna</v>
      </c>
      <c r="C98" s="47">
        <v>0</v>
      </c>
      <c r="D98" s="47">
        <f ca="1">Forecast!Q96</f>
        <v>0</v>
      </c>
      <c r="E98" s="343">
        <v>0</v>
      </c>
      <c r="F98" s="41">
        <f t="shared" si="4"/>
        <v>0</v>
      </c>
    </row>
    <row r="99" spans="2:6" x14ac:dyDescent="0.2">
      <c r="B99" s="37"/>
      <c r="C99" s="81"/>
      <c r="D99" s="81"/>
      <c r="E99" s="81"/>
      <c r="F99" s="41">
        <f t="shared" si="4"/>
        <v>0</v>
      </c>
    </row>
    <row r="100" spans="2:6" x14ac:dyDescent="0.2">
      <c r="B100" s="112" t="str">
        <f>'Conto Economico'!A236</f>
        <v>Imposte Italia</v>
      </c>
      <c r="C100" s="113">
        <f>SUM(C101:C103)</f>
        <v>2000</v>
      </c>
      <c r="D100" s="113">
        <f ca="1">SUM(D101:D103)</f>
        <v>3180.7800000000007</v>
      </c>
      <c r="E100" s="113">
        <f>SUM(E101:E103)</f>
        <v>1700</v>
      </c>
      <c r="F100" s="373">
        <f t="shared" si="4"/>
        <v>-300</v>
      </c>
    </row>
    <row r="101" spans="2:6" x14ac:dyDescent="0.2">
      <c r="B101" s="35" t="str">
        <f>'Conto Economico'!A237</f>
        <v>Imposte Italia</v>
      </c>
      <c r="C101" s="47">
        <v>0</v>
      </c>
      <c r="D101" s="47">
        <f ca="1">Forecast!Q99</f>
        <v>880.74</v>
      </c>
      <c r="E101" s="47">
        <v>0</v>
      </c>
      <c r="F101" s="41">
        <f t="shared" si="4"/>
        <v>0</v>
      </c>
    </row>
    <row r="102" spans="2:6" x14ac:dyDescent="0.2">
      <c r="B102" s="35" t="str">
        <f>'Conto Economico'!A238</f>
        <v>Imposta di Bollo Titoli e CC</v>
      </c>
      <c r="C102" s="47">
        <v>2000</v>
      </c>
      <c r="D102" s="47">
        <f ca="1">Forecast!Q100</f>
        <v>2300.0400000000004</v>
      </c>
      <c r="E102" s="47">
        <v>1700</v>
      </c>
      <c r="F102" s="41">
        <f t="shared" si="4"/>
        <v>-300</v>
      </c>
    </row>
    <row r="103" spans="2:6" x14ac:dyDescent="0.2">
      <c r="B103" s="35" t="str">
        <f>'Conto Economico'!A239</f>
        <v>Commercialista Italia</v>
      </c>
      <c r="C103" s="47">
        <v>0</v>
      </c>
      <c r="D103" s="47">
        <f ca="1">Forecast!Q101</f>
        <v>0</v>
      </c>
      <c r="E103" s="47">
        <v>0</v>
      </c>
      <c r="F103" s="41">
        <f t="shared" si="4"/>
        <v>0</v>
      </c>
    </row>
    <row r="104" spans="2:6" x14ac:dyDescent="0.2">
      <c r="B104" s="35"/>
      <c r="C104" s="47"/>
      <c r="D104" s="147"/>
      <c r="E104" s="47"/>
      <c r="F104" s="41">
        <f t="shared" si="4"/>
        <v>0</v>
      </c>
    </row>
    <row r="105" spans="2:6" x14ac:dyDescent="0.2">
      <c r="B105" s="112" t="str">
        <f>'Conto Economico'!A241</f>
        <v>Commissioni Bancarie</v>
      </c>
      <c r="C105" s="113">
        <f>SUM(C106:C108)</f>
        <v>5560</v>
      </c>
      <c r="D105" s="113">
        <f ca="1">SUM(D106:D108)</f>
        <v>6097.9899999999989</v>
      </c>
      <c r="E105" s="113">
        <f>SUM(E106:E108)</f>
        <v>5075.5</v>
      </c>
      <c r="F105" s="373">
        <f t="shared" si="4"/>
        <v>-484.5</v>
      </c>
    </row>
    <row r="106" spans="2:6" x14ac:dyDescent="0.2">
      <c r="B106" s="35" t="str">
        <f>'Conto Economico'!A242</f>
        <v>Commissioni Amex</v>
      </c>
      <c r="C106" s="47">
        <v>25</v>
      </c>
      <c r="D106" s="47">
        <f ca="1">Forecast!Q104</f>
        <v>12.500000000000002</v>
      </c>
      <c r="E106" s="47">
        <v>25.5</v>
      </c>
      <c r="F106" s="41">
        <f t="shared" si="4"/>
        <v>0.5</v>
      </c>
    </row>
    <row r="107" spans="2:6" x14ac:dyDescent="0.2">
      <c r="B107" s="35" t="str">
        <f>'Conto Economico'!A243</f>
        <v>Commissioni Bancarie su Investimenti</v>
      </c>
      <c r="C107" s="47">
        <v>5500</v>
      </c>
      <c r="D107" s="47">
        <f ca="1">Forecast!Q105</f>
        <v>5715.4599999999991</v>
      </c>
      <c r="E107" s="47">
        <v>5000</v>
      </c>
      <c r="F107" s="41">
        <f t="shared" si="4"/>
        <v>-500</v>
      </c>
    </row>
    <row r="108" spans="2:6" x14ac:dyDescent="0.2">
      <c r="B108" s="35" t="str">
        <f>'Conto Economico'!A244</f>
        <v>Altre Commissioni Bancarie</v>
      </c>
      <c r="C108" s="47">
        <v>35</v>
      </c>
      <c r="D108" s="47">
        <f ca="1">Forecast!Q106</f>
        <v>370.03</v>
      </c>
      <c r="E108" s="47">
        <v>50</v>
      </c>
      <c r="F108" s="41">
        <f t="shared" si="4"/>
        <v>15</v>
      </c>
    </row>
    <row r="109" spans="2:6" x14ac:dyDescent="0.2">
      <c r="B109" s="35"/>
      <c r="C109" s="47"/>
      <c r="D109" s="173"/>
      <c r="E109" s="47"/>
      <c r="F109" s="41">
        <f t="shared" si="4"/>
        <v>0</v>
      </c>
    </row>
    <row r="110" spans="2:6" x14ac:dyDescent="0.2">
      <c r="B110" s="112" t="str">
        <f>'Conto Economico'!A246</f>
        <v>Altre Spese</v>
      </c>
      <c r="C110" s="113">
        <f>SUM(C111:C117)</f>
        <v>8820</v>
      </c>
      <c r="D110" s="113">
        <f ca="1">SUM(D111:D117)</f>
        <v>10181.606666666665</v>
      </c>
      <c r="E110" s="113">
        <f ca="1">SUM(E111:E117)</f>
        <v>7971.1333333333332</v>
      </c>
      <c r="F110" s="373">
        <f t="shared" ca="1" si="4"/>
        <v>-848.86666666666679</v>
      </c>
    </row>
    <row r="111" spans="2:6" x14ac:dyDescent="0.2">
      <c r="B111" s="35" t="str">
        <f>'Conto Economico'!A247</f>
        <v>Animali domestici</v>
      </c>
      <c r="C111" s="47">
        <v>3000</v>
      </c>
      <c r="D111" s="47">
        <f ca="1">Forecast!Q109</f>
        <v>3047.3999999999996</v>
      </c>
      <c r="E111" s="47">
        <v>3060</v>
      </c>
      <c r="F111" s="41">
        <f t="shared" si="4"/>
        <v>60</v>
      </c>
    </row>
    <row r="112" spans="2:6" x14ac:dyDescent="0.2">
      <c r="B112" s="35" t="str">
        <f>'Conto Economico'!A248</f>
        <v>Eventi musicali - Teatro - Musei</v>
      </c>
      <c r="C112" s="47">
        <v>500</v>
      </c>
      <c r="D112" s="47">
        <f ca="1">Forecast!Q110</f>
        <v>623.70000000000005</v>
      </c>
      <c r="E112" s="47">
        <v>510</v>
      </c>
      <c r="F112" s="41">
        <f t="shared" si="4"/>
        <v>10</v>
      </c>
    </row>
    <row r="113" spans="2:11" x14ac:dyDescent="0.2">
      <c r="B113" s="35" t="str">
        <f>'Conto Economico'!A249</f>
        <v>Rientri a Bologna - Trasporti</v>
      </c>
      <c r="C113" s="47">
        <v>300</v>
      </c>
      <c r="D113" s="47">
        <f ca="1">Forecast!Q111</f>
        <v>548.95000000000005</v>
      </c>
      <c r="E113" s="47">
        <v>2000</v>
      </c>
      <c r="F113" s="41">
        <f t="shared" si="4"/>
        <v>1700</v>
      </c>
    </row>
    <row r="114" spans="2:11" x14ac:dyDescent="0.2">
      <c r="B114" s="35" t="str">
        <f>'Conto Economico'!A250</f>
        <v>Mutuo Riccione</v>
      </c>
      <c r="C114" s="47">
        <v>4300</v>
      </c>
      <c r="D114" s="47">
        <f ca="1">Forecast!Q112</f>
        <v>4102.2666666666673</v>
      </c>
      <c r="E114" s="47">
        <f ca="1">D114/2</f>
        <v>2051.1333333333337</v>
      </c>
      <c r="F114" s="41">
        <f t="shared" ca="1" si="4"/>
        <v>-2248.8666666666663</v>
      </c>
    </row>
    <row r="115" spans="2:11" x14ac:dyDescent="0.2">
      <c r="B115" s="35" t="str">
        <f>'Conto Economico'!A251</f>
        <v>Spese Amministrative - Passaporti - SPID</v>
      </c>
      <c r="C115" s="47">
        <v>320</v>
      </c>
      <c r="D115" s="47">
        <f ca="1">Forecast!Q113</f>
        <v>852.80000000000007</v>
      </c>
      <c r="E115" s="47">
        <v>50</v>
      </c>
      <c r="F115" s="41">
        <f t="shared" si="4"/>
        <v>-270</v>
      </c>
    </row>
    <row r="116" spans="2:11" x14ac:dyDescent="0.2">
      <c r="B116" s="35" t="str">
        <f>'Conto Economico'!A252</f>
        <v>Altre spese Italia</v>
      </c>
      <c r="C116" s="47">
        <v>200</v>
      </c>
      <c r="D116" s="47">
        <f ca="1">Forecast!Q114</f>
        <v>857.17000000000019</v>
      </c>
      <c r="E116" s="47">
        <v>300</v>
      </c>
      <c r="F116" s="41">
        <f t="shared" si="4"/>
        <v>100</v>
      </c>
    </row>
    <row r="117" spans="2:11" x14ac:dyDescent="0.2">
      <c r="B117" s="35" t="str">
        <f>'Conto Economico'!A253</f>
        <v>Altre spese Spagna</v>
      </c>
      <c r="C117" s="47">
        <v>200</v>
      </c>
      <c r="D117" s="47">
        <f ca="1">Forecast!Q115</f>
        <v>149.32</v>
      </c>
      <c r="E117" s="47">
        <v>0</v>
      </c>
      <c r="F117" s="41">
        <f t="shared" si="4"/>
        <v>-200</v>
      </c>
    </row>
    <row r="118" spans="2:11" x14ac:dyDescent="0.2">
      <c r="B118" s="35"/>
      <c r="C118" s="47"/>
      <c r="D118" s="47"/>
      <c r="E118" s="47"/>
      <c r="F118" s="41"/>
    </row>
    <row r="119" spans="2:11" s="30" customFormat="1" x14ac:dyDescent="0.2">
      <c r="B119" s="32" t="s">
        <v>928</v>
      </c>
      <c r="C119" s="90">
        <f ca="1">C121+C131</f>
        <v>610066.77513160033</v>
      </c>
      <c r="D119" s="90">
        <f ca="1">D121+D131</f>
        <v>219339.38420283352</v>
      </c>
      <c r="E119" s="90">
        <f ca="1">E121+E131</f>
        <v>1332332.608</v>
      </c>
      <c r="F119" s="41">
        <f ca="1">E119-C119</f>
        <v>722265.83286839968</v>
      </c>
    </row>
    <row r="120" spans="2:11" x14ac:dyDescent="0.2">
      <c r="B120" s="35"/>
      <c r="C120" s="47"/>
      <c r="D120" s="47"/>
      <c r="E120" s="47"/>
      <c r="F120" s="41">
        <f>E120-C120</f>
        <v>0</v>
      </c>
      <c r="I120" s="500" t="s">
        <v>393</v>
      </c>
      <c r="J120" s="500"/>
      <c r="K120" s="500"/>
    </row>
    <row r="121" spans="2:11" x14ac:dyDescent="0.2">
      <c r="B121" s="112" t="str">
        <f>'Conto Economico'!A255</f>
        <v>Spese Straordinarie</v>
      </c>
      <c r="C121" s="113">
        <f ca="1">SUM(C122:C129)</f>
        <v>91544</v>
      </c>
      <c r="D121" s="113">
        <f ca="1">SUM(D122:D129)</f>
        <v>98854.367819200008</v>
      </c>
      <c r="E121" s="113">
        <f>SUM(E122:E129)</f>
        <v>43000</v>
      </c>
      <c r="F121" s="373">
        <f ca="1">E121-C121</f>
        <v>-48544</v>
      </c>
      <c r="J121" s="434">
        <v>3500000</v>
      </c>
    </row>
    <row r="122" spans="2:11" x14ac:dyDescent="0.2">
      <c r="B122" s="35" t="str">
        <f>'Conto Economico'!A256</f>
        <v>Spese Per Vendita El Toro</v>
      </c>
      <c r="C122" s="366">
        <v>20000</v>
      </c>
      <c r="D122" s="47">
        <f ca="1">Forecast!Q120</f>
        <v>19542.96</v>
      </c>
      <c r="E122" s="366">
        <v>0</v>
      </c>
      <c r="F122" s="41">
        <f>E122-C122</f>
        <v>-20000</v>
      </c>
      <c r="I122" s="35"/>
      <c r="J122" s="47" cm="1">
        <f t="array" aca="1" ref="J122" ca="1">J121*_FV(C1,"Prezzo")</f>
        <v>835800</v>
      </c>
    </row>
    <row r="123" spans="2:11" x14ac:dyDescent="0.2">
      <c r="B123" s="35" t="str">
        <f>'Conto Economico'!A257</f>
        <v>Spese per Trasferimento EAU</v>
      </c>
      <c r="C123" s="47">
        <v>15000</v>
      </c>
      <c r="D123" s="47">
        <f ca="1">Forecast!Q121</f>
        <v>12492.297819200001</v>
      </c>
      <c r="E123" s="201"/>
      <c r="F123" s="41">
        <f t="shared" ref="F123:F134" si="5">E123-C123</f>
        <v>-15000</v>
      </c>
    </row>
    <row r="124" spans="2:11" x14ac:dyDescent="0.2">
      <c r="B124" s="35" t="str">
        <f>'Conto Economico'!A258</f>
        <v>Affitto Dubai</v>
      </c>
      <c r="C124" s="47">
        <v>12500</v>
      </c>
      <c r="D124" s="47">
        <f ca="1">Forecast!Q122</f>
        <v>15947.45</v>
      </c>
      <c r="E124" s="201">
        <v>30000</v>
      </c>
      <c r="F124" s="41">
        <f t="shared" si="5"/>
        <v>17500</v>
      </c>
      <c r="I124" s="119">
        <v>2026</v>
      </c>
      <c r="J124" s="119">
        <v>2027</v>
      </c>
      <c r="K124" s="119">
        <v>2028</v>
      </c>
    </row>
    <row r="125" spans="2:11" x14ac:dyDescent="0.2">
      <c r="B125" s="35" t="str">
        <f>'Conto Economico'!A259</f>
        <v>Acquisto Autovettura</v>
      </c>
      <c r="C125" s="47" cm="1">
        <f t="array" aca="1" ref="C125" ca="1">130000*_FV(C1,"Prezzo")</f>
        <v>31044</v>
      </c>
      <c r="D125" s="47">
        <f ca="1">Forecast!Q123</f>
        <v>31044</v>
      </c>
      <c r="E125" s="201"/>
      <c r="F125" s="41">
        <f t="shared" ca="1" si="5"/>
        <v>-31044</v>
      </c>
      <c r="I125" s="47">
        <f ca="1">0.1*J122+0.04*J122+0.1*J122+0.24*J122</f>
        <v>401184</v>
      </c>
      <c r="J125" s="47">
        <f ca="1">0.36*J122</f>
        <v>300888</v>
      </c>
      <c r="K125" s="47">
        <f ca="1">0.16*J122</f>
        <v>133728</v>
      </c>
    </row>
    <row r="126" spans="2:11" x14ac:dyDescent="0.2">
      <c r="B126" s="35" t="str">
        <f>'Conto Economico'!A260</f>
        <v>Voli Aerei su Dubai</v>
      </c>
      <c r="C126" s="47">
        <v>3000</v>
      </c>
      <c r="D126" s="47">
        <f ca="1">Forecast!Q124</f>
        <v>3000</v>
      </c>
      <c r="E126" s="201">
        <f>C126</f>
        <v>3000</v>
      </c>
      <c r="F126" s="41">
        <f t="shared" si="5"/>
        <v>0</v>
      </c>
    </row>
    <row r="127" spans="2:11" x14ac:dyDescent="0.2">
      <c r="B127" s="35" t="str">
        <f>'Conto Economico'!A261</f>
        <v>Voli Aerei su Amsterdam</v>
      </c>
      <c r="C127" s="366">
        <v>0</v>
      </c>
      <c r="D127" s="47">
        <f ca="1">Forecast!Q125</f>
        <v>0</v>
      </c>
      <c r="E127" s="366"/>
      <c r="F127" s="41">
        <f t="shared" si="5"/>
        <v>0</v>
      </c>
    </row>
    <row r="128" spans="2:11" x14ac:dyDescent="0.2">
      <c r="B128" s="35" t="str">
        <f>'Conto Economico'!A262</f>
        <v>Successione Vanzini</v>
      </c>
      <c r="C128" s="366">
        <v>5000</v>
      </c>
      <c r="D128" s="47">
        <f ca="1">Forecast!Q126</f>
        <v>11827.66</v>
      </c>
      <c r="E128" s="201">
        <v>5000</v>
      </c>
      <c r="F128" s="41">
        <f t="shared" si="5"/>
        <v>0</v>
      </c>
    </row>
    <row r="129" spans="2:6" x14ac:dyDescent="0.2">
      <c r="B129" s="35" t="str">
        <f>'Conto Economico'!A263</f>
        <v>Imprevisti</v>
      </c>
      <c r="C129" s="366">
        <v>5000</v>
      </c>
      <c r="D129" s="47">
        <f ca="1">Forecast!Q127</f>
        <v>5000</v>
      </c>
      <c r="E129" s="201">
        <v>5000</v>
      </c>
      <c r="F129" s="41">
        <f t="shared" si="5"/>
        <v>0</v>
      </c>
    </row>
    <row r="131" spans="2:6" x14ac:dyDescent="0.2">
      <c r="B131" s="112" t="str">
        <f>'Conto Economico'!A265</f>
        <v>Investimenti Immobili</v>
      </c>
      <c r="C131" s="113">
        <f ca="1">SUM(C132:C136)</f>
        <v>518522.77513160033</v>
      </c>
      <c r="D131" s="113">
        <f ca="1">SUM(D132:D136)</f>
        <v>120485.01638363351</v>
      </c>
      <c r="E131" s="113">
        <f ca="1">SUM(E132:E136)</f>
        <v>1289332.608</v>
      </c>
      <c r="F131" s="373">
        <f ca="1">E131-C131</f>
        <v>770809.83286839968</v>
      </c>
    </row>
    <row r="132" spans="2:6" x14ac:dyDescent="0.2">
      <c r="B132" s="35" t="str">
        <f>'Conto Economico'!A266</f>
        <v>Project Plan Dubai I</v>
      </c>
      <c r="C132" s="47">
        <f>(60720+445280)/4.3123</f>
        <v>117338.77513160031</v>
      </c>
      <c r="D132" s="47">
        <f ca="1">Forecast!Q130</f>
        <v>119951.9763836335</v>
      </c>
      <c r="E132" s="366">
        <f ca="1">Dubai!D7+25000</f>
        <v>189332.60800000001</v>
      </c>
      <c r="F132" s="41">
        <f t="shared" ca="1" si="5"/>
        <v>71993.832868399695</v>
      </c>
    </row>
    <row r="133" spans="2:6" x14ac:dyDescent="0.2">
      <c r="B133" s="35" t="str">
        <f>'Conto Economico'!A267</f>
        <v>Project Plan Dubai II</v>
      </c>
      <c r="C133" s="47">
        <f ca="1">I125</f>
        <v>401184</v>
      </c>
      <c r="D133" s="47">
        <f ca="1">Forecast!Q131</f>
        <v>533.04000000000087</v>
      </c>
      <c r="E133" s="201">
        <v>0</v>
      </c>
      <c r="F133" s="41">
        <f t="shared" ca="1" si="5"/>
        <v>-401184</v>
      </c>
    </row>
    <row r="134" spans="2:6" x14ac:dyDescent="0.2">
      <c r="B134" s="35" t="str">
        <f>'Conto Economico'!A268</f>
        <v>Project Plan Dubai III</v>
      </c>
      <c r="C134" s="47">
        <v>0</v>
      </c>
      <c r="D134" s="47">
        <f ca="1">Forecast!Q132</f>
        <v>0</v>
      </c>
      <c r="E134" s="201"/>
      <c r="F134" s="41">
        <f t="shared" si="5"/>
        <v>0</v>
      </c>
    </row>
    <row r="135" spans="2:6" x14ac:dyDescent="0.2">
      <c r="B135" s="35" t="str">
        <f>'Conto Economico'!A269</f>
        <v>Acquisto Immobile Principale Dubai</v>
      </c>
      <c r="C135" s="47">
        <v>0</v>
      </c>
      <c r="D135" s="47">
        <f ca="1">Forecast!Q133</f>
        <v>0</v>
      </c>
      <c r="E135" s="201">
        <v>1100000</v>
      </c>
      <c r="F135" s="41"/>
    </row>
    <row r="136" spans="2:6" x14ac:dyDescent="0.2">
      <c r="B136" s="35" t="str">
        <f>'Conto Economico'!A270</f>
        <v>Acquisto Immobile per Emma</v>
      </c>
      <c r="C136" s="47">
        <v>0</v>
      </c>
      <c r="D136" s="47">
        <f>Forecast!Q134</f>
        <v>0</v>
      </c>
      <c r="E136" s="201"/>
      <c r="F136" s="41"/>
    </row>
    <row r="137" spans="2:6" x14ac:dyDescent="0.2">
      <c r="D137" s="47"/>
      <c r="E137" s="65"/>
      <c r="F137" s="339"/>
    </row>
    <row r="138" spans="2:6" x14ac:dyDescent="0.2">
      <c r="B138" s="32" t="s">
        <v>444</v>
      </c>
      <c r="C138" s="90">
        <f>C140</f>
        <v>1847481.11</v>
      </c>
      <c r="D138" s="90">
        <f ca="1">D140</f>
        <v>1817507.04</v>
      </c>
      <c r="E138" s="90">
        <f ca="1">E140</f>
        <v>232560.84710959083</v>
      </c>
      <c r="F138" s="41">
        <f ca="1">E138-C138</f>
        <v>-1614920.2628904092</v>
      </c>
    </row>
    <row r="139" spans="2:6" x14ac:dyDescent="0.2">
      <c r="D139" s="304"/>
      <c r="F139" s="339"/>
    </row>
    <row r="140" spans="2:6" x14ac:dyDescent="0.2">
      <c r="B140" s="376" t="s">
        <v>444</v>
      </c>
      <c r="C140" s="113">
        <f>SUM(C141:C149)</f>
        <v>1847481.11</v>
      </c>
      <c r="D140" s="113">
        <f ca="1">SUM(D141:D149)</f>
        <v>1817507.04</v>
      </c>
      <c r="E140" s="113">
        <f ca="1">SUM(E141:E149)</f>
        <v>232560.84710959083</v>
      </c>
      <c r="F140" s="373">
        <f t="shared" ref="F140:F149" ca="1" si="6">E140-C140</f>
        <v>-1614920.2628904092</v>
      </c>
    </row>
    <row r="141" spans="2:6" x14ac:dyDescent="0.2">
      <c r="B141" s="181" t="str">
        <f>'Conto Economico'!A63</f>
        <v>Ricavi Affitto Dubai I</v>
      </c>
      <c r="C141" s="47">
        <v>0</v>
      </c>
      <c r="D141" s="47">
        <f ca="1">Forecast!Q139</f>
        <v>0</v>
      </c>
      <c r="E141" s="47">
        <f ca="1">'Budget 27-66'!C161/2</f>
        <v>12560.847109590839</v>
      </c>
      <c r="F141" s="41">
        <f t="shared" ca="1" si="6"/>
        <v>12560.847109590839</v>
      </c>
    </row>
    <row r="142" spans="2:6" x14ac:dyDescent="0.2">
      <c r="B142" s="181" t="str">
        <f>'Conto Economico'!A64</f>
        <v>Ricavi Affitto Dubai II</v>
      </c>
      <c r="C142" s="47">
        <v>0</v>
      </c>
      <c r="D142" s="47">
        <f ca="1">Forecast!Q140</f>
        <v>0</v>
      </c>
      <c r="E142" s="47">
        <v>0</v>
      </c>
      <c r="F142" s="41">
        <f t="shared" si="6"/>
        <v>0</v>
      </c>
    </row>
    <row r="143" spans="2:6" x14ac:dyDescent="0.2">
      <c r="B143" s="181" t="str">
        <f>'Conto Economico'!A65</f>
        <v>Ricavi Affitto Dubai III</v>
      </c>
      <c r="C143" s="47">
        <v>0</v>
      </c>
      <c r="D143" s="47">
        <f ca="1">Forecast!Q141</f>
        <v>0</v>
      </c>
      <c r="E143" s="47">
        <v>0</v>
      </c>
      <c r="F143" s="41">
        <f t="shared" si="6"/>
        <v>0</v>
      </c>
    </row>
    <row r="144" spans="2:6" x14ac:dyDescent="0.2">
      <c r="B144" s="181" t="str">
        <f>'Conto Economico'!A66</f>
        <v>Vendita Immobile El Toro</v>
      </c>
      <c r="C144" s="47">
        <f>Dubai!J23</f>
        <v>1817507.04</v>
      </c>
      <c r="D144" s="47">
        <f ca="1">Forecast!Q142</f>
        <v>1817507.04</v>
      </c>
      <c r="E144" s="47">
        <v>0</v>
      </c>
      <c r="F144" s="41">
        <f t="shared" si="6"/>
        <v>-1817507.04</v>
      </c>
    </row>
    <row r="145" spans="2:6" x14ac:dyDescent="0.2">
      <c r="B145" s="181" t="str">
        <f>'Conto Economico'!A67</f>
        <v>Vendita Immobile Riccione</v>
      </c>
      <c r="C145" s="47">
        <v>0</v>
      </c>
      <c r="D145" s="47">
        <f ca="1">Forecast!Q143</f>
        <v>0</v>
      </c>
      <c r="E145" s="47">
        <v>200000</v>
      </c>
      <c r="F145" s="41">
        <f t="shared" si="6"/>
        <v>200000</v>
      </c>
    </row>
    <row r="146" spans="2:6" x14ac:dyDescent="0.2">
      <c r="B146" s="181" t="str">
        <f>'Conto Economico'!A68</f>
        <v>Pensione di Vecchiaia Stefano</v>
      </c>
      <c r="C146" s="47">
        <v>0</v>
      </c>
      <c r="D146" s="47">
        <f ca="1">Forecast!Q144</f>
        <v>0</v>
      </c>
      <c r="E146" s="47">
        <v>0</v>
      </c>
      <c r="F146" s="41">
        <f t="shared" si="6"/>
        <v>0</v>
      </c>
    </row>
    <row r="147" spans="2:6" x14ac:dyDescent="0.2">
      <c r="B147" s="181" t="str">
        <f>'Conto Economico'!A69</f>
        <v>Pensione di Vecchiaia Sandra</v>
      </c>
      <c r="C147" s="47">
        <v>0</v>
      </c>
      <c r="D147" s="47">
        <f ca="1">Forecast!Q145</f>
        <v>0</v>
      </c>
      <c r="E147" s="47">
        <v>0</v>
      </c>
      <c r="F147" s="41">
        <f t="shared" si="6"/>
        <v>0</v>
      </c>
    </row>
    <row r="148" spans="2:6" x14ac:dyDescent="0.2">
      <c r="B148" s="181" t="str">
        <f>'Conto Economico'!A70</f>
        <v>Interessi sugli Investimenti</v>
      </c>
      <c r="C148" s="47">
        <v>29974.07</v>
      </c>
      <c r="D148" s="47">
        <f ca="1">Forecast!Q146</f>
        <v>0</v>
      </c>
      <c r="E148" s="47">
        <v>20000</v>
      </c>
      <c r="F148" s="41">
        <f t="shared" si="6"/>
        <v>-9974.07</v>
      </c>
    </row>
    <row r="149" spans="2:6" x14ac:dyDescent="0.2">
      <c r="B149" s="181" t="str">
        <f>'Conto Economico'!A71</f>
        <v>Rimborsi</v>
      </c>
      <c r="C149" s="47">
        <v>0</v>
      </c>
      <c r="D149" s="47">
        <f ca="1">Forecast!Q147</f>
        <v>0</v>
      </c>
      <c r="E149" s="47">
        <v>0</v>
      </c>
      <c r="F149" s="41">
        <f t="shared" si="6"/>
        <v>0</v>
      </c>
    </row>
  </sheetData>
  <mergeCells count="1">
    <mergeCell ref="I120:K120"/>
  </mergeCells>
  <conditionalFormatting sqref="F119 F100:F103 F89:F93 F82:F87 F70:F73 F44:F45 F34:F37 F22:F32 F13:F20 F105:F108 F95:F98 F110:F117 F39:F42 F121:F129 F131:F136 F75:F80 F60:F68">
    <cfRule type="cellIs" dxfId="69" priority="64" stopIfTrue="1" operator="lessThan">
      <formula>0</formula>
    </cfRule>
  </conditionalFormatting>
  <conditionalFormatting sqref="B6:B7">
    <cfRule type="cellIs" dxfId="68" priority="63" operator="lessThanOrEqual">
      <formula>0</formula>
    </cfRule>
  </conditionalFormatting>
  <conditionalFormatting sqref="F119 F100:F103 F89:F93 F82:F87 F70:F73 F44:F45 F34:F37 F22:F32 F13:F20 F105:F108 F95:F98 F110:F117 F39:F42 F121:F129 F131:F136 F75:F80 F60:F68">
    <cfRule type="cellIs" dxfId="67" priority="60" operator="greaterThanOrEqual">
      <formula>0</formula>
    </cfRule>
  </conditionalFormatting>
  <conditionalFormatting sqref="F11">
    <cfRule type="cellIs" dxfId="66" priority="59" stopIfTrue="1" operator="lessThan">
      <formula>0</formula>
    </cfRule>
  </conditionalFormatting>
  <conditionalFormatting sqref="F11">
    <cfRule type="cellIs" dxfId="65" priority="58" operator="greaterThanOrEqual">
      <formula>0</formula>
    </cfRule>
  </conditionalFormatting>
  <conditionalFormatting sqref="F47">
    <cfRule type="cellIs" dxfId="64" priority="57" stopIfTrue="1" operator="lessThan">
      <formula>0</formula>
    </cfRule>
  </conditionalFormatting>
  <conditionalFormatting sqref="F47">
    <cfRule type="cellIs" dxfId="63" priority="56" operator="greaterThanOrEqual">
      <formula>0</formula>
    </cfRule>
  </conditionalFormatting>
  <conditionalFormatting sqref="F140:F149">
    <cfRule type="cellIs" dxfId="62" priority="55" stopIfTrue="1" operator="lessThan">
      <formula>0</formula>
    </cfRule>
  </conditionalFormatting>
  <conditionalFormatting sqref="F140:F149">
    <cfRule type="cellIs" dxfId="61" priority="54" operator="greaterThanOrEqual">
      <formula>0</formula>
    </cfRule>
  </conditionalFormatting>
  <conditionalFormatting sqref="F138">
    <cfRule type="cellIs" dxfId="60" priority="53" stopIfTrue="1" operator="lessThan">
      <formula>0</formula>
    </cfRule>
  </conditionalFormatting>
  <conditionalFormatting sqref="F138">
    <cfRule type="cellIs" dxfId="59" priority="52" operator="greaterThanOrEqual">
      <formula>0</formula>
    </cfRule>
  </conditionalFormatting>
  <conditionalFormatting sqref="B3:B4">
    <cfRule type="cellIs" dxfId="58" priority="1" operator="lessThanOrEqual">
      <formula>0</formula>
    </cfRule>
  </conditionalFormatting>
  <pageMargins left="0.7" right="0.7" top="0.75" bottom="0.75" header="0.3" footer="0.3"/>
  <pageSetup paperSize="9" orientation="portrait" horizontalDpi="0" verticalDpi="0"/>
  <ignoredErrors>
    <ignoredError sqref="F11 F138 F140 F121 F13 F22 F34 F39 F44:F45 F47 F60 F70 F75 F82 F89 F95 F100 F105 F110 F119 F125:F126 D47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59B5-BA23-3B4E-88C5-8663287446C1}">
  <sheetPr codeName="Foglio27">
    <tabColor rgb="FF00B0F0"/>
  </sheetPr>
  <dimension ref="B1:AR179"/>
  <sheetViews>
    <sheetView showGridLines="0" tabSelected="1" zoomScale="90" zoomScaleNormal="90" workbookViewId="0">
      <pane xSplit="2" ySplit="15" topLeftCell="C154" activePane="bottomRight" state="frozen"/>
      <selection pane="topRight" activeCell="C1" sqref="C1"/>
      <selection pane="bottomLeft" activeCell="A13" sqref="A13"/>
      <selection pane="bottomRight" activeCell="E152" sqref="E152"/>
    </sheetView>
  </sheetViews>
  <sheetFormatPr baseColWidth="10" defaultColWidth="13" defaultRowHeight="16" outlineLevelCol="1" x14ac:dyDescent="0.2"/>
  <cols>
    <col min="1" max="1" width="2" style="25" customWidth="1"/>
    <col min="2" max="2" width="47" style="25" bestFit="1" customWidth="1"/>
    <col min="3" max="12" width="18" style="25" customWidth="1"/>
    <col min="13" max="13" width="18.3984375" style="25" customWidth="1"/>
    <col min="14" max="15" width="18" style="25" customWidth="1"/>
    <col min="16" max="40" width="18" style="25" customWidth="1" outlineLevel="1"/>
    <col min="41" max="42" width="18" style="25" customWidth="1"/>
    <col min="43" max="43" width="15.3984375" style="25" bestFit="1" customWidth="1"/>
    <col min="44" max="44" width="14.796875" style="25" bestFit="1" customWidth="1"/>
    <col min="45" max="16384" width="13" style="25"/>
  </cols>
  <sheetData>
    <row r="1" spans="2:42" ht="10" customHeight="1" x14ac:dyDescent="0.2"/>
    <row r="2" spans="2:42" s="27" customFormat="1" ht="55" customHeight="1" x14ac:dyDescent="0.2">
      <c r="B2" s="121" t="s">
        <v>356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2:42" s="29" customFormat="1" ht="18" customHeight="1" x14ac:dyDescent="0.2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</row>
    <row r="4" spans="2:42" s="223" customFormat="1" x14ac:dyDescent="0.2">
      <c r="B4" s="223" t="s">
        <v>56</v>
      </c>
      <c r="C4" s="224">
        <v>2027</v>
      </c>
      <c r="D4" s="223">
        <v>2028</v>
      </c>
      <c r="E4" s="224">
        <v>2029</v>
      </c>
      <c r="F4" s="224">
        <v>2030</v>
      </c>
      <c r="G4" s="223">
        <v>2031</v>
      </c>
      <c r="H4" s="223">
        <v>2032</v>
      </c>
      <c r="I4" s="223">
        <v>2033</v>
      </c>
      <c r="J4" s="224">
        <v>2034</v>
      </c>
      <c r="K4" s="225">
        <v>2035</v>
      </c>
      <c r="L4" s="225">
        <v>2036</v>
      </c>
      <c r="M4" s="225">
        <v>2037</v>
      </c>
      <c r="N4" s="226">
        <v>2038</v>
      </c>
      <c r="O4" s="226">
        <v>2039</v>
      </c>
      <c r="P4" s="225">
        <v>2040</v>
      </c>
      <c r="Q4" s="225">
        <v>2041</v>
      </c>
      <c r="R4" s="225">
        <v>2042</v>
      </c>
      <c r="S4" s="225">
        <v>2043</v>
      </c>
      <c r="T4" s="226">
        <v>2044</v>
      </c>
      <c r="U4" s="225">
        <v>2045</v>
      </c>
      <c r="V4" s="225">
        <v>2046</v>
      </c>
      <c r="W4" s="225">
        <v>2047</v>
      </c>
      <c r="X4" s="225">
        <v>2048</v>
      </c>
      <c r="Y4" s="225">
        <v>2049</v>
      </c>
      <c r="Z4" s="225">
        <v>2050</v>
      </c>
      <c r="AA4" s="225">
        <v>2051</v>
      </c>
      <c r="AB4" s="225">
        <v>2052</v>
      </c>
      <c r="AC4" s="225">
        <v>2053</v>
      </c>
      <c r="AD4" s="224">
        <v>2054</v>
      </c>
      <c r="AE4" s="225">
        <v>2055</v>
      </c>
      <c r="AF4" s="225">
        <v>2056</v>
      </c>
      <c r="AG4" s="225">
        <v>2057</v>
      </c>
      <c r="AH4" s="225">
        <v>2058</v>
      </c>
      <c r="AI4" s="225">
        <v>2059</v>
      </c>
      <c r="AJ4" s="225">
        <v>2060</v>
      </c>
      <c r="AK4" s="224">
        <v>2061</v>
      </c>
      <c r="AL4" s="225">
        <v>2062</v>
      </c>
      <c r="AM4" s="225">
        <v>2063</v>
      </c>
      <c r="AN4" s="225">
        <v>2064</v>
      </c>
      <c r="AO4" s="225">
        <v>2065</v>
      </c>
      <c r="AP4" s="225">
        <v>2066</v>
      </c>
    </row>
    <row r="5" spans="2:42" s="227" customFormat="1" x14ac:dyDescent="0.2">
      <c r="B5" s="227" t="s">
        <v>55</v>
      </c>
      <c r="C5" s="228">
        <v>20</v>
      </c>
      <c r="D5" s="227">
        <v>20</v>
      </c>
      <c r="E5" s="228">
        <v>21</v>
      </c>
      <c r="F5" s="228">
        <v>22</v>
      </c>
      <c r="G5" s="227">
        <v>23</v>
      </c>
      <c r="H5" s="227">
        <v>24</v>
      </c>
      <c r="I5" s="227">
        <v>25</v>
      </c>
      <c r="J5" s="228">
        <v>26</v>
      </c>
      <c r="K5" s="229">
        <v>27</v>
      </c>
      <c r="L5" s="229">
        <v>28</v>
      </c>
      <c r="M5" s="229">
        <v>29</v>
      </c>
      <c r="N5" s="230">
        <v>30</v>
      </c>
      <c r="O5" s="230">
        <v>31</v>
      </c>
      <c r="P5" s="229">
        <v>32</v>
      </c>
      <c r="Q5" s="229">
        <v>33</v>
      </c>
      <c r="R5" s="229">
        <v>34</v>
      </c>
      <c r="S5" s="229">
        <v>35</v>
      </c>
      <c r="T5" s="230">
        <v>36</v>
      </c>
      <c r="U5" s="229">
        <v>37</v>
      </c>
      <c r="V5" s="229">
        <v>38</v>
      </c>
      <c r="W5" s="229">
        <v>39</v>
      </c>
      <c r="X5" s="229">
        <v>40</v>
      </c>
      <c r="Y5" s="229">
        <v>41</v>
      </c>
      <c r="Z5" s="229">
        <v>42</v>
      </c>
      <c r="AA5" s="229">
        <v>43</v>
      </c>
      <c r="AB5" s="229">
        <v>44</v>
      </c>
      <c r="AC5" s="229">
        <v>45</v>
      </c>
      <c r="AD5" s="228">
        <v>46</v>
      </c>
      <c r="AE5" s="229">
        <v>47</v>
      </c>
      <c r="AF5" s="229">
        <v>48</v>
      </c>
      <c r="AG5" s="229">
        <v>49</v>
      </c>
      <c r="AH5" s="229">
        <v>50</v>
      </c>
      <c r="AI5" s="229">
        <v>51</v>
      </c>
      <c r="AJ5" s="229">
        <v>52</v>
      </c>
      <c r="AK5" s="228">
        <v>53</v>
      </c>
      <c r="AL5" s="229">
        <v>54</v>
      </c>
      <c r="AM5" s="229">
        <v>55</v>
      </c>
      <c r="AN5" s="229">
        <v>56</v>
      </c>
      <c r="AO5" s="229">
        <v>57</v>
      </c>
      <c r="AP5" s="229">
        <v>58</v>
      </c>
    </row>
    <row r="6" spans="2:42" s="227" customFormat="1" x14ac:dyDescent="0.2">
      <c r="B6" s="227" t="s">
        <v>130</v>
      </c>
      <c r="C6" s="228">
        <v>52</v>
      </c>
      <c r="D6" s="227">
        <v>52</v>
      </c>
      <c r="E6" s="228">
        <v>53</v>
      </c>
      <c r="F6" s="228">
        <v>54</v>
      </c>
      <c r="G6" s="227">
        <v>55</v>
      </c>
      <c r="H6" s="227">
        <v>56</v>
      </c>
      <c r="I6" s="227">
        <v>57</v>
      </c>
      <c r="J6" s="228">
        <v>58</v>
      </c>
      <c r="K6" s="229">
        <v>59</v>
      </c>
      <c r="L6" s="229">
        <v>60</v>
      </c>
      <c r="M6" s="229">
        <v>61</v>
      </c>
      <c r="N6" s="230">
        <v>62</v>
      </c>
      <c r="O6" s="230">
        <v>63</v>
      </c>
      <c r="P6" s="229">
        <v>64</v>
      </c>
      <c r="Q6" s="229">
        <v>65</v>
      </c>
      <c r="R6" s="229">
        <v>66</v>
      </c>
      <c r="S6" s="229">
        <v>67</v>
      </c>
      <c r="T6" s="230">
        <v>68</v>
      </c>
      <c r="U6" s="229">
        <v>69</v>
      </c>
      <c r="V6" s="229">
        <v>70</v>
      </c>
      <c r="W6" s="229">
        <v>71</v>
      </c>
      <c r="X6" s="229">
        <v>72</v>
      </c>
      <c r="Y6" s="229">
        <v>73</v>
      </c>
      <c r="Z6" s="229">
        <v>74</v>
      </c>
      <c r="AA6" s="229">
        <v>75</v>
      </c>
      <c r="AB6" s="229">
        <v>76</v>
      </c>
      <c r="AC6" s="229">
        <v>77</v>
      </c>
      <c r="AD6" s="228">
        <v>78</v>
      </c>
      <c r="AE6" s="229">
        <v>79</v>
      </c>
      <c r="AF6" s="229">
        <v>80</v>
      </c>
      <c r="AG6" s="229">
        <v>81</v>
      </c>
      <c r="AH6" s="229">
        <v>82</v>
      </c>
      <c r="AI6" s="229">
        <v>83</v>
      </c>
      <c r="AJ6" s="229">
        <v>84</v>
      </c>
      <c r="AK6" s="228">
        <v>85</v>
      </c>
      <c r="AL6" s="229">
        <v>86</v>
      </c>
      <c r="AM6" s="229">
        <v>87</v>
      </c>
      <c r="AN6" s="229">
        <v>88</v>
      </c>
      <c r="AO6" s="229">
        <v>89</v>
      </c>
      <c r="AP6" s="229">
        <v>90</v>
      </c>
    </row>
    <row r="7" spans="2:42" s="227" customFormat="1" x14ac:dyDescent="0.2">
      <c r="B7" s="227" t="s">
        <v>131</v>
      </c>
      <c r="C7" s="228">
        <v>64</v>
      </c>
      <c r="D7" s="227">
        <v>64</v>
      </c>
      <c r="E7" s="228">
        <v>65</v>
      </c>
      <c r="F7" s="228">
        <v>66</v>
      </c>
      <c r="G7" s="227">
        <v>67</v>
      </c>
      <c r="H7" s="227">
        <v>68</v>
      </c>
      <c r="I7" s="227">
        <v>69</v>
      </c>
      <c r="J7" s="228">
        <v>70</v>
      </c>
      <c r="K7" s="229">
        <v>71</v>
      </c>
      <c r="L7" s="229">
        <v>72</v>
      </c>
      <c r="M7" s="229">
        <v>73</v>
      </c>
      <c r="N7" s="230">
        <v>74</v>
      </c>
      <c r="O7" s="230">
        <v>75</v>
      </c>
      <c r="P7" s="229">
        <v>76</v>
      </c>
      <c r="Q7" s="229">
        <v>77</v>
      </c>
      <c r="R7" s="229">
        <v>78</v>
      </c>
      <c r="S7" s="229">
        <v>79</v>
      </c>
      <c r="T7" s="230">
        <v>80</v>
      </c>
      <c r="U7" s="229">
        <v>81</v>
      </c>
      <c r="V7" s="229">
        <v>82</v>
      </c>
      <c r="W7" s="229">
        <v>83</v>
      </c>
      <c r="X7" s="229">
        <v>84</v>
      </c>
      <c r="Y7" s="229">
        <v>85</v>
      </c>
      <c r="Z7" s="229">
        <v>86</v>
      </c>
      <c r="AA7" s="229">
        <v>87</v>
      </c>
      <c r="AB7" s="229">
        <v>88</v>
      </c>
      <c r="AC7" s="229">
        <v>89</v>
      </c>
      <c r="AD7" s="228">
        <v>90</v>
      </c>
      <c r="AE7" s="229">
        <v>91</v>
      </c>
      <c r="AF7" s="229">
        <v>92</v>
      </c>
      <c r="AG7" s="229">
        <v>93</v>
      </c>
      <c r="AH7" s="229">
        <v>94</v>
      </c>
      <c r="AI7" s="229">
        <v>95</v>
      </c>
      <c r="AJ7" s="229">
        <v>96</v>
      </c>
      <c r="AK7" s="228">
        <v>97</v>
      </c>
      <c r="AL7" s="229">
        <v>98</v>
      </c>
      <c r="AM7" s="229">
        <v>99</v>
      </c>
      <c r="AN7" s="229">
        <v>100</v>
      </c>
      <c r="AO7" s="229">
        <v>101</v>
      </c>
      <c r="AP7" s="229">
        <v>102</v>
      </c>
    </row>
    <row r="8" spans="2:42" s="157" customFormat="1" x14ac:dyDescent="0.2">
      <c r="B8" s="158"/>
    </row>
    <row r="9" spans="2:42" s="182" customFormat="1" x14ac:dyDescent="0.2">
      <c r="B9" s="190" t="s">
        <v>54</v>
      </c>
      <c r="C9" s="191">
        <f ca="1">'Budget 27'!C4</f>
        <v>2999656.7204715218</v>
      </c>
      <c r="D9" s="191">
        <f t="shared" ref="D9:E9" ca="1" si="0">C156</f>
        <v>1805386.1515277794</v>
      </c>
      <c r="E9" s="191">
        <f t="shared" ca="1" si="0"/>
        <v>1756253.954844448</v>
      </c>
      <c r="F9" s="191">
        <f t="shared" ref="F9" ca="1" si="1">E156</f>
        <v>1706961.000235213</v>
      </c>
      <c r="G9" s="191">
        <f t="shared" ref="G9" ca="1" si="2">F156</f>
        <v>1655896.9084526885</v>
      </c>
      <c r="H9" s="191">
        <f t="shared" ref="H9" ca="1" si="3">G156</f>
        <v>1627645.9605255439</v>
      </c>
      <c r="I9" s="191">
        <f t="shared" ref="I9" ca="1" si="4">H156</f>
        <v>1597910.3577262007</v>
      </c>
      <c r="J9" s="191">
        <f t="shared" ref="J9" ca="1" si="5">I156</f>
        <v>1566646.6064793814</v>
      </c>
      <c r="K9" s="191">
        <f t="shared" ref="K9" ca="1" si="6">J156</f>
        <v>1553765.6482816448</v>
      </c>
      <c r="L9" s="191">
        <f t="shared" ref="L9" ca="1" si="7">K156</f>
        <v>1564697.4326129367</v>
      </c>
      <c r="M9" s="191">
        <f t="shared" ref="M9" ca="1" si="8">L156</f>
        <v>1574587.243564494</v>
      </c>
      <c r="N9" s="191">
        <f t="shared" ref="N9" ca="1" si="9">M156</f>
        <v>1583395.9269886431</v>
      </c>
      <c r="O9" s="191">
        <f t="shared" ref="O9" ca="1" si="10">N156</f>
        <v>1607590.5900965799</v>
      </c>
      <c r="P9" s="191">
        <f t="shared" ref="P9" ca="1" si="11">O156</f>
        <v>1325163.7950269862</v>
      </c>
      <c r="Q9" s="191">
        <f t="shared" ref="Q9" ca="1" si="12">P156</f>
        <v>1344175.2832047082</v>
      </c>
      <c r="R9" s="191">
        <f t="shared" ref="R9" ca="1" si="13">Q156</f>
        <v>1362457.0312361093</v>
      </c>
      <c r="S9" s="191">
        <f t="shared" ref="S9" ca="1" si="14">R156</f>
        <v>1379977.8914213427</v>
      </c>
      <c r="T9" s="191">
        <f t="shared" ref="T9" ca="1" si="15">S156</f>
        <v>1396705.8467316423</v>
      </c>
      <c r="U9" s="191">
        <f t="shared" ref="U9" ca="1" si="16">T156</f>
        <v>1417116.6573654404</v>
      </c>
      <c r="V9" s="191">
        <f t="shared" ref="V9" ca="1" si="17">U156</f>
        <v>1436815.6411955203</v>
      </c>
      <c r="W9" s="191">
        <f t="shared" ref="W9" ca="1" si="18">V156</f>
        <v>1455771.7340207072</v>
      </c>
      <c r="X9" s="191">
        <f t="shared" ref="X9" ca="1" si="19">W156</f>
        <v>1486939.9982904745</v>
      </c>
      <c r="Y9" s="191">
        <f t="shared" ref="Y9" ca="1" si="20">X156</f>
        <v>1517466.605825535</v>
      </c>
      <c r="Z9" s="191">
        <f t="shared" ref="Z9" ca="1" si="21">Y156</f>
        <v>1547319.9184839651</v>
      </c>
      <c r="AA9" s="191">
        <f t="shared" ref="AA9" ca="1" si="22">Z156</f>
        <v>1576467.3858368024</v>
      </c>
      <c r="AB9" s="191">
        <f t="shared" ref="AB9" ca="1" si="23">AA156</f>
        <v>1604875.5228331324</v>
      </c>
      <c r="AC9" s="191">
        <f t="shared" ref="AC9" ca="1" si="24">AB156</f>
        <v>1632509.886960373</v>
      </c>
      <c r="AD9" s="191">
        <f t="shared" ref="AD9" ca="1" si="25">AC156</f>
        <v>1659335.0548888727</v>
      </c>
      <c r="AE9" s="191">
        <f t="shared" ref="AE9" ca="1" si="26">AD156</f>
        <v>1705837.010213257</v>
      </c>
      <c r="AF9" s="191">
        <f t="shared" ref="AF9" ca="1" si="27">AE156</f>
        <v>1752472.4838800833</v>
      </c>
      <c r="AG9" s="191">
        <f t="shared" ref="AG9" ca="1" si="28">AF156</f>
        <v>1799231.0260035079</v>
      </c>
      <c r="AH9" s="191">
        <f t="shared" ref="AH9" ca="1" si="29">AG156</f>
        <v>1846101.7653032988</v>
      </c>
      <c r="AI9" s="191">
        <f t="shared" ref="AI9" ca="1" si="30">AH156</f>
        <v>1893073.3973289893</v>
      </c>
      <c r="AJ9" s="191">
        <f t="shared" ref="AJ9" ca="1" si="31">AI156</f>
        <v>1940134.1723974452</v>
      </c>
      <c r="AK9" s="191">
        <f t="shared" ref="AK9" ca="1" si="32">AJ156</f>
        <v>1987271.8832373586</v>
      </c>
      <c r="AL9" s="191">
        <f t="shared" ref="AL9" ca="1" si="33">AK156</f>
        <v>2047883.897515964</v>
      </c>
      <c r="AM9" s="191">
        <f t="shared" ref="AM9" ca="1" si="34">AL156</f>
        <v>2108986.6252990891</v>
      </c>
      <c r="AN9" s="191">
        <f t="shared" ref="AN9" ca="1" si="35">AM156</f>
        <v>2170577.3897260297</v>
      </c>
      <c r="AO9" s="191">
        <f t="shared" ref="AO9" ca="1" si="36">AN156</f>
        <v>2232653.250748001</v>
      </c>
      <c r="AP9" s="191">
        <f t="shared" ref="AP9" ca="1" si="37">AO156</f>
        <v>2295210.9964654711</v>
      </c>
    </row>
    <row r="10" spans="2:42" s="193" customFormat="1" ht="5" customHeight="1" x14ac:dyDescent="0.2">
      <c r="B10" s="192"/>
      <c r="C10" s="409"/>
      <c r="D10" s="371">
        <f t="shared" ref="D10:AP10" ca="1" si="38">D9-C9</f>
        <v>-1194270.5689437424</v>
      </c>
      <c r="E10" s="371">
        <f t="shared" ca="1" si="38"/>
        <v>-49132.196683331393</v>
      </c>
      <c r="F10" s="371">
        <f t="shared" ca="1" si="38"/>
        <v>-49292.95460923505</v>
      </c>
      <c r="G10" s="371">
        <f t="shared" ca="1" si="38"/>
        <v>-51064.091782524483</v>
      </c>
      <c r="H10" s="371">
        <f t="shared" ca="1" si="38"/>
        <v>-28250.947927144589</v>
      </c>
      <c r="I10" s="371">
        <f t="shared" ca="1" si="38"/>
        <v>-29735.602799343178</v>
      </c>
      <c r="J10" s="371">
        <f t="shared" ca="1" si="38"/>
        <v>-31263.751246819273</v>
      </c>
      <c r="K10" s="371">
        <f t="shared" ca="1" si="38"/>
        <v>-12880.958197736647</v>
      </c>
      <c r="L10" s="371">
        <f t="shared" ca="1" si="38"/>
        <v>10931.784331291914</v>
      </c>
      <c r="M10" s="371">
        <f t="shared" ca="1" si="38"/>
        <v>9889.8109515572432</v>
      </c>
      <c r="N10" s="371">
        <f t="shared" ca="1" si="38"/>
        <v>8808.6834241491742</v>
      </c>
      <c r="O10" s="371">
        <f t="shared" ca="1" si="38"/>
        <v>24194.663107936736</v>
      </c>
      <c r="P10" s="371">
        <f t="shared" ca="1" si="38"/>
        <v>-282426.7950695937</v>
      </c>
      <c r="Q10" s="371">
        <f t="shared" ca="1" si="38"/>
        <v>19011.488177722087</v>
      </c>
      <c r="R10" s="371">
        <f t="shared" ca="1" si="38"/>
        <v>18281.748031401075</v>
      </c>
      <c r="S10" s="371">
        <f t="shared" ca="1" si="38"/>
        <v>17520.86018523341</v>
      </c>
      <c r="T10" s="371">
        <f t="shared" ca="1" si="38"/>
        <v>16727.955310299527</v>
      </c>
      <c r="U10" s="371">
        <f t="shared" ca="1" si="38"/>
        <v>20410.81063379813</v>
      </c>
      <c r="V10" s="371">
        <f t="shared" ca="1" si="38"/>
        <v>19698.983830079902</v>
      </c>
      <c r="W10" s="371">
        <f t="shared" ca="1" si="38"/>
        <v>18956.092825186905</v>
      </c>
      <c r="X10" s="371">
        <f t="shared" ca="1" si="38"/>
        <v>31168.264269767329</v>
      </c>
      <c r="Y10" s="371">
        <f t="shared" ca="1" si="38"/>
        <v>30526.607535060495</v>
      </c>
      <c r="Z10" s="371">
        <f t="shared" ca="1" si="38"/>
        <v>29853.312658430077</v>
      </c>
      <c r="AA10" s="371">
        <f t="shared" ca="1" si="38"/>
        <v>29147.467352837324</v>
      </c>
      <c r="AB10" s="371">
        <f t="shared" ca="1" si="38"/>
        <v>28408.136996329995</v>
      </c>
      <c r="AC10" s="371">
        <f t="shared" ca="1" si="38"/>
        <v>27634.364127240609</v>
      </c>
      <c r="AD10" s="371">
        <f t="shared" ca="1" si="38"/>
        <v>26825.167928499635</v>
      </c>
      <c r="AE10" s="371">
        <f t="shared" ca="1" si="38"/>
        <v>46501.955324384384</v>
      </c>
      <c r="AF10" s="371">
        <f t="shared" ca="1" si="38"/>
        <v>46635.473666826263</v>
      </c>
      <c r="AG10" s="371">
        <f t="shared" ca="1" si="38"/>
        <v>46758.542123424588</v>
      </c>
      <c r="AH10" s="371">
        <f t="shared" ca="1" si="38"/>
        <v>46870.739299790934</v>
      </c>
      <c r="AI10" s="371">
        <f t="shared" ca="1" si="38"/>
        <v>46971.632025690516</v>
      </c>
      <c r="AJ10" s="371">
        <f t="shared" ca="1" si="38"/>
        <v>47060.775068455841</v>
      </c>
      <c r="AK10" s="371">
        <f t="shared" ca="1" si="38"/>
        <v>47137.710839913459</v>
      </c>
      <c r="AL10" s="371">
        <f t="shared" ca="1" si="38"/>
        <v>60612.014278605347</v>
      </c>
      <c r="AM10" s="371">
        <f t="shared" ca="1" si="38"/>
        <v>61102.727783125127</v>
      </c>
      <c r="AN10" s="371">
        <f t="shared" ca="1" si="38"/>
        <v>61590.764426940586</v>
      </c>
      <c r="AO10" s="371">
        <f t="shared" ca="1" si="38"/>
        <v>62075.86102197133</v>
      </c>
      <c r="AP10" s="371">
        <f t="shared" ca="1" si="38"/>
        <v>62557.745717470068</v>
      </c>
    </row>
    <row r="11" spans="2:42" s="182" customFormat="1" x14ac:dyDescent="0.2">
      <c r="B11" s="194" t="s">
        <v>53</v>
      </c>
      <c r="C11" s="195">
        <f t="shared" ref="C11:AP11" ca="1" si="39">C123+C15</f>
        <v>1426831.4160533333</v>
      </c>
      <c r="D11" s="195">
        <f t="shared" ca="1" si="39"/>
        <v>108197.66071869477</v>
      </c>
      <c r="E11" s="195">
        <f t="shared" ca="1" si="39"/>
        <v>107761.32680254274</v>
      </c>
      <c r="F11" s="195">
        <f t="shared" ca="1" si="39"/>
        <v>108906.18550410315</v>
      </c>
      <c r="G11" s="195">
        <f t="shared" ca="1" si="39"/>
        <v>85919.704396626563</v>
      </c>
      <c r="H11" s="195">
        <f t="shared" ca="1" si="39"/>
        <v>87207.620180431622</v>
      </c>
      <c r="I11" s="195">
        <f t="shared" ca="1" si="39"/>
        <v>88514.860523668773</v>
      </c>
      <c r="J11" s="195">
        <f t="shared" ca="1" si="39"/>
        <v>89724.546715799224</v>
      </c>
      <c r="K11" s="195">
        <f t="shared" ca="1" si="39"/>
        <v>89218.346242131171</v>
      </c>
      <c r="L11" s="195">
        <f t="shared" ca="1" si="39"/>
        <v>90864.254903258698</v>
      </c>
      <c r="M11" s="195">
        <f t="shared" ca="1" si="39"/>
        <v>92534.269394384813</v>
      </c>
      <c r="N11" s="195">
        <f t="shared" ca="1" si="39"/>
        <v>78045.105065681128</v>
      </c>
      <c r="O11" s="195">
        <f t="shared" ca="1" si="39"/>
        <v>379557.5292967757</v>
      </c>
      <c r="P11" s="195">
        <f t="shared" ca="1" si="39"/>
        <v>78927.197871736775</v>
      </c>
      <c r="Q11" s="195">
        <f t="shared" ca="1" si="39"/>
        <v>80457.108873178659</v>
      </c>
      <c r="R11" s="195">
        <f t="shared" ca="1" si="39"/>
        <v>82009.873783046147</v>
      </c>
      <c r="S11" s="195">
        <f t="shared" ca="1" si="39"/>
        <v>83585.833529053038</v>
      </c>
      <c r="T11" s="195">
        <f t="shared" ca="1" si="39"/>
        <v>80765.071762317588</v>
      </c>
      <c r="U11" s="195">
        <f t="shared" ca="1" si="39"/>
        <v>82331.962958244112</v>
      </c>
      <c r="V11" s="195">
        <f t="shared" ca="1" si="39"/>
        <v>83922.384012163253</v>
      </c>
      <c r="W11" s="195">
        <f t="shared" ca="1" si="39"/>
        <v>85536.687529152041</v>
      </c>
      <c r="X11" s="195">
        <f t="shared" ca="1" si="39"/>
        <v>87267.129473405497</v>
      </c>
      <c r="Y11" s="195">
        <f t="shared" ca="1" si="39"/>
        <v>89023.361063418663</v>
      </c>
      <c r="Z11" s="195">
        <f t="shared" ca="1" si="39"/>
        <v>90805.76664298767</v>
      </c>
      <c r="AA11" s="195">
        <f t="shared" ca="1" si="39"/>
        <v>92614.736219408485</v>
      </c>
      <c r="AB11" s="195">
        <f t="shared" ca="1" si="39"/>
        <v>94450.665545258162</v>
      </c>
      <c r="AC11" s="195">
        <f t="shared" ca="1" si="39"/>
        <v>96313.956201323876</v>
      </c>
      <c r="AD11" s="195">
        <f t="shared" ca="1" si="39"/>
        <v>61230.886637995245</v>
      </c>
      <c r="AE11" s="195">
        <f t="shared" ca="1" si="39"/>
        <v>62555.862268393619</v>
      </c>
      <c r="AF11" s="195">
        <f t="shared" ca="1" si="39"/>
        <v>63901.861985435753</v>
      </c>
      <c r="AG11" s="195">
        <f t="shared" ca="1" si="39"/>
        <v>65269.216437560128</v>
      </c>
      <c r="AH11" s="195">
        <f t="shared" ca="1" si="39"/>
        <v>66658.261391762528</v>
      </c>
      <c r="AI11" s="195">
        <f t="shared" ca="1" si="39"/>
        <v>68069.337811210513</v>
      </c>
      <c r="AJ11" s="195">
        <f t="shared" ca="1" si="39"/>
        <v>69502.791934005625</v>
      </c>
      <c r="AK11" s="195">
        <f t="shared" ca="1" si="39"/>
        <v>57811.872233590111</v>
      </c>
      <c r="AL11" s="195">
        <f t="shared" ca="1" si="39"/>
        <v>59123.087993819405</v>
      </c>
      <c r="AM11" s="195">
        <f t="shared" ca="1" si="39"/>
        <v>60455.60750915738</v>
      </c>
      <c r="AN11" s="195">
        <f t="shared" ca="1" si="39"/>
        <v>61809.77218289514</v>
      </c>
      <c r="AO11" s="195">
        <f t="shared" ca="1" si="39"/>
        <v>63185.928788533274</v>
      </c>
      <c r="AP11" s="195">
        <f t="shared" ca="1" si="39"/>
        <v>64584.429552420101</v>
      </c>
    </row>
    <row r="12" spans="2:42" s="157" customFormat="1" ht="6" customHeight="1" x14ac:dyDescent="0.2">
      <c r="B12" s="158"/>
      <c r="C12" s="158"/>
    </row>
    <row r="13" spans="2:42" s="182" customFormat="1" x14ac:dyDescent="0.2">
      <c r="B13" s="194" t="s">
        <v>52</v>
      </c>
      <c r="C13" s="195">
        <f ca="1">C142</f>
        <v>232560.84710959083</v>
      </c>
      <c r="D13" s="195">
        <f ca="1">D142</f>
        <v>59065.464035363373</v>
      </c>
      <c r="E13" s="195">
        <f t="shared" ref="E13:AP13" ca="1" si="40">E142</f>
        <v>58468.372193307514</v>
      </c>
      <c r="F13" s="195">
        <f t="shared" ca="1" si="40"/>
        <v>57842.09372157864</v>
      </c>
      <c r="G13" s="195">
        <f t="shared" ca="1" si="40"/>
        <v>57668.756469482032</v>
      </c>
      <c r="H13" s="195">
        <f t="shared" ca="1" si="40"/>
        <v>57472.017381088452</v>
      </c>
      <c r="I13" s="195">
        <f t="shared" ca="1" si="40"/>
        <v>57251.109276849638</v>
      </c>
      <c r="J13" s="195">
        <f t="shared" ca="1" si="40"/>
        <v>76843.588518062636</v>
      </c>
      <c r="K13" s="195">
        <f t="shared" ca="1" si="40"/>
        <v>100150.13057342311</v>
      </c>
      <c r="L13" s="195">
        <f t="shared" ca="1" si="40"/>
        <v>100754.06585481591</v>
      </c>
      <c r="M13" s="195">
        <f t="shared" ca="1" si="40"/>
        <v>101342.95281853386</v>
      </c>
      <c r="N13" s="195">
        <f t="shared" ca="1" si="40"/>
        <v>102239.76817361789</v>
      </c>
      <c r="O13" s="195">
        <f t="shared" ca="1" si="40"/>
        <v>97130.734227182111</v>
      </c>
      <c r="P13" s="195">
        <f t="shared" ca="1" si="40"/>
        <v>97938.686049458804</v>
      </c>
      <c r="Q13" s="195">
        <f t="shared" ca="1" si="40"/>
        <v>98738.856904579719</v>
      </c>
      <c r="R13" s="195">
        <f t="shared" ca="1" si="40"/>
        <v>99530.73396827963</v>
      </c>
      <c r="S13" s="195">
        <f t="shared" ca="1" si="40"/>
        <v>100313.78883935243</v>
      </c>
      <c r="T13" s="195">
        <f t="shared" ca="1" si="40"/>
        <v>101175.88239611575</v>
      </c>
      <c r="U13" s="195">
        <f t="shared" ca="1" si="40"/>
        <v>102030.9467883241</v>
      </c>
      <c r="V13" s="195">
        <f t="shared" ca="1" si="40"/>
        <v>102878.47683735003</v>
      </c>
      <c r="W13" s="195">
        <f t="shared" ca="1" si="40"/>
        <v>116704.95179891924</v>
      </c>
      <c r="X13" s="195">
        <f t="shared" ca="1" si="40"/>
        <v>117793.73700846583</v>
      </c>
      <c r="Y13" s="195">
        <f t="shared" ca="1" si="40"/>
        <v>118876.67372184864</v>
      </c>
      <c r="Z13" s="195">
        <f t="shared" ca="1" si="40"/>
        <v>119953.23399582496</v>
      </c>
      <c r="AA13" s="195">
        <f t="shared" ca="1" si="40"/>
        <v>121022.87321573838</v>
      </c>
      <c r="AB13" s="195">
        <f t="shared" ca="1" si="40"/>
        <v>122085.02967249884</v>
      </c>
      <c r="AC13" s="195">
        <f t="shared" ca="1" si="40"/>
        <v>123139.12412982345</v>
      </c>
      <c r="AD13" s="195">
        <f t="shared" ca="1" si="40"/>
        <v>107732.84196237965</v>
      </c>
      <c r="AE13" s="195">
        <f t="shared" ca="1" si="40"/>
        <v>109191.3359352198</v>
      </c>
      <c r="AF13" s="195">
        <f t="shared" ca="1" si="40"/>
        <v>110660.40410886033</v>
      </c>
      <c r="AG13" s="195">
        <f t="shared" ca="1" si="40"/>
        <v>112139.95573735086</v>
      </c>
      <c r="AH13" s="195">
        <f t="shared" ca="1" si="40"/>
        <v>113629.89341745309</v>
      </c>
      <c r="AI13" s="195">
        <f t="shared" ca="1" si="40"/>
        <v>115130.11287966627</v>
      </c>
      <c r="AJ13" s="195">
        <f t="shared" ca="1" si="40"/>
        <v>116640.50277391914</v>
      </c>
      <c r="AK13" s="195">
        <f t="shared" ca="1" si="40"/>
        <v>118423.88651219549</v>
      </c>
      <c r="AL13" s="195">
        <f t="shared" ca="1" si="40"/>
        <v>120225.81577694482</v>
      </c>
      <c r="AM13" s="195">
        <f t="shared" ca="1" si="40"/>
        <v>122046.37193609809</v>
      </c>
      <c r="AN13" s="195">
        <f t="shared" ca="1" si="40"/>
        <v>123885.63320486664</v>
      </c>
      <c r="AO13" s="195">
        <f t="shared" ca="1" si="40"/>
        <v>125743.67450600336</v>
      </c>
      <c r="AP13" s="195">
        <f t="shared" ca="1" si="40"/>
        <v>127620.56732607723</v>
      </c>
    </row>
    <row r="14" spans="2:42" s="157" customFormat="1" ht="26" customHeight="1" x14ac:dyDescent="0.2">
      <c r="B14" s="158"/>
      <c r="C14" s="158"/>
    </row>
    <row r="15" spans="2:42" s="182" customFormat="1" x14ac:dyDescent="0.2">
      <c r="B15" s="196" t="s">
        <v>58</v>
      </c>
      <c r="C15" s="195">
        <f t="shared" ref="C15:AP15" ca="1" si="41">C17+C26+C38+C43+C48+C51+C64+C74+C79+C86+C93+C99+C104+C109+C114</f>
        <v>94498.808053333341</v>
      </c>
      <c r="D15" s="195">
        <f t="shared" ca="1" si="41"/>
        <v>102777.71489439999</v>
      </c>
      <c r="E15" s="195">
        <f t="shared" ca="1" si="41"/>
        <v>102488.00778282346</v>
      </c>
      <c r="F15" s="195">
        <f t="shared" ca="1" si="41"/>
        <v>103776.93631406678</v>
      </c>
      <c r="G15" s="195">
        <f t="shared" ca="1" si="41"/>
        <v>80939.70608414225</v>
      </c>
      <c r="H15" s="195">
        <f t="shared" ca="1" si="41"/>
        <v>82308.350565620203</v>
      </c>
      <c r="I15" s="195">
        <f t="shared" ca="1" si="41"/>
        <v>83700.619349983594</v>
      </c>
      <c r="J15" s="195">
        <f t="shared" ca="1" si="41"/>
        <v>84999.762732179908</v>
      </c>
      <c r="K15" s="195">
        <f t="shared" ca="1" si="41"/>
        <v>84527.713973964099</v>
      </c>
      <c r="L15" s="195">
        <f t="shared" ca="1" si="41"/>
        <v>86136.159928510766</v>
      </c>
      <c r="M15" s="195">
        <f t="shared" ca="1" si="41"/>
        <v>87771.636352936635</v>
      </c>
      <c r="N15" s="195">
        <f t="shared" ca="1" si="41"/>
        <v>73250.97161874584</v>
      </c>
      <c r="O15" s="195">
        <f t="shared" ca="1" si="41"/>
        <v>74685.528836856305</v>
      </c>
      <c r="P15" s="195">
        <f t="shared" ca="1" si="41"/>
        <v>74896.965441702851</v>
      </c>
      <c r="Q15" s="195">
        <f t="shared" ca="1" si="41"/>
        <v>76364.366995616321</v>
      </c>
      <c r="R15" s="195">
        <f t="shared" ca="1" si="41"/>
        <v>77856.592161293083</v>
      </c>
      <c r="S15" s="195">
        <f t="shared" ca="1" si="41"/>
        <v>79374.06993864695</v>
      </c>
      <c r="T15" s="195">
        <f t="shared" ca="1" si="41"/>
        <v>76496.974602400733</v>
      </c>
      <c r="U15" s="195">
        <f t="shared" ca="1" si="41"/>
        <v>77996.24786463716</v>
      </c>
      <c r="V15" s="195">
        <f t="shared" ca="1" si="41"/>
        <v>79520.941113169858</v>
      </c>
      <c r="W15" s="195">
        <f t="shared" ca="1" si="41"/>
        <v>81071.49415540311</v>
      </c>
      <c r="X15" s="195">
        <f t="shared" ca="1" si="41"/>
        <v>82701.291708446966</v>
      </c>
      <c r="Y15" s="195">
        <f t="shared" ca="1" si="41"/>
        <v>84358.528775416984</v>
      </c>
      <c r="Z15" s="195">
        <f t="shared" ca="1" si="41"/>
        <v>86043.677494299467</v>
      </c>
      <c r="AA15" s="195">
        <f t="shared" ca="1" si="41"/>
        <v>87757.218306454015</v>
      </c>
      <c r="AB15" s="195">
        <f t="shared" ca="1" si="41"/>
        <v>89499.640106012652</v>
      </c>
      <c r="AC15" s="195">
        <f t="shared" ca="1" si="41"/>
        <v>91271.440392030578</v>
      </c>
      <c r="AD15" s="195">
        <f t="shared" ca="1" si="41"/>
        <v>56098.996380740333</v>
      </c>
      <c r="AE15" s="195">
        <f t="shared" ca="1" si="41"/>
        <v>57275.251467412141</v>
      </c>
      <c r="AF15" s="195">
        <f t="shared" ca="1" si="41"/>
        <v>58471.784906605913</v>
      </c>
      <c r="AG15" s="195">
        <f t="shared" ca="1" si="41"/>
        <v>59688.948785071269</v>
      </c>
      <c r="AH15" s="195">
        <f t="shared" ca="1" si="41"/>
        <v>60927.101365529117</v>
      </c>
      <c r="AI15" s="195">
        <f t="shared" ca="1" si="41"/>
        <v>62186.60719654437</v>
      </c>
      <c r="AJ15" s="195">
        <f t="shared" ca="1" si="41"/>
        <v>63467.837224387709</v>
      </c>
      <c r="AK15" s="195">
        <f t="shared" ca="1" si="41"/>
        <v>51624.065787403488</v>
      </c>
      <c r="AL15" s="195">
        <f t="shared" ca="1" si="41"/>
        <v>52741.602690181164</v>
      </c>
      <c r="AM15" s="195">
        <f t="shared" ca="1" si="41"/>
        <v>53878.549269571697</v>
      </c>
      <c r="AN15" s="195">
        <f t="shared" ca="1" si="41"/>
        <v>55035.242803210502</v>
      </c>
      <c r="AO15" s="195">
        <f t="shared" ca="1" si="41"/>
        <v>56212.026459714391</v>
      </c>
      <c r="AP15" s="195">
        <f t="shared" ca="1" si="41"/>
        <v>57409.249402646739</v>
      </c>
    </row>
    <row r="16" spans="2:42" s="182" customFormat="1" x14ac:dyDescent="0.2">
      <c r="B16" s="197"/>
      <c r="C16" s="197"/>
      <c r="D16" s="198"/>
      <c r="E16" s="198"/>
      <c r="F16" s="198"/>
      <c r="G16" s="198"/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  <c r="AA16" s="198"/>
      <c r="AB16" s="198"/>
      <c r="AC16" s="198"/>
      <c r="AD16" s="198"/>
      <c r="AE16" s="198"/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</row>
    <row r="17" spans="2:42" s="147" customFormat="1" x14ac:dyDescent="0.2">
      <c r="B17" s="199" t="str">
        <f>'Conto Economico'!A83</f>
        <v>Spese Generali</v>
      </c>
      <c r="C17" s="113">
        <f>SUM(C18:C24)</f>
        <v>2150</v>
      </c>
      <c r="D17" s="200">
        <f t="shared" ref="D17:AP17" si="42">SUM(D18:D24)</f>
        <v>2193</v>
      </c>
      <c r="E17" s="200">
        <f t="shared" si="42"/>
        <v>2236.86</v>
      </c>
      <c r="F17" s="200">
        <f t="shared" si="42"/>
        <v>2281.5972000000002</v>
      </c>
      <c r="G17" s="200">
        <f t="shared" si="42"/>
        <v>2327.2291440000004</v>
      </c>
      <c r="H17" s="200">
        <f t="shared" si="42"/>
        <v>2373.7737268800001</v>
      </c>
      <c r="I17" s="200">
        <f t="shared" si="42"/>
        <v>2421.2492014176</v>
      </c>
      <c r="J17" s="200">
        <f t="shared" si="42"/>
        <v>2469.6741854459519</v>
      </c>
      <c r="K17" s="200">
        <f t="shared" si="42"/>
        <v>2519.0676691548706</v>
      </c>
      <c r="L17" s="200">
        <f t="shared" si="42"/>
        <v>2569.4490225379682</v>
      </c>
      <c r="M17" s="200">
        <f t="shared" si="42"/>
        <v>2620.838002988728</v>
      </c>
      <c r="N17" s="200">
        <f t="shared" si="42"/>
        <v>2457.8990821827615</v>
      </c>
      <c r="O17" s="200">
        <f t="shared" si="42"/>
        <v>2507.0570638264171</v>
      </c>
      <c r="P17" s="200">
        <f t="shared" si="42"/>
        <v>2557.1982051029454</v>
      </c>
      <c r="Q17" s="200">
        <f t="shared" si="42"/>
        <v>2608.3421692050042</v>
      </c>
      <c r="R17" s="200">
        <f t="shared" si="42"/>
        <v>2660.5090125891043</v>
      </c>
      <c r="S17" s="200">
        <f t="shared" si="42"/>
        <v>2713.7191928408865</v>
      </c>
      <c r="T17" s="200">
        <f t="shared" si="42"/>
        <v>2767.9935766977037</v>
      </c>
      <c r="U17" s="200">
        <f t="shared" si="42"/>
        <v>2823.3534482316586</v>
      </c>
      <c r="V17" s="200">
        <f t="shared" si="42"/>
        <v>2879.8205171962918</v>
      </c>
      <c r="W17" s="200">
        <f t="shared" si="42"/>
        <v>2937.4169275402169</v>
      </c>
      <c r="X17" s="200">
        <f t="shared" si="42"/>
        <v>2996.1652660910213</v>
      </c>
      <c r="Y17" s="200">
        <f t="shared" si="42"/>
        <v>3056.0885714128417</v>
      </c>
      <c r="Z17" s="200">
        <f t="shared" si="42"/>
        <v>3117.2103428410987</v>
      </c>
      <c r="AA17" s="200">
        <f t="shared" si="42"/>
        <v>3179.5545496979203</v>
      </c>
      <c r="AB17" s="200">
        <f t="shared" si="42"/>
        <v>3243.1456406918792</v>
      </c>
      <c r="AC17" s="200">
        <f t="shared" si="42"/>
        <v>3308.0085535057165</v>
      </c>
      <c r="AD17" s="200">
        <f t="shared" si="42"/>
        <v>1620.535914465778</v>
      </c>
      <c r="AE17" s="200">
        <f t="shared" si="42"/>
        <v>1652.9466327550936</v>
      </c>
      <c r="AF17" s="200">
        <f t="shared" si="42"/>
        <v>1686.0055654101952</v>
      </c>
      <c r="AG17" s="200">
        <f t="shared" si="42"/>
        <v>1719.725676718399</v>
      </c>
      <c r="AH17" s="200">
        <f t="shared" si="42"/>
        <v>1754.1201902527671</v>
      </c>
      <c r="AI17" s="200">
        <f t="shared" si="42"/>
        <v>1789.2025940578224</v>
      </c>
      <c r="AJ17" s="200">
        <f t="shared" si="42"/>
        <v>1824.9866459389787</v>
      </c>
      <c r="AK17" s="200">
        <f t="shared" si="42"/>
        <v>1861.4863788577584</v>
      </c>
      <c r="AL17" s="200">
        <f t="shared" si="42"/>
        <v>1898.7161064349139</v>
      </c>
      <c r="AM17" s="200">
        <f t="shared" si="42"/>
        <v>1936.6904285636119</v>
      </c>
      <c r="AN17" s="200">
        <f t="shared" si="42"/>
        <v>1975.4242371348844</v>
      </c>
      <c r="AO17" s="200">
        <f t="shared" si="42"/>
        <v>2014.9327218775818</v>
      </c>
      <c r="AP17" s="200">
        <f t="shared" si="42"/>
        <v>2055.2313763151333</v>
      </c>
    </row>
    <row r="18" spans="2:42" s="147" customFormat="1" x14ac:dyDescent="0.2">
      <c r="B18" s="181" t="str">
        <f>'Conto Economico'!A84</f>
        <v>Arredamento</v>
      </c>
      <c r="C18" s="47">
        <f>'Budget 27'!E14</f>
        <v>300</v>
      </c>
      <c r="D18" s="201">
        <f t="shared" ref="D18:AC18" si="43">C18+C18*$C$159</f>
        <v>306</v>
      </c>
      <c r="E18" s="201">
        <f t="shared" si="43"/>
        <v>312.12</v>
      </c>
      <c r="F18" s="201">
        <f t="shared" si="43"/>
        <v>318.36239999999998</v>
      </c>
      <c r="G18" s="201">
        <f t="shared" si="43"/>
        <v>324.729648</v>
      </c>
      <c r="H18" s="201">
        <f t="shared" si="43"/>
        <v>331.22424095999997</v>
      </c>
      <c r="I18" s="201">
        <f t="shared" si="43"/>
        <v>337.84872577919998</v>
      </c>
      <c r="J18" s="201">
        <f t="shared" si="43"/>
        <v>344.60570029478396</v>
      </c>
      <c r="K18" s="201">
        <f t="shared" si="43"/>
        <v>351.49781430067964</v>
      </c>
      <c r="L18" s="201">
        <f t="shared" si="43"/>
        <v>358.52777058669324</v>
      </c>
      <c r="M18" s="201">
        <f t="shared" si="43"/>
        <v>365.69832599842709</v>
      </c>
      <c r="N18" s="201">
        <f t="shared" si="43"/>
        <v>373.01229251839561</v>
      </c>
      <c r="O18" s="201">
        <f t="shared" si="43"/>
        <v>380.47253836876354</v>
      </c>
      <c r="P18" s="201">
        <f t="shared" si="43"/>
        <v>388.08198913613882</v>
      </c>
      <c r="Q18" s="201">
        <f t="shared" si="43"/>
        <v>395.84362891886161</v>
      </c>
      <c r="R18" s="201">
        <f t="shared" si="43"/>
        <v>403.76050149723886</v>
      </c>
      <c r="S18" s="201">
        <f t="shared" si="43"/>
        <v>411.83571152718366</v>
      </c>
      <c r="T18" s="201">
        <f t="shared" si="43"/>
        <v>420.07242575772733</v>
      </c>
      <c r="U18" s="201">
        <f t="shared" si="43"/>
        <v>428.47387427288186</v>
      </c>
      <c r="V18" s="201">
        <f t="shared" si="43"/>
        <v>437.0433517583395</v>
      </c>
      <c r="W18" s="201">
        <f t="shared" si="43"/>
        <v>445.78421879350628</v>
      </c>
      <c r="X18" s="201">
        <f t="shared" si="43"/>
        <v>454.6999031693764</v>
      </c>
      <c r="Y18" s="201">
        <f t="shared" si="43"/>
        <v>463.79390123276391</v>
      </c>
      <c r="Z18" s="201">
        <f t="shared" si="43"/>
        <v>473.06977925741921</v>
      </c>
      <c r="AA18" s="201">
        <f t="shared" si="43"/>
        <v>482.53117484256762</v>
      </c>
      <c r="AB18" s="201">
        <f t="shared" si="43"/>
        <v>492.18179833941895</v>
      </c>
      <c r="AC18" s="201">
        <f t="shared" si="43"/>
        <v>502.02543430620733</v>
      </c>
      <c r="AD18" s="202">
        <f>AC18/2</f>
        <v>251.01271715310367</v>
      </c>
      <c r="AE18" s="201">
        <f t="shared" ref="AE18:AP18" si="44">AD18+AD18*$C$159</f>
        <v>256.03297149616571</v>
      </c>
      <c r="AF18" s="201">
        <f t="shared" si="44"/>
        <v>261.15363092608902</v>
      </c>
      <c r="AG18" s="201">
        <f t="shared" si="44"/>
        <v>266.37670354461079</v>
      </c>
      <c r="AH18" s="201">
        <f t="shared" si="44"/>
        <v>271.70423761550302</v>
      </c>
      <c r="AI18" s="201">
        <f t="shared" si="44"/>
        <v>277.13832236781309</v>
      </c>
      <c r="AJ18" s="201">
        <f t="shared" si="44"/>
        <v>282.68108881516935</v>
      </c>
      <c r="AK18" s="201">
        <f t="shared" si="44"/>
        <v>288.33471059147274</v>
      </c>
      <c r="AL18" s="201">
        <f t="shared" si="44"/>
        <v>294.10140480330222</v>
      </c>
      <c r="AM18" s="201">
        <f t="shared" si="44"/>
        <v>299.98343289936827</v>
      </c>
      <c r="AN18" s="201">
        <f t="shared" si="44"/>
        <v>305.98310155735561</v>
      </c>
      <c r="AO18" s="201">
        <f t="shared" si="44"/>
        <v>312.10276358850274</v>
      </c>
      <c r="AP18" s="201">
        <f t="shared" si="44"/>
        <v>318.34481886027277</v>
      </c>
    </row>
    <row r="19" spans="2:42" s="147" customFormat="1" x14ac:dyDescent="0.2">
      <c r="B19" s="181" t="str">
        <f>'Conto Economico'!A85</f>
        <v>Cinema - Giochi - Libri - Regali</v>
      </c>
      <c r="C19" s="47">
        <f>'Budget 27'!E15</f>
        <v>300</v>
      </c>
      <c r="D19" s="201">
        <f t="shared" ref="D19:AC19" si="45">C19+C19*$C$159</f>
        <v>306</v>
      </c>
      <c r="E19" s="201">
        <f t="shared" si="45"/>
        <v>312.12</v>
      </c>
      <c r="F19" s="201">
        <f t="shared" si="45"/>
        <v>318.36239999999998</v>
      </c>
      <c r="G19" s="201">
        <f t="shared" si="45"/>
        <v>324.729648</v>
      </c>
      <c r="H19" s="201">
        <f t="shared" si="45"/>
        <v>331.22424095999997</v>
      </c>
      <c r="I19" s="201">
        <f t="shared" si="45"/>
        <v>337.84872577919998</v>
      </c>
      <c r="J19" s="201">
        <f t="shared" si="45"/>
        <v>344.60570029478396</v>
      </c>
      <c r="K19" s="201">
        <f t="shared" si="45"/>
        <v>351.49781430067964</v>
      </c>
      <c r="L19" s="201">
        <f t="shared" si="45"/>
        <v>358.52777058669324</v>
      </c>
      <c r="M19" s="201">
        <f t="shared" si="45"/>
        <v>365.69832599842709</v>
      </c>
      <c r="N19" s="201">
        <f t="shared" si="45"/>
        <v>373.01229251839561</v>
      </c>
      <c r="O19" s="201">
        <f t="shared" si="45"/>
        <v>380.47253836876354</v>
      </c>
      <c r="P19" s="201">
        <f t="shared" si="45"/>
        <v>388.08198913613882</v>
      </c>
      <c r="Q19" s="201">
        <f t="shared" si="45"/>
        <v>395.84362891886161</v>
      </c>
      <c r="R19" s="201">
        <f t="shared" si="45"/>
        <v>403.76050149723886</v>
      </c>
      <c r="S19" s="201">
        <f t="shared" si="45"/>
        <v>411.83571152718366</v>
      </c>
      <c r="T19" s="201">
        <f t="shared" si="45"/>
        <v>420.07242575772733</v>
      </c>
      <c r="U19" s="201">
        <f t="shared" si="45"/>
        <v>428.47387427288186</v>
      </c>
      <c r="V19" s="201">
        <f t="shared" si="45"/>
        <v>437.0433517583395</v>
      </c>
      <c r="W19" s="201">
        <f t="shared" si="45"/>
        <v>445.78421879350628</v>
      </c>
      <c r="X19" s="201">
        <f t="shared" si="45"/>
        <v>454.6999031693764</v>
      </c>
      <c r="Y19" s="201">
        <f t="shared" si="45"/>
        <v>463.79390123276391</v>
      </c>
      <c r="Z19" s="201">
        <f t="shared" si="45"/>
        <v>473.06977925741921</v>
      </c>
      <c r="AA19" s="201">
        <f t="shared" si="45"/>
        <v>482.53117484256762</v>
      </c>
      <c r="AB19" s="201">
        <f t="shared" si="45"/>
        <v>492.18179833941895</v>
      </c>
      <c r="AC19" s="201">
        <f t="shared" si="45"/>
        <v>502.02543430620733</v>
      </c>
      <c r="AD19" s="201">
        <v>0</v>
      </c>
      <c r="AE19" s="201">
        <v>0</v>
      </c>
      <c r="AF19" s="201">
        <v>0</v>
      </c>
      <c r="AG19" s="201">
        <v>0</v>
      </c>
      <c r="AH19" s="201">
        <v>0</v>
      </c>
      <c r="AI19" s="201">
        <v>0</v>
      </c>
      <c r="AJ19" s="201">
        <v>0</v>
      </c>
      <c r="AK19" s="201">
        <v>0</v>
      </c>
      <c r="AL19" s="201">
        <v>0</v>
      </c>
      <c r="AM19" s="201">
        <v>0</v>
      </c>
      <c r="AN19" s="201">
        <v>0</v>
      </c>
      <c r="AO19" s="201">
        <v>0</v>
      </c>
      <c r="AP19" s="201">
        <v>0</v>
      </c>
    </row>
    <row r="20" spans="2:42" s="147" customFormat="1" x14ac:dyDescent="0.2">
      <c r="B20" s="181" t="str">
        <f>'Conto Economico'!A86</f>
        <v>Elettronica e Tecnologia</v>
      </c>
      <c r="C20" s="47">
        <f>'Budget 27'!E16</f>
        <v>500</v>
      </c>
      <c r="D20" s="201">
        <f t="shared" ref="D20:M20" si="46">C20+C20*$C$159</f>
        <v>510</v>
      </c>
      <c r="E20" s="201">
        <f t="shared" si="46"/>
        <v>520.20000000000005</v>
      </c>
      <c r="F20" s="201">
        <f t="shared" si="46"/>
        <v>530.60400000000004</v>
      </c>
      <c r="G20" s="201">
        <f t="shared" si="46"/>
        <v>541.21608000000003</v>
      </c>
      <c r="H20" s="201">
        <f t="shared" si="46"/>
        <v>552.0404016</v>
      </c>
      <c r="I20" s="201">
        <f t="shared" si="46"/>
        <v>563.08120963199997</v>
      </c>
      <c r="J20" s="201">
        <f t="shared" si="46"/>
        <v>574.34283382463991</v>
      </c>
      <c r="K20" s="201">
        <f t="shared" si="46"/>
        <v>585.82969050113275</v>
      </c>
      <c r="L20" s="201">
        <f t="shared" si="46"/>
        <v>597.54628431115543</v>
      </c>
      <c r="M20" s="201">
        <f t="shared" si="46"/>
        <v>609.49720999737849</v>
      </c>
      <c r="N20" s="202">
        <f>M20/3*2</f>
        <v>406.33147333158564</v>
      </c>
      <c r="O20" s="201">
        <f t="shared" ref="O20:AC20" si="47">N20+N20*$C$159</f>
        <v>414.45810279821734</v>
      </c>
      <c r="P20" s="201">
        <f t="shared" si="47"/>
        <v>422.74726485418171</v>
      </c>
      <c r="Q20" s="201">
        <f t="shared" si="47"/>
        <v>431.20221015126532</v>
      </c>
      <c r="R20" s="201">
        <f t="shared" si="47"/>
        <v>439.82625435429065</v>
      </c>
      <c r="S20" s="201">
        <f t="shared" si="47"/>
        <v>448.62277944137645</v>
      </c>
      <c r="T20" s="201">
        <f t="shared" si="47"/>
        <v>457.59523503020398</v>
      </c>
      <c r="U20" s="201">
        <f t="shared" si="47"/>
        <v>466.74713973080804</v>
      </c>
      <c r="V20" s="201">
        <f t="shared" si="47"/>
        <v>476.0820825254242</v>
      </c>
      <c r="W20" s="201">
        <f t="shared" si="47"/>
        <v>485.60372417593265</v>
      </c>
      <c r="X20" s="201">
        <f t="shared" si="47"/>
        <v>495.31579865945133</v>
      </c>
      <c r="Y20" s="201">
        <f t="shared" si="47"/>
        <v>505.22211463264034</v>
      </c>
      <c r="Z20" s="201">
        <f t="shared" si="47"/>
        <v>515.32655692529318</v>
      </c>
      <c r="AA20" s="201">
        <f t="shared" si="47"/>
        <v>525.63308806379905</v>
      </c>
      <c r="AB20" s="201">
        <f t="shared" si="47"/>
        <v>536.14574982507509</v>
      </c>
      <c r="AC20" s="201">
        <f t="shared" si="47"/>
        <v>546.86866482157654</v>
      </c>
      <c r="AD20" s="202">
        <f>AC20/2</f>
        <v>273.43433241078827</v>
      </c>
      <c r="AE20" s="201">
        <f t="shared" ref="AE20:AP20" si="48">AD20+AD20*$C$159</f>
        <v>278.90301905900401</v>
      </c>
      <c r="AF20" s="201">
        <f t="shared" si="48"/>
        <v>284.48107944018409</v>
      </c>
      <c r="AG20" s="201">
        <f t="shared" si="48"/>
        <v>290.17070102898776</v>
      </c>
      <c r="AH20" s="201">
        <f t="shared" si="48"/>
        <v>295.9741150495675</v>
      </c>
      <c r="AI20" s="201">
        <f t="shared" si="48"/>
        <v>301.89359735055888</v>
      </c>
      <c r="AJ20" s="201">
        <f t="shared" si="48"/>
        <v>307.93146929757006</v>
      </c>
      <c r="AK20" s="201">
        <f t="shared" si="48"/>
        <v>314.09009868352149</v>
      </c>
      <c r="AL20" s="201">
        <f t="shared" si="48"/>
        <v>320.37190065719193</v>
      </c>
      <c r="AM20" s="201">
        <f t="shared" si="48"/>
        <v>326.77933867033579</v>
      </c>
      <c r="AN20" s="201">
        <f t="shared" si="48"/>
        <v>333.31492544374248</v>
      </c>
      <c r="AO20" s="201">
        <f t="shared" si="48"/>
        <v>339.98122395261731</v>
      </c>
      <c r="AP20" s="201">
        <f t="shared" si="48"/>
        <v>346.78084843166965</v>
      </c>
    </row>
    <row r="21" spans="2:42" s="147" customFormat="1" x14ac:dyDescent="0.2">
      <c r="B21" s="181" t="str">
        <f>'Conto Economico'!A87</f>
        <v>Elettrodomestici</v>
      </c>
      <c r="C21" s="47">
        <f>'Budget 27'!E17</f>
        <v>100</v>
      </c>
      <c r="D21" s="201">
        <f t="shared" ref="D21:M21" si="49">C21+C21*$C$159</f>
        <v>102</v>
      </c>
      <c r="E21" s="201">
        <f t="shared" si="49"/>
        <v>104.04</v>
      </c>
      <c r="F21" s="201">
        <f t="shared" si="49"/>
        <v>106.1208</v>
      </c>
      <c r="G21" s="201">
        <f t="shared" si="49"/>
        <v>108.243216</v>
      </c>
      <c r="H21" s="201">
        <f t="shared" si="49"/>
        <v>110.40808032000001</v>
      </c>
      <c r="I21" s="201">
        <f t="shared" si="49"/>
        <v>112.61624192640001</v>
      </c>
      <c r="J21" s="201">
        <f t="shared" si="49"/>
        <v>114.868566764928</v>
      </c>
      <c r="K21" s="201">
        <f t="shared" si="49"/>
        <v>117.16593810022657</v>
      </c>
      <c r="L21" s="201">
        <f t="shared" si="49"/>
        <v>119.5092568622311</v>
      </c>
      <c r="M21" s="201">
        <f t="shared" si="49"/>
        <v>121.89944199947573</v>
      </c>
      <c r="N21" s="201">
        <f>M21+M21*$C$159</f>
        <v>124.33743083946524</v>
      </c>
      <c r="O21" s="201">
        <f t="shared" ref="O21:AC21" si="50">N21+N21*$C$159</f>
        <v>126.82417945625454</v>
      </c>
      <c r="P21" s="201">
        <f t="shared" si="50"/>
        <v>129.36066304537962</v>
      </c>
      <c r="Q21" s="201">
        <f t="shared" si="50"/>
        <v>131.94787630628721</v>
      </c>
      <c r="R21" s="201">
        <f t="shared" si="50"/>
        <v>134.58683383241296</v>
      </c>
      <c r="S21" s="201">
        <f t="shared" si="50"/>
        <v>137.27857050906121</v>
      </c>
      <c r="T21" s="201">
        <f t="shared" si="50"/>
        <v>140.02414191924242</v>
      </c>
      <c r="U21" s="201">
        <f t="shared" si="50"/>
        <v>142.82462475762728</v>
      </c>
      <c r="V21" s="201">
        <f t="shared" si="50"/>
        <v>145.68111725277981</v>
      </c>
      <c r="W21" s="201">
        <f t="shared" si="50"/>
        <v>148.5947395978354</v>
      </c>
      <c r="X21" s="201">
        <f t="shared" si="50"/>
        <v>151.56663438979211</v>
      </c>
      <c r="Y21" s="201">
        <f t="shared" si="50"/>
        <v>154.59796707758795</v>
      </c>
      <c r="Z21" s="201">
        <f t="shared" si="50"/>
        <v>157.68992641913971</v>
      </c>
      <c r="AA21" s="201">
        <f t="shared" si="50"/>
        <v>160.8437249475225</v>
      </c>
      <c r="AB21" s="201">
        <f t="shared" si="50"/>
        <v>164.06059944647296</v>
      </c>
      <c r="AC21" s="201">
        <f t="shared" si="50"/>
        <v>167.34181143540243</v>
      </c>
      <c r="AD21" s="202">
        <f>AC21/2</f>
        <v>83.670905717701217</v>
      </c>
      <c r="AE21" s="201">
        <f t="shared" ref="AE21:AP21" si="51">AD21+AD21*$C$159</f>
        <v>85.344323832055238</v>
      </c>
      <c r="AF21" s="201">
        <f t="shared" si="51"/>
        <v>87.051210308696341</v>
      </c>
      <c r="AG21" s="201">
        <f t="shared" si="51"/>
        <v>88.792234514870273</v>
      </c>
      <c r="AH21" s="201">
        <f t="shared" si="51"/>
        <v>90.568079205167678</v>
      </c>
      <c r="AI21" s="201">
        <f t="shared" si="51"/>
        <v>92.37944078927103</v>
      </c>
      <c r="AJ21" s="201">
        <f t="shared" si="51"/>
        <v>94.227029605056444</v>
      </c>
      <c r="AK21" s="201">
        <f t="shared" si="51"/>
        <v>96.111570197157576</v>
      </c>
      <c r="AL21" s="201">
        <f t="shared" si="51"/>
        <v>98.033801601100734</v>
      </c>
      <c r="AM21" s="201">
        <f t="shared" si="51"/>
        <v>99.994477633122756</v>
      </c>
      <c r="AN21" s="201">
        <f t="shared" si="51"/>
        <v>101.99436718578521</v>
      </c>
      <c r="AO21" s="201">
        <f t="shared" si="51"/>
        <v>104.03425452950091</v>
      </c>
      <c r="AP21" s="201">
        <f t="shared" si="51"/>
        <v>106.11493962009094</v>
      </c>
    </row>
    <row r="22" spans="2:42" s="147" customFormat="1" x14ac:dyDescent="0.2">
      <c r="B22" s="181" t="str">
        <f>'Conto Economico'!A88</f>
        <v>Prodotti per la Pulizia - Detersivi</v>
      </c>
      <c r="C22" s="47">
        <f>'Budget 27'!E18</f>
        <v>250</v>
      </c>
      <c r="D22" s="201">
        <f t="shared" ref="D22:M22" si="52">C22+C22*$C$159</f>
        <v>255</v>
      </c>
      <c r="E22" s="201">
        <f t="shared" si="52"/>
        <v>260.10000000000002</v>
      </c>
      <c r="F22" s="201">
        <f t="shared" si="52"/>
        <v>265.30200000000002</v>
      </c>
      <c r="G22" s="201">
        <f t="shared" si="52"/>
        <v>270.60804000000002</v>
      </c>
      <c r="H22" s="201">
        <f t="shared" si="52"/>
        <v>276.0202008</v>
      </c>
      <c r="I22" s="201">
        <f t="shared" si="52"/>
        <v>281.54060481599998</v>
      </c>
      <c r="J22" s="201">
        <f t="shared" si="52"/>
        <v>287.17141691231996</v>
      </c>
      <c r="K22" s="201">
        <f t="shared" si="52"/>
        <v>292.91484525056637</v>
      </c>
      <c r="L22" s="201">
        <f t="shared" si="52"/>
        <v>298.77314215557772</v>
      </c>
      <c r="M22" s="201">
        <f t="shared" si="52"/>
        <v>304.74860499868925</v>
      </c>
      <c r="N22" s="201">
        <f>M22+M22*$C$159</f>
        <v>310.84357709866305</v>
      </c>
      <c r="O22" s="201">
        <f t="shared" ref="O22:AC22" si="53">N22+N22*$C$159</f>
        <v>317.06044864063631</v>
      </c>
      <c r="P22" s="201">
        <f t="shared" si="53"/>
        <v>323.40165761344906</v>
      </c>
      <c r="Q22" s="201">
        <f t="shared" si="53"/>
        <v>329.86969076571802</v>
      </c>
      <c r="R22" s="201">
        <f t="shared" si="53"/>
        <v>336.4670845810324</v>
      </c>
      <c r="S22" s="201">
        <f t="shared" si="53"/>
        <v>343.19642627265307</v>
      </c>
      <c r="T22" s="201">
        <f t="shared" si="53"/>
        <v>350.06035479810612</v>
      </c>
      <c r="U22" s="201">
        <f t="shared" si="53"/>
        <v>357.06156189406823</v>
      </c>
      <c r="V22" s="201">
        <f t="shared" si="53"/>
        <v>364.20279313194959</v>
      </c>
      <c r="W22" s="201">
        <f t="shared" si="53"/>
        <v>371.48684899458857</v>
      </c>
      <c r="X22" s="201">
        <f t="shared" si="53"/>
        <v>378.91658597448031</v>
      </c>
      <c r="Y22" s="201">
        <f t="shared" si="53"/>
        <v>386.49491769396991</v>
      </c>
      <c r="Z22" s="201">
        <f t="shared" si="53"/>
        <v>394.22481604784929</v>
      </c>
      <c r="AA22" s="201">
        <f t="shared" si="53"/>
        <v>402.10931236880629</v>
      </c>
      <c r="AB22" s="201">
        <f t="shared" si="53"/>
        <v>410.15149861618244</v>
      </c>
      <c r="AC22" s="201">
        <f t="shared" si="53"/>
        <v>418.35452858850607</v>
      </c>
      <c r="AD22" s="201">
        <f>AC22+AC22*$C$159</f>
        <v>426.72161916027619</v>
      </c>
      <c r="AE22" s="201">
        <f t="shared" ref="AE22:AP22" si="54">AD22+AD22*$C$159</f>
        <v>435.2560515434817</v>
      </c>
      <c r="AF22" s="201">
        <f t="shared" si="54"/>
        <v>443.96117257435134</v>
      </c>
      <c r="AG22" s="201">
        <f t="shared" si="54"/>
        <v>452.84039602583834</v>
      </c>
      <c r="AH22" s="201">
        <f t="shared" si="54"/>
        <v>461.89720394635509</v>
      </c>
      <c r="AI22" s="201">
        <f t="shared" si="54"/>
        <v>471.13514802528221</v>
      </c>
      <c r="AJ22" s="201">
        <f t="shared" si="54"/>
        <v>480.55785098578787</v>
      </c>
      <c r="AK22" s="201">
        <f t="shared" si="54"/>
        <v>490.1690080055036</v>
      </c>
      <c r="AL22" s="201">
        <f t="shared" si="54"/>
        <v>499.97238816561367</v>
      </c>
      <c r="AM22" s="201">
        <f t="shared" si="54"/>
        <v>509.97183592892594</v>
      </c>
      <c r="AN22" s="201">
        <f t="shared" si="54"/>
        <v>520.17127264750445</v>
      </c>
      <c r="AO22" s="201">
        <f t="shared" si="54"/>
        <v>530.5746981004545</v>
      </c>
      <c r="AP22" s="201">
        <f t="shared" si="54"/>
        <v>541.18619206246353</v>
      </c>
    </row>
    <row r="23" spans="2:42" s="147" customFormat="1" x14ac:dyDescent="0.2">
      <c r="B23" s="181" t="str">
        <f>'Conto Economico'!A89</f>
        <v>Accessori per Casa e Cucina</v>
      </c>
      <c r="C23" s="47">
        <f>'Budget 27'!E19</f>
        <v>400</v>
      </c>
      <c r="D23" s="201">
        <f t="shared" ref="D23:M23" si="55">C23+C23*$C$159</f>
        <v>408</v>
      </c>
      <c r="E23" s="201">
        <f t="shared" si="55"/>
        <v>416.16</v>
      </c>
      <c r="F23" s="201">
        <f t="shared" si="55"/>
        <v>424.48320000000001</v>
      </c>
      <c r="G23" s="201">
        <f t="shared" si="55"/>
        <v>432.97286400000002</v>
      </c>
      <c r="H23" s="201">
        <f t="shared" si="55"/>
        <v>441.63232128000004</v>
      </c>
      <c r="I23" s="201">
        <f t="shared" si="55"/>
        <v>450.46496770560003</v>
      </c>
      <c r="J23" s="201">
        <f t="shared" si="55"/>
        <v>459.47426705971202</v>
      </c>
      <c r="K23" s="201">
        <f t="shared" si="55"/>
        <v>468.66375240090628</v>
      </c>
      <c r="L23" s="201">
        <f t="shared" si="55"/>
        <v>478.03702744892439</v>
      </c>
      <c r="M23" s="201">
        <f t="shared" si="55"/>
        <v>487.59776799790291</v>
      </c>
      <c r="N23" s="201">
        <f>M23+M23*$C$159</f>
        <v>497.34972335786097</v>
      </c>
      <c r="O23" s="201">
        <f t="shared" ref="O23:AC23" si="56">N23+N23*$C$159</f>
        <v>507.29671782501816</v>
      </c>
      <c r="P23" s="201">
        <f t="shared" si="56"/>
        <v>517.4426521815185</v>
      </c>
      <c r="Q23" s="201">
        <f t="shared" si="56"/>
        <v>527.79150522514885</v>
      </c>
      <c r="R23" s="201">
        <f t="shared" si="56"/>
        <v>538.34733532965186</v>
      </c>
      <c r="S23" s="201">
        <f t="shared" si="56"/>
        <v>549.11428203624484</v>
      </c>
      <c r="T23" s="201">
        <f t="shared" si="56"/>
        <v>560.0965676769697</v>
      </c>
      <c r="U23" s="201">
        <f t="shared" si="56"/>
        <v>571.29849903050911</v>
      </c>
      <c r="V23" s="201">
        <f t="shared" si="56"/>
        <v>582.72446901111925</v>
      </c>
      <c r="W23" s="201">
        <f t="shared" si="56"/>
        <v>594.3789583913416</v>
      </c>
      <c r="X23" s="201">
        <f t="shared" si="56"/>
        <v>606.26653755916846</v>
      </c>
      <c r="Y23" s="201">
        <f t="shared" si="56"/>
        <v>618.39186831035181</v>
      </c>
      <c r="Z23" s="201">
        <f t="shared" si="56"/>
        <v>630.75970567655884</v>
      </c>
      <c r="AA23" s="201">
        <f t="shared" si="56"/>
        <v>643.37489979009001</v>
      </c>
      <c r="AB23" s="201">
        <f t="shared" si="56"/>
        <v>656.24239778589185</v>
      </c>
      <c r="AC23" s="201">
        <f t="shared" si="56"/>
        <v>669.36724574160974</v>
      </c>
      <c r="AD23" s="202">
        <f>AC23/2</f>
        <v>334.68362287080487</v>
      </c>
      <c r="AE23" s="201">
        <f t="shared" ref="AE23:AP23" si="57">AD23+AD23*$C$159</f>
        <v>341.37729532822095</v>
      </c>
      <c r="AF23" s="201">
        <f t="shared" si="57"/>
        <v>348.20484123478536</v>
      </c>
      <c r="AG23" s="201">
        <f t="shared" si="57"/>
        <v>355.16893805948109</v>
      </c>
      <c r="AH23" s="201">
        <f t="shared" si="57"/>
        <v>362.27231682067071</v>
      </c>
      <c r="AI23" s="201">
        <f t="shared" si="57"/>
        <v>369.51776315708412</v>
      </c>
      <c r="AJ23" s="201">
        <f t="shared" si="57"/>
        <v>376.90811842022578</v>
      </c>
      <c r="AK23" s="201">
        <f t="shared" si="57"/>
        <v>384.4462807886303</v>
      </c>
      <c r="AL23" s="201">
        <f t="shared" si="57"/>
        <v>392.13520640440294</v>
      </c>
      <c r="AM23" s="201">
        <f t="shared" si="57"/>
        <v>399.97791053249102</v>
      </c>
      <c r="AN23" s="201">
        <f t="shared" si="57"/>
        <v>407.97746874314083</v>
      </c>
      <c r="AO23" s="201">
        <f t="shared" si="57"/>
        <v>416.13701811800365</v>
      </c>
      <c r="AP23" s="201">
        <f t="shared" si="57"/>
        <v>424.45975848036375</v>
      </c>
    </row>
    <row r="24" spans="2:42" s="147" customFormat="1" x14ac:dyDescent="0.2">
      <c r="B24" s="181" t="str">
        <f>'Conto Economico'!A90</f>
        <v>Accessori per Piscina e Giardino</v>
      </c>
      <c r="C24" s="47">
        <f>'Budget 27'!E20</f>
        <v>300</v>
      </c>
      <c r="D24" s="201">
        <f t="shared" ref="D24:M24" si="58">C24+C24*$C$159</f>
        <v>306</v>
      </c>
      <c r="E24" s="201">
        <f t="shared" si="58"/>
        <v>312.12</v>
      </c>
      <c r="F24" s="201">
        <f t="shared" si="58"/>
        <v>318.36239999999998</v>
      </c>
      <c r="G24" s="201">
        <f t="shared" si="58"/>
        <v>324.729648</v>
      </c>
      <c r="H24" s="201">
        <f t="shared" si="58"/>
        <v>331.22424095999997</v>
      </c>
      <c r="I24" s="201">
        <f t="shared" si="58"/>
        <v>337.84872577919998</v>
      </c>
      <c r="J24" s="201">
        <f t="shared" si="58"/>
        <v>344.60570029478396</v>
      </c>
      <c r="K24" s="201">
        <f t="shared" si="58"/>
        <v>351.49781430067964</v>
      </c>
      <c r="L24" s="201">
        <f t="shared" si="58"/>
        <v>358.52777058669324</v>
      </c>
      <c r="M24" s="201">
        <f t="shared" si="58"/>
        <v>365.69832599842709</v>
      </c>
      <c r="N24" s="201">
        <f>M24+M24*$C$159</f>
        <v>373.01229251839561</v>
      </c>
      <c r="O24" s="201">
        <f t="shared" ref="O24:AC24" si="59">N24+N24*$C$159</f>
        <v>380.47253836876354</v>
      </c>
      <c r="P24" s="201">
        <f t="shared" si="59"/>
        <v>388.08198913613882</v>
      </c>
      <c r="Q24" s="201">
        <f t="shared" si="59"/>
        <v>395.84362891886161</v>
      </c>
      <c r="R24" s="201">
        <f t="shared" si="59"/>
        <v>403.76050149723886</v>
      </c>
      <c r="S24" s="201">
        <f t="shared" si="59"/>
        <v>411.83571152718366</v>
      </c>
      <c r="T24" s="201">
        <f t="shared" si="59"/>
        <v>420.07242575772733</v>
      </c>
      <c r="U24" s="201">
        <f t="shared" si="59"/>
        <v>428.47387427288186</v>
      </c>
      <c r="V24" s="201">
        <f t="shared" si="59"/>
        <v>437.0433517583395</v>
      </c>
      <c r="W24" s="201">
        <f t="shared" si="59"/>
        <v>445.78421879350628</v>
      </c>
      <c r="X24" s="201">
        <f t="shared" si="59"/>
        <v>454.6999031693764</v>
      </c>
      <c r="Y24" s="201">
        <f t="shared" si="59"/>
        <v>463.79390123276391</v>
      </c>
      <c r="Z24" s="201">
        <f t="shared" si="59"/>
        <v>473.06977925741921</v>
      </c>
      <c r="AA24" s="201">
        <f t="shared" si="59"/>
        <v>482.53117484256762</v>
      </c>
      <c r="AB24" s="201">
        <f t="shared" si="59"/>
        <v>492.18179833941895</v>
      </c>
      <c r="AC24" s="201">
        <f t="shared" si="59"/>
        <v>502.02543430620733</v>
      </c>
      <c r="AD24" s="202">
        <f>AC24/2</f>
        <v>251.01271715310367</v>
      </c>
      <c r="AE24" s="201">
        <f t="shared" ref="AE24:AP24" si="60">AD24+AD24*$C$159</f>
        <v>256.03297149616571</v>
      </c>
      <c r="AF24" s="201">
        <f t="shared" si="60"/>
        <v>261.15363092608902</v>
      </c>
      <c r="AG24" s="201">
        <f t="shared" si="60"/>
        <v>266.37670354461079</v>
      </c>
      <c r="AH24" s="201">
        <f t="shared" si="60"/>
        <v>271.70423761550302</v>
      </c>
      <c r="AI24" s="201">
        <f t="shared" si="60"/>
        <v>277.13832236781309</v>
      </c>
      <c r="AJ24" s="201">
        <f t="shared" si="60"/>
        <v>282.68108881516935</v>
      </c>
      <c r="AK24" s="201">
        <f t="shared" si="60"/>
        <v>288.33471059147274</v>
      </c>
      <c r="AL24" s="201">
        <f t="shared" si="60"/>
        <v>294.10140480330222</v>
      </c>
      <c r="AM24" s="201">
        <f t="shared" si="60"/>
        <v>299.98343289936827</v>
      </c>
      <c r="AN24" s="201">
        <f t="shared" si="60"/>
        <v>305.98310155735561</v>
      </c>
      <c r="AO24" s="201">
        <f t="shared" si="60"/>
        <v>312.10276358850274</v>
      </c>
      <c r="AP24" s="201">
        <f t="shared" si="60"/>
        <v>318.34481886027277</v>
      </c>
    </row>
    <row r="25" spans="2:42" s="147" customFormat="1" x14ac:dyDescent="0.2">
      <c r="B25" s="181"/>
      <c r="C25" s="47"/>
      <c r="D25" s="201"/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</row>
    <row r="26" spans="2:42" s="147" customFormat="1" x14ac:dyDescent="0.2">
      <c r="B26" s="199" t="str">
        <f>'Conto Economico'!A92</f>
        <v>Spese Ricorrenti</v>
      </c>
      <c r="C26" s="113">
        <f ca="1">SUM(C27:C36)</f>
        <v>4903.9127200000003</v>
      </c>
      <c r="D26" s="200">
        <f t="shared" ref="D26:AP26" ca="1" si="61">SUM(D27:D36)</f>
        <v>5001.9909743999997</v>
      </c>
      <c r="E26" s="200">
        <f t="shared" ca="1" si="61"/>
        <v>5102.0307938879996</v>
      </c>
      <c r="F26" s="200">
        <f t="shared" ca="1" si="61"/>
        <v>5204.0714097657601</v>
      </c>
      <c r="G26" s="200">
        <f t="shared" ca="1" si="61"/>
        <v>5308.1528379610745</v>
      </c>
      <c r="H26" s="200">
        <f t="shared" ca="1" si="61"/>
        <v>5414.3158947202974</v>
      </c>
      <c r="I26" s="200">
        <f t="shared" ca="1" si="61"/>
        <v>5522.6022126147027</v>
      </c>
      <c r="J26" s="200">
        <f t="shared" ca="1" si="61"/>
        <v>5633.0542568669971</v>
      </c>
      <c r="K26" s="200">
        <f t="shared" ca="1" si="61"/>
        <v>5745.7153420043369</v>
      </c>
      <c r="L26" s="200">
        <f t="shared" ca="1" si="61"/>
        <v>5860.6296488444232</v>
      </c>
      <c r="M26" s="200">
        <f t="shared" ca="1" si="61"/>
        <v>5977.8422418213122</v>
      </c>
      <c r="N26" s="200">
        <f t="shared" ca="1" si="61"/>
        <v>5508.0463933278716</v>
      </c>
      <c r="O26" s="200">
        <f t="shared" ca="1" si="61"/>
        <v>5618.2073211944289</v>
      </c>
      <c r="P26" s="200">
        <f t="shared" ca="1" si="61"/>
        <v>5730.571467618317</v>
      </c>
      <c r="Q26" s="200">
        <f t="shared" ca="1" si="61"/>
        <v>5845.182896970683</v>
      </c>
      <c r="R26" s="200">
        <f t="shared" ca="1" si="61"/>
        <v>5962.0865549100963</v>
      </c>
      <c r="S26" s="200">
        <f t="shared" ca="1" si="61"/>
        <v>6081.3282860082982</v>
      </c>
      <c r="T26" s="200">
        <f t="shared" ca="1" si="61"/>
        <v>6202.9548517284647</v>
      </c>
      <c r="U26" s="200">
        <f t="shared" ca="1" si="61"/>
        <v>6327.0139487630331</v>
      </c>
      <c r="V26" s="200">
        <f t="shared" ca="1" si="61"/>
        <v>6453.5542277382938</v>
      </c>
      <c r="W26" s="200">
        <f t="shared" ca="1" si="61"/>
        <v>6582.6253122930602</v>
      </c>
      <c r="X26" s="200">
        <f t="shared" ca="1" si="61"/>
        <v>6714.2778185389216</v>
      </c>
      <c r="Y26" s="200">
        <f t="shared" ca="1" si="61"/>
        <v>6848.5633749097005</v>
      </c>
      <c r="Z26" s="200">
        <f t="shared" ca="1" si="61"/>
        <v>6985.5346424078934</v>
      </c>
      <c r="AA26" s="200">
        <f t="shared" ca="1" si="61"/>
        <v>7125.2453352560515</v>
      </c>
      <c r="AB26" s="200">
        <f t="shared" ca="1" si="61"/>
        <v>7267.7502419611728</v>
      </c>
      <c r="AC26" s="200">
        <f t="shared" ca="1" si="61"/>
        <v>7413.1052468003963</v>
      </c>
      <c r="AD26" s="200">
        <f t="shared" ca="1" si="61"/>
        <v>3721.1488455608396</v>
      </c>
      <c r="AE26" s="200">
        <f t="shared" ca="1" si="61"/>
        <v>3795.5718224720567</v>
      </c>
      <c r="AF26" s="200">
        <f t="shared" ca="1" si="61"/>
        <v>3871.483258921498</v>
      </c>
      <c r="AG26" s="200">
        <f t="shared" ca="1" si="61"/>
        <v>3948.9129240999273</v>
      </c>
      <c r="AH26" s="200">
        <f t="shared" ca="1" si="61"/>
        <v>4027.8911825819259</v>
      </c>
      <c r="AI26" s="200">
        <f t="shared" ca="1" si="61"/>
        <v>4108.4490062335644</v>
      </c>
      <c r="AJ26" s="200">
        <f t="shared" ca="1" si="61"/>
        <v>4190.6179863582356</v>
      </c>
      <c r="AK26" s="200">
        <f t="shared" ca="1" si="61"/>
        <v>4274.4303460853998</v>
      </c>
      <c r="AL26" s="200">
        <f t="shared" ca="1" si="61"/>
        <v>4359.918953007108</v>
      </c>
      <c r="AM26" s="200">
        <f t="shared" ca="1" si="61"/>
        <v>4447.1173320672506</v>
      </c>
      <c r="AN26" s="200">
        <f t="shared" ca="1" si="61"/>
        <v>4536.059678708596</v>
      </c>
      <c r="AO26" s="200">
        <f t="shared" ca="1" si="61"/>
        <v>4626.7808722827667</v>
      </c>
      <c r="AP26" s="200">
        <f t="shared" ca="1" si="61"/>
        <v>4719.3164897284232</v>
      </c>
    </row>
    <row r="27" spans="2:42" s="147" customFormat="1" x14ac:dyDescent="0.2">
      <c r="B27" s="181" t="str">
        <f>'Conto Economico'!A93</f>
        <v>Luce</v>
      </c>
      <c r="C27" s="47">
        <f>'Budget 27'!E23</f>
        <v>1700</v>
      </c>
      <c r="D27" s="201">
        <f t="shared" ref="D27:AC27" si="62">C27+C27*$C$159</f>
        <v>1734</v>
      </c>
      <c r="E27" s="201">
        <f t="shared" si="62"/>
        <v>1768.68</v>
      </c>
      <c r="F27" s="201">
        <f t="shared" si="62"/>
        <v>1804.0536</v>
      </c>
      <c r="G27" s="201">
        <f t="shared" si="62"/>
        <v>1840.1346719999999</v>
      </c>
      <c r="H27" s="201">
        <f t="shared" si="62"/>
        <v>1876.9373654399999</v>
      </c>
      <c r="I27" s="201">
        <f t="shared" si="62"/>
        <v>1914.4761127488</v>
      </c>
      <c r="J27" s="201">
        <f t="shared" si="62"/>
        <v>1952.765635003776</v>
      </c>
      <c r="K27" s="201">
        <f t="shared" si="62"/>
        <v>1991.8209477038515</v>
      </c>
      <c r="L27" s="201">
        <f t="shared" si="62"/>
        <v>2031.6573666579286</v>
      </c>
      <c r="M27" s="201">
        <f t="shared" si="62"/>
        <v>2072.2905139910872</v>
      </c>
      <c r="N27" s="201">
        <f t="shared" si="62"/>
        <v>2113.7363242709089</v>
      </c>
      <c r="O27" s="201">
        <f t="shared" si="62"/>
        <v>2156.0110507563272</v>
      </c>
      <c r="P27" s="201">
        <f t="shared" si="62"/>
        <v>2199.1312717714536</v>
      </c>
      <c r="Q27" s="201">
        <f t="shared" si="62"/>
        <v>2243.1138972068825</v>
      </c>
      <c r="R27" s="201">
        <f t="shared" si="62"/>
        <v>2287.97617515102</v>
      </c>
      <c r="S27" s="201">
        <f t="shared" si="62"/>
        <v>2333.7356986540403</v>
      </c>
      <c r="T27" s="201">
        <f t="shared" si="62"/>
        <v>2380.4104126271213</v>
      </c>
      <c r="U27" s="201">
        <f t="shared" si="62"/>
        <v>2428.0186208796636</v>
      </c>
      <c r="V27" s="201">
        <f t="shared" si="62"/>
        <v>2476.5789932972566</v>
      </c>
      <c r="W27" s="201">
        <f t="shared" si="62"/>
        <v>2526.1105731632019</v>
      </c>
      <c r="X27" s="201">
        <f t="shared" si="62"/>
        <v>2576.6327846264658</v>
      </c>
      <c r="Y27" s="201">
        <f t="shared" si="62"/>
        <v>2628.165440318995</v>
      </c>
      <c r="Z27" s="201">
        <f t="shared" si="62"/>
        <v>2680.7287491253751</v>
      </c>
      <c r="AA27" s="201">
        <f t="shared" si="62"/>
        <v>2734.3433241078824</v>
      </c>
      <c r="AB27" s="201">
        <f t="shared" si="62"/>
        <v>2789.0301905900401</v>
      </c>
      <c r="AC27" s="201">
        <f t="shared" si="62"/>
        <v>2844.8107944018411</v>
      </c>
      <c r="AD27" s="202">
        <f>AC27/2</f>
        <v>1422.4053972009206</v>
      </c>
      <c r="AE27" s="201">
        <f t="shared" ref="AE27:AP27" si="63">AD27+AD27*$C$159</f>
        <v>1450.8535051449389</v>
      </c>
      <c r="AF27" s="201">
        <f t="shared" si="63"/>
        <v>1479.8705752478377</v>
      </c>
      <c r="AG27" s="201">
        <f t="shared" si="63"/>
        <v>1509.4679867527943</v>
      </c>
      <c r="AH27" s="201">
        <f t="shared" si="63"/>
        <v>1539.6573464878502</v>
      </c>
      <c r="AI27" s="201">
        <f t="shared" si="63"/>
        <v>1570.4504934176073</v>
      </c>
      <c r="AJ27" s="201">
        <f t="shared" si="63"/>
        <v>1601.8595032859594</v>
      </c>
      <c r="AK27" s="201">
        <f t="shared" si="63"/>
        <v>1633.8966933516786</v>
      </c>
      <c r="AL27" s="201">
        <f t="shared" si="63"/>
        <v>1666.5746272187121</v>
      </c>
      <c r="AM27" s="201">
        <f t="shared" si="63"/>
        <v>1699.9061197630863</v>
      </c>
      <c r="AN27" s="201">
        <f t="shared" si="63"/>
        <v>1733.9042421583481</v>
      </c>
      <c r="AO27" s="201">
        <f t="shared" si="63"/>
        <v>1768.5823270015151</v>
      </c>
      <c r="AP27" s="201">
        <f t="shared" si="63"/>
        <v>1803.9539735415453</v>
      </c>
    </row>
    <row r="28" spans="2:42" s="147" customFormat="1" x14ac:dyDescent="0.2">
      <c r="B28" s="181" t="str">
        <f>'Conto Economico'!A94</f>
        <v>Acqua Potabile</v>
      </c>
      <c r="C28" s="47">
        <f>'Budget 27'!E24</f>
        <v>300</v>
      </c>
      <c r="D28" s="201">
        <f t="shared" ref="D28:AC28" si="64">C28+C28*$C$159</f>
        <v>306</v>
      </c>
      <c r="E28" s="201">
        <f t="shared" si="64"/>
        <v>312.12</v>
      </c>
      <c r="F28" s="201">
        <f t="shared" si="64"/>
        <v>318.36239999999998</v>
      </c>
      <c r="G28" s="201">
        <f t="shared" si="64"/>
        <v>324.729648</v>
      </c>
      <c r="H28" s="201">
        <f t="shared" si="64"/>
        <v>331.22424095999997</v>
      </c>
      <c r="I28" s="201">
        <f t="shared" si="64"/>
        <v>337.84872577919998</v>
      </c>
      <c r="J28" s="201">
        <f t="shared" si="64"/>
        <v>344.60570029478396</v>
      </c>
      <c r="K28" s="201">
        <f t="shared" si="64"/>
        <v>351.49781430067964</v>
      </c>
      <c r="L28" s="201">
        <f t="shared" si="64"/>
        <v>358.52777058669324</v>
      </c>
      <c r="M28" s="201">
        <f t="shared" si="64"/>
        <v>365.69832599842709</v>
      </c>
      <c r="N28" s="201">
        <f t="shared" si="64"/>
        <v>373.01229251839561</v>
      </c>
      <c r="O28" s="201">
        <f t="shared" si="64"/>
        <v>380.47253836876354</v>
      </c>
      <c r="P28" s="201">
        <f t="shared" si="64"/>
        <v>388.08198913613882</v>
      </c>
      <c r="Q28" s="201">
        <f t="shared" si="64"/>
        <v>395.84362891886161</v>
      </c>
      <c r="R28" s="201">
        <f t="shared" si="64"/>
        <v>403.76050149723886</v>
      </c>
      <c r="S28" s="201">
        <f t="shared" si="64"/>
        <v>411.83571152718366</v>
      </c>
      <c r="T28" s="201">
        <f t="shared" si="64"/>
        <v>420.07242575772733</v>
      </c>
      <c r="U28" s="201">
        <f t="shared" si="64"/>
        <v>428.47387427288186</v>
      </c>
      <c r="V28" s="201">
        <f t="shared" si="64"/>
        <v>437.0433517583395</v>
      </c>
      <c r="W28" s="201">
        <f t="shared" si="64"/>
        <v>445.78421879350628</v>
      </c>
      <c r="X28" s="201">
        <f t="shared" si="64"/>
        <v>454.6999031693764</v>
      </c>
      <c r="Y28" s="201">
        <f t="shared" si="64"/>
        <v>463.79390123276391</v>
      </c>
      <c r="Z28" s="201">
        <f t="shared" si="64"/>
        <v>473.06977925741921</v>
      </c>
      <c r="AA28" s="201">
        <f t="shared" si="64"/>
        <v>482.53117484256762</v>
      </c>
      <c r="AB28" s="201">
        <f t="shared" si="64"/>
        <v>492.18179833941895</v>
      </c>
      <c r="AC28" s="201">
        <f t="shared" si="64"/>
        <v>502.02543430620733</v>
      </c>
      <c r="AD28" s="201">
        <f>AC28+AC28*$C$159</f>
        <v>512.06594299233143</v>
      </c>
      <c r="AE28" s="201">
        <f t="shared" ref="AE28:AP28" si="65">AD28+AD28*$C$159</f>
        <v>522.30726185217804</v>
      </c>
      <c r="AF28" s="201">
        <f t="shared" si="65"/>
        <v>532.75340708922158</v>
      </c>
      <c r="AG28" s="201">
        <f t="shared" si="65"/>
        <v>543.40847523100604</v>
      </c>
      <c r="AH28" s="201">
        <f t="shared" si="65"/>
        <v>554.27664473562618</v>
      </c>
      <c r="AI28" s="201">
        <f t="shared" si="65"/>
        <v>565.36217763033869</v>
      </c>
      <c r="AJ28" s="201">
        <f t="shared" si="65"/>
        <v>576.66942118294548</v>
      </c>
      <c r="AK28" s="201">
        <f t="shared" si="65"/>
        <v>588.20280960660443</v>
      </c>
      <c r="AL28" s="201">
        <f t="shared" si="65"/>
        <v>599.96686579873653</v>
      </c>
      <c r="AM28" s="201">
        <f t="shared" si="65"/>
        <v>611.96620311471122</v>
      </c>
      <c r="AN28" s="201">
        <f t="shared" si="65"/>
        <v>624.20552717700548</v>
      </c>
      <c r="AO28" s="201">
        <f t="shared" si="65"/>
        <v>636.68963772054553</v>
      </c>
      <c r="AP28" s="201">
        <f t="shared" si="65"/>
        <v>649.42343047495649</v>
      </c>
    </row>
    <row r="29" spans="2:42" s="147" customFormat="1" x14ac:dyDescent="0.2">
      <c r="B29" s="181" t="str">
        <f>'Conto Economico'!A95</f>
        <v>Gas</v>
      </c>
      <c r="C29" s="47">
        <f>'Budget 27'!E25</f>
        <v>50</v>
      </c>
      <c r="D29" s="201">
        <f t="shared" ref="D29:AC29" si="66">C29+C29*$C$159</f>
        <v>51</v>
      </c>
      <c r="E29" s="201">
        <f t="shared" si="66"/>
        <v>52.02</v>
      </c>
      <c r="F29" s="201">
        <f t="shared" si="66"/>
        <v>53.060400000000001</v>
      </c>
      <c r="G29" s="201">
        <f t="shared" si="66"/>
        <v>54.121608000000002</v>
      </c>
      <c r="H29" s="201">
        <f t="shared" si="66"/>
        <v>55.204040160000005</v>
      </c>
      <c r="I29" s="201">
        <f t="shared" si="66"/>
        <v>56.308120963200004</v>
      </c>
      <c r="J29" s="201">
        <f t="shared" si="66"/>
        <v>57.434283382464002</v>
      </c>
      <c r="K29" s="201">
        <f t="shared" si="66"/>
        <v>58.582969050113284</v>
      </c>
      <c r="L29" s="201">
        <f t="shared" si="66"/>
        <v>59.754628431115549</v>
      </c>
      <c r="M29" s="201">
        <f t="shared" si="66"/>
        <v>60.949720999737863</v>
      </c>
      <c r="N29" s="201">
        <f t="shared" si="66"/>
        <v>62.168715419732621</v>
      </c>
      <c r="O29" s="201">
        <f t="shared" si="66"/>
        <v>63.41208972812727</v>
      </c>
      <c r="P29" s="201">
        <f t="shared" si="66"/>
        <v>64.680331522689812</v>
      </c>
      <c r="Q29" s="201">
        <f t="shared" si="66"/>
        <v>65.973938153143607</v>
      </c>
      <c r="R29" s="201">
        <f t="shared" si="66"/>
        <v>67.293416916206482</v>
      </c>
      <c r="S29" s="201">
        <f t="shared" si="66"/>
        <v>68.639285254530606</v>
      </c>
      <c r="T29" s="201">
        <f t="shared" si="66"/>
        <v>70.012070959621212</v>
      </c>
      <c r="U29" s="201">
        <f t="shared" si="66"/>
        <v>71.412312378813638</v>
      </c>
      <c r="V29" s="201">
        <f t="shared" si="66"/>
        <v>72.840558626389907</v>
      </c>
      <c r="W29" s="201">
        <f t="shared" si="66"/>
        <v>74.2973697989177</v>
      </c>
      <c r="X29" s="201">
        <f t="shared" si="66"/>
        <v>75.783317194896057</v>
      </c>
      <c r="Y29" s="201">
        <f t="shared" si="66"/>
        <v>77.298983538793976</v>
      </c>
      <c r="Z29" s="201">
        <f t="shared" si="66"/>
        <v>78.844963209569855</v>
      </c>
      <c r="AA29" s="201">
        <f t="shared" si="66"/>
        <v>80.421862473761252</v>
      </c>
      <c r="AB29" s="201">
        <f t="shared" si="66"/>
        <v>82.030299723236482</v>
      </c>
      <c r="AC29" s="201">
        <f t="shared" si="66"/>
        <v>83.670905717701217</v>
      </c>
      <c r="AD29" s="201">
        <f>AC29+AC29*$C$159</f>
        <v>85.344323832055238</v>
      </c>
      <c r="AE29" s="201">
        <f t="shared" ref="AE29:AP29" si="67">AD29+AD29*$C$159</f>
        <v>87.051210308696341</v>
      </c>
      <c r="AF29" s="201">
        <f t="shared" si="67"/>
        <v>88.792234514870273</v>
      </c>
      <c r="AG29" s="201">
        <f t="shared" si="67"/>
        <v>90.568079205167678</v>
      </c>
      <c r="AH29" s="201">
        <f t="shared" si="67"/>
        <v>92.37944078927103</v>
      </c>
      <c r="AI29" s="201">
        <f t="shared" si="67"/>
        <v>94.227029605056444</v>
      </c>
      <c r="AJ29" s="201">
        <f t="shared" si="67"/>
        <v>96.111570197157576</v>
      </c>
      <c r="AK29" s="201">
        <f t="shared" si="67"/>
        <v>98.033801601100734</v>
      </c>
      <c r="AL29" s="201">
        <f t="shared" si="67"/>
        <v>99.994477633122756</v>
      </c>
      <c r="AM29" s="201">
        <f t="shared" si="67"/>
        <v>101.99436718578521</v>
      </c>
      <c r="AN29" s="201">
        <f t="shared" si="67"/>
        <v>104.03425452950091</v>
      </c>
      <c r="AO29" s="201">
        <f t="shared" si="67"/>
        <v>106.11493962009094</v>
      </c>
      <c r="AP29" s="201">
        <f t="shared" si="67"/>
        <v>108.23723841249276</v>
      </c>
    </row>
    <row r="30" spans="2:42" s="147" customFormat="1" x14ac:dyDescent="0.2">
      <c r="B30" s="181" t="str">
        <f>'Conto Economico'!A96</f>
        <v>Rifiuti</v>
      </c>
      <c r="C30" s="47">
        <f>'Budget 27'!E26</f>
        <v>0</v>
      </c>
      <c r="D30" s="201">
        <f t="shared" ref="D30:AC30" si="68">C30+C30*$C$159</f>
        <v>0</v>
      </c>
      <c r="E30" s="201">
        <f t="shared" si="68"/>
        <v>0</v>
      </c>
      <c r="F30" s="201">
        <f t="shared" si="68"/>
        <v>0</v>
      </c>
      <c r="G30" s="201">
        <f t="shared" si="68"/>
        <v>0</v>
      </c>
      <c r="H30" s="201">
        <f t="shared" si="68"/>
        <v>0</v>
      </c>
      <c r="I30" s="201">
        <f t="shared" si="68"/>
        <v>0</v>
      </c>
      <c r="J30" s="201">
        <f t="shared" si="68"/>
        <v>0</v>
      </c>
      <c r="K30" s="201">
        <f t="shared" si="68"/>
        <v>0</v>
      </c>
      <c r="L30" s="201">
        <f t="shared" si="68"/>
        <v>0</v>
      </c>
      <c r="M30" s="201">
        <f t="shared" si="68"/>
        <v>0</v>
      </c>
      <c r="N30" s="201">
        <f t="shared" si="68"/>
        <v>0</v>
      </c>
      <c r="O30" s="201">
        <f t="shared" si="68"/>
        <v>0</v>
      </c>
      <c r="P30" s="201">
        <f t="shared" si="68"/>
        <v>0</v>
      </c>
      <c r="Q30" s="201">
        <f t="shared" si="68"/>
        <v>0</v>
      </c>
      <c r="R30" s="201">
        <f t="shared" si="68"/>
        <v>0</v>
      </c>
      <c r="S30" s="201">
        <f t="shared" si="68"/>
        <v>0</v>
      </c>
      <c r="T30" s="201">
        <f t="shared" si="68"/>
        <v>0</v>
      </c>
      <c r="U30" s="201">
        <f t="shared" si="68"/>
        <v>0</v>
      </c>
      <c r="V30" s="201">
        <f t="shared" si="68"/>
        <v>0</v>
      </c>
      <c r="W30" s="201">
        <f t="shared" si="68"/>
        <v>0</v>
      </c>
      <c r="X30" s="201">
        <f t="shared" si="68"/>
        <v>0</v>
      </c>
      <c r="Y30" s="201">
        <f t="shared" si="68"/>
        <v>0</v>
      </c>
      <c r="Z30" s="201">
        <f t="shared" si="68"/>
        <v>0</v>
      </c>
      <c r="AA30" s="201">
        <f t="shared" si="68"/>
        <v>0</v>
      </c>
      <c r="AB30" s="201">
        <f t="shared" si="68"/>
        <v>0</v>
      </c>
      <c r="AC30" s="201">
        <f t="shared" si="68"/>
        <v>0</v>
      </c>
      <c r="AD30" s="201">
        <f>AC30+AC30*$C$159</f>
        <v>0</v>
      </c>
      <c r="AE30" s="201">
        <f t="shared" ref="AE30:AP30" si="69">AD30+AD30*$C$159</f>
        <v>0</v>
      </c>
      <c r="AF30" s="201">
        <f t="shared" si="69"/>
        <v>0</v>
      </c>
      <c r="AG30" s="201">
        <f t="shared" si="69"/>
        <v>0</v>
      </c>
      <c r="AH30" s="201">
        <f t="shared" si="69"/>
        <v>0</v>
      </c>
      <c r="AI30" s="201">
        <f t="shared" si="69"/>
        <v>0</v>
      </c>
      <c r="AJ30" s="201">
        <f t="shared" si="69"/>
        <v>0</v>
      </c>
      <c r="AK30" s="201">
        <f t="shared" si="69"/>
        <v>0</v>
      </c>
      <c r="AL30" s="201">
        <f t="shared" si="69"/>
        <v>0</v>
      </c>
      <c r="AM30" s="201">
        <f t="shared" si="69"/>
        <v>0</v>
      </c>
      <c r="AN30" s="201">
        <f t="shared" si="69"/>
        <v>0</v>
      </c>
      <c r="AO30" s="201">
        <f t="shared" si="69"/>
        <v>0</v>
      </c>
      <c r="AP30" s="201">
        <f t="shared" si="69"/>
        <v>0</v>
      </c>
    </row>
    <row r="31" spans="2:42" s="147" customFormat="1" x14ac:dyDescent="0.2">
      <c r="B31" s="181" t="str">
        <f>'Conto Economico'!A97</f>
        <v>Servizi Internet - Amazon Prime - iCloud</v>
      </c>
      <c r="C31" s="47">
        <f>'Budget 27'!E27</f>
        <v>295.55520000000001</v>
      </c>
      <c r="D31" s="201">
        <f t="shared" ref="D31:AC31" si="70">C31+C31*$C$159</f>
        <v>301.46630400000004</v>
      </c>
      <c r="E31" s="201">
        <f t="shared" si="70"/>
        <v>307.49563008000001</v>
      </c>
      <c r="F31" s="201">
        <f t="shared" si="70"/>
        <v>313.64554268160003</v>
      </c>
      <c r="G31" s="201">
        <f t="shared" si="70"/>
        <v>319.91845353523206</v>
      </c>
      <c r="H31" s="201">
        <f t="shared" si="70"/>
        <v>326.31682260593669</v>
      </c>
      <c r="I31" s="201">
        <f t="shared" si="70"/>
        <v>332.84315905805545</v>
      </c>
      <c r="J31" s="201">
        <f t="shared" si="70"/>
        <v>339.50002223921655</v>
      </c>
      <c r="K31" s="201">
        <f t="shared" si="70"/>
        <v>346.29002268400086</v>
      </c>
      <c r="L31" s="201">
        <f t="shared" si="70"/>
        <v>353.2158231376809</v>
      </c>
      <c r="M31" s="201">
        <f t="shared" si="70"/>
        <v>360.2801396004345</v>
      </c>
      <c r="N31" s="201">
        <f t="shared" si="70"/>
        <v>367.48574239244317</v>
      </c>
      <c r="O31" s="201">
        <f t="shared" si="70"/>
        <v>374.83545724029204</v>
      </c>
      <c r="P31" s="201">
        <f t="shared" si="70"/>
        <v>382.33216638509788</v>
      </c>
      <c r="Q31" s="201">
        <f t="shared" si="70"/>
        <v>389.97880971279983</v>
      </c>
      <c r="R31" s="201">
        <f t="shared" si="70"/>
        <v>397.77838590705585</v>
      </c>
      <c r="S31" s="201">
        <f t="shared" si="70"/>
        <v>405.73395362519699</v>
      </c>
      <c r="T31" s="201">
        <f t="shared" si="70"/>
        <v>413.84863269770091</v>
      </c>
      <c r="U31" s="201">
        <f t="shared" si="70"/>
        <v>422.12560535165494</v>
      </c>
      <c r="V31" s="201">
        <f t="shared" si="70"/>
        <v>430.56811745868805</v>
      </c>
      <c r="W31" s="201">
        <f t="shared" si="70"/>
        <v>439.17947980786181</v>
      </c>
      <c r="X31" s="201">
        <f t="shared" si="70"/>
        <v>447.96306940401905</v>
      </c>
      <c r="Y31" s="201">
        <f t="shared" si="70"/>
        <v>456.92233079209944</v>
      </c>
      <c r="Z31" s="201">
        <f t="shared" si="70"/>
        <v>466.06077740794143</v>
      </c>
      <c r="AA31" s="201">
        <f t="shared" si="70"/>
        <v>475.38199295610025</v>
      </c>
      <c r="AB31" s="201">
        <f t="shared" si="70"/>
        <v>484.88963281522223</v>
      </c>
      <c r="AC31" s="201">
        <f t="shared" si="70"/>
        <v>494.58742547152667</v>
      </c>
      <c r="AD31" s="201">
        <v>0</v>
      </c>
      <c r="AE31" s="201">
        <f t="shared" ref="AE31:AP31" si="71">AD31+AD31*$C$159</f>
        <v>0</v>
      </c>
      <c r="AF31" s="201">
        <f t="shared" si="71"/>
        <v>0</v>
      </c>
      <c r="AG31" s="201">
        <f t="shared" si="71"/>
        <v>0</v>
      </c>
      <c r="AH31" s="201">
        <f t="shared" si="71"/>
        <v>0</v>
      </c>
      <c r="AI31" s="201">
        <f t="shared" si="71"/>
        <v>0</v>
      </c>
      <c r="AJ31" s="201">
        <f t="shared" si="71"/>
        <v>0</v>
      </c>
      <c r="AK31" s="201">
        <f t="shared" si="71"/>
        <v>0</v>
      </c>
      <c r="AL31" s="201">
        <f t="shared" si="71"/>
        <v>0</v>
      </c>
      <c r="AM31" s="201">
        <f t="shared" si="71"/>
        <v>0</v>
      </c>
      <c r="AN31" s="201">
        <f t="shared" si="71"/>
        <v>0</v>
      </c>
      <c r="AO31" s="201">
        <f t="shared" si="71"/>
        <v>0</v>
      </c>
      <c r="AP31" s="201">
        <f t="shared" si="71"/>
        <v>0</v>
      </c>
    </row>
    <row r="32" spans="2:42" s="147" customFormat="1" x14ac:dyDescent="0.2">
      <c r="B32" s="181" t="str">
        <f>'Conto Economico'!A98</f>
        <v>Editoria Digitale</v>
      </c>
      <c r="C32" s="47">
        <f>'Budget 27'!E28</f>
        <v>51</v>
      </c>
      <c r="D32" s="201">
        <f t="shared" ref="D32:AC32" si="72">C32+C32*$C$159</f>
        <v>52.02</v>
      </c>
      <c r="E32" s="201">
        <f t="shared" si="72"/>
        <v>53.060400000000001</v>
      </c>
      <c r="F32" s="201">
        <f t="shared" si="72"/>
        <v>54.121608000000002</v>
      </c>
      <c r="G32" s="201">
        <f t="shared" si="72"/>
        <v>55.204040160000005</v>
      </c>
      <c r="H32" s="201">
        <f t="shared" si="72"/>
        <v>56.308120963200004</v>
      </c>
      <c r="I32" s="201">
        <f t="shared" si="72"/>
        <v>57.434283382464002</v>
      </c>
      <c r="J32" s="201">
        <f t="shared" si="72"/>
        <v>58.582969050113284</v>
      </c>
      <c r="K32" s="201">
        <f t="shared" si="72"/>
        <v>59.754628431115549</v>
      </c>
      <c r="L32" s="201">
        <f t="shared" si="72"/>
        <v>60.949720999737863</v>
      </c>
      <c r="M32" s="201">
        <f t="shared" si="72"/>
        <v>62.168715419732621</v>
      </c>
      <c r="N32" s="201">
        <f t="shared" si="72"/>
        <v>63.41208972812727</v>
      </c>
      <c r="O32" s="201">
        <f t="shared" si="72"/>
        <v>64.680331522689812</v>
      </c>
      <c r="P32" s="201">
        <f t="shared" si="72"/>
        <v>65.973938153143607</v>
      </c>
      <c r="Q32" s="201">
        <f t="shared" si="72"/>
        <v>67.293416916206482</v>
      </c>
      <c r="R32" s="201">
        <f t="shared" si="72"/>
        <v>68.639285254530606</v>
      </c>
      <c r="S32" s="201">
        <f t="shared" si="72"/>
        <v>70.012070959621212</v>
      </c>
      <c r="T32" s="201">
        <f t="shared" si="72"/>
        <v>71.412312378813638</v>
      </c>
      <c r="U32" s="201">
        <f t="shared" si="72"/>
        <v>72.840558626389907</v>
      </c>
      <c r="V32" s="201">
        <f t="shared" si="72"/>
        <v>74.2973697989177</v>
      </c>
      <c r="W32" s="201">
        <f t="shared" si="72"/>
        <v>75.783317194896057</v>
      </c>
      <c r="X32" s="201">
        <f t="shared" si="72"/>
        <v>77.298983538793976</v>
      </c>
      <c r="Y32" s="201">
        <f t="shared" si="72"/>
        <v>78.844963209569855</v>
      </c>
      <c r="Z32" s="201">
        <f t="shared" si="72"/>
        <v>80.421862473761252</v>
      </c>
      <c r="AA32" s="201">
        <f t="shared" si="72"/>
        <v>82.030299723236482</v>
      </c>
      <c r="AB32" s="201">
        <f t="shared" si="72"/>
        <v>83.670905717701217</v>
      </c>
      <c r="AC32" s="201">
        <f t="shared" si="72"/>
        <v>85.344323832055238</v>
      </c>
      <c r="AD32" s="201">
        <v>0</v>
      </c>
      <c r="AE32" s="201">
        <f t="shared" ref="AE32:AP32" si="73">AD32+AD32*$C$159</f>
        <v>0</v>
      </c>
      <c r="AF32" s="201">
        <f t="shared" si="73"/>
        <v>0</v>
      </c>
      <c r="AG32" s="201">
        <f t="shared" si="73"/>
        <v>0</v>
      </c>
      <c r="AH32" s="201">
        <f t="shared" si="73"/>
        <v>0</v>
      </c>
      <c r="AI32" s="201">
        <f t="shared" si="73"/>
        <v>0</v>
      </c>
      <c r="AJ32" s="201">
        <f t="shared" si="73"/>
        <v>0</v>
      </c>
      <c r="AK32" s="201">
        <f t="shared" si="73"/>
        <v>0</v>
      </c>
      <c r="AL32" s="201">
        <f t="shared" si="73"/>
        <v>0</v>
      </c>
      <c r="AM32" s="201">
        <f t="shared" si="73"/>
        <v>0</v>
      </c>
      <c r="AN32" s="201">
        <f t="shared" si="73"/>
        <v>0</v>
      </c>
      <c r="AO32" s="201">
        <f t="shared" si="73"/>
        <v>0</v>
      </c>
      <c r="AP32" s="201">
        <f t="shared" si="73"/>
        <v>0</v>
      </c>
    </row>
    <row r="33" spans="2:42" s="147" customFormat="1" x14ac:dyDescent="0.2">
      <c r="B33" s="181" t="str">
        <f>'Conto Economico'!A99</f>
        <v>Fibra Telefonica</v>
      </c>
      <c r="C33" s="47">
        <f ca="1">'Budget 27'!E29</f>
        <v>689.03352000000007</v>
      </c>
      <c r="D33" s="201">
        <f t="shared" ref="D33:AC33" ca="1" si="74">C33+C33*$C$159</f>
        <v>702.81419040000003</v>
      </c>
      <c r="E33" s="201">
        <f t="shared" ca="1" si="74"/>
        <v>716.87047420800002</v>
      </c>
      <c r="F33" s="201">
        <f t="shared" ca="1" si="74"/>
        <v>731.20788369216007</v>
      </c>
      <c r="G33" s="201">
        <f t="shared" ca="1" si="74"/>
        <v>745.8320413660033</v>
      </c>
      <c r="H33" s="201">
        <f t="shared" ca="1" si="74"/>
        <v>760.74868219332336</v>
      </c>
      <c r="I33" s="201">
        <f t="shared" ca="1" si="74"/>
        <v>775.96365583718978</v>
      </c>
      <c r="J33" s="201">
        <f t="shared" ca="1" si="74"/>
        <v>791.48292895393354</v>
      </c>
      <c r="K33" s="201">
        <f t="shared" ca="1" si="74"/>
        <v>807.31258753301222</v>
      </c>
      <c r="L33" s="201">
        <f t="shared" ca="1" si="74"/>
        <v>823.45883928367243</v>
      </c>
      <c r="M33" s="201">
        <f t="shared" ca="1" si="74"/>
        <v>839.92801606934586</v>
      </c>
      <c r="N33" s="201">
        <f t="shared" ca="1" si="74"/>
        <v>856.72657639073282</v>
      </c>
      <c r="O33" s="201">
        <f t="shared" ca="1" si="74"/>
        <v>873.86110791854742</v>
      </c>
      <c r="P33" s="201">
        <f t="shared" ca="1" si="74"/>
        <v>891.3383300769184</v>
      </c>
      <c r="Q33" s="201">
        <f t="shared" ca="1" si="74"/>
        <v>909.16509667845673</v>
      </c>
      <c r="R33" s="201">
        <f t="shared" ca="1" si="74"/>
        <v>927.3483986120259</v>
      </c>
      <c r="S33" s="201">
        <f t="shared" ca="1" si="74"/>
        <v>945.89536658426641</v>
      </c>
      <c r="T33" s="201">
        <f t="shared" ca="1" si="74"/>
        <v>964.81327391595175</v>
      </c>
      <c r="U33" s="201">
        <f t="shared" ca="1" si="74"/>
        <v>984.10953939427077</v>
      </c>
      <c r="V33" s="201">
        <f t="shared" ca="1" si="74"/>
        <v>1003.7917301821561</v>
      </c>
      <c r="W33" s="201">
        <f t="shared" ca="1" si="74"/>
        <v>1023.8675647857992</v>
      </c>
      <c r="X33" s="201">
        <f t="shared" ca="1" si="74"/>
        <v>1044.3449160815153</v>
      </c>
      <c r="Y33" s="201">
        <f t="shared" ca="1" si="74"/>
        <v>1065.2318144031456</v>
      </c>
      <c r="Z33" s="201">
        <f t="shared" ca="1" si="74"/>
        <v>1086.5364506912085</v>
      </c>
      <c r="AA33" s="201">
        <f t="shared" ca="1" si="74"/>
        <v>1108.2671797050327</v>
      </c>
      <c r="AB33" s="201">
        <f t="shared" ca="1" si="74"/>
        <v>1130.4325232991334</v>
      </c>
      <c r="AC33" s="201">
        <f t="shared" ca="1" si="74"/>
        <v>1153.0411737651161</v>
      </c>
      <c r="AD33" s="202">
        <f ca="1">AC33/2</f>
        <v>576.52058688255806</v>
      </c>
      <c r="AE33" s="201">
        <f t="shared" ref="AE33:AP33" ca="1" si="75">AD33+AD33*$C$159</f>
        <v>588.05099862020927</v>
      </c>
      <c r="AF33" s="201">
        <f t="shared" ca="1" si="75"/>
        <v>599.81201859261341</v>
      </c>
      <c r="AG33" s="201">
        <f t="shared" ca="1" si="75"/>
        <v>611.80825896446572</v>
      </c>
      <c r="AH33" s="201">
        <f t="shared" ca="1" si="75"/>
        <v>624.04442414375501</v>
      </c>
      <c r="AI33" s="201">
        <f t="shared" ca="1" si="75"/>
        <v>636.52531262663013</v>
      </c>
      <c r="AJ33" s="201">
        <f t="shared" ca="1" si="75"/>
        <v>649.25581887916269</v>
      </c>
      <c r="AK33" s="201">
        <f t="shared" ca="1" si="75"/>
        <v>662.24093525674596</v>
      </c>
      <c r="AL33" s="201">
        <f t="shared" ca="1" si="75"/>
        <v>675.48575396188085</v>
      </c>
      <c r="AM33" s="201">
        <f t="shared" ca="1" si="75"/>
        <v>688.99546904111844</v>
      </c>
      <c r="AN33" s="201">
        <f t="shared" ca="1" si="75"/>
        <v>702.77537842194079</v>
      </c>
      <c r="AO33" s="201">
        <f t="shared" ca="1" si="75"/>
        <v>716.83088599037956</v>
      </c>
      <c r="AP33" s="201">
        <f t="shared" ca="1" si="75"/>
        <v>731.16750371018713</v>
      </c>
    </row>
    <row r="34" spans="2:42" s="147" customFormat="1" x14ac:dyDescent="0.2">
      <c r="B34" s="181" t="str">
        <f>'Conto Economico'!A100</f>
        <v>Telefonia Cellulare</v>
      </c>
      <c r="C34" s="47">
        <f ca="1">'Budget 27'!E30</f>
        <v>1368.3240000000001</v>
      </c>
      <c r="D34" s="201">
        <f t="shared" ref="D34:M34" ca="1" si="76">C34+C34*$C$159</f>
        <v>1395.69048</v>
      </c>
      <c r="E34" s="201">
        <f t="shared" ca="1" si="76"/>
        <v>1423.6042895999999</v>
      </c>
      <c r="F34" s="201">
        <f t="shared" ca="1" si="76"/>
        <v>1452.0763753919998</v>
      </c>
      <c r="G34" s="201">
        <f t="shared" ca="1" si="76"/>
        <v>1481.1179028998399</v>
      </c>
      <c r="H34" s="201">
        <f t="shared" ca="1" si="76"/>
        <v>1510.7402609578367</v>
      </c>
      <c r="I34" s="201">
        <f t="shared" ca="1" si="76"/>
        <v>1540.9550661769933</v>
      </c>
      <c r="J34" s="201">
        <f t="shared" ca="1" si="76"/>
        <v>1571.7741675005332</v>
      </c>
      <c r="K34" s="201">
        <f t="shared" ca="1" si="76"/>
        <v>1603.2096508505438</v>
      </c>
      <c r="L34" s="201">
        <f t="shared" ca="1" si="76"/>
        <v>1635.2738438675547</v>
      </c>
      <c r="M34" s="201">
        <f t="shared" ca="1" si="76"/>
        <v>1667.9793207449059</v>
      </c>
      <c r="N34" s="202">
        <f ca="1">M34/3*2</f>
        <v>1111.9862138299372</v>
      </c>
      <c r="O34" s="201">
        <f t="shared" ref="O34:AC34" ca="1" si="77">N34+N34*$C$159</f>
        <v>1134.225938106536</v>
      </c>
      <c r="P34" s="201">
        <f t="shared" ca="1" si="77"/>
        <v>1156.9104568686666</v>
      </c>
      <c r="Q34" s="201">
        <f t="shared" ca="1" si="77"/>
        <v>1180.0486660060399</v>
      </c>
      <c r="R34" s="201">
        <f t="shared" ca="1" si="77"/>
        <v>1203.6496393261607</v>
      </c>
      <c r="S34" s="201">
        <f t="shared" ca="1" si="77"/>
        <v>1227.7226321126839</v>
      </c>
      <c r="T34" s="201">
        <f t="shared" ca="1" si="77"/>
        <v>1252.2770847549375</v>
      </c>
      <c r="U34" s="201">
        <f t="shared" ca="1" si="77"/>
        <v>1277.3226264500363</v>
      </c>
      <c r="V34" s="201">
        <f t="shared" ca="1" si="77"/>
        <v>1302.8690789790371</v>
      </c>
      <c r="W34" s="201">
        <f t="shared" ca="1" si="77"/>
        <v>1328.9264605586179</v>
      </c>
      <c r="X34" s="201">
        <f t="shared" ca="1" si="77"/>
        <v>1355.5049897697902</v>
      </c>
      <c r="Y34" s="201">
        <f t="shared" ca="1" si="77"/>
        <v>1382.6150895651861</v>
      </c>
      <c r="Z34" s="201">
        <f t="shared" ca="1" si="77"/>
        <v>1410.2673913564897</v>
      </c>
      <c r="AA34" s="201">
        <f t="shared" ca="1" si="77"/>
        <v>1438.4727391836195</v>
      </c>
      <c r="AB34" s="201">
        <f t="shared" ca="1" si="77"/>
        <v>1467.242193967292</v>
      </c>
      <c r="AC34" s="201">
        <f t="shared" ca="1" si="77"/>
        <v>1496.5870378466379</v>
      </c>
      <c r="AD34" s="202">
        <f ca="1">AC34/2</f>
        <v>748.29351892331897</v>
      </c>
      <c r="AE34" s="201">
        <f t="shared" ref="AE34:AP34" ca="1" si="78">AD34+AD34*$C$159</f>
        <v>763.2593893017854</v>
      </c>
      <c r="AF34" s="201">
        <f t="shared" ca="1" si="78"/>
        <v>778.52457708782106</v>
      </c>
      <c r="AG34" s="201">
        <f t="shared" ca="1" si="78"/>
        <v>794.09506862957744</v>
      </c>
      <c r="AH34" s="201">
        <f t="shared" ca="1" si="78"/>
        <v>809.97697000216897</v>
      </c>
      <c r="AI34" s="201">
        <f t="shared" ca="1" si="78"/>
        <v>826.17650940221233</v>
      </c>
      <c r="AJ34" s="201">
        <f t="shared" ca="1" si="78"/>
        <v>842.70003959025655</v>
      </c>
      <c r="AK34" s="201">
        <f t="shared" ca="1" si="78"/>
        <v>859.55404038206166</v>
      </c>
      <c r="AL34" s="201">
        <f t="shared" ca="1" si="78"/>
        <v>876.7451211897029</v>
      </c>
      <c r="AM34" s="201">
        <f t="shared" ca="1" si="78"/>
        <v>894.28002361349695</v>
      </c>
      <c r="AN34" s="201">
        <f t="shared" ca="1" si="78"/>
        <v>912.16562408576692</v>
      </c>
      <c r="AO34" s="201">
        <f t="shared" ca="1" si="78"/>
        <v>930.40893656748221</v>
      </c>
      <c r="AP34" s="201">
        <f t="shared" ca="1" si="78"/>
        <v>949.01711529883187</v>
      </c>
    </row>
    <row r="35" spans="2:42" s="147" customFormat="1" x14ac:dyDescent="0.2">
      <c r="B35" s="181" t="str">
        <f>'Conto Economico'!A101</f>
        <v>Streaming TV</v>
      </c>
      <c r="C35" s="47">
        <f>'Budget 27'!E31</f>
        <v>450</v>
      </c>
      <c r="D35" s="201">
        <f t="shared" ref="D35:M35" si="79">C35+C35*$C$159</f>
        <v>459</v>
      </c>
      <c r="E35" s="201">
        <f t="shared" si="79"/>
        <v>468.18</v>
      </c>
      <c r="F35" s="201">
        <f t="shared" si="79"/>
        <v>477.54360000000003</v>
      </c>
      <c r="G35" s="201">
        <f t="shared" si="79"/>
        <v>487.09447200000005</v>
      </c>
      <c r="H35" s="201">
        <f t="shared" si="79"/>
        <v>496.83636144000008</v>
      </c>
      <c r="I35" s="201">
        <f t="shared" si="79"/>
        <v>506.77308866880009</v>
      </c>
      <c r="J35" s="201">
        <f t="shared" si="79"/>
        <v>516.90855044217608</v>
      </c>
      <c r="K35" s="201">
        <f t="shared" si="79"/>
        <v>527.24672145101965</v>
      </c>
      <c r="L35" s="201">
        <f t="shared" si="79"/>
        <v>537.79165588004003</v>
      </c>
      <c r="M35" s="201">
        <f t="shared" si="79"/>
        <v>548.54748899764081</v>
      </c>
      <c r="N35" s="201">
        <f>M35+M35*$C$159</f>
        <v>559.51843877759359</v>
      </c>
      <c r="O35" s="201">
        <f t="shared" ref="O35:AC35" si="80">N35+N35*$C$159</f>
        <v>570.70880755314545</v>
      </c>
      <c r="P35" s="201">
        <f t="shared" si="80"/>
        <v>582.12298370420831</v>
      </c>
      <c r="Q35" s="201">
        <f t="shared" si="80"/>
        <v>593.7654433782925</v>
      </c>
      <c r="R35" s="201">
        <f t="shared" si="80"/>
        <v>605.64075224585838</v>
      </c>
      <c r="S35" s="201">
        <f t="shared" si="80"/>
        <v>617.75356729077555</v>
      </c>
      <c r="T35" s="201">
        <f t="shared" si="80"/>
        <v>630.10863863659108</v>
      </c>
      <c r="U35" s="201">
        <f t="shared" si="80"/>
        <v>642.7108114093229</v>
      </c>
      <c r="V35" s="201">
        <f t="shared" si="80"/>
        <v>655.56502763750939</v>
      </c>
      <c r="W35" s="201">
        <f t="shared" si="80"/>
        <v>668.6763281902596</v>
      </c>
      <c r="X35" s="201">
        <f t="shared" si="80"/>
        <v>682.04985475406477</v>
      </c>
      <c r="Y35" s="201">
        <f t="shared" si="80"/>
        <v>695.69085184914604</v>
      </c>
      <c r="Z35" s="201">
        <f t="shared" si="80"/>
        <v>709.60466888612893</v>
      </c>
      <c r="AA35" s="201">
        <f t="shared" si="80"/>
        <v>723.79676226385152</v>
      </c>
      <c r="AB35" s="201">
        <f t="shared" si="80"/>
        <v>738.27269750912853</v>
      </c>
      <c r="AC35" s="201">
        <f t="shared" si="80"/>
        <v>753.03815145931105</v>
      </c>
      <c r="AD35" s="202">
        <f>AC35/2</f>
        <v>376.51907572965553</v>
      </c>
      <c r="AE35" s="201">
        <f t="shared" ref="AE35:AP35" si="81">AD35+AD35*$C$159</f>
        <v>384.04945724424863</v>
      </c>
      <c r="AF35" s="201">
        <f t="shared" si="81"/>
        <v>391.73044638913359</v>
      </c>
      <c r="AG35" s="201">
        <f t="shared" si="81"/>
        <v>399.56505531691624</v>
      </c>
      <c r="AH35" s="201">
        <f t="shared" si="81"/>
        <v>407.55635642325456</v>
      </c>
      <c r="AI35" s="201">
        <f t="shared" si="81"/>
        <v>415.70748355171963</v>
      </c>
      <c r="AJ35" s="201">
        <f t="shared" si="81"/>
        <v>424.02163322275402</v>
      </c>
      <c r="AK35" s="201">
        <f t="shared" si="81"/>
        <v>432.50206588720908</v>
      </c>
      <c r="AL35" s="201">
        <f t="shared" si="81"/>
        <v>441.15210720495327</v>
      </c>
      <c r="AM35" s="201">
        <f t="shared" si="81"/>
        <v>449.97514934905234</v>
      </c>
      <c r="AN35" s="201">
        <f t="shared" si="81"/>
        <v>458.97465233603339</v>
      </c>
      <c r="AO35" s="201">
        <f t="shared" si="81"/>
        <v>468.15414538275405</v>
      </c>
      <c r="AP35" s="201">
        <f t="shared" si="81"/>
        <v>477.51722829040915</v>
      </c>
    </row>
    <row r="36" spans="2:42" s="147" customFormat="1" x14ac:dyDescent="0.2">
      <c r="B36" s="181" t="str">
        <f>'Conto Economico'!A102</f>
        <v>Streaming Audio</v>
      </c>
      <c r="C36" s="47">
        <f>'Budget 27'!E32</f>
        <v>0</v>
      </c>
      <c r="D36" s="201">
        <f t="shared" ref="D36:M36" si="82">C36+C36*$C$159</f>
        <v>0</v>
      </c>
      <c r="E36" s="201">
        <f t="shared" si="82"/>
        <v>0</v>
      </c>
      <c r="F36" s="201">
        <f t="shared" si="82"/>
        <v>0</v>
      </c>
      <c r="G36" s="201">
        <f t="shared" si="82"/>
        <v>0</v>
      </c>
      <c r="H36" s="201">
        <f t="shared" si="82"/>
        <v>0</v>
      </c>
      <c r="I36" s="201">
        <f t="shared" si="82"/>
        <v>0</v>
      </c>
      <c r="J36" s="201">
        <f t="shared" si="82"/>
        <v>0</v>
      </c>
      <c r="K36" s="201">
        <f t="shared" si="82"/>
        <v>0</v>
      </c>
      <c r="L36" s="201">
        <f t="shared" si="82"/>
        <v>0</v>
      </c>
      <c r="M36" s="201">
        <f t="shared" si="82"/>
        <v>0</v>
      </c>
      <c r="N36" s="201">
        <f>M36+M36*$C$159</f>
        <v>0</v>
      </c>
      <c r="O36" s="201">
        <f t="shared" ref="O36:AC36" si="83">N36+N36*$C$159</f>
        <v>0</v>
      </c>
      <c r="P36" s="201">
        <f t="shared" si="83"/>
        <v>0</v>
      </c>
      <c r="Q36" s="201">
        <f t="shared" si="83"/>
        <v>0</v>
      </c>
      <c r="R36" s="201">
        <f t="shared" si="83"/>
        <v>0</v>
      </c>
      <c r="S36" s="201">
        <f t="shared" si="83"/>
        <v>0</v>
      </c>
      <c r="T36" s="201">
        <f t="shared" si="83"/>
        <v>0</v>
      </c>
      <c r="U36" s="201">
        <f t="shared" si="83"/>
        <v>0</v>
      </c>
      <c r="V36" s="201">
        <f t="shared" si="83"/>
        <v>0</v>
      </c>
      <c r="W36" s="201">
        <f t="shared" si="83"/>
        <v>0</v>
      </c>
      <c r="X36" s="201">
        <f t="shared" si="83"/>
        <v>0</v>
      </c>
      <c r="Y36" s="201">
        <f t="shared" si="83"/>
        <v>0</v>
      </c>
      <c r="Z36" s="201">
        <f t="shared" si="83"/>
        <v>0</v>
      </c>
      <c r="AA36" s="201">
        <f t="shared" si="83"/>
        <v>0</v>
      </c>
      <c r="AB36" s="201">
        <f t="shared" si="83"/>
        <v>0</v>
      </c>
      <c r="AC36" s="201">
        <f t="shared" si="83"/>
        <v>0</v>
      </c>
      <c r="AD36" s="201">
        <f>AC36+AC36*$C$159</f>
        <v>0</v>
      </c>
      <c r="AE36" s="201">
        <f t="shared" ref="AE36:AP36" si="84">AD36+AD36*$C$159</f>
        <v>0</v>
      </c>
      <c r="AF36" s="201">
        <f t="shared" si="84"/>
        <v>0</v>
      </c>
      <c r="AG36" s="201">
        <f t="shared" si="84"/>
        <v>0</v>
      </c>
      <c r="AH36" s="201">
        <f t="shared" si="84"/>
        <v>0</v>
      </c>
      <c r="AI36" s="201">
        <f t="shared" si="84"/>
        <v>0</v>
      </c>
      <c r="AJ36" s="201">
        <f t="shared" si="84"/>
        <v>0</v>
      </c>
      <c r="AK36" s="201">
        <f t="shared" si="84"/>
        <v>0</v>
      </c>
      <c r="AL36" s="201">
        <f t="shared" si="84"/>
        <v>0</v>
      </c>
      <c r="AM36" s="201">
        <f t="shared" si="84"/>
        <v>0</v>
      </c>
      <c r="AN36" s="201">
        <f t="shared" si="84"/>
        <v>0</v>
      </c>
      <c r="AO36" s="201">
        <f t="shared" si="84"/>
        <v>0</v>
      </c>
      <c r="AP36" s="201">
        <f t="shared" si="84"/>
        <v>0</v>
      </c>
    </row>
    <row r="37" spans="2:42" s="147" customFormat="1" x14ac:dyDescent="0.2">
      <c r="B37" s="181"/>
      <c r="C37" s="47"/>
      <c r="D37" s="201"/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1"/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</row>
    <row r="38" spans="2:42" s="147" customFormat="1" x14ac:dyDescent="0.2">
      <c r="B38" s="199" t="str">
        <f>'Conto Economico'!A104</f>
        <v>Spese Alimentari</v>
      </c>
      <c r="C38" s="113">
        <f>SUM(C39:C41)</f>
        <v>14800</v>
      </c>
      <c r="D38" s="200">
        <f t="shared" ref="D38:AP38" si="85">SUM(D39:D41)</f>
        <v>15096</v>
      </c>
      <c r="E38" s="200">
        <f t="shared" si="85"/>
        <v>15397.92</v>
      </c>
      <c r="F38" s="200">
        <f t="shared" si="85"/>
        <v>15705.878400000001</v>
      </c>
      <c r="G38" s="200">
        <f t="shared" si="85"/>
        <v>16019.995968000001</v>
      </c>
      <c r="H38" s="200">
        <f t="shared" si="85"/>
        <v>16340.39588736</v>
      </c>
      <c r="I38" s="200">
        <f t="shared" si="85"/>
        <v>16667.203805107201</v>
      </c>
      <c r="J38" s="200">
        <f t="shared" si="85"/>
        <v>17000.547881209346</v>
      </c>
      <c r="K38" s="200">
        <f t="shared" si="85"/>
        <v>17340.558838833531</v>
      </c>
      <c r="L38" s="200">
        <f t="shared" si="85"/>
        <v>17687.370015610206</v>
      </c>
      <c r="M38" s="200">
        <f t="shared" si="85"/>
        <v>18041.11741592241</v>
      </c>
      <c r="N38" s="200">
        <f t="shared" si="85"/>
        <v>14525.537508657526</v>
      </c>
      <c r="O38" s="200">
        <f t="shared" si="85"/>
        <v>14816.048258830679</v>
      </c>
      <c r="P38" s="200">
        <f t="shared" si="85"/>
        <v>15112.369224007292</v>
      </c>
      <c r="Q38" s="200">
        <f t="shared" si="85"/>
        <v>15414.616608487438</v>
      </c>
      <c r="R38" s="200">
        <f t="shared" si="85"/>
        <v>15722.908940657186</v>
      </c>
      <c r="S38" s="200">
        <f t="shared" si="85"/>
        <v>16037.367119470331</v>
      </c>
      <c r="T38" s="200">
        <f t="shared" si="85"/>
        <v>12217.79277530645</v>
      </c>
      <c r="U38" s="200">
        <f t="shared" si="85"/>
        <v>12462.14863081258</v>
      </c>
      <c r="V38" s="200">
        <f t="shared" si="85"/>
        <v>12711.39160342883</v>
      </c>
      <c r="W38" s="200">
        <f t="shared" si="85"/>
        <v>12965.619435497407</v>
      </c>
      <c r="X38" s="200">
        <f t="shared" si="85"/>
        <v>13224.931824207355</v>
      </c>
      <c r="Y38" s="200">
        <f t="shared" si="85"/>
        <v>13489.430460691503</v>
      </c>
      <c r="Z38" s="200">
        <f t="shared" si="85"/>
        <v>13759.219069905332</v>
      </c>
      <c r="AA38" s="200">
        <f t="shared" si="85"/>
        <v>14034.403451303438</v>
      </c>
      <c r="AB38" s="200">
        <f t="shared" si="85"/>
        <v>14315.091520329508</v>
      </c>
      <c r="AC38" s="200">
        <f t="shared" si="85"/>
        <v>14601.393350736098</v>
      </c>
      <c r="AD38" s="200">
        <f t="shared" si="85"/>
        <v>7300.696675368049</v>
      </c>
      <c r="AE38" s="200">
        <f t="shared" si="85"/>
        <v>7446.7106088754099</v>
      </c>
      <c r="AF38" s="200">
        <f t="shared" si="85"/>
        <v>7595.6448210529179</v>
      </c>
      <c r="AG38" s="200">
        <f t="shared" si="85"/>
        <v>7747.5577174739765</v>
      </c>
      <c r="AH38" s="200">
        <f t="shared" si="85"/>
        <v>7902.5088718234556</v>
      </c>
      <c r="AI38" s="200">
        <f t="shared" si="85"/>
        <v>8060.5590492599258</v>
      </c>
      <c r="AJ38" s="200">
        <f t="shared" si="85"/>
        <v>8221.7702302451235</v>
      </c>
      <c r="AK38" s="200">
        <f t="shared" si="85"/>
        <v>8386.2056348500264</v>
      </c>
      <c r="AL38" s="200">
        <f t="shared" si="85"/>
        <v>8553.9297475470266</v>
      </c>
      <c r="AM38" s="200">
        <f t="shared" si="85"/>
        <v>8725.0083424979675</v>
      </c>
      <c r="AN38" s="200">
        <f t="shared" si="85"/>
        <v>8899.5085093479283</v>
      </c>
      <c r="AO38" s="200">
        <f t="shared" si="85"/>
        <v>9077.498679534885</v>
      </c>
      <c r="AP38" s="200">
        <f t="shared" si="85"/>
        <v>9259.0486531255847</v>
      </c>
    </row>
    <row r="39" spans="2:42" s="147" customFormat="1" x14ac:dyDescent="0.2">
      <c r="B39" s="181" t="str">
        <f>'Conto Economico'!A105</f>
        <v>Alimentari</v>
      </c>
      <c r="C39" s="47">
        <f>'Budget 27'!E35</f>
        <v>9000</v>
      </c>
      <c r="D39" s="201">
        <f t="shared" ref="D39:M39" si="86">C39+C39*$C$159</f>
        <v>9180</v>
      </c>
      <c r="E39" s="201">
        <f t="shared" si="86"/>
        <v>9363.6</v>
      </c>
      <c r="F39" s="201">
        <f t="shared" si="86"/>
        <v>9550.8720000000012</v>
      </c>
      <c r="G39" s="201">
        <f t="shared" si="86"/>
        <v>9741.8894400000008</v>
      </c>
      <c r="H39" s="201">
        <f t="shared" si="86"/>
        <v>9936.7272288000004</v>
      </c>
      <c r="I39" s="201">
        <f t="shared" si="86"/>
        <v>10135.461773376001</v>
      </c>
      <c r="J39" s="201">
        <f t="shared" si="86"/>
        <v>10338.171008843521</v>
      </c>
      <c r="K39" s="201">
        <f t="shared" si="86"/>
        <v>10544.934429020392</v>
      </c>
      <c r="L39" s="201">
        <f t="shared" si="86"/>
        <v>10755.8331176008</v>
      </c>
      <c r="M39" s="201">
        <f t="shared" si="86"/>
        <v>10970.949779952816</v>
      </c>
      <c r="N39" s="202">
        <f>M39/3*2</f>
        <v>7313.9665199685442</v>
      </c>
      <c r="O39" s="201">
        <f t="shared" ref="O39:AC39" si="87">N39+N39*$C$159</f>
        <v>7460.2458503679154</v>
      </c>
      <c r="P39" s="201">
        <f t="shared" si="87"/>
        <v>7609.4507673752742</v>
      </c>
      <c r="Q39" s="201">
        <f t="shared" si="87"/>
        <v>7761.6397827227793</v>
      </c>
      <c r="R39" s="201">
        <f t="shared" si="87"/>
        <v>7916.8725783772352</v>
      </c>
      <c r="S39" s="201">
        <f t="shared" si="87"/>
        <v>8075.2100299447802</v>
      </c>
      <c r="T39" s="201">
        <f t="shared" si="87"/>
        <v>8236.7142305436755</v>
      </c>
      <c r="U39" s="201">
        <f t="shared" si="87"/>
        <v>8401.4485151545487</v>
      </c>
      <c r="V39" s="201">
        <f t="shared" si="87"/>
        <v>8569.477485457639</v>
      </c>
      <c r="W39" s="201">
        <f t="shared" si="87"/>
        <v>8740.8670351667915</v>
      </c>
      <c r="X39" s="201">
        <f t="shared" si="87"/>
        <v>8915.684375870127</v>
      </c>
      <c r="Y39" s="201">
        <f t="shared" si="87"/>
        <v>9093.9980633875293</v>
      </c>
      <c r="Z39" s="201">
        <f t="shared" si="87"/>
        <v>9275.8780246552797</v>
      </c>
      <c r="AA39" s="201">
        <f t="shared" si="87"/>
        <v>9461.3955851483861</v>
      </c>
      <c r="AB39" s="201">
        <f t="shared" si="87"/>
        <v>9650.6234968513545</v>
      </c>
      <c r="AC39" s="201">
        <f t="shared" si="87"/>
        <v>9843.6359667883808</v>
      </c>
      <c r="AD39" s="202">
        <f>AC39/2</f>
        <v>4921.8179833941904</v>
      </c>
      <c r="AE39" s="201">
        <f t="shared" ref="AE39:AP39" si="88">AD39+AD39*$C$159</f>
        <v>5020.2543430620744</v>
      </c>
      <c r="AF39" s="201">
        <f t="shared" si="88"/>
        <v>5120.6594299233157</v>
      </c>
      <c r="AG39" s="201">
        <f t="shared" si="88"/>
        <v>5223.0726185217818</v>
      </c>
      <c r="AH39" s="201">
        <f t="shared" si="88"/>
        <v>5327.5340708922176</v>
      </c>
      <c r="AI39" s="201">
        <f t="shared" si="88"/>
        <v>5434.084752310062</v>
      </c>
      <c r="AJ39" s="201">
        <f t="shared" si="88"/>
        <v>5542.7664473562636</v>
      </c>
      <c r="AK39" s="201">
        <f t="shared" si="88"/>
        <v>5653.6217763033892</v>
      </c>
      <c r="AL39" s="201">
        <f t="shared" si="88"/>
        <v>5766.6942118294573</v>
      </c>
      <c r="AM39" s="201">
        <f t="shared" si="88"/>
        <v>5882.0280960660466</v>
      </c>
      <c r="AN39" s="201">
        <f t="shared" si="88"/>
        <v>5999.6686579873676</v>
      </c>
      <c r="AO39" s="201">
        <f t="shared" si="88"/>
        <v>6119.6620311471152</v>
      </c>
      <c r="AP39" s="201">
        <f t="shared" si="88"/>
        <v>6242.0552717700575</v>
      </c>
    </row>
    <row r="40" spans="2:42" s="147" customFormat="1" x14ac:dyDescent="0.2">
      <c r="B40" s="181" t="str">
        <f>'Conto Economico'!A106</f>
        <v>Colazioni - Bar - Aperitivi - Gelateria</v>
      </c>
      <c r="C40" s="47">
        <f>'Budget 27'!E36</f>
        <v>1200</v>
      </c>
      <c r="D40" s="201">
        <f t="shared" ref="D40:M40" si="89">C40+C40*$C$159</f>
        <v>1224</v>
      </c>
      <c r="E40" s="201">
        <f t="shared" si="89"/>
        <v>1248.48</v>
      </c>
      <c r="F40" s="201">
        <f t="shared" si="89"/>
        <v>1273.4495999999999</v>
      </c>
      <c r="G40" s="201">
        <f t="shared" si="89"/>
        <v>1298.918592</v>
      </c>
      <c r="H40" s="201">
        <f t="shared" si="89"/>
        <v>1324.8969638399999</v>
      </c>
      <c r="I40" s="201">
        <f t="shared" si="89"/>
        <v>1351.3949031167999</v>
      </c>
      <c r="J40" s="201">
        <f t="shared" si="89"/>
        <v>1378.4228011791358</v>
      </c>
      <c r="K40" s="201">
        <f t="shared" si="89"/>
        <v>1405.9912572027185</v>
      </c>
      <c r="L40" s="201">
        <f t="shared" si="89"/>
        <v>1434.1110823467729</v>
      </c>
      <c r="M40" s="201">
        <f t="shared" si="89"/>
        <v>1462.7933039937084</v>
      </c>
      <c r="N40" s="201">
        <f t="shared" ref="N40:S41" si="90">M40+M40*$C$159</f>
        <v>1492.0491700735824</v>
      </c>
      <c r="O40" s="201">
        <f t="shared" si="90"/>
        <v>1521.8901534750541</v>
      </c>
      <c r="P40" s="201">
        <f t="shared" si="90"/>
        <v>1552.3279565445553</v>
      </c>
      <c r="Q40" s="201">
        <f t="shared" si="90"/>
        <v>1583.3745156754464</v>
      </c>
      <c r="R40" s="201">
        <f t="shared" si="90"/>
        <v>1615.0420059889555</v>
      </c>
      <c r="S40" s="201">
        <f t="shared" si="90"/>
        <v>1647.3428461087346</v>
      </c>
      <c r="T40" s="202">
        <f>S40/2</f>
        <v>823.67142305436732</v>
      </c>
      <c r="U40" s="201">
        <f t="shared" ref="U40:AC40" si="91">T40+T40*$C$159</f>
        <v>840.14485151545466</v>
      </c>
      <c r="V40" s="201">
        <f t="shared" si="91"/>
        <v>856.94774854576372</v>
      </c>
      <c r="W40" s="201">
        <f t="shared" si="91"/>
        <v>874.08670351667899</v>
      </c>
      <c r="X40" s="201">
        <f t="shared" si="91"/>
        <v>891.56843758701257</v>
      </c>
      <c r="Y40" s="201">
        <f t="shared" si="91"/>
        <v>909.3998063387528</v>
      </c>
      <c r="Z40" s="201">
        <f t="shared" si="91"/>
        <v>927.58780246552783</v>
      </c>
      <c r="AA40" s="201">
        <f t="shared" si="91"/>
        <v>946.13955851483843</v>
      </c>
      <c r="AB40" s="201">
        <f t="shared" si="91"/>
        <v>965.06234968513525</v>
      </c>
      <c r="AC40" s="201">
        <f t="shared" si="91"/>
        <v>984.36359667883789</v>
      </c>
      <c r="AD40" s="202">
        <f>AC40/2</f>
        <v>492.18179833941895</v>
      </c>
      <c r="AE40" s="201">
        <f t="shared" ref="AE40:AP40" si="92">AD40+AD40*$C$159</f>
        <v>502.02543430620733</v>
      </c>
      <c r="AF40" s="201">
        <f t="shared" si="92"/>
        <v>512.06594299233143</v>
      </c>
      <c r="AG40" s="201">
        <f t="shared" si="92"/>
        <v>522.30726185217804</v>
      </c>
      <c r="AH40" s="201">
        <f t="shared" si="92"/>
        <v>532.75340708922158</v>
      </c>
      <c r="AI40" s="201">
        <f t="shared" si="92"/>
        <v>543.40847523100604</v>
      </c>
      <c r="AJ40" s="201">
        <f t="shared" si="92"/>
        <v>554.27664473562618</v>
      </c>
      <c r="AK40" s="201">
        <f t="shared" si="92"/>
        <v>565.36217763033869</v>
      </c>
      <c r="AL40" s="201">
        <f t="shared" si="92"/>
        <v>576.66942118294548</v>
      </c>
      <c r="AM40" s="201">
        <f t="shared" si="92"/>
        <v>588.20280960660443</v>
      </c>
      <c r="AN40" s="201">
        <f t="shared" si="92"/>
        <v>599.96686579873653</v>
      </c>
      <c r="AO40" s="201">
        <f t="shared" si="92"/>
        <v>611.96620311471122</v>
      </c>
      <c r="AP40" s="201">
        <f t="shared" si="92"/>
        <v>624.20552717700548</v>
      </c>
    </row>
    <row r="41" spans="2:42" s="147" customFormat="1" x14ac:dyDescent="0.2">
      <c r="B41" s="181" t="str">
        <f>'Conto Economico'!A107</f>
        <v>Ristorazione</v>
      </c>
      <c r="C41" s="47">
        <f>'Budget 27'!E37</f>
        <v>4600</v>
      </c>
      <c r="D41" s="201">
        <f t="shared" ref="D41:M41" si="93">C41+C41*$C$159</f>
        <v>4692</v>
      </c>
      <c r="E41" s="201">
        <f t="shared" si="93"/>
        <v>4785.84</v>
      </c>
      <c r="F41" s="201">
        <f t="shared" si="93"/>
        <v>4881.5568000000003</v>
      </c>
      <c r="G41" s="201">
        <f t="shared" si="93"/>
        <v>4979.1879360000003</v>
      </c>
      <c r="H41" s="201">
        <f t="shared" si="93"/>
        <v>5078.7716947200006</v>
      </c>
      <c r="I41" s="201">
        <f t="shared" si="93"/>
        <v>5180.3471286144004</v>
      </c>
      <c r="J41" s="201">
        <f t="shared" si="93"/>
        <v>5283.9540711866885</v>
      </c>
      <c r="K41" s="201">
        <f t="shared" si="93"/>
        <v>5389.6331526104223</v>
      </c>
      <c r="L41" s="201">
        <f t="shared" si="93"/>
        <v>5497.4258156626311</v>
      </c>
      <c r="M41" s="201">
        <f t="shared" si="93"/>
        <v>5607.3743319758833</v>
      </c>
      <c r="N41" s="201">
        <f t="shared" si="90"/>
        <v>5719.5218186154007</v>
      </c>
      <c r="O41" s="201">
        <f t="shared" si="90"/>
        <v>5833.9122549877084</v>
      </c>
      <c r="P41" s="201">
        <f t="shared" si="90"/>
        <v>5950.5905000874627</v>
      </c>
      <c r="Q41" s="201">
        <f t="shared" si="90"/>
        <v>6069.6023100892116</v>
      </c>
      <c r="R41" s="201">
        <f t="shared" si="90"/>
        <v>6190.9943562909957</v>
      </c>
      <c r="S41" s="201">
        <f t="shared" si="90"/>
        <v>6314.8142434168158</v>
      </c>
      <c r="T41" s="202">
        <f>S41/2</f>
        <v>3157.4071217084079</v>
      </c>
      <c r="U41" s="201">
        <f t="shared" ref="U41:AC41" si="94">T41+T41*$C$159</f>
        <v>3220.5552641425761</v>
      </c>
      <c r="V41" s="201">
        <f t="shared" si="94"/>
        <v>3284.9663694254277</v>
      </c>
      <c r="W41" s="201">
        <f t="shared" si="94"/>
        <v>3350.6656968139364</v>
      </c>
      <c r="X41" s="201">
        <f t="shared" si="94"/>
        <v>3417.6790107502152</v>
      </c>
      <c r="Y41" s="201">
        <f t="shared" si="94"/>
        <v>3486.0325909652197</v>
      </c>
      <c r="Z41" s="201">
        <f t="shared" si="94"/>
        <v>3555.753242784524</v>
      </c>
      <c r="AA41" s="201">
        <f t="shared" si="94"/>
        <v>3626.8683076402144</v>
      </c>
      <c r="AB41" s="201">
        <f t="shared" si="94"/>
        <v>3699.4056737930187</v>
      </c>
      <c r="AC41" s="201">
        <f t="shared" si="94"/>
        <v>3773.3937872688789</v>
      </c>
      <c r="AD41" s="202">
        <f>AC41/2</f>
        <v>1886.6968936344394</v>
      </c>
      <c r="AE41" s="201">
        <f t="shared" ref="AE41:AP41" si="95">AD41+AD41*$C$159</f>
        <v>1924.4308315071282</v>
      </c>
      <c r="AF41" s="201">
        <f t="shared" si="95"/>
        <v>1962.9194481372708</v>
      </c>
      <c r="AG41" s="201">
        <f t="shared" si="95"/>
        <v>2002.1778371000162</v>
      </c>
      <c r="AH41" s="201">
        <f t="shared" si="95"/>
        <v>2042.2213938420166</v>
      </c>
      <c r="AI41" s="201">
        <f t="shared" si="95"/>
        <v>2083.065821718857</v>
      </c>
      <c r="AJ41" s="201">
        <f t="shared" si="95"/>
        <v>2124.7271381532341</v>
      </c>
      <c r="AK41" s="201">
        <f t="shared" si="95"/>
        <v>2167.2216809162987</v>
      </c>
      <c r="AL41" s="201">
        <f t="shared" si="95"/>
        <v>2210.5661145346248</v>
      </c>
      <c r="AM41" s="201">
        <f t="shared" si="95"/>
        <v>2254.7774368253172</v>
      </c>
      <c r="AN41" s="201">
        <f t="shared" si="95"/>
        <v>2299.8729855618235</v>
      </c>
      <c r="AO41" s="201">
        <f t="shared" si="95"/>
        <v>2345.8704452730599</v>
      </c>
      <c r="AP41" s="201">
        <f t="shared" si="95"/>
        <v>2392.7878541785212</v>
      </c>
    </row>
    <row r="42" spans="2:42" s="147" customFormat="1" x14ac:dyDescent="0.2">
      <c r="B42" s="181"/>
      <c r="C42" s="47"/>
      <c r="D42" s="201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</row>
    <row r="43" spans="2:42" s="147" customFormat="1" x14ac:dyDescent="0.2">
      <c r="B43" s="199" t="str">
        <f>'Conto Economico'!A109</f>
        <v>Manutenzioni</v>
      </c>
      <c r="C43" s="113">
        <f t="shared" ref="C43:AP43" ca="1" si="96">SUM(C44:C46)</f>
        <v>3861.3960000000002</v>
      </c>
      <c r="D43" s="200">
        <f t="shared" ca="1" si="96"/>
        <v>3938.62392</v>
      </c>
      <c r="E43" s="200">
        <f t="shared" ca="1" si="96"/>
        <v>4017.3963984000002</v>
      </c>
      <c r="F43" s="200">
        <f t="shared" ca="1" si="96"/>
        <v>4097.7443263679997</v>
      </c>
      <c r="G43" s="200">
        <f t="shared" ca="1" si="96"/>
        <v>4179.6992128953598</v>
      </c>
      <c r="H43" s="200">
        <f t="shared" ca="1" si="96"/>
        <v>4263.2931971532671</v>
      </c>
      <c r="I43" s="200">
        <f t="shared" ca="1" si="96"/>
        <v>4348.5590610963327</v>
      </c>
      <c r="J43" s="200">
        <f t="shared" ca="1" si="96"/>
        <v>4435.5302423182593</v>
      </c>
      <c r="K43" s="200">
        <f t="shared" ca="1" si="96"/>
        <v>4524.2408471646249</v>
      </c>
      <c r="L43" s="200">
        <f t="shared" ca="1" si="96"/>
        <v>4614.7256641079175</v>
      </c>
      <c r="M43" s="200">
        <f t="shared" ca="1" si="96"/>
        <v>4707.0201773900762</v>
      </c>
      <c r="N43" s="200">
        <f t="shared" ca="1" si="96"/>
        <v>4801.160580937878</v>
      </c>
      <c r="O43" s="200">
        <f t="shared" ca="1" si="96"/>
        <v>4897.1837925566351</v>
      </c>
      <c r="P43" s="200">
        <f t="shared" ca="1" si="96"/>
        <v>4995.127468407768</v>
      </c>
      <c r="Q43" s="200">
        <f t="shared" ca="1" si="96"/>
        <v>5095.0300177759236</v>
      </c>
      <c r="R43" s="200">
        <f t="shared" ca="1" si="96"/>
        <v>5196.9306181314423</v>
      </c>
      <c r="S43" s="200">
        <f t="shared" ca="1" si="96"/>
        <v>5300.8692304940714</v>
      </c>
      <c r="T43" s="200">
        <f t="shared" ca="1" si="96"/>
        <v>5406.8866151039529</v>
      </c>
      <c r="U43" s="200">
        <f t="shared" ca="1" si="96"/>
        <v>5515.0243474060317</v>
      </c>
      <c r="V43" s="200">
        <f t="shared" ca="1" si="96"/>
        <v>5625.3248343541527</v>
      </c>
      <c r="W43" s="200">
        <f t="shared" ca="1" si="96"/>
        <v>5737.8313310412359</v>
      </c>
      <c r="X43" s="200">
        <f t="shared" ca="1" si="96"/>
        <v>5852.5879576620609</v>
      </c>
      <c r="Y43" s="200">
        <f t="shared" ca="1" si="96"/>
        <v>5969.6397168153026</v>
      </c>
      <c r="Z43" s="200">
        <f t="shared" ca="1" si="96"/>
        <v>6089.0325111516086</v>
      </c>
      <c r="AA43" s="200">
        <f t="shared" ca="1" si="96"/>
        <v>6210.8131613746409</v>
      </c>
      <c r="AB43" s="200">
        <f t="shared" ca="1" si="96"/>
        <v>6335.029424602134</v>
      </c>
      <c r="AC43" s="200">
        <f t="shared" ca="1" si="96"/>
        <v>6461.7300130941767</v>
      </c>
      <c r="AD43" s="200">
        <f t="shared" ca="1" si="96"/>
        <v>6590.96461335606</v>
      </c>
      <c r="AE43" s="200">
        <f t="shared" ca="1" si="96"/>
        <v>6722.7839056231815</v>
      </c>
      <c r="AF43" s="200">
        <f t="shared" ca="1" si="96"/>
        <v>6857.2395837356453</v>
      </c>
      <c r="AG43" s="200">
        <f t="shared" ca="1" si="96"/>
        <v>6994.3843754103582</v>
      </c>
      <c r="AH43" s="200">
        <f t="shared" ca="1" si="96"/>
        <v>7134.2720629185651</v>
      </c>
      <c r="AI43" s="200">
        <f t="shared" ca="1" si="96"/>
        <v>7276.9575041769367</v>
      </c>
      <c r="AJ43" s="200">
        <f t="shared" ca="1" si="96"/>
        <v>7422.4966542604752</v>
      </c>
      <c r="AK43" s="200">
        <f t="shared" ca="1" si="96"/>
        <v>7570.9465873456847</v>
      </c>
      <c r="AL43" s="200">
        <f t="shared" ca="1" si="96"/>
        <v>7722.3655190925983</v>
      </c>
      <c r="AM43" s="200">
        <f t="shared" ca="1" si="96"/>
        <v>7876.8128294744502</v>
      </c>
      <c r="AN43" s="200">
        <f t="shared" ca="1" si="96"/>
        <v>8034.3490860639395</v>
      </c>
      <c r="AO43" s="200">
        <f t="shared" ca="1" si="96"/>
        <v>8195.0360677852186</v>
      </c>
      <c r="AP43" s="200">
        <f t="shared" ca="1" si="96"/>
        <v>8358.9367891409238</v>
      </c>
    </row>
    <row r="44" spans="2:42" s="147" customFormat="1" x14ac:dyDescent="0.2">
      <c r="B44" s="181" t="str">
        <f>'Conto Economico'!A110</f>
        <v>Manutenzione Immobile</v>
      </c>
      <c r="C44" s="47">
        <f ca="1">'Budget 27'!E40</f>
        <v>3861.3960000000002</v>
      </c>
      <c r="D44" s="201">
        <f t="shared" ref="D44:AP44" ca="1" si="97">C44+C44*$C$159</f>
        <v>3938.62392</v>
      </c>
      <c r="E44" s="201">
        <f t="shared" ca="1" si="97"/>
        <v>4017.3963984000002</v>
      </c>
      <c r="F44" s="201">
        <f t="shared" ca="1" si="97"/>
        <v>4097.7443263679997</v>
      </c>
      <c r="G44" s="201">
        <f t="shared" ca="1" si="97"/>
        <v>4179.6992128953598</v>
      </c>
      <c r="H44" s="201">
        <f t="shared" ca="1" si="97"/>
        <v>4263.2931971532671</v>
      </c>
      <c r="I44" s="201">
        <f t="shared" ca="1" si="97"/>
        <v>4348.5590610963327</v>
      </c>
      <c r="J44" s="201">
        <f t="shared" ca="1" si="97"/>
        <v>4435.5302423182593</v>
      </c>
      <c r="K44" s="201">
        <f t="shared" ca="1" si="97"/>
        <v>4524.2408471646249</v>
      </c>
      <c r="L44" s="201">
        <f t="shared" ca="1" si="97"/>
        <v>4614.7256641079175</v>
      </c>
      <c r="M44" s="201">
        <f t="shared" ca="1" si="97"/>
        <v>4707.0201773900762</v>
      </c>
      <c r="N44" s="201">
        <f t="shared" ca="1" si="97"/>
        <v>4801.160580937878</v>
      </c>
      <c r="O44" s="201">
        <f t="shared" ca="1" si="97"/>
        <v>4897.1837925566351</v>
      </c>
      <c r="P44" s="201">
        <f t="shared" ca="1" si="97"/>
        <v>4995.127468407768</v>
      </c>
      <c r="Q44" s="201">
        <f t="shared" ca="1" si="97"/>
        <v>5095.0300177759236</v>
      </c>
      <c r="R44" s="201">
        <f t="shared" ca="1" si="97"/>
        <v>5196.9306181314423</v>
      </c>
      <c r="S44" s="201">
        <f t="shared" ca="1" si="97"/>
        <v>5300.8692304940714</v>
      </c>
      <c r="T44" s="201">
        <f t="shared" ca="1" si="97"/>
        <v>5406.8866151039529</v>
      </c>
      <c r="U44" s="201">
        <f t="shared" ca="1" si="97"/>
        <v>5515.0243474060317</v>
      </c>
      <c r="V44" s="201">
        <f t="shared" ca="1" si="97"/>
        <v>5625.3248343541527</v>
      </c>
      <c r="W44" s="201">
        <f t="shared" ca="1" si="97"/>
        <v>5737.8313310412359</v>
      </c>
      <c r="X44" s="201">
        <f t="shared" ca="1" si="97"/>
        <v>5852.5879576620609</v>
      </c>
      <c r="Y44" s="201">
        <f t="shared" ca="1" si="97"/>
        <v>5969.6397168153026</v>
      </c>
      <c r="Z44" s="201">
        <f t="shared" ca="1" si="97"/>
        <v>6089.0325111516086</v>
      </c>
      <c r="AA44" s="201">
        <f t="shared" ca="1" si="97"/>
        <v>6210.8131613746409</v>
      </c>
      <c r="AB44" s="201">
        <f t="shared" ca="1" si="97"/>
        <v>6335.029424602134</v>
      </c>
      <c r="AC44" s="201">
        <f t="shared" ca="1" si="97"/>
        <v>6461.7300130941767</v>
      </c>
      <c r="AD44" s="201">
        <f t="shared" ca="1" si="97"/>
        <v>6590.96461335606</v>
      </c>
      <c r="AE44" s="201">
        <f t="shared" ca="1" si="97"/>
        <v>6722.7839056231815</v>
      </c>
      <c r="AF44" s="201">
        <f t="shared" ca="1" si="97"/>
        <v>6857.2395837356453</v>
      </c>
      <c r="AG44" s="201">
        <f t="shared" ca="1" si="97"/>
        <v>6994.3843754103582</v>
      </c>
      <c r="AH44" s="201">
        <f t="shared" ca="1" si="97"/>
        <v>7134.2720629185651</v>
      </c>
      <c r="AI44" s="201">
        <f t="shared" ca="1" si="97"/>
        <v>7276.9575041769367</v>
      </c>
      <c r="AJ44" s="201">
        <f t="shared" ca="1" si="97"/>
        <v>7422.4966542604752</v>
      </c>
      <c r="AK44" s="201">
        <f t="shared" ca="1" si="97"/>
        <v>7570.9465873456847</v>
      </c>
      <c r="AL44" s="201">
        <f t="shared" ca="1" si="97"/>
        <v>7722.3655190925983</v>
      </c>
      <c r="AM44" s="201">
        <f t="shared" ca="1" si="97"/>
        <v>7876.8128294744502</v>
      </c>
      <c r="AN44" s="201">
        <f t="shared" ca="1" si="97"/>
        <v>8034.3490860639395</v>
      </c>
      <c r="AO44" s="201">
        <f t="shared" ca="1" si="97"/>
        <v>8195.0360677852186</v>
      </c>
      <c r="AP44" s="201">
        <f t="shared" ca="1" si="97"/>
        <v>8358.9367891409238</v>
      </c>
    </row>
    <row r="45" spans="2:42" s="147" customFormat="1" x14ac:dyDescent="0.2">
      <c r="B45" s="181" t="str">
        <f>'Conto Economico'!A111</f>
        <v>Manutenzione del Giardino</v>
      </c>
      <c r="C45" s="47">
        <f>'Budget 27'!E41</f>
        <v>0</v>
      </c>
      <c r="D45" s="201">
        <f t="shared" ref="D45:AP45" si="98">C45+C45*$C$159</f>
        <v>0</v>
      </c>
      <c r="E45" s="201">
        <f t="shared" si="98"/>
        <v>0</v>
      </c>
      <c r="F45" s="201">
        <f t="shared" si="98"/>
        <v>0</v>
      </c>
      <c r="G45" s="201">
        <f t="shared" si="98"/>
        <v>0</v>
      </c>
      <c r="H45" s="201">
        <f t="shared" si="98"/>
        <v>0</v>
      </c>
      <c r="I45" s="201">
        <f t="shared" si="98"/>
        <v>0</v>
      </c>
      <c r="J45" s="201">
        <f t="shared" si="98"/>
        <v>0</v>
      </c>
      <c r="K45" s="201">
        <f t="shared" si="98"/>
        <v>0</v>
      </c>
      <c r="L45" s="201">
        <f t="shared" si="98"/>
        <v>0</v>
      </c>
      <c r="M45" s="201">
        <f t="shared" si="98"/>
        <v>0</v>
      </c>
      <c r="N45" s="201">
        <f t="shared" si="98"/>
        <v>0</v>
      </c>
      <c r="O45" s="201">
        <f t="shared" si="98"/>
        <v>0</v>
      </c>
      <c r="P45" s="201">
        <f t="shared" si="98"/>
        <v>0</v>
      </c>
      <c r="Q45" s="201">
        <f t="shared" si="98"/>
        <v>0</v>
      </c>
      <c r="R45" s="201">
        <f t="shared" si="98"/>
        <v>0</v>
      </c>
      <c r="S45" s="201">
        <f t="shared" si="98"/>
        <v>0</v>
      </c>
      <c r="T45" s="201">
        <f t="shared" si="98"/>
        <v>0</v>
      </c>
      <c r="U45" s="201">
        <f t="shared" si="98"/>
        <v>0</v>
      </c>
      <c r="V45" s="201">
        <f t="shared" si="98"/>
        <v>0</v>
      </c>
      <c r="W45" s="201">
        <f t="shared" si="98"/>
        <v>0</v>
      </c>
      <c r="X45" s="201">
        <f t="shared" si="98"/>
        <v>0</v>
      </c>
      <c r="Y45" s="201">
        <f t="shared" si="98"/>
        <v>0</v>
      </c>
      <c r="Z45" s="201">
        <f t="shared" si="98"/>
        <v>0</v>
      </c>
      <c r="AA45" s="201">
        <f t="shared" si="98"/>
        <v>0</v>
      </c>
      <c r="AB45" s="201">
        <f t="shared" si="98"/>
        <v>0</v>
      </c>
      <c r="AC45" s="201">
        <f t="shared" si="98"/>
        <v>0</v>
      </c>
      <c r="AD45" s="201">
        <f t="shared" si="98"/>
        <v>0</v>
      </c>
      <c r="AE45" s="201">
        <f t="shared" si="98"/>
        <v>0</v>
      </c>
      <c r="AF45" s="201">
        <f t="shared" si="98"/>
        <v>0</v>
      </c>
      <c r="AG45" s="201">
        <f t="shared" si="98"/>
        <v>0</v>
      </c>
      <c r="AH45" s="201">
        <f t="shared" si="98"/>
        <v>0</v>
      </c>
      <c r="AI45" s="201">
        <f t="shared" si="98"/>
        <v>0</v>
      </c>
      <c r="AJ45" s="201">
        <f t="shared" si="98"/>
        <v>0</v>
      </c>
      <c r="AK45" s="201">
        <f t="shared" si="98"/>
        <v>0</v>
      </c>
      <c r="AL45" s="201">
        <f t="shared" si="98"/>
        <v>0</v>
      </c>
      <c r="AM45" s="201">
        <f t="shared" si="98"/>
        <v>0</v>
      </c>
      <c r="AN45" s="201">
        <f t="shared" si="98"/>
        <v>0</v>
      </c>
      <c r="AO45" s="201">
        <f t="shared" si="98"/>
        <v>0</v>
      </c>
      <c r="AP45" s="201">
        <f t="shared" si="98"/>
        <v>0</v>
      </c>
    </row>
    <row r="46" spans="2:42" s="147" customFormat="1" x14ac:dyDescent="0.2">
      <c r="B46" s="181" t="str">
        <f>'Conto Economico'!A112</f>
        <v>Manutenzione Piscina</v>
      </c>
      <c r="C46" s="47">
        <f>'Budget 27'!E42</f>
        <v>0</v>
      </c>
      <c r="D46" s="201">
        <f t="shared" ref="D46:AP46" si="99">C46+C46*$C$159</f>
        <v>0</v>
      </c>
      <c r="E46" s="201">
        <f t="shared" si="99"/>
        <v>0</v>
      </c>
      <c r="F46" s="201">
        <f t="shared" si="99"/>
        <v>0</v>
      </c>
      <c r="G46" s="201">
        <f t="shared" si="99"/>
        <v>0</v>
      </c>
      <c r="H46" s="201">
        <f t="shared" si="99"/>
        <v>0</v>
      </c>
      <c r="I46" s="201">
        <f t="shared" si="99"/>
        <v>0</v>
      </c>
      <c r="J46" s="201">
        <f t="shared" si="99"/>
        <v>0</v>
      </c>
      <c r="K46" s="201">
        <f t="shared" si="99"/>
        <v>0</v>
      </c>
      <c r="L46" s="201">
        <f t="shared" si="99"/>
        <v>0</v>
      </c>
      <c r="M46" s="201">
        <f t="shared" si="99"/>
        <v>0</v>
      </c>
      <c r="N46" s="201">
        <f t="shared" si="99"/>
        <v>0</v>
      </c>
      <c r="O46" s="201">
        <f t="shared" si="99"/>
        <v>0</v>
      </c>
      <c r="P46" s="201">
        <f t="shared" si="99"/>
        <v>0</v>
      </c>
      <c r="Q46" s="201">
        <f t="shared" si="99"/>
        <v>0</v>
      </c>
      <c r="R46" s="201">
        <f t="shared" si="99"/>
        <v>0</v>
      </c>
      <c r="S46" s="201">
        <f t="shared" si="99"/>
        <v>0</v>
      </c>
      <c r="T46" s="201">
        <f t="shared" si="99"/>
        <v>0</v>
      </c>
      <c r="U46" s="201">
        <f t="shared" si="99"/>
        <v>0</v>
      </c>
      <c r="V46" s="201">
        <f t="shared" si="99"/>
        <v>0</v>
      </c>
      <c r="W46" s="201">
        <f t="shared" si="99"/>
        <v>0</v>
      </c>
      <c r="X46" s="201">
        <f t="shared" si="99"/>
        <v>0</v>
      </c>
      <c r="Y46" s="201">
        <f t="shared" si="99"/>
        <v>0</v>
      </c>
      <c r="Z46" s="201">
        <f t="shared" si="99"/>
        <v>0</v>
      </c>
      <c r="AA46" s="201">
        <f t="shared" si="99"/>
        <v>0</v>
      </c>
      <c r="AB46" s="201">
        <f t="shared" si="99"/>
        <v>0</v>
      </c>
      <c r="AC46" s="201">
        <f t="shared" si="99"/>
        <v>0</v>
      </c>
      <c r="AD46" s="201">
        <f t="shared" si="99"/>
        <v>0</v>
      </c>
      <c r="AE46" s="201">
        <f t="shared" si="99"/>
        <v>0</v>
      </c>
      <c r="AF46" s="201">
        <f t="shared" si="99"/>
        <v>0</v>
      </c>
      <c r="AG46" s="201">
        <f t="shared" si="99"/>
        <v>0</v>
      </c>
      <c r="AH46" s="201">
        <f t="shared" si="99"/>
        <v>0</v>
      </c>
      <c r="AI46" s="201">
        <f t="shared" si="99"/>
        <v>0</v>
      </c>
      <c r="AJ46" s="201">
        <f t="shared" si="99"/>
        <v>0</v>
      </c>
      <c r="AK46" s="201">
        <f t="shared" si="99"/>
        <v>0</v>
      </c>
      <c r="AL46" s="201">
        <f t="shared" si="99"/>
        <v>0</v>
      </c>
      <c r="AM46" s="201">
        <f t="shared" si="99"/>
        <v>0</v>
      </c>
      <c r="AN46" s="201">
        <f t="shared" si="99"/>
        <v>0</v>
      </c>
      <c r="AO46" s="201">
        <f t="shared" si="99"/>
        <v>0</v>
      </c>
      <c r="AP46" s="201">
        <f t="shared" si="99"/>
        <v>0</v>
      </c>
    </row>
    <row r="47" spans="2:42" s="147" customFormat="1" x14ac:dyDescent="0.2">
      <c r="B47" s="181"/>
      <c r="C47" s="47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  <c r="U47" s="201"/>
      <c r="V47" s="201"/>
      <c r="W47" s="201"/>
      <c r="X47" s="201"/>
      <c r="Y47" s="201"/>
      <c r="Z47" s="201"/>
      <c r="AA47" s="201"/>
      <c r="AB47" s="201"/>
      <c r="AC47" s="201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1"/>
      <c r="AP47" s="201"/>
    </row>
    <row r="48" spans="2:42" s="147" customFormat="1" x14ac:dyDescent="0.2">
      <c r="B48" s="199" t="str">
        <f>'Conto Economico'!A114</f>
        <v>Educazione Emma</v>
      </c>
      <c r="C48" s="113">
        <f ca="1">SUM(C49)</f>
        <v>22553.466</v>
      </c>
      <c r="D48" s="200">
        <f t="shared" ref="D48:AP48" ca="1" si="100">D49</f>
        <v>22553.466</v>
      </c>
      <c r="E48" s="200">
        <f t="shared" ca="1" si="100"/>
        <v>20836.494000000002</v>
      </c>
      <c r="F48" s="200">
        <f t="shared" ca="1" si="100"/>
        <v>20836.494000000002</v>
      </c>
      <c r="G48" s="200">
        <f t="shared" si="100"/>
        <v>0</v>
      </c>
      <c r="H48" s="200">
        <f t="shared" si="100"/>
        <v>0</v>
      </c>
      <c r="I48" s="200">
        <f t="shared" si="100"/>
        <v>0</v>
      </c>
      <c r="J48" s="200">
        <f t="shared" si="100"/>
        <v>0</v>
      </c>
      <c r="K48" s="200">
        <f t="shared" si="100"/>
        <v>0</v>
      </c>
      <c r="L48" s="200">
        <f t="shared" si="100"/>
        <v>0</v>
      </c>
      <c r="M48" s="200">
        <f t="shared" si="100"/>
        <v>0</v>
      </c>
      <c r="N48" s="200">
        <f t="shared" si="100"/>
        <v>0</v>
      </c>
      <c r="O48" s="200">
        <f t="shared" si="100"/>
        <v>0</v>
      </c>
      <c r="P48" s="200">
        <f t="shared" si="100"/>
        <v>0</v>
      </c>
      <c r="Q48" s="200">
        <f t="shared" si="100"/>
        <v>0</v>
      </c>
      <c r="R48" s="200">
        <f t="shared" si="100"/>
        <v>0</v>
      </c>
      <c r="S48" s="200">
        <f t="shared" si="100"/>
        <v>0</v>
      </c>
      <c r="T48" s="200">
        <f t="shared" si="100"/>
        <v>0</v>
      </c>
      <c r="U48" s="200">
        <f t="shared" si="100"/>
        <v>0</v>
      </c>
      <c r="V48" s="200">
        <f t="shared" si="100"/>
        <v>0</v>
      </c>
      <c r="W48" s="200">
        <f t="shared" si="100"/>
        <v>0</v>
      </c>
      <c r="X48" s="200">
        <f t="shared" si="100"/>
        <v>0</v>
      </c>
      <c r="Y48" s="200">
        <f t="shared" si="100"/>
        <v>0</v>
      </c>
      <c r="Z48" s="200">
        <f t="shared" si="100"/>
        <v>0</v>
      </c>
      <c r="AA48" s="200">
        <f t="shared" si="100"/>
        <v>0</v>
      </c>
      <c r="AB48" s="200">
        <f t="shared" si="100"/>
        <v>0</v>
      </c>
      <c r="AC48" s="200">
        <f t="shared" si="100"/>
        <v>0</v>
      </c>
      <c r="AD48" s="200">
        <f t="shared" si="100"/>
        <v>0</v>
      </c>
      <c r="AE48" s="200">
        <f t="shared" si="100"/>
        <v>0</v>
      </c>
      <c r="AF48" s="200">
        <f t="shared" si="100"/>
        <v>0</v>
      </c>
      <c r="AG48" s="200">
        <f t="shared" si="100"/>
        <v>0</v>
      </c>
      <c r="AH48" s="200">
        <f t="shared" si="100"/>
        <v>0</v>
      </c>
      <c r="AI48" s="200">
        <f t="shared" si="100"/>
        <v>0</v>
      </c>
      <c r="AJ48" s="200">
        <f t="shared" si="100"/>
        <v>0</v>
      </c>
      <c r="AK48" s="200">
        <f t="shared" si="100"/>
        <v>0</v>
      </c>
      <c r="AL48" s="200">
        <f t="shared" si="100"/>
        <v>0</v>
      </c>
      <c r="AM48" s="200">
        <f t="shared" si="100"/>
        <v>0</v>
      </c>
      <c r="AN48" s="200">
        <f t="shared" si="100"/>
        <v>0</v>
      </c>
      <c r="AO48" s="200">
        <f t="shared" si="100"/>
        <v>0</v>
      </c>
      <c r="AP48" s="200">
        <f t="shared" si="100"/>
        <v>0</v>
      </c>
    </row>
    <row r="49" spans="2:42" s="147" customFormat="1" x14ac:dyDescent="0.2">
      <c r="B49" s="181" t="str">
        <f>'Conto Economico'!A115</f>
        <v>Istruzione e Corsi</v>
      </c>
      <c r="C49" s="47">
        <f ca="1">'Budget 27'!E45</f>
        <v>22553.466</v>
      </c>
      <c r="D49" s="201" cm="1">
        <f t="array" aca="1" ref="D49" ca="1">94445*_FV(B172,"Prezzo")</f>
        <v>22553.466</v>
      </c>
      <c r="E49" s="201" cm="1">
        <f t="array" aca="1" ref="E49" ca="1">87255*_FV(B172,"Prezzo")</f>
        <v>20836.494000000002</v>
      </c>
      <c r="F49" s="201" cm="1">
        <f t="array" aca="1" ref="F49" ca="1">87255*_FV(B172,"Prezzo")</f>
        <v>20836.494000000002</v>
      </c>
      <c r="G49" s="201"/>
      <c r="H49" s="201">
        <f>G49+G49*$C$159</f>
        <v>0</v>
      </c>
      <c r="I49" s="201">
        <f>H49+H49*$C$159</f>
        <v>0</v>
      </c>
      <c r="J49" s="201">
        <v>0</v>
      </c>
      <c r="K49" s="201"/>
      <c r="L49" s="201"/>
      <c r="M49" s="201"/>
      <c r="N49" s="201"/>
      <c r="O49" s="201">
        <v>0</v>
      </c>
      <c r="P49" s="201">
        <f t="shared" ref="P49:AP49" si="101">O49+O49*$C$159</f>
        <v>0</v>
      </c>
      <c r="Q49" s="201">
        <f t="shared" si="101"/>
        <v>0</v>
      </c>
      <c r="R49" s="201">
        <f t="shared" si="101"/>
        <v>0</v>
      </c>
      <c r="S49" s="201">
        <f t="shared" si="101"/>
        <v>0</v>
      </c>
      <c r="T49" s="201">
        <f t="shared" si="101"/>
        <v>0</v>
      </c>
      <c r="U49" s="201">
        <f t="shared" si="101"/>
        <v>0</v>
      </c>
      <c r="V49" s="201">
        <f t="shared" si="101"/>
        <v>0</v>
      </c>
      <c r="W49" s="201">
        <f t="shared" si="101"/>
        <v>0</v>
      </c>
      <c r="X49" s="201">
        <f t="shared" si="101"/>
        <v>0</v>
      </c>
      <c r="Y49" s="201">
        <f t="shared" si="101"/>
        <v>0</v>
      </c>
      <c r="Z49" s="201">
        <f t="shared" si="101"/>
        <v>0</v>
      </c>
      <c r="AA49" s="201">
        <f t="shared" si="101"/>
        <v>0</v>
      </c>
      <c r="AB49" s="201">
        <f t="shared" si="101"/>
        <v>0</v>
      </c>
      <c r="AC49" s="201">
        <f t="shared" si="101"/>
        <v>0</v>
      </c>
      <c r="AD49" s="201">
        <f t="shared" si="101"/>
        <v>0</v>
      </c>
      <c r="AE49" s="201">
        <f t="shared" si="101"/>
        <v>0</v>
      </c>
      <c r="AF49" s="201">
        <f t="shared" si="101"/>
        <v>0</v>
      </c>
      <c r="AG49" s="201">
        <f t="shared" si="101"/>
        <v>0</v>
      </c>
      <c r="AH49" s="201">
        <f t="shared" si="101"/>
        <v>0</v>
      </c>
      <c r="AI49" s="201">
        <f t="shared" si="101"/>
        <v>0</v>
      </c>
      <c r="AJ49" s="201">
        <f t="shared" si="101"/>
        <v>0</v>
      </c>
      <c r="AK49" s="201">
        <f t="shared" si="101"/>
        <v>0</v>
      </c>
      <c r="AL49" s="201">
        <f t="shared" si="101"/>
        <v>0</v>
      </c>
      <c r="AM49" s="201">
        <f t="shared" si="101"/>
        <v>0</v>
      </c>
      <c r="AN49" s="201">
        <f t="shared" si="101"/>
        <v>0</v>
      </c>
      <c r="AO49" s="201">
        <f t="shared" si="101"/>
        <v>0</v>
      </c>
      <c r="AP49" s="201">
        <f t="shared" si="101"/>
        <v>0</v>
      </c>
    </row>
    <row r="50" spans="2:42" s="147" customFormat="1" x14ac:dyDescent="0.2">
      <c r="B50" s="181"/>
      <c r="C50" s="181"/>
      <c r="D50" s="201"/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1"/>
      <c r="AB50" s="201"/>
      <c r="AC50" s="201"/>
      <c r="AD50" s="201"/>
      <c r="AE50" s="201"/>
      <c r="AF50" s="201"/>
      <c r="AG50" s="201"/>
      <c r="AH50" s="201"/>
      <c r="AI50" s="201"/>
      <c r="AJ50" s="201"/>
      <c r="AK50" s="201"/>
      <c r="AL50" s="201"/>
      <c r="AM50" s="201"/>
      <c r="AN50" s="201"/>
      <c r="AO50" s="201"/>
      <c r="AP50" s="201"/>
    </row>
    <row r="51" spans="2:42" s="147" customFormat="1" x14ac:dyDescent="0.2">
      <c r="B51" s="199" t="str">
        <f>'Conto Economico'!A117</f>
        <v>Viaggi</v>
      </c>
      <c r="C51" s="200">
        <f t="shared" ref="C51:AP51" si="102">SUM(C52:C62)</f>
        <v>8000</v>
      </c>
      <c r="D51" s="200">
        <f t="shared" si="102"/>
        <v>15000</v>
      </c>
      <c r="E51" s="200">
        <f t="shared" si="102"/>
        <v>15300</v>
      </c>
      <c r="F51" s="200">
        <f t="shared" si="102"/>
        <v>15606</v>
      </c>
      <c r="G51" s="200">
        <f t="shared" si="102"/>
        <v>15918.12</v>
      </c>
      <c r="H51" s="200">
        <f t="shared" si="102"/>
        <v>16236.482400000001</v>
      </c>
      <c r="I51" s="200">
        <f t="shared" si="102"/>
        <v>16561.212048000001</v>
      </c>
      <c r="J51" s="200">
        <f t="shared" si="102"/>
        <v>16892.436288960002</v>
      </c>
      <c r="K51" s="200">
        <f t="shared" si="102"/>
        <v>17230.285014739202</v>
      </c>
      <c r="L51" s="200">
        <f t="shared" si="102"/>
        <v>17574.890715033987</v>
      </c>
      <c r="M51" s="200">
        <f t="shared" si="102"/>
        <v>17926.388529334668</v>
      </c>
      <c r="N51" s="200">
        <f t="shared" si="102"/>
        <v>11950.925686223112</v>
      </c>
      <c r="O51" s="200">
        <f t="shared" si="102"/>
        <v>12189.944199947575</v>
      </c>
      <c r="P51" s="200">
        <f t="shared" si="102"/>
        <v>12433.743083946527</v>
      </c>
      <c r="Q51" s="200">
        <f t="shared" si="102"/>
        <v>12682.417945625457</v>
      </c>
      <c r="R51" s="200">
        <f t="shared" si="102"/>
        <v>12936.066304537966</v>
      </c>
      <c r="S51" s="200">
        <f t="shared" si="102"/>
        <v>13194.787630628725</v>
      </c>
      <c r="T51" s="200">
        <f t="shared" si="102"/>
        <v>13178.742768869884</v>
      </c>
      <c r="U51" s="200">
        <f t="shared" si="102"/>
        <v>13442.317624247282</v>
      </c>
      <c r="V51" s="200">
        <f t="shared" si="102"/>
        <v>13711.163976732227</v>
      </c>
      <c r="W51" s="200">
        <f t="shared" si="102"/>
        <v>13985.387256266871</v>
      </c>
      <c r="X51" s="200">
        <f t="shared" si="102"/>
        <v>14265.095001392208</v>
      </c>
      <c r="Y51" s="200">
        <f t="shared" si="102"/>
        <v>14550.396901420052</v>
      </c>
      <c r="Z51" s="200">
        <f t="shared" si="102"/>
        <v>14841.404839448453</v>
      </c>
      <c r="AA51" s="200">
        <f t="shared" si="102"/>
        <v>15138.232936237422</v>
      </c>
      <c r="AB51" s="200">
        <f t="shared" si="102"/>
        <v>15440.997594962171</v>
      </c>
      <c r="AC51" s="200">
        <f t="shared" si="102"/>
        <v>15749.817546861415</v>
      </c>
      <c r="AD51" s="200">
        <f t="shared" si="102"/>
        <v>7874.9087734307077</v>
      </c>
      <c r="AE51" s="200">
        <f t="shared" si="102"/>
        <v>8032.4069488993218</v>
      </c>
      <c r="AF51" s="200">
        <f t="shared" si="102"/>
        <v>8193.0550878773083</v>
      </c>
      <c r="AG51" s="200">
        <f t="shared" si="102"/>
        <v>8356.9161896348542</v>
      </c>
      <c r="AH51" s="200">
        <f t="shared" si="102"/>
        <v>8524.0545134275508</v>
      </c>
      <c r="AI51" s="200">
        <f t="shared" si="102"/>
        <v>8694.535603696102</v>
      </c>
      <c r="AJ51" s="200">
        <f t="shared" si="102"/>
        <v>8868.4263157700243</v>
      </c>
      <c r="AK51" s="200">
        <f t="shared" si="102"/>
        <v>0</v>
      </c>
      <c r="AL51" s="200">
        <f t="shared" si="102"/>
        <v>0</v>
      </c>
      <c r="AM51" s="200">
        <f t="shared" si="102"/>
        <v>0</v>
      </c>
      <c r="AN51" s="200">
        <f t="shared" si="102"/>
        <v>0</v>
      </c>
      <c r="AO51" s="200">
        <f t="shared" si="102"/>
        <v>0</v>
      </c>
      <c r="AP51" s="200">
        <f t="shared" si="102"/>
        <v>0</v>
      </c>
    </row>
    <row r="52" spans="2:42" s="147" customFormat="1" x14ac:dyDescent="0.2">
      <c r="B52" s="181" t="str">
        <f>'Conto Economico'!A118</f>
        <v>V - Trasporto Aereo</v>
      </c>
      <c r="C52" s="181"/>
      <c r="D52" s="201"/>
      <c r="E52" s="201"/>
      <c r="F52" s="201"/>
      <c r="G52" s="201"/>
      <c r="H52" s="201"/>
      <c r="I52" s="201"/>
      <c r="J52" s="201"/>
      <c r="K52" s="201"/>
      <c r="L52" s="201"/>
      <c r="M52" s="201"/>
      <c r="N52" s="201"/>
      <c r="O52" s="201"/>
      <c r="P52" s="201"/>
      <c r="Q52" s="201"/>
      <c r="R52" s="201"/>
      <c r="S52" s="201"/>
      <c r="T52" s="201"/>
      <c r="U52" s="201"/>
      <c r="V52" s="201"/>
      <c r="W52" s="201"/>
      <c r="X52" s="201"/>
      <c r="Y52" s="201"/>
      <c r="Z52" s="201"/>
      <c r="AA52" s="201"/>
      <c r="AB52" s="201"/>
      <c r="AC52" s="201"/>
      <c r="AD52" s="201"/>
      <c r="AE52" s="201"/>
      <c r="AF52" s="201"/>
      <c r="AG52" s="201"/>
      <c r="AH52" s="201"/>
      <c r="AI52" s="201"/>
      <c r="AJ52" s="201"/>
      <c r="AK52" s="201"/>
      <c r="AL52" s="201"/>
      <c r="AM52" s="201"/>
      <c r="AN52" s="201"/>
      <c r="AO52" s="201"/>
      <c r="AP52" s="201"/>
    </row>
    <row r="53" spans="2:42" s="147" customFormat="1" x14ac:dyDescent="0.2">
      <c r="B53" s="181" t="str">
        <f>'Conto Economico'!A119</f>
        <v>V - Automobile a noleggio</v>
      </c>
      <c r="C53" s="181"/>
      <c r="D53" s="201"/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201"/>
      <c r="Q53" s="201"/>
      <c r="R53" s="201"/>
      <c r="S53" s="201"/>
      <c r="T53" s="201"/>
      <c r="U53" s="201"/>
      <c r="V53" s="201"/>
      <c r="W53" s="201"/>
      <c r="X53" s="201"/>
      <c r="Y53" s="201"/>
      <c r="Z53" s="201"/>
      <c r="AA53" s="201"/>
      <c r="AB53" s="201"/>
      <c r="AC53" s="201"/>
      <c r="AD53" s="201"/>
      <c r="AE53" s="201"/>
      <c r="AF53" s="201"/>
      <c r="AG53" s="201"/>
      <c r="AH53" s="201"/>
      <c r="AI53" s="201"/>
      <c r="AJ53" s="201"/>
      <c r="AK53" s="201"/>
      <c r="AL53" s="201"/>
      <c r="AM53" s="201"/>
      <c r="AN53" s="201"/>
      <c r="AO53" s="201"/>
      <c r="AP53" s="201"/>
    </row>
    <row r="54" spans="2:42" s="147" customFormat="1" x14ac:dyDescent="0.2">
      <c r="B54" s="181" t="str">
        <f>'Conto Economico'!A120</f>
        <v>V - Carburante</v>
      </c>
      <c r="C54" s="181"/>
      <c r="D54" s="201"/>
      <c r="E54" s="201"/>
      <c r="F54" s="201"/>
      <c r="G54" s="201"/>
      <c r="H54" s="201"/>
      <c r="I54" s="201"/>
      <c r="J54" s="201"/>
      <c r="K54" s="201"/>
      <c r="L54" s="201"/>
      <c r="M54" s="201"/>
      <c r="N54" s="201"/>
      <c r="O54" s="201"/>
      <c r="P54" s="201"/>
      <c r="Q54" s="201"/>
      <c r="R54" s="201"/>
      <c r="S54" s="201"/>
      <c r="T54" s="201"/>
      <c r="U54" s="201"/>
      <c r="V54" s="201"/>
      <c r="W54" s="201"/>
      <c r="X54" s="201"/>
      <c r="Y54" s="201"/>
      <c r="Z54" s="201"/>
      <c r="AA54" s="201"/>
      <c r="AB54" s="201"/>
      <c r="AC54" s="201"/>
      <c r="AD54" s="201"/>
      <c r="AE54" s="201"/>
      <c r="AF54" s="201"/>
      <c r="AG54" s="201"/>
      <c r="AH54" s="201"/>
      <c r="AI54" s="201"/>
      <c r="AJ54" s="201"/>
      <c r="AK54" s="201"/>
      <c r="AL54" s="201"/>
      <c r="AM54" s="201"/>
      <c r="AN54" s="201"/>
      <c r="AO54" s="201"/>
      <c r="AP54" s="201"/>
    </row>
    <row r="55" spans="2:42" s="147" customFormat="1" x14ac:dyDescent="0.2">
      <c r="B55" s="181" t="str">
        <f>'Conto Economico'!A121</f>
        <v>V - Altri Trasporti - Parcheggio</v>
      </c>
      <c r="C55" s="181"/>
      <c r="D55" s="201"/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201"/>
      <c r="Q55" s="201"/>
      <c r="R55" s="201"/>
      <c r="S55" s="201"/>
      <c r="T55" s="201"/>
      <c r="U55" s="201"/>
      <c r="V55" s="201"/>
      <c r="W55" s="201"/>
      <c r="X55" s="201"/>
      <c r="Y55" s="201"/>
      <c r="Z55" s="201"/>
      <c r="AA55" s="201"/>
      <c r="AB55" s="201"/>
      <c r="AC55" s="201"/>
      <c r="AD55" s="201"/>
      <c r="AE55" s="201"/>
      <c r="AF55" s="201"/>
      <c r="AG55" s="201"/>
      <c r="AH55" s="201"/>
      <c r="AI55" s="201"/>
      <c r="AJ55" s="201"/>
      <c r="AK55" s="201"/>
      <c r="AL55" s="201"/>
      <c r="AM55" s="201"/>
      <c r="AN55" s="201"/>
      <c r="AO55" s="201"/>
      <c r="AP55" s="201"/>
    </row>
    <row r="56" spans="2:42" s="147" customFormat="1" x14ac:dyDescent="0.2">
      <c r="B56" s="181" t="str">
        <f>'Conto Economico'!A122</f>
        <v>V - Assicurazione di Viaggio</v>
      </c>
      <c r="C56" s="181"/>
      <c r="D56" s="201"/>
      <c r="E56" s="201"/>
      <c r="F56" s="201"/>
      <c r="G56" s="201"/>
      <c r="H56" s="201"/>
      <c r="I56" s="201"/>
      <c r="J56" s="201"/>
      <c r="K56" s="201"/>
      <c r="L56" s="201"/>
      <c r="M56" s="201"/>
      <c r="N56" s="201"/>
      <c r="O56" s="201"/>
      <c r="P56" s="201"/>
      <c r="Q56" s="201"/>
      <c r="R56" s="201"/>
      <c r="S56" s="201"/>
      <c r="T56" s="201"/>
      <c r="U56" s="201"/>
      <c r="V56" s="201"/>
      <c r="W56" s="201"/>
      <c r="X56" s="201"/>
      <c r="Y56" s="201"/>
      <c r="Z56" s="201"/>
      <c r="AA56" s="201"/>
      <c r="AB56" s="201"/>
      <c r="AC56" s="201"/>
      <c r="AD56" s="201"/>
      <c r="AE56" s="201"/>
      <c r="AF56" s="201"/>
      <c r="AG56" s="201"/>
      <c r="AH56" s="201"/>
      <c r="AI56" s="201"/>
      <c r="AJ56" s="201"/>
      <c r="AK56" s="201"/>
      <c r="AL56" s="201"/>
      <c r="AM56" s="201"/>
      <c r="AN56" s="201"/>
      <c r="AO56" s="201"/>
      <c r="AP56" s="201"/>
    </row>
    <row r="57" spans="2:42" s="147" customFormat="1" x14ac:dyDescent="0.2">
      <c r="B57" s="181" t="str">
        <f>'Conto Economico'!A123</f>
        <v>V - Alloggio</v>
      </c>
      <c r="C57" s="181"/>
      <c r="D57" s="201"/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1"/>
      <c r="P57" s="201"/>
      <c r="Q57" s="201"/>
      <c r="R57" s="201"/>
      <c r="S57" s="201"/>
      <c r="T57" s="201"/>
      <c r="U57" s="201"/>
      <c r="V57" s="201"/>
      <c r="W57" s="201"/>
      <c r="X57" s="201"/>
      <c r="Y57" s="201"/>
      <c r="Z57" s="201"/>
      <c r="AA57" s="201"/>
      <c r="AB57" s="201"/>
      <c r="AC57" s="201"/>
      <c r="AD57" s="201"/>
      <c r="AE57" s="201"/>
      <c r="AF57" s="201"/>
      <c r="AG57" s="201"/>
      <c r="AH57" s="201"/>
      <c r="AI57" s="201"/>
      <c r="AJ57" s="201"/>
      <c r="AK57" s="201"/>
      <c r="AL57" s="201"/>
      <c r="AM57" s="201"/>
      <c r="AN57" s="201"/>
      <c r="AO57" s="201"/>
      <c r="AP57" s="201"/>
    </row>
    <row r="58" spans="2:42" s="147" customFormat="1" x14ac:dyDescent="0.2">
      <c r="B58" s="181" t="str">
        <f>'Conto Economico'!A124</f>
        <v>V - Alimentari/Ristorazione</v>
      </c>
      <c r="C58" s="18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201"/>
      <c r="AF58" s="201"/>
      <c r="AG58" s="201"/>
      <c r="AH58" s="201"/>
      <c r="AI58" s="201"/>
      <c r="AJ58" s="201"/>
      <c r="AK58" s="201"/>
      <c r="AL58" s="201"/>
      <c r="AM58" s="201"/>
      <c r="AN58" s="201"/>
      <c r="AO58" s="201"/>
      <c r="AP58" s="201"/>
    </row>
    <row r="59" spans="2:42" s="147" customFormat="1" x14ac:dyDescent="0.2">
      <c r="B59" s="181" t="str">
        <f>'Conto Economico'!A125</f>
        <v>V - Musei - Parchi - Siti di Interesse</v>
      </c>
      <c r="C59" s="181"/>
      <c r="D59" s="201"/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201"/>
      <c r="Q59" s="201"/>
      <c r="R59" s="201"/>
      <c r="S59" s="201"/>
      <c r="T59" s="201"/>
      <c r="U59" s="201"/>
      <c r="V59" s="201"/>
      <c r="W59" s="201"/>
      <c r="X59" s="201"/>
      <c r="Y59" s="201"/>
      <c r="Z59" s="201"/>
      <c r="AA59" s="201"/>
      <c r="AB59" s="201"/>
      <c r="AC59" s="201"/>
      <c r="AD59" s="201"/>
      <c r="AE59" s="201"/>
      <c r="AF59" s="201"/>
      <c r="AG59" s="201"/>
      <c r="AH59" s="201"/>
      <c r="AI59" s="201"/>
      <c r="AJ59" s="201"/>
      <c r="AK59" s="201"/>
      <c r="AL59" s="201"/>
      <c r="AM59" s="201"/>
      <c r="AN59" s="201"/>
      <c r="AO59" s="201"/>
      <c r="AP59" s="201"/>
    </row>
    <row r="60" spans="2:42" s="147" customFormat="1" x14ac:dyDescent="0.2">
      <c r="B60" s="181" t="str">
        <f>'Conto Economico'!A126</f>
        <v>V - Spese di Alloggio per Animali</v>
      </c>
      <c r="C60" s="181"/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201"/>
      <c r="P60" s="201"/>
      <c r="Q60" s="201"/>
      <c r="R60" s="201"/>
      <c r="S60" s="201"/>
      <c r="T60" s="201"/>
      <c r="U60" s="201"/>
      <c r="V60" s="201"/>
      <c r="W60" s="201"/>
      <c r="X60" s="201"/>
      <c r="Y60" s="201"/>
      <c r="Z60" s="201"/>
      <c r="AA60" s="201"/>
      <c r="AB60" s="201"/>
      <c r="AC60" s="201"/>
      <c r="AD60" s="201"/>
      <c r="AE60" s="201"/>
      <c r="AF60" s="201"/>
      <c r="AG60" s="201"/>
      <c r="AH60" s="201"/>
      <c r="AI60" s="201"/>
      <c r="AJ60" s="201"/>
      <c r="AK60" s="201"/>
      <c r="AL60" s="201"/>
      <c r="AM60" s="201"/>
      <c r="AN60" s="201"/>
      <c r="AO60" s="201"/>
      <c r="AP60" s="201"/>
    </row>
    <row r="61" spans="2:42" s="147" customFormat="1" x14ac:dyDescent="0.2">
      <c r="B61" s="181" t="str">
        <f>'Conto Economico'!A127</f>
        <v>V - Parcheggio Aeroporto</v>
      </c>
      <c r="C61" s="18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201"/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</row>
    <row r="62" spans="2:42" s="147" customFormat="1" x14ac:dyDescent="0.2">
      <c r="B62" s="181" t="str">
        <f>'Conto Economico'!A128</f>
        <v>V - Altre Spese di Viaggio</v>
      </c>
      <c r="C62" s="47">
        <f>'Budget 27'!E58</f>
        <v>8000</v>
      </c>
      <c r="D62" s="201">
        <v>15000</v>
      </c>
      <c r="E62" s="201">
        <f t="shared" ref="E62:M62" si="103">D62+D62*$C$159</f>
        <v>15300</v>
      </c>
      <c r="F62" s="201">
        <f t="shared" si="103"/>
        <v>15606</v>
      </c>
      <c r="G62" s="201">
        <f t="shared" si="103"/>
        <v>15918.12</v>
      </c>
      <c r="H62" s="201">
        <f t="shared" si="103"/>
        <v>16236.482400000001</v>
      </c>
      <c r="I62" s="201">
        <f t="shared" si="103"/>
        <v>16561.212048000001</v>
      </c>
      <c r="J62" s="201">
        <f t="shared" si="103"/>
        <v>16892.436288960002</v>
      </c>
      <c r="K62" s="201">
        <f t="shared" si="103"/>
        <v>17230.285014739202</v>
      </c>
      <c r="L62" s="201">
        <f t="shared" si="103"/>
        <v>17574.890715033987</v>
      </c>
      <c r="M62" s="201">
        <f t="shared" si="103"/>
        <v>17926.388529334668</v>
      </c>
      <c r="N62" s="202">
        <f>M62/3*2</f>
        <v>11950.925686223112</v>
      </c>
      <c r="O62" s="201">
        <f>N62+N62*$C$159</f>
        <v>12189.944199947575</v>
      </c>
      <c r="P62" s="201">
        <f>O62+O62*$C$159</f>
        <v>12433.743083946527</v>
      </c>
      <c r="Q62" s="201">
        <f>P62+P62*$C$159</f>
        <v>12682.417945625457</v>
      </c>
      <c r="R62" s="201">
        <f>Q62+Q62*$C$159</f>
        <v>12936.066304537966</v>
      </c>
      <c r="S62" s="201">
        <f>R62+R62*$C$159</f>
        <v>13194.787630628725</v>
      </c>
      <c r="T62" s="202">
        <v>13178.742768869884</v>
      </c>
      <c r="U62" s="201">
        <f t="shared" ref="U62:AC62" si="104">T62+T62*$C$159</f>
        <v>13442.317624247282</v>
      </c>
      <c r="V62" s="201">
        <f t="shared" si="104"/>
        <v>13711.163976732227</v>
      </c>
      <c r="W62" s="201">
        <f t="shared" si="104"/>
        <v>13985.387256266871</v>
      </c>
      <c r="X62" s="201">
        <f t="shared" si="104"/>
        <v>14265.095001392208</v>
      </c>
      <c r="Y62" s="201">
        <f t="shared" si="104"/>
        <v>14550.396901420052</v>
      </c>
      <c r="Z62" s="201">
        <f t="shared" si="104"/>
        <v>14841.404839448453</v>
      </c>
      <c r="AA62" s="201">
        <f t="shared" si="104"/>
        <v>15138.232936237422</v>
      </c>
      <c r="AB62" s="201">
        <f t="shared" si="104"/>
        <v>15440.997594962171</v>
      </c>
      <c r="AC62" s="201">
        <f t="shared" si="104"/>
        <v>15749.817546861415</v>
      </c>
      <c r="AD62" s="202">
        <f>AC62/2</f>
        <v>7874.9087734307077</v>
      </c>
      <c r="AE62" s="201">
        <f t="shared" ref="AE62:AJ62" si="105">AD62+AD62*$C$159</f>
        <v>8032.4069488993218</v>
      </c>
      <c r="AF62" s="201">
        <f t="shared" si="105"/>
        <v>8193.0550878773083</v>
      </c>
      <c r="AG62" s="201">
        <f t="shared" si="105"/>
        <v>8356.9161896348542</v>
      </c>
      <c r="AH62" s="201">
        <f t="shared" si="105"/>
        <v>8524.0545134275508</v>
      </c>
      <c r="AI62" s="201">
        <f t="shared" si="105"/>
        <v>8694.535603696102</v>
      </c>
      <c r="AJ62" s="201">
        <f t="shared" si="105"/>
        <v>8868.4263157700243</v>
      </c>
      <c r="AK62" s="202">
        <v>0</v>
      </c>
      <c r="AL62" s="201">
        <f>AK62+AK62*$C$159</f>
        <v>0</v>
      </c>
      <c r="AM62" s="201">
        <f>AL62+AL62*$C$159</f>
        <v>0</v>
      </c>
      <c r="AN62" s="201">
        <f>AM62+AM62*$C$159</f>
        <v>0</v>
      </c>
      <c r="AO62" s="201">
        <f>AN62+AN62*$C$159</f>
        <v>0</v>
      </c>
      <c r="AP62" s="201">
        <f>AO62+AO62*$C$159</f>
        <v>0</v>
      </c>
    </row>
    <row r="63" spans="2:42" s="147" customFormat="1" x14ac:dyDescent="0.2">
      <c r="D63" s="201"/>
      <c r="E63" s="201"/>
      <c r="F63" s="201"/>
      <c r="G63" s="201"/>
      <c r="H63" s="201"/>
      <c r="I63" s="201"/>
      <c r="J63" s="201"/>
      <c r="K63" s="201"/>
      <c r="L63" s="201"/>
      <c r="M63" s="201"/>
      <c r="N63" s="201"/>
      <c r="O63" s="201"/>
      <c r="P63" s="201"/>
      <c r="Q63" s="201"/>
      <c r="R63" s="201"/>
      <c r="S63" s="201"/>
      <c r="T63" s="201"/>
      <c r="U63" s="201"/>
      <c r="V63" s="201"/>
      <c r="W63" s="201"/>
      <c r="X63" s="201"/>
      <c r="Y63" s="201"/>
      <c r="Z63" s="201"/>
      <c r="AA63" s="201"/>
      <c r="AB63" s="201"/>
      <c r="AC63" s="201"/>
      <c r="AD63" s="201"/>
      <c r="AE63" s="201"/>
      <c r="AF63" s="201"/>
      <c r="AG63" s="201"/>
      <c r="AH63" s="201"/>
      <c r="AI63" s="201"/>
      <c r="AJ63" s="201"/>
      <c r="AK63" s="201"/>
      <c r="AL63" s="201"/>
      <c r="AM63" s="201"/>
      <c r="AN63" s="201"/>
      <c r="AO63" s="201"/>
      <c r="AP63" s="201"/>
    </row>
    <row r="64" spans="2:42" s="147" customFormat="1" x14ac:dyDescent="0.2">
      <c r="B64" s="199" t="str">
        <f>'Conto Economico'!A196</f>
        <v>Auto e Trasporti</v>
      </c>
      <c r="C64" s="113">
        <f ca="1">SUM(C65:C72)</f>
        <v>2481.4</v>
      </c>
      <c r="D64" s="200">
        <f t="shared" ref="D64:AP64" ca="1" si="106">SUM(D65:D72)</f>
        <v>2531.0280000000002</v>
      </c>
      <c r="E64" s="200">
        <f t="shared" ca="1" si="106"/>
        <v>2581.6485599999996</v>
      </c>
      <c r="F64" s="200">
        <f t="shared" ca="1" si="106"/>
        <v>2633.2815311999998</v>
      </c>
      <c r="G64" s="200">
        <f t="shared" ca="1" si="106"/>
        <v>2685.9471618240004</v>
      </c>
      <c r="H64" s="200">
        <f t="shared" ca="1" si="106"/>
        <v>2739.6661050604798</v>
      </c>
      <c r="I64" s="200">
        <f t="shared" ca="1" si="106"/>
        <v>2794.4594271616897</v>
      </c>
      <c r="J64" s="200">
        <f t="shared" ca="1" si="106"/>
        <v>2850.3486157049233</v>
      </c>
      <c r="K64" s="200">
        <f t="shared" ca="1" si="106"/>
        <v>2907.355588019022</v>
      </c>
      <c r="L64" s="200">
        <f t="shared" ca="1" si="106"/>
        <v>2965.5026997794021</v>
      </c>
      <c r="M64" s="200">
        <f t="shared" ca="1" si="106"/>
        <v>3024.8127537749906</v>
      </c>
      <c r="N64" s="200">
        <f t="shared" ca="1" si="106"/>
        <v>3085.3090088504896</v>
      </c>
      <c r="O64" s="200">
        <f t="shared" ca="1" si="106"/>
        <v>3147.0151890275001</v>
      </c>
      <c r="P64" s="200">
        <f t="shared" ca="1" si="106"/>
        <v>3209.9554928080497</v>
      </c>
      <c r="Q64" s="200">
        <f t="shared" ca="1" si="106"/>
        <v>3274.1546026642109</v>
      </c>
      <c r="R64" s="200">
        <f t="shared" ca="1" si="106"/>
        <v>3339.6376947174949</v>
      </c>
      <c r="S64" s="200">
        <f t="shared" ca="1" si="106"/>
        <v>3406.4304486118453</v>
      </c>
      <c r="T64" s="200">
        <f t="shared" ca="1" si="106"/>
        <v>3474.5590575840811</v>
      </c>
      <c r="U64" s="200">
        <f t="shared" ca="1" si="106"/>
        <v>3544.0502387357633</v>
      </c>
      <c r="V64" s="200">
        <f t="shared" ca="1" si="106"/>
        <v>3614.9312435104789</v>
      </c>
      <c r="W64" s="200">
        <f t="shared" ca="1" si="106"/>
        <v>3687.229868380688</v>
      </c>
      <c r="X64" s="200">
        <f t="shared" ca="1" si="106"/>
        <v>3760.9744657483016</v>
      </c>
      <c r="Y64" s="200">
        <f t="shared" ca="1" si="106"/>
        <v>3836.1939550632669</v>
      </c>
      <c r="Z64" s="200">
        <f t="shared" ca="1" si="106"/>
        <v>3912.9178341645329</v>
      </c>
      <c r="AA64" s="200">
        <f t="shared" ca="1" si="106"/>
        <v>3991.1761908478229</v>
      </c>
      <c r="AB64" s="200">
        <f t="shared" ca="1" si="106"/>
        <v>4070.9997146647806</v>
      </c>
      <c r="AC64" s="200">
        <f t="shared" ca="1" si="106"/>
        <v>4152.4197089580766</v>
      </c>
      <c r="AD64" s="200">
        <f t="shared" ca="1" si="106"/>
        <v>3608.940361123091</v>
      </c>
      <c r="AE64" s="200">
        <f t="shared" ca="1" si="106"/>
        <v>3681.1191683455527</v>
      </c>
      <c r="AF64" s="200">
        <f t="shared" ca="1" si="106"/>
        <v>3754.7415517124632</v>
      </c>
      <c r="AG64" s="200">
        <f t="shared" ca="1" si="106"/>
        <v>3829.8363827467119</v>
      </c>
      <c r="AH64" s="200">
        <f t="shared" ca="1" si="106"/>
        <v>3906.4331104016469</v>
      </c>
      <c r="AI64" s="200">
        <f t="shared" ca="1" si="106"/>
        <v>3984.5617726096807</v>
      </c>
      <c r="AJ64" s="200">
        <f t="shared" ca="1" si="106"/>
        <v>4064.2530080618731</v>
      </c>
      <c r="AK64" s="200">
        <f t="shared" si="106"/>
        <v>192.22314039431515</v>
      </c>
      <c r="AL64" s="200">
        <f t="shared" si="106"/>
        <v>196.06760320220147</v>
      </c>
      <c r="AM64" s="200">
        <f t="shared" si="106"/>
        <v>199.98895526624551</v>
      </c>
      <c r="AN64" s="200">
        <f t="shared" si="106"/>
        <v>203.98873437157042</v>
      </c>
      <c r="AO64" s="200">
        <f t="shared" si="106"/>
        <v>208.06850905900183</v>
      </c>
      <c r="AP64" s="200">
        <f t="shared" si="106"/>
        <v>212.22987924018187</v>
      </c>
    </row>
    <row r="65" spans="2:42" s="147" customFormat="1" x14ac:dyDescent="0.2">
      <c r="B65" s="181" t="str">
        <f>'Conto Economico'!A197</f>
        <v xml:space="preserve">Assicurazione </v>
      </c>
      <c r="C65" s="47">
        <f ca="1">'Budget 27'!E61</f>
        <v>716.40000000000009</v>
      </c>
      <c r="D65" s="201">
        <f t="shared" ref="D65:AJ65" ca="1" si="107">C65+C65*$C$159</f>
        <v>730.72800000000007</v>
      </c>
      <c r="E65" s="201">
        <f t="shared" ca="1" si="107"/>
        <v>745.34256000000005</v>
      </c>
      <c r="F65" s="201">
        <f t="shared" ca="1" si="107"/>
        <v>760.24941120000005</v>
      </c>
      <c r="G65" s="201">
        <f t="shared" ca="1" si="107"/>
        <v>775.45439942400003</v>
      </c>
      <c r="H65" s="201">
        <f t="shared" ca="1" si="107"/>
        <v>790.96348741248005</v>
      </c>
      <c r="I65" s="201">
        <f t="shared" ca="1" si="107"/>
        <v>806.7827571607296</v>
      </c>
      <c r="J65" s="201">
        <f t="shared" ca="1" si="107"/>
        <v>822.91841230394425</v>
      </c>
      <c r="K65" s="201">
        <f t="shared" ca="1" si="107"/>
        <v>839.37678055002311</v>
      </c>
      <c r="L65" s="201">
        <f t="shared" ca="1" si="107"/>
        <v>856.16431616102352</v>
      </c>
      <c r="M65" s="201">
        <f t="shared" ca="1" si="107"/>
        <v>873.28760248424396</v>
      </c>
      <c r="N65" s="201">
        <f t="shared" ca="1" si="107"/>
        <v>890.75335453392881</v>
      </c>
      <c r="O65" s="201">
        <f t="shared" ca="1" si="107"/>
        <v>908.56842162460737</v>
      </c>
      <c r="P65" s="201">
        <f t="shared" ca="1" si="107"/>
        <v>926.73979005709953</v>
      </c>
      <c r="Q65" s="201">
        <f t="shared" ca="1" si="107"/>
        <v>945.27458585824149</v>
      </c>
      <c r="R65" s="201">
        <f t="shared" ca="1" si="107"/>
        <v>964.18007757540636</v>
      </c>
      <c r="S65" s="201">
        <f t="shared" ca="1" si="107"/>
        <v>983.46367912691449</v>
      </c>
      <c r="T65" s="201">
        <f t="shared" ca="1" si="107"/>
        <v>1003.1329527094528</v>
      </c>
      <c r="U65" s="201">
        <f t="shared" ca="1" si="107"/>
        <v>1023.1956117636419</v>
      </c>
      <c r="V65" s="201">
        <f t="shared" ca="1" si="107"/>
        <v>1043.6595239989147</v>
      </c>
      <c r="W65" s="201">
        <f t="shared" ca="1" si="107"/>
        <v>1064.532714478893</v>
      </c>
      <c r="X65" s="201">
        <f t="shared" ca="1" si="107"/>
        <v>1085.8233687684708</v>
      </c>
      <c r="Y65" s="201">
        <f t="shared" ca="1" si="107"/>
        <v>1107.5398361438401</v>
      </c>
      <c r="Z65" s="201">
        <f t="shared" ca="1" si="107"/>
        <v>1129.6906328667169</v>
      </c>
      <c r="AA65" s="201">
        <f t="shared" ca="1" si="107"/>
        <v>1152.2844455240513</v>
      </c>
      <c r="AB65" s="201">
        <f t="shared" ca="1" si="107"/>
        <v>1175.3301344345323</v>
      </c>
      <c r="AC65" s="201">
        <f t="shared" ca="1" si="107"/>
        <v>1198.836737123223</v>
      </c>
      <c r="AD65" s="201">
        <f t="shared" ca="1" si="107"/>
        <v>1222.8134718656875</v>
      </c>
      <c r="AE65" s="201">
        <f t="shared" ca="1" si="107"/>
        <v>1247.2697413030012</v>
      </c>
      <c r="AF65" s="201">
        <f t="shared" ca="1" si="107"/>
        <v>1272.2151361290612</v>
      </c>
      <c r="AG65" s="201">
        <f t="shared" ca="1" si="107"/>
        <v>1297.6594388516423</v>
      </c>
      <c r="AH65" s="201">
        <f t="shared" ca="1" si="107"/>
        <v>1323.6126276286752</v>
      </c>
      <c r="AI65" s="201">
        <f t="shared" ca="1" si="107"/>
        <v>1350.0848801812488</v>
      </c>
      <c r="AJ65" s="201">
        <f t="shared" ca="1" si="107"/>
        <v>1377.0865777848737</v>
      </c>
      <c r="AK65" s="201">
        <v>0</v>
      </c>
      <c r="AL65" s="201">
        <f t="shared" ref="AL65:AP69" si="108">AK65+AK65*$C$159</f>
        <v>0</v>
      </c>
      <c r="AM65" s="201">
        <f t="shared" si="108"/>
        <v>0</v>
      </c>
      <c r="AN65" s="201">
        <f t="shared" si="108"/>
        <v>0</v>
      </c>
      <c r="AO65" s="201">
        <f t="shared" si="108"/>
        <v>0</v>
      </c>
      <c r="AP65" s="201">
        <f t="shared" si="108"/>
        <v>0</v>
      </c>
    </row>
    <row r="66" spans="2:42" s="147" customFormat="1" x14ac:dyDescent="0.2">
      <c r="B66" s="181" t="str">
        <f>'Conto Economico'!A198</f>
        <v xml:space="preserve">Carburante </v>
      </c>
      <c r="C66" s="47">
        <f>'Budget 27'!E62</f>
        <v>720</v>
      </c>
      <c r="D66" s="201">
        <f t="shared" ref="D66:AC66" si="109">C66+C66*$C$159</f>
        <v>734.4</v>
      </c>
      <c r="E66" s="201">
        <f t="shared" si="109"/>
        <v>749.08799999999997</v>
      </c>
      <c r="F66" s="201">
        <f t="shared" si="109"/>
        <v>764.06975999999997</v>
      </c>
      <c r="G66" s="201">
        <f t="shared" si="109"/>
        <v>779.35115519999999</v>
      </c>
      <c r="H66" s="201">
        <f t="shared" si="109"/>
        <v>794.93817830399996</v>
      </c>
      <c r="I66" s="201">
        <f t="shared" si="109"/>
        <v>810.83694187007995</v>
      </c>
      <c r="J66" s="201">
        <f t="shared" si="109"/>
        <v>827.05368070748159</v>
      </c>
      <c r="K66" s="201">
        <f t="shared" si="109"/>
        <v>843.59475432163117</v>
      </c>
      <c r="L66" s="201">
        <f t="shared" si="109"/>
        <v>860.46664940806374</v>
      </c>
      <c r="M66" s="201">
        <f t="shared" si="109"/>
        <v>877.67598239622498</v>
      </c>
      <c r="N66" s="201">
        <f t="shared" si="109"/>
        <v>895.22950204414951</v>
      </c>
      <c r="O66" s="201">
        <f t="shared" si="109"/>
        <v>913.13409208503253</v>
      </c>
      <c r="P66" s="201">
        <f t="shared" si="109"/>
        <v>931.3967739267332</v>
      </c>
      <c r="Q66" s="201">
        <f t="shared" si="109"/>
        <v>950.02470940526791</v>
      </c>
      <c r="R66" s="201">
        <f t="shared" si="109"/>
        <v>969.02520359337325</v>
      </c>
      <c r="S66" s="201">
        <f t="shared" si="109"/>
        <v>988.4057076652407</v>
      </c>
      <c r="T66" s="201">
        <f t="shared" si="109"/>
        <v>1008.1738218185455</v>
      </c>
      <c r="U66" s="201">
        <f t="shared" si="109"/>
        <v>1028.3372982549165</v>
      </c>
      <c r="V66" s="201">
        <f t="shared" si="109"/>
        <v>1048.9040442200148</v>
      </c>
      <c r="W66" s="201">
        <f t="shared" si="109"/>
        <v>1069.8821251044151</v>
      </c>
      <c r="X66" s="201">
        <f t="shared" si="109"/>
        <v>1091.2797676065034</v>
      </c>
      <c r="Y66" s="201">
        <f t="shared" si="109"/>
        <v>1113.1053629586333</v>
      </c>
      <c r="Z66" s="201">
        <f t="shared" si="109"/>
        <v>1135.3674702178059</v>
      </c>
      <c r="AA66" s="201">
        <f t="shared" si="109"/>
        <v>1158.0748196221621</v>
      </c>
      <c r="AB66" s="201">
        <f t="shared" si="109"/>
        <v>1181.2363160146053</v>
      </c>
      <c r="AC66" s="201">
        <f t="shared" si="109"/>
        <v>1204.8610423348975</v>
      </c>
      <c r="AD66" s="202">
        <f>AC66/2</f>
        <v>602.43052116744877</v>
      </c>
      <c r="AE66" s="201">
        <f t="shared" ref="AE66:AJ72" si="110">AD66+AD66*$C$159</f>
        <v>614.47913159079781</v>
      </c>
      <c r="AF66" s="201">
        <f t="shared" si="110"/>
        <v>626.76871422261377</v>
      </c>
      <c r="AG66" s="201">
        <f t="shared" si="110"/>
        <v>639.30408850706601</v>
      </c>
      <c r="AH66" s="201">
        <f t="shared" si="110"/>
        <v>652.09017027720733</v>
      </c>
      <c r="AI66" s="201">
        <f t="shared" si="110"/>
        <v>665.13197368275144</v>
      </c>
      <c r="AJ66" s="201">
        <f t="shared" si="110"/>
        <v>678.4346131564065</v>
      </c>
      <c r="AK66" s="201">
        <v>0</v>
      </c>
      <c r="AL66" s="201">
        <f t="shared" si="108"/>
        <v>0</v>
      </c>
      <c r="AM66" s="201">
        <f t="shared" si="108"/>
        <v>0</v>
      </c>
      <c r="AN66" s="201">
        <f t="shared" si="108"/>
        <v>0</v>
      </c>
      <c r="AO66" s="201">
        <f t="shared" si="108"/>
        <v>0</v>
      </c>
      <c r="AP66" s="201">
        <f t="shared" si="108"/>
        <v>0</v>
      </c>
    </row>
    <row r="67" spans="2:42" s="147" customFormat="1" x14ac:dyDescent="0.2">
      <c r="B67" s="181" t="str">
        <f>'Conto Economico'!A199</f>
        <v>Tassa di circolazione</v>
      </c>
      <c r="C67" s="47">
        <f>'Budget 27'!E63</f>
        <v>100</v>
      </c>
      <c r="D67" s="201">
        <f t="shared" ref="D67:AC67" si="111">C67+C67*$C$159</f>
        <v>102</v>
      </c>
      <c r="E67" s="201">
        <f t="shared" si="111"/>
        <v>104.04</v>
      </c>
      <c r="F67" s="201">
        <f t="shared" si="111"/>
        <v>106.1208</v>
      </c>
      <c r="G67" s="201">
        <f t="shared" si="111"/>
        <v>108.243216</v>
      </c>
      <c r="H67" s="201">
        <f t="shared" si="111"/>
        <v>110.40808032000001</v>
      </c>
      <c r="I67" s="201">
        <f t="shared" si="111"/>
        <v>112.61624192640001</v>
      </c>
      <c r="J67" s="201">
        <f t="shared" si="111"/>
        <v>114.868566764928</v>
      </c>
      <c r="K67" s="201">
        <f t="shared" si="111"/>
        <v>117.16593810022657</v>
      </c>
      <c r="L67" s="201">
        <f t="shared" si="111"/>
        <v>119.5092568622311</v>
      </c>
      <c r="M67" s="201">
        <f t="shared" si="111"/>
        <v>121.89944199947573</v>
      </c>
      <c r="N67" s="201">
        <f t="shared" si="111"/>
        <v>124.33743083946524</v>
      </c>
      <c r="O67" s="201">
        <f t="shared" si="111"/>
        <v>126.82417945625454</v>
      </c>
      <c r="P67" s="201">
        <f t="shared" si="111"/>
        <v>129.36066304537962</v>
      </c>
      <c r="Q67" s="201">
        <f t="shared" si="111"/>
        <v>131.94787630628721</v>
      </c>
      <c r="R67" s="201">
        <f t="shared" si="111"/>
        <v>134.58683383241296</v>
      </c>
      <c r="S67" s="201">
        <f t="shared" si="111"/>
        <v>137.27857050906121</v>
      </c>
      <c r="T67" s="201">
        <f t="shared" si="111"/>
        <v>140.02414191924242</v>
      </c>
      <c r="U67" s="201">
        <f t="shared" si="111"/>
        <v>142.82462475762728</v>
      </c>
      <c r="V67" s="201">
        <f t="shared" si="111"/>
        <v>145.68111725277981</v>
      </c>
      <c r="W67" s="201">
        <f t="shared" si="111"/>
        <v>148.5947395978354</v>
      </c>
      <c r="X67" s="201">
        <f t="shared" si="111"/>
        <v>151.56663438979211</v>
      </c>
      <c r="Y67" s="201">
        <f t="shared" si="111"/>
        <v>154.59796707758795</v>
      </c>
      <c r="Z67" s="201">
        <f t="shared" si="111"/>
        <v>157.68992641913971</v>
      </c>
      <c r="AA67" s="201">
        <f t="shared" si="111"/>
        <v>160.8437249475225</v>
      </c>
      <c r="AB67" s="201">
        <f t="shared" si="111"/>
        <v>164.06059944647296</v>
      </c>
      <c r="AC67" s="201">
        <f t="shared" si="111"/>
        <v>167.34181143540243</v>
      </c>
      <c r="AD67" s="201">
        <f t="shared" ref="AD67:AD72" si="112">AC67+AC67*$C$159</f>
        <v>170.68864766411048</v>
      </c>
      <c r="AE67" s="201">
        <f t="shared" si="110"/>
        <v>174.10242061739268</v>
      </c>
      <c r="AF67" s="201">
        <f t="shared" si="110"/>
        <v>177.58446902974055</v>
      </c>
      <c r="AG67" s="201">
        <f t="shared" si="110"/>
        <v>181.13615841033536</v>
      </c>
      <c r="AH67" s="201">
        <f t="shared" si="110"/>
        <v>184.75888157854206</v>
      </c>
      <c r="AI67" s="201">
        <f t="shared" si="110"/>
        <v>188.45405921011289</v>
      </c>
      <c r="AJ67" s="201">
        <f t="shared" si="110"/>
        <v>192.22314039431515</v>
      </c>
      <c r="AK67" s="201">
        <v>0</v>
      </c>
      <c r="AL67" s="201">
        <f t="shared" si="108"/>
        <v>0</v>
      </c>
      <c r="AM67" s="201">
        <f t="shared" si="108"/>
        <v>0</v>
      </c>
      <c r="AN67" s="201">
        <f t="shared" si="108"/>
        <v>0</v>
      </c>
      <c r="AO67" s="201">
        <f t="shared" si="108"/>
        <v>0</v>
      </c>
      <c r="AP67" s="201">
        <f t="shared" si="108"/>
        <v>0</v>
      </c>
    </row>
    <row r="68" spans="2:42" s="147" customFormat="1" x14ac:dyDescent="0.2">
      <c r="B68" s="181" t="str">
        <f>'Conto Economico'!A200</f>
        <v>ITV</v>
      </c>
      <c r="C68" s="47">
        <f>'Budget 27'!E64</f>
        <v>45</v>
      </c>
      <c r="D68" s="201">
        <f t="shared" ref="D68:AC68" si="113">C68+C68*$C$159</f>
        <v>45.9</v>
      </c>
      <c r="E68" s="201">
        <f t="shared" si="113"/>
        <v>46.817999999999998</v>
      </c>
      <c r="F68" s="201">
        <f t="shared" si="113"/>
        <v>47.754359999999998</v>
      </c>
      <c r="G68" s="201">
        <f t="shared" si="113"/>
        <v>48.7094472</v>
      </c>
      <c r="H68" s="201">
        <f t="shared" si="113"/>
        <v>49.683636143999998</v>
      </c>
      <c r="I68" s="201">
        <f t="shared" si="113"/>
        <v>50.677308866879997</v>
      </c>
      <c r="J68" s="201">
        <f t="shared" si="113"/>
        <v>51.690855044217599</v>
      </c>
      <c r="K68" s="201">
        <f t="shared" si="113"/>
        <v>52.724672145101948</v>
      </c>
      <c r="L68" s="201">
        <f t="shared" si="113"/>
        <v>53.779165588003984</v>
      </c>
      <c r="M68" s="201">
        <f t="shared" si="113"/>
        <v>54.854748899764061</v>
      </c>
      <c r="N68" s="201">
        <f t="shared" si="113"/>
        <v>55.951843877759345</v>
      </c>
      <c r="O68" s="201">
        <f t="shared" si="113"/>
        <v>57.070880755314533</v>
      </c>
      <c r="P68" s="201">
        <f t="shared" si="113"/>
        <v>58.212298370420825</v>
      </c>
      <c r="Q68" s="201">
        <f t="shared" si="113"/>
        <v>59.376544337829245</v>
      </c>
      <c r="R68" s="201">
        <f t="shared" si="113"/>
        <v>60.564075224585828</v>
      </c>
      <c r="S68" s="201">
        <f t="shared" si="113"/>
        <v>61.775356729077544</v>
      </c>
      <c r="T68" s="201">
        <f t="shared" si="113"/>
        <v>63.010863863659097</v>
      </c>
      <c r="U68" s="201">
        <f t="shared" si="113"/>
        <v>64.271081140932282</v>
      </c>
      <c r="V68" s="201">
        <f t="shared" si="113"/>
        <v>65.556502763750927</v>
      </c>
      <c r="W68" s="201">
        <f t="shared" si="113"/>
        <v>66.867632819025943</v>
      </c>
      <c r="X68" s="201">
        <f t="shared" si="113"/>
        <v>68.20498547540646</v>
      </c>
      <c r="Y68" s="201">
        <f t="shared" si="113"/>
        <v>69.569085184914584</v>
      </c>
      <c r="Z68" s="201">
        <f t="shared" si="113"/>
        <v>70.960466888612871</v>
      </c>
      <c r="AA68" s="201">
        <f t="shared" si="113"/>
        <v>72.379676226385129</v>
      </c>
      <c r="AB68" s="201">
        <f t="shared" si="113"/>
        <v>73.827269750912834</v>
      </c>
      <c r="AC68" s="201">
        <f t="shared" si="113"/>
        <v>75.303815145931097</v>
      </c>
      <c r="AD68" s="201">
        <f t="shared" si="112"/>
        <v>76.809891448849726</v>
      </c>
      <c r="AE68" s="201">
        <f t="shared" si="110"/>
        <v>78.346089277826721</v>
      </c>
      <c r="AF68" s="201">
        <f t="shared" si="110"/>
        <v>79.913011063383252</v>
      </c>
      <c r="AG68" s="201">
        <f t="shared" si="110"/>
        <v>81.511271284650917</v>
      </c>
      <c r="AH68" s="201">
        <f t="shared" si="110"/>
        <v>83.14149671034393</v>
      </c>
      <c r="AI68" s="201">
        <f t="shared" si="110"/>
        <v>84.804326644550812</v>
      </c>
      <c r="AJ68" s="201">
        <f t="shared" si="110"/>
        <v>86.500413177441828</v>
      </c>
      <c r="AK68" s="201">
        <v>0</v>
      </c>
      <c r="AL68" s="201">
        <f t="shared" si="108"/>
        <v>0</v>
      </c>
      <c r="AM68" s="201">
        <f t="shared" si="108"/>
        <v>0</v>
      </c>
      <c r="AN68" s="201">
        <f t="shared" si="108"/>
        <v>0</v>
      </c>
      <c r="AO68" s="201">
        <f t="shared" si="108"/>
        <v>0</v>
      </c>
      <c r="AP68" s="201">
        <f t="shared" si="108"/>
        <v>0</v>
      </c>
    </row>
    <row r="69" spans="2:42" s="147" customFormat="1" x14ac:dyDescent="0.2">
      <c r="B69" s="181" t="str">
        <f>'Conto Economico'!A201</f>
        <v>Silik</v>
      </c>
      <c r="C69" s="47">
        <f>'Budget 27'!E65</f>
        <v>100</v>
      </c>
      <c r="D69" s="201">
        <f t="shared" ref="D69:AC69" si="114">C69+C69*$C$159</f>
        <v>102</v>
      </c>
      <c r="E69" s="201">
        <f t="shared" si="114"/>
        <v>104.04</v>
      </c>
      <c r="F69" s="201">
        <f t="shared" si="114"/>
        <v>106.1208</v>
      </c>
      <c r="G69" s="201">
        <f t="shared" si="114"/>
        <v>108.243216</v>
      </c>
      <c r="H69" s="201">
        <f t="shared" si="114"/>
        <v>110.40808032000001</v>
      </c>
      <c r="I69" s="201">
        <f t="shared" si="114"/>
        <v>112.61624192640001</v>
      </c>
      <c r="J69" s="201">
        <f t="shared" si="114"/>
        <v>114.868566764928</v>
      </c>
      <c r="K69" s="201">
        <f t="shared" si="114"/>
        <v>117.16593810022657</v>
      </c>
      <c r="L69" s="201">
        <f t="shared" si="114"/>
        <v>119.5092568622311</v>
      </c>
      <c r="M69" s="201">
        <f t="shared" si="114"/>
        <v>121.89944199947573</v>
      </c>
      <c r="N69" s="201">
        <f t="shared" si="114"/>
        <v>124.33743083946524</v>
      </c>
      <c r="O69" s="201">
        <f t="shared" si="114"/>
        <v>126.82417945625454</v>
      </c>
      <c r="P69" s="201">
        <f t="shared" si="114"/>
        <v>129.36066304537962</v>
      </c>
      <c r="Q69" s="201">
        <f t="shared" si="114"/>
        <v>131.94787630628721</v>
      </c>
      <c r="R69" s="201">
        <f t="shared" si="114"/>
        <v>134.58683383241296</v>
      </c>
      <c r="S69" s="201">
        <f t="shared" si="114"/>
        <v>137.27857050906121</v>
      </c>
      <c r="T69" s="201">
        <f t="shared" si="114"/>
        <v>140.02414191924242</v>
      </c>
      <c r="U69" s="201">
        <f t="shared" si="114"/>
        <v>142.82462475762728</v>
      </c>
      <c r="V69" s="201">
        <f t="shared" si="114"/>
        <v>145.68111725277981</v>
      </c>
      <c r="W69" s="201">
        <f t="shared" si="114"/>
        <v>148.5947395978354</v>
      </c>
      <c r="X69" s="201">
        <f t="shared" si="114"/>
        <v>151.56663438979211</v>
      </c>
      <c r="Y69" s="201">
        <f t="shared" si="114"/>
        <v>154.59796707758795</v>
      </c>
      <c r="Z69" s="201">
        <f t="shared" si="114"/>
        <v>157.68992641913971</v>
      </c>
      <c r="AA69" s="201">
        <f t="shared" si="114"/>
        <v>160.8437249475225</v>
      </c>
      <c r="AB69" s="201">
        <f t="shared" si="114"/>
        <v>164.06059944647296</v>
      </c>
      <c r="AC69" s="201">
        <f t="shared" si="114"/>
        <v>167.34181143540243</v>
      </c>
      <c r="AD69" s="201">
        <f t="shared" si="112"/>
        <v>170.68864766411048</v>
      </c>
      <c r="AE69" s="201">
        <f t="shared" si="110"/>
        <v>174.10242061739268</v>
      </c>
      <c r="AF69" s="201">
        <f t="shared" si="110"/>
        <v>177.58446902974055</v>
      </c>
      <c r="AG69" s="201">
        <f t="shared" si="110"/>
        <v>181.13615841033536</v>
      </c>
      <c r="AH69" s="201">
        <f t="shared" si="110"/>
        <v>184.75888157854206</v>
      </c>
      <c r="AI69" s="201">
        <f t="shared" si="110"/>
        <v>188.45405921011289</v>
      </c>
      <c r="AJ69" s="201">
        <f t="shared" si="110"/>
        <v>192.22314039431515</v>
      </c>
      <c r="AK69" s="201">
        <v>0</v>
      </c>
      <c r="AL69" s="201">
        <f t="shared" si="108"/>
        <v>0</v>
      </c>
      <c r="AM69" s="201">
        <f t="shared" si="108"/>
        <v>0</v>
      </c>
      <c r="AN69" s="201">
        <f t="shared" si="108"/>
        <v>0</v>
      </c>
      <c r="AO69" s="201">
        <f t="shared" si="108"/>
        <v>0</v>
      </c>
      <c r="AP69" s="201">
        <f t="shared" si="108"/>
        <v>0</v>
      </c>
    </row>
    <row r="70" spans="2:42" s="147" customFormat="1" x14ac:dyDescent="0.2">
      <c r="B70" s="181" t="str">
        <f>'Conto Economico'!A202</f>
        <v>Manutenzione Auto</v>
      </c>
      <c r="C70" s="47">
        <f>'Budget 27'!E66</f>
        <v>300</v>
      </c>
      <c r="D70" s="201">
        <f t="shared" ref="D70:AC70" si="115">C70+C70*$C$159</f>
        <v>306</v>
      </c>
      <c r="E70" s="201">
        <f t="shared" si="115"/>
        <v>312.12</v>
      </c>
      <c r="F70" s="201">
        <f t="shared" si="115"/>
        <v>318.36239999999998</v>
      </c>
      <c r="G70" s="201">
        <f t="shared" si="115"/>
        <v>324.729648</v>
      </c>
      <c r="H70" s="201">
        <f t="shared" si="115"/>
        <v>331.22424095999997</v>
      </c>
      <c r="I70" s="201">
        <f t="shared" si="115"/>
        <v>337.84872577919998</v>
      </c>
      <c r="J70" s="201">
        <f t="shared" si="115"/>
        <v>344.60570029478396</v>
      </c>
      <c r="K70" s="201">
        <f t="shared" si="115"/>
        <v>351.49781430067964</v>
      </c>
      <c r="L70" s="201">
        <f t="shared" si="115"/>
        <v>358.52777058669324</v>
      </c>
      <c r="M70" s="201">
        <f t="shared" si="115"/>
        <v>365.69832599842709</v>
      </c>
      <c r="N70" s="201">
        <f t="shared" si="115"/>
        <v>373.01229251839561</v>
      </c>
      <c r="O70" s="201">
        <f t="shared" si="115"/>
        <v>380.47253836876354</v>
      </c>
      <c r="P70" s="201">
        <f t="shared" si="115"/>
        <v>388.08198913613882</v>
      </c>
      <c r="Q70" s="201">
        <f t="shared" si="115"/>
        <v>395.84362891886161</v>
      </c>
      <c r="R70" s="201">
        <f t="shared" si="115"/>
        <v>403.76050149723886</v>
      </c>
      <c r="S70" s="201">
        <f t="shared" si="115"/>
        <v>411.83571152718366</v>
      </c>
      <c r="T70" s="201">
        <f t="shared" si="115"/>
        <v>420.07242575772733</v>
      </c>
      <c r="U70" s="201">
        <f t="shared" si="115"/>
        <v>428.47387427288186</v>
      </c>
      <c r="V70" s="201">
        <f t="shared" si="115"/>
        <v>437.0433517583395</v>
      </c>
      <c r="W70" s="201">
        <f t="shared" si="115"/>
        <v>445.78421879350628</v>
      </c>
      <c r="X70" s="201">
        <f t="shared" si="115"/>
        <v>454.6999031693764</v>
      </c>
      <c r="Y70" s="201">
        <f t="shared" si="115"/>
        <v>463.79390123276391</v>
      </c>
      <c r="Z70" s="201">
        <f t="shared" si="115"/>
        <v>473.06977925741921</v>
      </c>
      <c r="AA70" s="201">
        <f t="shared" si="115"/>
        <v>482.53117484256762</v>
      </c>
      <c r="AB70" s="201">
        <f t="shared" si="115"/>
        <v>492.18179833941895</v>
      </c>
      <c r="AC70" s="201">
        <f t="shared" si="115"/>
        <v>502.02543430620733</v>
      </c>
      <c r="AD70" s="201">
        <f t="shared" si="112"/>
        <v>512.06594299233143</v>
      </c>
      <c r="AE70" s="201">
        <f t="shared" si="110"/>
        <v>522.30726185217804</v>
      </c>
      <c r="AF70" s="201">
        <f t="shared" si="110"/>
        <v>532.75340708922158</v>
      </c>
      <c r="AG70" s="201">
        <f t="shared" si="110"/>
        <v>543.40847523100604</v>
      </c>
      <c r="AH70" s="201">
        <f t="shared" si="110"/>
        <v>554.27664473562618</v>
      </c>
      <c r="AI70" s="201">
        <f t="shared" si="110"/>
        <v>565.36217763033869</v>
      </c>
      <c r="AJ70" s="201">
        <f t="shared" si="110"/>
        <v>576.66942118294548</v>
      </c>
      <c r="AK70" s="201"/>
      <c r="AL70" s="201"/>
      <c r="AM70" s="201"/>
      <c r="AN70" s="201"/>
      <c r="AO70" s="201"/>
      <c r="AP70" s="201"/>
    </row>
    <row r="71" spans="2:42" s="147" customFormat="1" x14ac:dyDescent="0.2">
      <c r="B71" s="181" t="str">
        <f>'Conto Economico'!A203</f>
        <v>Trasporti pubblici</v>
      </c>
      <c r="C71" s="47">
        <f>'Budget 27'!E67</f>
        <v>200</v>
      </c>
      <c r="D71" s="201">
        <f t="shared" ref="D71:AC71" si="116">C71+C71*$C$159</f>
        <v>204</v>
      </c>
      <c r="E71" s="201">
        <f t="shared" si="116"/>
        <v>208.08</v>
      </c>
      <c r="F71" s="201">
        <f t="shared" si="116"/>
        <v>212.24160000000001</v>
      </c>
      <c r="G71" s="201">
        <f t="shared" si="116"/>
        <v>216.48643200000001</v>
      </c>
      <c r="H71" s="201">
        <f t="shared" si="116"/>
        <v>220.81616064000002</v>
      </c>
      <c r="I71" s="201">
        <f t="shared" si="116"/>
        <v>225.23248385280002</v>
      </c>
      <c r="J71" s="201">
        <f t="shared" si="116"/>
        <v>229.73713352985601</v>
      </c>
      <c r="K71" s="201">
        <f t="shared" si="116"/>
        <v>234.33187620045314</v>
      </c>
      <c r="L71" s="201">
        <f t="shared" si="116"/>
        <v>239.0185137244622</v>
      </c>
      <c r="M71" s="201">
        <f t="shared" si="116"/>
        <v>243.79888399895145</v>
      </c>
      <c r="N71" s="201">
        <f t="shared" si="116"/>
        <v>248.67486167893048</v>
      </c>
      <c r="O71" s="201">
        <f t="shared" si="116"/>
        <v>253.64835891250908</v>
      </c>
      <c r="P71" s="201">
        <f t="shared" si="116"/>
        <v>258.72132609075925</v>
      </c>
      <c r="Q71" s="201">
        <f t="shared" si="116"/>
        <v>263.89575261257443</v>
      </c>
      <c r="R71" s="201">
        <f t="shared" si="116"/>
        <v>269.17366766482593</v>
      </c>
      <c r="S71" s="201">
        <f t="shared" si="116"/>
        <v>274.55714101812242</v>
      </c>
      <c r="T71" s="201">
        <f t="shared" si="116"/>
        <v>280.04828383848485</v>
      </c>
      <c r="U71" s="201">
        <f t="shared" si="116"/>
        <v>285.64924951525455</v>
      </c>
      <c r="V71" s="201">
        <f t="shared" si="116"/>
        <v>291.36223450555963</v>
      </c>
      <c r="W71" s="201">
        <f t="shared" si="116"/>
        <v>297.1894791956708</v>
      </c>
      <c r="X71" s="201">
        <f t="shared" si="116"/>
        <v>303.13326877958423</v>
      </c>
      <c r="Y71" s="201">
        <f t="shared" si="116"/>
        <v>309.19593415517591</v>
      </c>
      <c r="Z71" s="201">
        <f t="shared" si="116"/>
        <v>315.37985283827942</v>
      </c>
      <c r="AA71" s="201">
        <f t="shared" si="116"/>
        <v>321.68744989504501</v>
      </c>
      <c r="AB71" s="201">
        <f t="shared" si="116"/>
        <v>328.12119889294593</v>
      </c>
      <c r="AC71" s="201">
        <f t="shared" si="116"/>
        <v>334.68362287080487</v>
      </c>
      <c r="AD71" s="201">
        <f t="shared" si="112"/>
        <v>341.37729532822095</v>
      </c>
      <c r="AE71" s="201">
        <f t="shared" si="110"/>
        <v>348.20484123478536</v>
      </c>
      <c r="AF71" s="201">
        <f t="shared" si="110"/>
        <v>355.16893805948109</v>
      </c>
      <c r="AG71" s="201">
        <f t="shared" si="110"/>
        <v>362.27231682067071</v>
      </c>
      <c r="AH71" s="201">
        <f t="shared" si="110"/>
        <v>369.51776315708412</v>
      </c>
      <c r="AI71" s="201">
        <f t="shared" si="110"/>
        <v>376.90811842022578</v>
      </c>
      <c r="AJ71" s="201">
        <f t="shared" si="110"/>
        <v>384.4462807886303</v>
      </c>
      <c r="AK71" s="202">
        <f>AJ71/2</f>
        <v>192.22314039431515</v>
      </c>
      <c r="AL71" s="201">
        <f t="shared" ref="AL71:AP72" si="117">AK71+AK71*$C$159</f>
        <v>196.06760320220147</v>
      </c>
      <c r="AM71" s="201">
        <f t="shared" si="117"/>
        <v>199.98895526624551</v>
      </c>
      <c r="AN71" s="201">
        <f t="shared" si="117"/>
        <v>203.98873437157042</v>
      </c>
      <c r="AO71" s="201">
        <f t="shared" si="117"/>
        <v>208.06850905900183</v>
      </c>
      <c r="AP71" s="201">
        <f t="shared" si="117"/>
        <v>212.22987924018187</v>
      </c>
    </row>
    <row r="72" spans="2:42" s="147" customFormat="1" x14ac:dyDescent="0.2">
      <c r="B72" s="181" t="str">
        <f>'Conto Economico'!A204</f>
        <v>Parcheggio</v>
      </c>
      <c r="C72" s="47">
        <f>'Budget 27'!E68</f>
        <v>300</v>
      </c>
      <c r="D72" s="201">
        <f t="shared" ref="D72:AC72" si="118">C72+C72*$C$159</f>
        <v>306</v>
      </c>
      <c r="E72" s="201">
        <f t="shared" si="118"/>
        <v>312.12</v>
      </c>
      <c r="F72" s="201">
        <f t="shared" si="118"/>
        <v>318.36239999999998</v>
      </c>
      <c r="G72" s="201">
        <f t="shared" si="118"/>
        <v>324.729648</v>
      </c>
      <c r="H72" s="201">
        <f t="shared" si="118"/>
        <v>331.22424095999997</v>
      </c>
      <c r="I72" s="201">
        <f t="shared" si="118"/>
        <v>337.84872577919998</v>
      </c>
      <c r="J72" s="201">
        <f t="shared" si="118"/>
        <v>344.60570029478396</v>
      </c>
      <c r="K72" s="201">
        <f t="shared" si="118"/>
        <v>351.49781430067964</v>
      </c>
      <c r="L72" s="201">
        <f t="shared" si="118"/>
        <v>358.52777058669324</v>
      </c>
      <c r="M72" s="201">
        <f t="shared" si="118"/>
        <v>365.69832599842709</v>
      </c>
      <c r="N72" s="201">
        <f t="shared" si="118"/>
        <v>373.01229251839561</v>
      </c>
      <c r="O72" s="201">
        <f t="shared" si="118"/>
        <v>380.47253836876354</v>
      </c>
      <c r="P72" s="201">
        <f t="shared" si="118"/>
        <v>388.08198913613882</v>
      </c>
      <c r="Q72" s="201">
        <f t="shared" si="118"/>
        <v>395.84362891886161</v>
      </c>
      <c r="R72" s="201">
        <f t="shared" si="118"/>
        <v>403.76050149723886</v>
      </c>
      <c r="S72" s="201">
        <f t="shared" si="118"/>
        <v>411.83571152718366</v>
      </c>
      <c r="T72" s="201">
        <f t="shared" si="118"/>
        <v>420.07242575772733</v>
      </c>
      <c r="U72" s="201">
        <f t="shared" si="118"/>
        <v>428.47387427288186</v>
      </c>
      <c r="V72" s="201">
        <f t="shared" si="118"/>
        <v>437.0433517583395</v>
      </c>
      <c r="W72" s="201">
        <f t="shared" si="118"/>
        <v>445.78421879350628</v>
      </c>
      <c r="X72" s="201">
        <f t="shared" si="118"/>
        <v>454.6999031693764</v>
      </c>
      <c r="Y72" s="201">
        <f t="shared" si="118"/>
        <v>463.79390123276391</v>
      </c>
      <c r="Z72" s="201">
        <f t="shared" si="118"/>
        <v>473.06977925741921</v>
      </c>
      <c r="AA72" s="201">
        <f t="shared" si="118"/>
        <v>482.53117484256762</v>
      </c>
      <c r="AB72" s="201">
        <f t="shared" si="118"/>
        <v>492.18179833941895</v>
      </c>
      <c r="AC72" s="201">
        <f t="shared" si="118"/>
        <v>502.02543430620733</v>
      </c>
      <c r="AD72" s="201">
        <f t="shared" si="112"/>
        <v>512.06594299233143</v>
      </c>
      <c r="AE72" s="201">
        <f t="shared" si="110"/>
        <v>522.30726185217804</v>
      </c>
      <c r="AF72" s="201">
        <f t="shared" si="110"/>
        <v>532.75340708922158</v>
      </c>
      <c r="AG72" s="201">
        <f t="shared" si="110"/>
        <v>543.40847523100604</v>
      </c>
      <c r="AH72" s="201">
        <f t="shared" si="110"/>
        <v>554.27664473562618</v>
      </c>
      <c r="AI72" s="201">
        <f t="shared" si="110"/>
        <v>565.36217763033869</v>
      </c>
      <c r="AJ72" s="201">
        <f t="shared" si="110"/>
        <v>576.66942118294548</v>
      </c>
      <c r="AK72" s="201">
        <v>0</v>
      </c>
      <c r="AL72" s="201">
        <f t="shared" si="117"/>
        <v>0</v>
      </c>
      <c r="AM72" s="201">
        <f t="shared" si="117"/>
        <v>0</v>
      </c>
      <c r="AN72" s="201">
        <f t="shared" si="117"/>
        <v>0</v>
      </c>
      <c r="AO72" s="201">
        <f t="shared" si="117"/>
        <v>0</v>
      </c>
      <c r="AP72" s="201">
        <f t="shared" si="117"/>
        <v>0</v>
      </c>
    </row>
    <row r="73" spans="2:42" s="147" customFormat="1" x14ac:dyDescent="0.2">
      <c r="B73" s="181"/>
      <c r="C73" s="47"/>
      <c r="D73" s="201"/>
      <c r="E73" s="201"/>
      <c r="F73" s="201"/>
      <c r="G73" s="201"/>
      <c r="H73" s="201"/>
      <c r="I73" s="201"/>
      <c r="J73" s="201"/>
      <c r="K73" s="201"/>
      <c r="L73" s="201"/>
      <c r="M73" s="201"/>
      <c r="N73" s="201"/>
      <c r="O73" s="201"/>
      <c r="P73" s="201"/>
      <c r="Q73" s="201"/>
      <c r="R73" s="201"/>
      <c r="S73" s="201"/>
      <c r="T73" s="201"/>
      <c r="U73" s="201"/>
      <c r="V73" s="201"/>
      <c r="W73" s="201"/>
      <c r="X73" s="201"/>
      <c r="Y73" s="201"/>
      <c r="Z73" s="201"/>
      <c r="AA73" s="201"/>
      <c r="AB73" s="201"/>
      <c r="AC73" s="201"/>
      <c r="AD73" s="201"/>
      <c r="AE73" s="201"/>
      <c r="AF73" s="201"/>
      <c r="AG73" s="201"/>
      <c r="AH73" s="201"/>
      <c r="AI73" s="201"/>
      <c r="AJ73" s="201"/>
      <c r="AK73" s="201"/>
      <c r="AL73" s="201"/>
      <c r="AM73" s="201"/>
      <c r="AN73" s="201"/>
      <c r="AO73" s="201"/>
      <c r="AP73" s="201"/>
    </row>
    <row r="74" spans="2:42" s="147" customFormat="1" x14ac:dyDescent="0.2">
      <c r="B74" s="199" t="str">
        <f>'Conto Economico'!A206</f>
        <v>Assicurazioni</v>
      </c>
      <c r="C74" s="113">
        <f>SUM(C75:C77)</f>
        <v>12500</v>
      </c>
      <c r="D74" s="200">
        <f t="shared" ref="D74:AP74" si="119">SUM(D75:D77)</f>
        <v>12750</v>
      </c>
      <c r="E74" s="200">
        <f t="shared" si="119"/>
        <v>13005</v>
      </c>
      <c r="F74" s="200">
        <f t="shared" si="119"/>
        <v>13265.099999999999</v>
      </c>
      <c r="G74" s="200">
        <f t="shared" si="119"/>
        <v>13530.402</v>
      </c>
      <c r="H74" s="200">
        <f t="shared" si="119"/>
        <v>13801.010039999999</v>
      </c>
      <c r="I74" s="200">
        <f t="shared" si="119"/>
        <v>14077.030240800001</v>
      </c>
      <c r="J74" s="200">
        <f t="shared" si="119"/>
        <v>14358.570845615999</v>
      </c>
      <c r="K74" s="200">
        <f t="shared" si="119"/>
        <v>14645.74226252832</v>
      </c>
      <c r="L74" s="200">
        <f t="shared" si="119"/>
        <v>14938.657107778887</v>
      </c>
      <c r="M74" s="200">
        <f t="shared" si="119"/>
        <v>15237.430249934465</v>
      </c>
      <c r="N74" s="200">
        <f t="shared" si="119"/>
        <v>10373.642514155385</v>
      </c>
      <c r="O74" s="200">
        <f t="shared" si="119"/>
        <v>10581.115364438492</v>
      </c>
      <c r="P74" s="200">
        <f t="shared" si="119"/>
        <v>10792.737671727262</v>
      </c>
      <c r="Q74" s="200">
        <f t="shared" si="119"/>
        <v>11008.592425161807</v>
      </c>
      <c r="R74" s="200">
        <f t="shared" si="119"/>
        <v>11228.764273665043</v>
      </c>
      <c r="S74" s="200">
        <f t="shared" si="119"/>
        <v>11453.339559138345</v>
      </c>
      <c r="T74" s="200">
        <f t="shared" si="119"/>
        <v>11682.406350321113</v>
      </c>
      <c r="U74" s="200">
        <f t="shared" si="119"/>
        <v>11916.054477327534</v>
      </c>
      <c r="V74" s="200">
        <f t="shared" si="119"/>
        <v>12154.375566874085</v>
      </c>
      <c r="W74" s="200">
        <f t="shared" si="119"/>
        <v>12397.463078211566</v>
      </c>
      <c r="X74" s="200">
        <f t="shared" si="119"/>
        <v>12645.412339775798</v>
      </c>
      <c r="Y74" s="200">
        <f t="shared" si="119"/>
        <v>12898.320586571313</v>
      </c>
      <c r="Z74" s="200">
        <f t="shared" si="119"/>
        <v>13156.286998302739</v>
      </c>
      <c r="AA74" s="200">
        <f t="shared" si="119"/>
        <v>13419.412738268793</v>
      </c>
      <c r="AB74" s="200">
        <f t="shared" si="119"/>
        <v>13687.80099303417</v>
      </c>
      <c r="AC74" s="200">
        <f t="shared" si="119"/>
        <v>13961.557012894853</v>
      </c>
      <c r="AD74" s="200">
        <f t="shared" si="119"/>
        <v>7415.867216179473</v>
      </c>
      <c r="AE74" s="200">
        <f t="shared" si="119"/>
        <v>7564.1845605030621</v>
      </c>
      <c r="AF74" s="200">
        <f t="shared" si="119"/>
        <v>7715.4682517131232</v>
      </c>
      <c r="AG74" s="200">
        <f t="shared" si="119"/>
        <v>7869.7776167473858</v>
      </c>
      <c r="AH74" s="200">
        <f t="shared" si="119"/>
        <v>8027.1731690823335</v>
      </c>
      <c r="AI74" s="200">
        <f t="shared" si="119"/>
        <v>8187.7166324639802</v>
      </c>
      <c r="AJ74" s="200">
        <f t="shared" si="119"/>
        <v>8351.4709651132598</v>
      </c>
      <c r="AK74" s="200">
        <f t="shared" si="119"/>
        <v>8518.5003844155235</v>
      </c>
      <c r="AL74" s="200">
        <f t="shared" si="119"/>
        <v>8688.8703921038359</v>
      </c>
      <c r="AM74" s="200">
        <f t="shared" si="119"/>
        <v>8862.6477999459112</v>
      </c>
      <c r="AN74" s="200">
        <f t="shared" si="119"/>
        <v>9039.9007559448291</v>
      </c>
      <c r="AO74" s="200">
        <f t="shared" si="119"/>
        <v>9220.6987710637259</v>
      </c>
      <c r="AP74" s="200">
        <f t="shared" si="119"/>
        <v>9405.1127464849997</v>
      </c>
    </row>
    <row r="75" spans="2:42" s="147" customFormat="1" x14ac:dyDescent="0.2">
      <c r="B75" s="181" t="str">
        <f>'Conto Economico'!A207</f>
        <v>Polizza Vita</v>
      </c>
      <c r="C75" s="47">
        <f>'Budget 27'!E71</f>
        <v>0</v>
      </c>
      <c r="D75" s="201">
        <f t="shared" ref="D75:AP75" si="120">C75+C75*$C$159</f>
        <v>0</v>
      </c>
      <c r="E75" s="201">
        <f t="shared" si="120"/>
        <v>0</v>
      </c>
      <c r="F75" s="201">
        <f t="shared" si="120"/>
        <v>0</v>
      </c>
      <c r="G75" s="201">
        <f t="shared" si="120"/>
        <v>0</v>
      </c>
      <c r="H75" s="201">
        <f t="shared" si="120"/>
        <v>0</v>
      </c>
      <c r="I75" s="201">
        <f t="shared" si="120"/>
        <v>0</v>
      </c>
      <c r="J75" s="201">
        <f t="shared" si="120"/>
        <v>0</v>
      </c>
      <c r="K75" s="201">
        <f t="shared" si="120"/>
        <v>0</v>
      </c>
      <c r="L75" s="201">
        <f t="shared" si="120"/>
        <v>0</v>
      </c>
      <c r="M75" s="201">
        <f t="shared" si="120"/>
        <v>0</v>
      </c>
      <c r="N75" s="201">
        <f t="shared" si="120"/>
        <v>0</v>
      </c>
      <c r="O75" s="201">
        <f t="shared" si="120"/>
        <v>0</v>
      </c>
      <c r="P75" s="201">
        <f t="shared" si="120"/>
        <v>0</v>
      </c>
      <c r="Q75" s="201">
        <f t="shared" si="120"/>
        <v>0</v>
      </c>
      <c r="R75" s="201">
        <f t="shared" si="120"/>
        <v>0</v>
      </c>
      <c r="S75" s="201">
        <f t="shared" si="120"/>
        <v>0</v>
      </c>
      <c r="T75" s="201">
        <f t="shared" si="120"/>
        <v>0</v>
      </c>
      <c r="U75" s="201">
        <f t="shared" si="120"/>
        <v>0</v>
      </c>
      <c r="V75" s="201">
        <f t="shared" si="120"/>
        <v>0</v>
      </c>
      <c r="W75" s="201">
        <f t="shared" si="120"/>
        <v>0</v>
      </c>
      <c r="X75" s="201">
        <f t="shared" si="120"/>
        <v>0</v>
      </c>
      <c r="Y75" s="201">
        <f t="shared" si="120"/>
        <v>0</v>
      </c>
      <c r="Z75" s="201">
        <f t="shared" si="120"/>
        <v>0</v>
      </c>
      <c r="AA75" s="201">
        <f t="shared" si="120"/>
        <v>0</v>
      </c>
      <c r="AB75" s="201">
        <f t="shared" si="120"/>
        <v>0</v>
      </c>
      <c r="AC75" s="201">
        <f t="shared" si="120"/>
        <v>0</v>
      </c>
      <c r="AD75" s="201">
        <f t="shared" si="120"/>
        <v>0</v>
      </c>
      <c r="AE75" s="201">
        <f t="shared" si="120"/>
        <v>0</v>
      </c>
      <c r="AF75" s="201">
        <f t="shared" si="120"/>
        <v>0</v>
      </c>
      <c r="AG75" s="201">
        <f t="shared" si="120"/>
        <v>0</v>
      </c>
      <c r="AH75" s="201">
        <f t="shared" si="120"/>
        <v>0</v>
      </c>
      <c r="AI75" s="201">
        <f t="shared" si="120"/>
        <v>0</v>
      </c>
      <c r="AJ75" s="201">
        <f t="shared" si="120"/>
        <v>0</v>
      </c>
      <c r="AK75" s="201">
        <f t="shared" si="120"/>
        <v>0</v>
      </c>
      <c r="AL75" s="201">
        <f t="shared" si="120"/>
        <v>0</v>
      </c>
      <c r="AM75" s="201">
        <f t="shared" si="120"/>
        <v>0</v>
      </c>
      <c r="AN75" s="201">
        <f t="shared" si="120"/>
        <v>0</v>
      </c>
      <c r="AO75" s="201">
        <f t="shared" si="120"/>
        <v>0</v>
      </c>
      <c r="AP75" s="201">
        <f t="shared" si="120"/>
        <v>0</v>
      </c>
    </row>
    <row r="76" spans="2:42" s="147" customFormat="1" x14ac:dyDescent="0.2">
      <c r="B76" s="181" t="str">
        <f>'Conto Economico'!A208</f>
        <v>Polizza Salute</v>
      </c>
      <c r="C76" s="47">
        <f>'Budget 27'!E72</f>
        <v>12000</v>
      </c>
      <c r="D76" s="201">
        <f t="shared" ref="D76:M76" si="121">C76+C76*$C$159</f>
        <v>12240</v>
      </c>
      <c r="E76" s="201">
        <f t="shared" si="121"/>
        <v>12484.8</v>
      </c>
      <c r="F76" s="201">
        <f t="shared" si="121"/>
        <v>12734.495999999999</v>
      </c>
      <c r="G76" s="201">
        <f t="shared" si="121"/>
        <v>12989.18592</v>
      </c>
      <c r="H76" s="201">
        <f t="shared" si="121"/>
        <v>13248.9696384</v>
      </c>
      <c r="I76" s="201">
        <f t="shared" si="121"/>
        <v>13513.949031168</v>
      </c>
      <c r="J76" s="201">
        <f t="shared" si="121"/>
        <v>13784.22801179136</v>
      </c>
      <c r="K76" s="201">
        <f t="shared" si="121"/>
        <v>14059.912572027188</v>
      </c>
      <c r="L76" s="201">
        <f t="shared" si="121"/>
        <v>14341.110823467732</v>
      </c>
      <c r="M76" s="201">
        <f t="shared" si="121"/>
        <v>14627.933039937087</v>
      </c>
      <c r="N76" s="202">
        <f>M76/3*2</f>
        <v>9751.9553599580577</v>
      </c>
      <c r="O76" s="201">
        <f t="shared" ref="O76:AC76" si="122">N76+N76*$C$159</f>
        <v>9946.9944671572193</v>
      </c>
      <c r="P76" s="201">
        <f t="shared" si="122"/>
        <v>10145.934356500364</v>
      </c>
      <c r="Q76" s="201">
        <f t="shared" si="122"/>
        <v>10348.853043630372</v>
      </c>
      <c r="R76" s="201">
        <f t="shared" si="122"/>
        <v>10555.830104502978</v>
      </c>
      <c r="S76" s="201">
        <f t="shared" si="122"/>
        <v>10766.946706593038</v>
      </c>
      <c r="T76" s="201">
        <f t="shared" si="122"/>
        <v>10982.2856407249</v>
      </c>
      <c r="U76" s="201">
        <f t="shared" si="122"/>
        <v>11201.931353539398</v>
      </c>
      <c r="V76" s="201">
        <f t="shared" si="122"/>
        <v>11425.969980610185</v>
      </c>
      <c r="W76" s="201">
        <f t="shared" si="122"/>
        <v>11654.489380222389</v>
      </c>
      <c r="X76" s="201">
        <f t="shared" si="122"/>
        <v>11887.579167826836</v>
      </c>
      <c r="Y76" s="201">
        <f t="shared" si="122"/>
        <v>12125.330751183374</v>
      </c>
      <c r="Z76" s="201">
        <f t="shared" si="122"/>
        <v>12367.837366207041</v>
      </c>
      <c r="AA76" s="201">
        <f t="shared" si="122"/>
        <v>12615.194113531181</v>
      </c>
      <c r="AB76" s="201">
        <f t="shared" si="122"/>
        <v>12867.497995801805</v>
      </c>
      <c r="AC76" s="201">
        <f t="shared" si="122"/>
        <v>13124.847955717842</v>
      </c>
      <c r="AD76" s="202">
        <f>AC76/2</f>
        <v>6562.4239778589208</v>
      </c>
      <c r="AE76" s="201">
        <f t="shared" ref="AE76:AP76" si="123">AD76+AD76*$C$159</f>
        <v>6693.672457416099</v>
      </c>
      <c r="AF76" s="201">
        <f t="shared" si="123"/>
        <v>6827.5459065644209</v>
      </c>
      <c r="AG76" s="201">
        <f t="shared" si="123"/>
        <v>6964.0968246957091</v>
      </c>
      <c r="AH76" s="201">
        <f t="shared" si="123"/>
        <v>7103.3787611896232</v>
      </c>
      <c r="AI76" s="201">
        <f t="shared" si="123"/>
        <v>7245.4463364134153</v>
      </c>
      <c r="AJ76" s="201">
        <f t="shared" si="123"/>
        <v>7390.3552631416833</v>
      </c>
      <c r="AK76" s="201">
        <f t="shared" si="123"/>
        <v>7538.1623684045171</v>
      </c>
      <c r="AL76" s="201">
        <f t="shared" si="123"/>
        <v>7688.9256157726077</v>
      </c>
      <c r="AM76" s="201">
        <f t="shared" si="123"/>
        <v>7842.7041280880594</v>
      </c>
      <c r="AN76" s="201">
        <f t="shared" si="123"/>
        <v>7999.5582106498205</v>
      </c>
      <c r="AO76" s="201">
        <f t="shared" si="123"/>
        <v>8159.5493748628169</v>
      </c>
      <c r="AP76" s="201">
        <f t="shared" si="123"/>
        <v>8322.740362360073</v>
      </c>
    </row>
    <row r="77" spans="2:42" s="147" customFormat="1" x14ac:dyDescent="0.2">
      <c r="B77" s="181" t="str">
        <f>'Conto Economico'!A209</f>
        <v>Polizza Casa</v>
      </c>
      <c r="C77" s="47">
        <f>'Budget 27'!E73</f>
        <v>500</v>
      </c>
      <c r="D77" s="201">
        <f t="shared" ref="D77:M77" si="124">C77+C77*$C$159</f>
        <v>510</v>
      </c>
      <c r="E77" s="201">
        <f t="shared" si="124"/>
        <v>520.20000000000005</v>
      </c>
      <c r="F77" s="201">
        <f t="shared" si="124"/>
        <v>530.60400000000004</v>
      </c>
      <c r="G77" s="201">
        <f t="shared" si="124"/>
        <v>541.21608000000003</v>
      </c>
      <c r="H77" s="201">
        <f t="shared" si="124"/>
        <v>552.0404016</v>
      </c>
      <c r="I77" s="201">
        <f t="shared" si="124"/>
        <v>563.08120963199997</v>
      </c>
      <c r="J77" s="201">
        <f t="shared" si="124"/>
        <v>574.34283382463991</v>
      </c>
      <c r="K77" s="201">
        <f t="shared" si="124"/>
        <v>585.82969050113275</v>
      </c>
      <c r="L77" s="201">
        <f t="shared" si="124"/>
        <v>597.54628431115543</v>
      </c>
      <c r="M77" s="201">
        <f t="shared" si="124"/>
        <v>609.49720999737849</v>
      </c>
      <c r="N77" s="201">
        <f>M77+M77*$C$159</f>
        <v>621.68715419732609</v>
      </c>
      <c r="O77" s="201">
        <f t="shared" ref="O77:AC77" si="125">N77+N77*$C$159</f>
        <v>634.12089728127262</v>
      </c>
      <c r="P77" s="201">
        <f t="shared" si="125"/>
        <v>646.80331522689812</v>
      </c>
      <c r="Q77" s="201">
        <f t="shared" si="125"/>
        <v>659.73938153143604</v>
      </c>
      <c r="R77" s="201">
        <f t="shared" si="125"/>
        <v>672.93416916206479</v>
      </c>
      <c r="S77" s="201">
        <f t="shared" si="125"/>
        <v>686.39285254530614</v>
      </c>
      <c r="T77" s="201">
        <f t="shared" si="125"/>
        <v>700.12070959621224</v>
      </c>
      <c r="U77" s="201">
        <f t="shared" si="125"/>
        <v>714.12312378813647</v>
      </c>
      <c r="V77" s="201">
        <f t="shared" si="125"/>
        <v>728.40558626389918</v>
      </c>
      <c r="W77" s="201">
        <f t="shared" si="125"/>
        <v>742.97369798917714</v>
      </c>
      <c r="X77" s="201">
        <f t="shared" si="125"/>
        <v>757.83317194896063</v>
      </c>
      <c r="Y77" s="201">
        <f t="shared" si="125"/>
        <v>772.98983538793982</v>
      </c>
      <c r="Z77" s="201">
        <f t="shared" si="125"/>
        <v>788.44963209569858</v>
      </c>
      <c r="AA77" s="201">
        <f t="shared" si="125"/>
        <v>804.21862473761257</v>
      </c>
      <c r="AB77" s="201">
        <f t="shared" si="125"/>
        <v>820.30299723236487</v>
      </c>
      <c r="AC77" s="201">
        <f t="shared" si="125"/>
        <v>836.70905717701214</v>
      </c>
      <c r="AD77" s="201">
        <f>AC77+AC77*$C$159</f>
        <v>853.44323832055238</v>
      </c>
      <c r="AE77" s="201">
        <f t="shared" ref="AE77:AP77" si="126">AD77+AD77*$C$159</f>
        <v>870.51210308696341</v>
      </c>
      <c r="AF77" s="201">
        <f t="shared" si="126"/>
        <v>887.92234514870268</v>
      </c>
      <c r="AG77" s="201">
        <f t="shared" si="126"/>
        <v>905.68079205167669</v>
      </c>
      <c r="AH77" s="201">
        <f t="shared" si="126"/>
        <v>923.79440789271018</v>
      </c>
      <c r="AI77" s="201">
        <f t="shared" si="126"/>
        <v>942.27029605056441</v>
      </c>
      <c r="AJ77" s="201">
        <f t="shared" si="126"/>
        <v>961.11570197157573</v>
      </c>
      <c r="AK77" s="201">
        <f t="shared" si="126"/>
        <v>980.3380160110072</v>
      </c>
      <c r="AL77" s="201">
        <f t="shared" si="126"/>
        <v>999.94477633122733</v>
      </c>
      <c r="AM77" s="201">
        <f t="shared" si="126"/>
        <v>1019.9436718578519</v>
      </c>
      <c r="AN77" s="201">
        <f t="shared" si="126"/>
        <v>1040.3425452950089</v>
      </c>
      <c r="AO77" s="201">
        <f t="shared" si="126"/>
        <v>1061.149396200909</v>
      </c>
      <c r="AP77" s="201">
        <f t="shared" si="126"/>
        <v>1082.3723841249271</v>
      </c>
    </row>
    <row r="78" spans="2:42" s="147" customFormat="1" x14ac:dyDescent="0.2">
      <c r="B78" s="181"/>
      <c r="C78" s="47"/>
      <c r="D78" s="201"/>
      <c r="E78" s="201"/>
      <c r="F78" s="201"/>
      <c r="G78" s="201"/>
      <c r="H78" s="201"/>
      <c r="I78" s="201"/>
      <c r="J78" s="201"/>
      <c r="K78" s="201"/>
      <c r="L78" s="201"/>
      <c r="M78" s="201"/>
      <c r="N78" s="201"/>
      <c r="O78" s="201"/>
      <c r="P78" s="201"/>
      <c r="Q78" s="201"/>
      <c r="R78" s="201"/>
      <c r="S78" s="201"/>
      <c r="T78" s="201"/>
      <c r="U78" s="201"/>
      <c r="V78" s="201"/>
      <c r="W78" s="201"/>
      <c r="X78" s="201"/>
      <c r="Y78" s="201"/>
      <c r="Z78" s="201"/>
      <c r="AA78" s="201"/>
      <c r="AB78" s="201"/>
      <c r="AC78" s="201"/>
      <c r="AD78" s="201"/>
      <c r="AE78" s="201"/>
      <c r="AF78" s="201"/>
      <c r="AG78" s="201"/>
      <c r="AH78" s="201"/>
      <c r="AI78" s="201"/>
      <c r="AJ78" s="201"/>
      <c r="AK78" s="201"/>
      <c r="AL78" s="201"/>
      <c r="AM78" s="201"/>
      <c r="AN78" s="201"/>
      <c r="AO78" s="201"/>
      <c r="AP78" s="201"/>
    </row>
    <row r="79" spans="2:42" s="147" customFormat="1" x14ac:dyDescent="0.2">
      <c r="B79" s="199" t="str">
        <f>'Conto Economico'!A211</f>
        <v>Attività sportive</v>
      </c>
      <c r="C79" s="113">
        <f t="shared" ref="C79:AP79" si="127">SUM(C80:C84)</f>
        <v>302</v>
      </c>
      <c r="D79" s="200">
        <f t="shared" si="127"/>
        <v>308.04000000000002</v>
      </c>
      <c r="E79" s="200">
        <f t="shared" si="127"/>
        <v>314.20080000000002</v>
      </c>
      <c r="F79" s="200">
        <f t="shared" si="127"/>
        <v>320.48481600000002</v>
      </c>
      <c r="G79" s="200">
        <f t="shared" si="127"/>
        <v>326.89451231999999</v>
      </c>
      <c r="H79" s="200">
        <f t="shared" si="127"/>
        <v>333.43240256640001</v>
      </c>
      <c r="I79" s="200">
        <f t="shared" si="127"/>
        <v>340.10105061772799</v>
      </c>
      <c r="J79" s="200">
        <f t="shared" si="127"/>
        <v>229.73713352985601</v>
      </c>
      <c r="K79" s="200">
        <f t="shared" si="127"/>
        <v>234.33187620045314</v>
      </c>
      <c r="L79" s="200">
        <f t="shared" si="127"/>
        <v>239.0185137244622</v>
      </c>
      <c r="M79" s="200">
        <f t="shared" si="127"/>
        <v>243.79888399895145</v>
      </c>
      <c r="N79" s="200">
        <f t="shared" si="127"/>
        <v>248.67486167893048</v>
      </c>
      <c r="O79" s="200">
        <f t="shared" si="127"/>
        <v>253.64835891250908</v>
      </c>
      <c r="P79" s="200">
        <f t="shared" si="127"/>
        <v>258.72132609075925</v>
      </c>
      <c r="Q79" s="200">
        <f t="shared" si="127"/>
        <v>263.89575261257443</v>
      </c>
      <c r="R79" s="200">
        <f t="shared" si="127"/>
        <v>269.17366766482593</v>
      </c>
      <c r="S79" s="200">
        <f t="shared" si="127"/>
        <v>274.55714101812242</v>
      </c>
      <c r="T79" s="200">
        <f t="shared" si="127"/>
        <v>280.04828383848485</v>
      </c>
      <c r="U79" s="200">
        <f t="shared" si="127"/>
        <v>285.64924951525455</v>
      </c>
      <c r="V79" s="200">
        <f t="shared" si="127"/>
        <v>291.36223450555963</v>
      </c>
      <c r="W79" s="200">
        <f t="shared" si="127"/>
        <v>297.1894791956708</v>
      </c>
      <c r="X79" s="200">
        <f t="shared" si="127"/>
        <v>303.13326877958423</v>
      </c>
      <c r="Y79" s="200">
        <f t="shared" si="127"/>
        <v>309.19593415517591</v>
      </c>
      <c r="Z79" s="200">
        <f t="shared" si="127"/>
        <v>315.37985283827942</v>
      </c>
      <c r="AA79" s="200">
        <f t="shared" si="127"/>
        <v>321.68744989504501</v>
      </c>
      <c r="AB79" s="200">
        <f t="shared" si="127"/>
        <v>328.12119889294593</v>
      </c>
      <c r="AC79" s="200">
        <f t="shared" si="127"/>
        <v>334.68362287080487</v>
      </c>
      <c r="AD79" s="200">
        <f t="shared" si="127"/>
        <v>0</v>
      </c>
      <c r="AE79" s="200">
        <f t="shared" si="127"/>
        <v>0</v>
      </c>
      <c r="AF79" s="200">
        <f t="shared" si="127"/>
        <v>0</v>
      </c>
      <c r="AG79" s="200">
        <f t="shared" si="127"/>
        <v>0</v>
      </c>
      <c r="AH79" s="200">
        <f t="shared" si="127"/>
        <v>0</v>
      </c>
      <c r="AI79" s="200">
        <f t="shared" si="127"/>
        <v>0</v>
      </c>
      <c r="AJ79" s="200">
        <f t="shared" si="127"/>
        <v>0</v>
      </c>
      <c r="AK79" s="200">
        <f t="shared" si="127"/>
        <v>0</v>
      </c>
      <c r="AL79" s="200">
        <f t="shared" si="127"/>
        <v>0</v>
      </c>
      <c r="AM79" s="200">
        <f t="shared" si="127"/>
        <v>0</v>
      </c>
      <c r="AN79" s="200">
        <f t="shared" si="127"/>
        <v>0</v>
      </c>
      <c r="AO79" s="200">
        <f t="shared" si="127"/>
        <v>0</v>
      </c>
      <c r="AP79" s="200">
        <f t="shared" si="127"/>
        <v>0</v>
      </c>
    </row>
    <row r="80" spans="2:42" s="147" customFormat="1" x14ac:dyDescent="0.2">
      <c r="B80" s="181" t="str">
        <f>'Conto Economico'!A212</f>
        <v>Nautica</v>
      </c>
      <c r="C80" s="47">
        <f>'Budget 27'!E76</f>
        <v>0</v>
      </c>
      <c r="D80" s="201">
        <f t="shared" ref="D80:M80" si="128">C80+C80*$C$159</f>
        <v>0</v>
      </c>
      <c r="E80" s="201">
        <f t="shared" si="128"/>
        <v>0</v>
      </c>
      <c r="F80" s="201">
        <f t="shared" si="128"/>
        <v>0</v>
      </c>
      <c r="G80" s="201">
        <f t="shared" si="128"/>
        <v>0</v>
      </c>
      <c r="H80" s="201">
        <f t="shared" si="128"/>
        <v>0</v>
      </c>
      <c r="I80" s="201">
        <f t="shared" si="128"/>
        <v>0</v>
      </c>
      <c r="J80" s="201">
        <f t="shared" si="128"/>
        <v>0</v>
      </c>
      <c r="K80" s="201">
        <f t="shared" si="128"/>
        <v>0</v>
      </c>
      <c r="L80" s="201">
        <f t="shared" si="128"/>
        <v>0</v>
      </c>
      <c r="M80" s="201">
        <f t="shared" si="128"/>
        <v>0</v>
      </c>
      <c r="N80" s="201">
        <f t="shared" ref="N80:S80" si="129">M80+M80*$C$159</f>
        <v>0</v>
      </c>
      <c r="O80" s="201">
        <f t="shared" si="129"/>
        <v>0</v>
      </c>
      <c r="P80" s="201">
        <f t="shared" si="129"/>
        <v>0</v>
      </c>
      <c r="Q80" s="201">
        <f t="shared" si="129"/>
        <v>0</v>
      </c>
      <c r="R80" s="201">
        <f t="shared" si="129"/>
        <v>0</v>
      </c>
      <c r="S80" s="201">
        <f t="shared" si="129"/>
        <v>0</v>
      </c>
      <c r="T80" s="201">
        <v>0</v>
      </c>
      <c r="U80" s="201">
        <f t="shared" ref="U80:AD80" si="130">T80+T80*$C$159</f>
        <v>0</v>
      </c>
      <c r="V80" s="201">
        <f t="shared" si="130"/>
        <v>0</v>
      </c>
      <c r="W80" s="201">
        <f t="shared" si="130"/>
        <v>0</v>
      </c>
      <c r="X80" s="201">
        <f t="shared" si="130"/>
        <v>0</v>
      </c>
      <c r="Y80" s="201">
        <f t="shared" si="130"/>
        <v>0</v>
      </c>
      <c r="Z80" s="201">
        <f t="shared" si="130"/>
        <v>0</v>
      </c>
      <c r="AA80" s="201">
        <f t="shared" si="130"/>
        <v>0</v>
      </c>
      <c r="AB80" s="201">
        <f t="shared" si="130"/>
        <v>0</v>
      </c>
      <c r="AC80" s="201">
        <f t="shared" si="130"/>
        <v>0</v>
      </c>
      <c r="AD80" s="201">
        <f t="shared" si="130"/>
        <v>0</v>
      </c>
      <c r="AE80" s="201">
        <f t="shared" ref="AE80:AP80" si="131">AD80+AD80*$C$159</f>
        <v>0</v>
      </c>
      <c r="AF80" s="201">
        <f t="shared" si="131"/>
        <v>0</v>
      </c>
      <c r="AG80" s="201">
        <f t="shared" si="131"/>
        <v>0</v>
      </c>
      <c r="AH80" s="201">
        <f t="shared" si="131"/>
        <v>0</v>
      </c>
      <c r="AI80" s="201">
        <f t="shared" si="131"/>
        <v>0</v>
      </c>
      <c r="AJ80" s="201">
        <f t="shared" si="131"/>
        <v>0</v>
      </c>
      <c r="AK80" s="201">
        <f t="shared" si="131"/>
        <v>0</v>
      </c>
      <c r="AL80" s="201">
        <f t="shared" si="131"/>
        <v>0</v>
      </c>
      <c r="AM80" s="201">
        <f t="shared" si="131"/>
        <v>0</v>
      </c>
      <c r="AN80" s="201">
        <f t="shared" si="131"/>
        <v>0</v>
      </c>
      <c r="AO80" s="201">
        <f t="shared" si="131"/>
        <v>0</v>
      </c>
      <c r="AP80" s="201">
        <f t="shared" si="131"/>
        <v>0</v>
      </c>
    </row>
    <row r="81" spans="2:42" s="147" customFormat="1" x14ac:dyDescent="0.2">
      <c r="B81" s="181" t="str">
        <f>'Conto Economico'!A213</f>
        <v>Fitness</v>
      </c>
      <c r="C81" s="47">
        <f>'Budget 27'!E77</f>
        <v>0</v>
      </c>
      <c r="D81" s="201">
        <f t="shared" ref="D81:M81" si="132">C81+C81*$C$159</f>
        <v>0</v>
      </c>
      <c r="E81" s="201">
        <f t="shared" si="132"/>
        <v>0</v>
      </c>
      <c r="F81" s="201">
        <f t="shared" si="132"/>
        <v>0</v>
      </c>
      <c r="G81" s="201">
        <f t="shared" si="132"/>
        <v>0</v>
      </c>
      <c r="H81" s="201">
        <f t="shared" si="132"/>
        <v>0</v>
      </c>
      <c r="I81" s="201">
        <f t="shared" si="132"/>
        <v>0</v>
      </c>
      <c r="J81" s="201">
        <f t="shared" si="132"/>
        <v>0</v>
      </c>
      <c r="K81" s="201">
        <f t="shared" si="132"/>
        <v>0</v>
      </c>
      <c r="L81" s="201">
        <f t="shared" si="132"/>
        <v>0</v>
      </c>
      <c r="M81" s="201">
        <f t="shared" si="132"/>
        <v>0</v>
      </c>
      <c r="N81" s="201">
        <v>0</v>
      </c>
      <c r="O81" s="201">
        <f t="shared" ref="O81:T84" si="133">N81+N81*$C$159</f>
        <v>0</v>
      </c>
      <c r="P81" s="201">
        <f t="shared" si="133"/>
        <v>0</v>
      </c>
      <c r="Q81" s="201">
        <f t="shared" si="133"/>
        <v>0</v>
      </c>
      <c r="R81" s="201">
        <f t="shared" si="133"/>
        <v>0</v>
      </c>
      <c r="S81" s="201">
        <f t="shared" si="133"/>
        <v>0</v>
      </c>
      <c r="T81" s="201">
        <f t="shared" si="133"/>
        <v>0</v>
      </c>
      <c r="U81" s="201">
        <f t="shared" ref="U81:AD81" si="134">T81+T81*$C$159</f>
        <v>0</v>
      </c>
      <c r="V81" s="201">
        <f t="shared" si="134"/>
        <v>0</v>
      </c>
      <c r="W81" s="201">
        <f t="shared" si="134"/>
        <v>0</v>
      </c>
      <c r="X81" s="201">
        <f t="shared" si="134"/>
        <v>0</v>
      </c>
      <c r="Y81" s="201">
        <f t="shared" si="134"/>
        <v>0</v>
      </c>
      <c r="Z81" s="201">
        <f t="shared" si="134"/>
        <v>0</v>
      </c>
      <c r="AA81" s="201">
        <f t="shared" si="134"/>
        <v>0</v>
      </c>
      <c r="AB81" s="201">
        <f t="shared" si="134"/>
        <v>0</v>
      </c>
      <c r="AC81" s="201">
        <f t="shared" si="134"/>
        <v>0</v>
      </c>
      <c r="AD81" s="201">
        <f t="shared" si="134"/>
        <v>0</v>
      </c>
      <c r="AE81" s="201">
        <f t="shared" ref="AE81:AP81" si="135">AD81+AD81*$C$159</f>
        <v>0</v>
      </c>
      <c r="AF81" s="201">
        <f t="shared" si="135"/>
        <v>0</v>
      </c>
      <c r="AG81" s="201">
        <f t="shared" si="135"/>
        <v>0</v>
      </c>
      <c r="AH81" s="201">
        <f t="shared" si="135"/>
        <v>0</v>
      </c>
      <c r="AI81" s="201">
        <f t="shared" si="135"/>
        <v>0</v>
      </c>
      <c r="AJ81" s="201">
        <f t="shared" si="135"/>
        <v>0</v>
      </c>
      <c r="AK81" s="201">
        <f t="shared" si="135"/>
        <v>0</v>
      </c>
      <c r="AL81" s="201">
        <f t="shared" si="135"/>
        <v>0</v>
      </c>
      <c r="AM81" s="201">
        <f t="shared" si="135"/>
        <v>0</v>
      </c>
      <c r="AN81" s="201">
        <f t="shared" si="135"/>
        <v>0</v>
      </c>
      <c r="AO81" s="201">
        <f t="shared" si="135"/>
        <v>0</v>
      </c>
      <c r="AP81" s="201">
        <f t="shared" si="135"/>
        <v>0</v>
      </c>
    </row>
    <row r="82" spans="2:42" s="147" customFormat="1" x14ac:dyDescent="0.2">
      <c r="B82" s="181" t="str">
        <f>'Conto Economico'!A214</f>
        <v>Lingue Straniere</v>
      </c>
      <c r="C82" s="47">
        <f>'Budget 27'!E78</f>
        <v>102</v>
      </c>
      <c r="D82" s="201">
        <f t="shared" ref="D82:I84" si="136">C82+C82*$C$159</f>
        <v>104.04</v>
      </c>
      <c r="E82" s="201">
        <f t="shared" si="136"/>
        <v>106.1208</v>
      </c>
      <c r="F82" s="201">
        <f t="shared" si="136"/>
        <v>108.243216</v>
      </c>
      <c r="G82" s="201">
        <f t="shared" si="136"/>
        <v>110.40808032000001</v>
      </c>
      <c r="H82" s="201">
        <f t="shared" si="136"/>
        <v>112.61624192640001</v>
      </c>
      <c r="I82" s="201">
        <f t="shared" si="136"/>
        <v>114.868566764928</v>
      </c>
      <c r="J82" s="202">
        <v>0</v>
      </c>
      <c r="K82" s="201">
        <f t="shared" ref="K82:N84" si="137">J82+J82*$C$159</f>
        <v>0</v>
      </c>
      <c r="L82" s="201">
        <f t="shared" si="137"/>
        <v>0</v>
      </c>
      <c r="M82" s="201">
        <f t="shared" si="137"/>
        <v>0</v>
      </c>
      <c r="N82" s="201">
        <f t="shared" si="137"/>
        <v>0</v>
      </c>
      <c r="O82" s="201">
        <f t="shared" si="133"/>
        <v>0</v>
      </c>
      <c r="P82" s="201">
        <f t="shared" si="133"/>
        <v>0</v>
      </c>
      <c r="Q82" s="201">
        <f t="shared" si="133"/>
        <v>0</v>
      </c>
      <c r="R82" s="201">
        <f t="shared" si="133"/>
        <v>0</v>
      </c>
      <c r="S82" s="201">
        <f t="shared" si="133"/>
        <v>0</v>
      </c>
      <c r="T82" s="201">
        <f t="shared" si="133"/>
        <v>0</v>
      </c>
      <c r="U82" s="201">
        <f t="shared" ref="U82:AD82" si="138">T82+T82*$C$159</f>
        <v>0</v>
      </c>
      <c r="V82" s="201">
        <f t="shared" si="138"/>
        <v>0</v>
      </c>
      <c r="W82" s="201">
        <f t="shared" si="138"/>
        <v>0</v>
      </c>
      <c r="X82" s="201">
        <f t="shared" si="138"/>
        <v>0</v>
      </c>
      <c r="Y82" s="201">
        <f t="shared" si="138"/>
        <v>0</v>
      </c>
      <c r="Z82" s="201">
        <f t="shared" si="138"/>
        <v>0</v>
      </c>
      <c r="AA82" s="201">
        <f t="shared" si="138"/>
        <v>0</v>
      </c>
      <c r="AB82" s="201">
        <f t="shared" si="138"/>
        <v>0</v>
      </c>
      <c r="AC82" s="201">
        <f t="shared" si="138"/>
        <v>0</v>
      </c>
      <c r="AD82" s="201">
        <f t="shared" si="138"/>
        <v>0</v>
      </c>
      <c r="AE82" s="201">
        <f t="shared" ref="AE82:AP82" si="139">AD82+AD82*$C$159</f>
        <v>0</v>
      </c>
      <c r="AF82" s="201">
        <f t="shared" si="139"/>
        <v>0</v>
      </c>
      <c r="AG82" s="201">
        <f t="shared" si="139"/>
        <v>0</v>
      </c>
      <c r="AH82" s="201">
        <f t="shared" si="139"/>
        <v>0</v>
      </c>
      <c r="AI82" s="201">
        <f t="shared" si="139"/>
        <v>0</v>
      </c>
      <c r="AJ82" s="201">
        <f t="shared" si="139"/>
        <v>0</v>
      </c>
      <c r="AK82" s="201">
        <f t="shared" si="139"/>
        <v>0</v>
      </c>
      <c r="AL82" s="201">
        <f t="shared" si="139"/>
        <v>0</v>
      </c>
      <c r="AM82" s="201">
        <f t="shared" si="139"/>
        <v>0</v>
      </c>
      <c r="AN82" s="201">
        <f t="shared" si="139"/>
        <v>0</v>
      </c>
      <c r="AO82" s="201">
        <f t="shared" si="139"/>
        <v>0</v>
      </c>
      <c r="AP82" s="201">
        <f t="shared" si="139"/>
        <v>0</v>
      </c>
    </row>
    <row r="83" spans="2:42" s="147" customFormat="1" x14ac:dyDescent="0.2">
      <c r="B83" s="181" t="str">
        <f>'Conto Economico'!A215</f>
        <v>Altri Corsi</v>
      </c>
      <c r="C83" s="47">
        <f>'Budget 27'!E79</f>
        <v>0</v>
      </c>
      <c r="D83" s="201">
        <f t="shared" si="136"/>
        <v>0</v>
      </c>
      <c r="E83" s="201">
        <f t="shared" si="136"/>
        <v>0</v>
      </c>
      <c r="F83" s="201">
        <f t="shared" si="136"/>
        <v>0</v>
      </c>
      <c r="G83" s="201">
        <f t="shared" si="136"/>
        <v>0</v>
      </c>
      <c r="H83" s="201">
        <f t="shared" si="136"/>
        <v>0</v>
      </c>
      <c r="I83" s="201">
        <f t="shared" si="136"/>
        <v>0</v>
      </c>
      <c r="J83" s="201">
        <f>I83+I83*$C$159</f>
        <v>0</v>
      </c>
      <c r="K83" s="201">
        <f t="shared" si="137"/>
        <v>0</v>
      </c>
      <c r="L83" s="201">
        <f t="shared" si="137"/>
        <v>0</v>
      </c>
      <c r="M83" s="201">
        <f t="shared" si="137"/>
        <v>0</v>
      </c>
      <c r="N83" s="201">
        <f t="shared" si="137"/>
        <v>0</v>
      </c>
      <c r="O83" s="201">
        <f t="shared" si="133"/>
        <v>0</v>
      </c>
      <c r="P83" s="201">
        <f t="shared" si="133"/>
        <v>0</v>
      </c>
      <c r="Q83" s="201">
        <f t="shared" si="133"/>
        <v>0</v>
      </c>
      <c r="R83" s="201">
        <f t="shared" si="133"/>
        <v>0</v>
      </c>
      <c r="S83" s="201">
        <f t="shared" si="133"/>
        <v>0</v>
      </c>
      <c r="T83" s="201">
        <f t="shared" si="133"/>
        <v>0</v>
      </c>
      <c r="U83" s="201">
        <f t="shared" ref="U83:AD83" si="140">T83+T83*$C$159</f>
        <v>0</v>
      </c>
      <c r="V83" s="201">
        <f t="shared" si="140"/>
        <v>0</v>
      </c>
      <c r="W83" s="201">
        <f t="shared" si="140"/>
        <v>0</v>
      </c>
      <c r="X83" s="201">
        <f t="shared" si="140"/>
        <v>0</v>
      </c>
      <c r="Y83" s="201">
        <f t="shared" si="140"/>
        <v>0</v>
      </c>
      <c r="Z83" s="201">
        <f t="shared" si="140"/>
        <v>0</v>
      </c>
      <c r="AA83" s="201">
        <f t="shared" si="140"/>
        <v>0</v>
      </c>
      <c r="AB83" s="201">
        <f t="shared" si="140"/>
        <v>0</v>
      </c>
      <c r="AC83" s="201">
        <f t="shared" si="140"/>
        <v>0</v>
      </c>
      <c r="AD83" s="201">
        <f t="shared" si="140"/>
        <v>0</v>
      </c>
      <c r="AE83" s="201">
        <f t="shared" ref="AE83:AP83" si="141">AD83+AD83*$C$159</f>
        <v>0</v>
      </c>
      <c r="AF83" s="201">
        <f t="shared" si="141"/>
        <v>0</v>
      </c>
      <c r="AG83" s="201">
        <f t="shared" si="141"/>
        <v>0</v>
      </c>
      <c r="AH83" s="201">
        <f t="shared" si="141"/>
        <v>0</v>
      </c>
      <c r="AI83" s="201">
        <f t="shared" si="141"/>
        <v>0</v>
      </c>
      <c r="AJ83" s="201">
        <f t="shared" si="141"/>
        <v>0</v>
      </c>
      <c r="AK83" s="201">
        <f t="shared" si="141"/>
        <v>0</v>
      </c>
      <c r="AL83" s="201">
        <f t="shared" si="141"/>
        <v>0</v>
      </c>
      <c r="AM83" s="201">
        <f t="shared" si="141"/>
        <v>0</v>
      </c>
      <c r="AN83" s="201">
        <f t="shared" si="141"/>
        <v>0</v>
      </c>
      <c r="AO83" s="201">
        <f t="shared" si="141"/>
        <v>0</v>
      </c>
      <c r="AP83" s="201">
        <f t="shared" si="141"/>
        <v>0</v>
      </c>
    </row>
    <row r="84" spans="2:42" s="147" customFormat="1" x14ac:dyDescent="0.2">
      <c r="B84" s="181" t="str">
        <f>'Conto Economico'!A216</f>
        <v>Attività Spot</v>
      </c>
      <c r="C84" s="47">
        <f>'Budget 27'!E80</f>
        <v>200</v>
      </c>
      <c r="D84" s="201">
        <f t="shared" si="136"/>
        <v>204</v>
      </c>
      <c r="E84" s="201">
        <f t="shared" si="136"/>
        <v>208.08</v>
      </c>
      <c r="F84" s="201">
        <f t="shared" si="136"/>
        <v>212.24160000000001</v>
      </c>
      <c r="G84" s="201">
        <f t="shared" si="136"/>
        <v>216.48643200000001</v>
      </c>
      <c r="H84" s="201">
        <f t="shared" si="136"/>
        <v>220.81616064000002</v>
      </c>
      <c r="I84" s="201">
        <f t="shared" si="136"/>
        <v>225.23248385280002</v>
      </c>
      <c r="J84" s="201">
        <f>I84+I84*$C$159</f>
        <v>229.73713352985601</v>
      </c>
      <c r="K84" s="201">
        <f t="shared" si="137"/>
        <v>234.33187620045314</v>
      </c>
      <c r="L84" s="201">
        <f t="shared" si="137"/>
        <v>239.0185137244622</v>
      </c>
      <c r="M84" s="201">
        <f t="shared" si="137"/>
        <v>243.79888399895145</v>
      </c>
      <c r="N84" s="201">
        <f t="shared" si="137"/>
        <v>248.67486167893048</v>
      </c>
      <c r="O84" s="201">
        <f t="shared" si="133"/>
        <v>253.64835891250908</v>
      </c>
      <c r="P84" s="201">
        <f t="shared" si="133"/>
        <v>258.72132609075925</v>
      </c>
      <c r="Q84" s="201">
        <f t="shared" si="133"/>
        <v>263.89575261257443</v>
      </c>
      <c r="R84" s="201">
        <f t="shared" si="133"/>
        <v>269.17366766482593</v>
      </c>
      <c r="S84" s="201">
        <f t="shared" si="133"/>
        <v>274.55714101812242</v>
      </c>
      <c r="T84" s="201">
        <f t="shared" si="133"/>
        <v>280.04828383848485</v>
      </c>
      <c r="U84" s="201">
        <f t="shared" ref="U84:AC84" si="142">T84+T84*$C$159</f>
        <v>285.64924951525455</v>
      </c>
      <c r="V84" s="201">
        <f t="shared" si="142"/>
        <v>291.36223450555963</v>
      </c>
      <c r="W84" s="201">
        <f t="shared" si="142"/>
        <v>297.1894791956708</v>
      </c>
      <c r="X84" s="201">
        <f t="shared" si="142"/>
        <v>303.13326877958423</v>
      </c>
      <c r="Y84" s="201">
        <f t="shared" si="142"/>
        <v>309.19593415517591</v>
      </c>
      <c r="Z84" s="201">
        <f t="shared" si="142"/>
        <v>315.37985283827942</v>
      </c>
      <c r="AA84" s="201">
        <f t="shared" si="142"/>
        <v>321.68744989504501</v>
      </c>
      <c r="AB84" s="201">
        <f t="shared" si="142"/>
        <v>328.12119889294593</v>
      </c>
      <c r="AC84" s="201">
        <f t="shared" si="142"/>
        <v>334.68362287080487</v>
      </c>
      <c r="AD84" s="201">
        <v>0</v>
      </c>
      <c r="AE84" s="201">
        <f t="shared" ref="AE84:AP84" si="143">AD84+AD84*$C$159</f>
        <v>0</v>
      </c>
      <c r="AF84" s="201">
        <f t="shared" si="143"/>
        <v>0</v>
      </c>
      <c r="AG84" s="201">
        <f t="shared" si="143"/>
        <v>0</v>
      </c>
      <c r="AH84" s="201">
        <f t="shared" si="143"/>
        <v>0</v>
      </c>
      <c r="AI84" s="201">
        <f t="shared" si="143"/>
        <v>0</v>
      </c>
      <c r="AJ84" s="201">
        <f t="shared" si="143"/>
        <v>0</v>
      </c>
      <c r="AK84" s="201">
        <f t="shared" si="143"/>
        <v>0</v>
      </c>
      <c r="AL84" s="201">
        <f t="shared" si="143"/>
        <v>0</v>
      </c>
      <c r="AM84" s="201">
        <f t="shared" si="143"/>
        <v>0</v>
      </c>
      <c r="AN84" s="201">
        <f t="shared" si="143"/>
        <v>0</v>
      </c>
      <c r="AO84" s="201">
        <f t="shared" si="143"/>
        <v>0</v>
      </c>
      <c r="AP84" s="201">
        <f t="shared" si="143"/>
        <v>0</v>
      </c>
    </row>
    <row r="85" spans="2:42" s="147" customFormat="1" x14ac:dyDescent="0.2">
      <c r="B85" s="181"/>
      <c r="C85" s="47"/>
      <c r="D85" s="201"/>
      <c r="E85" s="201"/>
      <c r="F85" s="201"/>
      <c r="G85" s="201"/>
      <c r="H85" s="201"/>
      <c r="I85" s="201"/>
      <c r="J85" s="201"/>
      <c r="K85" s="201"/>
      <c r="L85" s="201"/>
      <c r="M85" s="201"/>
      <c r="N85" s="201"/>
      <c r="O85" s="201"/>
      <c r="P85" s="201"/>
      <c r="Q85" s="201"/>
      <c r="R85" s="201"/>
      <c r="S85" s="201"/>
      <c r="T85" s="201"/>
      <c r="U85" s="201"/>
      <c r="V85" s="201"/>
      <c r="W85" s="201"/>
      <c r="X85" s="201"/>
      <c r="Y85" s="201"/>
      <c r="Z85" s="201"/>
      <c r="AA85" s="201"/>
      <c r="AB85" s="201"/>
      <c r="AC85" s="201"/>
      <c r="AD85" s="201"/>
      <c r="AE85" s="201"/>
      <c r="AF85" s="201"/>
      <c r="AG85" s="201"/>
      <c r="AH85" s="201"/>
      <c r="AI85" s="201"/>
      <c r="AJ85" s="201"/>
      <c r="AK85" s="201"/>
      <c r="AL85" s="201"/>
      <c r="AM85" s="201"/>
      <c r="AN85" s="201"/>
      <c r="AO85" s="201"/>
      <c r="AP85" s="201"/>
    </row>
    <row r="86" spans="2:42" s="147" customFormat="1" x14ac:dyDescent="0.2">
      <c r="B86" s="199" t="str">
        <f>'Conto Economico'!A218</f>
        <v>Spese Personali</v>
      </c>
      <c r="C86" s="113">
        <f>SUM(C87:C91)</f>
        <v>6700</v>
      </c>
      <c r="D86" s="200">
        <f t="shared" ref="D86:AP86" si="144">SUM(D87:D91)</f>
        <v>6834</v>
      </c>
      <c r="E86" s="200">
        <f t="shared" si="144"/>
        <v>6970.6799999999994</v>
      </c>
      <c r="F86" s="200">
        <f t="shared" si="144"/>
        <v>7110.0935999999992</v>
      </c>
      <c r="G86" s="200">
        <f t="shared" si="144"/>
        <v>7252.2954719999998</v>
      </c>
      <c r="H86" s="200">
        <f t="shared" si="144"/>
        <v>7397.3413814400001</v>
      </c>
      <c r="I86" s="200">
        <f t="shared" si="144"/>
        <v>7545.2882090687999</v>
      </c>
      <c r="J86" s="200">
        <f t="shared" si="144"/>
        <v>7696.1939732501769</v>
      </c>
      <c r="K86" s="200">
        <f t="shared" si="144"/>
        <v>7850.1178527151797</v>
      </c>
      <c r="L86" s="200">
        <f t="shared" si="144"/>
        <v>8007.1202097694841</v>
      </c>
      <c r="M86" s="200">
        <f t="shared" si="144"/>
        <v>8167.2626139648737</v>
      </c>
      <c r="N86" s="200">
        <f t="shared" si="144"/>
        <v>8330.6078662441705</v>
      </c>
      <c r="O86" s="200">
        <f t="shared" si="144"/>
        <v>8497.2200235690543</v>
      </c>
      <c r="P86" s="200">
        <f t="shared" si="144"/>
        <v>8667.1644240404348</v>
      </c>
      <c r="Q86" s="200">
        <f t="shared" si="144"/>
        <v>8840.5077125212429</v>
      </c>
      <c r="R86" s="200">
        <f t="shared" si="144"/>
        <v>9017.3178667716693</v>
      </c>
      <c r="S86" s="200">
        <f t="shared" si="144"/>
        <v>9197.6642241071022</v>
      </c>
      <c r="T86" s="200">
        <f t="shared" si="144"/>
        <v>9381.6175085892446</v>
      </c>
      <c r="U86" s="200">
        <f t="shared" si="144"/>
        <v>9569.249858761028</v>
      </c>
      <c r="V86" s="200">
        <f t="shared" si="144"/>
        <v>9760.6348559362486</v>
      </c>
      <c r="W86" s="200">
        <f t="shared" si="144"/>
        <v>9955.8475530549749</v>
      </c>
      <c r="X86" s="200">
        <f t="shared" si="144"/>
        <v>10154.964504116075</v>
      </c>
      <c r="Y86" s="200">
        <f t="shared" si="144"/>
        <v>10358.063794198395</v>
      </c>
      <c r="Z86" s="200">
        <f t="shared" si="144"/>
        <v>10565.225070082362</v>
      </c>
      <c r="AA86" s="200">
        <f t="shared" si="144"/>
        <v>10776.52957148401</v>
      </c>
      <c r="AB86" s="200">
        <f t="shared" si="144"/>
        <v>10992.060162913691</v>
      </c>
      <c r="AC86" s="200">
        <f t="shared" si="144"/>
        <v>11211.901366171964</v>
      </c>
      <c r="AD86" s="200">
        <f t="shared" si="144"/>
        <v>4936.5834373443722</v>
      </c>
      <c r="AE86" s="200">
        <f t="shared" si="144"/>
        <v>5035.3151060912605</v>
      </c>
      <c r="AF86" s="200">
        <f t="shared" si="144"/>
        <v>5136.0214082130842</v>
      </c>
      <c r="AG86" s="200">
        <f t="shared" si="144"/>
        <v>5238.7418363773468</v>
      </c>
      <c r="AH86" s="200">
        <f t="shared" si="144"/>
        <v>5343.5166731048939</v>
      </c>
      <c r="AI86" s="200">
        <f t="shared" si="144"/>
        <v>5450.3870065669917</v>
      </c>
      <c r="AJ86" s="200">
        <f t="shared" si="144"/>
        <v>5559.3947466983318</v>
      </c>
      <c r="AK86" s="200">
        <f t="shared" si="144"/>
        <v>5670.582641632298</v>
      </c>
      <c r="AL86" s="200">
        <f t="shared" si="144"/>
        <v>5783.9942944649447</v>
      </c>
      <c r="AM86" s="200">
        <f t="shared" si="144"/>
        <v>5899.6741803542436</v>
      </c>
      <c r="AN86" s="200">
        <f t="shared" si="144"/>
        <v>6017.6676639613279</v>
      </c>
      <c r="AO86" s="200">
        <f t="shared" si="144"/>
        <v>6138.021017240555</v>
      </c>
      <c r="AP86" s="200">
        <f t="shared" si="144"/>
        <v>6260.7814375853659</v>
      </c>
    </row>
    <row r="87" spans="2:42" s="147" customFormat="1" x14ac:dyDescent="0.2">
      <c r="B87" s="181" t="str">
        <f>'Conto Economico'!A219</f>
        <v>Abbigliamento e Accessori</v>
      </c>
      <c r="C87" s="47">
        <f>'Budget 27'!E83</f>
        <v>3000</v>
      </c>
      <c r="D87" s="201">
        <f t="shared" ref="D87:AC87" si="145">C87+C87*$C$159</f>
        <v>3060</v>
      </c>
      <c r="E87" s="201">
        <f t="shared" si="145"/>
        <v>3121.2</v>
      </c>
      <c r="F87" s="201">
        <f t="shared" si="145"/>
        <v>3183.6239999999998</v>
      </c>
      <c r="G87" s="201">
        <f t="shared" si="145"/>
        <v>3247.29648</v>
      </c>
      <c r="H87" s="201">
        <f t="shared" si="145"/>
        <v>3312.2424096</v>
      </c>
      <c r="I87" s="201">
        <f t="shared" si="145"/>
        <v>3378.487257792</v>
      </c>
      <c r="J87" s="201">
        <f t="shared" si="145"/>
        <v>3446.0570029478399</v>
      </c>
      <c r="K87" s="201">
        <f t="shared" si="145"/>
        <v>3514.9781430067969</v>
      </c>
      <c r="L87" s="201">
        <f t="shared" si="145"/>
        <v>3585.277705866933</v>
      </c>
      <c r="M87" s="201">
        <f t="shared" si="145"/>
        <v>3656.9832599842716</v>
      </c>
      <c r="N87" s="201">
        <f t="shared" si="145"/>
        <v>3730.1229251839572</v>
      </c>
      <c r="O87" s="201">
        <f t="shared" si="145"/>
        <v>3804.7253836876362</v>
      </c>
      <c r="P87" s="201">
        <f t="shared" si="145"/>
        <v>3880.8198913613887</v>
      </c>
      <c r="Q87" s="201">
        <f t="shared" si="145"/>
        <v>3958.4362891886167</v>
      </c>
      <c r="R87" s="201">
        <f t="shared" si="145"/>
        <v>4037.6050149723892</v>
      </c>
      <c r="S87" s="201">
        <f t="shared" si="145"/>
        <v>4118.3571152718368</v>
      </c>
      <c r="T87" s="201">
        <f t="shared" si="145"/>
        <v>4200.7242575772734</v>
      </c>
      <c r="U87" s="201">
        <f t="shared" si="145"/>
        <v>4284.7387427288186</v>
      </c>
      <c r="V87" s="201">
        <f t="shared" si="145"/>
        <v>4370.4335175833949</v>
      </c>
      <c r="W87" s="201">
        <f t="shared" si="145"/>
        <v>4457.8421879350626</v>
      </c>
      <c r="X87" s="201">
        <f t="shared" si="145"/>
        <v>4546.9990316937638</v>
      </c>
      <c r="Y87" s="201">
        <f t="shared" si="145"/>
        <v>4637.9390123276389</v>
      </c>
      <c r="Z87" s="201">
        <f t="shared" si="145"/>
        <v>4730.6977925741921</v>
      </c>
      <c r="AA87" s="201">
        <f t="shared" si="145"/>
        <v>4825.3117484256763</v>
      </c>
      <c r="AB87" s="201">
        <f t="shared" si="145"/>
        <v>4921.8179833941895</v>
      </c>
      <c r="AC87" s="201">
        <f t="shared" si="145"/>
        <v>5020.2543430620735</v>
      </c>
      <c r="AD87" s="202">
        <f>AC87/2</f>
        <v>2510.1271715310368</v>
      </c>
      <c r="AE87" s="201">
        <f t="shared" ref="AE87:AP87" si="146">AD87+AD87*$C$159</f>
        <v>2560.3297149616574</v>
      </c>
      <c r="AF87" s="201">
        <f t="shared" si="146"/>
        <v>2611.5363092608904</v>
      </c>
      <c r="AG87" s="201">
        <f t="shared" si="146"/>
        <v>2663.7670354461084</v>
      </c>
      <c r="AH87" s="201">
        <f t="shared" si="146"/>
        <v>2717.0423761550305</v>
      </c>
      <c r="AI87" s="201">
        <f t="shared" si="146"/>
        <v>2771.3832236781313</v>
      </c>
      <c r="AJ87" s="201">
        <f t="shared" si="146"/>
        <v>2826.8108881516941</v>
      </c>
      <c r="AK87" s="201">
        <f t="shared" si="146"/>
        <v>2883.3471059147282</v>
      </c>
      <c r="AL87" s="201">
        <f t="shared" si="146"/>
        <v>2941.0140480330228</v>
      </c>
      <c r="AM87" s="201">
        <f t="shared" si="146"/>
        <v>2999.8343289936834</v>
      </c>
      <c r="AN87" s="201">
        <f t="shared" si="146"/>
        <v>3059.8310155735571</v>
      </c>
      <c r="AO87" s="201">
        <f t="shared" si="146"/>
        <v>3121.0276358850283</v>
      </c>
      <c r="AP87" s="201">
        <f t="shared" si="146"/>
        <v>3183.4481886027288</v>
      </c>
    </row>
    <row r="88" spans="2:42" s="147" customFormat="1" x14ac:dyDescent="0.2">
      <c r="B88" s="181" t="str">
        <f>'Conto Economico'!A220</f>
        <v>Abbigliamento Sportivo e Accessori</v>
      </c>
      <c r="C88" s="47">
        <f>'Budget 27'!E84</f>
        <v>200</v>
      </c>
      <c r="D88" s="201">
        <f t="shared" ref="D88:AC88" si="147">C88+C88*$C$159</f>
        <v>204</v>
      </c>
      <c r="E88" s="201">
        <f t="shared" si="147"/>
        <v>208.08</v>
      </c>
      <c r="F88" s="201">
        <f t="shared" si="147"/>
        <v>212.24160000000001</v>
      </c>
      <c r="G88" s="201">
        <f t="shared" si="147"/>
        <v>216.48643200000001</v>
      </c>
      <c r="H88" s="201">
        <f t="shared" si="147"/>
        <v>220.81616064000002</v>
      </c>
      <c r="I88" s="201">
        <f t="shared" si="147"/>
        <v>225.23248385280002</v>
      </c>
      <c r="J88" s="201">
        <f t="shared" si="147"/>
        <v>229.73713352985601</v>
      </c>
      <c r="K88" s="201">
        <f t="shared" si="147"/>
        <v>234.33187620045314</v>
      </c>
      <c r="L88" s="201">
        <f t="shared" si="147"/>
        <v>239.0185137244622</v>
      </c>
      <c r="M88" s="201">
        <f t="shared" si="147"/>
        <v>243.79888399895145</v>
      </c>
      <c r="N88" s="201">
        <f t="shared" si="147"/>
        <v>248.67486167893048</v>
      </c>
      <c r="O88" s="201">
        <f t="shared" si="147"/>
        <v>253.64835891250908</v>
      </c>
      <c r="P88" s="201">
        <f t="shared" si="147"/>
        <v>258.72132609075925</v>
      </c>
      <c r="Q88" s="201">
        <f t="shared" si="147"/>
        <v>263.89575261257443</v>
      </c>
      <c r="R88" s="201">
        <f t="shared" si="147"/>
        <v>269.17366766482593</v>
      </c>
      <c r="S88" s="201">
        <f t="shared" si="147"/>
        <v>274.55714101812242</v>
      </c>
      <c r="T88" s="201">
        <f t="shared" si="147"/>
        <v>280.04828383848485</v>
      </c>
      <c r="U88" s="201">
        <f t="shared" si="147"/>
        <v>285.64924951525455</v>
      </c>
      <c r="V88" s="201">
        <f t="shared" si="147"/>
        <v>291.36223450555963</v>
      </c>
      <c r="W88" s="201">
        <f t="shared" si="147"/>
        <v>297.1894791956708</v>
      </c>
      <c r="X88" s="201">
        <f t="shared" si="147"/>
        <v>303.13326877958423</v>
      </c>
      <c r="Y88" s="201">
        <f t="shared" si="147"/>
        <v>309.19593415517591</v>
      </c>
      <c r="Z88" s="201">
        <f t="shared" si="147"/>
        <v>315.37985283827942</v>
      </c>
      <c r="AA88" s="201">
        <f t="shared" si="147"/>
        <v>321.68744989504501</v>
      </c>
      <c r="AB88" s="201">
        <f t="shared" si="147"/>
        <v>328.12119889294593</v>
      </c>
      <c r="AC88" s="201">
        <f t="shared" si="147"/>
        <v>334.68362287080487</v>
      </c>
      <c r="AD88" s="201">
        <v>0</v>
      </c>
      <c r="AE88" s="201">
        <f t="shared" ref="AE88:AP88" si="148">AD88+AD88*$C$159</f>
        <v>0</v>
      </c>
      <c r="AF88" s="201">
        <f t="shared" si="148"/>
        <v>0</v>
      </c>
      <c r="AG88" s="201">
        <f t="shared" si="148"/>
        <v>0</v>
      </c>
      <c r="AH88" s="201">
        <f t="shared" si="148"/>
        <v>0</v>
      </c>
      <c r="AI88" s="201">
        <f t="shared" si="148"/>
        <v>0</v>
      </c>
      <c r="AJ88" s="201">
        <f t="shared" si="148"/>
        <v>0</v>
      </c>
      <c r="AK88" s="201">
        <f t="shared" si="148"/>
        <v>0</v>
      </c>
      <c r="AL88" s="201">
        <f t="shared" si="148"/>
        <v>0</v>
      </c>
      <c r="AM88" s="201">
        <f t="shared" si="148"/>
        <v>0</v>
      </c>
      <c r="AN88" s="201">
        <f t="shared" si="148"/>
        <v>0</v>
      </c>
      <c r="AO88" s="201">
        <f t="shared" si="148"/>
        <v>0</v>
      </c>
      <c r="AP88" s="201">
        <f t="shared" si="148"/>
        <v>0</v>
      </c>
    </row>
    <row r="89" spans="2:42" s="147" customFormat="1" x14ac:dyDescent="0.2">
      <c r="B89" s="181" t="str">
        <f>'Conto Economico'!A221</f>
        <v>Prodotti per la Cura della Persona</v>
      </c>
      <c r="C89" s="47">
        <f>'Budget 27'!E85</f>
        <v>1100</v>
      </c>
      <c r="D89" s="201">
        <f t="shared" ref="D89:AC89" si="149">C89+C89*$C$159</f>
        <v>1122</v>
      </c>
      <c r="E89" s="201">
        <f t="shared" si="149"/>
        <v>1144.44</v>
      </c>
      <c r="F89" s="201">
        <f t="shared" si="149"/>
        <v>1167.3288</v>
      </c>
      <c r="G89" s="201">
        <f t="shared" si="149"/>
        <v>1190.6753759999999</v>
      </c>
      <c r="H89" s="201">
        <f t="shared" si="149"/>
        <v>1214.4888835199999</v>
      </c>
      <c r="I89" s="201">
        <f t="shared" si="149"/>
        <v>1238.7786611904</v>
      </c>
      <c r="J89" s="201">
        <f t="shared" si="149"/>
        <v>1263.5542344142079</v>
      </c>
      <c r="K89" s="201">
        <f t="shared" si="149"/>
        <v>1288.8253191024921</v>
      </c>
      <c r="L89" s="201">
        <f t="shared" si="149"/>
        <v>1314.6018254845419</v>
      </c>
      <c r="M89" s="201">
        <f t="shared" si="149"/>
        <v>1340.8938619942328</v>
      </c>
      <c r="N89" s="201">
        <f t="shared" si="149"/>
        <v>1367.7117392341174</v>
      </c>
      <c r="O89" s="201">
        <f t="shared" si="149"/>
        <v>1395.0659740187998</v>
      </c>
      <c r="P89" s="201">
        <f t="shared" si="149"/>
        <v>1422.9672934991759</v>
      </c>
      <c r="Q89" s="201">
        <f t="shared" si="149"/>
        <v>1451.4266393691594</v>
      </c>
      <c r="R89" s="201">
        <f t="shared" si="149"/>
        <v>1480.4551721565426</v>
      </c>
      <c r="S89" s="201">
        <f t="shared" si="149"/>
        <v>1510.0642755996735</v>
      </c>
      <c r="T89" s="201">
        <f t="shared" si="149"/>
        <v>1540.265561111667</v>
      </c>
      <c r="U89" s="201">
        <f t="shared" si="149"/>
        <v>1571.0708723339003</v>
      </c>
      <c r="V89" s="201">
        <f t="shared" si="149"/>
        <v>1602.4922897805784</v>
      </c>
      <c r="W89" s="201">
        <f t="shared" si="149"/>
        <v>1634.54213557619</v>
      </c>
      <c r="X89" s="201">
        <f t="shared" si="149"/>
        <v>1667.2329782877139</v>
      </c>
      <c r="Y89" s="201">
        <f t="shared" si="149"/>
        <v>1700.5776378534681</v>
      </c>
      <c r="Z89" s="201">
        <f t="shared" si="149"/>
        <v>1734.5891906105376</v>
      </c>
      <c r="AA89" s="201">
        <f t="shared" si="149"/>
        <v>1769.2809744227484</v>
      </c>
      <c r="AB89" s="201">
        <f t="shared" si="149"/>
        <v>1804.6665939112033</v>
      </c>
      <c r="AC89" s="201">
        <f t="shared" si="149"/>
        <v>1840.7599257894274</v>
      </c>
      <c r="AD89" s="202">
        <f>AC89/2</f>
        <v>920.37996289471369</v>
      </c>
      <c r="AE89" s="201">
        <f t="shared" ref="AE89:AP89" si="150">AD89+AD89*$C$159</f>
        <v>938.78756215260796</v>
      </c>
      <c r="AF89" s="201">
        <f t="shared" si="150"/>
        <v>957.56331339566009</v>
      </c>
      <c r="AG89" s="201">
        <f t="shared" si="150"/>
        <v>976.71457966357332</v>
      </c>
      <c r="AH89" s="201">
        <f t="shared" si="150"/>
        <v>996.24887125684484</v>
      </c>
      <c r="AI89" s="201">
        <f t="shared" si="150"/>
        <v>1016.1738486819818</v>
      </c>
      <c r="AJ89" s="201">
        <f t="shared" si="150"/>
        <v>1036.4973256556214</v>
      </c>
      <c r="AK89" s="201">
        <f t="shared" si="150"/>
        <v>1057.2272721687339</v>
      </c>
      <c r="AL89" s="201">
        <f t="shared" si="150"/>
        <v>1078.3718176121085</v>
      </c>
      <c r="AM89" s="201">
        <f t="shared" si="150"/>
        <v>1099.9392539643507</v>
      </c>
      <c r="AN89" s="201">
        <f t="shared" si="150"/>
        <v>1121.9380390436377</v>
      </c>
      <c r="AO89" s="201">
        <f t="shared" si="150"/>
        <v>1144.3767998245105</v>
      </c>
      <c r="AP89" s="201">
        <f t="shared" si="150"/>
        <v>1167.2643358210007</v>
      </c>
    </row>
    <row r="90" spans="2:42" s="147" customFormat="1" x14ac:dyDescent="0.2">
      <c r="B90" s="181" t="str">
        <f>'Conto Economico'!A222</f>
        <v>Parrucchiera/e</v>
      </c>
      <c r="C90" s="47">
        <f>'Budget 27'!E86</f>
        <v>1800</v>
      </c>
      <c r="D90" s="201">
        <f t="shared" ref="D90:AC90" si="151">C90+C90*$C$159</f>
        <v>1836</v>
      </c>
      <c r="E90" s="201">
        <f t="shared" si="151"/>
        <v>1872.72</v>
      </c>
      <c r="F90" s="201">
        <f t="shared" si="151"/>
        <v>1910.1744000000001</v>
      </c>
      <c r="G90" s="201">
        <f t="shared" si="151"/>
        <v>1948.3778880000002</v>
      </c>
      <c r="H90" s="201">
        <f t="shared" si="151"/>
        <v>1987.3454457600003</v>
      </c>
      <c r="I90" s="201">
        <f t="shared" si="151"/>
        <v>2027.0923546752003</v>
      </c>
      <c r="J90" s="201">
        <f t="shared" si="151"/>
        <v>2067.6342017687043</v>
      </c>
      <c r="K90" s="201">
        <f t="shared" si="151"/>
        <v>2108.9868858040786</v>
      </c>
      <c r="L90" s="201">
        <f t="shared" si="151"/>
        <v>2151.1666235201601</v>
      </c>
      <c r="M90" s="201">
        <f t="shared" si="151"/>
        <v>2194.1899559905632</v>
      </c>
      <c r="N90" s="201">
        <f t="shared" si="151"/>
        <v>2238.0737551103743</v>
      </c>
      <c r="O90" s="201">
        <f t="shared" si="151"/>
        <v>2282.8352302125818</v>
      </c>
      <c r="P90" s="201">
        <f t="shared" si="151"/>
        <v>2328.4919348168332</v>
      </c>
      <c r="Q90" s="201">
        <f t="shared" si="151"/>
        <v>2375.06177351317</v>
      </c>
      <c r="R90" s="201">
        <f t="shared" si="151"/>
        <v>2422.5630089834335</v>
      </c>
      <c r="S90" s="201">
        <f t="shared" si="151"/>
        <v>2471.0142691631022</v>
      </c>
      <c r="T90" s="201">
        <f t="shared" si="151"/>
        <v>2520.4345545463643</v>
      </c>
      <c r="U90" s="201">
        <f t="shared" si="151"/>
        <v>2570.8432456372916</v>
      </c>
      <c r="V90" s="201">
        <f t="shared" si="151"/>
        <v>2622.2601105500376</v>
      </c>
      <c r="W90" s="201">
        <f t="shared" si="151"/>
        <v>2674.7053127610384</v>
      </c>
      <c r="X90" s="201">
        <f t="shared" si="151"/>
        <v>2728.1994190162591</v>
      </c>
      <c r="Y90" s="201">
        <f t="shared" si="151"/>
        <v>2782.7634073965842</v>
      </c>
      <c r="Z90" s="201">
        <f t="shared" si="151"/>
        <v>2838.4186755445157</v>
      </c>
      <c r="AA90" s="201">
        <f t="shared" si="151"/>
        <v>2895.1870490554061</v>
      </c>
      <c r="AB90" s="201">
        <f t="shared" si="151"/>
        <v>2953.0907900365141</v>
      </c>
      <c r="AC90" s="201">
        <f t="shared" si="151"/>
        <v>3012.1526058372442</v>
      </c>
      <c r="AD90" s="202">
        <f>AC90/2</f>
        <v>1506.0763029186221</v>
      </c>
      <c r="AE90" s="201">
        <f t="shared" ref="AE90:AP90" si="152">AD90+AD90*$C$159</f>
        <v>1536.1978289769945</v>
      </c>
      <c r="AF90" s="201">
        <f t="shared" si="152"/>
        <v>1566.9217855565344</v>
      </c>
      <c r="AG90" s="201">
        <f t="shared" si="152"/>
        <v>1598.260221267665</v>
      </c>
      <c r="AH90" s="201">
        <f t="shared" si="152"/>
        <v>1630.2254256930182</v>
      </c>
      <c r="AI90" s="201">
        <f t="shared" si="152"/>
        <v>1662.8299342068785</v>
      </c>
      <c r="AJ90" s="201">
        <f t="shared" si="152"/>
        <v>1696.0865328910161</v>
      </c>
      <c r="AK90" s="201">
        <f t="shared" si="152"/>
        <v>1730.0082635488363</v>
      </c>
      <c r="AL90" s="201">
        <f t="shared" si="152"/>
        <v>1764.6084288198131</v>
      </c>
      <c r="AM90" s="201">
        <f t="shared" si="152"/>
        <v>1799.9005973962094</v>
      </c>
      <c r="AN90" s="201">
        <f t="shared" si="152"/>
        <v>1835.8986093441335</v>
      </c>
      <c r="AO90" s="201">
        <f t="shared" si="152"/>
        <v>1872.6165815310162</v>
      </c>
      <c r="AP90" s="201">
        <f t="shared" si="152"/>
        <v>1910.0689131616366</v>
      </c>
    </row>
    <row r="91" spans="2:42" s="147" customFormat="1" x14ac:dyDescent="0.2">
      <c r="B91" s="181" t="str">
        <f>'Conto Economico'!A223</f>
        <v>Estetista</v>
      </c>
      <c r="C91" s="47">
        <f>'Budget 27'!E87</f>
        <v>600</v>
      </c>
      <c r="D91" s="201">
        <f t="shared" ref="D91:AC91" si="153">C91+C91*$C$159</f>
        <v>612</v>
      </c>
      <c r="E91" s="201">
        <f t="shared" si="153"/>
        <v>624.24</v>
      </c>
      <c r="F91" s="201">
        <f t="shared" si="153"/>
        <v>636.72479999999996</v>
      </c>
      <c r="G91" s="201">
        <f t="shared" si="153"/>
        <v>649.45929599999999</v>
      </c>
      <c r="H91" s="201">
        <f t="shared" si="153"/>
        <v>662.44848191999995</v>
      </c>
      <c r="I91" s="201">
        <f t="shared" si="153"/>
        <v>675.69745155839996</v>
      </c>
      <c r="J91" s="201">
        <f t="shared" si="153"/>
        <v>689.21140058956792</v>
      </c>
      <c r="K91" s="201">
        <f t="shared" si="153"/>
        <v>702.99562860135927</v>
      </c>
      <c r="L91" s="201">
        <f t="shared" si="153"/>
        <v>717.05554117338647</v>
      </c>
      <c r="M91" s="201">
        <f t="shared" si="153"/>
        <v>731.39665199685419</v>
      </c>
      <c r="N91" s="201">
        <f t="shared" si="153"/>
        <v>746.02458503679122</v>
      </c>
      <c r="O91" s="201">
        <f t="shared" si="153"/>
        <v>760.94507673752707</v>
      </c>
      <c r="P91" s="201">
        <f t="shared" si="153"/>
        <v>776.16397827227763</v>
      </c>
      <c r="Q91" s="201">
        <f t="shared" si="153"/>
        <v>791.68725783772322</v>
      </c>
      <c r="R91" s="201">
        <f t="shared" si="153"/>
        <v>807.52100299447773</v>
      </c>
      <c r="S91" s="201">
        <f t="shared" si="153"/>
        <v>823.67142305436732</v>
      </c>
      <c r="T91" s="201">
        <f t="shared" si="153"/>
        <v>840.14485151545466</v>
      </c>
      <c r="U91" s="201">
        <f t="shared" si="153"/>
        <v>856.94774854576372</v>
      </c>
      <c r="V91" s="201">
        <f t="shared" si="153"/>
        <v>874.08670351667899</v>
      </c>
      <c r="W91" s="201">
        <f t="shared" si="153"/>
        <v>891.56843758701257</v>
      </c>
      <c r="X91" s="201">
        <f t="shared" si="153"/>
        <v>909.3998063387528</v>
      </c>
      <c r="Y91" s="201">
        <f t="shared" si="153"/>
        <v>927.58780246552783</v>
      </c>
      <c r="Z91" s="201">
        <f t="shared" si="153"/>
        <v>946.13955851483843</v>
      </c>
      <c r="AA91" s="201">
        <f t="shared" si="153"/>
        <v>965.06234968513525</v>
      </c>
      <c r="AB91" s="201">
        <f t="shared" si="153"/>
        <v>984.36359667883789</v>
      </c>
      <c r="AC91" s="201">
        <f t="shared" si="153"/>
        <v>1004.0508686124147</v>
      </c>
      <c r="AD91" s="201">
        <v>0</v>
      </c>
      <c r="AE91" s="201">
        <f t="shared" ref="AE91:AP91" si="154">AD91+AD91*$C$159</f>
        <v>0</v>
      </c>
      <c r="AF91" s="201">
        <f t="shared" si="154"/>
        <v>0</v>
      </c>
      <c r="AG91" s="201">
        <f t="shared" si="154"/>
        <v>0</v>
      </c>
      <c r="AH91" s="201">
        <f t="shared" si="154"/>
        <v>0</v>
      </c>
      <c r="AI91" s="201">
        <f t="shared" si="154"/>
        <v>0</v>
      </c>
      <c r="AJ91" s="201">
        <f t="shared" si="154"/>
        <v>0</v>
      </c>
      <c r="AK91" s="201">
        <f t="shared" si="154"/>
        <v>0</v>
      </c>
      <c r="AL91" s="201">
        <f t="shared" si="154"/>
        <v>0</v>
      </c>
      <c r="AM91" s="201">
        <f t="shared" si="154"/>
        <v>0</v>
      </c>
      <c r="AN91" s="201">
        <f t="shared" si="154"/>
        <v>0</v>
      </c>
      <c r="AO91" s="201">
        <f t="shared" si="154"/>
        <v>0</v>
      </c>
      <c r="AP91" s="201">
        <f t="shared" si="154"/>
        <v>0</v>
      </c>
    </row>
    <row r="92" spans="2:42" s="147" customFormat="1" x14ac:dyDescent="0.2">
      <c r="B92" s="181"/>
      <c r="C92" s="47"/>
      <c r="D92" s="201"/>
      <c r="E92" s="201"/>
      <c r="F92" s="201"/>
      <c r="G92" s="201"/>
      <c r="H92" s="201"/>
      <c r="I92" s="201"/>
      <c r="J92" s="201"/>
      <c r="K92" s="201"/>
      <c r="L92" s="201"/>
      <c r="M92" s="201"/>
      <c r="N92" s="201"/>
      <c r="O92" s="201"/>
      <c r="P92" s="201"/>
      <c r="Q92" s="201"/>
      <c r="R92" s="201"/>
      <c r="S92" s="201"/>
      <c r="T92" s="201"/>
      <c r="U92" s="201"/>
      <c r="V92" s="201"/>
      <c r="W92" s="201"/>
      <c r="X92" s="201"/>
      <c r="Y92" s="201"/>
      <c r="Z92" s="201"/>
      <c r="AA92" s="201"/>
      <c r="AB92" s="201"/>
      <c r="AC92" s="201"/>
      <c r="AD92" s="201"/>
      <c r="AE92" s="201"/>
      <c r="AF92" s="201"/>
      <c r="AG92" s="201"/>
      <c r="AH92" s="201"/>
      <c r="AI92" s="201"/>
      <c r="AJ92" s="201"/>
      <c r="AK92" s="201"/>
      <c r="AL92" s="201"/>
      <c r="AM92" s="201"/>
      <c r="AN92" s="201"/>
      <c r="AO92" s="201"/>
      <c r="AP92" s="201"/>
    </row>
    <row r="93" spans="2:42" s="147" customFormat="1" x14ac:dyDescent="0.2">
      <c r="B93" s="199" t="str">
        <f>'Conto Economico'!A225</f>
        <v>Cure mediche</v>
      </c>
      <c r="C93" s="113">
        <f>SUM(C94:C97)</f>
        <v>1500</v>
      </c>
      <c r="D93" s="200">
        <f t="shared" ref="D93:AP93" si="155">SUM(D94:D97)</f>
        <v>1530</v>
      </c>
      <c r="E93" s="200">
        <f t="shared" si="155"/>
        <v>1560.6</v>
      </c>
      <c r="F93" s="200">
        <f t="shared" si="155"/>
        <v>1591.8119999999999</v>
      </c>
      <c r="G93" s="200">
        <f t="shared" si="155"/>
        <v>1623.6482400000002</v>
      </c>
      <c r="H93" s="200">
        <f t="shared" si="155"/>
        <v>1656.1212047999998</v>
      </c>
      <c r="I93" s="200">
        <f t="shared" si="155"/>
        <v>1689.243628896</v>
      </c>
      <c r="J93" s="200">
        <f t="shared" si="155"/>
        <v>1723.0285014739197</v>
      </c>
      <c r="K93" s="200">
        <f t="shared" si="155"/>
        <v>1757.4890715033982</v>
      </c>
      <c r="L93" s="200">
        <f t="shared" si="155"/>
        <v>1792.6388529334661</v>
      </c>
      <c r="M93" s="200">
        <f t="shared" si="155"/>
        <v>1828.4916299921358</v>
      </c>
      <c r="N93" s="200">
        <f t="shared" si="155"/>
        <v>1865.0614625919782</v>
      </c>
      <c r="O93" s="200">
        <f t="shared" si="155"/>
        <v>1902.3626918438179</v>
      </c>
      <c r="P93" s="200">
        <f t="shared" si="155"/>
        <v>1940.4099456806944</v>
      </c>
      <c r="Q93" s="200">
        <f t="shared" si="155"/>
        <v>1979.2181445943081</v>
      </c>
      <c r="R93" s="200">
        <f t="shared" si="155"/>
        <v>2018.8025074861944</v>
      </c>
      <c r="S93" s="200">
        <f t="shared" si="155"/>
        <v>2059.1785576359184</v>
      </c>
      <c r="T93" s="200">
        <f t="shared" si="155"/>
        <v>2100.3621287886367</v>
      </c>
      <c r="U93" s="200">
        <f t="shared" si="155"/>
        <v>2142.3693713644093</v>
      </c>
      <c r="V93" s="200">
        <f t="shared" si="155"/>
        <v>2185.2167587916974</v>
      </c>
      <c r="W93" s="200">
        <f t="shared" si="155"/>
        <v>2228.9210939675318</v>
      </c>
      <c r="X93" s="200">
        <f t="shared" si="155"/>
        <v>2273.4995158468819</v>
      </c>
      <c r="Y93" s="200">
        <f t="shared" si="155"/>
        <v>2318.9695061638195</v>
      </c>
      <c r="Z93" s="200">
        <f t="shared" si="155"/>
        <v>2365.3488962870961</v>
      </c>
      <c r="AA93" s="200">
        <f t="shared" si="155"/>
        <v>2412.6558742128377</v>
      </c>
      <c r="AB93" s="200">
        <f t="shared" si="155"/>
        <v>2460.9089916970947</v>
      </c>
      <c r="AC93" s="200">
        <f t="shared" si="155"/>
        <v>2510.1271715310368</v>
      </c>
      <c r="AD93" s="200">
        <f t="shared" si="155"/>
        <v>1255.0635857655184</v>
      </c>
      <c r="AE93" s="200">
        <f t="shared" si="155"/>
        <v>1280.1648574808287</v>
      </c>
      <c r="AF93" s="200">
        <f t="shared" si="155"/>
        <v>1305.7681546304452</v>
      </c>
      <c r="AG93" s="200">
        <f t="shared" si="155"/>
        <v>1331.883517723054</v>
      </c>
      <c r="AH93" s="200">
        <f t="shared" si="155"/>
        <v>1358.521188077515</v>
      </c>
      <c r="AI93" s="200">
        <f t="shared" si="155"/>
        <v>1385.6916118390654</v>
      </c>
      <c r="AJ93" s="200">
        <f t="shared" si="155"/>
        <v>1413.4054440758468</v>
      </c>
      <c r="AK93" s="200">
        <f t="shared" si="155"/>
        <v>1343.677442168105</v>
      </c>
      <c r="AL93" s="200">
        <f t="shared" si="155"/>
        <v>1370.550991011467</v>
      </c>
      <c r="AM93" s="200">
        <f t="shared" si="155"/>
        <v>1397.9620108316963</v>
      </c>
      <c r="AN93" s="200">
        <f t="shared" si="155"/>
        <v>1425.9212510483303</v>
      </c>
      <c r="AO93" s="200">
        <f t="shared" si="155"/>
        <v>1454.4396760692969</v>
      </c>
      <c r="AP93" s="200">
        <f t="shared" si="155"/>
        <v>1483.5284695906828</v>
      </c>
    </row>
    <row r="94" spans="2:42" s="147" customFormat="1" x14ac:dyDescent="0.2">
      <c r="B94" s="181" t="str">
        <f>'Conto Economico'!A226</f>
        <v>Cure mediche extra ass.</v>
      </c>
      <c r="C94" s="47">
        <f>'Budget 27'!E90</f>
        <v>200</v>
      </c>
      <c r="D94" s="201">
        <f t="shared" ref="D94:AC94" si="156">C94+C94*$C$159</f>
        <v>204</v>
      </c>
      <c r="E94" s="201">
        <f t="shared" si="156"/>
        <v>208.08</v>
      </c>
      <c r="F94" s="201">
        <f t="shared" si="156"/>
        <v>212.24160000000001</v>
      </c>
      <c r="G94" s="201">
        <f t="shared" si="156"/>
        <v>216.48643200000001</v>
      </c>
      <c r="H94" s="201">
        <f t="shared" si="156"/>
        <v>220.81616064000002</v>
      </c>
      <c r="I94" s="201">
        <f t="shared" si="156"/>
        <v>225.23248385280002</v>
      </c>
      <c r="J94" s="201">
        <f t="shared" si="156"/>
        <v>229.73713352985601</v>
      </c>
      <c r="K94" s="201">
        <f t="shared" si="156"/>
        <v>234.33187620045314</v>
      </c>
      <c r="L94" s="201">
        <f t="shared" si="156"/>
        <v>239.0185137244622</v>
      </c>
      <c r="M94" s="201">
        <f t="shared" si="156"/>
        <v>243.79888399895145</v>
      </c>
      <c r="N94" s="201">
        <f t="shared" si="156"/>
        <v>248.67486167893048</v>
      </c>
      <c r="O94" s="201">
        <f t="shared" si="156"/>
        <v>253.64835891250908</v>
      </c>
      <c r="P94" s="201">
        <f t="shared" si="156"/>
        <v>258.72132609075925</v>
      </c>
      <c r="Q94" s="201">
        <f t="shared" si="156"/>
        <v>263.89575261257443</v>
      </c>
      <c r="R94" s="201">
        <f t="shared" si="156"/>
        <v>269.17366766482593</v>
      </c>
      <c r="S94" s="201">
        <f t="shared" si="156"/>
        <v>274.55714101812242</v>
      </c>
      <c r="T94" s="201">
        <f t="shared" si="156"/>
        <v>280.04828383848485</v>
      </c>
      <c r="U94" s="201">
        <f t="shared" si="156"/>
        <v>285.64924951525455</v>
      </c>
      <c r="V94" s="201">
        <f t="shared" si="156"/>
        <v>291.36223450555963</v>
      </c>
      <c r="W94" s="201">
        <f t="shared" si="156"/>
        <v>297.1894791956708</v>
      </c>
      <c r="X94" s="201">
        <f t="shared" si="156"/>
        <v>303.13326877958423</v>
      </c>
      <c r="Y94" s="201">
        <f t="shared" si="156"/>
        <v>309.19593415517591</v>
      </c>
      <c r="Z94" s="201">
        <f t="shared" si="156"/>
        <v>315.37985283827942</v>
      </c>
      <c r="AA94" s="201">
        <f t="shared" si="156"/>
        <v>321.68744989504501</v>
      </c>
      <c r="AB94" s="201">
        <f t="shared" si="156"/>
        <v>328.12119889294593</v>
      </c>
      <c r="AC94" s="201">
        <f t="shared" si="156"/>
        <v>334.68362287080487</v>
      </c>
      <c r="AD94" s="202">
        <f>AC94/2</f>
        <v>167.34181143540243</v>
      </c>
      <c r="AE94" s="201">
        <f t="shared" ref="AE94:AJ97" si="157">AD94+AD94*$C$159</f>
        <v>170.68864766411048</v>
      </c>
      <c r="AF94" s="201">
        <f t="shared" si="157"/>
        <v>174.10242061739268</v>
      </c>
      <c r="AG94" s="201">
        <f t="shared" si="157"/>
        <v>177.58446902974055</v>
      </c>
      <c r="AH94" s="201">
        <f t="shared" si="157"/>
        <v>181.13615841033536</v>
      </c>
      <c r="AI94" s="201">
        <f t="shared" si="157"/>
        <v>184.75888157854206</v>
      </c>
      <c r="AJ94" s="201">
        <f t="shared" si="157"/>
        <v>188.45405921011289</v>
      </c>
      <c r="AK94" s="202">
        <f>AJ94/2</f>
        <v>94.227029605056444</v>
      </c>
      <c r="AL94" s="201">
        <f t="shared" ref="AL94:AP97" si="158">AK94+AK94*$C$159</f>
        <v>96.111570197157576</v>
      </c>
      <c r="AM94" s="201">
        <f t="shared" si="158"/>
        <v>98.033801601100734</v>
      </c>
      <c r="AN94" s="201">
        <f t="shared" si="158"/>
        <v>99.994477633122756</v>
      </c>
      <c r="AO94" s="201">
        <f t="shared" si="158"/>
        <v>101.99436718578521</v>
      </c>
      <c r="AP94" s="201">
        <f t="shared" si="158"/>
        <v>104.03425452950091</v>
      </c>
    </row>
    <row r="95" spans="2:42" s="147" customFormat="1" x14ac:dyDescent="0.2">
      <c r="B95" s="181" t="str">
        <f>'Conto Economico'!A227</f>
        <v>Medicinali - Test Covid - Integratori</v>
      </c>
      <c r="C95" s="47">
        <f>'Budget 27'!E91</f>
        <v>700</v>
      </c>
      <c r="D95" s="201">
        <f t="shared" ref="D95:AC95" si="159">C95+C95*$C$159</f>
        <v>714</v>
      </c>
      <c r="E95" s="201">
        <f t="shared" si="159"/>
        <v>728.28</v>
      </c>
      <c r="F95" s="201">
        <f t="shared" si="159"/>
        <v>742.84559999999999</v>
      </c>
      <c r="G95" s="201">
        <f t="shared" si="159"/>
        <v>757.70251199999996</v>
      </c>
      <c r="H95" s="201">
        <f t="shared" si="159"/>
        <v>772.8565622399999</v>
      </c>
      <c r="I95" s="201">
        <f t="shared" si="159"/>
        <v>788.31369348479996</v>
      </c>
      <c r="J95" s="201">
        <f t="shared" si="159"/>
        <v>804.07996735449592</v>
      </c>
      <c r="K95" s="201">
        <f t="shared" si="159"/>
        <v>820.1615667015858</v>
      </c>
      <c r="L95" s="201">
        <f t="shared" si="159"/>
        <v>836.56479803561751</v>
      </c>
      <c r="M95" s="201">
        <f t="shared" si="159"/>
        <v>853.29609399632989</v>
      </c>
      <c r="N95" s="201">
        <f t="shared" si="159"/>
        <v>870.36201587625646</v>
      </c>
      <c r="O95" s="201">
        <f t="shared" si="159"/>
        <v>887.76925619378164</v>
      </c>
      <c r="P95" s="201">
        <f t="shared" si="159"/>
        <v>905.52464131765726</v>
      </c>
      <c r="Q95" s="201">
        <f t="shared" si="159"/>
        <v>923.63513414401041</v>
      </c>
      <c r="R95" s="201">
        <f t="shared" si="159"/>
        <v>942.10783682689066</v>
      </c>
      <c r="S95" s="201">
        <f t="shared" si="159"/>
        <v>960.94999356342851</v>
      </c>
      <c r="T95" s="201">
        <f t="shared" si="159"/>
        <v>980.16899343469709</v>
      </c>
      <c r="U95" s="201">
        <f t="shared" si="159"/>
        <v>999.77237330339108</v>
      </c>
      <c r="V95" s="201">
        <f t="shared" si="159"/>
        <v>1019.7678207694589</v>
      </c>
      <c r="W95" s="201">
        <f t="shared" si="159"/>
        <v>1040.1631771848481</v>
      </c>
      <c r="X95" s="201">
        <f t="shared" si="159"/>
        <v>1060.966440728545</v>
      </c>
      <c r="Y95" s="201">
        <f t="shared" si="159"/>
        <v>1082.1857695431158</v>
      </c>
      <c r="Z95" s="201">
        <f t="shared" si="159"/>
        <v>1103.8294849339782</v>
      </c>
      <c r="AA95" s="201">
        <f t="shared" si="159"/>
        <v>1125.9060746326577</v>
      </c>
      <c r="AB95" s="201">
        <f t="shared" si="159"/>
        <v>1148.4241961253108</v>
      </c>
      <c r="AC95" s="201">
        <f t="shared" si="159"/>
        <v>1171.3926800478171</v>
      </c>
      <c r="AD95" s="202">
        <f>AC95/2</f>
        <v>585.69634002390853</v>
      </c>
      <c r="AE95" s="201">
        <f t="shared" si="157"/>
        <v>597.41026682438667</v>
      </c>
      <c r="AF95" s="201">
        <f t="shared" si="157"/>
        <v>609.35847216087438</v>
      </c>
      <c r="AG95" s="201">
        <f t="shared" si="157"/>
        <v>621.54564160409188</v>
      </c>
      <c r="AH95" s="201">
        <f t="shared" si="157"/>
        <v>633.97655443617373</v>
      </c>
      <c r="AI95" s="201">
        <f t="shared" si="157"/>
        <v>646.65608552489721</v>
      </c>
      <c r="AJ95" s="201">
        <f t="shared" si="157"/>
        <v>659.58920723539518</v>
      </c>
      <c r="AK95" s="201">
        <f>AJ95+AJ95*$C$159</f>
        <v>672.78099138010305</v>
      </c>
      <c r="AL95" s="201">
        <f t="shared" si="158"/>
        <v>686.2366112077051</v>
      </c>
      <c r="AM95" s="201">
        <f t="shared" si="158"/>
        <v>699.96134343185918</v>
      </c>
      <c r="AN95" s="201">
        <f t="shared" si="158"/>
        <v>713.96057030049633</v>
      </c>
      <c r="AO95" s="201">
        <f t="shared" si="158"/>
        <v>728.23978170650628</v>
      </c>
      <c r="AP95" s="201">
        <f t="shared" si="158"/>
        <v>742.80457734063646</v>
      </c>
    </row>
    <row r="96" spans="2:42" s="147" customFormat="1" x14ac:dyDescent="0.2">
      <c r="B96" s="181" t="str">
        <f>'Conto Economico'!A228</f>
        <v>Dentista</v>
      </c>
      <c r="C96" s="47">
        <f>'Budget 27'!E92</f>
        <v>500</v>
      </c>
      <c r="D96" s="201">
        <f t="shared" ref="D96:AC96" si="160">C96+C96*$C$159</f>
        <v>510</v>
      </c>
      <c r="E96" s="201">
        <f t="shared" si="160"/>
        <v>520.20000000000005</v>
      </c>
      <c r="F96" s="201">
        <f t="shared" si="160"/>
        <v>530.60400000000004</v>
      </c>
      <c r="G96" s="201">
        <f t="shared" si="160"/>
        <v>541.21608000000003</v>
      </c>
      <c r="H96" s="201">
        <f t="shared" si="160"/>
        <v>552.0404016</v>
      </c>
      <c r="I96" s="201">
        <f t="shared" si="160"/>
        <v>563.08120963199997</v>
      </c>
      <c r="J96" s="201">
        <f t="shared" si="160"/>
        <v>574.34283382463991</v>
      </c>
      <c r="K96" s="201">
        <f t="shared" si="160"/>
        <v>585.82969050113275</v>
      </c>
      <c r="L96" s="201">
        <f t="shared" si="160"/>
        <v>597.54628431115543</v>
      </c>
      <c r="M96" s="201">
        <f t="shared" si="160"/>
        <v>609.49720999737849</v>
      </c>
      <c r="N96" s="201">
        <f t="shared" si="160"/>
        <v>621.68715419732609</v>
      </c>
      <c r="O96" s="201">
        <f t="shared" si="160"/>
        <v>634.12089728127262</v>
      </c>
      <c r="P96" s="201">
        <f t="shared" si="160"/>
        <v>646.80331522689812</v>
      </c>
      <c r="Q96" s="201">
        <f t="shared" si="160"/>
        <v>659.73938153143604</v>
      </c>
      <c r="R96" s="201">
        <f t="shared" si="160"/>
        <v>672.93416916206479</v>
      </c>
      <c r="S96" s="201">
        <f t="shared" si="160"/>
        <v>686.39285254530614</v>
      </c>
      <c r="T96" s="201">
        <f t="shared" si="160"/>
        <v>700.12070959621224</v>
      </c>
      <c r="U96" s="201">
        <f t="shared" si="160"/>
        <v>714.12312378813647</v>
      </c>
      <c r="V96" s="201">
        <f t="shared" si="160"/>
        <v>728.40558626389918</v>
      </c>
      <c r="W96" s="201">
        <f t="shared" si="160"/>
        <v>742.97369798917714</v>
      </c>
      <c r="X96" s="201">
        <f t="shared" si="160"/>
        <v>757.83317194896063</v>
      </c>
      <c r="Y96" s="201">
        <f t="shared" si="160"/>
        <v>772.98983538793982</v>
      </c>
      <c r="Z96" s="201">
        <f t="shared" si="160"/>
        <v>788.44963209569858</v>
      </c>
      <c r="AA96" s="201">
        <f t="shared" si="160"/>
        <v>804.21862473761257</v>
      </c>
      <c r="AB96" s="201">
        <f t="shared" si="160"/>
        <v>820.30299723236487</v>
      </c>
      <c r="AC96" s="201">
        <f t="shared" si="160"/>
        <v>836.70905717701214</v>
      </c>
      <c r="AD96" s="202">
        <f>AC96/2</f>
        <v>418.35452858850607</v>
      </c>
      <c r="AE96" s="201">
        <f t="shared" si="157"/>
        <v>426.72161916027619</v>
      </c>
      <c r="AF96" s="201">
        <f t="shared" si="157"/>
        <v>435.2560515434817</v>
      </c>
      <c r="AG96" s="201">
        <f t="shared" si="157"/>
        <v>443.96117257435134</v>
      </c>
      <c r="AH96" s="201">
        <f t="shared" si="157"/>
        <v>452.84039602583834</v>
      </c>
      <c r="AI96" s="201">
        <f t="shared" si="157"/>
        <v>461.89720394635509</v>
      </c>
      <c r="AJ96" s="201">
        <f t="shared" si="157"/>
        <v>471.13514802528221</v>
      </c>
      <c r="AK96" s="201">
        <f>AJ96+AJ96*$C$159</f>
        <v>480.55785098578787</v>
      </c>
      <c r="AL96" s="201">
        <f t="shared" si="158"/>
        <v>490.1690080055036</v>
      </c>
      <c r="AM96" s="201">
        <f t="shared" si="158"/>
        <v>499.97238816561367</v>
      </c>
      <c r="AN96" s="201">
        <f t="shared" si="158"/>
        <v>509.97183592892594</v>
      </c>
      <c r="AO96" s="201">
        <f t="shared" si="158"/>
        <v>520.17127264750445</v>
      </c>
      <c r="AP96" s="201">
        <f t="shared" si="158"/>
        <v>530.5746981004545</v>
      </c>
    </row>
    <row r="97" spans="2:42" s="147" customFormat="1" x14ac:dyDescent="0.2">
      <c r="B97" s="181" t="str">
        <f>'Conto Economico'!A229</f>
        <v>Oculista - Occhiali</v>
      </c>
      <c r="C97" s="47">
        <v>100</v>
      </c>
      <c r="D97" s="201">
        <f t="shared" ref="D97:AC97" si="161">C97+C97*$C$159</f>
        <v>102</v>
      </c>
      <c r="E97" s="201">
        <f t="shared" si="161"/>
        <v>104.04</v>
      </c>
      <c r="F97" s="201">
        <f t="shared" si="161"/>
        <v>106.1208</v>
      </c>
      <c r="G97" s="201">
        <f t="shared" si="161"/>
        <v>108.243216</v>
      </c>
      <c r="H97" s="201">
        <f t="shared" si="161"/>
        <v>110.40808032000001</v>
      </c>
      <c r="I97" s="201">
        <f t="shared" si="161"/>
        <v>112.61624192640001</v>
      </c>
      <c r="J97" s="201">
        <f t="shared" si="161"/>
        <v>114.868566764928</v>
      </c>
      <c r="K97" s="201">
        <f t="shared" si="161"/>
        <v>117.16593810022657</v>
      </c>
      <c r="L97" s="201">
        <f t="shared" si="161"/>
        <v>119.5092568622311</v>
      </c>
      <c r="M97" s="201">
        <f t="shared" si="161"/>
        <v>121.89944199947573</v>
      </c>
      <c r="N97" s="201">
        <f t="shared" si="161"/>
        <v>124.33743083946524</v>
      </c>
      <c r="O97" s="201">
        <f t="shared" si="161"/>
        <v>126.82417945625454</v>
      </c>
      <c r="P97" s="201">
        <f t="shared" si="161"/>
        <v>129.36066304537962</v>
      </c>
      <c r="Q97" s="201">
        <f t="shared" si="161"/>
        <v>131.94787630628721</v>
      </c>
      <c r="R97" s="201">
        <f t="shared" si="161"/>
        <v>134.58683383241296</v>
      </c>
      <c r="S97" s="201">
        <f t="shared" si="161"/>
        <v>137.27857050906121</v>
      </c>
      <c r="T97" s="201">
        <f t="shared" si="161"/>
        <v>140.02414191924242</v>
      </c>
      <c r="U97" s="201">
        <f t="shared" si="161"/>
        <v>142.82462475762728</v>
      </c>
      <c r="V97" s="201">
        <f t="shared" si="161"/>
        <v>145.68111725277981</v>
      </c>
      <c r="W97" s="201">
        <f t="shared" si="161"/>
        <v>148.5947395978354</v>
      </c>
      <c r="X97" s="201">
        <f t="shared" si="161"/>
        <v>151.56663438979211</v>
      </c>
      <c r="Y97" s="201">
        <f t="shared" si="161"/>
        <v>154.59796707758795</v>
      </c>
      <c r="Z97" s="201">
        <f t="shared" si="161"/>
        <v>157.68992641913971</v>
      </c>
      <c r="AA97" s="201">
        <f t="shared" si="161"/>
        <v>160.8437249475225</v>
      </c>
      <c r="AB97" s="201">
        <f t="shared" si="161"/>
        <v>164.06059944647296</v>
      </c>
      <c r="AC97" s="201">
        <f t="shared" si="161"/>
        <v>167.34181143540243</v>
      </c>
      <c r="AD97" s="202">
        <f>AC97/2</f>
        <v>83.670905717701217</v>
      </c>
      <c r="AE97" s="201">
        <f t="shared" si="157"/>
        <v>85.344323832055238</v>
      </c>
      <c r="AF97" s="201">
        <f t="shared" si="157"/>
        <v>87.051210308696341</v>
      </c>
      <c r="AG97" s="201">
        <f t="shared" si="157"/>
        <v>88.792234514870273</v>
      </c>
      <c r="AH97" s="201">
        <f t="shared" si="157"/>
        <v>90.568079205167678</v>
      </c>
      <c r="AI97" s="201">
        <f t="shared" si="157"/>
        <v>92.37944078927103</v>
      </c>
      <c r="AJ97" s="201">
        <f t="shared" si="157"/>
        <v>94.227029605056444</v>
      </c>
      <c r="AK97" s="201">
        <f>AJ97+AJ97*$C$159</f>
        <v>96.111570197157576</v>
      </c>
      <c r="AL97" s="201">
        <f t="shared" si="158"/>
        <v>98.033801601100734</v>
      </c>
      <c r="AM97" s="201">
        <f t="shared" si="158"/>
        <v>99.994477633122756</v>
      </c>
      <c r="AN97" s="201">
        <f t="shared" si="158"/>
        <v>101.99436718578521</v>
      </c>
      <c r="AO97" s="201">
        <f t="shared" si="158"/>
        <v>104.03425452950091</v>
      </c>
      <c r="AP97" s="201">
        <f t="shared" si="158"/>
        <v>106.11493962009094</v>
      </c>
    </row>
    <row r="98" spans="2:42" s="147" customFormat="1" x14ac:dyDescent="0.2">
      <c r="B98" s="181"/>
      <c r="C98" s="47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1"/>
      <c r="P98" s="201"/>
      <c r="Q98" s="201"/>
      <c r="R98" s="201"/>
      <c r="S98" s="201"/>
      <c r="T98" s="201"/>
      <c r="U98" s="201"/>
      <c r="V98" s="201"/>
      <c r="W98" s="201"/>
      <c r="X98" s="201"/>
      <c r="Y98" s="201"/>
      <c r="Z98" s="201"/>
      <c r="AA98" s="201"/>
      <c r="AB98" s="201"/>
      <c r="AC98" s="201"/>
      <c r="AD98" s="201"/>
      <c r="AE98" s="201"/>
      <c r="AF98" s="201"/>
      <c r="AG98" s="201"/>
      <c r="AH98" s="201"/>
      <c r="AI98" s="201"/>
      <c r="AJ98" s="201"/>
      <c r="AK98" s="201"/>
      <c r="AL98" s="201"/>
      <c r="AM98" s="201"/>
      <c r="AN98" s="201"/>
      <c r="AO98" s="201"/>
      <c r="AP98" s="201"/>
    </row>
    <row r="99" spans="2:42" s="147" customFormat="1" x14ac:dyDescent="0.2">
      <c r="B99" s="199" t="str">
        <f>'Conto Economico'!A231</f>
        <v>Imposte Spagna</v>
      </c>
      <c r="C99" s="113">
        <f>SUM(C100:C102)</f>
        <v>0</v>
      </c>
      <c r="D99" s="200">
        <f t="shared" ref="D99:AP99" si="162">SUM(D100:D102)</f>
        <v>0</v>
      </c>
      <c r="E99" s="200">
        <f t="shared" si="162"/>
        <v>0</v>
      </c>
      <c r="F99" s="200">
        <f t="shared" si="162"/>
        <v>0</v>
      </c>
      <c r="G99" s="200">
        <f t="shared" si="162"/>
        <v>0</v>
      </c>
      <c r="H99" s="200">
        <f t="shared" si="162"/>
        <v>0</v>
      </c>
      <c r="I99" s="200">
        <f t="shared" si="162"/>
        <v>0</v>
      </c>
      <c r="J99" s="200">
        <f t="shared" si="162"/>
        <v>0</v>
      </c>
      <c r="K99" s="200">
        <f t="shared" si="162"/>
        <v>0</v>
      </c>
      <c r="L99" s="200">
        <f t="shared" si="162"/>
        <v>0</v>
      </c>
      <c r="M99" s="200">
        <f t="shared" si="162"/>
        <v>0</v>
      </c>
      <c r="N99" s="200">
        <f t="shared" si="162"/>
        <v>0</v>
      </c>
      <c r="O99" s="200">
        <f t="shared" si="162"/>
        <v>0</v>
      </c>
      <c r="P99" s="200">
        <f t="shared" si="162"/>
        <v>0</v>
      </c>
      <c r="Q99" s="200">
        <f t="shared" si="162"/>
        <v>0</v>
      </c>
      <c r="R99" s="200">
        <f t="shared" si="162"/>
        <v>0</v>
      </c>
      <c r="S99" s="200">
        <f t="shared" si="162"/>
        <v>0</v>
      </c>
      <c r="T99" s="200">
        <f t="shared" si="162"/>
        <v>0</v>
      </c>
      <c r="U99" s="200">
        <f t="shared" si="162"/>
        <v>0</v>
      </c>
      <c r="V99" s="200">
        <f t="shared" si="162"/>
        <v>0</v>
      </c>
      <c r="W99" s="200">
        <f t="shared" si="162"/>
        <v>0</v>
      </c>
      <c r="X99" s="200">
        <f t="shared" si="162"/>
        <v>0</v>
      </c>
      <c r="Y99" s="200">
        <f t="shared" si="162"/>
        <v>0</v>
      </c>
      <c r="Z99" s="200">
        <f t="shared" si="162"/>
        <v>0</v>
      </c>
      <c r="AA99" s="200">
        <f t="shared" si="162"/>
        <v>0</v>
      </c>
      <c r="AB99" s="200">
        <f t="shared" si="162"/>
        <v>0</v>
      </c>
      <c r="AC99" s="200">
        <f t="shared" si="162"/>
        <v>0</v>
      </c>
      <c r="AD99" s="200">
        <f t="shared" si="162"/>
        <v>0</v>
      </c>
      <c r="AE99" s="200">
        <f t="shared" si="162"/>
        <v>0</v>
      </c>
      <c r="AF99" s="200">
        <f t="shared" si="162"/>
        <v>0</v>
      </c>
      <c r="AG99" s="200">
        <f t="shared" si="162"/>
        <v>0</v>
      </c>
      <c r="AH99" s="200">
        <f t="shared" si="162"/>
        <v>0</v>
      </c>
      <c r="AI99" s="200">
        <f t="shared" si="162"/>
        <v>0</v>
      </c>
      <c r="AJ99" s="200">
        <f t="shared" si="162"/>
        <v>0</v>
      </c>
      <c r="AK99" s="200">
        <f t="shared" si="162"/>
        <v>0</v>
      </c>
      <c r="AL99" s="200">
        <f t="shared" si="162"/>
        <v>0</v>
      </c>
      <c r="AM99" s="200">
        <f t="shared" si="162"/>
        <v>0</v>
      </c>
      <c r="AN99" s="200">
        <f t="shared" si="162"/>
        <v>0</v>
      </c>
      <c r="AO99" s="200">
        <f t="shared" si="162"/>
        <v>0</v>
      </c>
      <c r="AP99" s="200">
        <f t="shared" si="162"/>
        <v>0</v>
      </c>
    </row>
    <row r="100" spans="2:42" s="147" customFormat="1" x14ac:dyDescent="0.2">
      <c r="B100" s="181" t="str">
        <f>'Conto Economico'!A232</f>
        <v>IBI</v>
      </c>
      <c r="C100" s="47">
        <f>'Budget 27'!E96</f>
        <v>0</v>
      </c>
      <c r="D100" s="201">
        <f t="shared" ref="D100:AP100" si="163">C100+C100*$C$159</f>
        <v>0</v>
      </c>
      <c r="E100" s="201">
        <f t="shared" si="163"/>
        <v>0</v>
      </c>
      <c r="F100" s="201">
        <f t="shared" si="163"/>
        <v>0</v>
      </c>
      <c r="G100" s="201">
        <f t="shared" si="163"/>
        <v>0</v>
      </c>
      <c r="H100" s="201">
        <f t="shared" si="163"/>
        <v>0</v>
      </c>
      <c r="I100" s="201">
        <f t="shared" si="163"/>
        <v>0</v>
      </c>
      <c r="J100" s="201">
        <f t="shared" si="163"/>
        <v>0</v>
      </c>
      <c r="K100" s="201">
        <f t="shared" si="163"/>
        <v>0</v>
      </c>
      <c r="L100" s="201">
        <f t="shared" si="163"/>
        <v>0</v>
      </c>
      <c r="M100" s="201">
        <f t="shared" si="163"/>
        <v>0</v>
      </c>
      <c r="N100" s="201">
        <f t="shared" si="163"/>
        <v>0</v>
      </c>
      <c r="O100" s="201">
        <f t="shared" si="163"/>
        <v>0</v>
      </c>
      <c r="P100" s="201">
        <f t="shared" si="163"/>
        <v>0</v>
      </c>
      <c r="Q100" s="201">
        <f t="shared" si="163"/>
        <v>0</v>
      </c>
      <c r="R100" s="201">
        <f t="shared" si="163"/>
        <v>0</v>
      </c>
      <c r="S100" s="201">
        <f t="shared" si="163"/>
        <v>0</v>
      </c>
      <c r="T100" s="201">
        <f t="shared" si="163"/>
        <v>0</v>
      </c>
      <c r="U100" s="201">
        <f t="shared" si="163"/>
        <v>0</v>
      </c>
      <c r="V100" s="201">
        <f t="shared" si="163"/>
        <v>0</v>
      </c>
      <c r="W100" s="201">
        <f t="shared" si="163"/>
        <v>0</v>
      </c>
      <c r="X100" s="201">
        <f t="shared" si="163"/>
        <v>0</v>
      </c>
      <c r="Y100" s="201">
        <f t="shared" si="163"/>
        <v>0</v>
      </c>
      <c r="Z100" s="201">
        <f t="shared" si="163"/>
        <v>0</v>
      </c>
      <c r="AA100" s="201">
        <f t="shared" si="163"/>
        <v>0</v>
      </c>
      <c r="AB100" s="201">
        <f t="shared" si="163"/>
        <v>0</v>
      </c>
      <c r="AC100" s="201">
        <f t="shared" si="163"/>
        <v>0</v>
      </c>
      <c r="AD100" s="201">
        <f t="shared" si="163"/>
        <v>0</v>
      </c>
      <c r="AE100" s="201">
        <f t="shared" si="163"/>
        <v>0</v>
      </c>
      <c r="AF100" s="201">
        <f t="shared" si="163"/>
        <v>0</v>
      </c>
      <c r="AG100" s="201">
        <f t="shared" si="163"/>
        <v>0</v>
      </c>
      <c r="AH100" s="201">
        <f t="shared" si="163"/>
        <v>0</v>
      </c>
      <c r="AI100" s="201">
        <f t="shared" si="163"/>
        <v>0</v>
      </c>
      <c r="AJ100" s="201">
        <f t="shared" si="163"/>
        <v>0</v>
      </c>
      <c r="AK100" s="201">
        <f t="shared" si="163"/>
        <v>0</v>
      </c>
      <c r="AL100" s="201">
        <f t="shared" si="163"/>
        <v>0</v>
      </c>
      <c r="AM100" s="201">
        <f t="shared" si="163"/>
        <v>0</v>
      </c>
      <c r="AN100" s="201">
        <f t="shared" si="163"/>
        <v>0</v>
      </c>
      <c r="AO100" s="201">
        <f t="shared" si="163"/>
        <v>0</v>
      </c>
      <c r="AP100" s="201">
        <f t="shared" si="163"/>
        <v>0</v>
      </c>
    </row>
    <row r="101" spans="2:42" s="147" customFormat="1" x14ac:dyDescent="0.2">
      <c r="B101" s="181" t="str">
        <f>'Conto Economico'!A233</f>
        <v>Imposte Spagna</v>
      </c>
      <c r="C101" s="47">
        <f>'Budget 27'!E97</f>
        <v>0</v>
      </c>
      <c r="D101" s="201">
        <f t="shared" ref="D101:AP101" si="164">C101+C101*$C$159</f>
        <v>0</v>
      </c>
      <c r="E101" s="201">
        <f t="shared" si="164"/>
        <v>0</v>
      </c>
      <c r="F101" s="201">
        <f t="shared" si="164"/>
        <v>0</v>
      </c>
      <c r="G101" s="201">
        <f t="shared" si="164"/>
        <v>0</v>
      </c>
      <c r="H101" s="201">
        <f t="shared" si="164"/>
        <v>0</v>
      </c>
      <c r="I101" s="201">
        <f t="shared" si="164"/>
        <v>0</v>
      </c>
      <c r="J101" s="201">
        <f t="shared" si="164"/>
        <v>0</v>
      </c>
      <c r="K101" s="201">
        <f t="shared" si="164"/>
        <v>0</v>
      </c>
      <c r="L101" s="201">
        <f t="shared" si="164"/>
        <v>0</v>
      </c>
      <c r="M101" s="201">
        <f t="shared" si="164"/>
        <v>0</v>
      </c>
      <c r="N101" s="201">
        <f t="shared" si="164"/>
        <v>0</v>
      </c>
      <c r="O101" s="201">
        <f t="shared" si="164"/>
        <v>0</v>
      </c>
      <c r="P101" s="201">
        <f t="shared" si="164"/>
        <v>0</v>
      </c>
      <c r="Q101" s="201">
        <f t="shared" si="164"/>
        <v>0</v>
      </c>
      <c r="R101" s="201">
        <f t="shared" si="164"/>
        <v>0</v>
      </c>
      <c r="S101" s="201">
        <f t="shared" si="164"/>
        <v>0</v>
      </c>
      <c r="T101" s="201">
        <f t="shared" si="164"/>
        <v>0</v>
      </c>
      <c r="U101" s="201">
        <f t="shared" si="164"/>
        <v>0</v>
      </c>
      <c r="V101" s="201">
        <f t="shared" si="164"/>
        <v>0</v>
      </c>
      <c r="W101" s="201">
        <f t="shared" si="164"/>
        <v>0</v>
      </c>
      <c r="X101" s="201">
        <f t="shared" si="164"/>
        <v>0</v>
      </c>
      <c r="Y101" s="201">
        <f t="shared" si="164"/>
        <v>0</v>
      </c>
      <c r="Z101" s="201">
        <f t="shared" si="164"/>
        <v>0</v>
      </c>
      <c r="AA101" s="201">
        <f t="shared" si="164"/>
        <v>0</v>
      </c>
      <c r="AB101" s="201">
        <f t="shared" si="164"/>
        <v>0</v>
      </c>
      <c r="AC101" s="201">
        <f t="shared" si="164"/>
        <v>0</v>
      </c>
      <c r="AD101" s="201">
        <f t="shared" si="164"/>
        <v>0</v>
      </c>
      <c r="AE101" s="201">
        <f t="shared" si="164"/>
        <v>0</v>
      </c>
      <c r="AF101" s="201">
        <f t="shared" si="164"/>
        <v>0</v>
      </c>
      <c r="AG101" s="201">
        <f t="shared" si="164"/>
        <v>0</v>
      </c>
      <c r="AH101" s="201">
        <f t="shared" si="164"/>
        <v>0</v>
      </c>
      <c r="AI101" s="201">
        <f t="shared" si="164"/>
        <v>0</v>
      </c>
      <c r="AJ101" s="201">
        <f t="shared" si="164"/>
        <v>0</v>
      </c>
      <c r="AK101" s="201">
        <f t="shared" si="164"/>
        <v>0</v>
      </c>
      <c r="AL101" s="201">
        <f t="shared" si="164"/>
        <v>0</v>
      </c>
      <c r="AM101" s="201">
        <f t="shared" si="164"/>
        <v>0</v>
      </c>
      <c r="AN101" s="201">
        <f t="shared" si="164"/>
        <v>0</v>
      </c>
      <c r="AO101" s="201">
        <f t="shared" si="164"/>
        <v>0</v>
      </c>
      <c r="AP101" s="201">
        <f t="shared" si="164"/>
        <v>0</v>
      </c>
    </row>
    <row r="102" spans="2:42" s="147" customFormat="1" x14ac:dyDescent="0.2">
      <c r="B102" s="181" t="str">
        <f>'Conto Economico'!A234</f>
        <v>Commercialista Spagna</v>
      </c>
      <c r="C102" s="47">
        <f>'Budget 27'!E98</f>
        <v>0</v>
      </c>
      <c r="D102" s="201">
        <f>C102+C102*$C$159</f>
        <v>0</v>
      </c>
      <c r="E102" s="201">
        <v>0</v>
      </c>
      <c r="F102" s="201">
        <f t="shared" ref="F102:AP102" si="165">E102+E102*$C$159</f>
        <v>0</v>
      </c>
      <c r="G102" s="201">
        <f t="shared" si="165"/>
        <v>0</v>
      </c>
      <c r="H102" s="201">
        <f t="shared" si="165"/>
        <v>0</v>
      </c>
      <c r="I102" s="201">
        <f t="shared" si="165"/>
        <v>0</v>
      </c>
      <c r="J102" s="201">
        <f t="shared" si="165"/>
        <v>0</v>
      </c>
      <c r="K102" s="201">
        <f t="shared" si="165"/>
        <v>0</v>
      </c>
      <c r="L102" s="201">
        <f t="shared" si="165"/>
        <v>0</v>
      </c>
      <c r="M102" s="201">
        <f t="shared" si="165"/>
        <v>0</v>
      </c>
      <c r="N102" s="201">
        <f t="shared" si="165"/>
        <v>0</v>
      </c>
      <c r="O102" s="201">
        <f t="shared" si="165"/>
        <v>0</v>
      </c>
      <c r="P102" s="201">
        <f t="shared" si="165"/>
        <v>0</v>
      </c>
      <c r="Q102" s="201">
        <f t="shared" si="165"/>
        <v>0</v>
      </c>
      <c r="R102" s="201">
        <f t="shared" si="165"/>
        <v>0</v>
      </c>
      <c r="S102" s="201">
        <f t="shared" si="165"/>
        <v>0</v>
      </c>
      <c r="T102" s="201">
        <f t="shared" si="165"/>
        <v>0</v>
      </c>
      <c r="U102" s="201">
        <f t="shared" si="165"/>
        <v>0</v>
      </c>
      <c r="V102" s="201">
        <f t="shared" si="165"/>
        <v>0</v>
      </c>
      <c r="W102" s="201">
        <f t="shared" si="165"/>
        <v>0</v>
      </c>
      <c r="X102" s="201">
        <f t="shared" si="165"/>
        <v>0</v>
      </c>
      <c r="Y102" s="201">
        <f t="shared" si="165"/>
        <v>0</v>
      </c>
      <c r="Z102" s="201">
        <f t="shared" si="165"/>
        <v>0</v>
      </c>
      <c r="AA102" s="201">
        <f t="shared" si="165"/>
        <v>0</v>
      </c>
      <c r="AB102" s="201">
        <f t="shared" si="165"/>
        <v>0</v>
      </c>
      <c r="AC102" s="201">
        <f t="shared" si="165"/>
        <v>0</v>
      </c>
      <c r="AD102" s="201">
        <f t="shared" si="165"/>
        <v>0</v>
      </c>
      <c r="AE102" s="201">
        <f t="shared" si="165"/>
        <v>0</v>
      </c>
      <c r="AF102" s="201">
        <f t="shared" si="165"/>
        <v>0</v>
      </c>
      <c r="AG102" s="201">
        <f t="shared" si="165"/>
        <v>0</v>
      </c>
      <c r="AH102" s="201">
        <f t="shared" si="165"/>
        <v>0</v>
      </c>
      <c r="AI102" s="201">
        <f t="shared" si="165"/>
        <v>0</v>
      </c>
      <c r="AJ102" s="201">
        <f t="shared" si="165"/>
        <v>0</v>
      </c>
      <c r="AK102" s="201">
        <f t="shared" si="165"/>
        <v>0</v>
      </c>
      <c r="AL102" s="201">
        <f t="shared" si="165"/>
        <v>0</v>
      </c>
      <c r="AM102" s="201">
        <f t="shared" si="165"/>
        <v>0</v>
      </c>
      <c r="AN102" s="201">
        <f t="shared" si="165"/>
        <v>0</v>
      </c>
      <c r="AO102" s="201">
        <f t="shared" si="165"/>
        <v>0</v>
      </c>
      <c r="AP102" s="201">
        <f t="shared" si="165"/>
        <v>0</v>
      </c>
    </row>
    <row r="103" spans="2:42" s="147" customFormat="1" x14ac:dyDescent="0.2">
      <c r="B103" s="203"/>
      <c r="C103" s="81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  <c r="AB103" s="204"/>
      <c r="AC103" s="204"/>
      <c r="AD103" s="204"/>
      <c r="AE103" s="204"/>
      <c r="AF103" s="204"/>
      <c r="AG103" s="204"/>
      <c r="AH103" s="204"/>
      <c r="AI103" s="204"/>
      <c r="AJ103" s="204"/>
      <c r="AK103" s="204"/>
      <c r="AL103" s="204"/>
      <c r="AM103" s="204"/>
      <c r="AN103" s="204"/>
      <c r="AO103" s="204"/>
      <c r="AP103" s="204"/>
    </row>
    <row r="104" spans="2:42" s="147" customFormat="1" x14ac:dyDescent="0.2">
      <c r="B104" s="199" t="str">
        <f>'Conto Economico'!A236</f>
        <v>Imposte Italia</v>
      </c>
      <c r="C104" s="113">
        <f>SUM(C105:C107)</f>
        <v>1700</v>
      </c>
      <c r="D104" s="200">
        <f t="shared" ref="D104:AP104" si="166">SUM(D105:D107)</f>
        <v>1734</v>
      </c>
      <c r="E104" s="200">
        <f t="shared" si="166"/>
        <v>1768.68</v>
      </c>
      <c r="F104" s="200">
        <f t="shared" si="166"/>
        <v>1804.0536</v>
      </c>
      <c r="G104" s="200">
        <f t="shared" si="166"/>
        <v>1840.1346719999999</v>
      </c>
      <c r="H104" s="200">
        <f t="shared" si="166"/>
        <v>1876.9373654399999</v>
      </c>
      <c r="I104" s="200">
        <f t="shared" si="166"/>
        <v>1914.4761127488</v>
      </c>
      <c r="J104" s="200">
        <f t="shared" si="166"/>
        <v>1952.765635003776</v>
      </c>
      <c r="K104" s="200">
        <f t="shared" si="166"/>
        <v>0</v>
      </c>
      <c r="L104" s="200">
        <f t="shared" si="166"/>
        <v>0</v>
      </c>
      <c r="M104" s="200">
        <f t="shared" si="166"/>
        <v>0</v>
      </c>
      <c r="N104" s="200">
        <f t="shared" si="166"/>
        <v>0</v>
      </c>
      <c r="O104" s="200">
        <f t="shared" si="166"/>
        <v>0</v>
      </c>
      <c r="P104" s="200">
        <f t="shared" si="166"/>
        <v>0</v>
      </c>
      <c r="Q104" s="200">
        <f t="shared" si="166"/>
        <v>0</v>
      </c>
      <c r="R104" s="200">
        <f t="shared" si="166"/>
        <v>0</v>
      </c>
      <c r="S104" s="200">
        <f t="shared" si="166"/>
        <v>0</v>
      </c>
      <c r="T104" s="200">
        <f t="shared" si="166"/>
        <v>0</v>
      </c>
      <c r="U104" s="200">
        <f t="shared" si="166"/>
        <v>0</v>
      </c>
      <c r="V104" s="200">
        <f t="shared" si="166"/>
        <v>0</v>
      </c>
      <c r="W104" s="200">
        <f t="shared" si="166"/>
        <v>0</v>
      </c>
      <c r="X104" s="200">
        <f t="shared" si="166"/>
        <v>0</v>
      </c>
      <c r="Y104" s="200">
        <f t="shared" si="166"/>
        <v>0</v>
      </c>
      <c r="Z104" s="200">
        <f t="shared" si="166"/>
        <v>0</v>
      </c>
      <c r="AA104" s="200">
        <f t="shared" si="166"/>
        <v>0</v>
      </c>
      <c r="AB104" s="200">
        <f t="shared" si="166"/>
        <v>0</v>
      </c>
      <c r="AC104" s="200">
        <f t="shared" si="166"/>
        <v>0</v>
      </c>
      <c r="AD104" s="200">
        <f t="shared" si="166"/>
        <v>0</v>
      </c>
      <c r="AE104" s="200">
        <f t="shared" si="166"/>
        <v>0</v>
      </c>
      <c r="AF104" s="200">
        <f t="shared" si="166"/>
        <v>0</v>
      </c>
      <c r="AG104" s="200">
        <f t="shared" si="166"/>
        <v>0</v>
      </c>
      <c r="AH104" s="200">
        <f t="shared" si="166"/>
        <v>0</v>
      </c>
      <c r="AI104" s="200">
        <f t="shared" si="166"/>
        <v>0</v>
      </c>
      <c r="AJ104" s="200">
        <f t="shared" si="166"/>
        <v>0</v>
      </c>
      <c r="AK104" s="200">
        <f t="shared" si="166"/>
        <v>0</v>
      </c>
      <c r="AL104" s="200">
        <f t="shared" si="166"/>
        <v>0</v>
      </c>
      <c r="AM104" s="200">
        <f t="shared" si="166"/>
        <v>0</v>
      </c>
      <c r="AN104" s="200">
        <f t="shared" si="166"/>
        <v>0</v>
      </c>
      <c r="AO104" s="200">
        <f t="shared" si="166"/>
        <v>0</v>
      </c>
      <c r="AP104" s="200">
        <f t="shared" si="166"/>
        <v>0</v>
      </c>
    </row>
    <row r="105" spans="2:42" s="147" customFormat="1" x14ac:dyDescent="0.2">
      <c r="B105" s="181" t="str">
        <f>'Conto Economico'!A237</f>
        <v>Imposte Italia</v>
      </c>
      <c r="C105" s="47">
        <f>'Budget 27'!E101</f>
        <v>0</v>
      </c>
      <c r="D105" s="201">
        <f t="shared" ref="D105:AC105" si="167">C105+C105*$C$159</f>
        <v>0</v>
      </c>
      <c r="E105" s="201">
        <f t="shared" si="167"/>
        <v>0</v>
      </c>
      <c r="F105" s="201">
        <f t="shared" si="167"/>
        <v>0</v>
      </c>
      <c r="G105" s="201">
        <f t="shared" si="167"/>
        <v>0</v>
      </c>
      <c r="H105" s="201">
        <f t="shared" si="167"/>
        <v>0</v>
      </c>
      <c r="I105" s="201">
        <f t="shared" si="167"/>
        <v>0</v>
      </c>
      <c r="J105" s="201">
        <f t="shared" si="167"/>
        <v>0</v>
      </c>
      <c r="K105" s="201">
        <f t="shared" si="167"/>
        <v>0</v>
      </c>
      <c r="L105" s="201">
        <f t="shared" si="167"/>
        <v>0</v>
      </c>
      <c r="M105" s="201">
        <f t="shared" si="167"/>
        <v>0</v>
      </c>
      <c r="N105" s="201">
        <f t="shared" si="167"/>
        <v>0</v>
      </c>
      <c r="O105" s="201">
        <f t="shared" si="167"/>
        <v>0</v>
      </c>
      <c r="P105" s="201">
        <f t="shared" si="167"/>
        <v>0</v>
      </c>
      <c r="Q105" s="201">
        <f t="shared" si="167"/>
        <v>0</v>
      </c>
      <c r="R105" s="201">
        <f t="shared" si="167"/>
        <v>0</v>
      </c>
      <c r="S105" s="201">
        <f t="shared" si="167"/>
        <v>0</v>
      </c>
      <c r="T105" s="201">
        <f t="shared" si="167"/>
        <v>0</v>
      </c>
      <c r="U105" s="201">
        <f t="shared" si="167"/>
        <v>0</v>
      </c>
      <c r="V105" s="201">
        <f t="shared" si="167"/>
        <v>0</v>
      </c>
      <c r="W105" s="201">
        <f t="shared" si="167"/>
        <v>0</v>
      </c>
      <c r="X105" s="201">
        <f t="shared" si="167"/>
        <v>0</v>
      </c>
      <c r="Y105" s="201">
        <f t="shared" si="167"/>
        <v>0</v>
      </c>
      <c r="Z105" s="201">
        <f t="shared" si="167"/>
        <v>0</v>
      </c>
      <c r="AA105" s="201">
        <f t="shared" si="167"/>
        <v>0</v>
      </c>
      <c r="AB105" s="201">
        <f t="shared" si="167"/>
        <v>0</v>
      </c>
      <c r="AC105" s="201">
        <f t="shared" si="167"/>
        <v>0</v>
      </c>
      <c r="AD105" s="201"/>
      <c r="AE105" s="201">
        <f t="shared" ref="AE105:AP105" si="168">AD105+AD105*$C$159</f>
        <v>0</v>
      </c>
      <c r="AF105" s="201">
        <f t="shared" si="168"/>
        <v>0</v>
      </c>
      <c r="AG105" s="201">
        <f t="shared" si="168"/>
        <v>0</v>
      </c>
      <c r="AH105" s="201">
        <f t="shared" si="168"/>
        <v>0</v>
      </c>
      <c r="AI105" s="201">
        <f t="shared" si="168"/>
        <v>0</v>
      </c>
      <c r="AJ105" s="201">
        <f t="shared" si="168"/>
        <v>0</v>
      </c>
      <c r="AK105" s="201">
        <f t="shared" si="168"/>
        <v>0</v>
      </c>
      <c r="AL105" s="201">
        <f t="shared" si="168"/>
        <v>0</v>
      </c>
      <c r="AM105" s="201">
        <f t="shared" si="168"/>
        <v>0</v>
      </c>
      <c r="AN105" s="201">
        <f t="shared" si="168"/>
        <v>0</v>
      </c>
      <c r="AO105" s="201">
        <f t="shared" si="168"/>
        <v>0</v>
      </c>
      <c r="AP105" s="201">
        <f t="shared" si="168"/>
        <v>0</v>
      </c>
    </row>
    <row r="106" spans="2:42" s="147" customFormat="1" x14ac:dyDescent="0.2">
      <c r="B106" s="332" t="str">
        <f>'Conto Economico'!A238</f>
        <v>Imposta di Bollo Titoli e CC</v>
      </c>
      <c r="C106" s="47">
        <f>'Budget 27'!E102</f>
        <v>1700</v>
      </c>
      <c r="D106" s="201">
        <f t="shared" ref="D106:J107" si="169">C106+C106*$C$159</f>
        <v>1734</v>
      </c>
      <c r="E106" s="201">
        <f t="shared" si="169"/>
        <v>1768.68</v>
      </c>
      <c r="F106" s="201">
        <f t="shared" si="169"/>
        <v>1804.0536</v>
      </c>
      <c r="G106" s="201">
        <f t="shared" si="169"/>
        <v>1840.1346719999999</v>
      </c>
      <c r="H106" s="201">
        <f t="shared" si="169"/>
        <v>1876.9373654399999</v>
      </c>
      <c r="I106" s="201">
        <f t="shared" si="169"/>
        <v>1914.4761127488</v>
      </c>
      <c r="J106" s="201">
        <f t="shared" si="169"/>
        <v>1952.765635003776</v>
      </c>
      <c r="K106" s="201"/>
      <c r="L106" s="201"/>
      <c r="M106" s="201"/>
      <c r="N106" s="201"/>
      <c r="O106" s="201"/>
      <c r="P106" s="201"/>
      <c r="Q106" s="201"/>
      <c r="R106" s="201"/>
      <c r="S106" s="201"/>
      <c r="T106" s="201"/>
      <c r="U106" s="201"/>
      <c r="V106" s="201"/>
      <c r="W106" s="201"/>
      <c r="X106" s="201"/>
      <c r="Y106" s="201"/>
      <c r="Z106" s="201"/>
      <c r="AA106" s="201"/>
      <c r="AB106" s="201"/>
      <c r="AC106" s="201"/>
      <c r="AD106" s="201"/>
      <c r="AE106" s="201"/>
      <c r="AF106" s="201"/>
      <c r="AG106" s="201"/>
      <c r="AH106" s="201"/>
      <c r="AI106" s="201"/>
      <c r="AJ106" s="201"/>
      <c r="AK106" s="201"/>
      <c r="AL106" s="201"/>
      <c r="AM106" s="201"/>
      <c r="AN106" s="201"/>
      <c r="AO106" s="201"/>
      <c r="AP106" s="201"/>
    </row>
    <row r="107" spans="2:42" s="147" customFormat="1" x14ac:dyDescent="0.2">
      <c r="B107" s="181" t="str">
        <f>'Conto Economico'!A239</f>
        <v>Commercialista Italia</v>
      </c>
      <c r="C107" s="47">
        <f>'Budget 27'!E103</f>
        <v>0</v>
      </c>
      <c r="D107" s="201">
        <f t="shared" si="169"/>
        <v>0</v>
      </c>
      <c r="E107" s="201">
        <f t="shared" si="169"/>
        <v>0</v>
      </c>
      <c r="F107" s="201">
        <f t="shared" si="169"/>
        <v>0</v>
      </c>
      <c r="G107" s="201">
        <f t="shared" si="169"/>
        <v>0</v>
      </c>
      <c r="H107" s="201">
        <f t="shared" si="169"/>
        <v>0</v>
      </c>
      <c r="I107" s="201">
        <f t="shared" si="169"/>
        <v>0</v>
      </c>
      <c r="J107" s="201">
        <f t="shared" si="169"/>
        <v>0</v>
      </c>
      <c r="K107" s="201">
        <f t="shared" ref="K107:AP107" si="170">J107+J107*$C$159</f>
        <v>0</v>
      </c>
      <c r="L107" s="201">
        <f t="shared" si="170"/>
        <v>0</v>
      </c>
      <c r="M107" s="201">
        <f t="shared" si="170"/>
        <v>0</v>
      </c>
      <c r="N107" s="201">
        <f t="shared" si="170"/>
        <v>0</v>
      </c>
      <c r="O107" s="201">
        <f t="shared" si="170"/>
        <v>0</v>
      </c>
      <c r="P107" s="201">
        <f t="shared" si="170"/>
        <v>0</v>
      </c>
      <c r="Q107" s="201">
        <f t="shared" si="170"/>
        <v>0</v>
      </c>
      <c r="R107" s="201">
        <f t="shared" si="170"/>
        <v>0</v>
      </c>
      <c r="S107" s="201">
        <f t="shared" si="170"/>
        <v>0</v>
      </c>
      <c r="T107" s="201">
        <f t="shared" si="170"/>
        <v>0</v>
      </c>
      <c r="U107" s="201">
        <f t="shared" si="170"/>
        <v>0</v>
      </c>
      <c r="V107" s="201">
        <f t="shared" si="170"/>
        <v>0</v>
      </c>
      <c r="W107" s="201">
        <f t="shared" si="170"/>
        <v>0</v>
      </c>
      <c r="X107" s="201">
        <f t="shared" si="170"/>
        <v>0</v>
      </c>
      <c r="Y107" s="201">
        <f t="shared" si="170"/>
        <v>0</v>
      </c>
      <c r="Z107" s="201">
        <f t="shared" si="170"/>
        <v>0</v>
      </c>
      <c r="AA107" s="201">
        <f t="shared" si="170"/>
        <v>0</v>
      </c>
      <c r="AB107" s="201">
        <f t="shared" si="170"/>
        <v>0</v>
      </c>
      <c r="AC107" s="201">
        <f t="shared" si="170"/>
        <v>0</v>
      </c>
      <c r="AD107" s="201">
        <f t="shared" si="170"/>
        <v>0</v>
      </c>
      <c r="AE107" s="201">
        <f t="shared" si="170"/>
        <v>0</v>
      </c>
      <c r="AF107" s="201">
        <f t="shared" si="170"/>
        <v>0</v>
      </c>
      <c r="AG107" s="201">
        <f t="shared" si="170"/>
        <v>0</v>
      </c>
      <c r="AH107" s="201">
        <f t="shared" si="170"/>
        <v>0</v>
      </c>
      <c r="AI107" s="201">
        <f t="shared" si="170"/>
        <v>0</v>
      </c>
      <c r="AJ107" s="201">
        <f t="shared" si="170"/>
        <v>0</v>
      </c>
      <c r="AK107" s="201">
        <f t="shared" si="170"/>
        <v>0</v>
      </c>
      <c r="AL107" s="201">
        <f t="shared" si="170"/>
        <v>0</v>
      </c>
      <c r="AM107" s="201">
        <f t="shared" si="170"/>
        <v>0</v>
      </c>
      <c r="AN107" s="201">
        <f t="shared" si="170"/>
        <v>0</v>
      </c>
      <c r="AO107" s="201">
        <f t="shared" si="170"/>
        <v>0</v>
      </c>
      <c r="AP107" s="201">
        <f t="shared" si="170"/>
        <v>0</v>
      </c>
    </row>
    <row r="108" spans="2:42" s="147" customFormat="1" x14ac:dyDescent="0.2">
      <c r="B108" s="181"/>
      <c r="C108" s="47"/>
      <c r="D108" s="201"/>
      <c r="E108" s="201"/>
      <c r="F108" s="201"/>
      <c r="G108" s="201"/>
      <c r="H108" s="201"/>
      <c r="I108" s="201"/>
      <c r="J108" s="201"/>
      <c r="K108" s="201"/>
      <c r="L108" s="201"/>
      <c r="M108" s="201"/>
      <c r="N108" s="201"/>
      <c r="O108" s="201"/>
      <c r="P108" s="201"/>
      <c r="Q108" s="201"/>
      <c r="R108" s="201"/>
      <c r="S108" s="201"/>
      <c r="T108" s="201"/>
      <c r="U108" s="201"/>
      <c r="V108" s="201"/>
      <c r="W108" s="201"/>
      <c r="X108" s="201"/>
      <c r="Y108" s="201"/>
      <c r="Z108" s="201"/>
      <c r="AA108" s="201"/>
      <c r="AB108" s="201"/>
      <c r="AC108" s="201"/>
      <c r="AD108" s="201"/>
      <c r="AE108" s="201"/>
      <c r="AF108" s="201"/>
      <c r="AG108" s="201"/>
      <c r="AH108" s="201"/>
      <c r="AI108" s="201"/>
      <c r="AJ108" s="201"/>
      <c r="AK108" s="201"/>
      <c r="AL108" s="201"/>
      <c r="AM108" s="201"/>
      <c r="AN108" s="201"/>
      <c r="AO108" s="201"/>
      <c r="AP108" s="201"/>
    </row>
    <row r="109" spans="2:42" s="147" customFormat="1" x14ac:dyDescent="0.2">
      <c r="B109" s="199" t="str">
        <f>'Conto Economico'!A241</f>
        <v>Commissioni Bancarie</v>
      </c>
      <c r="C109" s="113">
        <f>SUM(C110:C112)</f>
        <v>5075.5</v>
      </c>
      <c r="D109" s="200">
        <f t="shared" ref="D109:AP109" si="171">SUM(D110:D112)</f>
        <v>5177.01</v>
      </c>
      <c r="E109" s="200">
        <f t="shared" ca="1" si="171"/>
        <v>7237.3292305354562</v>
      </c>
      <c r="F109" s="200">
        <f t="shared" ca="1" si="171"/>
        <v>7037.9740707330329</v>
      </c>
      <c r="G109" s="200">
        <f t="shared" ca="1" si="171"/>
        <v>6831.4308855418212</v>
      </c>
      <c r="H109" s="200">
        <f t="shared" ca="1" si="171"/>
        <v>6717.9098630477492</v>
      </c>
      <c r="I109" s="200">
        <f t="shared" ca="1" si="171"/>
        <v>6598.3698333596967</v>
      </c>
      <c r="J109" s="200">
        <f t="shared" ca="1" si="171"/>
        <v>6472.6341633237571</v>
      </c>
      <c r="K109" s="200">
        <f t="shared" ca="1" si="171"/>
        <v>6421.8637814346703</v>
      </c>
      <c r="L109" s="200">
        <f t="shared" ca="1" si="171"/>
        <v>6468.1927321307749</v>
      </c>
      <c r="M109" s="200">
        <f t="shared" ca="1" si="171"/>
        <v>6510.3098126290188</v>
      </c>
      <c r="N109" s="200">
        <f t="shared" ca="1" si="171"/>
        <v>6548.0561318870314</v>
      </c>
      <c r="O109" s="200">
        <f t="shared" ca="1" si="171"/>
        <v>6648.5550402603203</v>
      </c>
      <c r="P109" s="200">
        <f t="shared" ca="1" si="171"/>
        <v>5499.2521691749453</v>
      </c>
      <c r="Q109" s="200">
        <f t="shared" ca="1" si="171"/>
        <v>5578.6994576378702</v>
      </c>
      <c r="R109" s="200">
        <f t="shared" ca="1" si="171"/>
        <v>5655.2112725550533</v>
      </c>
      <c r="S109" s="200">
        <f t="shared" ca="1" si="171"/>
        <v>5728.661432134144</v>
      </c>
      <c r="T109" s="200">
        <f t="shared" ca="1" si="171"/>
        <v>5798.9202266823686</v>
      </c>
      <c r="U109" s="200">
        <f t="shared" ca="1" si="171"/>
        <v>5884.2324014044625</v>
      </c>
      <c r="V109" s="200">
        <f t="shared" ca="1" si="171"/>
        <v>5966.6853406724977</v>
      </c>
      <c r="W109" s="200">
        <f t="shared" ca="1" si="171"/>
        <v>6046.1532674558111</v>
      </c>
      <c r="X109" s="200">
        <f t="shared" ca="1" si="171"/>
        <v>6175.4440027406945</v>
      </c>
      <c r="Y109" s="200">
        <f t="shared" ca="1" si="171"/>
        <v>6302.1641155966045</v>
      </c>
      <c r="Z109" s="200">
        <f t="shared" ca="1" si="171"/>
        <v>6426.1855412827053</v>
      </c>
      <c r="AA109" s="200">
        <f t="shared" ca="1" si="171"/>
        <v>6547.3765143768796</v>
      </c>
      <c r="AB109" s="200">
        <f t="shared" ca="1" si="171"/>
        <v>6665.6014780939668</v>
      </c>
      <c r="AC109" s="200">
        <f t="shared" ca="1" si="171"/>
        <v>6780.7209915535232</v>
      </c>
      <c r="AD109" s="200">
        <f t="shared" ca="1" si="171"/>
        <v>6892.5916349528798</v>
      </c>
      <c r="AE109" s="200">
        <f t="shared" ca="1" si="171"/>
        <v>7084.7186267089455</v>
      </c>
      <c r="AF109" s="200">
        <f t="shared" ca="1" si="171"/>
        <v>7277.4414090886594</v>
      </c>
      <c r="AG109" s="200">
        <f t="shared" ca="1" si="171"/>
        <v>7470.7184176036599</v>
      </c>
      <c r="AH109" s="200">
        <f t="shared" ca="1" si="171"/>
        <v>7664.5063907121612</v>
      </c>
      <c r="AI109" s="200">
        <f t="shared" ca="1" si="171"/>
        <v>7858.7603222310681</v>
      </c>
      <c r="AJ109" s="200">
        <f t="shared" ca="1" si="171"/>
        <v>8053.4334125881414</v>
      </c>
      <c r="AK109" s="200">
        <f t="shared" ca="1" si="171"/>
        <v>8198.4797800714223</v>
      </c>
      <c r="AL109" s="200">
        <f t="shared" ca="1" si="171"/>
        <v>8447.5049627024509</v>
      </c>
      <c r="AM109" s="200">
        <f t="shared" ca="1" si="171"/>
        <v>8698.5695875434067</v>
      </c>
      <c r="AN109" s="200">
        <f t="shared" ca="1" si="171"/>
        <v>8951.6635275416447</v>
      </c>
      <c r="AO109" s="200">
        <f t="shared" ca="1" si="171"/>
        <v>9206.7755985321637</v>
      </c>
      <c r="AP109" s="200">
        <f t="shared" ca="1" si="171"/>
        <v>9463.8935242408661</v>
      </c>
    </row>
    <row r="110" spans="2:42" s="147" customFormat="1" x14ac:dyDescent="0.2">
      <c r="B110" s="181" t="str">
        <f>'Conto Economico'!A242</f>
        <v>Commissioni Amex</v>
      </c>
      <c r="C110" s="47">
        <f>'Budget 27'!E106</f>
        <v>25.5</v>
      </c>
      <c r="D110" s="201">
        <f t="shared" ref="D110:AJ110" si="172">C110+C110*$C$159</f>
        <v>26.01</v>
      </c>
      <c r="E110" s="201">
        <f t="shared" si="172"/>
        <v>26.530200000000001</v>
      </c>
      <c r="F110" s="201">
        <f t="shared" si="172"/>
        <v>27.060804000000001</v>
      </c>
      <c r="G110" s="201">
        <f t="shared" si="172"/>
        <v>27.602020080000003</v>
      </c>
      <c r="H110" s="201">
        <f t="shared" si="172"/>
        <v>28.154060481600002</v>
      </c>
      <c r="I110" s="201">
        <f t="shared" si="172"/>
        <v>28.717141691232001</v>
      </c>
      <c r="J110" s="201">
        <f t="shared" si="172"/>
        <v>29.291484525056642</v>
      </c>
      <c r="K110" s="201">
        <f t="shared" si="172"/>
        <v>29.877314215557774</v>
      </c>
      <c r="L110" s="201">
        <f t="shared" si="172"/>
        <v>30.474860499868932</v>
      </c>
      <c r="M110" s="201">
        <f t="shared" si="172"/>
        <v>31.08435770986631</v>
      </c>
      <c r="N110" s="201">
        <f t="shared" si="172"/>
        <v>31.706044864063635</v>
      </c>
      <c r="O110" s="201">
        <f t="shared" si="172"/>
        <v>32.340165761344906</v>
      </c>
      <c r="P110" s="201">
        <f t="shared" si="172"/>
        <v>32.986969076571803</v>
      </c>
      <c r="Q110" s="201">
        <f t="shared" si="172"/>
        <v>33.646708458103241</v>
      </c>
      <c r="R110" s="201">
        <f t="shared" si="172"/>
        <v>34.319642627265303</v>
      </c>
      <c r="S110" s="201">
        <f t="shared" si="172"/>
        <v>35.006035479810606</v>
      </c>
      <c r="T110" s="201">
        <f t="shared" si="172"/>
        <v>35.706156189406819</v>
      </c>
      <c r="U110" s="201">
        <f t="shared" si="172"/>
        <v>36.420279313194953</v>
      </c>
      <c r="V110" s="201">
        <f t="shared" si="172"/>
        <v>37.14868489945885</v>
      </c>
      <c r="W110" s="201">
        <f t="shared" si="172"/>
        <v>37.891658597448028</v>
      </c>
      <c r="X110" s="201">
        <f t="shared" si="172"/>
        <v>38.649491769396988</v>
      </c>
      <c r="Y110" s="201">
        <f t="shared" si="172"/>
        <v>39.422481604784927</v>
      </c>
      <c r="Z110" s="201">
        <f t="shared" si="172"/>
        <v>40.210931236880626</v>
      </c>
      <c r="AA110" s="201">
        <f t="shared" si="172"/>
        <v>41.015149861618241</v>
      </c>
      <c r="AB110" s="201">
        <f t="shared" si="172"/>
        <v>41.835452858850608</v>
      </c>
      <c r="AC110" s="201">
        <f t="shared" si="172"/>
        <v>42.672161916027619</v>
      </c>
      <c r="AD110" s="201">
        <f t="shared" si="172"/>
        <v>43.52560515434817</v>
      </c>
      <c r="AE110" s="201">
        <f t="shared" si="172"/>
        <v>44.396117257435137</v>
      </c>
      <c r="AF110" s="201">
        <f t="shared" si="172"/>
        <v>45.284039602583839</v>
      </c>
      <c r="AG110" s="201">
        <f t="shared" si="172"/>
        <v>46.189720394635515</v>
      </c>
      <c r="AH110" s="201">
        <f t="shared" si="172"/>
        <v>47.113514802528222</v>
      </c>
      <c r="AI110" s="201">
        <f t="shared" si="172"/>
        <v>48.055785098578788</v>
      </c>
      <c r="AJ110" s="201">
        <f t="shared" si="172"/>
        <v>49.016900800550367</v>
      </c>
      <c r="AK110" s="201">
        <v>0</v>
      </c>
      <c r="AL110" s="201">
        <f>AK110+AK110*$C$159</f>
        <v>0</v>
      </c>
      <c r="AM110" s="201">
        <f>AL110+AL110*$C$159</f>
        <v>0</v>
      </c>
      <c r="AN110" s="201">
        <f>AM110+AM110*$C$159</f>
        <v>0</v>
      </c>
      <c r="AO110" s="201">
        <f>AN110+AN110*$C$159</f>
        <v>0</v>
      </c>
      <c r="AP110" s="201">
        <f>AO110+AO110*$C$159</f>
        <v>0</v>
      </c>
    </row>
    <row r="111" spans="2:42" s="147" customFormat="1" x14ac:dyDescent="0.2">
      <c r="B111" s="332" t="str">
        <f>'Conto Economico'!A243</f>
        <v>Commissioni Bancarie su Investimenti</v>
      </c>
      <c r="C111" s="47">
        <f>'Budget 27'!E107</f>
        <v>5000</v>
      </c>
      <c r="D111" s="201">
        <f>C111+C111*$C$159</f>
        <v>5100</v>
      </c>
      <c r="E111" s="331">
        <f t="shared" ref="E111:AP111" ca="1" si="173">E9*$C$170</f>
        <v>7158.7790305354556</v>
      </c>
      <c r="F111" s="331">
        <f t="shared" ca="1" si="173"/>
        <v>6957.8528667330329</v>
      </c>
      <c r="G111" s="331">
        <f t="shared" ca="1" si="173"/>
        <v>6749.7072574618205</v>
      </c>
      <c r="H111" s="331">
        <f t="shared" ca="1" si="173"/>
        <v>6634.5517624061495</v>
      </c>
      <c r="I111" s="331">
        <f t="shared" ca="1" si="173"/>
        <v>6513.3445707052642</v>
      </c>
      <c r="J111" s="331">
        <f t="shared" ca="1" si="173"/>
        <v>6385.9083954162361</v>
      </c>
      <c r="K111" s="331">
        <f t="shared" ca="1" si="173"/>
        <v>6333.4034981689992</v>
      </c>
      <c r="L111" s="331">
        <f t="shared" ca="1" si="173"/>
        <v>6377.9632431997907</v>
      </c>
      <c r="M111" s="331">
        <f t="shared" ca="1" si="173"/>
        <v>6418.2757339194141</v>
      </c>
      <c r="N111" s="331">
        <f t="shared" ca="1" si="173"/>
        <v>6454.1813716032357</v>
      </c>
      <c r="O111" s="331">
        <f t="shared" ca="1" si="173"/>
        <v>6552.8027847708481</v>
      </c>
      <c r="P111" s="331">
        <f t="shared" ca="1" si="173"/>
        <v>5401.5848685756837</v>
      </c>
      <c r="Q111" s="331">
        <f t="shared" ca="1" si="173"/>
        <v>5479.078811026623</v>
      </c>
      <c r="R111" s="331">
        <f t="shared" ca="1" si="173"/>
        <v>5553.5982130115817</v>
      </c>
      <c r="S111" s="331">
        <f t="shared" ca="1" si="173"/>
        <v>5625.0161113998029</v>
      </c>
      <c r="T111" s="331">
        <f t="shared" ca="1" si="173"/>
        <v>5693.2019995333403</v>
      </c>
      <c r="U111" s="331">
        <f t="shared" ca="1" si="173"/>
        <v>5776.3998097124531</v>
      </c>
      <c r="V111" s="331">
        <f t="shared" ca="1" si="173"/>
        <v>5856.6960971466488</v>
      </c>
      <c r="W111" s="331">
        <f t="shared" ca="1" si="173"/>
        <v>5933.9642390594454</v>
      </c>
      <c r="X111" s="331">
        <f t="shared" ca="1" si="173"/>
        <v>6061.0111937764013</v>
      </c>
      <c r="Y111" s="331">
        <f t="shared" ca="1" si="173"/>
        <v>6185.4426504530256</v>
      </c>
      <c r="Z111" s="331">
        <f t="shared" ca="1" si="173"/>
        <v>6307.1296468362552</v>
      </c>
      <c r="AA111" s="331">
        <f t="shared" ca="1" si="173"/>
        <v>6425.9395020415004</v>
      </c>
      <c r="AB111" s="331">
        <f t="shared" ca="1" si="173"/>
        <v>6541.7357255118795</v>
      </c>
      <c r="AC111" s="331">
        <f t="shared" ca="1" si="173"/>
        <v>6654.3779239197938</v>
      </c>
      <c r="AD111" s="331">
        <f t="shared" ca="1" si="173"/>
        <v>6763.7217059664763</v>
      </c>
      <c r="AE111" s="331">
        <f t="shared" ca="1" si="173"/>
        <v>6953.2712991428134</v>
      </c>
      <c r="AF111" s="331">
        <f t="shared" ca="1" si="173"/>
        <v>7143.3651349712054</v>
      </c>
      <c r="AG111" s="331">
        <f t="shared" ca="1" si="173"/>
        <v>7333.9606180038563</v>
      </c>
      <c r="AH111" s="331">
        <f t="shared" ca="1" si="173"/>
        <v>7525.0134351203624</v>
      </c>
      <c r="AI111" s="331">
        <f t="shared" ca="1" si="173"/>
        <v>7716.4775075274329</v>
      </c>
      <c r="AJ111" s="331">
        <f t="shared" ca="1" si="173"/>
        <v>7908.3049415904334</v>
      </c>
      <c r="AK111" s="331">
        <f t="shared" ca="1" si="173"/>
        <v>8100.4459784703213</v>
      </c>
      <c r="AL111" s="331">
        <f t="shared" ca="1" si="173"/>
        <v>8347.5104850693278</v>
      </c>
      <c r="AM111" s="331">
        <f t="shared" ca="1" si="173"/>
        <v>8596.5752203576212</v>
      </c>
      <c r="AN111" s="331">
        <f t="shared" ca="1" si="173"/>
        <v>8847.629273012144</v>
      </c>
      <c r="AO111" s="331">
        <f t="shared" ca="1" si="173"/>
        <v>9100.6606589120729</v>
      </c>
      <c r="AP111" s="331">
        <f t="shared" ca="1" si="173"/>
        <v>9355.6562858283742</v>
      </c>
    </row>
    <row r="112" spans="2:42" s="147" customFormat="1" x14ac:dyDescent="0.2">
      <c r="B112" s="181" t="str">
        <f>'Conto Economico'!A244</f>
        <v>Altre Commissioni Bancarie</v>
      </c>
      <c r="C112" s="47">
        <f>'Budget 27'!E108</f>
        <v>50</v>
      </c>
      <c r="D112" s="201">
        <f>C112+C112*$C$159</f>
        <v>51</v>
      </c>
      <c r="E112" s="201">
        <f t="shared" ref="E112:AP112" si="174">D112+D112*$C$159</f>
        <v>52.02</v>
      </c>
      <c r="F112" s="201">
        <f t="shared" si="174"/>
        <v>53.060400000000001</v>
      </c>
      <c r="G112" s="201">
        <f t="shared" si="174"/>
        <v>54.121608000000002</v>
      </c>
      <c r="H112" s="201">
        <f t="shared" si="174"/>
        <v>55.204040160000005</v>
      </c>
      <c r="I112" s="201">
        <f t="shared" si="174"/>
        <v>56.308120963200004</v>
      </c>
      <c r="J112" s="201">
        <f t="shared" si="174"/>
        <v>57.434283382464002</v>
      </c>
      <c r="K112" s="201">
        <f t="shared" si="174"/>
        <v>58.582969050113284</v>
      </c>
      <c r="L112" s="201">
        <f t="shared" si="174"/>
        <v>59.754628431115549</v>
      </c>
      <c r="M112" s="201">
        <f t="shared" si="174"/>
        <v>60.949720999737863</v>
      </c>
      <c r="N112" s="201">
        <f t="shared" si="174"/>
        <v>62.168715419732621</v>
      </c>
      <c r="O112" s="201">
        <f t="shared" si="174"/>
        <v>63.41208972812727</v>
      </c>
      <c r="P112" s="201">
        <f t="shared" si="174"/>
        <v>64.680331522689812</v>
      </c>
      <c r="Q112" s="201">
        <f t="shared" si="174"/>
        <v>65.973938153143607</v>
      </c>
      <c r="R112" s="201">
        <f t="shared" si="174"/>
        <v>67.293416916206482</v>
      </c>
      <c r="S112" s="201">
        <f t="shared" si="174"/>
        <v>68.639285254530606</v>
      </c>
      <c r="T112" s="201">
        <f t="shared" si="174"/>
        <v>70.012070959621212</v>
      </c>
      <c r="U112" s="201">
        <f t="shared" si="174"/>
        <v>71.412312378813638</v>
      </c>
      <c r="V112" s="201">
        <f t="shared" si="174"/>
        <v>72.840558626389907</v>
      </c>
      <c r="W112" s="201">
        <f t="shared" si="174"/>
        <v>74.2973697989177</v>
      </c>
      <c r="X112" s="201">
        <f t="shared" si="174"/>
        <v>75.783317194896057</v>
      </c>
      <c r="Y112" s="201">
        <f t="shared" si="174"/>
        <v>77.298983538793976</v>
      </c>
      <c r="Z112" s="201">
        <f t="shared" si="174"/>
        <v>78.844963209569855</v>
      </c>
      <c r="AA112" s="201">
        <f t="shared" si="174"/>
        <v>80.421862473761252</v>
      </c>
      <c r="AB112" s="201">
        <f t="shared" si="174"/>
        <v>82.030299723236482</v>
      </c>
      <c r="AC112" s="201">
        <f t="shared" si="174"/>
        <v>83.670905717701217</v>
      </c>
      <c r="AD112" s="201">
        <f t="shared" si="174"/>
        <v>85.344323832055238</v>
      </c>
      <c r="AE112" s="201">
        <f t="shared" si="174"/>
        <v>87.051210308696341</v>
      </c>
      <c r="AF112" s="201">
        <f t="shared" si="174"/>
        <v>88.792234514870273</v>
      </c>
      <c r="AG112" s="201">
        <f t="shared" si="174"/>
        <v>90.568079205167678</v>
      </c>
      <c r="AH112" s="201">
        <f t="shared" si="174"/>
        <v>92.37944078927103</v>
      </c>
      <c r="AI112" s="201">
        <f t="shared" si="174"/>
        <v>94.227029605056444</v>
      </c>
      <c r="AJ112" s="201">
        <f t="shared" si="174"/>
        <v>96.111570197157576</v>
      </c>
      <c r="AK112" s="201">
        <f t="shared" si="174"/>
        <v>98.033801601100734</v>
      </c>
      <c r="AL112" s="201">
        <f t="shared" si="174"/>
        <v>99.994477633122756</v>
      </c>
      <c r="AM112" s="201">
        <f t="shared" si="174"/>
        <v>101.99436718578521</v>
      </c>
      <c r="AN112" s="201">
        <f t="shared" si="174"/>
        <v>104.03425452950091</v>
      </c>
      <c r="AO112" s="201">
        <f t="shared" si="174"/>
        <v>106.11493962009094</v>
      </c>
      <c r="AP112" s="201">
        <f t="shared" si="174"/>
        <v>108.23723841249276</v>
      </c>
    </row>
    <row r="113" spans="2:42" s="147" customFormat="1" x14ac:dyDescent="0.2">
      <c r="C113" s="47"/>
    </row>
    <row r="114" spans="2:42" s="147" customFormat="1" x14ac:dyDescent="0.2">
      <c r="B114" s="199" t="str">
        <f>'Conto Economico'!A246</f>
        <v>Altre Spese</v>
      </c>
      <c r="C114" s="113">
        <f ca="1">SUM(C115:C121)</f>
        <v>7971.1333333333332</v>
      </c>
      <c r="D114" s="200">
        <f t="shared" ref="D114:AP114" ca="1" si="175">SUM(D115:D121)</f>
        <v>8130.5560000000005</v>
      </c>
      <c r="E114" s="200">
        <f t="shared" si="175"/>
        <v>6159.1680000000006</v>
      </c>
      <c r="F114" s="200">
        <f t="shared" si="175"/>
        <v>6282.3513600000006</v>
      </c>
      <c r="G114" s="200">
        <f t="shared" si="175"/>
        <v>3095.7559775999998</v>
      </c>
      <c r="H114" s="200">
        <f t="shared" si="175"/>
        <v>3157.6710971520001</v>
      </c>
      <c r="I114" s="200">
        <f t="shared" si="175"/>
        <v>3220.8245190950397</v>
      </c>
      <c r="J114" s="200">
        <f t="shared" si="175"/>
        <v>3285.2410094769407</v>
      </c>
      <c r="K114" s="200">
        <f t="shared" si="175"/>
        <v>3350.9458296664793</v>
      </c>
      <c r="L114" s="200">
        <f t="shared" si="175"/>
        <v>3417.9647462598091</v>
      </c>
      <c r="M114" s="200">
        <f t="shared" si="175"/>
        <v>3486.3240411850052</v>
      </c>
      <c r="N114" s="200">
        <f t="shared" si="175"/>
        <v>3556.0505220087048</v>
      </c>
      <c r="O114" s="200">
        <f t="shared" si="175"/>
        <v>3627.1715324488796</v>
      </c>
      <c r="P114" s="200">
        <f t="shared" si="175"/>
        <v>3699.7149630978574</v>
      </c>
      <c r="Q114" s="200">
        <f t="shared" si="175"/>
        <v>3773.7092623598141</v>
      </c>
      <c r="R114" s="200">
        <f t="shared" si="175"/>
        <v>3849.1834476070103</v>
      </c>
      <c r="S114" s="200">
        <f t="shared" si="175"/>
        <v>3926.1671165591511</v>
      </c>
      <c r="T114" s="200">
        <f t="shared" si="175"/>
        <v>4004.690458890334</v>
      </c>
      <c r="U114" s="200">
        <f t="shared" si="175"/>
        <v>4084.7842680681406</v>
      </c>
      <c r="V114" s="200">
        <f t="shared" si="175"/>
        <v>4166.4799534295034</v>
      </c>
      <c r="W114" s="200">
        <f t="shared" si="175"/>
        <v>4249.8095524980936</v>
      </c>
      <c r="X114" s="200">
        <f t="shared" si="175"/>
        <v>4334.805743548055</v>
      </c>
      <c r="Y114" s="200">
        <f t="shared" si="175"/>
        <v>4421.5018584190157</v>
      </c>
      <c r="Z114" s="200">
        <f t="shared" si="175"/>
        <v>4509.931895587396</v>
      </c>
      <c r="AA114" s="200">
        <f t="shared" si="175"/>
        <v>4600.1305334991439</v>
      </c>
      <c r="AB114" s="200">
        <f t="shared" si="175"/>
        <v>4692.1331441691273</v>
      </c>
      <c r="AC114" s="200">
        <f t="shared" si="175"/>
        <v>4785.9758070525095</v>
      </c>
      <c r="AD114" s="200">
        <f t="shared" si="175"/>
        <v>4881.6953231935595</v>
      </c>
      <c r="AE114" s="200">
        <f t="shared" si="175"/>
        <v>4979.3292296574309</v>
      </c>
      <c r="AF114" s="200">
        <f t="shared" si="175"/>
        <v>5078.9158142505794</v>
      </c>
      <c r="AG114" s="200">
        <f t="shared" si="175"/>
        <v>5180.4941305355915</v>
      </c>
      <c r="AH114" s="200">
        <f t="shared" si="175"/>
        <v>5284.1040131463023</v>
      </c>
      <c r="AI114" s="200">
        <f t="shared" si="175"/>
        <v>5389.7860934092287</v>
      </c>
      <c r="AJ114" s="200">
        <f t="shared" si="175"/>
        <v>5497.5818152774127</v>
      </c>
      <c r="AK114" s="200">
        <f t="shared" si="175"/>
        <v>5607.5334515829618</v>
      </c>
      <c r="AL114" s="200">
        <f t="shared" si="175"/>
        <v>5719.684120614621</v>
      </c>
      <c r="AM114" s="200">
        <f t="shared" si="175"/>
        <v>5834.077803026913</v>
      </c>
      <c r="AN114" s="200">
        <f t="shared" si="175"/>
        <v>5950.7593590874512</v>
      </c>
      <c r="AO114" s="200">
        <f t="shared" si="175"/>
        <v>6069.7745462691992</v>
      </c>
      <c r="AP114" s="200">
        <f t="shared" si="175"/>
        <v>6191.1700371945826</v>
      </c>
    </row>
    <row r="115" spans="2:42" s="147" customFormat="1" x14ac:dyDescent="0.2">
      <c r="B115" s="181" t="str">
        <f>'Conto Economico'!A247</f>
        <v>Animali domestici</v>
      </c>
      <c r="C115" s="47">
        <f>'Budget 27'!E111</f>
        <v>3060</v>
      </c>
      <c r="D115" s="201">
        <f t="shared" ref="D115:F117" si="176">C115+C115*$C$159</f>
        <v>3121.2</v>
      </c>
      <c r="E115" s="201">
        <f t="shared" si="176"/>
        <v>3183.6239999999998</v>
      </c>
      <c r="F115" s="201">
        <f t="shared" si="176"/>
        <v>3247.29648</v>
      </c>
      <c r="G115" s="201">
        <v>0</v>
      </c>
      <c r="H115" s="201">
        <f t="shared" ref="H115:AP115" si="177">G115+G115*$C$159</f>
        <v>0</v>
      </c>
      <c r="I115" s="201">
        <f t="shared" si="177"/>
        <v>0</v>
      </c>
      <c r="J115" s="201">
        <f t="shared" si="177"/>
        <v>0</v>
      </c>
      <c r="K115" s="201">
        <f t="shared" si="177"/>
        <v>0</v>
      </c>
      <c r="L115" s="201">
        <f t="shared" si="177"/>
        <v>0</v>
      </c>
      <c r="M115" s="201">
        <f t="shared" si="177"/>
        <v>0</v>
      </c>
      <c r="N115" s="201">
        <f t="shared" si="177"/>
        <v>0</v>
      </c>
      <c r="O115" s="201">
        <f t="shared" si="177"/>
        <v>0</v>
      </c>
      <c r="P115" s="201">
        <f t="shared" si="177"/>
        <v>0</v>
      </c>
      <c r="Q115" s="201">
        <f t="shared" si="177"/>
        <v>0</v>
      </c>
      <c r="R115" s="201">
        <f t="shared" si="177"/>
        <v>0</v>
      </c>
      <c r="S115" s="201">
        <f t="shared" si="177"/>
        <v>0</v>
      </c>
      <c r="T115" s="201">
        <f t="shared" si="177"/>
        <v>0</v>
      </c>
      <c r="U115" s="201">
        <f t="shared" si="177"/>
        <v>0</v>
      </c>
      <c r="V115" s="201">
        <f t="shared" si="177"/>
        <v>0</v>
      </c>
      <c r="W115" s="201">
        <f t="shared" si="177"/>
        <v>0</v>
      </c>
      <c r="X115" s="201">
        <f t="shared" si="177"/>
        <v>0</v>
      </c>
      <c r="Y115" s="201">
        <f t="shared" si="177"/>
        <v>0</v>
      </c>
      <c r="Z115" s="201">
        <f t="shared" si="177"/>
        <v>0</v>
      </c>
      <c r="AA115" s="201">
        <f t="shared" si="177"/>
        <v>0</v>
      </c>
      <c r="AB115" s="201">
        <f t="shared" si="177"/>
        <v>0</v>
      </c>
      <c r="AC115" s="201">
        <f t="shared" si="177"/>
        <v>0</v>
      </c>
      <c r="AD115" s="201">
        <f t="shared" si="177"/>
        <v>0</v>
      </c>
      <c r="AE115" s="201">
        <f t="shared" si="177"/>
        <v>0</v>
      </c>
      <c r="AF115" s="201">
        <f t="shared" si="177"/>
        <v>0</v>
      </c>
      <c r="AG115" s="201">
        <f t="shared" si="177"/>
        <v>0</v>
      </c>
      <c r="AH115" s="201">
        <f t="shared" si="177"/>
        <v>0</v>
      </c>
      <c r="AI115" s="201">
        <f t="shared" si="177"/>
        <v>0</v>
      </c>
      <c r="AJ115" s="201">
        <f t="shared" si="177"/>
        <v>0</v>
      </c>
      <c r="AK115" s="201">
        <f t="shared" si="177"/>
        <v>0</v>
      </c>
      <c r="AL115" s="201">
        <f t="shared" si="177"/>
        <v>0</v>
      </c>
      <c r="AM115" s="201">
        <f t="shared" si="177"/>
        <v>0</v>
      </c>
      <c r="AN115" s="201">
        <f t="shared" si="177"/>
        <v>0</v>
      </c>
      <c r="AO115" s="201">
        <f t="shared" si="177"/>
        <v>0</v>
      </c>
      <c r="AP115" s="201">
        <f t="shared" si="177"/>
        <v>0</v>
      </c>
    </row>
    <row r="116" spans="2:42" s="147" customFormat="1" x14ac:dyDescent="0.2">
      <c r="B116" s="181" t="str">
        <f>'Conto Economico'!A248</f>
        <v>Eventi musicali - Teatro - Musei</v>
      </c>
      <c r="C116" s="47">
        <f>'Budget 27'!E112</f>
        <v>510</v>
      </c>
      <c r="D116" s="201">
        <f t="shared" si="176"/>
        <v>520.20000000000005</v>
      </c>
      <c r="E116" s="201">
        <f t="shared" si="176"/>
        <v>530.60400000000004</v>
      </c>
      <c r="F116" s="201">
        <f t="shared" si="176"/>
        <v>541.21608000000003</v>
      </c>
      <c r="G116" s="201">
        <f t="shared" ref="G116:G121" si="178">F116+F116*$C$159</f>
        <v>552.0404016</v>
      </c>
      <c r="H116" s="201">
        <f t="shared" ref="H116:AP116" si="179">G116+G116*$C$159</f>
        <v>563.08120963199997</v>
      </c>
      <c r="I116" s="201">
        <f t="shared" si="179"/>
        <v>574.34283382463991</v>
      </c>
      <c r="J116" s="201">
        <f t="shared" si="179"/>
        <v>585.82969050113275</v>
      </c>
      <c r="K116" s="201">
        <f t="shared" si="179"/>
        <v>597.54628431115543</v>
      </c>
      <c r="L116" s="201">
        <f t="shared" si="179"/>
        <v>609.49720999737849</v>
      </c>
      <c r="M116" s="201">
        <f t="shared" si="179"/>
        <v>621.68715419732609</v>
      </c>
      <c r="N116" s="201">
        <f t="shared" si="179"/>
        <v>634.12089728127262</v>
      </c>
      <c r="O116" s="201">
        <f t="shared" si="179"/>
        <v>646.80331522689812</v>
      </c>
      <c r="P116" s="201">
        <f t="shared" si="179"/>
        <v>659.73938153143604</v>
      </c>
      <c r="Q116" s="201">
        <f t="shared" si="179"/>
        <v>672.93416916206479</v>
      </c>
      <c r="R116" s="201">
        <f t="shared" si="179"/>
        <v>686.39285254530614</v>
      </c>
      <c r="S116" s="201">
        <f t="shared" si="179"/>
        <v>700.12070959621224</v>
      </c>
      <c r="T116" s="201">
        <f t="shared" si="179"/>
        <v>714.12312378813647</v>
      </c>
      <c r="U116" s="201">
        <f t="shared" si="179"/>
        <v>728.40558626389918</v>
      </c>
      <c r="V116" s="201">
        <f t="shared" si="179"/>
        <v>742.97369798917714</v>
      </c>
      <c r="W116" s="201">
        <f t="shared" si="179"/>
        <v>757.83317194896063</v>
      </c>
      <c r="X116" s="201">
        <f t="shared" si="179"/>
        <v>772.98983538793982</v>
      </c>
      <c r="Y116" s="201">
        <f t="shared" si="179"/>
        <v>788.44963209569858</v>
      </c>
      <c r="Z116" s="201">
        <f t="shared" si="179"/>
        <v>804.21862473761257</v>
      </c>
      <c r="AA116" s="201">
        <f t="shared" si="179"/>
        <v>820.30299723236487</v>
      </c>
      <c r="AB116" s="201">
        <f t="shared" si="179"/>
        <v>836.70905717701214</v>
      </c>
      <c r="AC116" s="201">
        <f t="shared" si="179"/>
        <v>853.44323832055238</v>
      </c>
      <c r="AD116" s="201">
        <f t="shared" si="179"/>
        <v>870.51210308696341</v>
      </c>
      <c r="AE116" s="201">
        <f t="shared" si="179"/>
        <v>887.92234514870268</v>
      </c>
      <c r="AF116" s="201">
        <f t="shared" si="179"/>
        <v>905.68079205167669</v>
      </c>
      <c r="AG116" s="201">
        <f t="shared" si="179"/>
        <v>923.79440789271018</v>
      </c>
      <c r="AH116" s="201">
        <f t="shared" si="179"/>
        <v>942.27029605056441</v>
      </c>
      <c r="AI116" s="201">
        <f t="shared" si="179"/>
        <v>961.11570197157573</v>
      </c>
      <c r="AJ116" s="201">
        <f t="shared" si="179"/>
        <v>980.3380160110072</v>
      </c>
      <c r="AK116" s="201">
        <f t="shared" si="179"/>
        <v>999.94477633122733</v>
      </c>
      <c r="AL116" s="201">
        <f t="shared" si="179"/>
        <v>1019.9436718578519</v>
      </c>
      <c r="AM116" s="201">
        <f t="shared" si="179"/>
        <v>1040.3425452950089</v>
      </c>
      <c r="AN116" s="201">
        <f t="shared" si="179"/>
        <v>1061.149396200909</v>
      </c>
      <c r="AO116" s="201">
        <f t="shared" si="179"/>
        <v>1082.3723841249271</v>
      </c>
      <c r="AP116" s="201">
        <f t="shared" si="179"/>
        <v>1104.0198318074256</v>
      </c>
    </row>
    <row r="117" spans="2:42" s="147" customFormat="1" x14ac:dyDescent="0.2">
      <c r="B117" s="181" t="str">
        <f>'Conto Economico'!A249</f>
        <v>Rientri a Bologna - Trasporti</v>
      </c>
      <c r="C117" s="47">
        <f>'Budget 27'!E113</f>
        <v>2000</v>
      </c>
      <c r="D117" s="201">
        <f t="shared" si="176"/>
        <v>2040</v>
      </c>
      <c r="E117" s="201">
        <f t="shared" si="176"/>
        <v>2080.8000000000002</v>
      </c>
      <c r="F117" s="201">
        <f t="shared" si="176"/>
        <v>2122.4160000000002</v>
      </c>
      <c r="G117" s="201">
        <f t="shared" si="178"/>
        <v>2164.8643200000001</v>
      </c>
      <c r="H117" s="201">
        <f t="shared" ref="H117:AP117" si="180">G117+G117*$C$159</f>
        <v>2208.1616064</v>
      </c>
      <c r="I117" s="201">
        <f t="shared" si="180"/>
        <v>2252.3248385279999</v>
      </c>
      <c r="J117" s="201">
        <f t="shared" si="180"/>
        <v>2297.3713352985596</v>
      </c>
      <c r="K117" s="201">
        <f t="shared" si="180"/>
        <v>2343.318762004531</v>
      </c>
      <c r="L117" s="201">
        <f t="shared" si="180"/>
        <v>2390.1851372446217</v>
      </c>
      <c r="M117" s="201">
        <f t="shared" si="180"/>
        <v>2437.988839989514</v>
      </c>
      <c r="N117" s="201">
        <f t="shared" si="180"/>
        <v>2486.7486167893044</v>
      </c>
      <c r="O117" s="201">
        <f t="shared" si="180"/>
        <v>2536.4835891250905</v>
      </c>
      <c r="P117" s="201">
        <f t="shared" si="180"/>
        <v>2587.2132609075925</v>
      </c>
      <c r="Q117" s="201">
        <f t="shared" si="180"/>
        <v>2638.9575261257442</v>
      </c>
      <c r="R117" s="201">
        <f t="shared" si="180"/>
        <v>2691.7366766482592</v>
      </c>
      <c r="S117" s="201">
        <f t="shared" si="180"/>
        <v>2745.5714101812246</v>
      </c>
      <c r="T117" s="201">
        <f t="shared" si="180"/>
        <v>2800.4828383848489</v>
      </c>
      <c r="U117" s="201">
        <f t="shared" si="180"/>
        <v>2856.4924951525459</v>
      </c>
      <c r="V117" s="201">
        <f t="shared" si="180"/>
        <v>2913.6223450555967</v>
      </c>
      <c r="W117" s="201">
        <f t="shared" si="180"/>
        <v>2971.8947919567086</v>
      </c>
      <c r="X117" s="201">
        <f t="shared" si="180"/>
        <v>3031.3326877958425</v>
      </c>
      <c r="Y117" s="201">
        <f t="shared" si="180"/>
        <v>3091.9593415517593</v>
      </c>
      <c r="Z117" s="201">
        <f t="shared" si="180"/>
        <v>3153.7985283827943</v>
      </c>
      <c r="AA117" s="201">
        <f t="shared" si="180"/>
        <v>3216.8744989504503</v>
      </c>
      <c r="AB117" s="201">
        <f t="shared" si="180"/>
        <v>3281.2119889294595</v>
      </c>
      <c r="AC117" s="201">
        <f t="shared" si="180"/>
        <v>3346.8362287080486</v>
      </c>
      <c r="AD117" s="201">
        <f t="shared" si="180"/>
        <v>3413.7729532822095</v>
      </c>
      <c r="AE117" s="201">
        <f t="shared" si="180"/>
        <v>3482.0484123478536</v>
      </c>
      <c r="AF117" s="201">
        <f t="shared" si="180"/>
        <v>3551.6893805948107</v>
      </c>
      <c r="AG117" s="201">
        <f t="shared" si="180"/>
        <v>3622.7231682067068</v>
      </c>
      <c r="AH117" s="201">
        <f t="shared" si="180"/>
        <v>3695.1776315708407</v>
      </c>
      <c r="AI117" s="201">
        <f t="shared" si="180"/>
        <v>3769.0811842022576</v>
      </c>
      <c r="AJ117" s="201">
        <f t="shared" si="180"/>
        <v>3844.4628078863029</v>
      </c>
      <c r="AK117" s="201">
        <f t="shared" si="180"/>
        <v>3921.3520640440288</v>
      </c>
      <c r="AL117" s="201">
        <f t="shared" si="180"/>
        <v>3999.7791053249093</v>
      </c>
      <c r="AM117" s="201">
        <f t="shared" si="180"/>
        <v>4079.7746874314075</v>
      </c>
      <c r="AN117" s="201">
        <f t="shared" si="180"/>
        <v>4161.3701811800356</v>
      </c>
      <c r="AO117" s="201">
        <f t="shared" si="180"/>
        <v>4244.597584803636</v>
      </c>
      <c r="AP117" s="201">
        <f t="shared" si="180"/>
        <v>4329.4895364997083</v>
      </c>
    </row>
    <row r="118" spans="2:42" s="147" customFormat="1" x14ac:dyDescent="0.2">
      <c r="B118" s="181" t="str">
        <f>'Conto Economico'!A250</f>
        <v>Mutuo Riccione</v>
      </c>
      <c r="C118" s="47">
        <f ca="1">'Budget 27'!E114</f>
        <v>2051.1333333333337</v>
      </c>
      <c r="D118" s="201">
        <f ca="1">C118+C118*$C$159</f>
        <v>2092.1560000000004</v>
      </c>
      <c r="E118" s="201"/>
      <c r="F118" s="201">
        <f>E118+E118*$C$159</f>
        <v>0</v>
      </c>
      <c r="G118" s="201">
        <f t="shared" si="178"/>
        <v>0</v>
      </c>
      <c r="H118" s="201">
        <f t="shared" ref="H118:AP118" si="181">G118+G118*$C$159</f>
        <v>0</v>
      </c>
      <c r="I118" s="201">
        <f t="shared" si="181"/>
        <v>0</v>
      </c>
      <c r="J118" s="201">
        <f t="shared" si="181"/>
        <v>0</v>
      </c>
      <c r="K118" s="201">
        <f t="shared" si="181"/>
        <v>0</v>
      </c>
      <c r="L118" s="201">
        <f t="shared" si="181"/>
        <v>0</v>
      </c>
      <c r="M118" s="201">
        <f t="shared" si="181"/>
        <v>0</v>
      </c>
      <c r="N118" s="201">
        <f t="shared" si="181"/>
        <v>0</v>
      </c>
      <c r="O118" s="201">
        <f t="shared" si="181"/>
        <v>0</v>
      </c>
      <c r="P118" s="201">
        <f t="shared" si="181"/>
        <v>0</v>
      </c>
      <c r="Q118" s="201">
        <f t="shared" si="181"/>
        <v>0</v>
      </c>
      <c r="R118" s="201">
        <f t="shared" si="181"/>
        <v>0</v>
      </c>
      <c r="S118" s="201">
        <f t="shared" si="181"/>
        <v>0</v>
      </c>
      <c r="T118" s="201">
        <f t="shared" si="181"/>
        <v>0</v>
      </c>
      <c r="U118" s="201">
        <f t="shared" si="181"/>
        <v>0</v>
      </c>
      <c r="V118" s="201">
        <f t="shared" si="181"/>
        <v>0</v>
      </c>
      <c r="W118" s="201">
        <f t="shared" si="181"/>
        <v>0</v>
      </c>
      <c r="X118" s="201">
        <f t="shared" si="181"/>
        <v>0</v>
      </c>
      <c r="Y118" s="201">
        <f t="shared" si="181"/>
        <v>0</v>
      </c>
      <c r="Z118" s="201">
        <f t="shared" si="181"/>
        <v>0</v>
      </c>
      <c r="AA118" s="201">
        <f t="shared" si="181"/>
        <v>0</v>
      </c>
      <c r="AB118" s="201">
        <f t="shared" si="181"/>
        <v>0</v>
      </c>
      <c r="AC118" s="201">
        <f t="shared" si="181"/>
        <v>0</v>
      </c>
      <c r="AD118" s="201">
        <f t="shared" si="181"/>
        <v>0</v>
      </c>
      <c r="AE118" s="201">
        <f t="shared" si="181"/>
        <v>0</v>
      </c>
      <c r="AF118" s="201">
        <f t="shared" si="181"/>
        <v>0</v>
      </c>
      <c r="AG118" s="201">
        <f t="shared" si="181"/>
        <v>0</v>
      </c>
      <c r="AH118" s="201">
        <f t="shared" si="181"/>
        <v>0</v>
      </c>
      <c r="AI118" s="201">
        <f t="shared" si="181"/>
        <v>0</v>
      </c>
      <c r="AJ118" s="201">
        <f t="shared" si="181"/>
        <v>0</v>
      </c>
      <c r="AK118" s="201">
        <f t="shared" si="181"/>
        <v>0</v>
      </c>
      <c r="AL118" s="201">
        <f t="shared" si="181"/>
        <v>0</v>
      </c>
      <c r="AM118" s="201">
        <f t="shared" si="181"/>
        <v>0</v>
      </c>
      <c r="AN118" s="201">
        <f t="shared" si="181"/>
        <v>0</v>
      </c>
      <c r="AO118" s="201">
        <f t="shared" si="181"/>
        <v>0</v>
      </c>
      <c r="AP118" s="201">
        <f t="shared" si="181"/>
        <v>0</v>
      </c>
    </row>
    <row r="119" spans="2:42" s="147" customFormat="1" x14ac:dyDescent="0.2">
      <c r="B119" s="181" t="str">
        <f>'Conto Economico'!A251</f>
        <v>Spese Amministrative - Passaporti - SPID</v>
      </c>
      <c r="C119" s="47">
        <f>'Budget 27'!E115</f>
        <v>50</v>
      </c>
      <c r="D119" s="201">
        <f>C119+C119*$C$159</f>
        <v>51</v>
      </c>
      <c r="E119" s="201">
        <f>D119+D119*$C$159</f>
        <v>52.02</v>
      </c>
      <c r="F119" s="201">
        <f>E119+E119*$C$159</f>
        <v>53.060400000000001</v>
      </c>
      <c r="G119" s="201">
        <f t="shared" si="178"/>
        <v>54.121608000000002</v>
      </c>
      <c r="H119" s="201">
        <f t="shared" ref="H119:AP119" si="182">G119+G119*$C$159</f>
        <v>55.204040160000005</v>
      </c>
      <c r="I119" s="201">
        <f t="shared" si="182"/>
        <v>56.308120963200004</v>
      </c>
      <c r="J119" s="201">
        <f t="shared" si="182"/>
        <v>57.434283382464002</v>
      </c>
      <c r="K119" s="201">
        <f t="shared" si="182"/>
        <v>58.582969050113284</v>
      </c>
      <c r="L119" s="201">
        <f t="shared" si="182"/>
        <v>59.754628431115549</v>
      </c>
      <c r="M119" s="201">
        <f t="shared" si="182"/>
        <v>60.949720999737863</v>
      </c>
      <c r="N119" s="201">
        <f t="shared" si="182"/>
        <v>62.168715419732621</v>
      </c>
      <c r="O119" s="201">
        <f t="shared" si="182"/>
        <v>63.41208972812727</v>
      </c>
      <c r="P119" s="201">
        <f t="shared" si="182"/>
        <v>64.680331522689812</v>
      </c>
      <c r="Q119" s="201">
        <f t="shared" si="182"/>
        <v>65.973938153143607</v>
      </c>
      <c r="R119" s="201">
        <f t="shared" si="182"/>
        <v>67.293416916206482</v>
      </c>
      <c r="S119" s="201">
        <f t="shared" si="182"/>
        <v>68.639285254530606</v>
      </c>
      <c r="T119" s="201">
        <f t="shared" si="182"/>
        <v>70.012070959621212</v>
      </c>
      <c r="U119" s="201">
        <f t="shared" si="182"/>
        <v>71.412312378813638</v>
      </c>
      <c r="V119" s="201">
        <f t="shared" si="182"/>
        <v>72.840558626389907</v>
      </c>
      <c r="W119" s="201">
        <f t="shared" si="182"/>
        <v>74.2973697989177</v>
      </c>
      <c r="X119" s="201">
        <f t="shared" si="182"/>
        <v>75.783317194896057</v>
      </c>
      <c r="Y119" s="201">
        <f t="shared" si="182"/>
        <v>77.298983538793976</v>
      </c>
      <c r="Z119" s="201">
        <f t="shared" si="182"/>
        <v>78.844963209569855</v>
      </c>
      <c r="AA119" s="201">
        <f t="shared" si="182"/>
        <v>80.421862473761252</v>
      </c>
      <c r="AB119" s="201">
        <f t="shared" si="182"/>
        <v>82.030299723236482</v>
      </c>
      <c r="AC119" s="201">
        <f t="shared" si="182"/>
        <v>83.670905717701217</v>
      </c>
      <c r="AD119" s="201">
        <f t="shared" si="182"/>
        <v>85.344323832055238</v>
      </c>
      <c r="AE119" s="201">
        <f t="shared" si="182"/>
        <v>87.051210308696341</v>
      </c>
      <c r="AF119" s="201">
        <f t="shared" si="182"/>
        <v>88.792234514870273</v>
      </c>
      <c r="AG119" s="201">
        <f t="shared" si="182"/>
        <v>90.568079205167678</v>
      </c>
      <c r="AH119" s="201">
        <f t="shared" si="182"/>
        <v>92.37944078927103</v>
      </c>
      <c r="AI119" s="201">
        <f t="shared" si="182"/>
        <v>94.227029605056444</v>
      </c>
      <c r="AJ119" s="201">
        <f t="shared" si="182"/>
        <v>96.111570197157576</v>
      </c>
      <c r="AK119" s="201">
        <f t="shared" si="182"/>
        <v>98.033801601100734</v>
      </c>
      <c r="AL119" s="201">
        <f t="shared" si="182"/>
        <v>99.994477633122756</v>
      </c>
      <c r="AM119" s="201">
        <f t="shared" si="182"/>
        <v>101.99436718578521</v>
      </c>
      <c r="AN119" s="201">
        <f t="shared" si="182"/>
        <v>104.03425452950091</v>
      </c>
      <c r="AO119" s="201">
        <f t="shared" si="182"/>
        <v>106.11493962009094</v>
      </c>
      <c r="AP119" s="201">
        <f t="shared" si="182"/>
        <v>108.23723841249276</v>
      </c>
    </row>
    <row r="120" spans="2:42" s="147" customFormat="1" x14ac:dyDescent="0.2">
      <c r="B120" s="181" t="str">
        <f>'Conto Economico'!A252</f>
        <v>Altre spese Italia</v>
      </c>
      <c r="C120" s="47">
        <f>'Budget 27'!E116</f>
        <v>300</v>
      </c>
      <c r="D120" s="201">
        <f>C120+C120*$C$159</f>
        <v>306</v>
      </c>
      <c r="E120" s="201">
        <f>D120+D120*$C$159</f>
        <v>312.12</v>
      </c>
      <c r="F120" s="201">
        <f>E120+E120*$C$159</f>
        <v>318.36239999999998</v>
      </c>
      <c r="G120" s="201">
        <f t="shared" si="178"/>
        <v>324.729648</v>
      </c>
      <c r="H120" s="201">
        <f t="shared" ref="H120:AP120" si="183">G120+G120*$C$159</f>
        <v>331.22424095999997</v>
      </c>
      <c r="I120" s="201">
        <f t="shared" si="183"/>
        <v>337.84872577919998</v>
      </c>
      <c r="J120" s="201">
        <f t="shared" si="183"/>
        <v>344.60570029478396</v>
      </c>
      <c r="K120" s="201">
        <f t="shared" si="183"/>
        <v>351.49781430067964</v>
      </c>
      <c r="L120" s="201">
        <f t="shared" si="183"/>
        <v>358.52777058669324</v>
      </c>
      <c r="M120" s="201">
        <f t="shared" si="183"/>
        <v>365.69832599842709</v>
      </c>
      <c r="N120" s="201">
        <f t="shared" si="183"/>
        <v>373.01229251839561</v>
      </c>
      <c r="O120" s="201">
        <f t="shared" si="183"/>
        <v>380.47253836876354</v>
      </c>
      <c r="P120" s="201">
        <f t="shared" si="183"/>
        <v>388.08198913613882</v>
      </c>
      <c r="Q120" s="201">
        <f t="shared" si="183"/>
        <v>395.84362891886161</v>
      </c>
      <c r="R120" s="201">
        <f t="shared" si="183"/>
        <v>403.76050149723886</v>
      </c>
      <c r="S120" s="201">
        <f t="shared" si="183"/>
        <v>411.83571152718366</v>
      </c>
      <c r="T120" s="201">
        <f t="shared" si="183"/>
        <v>420.07242575772733</v>
      </c>
      <c r="U120" s="201">
        <f t="shared" si="183"/>
        <v>428.47387427288186</v>
      </c>
      <c r="V120" s="201">
        <f t="shared" si="183"/>
        <v>437.0433517583395</v>
      </c>
      <c r="W120" s="201">
        <f t="shared" si="183"/>
        <v>445.78421879350628</v>
      </c>
      <c r="X120" s="201">
        <f t="shared" si="183"/>
        <v>454.6999031693764</v>
      </c>
      <c r="Y120" s="201">
        <f t="shared" si="183"/>
        <v>463.79390123276391</v>
      </c>
      <c r="Z120" s="201">
        <f t="shared" si="183"/>
        <v>473.06977925741921</v>
      </c>
      <c r="AA120" s="201">
        <f t="shared" si="183"/>
        <v>482.53117484256762</v>
      </c>
      <c r="AB120" s="201">
        <f t="shared" si="183"/>
        <v>492.18179833941895</v>
      </c>
      <c r="AC120" s="201">
        <f t="shared" si="183"/>
        <v>502.02543430620733</v>
      </c>
      <c r="AD120" s="201">
        <f t="shared" si="183"/>
        <v>512.06594299233143</v>
      </c>
      <c r="AE120" s="201">
        <f t="shared" si="183"/>
        <v>522.30726185217804</v>
      </c>
      <c r="AF120" s="201">
        <f t="shared" si="183"/>
        <v>532.75340708922158</v>
      </c>
      <c r="AG120" s="201">
        <f t="shared" si="183"/>
        <v>543.40847523100604</v>
      </c>
      <c r="AH120" s="201">
        <f t="shared" si="183"/>
        <v>554.27664473562618</v>
      </c>
      <c r="AI120" s="201">
        <f t="shared" si="183"/>
        <v>565.36217763033869</v>
      </c>
      <c r="AJ120" s="201">
        <f t="shared" si="183"/>
        <v>576.66942118294548</v>
      </c>
      <c r="AK120" s="201">
        <f t="shared" si="183"/>
        <v>588.20280960660443</v>
      </c>
      <c r="AL120" s="201">
        <f t="shared" si="183"/>
        <v>599.96686579873653</v>
      </c>
      <c r="AM120" s="201">
        <f t="shared" si="183"/>
        <v>611.96620311471122</v>
      </c>
      <c r="AN120" s="201">
        <f t="shared" si="183"/>
        <v>624.20552717700548</v>
      </c>
      <c r="AO120" s="201">
        <f t="shared" si="183"/>
        <v>636.68963772054553</v>
      </c>
      <c r="AP120" s="201">
        <f t="shared" si="183"/>
        <v>649.42343047495649</v>
      </c>
    </row>
    <row r="121" spans="2:42" s="147" customFormat="1" x14ac:dyDescent="0.2">
      <c r="B121" s="181" t="str">
        <f>'Conto Economico'!A253</f>
        <v>Altre spese Spagna</v>
      </c>
      <c r="C121" s="47">
        <f>'Budget 27'!E117</f>
        <v>0</v>
      </c>
      <c r="D121" s="201">
        <f>C121+C121*$C$159</f>
        <v>0</v>
      </c>
      <c r="E121" s="201">
        <f>(D121+D121*$C$159)*0</f>
        <v>0</v>
      </c>
      <c r="F121" s="201">
        <f>E121+E121*$C$159</f>
        <v>0</v>
      </c>
      <c r="G121" s="201">
        <f t="shared" si="178"/>
        <v>0</v>
      </c>
      <c r="H121" s="201">
        <f t="shared" ref="H121:AP121" si="184">G121+G121*$C$159</f>
        <v>0</v>
      </c>
      <c r="I121" s="201">
        <f t="shared" si="184"/>
        <v>0</v>
      </c>
      <c r="J121" s="201">
        <f t="shared" si="184"/>
        <v>0</v>
      </c>
      <c r="K121" s="201">
        <f t="shared" si="184"/>
        <v>0</v>
      </c>
      <c r="L121" s="201">
        <f t="shared" si="184"/>
        <v>0</v>
      </c>
      <c r="M121" s="201">
        <f t="shared" si="184"/>
        <v>0</v>
      </c>
      <c r="N121" s="201">
        <f t="shared" si="184"/>
        <v>0</v>
      </c>
      <c r="O121" s="201">
        <f t="shared" si="184"/>
        <v>0</v>
      </c>
      <c r="P121" s="201">
        <f t="shared" si="184"/>
        <v>0</v>
      </c>
      <c r="Q121" s="201">
        <f t="shared" si="184"/>
        <v>0</v>
      </c>
      <c r="R121" s="201">
        <f t="shared" si="184"/>
        <v>0</v>
      </c>
      <c r="S121" s="201">
        <f t="shared" si="184"/>
        <v>0</v>
      </c>
      <c r="T121" s="201">
        <f t="shared" si="184"/>
        <v>0</v>
      </c>
      <c r="U121" s="201">
        <f t="shared" si="184"/>
        <v>0</v>
      </c>
      <c r="V121" s="201">
        <f t="shared" si="184"/>
        <v>0</v>
      </c>
      <c r="W121" s="201">
        <f t="shared" si="184"/>
        <v>0</v>
      </c>
      <c r="X121" s="201">
        <f t="shared" si="184"/>
        <v>0</v>
      </c>
      <c r="Y121" s="201">
        <f t="shared" si="184"/>
        <v>0</v>
      </c>
      <c r="Z121" s="201">
        <f t="shared" si="184"/>
        <v>0</v>
      </c>
      <c r="AA121" s="201">
        <f t="shared" si="184"/>
        <v>0</v>
      </c>
      <c r="AB121" s="201">
        <f t="shared" si="184"/>
        <v>0</v>
      </c>
      <c r="AC121" s="201">
        <f t="shared" si="184"/>
        <v>0</v>
      </c>
      <c r="AD121" s="201">
        <f t="shared" si="184"/>
        <v>0</v>
      </c>
      <c r="AE121" s="201">
        <f t="shared" si="184"/>
        <v>0</v>
      </c>
      <c r="AF121" s="201">
        <f t="shared" si="184"/>
        <v>0</v>
      </c>
      <c r="AG121" s="201">
        <f t="shared" si="184"/>
        <v>0</v>
      </c>
      <c r="AH121" s="201">
        <f t="shared" si="184"/>
        <v>0</v>
      </c>
      <c r="AI121" s="201">
        <f t="shared" si="184"/>
        <v>0</v>
      </c>
      <c r="AJ121" s="201">
        <f t="shared" si="184"/>
        <v>0</v>
      </c>
      <c r="AK121" s="201">
        <f t="shared" si="184"/>
        <v>0</v>
      </c>
      <c r="AL121" s="201">
        <f t="shared" si="184"/>
        <v>0</v>
      </c>
      <c r="AM121" s="201">
        <f t="shared" si="184"/>
        <v>0</v>
      </c>
      <c r="AN121" s="201">
        <f t="shared" si="184"/>
        <v>0</v>
      </c>
      <c r="AO121" s="201">
        <f t="shared" si="184"/>
        <v>0</v>
      </c>
      <c r="AP121" s="201">
        <f t="shared" si="184"/>
        <v>0</v>
      </c>
    </row>
    <row r="122" spans="2:42" s="147" customFormat="1" x14ac:dyDescent="0.2">
      <c r="B122" s="181"/>
      <c r="C122" s="181"/>
      <c r="D122" s="201"/>
      <c r="E122" s="201"/>
      <c r="F122" s="201"/>
      <c r="G122" s="201"/>
      <c r="H122" s="201"/>
      <c r="I122" s="201"/>
      <c r="J122" s="201"/>
      <c r="K122" s="201"/>
      <c r="L122" s="201"/>
      <c r="M122" s="201"/>
      <c r="N122" s="201"/>
      <c r="O122" s="201"/>
      <c r="P122" s="201"/>
      <c r="Q122" s="201"/>
      <c r="R122" s="201"/>
      <c r="S122" s="201"/>
      <c r="T122" s="201"/>
      <c r="U122" s="201"/>
      <c r="V122" s="201"/>
      <c r="W122" s="201"/>
      <c r="X122" s="201"/>
      <c r="Y122" s="201"/>
      <c r="Z122" s="201"/>
      <c r="AA122" s="201"/>
      <c r="AB122" s="201"/>
      <c r="AC122" s="201"/>
      <c r="AD122" s="201"/>
      <c r="AE122" s="201"/>
      <c r="AF122" s="201"/>
      <c r="AG122" s="201"/>
      <c r="AH122" s="201"/>
      <c r="AI122" s="201"/>
      <c r="AJ122" s="201"/>
      <c r="AK122" s="201"/>
      <c r="AL122" s="201"/>
      <c r="AM122" s="201"/>
      <c r="AN122" s="201"/>
      <c r="AO122" s="201"/>
      <c r="AP122" s="201"/>
    </row>
    <row r="123" spans="2:42" s="182" customFormat="1" x14ac:dyDescent="0.2">
      <c r="B123" s="196" t="s">
        <v>928</v>
      </c>
      <c r="C123" s="195">
        <f ca="1">C125+C135</f>
        <v>1332332.608</v>
      </c>
      <c r="D123" s="195">
        <f t="shared" ref="D123:AP123" ca="1" si="185">D125+D135</f>
        <v>5419.9458242947676</v>
      </c>
      <c r="E123" s="195">
        <f t="shared" si="185"/>
        <v>5273.319019719268</v>
      </c>
      <c r="F123" s="195">
        <f t="shared" si="185"/>
        <v>5129.2491900363639</v>
      </c>
      <c r="G123" s="195">
        <f t="shared" si="185"/>
        <v>4979.9983124843166</v>
      </c>
      <c r="H123" s="195">
        <f t="shared" si="185"/>
        <v>4899.2696148114219</v>
      </c>
      <c r="I123" s="195">
        <f t="shared" si="185"/>
        <v>4814.2411736851755</v>
      </c>
      <c r="J123" s="195">
        <f t="shared" si="185"/>
        <v>4724.7839836193225</v>
      </c>
      <c r="K123" s="195">
        <f t="shared" si="185"/>
        <v>4690.6322681670763</v>
      </c>
      <c r="L123" s="195">
        <f t="shared" si="185"/>
        <v>4728.0949747479362</v>
      </c>
      <c r="M123" s="195">
        <f t="shared" si="185"/>
        <v>4762.6330414481845</v>
      </c>
      <c r="N123" s="195">
        <f t="shared" si="185"/>
        <v>4794.1334469352878</v>
      </c>
      <c r="O123" s="195">
        <f t="shared" si="185"/>
        <v>304872.00045991939</v>
      </c>
      <c r="P123" s="195">
        <f t="shared" si="185"/>
        <v>4030.2324300339237</v>
      </c>
      <c r="Q123" s="195">
        <f t="shared" si="185"/>
        <v>4092.7418775623396</v>
      </c>
      <c r="R123" s="195">
        <f t="shared" si="185"/>
        <v>4153.2816217530681</v>
      </c>
      <c r="S123" s="195">
        <f t="shared" si="185"/>
        <v>4211.7635904060844</v>
      </c>
      <c r="T123" s="195">
        <f t="shared" si="185"/>
        <v>4268.0971599168624</v>
      </c>
      <c r="U123" s="195">
        <f t="shared" si="185"/>
        <v>4335.7150936069474</v>
      </c>
      <c r="V123" s="195">
        <f t="shared" si="185"/>
        <v>4401.4428989933895</v>
      </c>
      <c r="W123" s="195">
        <f t="shared" si="185"/>
        <v>4465.1933737489271</v>
      </c>
      <c r="X123" s="195">
        <f t="shared" si="185"/>
        <v>4565.8377649585336</v>
      </c>
      <c r="Y123" s="195">
        <f t="shared" si="185"/>
        <v>4664.8322880016731</v>
      </c>
      <c r="Z123" s="195">
        <f t="shared" si="185"/>
        <v>4762.0891486882037</v>
      </c>
      <c r="AA123" s="195">
        <f t="shared" si="185"/>
        <v>4857.517912954474</v>
      </c>
      <c r="AB123" s="195">
        <f t="shared" si="185"/>
        <v>4951.0254392455081</v>
      </c>
      <c r="AC123" s="195">
        <f t="shared" si="185"/>
        <v>5042.5158092933034</v>
      </c>
      <c r="AD123" s="195">
        <f t="shared" si="185"/>
        <v>5131.8902572549105</v>
      </c>
      <c r="AE123" s="195">
        <f t="shared" si="185"/>
        <v>5280.6108009814752</v>
      </c>
      <c r="AF123" s="195">
        <f t="shared" si="185"/>
        <v>5430.0770788298369</v>
      </c>
      <c r="AG123" s="195">
        <f t="shared" si="185"/>
        <v>5580.267652488863</v>
      </c>
      <c r="AH123" s="195">
        <f t="shared" si="185"/>
        <v>5731.1600262334177</v>
      </c>
      <c r="AI123" s="195">
        <f t="shared" si="185"/>
        <v>5882.7306146661476</v>
      </c>
      <c r="AJ123" s="195">
        <f t="shared" si="185"/>
        <v>6034.9547096179158</v>
      </c>
      <c r="AK123" s="195">
        <f t="shared" si="185"/>
        <v>6187.8064461866197</v>
      </c>
      <c r="AL123" s="195">
        <f t="shared" si="185"/>
        <v>6381.4853036382392</v>
      </c>
      <c r="AM123" s="195">
        <f t="shared" si="185"/>
        <v>6577.0582395856864</v>
      </c>
      <c r="AN123" s="195">
        <f t="shared" si="185"/>
        <v>6774.5293796846363</v>
      </c>
      <c r="AO123" s="195">
        <f t="shared" si="185"/>
        <v>6973.9023288188837</v>
      </c>
      <c r="AP123" s="195">
        <f t="shared" si="185"/>
        <v>7175.1801497733641</v>
      </c>
    </row>
    <row r="124" spans="2:42" s="147" customFormat="1" x14ac:dyDescent="0.2">
      <c r="B124" s="181"/>
      <c r="C124" s="181"/>
      <c r="D124" s="201"/>
      <c r="E124" s="201"/>
      <c r="F124" s="201"/>
      <c r="G124" s="201"/>
      <c r="H124" s="201"/>
      <c r="I124" s="201"/>
      <c r="J124" s="201"/>
      <c r="K124" s="201"/>
      <c r="L124" s="201"/>
      <c r="M124" s="201"/>
      <c r="N124" s="201"/>
      <c r="O124" s="201"/>
      <c r="P124" s="201"/>
      <c r="Q124" s="201"/>
      <c r="R124" s="201"/>
      <c r="S124" s="201"/>
      <c r="T124" s="201"/>
      <c r="U124" s="201"/>
      <c r="V124" s="201"/>
      <c r="W124" s="201"/>
      <c r="X124" s="201"/>
      <c r="Y124" s="201"/>
      <c r="Z124" s="201"/>
      <c r="AA124" s="201"/>
      <c r="AB124" s="201"/>
      <c r="AC124" s="201"/>
      <c r="AD124" s="201"/>
      <c r="AE124" s="201"/>
      <c r="AF124" s="201"/>
      <c r="AG124" s="201"/>
      <c r="AH124" s="201"/>
      <c r="AI124" s="201"/>
      <c r="AJ124" s="201"/>
      <c r="AK124" s="201"/>
      <c r="AL124" s="201"/>
      <c r="AM124" s="201"/>
      <c r="AN124" s="201"/>
      <c r="AO124" s="201"/>
      <c r="AP124" s="201"/>
    </row>
    <row r="125" spans="2:42" s="147" customFormat="1" x14ac:dyDescent="0.2">
      <c r="B125" s="199" t="str">
        <f>'Conto Economico'!A255</f>
        <v>Spese Straordinarie</v>
      </c>
      <c r="C125" s="113">
        <f>SUM(C126:C133)</f>
        <v>43000</v>
      </c>
      <c r="D125" s="113">
        <f t="shared" ref="D125:AP125" si="186">SUM(D126:D133)</f>
        <v>5419.9458242947676</v>
      </c>
      <c r="E125" s="113">
        <f t="shared" si="186"/>
        <v>5273.319019719268</v>
      </c>
      <c r="F125" s="113">
        <f t="shared" si="186"/>
        <v>5129.2491900363639</v>
      </c>
      <c r="G125" s="113">
        <f t="shared" si="186"/>
        <v>4979.9983124843166</v>
      </c>
      <c r="H125" s="113">
        <f t="shared" si="186"/>
        <v>4899.2696148114219</v>
      </c>
      <c r="I125" s="113">
        <f t="shared" si="186"/>
        <v>4814.2411736851755</v>
      </c>
      <c r="J125" s="113">
        <f t="shared" si="186"/>
        <v>4724.7839836193225</v>
      </c>
      <c r="K125" s="113">
        <f t="shared" si="186"/>
        <v>4690.6322681670763</v>
      </c>
      <c r="L125" s="113">
        <f t="shared" si="186"/>
        <v>4728.0949747479362</v>
      </c>
      <c r="M125" s="113">
        <f t="shared" si="186"/>
        <v>4762.6330414481845</v>
      </c>
      <c r="N125" s="113">
        <f t="shared" si="186"/>
        <v>4794.1334469352878</v>
      </c>
      <c r="O125" s="113">
        <f t="shared" si="186"/>
        <v>4872.0004599193726</v>
      </c>
      <c r="P125" s="113">
        <f t="shared" si="186"/>
        <v>4030.2324300339237</v>
      </c>
      <c r="Q125" s="113">
        <f t="shared" si="186"/>
        <v>4092.7418775623396</v>
      </c>
      <c r="R125" s="113">
        <f t="shared" si="186"/>
        <v>4153.2816217530681</v>
      </c>
      <c r="S125" s="113">
        <f t="shared" si="186"/>
        <v>4211.7635904060844</v>
      </c>
      <c r="T125" s="113">
        <f t="shared" si="186"/>
        <v>4268.0971599168624</v>
      </c>
      <c r="U125" s="113">
        <f t="shared" si="186"/>
        <v>4335.7150936069474</v>
      </c>
      <c r="V125" s="113">
        <f t="shared" si="186"/>
        <v>4401.4428989933895</v>
      </c>
      <c r="W125" s="113">
        <f t="shared" si="186"/>
        <v>4465.1933737489271</v>
      </c>
      <c r="X125" s="113">
        <f t="shared" si="186"/>
        <v>4565.8377649585336</v>
      </c>
      <c r="Y125" s="113">
        <f t="shared" si="186"/>
        <v>4664.8322880016731</v>
      </c>
      <c r="Z125" s="113">
        <f t="shared" si="186"/>
        <v>4762.0891486882037</v>
      </c>
      <c r="AA125" s="113">
        <f t="shared" si="186"/>
        <v>4857.517912954474</v>
      </c>
      <c r="AB125" s="113">
        <f t="shared" si="186"/>
        <v>4951.0254392455081</v>
      </c>
      <c r="AC125" s="113">
        <f t="shared" si="186"/>
        <v>5042.5158092933034</v>
      </c>
      <c r="AD125" s="113">
        <f t="shared" si="186"/>
        <v>5131.8902572549105</v>
      </c>
      <c r="AE125" s="113">
        <f t="shared" si="186"/>
        <v>5280.6108009814752</v>
      </c>
      <c r="AF125" s="113">
        <f t="shared" si="186"/>
        <v>5430.0770788298369</v>
      </c>
      <c r="AG125" s="113">
        <f t="shared" si="186"/>
        <v>5580.267652488863</v>
      </c>
      <c r="AH125" s="113">
        <f t="shared" si="186"/>
        <v>5731.1600262334177</v>
      </c>
      <c r="AI125" s="113">
        <f t="shared" si="186"/>
        <v>5882.7306146661476</v>
      </c>
      <c r="AJ125" s="113">
        <f t="shared" si="186"/>
        <v>6034.9547096179158</v>
      </c>
      <c r="AK125" s="113">
        <f t="shared" si="186"/>
        <v>6187.8064461866197</v>
      </c>
      <c r="AL125" s="113">
        <f t="shared" si="186"/>
        <v>6381.4853036382392</v>
      </c>
      <c r="AM125" s="113">
        <f t="shared" si="186"/>
        <v>6577.0582395856864</v>
      </c>
      <c r="AN125" s="113">
        <f t="shared" si="186"/>
        <v>6774.5293796846363</v>
      </c>
      <c r="AO125" s="113">
        <f t="shared" si="186"/>
        <v>6973.9023288188837</v>
      </c>
      <c r="AP125" s="113">
        <f t="shared" si="186"/>
        <v>7175.1801497733641</v>
      </c>
    </row>
    <row r="126" spans="2:42" s="147" customFormat="1" x14ac:dyDescent="0.2">
      <c r="B126" s="181" t="str">
        <f>'Conto Economico'!A256</f>
        <v>Spese Per Vendita El Toro</v>
      </c>
      <c r="C126" s="47">
        <f>'Budget 27'!E122</f>
        <v>0</v>
      </c>
      <c r="D126" s="201">
        <v>0</v>
      </c>
      <c r="E126" s="201">
        <v>0</v>
      </c>
      <c r="F126" s="201">
        <v>0</v>
      </c>
      <c r="G126" s="201">
        <v>0</v>
      </c>
      <c r="H126" s="201">
        <v>0</v>
      </c>
      <c r="I126" s="201">
        <v>0</v>
      </c>
      <c r="J126" s="201">
        <v>0</v>
      </c>
      <c r="K126" s="201">
        <v>0</v>
      </c>
      <c r="L126" s="201">
        <v>0</v>
      </c>
      <c r="M126" s="201">
        <v>0</v>
      </c>
      <c r="N126" s="201">
        <v>0</v>
      </c>
      <c r="O126" s="201">
        <v>0</v>
      </c>
      <c r="P126" s="201">
        <v>0</v>
      </c>
      <c r="Q126" s="201">
        <v>0</v>
      </c>
      <c r="R126" s="201">
        <v>0</v>
      </c>
      <c r="S126" s="201">
        <v>0</v>
      </c>
      <c r="T126" s="201">
        <v>0</v>
      </c>
      <c r="U126" s="201">
        <v>0</v>
      </c>
      <c r="V126" s="201">
        <v>0</v>
      </c>
      <c r="W126" s="201">
        <v>0</v>
      </c>
      <c r="X126" s="201">
        <v>0</v>
      </c>
      <c r="Y126" s="201">
        <v>0</v>
      </c>
      <c r="Z126" s="201">
        <v>0</v>
      </c>
      <c r="AA126" s="201">
        <v>0</v>
      </c>
      <c r="AB126" s="201">
        <v>0</v>
      </c>
      <c r="AC126" s="201">
        <v>0</v>
      </c>
      <c r="AD126" s="201">
        <v>0</v>
      </c>
      <c r="AE126" s="201">
        <v>0</v>
      </c>
      <c r="AF126" s="201">
        <v>0</v>
      </c>
      <c r="AG126" s="201">
        <v>0</v>
      </c>
      <c r="AH126" s="201">
        <v>0</v>
      </c>
      <c r="AI126" s="201">
        <v>0</v>
      </c>
      <c r="AJ126" s="201">
        <v>0</v>
      </c>
      <c r="AK126" s="201">
        <v>0</v>
      </c>
      <c r="AL126" s="201">
        <v>0</v>
      </c>
      <c r="AM126" s="201">
        <v>0</v>
      </c>
      <c r="AN126" s="201">
        <v>0</v>
      </c>
      <c r="AO126" s="201">
        <v>0</v>
      </c>
      <c r="AP126" s="201">
        <v>0</v>
      </c>
    </row>
    <row r="127" spans="2:42" s="147" customFormat="1" x14ac:dyDescent="0.2">
      <c r="B127" s="181" t="str">
        <f>'Conto Economico'!A257</f>
        <v>Spese per Trasferimento EAU</v>
      </c>
      <c r="C127" s="47">
        <f>'Budget 27'!E123</f>
        <v>0</v>
      </c>
      <c r="D127" s="201">
        <v>0</v>
      </c>
      <c r="E127" s="201">
        <v>0</v>
      </c>
      <c r="F127" s="201">
        <v>0</v>
      </c>
      <c r="G127" s="201">
        <v>0</v>
      </c>
      <c r="H127" s="201">
        <v>0</v>
      </c>
      <c r="I127" s="201">
        <v>0</v>
      </c>
      <c r="J127" s="201">
        <v>0</v>
      </c>
      <c r="K127" s="201">
        <v>0</v>
      </c>
      <c r="L127" s="201">
        <v>0</v>
      </c>
      <c r="M127" s="201">
        <v>0</v>
      </c>
      <c r="N127" s="201">
        <v>0</v>
      </c>
      <c r="O127" s="201">
        <v>0</v>
      </c>
      <c r="P127" s="201">
        <v>0</v>
      </c>
      <c r="Q127" s="201">
        <v>0</v>
      </c>
      <c r="R127" s="201">
        <v>0</v>
      </c>
      <c r="S127" s="201">
        <v>0</v>
      </c>
      <c r="T127" s="201">
        <v>0</v>
      </c>
      <c r="U127" s="201">
        <v>0</v>
      </c>
      <c r="V127" s="201">
        <v>0</v>
      </c>
      <c r="W127" s="201">
        <v>0</v>
      </c>
      <c r="X127" s="201">
        <v>0</v>
      </c>
      <c r="Y127" s="201">
        <v>0</v>
      </c>
      <c r="Z127" s="201">
        <v>0</v>
      </c>
      <c r="AA127" s="201">
        <v>0</v>
      </c>
      <c r="AB127" s="201">
        <v>0</v>
      </c>
      <c r="AC127" s="201">
        <v>0</v>
      </c>
      <c r="AD127" s="201">
        <v>0</v>
      </c>
      <c r="AE127" s="201">
        <v>0</v>
      </c>
      <c r="AF127" s="201">
        <v>0</v>
      </c>
      <c r="AG127" s="201">
        <v>0</v>
      </c>
      <c r="AH127" s="201">
        <v>0</v>
      </c>
      <c r="AI127" s="201">
        <v>0</v>
      </c>
      <c r="AJ127" s="201">
        <v>0</v>
      </c>
      <c r="AK127" s="201">
        <v>0</v>
      </c>
      <c r="AL127" s="201">
        <v>0</v>
      </c>
      <c r="AM127" s="201">
        <v>0</v>
      </c>
      <c r="AN127" s="201">
        <v>0</v>
      </c>
      <c r="AO127" s="201">
        <v>0</v>
      </c>
      <c r="AP127" s="201">
        <v>0</v>
      </c>
    </row>
    <row r="128" spans="2:42" s="147" customFormat="1" x14ac:dyDescent="0.2">
      <c r="B128" s="181" t="str">
        <f>'Conto Economico'!A258</f>
        <v>Affitto Dubai</v>
      </c>
      <c r="C128" s="47">
        <f>'Budget 27'!E124</f>
        <v>30000</v>
      </c>
      <c r="D128" s="201">
        <v>0</v>
      </c>
      <c r="E128" s="201">
        <v>0</v>
      </c>
      <c r="F128" s="201">
        <v>0</v>
      </c>
      <c r="G128" s="201">
        <v>0</v>
      </c>
      <c r="H128" s="201">
        <v>0</v>
      </c>
      <c r="I128" s="201">
        <v>0</v>
      </c>
      <c r="J128" s="201">
        <v>0</v>
      </c>
      <c r="K128" s="201">
        <v>0</v>
      </c>
      <c r="L128" s="201">
        <v>0</v>
      </c>
      <c r="M128" s="201">
        <v>0</v>
      </c>
      <c r="N128" s="201">
        <v>0</v>
      </c>
      <c r="O128" s="201">
        <v>0</v>
      </c>
      <c r="P128" s="201">
        <v>0</v>
      </c>
      <c r="Q128" s="201">
        <v>0</v>
      </c>
      <c r="R128" s="201">
        <v>0</v>
      </c>
      <c r="S128" s="201">
        <v>0</v>
      </c>
      <c r="T128" s="201">
        <v>0</v>
      </c>
      <c r="U128" s="201">
        <v>0</v>
      </c>
      <c r="V128" s="201">
        <v>0</v>
      </c>
      <c r="W128" s="201">
        <v>0</v>
      </c>
      <c r="X128" s="201">
        <v>0</v>
      </c>
      <c r="Y128" s="201">
        <v>0</v>
      </c>
      <c r="Z128" s="201">
        <v>0</v>
      </c>
      <c r="AA128" s="201">
        <v>0</v>
      </c>
      <c r="AB128" s="201">
        <v>0</v>
      </c>
      <c r="AC128" s="201">
        <v>0</v>
      </c>
      <c r="AD128" s="201">
        <v>0</v>
      </c>
      <c r="AE128" s="201">
        <v>0</v>
      </c>
      <c r="AF128" s="201">
        <v>0</v>
      </c>
      <c r="AG128" s="201">
        <v>0</v>
      </c>
      <c r="AH128" s="201">
        <v>0</v>
      </c>
      <c r="AI128" s="201">
        <v>0</v>
      </c>
      <c r="AJ128" s="201">
        <v>0</v>
      </c>
      <c r="AK128" s="201">
        <v>0</v>
      </c>
      <c r="AL128" s="201">
        <v>0</v>
      </c>
      <c r="AM128" s="201">
        <v>0</v>
      </c>
      <c r="AN128" s="201">
        <v>0</v>
      </c>
      <c r="AO128" s="201">
        <v>0</v>
      </c>
      <c r="AP128" s="201">
        <v>0</v>
      </c>
    </row>
    <row r="129" spans="2:43" s="147" customFormat="1" x14ac:dyDescent="0.2">
      <c r="B129" s="181" t="str">
        <f>'Conto Economico'!A259</f>
        <v>Acquisto Autovettura</v>
      </c>
      <c r="C129" s="47">
        <f>'Budget 27'!E125</f>
        <v>0</v>
      </c>
      <c r="D129" s="201"/>
      <c r="E129" s="201"/>
      <c r="F129" s="201"/>
      <c r="G129" s="201"/>
      <c r="H129" s="201"/>
      <c r="I129" s="201"/>
      <c r="J129" s="201"/>
      <c r="K129" s="201"/>
      <c r="L129" s="201"/>
      <c r="M129" s="201"/>
      <c r="N129" s="201"/>
      <c r="O129" s="201"/>
      <c r="P129" s="201"/>
      <c r="Q129" s="201"/>
      <c r="R129" s="201"/>
      <c r="S129" s="201"/>
      <c r="T129" s="201"/>
      <c r="U129" s="201"/>
      <c r="V129" s="201"/>
      <c r="W129" s="201"/>
      <c r="X129" s="201"/>
      <c r="Y129" s="201"/>
      <c r="Z129" s="201"/>
      <c r="AA129" s="201"/>
      <c r="AB129" s="201"/>
      <c r="AC129" s="201"/>
      <c r="AD129" s="201"/>
      <c r="AE129" s="201"/>
      <c r="AF129" s="201"/>
      <c r="AG129" s="201"/>
      <c r="AH129" s="201"/>
      <c r="AI129" s="201"/>
      <c r="AJ129" s="201"/>
      <c r="AK129" s="201"/>
      <c r="AL129" s="201"/>
      <c r="AM129" s="201"/>
      <c r="AN129" s="201"/>
      <c r="AO129" s="201"/>
      <c r="AP129" s="201"/>
    </row>
    <row r="130" spans="2:43" s="147" customFormat="1" x14ac:dyDescent="0.2">
      <c r="B130" s="181" t="str">
        <f>'Conto Economico'!A260</f>
        <v>Voli Aerei su Dubai</v>
      </c>
      <c r="C130" s="47">
        <f>'Budget 27'!E126</f>
        <v>3000</v>
      </c>
      <c r="D130" s="201">
        <v>0</v>
      </c>
      <c r="E130" s="201"/>
      <c r="F130" s="201"/>
      <c r="G130" s="201"/>
      <c r="H130" s="201"/>
      <c r="I130" s="201"/>
      <c r="J130" s="201"/>
      <c r="K130" s="201"/>
      <c r="L130" s="201"/>
      <c r="M130" s="201"/>
      <c r="N130" s="201"/>
      <c r="O130" s="201"/>
      <c r="P130" s="201"/>
      <c r="Q130" s="201"/>
      <c r="R130" s="201"/>
      <c r="S130" s="201"/>
      <c r="T130" s="201"/>
      <c r="U130" s="201"/>
      <c r="V130" s="201"/>
      <c r="W130" s="201"/>
      <c r="X130" s="201"/>
      <c r="Y130" s="201"/>
      <c r="Z130" s="201"/>
      <c r="AA130" s="201"/>
      <c r="AB130" s="201"/>
      <c r="AC130" s="201"/>
      <c r="AD130" s="201"/>
      <c r="AE130" s="201"/>
      <c r="AF130" s="201"/>
      <c r="AG130" s="201"/>
      <c r="AH130" s="201"/>
      <c r="AI130" s="201"/>
      <c r="AJ130" s="201"/>
      <c r="AK130" s="201"/>
      <c r="AL130" s="201"/>
      <c r="AM130" s="201"/>
      <c r="AN130" s="201"/>
      <c r="AO130" s="201"/>
      <c r="AP130" s="201"/>
    </row>
    <row r="131" spans="2:43" s="147" customFormat="1" x14ac:dyDescent="0.2">
      <c r="B131" s="181" t="str">
        <f>'Conto Economico'!A261</f>
        <v>Voli Aerei su Amsterdam</v>
      </c>
      <c r="C131" s="47">
        <f>'Budget 27'!E127</f>
        <v>0</v>
      </c>
      <c r="D131" s="201">
        <v>0</v>
      </c>
      <c r="E131" s="201">
        <v>0</v>
      </c>
      <c r="F131" s="201">
        <v>0</v>
      </c>
      <c r="G131" s="201">
        <v>0</v>
      </c>
      <c r="H131" s="201">
        <v>0</v>
      </c>
      <c r="I131" s="201">
        <v>0</v>
      </c>
      <c r="J131" s="201">
        <v>0</v>
      </c>
      <c r="K131" s="201">
        <v>0</v>
      </c>
      <c r="L131" s="201">
        <v>0</v>
      </c>
      <c r="M131" s="201">
        <v>0</v>
      </c>
      <c r="N131" s="201">
        <v>0</v>
      </c>
      <c r="P131" s="201">
        <v>0</v>
      </c>
      <c r="Q131" s="201">
        <v>0</v>
      </c>
      <c r="R131" s="201">
        <v>0</v>
      </c>
      <c r="S131" s="201">
        <v>0</v>
      </c>
      <c r="T131" s="201">
        <v>0</v>
      </c>
      <c r="U131" s="201">
        <v>0</v>
      </c>
      <c r="V131" s="201">
        <v>0</v>
      </c>
      <c r="W131" s="201">
        <v>0</v>
      </c>
      <c r="X131" s="201">
        <v>0</v>
      </c>
      <c r="Y131" s="201">
        <v>0</v>
      </c>
      <c r="Z131" s="201">
        <v>0</v>
      </c>
      <c r="AA131" s="201">
        <v>0</v>
      </c>
      <c r="AB131" s="201">
        <v>0</v>
      </c>
      <c r="AC131" s="201">
        <v>0</v>
      </c>
      <c r="AD131" s="201">
        <v>0</v>
      </c>
      <c r="AE131" s="201">
        <v>0</v>
      </c>
      <c r="AF131" s="201">
        <v>0</v>
      </c>
      <c r="AG131" s="201">
        <v>0</v>
      </c>
      <c r="AH131" s="201">
        <v>0</v>
      </c>
      <c r="AI131" s="201">
        <v>0</v>
      </c>
      <c r="AJ131" s="201">
        <v>0</v>
      </c>
      <c r="AK131" s="201">
        <v>0</v>
      </c>
      <c r="AL131" s="201">
        <v>0</v>
      </c>
      <c r="AM131" s="201">
        <v>0</v>
      </c>
      <c r="AN131" s="201">
        <v>0</v>
      </c>
      <c r="AO131" s="201">
        <v>0</v>
      </c>
      <c r="AP131" s="201">
        <v>0</v>
      </c>
    </row>
    <row r="132" spans="2:43" s="147" customFormat="1" x14ac:dyDescent="0.2">
      <c r="B132" s="181" t="str">
        <f>'Conto Economico'!A262</f>
        <v>Successione Vanzini</v>
      </c>
      <c r="C132" s="47">
        <f>'Budget 27'!E128</f>
        <v>5000</v>
      </c>
      <c r="D132" s="201">
        <v>0</v>
      </c>
      <c r="E132" s="201"/>
      <c r="F132" s="201"/>
      <c r="G132" s="201"/>
      <c r="H132" s="201"/>
      <c r="I132" s="201"/>
      <c r="J132" s="201"/>
      <c r="K132" s="201"/>
      <c r="L132" s="201"/>
      <c r="M132" s="201"/>
      <c r="N132" s="201"/>
      <c r="O132" s="201"/>
      <c r="P132" s="201"/>
      <c r="Q132" s="201"/>
      <c r="R132" s="201"/>
      <c r="S132" s="201"/>
      <c r="T132" s="201"/>
      <c r="U132" s="201"/>
      <c r="V132" s="201"/>
      <c r="W132" s="201"/>
      <c r="X132" s="201"/>
      <c r="Y132" s="201"/>
      <c r="Z132" s="201"/>
      <c r="AA132" s="201"/>
      <c r="AB132" s="201"/>
      <c r="AC132" s="201"/>
      <c r="AD132" s="201"/>
      <c r="AE132" s="201"/>
      <c r="AF132" s="201"/>
      <c r="AG132" s="201"/>
      <c r="AH132" s="201"/>
      <c r="AI132" s="201"/>
      <c r="AJ132" s="201"/>
      <c r="AK132" s="201"/>
      <c r="AL132" s="201"/>
      <c r="AM132" s="201"/>
      <c r="AN132" s="201"/>
      <c r="AO132" s="201"/>
      <c r="AP132" s="201"/>
    </row>
    <row r="133" spans="2:43" s="147" customFormat="1" x14ac:dyDescent="0.2">
      <c r="B133" s="181" t="str">
        <f>'Conto Economico'!A263</f>
        <v>Imprevisti</v>
      </c>
      <c r="C133" s="47">
        <v>5000</v>
      </c>
      <c r="D133" s="201">
        <v>5419.9458242947676</v>
      </c>
      <c r="E133" s="201">
        <v>5273.319019719268</v>
      </c>
      <c r="F133" s="201">
        <v>5129.2491900363639</v>
      </c>
      <c r="G133" s="201">
        <v>4979.9983124843166</v>
      </c>
      <c r="H133" s="201">
        <v>4899.2696148114219</v>
      </c>
      <c r="I133" s="201">
        <v>4814.2411736851755</v>
      </c>
      <c r="J133" s="201">
        <v>4724.7839836193225</v>
      </c>
      <c r="K133" s="201">
        <v>4690.6322681670763</v>
      </c>
      <c r="L133" s="201">
        <v>4728.0949747479362</v>
      </c>
      <c r="M133" s="201">
        <v>4762.6330414481845</v>
      </c>
      <c r="N133" s="201">
        <v>4794.1334469352878</v>
      </c>
      <c r="O133" s="201">
        <v>4872.0004599193726</v>
      </c>
      <c r="P133" s="201">
        <v>4030.2324300339237</v>
      </c>
      <c r="Q133" s="201">
        <v>4092.7418775623396</v>
      </c>
      <c r="R133" s="201">
        <v>4153.2816217530681</v>
      </c>
      <c r="S133" s="201">
        <v>4211.7635904060844</v>
      </c>
      <c r="T133" s="201">
        <v>4268.0971599168624</v>
      </c>
      <c r="U133" s="201">
        <v>4335.7150936069474</v>
      </c>
      <c r="V133" s="201">
        <v>4401.4428989933895</v>
      </c>
      <c r="W133" s="201">
        <v>4465.1933737489271</v>
      </c>
      <c r="X133" s="201">
        <v>4565.8377649585336</v>
      </c>
      <c r="Y133" s="201">
        <v>4664.8322880016731</v>
      </c>
      <c r="Z133" s="201">
        <v>4762.0891486882037</v>
      </c>
      <c r="AA133" s="201">
        <v>4857.517912954474</v>
      </c>
      <c r="AB133" s="201">
        <v>4951.0254392455081</v>
      </c>
      <c r="AC133" s="201">
        <v>5042.5158092933034</v>
      </c>
      <c r="AD133" s="201">
        <v>5131.8902572549105</v>
      </c>
      <c r="AE133" s="201">
        <v>5280.6108009814752</v>
      </c>
      <c r="AF133" s="201">
        <v>5430.0770788298369</v>
      </c>
      <c r="AG133" s="201">
        <v>5580.267652488863</v>
      </c>
      <c r="AH133" s="201">
        <v>5731.1600262334177</v>
      </c>
      <c r="AI133" s="201">
        <v>5882.7306146661476</v>
      </c>
      <c r="AJ133" s="201">
        <v>6034.9547096179158</v>
      </c>
      <c r="AK133" s="201">
        <v>6187.8064461866197</v>
      </c>
      <c r="AL133" s="201">
        <v>6381.4853036382392</v>
      </c>
      <c r="AM133" s="201">
        <v>6577.0582395856864</v>
      </c>
      <c r="AN133" s="201">
        <v>6774.5293796846363</v>
      </c>
      <c r="AO133" s="201">
        <v>6973.9023288188837</v>
      </c>
      <c r="AP133" s="201">
        <v>7175.1801497733641</v>
      </c>
    </row>
    <row r="134" spans="2:43" s="147" customFormat="1" x14ac:dyDescent="0.2">
      <c r="B134" s="181">
        <f>'Conto Economico'!A264</f>
        <v>0</v>
      </c>
      <c r="C134" s="47"/>
      <c r="D134" s="201">
        <v>0</v>
      </c>
      <c r="E134" s="201"/>
      <c r="G134" s="201"/>
      <c r="H134" s="201"/>
      <c r="I134" s="201"/>
      <c r="J134" s="201"/>
      <c r="K134" s="201"/>
      <c r="L134" s="201"/>
      <c r="M134" s="201"/>
      <c r="N134" s="201"/>
      <c r="O134" s="201"/>
      <c r="P134" s="201"/>
      <c r="Q134" s="201"/>
      <c r="R134" s="201"/>
      <c r="S134" s="201"/>
      <c r="T134" s="201"/>
      <c r="U134" s="201"/>
      <c r="V134" s="201"/>
      <c r="W134" s="201"/>
      <c r="X134" s="201"/>
      <c r="Y134" s="201"/>
      <c r="Z134" s="201"/>
      <c r="AA134" s="201"/>
      <c r="AB134" s="201"/>
      <c r="AC134" s="201"/>
      <c r="AD134" s="201"/>
      <c r="AE134" s="201"/>
      <c r="AF134" s="201"/>
      <c r="AG134" s="201"/>
      <c r="AH134" s="201"/>
      <c r="AI134" s="201"/>
      <c r="AJ134" s="201"/>
      <c r="AK134" s="201"/>
      <c r="AL134" s="201"/>
      <c r="AM134" s="201"/>
      <c r="AN134" s="201"/>
      <c r="AO134" s="201"/>
      <c r="AP134" s="201"/>
    </row>
    <row r="135" spans="2:43" s="147" customFormat="1" x14ac:dyDescent="0.2">
      <c r="B135" s="199" t="str">
        <f>'Conto Economico'!A265</f>
        <v>Investimenti Immobili</v>
      </c>
      <c r="C135" s="113">
        <f ca="1">SUM(C136:C140)</f>
        <v>1289332.608</v>
      </c>
      <c r="D135" s="113">
        <f t="shared" ref="D135:AP135" ca="1" si="187">SUM(D136:D140)</f>
        <v>0</v>
      </c>
      <c r="E135" s="113">
        <f t="shared" si="187"/>
        <v>0</v>
      </c>
      <c r="F135" s="113">
        <f t="shared" si="187"/>
        <v>0</v>
      </c>
      <c r="G135" s="113">
        <f t="shared" si="187"/>
        <v>0</v>
      </c>
      <c r="H135" s="113">
        <f t="shared" si="187"/>
        <v>0</v>
      </c>
      <c r="I135" s="113">
        <f t="shared" si="187"/>
        <v>0</v>
      </c>
      <c r="J135" s="113">
        <f t="shared" si="187"/>
        <v>0</v>
      </c>
      <c r="K135" s="113">
        <f t="shared" si="187"/>
        <v>0</v>
      </c>
      <c r="L135" s="113">
        <f t="shared" si="187"/>
        <v>0</v>
      </c>
      <c r="M135" s="113">
        <f t="shared" si="187"/>
        <v>0</v>
      </c>
      <c r="N135" s="113">
        <f t="shared" si="187"/>
        <v>0</v>
      </c>
      <c r="O135" s="113">
        <f t="shared" si="187"/>
        <v>300000</v>
      </c>
      <c r="P135" s="113">
        <f t="shared" si="187"/>
        <v>0</v>
      </c>
      <c r="Q135" s="113">
        <f t="shared" si="187"/>
        <v>0</v>
      </c>
      <c r="R135" s="113">
        <f t="shared" si="187"/>
        <v>0</v>
      </c>
      <c r="S135" s="113">
        <f t="shared" si="187"/>
        <v>0</v>
      </c>
      <c r="T135" s="113">
        <f t="shared" si="187"/>
        <v>0</v>
      </c>
      <c r="U135" s="113">
        <f t="shared" si="187"/>
        <v>0</v>
      </c>
      <c r="V135" s="113">
        <f t="shared" si="187"/>
        <v>0</v>
      </c>
      <c r="W135" s="113">
        <f t="shared" si="187"/>
        <v>0</v>
      </c>
      <c r="X135" s="113">
        <f t="shared" si="187"/>
        <v>0</v>
      </c>
      <c r="Y135" s="113">
        <f t="shared" si="187"/>
        <v>0</v>
      </c>
      <c r="Z135" s="113">
        <f t="shared" si="187"/>
        <v>0</v>
      </c>
      <c r="AA135" s="113">
        <f t="shared" si="187"/>
        <v>0</v>
      </c>
      <c r="AB135" s="113">
        <f t="shared" si="187"/>
        <v>0</v>
      </c>
      <c r="AC135" s="113">
        <f t="shared" si="187"/>
        <v>0</v>
      </c>
      <c r="AD135" s="113">
        <f t="shared" si="187"/>
        <v>0</v>
      </c>
      <c r="AE135" s="113">
        <f t="shared" si="187"/>
        <v>0</v>
      </c>
      <c r="AF135" s="113">
        <f t="shared" si="187"/>
        <v>0</v>
      </c>
      <c r="AG135" s="113">
        <f t="shared" si="187"/>
        <v>0</v>
      </c>
      <c r="AH135" s="113">
        <f t="shared" si="187"/>
        <v>0</v>
      </c>
      <c r="AI135" s="113">
        <f t="shared" si="187"/>
        <v>0</v>
      </c>
      <c r="AJ135" s="113">
        <f t="shared" si="187"/>
        <v>0</v>
      </c>
      <c r="AK135" s="113">
        <f t="shared" si="187"/>
        <v>0</v>
      </c>
      <c r="AL135" s="113">
        <f t="shared" si="187"/>
        <v>0</v>
      </c>
      <c r="AM135" s="113">
        <f t="shared" si="187"/>
        <v>0</v>
      </c>
      <c r="AN135" s="113">
        <f t="shared" si="187"/>
        <v>0</v>
      </c>
      <c r="AO135" s="113">
        <f t="shared" si="187"/>
        <v>0</v>
      </c>
      <c r="AP135" s="113">
        <f t="shared" si="187"/>
        <v>0</v>
      </c>
    </row>
    <row r="136" spans="2:43" s="147" customFormat="1" x14ac:dyDescent="0.2">
      <c r="B136" s="181" t="str">
        <f>'Conto Economico'!A266</f>
        <v>Project Plan Dubai I</v>
      </c>
      <c r="C136" s="47">
        <f ca="1">'Budget 27'!E132</f>
        <v>189332.60800000001</v>
      </c>
      <c r="D136" s="201">
        <v>0</v>
      </c>
      <c r="E136" s="201"/>
      <c r="F136" s="201"/>
      <c r="G136" s="201"/>
      <c r="H136" s="201"/>
      <c r="I136" s="201"/>
      <c r="J136" s="201"/>
      <c r="K136" s="201"/>
      <c r="L136" s="201"/>
      <c r="M136" s="201"/>
      <c r="N136" s="201"/>
      <c r="O136" s="201"/>
      <c r="P136" s="201"/>
      <c r="Q136" s="201"/>
      <c r="R136" s="201"/>
      <c r="S136" s="201"/>
      <c r="T136" s="201"/>
      <c r="U136" s="201"/>
      <c r="V136" s="201"/>
      <c r="W136" s="201"/>
      <c r="X136" s="201"/>
      <c r="Y136" s="201"/>
      <c r="Z136" s="201"/>
      <c r="AA136" s="201"/>
      <c r="AB136" s="201"/>
      <c r="AC136" s="201"/>
      <c r="AD136" s="201"/>
      <c r="AE136" s="201"/>
      <c r="AF136" s="201"/>
      <c r="AG136" s="201"/>
      <c r="AH136" s="201"/>
      <c r="AI136" s="201"/>
      <c r="AJ136" s="201"/>
      <c r="AK136" s="201"/>
      <c r="AL136" s="201"/>
      <c r="AM136" s="201"/>
      <c r="AN136" s="201"/>
      <c r="AO136" s="201"/>
      <c r="AP136" s="201"/>
    </row>
    <row r="137" spans="2:43" s="147" customFormat="1" x14ac:dyDescent="0.2">
      <c r="B137" s="181" t="str">
        <f>'Conto Economico'!A267</f>
        <v>Project Plan Dubai II</v>
      </c>
      <c r="C137" s="47">
        <f>'Budget 27'!E133</f>
        <v>0</v>
      </c>
      <c r="D137" s="201">
        <f ca="1">'Budget 27'!K125*0</f>
        <v>0</v>
      </c>
      <c r="E137" s="201"/>
      <c r="F137" s="201"/>
      <c r="G137" s="201"/>
      <c r="H137" s="201"/>
      <c r="I137" s="201"/>
      <c r="J137" s="201"/>
      <c r="K137" s="201"/>
      <c r="L137" s="201"/>
      <c r="M137" s="201"/>
      <c r="N137" s="201"/>
      <c r="O137" s="201"/>
      <c r="P137" s="201"/>
      <c r="Q137" s="201"/>
      <c r="R137" s="201"/>
      <c r="S137" s="201"/>
      <c r="T137" s="201"/>
      <c r="U137" s="201"/>
      <c r="V137" s="201"/>
      <c r="W137" s="201"/>
      <c r="X137" s="201"/>
      <c r="Y137" s="201"/>
      <c r="Z137" s="201"/>
      <c r="AA137" s="201"/>
      <c r="AB137" s="201"/>
      <c r="AC137" s="201"/>
      <c r="AD137" s="201"/>
      <c r="AE137" s="201"/>
      <c r="AF137" s="201"/>
      <c r="AG137" s="201"/>
      <c r="AH137" s="201"/>
      <c r="AI137" s="201"/>
      <c r="AJ137" s="201"/>
      <c r="AK137" s="201"/>
      <c r="AL137" s="201"/>
      <c r="AM137" s="201"/>
      <c r="AN137" s="201"/>
      <c r="AO137" s="201"/>
      <c r="AP137" s="201"/>
    </row>
    <row r="138" spans="2:43" s="147" customFormat="1" x14ac:dyDescent="0.2">
      <c r="B138" s="181" t="str">
        <f>'Conto Economico'!A268</f>
        <v>Project Plan Dubai III</v>
      </c>
      <c r="C138" s="47">
        <f>'Budget 27'!E134*0</f>
        <v>0</v>
      </c>
      <c r="D138" s="201"/>
      <c r="E138" s="201"/>
      <c r="F138" s="201"/>
      <c r="G138" s="201"/>
      <c r="H138" s="201"/>
      <c r="I138" s="201"/>
      <c r="J138" s="201"/>
      <c r="K138" s="201"/>
      <c r="L138" s="201"/>
      <c r="M138" s="201"/>
      <c r="N138" s="201"/>
      <c r="O138" s="201"/>
      <c r="P138" s="201"/>
      <c r="Q138" s="201"/>
      <c r="R138" s="201"/>
      <c r="S138" s="201"/>
      <c r="T138" s="201"/>
      <c r="U138" s="201"/>
      <c r="V138" s="201"/>
      <c r="W138" s="201"/>
      <c r="X138" s="201"/>
      <c r="Y138" s="201"/>
      <c r="Z138" s="201"/>
      <c r="AA138" s="201"/>
      <c r="AB138" s="201"/>
      <c r="AC138" s="201"/>
      <c r="AD138" s="201"/>
      <c r="AE138" s="201"/>
      <c r="AF138" s="201"/>
      <c r="AG138" s="201"/>
      <c r="AH138" s="201"/>
      <c r="AI138" s="201"/>
      <c r="AJ138" s="201"/>
      <c r="AK138" s="201"/>
      <c r="AL138" s="201"/>
      <c r="AM138" s="201"/>
      <c r="AN138" s="201"/>
      <c r="AO138" s="201"/>
      <c r="AP138" s="201"/>
    </row>
    <row r="139" spans="2:43" s="147" customFormat="1" x14ac:dyDescent="0.2">
      <c r="B139" s="181" t="str">
        <f>'Conto Economico'!A269</f>
        <v>Acquisto Immobile Principale Dubai</v>
      </c>
      <c r="C139" s="47">
        <f>'Budget 27'!E135</f>
        <v>1100000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  <c r="AN139" s="47"/>
      <c r="AO139" s="47"/>
      <c r="AP139" s="47"/>
    </row>
    <row r="140" spans="2:43" s="147" customFormat="1" x14ac:dyDescent="0.2">
      <c r="B140" s="181" t="str">
        <f>'Conto Economico'!A270</f>
        <v>Acquisto Immobile per Emma</v>
      </c>
      <c r="C140" s="47">
        <f>'Budget 27'!E136</f>
        <v>0</v>
      </c>
      <c r="D140" s="201">
        <f>C140+C140*$C$159</f>
        <v>0</v>
      </c>
      <c r="E140" s="201">
        <f>D140+D140*$C$159</f>
        <v>0</v>
      </c>
      <c r="F140" s="201"/>
      <c r="G140" s="201"/>
      <c r="H140" s="201"/>
      <c r="I140" s="201"/>
      <c r="J140" s="201"/>
      <c r="K140" s="201"/>
      <c r="L140" s="201"/>
      <c r="M140" s="201"/>
      <c r="N140" s="201"/>
      <c r="O140" s="202">
        <v>300000</v>
      </c>
      <c r="P140" s="201"/>
      <c r="Q140" s="201"/>
      <c r="R140" s="201"/>
      <c r="S140" s="201"/>
      <c r="T140" s="201"/>
      <c r="U140" s="201"/>
      <c r="V140" s="201"/>
      <c r="W140" s="201"/>
      <c r="X140" s="201"/>
      <c r="Y140" s="201"/>
      <c r="Z140" s="201"/>
      <c r="AA140" s="201"/>
      <c r="AB140" s="201"/>
      <c r="AC140" s="201"/>
      <c r="AD140" s="201"/>
      <c r="AE140" s="201"/>
      <c r="AF140" s="201"/>
      <c r="AG140" s="201"/>
      <c r="AH140" s="201"/>
      <c r="AI140" s="201"/>
      <c r="AJ140" s="201"/>
      <c r="AK140" s="201"/>
      <c r="AL140" s="201"/>
      <c r="AM140" s="201"/>
      <c r="AN140" s="201"/>
      <c r="AO140" s="201"/>
      <c r="AP140" s="201"/>
    </row>
    <row r="141" spans="2:43" s="147" customFormat="1" x14ac:dyDescent="0.2">
      <c r="B141" s="181"/>
      <c r="C141" s="181"/>
      <c r="D141" s="201"/>
      <c r="E141" s="201"/>
      <c r="F141" s="201"/>
      <c r="G141" s="201"/>
      <c r="H141" s="201"/>
      <c r="I141" s="201"/>
      <c r="J141" s="201"/>
      <c r="K141" s="201"/>
      <c r="L141" s="201"/>
      <c r="M141" s="201"/>
      <c r="N141" s="201"/>
      <c r="O141" s="201"/>
      <c r="P141" s="201"/>
      <c r="Q141" s="201"/>
      <c r="R141" s="201"/>
      <c r="S141" s="201"/>
      <c r="T141" s="201"/>
      <c r="U141" s="201"/>
      <c r="V141" s="201"/>
      <c r="W141" s="201"/>
      <c r="X141" s="201"/>
      <c r="Y141" s="201"/>
      <c r="Z141" s="201"/>
      <c r="AA141" s="201"/>
      <c r="AB141" s="201"/>
      <c r="AC141" s="201"/>
      <c r="AD141" s="201"/>
      <c r="AE141" s="201"/>
      <c r="AF141" s="201"/>
      <c r="AG141" s="201"/>
      <c r="AH141" s="201"/>
      <c r="AI141" s="201"/>
      <c r="AJ141" s="201"/>
      <c r="AK141" s="201"/>
      <c r="AL141" s="201"/>
      <c r="AM141" s="201"/>
      <c r="AN141" s="201"/>
      <c r="AO141" s="201"/>
      <c r="AP141" s="201"/>
      <c r="AQ141" s="201"/>
    </row>
    <row r="142" spans="2:43" s="182" customFormat="1" x14ac:dyDescent="0.2">
      <c r="B142" s="205" t="s">
        <v>52</v>
      </c>
      <c r="C142" s="191">
        <f t="shared" ref="C142:AO142" ca="1" si="188">C144</f>
        <v>232560.84710959083</v>
      </c>
      <c r="D142" s="191">
        <f t="shared" ca="1" si="188"/>
        <v>59065.464035363373</v>
      </c>
      <c r="E142" s="191">
        <f t="shared" ca="1" si="188"/>
        <v>58468.372193307514</v>
      </c>
      <c r="F142" s="191">
        <f t="shared" ca="1" si="188"/>
        <v>57842.09372157864</v>
      </c>
      <c r="G142" s="191">
        <f t="shared" ca="1" si="188"/>
        <v>57668.756469482032</v>
      </c>
      <c r="H142" s="191">
        <f t="shared" ca="1" si="188"/>
        <v>57472.017381088452</v>
      </c>
      <c r="I142" s="191">
        <f t="shared" ca="1" si="188"/>
        <v>57251.109276849638</v>
      </c>
      <c r="J142" s="191">
        <f t="shared" ca="1" si="188"/>
        <v>76843.588518062636</v>
      </c>
      <c r="K142" s="191">
        <f ca="1">K144</f>
        <v>100150.13057342311</v>
      </c>
      <c r="L142" s="191">
        <f t="shared" ca="1" si="188"/>
        <v>100754.06585481591</v>
      </c>
      <c r="M142" s="191">
        <f t="shared" ca="1" si="188"/>
        <v>101342.95281853386</v>
      </c>
      <c r="N142" s="191">
        <f t="shared" ca="1" si="188"/>
        <v>102239.76817361789</v>
      </c>
      <c r="O142" s="191">
        <f t="shared" ca="1" si="188"/>
        <v>97130.734227182111</v>
      </c>
      <c r="P142" s="191">
        <f t="shared" ca="1" si="188"/>
        <v>97938.686049458804</v>
      </c>
      <c r="Q142" s="191">
        <f t="shared" ca="1" si="188"/>
        <v>98738.856904579719</v>
      </c>
      <c r="R142" s="191">
        <f t="shared" ca="1" si="188"/>
        <v>99530.73396827963</v>
      </c>
      <c r="S142" s="191">
        <f t="shared" ca="1" si="188"/>
        <v>100313.78883935243</v>
      </c>
      <c r="T142" s="191">
        <f t="shared" ca="1" si="188"/>
        <v>101175.88239611575</v>
      </c>
      <c r="U142" s="191">
        <f t="shared" ca="1" si="188"/>
        <v>102030.9467883241</v>
      </c>
      <c r="V142" s="191">
        <f t="shared" ca="1" si="188"/>
        <v>102878.47683735003</v>
      </c>
      <c r="W142" s="191">
        <f t="shared" ca="1" si="188"/>
        <v>116704.95179891924</v>
      </c>
      <c r="X142" s="191">
        <f t="shared" ca="1" si="188"/>
        <v>117793.73700846583</v>
      </c>
      <c r="Y142" s="191">
        <f t="shared" ca="1" si="188"/>
        <v>118876.67372184864</v>
      </c>
      <c r="Z142" s="191">
        <f t="shared" ca="1" si="188"/>
        <v>119953.23399582496</v>
      </c>
      <c r="AA142" s="191">
        <f t="shared" ca="1" si="188"/>
        <v>121022.87321573838</v>
      </c>
      <c r="AB142" s="191">
        <f t="shared" ca="1" si="188"/>
        <v>122085.02967249884</v>
      </c>
      <c r="AC142" s="191">
        <f t="shared" ca="1" si="188"/>
        <v>123139.12412982345</v>
      </c>
      <c r="AD142" s="191">
        <f t="shared" ca="1" si="188"/>
        <v>107732.84196237965</v>
      </c>
      <c r="AE142" s="191">
        <f t="shared" ca="1" si="188"/>
        <v>109191.3359352198</v>
      </c>
      <c r="AF142" s="191">
        <f t="shared" ca="1" si="188"/>
        <v>110660.40410886033</v>
      </c>
      <c r="AG142" s="191">
        <f t="shared" ca="1" si="188"/>
        <v>112139.95573735086</v>
      </c>
      <c r="AH142" s="191">
        <f t="shared" ca="1" si="188"/>
        <v>113629.89341745309</v>
      </c>
      <c r="AI142" s="191">
        <f t="shared" ca="1" si="188"/>
        <v>115130.11287966627</v>
      </c>
      <c r="AJ142" s="191">
        <f t="shared" ca="1" si="188"/>
        <v>116640.50277391914</v>
      </c>
      <c r="AK142" s="191">
        <f t="shared" ca="1" si="188"/>
        <v>118423.88651219549</v>
      </c>
      <c r="AL142" s="191">
        <f t="shared" ca="1" si="188"/>
        <v>120225.81577694482</v>
      </c>
      <c r="AM142" s="191">
        <f t="shared" ca="1" si="188"/>
        <v>122046.37193609809</v>
      </c>
      <c r="AN142" s="191">
        <f t="shared" ca="1" si="188"/>
        <v>123885.63320486664</v>
      </c>
      <c r="AO142" s="191">
        <f t="shared" ca="1" si="188"/>
        <v>125743.67450600336</v>
      </c>
      <c r="AP142" s="191">
        <f ca="1">AP144</f>
        <v>127620.56732607723</v>
      </c>
    </row>
    <row r="143" spans="2:43" s="182" customFormat="1" x14ac:dyDescent="0.2">
      <c r="B143" s="206"/>
      <c r="C143" s="206"/>
      <c r="D143" s="198"/>
      <c r="E143" s="198"/>
      <c r="F143" s="198"/>
      <c r="G143" s="198"/>
      <c r="H143" s="198"/>
      <c r="I143" s="198"/>
      <c r="J143" s="198"/>
      <c r="K143" s="198"/>
      <c r="L143" s="198"/>
      <c r="M143" s="198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</row>
    <row r="144" spans="2:43" s="178" customFormat="1" x14ac:dyDescent="0.2">
      <c r="B144" s="199" t="s">
        <v>0</v>
      </c>
      <c r="C144" s="113">
        <f ca="1">SUM(C145:C153)</f>
        <v>232560.84710959083</v>
      </c>
      <c r="D144" s="113">
        <f t="shared" ref="D144:AP144" ca="1" si="189">SUM(D145:D153)</f>
        <v>59065.464035363373</v>
      </c>
      <c r="E144" s="113">
        <f t="shared" ca="1" si="189"/>
        <v>58468.372193307514</v>
      </c>
      <c r="F144" s="113">
        <f t="shared" ca="1" si="189"/>
        <v>57842.09372157864</v>
      </c>
      <c r="G144" s="113">
        <f t="shared" ca="1" si="189"/>
        <v>57668.756469482032</v>
      </c>
      <c r="H144" s="113">
        <f t="shared" ca="1" si="189"/>
        <v>57472.017381088452</v>
      </c>
      <c r="I144" s="113">
        <f t="shared" ca="1" si="189"/>
        <v>57251.109276849638</v>
      </c>
      <c r="J144" s="113">
        <f t="shared" ca="1" si="189"/>
        <v>76843.588518062636</v>
      </c>
      <c r="K144" s="113">
        <f t="shared" ca="1" si="189"/>
        <v>100150.13057342311</v>
      </c>
      <c r="L144" s="113">
        <f t="shared" ca="1" si="189"/>
        <v>100754.06585481591</v>
      </c>
      <c r="M144" s="113">
        <f t="shared" ca="1" si="189"/>
        <v>101342.95281853386</v>
      </c>
      <c r="N144" s="113">
        <f t="shared" ca="1" si="189"/>
        <v>102239.76817361789</v>
      </c>
      <c r="O144" s="113">
        <f t="shared" ca="1" si="189"/>
        <v>97130.734227182111</v>
      </c>
      <c r="P144" s="113">
        <f t="shared" ca="1" si="189"/>
        <v>97938.686049458804</v>
      </c>
      <c r="Q144" s="113">
        <f t="shared" ca="1" si="189"/>
        <v>98738.856904579719</v>
      </c>
      <c r="R144" s="113">
        <f t="shared" ca="1" si="189"/>
        <v>99530.73396827963</v>
      </c>
      <c r="S144" s="113">
        <f t="shared" ca="1" si="189"/>
        <v>100313.78883935243</v>
      </c>
      <c r="T144" s="113">
        <f t="shared" ca="1" si="189"/>
        <v>101175.88239611575</v>
      </c>
      <c r="U144" s="113">
        <f t="shared" ca="1" si="189"/>
        <v>102030.9467883241</v>
      </c>
      <c r="V144" s="113">
        <f t="shared" ca="1" si="189"/>
        <v>102878.47683735003</v>
      </c>
      <c r="W144" s="113">
        <f t="shared" ca="1" si="189"/>
        <v>116704.95179891924</v>
      </c>
      <c r="X144" s="113">
        <f t="shared" ca="1" si="189"/>
        <v>117793.73700846583</v>
      </c>
      <c r="Y144" s="113">
        <f t="shared" ca="1" si="189"/>
        <v>118876.67372184864</v>
      </c>
      <c r="Z144" s="113">
        <f t="shared" ca="1" si="189"/>
        <v>119953.23399582496</v>
      </c>
      <c r="AA144" s="113">
        <f t="shared" ca="1" si="189"/>
        <v>121022.87321573838</v>
      </c>
      <c r="AB144" s="113">
        <f t="shared" ca="1" si="189"/>
        <v>122085.02967249884</v>
      </c>
      <c r="AC144" s="113">
        <f t="shared" ca="1" si="189"/>
        <v>123139.12412982345</v>
      </c>
      <c r="AD144" s="113">
        <f t="shared" ca="1" si="189"/>
        <v>107732.84196237965</v>
      </c>
      <c r="AE144" s="113">
        <f t="shared" ca="1" si="189"/>
        <v>109191.3359352198</v>
      </c>
      <c r="AF144" s="113">
        <f t="shared" ca="1" si="189"/>
        <v>110660.40410886033</v>
      </c>
      <c r="AG144" s="113">
        <f t="shared" ca="1" si="189"/>
        <v>112139.95573735086</v>
      </c>
      <c r="AH144" s="113">
        <f t="shared" ca="1" si="189"/>
        <v>113629.89341745309</v>
      </c>
      <c r="AI144" s="113">
        <f t="shared" ca="1" si="189"/>
        <v>115130.11287966627</v>
      </c>
      <c r="AJ144" s="113">
        <f t="shared" ca="1" si="189"/>
        <v>116640.50277391914</v>
      </c>
      <c r="AK144" s="113">
        <f t="shared" ca="1" si="189"/>
        <v>118423.88651219549</v>
      </c>
      <c r="AL144" s="113">
        <f t="shared" ca="1" si="189"/>
        <v>120225.81577694482</v>
      </c>
      <c r="AM144" s="113">
        <f t="shared" ca="1" si="189"/>
        <v>122046.37193609809</v>
      </c>
      <c r="AN144" s="113">
        <f t="shared" ca="1" si="189"/>
        <v>123885.63320486664</v>
      </c>
      <c r="AO144" s="113">
        <f t="shared" ca="1" si="189"/>
        <v>125743.67450600336</v>
      </c>
      <c r="AP144" s="113">
        <f t="shared" ca="1" si="189"/>
        <v>127620.56732607723</v>
      </c>
    </row>
    <row r="145" spans="2:42" s="178" customFormat="1" x14ac:dyDescent="0.2">
      <c r="B145" s="181" t="str">
        <f>'Conto Economico'!A63</f>
        <v>Ricavi Affitto Dubai I</v>
      </c>
      <c r="C145" s="47">
        <f ca="1">'Budget 27'!E141</f>
        <v>12560.847109590839</v>
      </c>
      <c r="D145" s="201">
        <f ca="1">C161</f>
        <v>25121.694219181678</v>
      </c>
      <c r="E145" s="201">
        <f t="shared" ref="E145:AP145" ca="1" si="190">D145+D145*$C$164</f>
        <v>25498.519632469404</v>
      </c>
      <c r="F145" s="201">
        <f t="shared" ca="1" si="190"/>
        <v>25880.997426956445</v>
      </c>
      <c r="G145" s="201">
        <f t="shared" ca="1" si="190"/>
        <v>26269.212388360793</v>
      </c>
      <c r="H145" s="201">
        <f t="shared" ca="1" si="190"/>
        <v>26663.250574186204</v>
      </c>
      <c r="I145" s="201">
        <f t="shared" ca="1" si="190"/>
        <v>27063.199332798999</v>
      </c>
      <c r="J145" s="201">
        <f t="shared" ca="1" si="190"/>
        <v>27469.147322790985</v>
      </c>
      <c r="K145" s="201">
        <f t="shared" ca="1" si="190"/>
        <v>27881.184532632848</v>
      </c>
      <c r="L145" s="201">
        <f t="shared" ca="1" si="190"/>
        <v>28299.40230062234</v>
      </c>
      <c r="M145" s="201">
        <f t="shared" ca="1" si="190"/>
        <v>28723.893335131674</v>
      </c>
      <c r="N145" s="201">
        <f t="shared" ca="1" si="190"/>
        <v>29154.75173515865</v>
      </c>
      <c r="O145" s="201">
        <f t="shared" ca="1" si="190"/>
        <v>29592.073011186028</v>
      </c>
      <c r="P145" s="201">
        <f t="shared" ca="1" si="190"/>
        <v>30035.95410635382</v>
      </c>
      <c r="Q145" s="201">
        <f t="shared" ca="1" si="190"/>
        <v>30486.493417949128</v>
      </c>
      <c r="R145" s="201">
        <f t="shared" ca="1" si="190"/>
        <v>30943.790819218364</v>
      </c>
      <c r="S145" s="201">
        <f t="shared" ca="1" si="190"/>
        <v>31407.947681506641</v>
      </c>
      <c r="T145" s="201">
        <f t="shared" ca="1" si="190"/>
        <v>31879.06689672924</v>
      </c>
      <c r="U145" s="201">
        <f t="shared" ca="1" si="190"/>
        <v>32357.252900180178</v>
      </c>
      <c r="V145" s="201">
        <f t="shared" ca="1" si="190"/>
        <v>32842.611693682884</v>
      </c>
      <c r="W145" s="201">
        <f t="shared" ca="1" si="190"/>
        <v>33335.25086908813</v>
      </c>
      <c r="X145" s="201">
        <f t="shared" ca="1" si="190"/>
        <v>33835.279632124453</v>
      </c>
      <c r="Y145" s="201">
        <f t="shared" ca="1" si="190"/>
        <v>34342.808826606321</v>
      </c>
      <c r="Z145" s="201">
        <f t="shared" ca="1" si="190"/>
        <v>34857.950959005415</v>
      </c>
      <c r="AA145" s="201">
        <f t="shared" ca="1" si="190"/>
        <v>35380.820223390496</v>
      </c>
      <c r="AB145" s="201">
        <f t="shared" ca="1" si="190"/>
        <v>35911.53252674135</v>
      </c>
      <c r="AC145" s="201">
        <f t="shared" ca="1" si="190"/>
        <v>36450.205514642468</v>
      </c>
      <c r="AD145" s="201">
        <f t="shared" ca="1" si="190"/>
        <v>36996.958597362107</v>
      </c>
      <c r="AE145" s="201">
        <f t="shared" ca="1" si="190"/>
        <v>37551.912976322536</v>
      </c>
      <c r="AF145" s="201">
        <f t="shared" ca="1" si="190"/>
        <v>38115.191670967375</v>
      </c>
      <c r="AG145" s="201">
        <f t="shared" ca="1" si="190"/>
        <v>38686.919546031888</v>
      </c>
      <c r="AH145" s="201">
        <f t="shared" ca="1" si="190"/>
        <v>39267.223339222364</v>
      </c>
      <c r="AI145" s="201">
        <f t="shared" ca="1" si="190"/>
        <v>39856.231689310698</v>
      </c>
      <c r="AJ145" s="201">
        <f t="shared" ca="1" si="190"/>
        <v>40454.075164650356</v>
      </c>
      <c r="AK145" s="201">
        <f t="shared" ca="1" si="190"/>
        <v>41060.886292120114</v>
      </c>
      <c r="AL145" s="201">
        <f t="shared" ca="1" si="190"/>
        <v>41676.799586501918</v>
      </c>
      <c r="AM145" s="201">
        <f t="shared" ca="1" si="190"/>
        <v>42301.95158029945</v>
      </c>
      <c r="AN145" s="201">
        <f t="shared" ca="1" si="190"/>
        <v>42936.480854003945</v>
      </c>
      <c r="AO145" s="201">
        <f t="shared" ca="1" si="190"/>
        <v>43580.528066814004</v>
      </c>
      <c r="AP145" s="201">
        <f t="shared" ca="1" si="190"/>
        <v>44234.235987816217</v>
      </c>
    </row>
    <row r="146" spans="2:42" s="178" customFormat="1" x14ac:dyDescent="0.2">
      <c r="B146" s="181" t="str">
        <f>'Conto Economico'!A64</f>
        <v>Ricavi Affitto Dubai II</v>
      </c>
      <c r="C146" s="47">
        <f>'Budget 27'!E142</f>
        <v>0</v>
      </c>
      <c r="D146" s="201">
        <v>0</v>
      </c>
      <c r="E146" s="201">
        <f>D146+D146*$C$164</f>
        <v>0</v>
      </c>
      <c r="F146" s="201">
        <f ca="1">C162/2</f>
        <v>0</v>
      </c>
      <c r="G146" s="201">
        <f ca="1">F146*2+F146*2*$C$164</f>
        <v>0</v>
      </c>
      <c r="H146" s="201">
        <f t="shared" ref="H146:AP146" ca="1" si="191">G146+G146*$C$164</f>
        <v>0</v>
      </c>
      <c r="I146" s="201">
        <f t="shared" ca="1" si="191"/>
        <v>0</v>
      </c>
      <c r="J146" s="201">
        <f t="shared" ca="1" si="191"/>
        <v>0</v>
      </c>
      <c r="K146" s="201">
        <f t="shared" ca="1" si="191"/>
        <v>0</v>
      </c>
      <c r="L146" s="201">
        <f t="shared" ca="1" si="191"/>
        <v>0</v>
      </c>
      <c r="M146" s="201">
        <f t="shared" ca="1" si="191"/>
        <v>0</v>
      </c>
      <c r="N146" s="201">
        <f t="shared" ca="1" si="191"/>
        <v>0</v>
      </c>
      <c r="O146" s="201">
        <f t="shared" ca="1" si="191"/>
        <v>0</v>
      </c>
      <c r="P146" s="201">
        <f t="shared" ca="1" si="191"/>
        <v>0</v>
      </c>
      <c r="Q146" s="201">
        <f t="shared" ca="1" si="191"/>
        <v>0</v>
      </c>
      <c r="R146" s="201">
        <f t="shared" ca="1" si="191"/>
        <v>0</v>
      </c>
      <c r="S146" s="201">
        <f t="shared" ca="1" si="191"/>
        <v>0</v>
      </c>
      <c r="T146" s="201">
        <f t="shared" ca="1" si="191"/>
        <v>0</v>
      </c>
      <c r="U146" s="201">
        <f t="shared" ca="1" si="191"/>
        <v>0</v>
      </c>
      <c r="V146" s="201">
        <f t="shared" ca="1" si="191"/>
        <v>0</v>
      </c>
      <c r="W146" s="201">
        <f t="shared" ca="1" si="191"/>
        <v>0</v>
      </c>
      <c r="X146" s="201">
        <f t="shared" ca="1" si="191"/>
        <v>0</v>
      </c>
      <c r="Y146" s="201">
        <f t="shared" ca="1" si="191"/>
        <v>0</v>
      </c>
      <c r="Z146" s="201">
        <f t="shared" ca="1" si="191"/>
        <v>0</v>
      </c>
      <c r="AA146" s="201">
        <f t="shared" ca="1" si="191"/>
        <v>0</v>
      </c>
      <c r="AB146" s="201">
        <f t="shared" ca="1" si="191"/>
        <v>0</v>
      </c>
      <c r="AC146" s="201">
        <f t="shared" ca="1" si="191"/>
        <v>0</v>
      </c>
      <c r="AD146" s="201">
        <f t="shared" ca="1" si="191"/>
        <v>0</v>
      </c>
      <c r="AE146" s="201">
        <f t="shared" ca="1" si="191"/>
        <v>0</v>
      </c>
      <c r="AF146" s="201">
        <f t="shared" ca="1" si="191"/>
        <v>0</v>
      </c>
      <c r="AG146" s="201">
        <f t="shared" ca="1" si="191"/>
        <v>0</v>
      </c>
      <c r="AH146" s="201">
        <f t="shared" ca="1" si="191"/>
        <v>0</v>
      </c>
      <c r="AI146" s="201">
        <f t="shared" ca="1" si="191"/>
        <v>0</v>
      </c>
      <c r="AJ146" s="201">
        <f t="shared" ca="1" si="191"/>
        <v>0</v>
      </c>
      <c r="AK146" s="201">
        <f t="shared" ca="1" si="191"/>
        <v>0</v>
      </c>
      <c r="AL146" s="201">
        <f t="shared" ca="1" si="191"/>
        <v>0</v>
      </c>
      <c r="AM146" s="201">
        <f t="shared" ca="1" si="191"/>
        <v>0</v>
      </c>
      <c r="AN146" s="201">
        <f t="shared" ca="1" si="191"/>
        <v>0</v>
      </c>
      <c r="AO146" s="201">
        <f t="shared" ca="1" si="191"/>
        <v>0</v>
      </c>
      <c r="AP146" s="201">
        <f t="shared" ca="1" si="191"/>
        <v>0</v>
      </c>
    </row>
    <row r="147" spans="2:42" s="178" customFormat="1" x14ac:dyDescent="0.2">
      <c r="B147" s="181" t="str">
        <f>'Conto Economico'!A65</f>
        <v>Ricavi Affitto Dubai III</v>
      </c>
      <c r="C147" s="47">
        <f>'Budget 27'!E143</f>
        <v>0</v>
      </c>
      <c r="D147" s="201">
        <v>0</v>
      </c>
      <c r="E147" s="201">
        <f>D147+D147*$C$164</f>
        <v>0</v>
      </c>
      <c r="F147" s="201"/>
      <c r="G147" s="201">
        <f>F147+F147*$C$164</f>
        <v>0</v>
      </c>
      <c r="H147" s="201">
        <f t="shared" ref="H147:AP147" si="192">G147+G147*$C$164</f>
        <v>0</v>
      </c>
      <c r="I147" s="201">
        <f t="shared" si="192"/>
        <v>0</v>
      </c>
      <c r="J147" s="201">
        <f t="shared" si="192"/>
        <v>0</v>
      </c>
      <c r="K147" s="201">
        <f t="shared" si="192"/>
        <v>0</v>
      </c>
      <c r="L147" s="201">
        <f t="shared" si="192"/>
        <v>0</v>
      </c>
      <c r="M147" s="201">
        <f t="shared" si="192"/>
        <v>0</v>
      </c>
      <c r="N147" s="201">
        <f t="shared" si="192"/>
        <v>0</v>
      </c>
      <c r="O147" s="201">
        <f t="shared" si="192"/>
        <v>0</v>
      </c>
      <c r="P147" s="201">
        <f t="shared" si="192"/>
        <v>0</v>
      </c>
      <c r="Q147" s="201">
        <f t="shared" si="192"/>
        <v>0</v>
      </c>
      <c r="R147" s="201">
        <f t="shared" si="192"/>
        <v>0</v>
      </c>
      <c r="S147" s="201">
        <f t="shared" si="192"/>
        <v>0</v>
      </c>
      <c r="T147" s="201">
        <f t="shared" si="192"/>
        <v>0</v>
      </c>
      <c r="U147" s="201">
        <f t="shared" si="192"/>
        <v>0</v>
      </c>
      <c r="V147" s="201">
        <f t="shared" si="192"/>
        <v>0</v>
      </c>
      <c r="W147" s="201">
        <f t="shared" si="192"/>
        <v>0</v>
      </c>
      <c r="X147" s="201">
        <f t="shared" si="192"/>
        <v>0</v>
      </c>
      <c r="Y147" s="201">
        <f t="shared" si="192"/>
        <v>0</v>
      </c>
      <c r="Z147" s="201">
        <f t="shared" si="192"/>
        <v>0</v>
      </c>
      <c r="AA147" s="201">
        <f t="shared" si="192"/>
        <v>0</v>
      </c>
      <c r="AB147" s="201">
        <f t="shared" si="192"/>
        <v>0</v>
      </c>
      <c r="AC147" s="201">
        <f t="shared" si="192"/>
        <v>0</v>
      </c>
      <c r="AD147" s="201">
        <f t="shared" si="192"/>
        <v>0</v>
      </c>
      <c r="AE147" s="201">
        <f t="shared" si="192"/>
        <v>0</v>
      </c>
      <c r="AF147" s="201">
        <f t="shared" si="192"/>
        <v>0</v>
      </c>
      <c r="AG147" s="201">
        <f t="shared" si="192"/>
        <v>0</v>
      </c>
      <c r="AH147" s="201">
        <f t="shared" si="192"/>
        <v>0</v>
      </c>
      <c r="AI147" s="201">
        <f t="shared" si="192"/>
        <v>0</v>
      </c>
      <c r="AJ147" s="201">
        <f t="shared" si="192"/>
        <v>0</v>
      </c>
      <c r="AK147" s="201">
        <f t="shared" si="192"/>
        <v>0</v>
      </c>
      <c r="AL147" s="201">
        <f t="shared" si="192"/>
        <v>0</v>
      </c>
      <c r="AM147" s="201">
        <f t="shared" si="192"/>
        <v>0</v>
      </c>
      <c r="AN147" s="201">
        <f t="shared" si="192"/>
        <v>0</v>
      </c>
      <c r="AO147" s="201">
        <f t="shared" si="192"/>
        <v>0</v>
      </c>
      <c r="AP147" s="201">
        <f t="shared" si="192"/>
        <v>0</v>
      </c>
    </row>
    <row r="148" spans="2:42" s="178" customFormat="1" x14ac:dyDescent="0.2">
      <c r="B148" s="181" t="str">
        <f>'Conto Economico'!A66</f>
        <v>Vendita Immobile El Toro</v>
      </c>
      <c r="C148" s="47">
        <f>'Budget 27'!E144</f>
        <v>0</v>
      </c>
      <c r="D148" s="201">
        <v>0</v>
      </c>
      <c r="E148" s="201">
        <f>D148+D148*$C$164</f>
        <v>0</v>
      </c>
      <c r="F148" s="201">
        <f t="shared" ref="F148" si="193">E148+E148*$C$164</f>
        <v>0</v>
      </c>
      <c r="G148" s="201">
        <f>F148+F148*$C$164</f>
        <v>0</v>
      </c>
      <c r="H148" s="201">
        <f t="shared" ref="H148:AP148" si="194">G148+G148*$C$164</f>
        <v>0</v>
      </c>
      <c r="I148" s="201">
        <f t="shared" si="194"/>
        <v>0</v>
      </c>
      <c r="J148" s="201">
        <f t="shared" si="194"/>
        <v>0</v>
      </c>
      <c r="K148" s="201">
        <f t="shared" si="194"/>
        <v>0</v>
      </c>
      <c r="L148" s="201">
        <f t="shared" si="194"/>
        <v>0</v>
      </c>
      <c r="M148" s="201">
        <f t="shared" si="194"/>
        <v>0</v>
      </c>
      <c r="N148" s="201">
        <f t="shared" si="194"/>
        <v>0</v>
      </c>
      <c r="O148" s="201">
        <f t="shared" si="194"/>
        <v>0</v>
      </c>
      <c r="P148" s="201">
        <f t="shared" si="194"/>
        <v>0</v>
      </c>
      <c r="Q148" s="201">
        <f t="shared" si="194"/>
        <v>0</v>
      </c>
      <c r="R148" s="201">
        <f t="shared" si="194"/>
        <v>0</v>
      </c>
      <c r="S148" s="201">
        <f t="shared" si="194"/>
        <v>0</v>
      </c>
      <c r="T148" s="201">
        <f t="shared" si="194"/>
        <v>0</v>
      </c>
      <c r="U148" s="201">
        <f t="shared" si="194"/>
        <v>0</v>
      </c>
      <c r="V148" s="201">
        <f t="shared" si="194"/>
        <v>0</v>
      </c>
      <c r="W148" s="201">
        <f t="shared" si="194"/>
        <v>0</v>
      </c>
      <c r="X148" s="201">
        <f t="shared" si="194"/>
        <v>0</v>
      </c>
      <c r="Y148" s="201">
        <f t="shared" si="194"/>
        <v>0</v>
      </c>
      <c r="Z148" s="201">
        <f t="shared" si="194"/>
        <v>0</v>
      </c>
      <c r="AA148" s="201">
        <f t="shared" si="194"/>
        <v>0</v>
      </c>
      <c r="AB148" s="201">
        <f t="shared" si="194"/>
        <v>0</v>
      </c>
      <c r="AC148" s="201">
        <f t="shared" si="194"/>
        <v>0</v>
      </c>
      <c r="AD148" s="201">
        <f t="shared" si="194"/>
        <v>0</v>
      </c>
      <c r="AE148" s="201">
        <f t="shared" si="194"/>
        <v>0</v>
      </c>
      <c r="AF148" s="201">
        <f t="shared" si="194"/>
        <v>0</v>
      </c>
      <c r="AG148" s="201">
        <f t="shared" si="194"/>
        <v>0</v>
      </c>
      <c r="AH148" s="201">
        <f t="shared" si="194"/>
        <v>0</v>
      </c>
      <c r="AI148" s="201">
        <f t="shared" si="194"/>
        <v>0</v>
      </c>
      <c r="AJ148" s="201">
        <f t="shared" si="194"/>
        <v>0</v>
      </c>
      <c r="AK148" s="201">
        <f t="shared" si="194"/>
        <v>0</v>
      </c>
      <c r="AL148" s="201">
        <f t="shared" si="194"/>
        <v>0</v>
      </c>
      <c r="AM148" s="201">
        <f t="shared" si="194"/>
        <v>0</v>
      </c>
      <c r="AN148" s="201">
        <f t="shared" si="194"/>
        <v>0</v>
      </c>
      <c r="AO148" s="201">
        <f t="shared" si="194"/>
        <v>0</v>
      </c>
      <c r="AP148" s="201">
        <f t="shared" si="194"/>
        <v>0</v>
      </c>
    </row>
    <row r="149" spans="2:42" s="178" customFormat="1" x14ac:dyDescent="0.2">
      <c r="B149" s="181" t="str">
        <f>'Conto Economico'!A67</f>
        <v>Vendita Immobile Riccione</v>
      </c>
      <c r="C149" s="47">
        <f>'Budget 27'!E145</f>
        <v>200000</v>
      </c>
      <c r="D149" s="201">
        <v>0</v>
      </c>
      <c r="E149" s="201">
        <f t="shared" ref="E149" si="195">D149+D149*$C$164</f>
        <v>0</v>
      </c>
      <c r="F149" s="201">
        <f t="shared" ref="F149" si="196">E149+E149*$C$164</f>
        <v>0</v>
      </c>
      <c r="G149" s="201">
        <f t="shared" ref="G149" si="197">F149+F149*$C$164</f>
        <v>0</v>
      </c>
      <c r="H149" s="201">
        <f t="shared" ref="H149" si="198">G149+G149*$C$164</f>
        <v>0</v>
      </c>
      <c r="I149" s="201">
        <f t="shared" ref="I149" si="199">H149+H149*$C$164</f>
        <v>0</v>
      </c>
      <c r="J149" s="201">
        <f t="shared" ref="J149" si="200">I149+I149*$C$164</f>
        <v>0</v>
      </c>
      <c r="K149" s="201">
        <f t="shared" ref="K149" si="201">J149+J149*$C$164</f>
        <v>0</v>
      </c>
      <c r="L149" s="201">
        <f t="shared" ref="L149" si="202">K149+K149*$C$164</f>
        <v>0</v>
      </c>
      <c r="M149" s="201">
        <f t="shared" ref="M149" si="203">L149+L149*$C$164</f>
        <v>0</v>
      </c>
      <c r="N149" s="201">
        <f t="shared" ref="N149" si="204">M149+M149*$C$164</f>
        <v>0</v>
      </c>
      <c r="O149" s="201">
        <f t="shared" ref="O149" si="205">N149+N149*$C$164</f>
        <v>0</v>
      </c>
      <c r="P149" s="201">
        <f t="shared" ref="P149" si="206">O149+O149*$C$164</f>
        <v>0</v>
      </c>
      <c r="Q149" s="201">
        <f t="shared" ref="Q149" si="207">P149+P149*$C$164</f>
        <v>0</v>
      </c>
      <c r="R149" s="201">
        <f t="shared" ref="R149" si="208">Q149+Q149*$C$164</f>
        <v>0</v>
      </c>
      <c r="S149" s="201">
        <f t="shared" ref="S149" si="209">R149+R149*$C$164</f>
        <v>0</v>
      </c>
      <c r="T149" s="201">
        <f t="shared" ref="T149" si="210">S149+S149*$C$164</f>
        <v>0</v>
      </c>
      <c r="U149" s="201">
        <f t="shared" ref="U149" si="211">T149+T149*$C$164</f>
        <v>0</v>
      </c>
      <c r="V149" s="201">
        <f t="shared" ref="V149" si="212">U149+U149*$C$164</f>
        <v>0</v>
      </c>
      <c r="W149" s="201">
        <f t="shared" ref="W149" si="213">V149+V149*$C$164</f>
        <v>0</v>
      </c>
      <c r="X149" s="201">
        <f t="shared" ref="X149" si="214">W149+W149*$C$164</f>
        <v>0</v>
      </c>
      <c r="Y149" s="201">
        <f t="shared" ref="Y149" si="215">X149+X149*$C$164</f>
        <v>0</v>
      </c>
      <c r="Z149" s="201">
        <f t="shared" ref="Z149" si="216">Y149+Y149*$C$164</f>
        <v>0</v>
      </c>
      <c r="AA149" s="201">
        <f t="shared" ref="AA149" si="217">Z149+Z149*$C$164</f>
        <v>0</v>
      </c>
      <c r="AB149" s="201">
        <f t="shared" ref="AB149" si="218">AA149+AA149*$C$164</f>
        <v>0</v>
      </c>
      <c r="AC149" s="201">
        <f t="shared" ref="AC149" si="219">AB149+AB149*$C$164</f>
        <v>0</v>
      </c>
      <c r="AD149" s="201">
        <f t="shared" ref="AD149" si="220">AC149+AC149*$C$164</f>
        <v>0</v>
      </c>
      <c r="AE149" s="201">
        <f t="shared" ref="AE149" si="221">AD149+AD149*$C$164</f>
        <v>0</v>
      </c>
      <c r="AF149" s="201">
        <f t="shared" ref="AF149" si="222">AE149+AE149*$C$164</f>
        <v>0</v>
      </c>
      <c r="AG149" s="201">
        <f t="shared" ref="AG149" si="223">AF149+AF149*$C$164</f>
        <v>0</v>
      </c>
      <c r="AH149" s="201">
        <f t="shared" ref="AH149" si="224">AG149+AG149*$C$164</f>
        <v>0</v>
      </c>
      <c r="AI149" s="201">
        <f t="shared" ref="AI149" si="225">AH149+AH149*$C$164</f>
        <v>0</v>
      </c>
      <c r="AJ149" s="201">
        <f t="shared" ref="AJ149" si="226">AI149+AI149*$C$164</f>
        <v>0</v>
      </c>
      <c r="AK149" s="201">
        <f t="shared" ref="AK149" si="227">AJ149+AJ149*$C$164</f>
        <v>0</v>
      </c>
      <c r="AL149" s="201">
        <f t="shared" ref="AL149" si="228">AK149+AK149*$C$164</f>
        <v>0</v>
      </c>
      <c r="AM149" s="201">
        <f t="shared" ref="AM149" si="229">AL149+AL149*$C$164</f>
        <v>0</v>
      </c>
      <c r="AN149" s="201">
        <f t="shared" ref="AN149" si="230">AM149+AM149*$C$164</f>
        <v>0</v>
      </c>
      <c r="AO149" s="201">
        <f t="shared" ref="AO149" si="231">AN149+AN149*$C$164</f>
        <v>0</v>
      </c>
      <c r="AP149" s="201">
        <f t="shared" ref="AP149" si="232">AO149+AO149*$C$164</f>
        <v>0</v>
      </c>
    </row>
    <row r="150" spans="2:42" s="178" customFormat="1" x14ac:dyDescent="0.2">
      <c r="B150" s="181" t="str">
        <f>'Conto Economico'!A68</f>
        <v>Pensione di Vecchiaia Stefano</v>
      </c>
      <c r="C150" s="47">
        <f>'Budget 27'!E146</f>
        <v>0</v>
      </c>
      <c r="D150" s="201">
        <v>0</v>
      </c>
      <c r="E150" s="201">
        <f>D150+D150*$C$164</f>
        <v>0</v>
      </c>
      <c r="F150" s="207"/>
      <c r="G150" s="207"/>
      <c r="H150" s="207"/>
      <c r="I150" s="207"/>
      <c r="J150" s="201">
        <f>C165*6-C167</f>
        <v>19836</v>
      </c>
      <c r="K150" s="201">
        <f>C165*13-C167</f>
        <v>42978</v>
      </c>
      <c r="L150" s="201">
        <f>+K150</f>
        <v>42978</v>
      </c>
      <c r="M150" s="201">
        <f t="shared" ref="M150:AC150" si="233">+L150</f>
        <v>42978</v>
      </c>
      <c r="N150" s="201">
        <f t="shared" si="233"/>
        <v>42978</v>
      </c>
      <c r="O150" s="201">
        <f t="shared" si="233"/>
        <v>42978</v>
      </c>
      <c r="P150" s="201">
        <f t="shared" si="233"/>
        <v>42978</v>
      </c>
      <c r="Q150" s="201">
        <f t="shared" si="233"/>
        <v>42978</v>
      </c>
      <c r="R150" s="201">
        <f t="shared" si="233"/>
        <v>42978</v>
      </c>
      <c r="S150" s="201">
        <f t="shared" si="233"/>
        <v>42978</v>
      </c>
      <c r="T150" s="201">
        <f t="shared" si="233"/>
        <v>42978</v>
      </c>
      <c r="U150" s="201">
        <f t="shared" si="233"/>
        <v>42978</v>
      </c>
      <c r="V150" s="201">
        <f t="shared" si="233"/>
        <v>42978</v>
      </c>
      <c r="W150" s="201">
        <f>+V150</f>
        <v>42978</v>
      </c>
      <c r="X150" s="201">
        <f t="shared" si="233"/>
        <v>42978</v>
      </c>
      <c r="Y150" s="201">
        <f t="shared" si="233"/>
        <v>42978</v>
      </c>
      <c r="Z150" s="201">
        <f t="shared" si="233"/>
        <v>42978</v>
      </c>
      <c r="AA150" s="201">
        <f t="shared" si="233"/>
        <v>42978</v>
      </c>
      <c r="AB150" s="201">
        <f t="shared" si="233"/>
        <v>42978</v>
      </c>
      <c r="AC150" s="201">
        <f t="shared" si="233"/>
        <v>42978</v>
      </c>
      <c r="AD150" s="201">
        <v>25786.799999999999</v>
      </c>
      <c r="AE150" s="201">
        <f t="shared" ref="AE150:AP150" si="234">AD150</f>
        <v>25786.799999999999</v>
      </c>
      <c r="AF150" s="201">
        <f t="shared" si="234"/>
        <v>25786.799999999999</v>
      </c>
      <c r="AG150" s="201">
        <f t="shared" si="234"/>
        <v>25786.799999999999</v>
      </c>
      <c r="AH150" s="201">
        <f t="shared" si="234"/>
        <v>25786.799999999999</v>
      </c>
      <c r="AI150" s="201">
        <f t="shared" si="234"/>
        <v>25786.799999999999</v>
      </c>
      <c r="AJ150" s="201">
        <f t="shared" si="234"/>
        <v>25786.799999999999</v>
      </c>
      <c r="AK150" s="201">
        <f t="shared" si="234"/>
        <v>25786.799999999999</v>
      </c>
      <c r="AL150" s="201">
        <f t="shared" si="234"/>
        <v>25786.799999999999</v>
      </c>
      <c r="AM150" s="201">
        <f t="shared" si="234"/>
        <v>25786.799999999999</v>
      </c>
      <c r="AN150" s="201">
        <f t="shared" si="234"/>
        <v>25786.799999999999</v>
      </c>
      <c r="AO150" s="201">
        <f t="shared" si="234"/>
        <v>25786.799999999999</v>
      </c>
      <c r="AP150" s="201">
        <f t="shared" si="234"/>
        <v>25786.799999999999</v>
      </c>
    </row>
    <row r="151" spans="2:42" s="147" customFormat="1" x14ac:dyDescent="0.2">
      <c r="B151" s="181" t="str">
        <f>'Conto Economico'!A69</f>
        <v>Pensione di Vecchiaia Sandra</v>
      </c>
      <c r="C151" s="47">
        <f>'Budget 27'!E147</f>
        <v>0</v>
      </c>
      <c r="D151" s="201">
        <v>0</v>
      </c>
      <c r="E151" s="201">
        <f>D151+D151*$C$164</f>
        <v>0</v>
      </c>
      <c r="F151" s="201">
        <v>0</v>
      </c>
      <c r="G151" s="201">
        <v>0</v>
      </c>
      <c r="H151" s="201">
        <v>0</v>
      </c>
      <c r="I151" s="201">
        <v>0</v>
      </c>
      <c r="W151" s="201">
        <f>C166*13-C168</f>
        <v>12987</v>
      </c>
      <c r="X151" s="201">
        <f t="shared" ref="X151:AD151" si="235">W151</f>
        <v>12987</v>
      </c>
      <c r="Y151" s="201">
        <f t="shared" si="235"/>
        <v>12987</v>
      </c>
      <c r="Z151" s="201">
        <f t="shared" si="235"/>
        <v>12987</v>
      </c>
      <c r="AA151" s="201">
        <f t="shared" si="235"/>
        <v>12987</v>
      </c>
      <c r="AB151" s="201">
        <f t="shared" si="235"/>
        <v>12987</v>
      </c>
      <c r="AC151" s="201">
        <f t="shared" si="235"/>
        <v>12987</v>
      </c>
      <c r="AD151" s="201">
        <f t="shared" si="235"/>
        <v>12987</v>
      </c>
      <c r="AE151" s="201">
        <f t="shared" ref="AE151:AP151" si="236">AD151</f>
        <v>12987</v>
      </c>
      <c r="AF151" s="201">
        <f t="shared" si="236"/>
        <v>12987</v>
      </c>
      <c r="AG151" s="201">
        <f t="shared" si="236"/>
        <v>12987</v>
      </c>
      <c r="AH151" s="201">
        <f t="shared" si="236"/>
        <v>12987</v>
      </c>
      <c r="AI151" s="201">
        <f t="shared" si="236"/>
        <v>12987</v>
      </c>
      <c r="AJ151" s="201">
        <f t="shared" si="236"/>
        <v>12987</v>
      </c>
      <c r="AK151" s="201">
        <f t="shared" si="236"/>
        <v>12987</v>
      </c>
      <c r="AL151" s="201">
        <f t="shared" si="236"/>
        <v>12987</v>
      </c>
      <c r="AM151" s="201">
        <f t="shared" si="236"/>
        <v>12987</v>
      </c>
      <c r="AN151" s="201">
        <f t="shared" si="236"/>
        <v>12987</v>
      </c>
      <c r="AO151" s="201">
        <f t="shared" si="236"/>
        <v>12987</v>
      </c>
      <c r="AP151" s="201">
        <f t="shared" si="236"/>
        <v>12987</v>
      </c>
    </row>
    <row r="152" spans="2:42" s="147" customFormat="1" x14ac:dyDescent="0.2">
      <c r="B152" s="181" t="str">
        <f>'Conto Economico'!A70</f>
        <v>Interessi sugli Investimenti</v>
      </c>
      <c r="C152" s="47">
        <f>'Budget 27'!E148</f>
        <v>20000</v>
      </c>
      <c r="D152" s="201">
        <f t="shared" ref="D152:AP152" ca="1" si="237">(D9-D11)*$C$160</f>
        <v>33943.769816181695</v>
      </c>
      <c r="E152" s="201">
        <f ca="1">(E9-E11)*$C$160</f>
        <v>32969.85256083811</v>
      </c>
      <c r="F152" s="201">
        <f t="shared" ca="1" si="237"/>
        <v>31961.096294622199</v>
      </c>
      <c r="G152" s="201">
        <f t="shared" ca="1" si="237"/>
        <v>31399.544081121236</v>
      </c>
      <c r="H152" s="201">
        <f t="shared" ca="1" si="237"/>
        <v>30808.766806902247</v>
      </c>
      <c r="I152" s="201">
        <f t="shared" ca="1" si="237"/>
        <v>30187.90994405064</v>
      </c>
      <c r="J152" s="201">
        <f t="shared" ca="1" si="237"/>
        <v>29538.441195271644</v>
      </c>
      <c r="K152" s="201">
        <f t="shared" ca="1" si="237"/>
        <v>29290.946040790273</v>
      </c>
      <c r="L152" s="201">
        <f t="shared" ca="1" si="237"/>
        <v>29476.663554193561</v>
      </c>
      <c r="M152" s="201">
        <f t="shared" ca="1" si="237"/>
        <v>29641.059483402187</v>
      </c>
      <c r="N152" s="201">
        <f t="shared" ca="1" si="237"/>
        <v>30107.016438459243</v>
      </c>
      <c r="O152" s="201">
        <f t="shared" ca="1" si="237"/>
        <v>24560.661215996082</v>
      </c>
      <c r="P152" s="201">
        <f t="shared" ca="1" si="237"/>
        <v>24924.731943104991</v>
      </c>
      <c r="Q152" s="201">
        <f t="shared" ca="1" si="237"/>
        <v>25274.363486630591</v>
      </c>
      <c r="R152" s="201">
        <f t="shared" ca="1" si="237"/>
        <v>25608.943149061262</v>
      </c>
      <c r="S152" s="201">
        <f t="shared" ca="1" si="237"/>
        <v>25927.841157845796</v>
      </c>
      <c r="T152" s="201">
        <f t="shared" ca="1" si="237"/>
        <v>26318.815499386496</v>
      </c>
      <c r="U152" s="201">
        <f t="shared" ca="1" si="237"/>
        <v>26695.693888143927</v>
      </c>
      <c r="V152" s="201">
        <f t="shared" ca="1" si="237"/>
        <v>27057.865143667143</v>
      </c>
      <c r="W152" s="201">
        <f t="shared" ca="1" si="237"/>
        <v>27404.700929831102</v>
      </c>
      <c r="X152" s="201">
        <f t="shared" ca="1" si="237"/>
        <v>27993.457376341383</v>
      </c>
      <c r="Y152" s="201">
        <f t="shared" ca="1" si="237"/>
        <v>28568.864895242328</v>
      </c>
      <c r="Z152" s="201">
        <f t="shared" ca="1" si="237"/>
        <v>29130.283036819546</v>
      </c>
      <c r="AA152" s="201">
        <f t="shared" ca="1" si="237"/>
        <v>29677.052992347879</v>
      </c>
      <c r="AB152" s="201">
        <f t="shared" ca="1" si="237"/>
        <v>30208.497145757487</v>
      </c>
      <c r="AC152" s="201">
        <f t="shared" ca="1" si="237"/>
        <v>30723.918615180984</v>
      </c>
      <c r="AD152" s="201">
        <f t="shared" ca="1" si="237"/>
        <v>31962.083365017548</v>
      </c>
      <c r="AE152" s="201">
        <f t="shared" ca="1" si="237"/>
        <v>32865.622958897271</v>
      </c>
      <c r="AF152" s="201">
        <f t="shared" ca="1" si="237"/>
        <v>33771.412437892955</v>
      </c>
      <c r="AG152" s="201">
        <f t="shared" ca="1" si="237"/>
        <v>34679.23619131896</v>
      </c>
      <c r="AH152" s="201">
        <f t="shared" ca="1" si="237"/>
        <v>35588.870078230728</v>
      </c>
      <c r="AI152" s="201">
        <f t="shared" ca="1" si="237"/>
        <v>36500.08119035558</v>
      </c>
      <c r="AJ152" s="201">
        <f t="shared" ca="1" si="237"/>
        <v>37412.627609268791</v>
      </c>
      <c r="AK152" s="201">
        <f t="shared" ca="1" si="237"/>
        <v>38589.20022007537</v>
      </c>
      <c r="AL152" s="201">
        <f t="shared" ca="1" si="237"/>
        <v>39775.216190442894</v>
      </c>
      <c r="AM152" s="201">
        <f t="shared" ca="1" si="237"/>
        <v>40970.620355798637</v>
      </c>
      <c r="AN152" s="201">
        <f t="shared" ca="1" si="237"/>
        <v>42175.352350862689</v>
      </c>
      <c r="AO152" s="201">
        <f t="shared" ca="1" si="237"/>
        <v>43389.34643918935</v>
      </c>
      <c r="AP152" s="201">
        <f t="shared" ca="1" si="237"/>
        <v>44612.531338261026</v>
      </c>
    </row>
    <row r="153" spans="2:42" s="147" customFormat="1" x14ac:dyDescent="0.2">
      <c r="B153" s="181" t="str">
        <f>'Conto Economico'!A71</f>
        <v>Rimborsi</v>
      </c>
      <c r="C153" s="47">
        <f>'Budget 27'!E149</f>
        <v>0</v>
      </c>
      <c r="D153" s="201">
        <v>0</v>
      </c>
      <c r="E153" s="201">
        <f t="shared" ref="E153" si="238">D153+D153*$C$164</f>
        <v>0</v>
      </c>
      <c r="F153" s="201">
        <f t="shared" ref="F153" si="239">E153+E153*$C$164</f>
        <v>0</v>
      </c>
      <c r="G153" s="201">
        <f t="shared" ref="G153" si="240">F153+F153*$C$164</f>
        <v>0</v>
      </c>
      <c r="H153" s="201">
        <f t="shared" ref="H153" si="241">G153+G153*$C$164</f>
        <v>0</v>
      </c>
      <c r="I153" s="201">
        <f t="shared" ref="I153" si="242">H153+H153*$C$164</f>
        <v>0</v>
      </c>
      <c r="J153" s="201">
        <f t="shared" ref="J153" si="243">I153+I153*$C$164</f>
        <v>0</v>
      </c>
      <c r="K153" s="201">
        <f t="shared" ref="K153" si="244">J153+J153*$C$164</f>
        <v>0</v>
      </c>
      <c r="L153" s="201">
        <f t="shared" ref="L153" si="245">K153+K153*$C$164</f>
        <v>0</v>
      </c>
      <c r="M153" s="201">
        <f t="shared" ref="M153" si="246">L153+L153*$C$164</f>
        <v>0</v>
      </c>
      <c r="N153" s="201">
        <f t="shared" ref="N153" si="247">M153+M153*$C$164</f>
        <v>0</v>
      </c>
      <c r="O153" s="201">
        <f t="shared" ref="O153" si="248">N153+N153*$C$164</f>
        <v>0</v>
      </c>
      <c r="P153" s="201">
        <f t="shared" ref="P153" si="249">O153+O153*$C$164</f>
        <v>0</v>
      </c>
      <c r="Q153" s="201">
        <f t="shared" ref="Q153" si="250">P153+P153*$C$164</f>
        <v>0</v>
      </c>
      <c r="R153" s="201">
        <f t="shared" ref="R153" si="251">Q153+Q153*$C$164</f>
        <v>0</v>
      </c>
      <c r="S153" s="201">
        <f t="shared" ref="S153" si="252">R153+R153*$C$164</f>
        <v>0</v>
      </c>
      <c r="T153" s="201">
        <f t="shared" ref="T153" si="253">S153+S153*$C$164</f>
        <v>0</v>
      </c>
      <c r="U153" s="201">
        <f t="shared" ref="U153" si="254">T153+T153*$C$164</f>
        <v>0</v>
      </c>
      <c r="V153" s="201">
        <f t="shared" ref="V153" si="255">U153+U153*$C$164</f>
        <v>0</v>
      </c>
      <c r="W153" s="201">
        <f t="shared" ref="W153" si="256">V153+V153*$C$164</f>
        <v>0</v>
      </c>
      <c r="X153" s="201">
        <f t="shared" ref="X153" si="257">W153+W153*$C$164</f>
        <v>0</v>
      </c>
      <c r="Y153" s="201">
        <f t="shared" ref="Y153" si="258">X153+X153*$C$164</f>
        <v>0</v>
      </c>
      <c r="Z153" s="201">
        <f t="shared" ref="Z153" si="259">Y153+Y153*$C$164</f>
        <v>0</v>
      </c>
      <c r="AA153" s="201">
        <f t="shared" ref="AA153" si="260">Z153+Z153*$C$164</f>
        <v>0</v>
      </c>
      <c r="AB153" s="201">
        <f t="shared" ref="AB153" si="261">AA153+AA153*$C$164</f>
        <v>0</v>
      </c>
      <c r="AC153" s="201">
        <f t="shared" ref="AC153" si="262">AB153+AB153*$C$164</f>
        <v>0</v>
      </c>
      <c r="AD153" s="201">
        <f t="shared" ref="AD153" si="263">AC153+AC153*$C$164</f>
        <v>0</v>
      </c>
      <c r="AE153" s="201">
        <f t="shared" ref="AE153" si="264">AD153+AD153*$C$164</f>
        <v>0</v>
      </c>
      <c r="AF153" s="201">
        <f t="shared" ref="AF153" si="265">AE153+AE153*$C$164</f>
        <v>0</v>
      </c>
      <c r="AG153" s="201">
        <f t="shared" ref="AG153" si="266">AF153+AF153*$C$164</f>
        <v>0</v>
      </c>
      <c r="AH153" s="201">
        <f t="shared" ref="AH153" si="267">AG153+AG153*$C$164</f>
        <v>0</v>
      </c>
      <c r="AI153" s="201">
        <f t="shared" ref="AI153" si="268">AH153+AH153*$C$164</f>
        <v>0</v>
      </c>
      <c r="AJ153" s="201">
        <f t="shared" ref="AJ153" si="269">AI153+AI153*$C$164</f>
        <v>0</v>
      </c>
      <c r="AK153" s="201">
        <f t="shared" ref="AK153" si="270">AJ153+AJ153*$C$164</f>
        <v>0</v>
      </c>
      <c r="AL153" s="201">
        <f t="shared" ref="AL153" si="271">AK153+AK153*$C$164</f>
        <v>0</v>
      </c>
      <c r="AM153" s="201">
        <f t="shared" ref="AM153" si="272">AL153+AL153*$C$164</f>
        <v>0</v>
      </c>
      <c r="AN153" s="201">
        <f t="shared" ref="AN153" si="273">AM153+AM153*$C$164</f>
        <v>0</v>
      </c>
      <c r="AO153" s="201">
        <f t="shared" ref="AO153" si="274">AN153+AN153*$C$164</f>
        <v>0</v>
      </c>
      <c r="AP153" s="201">
        <f t="shared" ref="AP153" si="275">AO153+AO153*$C$164</f>
        <v>0</v>
      </c>
    </row>
    <row r="154" spans="2:42" s="147" customFormat="1" x14ac:dyDescent="0.2">
      <c r="B154" s="181" t="str">
        <f>'Conto Economico'!A72</f>
        <v>Quote da investimenti</v>
      </c>
      <c r="C154" s="484" t="s">
        <v>718</v>
      </c>
      <c r="D154" s="484"/>
      <c r="E154" s="201"/>
      <c r="F154" s="201"/>
      <c r="G154" s="201"/>
      <c r="H154" s="201"/>
      <c r="I154" s="201"/>
      <c r="J154" s="201"/>
      <c r="K154" s="201"/>
      <c r="L154" s="201"/>
      <c r="M154" s="201"/>
      <c r="N154" s="201"/>
      <c r="O154" s="201"/>
      <c r="P154" s="201"/>
      <c r="Q154" s="201"/>
      <c r="R154" s="201"/>
      <c r="S154" s="201"/>
      <c r="T154" s="201"/>
      <c r="U154" s="201"/>
      <c r="V154" s="201"/>
      <c r="W154" s="201"/>
      <c r="X154" s="201"/>
      <c r="Y154" s="201"/>
      <c r="Z154" s="201"/>
      <c r="AA154" s="201"/>
      <c r="AB154" s="201"/>
      <c r="AC154" s="201"/>
      <c r="AD154" s="201"/>
      <c r="AE154" s="201"/>
      <c r="AF154" s="201"/>
      <c r="AG154" s="201"/>
      <c r="AH154" s="201"/>
      <c r="AI154" s="201"/>
      <c r="AJ154" s="201"/>
      <c r="AK154" s="201"/>
      <c r="AL154" s="201"/>
      <c r="AM154" s="201"/>
      <c r="AN154" s="201"/>
      <c r="AO154" s="201"/>
      <c r="AP154" s="201"/>
    </row>
    <row r="155" spans="2:42" s="147" customFormat="1" x14ac:dyDescent="0.2">
      <c r="B155" s="181"/>
      <c r="C155" s="181"/>
      <c r="D155" s="208"/>
      <c r="E155" s="208"/>
      <c r="F155" s="208"/>
      <c r="G155" s="208"/>
      <c r="H155" s="208"/>
      <c r="I155" s="208"/>
      <c r="J155" s="208"/>
      <c r="K155" s="208"/>
      <c r="L155" s="208"/>
      <c r="M155" s="208"/>
      <c r="N155" s="208"/>
      <c r="O155" s="208"/>
      <c r="P155" s="208"/>
      <c r="Q155" s="208"/>
      <c r="R155" s="208"/>
      <c r="S155" s="208"/>
      <c r="T155" s="208"/>
      <c r="U155" s="208"/>
      <c r="V155" s="208"/>
      <c r="W155" s="208"/>
      <c r="X155" s="208"/>
      <c r="Y155" s="208"/>
      <c r="Z155" s="208"/>
      <c r="AA155" s="208"/>
      <c r="AB155" s="208"/>
      <c r="AC155" s="208"/>
      <c r="AD155" s="208"/>
      <c r="AE155" s="208"/>
      <c r="AF155" s="208"/>
      <c r="AG155" s="208"/>
      <c r="AH155" s="208"/>
      <c r="AI155" s="208"/>
      <c r="AJ155" s="208"/>
      <c r="AK155" s="208"/>
      <c r="AL155" s="208"/>
      <c r="AM155" s="208"/>
      <c r="AN155" s="208"/>
      <c r="AO155" s="208"/>
      <c r="AP155" s="208"/>
    </row>
    <row r="156" spans="2:42" s="182" customFormat="1" x14ac:dyDescent="0.2">
      <c r="B156" s="205" t="s">
        <v>51</v>
      </c>
      <c r="C156" s="191">
        <f ca="1">C9-C11+C13</f>
        <v>1805386.1515277794</v>
      </c>
      <c r="D156" s="191">
        <f t="shared" ref="D156:AP156" ca="1" si="276">D9-D11+D13</f>
        <v>1756253.954844448</v>
      </c>
      <c r="E156" s="191">
        <f t="shared" ca="1" si="276"/>
        <v>1706961.000235213</v>
      </c>
      <c r="F156" s="191">
        <f t="shared" ca="1" si="276"/>
        <v>1655896.9084526885</v>
      </c>
      <c r="G156" s="191">
        <f t="shared" ca="1" si="276"/>
        <v>1627645.9605255439</v>
      </c>
      <c r="H156" s="191">
        <f t="shared" ca="1" si="276"/>
        <v>1597910.3577262007</v>
      </c>
      <c r="I156" s="191">
        <f t="shared" ca="1" si="276"/>
        <v>1566646.6064793814</v>
      </c>
      <c r="J156" s="191">
        <f t="shared" ca="1" si="276"/>
        <v>1553765.6482816448</v>
      </c>
      <c r="K156" s="191">
        <f t="shared" ca="1" si="276"/>
        <v>1564697.4326129367</v>
      </c>
      <c r="L156" s="191">
        <f t="shared" ca="1" si="276"/>
        <v>1574587.243564494</v>
      </c>
      <c r="M156" s="191">
        <f t="shared" ca="1" si="276"/>
        <v>1583395.9269886431</v>
      </c>
      <c r="N156" s="191">
        <f t="shared" ca="1" si="276"/>
        <v>1607590.5900965799</v>
      </c>
      <c r="O156" s="191">
        <f t="shared" ca="1" si="276"/>
        <v>1325163.7950269862</v>
      </c>
      <c r="P156" s="191">
        <f t="shared" ca="1" si="276"/>
        <v>1344175.2832047082</v>
      </c>
      <c r="Q156" s="191">
        <f t="shared" ca="1" si="276"/>
        <v>1362457.0312361093</v>
      </c>
      <c r="R156" s="191">
        <f t="shared" ca="1" si="276"/>
        <v>1379977.8914213427</v>
      </c>
      <c r="S156" s="191">
        <f t="shared" ca="1" si="276"/>
        <v>1396705.8467316423</v>
      </c>
      <c r="T156" s="191">
        <f t="shared" ca="1" si="276"/>
        <v>1417116.6573654404</v>
      </c>
      <c r="U156" s="191">
        <f t="shared" ca="1" si="276"/>
        <v>1436815.6411955203</v>
      </c>
      <c r="V156" s="191">
        <f t="shared" ca="1" si="276"/>
        <v>1455771.7340207072</v>
      </c>
      <c r="W156" s="191">
        <f t="shared" ca="1" si="276"/>
        <v>1486939.9982904745</v>
      </c>
      <c r="X156" s="191">
        <f t="shared" ca="1" si="276"/>
        <v>1517466.605825535</v>
      </c>
      <c r="Y156" s="191">
        <f t="shared" ca="1" si="276"/>
        <v>1547319.9184839651</v>
      </c>
      <c r="Z156" s="191">
        <f t="shared" ca="1" si="276"/>
        <v>1576467.3858368024</v>
      </c>
      <c r="AA156" s="191">
        <f t="shared" ca="1" si="276"/>
        <v>1604875.5228331324</v>
      </c>
      <c r="AB156" s="191">
        <f t="shared" ca="1" si="276"/>
        <v>1632509.886960373</v>
      </c>
      <c r="AC156" s="191">
        <f t="shared" ca="1" si="276"/>
        <v>1659335.0548888727</v>
      </c>
      <c r="AD156" s="191">
        <f t="shared" ca="1" si="276"/>
        <v>1705837.010213257</v>
      </c>
      <c r="AE156" s="191">
        <f t="shared" ca="1" si="276"/>
        <v>1752472.4838800833</v>
      </c>
      <c r="AF156" s="191">
        <f t="shared" ca="1" si="276"/>
        <v>1799231.0260035079</v>
      </c>
      <c r="AG156" s="191">
        <f t="shared" ca="1" si="276"/>
        <v>1846101.7653032988</v>
      </c>
      <c r="AH156" s="191">
        <f t="shared" ca="1" si="276"/>
        <v>1893073.3973289893</v>
      </c>
      <c r="AI156" s="191">
        <f t="shared" ca="1" si="276"/>
        <v>1940134.1723974452</v>
      </c>
      <c r="AJ156" s="191">
        <f t="shared" ca="1" si="276"/>
        <v>1987271.8832373586</v>
      </c>
      <c r="AK156" s="191">
        <f t="shared" ca="1" si="276"/>
        <v>2047883.897515964</v>
      </c>
      <c r="AL156" s="191">
        <f t="shared" ca="1" si="276"/>
        <v>2108986.6252990891</v>
      </c>
      <c r="AM156" s="191">
        <f t="shared" ca="1" si="276"/>
        <v>2170577.3897260297</v>
      </c>
      <c r="AN156" s="191">
        <f t="shared" ca="1" si="276"/>
        <v>2232653.250748001</v>
      </c>
      <c r="AO156" s="191">
        <f t="shared" ca="1" si="276"/>
        <v>2295210.9964654711</v>
      </c>
      <c r="AP156" s="191">
        <f t="shared" ca="1" si="276"/>
        <v>2358247.1342391283</v>
      </c>
    </row>
    <row r="157" spans="2:42" s="147" customFormat="1" x14ac:dyDescent="0.2"/>
    <row r="158" spans="2:42" s="147" customFormat="1" ht="17" thickBot="1" x14ac:dyDescent="0.25">
      <c r="B158" s="209" t="s">
        <v>50</v>
      </c>
      <c r="C158" s="210"/>
      <c r="D158" s="210"/>
      <c r="E158" s="461"/>
    </row>
    <row r="159" spans="2:42" s="147" customFormat="1" ht="17" thickTop="1" x14ac:dyDescent="0.2">
      <c r="B159" s="181" t="s">
        <v>117</v>
      </c>
      <c r="C159" s="48">
        <v>0.02</v>
      </c>
    </row>
    <row r="160" spans="2:42" s="147" customFormat="1" x14ac:dyDescent="0.2">
      <c r="B160" s="181" t="s">
        <v>49</v>
      </c>
      <c r="C160" s="48">
        <v>0.02</v>
      </c>
      <c r="D160" s="211"/>
      <c r="E160" s="211"/>
    </row>
    <row r="161" spans="2:44" s="147" customFormat="1" x14ac:dyDescent="0.2">
      <c r="B161" s="181" t="s">
        <v>382</v>
      </c>
      <c r="C161" s="316">
        <f ca="1">Dubai!D8*0.05</f>
        <v>25121.694219181678</v>
      </c>
      <c r="D161" s="340">
        <f ca="1">C161*1/$C$172</f>
        <v>105199.72453593666</v>
      </c>
      <c r="E161" s="147" t="s">
        <v>884</v>
      </c>
    </row>
    <row r="162" spans="2:44" s="147" customFormat="1" x14ac:dyDescent="0.2">
      <c r="B162" s="181" t="s">
        <v>395</v>
      </c>
      <c r="C162" s="316">
        <f ca="1">'Budget 27'!J122*0.05*0</f>
        <v>0</v>
      </c>
      <c r="D162" s="340">
        <f ca="1">C162*1/$C$172</f>
        <v>0</v>
      </c>
      <c r="E162" s="147" t="s">
        <v>884</v>
      </c>
    </row>
    <row r="163" spans="2:44" s="147" customFormat="1" x14ac:dyDescent="0.2">
      <c r="B163" s="181" t="s">
        <v>538</v>
      </c>
      <c r="C163" s="316">
        <v>0</v>
      </c>
      <c r="D163" s="340">
        <f ca="1">C163*1/$C$172</f>
        <v>0</v>
      </c>
      <c r="E163" s="147" t="s">
        <v>884</v>
      </c>
    </row>
    <row r="164" spans="2:44" x14ac:dyDescent="0.2">
      <c r="B164" s="181" t="s">
        <v>368</v>
      </c>
      <c r="C164" s="48">
        <v>1.4999999999999999E-2</v>
      </c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</row>
    <row r="165" spans="2:44" s="147" customFormat="1" x14ac:dyDescent="0.2">
      <c r="B165" s="181" t="s">
        <v>293</v>
      </c>
      <c r="C165" s="201">
        <f>3006+300</f>
        <v>3306</v>
      </c>
    </row>
    <row r="166" spans="2:44" s="147" customFormat="1" x14ac:dyDescent="0.2">
      <c r="B166" s="181" t="s">
        <v>294</v>
      </c>
      <c r="C166" s="201">
        <v>999</v>
      </c>
    </row>
    <row r="167" spans="2:44" s="147" customFormat="1" x14ac:dyDescent="0.2">
      <c r="B167" s="181" t="s">
        <v>295</v>
      </c>
      <c r="C167" s="211"/>
    </row>
    <row r="168" spans="2:44" s="147" customFormat="1" x14ac:dyDescent="0.2">
      <c r="B168" s="181" t="s">
        <v>296</v>
      </c>
      <c r="C168" s="211"/>
    </row>
    <row r="169" spans="2:44" s="147" customFormat="1" x14ac:dyDescent="0.2">
      <c r="B169" s="181" t="s">
        <v>349</v>
      </c>
      <c r="C169" s="48">
        <v>1.8E-3</v>
      </c>
    </row>
    <row r="170" spans="2:44" s="147" customFormat="1" x14ac:dyDescent="0.2">
      <c r="B170" s="181" t="s">
        <v>151</v>
      </c>
      <c r="C170" s="48">
        <f ca="1">Forecast!Q105/'Conto Economico'!O12</f>
        <v>4.0761639344860639E-3</v>
      </c>
      <c r="D170" s="330"/>
    </row>
    <row r="171" spans="2:44" s="147" customFormat="1" x14ac:dyDescent="0.2">
      <c r="B171" s="181" t="s">
        <v>149</v>
      </c>
      <c r="C171" s="48">
        <v>3.0000000000000001E-3</v>
      </c>
    </row>
    <row r="172" spans="2:44" x14ac:dyDescent="0.2">
      <c r="B172" s="114" t="e" vm="1">
        <v>#VALUE!</v>
      </c>
      <c r="C172" s="412" cm="1">
        <f t="array" aca="1" ref="C172" ca="1">_FV(B172,"Prezzo")</f>
        <v>0.23880000000000001</v>
      </c>
    </row>
    <row r="173" spans="2:44" x14ac:dyDescent="0.2">
      <c r="B173" s="337" t="s">
        <v>838</v>
      </c>
      <c r="C173" s="81">
        <f ca="1">MINA(D9:AP9)</f>
        <v>1325163.7950269862</v>
      </c>
      <c r="D173" s="27" t="str">
        <f ca="1">"-&gt; " &amp; (2027 + MATCH(MINA(D9:AP9), D9:AP9, 0))</f>
        <v>-&gt; 2040</v>
      </c>
    </row>
    <row r="174" spans="2:44" x14ac:dyDescent="0.2">
      <c r="B174" s="337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  <c r="AP174" s="111"/>
    </row>
    <row r="176" spans="2:44" x14ac:dyDescent="0.2"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</row>
    <row r="179" spans="3:42" x14ac:dyDescent="0.2"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P179" s="111"/>
    </row>
  </sheetData>
  <mergeCells count="1">
    <mergeCell ref="C154:D154"/>
  </mergeCells>
  <conditionalFormatting sqref="B9:AP9 C156:AP156">
    <cfRule type="cellIs" dxfId="77" priority="7" operator="lessThanOrEqual">
      <formula>0</formula>
    </cfRule>
  </conditionalFormatting>
  <conditionalFormatting sqref="B142">
    <cfRule type="cellIs" dxfId="76" priority="6" operator="lessThanOrEqual">
      <formula>0</formula>
    </cfRule>
  </conditionalFormatting>
  <conditionalFormatting sqref="B156">
    <cfRule type="cellIs" dxfId="75" priority="5" operator="lessThanOrEqual">
      <formula>0</formula>
    </cfRule>
  </conditionalFormatting>
  <conditionalFormatting sqref="D10:AP10">
    <cfRule type="cellIs" dxfId="74" priority="3" stopIfTrue="1" operator="greaterThanOrEqual">
      <formula>0</formula>
    </cfRule>
    <cfRule type="cellIs" dxfId="73" priority="4" stopIfTrue="1" operator="lessThan">
      <formula>0</formula>
    </cfRule>
  </conditionalFormatting>
  <pageMargins left="0.7" right="0.7" top="0.75" bottom="0.75" header="0.3" footer="0.3"/>
  <pageSetup paperSize="9" orientation="portrait" horizontalDpi="0" verticalDpi="0"/>
  <ignoredErrors>
    <ignoredError sqref="J49 E111:AP111 E121 T62 AD76 G146 AD66 AD89:AD90 AD87 AD94:AD97 AK94 AK71 AD22:AD24 AD62 AD41 AD18 AD20:AD21 AD27 AD33:AD35 AD39:AD40 N39 T40:T41 N20 N34 N76 N62" formula="1"/>
    <ignoredError sqref="D125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3" name="Button 1">
              <controlPr defaultSize="0" print="0" autoFill="0" autoPict="0" macro="[0]!AggiornaImprevisti">
                <anchor moveWithCells="1" sizeWithCells="1">
                  <from>
                    <xdr:col>1</xdr:col>
                    <xdr:colOff>1422400</xdr:colOff>
                    <xdr:row>170</xdr:row>
                    <xdr:rowOff>25400</xdr:rowOff>
                  </from>
                  <to>
                    <xdr:col>1</xdr:col>
                    <xdr:colOff>2184400</xdr:colOff>
                    <xdr:row>171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E6FF0-DCC4-C843-82B5-9B01BD48D59F}">
  <sheetPr codeName="Foglio5">
    <tabColor rgb="FF0070C0"/>
  </sheetPr>
  <dimension ref="A2:F98"/>
  <sheetViews>
    <sheetView showGridLines="0" workbookViewId="0">
      <pane ySplit="4" topLeftCell="A5" activePane="bottomLeft" state="frozen"/>
      <selection activeCell="D31" sqref="D31"/>
      <selection pane="bottomLeft" activeCell="D2" sqref="D2"/>
    </sheetView>
  </sheetViews>
  <sheetFormatPr baseColWidth="10" defaultRowHeight="14" x14ac:dyDescent="0.2"/>
  <cols>
    <col min="1" max="1" width="3" style="55" customWidth="1"/>
    <col min="2" max="2" width="54.796875" style="54" bestFit="1" customWidth="1"/>
    <col min="3" max="4" width="22.59765625" style="54" customWidth="1"/>
    <col min="5" max="5" width="36.59765625" style="54" customWidth="1"/>
    <col min="6" max="6" width="22.59765625" style="55" customWidth="1"/>
    <col min="7" max="11" width="22.59765625" style="54" customWidth="1"/>
    <col min="12" max="16384" width="11" style="54"/>
  </cols>
  <sheetData>
    <row r="2" spans="1:6" ht="29" x14ac:dyDescent="0.2">
      <c r="B2" s="501" t="s">
        <v>182</v>
      </c>
      <c r="C2" s="501"/>
      <c r="D2" s="82">
        <f>'Conto Economico'!O272</f>
        <v>38214.779135168195</v>
      </c>
    </row>
    <row r="3" spans="1:6" ht="12" customHeight="1" x14ac:dyDescent="0.2">
      <c r="B3" s="59"/>
    </row>
    <row r="4" spans="1:6" ht="27" customHeight="1" x14ac:dyDescent="0.2">
      <c r="A4" s="56"/>
      <c r="B4" s="58" t="s">
        <v>107</v>
      </c>
      <c r="C4" s="57" t="s">
        <v>60</v>
      </c>
      <c r="D4" s="57" t="s">
        <v>132</v>
      </c>
      <c r="E4" s="57" t="s">
        <v>108</v>
      </c>
      <c r="F4" s="57" t="s">
        <v>183</v>
      </c>
    </row>
    <row r="5" spans="1:6" ht="16" x14ac:dyDescent="0.2">
      <c r="B5" s="34" t="str">
        <f>Forecast!B11</f>
        <v>Spese Generali</v>
      </c>
      <c r="C5" s="68">
        <f ca="1">Forecast!Q11</f>
        <v>1301.8566666666666</v>
      </c>
      <c r="D5" s="68">
        <f>Forecast!T11</f>
        <v>2150</v>
      </c>
      <c r="E5" s="68">
        <f t="shared" ref="E5:E12" ca="1" si="0">D5-C5</f>
        <v>848.14333333333343</v>
      </c>
      <c r="F5" s="80">
        <f ca="1">IF(ISERROR(C5/D5),0,C5/D5)</f>
        <v>0.60551472868217049</v>
      </c>
    </row>
    <row r="6" spans="1:6" ht="16" x14ac:dyDescent="0.2">
      <c r="B6" s="39" t="str">
        <f>Forecast!B12</f>
        <v>Arredamento</v>
      </c>
      <c r="C6" s="40">
        <f ca="1">Forecast!Q12</f>
        <v>150</v>
      </c>
      <c r="D6" s="40">
        <f>Forecast!T12</f>
        <v>300</v>
      </c>
      <c r="E6" s="38">
        <f t="shared" ca="1" si="0"/>
        <v>150</v>
      </c>
      <c r="F6" s="75">
        <f ca="1">C6/D6</f>
        <v>0.5</v>
      </c>
    </row>
    <row r="7" spans="1:6" ht="16" x14ac:dyDescent="0.2">
      <c r="B7" s="39" t="str">
        <f>Forecast!B13</f>
        <v>Cinema - Giochi - Libri - Regali</v>
      </c>
      <c r="C7" s="40">
        <f ca="1">Forecast!Q13</f>
        <v>224.93</v>
      </c>
      <c r="D7" s="40">
        <f>Forecast!T13</f>
        <v>300</v>
      </c>
      <c r="E7" s="38">
        <f t="shared" ca="1" si="0"/>
        <v>75.069999999999993</v>
      </c>
      <c r="F7" s="75">
        <f t="shared" ref="F7:F12" ca="1" si="1">C7/D7</f>
        <v>0.74976666666666669</v>
      </c>
    </row>
    <row r="8" spans="1:6" ht="16" x14ac:dyDescent="0.2">
      <c r="B8" s="39" t="str">
        <f>Forecast!B14</f>
        <v>Elettronica e Tecnologia</v>
      </c>
      <c r="C8" s="40">
        <f ca="1">Forecast!Q14</f>
        <v>281.97999999999996</v>
      </c>
      <c r="D8" s="40">
        <f>Forecast!T14</f>
        <v>500</v>
      </c>
      <c r="E8" s="38">
        <f t="shared" ca="1" si="0"/>
        <v>218.02000000000004</v>
      </c>
      <c r="F8" s="75">
        <f t="shared" ca="1" si="1"/>
        <v>0.56395999999999991</v>
      </c>
    </row>
    <row r="9" spans="1:6" ht="16" x14ac:dyDescent="0.2">
      <c r="B9" s="39" t="str">
        <f>Forecast!B15</f>
        <v>Elettrodomestici</v>
      </c>
      <c r="C9" s="40">
        <f ca="1">Forecast!Q15</f>
        <v>50.000000000000007</v>
      </c>
      <c r="D9" s="40">
        <f>Forecast!T15</f>
        <v>100</v>
      </c>
      <c r="E9" s="38">
        <f t="shared" ca="1" si="0"/>
        <v>49.999999999999993</v>
      </c>
      <c r="F9" s="75">
        <f t="shared" ca="1" si="1"/>
        <v>0.50000000000000011</v>
      </c>
    </row>
    <row r="10" spans="1:6" ht="16" x14ac:dyDescent="0.2">
      <c r="B10" s="39" t="str">
        <f>Forecast!B16</f>
        <v>Prodotti per la Pulizia - Detersivi</v>
      </c>
      <c r="C10" s="40">
        <f ca="1">Forecast!Q16</f>
        <v>192.15666666666669</v>
      </c>
      <c r="D10" s="40">
        <f>Forecast!T16</f>
        <v>250</v>
      </c>
      <c r="E10" s="38">
        <f t="shared" ca="1" si="0"/>
        <v>57.843333333333305</v>
      </c>
      <c r="F10" s="75">
        <f t="shared" ca="1" si="1"/>
        <v>0.76862666666666679</v>
      </c>
    </row>
    <row r="11" spans="1:6" ht="16" x14ac:dyDescent="0.2">
      <c r="B11" s="39" t="str">
        <f>Forecast!B17</f>
        <v>Accessori per Casa e Cucina</v>
      </c>
      <c r="C11" s="40">
        <f ca="1">Forecast!Q17</f>
        <v>252.79000000000005</v>
      </c>
      <c r="D11" s="40">
        <f>Forecast!T17</f>
        <v>400</v>
      </c>
      <c r="E11" s="38">
        <f t="shared" ca="1" si="0"/>
        <v>147.20999999999995</v>
      </c>
      <c r="F11" s="75">
        <f t="shared" ca="1" si="1"/>
        <v>0.63197500000000018</v>
      </c>
    </row>
    <row r="12" spans="1:6" ht="16" x14ac:dyDescent="0.2">
      <c r="B12" s="39" t="str">
        <f>Forecast!B18</f>
        <v>Accessori per Piscina e Giardino</v>
      </c>
      <c r="C12" s="40">
        <f ca="1">Forecast!Q18</f>
        <v>150</v>
      </c>
      <c r="D12" s="40">
        <f>Forecast!T18</f>
        <v>300</v>
      </c>
      <c r="E12" s="38">
        <f t="shared" ca="1" si="0"/>
        <v>150</v>
      </c>
      <c r="F12" s="75">
        <f t="shared" ca="1" si="1"/>
        <v>0.5</v>
      </c>
    </row>
    <row r="13" spans="1:6" ht="16" x14ac:dyDescent="0.2">
      <c r="B13" s="39"/>
      <c r="C13" s="40"/>
      <c r="D13" s="40"/>
      <c r="E13" s="38"/>
      <c r="F13" s="79"/>
    </row>
    <row r="14" spans="1:6" ht="16" x14ac:dyDescent="0.2">
      <c r="B14" s="67" t="str">
        <f>Forecast!B20</f>
        <v>Spese Ricorrenti</v>
      </c>
      <c r="C14" s="68">
        <f ca="1">Forecast!Q20</f>
        <v>3442.4271999999996</v>
      </c>
      <c r="D14" s="68">
        <f>Forecast!T20</f>
        <v>3320</v>
      </c>
      <c r="E14" s="68">
        <f ca="1">D14-C14</f>
        <v>-122.42719999999963</v>
      </c>
      <c r="F14" s="80">
        <f ca="1">IF(ISERROR(C14/D14),0,C14/D14)</f>
        <v>1.0368756626506024</v>
      </c>
    </row>
    <row r="15" spans="1:6" ht="16" x14ac:dyDescent="0.2">
      <c r="B15" s="39" t="str">
        <f>Forecast!B21</f>
        <v>Luce</v>
      </c>
      <c r="C15" s="40">
        <f ca="1">Forecast!Q21</f>
        <v>1149.17</v>
      </c>
      <c r="D15" s="40">
        <f>Forecast!T21</f>
        <v>1200</v>
      </c>
      <c r="E15" s="38">
        <f ca="1">D15-C15</f>
        <v>50.829999999999927</v>
      </c>
      <c r="F15" s="79">
        <f t="shared" ref="F15:F24" ca="1" si="2">IF(ISERROR(C15/D15),0,C15/D15)</f>
        <v>0.95764166666666672</v>
      </c>
    </row>
    <row r="16" spans="1:6" ht="16" x14ac:dyDescent="0.2">
      <c r="B16" s="39" t="str">
        <f>Forecast!B22</f>
        <v>Acqua Potabile</v>
      </c>
      <c r="C16" s="40">
        <f ca="1">Forecast!Q22</f>
        <v>576.72</v>
      </c>
      <c r="D16" s="40">
        <f>Forecast!T22</f>
        <v>500</v>
      </c>
      <c r="E16" s="38">
        <f t="shared" ref="E16:E24" ca="1" si="3">D16-C16</f>
        <v>-76.720000000000027</v>
      </c>
      <c r="F16" s="79">
        <f t="shared" ca="1" si="2"/>
        <v>1.15344</v>
      </c>
    </row>
    <row r="17" spans="2:6" ht="16" x14ac:dyDescent="0.2">
      <c r="B17" s="39" t="str">
        <f>Forecast!B23</f>
        <v>Gas</v>
      </c>
      <c r="C17" s="40">
        <f ca="1">Forecast!Q23</f>
        <v>0</v>
      </c>
      <c r="D17" s="40">
        <f>Forecast!T23</f>
        <v>0</v>
      </c>
      <c r="E17" s="38">
        <f ca="1">D17-C17</f>
        <v>0</v>
      </c>
      <c r="F17" s="79">
        <f t="shared" ca="1" si="2"/>
        <v>0</v>
      </c>
    </row>
    <row r="18" spans="2:6" ht="16" x14ac:dyDescent="0.2">
      <c r="B18" s="39" t="str">
        <f>Forecast!B24</f>
        <v>Rifiuti</v>
      </c>
      <c r="C18" s="40">
        <f ca="1">Forecast!Q24</f>
        <v>383.40000000000009</v>
      </c>
      <c r="D18" s="40">
        <f>Forecast!T24</f>
        <v>330</v>
      </c>
      <c r="E18" s="38">
        <f t="shared" ca="1" si="3"/>
        <v>-53.400000000000091</v>
      </c>
      <c r="F18" s="79">
        <f t="shared" ca="1" si="2"/>
        <v>1.1618181818181821</v>
      </c>
    </row>
    <row r="19" spans="2:6" ht="16" x14ac:dyDescent="0.2">
      <c r="B19" s="39" t="str">
        <f>Forecast!B25</f>
        <v>Servizi Internet - Amazon Prime - iCloud</v>
      </c>
      <c r="C19" s="40">
        <f ca="1">Forecast!Q25</f>
        <v>247.95000000000002</v>
      </c>
      <c r="D19" s="40">
        <f>Forecast!T25</f>
        <v>150</v>
      </c>
      <c r="E19" s="38">
        <f t="shared" ca="1" si="3"/>
        <v>-97.950000000000017</v>
      </c>
      <c r="F19" s="79">
        <f t="shared" ca="1" si="2"/>
        <v>1.653</v>
      </c>
    </row>
    <row r="20" spans="2:6" ht="16" x14ac:dyDescent="0.2">
      <c r="B20" s="39" t="str">
        <f>Forecast!B26</f>
        <v>Editoria Digitale</v>
      </c>
      <c r="C20" s="40">
        <f ca="1">Forecast!Q26</f>
        <v>25.000000000000004</v>
      </c>
      <c r="D20" s="40">
        <f>Forecast!T26</f>
        <v>50</v>
      </c>
      <c r="E20" s="38">
        <f t="shared" ca="1" si="3"/>
        <v>24.999999999999996</v>
      </c>
      <c r="F20" s="79">
        <f t="shared" ca="1" si="2"/>
        <v>0.50000000000000011</v>
      </c>
    </row>
    <row r="21" spans="2:6" ht="16" x14ac:dyDescent="0.2">
      <c r="B21" s="39" t="str">
        <f>Forecast!B27</f>
        <v>Fibra Telefonica</v>
      </c>
      <c r="C21" s="40">
        <f ca="1">Forecast!Q27</f>
        <v>362.90000000000003</v>
      </c>
      <c r="D21" s="40">
        <f>Forecast!T27</f>
        <v>360</v>
      </c>
      <c r="E21" s="38">
        <f ca="1">D21-C21</f>
        <v>-2.9000000000000341</v>
      </c>
      <c r="F21" s="79">
        <f t="shared" ca="1" si="2"/>
        <v>1.0080555555555557</v>
      </c>
    </row>
    <row r="22" spans="2:6" ht="16" x14ac:dyDescent="0.2">
      <c r="B22" s="39" t="str">
        <f>Forecast!B28</f>
        <v>Telefonia Cellulare</v>
      </c>
      <c r="C22" s="40">
        <f ca="1">Forecast!Q28</f>
        <v>322.10719999999998</v>
      </c>
      <c r="D22" s="40">
        <f>Forecast!T28</f>
        <v>250</v>
      </c>
      <c r="E22" s="38">
        <f t="shared" ca="1" si="3"/>
        <v>-72.107199999999978</v>
      </c>
      <c r="F22" s="79">
        <f t="shared" ca="1" si="2"/>
        <v>1.2884287999999999</v>
      </c>
    </row>
    <row r="23" spans="2:6" ht="16" x14ac:dyDescent="0.2">
      <c r="B23" s="39" t="str">
        <f>Forecast!B29</f>
        <v>Streaming TV</v>
      </c>
      <c r="C23" s="40">
        <f ca="1">Forecast!Q29</f>
        <v>350.18</v>
      </c>
      <c r="D23" s="40">
        <f>Forecast!T29</f>
        <v>430</v>
      </c>
      <c r="E23" s="38">
        <f t="shared" ca="1" si="3"/>
        <v>79.819999999999993</v>
      </c>
      <c r="F23" s="79">
        <f t="shared" ca="1" si="2"/>
        <v>0.81437209302325586</v>
      </c>
    </row>
    <row r="24" spans="2:6" ht="16" x14ac:dyDescent="0.2">
      <c r="B24" s="39" t="str">
        <f>Forecast!B30</f>
        <v>Streaming Audio</v>
      </c>
      <c r="C24" s="40">
        <f ca="1">Forecast!Q30</f>
        <v>25.000000000000004</v>
      </c>
      <c r="D24" s="40">
        <f>Forecast!T30</f>
        <v>50</v>
      </c>
      <c r="E24" s="38">
        <f t="shared" ca="1" si="3"/>
        <v>24.999999999999996</v>
      </c>
      <c r="F24" s="79">
        <f t="shared" ca="1" si="2"/>
        <v>0.50000000000000011</v>
      </c>
    </row>
    <row r="25" spans="2:6" ht="16" x14ac:dyDescent="0.2">
      <c r="B25" s="39"/>
      <c r="C25" s="40"/>
      <c r="D25" s="40"/>
      <c r="E25" s="38"/>
      <c r="F25" s="76"/>
    </row>
    <row r="26" spans="2:6" ht="16" x14ac:dyDescent="0.2">
      <c r="B26" s="67" t="str">
        <f>Forecast!B32</f>
        <v>Spese Alimentari</v>
      </c>
      <c r="C26" s="68">
        <f ca="1">Forecast!Q32</f>
        <v>12657.619523809522</v>
      </c>
      <c r="D26" s="68">
        <f>Forecast!T32</f>
        <v>14300</v>
      </c>
      <c r="E26" s="68">
        <f ca="1">D26-C26</f>
        <v>1642.3804761904776</v>
      </c>
      <c r="F26" s="80">
        <f ca="1">IF(ISERROR(C26/D26),0,C26/D26)</f>
        <v>0.88514821844821834</v>
      </c>
    </row>
    <row r="27" spans="2:6" ht="16" x14ac:dyDescent="0.2">
      <c r="B27" s="39" t="str">
        <f>Forecast!B33</f>
        <v>Alimentari</v>
      </c>
      <c r="C27" s="40">
        <f ca="1">Forecast!Q33</f>
        <v>8003.0566666666655</v>
      </c>
      <c r="D27" s="40">
        <f>Forecast!T33</f>
        <v>8800</v>
      </c>
      <c r="E27" s="38">
        <f ca="1">D27-C27</f>
        <v>796.94333333333452</v>
      </c>
      <c r="F27" s="79">
        <f t="shared" ref="F27:F29" ca="1" si="4">IF(ISERROR(C27/D27),0,C27/D27)</f>
        <v>0.90943825757575747</v>
      </c>
    </row>
    <row r="28" spans="2:6" ht="16" x14ac:dyDescent="0.2">
      <c r="B28" s="39" t="str">
        <f>Forecast!B34</f>
        <v>Colazioni - Bar - Aperitivi - Gelateria</v>
      </c>
      <c r="C28" s="40">
        <f ca="1">Forecast!Q34</f>
        <v>1000.9028571428573</v>
      </c>
      <c r="D28" s="40">
        <f>Forecast!T34</f>
        <v>1000</v>
      </c>
      <c r="E28" s="38">
        <f ca="1">D28-C28</f>
        <v>-0.90285714285732865</v>
      </c>
      <c r="F28" s="79">
        <f t="shared" ca="1" si="4"/>
        <v>1.0009028571428573</v>
      </c>
    </row>
    <row r="29" spans="2:6" ht="16" x14ac:dyDescent="0.2">
      <c r="B29" s="39" t="str">
        <f>Forecast!B35</f>
        <v>Ristorazione</v>
      </c>
      <c r="C29" s="40">
        <f ca="1">Forecast!Q35</f>
        <v>3653.6600000000003</v>
      </c>
      <c r="D29" s="40">
        <f>Forecast!T35</f>
        <v>4500</v>
      </c>
      <c r="E29" s="38">
        <f ca="1">D29-C29</f>
        <v>846.33999999999969</v>
      </c>
      <c r="F29" s="79">
        <f t="shared" ca="1" si="4"/>
        <v>0.81192444444444456</v>
      </c>
    </row>
    <row r="30" spans="2:6" ht="16" x14ac:dyDescent="0.2">
      <c r="B30" s="39"/>
      <c r="C30" s="40"/>
      <c r="D30" s="40"/>
      <c r="E30" s="38"/>
      <c r="F30" s="75"/>
    </row>
    <row r="31" spans="2:6" ht="16" x14ac:dyDescent="0.2">
      <c r="B31" s="67" t="str">
        <f>Forecast!B37</f>
        <v>Manutenzioni</v>
      </c>
      <c r="C31" s="68">
        <f ca="1">Forecast!Q37</f>
        <v>2329.27</v>
      </c>
      <c r="D31" s="68">
        <f>Forecast!T37</f>
        <v>2300</v>
      </c>
      <c r="E31" s="68">
        <f ca="1">D31-C31</f>
        <v>-29.269999999999982</v>
      </c>
      <c r="F31" s="80">
        <f ca="1">IF(ISERROR(C31/D31),0,C31/D31)</f>
        <v>1.0127260869565218</v>
      </c>
    </row>
    <row r="32" spans="2:6" ht="16" x14ac:dyDescent="0.2">
      <c r="B32" s="39" t="str">
        <f>Forecast!B38</f>
        <v>Manutenzione Immobile</v>
      </c>
      <c r="C32" s="40">
        <f ca="1">Forecast!Q38</f>
        <v>1860.1799999999998</v>
      </c>
      <c r="D32" s="40">
        <f>Forecast!T38</f>
        <v>1500</v>
      </c>
      <c r="E32" s="38">
        <f ca="1">D32-C32</f>
        <v>-360.17999999999984</v>
      </c>
      <c r="F32" s="79">
        <f t="shared" ref="F32:F34" ca="1" si="5">IF(ISERROR(C32/D32),0,C32/D32)</f>
        <v>1.2401199999999999</v>
      </c>
    </row>
    <row r="33" spans="2:6" ht="16" x14ac:dyDescent="0.2">
      <c r="B33" s="39" t="str">
        <f>Forecast!B39</f>
        <v>Manutenzione del Giardino</v>
      </c>
      <c r="C33" s="40">
        <f ca="1">Forecast!Q39</f>
        <v>302.17</v>
      </c>
      <c r="D33" s="40">
        <f>Forecast!T39</f>
        <v>500</v>
      </c>
      <c r="E33" s="38">
        <f ca="1">D33-C33</f>
        <v>197.82999999999998</v>
      </c>
      <c r="F33" s="79">
        <f t="shared" ca="1" si="5"/>
        <v>0.60433999999999999</v>
      </c>
    </row>
    <row r="34" spans="2:6" ht="16" x14ac:dyDescent="0.2">
      <c r="B34" s="39" t="str">
        <f>Forecast!B40</f>
        <v>Manutenzione Piscina</v>
      </c>
      <c r="C34" s="40">
        <f ca="1">Forecast!Q40</f>
        <v>166.92000000000002</v>
      </c>
      <c r="D34" s="40">
        <f>Forecast!T40</f>
        <v>300</v>
      </c>
      <c r="E34" s="38">
        <f ca="1">D34-C34</f>
        <v>133.07999999999998</v>
      </c>
      <c r="F34" s="79">
        <f t="shared" ca="1" si="5"/>
        <v>0.55640000000000001</v>
      </c>
    </row>
    <row r="35" spans="2:6" ht="16" x14ac:dyDescent="0.2">
      <c r="B35" s="39"/>
      <c r="C35" s="40"/>
      <c r="D35" s="40"/>
      <c r="E35" s="38"/>
      <c r="F35" s="76"/>
    </row>
    <row r="36" spans="2:6" ht="16" x14ac:dyDescent="0.2">
      <c r="B36" s="67" t="str">
        <f>Forecast!B42</f>
        <v>Educazione Emma</v>
      </c>
      <c r="C36" s="68">
        <f ca="1">Forecast!Q42</f>
        <v>21650.026400000002</v>
      </c>
      <c r="D36" s="68">
        <f>Forecast!T42</f>
        <v>6500</v>
      </c>
      <c r="E36" s="68">
        <f ca="1">D36-C36</f>
        <v>-15150.026400000002</v>
      </c>
      <c r="F36" s="80">
        <f ca="1">IF(ISERROR(C36/D36),0,C36/D36)</f>
        <v>3.3307732923076925</v>
      </c>
    </row>
    <row r="37" spans="2:6" ht="16" x14ac:dyDescent="0.2">
      <c r="B37" s="39" t="str">
        <f>Forecast!B43</f>
        <v>Istruzione e Corsi</v>
      </c>
      <c r="C37" s="40">
        <f ca="1">Forecast!Q43</f>
        <v>21650.026400000002</v>
      </c>
      <c r="D37" s="40">
        <f>Forecast!T43</f>
        <v>6500</v>
      </c>
      <c r="E37" s="38">
        <f ca="1">D37-C37</f>
        <v>-15150.026400000002</v>
      </c>
      <c r="F37" s="79">
        <f ca="1">IF(ISERROR(C37/D37),0,C37/D37)</f>
        <v>3.3307732923076925</v>
      </c>
    </row>
    <row r="38" spans="2:6" ht="16" x14ac:dyDescent="0.2">
      <c r="B38" s="39"/>
      <c r="C38" s="40"/>
      <c r="D38" s="40"/>
      <c r="E38" s="38"/>
      <c r="F38" s="76"/>
    </row>
    <row r="39" spans="2:6" ht="16" x14ac:dyDescent="0.2">
      <c r="B39" s="67" t="str">
        <f>Forecast!B45</f>
        <v>Viaggi</v>
      </c>
      <c r="C39" s="68">
        <f ca="1">Forecast!Q45</f>
        <v>1486.9555351681954</v>
      </c>
      <c r="D39" s="68">
        <f>Forecast!T45</f>
        <v>8000</v>
      </c>
      <c r="E39" s="68">
        <f ca="1">D39-C39</f>
        <v>6513.0444648318044</v>
      </c>
      <c r="F39" s="80">
        <f ca="1">IF(ISERROR(C39/D39),0,C39/D39)</f>
        <v>0.18586944189602442</v>
      </c>
    </row>
    <row r="40" spans="2:6" ht="16" x14ac:dyDescent="0.2">
      <c r="B40" s="34"/>
      <c r="C40" s="38"/>
      <c r="D40" s="38"/>
      <c r="E40" s="38"/>
      <c r="F40" s="372"/>
    </row>
    <row r="41" spans="2:6" ht="16" x14ac:dyDescent="0.2">
      <c r="B41" s="39"/>
      <c r="C41" s="40"/>
      <c r="D41" s="40"/>
      <c r="E41" s="38"/>
      <c r="F41" s="76"/>
    </row>
    <row r="42" spans="2:6" ht="16" x14ac:dyDescent="0.2">
      <c r="B42" s="67" t="str">
        <f>Forecast!B58</f>
        <v>Auto e Trasporti</v>
      </c>
      <c r="C42" s="68">
        <f ca="1">Forecast!Q58</f>
        <v>6659.03</v>
      </c>
      <c r="D42" s="68">
        <f ca="1">Forecast!T58</f>
        <v>3898.4</v>
      </c>
      <c r="E42" s="68">
        <f ca="1">D42-C42</f>
        <v>-2760.6299999999997</v>
      </c>
      <c r="F42" s="80">
        <f ca="1">IF(ISERROR(C42/D42),0,C42/D42)</f>
        <v>1.7081443669197618</v>
      </c>
    </row>
    <row r="43" spans="2:6" ht="16" x14ac:dyDescent="0.2">
      <c r="B43" s="39" t="str">
        <f>Forecast!B59</f>
        <v xml:space="preserve">Assicurazione </v>
      </c>
      <c r="C43" s="40">
        <f ca="1">Forecast!Q59</f>
        <v>3624.4599999999991</v>
      </c>
      <c r="D43" s="40">
        <f ca="1">Forecast!T59</f>
        <v>1176.4000000000001</v>
      </c>
      <c r="E43" s="38">
        <f ca="1">D43-C43</f>
        <v>-2448.059999999999</v>
      </c>
      <c r="F43" s="79">
        <f t="shared" ref="F43:F49" ca="1" si="6">IF(ISERROR(C43/D43),0,C43/D43)</f>
        <v>3.0809758585515121</v>
      </c>
    </row>
    <row r="44" spans="2:6" ht="16" x14ac:dyDescent="0.2">
      <c r="B44" s="39" t="str">
        <f>Forecast!B60</f>
        <v xml:space="preserve">Carburante </v>
      </c>
      <c r="C44" s="40">
        <f ca="1">Forecast!Q60</f>
        <v>1971.5999999999997</v>
      </c>
      <c r="D44" s="40">
        <f>Forecast!T60</f>
        <v>1800</v>
      </c>
      <c r="E44" s="38">
        <f t="shared" ref="E44:E49" ca="1" si="7">D44-C44</f>
        <v>-171.59999999999968</v>
      </c>
      <c r="F44" s="79">
        <f t="shared" ca="1" si="6"/>
        <v>1.095333333333333</v>
      </c>
    </row>
    <row r="45" spans="2:6" ht="16" x14ac:dyDescent="0.2">
      <c r="B45" s="39" t="str">
        <f>Forecast!B61</f>
        <v>Tassa di circolazione</v>
      </c>
      <c r="C45" s="40">
        <f ca="1">Forecast!Q61</f>
        <v>189.60000000000002</v>
      </c>
      <c r="D45" s="40">
        <f>Forecast!T61</f>
        <v>170</v>
      </c>
      <c r="E45" s="38">
        <f t="shared" ca="1" si="7"/>
        <v>-19.600000000000023</v>
      </c>
      <c r="F45" s="79">
        <f t="shared" ca="1" si="6"/>
        <v>1.115294117647059</v>
      </c>
    </row>
    <row r="46" spans="2:6" ht="16" x14ac:dyDescent="0.2">
      <c r="B46" s="39" t="str">
        <f>Forecast!B62</f>
        <v>ITV</v>
      </c>
      <c r="C46" s="40">
        <f ca="1">Forecast!Q62</f>
        <v>18</v>
      </c>
      <c r="D46" s="40">
        <f>Forecast!T62</f>
        <v>36</v>
      </c>
      <c r="E46" s="38">
        <f t="shared" ca="1" si="7"/>
        <v>18</v>
      </c>
      <c r="F46" s="79">
        <f t="shared" ca="1" si="6"/>
        <v>0.5</v>
      </c>
    </row>
    <row r="47" spans="2:6" ht="16" x14ac:dyDescent="0.2">
      <c r="B47" s="39" t="str">
        <f>Forecast!B64</f>
        <v>Manutenzione Auto</v>
      </c>
      <c r="C47" s="40">
        <f ca="1">Forecast!Q64</f>
        <v>710.92000000000007</v>
      </c>
      <c r="D47" s="40">
        <f>Forecast!T64</f>
        <v>500</v>
      </c>
      <c r="E47" s="38">
        <f t="shared" ca="1" si="7"/>
        <v>-210.92000000000007</v>
      </c>
      <c r="F47" s="79">
        <f t="shared" ca="1" si="6"/>
        <v>1.4218400000000002</v>
      </c>
    </row>
    <row r="48" spans="2:6" ht="16" x14ac:dyDescent="0.2">
      <c r="B48" s="39" t="str">
        <f>Forecast!B65</f>
        <v>Trasporti pubblici</v>
      </c>
      <c r="C48" s="40">
        <f ca="1">Forecast!Q65</f>
        <v>19.600000000000001</v>
      </c>
      <c r="D48" s="40">
        <f>Forecast!T65</f>
        <v>30</v>
      </c>
      <c r="E48" s="38">
        <f t="shared" ca="1" si="7"/>
        <v>10.399999999999999</v>
      </c>
      <c r="F48" s="79">
        <f t="shared" ca="1" si="6"/>
        <v>0.65333333333333343</v>
      </c>
    </row>
    <row r="49" spans="2:6" ht="16" x14ac:dyDescent="0.2">
      <c r="B49" s="39" t="str">
        <f>Forecast!B66</f>
        <v>Parcheggio</v>
      </c>
      <c r="C49" s="40">
        <f ca="1">Forecast!Q66</f>
        <v>106.85</v>
      </c>
      <c r="D49" s="40">
        <f>Forecast!T66</f>
        <v>150</v>
      </c>
      <c r="E49" s="38">
        <f t="shared" ca="1" si="7"/>
        <v>43.150000000000006</v>
      </c>
      <c r="F49" s="79">
        <f t="shared" ca="1" si="6"/>
        <v>0.71233333333333326</v>
      </c>
    </row>
    <row r="50" spans="2:6" ht="16" x14ac:dyDescent="0.2">
      <c r="B50" s="39"/>
      <c r="C50" s="40"/>
      <c r="D50" s="40"/>
      <c r="E50" s="38"/>
      <c r="F50" s="76"/>
    </row>
    <row r="51" spans="2:6" ht="16" x14ac:dyDescent="0.2">
      <c r="B51" s="67" t="str">
        <f>Forecast!B68</f>
        <v>Assicurazioni</v>
      </c>
      <c r="C51" s="68">
        <f ca="1">Forecast!Q68</f>
        <v>8217.9066666666658</v>
      </c>
      <c r="D51" s="68">
        <f>Forecast!T68</f>
        <v>13650</v>
      </c>
      <c r="E51" s="68">
        <f ca="1">D51-C51</f>
        <v>5432.0933333333342</v>
      </c>
      <c r="F51" s="80">
        <f ca="1">IF(ISERROR(C51/D51),0,C51/D51)</f>
        <v>0.60204444444444438</v>
      </c>
    </row>
    <row r="52" spans="2:6" ht="16" x14ac:dyDescent="0.2">
      <c r="B52" s="39" t="str">
        <f>Forecast!B69</f>
        <v>Polizza Vita</v>
      </c>
      <c r="C52" s="40">
        <f ca="1">Forecast!Q69</f>
        <v>100.00000000000001</v>
      </c>
      <c r="D52" s="40">
        <f>Forecast!T69</f>
        <v>200</v>
      </c>
      <c r="E52" s="38">
        <f ca="1">D52-C52</f>
        <v>99.999999999999986</v>
      </c>
      <c r="F52" s="79">
        <f t="shared" ref="F52:F54" ca="1" si="8">IF(ISERROR(C52/D52),0,C52/D52)</f>
        <v>0.50000000000000011</v>
      </c>
    </row>
    <row r="53" spans="2:6" ht="16" x14ac:dyDescent="0.2">
      <c r="B53" s="39" t="str">
        <f>Forecast!B70</f>
        <v>Polizza Salute</v>
      </c>
      <c r="C53" s="40">
        <f ca="1">Forecast!Q70</f>
        <v>7282.9166666666652</v>
      </c>
      <c r="D53" s="40">
        <f>Forecast!T70</f>
        <v>12700</v>
      </c>
      <c r="E53" s="38">
        <f ca="1">D53-C53</f>
        <v>5417.0833333333348</v>
      </c>
      <c r="F53" s="79">
        <f t="shared" ca="1" si="8"/>
        <v>0.57345800524934376</v>
      </c>
    </row>
    <row r="54" spans="2:6" ht="16" x14ac:dyDescent="0.2">
      <c r="B54" s="39" t="str">
        <f>Forecast!B71</f>
        <v>Polizza Casa</v>
      </c>
      <c r="C54" s="40">
        <f ca="1">Forecast!Q71</f>
        <v>834.99</v>
      </c>
      <c r="D54" s="40">
        <f>Forecast!T71</f>
        <v>750</v>
      </c>
      <c r="E54" s="38">
        <f ca="1">D54-C54</f>
        <v>-84.990000000000009</v>
      </c>
      <c r="F54" s="79">
        <f t="shared" ca="1" si="8"/>
        <v>1.1133200000000001</v>
      </c>
    </row>
    <row r="55" spans="2:6" ht="16" x14ac:dyDescent="0.2">
      <c r="B55" s="39"/>
      <c r="C55" s="40"/>
      <c r="D55" s="40"/>
      <c r="E55" s="38"/>
      <c r="F55" s="76"/>
    </row>
    <row r="56" spans="2:6" ht="16" x14ac:dyDescent="0.2">
      <c r="B56" s="67" t="str">
        <f>Forecast!B73</f>
        <v>Attività sportive</v>
      </c>
      <c r="C56" s="68">
        <f ca="1">Forecast!Q73</f>
        <v>2493.9</v>
      </c>
      <c r="D56" s="68">
        <f>Forecast!T73</f>
        <v>1800</v>
      </c>
      <c r="E56" s="68">
        <f t="shared" ref="E56:E61" ca="1" si="9">D56-C56</f>
        <v>-693.90000000000009</v>
      </c>
      <c r="F56" s="80">
        <f ca="1">IF(ISERROR(C56/D56),0,C56/D56)</f>
        <v>1.3855</v>
      </c>
    </row>
    <row r="57" spans="2:6" ht="16" x14ac:dyDescent="0.2">
      <c r="B57" s="39" t="str">
        <f>Forecast!B74</f>
        <v>Nautica</v>
      </c>
      <c r="C57" s="40">
        <f ca="1">Forecast!Q74</f>
        <v>0</v>
      </c>
      <c r="D57" s="40">
        <f>Forecast!T74</f>
        <v>0</v>
      </c>
      <c r="E57" s="38">
        <f t="shared" ca="1" si="9"/>
        <v>0</v>
      </c>
      <c r="F57" s="79">
        <f t="shared" ref="F57:F61" ca="1" si="10">IF(ISERROR(C57/D57),0,C57/D57)</f>
        <v>0</v>
      </c>
    </row>
    <row r="58" spans="2:6" ht="16" x14ac:dyDescent="0.2">
      <c r="B58" s="39" t="str">
        <f>Forecast!B75</f>
        <v>Fitness</v>
      </c>
      <c r="C58" s="40">
        <f ca="1">Forecast!Q75</f>
        <v>2282.5</v>
      </c>
      <c r="D58" s="40">
        <f>Forecast!T75</f>
        <v>1500</v>
      </c>
      <c r="E58" s="38">
        <f t="shared" ca="1" si="9"/>
        <v>-782.5</v>
      </c>
      <c r="F58" s="79">
        <f t="shared" ca="1" si="10"/>
        <v>1.5216666666666667</v>
      </c>
    </row>
    <row r="59" spans="2:6" ht="16" x14ac:dyDescent="0.2">
      <c r="B59" s="39" t="str">
        <f>Forecast!B76</f>
        <v>Lingue Straniere</v>
      </c>
      <c r="C59" s="40">
        <f ca="1">Forecast!Q76</f>
        <v>97.399999999999977</v>
      </c>
      <c r="D59" s="40">
        <f>Forecast!T76</f>
        <v>100</v>
      </c>
      <c r="E59" s="38">
        <f ca="1">D59-C59</f>
        <v>2.6000000000000227</v>
      </c>
      <c r="F59" s="79">
        <f t="shared" ca="1" si="10"/>
        <v>0.97399999999999975</v>
      </c>
    </row>
    <row r="60" spans="2:6" ht="16" x14ac:dyDescent="0.2">
      <c r="B60" s="39" t="str">
        <f>Forecast!B77</f>
        <v>Altri Corsi</v>
      </c>
      <c r="C60" s="40">
        <f ca="1">Forecast!Q77</f>
        <v>0</v>
      </c>
      <c r="D60" s="40">
        <f>Forecast!T77</f>
        <v>0</v>
      </c>
      <c r="E60" s="38">
        <f t="shared" ca="1" si="9"/>
        <v>0</v>
      </c>
      <c r="F60" s="79">
        <f t="shared" ca="1" si="10"/>
        <v>0</v>
      </c>
    </row>
    <row r="61" spans="2:6" ht="16" x14ac:dyDescent="0.2">
      <c r="B61" s="39" t="str">
        <f>Forecast!B78</f>
        <v>Attività Spot</v>
      </c>
      <c r="C61" s="40">
        <f ca="1">Forecast!Q78</f>
        <v>114.00000000000001</v>
      </c>
      <c r="D61" s="40">
        <f>Forecast!T78</f>
        <v>200</v>
      </c>
      <c r="E61" s="38">
        <f t="shared" ca="1" si="9"/>
        <v>85.999999999999986</v>
      </c>
      <c r="F61" s="79">
        <f t="shared" ca="1" si="10"/>
        <v>0.57000000000000006</v>
      </c>
    </row>
    <row r="62" spans="2:6" ht="16" x14ac:dyDescent="0.2">
      <c r="B62" s="39"/>
      <c r="C62" s="40"/>
      <c r="D62" s="40"/>
      <c r="E62" s="38"/>
      <c r="F62" s="76"/>
    </row>
    <row r="63" spans="2:6" ht="16" x14ac:dyDescent="0.2">
      <c r="B63" s="67" t="str">
        <f>Forecast!B80</f>
        <v>Spese Personali</v>
      </c>
      <c r="C63" s="68">
        <f ca="1">Forecast!Q80</f>
        <v>8460.7666666666664</v>
      </c>
      <c r="D63" s="68">
        <f>Forecast!T80</f>
        <v>6750</v>
      </c>
      <c r="E63" s="68">
        <f t="shared" ref="E63:E68" ca="1" si="11">D63-C63</f>
        <v>-1710.7666666666664</v>
      </c>
      <c r="F63" s="80">
        <f ca="1">IF(ISERROR(C63/D63),0,C63/D63)</f>
        <v>1.2534469135802468</v>
      </c>
    </row>
    <row r="64" spans="2:6" ht="16" x14ac:dyDescent="0.2">
      <c r="B64" s="39" t="str">
        <f>Forecast!B81</f>
        <v>Abbigliamento e Accessori</v>
      </c>
      <c r="C64" s="40">
        <f ca="1">Forecast!Q81</f>
        <v>2942.16</v>
      </c>
      <c r="D64" s="40">
        <f>Forecast!T81</f>
        <v>3300</v>
      </c>
      <c r="E64" s="38">
        <f t="shared" ca="1" si="11"/>
        <v>357.84000000000015</v>
      </c>
      <c r="F64" s="79">
        <f t="shared" ref="F64:F68" ca="1" si="12">IF(ISERROR(C64/D64),0,C64/D64)</f>
        <v>0.89156363636363634</v>
      </c>
    </row>
    <row r="65" spans="2:6" ht="16" x14ac:dyDescent="0.2">
      <c r="B65" s="39" t="str">
        <f>Forecast!B82</f>
        <v>Abbigliamento Sportivo e Accessori</v>
      </c>
      <c r="C65" s="40">
        <f ca="1">Forecast!Q82</f>
        <v>455</v>
      </c>
      <c r="D65" s="40">
        <f>Forecast!T82</f>
        <v>150</v>
      </c>
      <c r="E65" s="38">
        <f t="shared" ca="1" si="11"/>
        <v>-305</v>
      </c>
      <c r="F65" s="79">
        <f t="shared" ca="1" si="12"/>
        <v>3.0333333333333332</v>
      </c>
    </row>
    <row r="66" spans="2:6" ht="16" x14ac:dyDescent="0.2">
      <c r="B66" s="39" t="str">
        <f>Forecast!B83</f>
        <v>Prodotti per la Cura della Persona</v>
      </c>
      <c r="C66" s="40">
        <f ca="1">Forecast!Q83</f>
        <v>954.94999999999993</v>
      </c>
      <c r="D66" s="40">
        <f>Forecast!T83</f>
        <v>1100</v>
      </c>
      <c r="E66" s="38">
        <f t="shared" ca="1" si="11"/>
        <v>145.05000000000007</v>
      </c>
      <c r="F66" s="79">
        <f t="shared" ca="1" si="12"/>
        <v>0.86813636363636359</v>
      </c>
    </row>
    <row r="67" spans="2:6" ht="16" x14ac:dyDescent="0.2">
      <c r="B67" s="39" t="str">
        <f>Forecast!B84</f>
        <v>Parrucchiera/e</v>
      </c>
      <c r="C67" s="40">
        <f ca="1">Forecast!Q84</f>
        <v>1546.6666666666665</v>
      </c>
      <c r="D67" s="40">
        <f>Forecast!T84</f>
        <v>1600</v>
      </c>
      <c r="E67" s="38">
        <f t="shared" ca="1" si="11"/>
        <v>53.333333333333485</v>
      </c>
      <c r="F67" s="79">
        <f t="shared" ca="1" si="12"/>
        <v>0.96666666666666656</v>
      </c>
    </row>
    <row r="68" spans="2:6" ht="16" x14ac:dyDescent="0.2">
      <c r="B68" s="39" t="str">
        <f>Forecast!B85</f>
        <v>Estetista</v>
      </c>
      <c r="C68" s="40">
        <f ca="1">Forecast!Q85</f>
        <v>2561.9899999999998</v>
      </c>
      <c r="D68" s="40">
        <f>Forecast!T85</f>
        <v>600</v>
      </c>
      <c r="E68" s="38">
        <f t="shared" ca="1" si="11"/>
        <v>-1961.9899999999998</v>
      </c>
      <c r="F68" s="79">
        <f t="shared" ca="1" si="12"/>
        <v>4.2699833333333332</v>
      </c>
    </row>
    <row r="69" spans="2:6" ht="16" x14ac:dyDescent="0.2">
      <c r="B69" s="39"/>
      <c r="C69" s="40"/>
      <c r="D69" s="40"/>
      <c r="E69" s="38"/>
      <c r="F69" s="76"/>
    </row>
    <row r="70" spans="2:6" ht="16" x14ac:dyDescent="0.2">
      <c r="B70" s="67" t="str">
        <f>Forecast!B87</f>
        <v>Cure mediche</v>
      </c>
      <c r="C70" s="68">
        <f ca="1">Forecast!Q87</f>
        <v>1585.6799999999998</v>
      </c>
      <c r="D70" s="68">
        <f>Forecast!T87</f>
        <v>1250</v>
      </c>
      <c r="E70" s="68">
        <f ca="1">D70-C70</f>
        <v>-335.67999999999984</v>
      </c>
      <c r="F70" s="80">
        <f ca="1">IF(ISERROR(C70/D70),0,C70/D70)</f>
        <v>1.2685439999999999</v>
      </c>
    </row>
    <row r="71" spans="2:6" ht="16" x14ac:dyDescent="0.2">
      <c r="B71" s="39" t="str">
        <f>Forecast!B88</f>
        <v>Cure mediche extra ass.</v>
      </c>
      <c r="C71" s="40">
        <f ca="1">Forecast!Q88</f>
        <v>50.000000000000007</v>
      </c>
      <c r="D71" s="40">
        <f>Forecast!T88</f>
        <v>100</v>
      </c>
      <c r="E71" s="38">
        <f ca="1">D71-C71</f>
        <v>49.999999999999993</v>
      </c>
      <c r="F71" s="79">
        <f t="shared" ref="F71:F74" ca="1" si="13">IF(ISERROR(C71/D71),0,C71/D71)</f>
        <v>0.50000000000000011</v>
      </c>
    </row>
    <row r="72" spans="2:6" ht="16" x14ac:dyDescent="0.2">
      <c r="B72" s="39" t="str">
        <f>Forecast!B89</f>
        <v>Medicinali - Test Covid - Integratori</v>
      </c>
      <c r="C72" s="40">
        <f ca="1">Forecast!Q89</f>
        <v>970.68</v>
      </c>
      <c r="D72" s="40">
        <f>Forecast!T89</f>
        <v>700</v>
      </c>
      <c r="E72" s="38">
        <f ca="1">D72-C72</f>
        <v>-270.67999999999995</v>
      </c>
      <c r="F72" s="79">
        <f t="shared" ca="1" si="13"/>
        <v>1.3866857142857143</v>
      </c>
    </row>
    <row r="73" spans="2:6" ht="16" x14ac:dyDescent="0.2">
      <c r="B73" s="39" t="str">
        <f>Forecast!B90</f>
        <v>Dentista</v>
      </c>
      <c r="C73" s="40">
        <f ca="1">Forecast!Q90</f>
        <v>150</v>
      </c>
      <c r="D73" s="40">
        <f>Forecast!T90</f>
        <v>300</v>
      </c>
      <c r="E73" s="38">
        <f ca="1">D73-C73</f>
        <v>150</v>
      </c>
      <c r="F73" s="79">
        <f t="shared" ca="1" si="13"/>
        <v>0.5</v>
      </c>
    </row>
    <row r="74" spans="2:6" ht="16" x14ac:dyDescent="0.2">
      <c r="B74" s="39" t="str">
        <f>Forecast!B91</f>
        <v>Oculista - Occhiali</v>
      </c>
      <c r="C74" s="40">
        <f ca="1">Forecast!Q91</f>
        <v>415</v>
      </c>
      <c r="D74" s="40">
        <f>Forecast!T91</f>
        <v>150</v>
      </c>
      <c r="E74" s="38">
        <f ca="1">D74-C74</f>
        <v>-265</v>
      </c>
      <c r="F74" s="79">
        <f t="shared" ca="1" si="13"/>
        <v>2.7666666666666666</v>
      </c>
    </row>
    <row r="75" spans="2:6" ht="16" x14ac:dyDescent="0.2">
      <c r="B75" s="39"/>
      <c r="C75" s="40"/>
      <c r="D75" s="40"/>
      <c r="E75" s="38"/>
      <c r="F75" s="76"/>
    </row>
    <row r="76" spans="2:6" ht="16" x14ac:dyDescent="0.2">
      <c r="B76" s="67" t="str">
        <f>Forecast!B93</f>
        <v>Imposte Spagna</v>
      </c>
      <c r="C76" s="68">
        <f ca="1">Forecast!Q93</f>
        <v>3287.0599999999995</v>
      </c>
      <c r="D76" s="68">
        <f>Forecast!T93</f>
        <v>1525</v>
      </c>
      <c r="E76" s="68">
        <f ca="1">D76-C76</f>
        <v>-1762.0599999999995</v>
      </c>
      <c r="F76" s="80">
        <f ca="1">IF(ISERROR(C76/D76),0,C76/D76)</f>
        <v>2.1554491803278686</v>
      </c>
    </row>
    <row r="77" spans="2:6" ht="16" x14ac:dyDescent="0.2">
      <c r="B77" s="39" t="str">
        <f>Forecast!B94</f>
        <v>IBI</v>
      </c>
      <c r="C77" s="40">
        <f ca="1">Forecast!Q94</f>
        <v>3212.4599999999996</v>
      </c>
      <c r="D77" s="40">
        <f>Forecast!T94</f>
        <v>1500</v>
      </c>
      <c r="E77" s="38">
        <f ca="1">D77-C77</f>
        <v>-1712.4599999999996</v>
      </c>
      <c r="F77" s="79">
        <f t="shared" ref="F77:F79" ca="1" si="14">IF(ISERROR(C77/D77),0,C77/D77)</f>
        <v>2.1416399999999998</v>
      </c>
    </row>
    <row r="78" spans="2:6" ht="16" x14ac:dyDescent="0.2">
      <c r="B78" s="39" t="str">
        <f>Forecast!B95</f>
        <v>Imposte Spagna</v>
      </c>
      <c r="C78" s="40">
        <f ca="1">Forecast!Q95</f>
        <v>74.599999999999994</v>
      </c>
      <c r="D78" s="40">
        <f>Forecast!T95</f>
        <v>25</v>
      </c>
      <c r="E78" s="38">
        <f ca="1">D78-C78</f>
        <v>-49.599999999999994</v>
      </c>
      <c r="F78" s="79">
        <f t="shared" ca="1" si="14"/>
        <v>2.984</v>
      </c>
    </row>
    <row r="79" spans="2:6" ht="16" x14ac:dyDescent="0.2">
      <c r="B79" s="39" t="str">
        <f>Forecast!B96</f>
        <v>Commercialista Spagna</v>
      </c>
      <c r="C79" s="40">
        <f ca="1">Forecast!Q96</f>
        <v>0</v>
      </c>
      <c r="D79" s="40">
        <f>Forecast!T96</f>
        <v>0</v>
      </c>
      <c r="E79" s="38">
        <f ca="1">D79-C79</f>
        <v>0</v>
      </c>
      <c r="F79" s="79">
        <f t="shared" ca="1" si="14"/>
        <v>0</v>
      </c>
    </row>
    <row r="80" spans="2:6" ht="16" x14ac:dyDescent="0.2">
      <c r="B80" s="39"/>
      <c r="C80" s="40"/>
      <c r="D80" s="40"/>
      <c r="E80" s="38"/>
      <c r="F80" s="76"/>
    </row>
    <row r="81" spans="2:6" ht="16" x14ac:dyDescent="0.2">
      <c r="B81" s="67" t="str">
        <f>Forecast!B98</f>
        <v>Imposte Italia</v>
      </c>
      <c r="C81" s="68">
        <f ca="1">Forecast!Q98</f>
        <v>3180.7800000000007</v>
      </c>
      <c r="D81" s="68">
        <f>Forecast!T98</f>
        <v>2000</v>
      </c>
      <c r="E81" s="68">
        <f t="shared" ref="E81:E89" ca="1" si="15">D81-C81</f>
        <v>-1180.7800000000007</v>
      </c>
      <c r="F81" s="80">
        <f ca="1">IF(ISERROR(C81/D81),0,C81/D81)</f>
        <v>1.5903900000000004</v>
      </c>
    </row>
    <row r="82" spans="2:6" ht="16" x14ac:dyDescent="0.2">
      <c r="B82" s="39" t="str">
        <f>Forecast!B99</f>
        <v>Imposte Italia</v>
      </c>
      <c r="C82" s="40">
        <f ca="1">Forecast!Q99</f>
        <v>880.74</v>
      </c>
      <c r="D82" s="40">
        <f>Forecast!T99</f>
        <v>0</v>
      </c>
      <c r="E82" s="38">
        <f t="shared" ca="1" si="15"/>
        <v>-880.74</v>
      </c>
      <c r="F82" s="79">
        <f t="shared" ref="F82:F84" ca="1" si="16">IF(ISERROR(C82/D82),0,C82/D82)</f>
        <v>0</v>
      </c>
    </row>
    <row r="83" spans="2:6" ht="16" x14ac:dyDescent="0.2">
      <c r="B83" s="39" t="str">
        <f>Forecast!B100</f>
        <v>Imposta di Bollo Titoli e CC</v>
      </c>
      <c r="C83" s="40">
        <f ca="1">Forecast!Q100</f>
        <v>2300.0400000000004</v>
      </c>
      <c r="D83" s="40">
        <f>Forecast!T100</f>
        <v>2000</v>
      </c>
      <c r="E83" s="38">
        <f t="shared" ca="1" si="15"/>
        <v>-300.04000000000042</v>
      </c>
      <c r="F83" s="79">
        <f t="shared" ca="1" si="16"/>
        <v>1.1500200000000003</v>
      </c>
    </row>
    <row r="84" spans="2:6" ht="16" x14ac:dyDescent="0.2">
      <c r="B84" s="39" t="str">
        <f>Forecast!B101</f>
        <v>Commercialista Italia</v>
      </c>
      <c r="C84" s="40">
        <f ca="1">Forecast!Q101</f>
        <v>0</v>
      </c>
      <c r="D84" s="40">
        <f>Forecast!T101</f>
        <v>0</v>
      </c>
      <c r="E84" s="38">
        <f t="shared" ca="1" si="15"/>
        <v>0</v>
      </c>
      <c r="F84" s="79">
        <f t="shared" ca="1" si="16"/>
        <v>0</v>
      </c>
    </row>
    <row r="85" spans="2:6" ht="16" x14ac:dyDescent="0.2">
      <c r="B85" s="34"/>
      <c r="C85" s="40"/>
      <c r="D85" s="40"/>
      <c r="E85" s="38">
        <f t="shared" si="15"/>
        <v>0</v>
      </c>
      <c r="F85" s="75"/>
    </row>
    <row r="86" spans="2:6" ht="16" x14ac:dyDescent="0.2">
      <c r="B86" s="67" t="str">
        <f>Forecast!B103</f>
        <v>Commissioni Bancarie</v>
      </c>
      <c r="C86" s="68">
        <f ca="1">Forecast!Q103</f>
        <v>6097.9899999999989</v>
      </c>
      <c r="D86" s="68">
        <f>Forecast!T103</f>
        <v>5560</v>
      </c>
      <c r="E86" s="68">
        <f t="shared" ca="1" si="15"/>
        <v>-537.98999999999887</v>
      </c>
      <c r="F86" s="80">
        <f ca="1">IF(ISERROR(C86/D86),0,C86/D86)</f>
        <v>1.0967607913669062</v>
      </c>
    </row>
    <row r="87" spans="2:6" ht="16" x14ac:dyDescent="0.2">
      <c r="B87" s="110" t="str">
        <f>Forecast!B104</f>
        <v>Commissioni Amex</v>
      </c>
      <c r="C87" s="40">
        <f ca="1">Forecast!Q104</f>
        <v>12.500000000000002</v>
      </c>
      <c r="D87" s="40">
        <f>Forecast!T104</f>
        <v>25</v>
      </c>
      <c r="E87" s="38">
        <f t="shared" ca="1" si="15"/>
        <v>12.499999999999998</v>
      </c>
      <c r="F87" s="79">
        <f t="shared" ref="F87:F89" ca="1" si="17">IF(ISERROR(C87/D87),0,C87/D87)</f>
        <v>0.50000000000000011</v>
      </c>
    </row>
    <row r="88" spans="2:6" ht="16" x14ac:dyDescent="0.2">
      <c r="B88" s="110" t="str">
        <f>Forecast!B105</f>
        <v>Commissioni Bancarie su Investimenti</v>
      </c>
      <c r="C88" s="40">
        <f ca="1">Forecast!Q105</f>
        <v>5715.4599999999991</v>
      </c>
      <c r="D88" s="40">
        <f>Forecast!T105</f>
        <v>5500</v>
      </c>
      <c r="E88" s="38">
        <f t="shared" ca="1" si="15"/>
        <v>-215.45999999999913</v>
      </c>
      <c r="F88" s="79">
        <f t="shared" ca="1" si="17"/>
        <v>1.0391745454545454</v>
      </c>
    </row>
    <row r="89" spans="2:6" ht="16" x14ac:dyDescent="0.2">
      <c r="B89" s="110" t="str">
        <f>Forecast!B106</f>
        <v>Altre Commissioni Bancarie</v>
      </c>
      <c r="C89" s="40">
        <f ca="1">Forecast!Q106</f>
        <v>370.03</v>
      </c>
      <c r="D89" s="40">
        <f>Forecast!T106</f>
        <v>35</v>
      </c>
      <c r="E89" s="38">
        <f t="shared" ca="1" si="15"/>
        <v>-335.03</v>
      </c>
      <c r="F89" s="79">
        <f t="shared" ca="1" si="17"/>
        <v>10.572285714285714</v>
      </c>
    </row>
    <row r="90" spans="2:6" ht="16" x14ac:dyDescent="0.2">
      <c r="B90" s="39"/>
      <c r="C90" s="40"/>
      <c r="D90" s="40"/>
      <c r="E90" s="38"/>
      <c r="F90" s="76"/>
    </row>
    <row r="91" spans="2:6" ht="16" x14ac:dyDescent="0.2">
      <c r="B91" s="67" t="str">
        <f>Forecast!B108</f>
        <v>Altre Spese</v>
      </c>
      <c r="C91" s="68">
        <f ca="1">Forecast!Q108</f>
        <v>10181.606666666665</v>
      </c>
      <c r="D91" s="68">
        <f>Forecast!T108</f>
        <v>8820</v>
      </c>
      <c r="E91" s="68">
        <f t="shared" ref="E91:E98" ca="1" si="18">D91-C91</f>
        <v>-1361.6066666666648</v>
      </c>
      <c r="F91" s="80">
        <f ca="1">IF(ISERROR(C91/D91),0,C91/D91)</f>
        <v>1.1543771730914585</v>
      </c>
    </row>
    <row r="92" spans="2:6" ht="16" x14ac:dyDescent="0.2">
      <c r="B92" s="39" t="str">
        <f>Forecast!B109</f>
        <v>Animali domestici</v>
      </c>
      <c r="C92" s="40">
        <f ca="1">Forecast!Q109</f>
        <v>3047.3999999999996</v>
      </c>
      <c r="D92" s="40">
        <f>Forecast!T109</f>
        <v>3000</v>
      </c>
      <c r="E92" s="38">
        <f t="shared" ca="1" si="18"/>
        <v>-47.399999999999636</v>
      </c>
      <c r="F92" s="79">
        <f ca="1">IF(ISERROR(C92/D92),0,C92/D92)</f>
        <v>1.0157999999999998</v>
      </c>
    </row>
    <row r="93" spans="2:6" ht="16" x14ac:dyDescent="0.2">
      <c r="B93" s="39" t="str">
        <f>Forecast!B110</f>
        <v>Eventi musicali - Teatro - Musei</v>
      </c>
      <c r="C93" s="40">
        <f ca="1">Forecast!Q110</f>
        <v>623.70000000000005</v>
      </c>
      <c r="D93" s="40">
        <f>Forecast!T110</f>
        <v>500</v>
      </c>
      <c r="E93" s="38">
        <f t="shared" ca="1" si="18"/>
        <v>-123.70000000000005</v>
      </c>
      <c r="F93" s="79">
        <f t="shared" ref="F93:F98" ca="1" si="19">IF(ISERROR(C93/D93),0,C93/D93)</f>
        <v>1.2474000000000001</v>
      </c>
    </row>
    <row r="94" spans="2:6" ht="16" x14ac:dyDescent="0.2">
      <c r="B94" s="39" t="str">
        <f>Forecast!B111</f>
        <v>Rientri a Bologna - Trasporti</v>
      </c>
      <c r="C94" s="40">
        <f ca="1">Forecast!Q111</f>
        <v>548.95000000000005</v>
      </c>
      <c r="D94" s="40">
        <f>Forecast!T111</f>
        <v>300</v>
      </c>
      <c r="E94" s="38">
        <f t="shared" ca="1" si="18"/>
        <v>-248.95000000000005</v>
      </c>
      <c r="F94" s="79">
        <f t="shared" ca="1" si="19"/>
        <v>1.8298333333333334</v>
      </c>
    </row>
    <row r="95" spans="2:6" ht="16" x14ac:dyDescent="0.2">
      <c r="B95" s="39" t="str">
        <f>Forecast!B112</f>
        <v>Mutuo Riccione</v>
      </c>
      <c r="C95" s="40">
        <f ca="1">Forecast!Q112</f>
        <v>4102.2666666666673</v>
      </c>
      <c r="D95" s="40">
        <f>Forecast!T112</f>
        <v>4300</v>
      </c>
      <c r="E95" s="38">
        <f t="shared" ca="1" si="18"/>
        <v>197.73333333333267</v>
      </c>
      <c r="F95" s="79">
        <f t="shared" ca="1" si="19"/>
        <v>0.95401550387596912</v>
      </c>
    </row>
    <row r="96" spans="2:6" ht="16" x14ac:dyDescent="0.2">
      <c r="B96" s="39" t="str">
        <f>Forecast!B113</f>
        <v>Spese Amministrative - Passaporti - SPID</v>
      </c>
      <c r="C96" s="40">
        <f ca="1">Forecast!Q113</f>
        <v>852.80000000000007</v>
      </c>
      <c r="D96" s="40">
        <f>Forecast!T113</f>
        <v>320</v>
      </c>
      <c r="E96" s="38">
        <f t="shared" ca="1" si="18"/>
        <v>-532.80000000000007</v>
      </c>
      <c r="F96" s="79">
        <f t="shared" ca="1" si="19"/>
        <v>2.665</v>
      </c>
    </row>
    <row r="97" spans="2:6" ht="16" x14ac:dyDescent="0.2">
      <c r="B97" s="39" t="str">
        <f>Forecast!B114</f>
        <v>Altre spese Italia</v>
      </c>
      <c r="C97" s="40">
        <f ca="1">Forecast!Q114</f>
        <v>857.17000000000019</v>
      </c>
      <c r="D97" s="40">
        <f>Forecast!T114</f>
        <v>200</v>
      </c>
      <c r="E97" s="38">
        <f t="shared" ca="1" si="18"/>
        <v>-657.17000000000019</v>
      </c>
      <c r="F97" s="79">
        <f t="shared" ca="1" si="19"/>
        <v>4.2858500000000008</v>
      </c>
    </row>
    <row r="98" spans="2:6" ht="16" x14ac:dyDescent="0.2">
      <c r="B98" s="39" t="str">
        <f>Forecast!B115</f>
        <v>Altre spese Spagna</v>
      </c>
      <c r="C98" s="40">
        <f ca="1">Forecast!Q115</f>
        <v>149.32</v>
      </c>
      <c r="D98" s="40">
        <f>Forecast!T115</f>
        <v>200</v>
      </c>
      <c r="E98" s="38">
        <f t="shared" ca="1" si="18"/>
        <v>50.680000000000007</v>
      </c>
      <c r="F98" s="79">
        <f t="shared" ca="1" si="19"/>
        <v>0.74659999999999993</v>
      </c>
    </row>
  </sheetData>
  <mergeCells count="1">
    <mergeCell ref="B2:C2"/>
  </mergeCells>
  <conditionalFormatting sqref="E5:E98">
    <cfRule type="dataBar" priority="608">
      <dataBar showValue="0">
        <cfvo type="min"/>
        <cfvo type="max"/>
        <color rgb="FF00B050"/>
      </dataBar>
      <extLst>
        <ext xmlns:x14="http://schemas.microsoft.com/office/spreadsheetml/2009/9/main" uri="{B025F937-C7B1-47D3-B67F-A62EFF666E3E}">
          <x14:id>{66D7A569-129D-D448-9E66-17A2C4F3BBFB}</x14:id>
        </ext>
      </extLst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D7A569-129D-D448-9E66-17A2C4F3BBFB}">
            <x14:dataBar minLength="0" maxLength="100" axisPosition="middle">
              <x14:cfvo type="autoMin"/>
              <x14:cfvo type="autoMax"/>
              <x14:negativeFillColor rgb="FFFF0000"/>
              <x14:axisColor rgb="FF000000"/>
            </x14:dataBar>
          </x14:cfRule>
          <xm:sqref>E5:E98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900B0-7ACF-B745-B2D8-89606B10347C}">
  <sheetPr codeName="Foglio6">
    <tabColor theme="4" tint="-0.249977111117893"/>
  </sheetPr>
  <dimension ref="A1:Q22"/>
  <sheetViews>
    <sheetView showGridLines="0" zoomScale="119" zoomScaleNormal="120" workbookViewId="0">
      <selection activeCell="K21" sqref="K21"/>
    </sheetView>
  </sheetViews>
  <sheetFormatPr baseColWidth="10" defaultColWidth="11" defaultRowHeight="16" outlineLevelCol="1" x14ac:dyDescent="0.2"/>
  <cols>
    <col min="1" max="1" width="5.19921875" style="13" customWidth="1"/>
    <col min="2" max="2" width="25.59765625" style="13" bestFit="1" customWidth="1"/>
    <col min="3" max="3" width="32.19921875" style="13" customWidth="1"/>
    <col min="4" max="4" width="17.796875" style="13" customWidth="1"/>
    <col min="5" max="6" width="18.3984375" style="13" hidden="1" customWidth="1" outlineLevel="1"/>
    <col min="7" max="7" width="17.59765625" style="13" hidden="1" customWidth="1" outlineLevel="1"/>
    <col min="8" max="8" width="17.19921875" style="13" hidden="1" customWidth="1" outlineLevel="1"/>
    <col min="9" max="9" width="17" style="13" hidden="1" customWidth="1" outlineLevel="1"/>
    <col min="10" max="10" width="17" style="13" customWidth="1" collapsed="1"/>
    <col min="11" max="18" width="17" style="13" customWidth="1"/>
    <col min="19" max="16384" width="11" style="13"/>
  </cols>
  <sheetData>
    <row r="1" spans="1:17" ht="16" customHeight="1" x14ac:dyDescent="0.2">
      <c r="B1" s="303"/>
      <c r="C1" s="333">
        <f ca="1">TODAY()</f>
        <v>46216</v>
      </c>
      <c r="D1" s="71" t="s">
        <v>93</v>
      </c>
    </row>
    <row r="2" spans="1:17" ht="34" customHeight="1" x14ac:dyDescent="0.2">
      <c r="A2" s="469" t="s">
        <v>116</v>
      </c>
      <c r="B2" s="504"/>
      <c r="C2" s="116" t="s">
        <v>22</v>
      </c>
      <c r="D2" s="117" t="s">
        <v>134</v>
      </c>
      <c r="E2" s="117" t="s">
        <v>518</v>
      </c>
      <c r="F2" s="116" t="s">
        <v>519</v>
      </c>
      <c r="G2" s="116" t="s">
        <v>520</v>
      </c>
      <c r="H2" s="116" t="s">
        <v>521</v>
      </c>
      <c r="I2" s="116" t="s">
        <v>522</v>
      </c>
      <c r="J2" s="116" t="s">
        <v>523</v>
      </c>
      <c r="K2" s="116" t="s">
        <v>937</v>
      </c>
      <c r="L2" s="116" t="s">
        <v>524</v>
      </c>
      <c r="M2" s="116" t="s">
        <v>525</v>
      </c>
      <c r="N2" s="116" t="s">
        <v>526</v>
      </c>
      <c r="O2" s="116" t="s">
        <v>527</v>
      </c>
      <c r="P2" s="116" t="s">
        <v>528</v>
      </c>
      <c r="Q2" s="116" t="s">
        <v>529</v>
      </c>
    </row>
    <row r="3" spans="1:17" ht="17" x14ac:dyDescent="0.2">
      <c r="A3" s="470"/>
      <c r="B3" s="505"/>
      <c r="C3" s="471" t="s">
        <v>383</v>
      </c>
      <c r="D3" s="116" t="s">
        <v>383</v>
      </c>
      <c r="E3" s="116" t="s">
        <v>383</v>
      </c>
      <c r="F3" s="116" t="s">
        <v>383</v>
      </c>
      <c r="G3" s="116" t="s">
        <v>383</v>
      </c>
      <c r="H3" s="116" t="s">
        <v>383</v>
      </c>
      <c r="I3" s="116" t="s">
        <v>383</v>
      </c>
      <c r="J3" s="116" t="s">
        <v>383</v>
      </c>
      <c r="K3" s="116" t="s">
        <v>383</v>
      </c>
      <c r="L3" s="116" t="s">
        <v>383</v>
      </c>
      <c r="M3" s="116" t="s">
        <v>383</v>
      </c>
      <c r="N3" s="116" t="s">
        <v>383</v>
      </c>
      <c r="O3" s="116" t="s">
        <v>383</v>
      </c>
      <c r="P3" s="116" t="s">
        <v>383</v>
      </c>
      <c r="Q3" s="116" t="s">
        <v>383</v>
      </c>
    </row>
    <row r="4" spans="1:17" x14ac:dyDescent="0.2">
      <c r="A4" s="470"/>
      <c r="B4" s="468"/>
      <c r="C4" s="69" t="s">
        <v>388</v>
      </c>
      <c r="D4" s="503">
        <f>'Budget 27-66'!C160</f>
        <v>0.02</v>
      </c>
      <c r="E4" s="70">
        <f t="shared" ref="E4:K4" si="0">IFERROR(($D$9-E9)/E9,0)</f>
        <v>0</v>
      </c>
      <c r="F4" s="70">
        <f t="shared" si="0"/>
        <v>0</v>
      </c>
      <c r="G4" s="70">
        <f t="shared" si="0"/>
        <v>0</v>
      </c>
      <c r="H4" s="70">
        <f t="shared" si="0"/>
        <v>0</v>
      </c>
      <c r="I4" s="70">
        <f t="shared" si="0"/>
        <v>0</v>
      </c>
      <c r="J4" s="70">
        <f t="shared" si="0"/>
        <v>0</v>
      </c>
      <c r="K4" s="70">
        <f t="shared" si="0"/>
        <v>0</v>
      </c>
      <c r="L4" s="70">
        <f>IFERROR(($D$9-L9)/L9,0)</f>
        <v>4.2395457196257418E-2</v>
      </c>
      <c r="M4" s="70">
        <f t="shared" ref="M4:Q4" si="1">IFERROR(($D$9-M9)/M9,0)</f>
        <v>0.34605661081520939</v>
      </c>
      <c r="N4" s="70">
        <f t="shared" si="1"/>
        <v>0.64789087861563266</v>
      </c>
      <c r="O4" s="70">
        <f t="shared" si="1"/>
        <v>0.27806351758499537</v>
      </c>
      <c r="P4" s="70">
        <f t="shared" si="1"/>
        <v>0.36655613239699236</v>
      </c>
      <c r="Q4" s="70">
        <f t="shared" si="1"/>
        <v>0.42357567979366506</v>
      </c>
    </row>
    <row r="5" spans="1:17" x14ac:dyDescent="0.2">
      <c r="A5" s="470"/>
      <c r="B5" s="468"/>
      <c r="C5" s="69" t="s">
        <v>387</v>
      </c>
      <c r="D5" s="503"/>
      <c r="E5" s="70">
        <f t="shared" ref="E5:K5" si="2">IFERROR(($D$10-E10)/E10,0)</f>
        <v>0</v>
      </c>
      <c r="F5" s="70">
        <f t="shared" si="2"/>
        <v>0</v>
      </c>
      <c r="G5" s="70">
        <f t="shared" si="2"/>
        <v>0</v>
      </c>
      <c r="H5" s="70">
        <f t="shared" si="2"/>
        <v>0</v>
      </c>
      <c r="I5" s="70">
        <f t="shared" si="2"/>
        <v>0</v>
      </c>
      <c r="J5" s="70">
        <f t="shared" si="2"/>
        <v>0</v>
      </c>
      <c r="K5" s="70">
        <f t="shared" si="2"/>
        <v>0</v>
      </c>
      <c r="L5" s="70">
        <f>IFERROR(($D$10-L10)/L10,0)</f>
        <v>6.8959098411471423E-2</v>
      </c>
      <c r="M5" s="70">
        <f t="shared" ref="M5:Q5" si="3">IFERROR(($D$10-M10)/M10,0)</f>
        <v>0.35828890598189889</v>
      </c>
      <c r="N5" s="70">
        <f t="shared" si="3"/>
        <v>0.92567483346146684</v>
      </c>
      <c r="O5" s="70">
        <f t="shared" si="3"/>
        <v>0.5117517870612408</v>
      </c>
      <c r="P5" s="70">
        <f t="shared" si="3"/>
        <v>0.60012717773966084</v>
      </c>
      <c r="Q5" s="70">
        <f t="shared" si="3"/>
        <v>0.63204668507345685</v>
      </c>
    </row>
    <row r="6" spans="1:17" x14ac:dyDescent="0.2">
      <c r="A6" s="470"/>
      <c r="B6" s="468"/>
      <c r="C6" s="69" t="s">
        <v>616</v>
      </c>
      <c r="D6" s="503"/>
      <c r="E6" s="70">
        <f t="shared" ref="E6:K6" si="4">IFERROR(($D$11-E11)/E11,0)</f>
        <v>0</v>
      </c>
      <c r="F6" s="70">
        <f t="shared" si="4"/>
        <v>0</v>
      </c>
      <c r="G6" s="70">
        <f t="shared" si="4"/>
        <v>0</v>
      </c>
      <c r="H6" s="70">
        <f t="shared" si="4"/>
        <v>0</v>
      </c>
      <c r="I6" s="70">
        <f t="shared" si="4"/>
        <v>0</v>
      </c>
      <c r="J6" s="70">
        <f t="shared" si="4"/>
        <v>0</v>
      </c>
      <c r="K6" s="70">
        <f t="shared" si="4"/>
        <v>0</v>
      </c>
      <c r="L6" s="70">
        <f>IFERROR(($D$11-L11)/L11,0)</f>
        <v>1.6475701431553143E-2</v>
      </c>
      <c r="M6" s="70">
        <f t="shared" ref="M6:Q6" si="5">IFERROR(($D$11-M11)/M11,0)</f>
        <v>8.0191753928388523E-2</v>
      </c>
      <c r="N6" s="70">
        <f t="shared" si="5"/>
        <v>0.21483921877701431</v>
      </c>
      <c r="O6" s="70">
        <f t="shared" si="5"/>
        <v>8.8828253430439097E-2</v>
      </c>
      <c r="P6" s="70">
        <f t="shared" si="5"/>
        <v>0.10269628148985925</v>
      </c>
      <c r="Q6" s="70">
        <f t="shared" si="5"/>
        <v>0.14120829068948795</v>
      </c>
    </row>
    <row r="7" spans="1:17" x14ac:dyDescent="0.2">
      <c r="A7" s="470"/>
      <c r="B7" s="468"/>
      <c r="C7" s="69" t="s">
        <v>919</v>
      </c>
      <c r="D7" s="503"/>
      <c r="E7" s="70">
        <f t="shared" ref="E7:K7" si="6">IFERROR(($D$12-E12)/E12,0)</f>
        <v>0</v>
      </c>
      <c r="F7" s="70">
        <f t="shared" si="6"/>
        <v>0</v>
      </c>
      <c r="G7" s="70">
        <f t="shared" si="6"/>
        <v>0</v>
      </c>
      <c r="H7" s="70">
        <f t="shared" si="6"/>
        <v>0</v>
      </c>
      <c r="I7" s="70">
        <f t="shared" si="6"/>
        <v>0</v>
      </c>
      <c r="J7" s="70">
        <f t="shared" si="6"/>
        <v>0</v>
      </c>
      <c r="K7" s="70">
        <f t="shared" si="6"/>
        <v>0</v>
      </c>
      <c r="L7" s="70">
        <f>IFERROR(($D$12-L12)/L12,0)</f>
        <v>2.8882023318582255</v>
      </c>
      <c r="M7" s="70">
        <f t="shared" ref="M7:Q7" si="7">IFERROR(($D$12-M12)/M12,0)</f>
        <v>0</v>
      </c>
      <c r="N7" s="70">
        <f t="shared" si="7"/>
        <v>0</v>
      </c>
      <c r="O7" s="70">
        <f t="shared" si="7"/>
        <v>0</v>
      </c>
      <c r="P7" s="70">
        <f t="shared" si="7"/>
        <v>0</v>
      </c>
      <c r="Q7" s="70">
        <f t="shared" si="7"/>
        <v>0</v>
      </c>
    </row>
    <row r="8" spans="1:17" ht="17" customHeight="1" x14ac:dyDescent="0.2">
      <c r="A8" s="470"/>
      <c r="B8" s="468"/>
      <c r="C8" s="71" t="s">
        <v>385</v>
      </c>
      <c r="D8" s="474">
        <v>46205</v>
      </c>
      <c r="E8" s="71">
        <v>46189</v>
      </c>
      <c r="F8" s="71" t="s">
        <v>384</v>
      </c>
      <c r="G8" s="71" t="s">
        <v>384</v>
      </c>
      <c r="H8" s="71" t="s">
        <v>384</v>
      </c>
      <c r="I8" s="71" t="s">
        <v>384</v>
      </c>
      <c r="J8" s="71" t="s">
        <v>384</v>
      </c>
      <c r="K8" s="71" t="s">
        <v>384</v>
      </c>
      <c r="L8" s="71" t="s">
        <v>384</v>
      </c>
      <c r="M8" s="71" t="s">
        <v>384</v>
      </c>
      <c r="N8" s="71" t="s">
        <v>384</v>
      </c>
      <c r="O8" s="71" t="s">
        <v>384</v>
      </c>
      <c r="P8" s="71" t="s">
        <v>384</v>
      </c>
      <c r="Q8" s="71" t="s">
        <v>384</v>
      </c>
    </row>
    <row r="9" spans="1:17" x14ac:dyDescent="0.2">
      <c r="A9" s="470"/>
      <c r="B9" s="468"/>
      <c r="C9" s="69" t="s">
        <v>388</v>
      </c>
      <c r="D9" s="428">
        <v>101205.07</v>
      </c>
      <c r="E9" s="346"/>
      <c r="F9" s="118"/>
      <c r="G9" s="118"/>
      <c r="H9" s="118"/>
      <c r="I9" s="118"/>
      <c r="J9" s="118"/>
      <c r="K9" s="118">
        <v>101205.07</v>
      </c>
      <c r="L9" s="118">
        <v>97088.94</v>
      </c>
      <c r="M9" s="118">
        <v>75186.34</v>
      </c>
      <c r="N9" s="118">
        <v>61414.91</v>
      </c>
      <c r="O9" s="334">
        <v>79186.259999999995</v>
      </c>
      <c r="P9" s="346">
        <v>74058.48</v>
      </c>
      <c r="Q9" s="346">
        <v>71092.160000000003</v>
      </c>
    </row>
    <row r="10" spans="1:17" x14ac:dyDescent="0.2">
      <c r="A10" s="470"/>
      <c r="B10" s="468"/>
      <c r="C10" s="69" t="s">
        <v>387</v>
      </c>
      <c r="D10" s="428">
        <v>299245.96000000002</v>
      </c>
      <c r="E10" s="346"/>
      <c r="F10" s="118"/>
      <c r="G10" s="118"/>
      <c r="H10" s="118"/>
      <c r="I10" s="118"/>
      <c r="J10" s="118"/>
      <c r="K10" s="118">
        <v>299245.96000000002</v>
      </c>
      <c r="L10" s="118">
        <v>279941.45</v>
      </c>
      <c r="M10" s="118">
        <v>220310.98</v>
      </c>
      <c r="N10" s="118">
        <v>155397.97</v>
      </c>
      <c r="O10" s="118">
        <v>197946.49</v>
      </c>
      <c r="P10" s="346">
        <v>187013.86</v>
      </c>
      <c r="Q10" s="346">
        <v>183356.25</v>
      </c>
    </row>
    <row r="11" spans="1:17" x14ac:dyDescent="0.2">
      <c r="A11" s="470"/>
      <c r="B11" s="468"/>
      <c r="C11" s="69" t="s">
        <v>616</v>
      </c>
      <c r="D11" s="428">
        <v>12577.850000000006</v>
      </c>
      <c r="E11" s="346"/>
      <c r="F11" s="118"/>
      <c r="G11" s="118"/>
      <c r="H11" s="118"/>
      <c r="I11" s="118"/>
      <c r="J11" s="118"/>
      <c r="K11" s="118">
        <f>72577.85-60000</f>
        <v>12577.850000000006</v>
      </c>
      <c r="L11" s="118">
        <v>12373.979999999996</v>
      </c>
      <c r="M11" s="118">
        <v>11644.089999999997</v>
      </c>
      <c r="N11" s="118">
        <v>10353.51</v>
      </c>
      <c r="O11" s="334">
        <v>11551.73</v>
      </c>
      <c r="P11" s="346">
        <v>11406.45</v>
      </c>
      <c r="Q11" s="346">
        <v>11021.52</v>
      </c>
    </row>
    <row r="12" spans="1:17" x14ac:dyDescent="0.2">
      <c r="A12" s="470"/>
      <c r="B12" s="468"/>
      <c r="C12" s="69" t="s">
        <v>919</v>
      </c>
      <c r="D12" s="428">
        <f>2837.96</f>
        <v>2837.96</v>
      </c>
      <c r="E12" s="345"/>
      <c r="F12" s="345"/>
      <c r="G12" s="345"/>
      <c r="H12" s="345"/>
      <c r="I12" s="345"/>
      <c r="J12" s="345"/>
      <c r="K12" s="118">
        <v>2837.96</v>
      </c>
      <c r="L12" s="118">
        <v>729.89</v>
      </c>
      <c r="M12" s="118">
        <v>0</v>
      </c>
      <c r="N12" s="118"/>
      <c r="O12" s="118"/>
      <c r="P12" s="118"/>
      <c r="Q12" s="118"/>
    </row>
    <row r="13" spans="1:17" ht="4" customHeight="1" x14ac:dyDescent="0.2">
      <c r="A13" s="470"/>
      <c r="B13" s="468"/>
      <c r="C13" s="431"/>
      <c r="D13" s="432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</row>
    <row r="14" spans="1:17" x14ac:dyDescent="0.2">
      <c r="A14" s="470"/>
      <c r="B14" s="468"/>
      <c r="C14" s="69" t="s">
        <v>389</v>
      </c>
      <c r="D14" s="429">
        <f t="shared" ref="D14:Q14" si="8">SUM(D9:D12)*0.26</f>
        <v>108125.37840000002</v>
      </c>
      <c r="E14" s="118">
        <f t="shared" si="8"/>
        <v>0</v>
      </c>
      <c r="F14" s="118">
        <f t="shared" si="8"/>
        <v>0</v>
      </c>
      <c r="G14" s="118">
        <f t="shared" si="8"/>
        <v>0</v>
      </c>
      <c r="H14" s="118">
        <f t="shared" si="8"/>
        <v>0</v>
      </c>
      <c r="I14" s="118">
        <f t="shared" si="8"/>
        <v>0</v>
      </c>
      <c r="J14" s="118">
        <f t="shared" si="8"/>
        <v>0</v>
      </c>
      <c r="K14" s="118">
        <f t="shared" si="8"/>
        <v>108125.37840000002</v>
      </c>
      <c r="L14" s="118">
        <f t="shared" si="8"/>
        <v>101434.90760000001</v>
      </c>
      <c r="M14" s="118">
        <f t="shared" si="8"/>
        <v>79856.766600000017</v>
      </c>
      <c r="N14" s="118">
        <f t="shared" si="8"/>
        <v>59063.261400000003</v>
      </c>
      <c r="O14" s="118">
        <f t="shared" si="8"/>
        <v>75057.964800000002</v>
      </c>
      <c r="P14" s="118">
        <f t="shared" si="8"/>
        <v>70844.48539999999</v>
      </c>
      <c r="Q14" s="118">
        <f t="shared" si="8"/>
        <v>69022.181800000006</v>
      </c>
    </row>
    <row r="15" spans="1:17" x14ac:dyDescent="0.2">
      <c r="B15" s="506" t="s">
        <v>974</v>
      </c>
      <c r="C15" s="507"/>
      <c r="D15" s="433">
        <f t="shared" ref="D15:Q15" si="9">SUM(D9:D12)</f>
        <v>415866.84</v>
      </c>
      <c r="E15" s="89">
        <f t="shared" si="9"/>
        <v>0</v>
      </c>
      <c r="F15" s="89">
        <f t="shared" si="9"/>
        <v>0</v>
      </c>
      <c r="G15" s="89">
        <f t="shared" si="9"/>
        <v>0</v>
      </c>
      <c r="H15" s="89">
        <f t="shared" si="9"/>
        <v>0</v>
      </c>
      <c r="I15" s="89">
        <f t="shared" si="9"/>
        <v>0</v>
      </c>
      <c r="J15" s="89">
        <f t="shared" si="9"/>
        <v>0</v>
      </c>
      <c r="K15" s="89">
        <f t="shared" si="9"/>
        <v>415866.84</v>
      </c>
      <c r="L15" s="89">
        <f t="shared" si="9"/>
        <v>390134.26</v>
      </c>
      <c r="M15" s="89">
        <f t="shared" si="9"/>
        <v>307141.41000000003</v>
      </c>
      <c r="N15" s="89">
        <f t="shared" si="9"/>
        <v>227166.39</v>
      </c>
      <c r="O15" s="89">
        <f t="shared" si="9"/>
        <v>288684.48</v>
      </c>
      <c r="P15" s="89">
        <f t="shared" si="9"/>
        <v>272478.78999999998</v>
      </c>
      <c r="Q15" s="89">
        <f t="shared" si="9"/>
        <v>265469.93</v>
      </c>
    </row>
    <row r="16" spans="1:17" x14ac:dyDescent="0.2">
      <c r="B16" s="508" t="s">
        <v>386</v>
      </c>
      <c r="C16" s="507"/>
      <c r="D16" s="92"/>
      <c r="E16" s="344">
        <f t="shared" ref="E16:J16" si="10">IFERROR((TotInv-E15)/E15,0)</f>
        <v>0</v>
      </c>
      <c r="F16" s="344">
        <f t="shared" si="10"/>
        <v>0</v>
      </c>
      <c r="G16" s="344">
        <f t="shared" si="10"/>
        <v>0</v>
      </c>
      <c r="H16" s="344">
        <f t="shared" si="10"/>
        <v>0</v>
      </c>
      <c r="I16" s="344">
        <f t="shared" si="10"/>
        <v>0</v>
      </c>
      <c r="J16" s="344">
        <f t="shared" si="10"/>
        <v>0</v>
      </c>
      <c r="K16" s="344">
        <f t="shared" ref="K16:Q16" si="11">IFERROR((TotInv-K15)/K15,0)</f>
        <v>0</v>
      </c>
      <c r="L16" s="344">
        <f t="shared" si="11"/>
        <v>6.5958267802473991E-2</v>
      </c>
      <c r="M16" s="344">
        <f t="shared" si="11"/>
        <v>0.35399143996897059</v>
      </c>
      <c r="N16" s="344">
        <f t="shared" si="11"/>
        <v>0.83067063750055636</v>
      </c>
      <c r="O16" s="344">
        <f t="shared" si="11"/>
        <v>0.44055835630651169</v>
      </c>
      <c r="P16" s="344">
        <f t="shared" si="11"/>
        <v>0.52623563837757814</v>
      </c>
      <c r="Q16" s="344">
        <f t="shared" si="11"/>
        <v>0.5665308684866871</v>
      </c>
    </row>
    <row r="17" spans="2:17" ht="4" customHeight="1" x14ac:dyDescent="0.2">
      <c r="D17" s="83"/>
    </row>
    <row r="18" spans="2:17" x14ac:dyDescent="0.2">
      <c r="B18" s="502" t="s">
        <v>530</v>
      </c>
      <c r="C18" s="502"/>
      <c r="D18" s="430">
        <f>'Conto Economico'!D6</f>
        <v>1498703.49</v>
      </c>
      <c r="P18" s="123"/>
      <c r="Q18" s="123"/>
    </row>
    <row r="19" spans="2:17" x14ac:dyDescent="0.2">
      <c r="B19" s="502" t="s">
        <v>882</v>
      </c>
      <c r="C19" s="502"/>
      <c r="D19" s="430">
        <f>D18*D4</f>
        <v>29974.069800000001</v>
      </c>
      <c r="E19" s="87"/>
      <c r="F19" s="87"/>
      <c r="G19" s="87"/>
      <c r="H19" s="87"/>
      <c r="I19" s="87"/>
    </row>
    <row r="20" spans="2:17" x14ac:dyDescent="0.2">
      <c r="B20" s="502" t="s">
        <v>531</v>
      </c>
      <c r="C20" s="502"/>
      <c r="D20" s="430">
        <f>D19-(Advice+Plus+IBKR+PoPlus-Q9-Q10-Q11-Q12)</f>
        <v>-120422.84020000006</v>
      </c>
      <c r="E20" s="317"/>
      <c r="F20" s="317"/>
      <c r="G20" s="317"/>
      <c r="H20" s="317"/>
      <c r="I20" s="317"/>
      <c r="J20" s="317"/>
      <c r="K20" s="380"/>
      <c r="L20" s="380"/>
    </row>
    <row r="21" spans="2:17" x14ac:dyDescent="0.2">
      <c r="B21" s="502" t="s">
        <v>825</v>
      </c>
      <c r="C21" s="502"/>
      <c r="D21" s="430">
        <f ca="1">Forecast!Q9-(Advice+Plus+IBKR+PoPlus-Q9-Q10-Q11-Q12)</f>
        <v>-57364.034674355687</v>
      </c>
      <c r="E21" s="317"/>
      <c r="F21" s="317"/>
      <c r="G21" s="317"/>
      <c r="H21" s="317"/>
      <c r="I21" s="317"/>
      <c r="J21" s="317"/>
      <c r="K21" s="380"/>
      <c r="L21" s="380"/>
    </row>
    <row r="22" spans="2:17" x14ac:dyDescent="0.2">
      <c r="B22" s="502" t="s">
        <v>981</v>
      </c>
      <c r="C22" s="502"/>
      <c r="D22" s="472">
        <f>(Advice+Plus+IBKR+PoPlus-Q9-Q10-Q11-Q12)/D18</f>
        <v>0.10035134434764015</v>
      </c>
    </row>
  </sheetData>
  <mergeCells count="9">
    <mergeCell ref="B22:C22"/>
    <mergeCell ref="D4:D7"/>
    <mergeCell ref="B2:B3"/>
    <mergeCell ref="B21:C21"/>
    <mergeCell ref="B15:C15"/>
    <mergeCell ref="B20:C20"/>
    <mergeCell ref="B16:C16"/>
    <mergeCell ref="B19:C19"/>
    <mergeCell ref="B18:C18"/>
  </mergeCells>
  <conditionalFormatting sqref="E4:Q7">
    <cfRule type="cellIs" dxfId="57" priority="4" stopIfTrue="1" operator="lessThan">
      <formula>0</formula>
    </cfRule>
    <cfRule type="cellIs" dxfId="56" priority="5" stopIfTrue="1" operator="between">
      <formula>0</formula>
      <formula>$D$4</formula>
    </cfRule>
    <cfRule type="cellIs" dxfId="55" priority="7" stopIfTrue="1" operator="greaterThanOrEqual">
      <formula>$D$4</formula>
    </cfRule>
  </conditionalFormatting>
  <conditionalFormatting sqref="E16:Q16">
    <cfRule type="cellIs" dxfId="54" priority="1" stopIfTrue="1" operator="lessThan">
      <formula>0</formula>
    </cfRule>
    <cfRule type="cellIs" dxfId="53" priority="2" stopIfTrue="1" operator="between">
      <formula>0</formula>
      <formula>$D$4</formula>
    </cfRule>
    <cfRule type="cellIs" dxfId="52" priority="3" stopIfTrue="1" operator="greaterThanOrEqual">
      <formula>$D$4</formula>
    </cfRule>
  </conditionalFormatting>
  <pageMargins left="0.7" right="0.7" top="0.75" bottom="0.75" header="0.3" footer="0.3"/>
  <pageSetup paperSize="9" orientation="portrait" horizontalDpi="0" verticalDpi="0"/>
  <ignoredErrors>
    <ignoredError sqref="L14:Q14 D14:D15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AggiornaData">
                <anchor moveWithCells="1" sizeWithCells="1">
                  <from>
                    <xdr:col>1</xdr:col>
                    <xdr:colOff>279400</xdr:colOff>
                    <xdr:row>1</xdr:row>
                    <xdr:rowOff>139700</xdr:rowOff>
                  </from>
                  <to>
                    <xdr:col>1</xdr:col>
                    <xdr:colOff>1295400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4B4BD-6A0A-9649-8FCA-6D1DC7E148E3}">
  <sheetPr codeName="Foglio11">
    <tabColor rgb="FF0070C0"/>
  </sheetPr>
  <dimension ref="B1:H89"/>
  <sheetViews>
    <sheetView topLeftCell="A40" zoomScale="130" zoomScaleNormal="130" workbookViewId="0">
      <selection activeCell="D70" sqref="D70"/>
    </sheetView>
  </sheetViews>
  <sheetFormatPr baseColWidth="10" defaultRowHeight="14" x14ac:dyDescent="0.2"/>
  <cols>
    <col min="1" max="1" width="3.59765625" style="131" customWidth="1"/>
    <col min="2" max="2" width="50.3984375" style="131" bestFit="1" customWidth="1"/>
    <col min="3" max="3" width="15.3984375" style="132" customWidth="1"/>
    <col min="4" max="6" width="17.796875" style="131" customWidth="1"/>
    <col min="7" max="7" width="57.19921875" style="131" customWidth="1"/>
    <col min="8" max="8" width="17.796875" style="131" bestFit="1" customWidth="1"/>
    <col min="9" max="16384" width="11" style="131"/>
  </cols>
  <sheetData>
    <row r="1" spans="2:8" s="25" customFormat="1" ht="20" customHeight="1" x14ac:dyDescent="0.2">
      <c r="C1" s="31"/>
    </row>
    <row r="2" spans="2:8" s="27" customFormat="1" ht="29" x14ac:dyDescent="0.2">
      <c r="B2" s="509" t="s">
        <v>153</v>
      </c>
      <c r="C2" s="509"/>
      <c r="D2" s="509"/>
      <c r="E2" s="509"/>
      <c r="F2" s="509"/>
      <c r="G2" s="509"/>
    </row>
    <row r="3" spans="2:8" s="125" customFormat="1" ht="16" x14ac:dyDescent="0.2">
      <c r="C3" s="85"/>
    </row>
    <row r="4" spans="2:8" s="125" customFormat="1" ht="16" x14ac:dyDescent="0.2">
      <c r="B4" s="126" t="s">
        <v>420</v>
      </c>
      <c r="C4" s="85"/>
      <c r="D4" s="128">
        <f>D6+D7</f>
        <v>1163994.1099999999</v>
      </c>
      <c r="E4" s="128"/>
      <c r="F4" s="128"/>
    </row>
    <row r="5" spans="2:8" s="125" customFormat="1" ht="16" x14ac:dyDescent="0.2">
      <c r="B5" s="126" t="s">
        <v>162</v>
      </c>
      <c r="C5" s="85"/>
      <c r="D5" s="128">
        <f>SUM(D6:D8)</f>
        <v>1184195.48</v>
      </c>
      <c r="E5" s="128"/>
      <c r="F5" s="128"/>
    </row>
    <row r="6" spans="2:8" s="125" customFormat="1" ht="16" x14ac:dyDescent="0.2">
      <c r="B6" s="127" t="s">
        <v>254</v>
      </c>
      <c r="C6" s="85"/>
      <c r="D6" s="128">
        <f>D12+D13+D14+D15+D17</f>
        <v>274802.15000000002</v>
      </c>
      <c r="E6" s="128"/>
      <c r="F6" s="128"/>
    </row>
    <row r="7" spans="2:8" s="125" customFormat="1" ht="16" x14ac:dyDescent="0.2">
      <c r="B7" s="127" t="s">
        <v>422</v>
      </c>
      <c r="C7" s="85"/>
      <c r="D7" s="128">
        <f>SUM(D22:D24)+SUM(D30:D40)+SUM(D44:D61)+D16+D18</f>
        <v>889191.96</v>
      </c>
      <c r="E7" s="128"/>
      <c r="F7" s="128"/>
      <c r="H7" s="136"/>
    </row>
    <row r="8" spans="2:8" s="125" customFormat="1" ht="16" x14ac:dyDescent="0.2">
      <c r="B8" s="127" t="s">
        <v>421</v>
      </c>
      <c r="C8" s="85"/>
      <c r="D8" s="128">
        <f>SUM(D66:D86)</f>
        <v>20201.370000000003</v>
      </c>
      <c r="E8" s="128"/>
      <c r="F8" s="128"/>
    </row>
    <row r="9" spans="2:8" s="125" customFormat="1" ht="16" x14ac:dyDescent="0.2">
      <c r="B9" s="127"/>
      <c r="C9" s="85"/>
    </row>
    <row r="10" spans="2:8" s="125" customFormat="1" ht="16" x14ac:dyDescent="0.2">
      <c r="B10" s="126" t="s">
        <v>154</v>
      </c>
      <c r="C10" s="85"/>
    </row>
    <row r="11" spans="2:8" s="125" customFormat="1" ht="16" x14ac:dyDescent="0.2">
      <c r="B11" s="126"/>
      <c r="C11" s="129" t="s">
        <v>21</v>
      </c>
      <c r="D11" s="129" t="s">
        <v>161</v>
      </c>
      <c r="E11" s="369" t="s">
        <v>437</v>
      </c>
      <c r="F11" s="369" t="s">
        <v>438</v>
      </c>
      <c r="G11" s="129" t="s">
        <v>163</v>
      </c>
    </row>
    <row r="12" spans="2:8" s="125" customFormat="1" ht="16" x14ac:dyDescent="0.2">
      <c r="B12" s="130" t="s">
        <v>156</v>
      </c>
      <c r="C12" s="84">
        <v>44328</v>
      </c>
      <c r="D12" s="47">
        <v>6000</v>
      </c>
      <c r="E12" s="47"/>
      <c r="F12" s="47"/>
      <c r="G12" s="77" t="s">
        <v>164</v>
      </c>
      <c r="H12" s="125" t="s">
        <v>860</v>
      </c>
    </row>
    <row r="13" spans="2:8" s="125" customFormat="1" ht="16" x14ac:dyDescent="0.2">
      <c r="B13" s="130" t="s">
        <v>157</v>
      </c>
      <c r="C13" s="84">
        <v>44329</v>
      </c>
      <c r="D13" s="47">
        <v>3025</v>
      </c>
      <c r="E13" s="47"/>
      <c r="F13" s="47"/>
      <c r="G13" s="77" t="s">
        <v>164</v>
      </c>
      <c r="H13" s="125" t="s">
        <v>402</v>
      </c>
    </row>
    <row r="14" spans="2:8" s="125" customFormat="1" ht="16" x14ac:dyDescent="0.2">
      <c r="B14" s="130" t="s">
        <v>158</v>
      </c>
      <c r="C14" s="84">
        <v>44364</v>
      </c>
      <c r="D14" s="47">
        <v>244000</v>
      </c>
      <c r="E14" s="47"/>
      <c r="F14" s="47"/>
      <c r="G14" s="77" t="s">
        <v>164</v>
      </c>
      <c r="H14" s="125" t="s">
        <v>402</v>
      </c>
    </row>
    <row r="15" spans="2:8" s="125" customFormat="1" ht="16" x14ac:dyDescent="0.2">
      <c r="B15" s="130" t="s">
        <v>157</v>
      </c>
      <c r="C15" s="84">
        <v>44370</v>
      </c>
      <c r="D15" s="47">
        <v>25000</v>
      </c>
      <c r="E15" s="212"/>
      <c r="F15" s="47"/>
      <c r="G15" s="77" t="s">
        <v>164</v>
      </c>
      <c r="H15" s="125" t="s">
        <v>402</v>
      </c>
    </row>
    <row r="16" spans="2:8" s="125" customFormat="1" ht="16" x14ac:dyDescent="0.2">
      <c r="B16" s="130" t="s">
        <v>159</v>
      </c>
      <c r="C16" s="84">
        <v>44371</v>
      </c>
      <c r="D16" s="47">
        <v>42350</v>
      </c>
      <c r="E16" s="365">
        <v>0.21</v>
      </c>
      <c r="F16" s="366">
        <f>D16/(1+E16)</f>
        <v>35000</v>
      </c>
      <c r="G16" s="77" t="s">
        <v>165</v>
      </c>
      <c r="H16" s="125" t="s">
        <v>402</v>
      </c>
    </row>
    <row r="17" spans="2:8" s="125" customFormat="1" ht="16" x14ac:dyDescent="0.2">
      <c r="B17" s="130" t="s">
        <v>157</v>
      </c>
      <c r="C17" s="84">
        <v>44452</v>
      </c>
      <c r="D17" s="47">
        <v>-3222.85</v>
      </c>
      <c r="E17" s="47"/>
      <c r="F17" s="47"/>
      <c r="G17" s="77" t="s">
        <v>164</v>
      </c>
    </row>
    <row r="18" spans="2:8" s="125" customFormat="1" ht="16" x14ac:dyDescent="0.2">
      <c r="B18" s="35" t="s">
        <v>160</v>
      </c>
      <c r="C18" s="84">
        <v>44493</v>
      </c>
      <c r="D18" s="47">
        <v>4637.51</v>
      </c>
      <c r="E18" s="47"/>
      <c r="F18" s="47"/>
      <c r="G18" s="77" t="s">
        <v>179</v>
      </c>
      <c r="H18" s="125" t="s">
        <v>402</v>
      </c>
    </row>
    <row r="19" spans="2:8" s="125" customFormat="1" ht="16" x14ac:dyDescent="0.2">
      <c r="C19" s="84"/>
      <c r="D19" s="47"/>
      <c r="E19" s="47"/>
      <c r="F19" s="47"/>
      <c r="G19" s="77"/>
    </row>
    <row r="20" spans="2:8" s="125" customFormat="1" ht="16" x14ac:dyDescent="0.2">
      <c r="B20" s="126" t="s">
        <v>155</v>
      </c>
      <c r="C20" s="84"/>
      <c r="D20" s="47"/>
      <c r="E20" s="47"/>
      <c r="F20" s="47"/>
      <c r="G20" s="77"/>
    </row>
    <row r="21" spans="2:8" s="125" customFormat="1" ht="16" x14ac:dyDescent="0.2">
      <c r="B21" s="126"/>
      <c r="C21" s="129" t="s">
        <v>21</v>
      </c>
      <c r="D21" s="129" t="s">
        <v>161</v>
      </c>
      <c r="E21" s="129"/>
      <c r="F21" s="129"/>
      <c r="G21" s="129" t="s">
        <v>163</v>
      </c>
    </row>
    <row r="22" spans="2:8" s="125" customFormat="1" ht="16" x14ac:dyDescent="0.2">
      <c r="B22" s="130" t="s">
        <v>159</v>
      </c>
      <c r="C22" s="84">
        <v>44840</v>
      </c>
      <c r="D22" s="47">
        <f>24536+50000</f>
        <v>74536</v>
      </c>
      <c r="E22" s="365">
        <v>0.1</v>
      </c>
      <c r="F22" s="366">
        <f>D22/(1+E22)</f>
        <v>67760</v>
      </c>
      <c r="G22" s="77" t="s">
        <v>188</v>
      </c>
      <c r="H22" s="125" t="s">
        <v>402</v>
      </c>
    </row>
    <row r="23" spans="2:8" s="125" customFormat="1" ht="16" x14ac:dyDescent="0.2">
      <c r="B23" s="35" t="s">
        <v>160</v>
      </c>
      <c r="C23" s="84">
        <v>44914</v>
      </c>
      <c r="D23" s="47">
        <v>1472.39</v>
      </c>
      <c r="E23" s="47"/>
      <c r="F23" s="47"/>
      <c r="G23" s="77" t="s">
        <v>167</v>
      </c>
      <c r="H23" s="125" t="s">
        <v>402</v>
      </c>
    </row>
    <row r="24" spans="2:8" s="125" customFormat="1" ht="16" x14ac:dyDescent="0.2">
      <c r="B24" s="35" t="s">
        <v>160</v>
      </c>
      <c r="C24" s="84">
        <v>44884</v>
      </c>
      <c r="D24" s="47">
        <v>10981.29</v>
      </c>
      <c r="E24" s="47"/>
      <c r="F24" s="47"/>
      <c r="G24" s="77" t="s">
        <v>180</v>
      </c>
      <c r="H24" s="125" t="s">
        <v>402</v>
      </c>
    </row>
    <row r="25" spans="2:8" s="125" customFormat="1" ht="16" x14ac:dyDescent="0.2">
      <c r="C25" s="85"/>
      <c r="D25" s="47"/>
      <c r="E25" s="47"/>
      <c r="F25" s="47"/>
      <c r="G25" s="77"/>
    </row>
    <row r="26" spans="2:8" s="125" customFormat="1" ht="16" x14ac:dyDescent="0.2">
      <c r="C26" s="85"/>
    </row>
    <row r="27" spans="2:8" s="125" customFormat="1" ht="16" x14ac:dyDescent="0.2">
      <c r="B27" s="126" t="s">
        <v>348</v>
      </c>
      <c r="C27" s="85"/>
    </row>
    <row r="29" spans="2:8" s="125" customFormat="1" ht="16" x14ac:dyDescent="0.2">
      <c r="B29" s="127" t="s">
        <v>271</v>
      </c>
      <c r="C29" s="133" t="s">
        <v>21</v>
      </c>
      <c r="D29" s="133" t="s">
        <v>436</v>
      </c>
      <c r="E29" s="133" t="s">
        <v>437</v>
      </c>
      <c r="F29" s="133" t="s">
        <v>438</v>
      </c>
      <c r="G29" s="133" t="s">
        <v>163</v>
      </c>
    </row>
    <row r="30" spans="2:8" s="125" customFormat="1" ht="16" x14ac:dyDescent="0.2">
      <c r="B30" s="130" t="s">
        <v>159</v>
      </c>
      <c r="C30" s="134">
        <v>44935</v>
      </c>
      <c r="D30" s="47">
        <v>67604.149999999994</v>
      </c>
      <c r="E30" s="365">
        <v>0.1</v>
      </c>
      <c r="F30" s="366">
        <f>D30/(1+E30)</f>
        <v>61458.318181818169</v>
      </c>
      <c r="G30" s="78" t="s">
        <v>166</v>
      </c>
      <c r="H30" s="125" t="s">
        <v>402</v>
      </c>
    </row>
    <row r="31" spans="2:8" s="125" customFormat="1" ht="16" x14ac:dyDescent="0.2">
      <c r="B31" s="130" t="s">
        <v>159</v>
      </c>
      <c r="C31" s="134">
        <v>44966</v>
      </c>
      <c r="D31" s="47">
        <v>63355.6</v>
      </c>
      <c r="E31" s="365">
        <v>0.1</v>
      </c>
      <c r="F31" s="366">
        <f t="shared" ref="F31:F40" si="0">D31/(1+E31)</f>
        <v>57595.999999999993</v>
      </c>
      <c r="G31" s="78" t="s">
        <v>168</v>
      </c>
      <c r="H31" s="125" t="s">
        <v>402</v>
      </c>
    </row>
    <row r="32" spans="2:8" s="125" customFormat="1" ht="16" x14ac:dyDescent="0.2">
      <c r="B32" s="130" t="s">
        <v>159</v>
      </c>
      <c r="C32" s="134">
        <v>44994</v>
      </c>
      <c r="D32" s="47">
        <v>61492.2</v>
      </c>
      <c r="E32" s="365">
        <v>0.1</v>
      </c>
      <c r="F32" s="366">
        <f t="shared" si="0"/>
        <v>55901.999999999993</v>
      </c>
      <c r="G32" s="78" t="s">
        <v>175</v>
      </c>
      <c r="H32" s="125" t="s">
        <v>402</v>
      </c>
    </row>
    <row r="33" spans="2:8" s="125" customFormat="1" ht="16" x14ac:dyDescent="0.2">
      <c r="B33" s="130" t="s">
        <v>159</v>
      </c>
      <c r="C33" s="134">
        <v>45056</v>
      </c>
      <c r="D33" s="47">
        <v>89812.23</v>
      </c>
      <c r="E33" s="365">
        <v>0.1</v>
      </c>
      <c r="F33" s="366">
        <f t="shared" si="0"/>
        <v>81647.481818181812</v>
      </c>
      <c r="G33" s="78" t="s">
        <v>186</v>
      </c>
      <c r="H33" s="125" t="s">
        <v>402</v>
      </c>
    </row>
    <row r="34" spans="2:8" s="125" customFormat="1" ht="16" x14ac:dyDescent="0.2">
      <c r="B34" s="130" t="s">
        <v>159</v>
      </c>
      <c r="C34" s="134">
        <v>45076</v>
      </c>
      <c r="D34" s="47">
        <v>30932.44</v>
      </c>
      <c r="E34" s="365">
        <v>0.1</v>
      </c>
      <c r="F34" s="366">
        <f t="shared" si="0"/>
        <v>28120.399999999998</v>
      </c>
      <c r="G34" s="78" t="s">
        <v>233</v>
      </c>
      <c r="H34" s="125" t="s">
        <v>402</v>
      </c>
    </row>
    <row r="35" spans="2:8" s="125" customFormat="1" ht="16" x14ac:dyDescent="0.2">
      <c r="B35" s="130" t="s">
        <v>159</v>
      </c>
      <c r="C35" s="134">
        <v>45110</v>
      </c>
      <c r="D35" s="47">
        <v>48467.76</v>
      </c>
      <c r="E35" s="365">
        <v>0.1</v>
      </c>
      <c r="F35" s="366">
        <f t="shared" si="0"/>
        <v>44061.599999999999</v>
      </c>
      <c r="G35" s="78" t="s">
        <v>238</v>
      </c>
      <c r="H35" s="125" t="s">
        <v>402</v>
      </c>
    </row>
    <row r="36" spans="2:8" s="125" customFormat="1" ht="16" x14ac:dyDescent="0.2">
      <c r="B36" s="130" t="s">
        <v>159</v>
      </c>
      <c r="C36" s="134">
        <v>45139</v>
      </c>
      <c r="D36" s="47">
        <v>99946.4</v>
      </c>
      <c r="E36" s="365">
        <v>0.1</v>
      </c>
      <c r="F36" s="366">
        <f t="shared" si="0"/>
        <v>90860.363636363618</v>
      </c>
      <c r="G36" s="78" t="s">
        <v>244</v>
      </c>
      <c r="H36" s="125" t="s">
        <v>402</v>
      </c>
    </row>
    <row r="37" spans="2:8" s="125" customFormat="1" ht="16" x14ac:dyDescent="0.2">
      <c r="B37" s="130" t="s">
        <v>159</v>
      </c>
      <c r="C37" s="134">
        <v>45170</v>
      </c>
      <c r="D37" s="47">
        <v>65517.14</v>
      </c>
      <c r="E37" s="365">
        <v>0.1</v>
      </c>
      <c r="F37" s="366">
        <f t="shared" si="0"/>
        <v>59561.036363636362</v>
      </c>
      <c r="G37" s="78" t="s">
        <v>251</v>
      </c>
      <c r="H37" s="125" t="s">
        <v>402</v>
      </c>
    </row>
    <row r="38" spans="2:8" s="125" customFormat="1" ht="16" x14ac:dyDescent="0.2">
      <c r="B38" s="130" t="s">
        <v>159</v>
      </c>
      <c r="C38" s="134">
        <v>45202</v>
      </c>
      <c r="D38" s="47">
        <v>47255.82</v>
      </c>
      <c r="E38" s="365">
        <v>0.1</v>
      </c>
      <c r="F38" s="366">
        <f t="shared" si="0"/>
        <v>42959.836363636357</v>
      </c>
      <c r="G38" s="78" t="s">
        <v>253</v>
      </c>
      <c r="H38" s="125" t="s">
        <v>402</v>
      </c>
    </row>
    <row r="39" spans="2:8" s="125" customFormat="1" ht="16" x14ac:dyDescent="0.2">
      <c r="B39" s="130" t="s">
        <v>159</v>
      </c>
      <c r="C39" s="134">
        <v>45233</v>
      </c>
      <c r="D39" s="47">
        <v>44348.92</v>
      </c>
      <c r="E39" s="365">
        <v>0.1</v>
      </c>
      <c r="F39" s="366">
        <f t="shared" si="0"/>
        <v>40317.199999999997</v>
      </c>
      <c r="G39" s="78" t="s">
        <v>265</v>
      </c>
      <c r="H39" s="125" t="s">
        <v>402</v>
      </c>
    </row>
    <row r="40" spans="2:8" s="125" customFormat="1" ht="16" x14ac:dyDescent="0.2">
      <c r="B40" s="130" t="s">
        <v>159</v>
      </c>
      <c r="C40" s="134">
        <v>45463</v>
      </c>
      <c r="D40" s="47">
        <v>13591.34</v>
      </c>
      <c r="E40" s="365">
        <v>0.1</v>
      </c>
      <c r="F40" s="366">
        <f t="shared" si="0"/>
        <v>12355.763636363636</v>
      </c>
      <c r="G40" s="78" t="s">
        <v>316</v>
      </c>
      <c r="H40" s="125" t="s">
        <v>402</v>
      </c>
    </row>
    <row r="41" spans="2:8" s="125" customFormat="1" ht="16" x14ac:dyDescent="0.2">
      <c r="B41" s="130"/>
      <c r="C41" s="134"/>
      <c r="D41" s="47"/>
      <c r="E41" s="47"/>
      <c r="F41" s="47"/>
      <c r="G41" s="78"/>
      <c r="H41" s="131"/>
    </row>
    <row r="42" spans="2:8" s="125" customFormat="1" ht="16" x14ac:dyDescent="0.2">
      <c r="B42" s="130"/>
      <c r="C42" s="134"/>
      <c r="D42" s="47"/>
      <c r="E42" s="47"/>
      <c r="F42" s="47"/>
      <c r="G42" s="78"/>
      <c r="H42" s="131"/>
    </row>
    <row r="43" spans="2:8" s="125" customFormat="1" ht="16" x14ac:dyDescent="0.2">
      <c r="B43" s="127" t="s">
        <v>272</v>
      </c>
      <c r="C43" s="133" t="s">
        <v>21</v>
      </c>
      <c r="D43" s="133" t="s">
        <v>161</v>
      </c>
      <c r="E43" s="133" t="s">
        <v>437</v>
      </c>
      <c r="F43" s="133" t="s">
        <v>438</v>
      </c>
      <c r="G43" s="133" t="s">
        <v>163</v>
      </c>
      <c r="H43" s="131"/>
    </row>
    <row r="44" spans="2:8" s="125" customFormat="1" ht="16" x14ac:dyDescent="0.2">
      <c r="B44" s="130" t="s">
        <v>169</v>
      </c>
      <c r="C44" s="134">
        <v>44937</v>
      </c>
      <c r="D44" s="47">
        <v>646.14</v>
      </c>
      <c r="E44" s="47"/>
      <c r="F44" s="47"/>
      <c r="G44" s="78" t="s">
        <v>416</v>
      </c>
      <c r="H44" s="135" t="s">
        <v>402</v>
      </c>
    </row>
    <row r="45" spans="2:8" s="125" customFormat="1" ht="16" x14ac:dyDescent="0.2">
      <c r="B45" s="130" t="s">
        <v>234</v>
      </c>
      <c r="C45" s="134">
        <v>45075</v>
      </c>
      <c r="D45" s="47">
        <v>279.39</v>
      </c>
      <c r="E45" s="47"/>
      <c r="F45" s="47"/>
      <c r="G45" s="78" t="s">
        <v>235</v>
      </c>
      <c r="H45" s="135" t="s">
        <v>402</v>
      </c>
    </row>
    <row r="46" spans="2:8" s="125" customFormat="1" ht="16" x14ac:dyDescent="0.2">
      <c r="B46" s="130" t="s">
        <v>169</v>
      </c>
      <c r="C46" s="134">
        <v>45103</v>
      </c>
      <c r="D46" s="47">
        <v>646.14</v>
      </c>
      <c r="E46" s="47"/>
      <c r="F46" s="47"/>
      <c r="G46" s="78" t="s">
        <v>417</v>
      </c>
      <c r="H46" s="135" t="s">
        <v>402</v>
      </c>
    </row>
    <row r="47" spans="2:8" s="125" customFormat="1" ht="16" x14ac:dyDescent="0.2">
      <c r="B47" s="130" t="s">
        <v>290</v>
      </c>
      <c r="C47" s="134">
        <v>45272</v>
      </c>
      <c r="D47" s="47">
        <v>14575</v>
      </c>
      <c r="E47" s="47"/>
      <c r="F47" s="47"/>
      <c r="G47" s="78" t="s">
        <v>257</v>
      </c>
      <c r="H47" s="135" t="s">
        <v>402</v>
      </c>
    </row>
    <row r="48" spans="2:8" s="125" customFormat="1" ht="16" x14ac:dyDescent="0.2">
      <c r="B48" s="130" t="s">
        <v>290</v>
      </c>
      <c r="C48" s="134">
        <v>45294</v>
      </c>
      <c r="D48" s="47">
        <v>14575</v>
      </c>
      <c r="E48" s="47"/>
      <c r="F48" s="47"/>
      <c r="G48" s="78" t="s">
        <v>257</v>
      </c>
      <c r="H48" s="135" t="s">
        <v>402</v>
      </c>
    </row>
    <row r="49" spans="2:8" s="125" customFormat="1" ht="16" x14ac:dyDescent="0.2">
      <c r="B49" s="130" t="s">
        <v>310</v>
      </c>
      <c r="C49" s="134">
        <v>45307</v>
      </c>
      <c r="D49" s="47">
        <v>676.8</v>
      </c>
      <c r="E49" s="47"/>
      <c r="F49" s="47"/>
      <c r="G49" s="78" t="s">
        <v>307</v>
      </c>
      <c r="H49" s="135" t="s">
        <v>402</v>
      </c>
    </row>
    <row r="50" spans="2:8" s="125" customFormat="1" ht="16" x14ac:dyDescent="0.2">
      <c r="B50" s="130" t="s">
        <v>159</v>
      </c>
      <c r="C50" s="134">
        <v>45331</v>
      </c>
      <c r="D50" s="47">
        <v>20695.400000000001</v>
      </c>
      <c r="E50" s="365">
        <v>0.1</v>
      </c>
      <c r="F50" s="366">
        <f t="shared" ref="F50" si="1">D50/(1+E50)</f>
        <v>18814</v>
      </c>
      <c r="G50" s="78" t="s">
        <v>302</v>
      </c>
      <c r="H50" s="135" t="s">
        <v>402</v>
      </c>
    </row>
    <row r="51" spans="2:8" s="125" customFormat="1" ht="16" x14ac:dyDescent="0.2">
      <c r="B51" s="130" t="s">
        <v>169</v>
      </c>
      <c r="C51" s="134">
        <v>45345</v>
      </c>
      <c r="D51" s="47">
        <v>861.52</v>
      </c>
      <c r="E51" s="47"/>
      <c r="F51" s="47"/>
      <c r="G51" s="78" t="s">
        <v>418</v>
      </c>
      <c r="H51" s="135" t="s">
        <v>402</v>
      </c>
    </row>
    <row r="52" spans="2:8" s="125" customFormat="1" ht="16" x14ac:dyDescent="0.2">
      <c r="B52" s="130" t="s">
        <v>234</v>
      </c>
      <c r="C52" s="134">
        <v>45386</v>
      </c>
      <c r="D52" s="47">
        <v>15.85</v>
      </c>
      <c r="E52" s="47"/>
      <c r="F52" s="47"/>
      <c r="G52" s="78" t="s">
        <v>305</v>
      </c>
      <c r="H52" s="135" t="s">
        <v>402</v>
      </c>
    </row>
    <row r="53" spans="2:8" s="125" customFormat="1" ht="16" x14ac:dyDescent="0.2">
      <c r="B53" s="130" t="s">
        <v>234</v>
      </c>
      <c r="C53" s="134">
        <v>45386</v>
      </c>
      <c r="D53" s="47">
        <v>133.88999999999999</v>
      </c>
      <c r="E53" s="47"/>
      <c r="F53" s="47"/>
      <c r="G53" s="78" t="s">
        <v>304</v>
      </c>
      <c r="H53" s="135" t="s">
        <v>402</v>
      </c>
    </row>
    <row r="54" spans="2:8" s="125" customFormat="1" ht="16" x14ac:dyDescent="0.2">
      <c r="B54" s="130" t="s">
        <v>297</v>
      </c>
      <c r="C54" s="134">
        <v>45645</v>
      </c>
      <c r="D54" s="47">
        <v>8719</v>
      </c>
      <c r="E54" s="47"/>
      <c r="F54" s="47"/>
      <c r="G54" s="125" t="s">
        <v>297</v>
      </c>
      <c r="H54" s="135" t="s">
        <v>402</v>
      </c>
    </row>
    <row r="55" spans="2:8" s="125" customFormat="1" ht="16" x14ac:dyDescent="0.2">
      <c r="B55" s="130" t="s">
        <v>159</v>
      </c>
      <c r="C55" s="134">
        <v>45448</v>
      </c>
      <c r="D55" s="343">
        <v>38189.800000000003</v>
      </c>
      <c r="E55" s="365">
        <v>0.1</v>
      </c>
      <c r="F55" s="366">
        <f t="shared" ref="F55" si="2">D55/(1+E55)</f>
        <v>34718</v>
      </c>
      <c r="G55" s="125" t="s">
        <v>446</v>
      </c>
      <c r="H55" s="135"/>
    </row>
    <row r="56" spans="2:8" s="125" customFormat="1" ht="16" x14ac:dyDescent="0.2">
      <c r="B56" s="130" t="s">
        <v>447</v>
      </c>
      <c r="C56" s="134"/>
      <c r="D56" s="47">
        <v>2577.63</v>
      </c>
      <c r="E56" s="47"/>
      <c r="F56" s="47"/>
      <c r="G56" s="125" t="s">
        <v>448</v>
      </c>
      <c r="H56" s="135" t="s">
        <v>402</v>
      </c>
    </row>
    <row r="57" spans="2:8" s="125" customFormat="1" ht="16" x14ac:dyDescent="0.2">
      <c r="B57" s="130" t="s">
        <v>447</v>
      </c>
      <c r="C57" s="134"/>
      <c r="D57" s="47">
        <v>411.4</v>
      </c>
      <c r="E57" s="47"/>
      <c r="F57" s="47"/>
      <c r="G57" s="125" t="s">
        <v>448</v>
      </c>
      <c r="H57" s="135" t="s">
        <v>402</v>
      </c>
    </row>
    <row r="58" spans="2:8" s="125" customFormat="1" ht="16" x14ac:dyDescent="0.2">
      <c r="B58" s="130" t="s">
        <v>992</v>
      </c>
      <c r="C58" s="134"/>
      <c r="D58" s="47">
        <v>2075.15</v>
      </c>
      <c r="E58" s="47"/>
      <c r="F58" s="47"/>
      <c r="G58" s="125" t="s">
        <v>993</v>
      </c>
      <c r="H58" s="135"/>
    </row>
    <row r="59" spans="2:8" s="125" customFormat="1" ht="16" x14ac:dyDescent="0.2">
      <c r="B59" s="130" t="s">
        <v>1051</v>
      </c>
      <c r="C59" s="134">
        <v>45972</v>
      </c>
      <c r="D59" s="47">
        <v>665.5</v>
      </c>
      <c r="F59" s="131"/>
      <c r="G59" s="125" t="s">
        <v>1053</v>
      </c>
    </row>
    <row r="60" spans="2:8" s="125" customFormat="1" ht="16" x14ac:dyDescent="0.2">
      <c r="B60" s="130" t="s">
        <v>1051</v>
      </c>
      <c r="C60" s="134">
        <v>46042</v>
      </c>
      <c r="D60" s="47">
        <v>19857.150000000001</v>
      </c>
      <c r="F60" s="47"/>
      <c r="G60" s="125" t="s">
        <v>1052</v>
      </c>
      <c r="H60" s="131"/>
    </row>
    <row r="61" spans="2:8" s="125" customFormat="1" ht="16" x14ac:dyDescent="0.2">
      <c r="B61" s="130" t="s">
        <v>1051</v>
      </c>
      <c r="C61" s="134">
        <v>46065</v>
      </c>
      <c r="D61" s="47">
        <v>-2709.99</v>
      </c>
      <c r="F61" s="47"/>
      <c r="G61" s="125" t="s">
        <v>1052</v>
      </c>
      <c r="H61" s="131"/>
    </row>
    <row r="62" spans="2:8" s="125" customFormat="1" ht="16" x14ac:dyDescent="0.2">
      <c r="B62" s="130"/>
      <c r="C62" s="134"/>
      <c r="D62" s="47"/>
      <c r="E62" s="47"/>
      <c r="F62" s="47"/>
      <c r="G62" s="78"/>
      <c r="H62" s="131"/>
    </row>
    <row r="63" spans="2:8" s="125" customFormat="1" ht="16" x14ac:dyDescent="0.2">
      <c r="B63" s="130"/>
      <c r="C63" s="134"/>
      <c r="D63" s="47"/>
      <c r="E63" s="47"/>
      <c r="F63" s="47"/>
      <c r="G63" s="78"/>
      <c r="H63" s="131"/>
    </row>
    <row r="64" spans="2:8" s="125" customFormat="1" ht="16" x14ac:dyDescent="0.2">
      <c r="B64" s="130"/>
      <c r="C64" s="134"/>
      <c r="D64" s="47"/>
      <c r="E64" s="47"/>
      <c r="F64" s="47"/>
      <c r="G64" s="78"/>
      <c r="H64" s="131"/>
    </row>
    <row r="65" spans="2:8" s="125" customFormat="1" ht="16" x14ac:dyDescent="0.2">
      <c r="B65" s="127" t="s">
        <v>273</v>
      </c>
      <c r="C65" s="133" t="s">
        <v>21</v>
      </c>
      <c r="D65" s="133" t="s">
        <v>161</v>
      </c>
      <c r="E65" s="369" t="s">
        <v>437</v>
      </c>
      <c r="F65" s="369" t="s">
        <v>438</v>
      </c>
      <c r="G65" s="133" t="s">
        <v>163</v>
      </c>
      <c r="H65" s="131"/>
    </row>
    <row r="66" spans="2:8" s="125" customFormat="1" ht="16" x14ac:dyDescent="0.2">
      <c r="B66" s="130" t="s">
        <v>255</v>
      </c>
      <c r="C66" s="134">
        <v>45211</v>
      </c>
      <c r="D66" s="47">
        <v>5214.58</v>
      </c>
      <c r="E66" s="47"/>
      <c r="F66" s="47"/>
      <c r="G66" s="78" t="s">
        <v>256</v>
      </c>
      <c r="H66" s="131"/>
    </row>
    <row r="67" spans="2:8" s="125" customFormat="1" ht="16" x14ac:dyDescent="0.2">
      <c r="B67" s="130" t="s">
        <v>259</v>
      </c>
      <c r="C67" s="134">
        <v>45212</v>
      </c>
      <c r="D67" s="47">
        <v>2460</v>
      </c>
      <c r="E67" s="47"/>
      <c r="F67" s="47"/>
      <c r="G67" s="78" t="s">
        <v>258</v>
      </c>
      <c r="H67" s="131"/>
    </row>
    <row r="68" spans="2:8" s="125" customFormat="1" ht="16" x14ac:dyDescent="0.2">
      <c r="B68" s="130" t="s">
        <v>266</v>
      </c>
      <c r="C68" s="134">
        <v>45214</v>
      </c>
      <c r="D68" s="47">
        <v>371.36</v>
      </c>
      <c r="E68" s="47"/>
      <c r="F68" s="47"/>
      <c r="G68" s="78" t="s">
        <v>267</v>
      </c>
      <c r="H68" s="131"/>
    </row>
    <row r="69" spans="2:8" s="125" customFormat="1" ht="16" x14ac:dyDescent="0.2">
      <c r="B69" s="130" t="s">
        <v>260</v>
      </c>
      <c r="C69" s="134">
        <v>45214</v>
      </c>
      <c r="D69" s="47">
        <v>884.4</v>
      </c>
      <c r="E69" s="47"/>
      <c r="F69" s="47"/>
      <c r="G69" s="78" t="s">
        <v>261</v>
      </c>
      <c r="H69" s="131"/>
    </row>
    <row r="70" spans="2:8" ht="16" x14ac:dyDescent="0.2">
      <c r="B70" s="130" t="s">
        <v>174</v>
      </c>
      <c r="C70" s="134">
        <v>45217</v>
      </c>
      <c r="D70" s="47">
        <v>899</v>
      </c>
      <c r="E70" s="47"/>
      <c r="F70" s="47"/>
      <c r="G70" s="78" t="s">
        <v>173</v>
      </c>
    </row>
    <row r="71" spans="2:8" ht="16" x14ac:dyDescent="0.2">
      <c r="B71" s="130" t="s">
        <v>291</v>
      </c>
      <c r="C71" s="134">
        <v>45230</v>
      </c>
      <c r="D71" s="47">
        <v>1200</v>
      </c>
      <c r="E71" s="47"/>
      <c r="F71" s="47"/>
      <c r="G71" s="78" t="s">
        <v>274</v>
      </c>
    </row>
    <row r="72" spans="2:8" ht="16" x14ac:dyDescent="0.2">
      <c r="B72" s="130" t="s">
        <v>247</v>
      </c>
      <c r="C72" s="134">
        <v>45237</v>
      </c>
      <c r="D72" s="47">
        <v>49</v>
      </c>
      <c r="E72" s="47"/>
      <c r="F72" s="47"/>
      <c r="G72" s="78" t="s">
        <v>248</v>
      </c>
    </row>
    <row r="73" spans="2:8" ht="16" x14ac:dyDescent="0.2">
      <c r="B73" s="130" t="s">
        <v>176</v>
      </c>
      <c r="C73" s="134">
        <v>45247</v>
      </c>
      <c r="D73" s="47">
        <v>499.99</v>
      </c>
      <c r="E73" s="47"/>
      <c r="F73" s="47"/>
      <c r="G73" s="78" t="s">
        <v>268</v>
      </c>
    </row>
    <row r="74" spans="2:8" ht="16" x14ac:dyDescent="0.2">
      <c r="B74" s="130" t="s">
        <v>262</v>
      </c>
      <c r="C74" s="134">
        <v>45248</v>
      </c>
      <c r="D74" s="47">
        <v>219.79</v>
      </c>
      <c r="E74" s="47"/>
      <c r="F74" s="47"/>
      <c r="G74" s="78" t="s">
        <v>263</v>
      </c>
    </row>
    <row r="75" spans="2:8" ht="16" x14ac:dyDescent="0.2">
      <c r="B75" s="130" t="s">
        <v>286</v>
      </c>
      <c r="C75" s="134">
        <v>45248</v>
      </c>
      <c r="D75" s="47">
        <v>99</v>
      </c>
      <c r="E75" s="47"/>
      <c r="F75" s="47"/>
      <c r="G75" s="78" t="s">
        <v>282</v>
      </c>
    </row>
    <row r="76" spans="2:8" ht="16" x14ac:dyDescent="0.2">
      <c r="B76" s="130" t="s">
        <v>284</v>
      </c>
      <c r="C76" s="134">
        <v>45248</v>
      </c>
      <c r="D76" s="47">
        <v>86.43</v>
      </c>
      <c r="E76" s="47"/>
      <c r="F76" s="47"/>
      <c r="G76" s="78" t="s">
        <v>283</v>
      </c>
    </row>
    <row r="77" spans="2:8" ht="16" x14ac:dyDescent="0.2">
      <c r="B77" s="130" t="s">
        <v>276</v>
      </c>
      <c r="C77" s="134">
        <v>45252</v>
      </c>
      <c r="D77" s="47">
        <v>129.9</v>
      </c>
      <c r="E77" s="47"/>
      <c r="F77" s="47"/>
      <c r="G77" s="78" t="s">
        <v>278</v>
      </c>
    </row>
    <row r="78" spans="2:8" ht="16" x14ac:dyDescent="0.2">
      <c r="B78" s="130" t="s">
        <v>279</v>
      </c>
      <c r="C78" s="134">
        <v>45252</v>
      </c>
      <c r="D78" s="47">
        <v>128.22999999999999</v>
      </c>
      <c r="E78" s="47"/>
      <c r="F78" s="47"/>
      <c r="G78" s="78" t="s">
        <v>280</v>
      </c>
    </row>
    <row r="79" spans="2:8" ht="16" x14ac:dyDescent="0.2">
      <c r="B79" s="130" t="s">
        <v>277</v>
      </c>
      <c r="C79" s="134">
        <v>45252</v>
      </c>
      <c r="D79" s="47">
        <v>78.989999999999995</v>
      </c>
      <c r="E79" s="47"/>
      <c r="F79" s="47"/>
      <c r="G79" s="78" t="s">
        <v>281</v>
      </c>
    </row>
    <row r="80" spans="2:8" ht="16" x14ac:dyDescent="0.2">
      <c r="B80" s="130" t="s">
        <v>275</v>
      </c>
      <c r="C80" s="134">
        <v>45255</v>
      </c>
      <c r="D80" s="47">
        <v>149</v>
      </c>
      <c r="E80" s="47"/>
      <c r="F80" s="47"/>
      <c r="G80" s="78" t="s">
        <v>285</v>
      </c>
    </row>
    <row r="81" spans="2:7" ht="16" x14ac:dyDescent="0.2">
      <c r="B81" s="130" t="s">
        <v>250</v>
      </c>
      <c r="C81" s="134">
        <v>45260</v>
      </c>
      <c r="D81" s="47">
        <v>567.1</v>
      </c>
      <c r="E81" s="47"/>
      <c r="F81" s="47"/>
      <c r="G81" s="78" t="s">
        <v>287</v>
      </c>
    </row>
    <row r="82" spans="2:7" ht="16" x14ac:dyDescent="0.2">
      <c r="B82" s="130" t="s">
        <v>274</v>
      </c>
      <c r="C82" s="134">
        <v>45287</v>
      </c>
      <c r="D82" s="47">
        <v>2490</v>
      </c>
      <c r="E82" s="47"/>
      <c r="F82" s="47"/>
      <c r="G82" s="78" t="s">
        <v>292</v>
      </c>
    </row>
    <row r="83" spans="2:7" ht="16" x14ac:dyDescent="0.2">
      <c r="B83" s="130" t="s">
        <v>171</v>
      </c>
      <c r="C83" s="134">
        <v>45314</v>
      </c>
      <c r="D83" s="47">
        <v>2558.61</v>
      </c>
      <c r="E83" s="47"/>
      <c r="F83" s="47"/>
      <c r="G83" s="78" t="s">
        <v>172</v>
      </c>
    </row>
    <row r="84" spans="2:7" ht="16" x14ac:dyDescent="0.2">
      <c r="B84" s="130" t="s">
        <v>308</v>
      </c>
      <c r="C84" s="134">
        <v>45342</v>
      </c>
      <c r="D84" s="47">
        <v>1122</v>
      </c>
      <c r="E84" s="47"/>
      <c r="F84" s="47"/>
      <c r="G84" s="78" t="s">
        <v>309</v>
      </c>
    </row>
    <row r="85" spans="2:7" ht="16" x14ac:dyDescent="0.2">
      <c r="B85" s="130" t="s">
        <v>110</v>
      </c>
      <c r="C85" s="134">
        <v>45398</v>
      </c>
      <c r="D85" s="47">
        <v>378</v>
      </c>
      <c r="E85" s="47"/>
      <c r="F85" s="47"/>
      <c r="G85" s="78" t="s">
        <v>306</v>
      </c>
    </row>
    <row r="86" spans="2:7" ht="16" x14ac:dyDescent="0.2">
      <c r="B86" s="130" t="s">
        <v>311</v>
      </c>
      <c r="C86" s="134">
        <v>45415</v>
      </c>
      <c r="D86" s="47">
        <v>615.99</v>
      </c>
      <c r="E86" s="47"/>
      <c r="F86" s="47"/>
      <c r="G86" s="78" t="s">
        <v>312</v>
      </c>
    </row>
    <row r="89" spans="2:7" x14ac:dyDescent="0.2">
      <c r="G89" s="137"/>
    </row>
  </sheetData>
  <sortState xmlns:xlrd2="http://schemas.microsoft.com/office/spreadsheetml/2017/richdata2" ref="B54:G76">
    <sortCondition ref="C54:C76"/>
  </sortState>
  <mergeCells count="1">
    <mergeCell ref="B2:G2"/>
  </mergeCells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2E8C8-0612-4749-9B67-AFB29095DB62}">
  <sheetPr codeName="Foglio15">
    <tabColor theme="4" tint="-0.249977111117893"/>
    <outlinePr summaryBelow="0"/>
  </sheetPr>
  <dimension ref="A1:S61"/>
  <sheetViews>
    <sheetView zoomScale="116" workbookViewId="0">
      <selection activeCell="E2" sqref="E2"/>
    </sheetView>
  </sheetViews>
  <sheetFormatPr baseColWidth="10" defaultRowHeight="15" x14ac:dyDescent="0.2"/>
  <cols>
    <col min="1" max="1" width="8.59765625" style="442" bestFit="1" customWidth="1"/>
    <col min="2" max="2" width="6" style="441" bestFit="1" customWidth="1"/>
    <col min="3" max="3" width="15" style="441" customWidth="1"/>
    <col min="4" max="4" width="46.796875" style="441" bestFit="1" customWidth="1"/>
    <col min="5" max="5" width="14.796875" style="441" bestFit="1" customWidth="1"/>
    <col min="6" max="6" width="10" style="441" bestFit="1" customWidth="1"/>
    <col min="7" max="7" width="10.3984375" style="441" bestFit="1" customWidth="1"/>
    <col min="8" max="8" width="12.3984375" style="441" bestFit="1" customWidth="1"/>
    <col min="9" max="9" width="8.3984375" style="441" bestFit="1" customWidth="1"/>
    <col min="10" max="10" width="10.796875" style="441" bestFit="1" customWidth="1"/>
    <col min="11" max="11" width="15.3984375" style="441" bestFit="1" customWidth="1"/>
    <col min="12" max="12" width="17.3984375" style="441" bestFit="1" customWidth="1"/>
    <col min="13" max="13" width="17.59765625" style="441" bestFit="1" customWidth="1"/>
    <col min="14" max="14" width="18.3984375" style="441" bestFit="1" customWidth="1"/>
    <col min="15" max="15" width="8.3984375" style="441" bestFit="1" customWidth="1"/>
    <col min="16" max="16" width="15.59765625" style="441" customWidth="1"/>
    <col min="17" max="17" width="18.796875" style="441" customWidth="1"/>
    <col min="18" max="18" width="15.796875" style="441" customWidth="1"/>
    <col min="19" max="252" width="10.59765625" style="441" customWidth="1"/>
    <col min="253" max="16384" width="11" style="441"/>
  </cols>
  <sheetData>
    <row r="1" spans="1:18" ht="31" customHeight="1" x14ac:dyDescent="0.2">
      <c r="A1" s="513" t="s">
        <v>513</v>
      </c>
      <c r="B1" s="514"/>
      <c r="C1" s="514"/>
      <c r="D1" s="514"/>
      <c r="E1" s="511">
        <v>46214</v>
      </c>
      <c r="F1" s="512"/>
    </row>
    <row r="4" spans="1:18" ht="24" x14ac:dyDescent="0.2">
      <c r="A4" s="510" t="s">
        <v>230</v>
      </c>
      <c r="B4" s="510"/>
      <c r="C4" s="510"/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0"/>
      <c r="P4" s="510"/>
      <c r="Q4" s="510"/>
      <c r="R4" s="510"/>
    </row>
    <row r="5" spans="1:18" s="459" customFormat="1" ht="12" x14ac:dyDescent="0.2">
      <c r="L5" s="459" t="s">
        <v>934</v>
      </c>
      <c r="M5" s="460"/>
      <c r="N5" s="459" t="s">
        <v>1074</v>
      </c>
      <c r="O5" s="459" t="s">
        <v>935</v>
      </c>
      <c r="P5" s="459" t="s">
        <v>936</v>
      </c>
    </row>
    <row r="6" spans="1:18" ht="51" x14ac:dyDescent="0.2">
      <c r="A6" s="374" t="s">
        <v>511</v>
      </c>
      <c r="B6" s="374" t="s">
        <v>512</v>
      </c>
      <c r="C6" s="374" t="s">
        <v>1014</v>
      </c>
      <c r="D6" s="374" t="s">
        <v>190</v>
      </c>
      <c r="E6" s="374" t="s">
        <v>191</v>
      </c>
      <c r="F6" s="374" t="s">
        <v>474</v>
      </c>
      <c r="G6" s="374" t="s">
        <v>473</v>
      </c>
      <c r="H6" s="374" t="s">
        <v>472</v>
      </c>
      <c r="I6" s="374" t="s">
        <v>14</v>
      </c>
      <c r="J6" s="374" t="s">
        <v>192</v>
      </c>
      <c r="K6" s="374" t="s">
        <v>471</v>
      </c>
      <c r="L6" s="374" t="s">
        <v>453</v>
      </c>
      <c r="M6" s="374" t="s">
        <v>470</v>
      </c>
      <c r="N6" s="374" t="s">
        <v>469</v>
      </c>
      <c r="O6" s="374" t="s">
        <v>193</v>
      </c>
      <c r="P6" s="374" t="s">
        <v>194</v>
      </c>
      <c r="Q6" s="374" t="s">
        <v>515</v>
      </c>
      <c r="R6" s="374" t="s">
        <v>514</v>
      </c>
    </row>
    <row r="7" spans="1:18" ht="15" customHeight="1" x14ac:dyDescent="0.2">
      <c r="A7" s="442">
        <v>1</v>
      </c>
      <c r="B7" s="442">
        <v>1</v>
      </c>
      <c r="C7" s="442" t="s">
        <v>1015</v>
      </c>
      <c r="D7" s="43" t="s">
        <v>468</v>
      </c>
      <c r="E7" s="455" t="s">
        <v>212</v>
      </c>
      <c r="F7" s="455" t="s">
        <v>456</v>
      </c>
      <c r="G7" s="456" t="s">
        <v>455</v>
      </c>
      <c r="H7" s="455" t="s">
        <v>454</v>
      </c>
      <c r="I7" s="456" t="s">
        <v>384</v>
      </c>
      <c r="J7" s="457">
        <v>625.49199999999996</v>
      </c>
      <c r="K7" s="481">
        <v>11.87575</v>
      </c>
      <c r="L7" s="481">
        <f t="shared" ref="L7:L25" si="0">J7*K7</f>
        <v>7428.1866189999992</v>
      </c>
      <c r="M7" s="482">
        <v>13.634</v>
      </c>
      <c r="N7" s="482">
        <f>M7*J7</f>
        <v>8527.9579279999998</v>
      </c>
      <c r="O7" s="458">
        <f t="shared" ref="O7:O24" si="1">(N7-L7)/L7</f>
        <v>0.14805380712797098</v>
      </c>
      <c r="P7" s="481">
        <f t="shared" ref="P7:P24" si="2">N7-L7</f>
        <v>1099.7713090000007</v>
      </c>
      <c r="Q7" s="444">
        <v>1.2E-2</v>
      </c>
      <c r="R7" s="445">
        <f t="shared" ref="R7:R45" si="3">N7*Q7</f>
        <v>102.33549513600001</v>
      </c>
    </row>
    <row r="8" spans="1:18" ht="15" customHeight="1" x14ac:dyDescent="0.2">
      <c r="A8" s="442">
        <v>2</v>
      </c>
      <c r="B8" s="442">
        <v>2</v>
      </c>
      <c r="C8" s="442" t="s">
        <v>1015</v>
      </c>
      <c r="D8" s="43" t="s">
        <v>224</v>
      </c>
      <c r="E8" s="455" t="s">
        <v>225</v>
      </c>
      <c r="F8" s="455" t="s">
        <v>456</v>
      </c>
      <c r="G8" s="456" t="s">
        <v>455</v>
      </c>
      <c r="H8" s="455" t="s">
        <v>454</v>
      </c>
      <c r="I8" s="456" t="s">
        <v>384</v>
      </c>
      <c r="J8" s="457">
        <v>288.51799999999997</v>
      </c>
      <c r="K8" s="481">
        <v>34.691070000000003</v>
      </c>
      <c r="L8" s="481">
        <f t="shared" si="0"/>
        <v>10008.99813426</v>
      </c>
      <c r="M8" s="482">
        <v>61.31</v>
      </c>
      <c r="N8" s="482">
        <f t="shared" ref="N8:N43" si="4">M8*J8</f>
        <v>17689.03858</v>
      </c>
      <c r="O8" s="458">
        <f t="shared" si="1"/>
        <v>0.76731360548982774</v>
      </c>
      <c r="P8" s="481">
        <f t="shared" si="2"/>
        <v>7680.04044574</v>
      </c>
      <c r="Q8" s="444">
        <v>1.7999999999999999E-2</v>
      </c>
      <c r="R8" s="445">
        <f t="shared" si="3"/>
        <v>318.40269444</v>
      </c>
    </row>
    <row r="9" spans="1:18" ht="15" customHeight="1" x14ac:dyDescent="0.2">
      <c r="A9" s="442">
        <v>3</v>
      </c>
      <c r="B9" s="442">
        <v>3</v>
      </c>
      <c r="C9" s="442" t="s">
        <v>1015</v>
      </c>
      <c r="D9" s="43" t="s">
        <v>213</v>
      </c>
      <c r="E9" s="455" t="s">
        <v>214</v>
      </c>
      <c r="F9" s="455" t="s">
        <v>456</v>
      </c>
      <c r="G9" s="456" t="s">
        <v>455</v>
      </c>
      <c r="H9" s="455" t="s">
        <v>454</v>
      </c>
      <c r="I9" s="456" t="s">
        <v>384</v>
      </c>
      <c r="J9" s="457">
        <v>86.206999999999994</v>
      </c>
      <c r="K9" s="481">
        <v>58.104329999999997</v>
      </c>
      <c r="L9" s="481">
        <f t="shared" si="0"/>
        <v>5008.9999763099995</v>
      </c>
      <c r="M9" s="482">
        <v>147.74</v>
      </c>
      <c r="N9" s="482">
        <f t="shared" si="4"/>
        <v>12736.222180000001</v>
      </c>
      <c r="O9" s="458">
        <f t="shared" si="1"/>
        <v>1.5426676462838487</v>
      </c>
      <c r="P9" s="481">
        <f t="shared" si="2"/>
        <v>7727.2222036900012</v>
      </c>
      <c r="Q9" s="444">
        <v>1.6E-2</v>
      </c>
      <c r="R9" s="445">
        <f t="shared" si="3"/>
        <v>203.77955488000001</v>
      </c>
    </row>
    <row r="10" spans="1:18" ht="15" customHeight="1" x14ac:dyDescent="0.2">
      <c r="A10" s="442">
        <v>4</v>
      </c>
      <c r="B10" s="442">
        <v>4</v>
      </c>
      <c r="C10" s="442" t="s">
        <v>1015</v>
      </c>
      <c r="D10" s="43" t="s">
        <v>467</v>
      </c>
      <c r="E10" s="455" t="s">
        <v>466</v>
      </c>
      <c r="F10" s="455" t="s">
        <v>456</v>
      </c>
      <c r="G10" s="456" t="s">
        <v>455</v>
      </c>
      <c r="H10" s="455" t="s">
        <v>454</v>
      </c>
      <c r="I10" s="456" t="s">
        <v>384</v>
      </c>
      <c r="J10" s="457">
        <v>316.92599999999999</v>
      </c>
      <c r="K10" s="481">
        <v>13.584680000000001</v>
      </c>
      <c r="L10" s="481">
        <f t="shared" si="0"/>
        <v>4305.3382936799999</v>
      </c>
      <c r="M10" s="482">
        <v>17.513999999999999</v>
      </c>
      <c r="N10" s="482">
        <f t="shared" si="4"/>
        <v>5550.6419639999995</v>
      </c>
      <c r="O10" s="458">
        <f t="shared" si="1"/>
        <v>0.28924641581546262</v>
      </c>
      <c r="P10" s="481">
        <f t="shared" si="2"/>
        <v>1245.3036703199996</v>
      </c>
      <c r="Q10" s="444">
        <v>1.2500000000000001E-2</v>
      </c>
      <c r="R10" s="445">
        <f t="shared" si="3"/>
        <v>69.383024550000002</v>
      </c>
    </row>
    <row r="11" spans="1:18" ht="15" customHeight="1" x14ac:dyDescent="0.2">
      <c r="A11" s="442">
        <v>5</v>
      </c>
      <c r="B11" s="442">
        <v>5</v>
      </c>
      <c r="C11" s="442" t="s">
        <v>1015</v>
      </c>
      <c r="D11" s="43" t="s">
        <v>465</v>
      </c>
      <c r="E11" s="455" t="s">
        <v>464</v>
      </c>
      <c r="F11" s="455" t="s">
        <v>456</v>
      </c>
      <c r="G11" s="456" t="s">
        <v>455</v>
      </c>
      <c r="H11" s="455" t="s">
        <v>454</v>
      </c>
      <c r="I11" s="456" t="s">
        <v>384</v>
      </c>
      <c r="J11" s="457">
        <v>191.83</v>
      </c>
      <c r="K11" s="481">
        <v>15.260120000000001</v>
      </c>
      <c r="L11" s="481">
        <f t="shared" si="0"/>
        <v>2927.3488196000003</v>
      </c>
      <c r="M11" s="482">
        <v>23.07</v>
      </c>
      <c r="N11" s="482">
        <f t="shared" si="4"/>
        <v>4425.5181000000002</v>
      </c>
      <c r="O11" s="458">
        <f t="shared" si="1"/>
        <v>0.51178365569864448</v>
      </c>
      <c r="P11" s="481">
        <f t="shared" si="2"/>
        <v>1498.1692803999999</v>
      </c>
      <c r="Q11" s="444">
        <v>1.4999999999999999E-2</v>
      </c>
      <c r="R11" s="445">
        <f t="shared" si="3"/>
        <v>66.382771500000004</v>
      </c>
    </row>
    <row r="12" spans="1:18" ht="15" customHeight="1" x14ac:dyDescent="0.2">
      <c r="A12" s="442">
        <v>6</v>
      </c>
      <c r="B12" s="442">
        <v>6</v>
      </c>
      <c r="C12" s="442" t="s">
        <v>1015</v>
      </c>
      <c r="D12" s="43" t="s">
        <v>463</v>
      </c>
      <c r="E12" s="455" t="s">
        <v>462</v>
      </c>
      <c r="F12" s="455" t="s">
        <v>456</v>
      </c>
      <c r="G12" s="456" t="s">
        <v>455</v>
      </c>
      <c r="H12" s="455" t="s">
        <v>454</v>
      </c>
      <c r="I12" s="456" t="s">
        <v>384</v>
      </c>
      <c r="J12" s="457">
        <v>3.1070000000000002</v>
      </c>
      <c r="K12" s="481">
        <v>833.16060000000004</v>
      </c>
      <c r="L12" s="481">
        <f t="shared" si="0"/>
        <v>2588.6299842000003</v>
      </c>
      <c r="M12" s="482">
        <v>1550.67</v>
      </c>
      <c r="N12" s="482">
        <f t="shared" si="4"/>
        <v>4817.9316900000003</v>
      </c>
      <c r="O12" s="458">
        <f t="shared" si="1"/>
        <v>0.8611897874191361</v>
      </c>
      <c r="P12" s="481">
        <f t="shared" si="2"/>
        <v>2229.3017058</v>
      </c>
      <c r="Q12" s="444">
        <v>1.6E-2</v>
      </c>
      <c r="R12" s="445">
        <f t="shared" si="3"/>
        <v>77.086907040000014</v>
      </c>
    </row>
    <row r="13" spans="1:18" ht="15" customHeight="1" x14ac:dyDescent="0.2">
      <c r="A13" s="442">
        <v>7</v>
      </c>
      <c r="B13" s="442">
        <v>7</v>
      </c>
      <c r="C13" s="442" t="s">
        <v>1015</v>
      </c>
      <c r="D13" s="43" t="s">
        <v>461</v>
      </c>
      <c r="E13" s="455" t="s">
        <v>460</v>
      </c>
      <c r="F13" s="455" t="s">
        <v>456</v>
      </c>
      <c r="G13" s="456" t="s">
        <v>455</v>
      </c>
      <c r="H13" s="455" t="s">
        <v>454</v>
      </c>
      <c r="I13" s="456" t="s">
        <v>384</v>
      </c>
      <c r="J13" s="457">
        <v>8.4032999999999998</v>
      </c>
      <c r="K13" s="481">
        <v>373.29977000000002</v>
      </c>
      <c r="L13" s="481">
        <f t="shared" si="0"/>
        <v>3136.949957241</v>
      </c>
      <c r="M13" s="482">
        <v>602.25</v>
      </c>
      <c r="N13" s="482">
        <f t="shared" si="4"/>
        <v>5060.8874249999999</v>
      </c>
      <c r="O13" s="458">
        <f t="shared" si="1"/>
        <v>0.61331468272803913</v>
      </c>
      <c r="P13" s="481">
        <f t="shared" si="2"/>
        <v>1923.9374677589999</v>
      </c>
      <c r="Q13" s="444">
        <v>1.2500000000000001E-2</v>
      </c>
      <c r="R13" s="445">
        <f t="shared" si="3"/>
        <v>63.261092812500003</v>
      </c>
    </row>
    <row r="14" spans="1:18" ht="15" customHeight="1" x14ac:dyDescent="0.2">
      <c r="A14" s="442">
        <v>8</v>
      </c>
      <c r="B14" s="442">
        <v>8</v>
      </c>
      <c r="C14" s="442" t="s">
        <v>1015</v>
      </c>
      <c r="D14" s="43" t="s">
        <v>459</v>
      </c>
      <c r="E14" s="455" t="s">
        <v>458</v>
      </c>
      <c r="F14" s="455" t="s">
        <v>456</v>
      </c>
      <c r="G14" s="456" t="s">
        <v>455</v>
      </c>
      <c r="H14" s="455" t="s">
        <v>454</v>
      </c>
      <c r="I14" s="456" t="s">
        <v>384</v>
      </c>
      <c r="J14" s="457">
        <v>359.03</v>
      </c>
      <c r="K14" s="481">
        <v>12.577629999999999</v>
      </c>
      <c r="L14" s="481">
        <f t="shared" si="0"/>
        <v>4515.7464988999991</v>
      </c>
      <c r="M14" s="482">
        <v>22.783999999999999</v>
      </c>
      <c r="N14" s="482">
        <f t="shared" si="4"/>
        <v>8180.1395199999988</v>
      </c>
      <c r="O14" s="458">
        <f t="shared" si="1"/>
        <v>0.81147004642369036</v>
      </c>
      <c r="P14" s="481">
        <f t="shared" si="2"/>
        <v>3664.3930210999997</v>
      </c>
      <c r="Q14" s="444">
        <v>1.4999999999999999E-2</v>
      </c>
      <c r="R14" s="445">
        <f t="shared" si="3"/>
        <v>122.70209279999997</v>
      </c>
    </row>
    <row r="15" spans="1:18" ht="15" customHeight="1" x14ac:dyDescent="0.2">
      <c r="A15" s="442">
        <v>9</v>
      </c>
      <c r="B15" s="442">
        <v>9</v>
      </c>
      <c r="C15" s="442" t="s">
        <v>1015</v>
      </c>
      <c r="D15" s="43" t="s">
        <v>215</v>
      </c>
      <c r="E15" s="455" t="s">
        <v>216</v>
      </c>
      <c r="F15" s="455" t="s">
        <v>456</v>
      </c>
      <c r="G15" s="456" t="s">
        <v>455</v>
      </c>
      <c r="H15" s="455" t="s">
        <v>454</v>
      </c>
      <c r="I15" s="456" t="s">
        <v>384</v>
      </c>
      <c r="J15" s="457">
        <v>413.25</v>
      </c>
      <c r="K15" s="481">
        <v>22.040649999999999</v>
      </c>
      <c r="L15" s="481">
        <f t="shared" si="0"/>
        <v>9108.2986124999989</v>
      </c>
      <c r="M15" s="482">
        <v>24.811</v>
      </c>
      <c r="N15" s="482">
        <f t="shared" si="4"/>
        <v>10253.14575</v>
      </c>
      <c r="O15" s="458">
        <f t="shared" si="1"/>
        <v>0.12569275407032018</v>
      </c>
      <c r="P15" s="481">
        <f t="shared" si="2"/>
        <v>1144.8471375000008</v>
      </c>
      <c r="Q15" s="444">
        <v>7.4999999999999997E-3</v>
      </c>
      <c r="R15" s="445">
        <f t="shared" si="3"/>
        <v>76.898593124999991</v>
      </c>
    </row>
    <row r="16" spans="1:18" ht="15" customHeight="1" x14ac:dyDescent="0.2">
      <c r="A16" s="442">
        <v>10</v>
      </c>
      <c r="B16" s="442">
        <v>10</v>
      </c>
      <c r="C16" s="442" t="s">
        <v>1015</v>
      </c>
      <c r="D16" s="43" t="s">
        <v>210</v>
      </c>
      <c r="E16" s="455" t="s">
        <v>211</v>
      </c>
      <c r="F16" s="455" t="s">
        <v>456</v>
      </c>
      <c r="G16" s="456" t="s">
        <v>455</v>
      </c>
      <c r="H16" s="455" t="s">
        <v>454</v>
      </c>
      <c r="I16" s="456" t="s">
        <v>384</v>
      </c>
      <c r="J16" s="457">
        <v>337.05</v>
      </c>
      <c r="K16" s="481">
        <v>17.672419999999999</v>
      </c>
      <c r="L16" s="481">
        <f t="shared" si="0"/>
        <v>5956.4891609999995</v>
      </c>
      <c r="M16" s="482">
        <v>32.844000000000001</v>
      </c>
      <c r="N16" s="482">
        <f t="shared" si="4"/>
        <v>11070.0702</v>
      </c>
      <c r="O16" s="458">
        <f t="shared" si="1"/>
        <v>0.8584891033599249</v>
      </c>
      <c r="P16" s="481">
        <f t="shared" si="2"/>
        <v>5113.5810390000006</v>
      </c>
      <c r="Q16" s="444">
        <v>1.4999999999999999E-2</v>
      </c>
      <c r="R16" s="445">
        <f t="shared" si="3"/>
        <v>166.051053</v>
      </c>
    </row>
    <row r="17" spans="1:19" ht="15" customHeight="1" x14ac:dyDescent="0.2">
      <c r="A17" s="442">
        <v>11</v>
      </c>
      <c r="B17" s="442">
        <v>11</v>
      </c>
      <c r="C17" s="442" t="s">
        <v>1015</v>
      </c>
      <c r="D17" s="43" t="s">
        <v>220</v>
      </c>
      <c r="E17" s="455" t="s">
        <v>221</v>
      </c>
      <c r="F17" s="455" t="s">
        <v>456</v>
      </c>
      <c r="G17" s="456" t="s">
        <v>455</v>
      </c>
      <c r="H17" s="455" t="s">
        <v>454</v>
      </c>
      <c r="I17" s="456" t="s">
        <v>384</v>
      </c>
      <c r="J17" s="457">
        <v>61.633000000000003</v>
      </c>
      <c r="K17" s="481">
        <v>122.61223</v>
      </c>
      <c r="L17" s="481">
        <f t="shared" si="0"/>
        <v>7556.9595715900005</v>
      </c>
      <c r="M17" s="482">
        <v>163.15</v>
      </c>
      <c r="N17" s="482">
        <f t="shared" si="4"/>
        <v>10055.42395</v>
      </c>
      <c r="O17" s="458">
        <f t="shared" si="1"/>
        <v>0.33061767166293277</v>
      </c>
      <c r="P17" s="481">
        <f t="shared" si="2"/>
        <v>2498.4643784099999</v>
      </c>
      <c r="Q17" s="444">
        <v>1.2500000000000001E-2</v>
      </c>
      <c r="R17" s="445">
        <f t="shared" si="3"/>
        <v>125.69279937500001</v>
      </c>
    </row>
    <row r="18" spans="1:19" ht="15" customHeight="1" x14ac:dyDescent="0.2">
      <c r="A18" s="442">
        <v>12</v>
      </c>
      <c r="B18" s="442">
        <v>12</v>
      </c>
      <c r="C18" s="442" t="s">
        <v>1015</v>
      </c>
      <c r="D18" s="43" t="s">
        <v>208</v>
      </c>
      <c r="E18" s="455" t="s">
        <v>209</v>
      </c>
      <c r="F18" s="455" t="s">
        <v>456</v>
      </c>
      <c r="G18" s="456" t="s">
        <v>455</v>
      </c>
      <c r="H18" s="455" t="s">
        <v>454</v>
      </c>
      <c r="I18" s="456" t="s">
        <v>384</v>
      </c>
      <c r="J18" s="457">
        <v>100.15</v>
      </c>
      <c r="K18" s="481">
        <v>40.029949999999999</v>
      </c>
      <c r="L18" s="481">
        <f t="shared" si="0"/>
        <v>4008.9994925000001</v>
      </c>
      <c r="M18" s="482">
        <v>71.709999999999994</v>
      </c>
      <c r="N18" s="482">
        <f t="shared" si="4"/>
        <v>7181.7564999999995</v>
      </c>
      <c r="O18" s="458">
        <f t="shared" si="1"/>
        <v>0.79140868274879173</v>
      </c>
      <c r="P18" s="481">
        <f t="shared" si="2"/>
        <v>3172.7570074999994</v>
      </c>
      <c r="Q18" s="444">
        <v>2.2499999999999999E-2</v>
      </c>
      <c r="R18" s="445">
        <f t="shared" si="3"/>
        <v>161.58952124999999</v>
      </c>
    </row>
    <row r="19" spans="1:19" ht="15" customHeight="1" x14ac:dyDescent="0.2">
      <c r="A19" s="442">
        <v>13</v>
      </c>
      <c r="B19" s="442">
        <v>13</v>
      </c>
      <c r="C19" s="442" t="s">
        <v>1015</v>
      </c>
      <c r="D19" s="43" t="s">
        <v>457</v>
      </c>
      <c r="E19" s="455" t="s">
        <v>219</v>
      </c>
      <c r="F19" s="455" t="s">
        <v>456</v>
      </c>
      <c r="G19" s="456" t="s">
        <v>455</v>
      </c>
      <c r="H19" s="455" t="s">
        <v>454</v>
      </c>
      <c r="I19" s="456" t="s">
        <v>384</v>
      </c>
      <c r="J19" s="457">
        <v>41.158000000000001</v>
      </c>
      <c r="K19" s="481">
        <v>121.70173</v>
      </c>
      <c r="L19" s="481">
        <f t="shared" si="0"/>
        <v>5008.9998033399997</v>
      </c>
      <c r="M19" s="482">
        <v>328.4</v>
      </c>
      <c r="N19" s="482">
        <f t="shared" si="4"/>
        <v>13516.287199999999</v>
      </c>
      <c r="O19" s="458">
        <f t="shared" si="1"/>
        <v>1.6984004253678231</v>
      </c>
      <c r="P19" s="481">
        <f t="shared" si="2"/>
        <v>8507.2873966599982</v>
      </c>
      <c r="Q19" s="444">
        <v>1.2E-2</v>
      </c>
      <c r="R19" s="445">
        <f t="shared" si="3"/>
        <v>162.19544639999998</v>
      </c>
    </row>
    <row r="20" spans="1:19" ht="15" customHeight="1" x14ac:dyDescent="0.2">
      <c r="A20" s="442">
        <v>14</v>
      </c>
      <c r="B20" s="442">
        <v>14</v>
      </c>
      <c r="C20" s="442" t="s">
        <v>1015</v>
      </c>
      <c r="D20" s="43" t="s">
        <v>206</v>
      </c>
      <c r="E20" s="455" t="s">
        <v>207</v>
      </c>
      <c r="F20" s="455" t="s">
        <v>456</v>
      </c>
      <c r="G20" s="456" t="s">
        <v>455</v>
      </c>
      <c r="H20" s="455" t="s">
        <v>454</v>
      </c>
      <c r="I20" s="456" t="s">
        <v>384</v>
      </c>
      <c r="J20" s="457">
        <v>711.20500000000004</v>
      </c>
      <c r="K20" s="481">
        <v>19.71021</v>
      </c>
      <c r="L20" s="481">
        <f t="shared" si="0"/>
        <v>14017.99990305</v>
      </c>
      <c r="M20" s="482">
        <v>44.15</v>
      </c>
      <c r="N20" s="482">
        <f t="shared" si="4"/>
        <v>31399.70075</v>
      </c>
      <c r="O20" s="458">
        <f t="shared" si="1"/>
        <v>1.2399558401457924</v>
      </c>
      <c r="P20" s="481">
        <f t="shared" si="2"/>
        <v>17381.70084695</v>
      </c>
      <c r="Q20" s="444">
        <v>1.7500000000000002E-2</v>
      </c>
      <c r="R20" s="445">
        <f t="shared" si="3"/>
        <v>549.49476312500008</v>
      </c>
    </row>
    <row r="21" spans="1:19" ht="15" customHeight="1" x14ac:dyDescent="0.2">
      <c r="A21" s="442">
        <v>15</v>
      </c>
      <c r="B21" s="442">
        <v>15</v>
      </c>
      <c r="C21" s="442" t="s">
        <v>1015</v>
      </c>
      <c r="D21" s="43" t="s">
        <v>226</v>
      </c>
      <c r="E21" s="455" t="s">
        <v>227</v>
      </c>
      <c r="F21" s="455" t="s">
        <v>456</v>
      </c>
      <c r="G21" s="456" t="s">
        <v>455</v>
      </c>
      <c r="H21" s="455" t="s">
        <v>454</v>
      </c>
      <c r="I21" s="456" t="s">
        <v>384</v>
      </c>
      <c r="J21" s="457">
        <v>83.009</v>
      </c>
      <c r="K21" s="481">
        <v>120.57728</v>
      </c>
      <c r="L21" s="481">
        <f t="shared" si="0"/>
        <v>10008.99943552</v>
      </c>
      <c r="M21" s="482">
        <v>173.71</v>
      </c>
      <c r="N21" s="482">
        <f t="shared" si="4"/>
        <v>14419.493390000001</v>
      </c>
      <c r="O21" s="458">
        <f t="shared" si="1"/>
        <v>0.44065283277247608</v>
      </c>
      <c r="P21" s="481">
        <f t="shared" si="2"/>
        <v>4410.4939544800018</v>
      </c>
      <c r="Q21" s="444">
        <v>1.6E-2</v>
      </c>
      <c r="R21" s="445">
        <f t="shared" si="3"/>
        <v>230.71189424000002</v>
      </c>
    </row>
    <row r="22" spans="1:19" ht="15" customHeight="1" x14ac:dyDescent="0.2">
      <c r="A22" s="442">
        <v>16</v>
      </c>
      <c r="B22" s="442">
        <v>16</v>
      </c>
      <c r="C22" s="442" t="s">
        <v>1015</v>
      </c>
      <c r="D22" s="43" t="s">
        <v>222</v>
      </c>
      <c r="E22" s="455" t="s">
        <v>223</v>
      </c>
      <c r="F22" s="455" t="s">
        <v>456</v>
      </c>
      <c r="G22" s="456" t="s">
        <v>455</v>
      </c>
      <c r="H22" s="455" t="s">
        <v>454</v>
      </c>
      <c r="I22" s="456" t="s">
        <v>384</v>
      </c>
      <c r="J22" s="457">
        <v>326.8</v>
      </c>
      <c r="K22" s="481">
        <v>30.627289999999999</v>
      </c>
      <c r="L22" s="481">
        <f t="shared" si="0"/>
        <v>10008.998372</v>
      </c>
      <c r="M22" s="482">
        <v>116.91</v>
      </c>
      <c r="N22" s="482">
        <f t="shared" si="4"/>
        <v>38206.188000000002</v>
      </c>
      <c r="O22" s="458">
        <f t="shared" si="1"/>
        <v>2.8171839558772587</v>
      </c>
      <c r="P22" s="481">
        <f t="shared" si="2"/>
        <v>28197.189628</v>
      </c>
      <c r="Q22" s="444">
        <v>0.02</v>
      </c>
      <c r="R22" s="445">
        <f t="shared" si="3"/>
        <v>764.12376000000006</v>
      </c>
    </row>
    <row r="23" spans="1:19" ht="15" customHeight="1" x14ac:dyDescent="0.2">
      <c r="A23" s="442">
        <v>17</v>
      </c>
      <c r="B23" s="442">
        <v>17</v>
      </c>
      <c r="C23" s="442" t="s">
        <v>1015</v>
      </c>
      <c r="D23" s="43" t="s">
        <v>217</v>
      </c>
      <c r="E23" s="455" t="s">
        <v>218</v>
      </c>
      <c r="F23" s="455" t="s">
        <v>456</v>
      </c>
      <c r="G23" s="456" t="s">
        <v>455</v>
      </c>
      <c r="H23" s="455" t="s">
        <v>454</v>
      </c>
      <c r="I23" s="456" t="s">
        <v>384</v>
      </c>
      <c r="J23" s="457">
        <v>185.048</v>
      </c>
      <c r="K23" s="481">
        <v>27.068650000000002</v>
      </c>
      <c r="L23" s="481">
        <f t="shared" si="0"/>
        <v>5008.9995452000003</v>
      </c>
      <c r="M23" s="482">
        <v>44.84</v>
      </c>
      <c r="N23" s="482">
        <f t="shared" si="4"/>
        <v>8297.5523200000007</v>
      </c>
      <c r="O23" s="458">
        <f t="shared" si="1"/>
        <v>0.65652886272496047</v>
      </c>
      <c r="P23" s="481">
        <f t="shared" si="2"/>
        <v>3288.5527748000004</v>
      </c>
      <c r="Q23" s="444">
        <v>1.7500000000000002E-2</v>
      </c>
      <c r="R23" s="445">
        <f t="shared" si="3"/>
        <v>145.20716560000002</v>
      </c>
    </row>
    <row r="24" spans="1:19" ht="15" customHeight="1" x14ac:dyDescent="0.2">
      <c r="A24" s="442">
        <v>18</v>
      </c>
      <c r="B24" s="442">
        <v>18</v>
      </c>
      <c r="C24" s="442" t="s">
        <v>1015</v>
      </c>
      <c r="D24" s="43" t="s">
        <v>228</v>
      </c>
      <c r="E24" s="455" t="s">
        <v>229</v>
      </c>
      <c r="F24" s="455" t="s">
        <v>456</v>
      </c>
      <c r="G24" s="456" t="s">
        <v>455</v>
      </c>
      <c r="H24" s="455" t="s">
        <v>454</v>
      </c>
      <c r="I24" s="456" t="s">
        <v>384</v>
      </c>
      <c r="J24" s="457">
        <v>524.13</v>
      </c>
      <c r="K24" s="481">
        <v>23.183710000000001</v>
      </c>
      <c r="L24" s="481">
        <f t="shared" si="0"/>
        <v>12151.2779223</v>
      </c>
      <c r="M24" s="482">
        <v>17.68</v>
      </c>
      <c r="N24" s="482">
        <f t="shared" si="4"/>
        <v>9266.6183999999994</v>
      </c>
      <c r="O24" s="458">
        <f t="shared" si="1"/>
        <v>-0.23739556783620916</v>
      </c>
      <c r="P24" s="481">
        <f t="shared" si="2"/>
        <v>-2884.6595223000004</v>
      </c>
      <c r="Q24" s="444">
        <v>1.4999999999999999E-2</v>
      </c>
      <c r="R24" s="445">
        <f t="shared" si="3"/>
        <v>138.99927599999998</v>
      </c>
    </row>
    <row r="25" spans="1:19" x14ac:dyDescent="0.2">
      <c r="A25" s="442">
        <v>19</v>
      </c>
      <c r="B25" s="442">
        <v>19</v>
      </c>
      <c r="C25" s="442" t="s">
        <v>1015</v>
      </c>
      <c r="D25" s="43" t="s">
        <v>932</v>
      </c>
      <c r="E25" s="455" t="s">
        <v>933</v>
      </c>
      <c r="F25" s="455" t="s">
        <v>456</v>
      </c>
      <c r="G25" s="456" t="s">
        <v>455</v>
      </c>
      <c r="H25" s="455" t="s">
        <v>454</v>
      </c>
      <c r="I25" s="456" t="s">
        <v>384</v>
      </c>
      <c r="J25" s="457">
        <v>172.53</v>
      </c>
      <c r="K25" s="481">
        <v>154.91936999999999</v>
      </c>
      <c r="L25" s="481">
        <f t="shared" si="0"/>
        <v>26728.238906099999</v>
      </c>
      <c r="M25" s="482">
        <v>161.5</v>
      </c>
      <c r="N25" s="482">
        <f t="shared" si="4"/>
        <v>27863.595000000001</v>
      </c>
      <c r="O25" s="458">
        <v>2.4984799999999998</v>
      </c>
      <c r="P25" s="481">
        <v>667.79979390000005</v>
      </c>
      <c r="Q25" s="444">
        <v>0.01</v>
      </c>
      <c r="R25" s="445">
        <f t="shared" si="3"/>
        <v>278.63595000000004</v>
      </c>
      <c r="S25" s="447"/>
    </row>
    <row r="26" spans="1:19" ht="15" customHeight="1" x14ac:dyDescent="0.2">
      <c r="A26" s="442">
        <v>20</v>
      </c>
      <c r="B26" s="443">
        <v>1</v>
      </c>
      <c r="C26" s="442" t="s">
        <v>1016</v>
      </c>
      <c r="D26" s="43" t="s">
        <v>1006</v>
      </c>
      <c r="E26" s="455" t="s">
        <v>1007</v>
      </c>
      <c r="F26" s="455" t="s">
        <v>456</v>
      </c>
      <c r="G26" s="456" t="s">
        <v>455</v>
      </c>
      <c r="H26" s="455" t="s">
        <v>454</v>
      </c>
      <c r="I26" s="456" t="s">
        <v>384</v>
      </c>
      <c r="J26" s="457">
        <v>359.56400000000002</v>
      </c>
      <c r="K26" s="481">
        <v>149.89648</v>
      </c>
      <c r="L26" s="481">
        <v>53897.377934720003</v>
      </c>
      <c r="M26" s="483">
        <v>148.76300000000001</v>
      </c>
      <c r="N26" s="482">
        <f t="shared" si="4"/>
        <v>53489.819332000006</v>
      </c>
      <c r="O26" s="458">
        <f t="shared" ref="O26:O45" si="5">(N26-L26)/L26</f>
        <v>-7.5617519504126551E-3</v>
      </c>
      <c r="P26" s="481">
        <f t="shared" ref="P26:P45" si="6">N26-L26</f>
        <v>-407.558602719997</v>
      </c>
      <c r="Q26" s="444">
        <v>1.66E-2</v>
      </c>
      <c r="R26" s="445">
        <f t="shared" si="3"/>
        <v>887.93100091120016</v>
      </c>
    </row>
    <row r="27" spans="1:19" ht="15" customHeight="1" x14ac:dyDescent="0.2">
      <c r="A27" s="442">
        <v>21</v>
      </c>
      <c r="B27" s="443">
        <v>2</v>
      </c>
      <c r="C27" s="442" t="s">
        <v>1016</v>
      </c>
      <c r="D27" s="43" t="s">
        <v>493</v>
      </c>
      <c r="E27" s="455" t="s">
        <v>494</v>
      </c>
      <c r="F27" s="455" t="s">
        <v>495</v>
      </c>
      <c r="G27" s="456" t="s">
        <v>478</v>
      </c>
      <c r="H27" s="455" t="s">
        <v>264</v>
      </c>
      <c r="I27" s="456" t="s">
        <v>384</v>
      </c>
      <c r="J27" s="457">
        <v>559</v>
      </c>
      <c r="K27" s="481">
        <v>71.488240000000005</v>
      </c>
      <c r="L27" s="481">
        <v>39961.926160000003</v>
      </c>
      <c r="M27" s="483">
        <v>158.97999999999999</v>
      </c>
      <c r="N27" s="482">
        <f t="shared" si="4"/>
        <v>88869.819999999992</v>
      </c>
      <c r="O27" s="458">
        <f t="shared" si="5"/>
        <v>1.2238622744104481</v>
      </c>
      <c r="P27" s="481">
        <f t="shared" si="6"/>
        <v>48907.89383999999</v>
      </c>
      <c r="Q27" s="444">
        <v>3.0000000000000001E-3</v>
      </c>
      <c r="R27" s="445">
        <f t="shared" si="3"/>
        <v>266.60945999999996</v>
      </c>
    </row>
    <row r="28" spans="1:19" ht="15" customHeight="1" x14ac:dyDescent="0.2">
      <c r="A28" s="442">
        <v>22</v>
      </c>
      <c r="B28" s="443">
        <v>3</v>
      </c>
      <c r="C28" s="442" t="s">
        <v>1016</v>
      </c>
      <c r="D28" s="43" t="s">
        <v>490</v>
      </c>
      <c r="E28" s="455" t="s">
        <v>491</v>
      </c>
      <c r="F28" s="455" t="s">
        <v>492</v>
      </c>
      <c r="G28" s="456" t="s">
        <v>489</v>
      </c>
      <c r="H28" s="455" t="s">
        <v>264</v>
      </c>
      <c r="I28" s="456" t="s">
        <v>384</v>
      </c>
      <c r="J28" s="457">
        <v>37</v>
      </c>
      <c r="K28" s="481">
        <v>787.1</v>
      </c>
      <c r="L28" s="481">
        <v>29122.7</v>
      </c>
      <c r="M28" s="483">
        <v>1493.8</v>
      </c>
      <c r="N28" s="482">
        <f t="shared" si="4"/>
        <v>55270.6</v>
      </c>
      <c r="O28" s="458">
        <f t="shared" si="5"/>
        <v>0.89785287765214072</v>
      </c>
      <c r="P28" s="481">
        <f t="shared" si="6"/>
        <v>26147.899999999998</v>
      </c>
      <c r="Q28" s="444">
        <v>1.6500000000000001E-2</v>
      </c>
      <c r="R28" s="445">
        <f t="shared" si="3"/>
        <v>911.96490000000006</v>
      </c>
    </row>
    <row r="29" spans="1:19" ht="15" customHeight="1" x14ac:dyDescent="0.2">
      <c r="A29" s="442">
        <v>23</v>
      </c>
      <c r="B29" s="443">
        <v>4</v>
      </c>
      <c r="C29" s="442" t="s">
        <v>1016</v>
      </c>
      <c r="D29" s="43" t="s">
        <v>496</v>
      </c>
      <c r="E29" s="455" t="s">
        <v>497</v>
      </c>
      <c r="F29" s="455" t="s">
        <v>498</v>
      </c>
      <c r="G29" s="456" t="s">
        <v>478</v>
      </c>
      <c r="H29" s="455" t="s">
        <v>264</v>
      </c>
      <c r="I29" s="456" t="s">
        <v>384</v>
      </c>
      <c r="J29" s="457">
        <v>5105</v>
      </c>
      <c r="K29" s="481">
        <v>10.753080000000001</v>
      </c>
      <c r="L29" s="481">
        <v>54894.473400000003</v>
      </c>
      <c r="M29" s="483">
        <v>18.27</v>
      </c>
      <c r="N29" s="482">
        <f t="shared" si="4"/>
        <v>93268.349999999991</v>
      </c>
      <c r="O29" s="458">
        <f t="shared" si="5"/>
        <v>0.69904808668772089</v>
      </c>
      <c r="P29" s="481">
        <f t="shared" si="6"/>
        <v>38373.876599999989</v>
      </c>
      <c r="Q29" s="444">
        <v>4.4000000000000003E-3</v>
      </c>
      <c r="R29" s="445">
        <f t="shared" si="3"/>
        <v>410.38074</v>
      </c>
    </row>
    <row r="30" spans="1:19" ht="15" customHeight="1" x14ac:dyDescent="0.2">
      <c r="A30" s="442">
        <v>24</v>
      </c>
      <c r="B30" s="443">
        <v>5</v>
      </c>
      <c r="C30" s="442" t="s">
        <v>1016</v>
      </c>
      <c r="D30" s="43" t="s">
        <v>198</v>
      </c>
      <c r="E30" s="455" t="s">
        <v>199</v>
      </c>
      <c r="F30" s="455" t="s">
        <v>456</v>
      </c>
      <c r="G30" s="456" t="s">
        <v>455</v>
      </c>
      <c r="H30" s="455" t="s">
        <v>454</v>
      </c>
      <c r="I30" s="456" t="s">
        <v>384</v>
      </c>
      <c r="J30" s="457">
        <v>1258.9929999999999</v>
      </c>
      <c r="K30" s="481">
        <v>5.5647599999999997</v>
      </c>
      <c r="L30" s="481">
        <v>7005.9938866800003</v>
      </c>
      <c r="M30" s="483">
        <v>9.8940000000000001</v>
      </c>
      <c r="N30" s="482">
        <f t="shared" si="4"/>
        <v>12456.476741999999</v>
      </c>
      <c r="O30" s="458">
        <f t="shared" si="5"/>
        <v>0.7779742522588573</v>
      </c>
      <c r="P30" s="481">
        <f t="shared" si="6"/>
        <v>5450.4828553199986</v>
      </c>
      <c r="Q30" s="444">
        <v>0.02</v>
      </c>
      <c r="R30" s="445">
        <f t="shared" si="3"/>
        <v>249.12953483999999</v>
      </c>
    </row>
    <row r="31" spans="1:19" ht="15" customHeight="1" x14ac:dyDescent="0.2">
      <c r="A31" s="442">
        <v>25</v>
      </c>
      <c r="B31" s="443">
        <v>6</v>
      </c>
      <c r="C31" s="442" t="s">
        <v>1016</v>
      </c>
      <c r="D31" s="43" t="s">
        <v>505</v>
      </c>
      <c r="E31" s="455" t="s">
        <v>506</v>
      </c>
      <c r="F31" s="455" t="s">
        <v>507</v>
      </c>
      <c r="G31" s="456" t="s">
        <v>478</v>
      </c>
      <c r="H31" s="455" t="s">
        <v>264</v>
      </c>
      <c r="I31" s="456" t="s">
        <v>384</v>
      </c>
      <c r="J31" s="457">
        <v>95</v>
      </c>
      <c r="K31" s="481">
        <v>419.11</v>
      </c>
      <c r="L31" s="481">
        <v>39815.449999999997</v>
      </c>
      <c r="M31" s="483">
        <v>711.67</v>
      </c>
      <c r="N31" s="482">
        <f t="shared" si="4"/>
        <v>67608.649999999994</v>
      </c>
      <c r="O31" s="458">
        <f t="shared" si="5"/>
        <v>0.69805063109923404</v>
      </c>
      <c r="P31" s="481">
        <f t="shared" si="6"/>
        <v>27793.199999999997</v>
      </c>
      <c r="Q31" s="444">
        <v>1.6299999999999999E-2</v>
      </c>
      <c r="R31" s="445">
        <f t="shared" si="3"/>
        <v>1102.0209949999999</v>
      </c>
    </row>
    <row r="32" spans="1:19" ht="15" customHeight="1" x14ac:dyDescent="0.2">
      <c r="A32" s="442">
        <v>26</v>
      </c>
      <c r="B32" s="443">
        <v>7</v>
      </c>
      <c r="C32" s="442" t="s">
        <v>1016</v>
      </c>
      <c r="D32" s="43" t="s">
        <v>202</v>
      </c>
      <c r="E32" s="455" t="s">
        <v>203</v>
      </c>
      <c r="F32" s="455" t="s">
        <v>456</v>
      </c>
      <c r="G32" s="456" t="s">
        <v>455</v>
      </c>
      <c r="H32" s="455" t="s">
        <v>454</v>
      </c>
      <c r="I32" s="456" t="s">
        <v>384</v>
      </c>
      <c r="J32" s="457">
        <v>136.58000000000001</v>
      </c>
      <c r="K32" s="481">
        <v>109.86967</v>
      </c>
      <c r="L32" s="481">
        <v>15005.999528599999</v>
      </c>
      <c r="M32" s="483">
        <v>178.08600000000001</v>
      </c>
      <c r="N32" s="482">
        <f t="shared" si="4"/>
        <v>24322.985880000004</v>
      </c>
      <c r="O32" s="458">
        <f t="shared" si="5"/>
        <v>0.620884089303263</v>
      </c>
      <c r="P32" s="481">
        <f t="shared" si="6"/>
        <v>9316.9863514000044</v>
      </c>
      <c r="Q32" s="444">
        <v>1.7500000000000002E-2</v>
      </c>
      <c r="R32" s="445">
        <f t="shared" si="3"/>
        <v>425.65225290000012</v>
      </c>
    </row>
    <row r="33" spans="1:19" ht="15" customHeight="1" x14ac:dyDescent="0.2">
      <c r="A33" s="442">
        <v>27</v>
      </c>
      <c r="B33" s="443">
        <v>8</v>
      </c>
      <c r="C33" s="442" t="s">
        <v>1016</v>
      </c>
      <c r="D33" s="43" t="s">
        <v>508</v>
      </c>
      <c r="E33" s="455" t="s">
        <v>509</v>
      </c>
      <c r="F33" s="455" t="s">
        <v>510</v>
      </c>
      <c r="G33" s="456" t="s">
        <v>489</v>
      </c>
      <c r="H33" s="455" t="s">
        <v>264</v>
      </c>
      <c r="I33" s="456" t="s">
        <v>384</v>
      </c>
      <c r="J33" s="457">
        <v>5890</v>
      </c>
      <c r="K33" s="481">
        <v>5.9489999999999998</v>
      </c>
      <c r="L33" s="481">
        <v>35039.61</v>
      </c>
      <c r="M33" s="483">
        <v>9.11</v>
      </c>
      <c r="N33" s="482">
        <f t="shared" si="4"/>
        <v>53657.899999999994</v>
      </c>
      <c r="O33" s="458">
        <f t="shared" si="5"/>
        <v>0.53134980669019982</v>
      </c>
      <c r="P33" s="481">
        <f t="shared" si="6"/>
        <v>18618.289999999994</v>
      </c>
      <c r="Q33" s="444">
        <v>1.46E-2</v>
      </c>
      <c r="R33" s="445">
        <f t="shared" si="3"/>
        <v>783.40533999999991</v>
      </c>
    </row>
    <row r="34" spans="1:19" ht="15" customHeight="1" x14ac:dyDescent="0.2">
      <c r="A34" s="442">
        <v>28</v>
      </c>
      <c r="B34" s="443">
        <v>9</v>
      </c>
      <c r="C34" s="442" t="s">
        <v>1016</v>
      </c>
      <c r="D34" s="43" t="s">
        <v>486</v>
      </c>
      <c r="E34" s="455" t="s">
        <v>487</v>
      </c>
      <c r="F34" s="455" t="s">
        <v>488</v>
      </c>
      <c r="G34" s="456" t="s">
        <v>489</v>
      </c>
      <c r="H34" s="455" t="s">
        <v>264</v>
      </c>
      <c r="I34" s="456" t="s">
        <v>384</v>
      </c>
      <c r="J34" s="457">
        <v>10774</v>
      </c>
      <c r="K34" s="481">
        <v>3.7119200000000001</v>
      </c>
      <c r="L34" s="481">
        <v>39992.22608</v>
      </c>
      <c r="M34" s="483">
        <v>5.4080000000000004</v>
      </c>
      <c r="N34" s="482">
        <f t="shared" si="4"/>
        <v>58265.792000000001</v>
      </c>
      <c r="O34" s="458">
        <f t="shared" si="5"/>
        <v>0.45692795103342748</v>
      </c>
      <c r="P34" s="481">
        <f t="shared" si="6"/>
        <v>18273.565920000001</v>
      </c>
      <c r="Q34" s="444">
        <v>4.1999999999999997E-3</v>
      </c>
      <c r="R34" s="453">
        <f t="shared" si="3"/>
        <v>244.71632639999999</v>
      </c>
    </row>
    <row r="35" spans="1:19" ht="15" customHeight="1" x14ac:dyDescent="0.2">
      <c r="A35" s="442">
        <v>29</v>
      </c>
      <c r="B35" s="443">
        <v>10</v>
      </c>
      <c r="C35" s="442" t="s">
        <v>1016</v>
      </c>
      <c r="D35" s="43" t="s">
        <v>196</v>
      </c>
      <c r="E35" s="455" t="s">
        <v>197</v>
      </c>
      <c r="F35" s="455" t="s">
        <v>456</v>
      </c>
      <c r="G35" s="456" t="s">
        <v>455</v>
      </c>
      <c r="H35" s="455" t="s">
        <v>454</v>
      </c>
      <c r="I35" s="456" t="s">
        <v>384</v>
      </c>
      <c r="J35" s="457">
        <v>164.10300000000001</v>
      </c>
      <c r="K35" s="481">
        <v>97.536299999999997</v>
      </c>
      <c r="L35" s="481">
        <v>16005.9994389</v>
      </c>
      <c r="M35" s="483">
        <v>145.28800000000001</v>
      </c>
      <c r="N35" s="482">
        <f t="shared" si="4"/>
        <v>23842.196664000003</v>
      </c>
      <c r="O35" s="458">
        <f t="shared" si="5"/>
        <v>0.48957875170577531</v>
      </c>
      <c r="P35" s="481">
        <f t="shared" si="6"/>
        <v>7836.1972251000025</v>
      </c>
      <c r="Q35" s="444">
        <v>1.7000000000000001E-2</v>
      </c>
      <c r="R35" s="445">
        <f t="shared" si="3"/>
        <v>405.31734328800007</v>
      </c>
    </row>
    <row r="36" spans="1:19" ht="15" customHeight="1" x14ac:dyDescent="0.2">
      <c r="A36" s="442">
        <v>30</v>
      </c>
      <c r="B36" s="443">
        <v>11</v>
      </c>
      <c r="C36" s="442" t="s">
        <v>1016</v>
      </c>
      <c r="D36" s="43" t="s">
        <v>482</v>
      </c>
      <c r="E36" s="455" t="s">
        <v>195</v>
      </c>
      <c r="F36" s="455" t="s">
        <v>456</v>
      </c>
      <c r="G36" s="456" t="s">
        <v>455</v>
      </c>
      <c r="H36" s="455" t="s">
        <v>483</v>
      </c>
      <c r="I36" s="456" t="s">
        <v>384</v>
      </c>
      <c r="J36" s="457">
        <v>73.495999999999995</v>
      </c>
      <c r="K36" s="481">
        <v>131.39489</v>
      </c>
      <c r="L36" s="481">
        <v>9656.9988354399993</v>
      </c>
      <c r="M36" s="483">
        <v>194.375</v>
      </c>
      <c r="N36" s="482">
        <f t="shared" si="4"/>
        <v>14285.785</v>
      </c>
      <c r="O36" s="458">
        <f t="shared" si="5"/>
        <v>0.4793193251274841</v>
      </c>
      <c r="P36" s="481">
        <f t="shared" si="6"/>
        <v>4628.7861645600005</v>
      </c>
      <c r="Q36" s="444">
        <v>1.6500000000000001E-2</v>
      </c>
      <c r="R36" s="445">
        <f t="shared" si="3"/>
        <v>235.7154525</v>
      </c>
    </row>
    <row r="37" spans="1:19" ht="15" customHeight="1" x14ac:dyDescent="0.2">
      <c r="A37" s="442">
        <v>31</v>
      </c>
      <c r="B37" s="443">
        <v>12</v>
      </c>
      <c r="C37" s="442" t="s">
        <v>1016</v>
      </c>
      <c r="D37" s="43" t="s">
        <v>204</v>
      </c>
      <c r="E37" s="455" t="s">
        <v>205</v>
      </c>
      <c r="F37" s="455" t="s">
        <v>456</v>
      </c>
      <c r="G37" s="456" t="s">
        <v>455</v>
      </c>
      <c r="H37" s="455" t="s">
        <v>454</v>
      </c>
      <c r="I37" s="456" t="s">
        <v>384</v>
      </c>
      <c r="J37" s="457">
        <v>223.14500000000001</v>
      </c>
      <c r="K37" s="481">
        <v>246.55717000000001</v>
      </c>
      <c r="L37" s="481">
        <v>55017.999699649998</v>
      </c>
      <c r="M37" s="483">
        <v>342.91</v>
      </c>
      <c r="N37" s="482">
        <f t="shared" si="4"/>
        <v>76518.651950000014</v>
      </c>
      <c r="O37" s="458">
        <f t="shared" si="5"/>
        <v>0.3907930562311373</v>
      </c>
      <c r="P37" s="481">
        <f t="shared" si="6"/>
        <v>21500.652250350016</v>
      </c>
      <c r="Q37" s="444">
        <v>1.7500000000000002E-2</v>
      </c>
      <c r="R37" s="445">
        <f t="shared" si="3"/>
        <v>1339.0764091250003</v>
      </c>
    </row>
    <row r="38" spans="1:19" ht="15" customHeight="1" x14ac:dyDescent="0.2">
      <c r="A38" s="442">
        <v>32</v>
      </c>
      <c r="B38" s="443">
        <v>13</v>
      </c>
      <c r="C38" s="442" t="s">
        <v>1016</v>
      </c>
      <c r="D38" s="43" t="s">
        <v>484</v>
      </c>
      <c r="E38" s="455" t="s">
        <v>485</v>
      </c>
      <c r="F38" s="455" t="s">
        <v>456</v>
      </c>
      <c r="G38" s="456" t="s">
        <v>455</v>
      </c>
      <c r="H38" s="455" t="s">
        <v>454</v>
      </c>
      <c r="I38" s="456" t="s">
        <v>384</v>
      </c>
      <c r="J38" s="457">
        <v>357.34399999999999</v>
      </c>
      <c r="K38" s="481">
        <v>111.95374</v>
      </c>
      <c r="L38" s="481">
        <v>40005.99726656</v>
      </c>
      <c r="M38" s="483">
        <v>158.39500000000001</v>
      </c>
      <c r="N38" s="482">
        <f t="shared" si="4"/>
        <v>56601.50288</v>
      </c>
      <c r="O38" s="458">
        <f t="shared" si="5"/>
        <v>0.41482544486678158</v>
      </c>
      <c r="P38" s="481">
        <f t="shared" si="6"/>
        <v>16595.50561344</v>
      </c>
      <c r="Q38" s="444">
        <v>8.9999999999999993E-3</v>
      </c>
      <c r="R38" s="445">
        <f t="shared" si="3"/>
        <v>509.41352591999998</v>
      </c>
    </row>
    <row r="39" spans="1:19" ht="15" customHeight="1" x14ac:dyDescent="0.2">
      <c r="A39" s="442">
        <v>33</v>
      </c>
      <c r="B39" s="443">
        <v>14</v>
      </c>
      <c r="C39" s="442" t="s">
        <v>1016</v>
      </c>
      <c r="D39" s="43" t="s">
        <v>502</v>
      </c>
      <c r="E39" s="455" t="s">
        <v>503</v>
      </c>
      <c r="F39" s="455" t="s">
        <v>504</v>
      </c>
      <c r="G39" s="456" t="s">
        <v>478</v>
      </c>
      <c r="H39" s="455" t="s">
        <v>264</v>
      </c>
      <c r="I39" s="456" t="s">
        <v>384</v>
      </c>
      <c r="J39" s="457">
        <v>3205</v>
      </c>
      <c r="K39" s="481">
        <v>13.974600000000001</v>
      </c>
      <c r="L39" s="481">
        <v>44788.593000000001</v>
      </c>
      <c r="M39" s="483">
        <v>18.532</v>
      </c>
      <c r="N39" s="482">
        <f t="shared" si="4"/>
        <v>59395.06</v>
      </c>
      <c r="O39" s="458">
        <f t="shared" si="5"/>
        <v>0.32612024673335904</v>
      </c>
      <c r="P39" s="481">
        <f t="shared" si="6"/>
        <v>14606.466999999997</v>
      </c>
      <c r="Q39" s="444">
        <v>5.5999999999999999E-3</v>
      </c>
      <c r="R39" s="445">
        <f t="shared" si="3"/>
        <v>332.61233599999997</v>
      </c>
    </row>
    <row r="40" spans="1:19" ht="15" customHeight="1" x14ac:dyDescent="0.2">
      <c r="A40" s="442">
        <v>34</v>
      </c>
      <c r="B40" s="443">
        <v>15</v>
      </c>
      <c r="C40" s="442" t="s">
        <v>1016</v>
      </c>
      <c r="D40" s="43" t="s">
        <v>479</v>
      </c>
      <c r="E40" s="455" t="s">
        <v>480</v>
      </c>
      <c r="F40" s="455" t="s">
        <v>481</v>
      </c>
      <c r="G40" s="456" t="s">
        <v>478</v>
      </c>
      <c r="H40" s="455" t="s">
        <v>264</v>
      </c>
      <c r="I40" s="456" t="s">
        <v>384</v>
      </c>
      <c r="J40" s="457">
        <v>205</v>
      </c>
      <c r="K40" s="481">
        <v>146.72355999999999</v>
      </c>
      <c r="L40" s="481">
        <v>30078.3298</v>
      </c>
      <c r="M40" s="483">
        <v>195</v>
      </c>
      <c r="N40" s="482">
        <f t="shared" si="4"/>
        <v>39975</v>
      </c>
      <c r="O40" s="458">
        <f t="shared" si="5"/>
        <v>0.32902991176059254</v>
      </c>
      <c r="P40" s="481">
        <f t="shared" si="6"/>
        <v>9896.6702000000005</v>
      </c>
      <c r="Q40" s="444">
        <v>4.0000000000000002E-4</v>
      </c>
      <c r="R40" s="445">
        <f t="shared" si="3"/>
        <v>15.99</v>
      </c>
    </row>
    <row r="41" spans="1:19" ht="15" customHeight="1" x14ac:dyDescent="0.2">
      <c r="A41" s="442">
        <v>35</v>
      </c>
      <c r="B41" s="443">
        <v>16</v>
      </c>
      <c r="C41" s="442" t="s">
        <v>1016</v>
      </c>
      <c r="D41" s="43" t="s">
        <v>499</v>
      </c>
      <c r="E41" s="455" t="s">
        <v>500</v>
      </c>
      <c r="F41" s="455" t="s">
        <v>501</v>
      </c>
      <c r="G41" s="456" t="s">
        <v>478</v>
      </c>
      <c r="H41" s="455" t="s">
        <v>264</v>
      </c>
      <c r="I41" s="456" t="s">
        <v>384</v>
      </c>
      <c r="J41" s="457">
        <v>246</v>
      </c>
      <c r="K41" s="481">
        <v>60.99</v>
      </c>
      <c r="L41" s="481">
        <v>15003.54</v>
      </c>
      <c r="M41" s="483">
        <v>77.680000000000007</v>
      </c>
      <c r="N41" s="482">
        <f t="shared" si="4"/>
        <v>19109.280000000002</v>
      </c>
      <c r="O41" s="458">
        <f t="shared" si="5"/>
        <v>0.27365141826528949</v>
      </c>
      <c r="P41" s="481">
        <f t="shared" si="6"/>
        <v>4105.7400000000016</v>
      </c>
      <c r="Q41" s="444">
        <v>2.3E-3</v>
      </c>
      <c r="R41" s="445">
        <f t="shared" si="3"/>
        <v>43.951344000000006</v>
      </c>
    </row>
    <row r="42" spans="1:19" ht="15" customHeight="1" x14ac:dyDescent="0.2">
      <c r="A42" s="442">
        <v>36</v>
      </c>
      <c r="B42" s="443">
        <v>17</v>
      </c>
      <c r="C42" s="442" t="s">
        <v>1016</v>
      </c>
      <c r="D42" s="43" t="s">
        <v>200</v>
      </c>
      <c r="E42" s="455" t="s">
        <v>201</v>
      </c>
      <c r="F42" s="455" t="s">
        <v>456</v>
      </c>
      <c r="G42" s="456" t="s">
        <v>455</v>
      </c>
      <c r="H42" s="455" t="s">
        <v>454</v>
      </c>
      <c r="I42" s="456" t="s">
        <v>384</v>
      </c>
      <c r="J42" s="457">
        <v>161.678</v>
      </c>
      <c r="K42" s="481">
        <v>123.73976999999999</v>
      </c>
      <c r="L42" s="481">
        <v>20005.99853406</v>
      </c>
      <c r="M42" s="483">
        <v>157.13800000000001</v>
      </c>
      <c r="N42" s="482">
        <f t="shared" si="4"/>
        <v>25405.757564</v>
      </c>
      <c r="O42" s="458">
        <f t="shared" si="5"/>
        <v>0.26990699918061911</v>
      </c>
      <c r="P42" s="481">
        <f t="shared" si="6"/>
        <v>5399.7590299399999</v>
      </c>
      <c r="Q42" s="444">
        <v>1.8499999999999999E-2</v>
      </c>
      <c r="R42" s="445">
        <f t="shared" si="3"/>
        <v>470.00651493399999</v>
      </c>
    </row>
    <row r="43" spans="1:19" ht="15" customHeight="1" x14ac:dyDescent="0.2">
      <c r="A43" s="442">
        <v>37</v>
      </c>
      <c r="B43" s="443">
        <v>18</v>
      </c>
      <c r="C43" s="442" t="s">
        <v>1016</v>
      </c>
      <c r="D43" s="43" t="s">
        <v>475</v>
      </c>
      <c r="E43" s="455" t="s">
        <v>476</v>
      </c>
      <c r="F43" s="455" t="s">
        <v>477</v>
      </c>
      <c r="G43" s="456" t="s">
        <v>478</v>
      </c>
      <c r="H43" s="455" t="s">
        <v>264</v>
      </c>
      <c r="I43" s="456" t="s">
        <v>384</v>
      </c>
      <c r="J43" s="457">
        <v>365</v>
      </c>
      <c r="K43" s="481">
        <v>82.416079999999994</v>
      </c>
      <c r="L43" s="481">
        <v>30081.869200000001</v>
      </c>
      <c r="M43" s="483">
        <v>104.04</v>
      </c>
      <c r="N43" s="482">
        <f t="shared" si="4"/>
        <v>37974.600000000006</v>
      </c>
      <c r="O43" s="458">
        <f t="shared" si="5"/>
        <v>0.26237501225489024</v>
      </c>
      <c r="P43" s="481">
        <f t="shared" si="6"/>
        <v>7892.7308000000048</v>
      </c>
      <c r="Q43" s="444">
        <v>1.2999999999999999E-3</v>
      </c>
      <c r="R43" s="445">
        <f t="shared" si="3"/>
        <v>49.366980000000005</v>
      </c>
    </row>
    <row r="44" spans="1:19" ht="15" customHeight="1" x14ac:dyDescent="0.2">
      <c r="A44" s="442">
        <v>38</v>
      </c>
      <c r="B44" s="443">
        <v>1</v>
      </c>
      <c r="C44" s="442" t="s">
        <v>1056</v>
      </c>
      <c r="D44" s="43" t="s">
        <v>1059</v>
      </c>
      <c r="E44" s="455" t="s">
        <v>1072</v>
      </c>
      <c r="F44" s="455" t="s">
        <v>1060</v>
      </c>
      <c r="G44" s="456"/>
      <c r="H44" s="455" t="s">
        <v>264</v>
      </c>
      <c r="I44" s="456" t="s">
        <v>384</v>
      </c>
      <c r="J44" s="457">
        <v>186</v>
      </c>
      <c r="K44" s="481">
        <v>160.74</v>
      </c>
      <c r="L44" s="481">
        <f>J44*K44</f>
        <v>29897.640000000003</v>
      </c>
      <c r="M44" s="482">
        <v>168.22</v>
      </c>
      <c r="N44" s="482">
        <f>J44*M44</f>
        <v>31288.92</v>
      </c>
      <c r="O44" s="458">
        <f t="shared" si="5"/>
        <v>4.6534776657956786E-2</v>
      </c>
      <c r="P44" s="481">
        <f t="shared" si="6"/>
        <v>1391.2799999999952</v>
      </c>
      <c r="Q44" s="444">
        <v>8.9999999999999998E-4</v>
      </c>
      <c r="R44" s="445">
        <f t="shared" si="3"/>
        <v>28.160027999999997</v>
      </c>
    </row>
    <row r="45" spans="1:19" ht="15" customHeight="1" x14ac:dyDescent="0.2">
      <c r="A45" s="442">
        <v>39</v>
      </c>
      <c r="B45" s="443">
        <v>2</v>
      </c>
      <c r="C45" s="442" t="s">
        <v>1056</v>
      </c>
      <c r="D45" s="43" t="s">
        <v>1057</v>
      </c>
      <c r="E45" s="455" t="s">
        <v>1071</v>
      </c>
      <c r="F45" s="455" t="s">
        <v>1058</v>
      </c>
      <c r="G45" s="456"/>
      <c r="H45" s="455" t="s">
        <v>264</v>
      </c>
      <c r="I45" s="456" t="s">
        <v>384</v>
      </c>
      <c r="J45" s="457">
        <v>430</v>
      </c>
      <c r="K45" s="481">
        <v>65.848100000000002</v>
      </c>
      <c r="L45" s="481">
        <f>J45*K45</f>
        <v>28314.683000000001</v>
      </c>
      <c r="M45" s="482">
        <v>69.08</v>
      </c>
      <c r="N45" s="482">
        <f>J45*M45</f>
        <v>29704.399999999998</v>
      </c>
      <c r="O45" s="458">
        <f t="shared" si="5"/>
        <v>4.9081142812017246E-2</v>
      </c>
      <c r="P45" s="481">
        <f t="shared" si="6"/>
        <v>1389.7169999999969</v>
      </c>
      <c r="Q45" s="444">
        <v>2.5000000000000001E-3</v>
      </c>
      <c r="R45" s="445">
        <f t="shared" si="3"/>
        <v>74.260999999999996</v>
      </c>
    </row>
    <row r="46" spans="1:19" x14ac:dyDescent="0.2">
      <c r="R46" s="446">
        <f>SUM(R26:R43)</f>
        <v>8683.2604558182011</v>
      </c>
      <c r="S46" s="447"/>
    </row>
    <row r="47" spans="1:19" x14ac:dyDescent="0.2">
      <c r="D47" s="448" t="s">
        <v>37</v>
      </c>
      <c r="L47" s="448" t="s">
        <v>453</v>
      </c>
      <c r="N47" s="448" t="s">
        <v>452</v>
      </c>
      <c r="O47" s="448" t="s">
        <v>193</v>
      </c>
      <c r="P47" s="448" t="s">
        <v>451</v>
      </c>
      <c r="Q47" s="448"/>
      <c r="R47" s="448"/>
    </row>
    <row r="48" spans="1:19" x14ac:dyDescent="0.2">
      <c r="D48" s="449"/>
      <c r="L48" s="450">
        <f>SUM(L7:L45)</f>
        <v>783077.86477290094</v>
      </c>
      <c r="N48" s="450">
        <f>SUM(N7:N45)</f>
        <v>1169829.7168590003</v>
      </c>
      <c r="O48" s="451">
        <f>(N48-L48)/L48</f>
        <v>0.49388683997377525</v>
      </c>
      <c r="P48" s="450">
        <f>N48-L48</f>
        <v>386751.85208609933</v>
      </c>
      <c r="Q48" s="452"/>
      <c r="R48" s="452"/>
    </row>
    <row r="58" spans="3:3" x14ac:dyDescent="0.2">
      <c r="C58" s="441" t="s">
        <v>806</v>
      </c>
    </row>
    <row r="59" spans="3:3" x14ac:dyDescent="0.2">
      <c r="C59" s="454" t="s">
        <v>803</v>
      </c>
    </row>
    <row r="60" spans="3:3" x14ac:dyDescent="0.2">
      <c r="C60" s="454" t="s">
        <v>805</v>
      </c>
    </row>
    <row r="61" spans="3:3" x14ac:dyDescent="0.2">
      <c r="C61" s="441" t="s">
        <v>804</v>
      </c>
    </row>
  </sheetData>
  <autoFilter ref="A6:R6" xr:uid="{6972E8C8-0612-4749-9B67-AFB29095DB62}">
    <sortState xmlns:xlrd2="http://schemas.microsoft.com/office/spreadsheetml/2017/richdata2" ref="A7:R46">
      <sortCondition ref="A6:A46"/>
    </sortState>
  </autoFilter>
  <mergeCells count="3">
    <mergeCell ref="A4:R4"/>
    <mergeCell ref="E1:F1"/>
    <mergeCell ref="A1:D1"/>
  </mergeCells>
  <conditionalFormatting sqref="O7:O4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45">
    <cfRule type="colorScale" priority="2">
      <colorScale>
        <cfvo type="min"/>
        <cfvo type="percentile" val="50"/>
        <cfvo type="max"/>
        <color rgb="FF00B050"/>
        <color rgb="FFFFEB84"/>
        <color rgb="FFFF0000"/>
      </colorScale>
    </cfRule>
  </conditionalFormatting>
  <pageMargins left="0.75" right="0.75" top="1" bottom="1" header="0.3" footer="0.3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BE81-0483-1240-A885-1ABD67115030}">
  <sheetPr codeName="Foglio16">
    <tabColor rgb="FF0070C0"/>
  </sheetPr>
  <dimension ref="A1:N33"/>
  <sheetViews>
    <sheetView zoomScale="120" zoomScaleNormal="120" workbookViewId="0">
      <selection activeCell="D8" sqref="D8"/>
    </sheetView>
  </sheetViews>
  <sheetFormatPr baseColWidth="10" defaultRowHeight="16" x14ac:dyDescent="0.2"/>
  <cols>
    <col min="1" max="1" width="26.19921875" style="125" customWidth="1"/>
    <col min="2" max="7" width="21" style="125" customWidth="1"/>
    <col min="8" max="8" width="25.19921875" style="125" customWidth="1"/>
    <col min="9" max="9" width="18.59765625" style="125" customWidth="1"/>
    <col min="10" max="10" width="19.3984375" style="85" customWidth="1"/>
    <col min="11" max="11" width="15.59765625" style="85" bestFit="1" customWidth="1"/>
    <col min="12" max="12" width="15.59765625" style="125" bestFit="1" customWidth="1"/>
    <col min="13" max="13" width="19" style="125" customWidth="1"/>
    <col min="14" max="14" width="11.3984375" style="125" bestFit="1" customWidth="1"/>
    <col min="15" max="16384" width="11" style="125"/>
  </cols>
  <sheetData>
    <row r="1" spans="1:11" ht="21" x14ac:dyDescent="0.2">
      <c r="A1" s="399" t="s">
        <v>411</v>
      </c>
      <c r="B1" s="399"/>
      <c r="C1" s="399"/>
      <c r="D1" s="399"/>
      <c r="I1" s="85"/>
      <c r="K1" s="125"/>
    </row>
    <row r="2" spans="1:11" x14ac:dyDescent="0.2">
      <c r="G2" s="517" t="s">
        <v>441</v>
      </c>
      <c r="H2" s="518"/>
      <c r="I2" s="518"/>
      <c r="K2" s="125"/>
    </row>
    <row r="3" spans="1:11" x14ac:dyDescent="0.2">
      <c r="A3" s="400" t="s">
        <v>439</v>
      </c>
      <c r="B3" s="400"/>
      <c r="C3" s="400"/>
      <c r="D3" s="400"/>
      <c r="G3" s="329" t="s">
        <v>379</v>
      </c>
      <c r="H3" s="8">
        <v>1.1352</v>
      </c>
      <c r="I3" s="125" t="s">
        <v>380</v>
      </c>
      <c r="K3" s="125"/>
    </row>
    <row r="4" spans="1:11" x14ac:dyDescent="0.2">
      <c r="A4" s="309" t="s">
        <v>378</v>
      </c>
      <c r="B4" s="309" t="s">
        <v>434</v>
      </c>
      <c r="C4" s="309" t="s">
        <v>435</v>
      </c>
      <c r="D4" s="309" t="s">
        <v>440</v>
      </c>
      <c r="G4" s="329" t="s">
        <v>379</v>
      </c>
      <c r="H4" s="8">
        <v>3.6729799999999999</v>
      </c>
      <c r="I4" s="125" t="s">
        <v>381</v>
      </c>
      <c r="J4" s="125"/>
      <c r="K4" s="125"/>
    </row>
    <row r="5" spans="1:11" x14ac:dyDescent="0.2">
      <c r="A5" s="325">
        <v>2025</v>
      </c>
      <c r="B5" s="326"/>
      <c r="C5" s="326">
        <v>218149.30000000002</v>
      </c>
      <c r="D5" s="326">
        <f>SUM(B5:C5)</f>
        <v>218149.30000000002</v>
      </c>
      <c r="G5" s="125" t="e" vm="1">
        <v>#VALUE!</v>
      </c>
      <c r="H5" s="410" cm="1">
        <v>0.2326</v>
      </c>
      <c r="J5" s="125"/>
      <c r="K5" s="125"/>
    </row>
    <row r="6" spans="1:11" x14ac:dyDescent="0.2">
      <c r="A6" s="325">
        <v>2026</v>
      </c>
      <c r="B6" s="326">
        <f ca="1">IF(MONTH(TODAY())=12, 0, SUM(INDEX(Forecast!D130:'Forecast'!O130, 1, MONTH(TODAY())+1):'Forecast'!O130))</f>
        <v>48891.156304833465</v>
      </c>
      <c r="C6" s="326">
        <f ca="1">SUM(Forecast!D130:INDEX(Forecast!D130:'Forecast'!O130, 1, MONTH(TODAY())))</f>
        <v>71060.82007880001</v>
      </c>
      <c r="D6" s="326">
        <f t="shared" ref="D6:D7" ca="1" si="0">SUM(B6:C6)</f>
        <v>119951.97638363348</v>
      </c>
      <c r="G6" s="329"/>
      <c r="H6" s="8"/>
      <c r="J6" s="125"/>
      <c r="K6" s="125"/>
    </row>
    <row r="7" spans="1:11" x14ac:dyDescent="0.2">
      <c r="A7" s="325">
        <v>2027</v>
      </c>
      <c r="B7" s="326" cm="1">
        <f t="array" aca="1" ref="B7" ca="1">688160*_FV(G5,"Prezzo")</f>
        <v>164332.60800000001</v>
      </c>
      <c r="C7" s="326"/>
      <c r="D7" s="326">
        <f t="shared" ca="1" si="0"/>
        <v>164332.60800000001</v>
      </c>
      <c r="G7" s="329"/>
      <c r="H7" s="8"/>
      <c r="J7" s="125"/>
      <c r="K7" s="125"/>
    </row>
    <row r="8" spans="1:11" x14ac:dyDescent="0.2">
      <c r="A8" s="327"/>
      <c r="B8" s="328">
        <f ca="1">SUM(B6:B7)</f>
        <v>213223.76430483349</v>
      </c>
      <c r="C8" s="476">
        <f ca="1">SUM(C5:C7)</f>
        <v>289210.12007880001</v>
      </c>
      <c r="D8" s="309">
        <f ca="1">SUM(D5:D7)</f>
        <v>502433.8843836335</v>
      </c>
      <c r="E8" s="370" t="s">
        <v>162</v>
      </c>
      <c r="I8" s="85"/>
      <c r="J8" s="125"/>
      <c r="K8" s="125"/>
    </row>
    <row r="9" spans="1:11" x14ac:dyDescent="0.2">
      <c r="B9" s="368"/>
      <c r="K9" s="125"/>
    </row>
    <row r="10" spans="1:11" x14ac:dyDescent="0.2">
      <c r="B10" s="368"/>
      <c r="K10" s="125"/>
    </row>
    <row r="11" spans="1:11" x14ac:dyDescent="0.2">
      <c r="B11" s="368"/>
      <c r="K11" s="125"/>
    </row>
    <row r="12" spans="1:11" x14ac:dyDescent="0.2">
      <c r="J12" s="341"/>
      <c r="K12" s="125"/>
    </row>
    <row r="13" spans="1:11" ht="21" x14ac:dyDescent="0.25">
      <c r="A13" s="519" t="s">
        <v>390</v>
      </c>
      <c r="B13" s="520"/>
      <c r="C13" s="520"/>
      <c r="D13" s="347"/>
      <c r="E13" s="347"/>
    </row>
    <row r="14" spans="1:11" x14ac:dyDescent="0.25">
      <c r="A14" s="349" t="s">
        <v>410</v>
      </c>
      <c r="B14" s="367" t="s">
        <v>77</v>
      </c>
      <c r="C14" s="367" t="s">
        <v>163</v>
      </c>
      <c r="D14" s="347"/>
      <c r="E14" s="347"/>
      <c r="I14" s="347"/>
      <c r="J14" s="361"/>
    </row>
    <row r="15" spans="1:11" x14ac:dyDescent="0.25">
      <c r="A15" s="347" t="s">
        <v>409</v>
      </c>
      <c r="B15" s="348">
        <f>'El Toro'!D6</f>
        <v>274802.15000000002</v>
      </c>
      <c r="C15" s="347"/>
      <c r="D15" s="347"/>
      <c r="E15" s="347"/>
      <c r="I15" s="347"/>
      <c r="J15" s="361"/>
    </row>
    <row r="16" spans="1:11" x14ac:dyDescent="0.25">
      <c r="A16" s="347" t="s">
        <v>408</v>
      </c>
      <c r="B16" s="348">
        <f>'El Toro'!D7</f>
        <v>889191.96</v>
      </c>
      <c r="C16" s="347"/>
      <c r="D16" s="347"/>
      <c r="E16" s="347"/>
      <c r="F16" s="347"/>
      <c r="G16" s="347"/>
      <c r="H16" s="347"/>
      <c r="I16" s="347"/>
      <c r="J16" s="361"/>
    </row>
    <row r="17" spans="1:14" x14ac:dyDescent="0.25">
      <c r="A17" s="347" t="s">
        <v>407</v>
      </c>
      <c r="B17" s="348">
        <f>B15+B16</f>
        <v>1163994.1099999999</v>
      </c>
      <c r="C17" s="347"/>
      <c r="D17" s="347"/>
      <c r="E17" s="347"/>
      <c r="F17" s="347"/>
      <c r="G17" s="347"/>
      <c r="H17" s="347"/>
      <c r="I17" s="347"/>
      <c r="J17" s="361"/>
    </row>
    <row r="18" spans="1:14" x14ac:dyDescent="0.25">
      <c r="A18" s="347" t="s">
        <v>406</v>
      </c>
      <c r="B18" s="354">
        <v>0.21</v>
      </c>
      <c r="C18" s="347"/>
      <c r="D18" s="347"/>
      <c r="E18" s="347"/>
      <c r="F18" s="347"/>
      <c r="G18" s="347"/>
      <c r="H18" s="347"/>
      <c r="I18" s="347"/>
      <c r="J18" s="361"/>
    </row>
    <row r="19" spans="1:14" x14ac:dyDescent="0.25">
      <c r="A19" s="347" t="s">
        <v>433</v>
      </c>
      <c r="B19" s="348">
        <v>3898</v>
      </c>
      <c r="C19" s="347" t="s">
        <v>405</v>
      </c>
      <c r="D19" s="347"/>
      <c r="E19" s="347"/>
      <c r="F19" s="347"/>
      <c r="G19" s="347"/>
      <c r="H19" s="347"/>
      <c r="I19" s="347"/>
      <c r="J19" s="361"/>
    </row>
    <row r="20" spans="1:14" x14ac:dyDescent="0.25">
      <c r="A20" s="352"/>
      <c r="B20" s="353"/>
      <c r="C20" s="352"/>
      <c r="D20" s="347"/>
      <c r="E20" s="347"/>
      <c r="F20" s="347"/>
      <c r="G20" s="347"/>
      <c r="H20" s="347"/>
      <c r="I20" s="347"/>
      <c r="J20" s="361"/>
    </row>
    <row r="21" spans="1:14" ht="17" x14ac:dyDescent="0.25">
      <c r="A21" s="515" t="s">
        <v>426</v>
      </c>
      <c r="B21" s="516"/>
      <c r="C21" s="516"/>
      <c r="D21" s="516"/>
      <c r="E21" s="516"/>
      <c r="F21" s="516"/>
      <c r="G21" s="516"/>
      <c r="H21" s="516"/>
      <c r="I21" s="516"/>
      <c r="J21" s="516"/>
    </row>
    <row r="22" spans="1:14" s="351" customFormat="1" ht="48" customHeight="1" x14ac:dyDescent="0.2">
      <c r="A22" s="350" t="s">
        <v>404</v>
      </c>
      <c r="B22" s="350" t="s">
        <v>432</v>
      </c>
      <c r="C22" s="350" t="s">
        <v>403</v>
      </c>
      <c r="D22" s="350" t="s">
        <v>412</v>
      </c>
      <c r="E22" s="350" t="s">
        <v>429</v>
      </c>
      <c r="F22" s="350" t="s">
        <v>413</v>
      </c>
      <c r="G22" s="350" t="s">
        <v>414</v>
      </c>
      <c r="H22" s="350" t="s">
        <v>415</v>
      </c>
      <c r="I22" s="350" t="s">
        <v>428</v>
      </c>
      <c r="J22" s="350" t="s">
        <v>430</v>
      </c>
      <c r="K22" s="350" t="s">
        <v>423</v>
      </c>
      <c r="L22" s="350" t="s">
        <v>613</v>
      </c>
    </row>
    <row r="23" spans="1:14" s="363" customFormat="1" ht="15" x14ac:dyDescent="0.2">
      <c r="A23" s="402">
        <v>2150000</v>
      </c>
      <c r="B23" s="402">
        <f>150000*1</f>
        <v>150000</v>
      </c>
      <c r="C23" s="357">
        <v>0.05</v>
      </c>
      <c r="D23" s="402">
        <v>130075</v>
      </c>
      <c r="E23" s="402">
        <f>'Conto Economico'!O256</f>
        <v>19542.96</v>
      </c>
      <c r="F23" s="402">
        <f>$B$19</f>
        <v>3898</v>
      </c>
      <c r="G23" s="402">
        <f>A23-B23-D23-F23-$B$17-E23</f>
        <v>682489.93000000017</v>
      </c>
      <c r="H23" s="355">
        <f>ROUND(MAX(MIN(G23,6000),0)*0.19 + MAX(MIN(G23-6000,44000),0)*0.21 + MAX(MIN(G23-50000,150000),0)*0.23 + MAX(MIN(G23-200000,100000),0)*0.27 + MAX(G23-300000,0)*0.28,0)</f>
        <v>178977</v>
      </c>
      <c r="I23" s="402">
        <f>D23+E23+F23+H23</f>
        <v>332492.95999999996</v>
      </c>
      <c r="J23" s="402">
        <f>A23-I23</f>
        <v>1817507.04</v>
      </c>
      <c r="K23" s="362">
        <f>J23/A23</f>
        <v>0.84535211162790702</v>
      </c>
      <c r="L23" s="403">
        <f>J23-B17</f>
        <v>653512.93000000017</v>
      </c>
    </row>
    <row r="24" spans="1:14" s="363" customFormat="1" ht="4" customHeight="1" x14ac:dyDescent="0.2">
      <c r="A24" s="356"/>
      <c r="B24" s="356"/>
      <c r="C24" s="358"/>
      <c r="D24" s="356"/>
      <c r="E24" s="356"/>
      <c r="F24" s="356"/>
      <c r="G24" s="356"/>
      <c r="H24" s="356"/>
      <c r="I24" s="356"/>
      <c r="J24" s="356"/>
      <c r="K24" s="356"/>
      <c r="L24" s="356"/>
    </row>
    <row r="25" spans="1:14" x14ac:dyDescent="0.2">
      <c r="A25" s="355"/>
      <c r="B25" s="357"/>
      <c r="C25" s="355"/>
      <c r="D25" s="355"/>
      <c r="E25" s="355"/>
      <c r="F25" s="355"/>
      <c r="G25" s="355"/>
      <c r="H25" s="364"/>
      <c r="I25" s="360"/>
      <c r="J25" s="321"/>
      <c r="K25" s="359"/>
      <c r="L25" s="85"/>
    </row>
    <row r="26" spans="1:14" ht="17" x14ac:dyDescent="0.25">
      <c r="A26" s="515" t="s">
        <v>427</v>
      </c>
      <c r="B26" s="516"/>
      <c r="C26" s="516"/>
      <c r="D26" s="516"/>
      <c r="E26" s="516"/>
      <c r="F26" s="516"/>
      <c r="G26" s="516"/>
      <c r="H26" s="516"/>
      <c r="I26" s="516"/>
      <c r="J26" s="516"/>
    </row>
    <row r="27" spans="1:14" s="351" customFormat="1" ht="48" customHeight="1" x14ac:dyDescent="0.2">
      <c r="A27" s="350" t="s">
        <v>404</v>
      </c>
      <c r="B27" s="350" t="s">
        <v>432</v>
      </c>
      <c r="C27" s="350" t="s">
        <v>403</v>
      </c>
      <c r="D27" s="350" t="s">
        <v>412</v>
      </c>
      <c r="E27" s="350" t="s">
        <v>429</v>
      </c>
      <c r="F27" s="350" t="s">
        <v>413</v>
      </c>
      <c r="G27" s="350" t="s">
        <v>414</v>
      </c>
      <c r="H27" s="350" t="s">
        <v>424</v>
      </c>
      <c r="I27" s="350" t="s">
        <v>428</v>
      </c>
      <c r="J27" s="350" t="s">
        <v>430</v>
      </c>
      <c r="K27" s="350" t="s">
        <v>423</v>
      </c>
      <c r="L27" s="350" t="s">
        <v>425</v>
      </c>
    </row>
    <row r="28" spans="1:14" x14ac:dyDescent="0.2">
      <c r="A28" s="402">
        <v>2150000</v>
      </c>
      <c r="B28" s="402">
        <v>150000</v>
      </c>
      <c r="C28" s="357">
        <v>0.05</v>
      </c>
      <c r="D28" s="402">
        <f>A28*C28*(1+$B$18)</f>
        <v>130075</v>
      </c>
      <c r="E28" s="402">
        <f>E23</f>
        <v>19542.96</v>
      </c>
      <c r="F28" s="402">
        <f>$B$19</f>
        <v>3898</v>
      </c>
      <c r="G28" s="402">
        <f>A28-B28-D28-F28-$B$17-E28</f>
        <v>682489.93000000017</v>
      </c>
      <c r="H28" s="355">
        <f t="shared" ref="H28" si="1">G28*0.19</f>
        <v>129673.08670000003</v>
      </c>
      <c r="I28" s="402">
        <f>D28+E28+F28+H28</f>
        <v>283189.04670000001</v>
      </c>
      <c r="J28" s="402">
        <f>A28-I28</f>
        <v>1866810.9532999999</v>
      </c>
      <c r="K28" s="362">
        <f>J28/A28</f>
        <v>0.86828416432558142</v>
      </c>
      <c r="L28" s="402">
        <f>J28-J23</f>
        <v>49303.913299999898</v>
      </c>
      <c r="M28" s="85"/>
      <c r="N28" s="85"/>
    </row>
    <row r="29" spans="1:14" s="363" customFormat="1" ht="4" customHeight="1" x14ac:dyDescent="0.2">
      <c r="A29" s="356"/>
      <c r="B29" s="356"/>
      <c r="C29" s="358"/>
      <c r="D29" s="356"/>
      <c r="E29" s="356"/>
      <c r="F29" s="356"/>
      <c r="G29" s="356"/>
      <c r="H29" s="356"/>
      <c r="I29" s="356"/>
      <c r="J29" s="356"/>
      <c r="K29" s="356"/>
      <c r="L29" s="356"/>
    </row>
    <row r="30" spans="1:14" x14ac:dyDescent="0.2">
      <c r="K30" s="125"/>
    </row>
    <row r="31" spans="1:14" x14ac:dyDescent="0.2">
      <c r="G31" s="359"/>
      <c r="J31" s="462"/>
    </row>
    <row r="32" spans="1:14" x14ac:dyDescent="0.2">
      <c r="J32" s="462"/>
    </row>
    <row r="33" spans="10:10" x14ac:dyDescent="0.2">
      <c r="J33" s="463"/>
    </row>
  </sheetData>
  <mergeCells count="4">
    <mergeCell ref="A21:J21"/>
    <mergeCell ref="A26:J26"/>
    <mergeCell ref="G2:I2"/>
    <mergeCell ref="A13:C13"/>
  </mergeCells>
  <dataValidations disablePrompts="1" count="1">
    <dataValidation type="list" sqref="C28:C29 C23:C24 B25" xr:uid="{0CB78D78-D37E-5542-9222-DFA0514C799B}">
      <formula1>"0.05,0.06"</formula1>
    </dataValidation>
  </dataValidations>
  <pageMargins left="0.7" right="0.7" top="0.75" bottom="0.75" header="0.3" footer="0.3"/>
  <pageSetup paperSize="9" orientation="portrait" horizontalDpi="0" verticalDpi="0"/>
  <ignoredErrors>
    <ignoredError sqref="D5 D7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63D52-044D-9241-99BC-65721F0018D6}">
  <dimension ref="A1:D3"/>
  <sheetViews>
    <sheetView zoomScale="170" zoomScaleNormal="170" workbookViewId="0">
      <selection activeCell="B3" sqref="B3"/>
    </sheetView>
  </sheetViews>
  <sheetFormatPr baseColWidth="10" defaultRowHeight="14" x14ac:dyDescent="0.2"/>
  <cols>
    <col min="2" max="2" width="18" bestFit="1" customWidth="1"/>
    <col min="3" max="3" width="15.19921875" bestFit="1" customWidth="1"/>
  </cols>
  <sheetData>
    <row r="1" spans="1:4" ht="34" x14ac:dyDescent="0.2">
      <c r="A1" s="374" t="s">
        <v>1061</v>
      </c>
      <c r="B1" s="374" t="s">
        <v>77</v>
      </c>
      <c r="C1" s="374" t="s">
        <v>1062</v>
      </c>
      <c r="D1" s="374" t="s">
        <v>163</v>
      </c>
    </row>
    <row r="2" spans="1:4" x14ac:dyDescent="0.2">
      <c r="A2" t="s">
        <v>1063</v>
      </c>
      <c r="B2" s="60">
        <f>500000*0.55</f>
        <v>275000</v>
      </c>
      <c r="C2" s="60">
        <f>('Mutuo Riccione'!F4)</f>
        <v>50536.249999999993</v>
      </c>
      <c r="D2" t="s">
        <v>1064</v>
      </c>
    </row>
    <row r="3" spans="1:4" x14ac:dyDescent="0.2">
      <c r="A3" t="s">
        <v>431</v>
      </c>
      <c r="B3" s="60">
        <v>510000</v>
      </c>
      <c r="C3" s="60">
        <f ca="1">Dubai!B8</f>
        <v>213223.76430483349</v>
      </c>
      <c r="D3" t="s">
        <v>1065</v>
      </c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24498-8ABA-D541-A88C-52A924DB283F}">
  <dimension ref="A1:C6"/>
  <sheetViews>
    <sheetView zoomScale="160" zoomScaleNormal="160" workbookViewId="0">
      <selection activeCell="G8" sqref="G8"/>
    </sheetView>
  </sheetViews>
  <sheetFormatPr baseColWidth="10" defaultRowHeight="14" x14ac:dyDescent="0.2"/>
  <cols>
    <col min="1" max="1" width="24.19921875" bestFit="1" customWidth="1"/>
    <col min="3" max="3" width="11.796875" bestFit="1" customWidth="1"/>
  </cols>
  <sheetData>
    <row r="1" spans="1:3" ht="17" x14ac:dyDescent="0.2">
      <c r="A1" s="374" t="s">
        <v>410</v>
      </c>
      <c r="B1" s="374" t="s">
        <v>77</v>
      </c>
    </row>
    <row r="2" spans="1:3" x14ac:dyDescent="0.2">
      <c r="A2" t="s">
        <v>1066</v>
      </c>
      <c r="B2" s="477">
        <v>0.02</v>
      </c>
    </row>
    <row r="3" spans="1:3" x14ac:dyDescent="0.2">
      <c r="A3" t="s">
        <v>1067</v>
      </c>
      <c r="B3" s="477">
        <v>0.08</v>
      </c>
    </row>
    <row r="4" spans="1:3" x14ac:dyDescent="0.2">
      <c r="A4" t="s">
        <v>1068</v>
      </c>
      <c r="B4" s="477">
        <v>0.03</v>
      </c>
    </row>
    <row r="5" spans="1:3" x14ac:dyDescent="0.2">
      <c r="A5" t="s">
        <v>1069</v>
      </c>
      <c r="B5" s="477">
        <v>3.5000000000000003E-2</v>
      </c>
    </row>
    <row r="6" spans="1:3" x14ac:dyDescent="0.2">
      <c r="A6" t="s">
        <v>1070</v>
      </c>
      <c r="B6" s="478" cm="1">
        <f t="array" aca="1" ref="B6" ca="1">_FV(C6,"Prezzo")</f>
        <v>1.1397999999999999</v>
      </c>
      <c r="C6" t="e" vm="2">
        <v>#VALUE!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1534B-DE6B-0545-9ABA-8F06A4393795}">
  <sheetPr codeName="Foglio22"/>
  <dimension ref="A1:N366"/>
  <sheetViews>
    <sheetView topLeftCell="A175" zoomScale="170" zoomScaleNormal="170" workbookViewId="0">
      <selection activeCell="H195" sqref="H195"/>
    </sheetView>
  </sheetViews>
  <sheetFormatPr baseColWidth="10" defaultColWidth="9" defaultRowHeight="13" x14ac:dyDescent="0.2"/>
  <cols>
    <col min="1" max="8" width="20.3984375" style="310" customWidth="1"/>
    <col min="9" max="9" width="13" style="310" bestFit="1" customWidth="1"/>
    <col min="10" max="14" width="10.796875" style="310" bestFit="1" customWidth="1"/>
    <col min="15" max="16384" width="9" style="310"/>
  </cols>
  <sheetData>
    <row r="1" spans="1:10" ht="251" customHeight="1" x14ac:dyDescent="0.2">
      <c r="A1" s="521" t="s">
        <v>365</v>
      </c>
      <c r="B1" s="521"/>
      <c r="C1" s="521"/>
      <c r="D1" s="521"/>
      <c r="E1" s="521"/>
      <c r="F1" s="521"/>
      <c r="G1" s="521"/>
      <c r="H1" s="521"/>
      <c r="I1" s="521"/>
      <c r="J1" s="521"/>
    </row>
    <row r="2" spans="1:10" ht="21" customHeight="1" x14ac:dyDescent="0.2">
      <c r="A2" s="315" t="s">
        <v>367</v>
      </c>
      <c r="B2" s="313"/>
      <c r="C2" s="313"/>
      <c r="D2" s="313"/>
      <c r="E2" s="313"/>
      <c r="F2" s="314">
        <v>187.5</v>
      </c>
      <c r="G2" s="313"/>
      <c r="H2" s="313"/>
    </row>
    <row r="3" spans="1:10" ht="21" customHeight="1" x14ac:dyDescent="0.2">
      <c r="A3" s="315" t="s">
        <v>366</v>
      </c>
      <c r="B3" s="313"/>
      <c r="C3" s="313"/>
      <c r="D3" s="313"/>
      <c r="E3" s="313"/>
      <c r="F3" s="314">
        <v>200</v>
      </c>
      <c r="G3" s="313"/>
      <c r="H3" s="313"/>
    </row>
    <row r="4" spans="1:10" ht="21" customHeight="1" x14ac:dyDescent="0.2">
      <c r="A4" s="315" t="s">
        <v>1054</v>
      </c>
      <c r="B4" s="313"/>
      <c r="C4" s="313"/>
      <c r="D4" s="313"/>
      <c r="E4" s="313"/>
      <c r="F4" s="314">
        <f>SUMIF(C6:C365, "Da pagare", F6:F365)</f>
        <v>50536.249999999993</v>
      </c>
      <c r="G4" s="313"/>
      <c r="H4" s="313"/>
    </row>
    <row r="5" spans="1:10" ht="20" customHeight="1" x14ac:dyDescent="0.2">
      <c r="A5" s="392" t="s">
        <v>364</v>
      </c>
      <c r="B5" s="392" t="s">
        <v>363</v>
      </c>
      <c r="C5" s="392" t="s">
        <v>362</v>
      </c>
      <c r="D5" s="392" t="s">
        <v>361</v>
      </c>
      <c r="E5" s="392" t="s">
        <v>360</v>
      </c>
      <c r="F5" s="392" t="s">
        <v>359</v>
      </c>
      <c r="G5" s="392" t="s">
        <v>358</v>
      </c>
      <c r="H5" s="312"/>
    </row>
    <row r="6" spans="1:10" ht="13" customHeight="1" x14ac:dyDescent="0.15">
      <c r="A6" s="393">
        <v>1</v>
      </c>
      <c r="B6" s="394">
        <v>40184</v>
      </c>
      <c r="C6" s="395" t="s">
        <v>357</v>
      </c>
      <c r="D6" s="396">
        <v>153.02000000000001</v>
      </c>
      <c r="E6" s="396">
        <v>357.9</v>
      </c>
      <c r="F6" s="397">
        <v>511.4</v>
      </c>
      <c r="G6" s="397">
        <v>74846.98</v>
      </c>
      <c r="H6" s="311"/>
    </row>
    <row r="7" spans="1:10" ht="13" customHeight="1" x14ac:dyDescent="0.15">
      <c r="A7" s="393">
        <v>2</v>
      </c>
      <c r="B7" s="394">
        <v>40185</v>
      </c>
      <c r="C7" s="395" t="s">
        <v>357</v>
      </c>
      <c r="D7" s="396">
        <v>153.27000000000001</v>
      </c>
      <c r="E7" s="396">
        <v>123.37</v>
      </c>
      <c r="F7" s="397">
        <v>276.64</v>
      </c>
      <c r="G7" s="397">
        <v>74693.710000000006</v>
      </c>
      <c r="H7" s="311"/>
    </row>
    <row r="8" spans="1:10" ht="13" customHeight="1" x14ac:dyDescent="0.15">
      <c r="A8" s="393">
        <v>3</v>
      </c>
      <c r="B8" s="394">
        <v>40186</v>
      </c>
      <c r="C8" s="395" t="s">
        <v>357</v>
      </c>
      <c r="D8" s="396">
        <v>153.52000000000001</v>
      </c>
      <c r="E8" s="396">
        <v>130.5</v>
      </c>
      <c r="F8" s="397">
        <v>284.02</v>
      </c>
      <c r="G8" s="397">
        <v>74540.19</v>
      </c>
      <c r="H8" s="311"/>
    </row>
    <row r="9" spans="1:10" ht="13" customHeight="1" x14ac:dyDescent="0.15">
      <c r="A9" s="393">
        <v>4</v>
      </c>
      <c r="B9" s="394">
        <v>40187</v>
      </c>
      <c r="C9" s="395" t="s">
        <v>357</v>
      </c>
      <c r="D9" s="396">
        <v>153.77000000000001</v>
      </c>
      <c r="E9" s="396">
        <v>140.76</v>
      </c>
      <c r="F9" s="397">
        <v>294.52999999999997</v>
      </c>
      <c r="G9" s="397">
        <v>74386.42</v>
      </c>
      <c r="H9" s="311"/>
    </row>
    <row r="10" spans="1:10" ht="13" customHeight="1" x14ac:dyDescent="0.15">
      <c r="A10" s="393">
        <v>5</v>
      </c>
      <c r="B10" s="394">
        <v>40188</v>
      </c>
      <c r="C10" s="395" t="s">
        <v>357</v>
      </c>
      <c r="D10" s="396">
        <v>154.02000000000001</v>
      </c>
      <c r="E10" s="396">
        <v>134.76</v>
      </c>
      <c r="F10" s="397">
        <v>288.77999999999997</v>
      </c>
      <c r="G10" s="397">
        <v>74232.399999999994</v>
      </c>
      <c r="H10" s="311"/>
    </row>
    <row r="11" spans="1:10" ht="13" customHeight="1" x14ac:dyDescent="0.15">
      <c r="A11" s="393">
        <v>6</v>
      </c>
      <c r="B11" s="394">
        <v>40189</v>
      </c>
      <c r="C11" s="395" t="s">
        <v>357</v>
      </c>
      <c r="D11" s="396">
        <v>154.27000000000001</v>
      </c>
      <c r="E11" s="396">
        <v>138.78</v>
      </c>
      <c r="F11" s="397">
        <v>293.05</v>
      </c>
      <c r="G11" s="397">
        <v>74078.13</v>
      </c>
      <c r="H11" s="311"/>
    </row>
    <row r="12" spans="1:10" ht="13.5" customHeight="1" x14ac:dyDescent="0.15">
      <c r="A12" s="393">
        <v>7</v>
      </c>
      <c r="B12" s="394">
        <v>40190</v>
      </c>
      <c r="C12" s="395" t="s">
        <v>357</v>
      </c>
      <c r="D12" s="396">
        <v>154.53</v>
      </c>
      <c r="E12" s="396">
        <v>147.97</v>
      </c>
      <c r="F12" s="397">
        <v>302.5</v>
      </c>
      <c r="G12" s="397">
        <v>73923.600000000006</v>
      </c>
      <c r="H12" s="311"/>
    </row>
    <row r="13" spans="1:10" ht="13" customHeight="1" x14ac:dyDescent="0.2">
      <c r="A13" s="393">
        <v>8</v>
      </c>
      <c r="B13" s="394">
        <v>40544</v>
      </c>
      <c r="C13" s="395" t="s">
        <v>357</v>
      </c>
      <c r="D13" s="396">
        <v>154.78</v>
      </c>
      <c r="E13" s="396">
        <v>150.1</v>
      </c>
      <c r="F13" s="397">
        <v>304.88</v>
      </c>
      <c r="G13" s="397">
        <v>73768.820000000007</v>
      </c>
    </row>
    <row r="14" spans="1:10" ht="13" customHeight="1" x14ac:dyDescent="0.2">
      <c r="A14" s="393">
        <v>9</v>
      </c>
      <c r="B14" s="394">
        <v>40545</v>
      </c>
      <c r="C14" s="395" t="s">
        <v>357</v>
      </c>
      <c r="D14" s="396">
        <v>155.04</v>
      </c>
      <c r="E14" s="396">
        <v>148.63999999999999</v>
      </c>
      <c r="F14" s="397">
        <v>303.68</v>
      </c>
      <c r="G14" s="397">
        <v>73613.78</v>
      </c>
    </row>
    <row r="15" spans="1:10" ht="13" customHeight="1" x14ac:dyDescent="0.2">
      <c r="A15" s="393">
        <v>10</v>
      </c>
      <c r="B15" s="394">
        <v>40546</v>
      </c>
      <c r="C15" s="395" t="s">
        <v>357</v>
      </c>
      <c r="D15" s="396">
        <v>155.29</v>
      </c>
      <c r="E15" s="396">
        <v>138.96</v>
      </c>
      <c r="F15" s="397">
        <v>294.25</v>
      </c>
      <c r="G15" s="397">
        <v>73458.490000000005</v>
      </c>
    </row>
    <row r="16" spans="1:10" ht="13" customHeight="1" x14ac:dyDescent="0.2">
      <c r="A16" s="393">
        <v>11</v>
      </c>
      <c r="B16" s="394">
        <v>40547</v>
      </c>
      <c r="C16" s="395" t="s">
        <v>357</v>
      </c>
      <c r="D16" s="396">
        <v>155.54</v>
      </c>
      <c r="E16" s="396">
        <v>152.88999999999999</v>
      </c>
      <c r="F16" s="397">
        <v>308.43</v>
      </c>
      <c r="G16" s="397">
        <v>73302.95</v>
      </c>
    </row>
    <row r="17" spans="1:7" ht="13" customHeight="1" x14ac:dyDescent="0.2">
      <c r="A17" s="393">
        <v>12</v>
      </c>
      <c r="B17" s="394">
        <v>40548</v>
      </c>
      <c r="C17" s="395" t="s">
        <v>357</v>
      </c>
      <c r="D17" s="396">
        <v>155.80000000000001</v>
      </c>
      <c r="E17" s="396">
        <v>153.33000000000001</v>
      </c>
      <c r="F17" s="397">
        <v>309.13</v>
      </c>
      <c r="G17" s="397">
        <v>73147.149999999994</v>
      </c>
    </row>
    <row r="18" spans="1:7" ht="13" customHeight="1" x14ac:dyDescent="0.2">
      <c r="A18" s="393">
        <v>13</v>
      </c>
      <c r="B18" s="394">
        <v>40549</v>
      </c>
      <c r="C18" s="395" t="s">
        <v>357</v>
      </c>
      <c r="D18" s="396">
        <v>156.05000000000001</v>
      </c>
      <c r="E18" s="396">
        <v>174.92</v>
      </c>
      <c r="F18" s="397">
        <v>330.97</v>
      </c>
      <c r="G18" s="397">
        <v>72991.100000000006</v>
      </c>
    </row>
    <row r="19" spans="1:7" ht="13" customHeight="1" x14ac:dyDescent="0.2">
      <c r="A19" s="393">
        <v>14</v>
      </c>
      <c r="B19" s="394">
        <v>40550</v>
      </c>
      <c r="C19" s="395" t="s">
        <v>357</v>
      </c>
      <c r="D19" s="396">
        <v>156.31</v>
      </c>
      <c r="E19" s="396">
        <v>169.1</v>
      </c>
      <c r="F19" s="397">
        <v>325.41000000000003</v>
      </c>
      <c r="G19" s="397">
        <v>72834.789999999994</v>
      </c>
    </row>
    <row r="20" spans="1:7" ht="13" customHeight="1" x14ac:dyDescent="0.2">
      <c r="A20" s="393">
        <v>15</v>
      </c>
      <c r="B20" s="394">
        <v>40551</v>
      </c>
      <c r="C20" s="395" t="s">
        <v>357</v>
      </c>
      <c r="D20" s="396">
        <v>156.57</v>
      </c>
      <c r="E20" s="396">
        <v>179.94</v>
      </c>
      <c r="F20" s="397">
        <v>336.51</v>
      </c>
      <c r="G20" s="397">
        <v>72678.22</v>
      </c>
    </row>
    <row r="21" spans="1:7" ht="13" customHeight="1" x14ac:dyDescent="0.2">
      <c r="A21" s="393">
        <v>16</v>
      </c>
      <c r="B21" s="394">
        <v>40552</v>
      </c>
      <c r="C21" s="395" t="s">
        <v>357</v>
      </c>
      <c r="D21" s="396">
        <v>156.82</v>
      </c>
      <c r="E21" s="396">
        <v>186.88</v>
      </c>
      <c r="F21" s="397">
        <v>343.7</v>
      </c>
      <c r="G21" s="397">
        <v>72521.399999999994</v>
      </c>
    </row>
    <row r="22" spans="1:7" ht="13" customHeight="1" x14ac:dyDescent="0.2">
      <c r="A22" s="393">
        <v>17</v>
      </c>
      <c r="B22" s="394">
        <v>40553</v>
      </c>
      <c r="C22" s="395" t="s">
        <v>357</v>
      </c>
      <c r="D22" s="396">
        <v>157.08000000000001</v>
      </c>
      <c r="E22" s="396">
        <v>175.26</v>
      </c>
      <c r="F22" s="397">
        <v>332.34</v>
      </c>
      <c r="G22" s="397">
        <v>72364.320000000007</v>
      </c>
    </row>
    <row r="23" spans="1:7" ht="13" customHeight="1" x14ac:dyDescent="0.2">
      <c r="A23" s="393">
        <v>18</v>
      </c>
      <c r="B23" s="394">
        <v>40554</v>
      </c>
      <c r="C23" s="395" t="s">
        <v>357</v>
      </c>
      <c r="D23" s="396">
        <v>157.34</v>
      </c>
      <c r="E23" s="396">
        <v>181.08</v>
      </c>
      <c r="F23" s="397">
        <v>338.42</v>
      </c>
      <c r="G23" s="397">
        <v>72206.98</v>
      </c>
    </row>
    <row r="24" spans="1:7" ht="13" customHeight="1" x14ac:dyDescent="0.2">
      <c r="A24" s="393">
        <v>19</v>
      </c>
      <c r="B24" s="394">
        <v>40555</v>
      </c>
      <c r="C24" s="395" t="s">
        <v>357</v>
      </c>
      <c r="D24" s="396">
        <v>157.6</v>
      </c>
      <c r="E24" s="396">
        <v>175.46</v>
      </c>
      <c r="F24" s="397">
        <v>333.06</v>
      </c>
      <c r="G24" s="397">
        <v>72049.38</v>
      </c>
    </row>
    <row r="25" spans="1:7" ht="13" customHeight="1" x14ac:dyDescent="0.2">
      <c r="A25" s="393">
        <v>20</v>
      </c>
      <c r="B25" s="394">
        <v>40909</v>
      </c>
      <c r="C25" s="395" t="s">
        <v>357</v>
      </c>
      <c r="D25" s="396">
        <v>157.85</v>
      </c>
      <c r="E25" s="396">
        <v>171.24</v>
      </c>
      <c r="F25" s="397">
        <v>329.09</v>
      </c>
      <c r="G25" s="397">
        <v>71891.53</v>
      </c>
    </row>
    <row r="26" spans="1:7" ht="13" customHeight="1" x14ac:dyDescent="0.2">
      <c r="A26" s="393">
        <v>21</v>
      </c>
      <c r="B26" s="394">
        <v>40910</v>
      </c>
      <c r="C26" s="395" t="s">
        <v>357</v>
      </c>
      <c r="D26" s="396">
        <v>158.11000000000001</v>
      </c>
      <c r="E26" s="396">
        <v>160.83000000000001</v>
      </c>
      <c r="F26" s="397">
        <v>318.94</v>
      </c>
      <c r="G26" s="397">
        <v>71733.42</v>
      </c>
    </row>
    <row r="27" spans="1:7" ht="13" customHeight="1" x14ac:dyDescent="0.2">
      <c r="A27" s="393">
        <v>22</v>
      </c>
      <c r="B27" s="394">
        <v>40911</v>
      </c>
      <c r="C27" s="395" t="s">
        <v>357</v>
      </c>
      <c r="D27" s="396">
        <v>158.37</v>
      </c>
      <c r="E27" s="396">
        <v>131.22999999999999</v>
      </c>
      <c r="F27" s="397">
        <v>289.60000000000002</v>
      </c>
      <c r="G27" s="397">
        <v>71575.05</v>
      </c>
    </row>
    <row r="28" spans="1:7" ht="13" customHeight="1" x14ac:dyDescent="0.2">
      <c r="A28" s="393">
        <v>23</v>
      </c>
      <c r="B28" s="394">
        <v>40912</v>
      </c>
      <c r="C28" s="395" t="s">
        <v>357</v>
      </c>
      <c r="D28" s="396">
        <v>158.63</v>
      </c>
      <c r="E28" s="396">
        <v>130.79</v>
      </c>
      <c r="F28" s="397">
        <v>289.42</v>
      </c>
      <c r="G28" s="397">
        <v>71416.42</v>
      </c>
    </row>
    <row r="29" spans="1:7" ht="13" customHeight="1" x14ac:dyDescent="0.2">
      <c r="A29" s="393">
        <v>24</v>
      </c>
      <c r="B29" s="394">
        <v>40913</v>
      </c>
      <c r="C29" s="395" t="s">
        <v>357</v>
      </c>
      <c r="D29" s="396">
        <v>158.88999999999999</v>
      </c>
      <c r="E29" s="396">
        <v>117.24</v>
      </c>
      <c r="F29" s="397">
        <v>276.13</v>
      </c>
      <c r="G29" s="397">
        <v>71257.53</v>
      </c>
    </row>
    <row r="30" spans="1:7" ht="13" customHeight="1" x14ac:dyDescent="0.2">
      <c r="A30" s="393">
        <v>25</v>
      </c>
      <c r="B30" s="394">
        <v>40914</v>
      </c>
      <c r="C30" s="395" t="s">
        <v>357</v>
      </c>
      <c r="D30" s="396">
        <v>159.15</v>
      </c>
      <c r="E30" s="396">
        <v>119.78</v>
      </c>
      <c r="F30" s="397">
        <v>278.93</v>
      </c>
      <c r="G30" s="397">
        <v>71098.38</v>
      </c>
    </row>
    <row r="31" spans="1:7" ht="13" customHeight="1" x14ac:dyDescent="0.2">
      <c r="A31" s="393">
        <v>26</v>
      </c>
      <c r="B31" s="394">
        <v>40915</v>
      </c>
      <c r="C31" s="395" t="s">
        <v>357</v>
      </c>
      <c r="D31" s="396">
        <v>159.41</v>
      </c>
      <c r="E31" s="396">
        <v>114.76</v>
      </c>
      <c r="F31" s="397">
        <v>274.17</v>
      </c>
      <c r="G31" s="397">
        <v>70938.97</v>
      </c>
    </row>
    <row r="32" spans="1:7" ht="13" customHeight="1" x14ac:dyDescent="0.2">
      <c r="A32" s="393">
        <v>27</v>
      </c>
      <c r="B32" s="394">
        <v>40916</v>
      </c>
      <c r="C32" s="395" t="s">
        <v>357</v>
      </c>
      <c r="D32" s="396">
        <v>159.68</v>
      </c>
      <c r="E32" s="396">
        <v>117.53</v>
      </c>
      <c r="F32" s="397">
        <v>277.20999999999998</v>
      </c>
      <c r="G32" s="397">
        <v>70779.289999999994</v>
      </c>
    </row>
    <row r="33" spans="1:7" ht="13" customHeight="1" x14ac:dyDescent="0.2">
      <c r="A33" s="393">
        <v>28</v>
      </c>
      <c r="B33" s="394">
        <v>40917</v>
      </c>
      <c r="C33" s="395" t="s">
        <v>357</v>
      </c>
      <c r="D33" s="396">
        <v>159.94</v>
      </c>
      <c r="E33" s="396">
        <v>103.8</v>
      </c>
      <c r="F33" s="397">
        <v>263.74</v>
      </c>
      <c r="G33" s="397">
        <v>70619.350000000006</v>
      </c>
    </row>
    <row r="34" spans="1:7" ht="13" customHeight="1" x14ac:dyDescent="0.2">
      <c r="A34" s="393">
        <v>29</v>
      </c>
      <c r="B34" s="394">
        <v>40918</v>
      </c>
      <c r="C34" s="395" t="s">
        <v>357</v>
      </c>
      <c r="D34" s="396">
        <v>160.19999999999999</v>
      </c>
      <c r="E34" s="396">
        <v>98.34</v>
      </c>
      <c r="F34" s="397">
        <v>258.54000000000002</v>
      </c>
      <c r="G34" s="397">
        <v>70459.149999999994</v>
      </c>
    </row>
    <row r="35" spans="1:7" ht="13" customHeight="1" x14ac:dyDescent="0.2">
      <c r="A35" s="393">
        <v>30</v>
      </c>
      <c r="B35" s="394">
        <v>40919</v>
      </c>
      <c r="C35" s="395" t="s">
        <v>357</v>
      </c>
      <c r="D35" s="396">
        <v>160.46</v>
      </c>
      <c r="E35" s="396">
        <v>101.02</v>
      </c>
      <c r="F35" s="397">
        <v>261.48</v>
      </c>
      <c r="G35" s="397">
        <v>70298.69</v>
      </c>
    </row>
    <row r="36" spans="1:7" ht="13" customHeight="1" x14ac:dyDescent="0.2">
      <c r="A36" s="393">
        <v>31</v>
      </c>
      <c r="B36" s="394">
        <v>40920</v>
      </c>
      <c r="C36" s="395" t="s">
        <v>357</v>
      </c>
      <c r="D36" s="396">
        <v>160.72999999999999</v>
      </c>
      <c r="E36" s="396">
        <v>97.25</v>
      </c>
      <c r="F36" s="397">
        <v>257.98</v>
      </c>
      <c r="G36" s="397">
        <v>70137.960000000006</v>
      </c>
    </row>
    <row r="37" spans="1:7" ht="13" customHeight="1" x14ac:dyDescent="0.2">
      <c r="A37" s="393">
        <v>32</v>
      </c>
      <c r="B37" s="394">
        <v>41275</v>
      </c>
      <c r="C37" s="395" t="s">
        <v>357</v>
      </c>
      <c r="D37" s="396">
        <v>160.99</v>
      </c>
      <c r="E37" s="396">
        <v>100.38</v>
      </c>
      <c r="F37" s="397">
        <v>261.37</v>
      </c>
      <c r="G37" s="397">
        <v>69976.97</v>
      </c>
    </row>
    <row r="38" spans="1:7" ht="13" customHeight="1" x14ac:dyDescent="0.2">
      <c r="A38" s="393">
        <v>33</v>
      </c>
      <c r="B38" s="394">
        <v>41276</v>
      </c>
      <c r="C38" s="395" t="s">
        <v>357</v>
      </c>
      <c r="D38" s="396">
        <v>161.25</v>
      </c>
      <c r="E38" s="396">
        <v>99.97</v>
      </c>
      <c r="F38" s="397">
        <v>261.22000000000003</v>
      </c>
      <c r="G38" s="397">
        <v>69815.72</v>
      </c>
    </row>
    <row r="39" spans="1:7" ht="13" customHeight="1" x14ac:dyDescent="0.2">
      <c r="A39" s="393">
        <v>34</v>
      </c>
      <c r="B39" s="394">
        <v>41277</v>
      </c>
      <c r="C39" s="395" t="s">
        <v>357</v>
      </c>
      <c r="D39" s="396">
        <v>161.52000000000001</v>
      </c>
      <c r="E39" s="396">
        <v>90.68</v>
      </c>
      <c r="F39" s="397">
        <v>252.2</v>
      </c>
      <c r="G39" s="397">
        <v>69654.2</v>
      </c>
    </row>
    <row r="40" spans="1:7" ht="13" customHeight="1" x14ac:dyDescent="0.2">
      <c r="A40" s="393">
        <v>35</v>
      </c>
      <c r="B40" s="394">
        <v>41278</v>
      </c>
      <c r="C40" s="395" t="s">
        <v>357</v>
      </c>
      <c r="D40" s="396">
        <v>161.78</v>
      </c>
      <c r="E40" s="396">
        <v>100.05</v>
      </c>
      <c r="F40" s="397">
        <v>261.83</v>
      </c>
      <c r="G40" s="397">
        <v>69492.42</v>
      </c>
    </row>
    <row r="41" spans="1:7" ht="13" customHeight="1" x14ac:dyDescent="0.2">
      <c r="A41" s="393">
        <v>36</v>
      </c>
      <c r="B41" s="394">
        <v>41279</v>
      </c>
      <c r="C41" s="395" t="s">
        <v>357</v>
      </c>
      <c r="D41" s="396">
        <v>162.05000000000001</v>
      </c>
      <c r="E41" s="396">
        <v>96.54</v>
      </c>
      <c r="F41" s="397">
        <v>258.58999999999997</v>
      </c>
      <c r="G41" s="397">
        <v>69330.37</v>
      </c>
    </row>
    <row r="42" spans="1:7" ht="13" customHeight="1" x14ac:dyDescent="0.2">
      <c r="A42" s="393">
        <v>37</v>
      </c>
      <c r="B42" s="394">
        <v>41280</v>
      </c>
      <c r="C42" s="395" t="s">
        <v>357</v>
      </c>
      <c r="D42" s="396">
        <v>162.31</v>
      </c>
      <c r="E42" s="396">
        <v>99.52</v>
      </c>
      <c r="F42" s="397">
        <v>261.83</v>
      </c>
      <c r="G42" s="397">
        <v>69168.06</v>
      </c>
    </row>
    <row r="43" spans="1:7" ht="13" customHeight="1" x14ac:dyDescent="0.2">
      <c r="A43" s="393">
        <v>38</v>
      </c>
      <c r="B43" s="394">
        <v>41281</v>
      </c>
      <c r="C43" s="395" t="s">
        <v>357</v>
      </c>
      <c r="D43" s="396">
        <v>162.58000000000001</v>
      </c>
      <c r="E43" s="396">
        <v>95.8</v>
      </c>
      <c r="F43" s="397">
        <v>258.38</v>
      </c>
      <c r="G43" s="397">
        <v>69005.48</v>
      </c>
    </row>
    <row r="44" spans="1:7" ht="13" customHeight="1" x14ac:dyDescent="0.2">
      <c r="A44" s="393">
        <v>39</v>
      </c>
      <c r="B44" s="394">
        <v>41282</v>
      </c>
      <c r="C44" s="395" t="s">
        <v>357</v>
      </c>
      <c r="D44" s="396">
        <v>162.85</v>
      </c>
      <c r="E44" s="396">
        <v>99.47</v>
      </c>
      <c r="F44" s="397">
        <v>262.32</v>
      </c>
      <c r="G44" s="397">
        <v>68842.63</v>
      </c>
    </row>
    <row r="45" spans="1:7" ht="13" customHeight="1" x14ac:dyDescent="0.2">
      <c r="A45" s="393">
        <v>40</v>
      </c>
      <c r="B45" s="394">
        <v>41283</v>
      </c>
      <c r="C45" s="395" t="s">
        <v>357</v>
      </c>
      <c r="D45" s="396">
        <v>163.11000000000001</v>
      </c>
      <c r="E45" s="396">
        <v>99.65</v>
      </c>
      <c r="F45" s="397">
        <v>262.76</v>
      </c>
      <c r="G45" s="397">
        <v>68679.520000000004</v>
      </c>
    </row>
    <row r="46" spans="1:7" ht="13" customHeight="1" x14ac:dyDescent="0.2">
      <c r="A46" s="393">
        <v>41</v>
      </c>
      <c r="B46" s="394">
        <v>41284</v>
      </c>
      <c r="C46" s="395" t="s">
        <v>357</v>
      </c>
      <c r="D46" s="396">
        <v>163.38</v>
      </c>
      <c r="E46" s="396">
        <v>96.04</v>
      </c>
      <c r="F46" s="397">
        <v>259.42</v>
      </c>
      <c r="G46" s="397">
        <v>68516.14</v>
      </c>
    </row>
    <row r="47" spans="1:7" ht="13" customHeight="1" x14ac:dyDescent="0.2">
      <c r="A47" s="393">
        <v>42</v>
      </c>
      <c r="B47" s="394">
        <v>41285</v>
      </c>
      <c r="C47" s="395" t="s">
        <v>357</v>
      </c>
      <c r="D47" s="396">
        <v>163.65</v>
      </c>
      <c r="E47" s="396">
        <v>98.94</v>
      </c>
      <c r="F47" s="397">
        <v>262.58999999999997</v>
      </c>
      <c r="G47" s="397">
        <v>68352.490000000005</v>
      </c>
    </row>
    <row r="48" spans="1:7" ht="13" customHeight="1" x14ac:dyDescent="0.2">
      <c r="A48" s="393">
        <v>43</v>
      </c>
      <c r="B48" s="394">
        <v>41286</v>
      </c>
      <c r="C48" s="395" t="s">
        <v>357</v>
      </c>
      <c r="D48" s="396">
        <v>163.92</v>
      </c>
      <c r="E48" s="396">
        <v>95.64</v>
      </c>
      <c r="F48" s="397">
        <v>259.56</v>
      </c>
      <c r="G48" s="397">
        <v>68188.570000000007</v>
      </c>
    </row>
    <row r="49" spans="1:7" ht="13" customHeight="1" x14ac:dyDescent="0.2">
      <c r="A49" s="393">
        <v>44</v>
      </c>
      <c r="B49" s="394">
        <v>41640</v>
      </c>
      <c r="C49" s="395" t="s">
        <v>357</v>
      </c>
      <c r="D49" s="396">
        <v>164.19</v>
      </c>
      <c r="E49" s="396">
        <v>100.58</v>
      </c>
      <c r="F49" s="397">
        <v>264.77</v>
      </c>
      <c r="G49" s="397">
        <v>68024.38</v>
      </c>
    </row>
    <row r="50" spans="1:7" ht="13" customHeight="1" x14ac:dyDescent="0.2">
      <c r="A50" s="393">
        <v>45</v>
      </c>
      <c r="B50" s="394">
        <v>41641</v>
      </c>
      <c r="C50" s="395" t="s">
        <v>357</v>
      </c>
      <c r="D50" s="396">
        <v>164.46</v>
      </c>
      <c r="E50" s="396">
        <v>103.74</v>
      </c>
      <c r="F50" s="397">
        <v>268.2</v>
      </c>
      <c r="G50" s="397">
        <v>67859.92</v>
      </c>
    </row>
    <row r="51" spans="1:7" ht="13" customHeight="1" x14ac:dyDescent="0.2">
      <c r="A51" s="393">
        <v>46</v>
      </c>
      <c r="B51" s="394">
        <v>41642</v>
      </c>
      <c r="C51" s="395" t="s">
        <v>357</v>
      </c>
      <c r="D51" s="396">
        <v>164.73</v>
      </c>
      <c r="E51" s="396">
        <v>94.05</v>
      </c>
      <c r="F51" s="397">
        <v>258.77999999999997</v>
      </c>
      <c r="G51" s="397">
        <v>67695.19</v>
      </c>
    </row>
    <row r="52" spans="1:7" ht="13" customHeight="1" x14ac:dyDescent="0.2">
      <c r="A52" s="393">
        <v>47</v>
      </c>
      <c r="B52" s="394">
        <v>41643</v>
      </c>
      <c r="C52" s="395" t="s">
        <v>357</v>
      </c>
      <c r="D52" s="396">
        <v>165</v>
      </c>
      <c r="E52" s="396">
        <v>103.12</v>
      </c>
      <c r="F52" s="397">
        <v>268.12</v>
      </c>
      <c r="G52" s="397">
        <v>67530.19</v>
      </c>
    </row>
    <row r="53" spans="1:7" ht="13" customHeight="1" x14ac:dyDescent="0.2">
      <c r="A53" s="393">
        <v>48</v>
      </c>
      <c r="B53" s="394">
        <v>41644</v>
      </c>
      <c r="C53" s="395" t="s">
        <v>357</v>
      </c>
      <c r="D53" s="396">
        <v>165.27</v>
      </c>
      <c r="E53" s="396">
        <v>100.34</v>
      </c>
      <c r="F53" s="397">
        <v>265.61</v>
      </c>
      <c r="G53" s="397">
        <v>67364.92</v>
      </c>
    </row>
    <row r="54" spans="1:7" ht="13" customHeight="1" x14ac:dyDescent="0.2">
      <c r="A54" s="393">
        <v>49</v>
      </c>
      <c r="B54" s="394">
        <v>41645</v>
      </c>
      <c r="C54" s="395" t="s">
        <v>357</v>
      </c>
      <c r="D54" s="396">
        <v>165.54</v>
      </c>
      <c r="E54" s="396">
        <v>105.52</v>
      </c>
      <c r="F54" s="397">
        <v>271.06</v>
      </c>
      <c r="G54" s="397">
        <v>67199.38</v>
      </c>
    </row>
    <row r="55" spans="1:7" ht="13" customHeight="1" x14ac:dyDescent="0.2">
      <c r="A55" s="393">
        <v>50</v>
      </c>
      <c r="B55" s="394">
        <v>41646</v>
      </c>
      <c r="C55" s="395" t="s">
        <v>357</v>
      </c>
      <c r="D55" s="396">
        <v>165.81</v>
      </c>
      <c r="E55" s="396">
        <v>100.86</v>
      </c>
      <c r="F55" s="397">
        <v>266.67</v>
      </c>
      <c r="G55" s="397">
        <v>67033.570000000007</v>
      </c>
    </row>
    <row r="56" spans="1:7" ht="13" customHeight="1" x14ac:dyDescent="0.2">
      <c r="A56" s="393">
        <v>51</v>
      </c>
      <c r="B56" s="394">
        <v>41647</v>
      </c>
      <c r="C56" s="395" t="s">
        <v>357</v>
      </c>
      <c r="D56" s="396">
        <v>166.08</v>
      </c>
      <c r="E56" s="396">
        <v>95.3</v>
      </c>
      <c r="F56" s="397">
        <v>261.38</v>
      </c>
      <c r="G56" s="397">
        <v>66867.490000000005</v>
      </c>
    </row>
    <row r="57" spans="1:7" ht="13" customHeight="1" x14ac:dyDescent="0.2">
      <c r="A57" s="393">
        <v>52</v>
      </c>
      <c r="B57" s="394">
        <v>41648</v>
      </c>
      <c r="C57" s="395" t="s">
        <v>357</v>
      </c>
      <c r="D57" s="396">
        <v>166.35</v>
      </c>
      <c r="E57" s="396">
        <v>94.89</v>
      </c>
      <c r="F57" s="397">
        <v>261.24</v>
      </c>
      <c r="G57" s="397">
        <v>66701.14</v>
      </c>
    </row>
    <row r="58" spans="1:7" ht="13" customHeight="1" x14ac:dyDescent="0.2">
      <c r="A58" s="393">
        <v>53</v>
      </c>
      <c r="B58" s="394">
        <v>41649</v>
      </c>
      <c r="C58" s="395" t="s">
        <v>357</v>
      </c>
      <c r="D58" s="396">
        <v>166.63</v>
      </c>
      <c r="E58" s="396">
        <v>89.94</v>
      </c>
      <c r="F58" s="397">
        <v>256.57</v>
      </c>
      <c r="G58" s="397">
        <v>66534.509999999995</v>
      </c>
    </row>
    <row r="59" spans="1:7" ht="13" customHeight="1" x14ac:dyDescent="0.2">
      <c r="A59" s="393">
        <v>54</v>
      </c>
      <c r="B59" s="394">
        <v>41650</v>
      </c>
      <c r="C59" s="395" t="s">
        <v>357</v>
      </c>
      <c r="D59" s="396">
        <v>166.9</v>
      </c>
      <c r="E59" s="396">
        <v>89.21</v>
      </c>
      <c r="F59" s="397">
        <v>256.11</v>
      </c>
      <c r="G59" s="397">
        <v>66367.61</v>
      </c>
    </row>
    <row r="60" spans="1:7" ht="13" customHeight="1" x14ac:dyDescent="0.2">
      <c r="A60" s="393">
        <v>55</v>
      </c>
      <c r="B60" s="394">
        <v>41651</v>
      </c>
      <c r="C60" s="395" t="s">
        <v>357</v>
      </c>
      <c r="D60" s="396">
        <v>167.17</v>
      </c>
      <c r="E60" s="396">
        <v>86.28</v>
      </c>
      <c r="F60" s="397">
        <v>253.45</v>
      </c>
      <c r="G60" s="397">
        <v>66200.44</v>
      </c>
    </row>
    <row r="61" spans="1:7" ht="13" customHeight="1" x14ac:dyDescent="0.2">
      <c r="A61" s="393">
        <v>56</v>
      </c>
      <c r="B61" s="394">
        <v>42005</v>
      </c>
      <c r="C61" s="395" t="s">
        <v>357</v>
      </c>
      <c r="D61" s="396">
        <v>167.45</v>
      </c>
      <c r="E61" s="396">
        <v>89.27</v>
      </c>
      <c r="F61" s="397">
        <v>256.72000000000003</v>
      </c>
      <c r="G61" s="397">
        <v>66032.990000000005</v>
      </c>
    </row>
    <row r="62" spans="1:7" ht="13" customHeight="1" x14ac:dyDescent="0.2">
      <c r="A62" s="393">
        <v>57</v>
      </c>
      <c r="B62" s="394">
        <v>42006</v>
      </c>
      <c r="C62" s="395" t="s">
        <v>357</v>
      </c>
      <c r="D62" s="396">
        <v>167.72</v>
      </c>
      <c r="E62" s="396">
        <v>89.22</v>
      </c>
      <c r="F62" s="397">
        <v>256.94</v>
      </c>
      <c r="G62" s="397">
        <v>65865.27</v>
      </c>
    </row>
    <row r="63" spans="1:7" ht="13" customHeight="1" x14ac:dyDescent="0.2">
      <c r="A63" s="393">
        <v>58</v>
      </c>
      <c r="B63" s="394">
        <v>42007</v>
      </c>
      <c r="C63" s="395" t="s">
        <v>357</v>
      </c>
      <c r="D63" s="396">
        <v>168</v>
      </c>
      <c r="E63" s="396">
        <v>79.459999999999994</v>
      </c>
      <c r="F63" s="397">
        <v>247.46</v>
      </c>
      <c r="G63" s="397">
        <v>65697.27</v>
      </c>
    </row>
    <row r="64" spans="1:7" ht="13" customHeight="1" x14ac:dyDescent="0.2">
      <c r="A64" s="393">
        <v>59</v>
      </c>
      <c r="B64" s="394">
        <v>42008</v>
      </c>
      <c r="C64" s="395" t="s">
        <v>357</v>
      </c>
      <c r="D64" s="396">
        <v>168.27</v>
      </c>
      <c r="E64" s="396">
        <v>87.46</v>
      </c>
      <c r="F64" s="397">
        <v>255.73</v>
      </c>
      <c r="G64" s="397">
        <v>65529</v>
      </c>
    </row>
    <row r="65" spans="1:7" ht="13" customHeight="1" x14ac:dyDescent="0.2">
      <c r="A65" s="393">
        <v>60</v>
      </c>
      <c r="B65" s="394">
        <v>42009</v>
      </c>
      <c r="C65" s="395" t="s">
        <v>357</v>
      </c>
      <c r="D65" s="396">
        <v>168.55</v>
      </c>
      <c r="E65" s="396">
        <v>83.88</v>
      </c>
      <c r="F65" s="397">
        <v>252.43</v>
      </c>
      <c r="G65" s="397">
        <v>65360.45</v>
      </c>
    </row>
    <row r="66" spans="1:7" ht="13" customHeight="1" x14ac:dyDescent="0.2">
      <c r="A66" s="393">
        <v>61</v>
      </c>
      <c r="B66" s="394">
        <v>42010</v>
      </c>
      <c r="C66" s="395" t="s">
        <v>357</v>
      </c>
      <c r="D66" s="396">
        <v>168.82</v>
      </c>
      <c r="E66" s="396">
        <v>85.1</v>
      </c>
      <c r="F66" s="397">
        <v>253.92</v>
      </c>
      <c r="G66" s="397">
        <v>65191.63</v>
      </c>
    </row>
    <row r="67" spans="1:7" ht="13" customHeight="1" x14ac:dyDescent="0.2">
      <c r="A67" s="393">
        <v>62</v>
      </c>
      <c r="B67" s="394">
        <v>42011</v>
      </c>
      <c r="C67" s="395" t="s">
        <v>357</v>
      </c>
      <c r="D67" s="396">
        <v>169.1</v>
      </c>
      <c r="E67" s="396">
        <v>81.05</v>
      </c>
      <c r="F67" s="397">
        <v>250.15</v>
      </c>
      <c r="G67" s="397">
        <v>65022.53</v>
      </c>
    </row>
    <row r="68" spans="1:7" ht="13" customHeight="1" x14ac:dyDescent="0.2">
      <c r="A68" s="393">
        <v>63</v>
      </c>
      <c r="B68" s="394">
        <v>42012</v>
      </c>
      <c r="C68" s="395" t="s">
        <v>357</v>
      </c>
      <c r="D68" s="396">
        <v>169.38</v>
      </c>
      <c r="E68" s="396">
        <v>83.2</v>
      </c>
      <c r="F68" s="397">
        <v>252.58</v>
      </c>
      <c r="G68" s="397">
        <v>64853.15</v>
      </c>
    </row>
    <row r="69" spans="1:7" ht="13" customHeight="1" x14ac:dyDescent="0.2">
      <c r="A69" s="393">
        <v>64</v>
      </c>
      <c r="B69" s="394">
        <v>42013</v>
      </c>
      <c r="C69" s="395" t="s">
        <v>357</v>
      </c>
      <c r="D69" s="396">
        <v>169.66</v>
      </c>
      <c r="E69" s="396">
        <v>82.43</v>
      </c>
      <c r="F69" s="397">
        <v>252.09</v>
      </c>
      <c r="G69" s="397">
        <v>64683.49</v>
      </c>
    </row>
    <row r="70" spans="1:7" ht="13" customHeight="1" x14ac:dyDescent="0.2">
      <c r="A70" s="393">
        <v>65</v>
      </c>
      <c r="B70" s="394">
        <v>42014</v>
      </c>
      <c r="C70" s="395" t="s">
        <v>357</v>
      </c>
      <c r="D70" s="396">
        <v>169.94</v>
      </c>
      <c r="E70" s="396">
        <v>78.27</v>
      </c>
      <c r="F70" s="397">
        <v>248.21</v>
      </c>
      <c r="G70" s="397">
        <v>64513.55</v>
      </c>
    </row>
    <row r="71" spans="1:7" ht="13" customHeight="1" x14ac:dyDescent="0.2">
      <c r="A71" s="393">
        <v>66</v>
      </c>
      <c r="B71" s="394">
        <v>42015</v>
      </c>
      <c r="C71" s="395" t="s">
        <v>357</v>
      </c>
      <c r="D71" s="396">
        <v>170.21</v>
      </c>
      <c r="E71" s="396">
        <v>79.83</v>
      </c>
      <c r="F71" s="397">
        <v>250.04</v>
      </c>
      <c r="G71" s="397">
        <v>64343.34</v>
      </c>
    </row>
    <row r="72" spans="1:7" ht="13" customHeight="1" x14ac:dyDescent="0.2">
      <c r="A72" s="393">
        <v>67</v>
      </c>
      <c r="B72" s="394">
        <v>42016</v>
      </c>
      <c r="C72" s="395" t="s">
        <v>357</v>
      </c>
      <c r="D72" s="396">
        <v>170.49</v>
      </c>
      <c r="E72" s="396">
        <v>76.73</v>
      </c>
      <c r="F72" s="397">
        <v>247.22</v>
      </c>
      <c r="G72" s="397">
        <v>64172.85</v>
      </c>
    </row>
    <row r="73" spans="1:7" ht="13" customHeight="1" x14ac:dyDescent="0.2">
      <c r="A73" s="393">
        <v>68</v>
      </c>
      <c r="B73" s="394">
        <v>42370</v>
      </c>
      <c r="C73" s="395" t="s">
        <v>357</v>
      </c>
      <c r="D73" s="396">
        <v>170.77</v>
      </c>
      <c r="E73" s="396">
        <v>76.81</v>
      </c>
      <c r="F73" s="397">
        <v>247.58</v>
      </c>
      <c r="G73" s="397">
        <v>64002.080000000002</v>
      </c>
    </row>
    <row r="74" spans="1:7" ht="13" customHeight="1" x14ac:dyDescent="0.2">
      <c r="A74" s="393">
        <v>69</v>
      </c>
      <c r="B74" s="394">
        <v>42371</v>
      </c>
      <c r="C74" s="395" t="s">
        <v>357</v>
      </c>
      <c r="D74" s="396">
        <v>171.05</v>
      </c>
      <c r="E74" s="396">
        <v>74.069999999999993</v>
      </c>
      <c r="F74" s="397">
        <v>245.12</v>
      </c>
      <c r="G74" s="397">
        <v>63831.03</v>
      </c>
    </row>
    <row r="75" spans="1:7" ht="13" customHeight="1" x14ac:dyDescent="0.2">
      <c r="A75" s="393">
        <v>70</v>
      </c>
      <c r="B75" s="394">
        <v>42372</v>
      </c>
      <c r="C75" s="395" t="s">
        <v>357</v>
      </c>
      <c r="D75" s="396">
        <v>171.33</v>
      </c>
      <c r="E75" s="396">
        <v>67.930000000000007</v>
      </c>
      <c r="F75" s="397">
        <v>239.26</v>
      </c>
      <c r="G75" s="397">
        <v>63659.7</v>
      </c>
    </row>
    <row r="76" spans="1:7" ht="13" customHeight="1" x14ac:dyDescent="0.2">
      <c r="A76" s="393">
        <v>71</v>
      </c>
      <c r="B76" s="394">
        <v>42373</v>
      </c>
      <c r="C76" s="395" t="s">
        <v>357</v>
      </c>
      <c r="D76" s="396">
        <v>171.61</v>
      </c>
      <c r="E76" s="396">
        <v>70.5</v>
      </c>
      <c r="F76" s="397">
        <v>242.11</v>
      </c>
      <c r="G76" s="397">
        <v>63488.09</v>
      </c>
    </row>
    <row r="77" spans="1:7" ht="13" customHeight="1" x14ac:dyDescent="0.2">
      <c r="A77" s="393">
        <v>72</v>
      </c>
      <c r="B77" s="394">
        <v>42374</v>
      </c>
      <c r="C77" s="395" t="s">
        <v>357</v>
      </c>
      <c r="D77" s="396">
        <v>171.9</v>
      </c>
      <c r="E77" s="396">
        <v>64.44</v>
      </c>
      <c r="F77" s="397">
        <v>236.34</v>
      </c>
      <c r="G77" s="397">
        <v>63316.19</v>
      </c>
    </row>
    <row r="78" spans="1:7" ht="13" customHeight="1" x14ac:dyDescent="0.2">
      <c r="A78" s="393">
        <v>73</v>
      </c>
      <c r="B78" s="394">
        <v>42375</v>
      </c>
      <c r="C78" s="395" t="s">
        <v>357</v>
      </c>
      <c r="D78" s="396">
        <v>172.18</v>
      </c>
      <c r="E78" s="396">
        <v>65.81</v>
      </c>
      <c r="F78" s="397">
        <v>237.99</v>
      </c>
      <c r="G78" s="397">
        <v>63144.01</v>
      </c>
    </row>
    <row r="79" spans="1:7" ht="13" customHeight="1" x14ac:dyDescent="0.2">
      <c r="A79" s="393">
        <v>74</v>
      </c>
      <c r="B79" s="394">
        <v>42376</v>
      </c>
      <c r="C79" s="395" t="s">
        <v>357</v>
      </c>
      <c r="D79" s="396">
        <v>172.46</v>
      </c>
      <c r="E79" s="396">
        <v>63.25</v>
      </c>
      <c r="F79" s="397">
        <v>235.71</v>
      </c>
      <c r="G79" s="397">
        <v>62971.55</v>
      </c>
    </row>
    <row r="80" spans="1:7" ht="13" customHeight="1" x14ac:dyDescent="0.2">
      <c r="A80" s="393">
        <v>75</v>
      </c>
      <c r="B80" s="394">
        <v>42377</v>
      </c>
      <c r="C80" s="395" t="s">
        <v>357</v>
      </c>
      <c r="D80" s="396">
        <v>172.74</v>
      </c>
      <c r="E80" s="396">
        <v>64.31</v>
      </c>
      <c r="F80" s="397">
        <v>237.05</v>
      </c>
      <c r="G80" s="397">
        <v>62798.81</v>
      </c>
    </row>
    <row r="81" spans="1:7" ht="13" customHeight="1" x14ac:dyDescent="0.2">
      <c r="A81" s="393">
        <v>76</v>
      </c>
      <c r="B81" s="394">
        <v>42378</v>
      </c>
      <c r="C81" s="395" t="s">
        <v>357</v>
      </c>
      <c r="D81" s="396">
        <v>173.03</v>
      </c>
      <c r="E81" s="396">
        <v>63.76</v>
      </c>
      <c r="F81" s="397">
        <v>236.79</v>
      </c>
      <c r="G81" s="397">
        <v>62625.78</v>
      </c>
    </row>
    <row r="82" spans="1:7" ht="13" customHeight="1" x14ac:dyDescent="0.2">
      <c r="A82" s="393">
        <v>77</v>
      </c>
      <c r="B82" s="394">
        <v>42379</v>
      </c>
      <c r="C82" s="395" t="s">
        <v>357</v>
      </c>
      <c r="D82" s="396">
        <v>173.31</v>
      </c>
      <c r="E82" s="396">
        <v>61.53</v>
      </c>
      <c r="F82" s="397">
        <v>234.84</v>
      </c>
      <c r="G82" s="397">
        <v>62452.47</v>
      </c>
    </row>
    <row r="83" spans="1:7" ht="13" customHeight="1" x14ac:dyDescent="0.2">
      <c r="A83" s="393">
        <v>78</v>
      </c>
      <c r="B83" s="394">
        <v>42380</v>
      </c>
      <c r="C83" s="395" t="s">
        <v>357</v>
      </c>
      <c r="D83" s="396">
        <v>173.59</v>
      </c>
      <c r="E83" s="396">
        <v>63.4</v>
      </c>
      <c r="F83" s="397">
        <v>236.99</v>
      </c>
      <c r="G83" s="397">
        <v>62278.879999999997</v>
      </c>
    </row>
    <row r="84" spans="1:7" ht="13" customHeight="1" x14ac:dyDescent="0.2">
      <c r="A84" s="393">
        <v>79</v>
      </c>
      <c r="B84" s="394">
        <v>42381</v>
      </c>
      <c r="C84" s="395" t="s">
        <v>357</v>
      </c>
      <c r="D84" s="396">
        <v>173.88</v>
      </c>
      <c r="E84" s="396">
        <v>61.09</v>
      </c>
      <c r="F84" s="397">
        <v>234.97</v>
      </c>
      <c r="G84" s="397">
        <v>62105</v>
      </c>
    </row>
    <row r="85" spans="1:7" ht="13" customHeight="1" x14ac:dyDescent="0.2">
      <c r="A85" s="393">
        <v>80</v>
      </c>
      <c r="B85" s="394">
        <v>42736</v>
      </c>
      <c r="C85" s="395" t="s">
        <v>357</v>
      </c>
      <c r="D85" s="396">
        <v>174.16</v>
      </c>
      <c r="E85" s="396">
        <v>63</v>
      </c>
      <c r="F85" s="397">
        <v>237.16</v>
      </c>
      <c r="G85" s="397">
        <v>61930.84</v>
      </c>
    </row>
    <row r="86" spans="1:7" ht="13" customHeight="1" x14ac:dyDescent="0.2">
      <c r="A86" s="393">
        <v>81</v>
      </c>
      <c r="B86" s="394">
        <v>42737</v>
      </c>
      <c r="C86" s="395" t="s">
        <v>357</v>
      </c>
      <c r="D86" s="396">
        <v>174.45</v>
      </c>
      <c r="E86" s="396">
        <v>63.04</v>
      </c>
      <c r="F86" s="397">
        <v>237.49</v>
      </c>
      <c r="G86" s="397">
        <v>61756.39</v>
      </c>
    </row>
    <row r="87" spans="1:7" ht="13" customHeight="1" x14ac:dyDescent="0.2">
      <c r="A87" s="393">
        <v>82</v>
      </c>
      <c r="B87" s="394">
        <v>42738</v>
      </c>
      <c r="C87" s="395" t="s">
        <v>357</v>
      </c>
      <c r="D87" s="396">
        <v>174.74</v>
      </c>
      <c r="E87" s="396">
        <v>56.58</v>
      </c>
      <c r="F87" s="397">
        <v>232.82</v>
      </c>
      <c r="G87" s="397">
        <v>61581.65</v>
      </c>
    </row>
    <row r="88" spans="1:7" ht="13" customHeight="1" x14ac:dyDescent="0.2">
      <c r="A88" s="393">
        <v>83</v>
      </c>
      <c r="B88" s="394">
        <v>42739</v>
      </c>
      <c r="C88" s="395" t="s">
        <v>357</v>
      </c>
      <c r="D88" s="396">
        <v>175.02</v>
      </c>
      <c r="E88" s="396">
        <v>62.52</v>
      </c>
      <c r="F88" s="397">
        <v>239.04</v>
      </c>
      <c r="G88" s="397">
        <v>61406.63</v>
      </c>
    </row>
    <row r="89" spans="1:7" ht="13" customHeight="1" x14ac:dyDescent="0.2">
      <c r="A89" s="393">
        <v>84</v>
      </c>
      <c r="B89" s="394">
        <v>42740</v>
      </c>
      <c r="C89" s="395" t="s">
        <v>357</v>
      </c>
      <c r="D89" s="396">
        <v>175.31</v>
      </c>
      <c r="E89" s="396">
        <v>60.23</v>
      </c>
      <c r="F89" s="397">
        <v>237.04</v>
      </c>
      <c r="G89" s="397">
        <v>61231.32</v>
      </c>
    </row>
    <row r="90" spans="1:7" ht="13" customHeight="1" x14ac:dyDescent="0.2">
      <c r="A90" s="393">
        <v>85</v>
      </c>
      <c r="B90" s="394">
        <v>42741</v>
      </c>
      <c r="C90" s="395" t="s">
        <v>357</v>
      </c>
      <c r="D90" s="396">
        <v>175.6</v>
      </c>
      <c r="E90" s="396">
        <v>62.06</v>
      </c>
      <c r="F90" s="397">
        <v>239.16</v>
      </c>
      <c r="G90" s="397">
        <v>61055.72</v>
      </c>
    </row>
    <row r="91" spans="1:7" ht="13" customHeight="1" x14ac:dyDescent="0.2">
      <c r="A91" s="393">
        <v>86</v>
      </c>
      <c r="B91" s="394">
        <v>42742</v>
      </c>
      <c r="C91" s="395" t="s">
        <v>357</v>
      </c>
      <c r="D91" s="396">
        <v>175.88</v>
      </c>
      <c r="E91" s="396">
        <v>59.89</v>
      </c>
      <c r="F91" s="397">
        <v>237.27</v>
      </c>
      <c r="G91" s="397">
        <v>60879.839999999997</v>
      </c>
    </row>
    <row r="92" spans="1:7" ht="13" customHeight="1" x14ac:dyDescent="0.2">
      <c r="A92" s="393">
        <v>87</v>
      </c>
      <c r="B92" s="394">
        <v>42743</v>
      </c>
      <c r="C92" s="395" t="s">
        <v>357</v>
      </c>
      <c r="D92" s="396">
        <v>176.17</v>
      </c>
      <c r="E92" s="396">
        <v>61.7</v>
      </c>
      <c r="F92" s="397">
        <v>239.37</v>
      </c>
      <c r="G92" s="397">
        <v>60703.67</v>
      </c>
    </row>
    <row r="93" spans="1:7" ht="13" customHeight="1" x14ac:dyDescent="0.2">
      <c r="A93" s="393">
        <v>88</v>
      </c>
      <c r="B93" s="394">
        <v>42744</v>
      </c>
      <c r="C93" s="395" t="s">
        <v>357</v>
      </c>
      <c r="D93" s="396">
        <v>176.46</v>
      </c>
      <c r="E93" s="396">
        <v>61.63</v>
      </c>
      <c r="F93" s="397">
        <v>239.59</v>
      </c>
      <c r="G93" s="397">
        <v>60527.21</v>
      </c>
    </row>
    <row r="94" spans="1:7" ht="13" customHeight="1" x14ac:dyDescent="0.2">
      <c r="A94" s="393">
        <v>89</v>
      </c>
      <c r="B94" s="394">
        <v>42745</v>
      </c>
      <c r="C94" s="395" t="s">
        <v>357</v>
      </c>
      <c r="D94" s="396">
        <v>176.75</v>
      </c>
      <c r="E94" s="396">
        <v>59.42</v>
      </c>
      <c r="F94" s="397">
        <v>237.67</v>
      </c>
      <c r="G94" s="397">
        <v>60350.46</v>
      </c>
    </row>
    <row r="95" spans="1:7" ht="13" customHeight="1" x14ac:dyDescent="0.2">
      <c r="A95" s="393">
        <v>90</v>
      </c>
      <c r="B95" s="394">
        <v>42746</v>
      </c>
      <c r="C95" s="395" t="s">
        <v>357</v>
      </c>
      <c r="D95" s="396">
        <v>177.04</v>
      </c>
      <c r="E95" s="396">
        <v>61.22</v>
      </c>
      <c r="F95" s="397">
        <v>239.76</v>
      </c>
      <c r="G95" s="397">
        <v>60173.42</v>
      </c>
    </row>
    <row r="96" spans="1:7" ht="13" customHeight="1" x14ac:dyDescent="0.2">
      <c r="A96" s="393">
        <v>91</v>
      </c>
      <c r="B96" s="394">
        <v>42747</v>
      </c>
      <c r="C96" s="395" t="s">
        <v>357</v>
      </c>
      <c r="D96" s="396">
        <v>177.33</v>
      </c>
      <c r="E96" s="396">
        <v>59.07</v>
      </c>
      <c r="F96" s="397">
        <v>237.9</v>
      </c>
      <c r="G96" s="397">
        <v>59996.09</v>
      </c>
    </row>
    <row r="97" spans="1:7" ht="13" customHeight="1" x14ac:dyDescent="0.2">
      <c r="A97" s="393">
        <v>92</v>
      </c>
      <c r="B97" s="394">
        <v>43101</v>
      </c>
      <c r="C97" s="395" t="s">
        <v>357</v>
      </c>
      <c r="D97" s="396">
        <v>177.62</v>
      </c>
      <c r="E97" s="396">
        <v>60.91</v>
      </c>
      <c r="F97" s="397">
        <v>240.03</v>
      </c>
      <c r="G97" s="397">
        <v>59818.47</v>
      </c>
    </row>
    <row r="98" spans="1:7" ht="13" customHeight="1" x14ac:dyDescent="0.2">
      <c r="A98" s="393">
        <v>93</v>
      </c>
      <c r="B98" s="394">
        <v>43102</v>
      </c>
      <c r="C98" s="395" t="s">
        <v>357</v>
      </c>
      <c r="D98" s="396">
        <v>177.91</v>
      </c>
      <c r="E98" s="396">
        <v>60.94</v>
      </c>
      <c r="F98" s="397">
        <v>240.35</v>
      </c>
      <c r="G98" s="397">
        <v>59640.56</v>
      </c>
    </row>
    <row r="99" spans="1:7" ht="13" customHeight="1" x14ac:dyDescent="0.2">
      <c r="A99" s="393">
        <v>94</v>
      </c>
      <c r="B99" s="394">
        <v>43103</v>
      </c>
      <c r="C99" s="395" t="s">
        <v>357</v>
      </c>
      <c r="D99" s="396">
        <v>178.21</v>
      </c>
      <c r="E99" s="396">
        <v>54.78</v>
      </c>
      <c r="F99" s="397">
        <v>234.49</v>
      </c>
      <c r="G99" s="397">
        <v>59462.35</v>
      </c>
    </row>
    <row r="100" spans="1:7" ht="13" customHeight="1" x14ac:dyDescent="0.2">
      <c r="A100" s="393">
        <v>95</v>
      </c>
      <c r="B100" s="394">
        <v>43104</v>
      </c>
      <c r="C100" s="395" t="s">
        <v>357</v>
      </c>
      <c r="D100" s="396">
        <v>178.5</v>
      </c>
      <c r="E100" s="396">
        <v>60.37</v>
      </c>
      <c r="F100" s="397">
        <v>240.37</v>
      </c>
      <c r="G100" s="397">
        <v>59283.85</v>
      </c>
    </row>
    <row r="101" spans="1:7" ht="13" customHeight="1" x14ac:dyDescent="0.2">
      <c r="A101" s="393">
        <v>96</v>
      </c>
      <c r="B101" s="394">
        <v>43105</v>
      </c>
      <c r="C101" s="395" t="s">
        <v>357</v>
      </c>
      <c r="D101" s="396">
        <v>178.79</v>
      </c>
      <c r="E101" s="396">
        <v>58.25</v>
      </c>
      <c r="F101" s="397">
        <v>238.54</v>
      </c>
      <c r="G101" s="397">
        <v>59105.06</v>
      </c>
    </row>
    <row r="102" spans="1:7" ht="13" customHeight="1" x14ac:dyDescent="0.2">
      <c r="A102" s="393">
        <v>97</v>
      </c>
      <c r="B102" s="394">
        <v>43106</v>
      </c>
      <c r="C102" s="395" t="s">
        <v>357</v>
      </c>
      <c r="D102" s="396">
        <v>179.08</v>
      </c>
      <c r="E102" s="396">
        <v>59.96</v>
      </c>
      <c r="F102" s="397">
        <v>240.54</v>
      </c>
      <c r="G102" s="397">
        <v>58925.98</v>
      </c>
    </row>
    <row r="103" spans="1:7" ht="13" customHeight="1" x14ac:dyDescent="0.2">
      <c r="A103" s="393">
        <v>98</v>
      </c>
      <c r="B103" s="394">
        <v>43107</v>
      </c>
      <c r="C103" s="395" t="s">
        <v>357</v>
      </c>
      <c r="D103" s="396">
        <v>179.38</v>
      </c>
      <c r="E103" s="396">
        <v>57.94</v>
      </c>
      <c r="F103" s="397">
        <v>238.82</v>
      </c>
      <c r="G103" s="397">
        <v>58746.6</v>
      </c>
    </row>
    <row r="104" spans="1:7" ht="13" customHeight="1" x14ac:dyDescent="0.2">
      <c r="A104" s="393">
        <v>99</v>
      </c>
      <c r="B104" s="394">
        <v>43108</v>
      </c>
      <c r="C104" s="395" t="s">
        <v>357</v>
      </c>
      <c r="D104" s="396">
        <v>179.67</v>
      </c>
      <c r="E104" s="396">
        <v>59.64</v>
      </c>
      <c r="F104" s="397">
        <v>240.81</v>
      </c>
      <c r="G104" s="397">
        <v>58566.93</v>
      </c>
    </row>
    <row r="105" spans="1:7" ht="13" customHeight="1" x14ac:dyDescent="0.2">
      <c r="A105" s="393">
        <v>100</v>
      </c>
      <c r="B105" s="394">
        <v>43109</v>
      </c>
      <c r="C105" s="395" t="s">
        <v>357</v>
      </c>
      <c r="D105" s="396">
        <v>179.97</v>
      </c>
      <c r="E105" s="396">
        <v>59.56</v>
      </c>
      <c r="F105" s="397">
        <v>241.03</v>
      </c>
      <c r="G105" s="397">
        <v>58386.96</v>
      </c>
    </row>
    <row r="106" spans="1:7" ht="13" customHeight="1" x14ac:dyDescent="0.2">
      <c r="A106" s="393">
        <v>101</v>
      </c>
      <c r="B106" s="394">
        <v>43110</v>
      </c>
      <c r="C106" s="395" t="s">
        <v>357</v>
      </c>
      <c r="D106" s="396">
        <v>180.26</v>
      </c>
      <c r="E106" s="396">
        <v>57.41</v>
      </c>
      <c r="F106" s="397">
        <v>239.17</v>
      </c>
      <c r="G106" s="397">
        <v>58206.7</v>
      </c>
    </row>
    <row r="107" spans="1:7" ht="13" customHeight="1" x14ac:dyDescent="0.2">
      <c r="A107" s="393">
        <v>102</v>
      </c>
      <c r="B107" s="394">
        <v>43111</v>
      </c>
      <c r="C107" s="395" t="s">
        <v>357</v>
      </c>
      <c r="D107" s="396">
        <v>180.56</v>
      </c>
      <c r="E107" s="396">
        <v>59.09</v>
      </c>
      <c r="F107" s="397">
        <v>241.15</v>
      </c>
      <c r="G107" s="397">
        <v>58026.14</v>
      </c>
    </row>
    <row r="108" spans="1:7" ht="13" customHeight="1" x14ac:dyDescent="0.2">
      <c r="A108" s="393">
        <v>103</v>
      </c>
      <c r="B108" s="394">
        <v>43112</v>
      </c>
      <c r="C108" s="395" t="s">
        <v>357</v>
      </c>
      <c r="D108" s="396">
        <v>180.85</v>
      </c>
      <c r="E108" s="396">
        <v>57.11</v>
      </c>
      <c r="F108" s="397">
        <v>239.46</v>
      </c>
      <c r="G108" s="397">
        <v>57845.29</v>
      </c>
    </row>
    <row r="109" spans="1:7" ht="13" customHeight="1" x14ac:dyDescent="0.2">
      <c r="A109" s="393">
        <v>104</v>
      </c>
      <c r="B109" s="394">
        <v>43466</v>
      </c>
      <c r="C109" s="395" t="s">
        <v>357</v>
      </c>
      <c r="D109" s="396">
        <v>181.15</v>
      </c>
      <c r="E109" s="396">
        <v>58.88</v>
      </c>
      <c r="F109" s="397">
        <v>241.53</v>
      </c>
      <c r="G109" s="397">
        <v>57664.14</v>
      </c>
    </row>
    <row r="110" spans="1:7" ht="13" customHeight="1" x14ac:dyDescent="0.2">
      <c r="A110" s="393">
        <v>105</v>
      </c>
      <c r="B110" s="394">
        <v>43467</v>
      </c>
      <c r="C110" s="395" t="s">
        <v>357</v>
      </c>
      <c r="D110" s="396">
        <v>181.45</v>
      </c>
      <c r="E110" s="396">
        <v>58.89</v>
      </c>
      <c r="F110" s="397">
        <v>241.84</v>
      </c>
      <c r="G110" s="397">
        <v>57482.69</v>
      </c>
    </row>
    <row r="111" spans="1:7" ht="13" customHeight="1" x14ac:dyDescent="0.2">
      <c r="A111" s="393">
        <v>106</v>
      </c>
      <c r="B111" s="394">
        <v>43468</v>
      </c>
      <c r="C111" s="395" t="s">
        <v>357</v>
      </c>
      <c r="D111" s="396">
        <v>181.74</v>
      </c>
      <c r="E111" s="396">
        <v>52.85</v>
      </c>
      <c r="F111" s="397">
        <v>236.09</v>
      </c>
      <c r="G111" s="397">
        <v>57300.95</v>
      </c>
    </row>
    <row r="112" spans="1:7" ht="13" customHeight="1" x14ac:dyDescent="0.2">
      <c r="A112" s="393">
        <v>107</v>
      </c>
      <c r="B112" s="394">
        <v>43469</v>
      </c>
      <c r="C112" s="395" t="s">
        <v>357</v>
      </c>
      <c r="D112" s="396">
        <v>182.04</v>
      </c>
      <c r="E112" s="396">
        <v>58.32</v>
      </c>
      <c r="F112" s="397">
        <v>241.86</v>
      </c>
      <c r="G112" s="397">
        <v>57118.91</v>
      </c>
    </row>
    <row r="113" spans="1:7" ht="13" customHeight="1" x14ac:dyDescent="0.2">
      <c r="A113" s="393">
        <v>108</v>
      </c>
      <c r="B113" s="394">
        <v>43470</v>
      </c>
      <c r="C113" s="395" t="s">
        <v>357</v>
      </c>
      <c r="D113" s="396">
        <v>182.34</v>
      </c>
      <c r="E113" s="396">
        <v>56.26</v>
      </c>
      <c r="F113" s="397">
        <v>240.1</v>
      </c>
      <c r="G113" s="397">
        <v>56936.57</v>
      </c>
    </row>
    <row r="114" spans="1:7" ht="13" customHeight="1" x14ac:dyDescent="0.2">
      <c r="A114" s="393">
        <v>109</v>
      </c>
      <c r="B114" s="394">
        <v>43471</v>
      </c>
      <c r="C114" s="395" t="s">
        <v>357</v>
      </c>
      <c r="D114" s="396">
        <v>182.64</v>
      </c>
      <c r="E114" s="396">
        <v>57.95</v>
      </c>
      <c r="F114" s="397">
        <v>242.09</v>
      </c>
      <c r="G114" s="397">
        <v>56753.93</v>
      </c>
    </row>
    <row r="115" spans="1:7" ht="13" customHeight="1" x14ac:dyDescent="0.2">
      <c r="A115" s="393">
        <v>110</v>
      </c>
      <c r="B115" s="394">
        <v>43472</v>
      </c>
      <c r="C115" s="395" t="s">
        <v>357</v>
      </c>
      <c r="D115" s="396">
        <v>182.94</v>
      </c>
      <c r="E115" s="396">
        <v>55.52</v>
      </c>
      <c r="F115" s="397">
        <v>239.96</v>
      </c>
      <c r="G115" s="397">
        <v>56570.99</v>
      </c>
    </row>
    <row r="116" spans="1:7" ht="13" customHeight="1" x14ac:dyDescent="0.2">
      <c r="A116" s="393">
        <v>111</v>
      </c>
      <c r="B116" s="394">
        <v>43473</v>
      </c>
      <c r="C116" s="395" t="s">
        <v>357</v>
      </c>
      <c r="D116" s="396">
        <v>183.24</v>
      </c>
      <c r="E116" s="396">
        <v>56.46</v>
      </c>
      <c r="F116" s="397">
        <v>241.2</v>
      </c>
      <c r="G116" s="397">
        <v>56387.75</v>
      </c>
    </row>
    <row r="117" spans="1:7" ht="13" customHeight="1" x14ac:dyDescent="0.2">
      <c r="A117" s="393">
        <v>112</v>
      </c>
      <c r="B117" s="394">
        <v>43474</v>
      </c>
      <c r="C117" s="395" t="s">
        <v>357</v>
      </c>
      <c r="D117" s="396">
        <v>183.54</v>
      </c>
      <c r="E117" s="396">
        <v>56.23</v>
      </c>
      <c r="F117" s="397">
        <v>241.27</v>
      </c>
      <c r="G117" s="397">
        <v>56204.21</v>
      </c>
    </row>
    <row r="118" spans="1:7" ht="13" customHeight="1" x14ac:dyDescent="0.2">
      <c r="A118" s="393">
        <v>113</v>
      </c>
      <c r="B118" s="394">
        <v>43475</v>
      </c>
      <c r="C118" s="395" t="s">
        <v>357</v>
      </c>
      <c r="D118" s="396">
        <v>183.84</v>
      </c>
      <c r="E118" s="396">
        <v>52.46</v>
      </c>
      <c r="F118" s="397">
        <v>237.8</v>
      </c>
      <c r="G118" s="397">
        <v>56020.37</v>
      </c>
    </row>
    <row r="119" spans="1:7" ht="13" customHeight="1" x14ac:dyDescent="0.2">
      <c r="A119" s="393">
        <v>114</v>
      </c>
      <c r="B119" s="394">
        <v>43476</v>
      </c>
      <c r="C119" s="395" t="s">
        <v>357</v>
      </c>
      <c r="D119" s="396">
        <v>184.14</v>
      </c>
      <c r="E119" s="396">
        <v>52.48</v>
      </c>
      <c r="F119" s="397">
        <v>238.12</v>
      </c>
      <c r="G119" s="397">
        <v>55836.23</v>
      </c>
    </row>
    <row r="120" spans="1:7" ht="13" customHeight="1" x14ac:dyDescent="0.2">
      <c r="A120" s="393">
        <v>115</v>
      </c>
      <c r="B120" s="394">
        <v>43477</v>
      </c>
      <c r="C120" s="395" t="s">
        <v>357</v>
      </c>
      <c r="D120" s="396">
        <v>184.44</v>
      </c>
      <c r="E120" s="396">
        <v>51.65</v>
      </c>
      <c r="F120" s="397">
        <v>237.59</v>
      </c>
      <c r="G120" s="397">
        <v>55651.79</v>
      </c>
    </row>
    <row r="121" spans="1:7" ht="13" customHeight="1" x14ac:dyDescent="0.2">
      <c r="A121" s="393">
        <v>116</v>
      </c>
      <c r="B121" s="394">
        <v>43831</v>
      </c>
      <c r="C121" s="395" t="s">
        <v>357</v>
      </c>
      <c r="D121" s="396">
        <v>184.75</v>
      </c>
      <c r="E121" s="396">
        <v>53.24</v>
      </c>
      <c r="F121" s="397">
        <v>239.49</v>
      </c>
      <c r="G121" s="397">
        <v>55467.040000000001</v>
      </c>
    </row>
    <row r="122" spans="1:7" ht="13" customHeight="1" x14ac:dyDescent="0.2">
      <c r="A122" s="393">
        <v>117</v>
      </c>
      <c r="B122" s="394">
        <v>43832</v>
      </c>
      <c r="C122" s="395" t="s">
        <v>357</v>
      </c>
      <c r="D122" s="396">
        <v>185.05</v>
      </c>
      <c r="E122" s="396">
        <v>52.68</v>
      </c>
      <c r="F122" s="397">
        <v>239.23</v>
      </c>
      <c r="G122" s="397">
        <v>55281.99</v>
      </c>
    </row>
    <row r="123" spans="1:7" ht="13" customHeight="1" x14ac:dyDescent="0.2">
      <c r="A123" s="393">
        <v>118</v>
      </c>
      <c r="B123" s="394">
        <v>43833</v>
      </c>
      <c r="C123" s="395" t="s">
        <v>357</v>
      </c>
      <c r="D123" s="396">
        <v>185.35</v>
      </c>
      <c r="E123" s="396">
        <v>48.63</v>
      </c>
      <c r="F123" s="397">
        <v>235.48</v>
      </c>
      <c r="G123" s="397">
        <v>55096.639999999999</v>
      </c>
    </row>
    <row r="124" spans="1:7" ht="13" customHeight="1" x14ac:dyDescent="0.2">
      <c r="A124" s="393">
        <v>119</v>
      </c>
      <c r="B124" s="394">
        <v>43834</v>
      </c>
      <c r="C124" s="395" t="s">
        <v>357</v>
      </c>
      <c r="D124" s="396">
        <v>185.66</v>
      </c>
      <c r="E124" s="396">
        <v>50.39</v>
      </c>
      <c r="F124" s="397">
        <v>237.55</v>
      </c>
      <c r="G124" s="397">
        <v>54910.98</v>
      </c>
    </row>
    <row r="125" spans="1:7" ht="13" customHeight="1" x14ac:dyDescent="0.2">
      <c r="A125" s="393">
        <v>120</v>
      </c>
      <c r="B125" s="394">
        <v>43835</v>
      </c>
      <c r="C125" s="395" t="s">
        <v>357</v>
      </c>
      <c r="D125" s="396">
        <v>185.96</v>
      </c>
      <c r="E125" s="396">
        <v>50.98</v>
      </c>
      <c r="F125" s="397">
        <v>238.44</v>
      </c>
      <c r="G125" s="397">
        <v>54725.02</v>
      </c>
    </row>
    <row r="126" spans="1:7" ht="13" customHeight="1" x14ac:dyDescent="0.2">
      <c r="A126" s="393">
        <v>121</v>
      </c>
      <c r="B126" s="394">
        <v>43836</v>
      </c>
      <c r="C126" s="395" t="s">
        <v>357</v>
      </c>
      <c r="D126" s="396">
        <v>186.27</v>
      </c>
      <c r="E126" s="396">
        <v>51.13</v>
      </c>
      <c r="F126" s="397">
        <v>238.9</v>
      </c>
      <c r="G126" s="397">
        <v>54538.75</v>
      </c>
    </row>
    <row r="127" spans="1:7" ht="13" customHeight="1" x14ac:dyDescent="0.2">
      <c r="A127" s="393">
        <v>122</v>
      </c>
      <c r="B127" s="394">
        <v>43837</v>
      </c>
      <c r="C127" s="395" t="s">
        <v>357</v>
      </c>
      <c r="D127" s="396">
        <v>186.57</v>
      </c>
      <c r="E127" s="396">
        <v>49.49</v>
      </c>
      <c r="F127" s="397">
        <v>237.56</v>
      </c>
      <c r="G127" s="397">
        <v>54352.18</v>
      </c>
    </row>
    <row r="128" spans="1:7" ht="13" customHeight="1" x14ac:dyDescent="0.2">
      <c r="A128" s="393">
        <v>123</v>
      </c>
      <c r="B128" s="394">
        <v>43838</v>
      </c>
      <c r="C128" s="395" t="s">
        <v>357</v>
      </c>
      <c r="D128" s="396">
        <v>186.88</v>
      </c>
      <c r="E128" s="396">
        <v>48.82</v>
      </c>
      <c r="F128" s="397">
        <v>237.2</v>
      </c>
      <c r="G128" s="397">
        <v>54165.3</v>
      </c>
    </row>
    <row r="129" spans="1:7" ht="13" customHeight="1" x14ac:dyDescent="0.2">
      <c r="A129" s="393">
        <v>124</v>
      </c>
      <c r="B129" s="394">
        <v>43839</v>
      </c>
      <c r="C129" s="395" t="s">
        <v>357</v>
      </c>
      <c r="D129" s="396">
        <v>187.19</v>
      </c>
      <c r="E129" s="396">
        <v>48.09</v>
      </c>
      <c r="F129" s="397">
        <v>236.78</v>
      </c>
      <c r="G129" s="397">
        <v>53978.11</v>
      </c>
    </row>
    <row r="130" spans="1:7" ht="13" customHeight="1" x14ac:dyDescent="0.2">
      <c r="A130" s="393">
        <v>125</v>
      </c>
      <c r="B130" s="394">
        <v>43840</v>
      </c>
      <c r="C130" s="395" t="s">
        <v>357</v>
      </c>
      <c r="D130" s="396">
        <v>187.49</v>
      </c>
      <c r="E130" s="396">
        <v>46.2</v>
      </c>
      <c r="F130" s="397">
        <v>235.19</v>
      </c>
      <c r="G130" s="397">
        <v>53790.62</v>
      </c>
    </row>
    <row r="131" spans="1:7" ht="13" customHeight="1" x14ac:dyDescent="0.2">
      <c r="A131" s="393">
        <v>126</v>
      </c>
      <c r="B131" s="394">
        <v>43841</v>
      </c>
      <c r="C131" s="395" t="s">
        <v>357</v>
      </c>
      <c r="D131" s="396">
        <v>187.8</v>
      </c>
      <c r="E131" s="396">
        <v>47.57</v>
      </c>
      <c r="F131" s="397">
        <v>236.87</v>
      </c>
      <c r="G131" s="397">
        <v>53602.82</v>
      </c>
    </row>
    <row r="132" spans="1:7" ht="13" customHeight="1" x14ac:dyDescent="0.2">
      <c r="A132" s="393">
        <v>127</v>
      </c>
      <c r="B132" s="394">
        <v>43842</v>
      </c>
      <c r="C132" s="395" t="s">
        <v>357</v>
      </c>
      <c r="D132" s="396">
        <v>188.11</v>
      </c>
      <c r="E132" s="396">
        <v>44.67</v>
      </c>
      <c r="F132" s="397">
        <v>234.28</v>
      </c>
      <c r="G132" s="397">
        <v>53414.71</v>
      </c>
    </row>
    <row r="133" spans="1:7" ht="13" customHeight="1" x14ac:dyDescent="0.2">
      <c r="A133" s="393">
        <v>128</v>
      </c>
      <c r="B133" s="394">
        <v>44197</v>
      </c>
      <c r="C133" s="395" t="s">
        <v>357</v>
      </c>
      <c r="D133" s="396">
        <v>188.42</v>
      </c>
      <c r="E133" s="396">
        <v>46.18</v>
      </c>
      <c r="F133" s="397">
        <v>236.1</v>
      </c>
      <c r="G133" s="397">
        <v>53226.29</v>
      </c>
    </row>
    <row r="134" spans="1:7" ht="13" customHeight="1" x14ac:dyDescent="0.2">
      <c r="A134" s="393">
        <v>129</v>
      </c>
      <c r="B134" s="394">
        <v>44198</v>
      </c>
      <c r="C134" s="395" t="s">
        <v>357</v>
      </c>
      <c r="D134" s="396">
        <v>188.72</v>
      </c>
      <c r="E134" s="396">
        <v>45.28</v>
      </c>
      <c r="F134" s="397">
        <v>235.5</v>
      </c>
      <c r="G134" s="397">
        <v>53037.57</v>
      </c>
    </row>
    <row r="135" spans="1:7" ht="13" customHeight="1" x14ac:dyDescent="0.2">
      <c r="A135" s="393">
        <v>130</v>
      </c>
      <c r="B135" s="394">
        <v>44199</v>
      </c>
      <c r="C135" s="395" t="s">
        <v>357</v>
      </c>
      <c r="D135" s="396">
        <v>189.03</v>
      </c>
      <c r="E135" s="396">
        <v>40.51</v>
      </c>
      <c r="F135" s="397">
        <v>231.04</v>
      </c>
      <c r="G135" s="397">
        <v>52848.54</v>
      </c>
    </row>
    <row r="136" spans="1:7" ht="13" customHeight="1" x14ac:dyDescent="0.2">
      <c r="A136" s="393">
        <v>131</v>
      </c>
      <c r="B136" s="394">
        <v>44200</v>
      </c>
      <c r="C136" s="395" t="s">
        <v>357</v>
      </c>
      <c r="D136" s="396">
        <v>189.34</v>
      </c>
      <c r="E136" s="396">
        <v>45.37</v>
      </c>
      <c r="F136" s="397">
        <v>236.21</v>
      </c>
      <c r="G136" s="397">
        <v>52659.199999999997</v>
      </c>
    </row>
    <row r="137" spans="1:7" ht="13" customHeight="1" x14ac:dyDescent="0.2">
      <c r="A137" s="393">
        <v>132</v>
      </c>
      <c r="B137" s="394">
        <v>44201</v>
      </c>
      <c r="C137" s="395" t="s">
        <v>357</v>
      </c>
      <c r="D137" s="396">
        <v>189.66</v>
      </c>
      <c r="E137" s="396">
        <v>43.66</v>
      </c>
      <c r="F137" s="397">
        <v>234.82</v>
      </c>
      <c r="G137" s="397">
        <v>52469.54</v>
      </c>
    </row>
    <row r="138" spans="1:7" ht="13" customHeight="1" x14ac:dyDescent="0.2">
      <c r="A138" s="393">
        <v>133</v>
      </c>
      <c r="B138" s="394">
        <v>44202</v>
      </c>
      <c r="C138" s="395" t="s">
        <v>357</v>
      </c>
      <c r="D138" s="396">
        <v>189.97</v>
      </c>
      <c r="E138" s="396">
        <v>44.82</v>
      </c>
      <c r="F138" s="397">
        <v>236.29</v>
      </c>
      <c r="G138" s="397">
        <v>52279.57</v>
      </c>
    </row>
    <row r="139" spans="1:7" ht="13" customHeight="1" x14ac:dyDescent="0.2">
      <c r="A139" s="393">
        <v>134</v>
      </c>
      <c r="B139" s="394">
        <v>44203</v>
      </c>
      <c r="C139" s="395" t="s">
        <v>357</v>
      </c>
      <c r="D139" s="396">
        <v>190.28</v>
      </c>
      <c r="E139" s="396">
        <v>43.22</v>
      </c>
      <c r="F139" s="397">
        <v>235</v>
      </c>
      <c r="G139" s="397">
        <v>52089.29</v>
      </c>
    </row>
    <row r="140" spans="1:7" ht="13" customHeight="1" x14ac:dyDescent="0.2">
      <c r="A140" s="393">
        <v>135</v>
      </c>
      <c r="B140" s="394">
        <v>44204</v>
      </c>
      <c r="C140" s="395" t="s">
        <v>357</v>
      </c>
      <c r="D140" s="396">
        <v>190.59</v>
      </c>
      <c r="E140" s="396">
        <v>44.63</v>
      </c>
      <c r="F140" s="397">
        <v>236.72</v>
      </c>
      <c r="G140" s="397">
        <v>51898.7</v>
      </c>
    </row>
    <row r="141" spans="1:7" ht="13" customHeight="1" x14ac:dyDescent="0.2">
      <c r="A141" s="393">
        <v>136</v>
      </c>
      <c r="B141" s="394">
        <v>44205</v>
      </c>
      <c r="C141" s="395" t="s">
        <v>357</v>
      </c>
      <c r="D141" s="396">
        <v>190.9</v>
      </c>
      <c r="E141" s="396">
        <v>44.33</v>
      </c>
      <c r="F141" s="397">
        <v>236.73</v>
      </c>
      <c r="G141" s="397">
        <v>51707.8</v>
      </c>
    </row>
    <row r="142" spans="1:7" ht="13" customHeight="1" x14ac:dyDescent="0.2">
      <c r="A142" s="393">
        <v>137</v>
      </c>
      <c r="B142" s="394">
        <v>44206</v>
      </c>
      <c r="C142" s="395" t="s">
        <v>357</v>
      </c>
      <c r="D142" s="396">
        <v>191.22</v>
      </c>
      <c r="E142" s="396">
        <v>42.7</v>
      </c>
      <c r="F142" s="397">
        <v>235.42</v>
      </c>
      <c r="G142" s="397">
        <v>51516.58</v>
      </c>
    </row>
    <row r="143" spans="1:7" ht="13" customHeight="1" x14ac:dyDescent="0.2">
      <c r="A143" s="393">
        <v>138</v>
      </c>
      <c r="B143" s="394">
        <v>44207</v>
      </c>
      <c r="C143" s="395" t="s">
        <v>357</v>
      </c>
      <c r="D143" s="396">
        <v>191.53</v>
      </c>
      <c r="E143" s="396">
        <v>44.01</v>
      </c>
      <c r="F143" s="397">
        <v>237.04</v>
      </c>
      <c r="G143" s="397">
        <v>51325.05</v>
      </c>
    </row>
    <row r="144" spans="1:7" ht="13" customHeight="1" x14ac:dyDescent="0.2">
      <c r="A144" s="393">
        <v>139</v>
      </c>
      <c r="B144" s="394">
        <v>44208</v>
      </c>
      <c r="C144" s="395" t="s">
        <v>357</v>
      </c>
      <c r="D144" s="396">
        <v>191.84</v>
      </c>
      <c r="E144" s="396">
        <v>42.51</v>
      </c>
      <c r="F144" s="397">
        <v>235.85</v>
      </c>
      <c r="G144" s="397">
        <v>51133.21</v>
      </c>
    </row>
    <row r="145" spans="1:7" ht="13" customHeight="1" x14ac:dyDescent="0.2">
      <c r="A145" s="393">
        <v>140</v>
      </c>
      <c r="B145" s="394">
        <v>44562</v>
      </c>
      <c r="C145" s="395" t="s">
        <v>357</v>
      </c>
      <c r="D145" s="396">
        <v>192.16</v>
      </c>
      <c r="E145" s="396">
        <v>43.46</v>
      </c>
      <c r="F145" s="397">
        <v>237.12</v>
      </c>
      <c r="G145" s="397">
        <v>50941.05</v>
      </c>
    </row>
    <row r="146" spans="1:7" ht="13" customHeight="1" x14ac:dyDescent="0.2">
      <c r="A146" s="393">
        <v>141</v>
      </c>
      <c r="B146" s="394">
        <v>44563</v>
      </c>
      <c r="C146" s="395" t="s">
        <v>357</v>
      </c>
      <c r="D146" s="396">
        <v>192.47</v>
      </c>
      <c r="E146" s="396">
        <v>42.33</v>
      </c>
      <c r="F146" s="397">
        <v>236.3</v>
      </c>
      <c r="G146" s="397">
        <v>50748.58</v>
      </c>
    </row>
    <row r="147" spans="1:7" ht="13" customHeight="1" x14ac:dyDescent="0.2">
      <c r="A147" s="393">
        <v>142</v>
      </c>
      <c r="B147" s="394">
        <v>44564</v>
      </c>
      <c r="C147" s="395" t="s">
        <v>357</v>
      </c>
      <c r="D147" s="396">
        <v>192.79</v>
      </c>
      <c r="E147" s="396">
        <v>38.96</v>
      </c>
      <c r="F147" s="397">
        <v>233.25</v>
      </c>
      <c r="G147" s="397">
        <v>50555.79</v>
      </c>
    </row>
    <row r="148" spans="1:7" ht="13" customHeight="1" x14ac:dyDescent="0.2">
      <c r="A148" s="393">
        <v>143</v>
      </c>
      <c r="B148" s="394">
        <v>44565</v>
      </c>
      <c r="C148" s="395" t="s">
        <v>357</v>
      </c>
      <c r="D148" s="396">
        <v>193.1</v>
      </c>
      <c r="E148" s="396">
        <v>43.84</v>
      </c>
      <c r="F148" s="397">
        <v>238.44</v>
      </c>
      <c r="G148" s="397">
        <v>50362.69</v>
      </c>
    </row>
    <row r="149" spans="1:7" ht="13" customHeight="1" x14ac:dyDescent="0.2">
      <c r="A149" s="393">
        <v>144</v>
      </c>
      <c r="B149" s="394">
        <v>44566</v>
      </c>
      <c r="C149" s="395" t="s">
        <v>357</v>
      </c>
      <c r="D149" s="396">
        <v>193.42</v>
      </c>
      <c r="E149" s="396">
        <v>42.93</v>
      </c>
      <c r="F149" s="397">
        <v>237.85</v>
      </c>
      <c r="G149" s="397">
        <v>50169.27</v>
      </c>
    </row>
    <row r="150" spans="1:7" ht="13" customHeight="1" x14ac:dyDescent="0.2">
      <c r="A150" s="393">
        <v>145</v>
      </c>
      <c r="B150" s="394">
        <v>44567</v>
      </c>
      <c r="C150" s="395" t="s">
        <v>357</v>
      </c>
      <c r="D150" s="396">
        <v>193.74</v>
      </c>
      <c r="E150" s="396">
        <v>44.41</v>
      </c>
      <c r="F150" s="397">
        <v>239.65</v>
      </c>
      <c r="G150" s="397">
        <v>49975.53</v>
      </c>
    </row>
    <row r="151" spans="1:7" ht="13" customHeight="1" x14ac:dyDescent="0.2">
      <c r="A151" s="393">
        <v>146</v>
      </c>
      <c r="B151" s="394">
        <v>44568</v>
      </c>
      <c r="C151" s="395" t="s">
        <v>357</v>
      </c>
      <c r="D151" s="396">
        <v>194.06</v>
      </c>
      <c r="E151" s="396">
        <v>41.85</v>
      </c>
      <c r="F151" s="397">
        <v>237.41</v>
      </c>
      <c r="G151" s="397">
        <v>49781.47</v>
      </c>
    </row>
    <row r="152" spans="1:7" ht="13" customHeight="1" x14ac:dyDescent="0.2">
      <c r="A152" s="393">
        <v>147</v>
      </c>
      <c r="B152" s="394">
        <v>44569</v>
      </c>
      <c r="C152" s="395" t="s">
        <v>357</v>
      </c>
      <c r="D152" s="396">
        <v>194.37</v>
      </c>
      <c r="E152" s="396">
        <v>43.51</v>
      </c>
      <c r="F152" s="397">
        <v>239.38</v>
      </c>
      <c r="G152" s="397">
        <v>49587.1</v>
      </c>
    </row>
    <row r="153" spans="1:7" ht="13" customHeight="1" x14ac:dyDescent="0.2">
      <c r="A153" s="393">
        <v>148</v>
      </c>
      <c r="B153" s="394">
        <v>44570</v>
      </c>
      <c r="C153" s="395" t="s">
        <v>357</v>
      </c>
      <c r="D153" s="396">
        <v>194.69</v>
      </c>
      <c r="E153" s="396">
        <v>64.69</v>
      </c>
      <c r="F153" s="397">
        <v>260.88</v>
      </c>
      <c r="G153" s="397">
        <v>49392.41</v>
      </c>
    </row>
    <row r="154" spans="1:7" ht="13" customHeight="1" x14ac:dyDescent="0.2">
      <c r="A154" s="393">
        <v>149</v>
      </c>
      <c r="B154" s="394">
        <v>44571</v>
      </c>
      <c r="C154" s="395" t="s">
        <v>357</v>
      </c>
      <c r="D154" s="396">
        <v>195.01</v>
      </c>
      <c r="E154" s="396">
        <v>71.87</v>
      </c>
      <c r="F154" s="397">
        <v>268.38</v>
      </c>
      <c r="G154" s="397">
        <v>49197.4</v>
      </c>
    </row>
    <row r="155" spans="1:7" ht="13" customHeight="1" x14ac:dyDescent="0.2">
      <c r="A155" s="393">
        <v>150</v>
      </c>
      <c r="B155" s="394">
        <v>44572</v>
      </c>
      <c r="C155" s="395" t="s">
        <v>357</v>
      </c>
      <c r="D155" s="396">
        <v>195.33</v>
      </c>
      <c r="E155" s="396">
        <v>93.88</v>
      </c>
      <c r="F155" s="397">
        <v>290.70999999999998</v>
      </c>
      <c r="G155" s="397">
        <v>49002.07</v>
      </c>
    </row>
    <row r="156" spans="1:7" ht="13" customHeight="1" x14ac:dyDescent="0.2">
      <c r="A156" s="393">
        <v>151</v>
      </c>
      <c r="B156" s="394">
        <v>44573</v>
      </c>
      <c r="C156" s="395" t="s">
        <v>357</v>
      </c>
      <c r="D156" s="396">
        <v>195.65</v>
      </c>
      <c r="E156" s="396">
        <v>112.62</v>
      </c>
      <c r="F156" s="397">
        <v>309.77</v>
      </c>
      <c r="G156" s="397">
        <v>48806.42</v>
      </c>
    </row>
    <row r="157" spans="1:7" ht="13" customHeight="1" x14ac:dyDescent="0.2">
      <c r="A157" s="393">
        <v>152</v>
      </c>
      <c r="B157" s="394">
        <v>44927</v>
      </c>
      <c r="C157" s="395" t="s">
        <v>357</v>
      </c>
      <c r="D157" s="396">
        <v>195.97</v>
      </c>
      <c r="E157" s="396">
        <v>128.06</v>
      </c>
      <c r="F157" s="397">
        <v>325.52999999999997</v>
      </c>
      <c r="G157" s="397">
        <v>48610.45</v>
      </c>
    </row>
    <row r="158" spans="1:7" ht="13" customHeight="1" x14ac:dyDescent="0.2">
      <c r="A158" s="393">
        <v>153</v>
      </c>
      <c r="B158" s="394">
        <v>44928</v>
      </c>
      <c r="C158" s="395" t="s">
        <v>357</v>
      </c>
      <c r="D158" s="396">
        <v>196.3</v>
      </c>
      <c r="E158" s="396">
        <v>144.46</v>
      </c>
      <c r="F158" s="397">
        <v>342.26</v>
      </c>
      <c r="G158" s="397">
        <v>48414.15</v>
      </c>
    </row>
    <row r="159" spans="1:7" ht="13" customHeight="1" x14ac:dyDescent="0.2">
      <c r="A159" s="393">
        <v>154</v>
      </c>
      <c r="B159" s="394">
        <v>44929</v>
      </c>
      <c r="C159" s="395" t="s">
        <v>357</v>
      </c>
      <c r="D159" s="396">
        <v>196.62</v>
      </c>
      <c r="E159" s="396">
        <v>139.1</v>
      </c>
      <c r="F159" s="397">
        <v>337.22</v>
      </c>
      <c r="G159" s="397">
        <v>48217.53</v>
      </c>
    </row>
    <row r="160" spans="1:7" ht="13" customHeight="1" x14ac:dyDescent="0.2">
      <c r="A160" s="393">
        <v>155</v>
      </c>
      <c r="B160" s="394">
        <v>44930</v>
      </c>
      <c r="C160" s="395" t="s">
        <v>357</v>
      </c>
      <c r="D160" s="396">
        <v>196.94</v>
      </c>
      <c r="E160" s="396">
        <v>164.92</v>
      </c>
      <c r="F160" s="397">
        <v>363.36</v>
      </c>
      <c r="G160" s="397">
        <v>48020.59</v>
      </c>
    </row>
    <row r="161" spans="1:7" ht="13" customHeight="1" x14ac:dyDescent="0.2">
      <c r="A161" s="393">
        <v>156</v>
      </c>
      <c r="B161" s="394">
        <v>44931</v>
      </c>
      <c r="C161" s="395" t="s">
        <v>357</v>
      </c>
      <c r="D161" s="396">
        <v>197.26</v>
      </c>
      <c r="E161" s="396">
        <v>178.92</v>
      </c>
      <c r="F161" s="397">
        <v>377.68</v>
      </c>
      <c r="G161" s="397">
        <v>47823.33</v>
      </c>
    </row>
    <row r="162" spans="1:7" ht="13" customHeight="1" x14ac:dyDescent="0.2">
      <c r="A162" s="393">
        <v>157</v>
      </c>
      <c r="B162" s="394">
        <v>44932</v>
      </c>
      <c r="C162" s="395" t="s">
        <v>357</v>
      </c>
      <c r="D162" s="396">
        <v>197.59</v>
      </c>
      <c r="E162" s="396">
        <v>188.9</v>
      </c>
      <c r="F162" s="397">
        <v>387.99</v>
      </c>
      <c r="G162" s="397">
        <v>47625.74</v>
      </c>
    </row>
    <row r="163" spans="1:7" ht="13" customHeight="1" x14ac:dyDescent="0.2">
      <c r="A163" s="393">
        <v>158</v>
      </c>
      <c r="B163" s="394">
        <v>44933</v>
      </c>
      <c r="C163" s="395" t="s">
        <v>357</v>
      </c>
      <c r="D163" s="396">
        <v>197.91</v>
      </c>
      <c r="E163" s="396">
        <v>189.07</v>
      </c>
      <c r="F163" s="397">
        <v>388.48</v>
      </c>
      <c r="G163" s="397">
        <v>47427.83</v>
      </c>
    </row>
    <row r="164" spans="1:7" ht="13" customHeight="1" x14ac:dyDescent="0.2">
      <c r="A164" s="393">
        <v>159</v>
      </c>
      <c r="B164" s="394">
        <v>44934</v>
      </c>
      <c r="C164" s="395" t="s">
        <v>357</v>
      </c>
      <c r="D164" s="396">
        <v>198.23</v>
      </c>
      <c r="E164" s="396">
        <v>202.77</v>
      </c>
      <c r="F164" s="397">
        <v>402.5</v>
      </c>
      <c r="G164" s="397">
        <v>47229.599999999999</v>
      </c>
    </row>
    <row r="165" spans="1:7" ht="13" customHeight="1" x14ac:dyDescent="0.2">
      <c r="A165" s="393">
        <v>160</v>
      </c>
      <c r="B165" s="394">
        <v>44935</v>
      </c>
      <c r="C165" s="395" t="s">
        <v>357</v>
      </c>
      <c r="D165" s="396">
        <v>198.56</v>
      </c>
      <c r="E165" s="396">
        <v>208.84</v>
      </c>
      <c r="F165" s="397">
        <v>408.9</v>
      </c>
      <c r="G165" s="397">
        <v>47031.040000000001</v>
      </c>
    </row>
    <row r="166" spans="1:7" ht="13" customHeight="1" x14ac:dyDescent="0.2">
      <c r="A166" s="393">
        <v>161</v>
      </c>
      <c r="B166" s="394">
        <v>44936</v>
      </c>
      <c r="C166" s="395" t="s">
        <v>357</v>
      </c>
      <c r="D166" s="396">
        <v>198.89</v>
      </c>
      <c r="E166" s="396">
        <v>203.96</v>
      </c>
      <c r="F166" s="397">
        <v>404.35</v>
      </c>
      <c r="G166" s="397">
        <v>46832.15</v>
      </c>
    </row>
    <row r="167" spans="1:7" ht="13" customHeight="1" x14ac:dyDescent="0.2">
      <c r="A167" s="393">
        <v>162</v>
      </c>
      <c r="B167" s="394">
        <v>44937</v>
      </c>
      <c r="C167" s="395" t="s">
        <v>357</v>
      </c>
      <c r="D167" s="396">
        <v>199.21</v>
      </c>
      <c r="E167" s="396">
        <v>217.57</v>
      </c>
      <c r="F167" s="397">
        <v>417.78</v>
      </c>
      <c r="G167" s="397">
        <v>46632.94</v>
      </c>
    </row>
    <row r="168" spans="1:7" ht="13" customHeight="1" x14ac:dyDescent="0.2">
      <c r="A168" s="393">
        <v>163</v>
      </c>
      <c r="B168" s="394">
        <v>44938</v>
      </c>
      <c r="C168" s="395" t="s">
        <v>357</v>
      </c>
      <c r="D168" s="396">
        <v>199.54</v>
      </c>
      <c r="E168" s="396">
        <v>211.52</v>
      </c>
      <c r="F168" s="397">
        <v>412.06</v>
      </c>
      <c r="G168" s="397">
        <v>46433.4</v>
      </c>
    </row>
    <row r="169" spans="1:7" ht="13" customHeight="1" x14ac:dyDescent="0.2">
      <c r="A169" s="393">
        <v>164</v>
      </c>
      <c r="B169" s="394">
        <v>45292</v>
      </c>
      <c r="C169" s="395" t="s">
        <v>357</v>
      </c>
      <c r="D169" s="396">
        <v>199.87</v>
      </c>
      <c r="E169" s="396">
        <v>216.08</v>
      </c>
      <c r="F169" s="397">
        <v>416.95</v>
      </c>
      <c r="G169" s="397">
        <v>46233.53</v>
      </c>
    </row>
    <row r="170" spans="1:7" ht="13" customHeight="1" x14ac:dyDescent="0.2">
      <c r="A170" s="393">
        <v>165</v>
      </c>
      <c r="B170" s="394">
        <v>45293</v>
      </c>
      <c r="C170" s="395" t="s">
        <v>357</v>
      </c>
      <c r="D170" s="396">
        <v>200.19</v>
      </c>
      <c r="E170" s="396">
        <v>215.86</v>
      </c>
      <c r="F170" s="397">
        <v>417.05</v>
      </c>
      <c r="G170" s="397">
        <v>46033.34</v>
      </c>
    </row>
    <row r="171" spans="1:7" ht="13" customHeight="1" x14ac:dyDescent="0.2">
      <c r="A171" s="393">
        <v>166</v>
      </c>
      <c r="B171" s="394">
        <v>45294</v>
      </c>
      <c r="C171" s="395" t="s">
        <v>357</v>
      </c>
      <c r="D171" s="396">
        <v>200.52</v>
      </c>
      <c r="E171" s="396">
        <v>200.39</v>
      </c>
      <c r="F171" s="397">
        <v>401.91</v>
      </c>
      <c r="G171" s="397">
        <v>45832.82</v>
      </c>
    </row>
    <row r="172" spans="1:7" ht="13" customHeight="1" x14ac:dyDescent="0.2">
      <c r="A172" s="393">
        <v>167</v>
      </c>
      <c r="B172" s="394">
        <v>45295</v>
      </c>
      <c r="C172" s="395" t="s">
        <v>357</v>
      </c>
      <c r="D172" s="396">
        <v>200.85</v>
      </c>
      <c r="E172" s="396">
        <v>213.36</v>
      </c>
      <c r="F172" s="397">
        <v>415.21</v>
      </c>
      <c r="G172" s="397">
        <v>45631.97</v>
      </c>
    </row>
    <row r="173" spans="1:7" ht="13" customHeight="1" x14ac:dyDescent="0.2">
      <c r="A173" s="393">
        <v>168</v>
      </c>
      <c r="B173" s="394">
        <v>45296</v>
      </c>
      <c r="C173" s="395" t="s">
        <v>357</v>
      </c>
      <c r="D173" s="396">
        <v>201.18</v>
      </c>
      <c r="E173" s="396">
        <v>204.77</v>
      </c>
      <c r="F173" s="397">
        <v>406.95</v>
      </c>
      <c r="G173" s="397">
        <v>45430.79</v>
      </c>
    </row>
    <row r="174" spans="1:7" ht="13" customHeight="1" x14ac:dyDescent="0.2">
      <c r="A174" s="393">
        <v>169</v>
      </c>
      <c r="B174" s="394">
        <v>45297</v>
      </c>
      <c r="C174" s="395" t="s">
        <v>357</v>
      </c>
      <c r="D174" s="396">
        <v>201.51</v>
      </c>
      <c r="E174" s="396">
        <v>211.57</v>
      </c>
      <c r="F174" s="397">
        <v>414.08</v>
      </c>
      <c r="G174" s="397">
        <v>45229.279999999999</v>
      </c>
    </row>
    <row r="175" spans="1:7" ht="13" customHeight="1" x14ac:dyDescent="0.2">
      <c r="A175" s="393">
        <v>170</v>
      </c>
      <c r="B175" s="394">
        <v>45298</v>
      </c>
      <c r="C175" s="395" t="s">
        <v>357</v>
      </c>
      <c r="D175" s="396">
        <v>201.84</v>
      </c>
      <c r="E175" s="396">
        <v>199.76</v>
      </c>
      <c r="F175" s="397">
        <v>402.6</v>
      </c>
      <c r="G175" s="397">
        <v>45027.44</v>
      </c>
    </row>
    <row r="176" spans="1:7" ht="13" customHeight="1" x14ac:dyDescent="0.2">
      <c r="A176" s="393">
        <v>171</v>
      </c>
      <c r="B176" s="394">
        <v>45299</v>
      </c>
      <c r="C176" s="395" t="s">
        <v>357</v>
      </c>
      <c r="D176" s="396">
        <v>202.17</v>
      </c>
      <c r="E176" s="396">
        <v>202.17</v>
      </c>
      <c r="F176" s="397">
        <v>405.34</v>
      </c>
      <c r="G176" s="397">
        <v>44825.27</v>
      </c>
    </row>
    <row r="177" spans="1:7" ht="13" customHeight="1" x14ac:dyDescent="0.2">
      <c r="A177" s="393">
        <v>172</v>
      </c>
      <c r="B177" s="394">
        <v>45300</v>
      </c>
      <c r="C177" s="395" t="s">
        <v>357</v>
      </c>
      <c r="D177" s="396">
        <v>202.5</v>
      </c>
      <c r="E177" s="396">
        <v>199.21</v>
      </c>
      <c r="F177" s="397">
        <v>402.71</v>
      </c>
      <c r="G177" s="397">
        <v>44622.77</v>
      </c>
    </row>
    <row r="178" spans="1:7" ht="13" customHeight="1" x14ac:dyDescent="0.2">
      <c r="A178" s="393">
        <v>173</v>
      </c>
      <c r="B178" s="394">
        <v>45301</v>
      </c>
      <c r="C178" s="395" t="s">
        <v>357</v>
      </c>
      <c r="D178" s="396">
        <v>202.83</v>
      </c>
      <c r="E178" s="396">
        <v>191.58</v>
      </c>
      <c r="F178" s="397">
        <v>395.41</v>
      </c>
      <c r="G178" s="397">
        <v>44419.94</v>
      </c>
    </row>
    <row r="179" spans="1:7" ht="13" customHeight="1" x14ac:dyDescent="0.2">
      <c r="A179" s="393">
        <v>174</v>
      </c>
      <c r="B179" s="394">
        <v>45302</v>
      </c>
      <c r="C179" s="395" t="s">
        <v>357</v>
      </c>
      <c r="D179" s="396">
        <v>203.17</v>
      </c>
      <c r="E179" s="396">
        <v>188</v>
      </c>
      <c r="F179" s="397">
        <v>392.17</v>
      </c>
      <c r="G179" s="397">
        <v>44216.77</v>
      </c>
    </row>
    <row r="180" spans="1:7" ht="13" customHeight="1" x14ac:dyDescent="0.2">
      <c r="A180" s="393">
        <v>175</v>
      </c>
      <c r="B180" s="394">
        <v>45303</v>
      </c>
      <c r="C180" s="395" t="s">
        <v>357</v>
      </c>
      <c r="D180" s="396">
        <v>203.5</v>
      </c>
      <c r="E180" s="396">
        <v>172.45</v>
      </c>
      <c r="F180" s="397">
        <v>376.95</v>
      </c>
      <c r="G180" s="397">
        <v>44013.27</v>
      </c>
    </row>
    <row r="181" spans="1:7" ht="13" customHeight="1" x14ac:dyDescent="0.2">
      <c r="A181" s="393">
        <v>176</v>
      </c>
      <c r="B181" s="394">
        <v>45658</v>
      </c>
      <c r="C181" s="395" t="s">
        <v>357</v>
      </c>
      <c r="D181" s="396">
        <v>203.83</v>
      </c>
      <c r="E181" s="396">
        <v>173.28</v>
      </c>
      <c r="F181" s="397">
        <v>378.11</v>
      </c>
      <c r="G181" s="397">
        <v>43809.440000000002</v>
      </c>
    </row>
    <row r="182" spans="1:7" ht="13" customHeight="1" x14ac:dyDescent="0.2">
      <c r="A182" s="393">
        <v>177</v>
      </c>
      <c r="B182" s="394">
        <v>45659</v>
      </c>
      <c r="C182" s="395" t="s">
        <v>357</v>
      </c>
      <c r="D182" s="396">
        <v>204.17</v>
      </c>
      <c r="E182" s="396">
        <v>166.63</v>
      </c>
      <c r="F182" s="397">
        <v>371.8</v>
      </c>
      <c r="G182" s="397">
        <v>43605.27</v>
      </c>
    </row>
    <row r="183" spans="1:7" ht="13" customHeight="1" x14ac:dyDescent="0.2">
      <c r="A183" s="393">
        <v>178</v>
      </c>
      <c r="B183" s="394">
        <v>45660</v>
      </c>
      <c r="C183" s="395" t="s">
        <v>357</v>
      </c>
      <c r="D183" s="396">
        <v>204.5</v>
      </c>
      <c r="E183" s="396">
        <v>145.12</v>
      </c>
      <c r="F183" s="397">
        <v>350.62</v>
      </c>
      <c r="G183" s="397">
        <v>43400.77</v>
      </c>
    </row>
    <row r="184" spans="1:7" ht="13" customHeight="1" x14ac:dyDescent="0.2">
      <c r="A184" s="393">
        <v>179</v>
      </c>
      <c r="B184" s="394">
        <v>45661</v>
      </c>
      <c r="C184" s="395" t="s">
        <v>357</v>
      </c>
      <c r="D184" s="396">
        <v>204.84</v>
      </c>
      <c r="E184" s="396">
        <v>152.33000000000001</v>
      </c>
      <c r="F184" s="397">
        <v>358.17</v>
      </c>
      <c r="G184" s="397">
        <v>43195.93</v>
      </c>
    </row>
    <row r="185" spans="1:7" ht="13" customHeight="1" x14ac:dyDescent="0.2">
      <c r="A185" s="393">
        <v>180</v>
      </c>
      <c r="B185" s="394">
        <v>45662</v>
      </c>
      <c r="C185" s="395" t="s">
        <v>357</v>
      </c>
      <c r="D185" s="396">
        <v>205.17</v>
      </c>
      <c r="E185" s="396">
        <v>140.16999999999999</v>
      </c>
      <c r="F185" s="397">
        <v>346.34</v>
      </c>
      <c r="G185" s="397">
        <v>42990.76</v>
      </c>
    </row>
    <row r="186" spans="1:7" ht="13" customHeight="1" x14ac:dyDescent="0.2">
      <c r="A186" s="393">
        <v>181</v>
      </c>
      <c r="B186" s="394">
        <v>45663</v>
      </c>
      <c r="C186" s="395" t="s">
        <v>357</v>
      </c>
      <c r="D186" s="396">
        <v>205.51</v>
      </c>
      <c r="E186" s="396">
        <v>137.34</v>
      </c>
      <c r="F186" s="397">
        <v>343.85</v>
      </c>
      <c r="G186" s="397">
        <v>42785.25</v>
      </c>
    </row>
    <row r="187" spans="1:7" ht="13" customHeight="1" x14ac:dyDescent="0.2">
      <c r="A187" s="393">
        <v>182</v>
      </c>
      <c r="B187" s="394">
        <v>45664</v>
      </c>
      <c r="C187" s="395" t="s">
        <v>357</v>
      </c>
      <c r="D187" s="396">
        <v>205.85</v>
      </c>
      <c r="E187" s="396">
        <v>126.25</v>
      </c>
      <c r="F187" s="397">
        <v>333.1</v>
      </c>
      <c r="G187" s="397">
        <v>42579.4</v>
      </c>
    </row>
    <row r="188" spans="1:7" ht="13" customHeight="1" x14ac:dyDescent="0.2">
      <c r="A188" s="393">
        <v>183</v>
      </c>
      <c r="B188" s="394">
        <v>45665</v>
      </c>
      <c r="C188" s="395" t="s">
        <v>357</v>
      </c>
      <c r="D188" s="396">
        <v>206.19</v>
      </c>
      <c r="E188" s="396">
        <v>127.08</v>
      </c>
      <c r="F188" s="397">
        <v>334.27</v>
      </c>
      <c r="G188" s="397">
        <v>42373.21</v>
      </c>
    </row>
    <row r="189" spans="1:7" ht="13" customHeight="1" x14ac:dyDescent="0.2">
      <c r="A189" s="393">
        <v>184</v>
      </c>
      <c r="B189" s="394">
        <v>45666</v>
      </c>
      <c r="C189" s="395" t="s">
        <v>357</v>
      </c>
      <c r="D189" s="396">
        <v>206.52</v>
      </c>
      <c r="E189" s="396">
        <v>125.3</v>
      </c>
      <c r="F189" s="397">
        <v>332.82</v>
      </c>
      <c r="G189" s="397">
        <v>42166.69</v>
      </c>
    </row>
    <row r="190" spans="1:7" ht="13" customHeight="1" x14ac:dyDescent="0.2">
      <c r="A190" s="393">
        <v>185</v>
      </c>
      <c r="B190" s="394">
        <v>45667</v>
      </c>
      <c r="C190" s="395" t="s">
        <v>357</v>
      </c>
      <c r="D190" s="396">
        <v>206.86</v>
      </c>
      <c r="E190" s="396">
        <v>119.93</v>
      </c>
      <c r="F190" s="397">
        <v>327.79</v>
      </c>
      <c r="G190" s="397">
        <v>41959.83</v>
      </c>
    </row>
    <row r="191" spans="1:7" ht="13" customHeight="1" x14ac:dyDescent="0.2">
      <c r="A191" s="393">
        <v>186</v>
      </c>
      <c r="B191" s="394">
        <v>45668</v>
      </c>
      <c r="C191" s="395" t="s">
        <v>357</v>
      </c>
      <c r="D191" s="396">
        <v>207.2</v>
      </c>
      <c r="E191" s="396">
        <v>125.78</v>
      </c>
      <c r="F191" s="397">
        <v>335.01</v>
      </c>
      <c r="G191" s="397">
        <v>41752.629999999997</v>
      </c>
    </row>
    <row r="192" spans="1:7" ht="13" customHeight="1" x14ac:dyDescent="0.2">
      <c r="A192" s="393">
        <v>187</v>
      </c>
      <c r="B192" s="394">
        <v>45669</v>
      </c>
      <c r="C192" s="395" t="s">
        <v>357</v>
      </c>
      <c r="D192" s="396">
        <v>207.54</v>
      </c>
      <c r="E192" s="396">
        <v>120.42</v>
      </c>
      <c r="F192" s="397">
        <v>329.05</v>
      </c>
      <c r="G192" s="397">
        <v>41545.089999999997</v>
      </c>
    </row>
    <row r="193" spans="1:14" ht="13" customHeight="1" x14ac:dyDescent="0.2">
      <c r="A193" s="393">
        <v>188</v>
      </c>
      <c r="B193" s="394">
        <v>46023</v>
      </c>
      <c r="C193" s="395" t="s">
        <v>357</v>
      </c>
      <c r="D193" s="396">
        <v>207.88</v>
      </c>
      <c r="E193" s="396">
        <v>125.25</v>
      </c>
      <c r="F193" s="397">
        <v>334.13</v>
      </c>
      <c r="G193" s="397">
        <v>41337.21</v>
      </c>
    </row>
    <row r="194" spans="1:14" ht="13" customHeight="1" x14ac:dyDescent="0.2">
      <c r="A194" s="393">
        <v>189</v>
      </c>
      <c r="B194" s="394">
        <v>46024</v>
      </c>
      <c r="C194" s="395" t="s">
        <v>357</v>
      </c>
      <c r="D194" s="396">
        <v>208.22</v>
      </c>
      <c r="E194" s="396">
        <v>123.23</v>
      </c>
      <c r="F194" s="397">
        <v>332.45</v>
      </c>
      <c r="G194" s="397">
        <v>41128.99</v>
      </c>
      <c r="H194" s="479"/>
      <c r="I194" s="480"/>
    </row>
    <row r="195" spans="1:14" ht="13" customHeight="1" x14ac:dyDescent="0.2">
      <c r="A195" s="393">
        <v>190</v>
      </c>
      <c r="B195" s="394">
        <v>46025</v>
      </c>
      <c r="C195" s="395" t="s">
        <v>357</v>
      </c>
      <c r="D195" s="396">
        <v>208.56</v>
      </c>
      <c r="E195" s="396">
        <v>113.05</v>
      </c>
      <c r="F195" s="397">
        <v>322.61</v>
      </c>
      <c r="G195" s="397">
        <v>40920.43</v>
      </c>
      <c r="H195" s="479"/>
      <c r="I195" s="480"/>
    </row>
    <row r="196" spans="1:14" ht="13" customHeight="1" x14ac:dyDescent="0.2">
      <c r="A196" s="393">
        <v>191</v>
      </c>
      <c r="B196" s="394">
        <v>46026</v>
      </c>
      <c r="C196" s="395" t="s">
        <v>357</v>
      </c>
      <c r="D196" s="396">
        <v>208.91</v>
      </c>
      <c r="E196" s="396">
        <v>124.53</v>
      </c>
      <c r="F196" s="397">
        <v>333.38</v>
      </c>
      <c r="G196" s="397">
        <v>40711.519999999997</v>
      </c>
    </row>
    <row r="197" spans="1:14" ht="13" customHeight="1" x14ac:dyDescent="0.2">
      <c r="A197" s="393">
        <v>192</v>
      </c>
      <c r="B197" s="394">
        <v>46027</v>
      </c>
      <c r="C197" s="395" t="s">
        <v>357</v>
      </c>
      <c r="D197" s="396">
        <v>209.25</v>
      </c>
      <c r="E197" s="396">
        <v>119.9</v>
      </c>
      <c r="F197" s="397">
        <v>326.55</v>
      </c>
      <c r="G197" s="397">
        <v>40502.269999999997</v>
      </c>
      <c r="H197" s="147"/>
      <c r="I197" s="147"/>
      <c r="J197" s="147"/>
      <c r="K197" s="147"/>
      <c r="L197" s="147"/>
      <c r="M197" s="147"/>
      <c r="N197" s="147"/>
    </row>
    <row r="198" spans="1:14" ht="13" customHeight="1" x14ac:dyDescent="0.2">
      <c r="A198" s="393">
        <v>193</v>
      </c>
      <c r="B198" s="394">
        <v>46028</v>
      </c>
      <c r="C198" s="395" t="s">
        <v>357</v>
      </c>
      <c r="D198" s="396">
        <v>209.59</v>
      </c>
      <c r="E198" s="396">
        <v>123.26</v>
      </c>
      <c r="F198" s="397">
        <v>333.29</v>
      </c>
      <c r="G198" s="397">
        <v>40292.68</v>
      </c>
    </row>
    <row r="199" spans="1:14" ht="13" customHeight="1" x14ac:dyDescent="0.2">
      <c r="A199" s="393">
        <v>194</v>
      </c>
      <c r="B199" s="394">
        <v>46029</v>
      </c>
      <c r="C199" s="395" t="s">
        <v>357</v>
      </c>
      <c r="D199" s="396">
        <v>209.94</v>
      </c>
      <c r="E199" s="396">
        <v>118.66</v>
      </c>
      <c r="F199" s="397">
        <v>328.19</v>
      </c>
      <c r="G199" s="397">
        <v>40082.74</v>
      </c>
    </row>
    <row r="200" spans="1:14" ht="13" customHeight="1" x14ac:dyDescent="0.2">
      <c r="A200" s="393">
        <v>195</v>
      </c>
      <c r="B200" s="394">
        <v>46030</v>
      </c>
      <c r="C200" s="395" t="s">
        <v>377</v>
      </c>
      <c r="D200" s="396">
        <v>210.28</v>
      </c>
      <c r="E200" s="396">
        <v>121.98</v>
      </c>
      <c r="F200" s="397">
        <v>332.26</v>
      </c>
      <c r="G200" s="397">
        <v>39872.46</v>
      </c>
    </row>
    <row r="201" spans="1:14" ht="13" customHeight="1" x14ac:dyDescent="0.2">
      <c r="A201" s="393">
        <v>196</v>
      </c>
      <c r="B201" s="394">
        <v>46031</v>
      </c>
      <c r="C201" s="395" t="s">
        <v>377</v>
      </c>
      <c r="D201" s="396">
        <v>210.63</v>
      </c>
      <c r="E201" s="396">
        <v>121.34</v>
      </c>
      <c r="F201" s="397">
        <v>331.97</v>
      </c>
      <c r="G201" s="397">
        <v>39661.83</v>
      </c>
    </row>
    <row r="202" spans="1:14" ht="13" customHeight="1" x14ac:dyDescent="0.2">
      <c r="A202" s="393">
        <v>197</v>
      </c>
      <c r="B202" s="394">
        <v>46032</v>
      </c>
      <c r="C202" s="395" t="s">
        <v>377</v>
      </c>
      <c r="D202" s="396">
        <v>210.97</v>
      </c>
      <c r="E202" s="396">
        <v>116.8</v>
      </c>
      <c r="F202" s="397">
        <v>327.77</v>
      </c>
      <c r="G202" s="397">
        <v>39450.86</v>
      </c>
    </row>
    <row r="203" spans="1:14" ht="13" customHeight="1" x14ac:dyDescent="0.2">
      <c r="A203" s="393">
        <v>198</v>
      </c>
      <c r="B203" s="394">
        <v>46033</v>
      </c>
      <c r="C203" s="395" t="s">
        <v>377</v>
      </c>
      <c r="D203" s="396">
        <v>211.32</v>
      </c>
      <c r="E203" s="396">
        <v>120.06</v>
      </c>
      <c r="F203" s="397">
        <v>331.38</v>
      </c>
      <c r="G203" s="397">
        <v>39239.54</v>
      </c>
    </row>
    <row r="204" spans="1:14" ht="13" customHeight="1" x14ac:dyDescent="0.2">
      <c r="A204" s="393">
        <v>199</v>
      </c>
      <c r="B204" s="394">
        <v>46034</v>
      </c>
      <c r="C204" s="395" t="s">
        <v>377</v>
      </c>
      <c r="D204" s="396">
        <v>211.66</v>
      </c>
      <c r="E204" s="396">
        <v>115.56</v>
      </c>
      <c r="F204" s="397">
        <v>327.22000000000003</v>
      </c>
      <c r="G204" s="397">
        <v>39027.879999999997</v>
      </c>
    </row>
    <row r="205" spans="1:14" ht="13" customHeight="1" x14ac:dyDescent="0.2">
      <c r="A205" s="393">
        <v>200</v>
      </c>
      <c r="B205" s="394">
        <v>46388</v>
      </c>
      <c r="C205" s="395" t="s">
        <v>377</v>
      </c>
      <c r="D205" s="396">
        <v>212.01</v>
      </c>
      <c r="E205" s="396">
        <v>118.77</v>
      </c>
      <c r="F205" s="397">
        <v>330.78</v>
      </c>
      <c r="G205" s="397">
        <v>38815.870000000003</v>
      </c>
    </row>
    <row r="206" spans="1:14" ht="13" customHeight="1" x14ac:dyDescent="0.2">
      <c r="A206" s="393">
        <v>201</v>
      </c>
      <c r="B206" s="394">
        <v>46389</v>
      </c>
      <c r="C206" s="395" t="s">
        <v>377</v>
      </c>
      <c r="D206" s="396">
        <v>212.36</v>
      </c>
      <c r="E206" s="396">
        <v>118.12</v>
      </c>
      <c r="F206" s="397">
        <v>330.48</v>
      </c>
      <c r="G206" s="397">
        <v>38603.51</v>
      </c>
    </row>
    <row r="207" spans="1:14" ht="13" customHeight="1" x14ac:dyDescent="0.2">
      <c r="A207" s="393">
        <v>202</v>
      </c>
      <c r="B207" s="394">
        <v>46390</v>
      </c>
      <c r="C207" s="395" t="s">
        <v>377</v>
      </c>
      <c r="D207" s="396">
        <v>212.71</v>
      </c>
      <c r="E207" s="396">
        <v>106.11</v>
      </c>
      <c r="F207" s="397">
        <v>318.82</v>
      </c>
      <c r="G207" s="397">
        <v>38390.800000000003</v>
      </c>
    </row>
    <row r="208" spans="1:14" ht="13" customHeight="1" x14ac:dyDescent="0.2">
      <c r="A208" s="393">
        <v>203</v>
      </c>
      <c r="B208" s="394">
        <v>46391</v>
      </c>
      <c r="C208" s="395" t="s">
        <v>377</v>
      </c>
      <c r="D208" s="396">
        <v>213.06</v>
      </c>
      <c r="E208" s="396">
        <v>116.83</v>
      </c>
      <c r="F208" s="397">
        <v>329.89</v>
      </c>
      <c r="G208" s="397">
        <v>38177.74</v>
      </c>
    </row>
    <row r="209" spans="1:7" ht="13" customHeight="1" x14ac:dyDescent="0.2">
      <c r="A209" s="393">
        <v>204</v>
      </c>
      <c r="B209" s="394">
        <v>46392</v>
      </c>
      <c r="C209" s="395" t="s">
        <v>377</v>
      </c>
      <c r="D209" s="396">
        <v>213.4</v>
      </c>
      <c r="E209" s="396">
        <v>112.43</v>
      </c>
      <c r="F209" s="397">
        <v>325.83</v>
      </c>
      <c r="G209" s="397">
        <v>37964.339999999997</v>
      </c>
    </row>
    <row r="210" spans="1:7" ht="13" customHeight="1" x14ac:dyDescent="0.2">
      <c r="A210" s="393">
        <v>205</v>
      </c>
      <c r="B210" s="394">
        <v>46393</v>
      </c>
      <c r="C210" s="395" t="s">
        <v>377</v>
      </c>
      <c r="D210" s="396">
        <v>213.75</v>
      </c>
      <c r="E210" s="396">
        <v>115.53</v>
      </c>
      <c r="F210" s="397">
        <v>329.28</v>
      </c>
      <c r="G210" s="397">
        <v>37750.589999999997</v>
      </c>
    </row>
    <row r="211" spans="1:7" ht="13" customHeight="1" x14ac:dyDescent="0.2">
      <c r="A211" s="393">
        <v>206</v>
      </c>
      <c r="B211" s="394">
        <v>46394</v>
      </c>
      <c r="C211" s="395" t="s">
        <v>377</v>
      </c>
      <c r="D211" s="396">
        <v>214.11</v>
      </c>
      <c r="E211" s="396">
        <v>111.18</v>
      </c>
      <c r="F211" s="397">
        <v>325.29000000000002</v>
      </c>
      <c r="G211" s="397">
        <v>37536.480000000003</v>
      </c>
    </row>
    <row r="212" spans="1:7" ht="13" customHeight="1" x14ac:dyDescent="0.2">
      <c r="A212" s="393">
        <v>207</v>
      </c>
      <c r="B212" s="394">
        <v>46395</v>
      </c>
      <c r="C212" s="395" t="s">
        <v>377</v>
      </c>
      <c r="D212" s="396">
        <v>214.46</v>
      </c>
      <c r="E212" s="396">
        <v>114.23</v>
      </c>
      <c r="F212" s="397">
        <v>328.69</v>
      </c>
      <c r="G212" s="397">
        <v>37322.019999999997</v>
      </c>
    </row>
    <row r="213" spans="1:7" ht="13" customHeight="1" x14ac:dyDescent="0.2">
      <c r="A213" s="393">
        <v>208</v>
      </c>
      <c r="B213" s="394">
        <v>46396</v>
      </c>
      <c r="C213" s="395" t="s">
        <v>377</v>
      </c>
      <c r="D213" s="396">
        <v>214.81</v>
      </c>
      <c r="E213" s="396">
        <v>113.58</v>
      </c>
      <c r="F213" s="397">
        <v>328.39</v>
      </c>
      <c r="G213" s="397">
        <v>37107.21</v>
      </c>
    </row>
    <row r="214" spans="1:7" ht="13" customHeight="1" x14ac:dyDescent="0.2">
      <c r="A214" s="393">
        <v>209</v>
      </c>
      <c r="B214" s="394">
        <v>46397</v>
      </c>
      <c r="C214" s="395" t="s">
        <v>377</v>
      </c>
      <c r="D214" s="396">
        <v>215.16</v>
      </c>
      <c r="E214" s="396">
        <v>109.28</v>
      </c>
      <c r="F214" s="397">
        <v>324.44</v>
      </c>
      <c r="G214" s="397">
        <v>36892.050000000003</v>
      </c>
    </row>
    <row r="215" spans="1:7" ht="13" customHeight="1" x14ac:dyDescent="0.2">
      <c r="A215" s="393">
        <v>210</v>
      </c>
      <c r="B215" s="394">
        <v>46398</v>
      </c>
      <c r="C215" s="395" t="s">
        <v>377</v>
      </c>
      <c r="D215" s="396">
        <v>215.51</v>
      </c>
      <c r="E215" s="396">
        <v>112.27</v>
      </c>
      <c r="F215" s="397">
        <v>327.78</v>
      </c>
      <c r="G215" s="397">
        <v>36676.54</v>
      </c>
    </row>
    <row r="216" spans="1:7" ht="13" customHeight="1" x14ac:dyDescent="0.2">
      <c r="A216" s="393">
        <v>211</v>
      </c>
      <c r="B216" s="394">
        <v>46399</v>
      </c>
      <c r="C216" s="395" t="s">
        <v>377</v>
      </c>
      <c r="D216" s="396">
        <v>215.87</v>
      </c>
      <c r="E216" s="396">
        <v>108.01</v>
      </c>
      <c r="F216" s="397">
        <v>323.88</v>
      </c>
      <c r="G216" s="397">
        <v>36460.67</v>
      </c>
    </row>
    <row r="217" spans="1:7" ht="13" customHeight="1" x14ac:dyDescent="0.2">
      <c r="A217" s="393">
        <v>212</v>
      </c>
      <c r="B217" s="394">
        <v>46753</v>
      </c>
      <c r="C217" s="395" t="s">
        <v>377</v>
      </c>
      <c r="D217" s="396">
        <v>216.22</v>
      </c>
      <c r="E217" s="396">
        <v>110.96</v>
      </c>
      <c r="F217" s="397">
        <v>327.18</v>
      </c>
      <c r="G217" s="397">
        <v>36244.449999999997</v>
      </c>
    </row>
    <row r="218" spans="1:7" ht="13" customHeight="1" x14ac:dyDescent="0.2">
      <c r="A218" s="393">
        <v>213</v>
      </c>
      <c r="B218" s="394">
        <v>46754</v>
      </c>
      <c r="C218" s="395" t="s">
        <v>377</v>
      </c>
      <c r="D218" s="396">
        <v>216.58</v>
      </c>
      <c r="E218" s="396">
        <v>110.3</v>
      </c>
      <c r="F218" s="397">
        <v>326.88</v>
      </c>
      <c r="G218" s="397">
        <v>36027.870000000003</v>
      </c>
    </row>
    <row r="219" spans="1:7" ht="13" customHeight="1" x14ac:dyDescent="0.2">
      <c r="A219" s="393">
        <v>214</v>
      </c>
      <c r="B219" s="394">
        <v>46755</v>
      </c>
      <c r="C219" s="395" t="s">
        <v>377</v>
      </c>
      <c r="D219" s="396">
        <v>216.93</v>
      </c>
      <c r="E219" s="396">
        <v>102.57</v>
      </c>
      <c r="F219" s="397">
        <v>319.5</v>
      </c>
      <c r="G219" s="397">
        <v>35810.94</v>
      </c>
    </row>
    <row r="220" spans="1:7" ht="13" customHeight="1" x14ac:dyDescent="0.2">
      <c r="A220" s="393">
        <v>215</v>
      </c>
      <c r="B220" s="394">
        <v>46756</v>
      </c>
      <c r="C220" s="395" t="s">
        <v>377</v>
      </c>
      <c r="D220" s="396">
        <v>217.29</v>
      </c>
      <c r="E220" s="396">
        <v>108.98</v>
      </c>
      <c r="F220" s="397">
        <v>326.27</v>
      </c>
      <c r="G220" s="397">
        <v>35593.65</v>
      </c>
    </row>
    <row r="221" spans="1:7" ht="13" customHeight="1" x14ac:dyDescent="0.2">
      <c r="A221" s="393">
        <v>216</v>
      </c>
      <c r="B221" s="394">
        <v>46757</v>
      </c>
      <c r="C221" s="395" t="s">
        <v>377</v>
      </c>
      <c r="D221" s="396">
        <v>217.64</v>
      </c>
      <c r="E221" s="396">
        <v>104.82</v>
      </c>
      <c r="F221" s="397">
        <v>322.45999999999998</v>
      </c>
      <c r="G221" s="397">
        <v>35376.01</v>
      </c>
    </row>
    <row r="222" spans="1:7" ht="13" customHeight="1" x14ac:dyDescent="0.2">
      <c r="A222" s="393">
        <v>217</v>
      </c>
      <c r="B222" s="394">
        <v>46758</v>
      </c>
      <c r="C222" s="395" t="s">
        <v>377</v>
      </c>
      <c r="D222" s="396">
        <v>218</v>
      </c>
      <c r="E222" s="396">
        <v>107.66</v>
      </c>
      <c r="F222" s="397">
        <v>325.66000000000003</v>
      </c>
      <c r="G222" s="397">
        <v>35158.01</v>
      </c>
    </row>
    <row r="223" spans="1:7" ht="13" customHeight="1" x14ac:dyDescent="0.2">
      <c r="A223" s="393">
        <v>218</v>
      </c>
      <c r="B223" s="394">
        <v>46759</v>
      </c>
      <c r="C223" s="395" t="s">
        <v>377</v>
      </c>
      <c r="D223" s="396">
        <v>218.36</v>
      </c>
      <c r="E223" s="396">
        <v>103.54</v>
      </c>
      <c r="F223" s="397">
        <v>321.89999999999998</v>
      </c>
      <c r="G223" s="397">
        <v>34939.65</v>
      </c>
    </row>
    <row r="224" spans="1:7" ht="13" customHeight="1" x14ac:dyDescent="0.2">
      <c r="A224" s="393">
        <v>219</v>
      </c>
      <c r="B224" s="394">
        <v>46760</v>
      </c>
      <c r="C224" s="395" t="s">
        <v>377</v>
      </c>
      <c r="D224" s="396">
        <v>218.72</v>
      </c>
      <c r="E224" s="396">
        <v>106.33</v>
      </c>
      <c r="F224" s="397">
        <v>325.05</v>
      </c>
      <c r="G224" s="397">
        <v>34720.93</v>
      </c>
    </row>
    <row r="225" spans="1:7" ht="13" customHeight="1" x14ac:dyDescent="0.2">
      <c r="A225" s="393">
        <v>220</v>
      </c>
      <c r="B225" s="394">
        <v>46761</v>
      </c>
      <c r="C225" s="395" t="s">
        <v>377</v>
      </c>
      <c r="D225" s="396">
        <v>219.07</v>
      </c>
      <c r="E225" s="396">
        <v>105.66</v>
      </c>
      <c r="F225" s="397">
        <v>324.73</v>
      </c>
      <c r="G225" s="397">
        <v>34501.86</v>
      </c>
    </row>
    <row r="226" spans="1:7" ht="13" customHeight="1" x14ac:dyDescent="0.2">
      <c r="A226" s="393">
        <v>221</v>
      </c>
      <c r="B226" s="394">
        <v>46762</v>
      </c>
      <c r="C226" s="395" t="s">
        <v>377</v>
      </c>
      <c r="D226" s="396">
        <v>219.43</v>
      </c>
      <c r="E226" s="396">
        <v>101.61</v>
      </c>
      <c r="F226" s="397">
        <v>321.04000000000002</v>
      </c>
      <c r="G226" s="397">
        <v>34282.43</v>
      </c>
    </row>
    <row r="227" spans="1:7" ht="13" customHeight="1" x14ac:dyDescent="0.2">
      <c r="A227" s="393">
        <v>222</v>
      </c>
      <c r="B227" s="394">
        <v>46763</v>
      </c>
      <c r="C227" s="395" t="s">
        <v>377</v>
      </c>
      <c r="D227" s="396">
        <v>219.79</v>
      </c>
      <c r="E227" s="396">
        <v>104.33</v>
      </c>
      <c r="F227" s="397">
        <v>324.12</v>
      </c>
      <c r="G227" s="397">
        <v>34062.639999999999</v>
      </c>
    </row>
    <row r="228" spans="1:7" ht="13" customHeight="1" x14ac:dyDescent="0.2">
      <c r="A228" s="393">
        <v>223</v>
      </c>
      <c r="B228" s="394">
        <v>46764</v>
      </c>
      <c r="C228" s="395" t="s">
        <v>377</v>
      </c>
      <c r="D228" s="396">
        <v>220.15</v>
      </c>
      <c r="E228" s="396">
        <v>100.31</v>
      </c>
      <c r="F228" s="397">
        <v>320.45999999999998</v>
      </c>
      <c r="G228" s="397">
        <v>33842.49</v>
      </c>
    </row>
    <row r="229" spans="1:7" ht="13" customHeight="1" x14ac:dyDescent="0.2">
      <c r="A229" s="393">
        <v>224</v>
      </c>
      <c r="B229" s="394">
        <v>47119</v>
      </c>
      <c r="C229" s="395" t="s">
        <v>377</v>
      </c>
      <c r="D229" s="396">
        <v>220.51</v>
      </c>
      <c r="E229" s="396">
        <v>102.99</v>
      </c>
      <c r="F229" s="397">
        <v>323.5</v>
      </c>
      <c r="G229" s="397">
        <v>33621.980000000003</v>
      </c>
    </row>
    <row r="230" spans="1:7" ht="13" customHeight="1" x14ac:dyDescent="0.2">
      <c r="A230" s="393">
        <v>225</v>
      </c>
      <c r="B230" s="394">
        <v>47120</v>
      </c>
      <c r="C230" s="395" t="s">
        <v>377</v>
      </c>
      <c r="D230" s="396">
        <v>220.88</v>
      </c>
      <c r="E230" s="396">
        <v>102.32</v>
      </c>
      <c r="F230" s="397">
        <v>323.2</v>
      </c>
      <c r="G230" s="397">
        <v>33401.1</v>
      </c>
    </row>
    <row r="231" spans="1:7" ht="13" customHeight="1" x14ac:dyDescent="0.2">
      <c r="A231" s="393">
        <v>226</v>
      </c>
      <c r="B231" s="394">
        <v>47121</v>
      </c>
      <c r="C231" s="395" t="s">
        <v>377</v>
      </c>
      <c r="D231" s="396">
        <v>221.24</v>
      </c>
      <c r="E231" s="396">
        <v>91.81</v>
      </c>
      <c r="F231" s="397">
        <v>313.05</v>
      </c>
      <c r="G231" s="397">
        <v>33179.86</v>
      </c>
    </row>
    <row r="232" spans="1:7" ht="13" customHeight="1" x14ac:dyDescent="0.2">
      <c r="A232" s="393">
        <v>227</v>
      </c>
      <c r="B232" s="394">
        <v>47122</v>
      </c>
      <c r="C232" s="395" t="s">
        <v>377</v>
      </c>
      <c r="D232" s="396">
        <v>221.6</v>
      </c>
      <c r="E232" s="396">
        <v>100.97</v>
      </c>
      <c r="F232" s="397">
        <v>322.57</v>
      </c>
      <c r="G232" s="397">
        <v>32958.26</v>
      </c>
    </row>
    <row r="233" spans="1:7" ht="13" customHeight="1" x14ac:dyDescent="0.2">
      <c r="A233" s="393">
        <v>228</v>
      </c>
      <c r="B233" s="394">
        <v>47123</v>
      </c>
      <c r="C233" s="395" t="s">
        <v>377</v>
      </c>
      <c r="D233" s="396">
        <v>221.96</v>
      </c>
      <c r="E233" s="396">
        <v>97.06</v>
      </c>
      <c r="F233" s="397">
        <v>319.02</v>
      </c>
      <c r="G233" s="397">
        <v>32736.3</v>
      </c>
    </row>
    <row r="234" spans="1:7" ht="13" customHeight="1" x14ac:dyDescent="0.2">
      <c r="A234" s="393">
        <v>229</v>
      </c>
      <c r="B234" s="394">
        <v>47124</v>
      </c>
      <c r="C234" s="395" t="s">
        <v>377</v>
      </c>
      <c r="D234" s="396">
        <v>222.33</v>
      </c>
      <c r="E234" s="396">
        <v>99.62</v>
      </c>
      <c r="F234" s="397">
        <v>321.95</v>
      </c>
      <c r="G234" s="397">
        <v>32513.97</v>
      </c>
    </row>
    <row r="235" spans="1:7" ht="13" customHeight="1" x14ac:dyDescent="0.2">
      <c r="A235" s="393">
        <v>230</v>
      </c>
      <c r="B235" s="394">
        <v>47125</v>
      </c>
      <c r="C235" s="395" t="s">
        <v>377</v>
      </c>
      <c r="D235" s="396">
        <v>222.69</v>
      </c>
      <c r="E235" s="396">
        <v>95.75</v>
      </c>
      <c r="F235" s="397">
        <v>318.44</v>
      </c>
      <c r="G235" s="397">
        <v>32291.279999999999</v>
      </c>
    </row>
    <row r="236" spans="1:7" ht="13" customHeight="1" x14ac:dyDescent="0.2">
      <c r="A236" s="393">
        <v>231</v>
      </c>
      <c r="B236" s="394">
        <v>47126</v>
      </c>
      <c r="C236" s="395" t="s">
        <v>377</v>
      </c>
      <c r="D236" s="396">
        <v>223.06</v>
      </c>
      <c r="E236" s="396">
        <v>98.27</v>
      </c>
      <c r="F236" s="397">
        <v>321.33</v>
      </c>
      <c r="G236" s="397">
        <v>32068.22</v>
      </c>
    </row>
    <row r="237" spans="1:7" ht="13" customHeight="1" x14ac:dyDescent="0.2">
      <c r="A237" s="393">
        <v>232</v>
      </c>
      <c r="B237" s="394">
        <v>47127</v>
      </c>
      <c r="C237" s="395" t="s">
        <v>377</v>
      </c>
      <c r="D237" s="396">
        <v>223.42</v>
      </c>
      <c r="E237" s="396">
        <v>97.59</v>
      </c>
      <c r="F237" s="397">
        <v>321.01</v>
      </c>
      <c r="G237" s="397">
        <v>31844.799999999999</v>
      </c>
    </row>
    <row r="238" spans="1:7" ht="13" customHeight="1" x14ac:dyDescent="0.2">
      <c r="A238" s="393">
        <v>233</v>
      </c>
      <c r="B238" s="394">
        <v>47128</v>
      </c>
      <c r="C238" s="395" t="s">
        <v>377</v>
      </c>
      <c r="D238" s="396">
        <v>223.79</v>
      </c>
      <c r="E238" s="396">
        <v>93.78</v>
      </c>
      <c r="F238" s="397">
        <v>317.57</v>
      </c>
      <c r="G238" s="397">
        <v>31621.01</v>
      </c>
    </row>
    <row r="239" spans="1:7" ht="13" customHeight="1" x14ac:dyDescent="0.2">
      <c r="A239" s="393">
        <v>234</v>
      </c>
      <c r="B239" s="394">
        <v>47129</v>
      </c>
      <c r="C239" s="395" t="s">
        <v>377</v>
      </c>
      <c r="D239" s="396">
        <v>224.16</v>
      </c>
      <c r="E239" s="396">
        <v>96.23</v>
      </c>
      <c r="F239" s="397">
        <v>320.39</v>
      </c>
      <c r="G239" s="397">
        <v>31396.85</v>
      </c>
    </row>
    <row r="240" spans="1:7" ht="13" customHeight="1" x14ac:dyDescent="0.2">
      <c r="A240" s="393">
        <v>235</v>
      </c>
      <c r="B240" s="394">
        <v>47130</v>
      </c>
      <c r="C240" s="395" t="s">
        <v>377</v>
      </c>
      <c r="D240" s="396">
        <v>224.53</v>
      </c>
      <c r="E240" s="396">
        <v>92.46</v>
      </c>
      <c r="F240" s="397">
        <v>316.99</v>
      </c>
      <c r="G240" s="397">
        <v>31172.32</v>
      </c>
    </row>
    <row r="241" spans="1:7" ht="13" customHeight="1" x14ac:dyDescent="0.2">
      <c r="A241" s="393">
        <v>236</v>
      </c>
      <c r="B241" s="394">
        <v>47484</v>
      </c>
      <c r="C241" s="395" t="s">
        <v>377</v>
      </c>
      <c r="D241" s="396">
        <v>224.89</v>
      </c>
      <c r="E241" s="396">
        <v>94.86</v>
      </c>
      <c r="F241" s="397">
        <v>319.75</v>
      </c>
      <c r="G241" s="397">
        <v>30947.43</v>
      </c>
    </row>
    <row r="242" spans="1:7" ht="13" customHeight="1" x14ac:dyDescent="0.2">
      <c r="A242" s="393">
        <v>237</v>
      </c>
      <c r="B242" s="394">
        <v>47485</v>
      </c>
      <c r="C242" s="395" t="s">
        <v>377</v>
      </c>
      <c r="D242" s="396">
        <v>225.26</v>
      </c>
      <c r="E242" s="396">
        <v>94.18</v>
      </c>
      <c r="F242" s="397">
        <v>319.44</v>
      </c>
      <c r="G242" s="397">
        <v>30722.17</v>
      </c>
    </row>
    <row r="243" spans="1:7" ht="13" customHeight="1" x14ac:dyDescent="0.2">
      <c r="A243" s="393">
        <v>238</v>
      </c>
      <c r="B243" s="394">
        <v>47486</v>
      </c>
      <c r="C243" s="395" t="s">
        <v>377</v>
      </c>
      <c r="D243" s="396">
        <v>225.63</v>
      </c>
      <c r="E243" s="396">
        <v>84.44</v>
      </c>
      <c r="F243" s="397">
        <v>310.07</v>
      </c>
      <c r="G243" s="397">
        <v>30496.54</v>
      </c>
    </row>
    <row r="244" spans="1:7" ht="13" customHeight="1" x14ac:dyDescent="0.2">
      <c r="A244" s="393">
        <v>239</v>
      </c>
      <c r="B244" s="394">
        <v>47487</v>
      </c>
      <c r="C244" s="395" t="s">
        <v>377</v>
      </c>
      <c r="D244" s="396">
        <v>226</v>
      </c>
      <c r="E244" s="396">
        <v>92.81</v>
      </c>
      <c r="F244" s="397">
        <v>318.81</v>
      </c>
      <c r="G244" s="397">
        <v>30270.54</v>
      </c>
    </row>
    <row r="245" spans="1:7" ht="13" customHeight="1" x14ac:dyDescent="0.2">
      <c r="A245" s="393">
        <v>240</v>
      </c>
      <c r="B245" s="394">
        <v>47488</v>
      </c>
      <c r="C245" s="395" t="s">
        <v>377</v>
      </c>
      <c r="D245" s="396">
        <v>226.37</v>
      </c>
      <c r="E245" s="396">
        <v>89.15</v>
      </c>
      <c r="F245" s="397">
        <v>315.52</v>
      </c>
      <c r="G245" s="397">
        <v>30044.17</v>
      </c>
    </row>
    <row r="246" spans="1:7" ht="13" customHeight="1" x14ac:dyDescent="0.2">
      <c r="A246" s="393">
        <v>241</v>
      </c>
      <c r="B246" s="394">
        <v>47489</v>
      </c>
      <c r="C246" s="395" t="s">
        <v>377</v>
      </c>
      <c r="D246" s="396">
        <v>226.74</v>
      </c>
      <c r="E246" s="396">
        <v>91.43</v>
      </c>
      <c r="F246" s="397">
        <v>318.17</v>
      </c>
      <c r="G246" s="397">
        <v>29817.43</v>
      </c>
    </row>
    <row r="247" spans="1:7" ht="13" customHeight="1" x14ac:dyDescent="0.2">
      <c r="A247" s="393">
        <v>242</v>
      </c>
      <c r="B247" s="394">
        <v>47490</v>
      </c>
      <c r="C247" s="395" t="s">
        <v>377</v>
      </c>
      <c r="D247" s="396">
        <v>227.12</v>
      </c>
      <c r="E247" s="396">
        <v>87.81</v>
      </c>
      <c r="F247" s="397">
        <v>314.93</v>
      </c>
      <c r="G247" s="397">
        <v>29590.31</v>
      </c>
    </row>
    <row r="248" spans="1:7" ht="13" customHeight="1" x14ac:dyDescent="0.2">
      <c r="A248" s="393">
        <v>243</v>
      </c>
      <c r="B248" s="394">
        <v>47491</v>
      </c>
      <c r="C248" s="395" t="s">
        <v>377</v>
      </c>
      <c r="D248" s="396">
        <v>227.49</v>
      </c>
      <c r="E248" s="396">
        <v>90.05</v>
      </c>
      <c r="F248" s="397">
        <v>317.54000000000002</v>
      </c>
      <c r="G248" s="397">
        <v>29362.82</v>
      </c>
    </row>
    <row r="249" spans="1:7" ht="13" customHeight="1" x14ac:dyDescent="0.2">
      <c r="A249" s="393">
        <v>244</v>
      </c>
      <c r="B249" s="394">
        <v>47492</v>
      </c>
      <c r="C249" s="395" t="s">
        <v>377</v>
      </c>
      <c r="D249" s="396">
        <v>227.86</v>
      </c>
      <c r="E249" s="396">
        <v>89.36</v>
      </c>
      <c r="F249" s="397">
        <v>317.22000000000003</v>
      </c>
      <c r="G249" s="397">
        <v>29134.959999999999</v>
      </c>
    </row>
    <row r="250" spans="1:7" ht="13" customHeight="1" x14ac:dyDescent="0.2">
      <c r="A250" s="393">
        <v>245</v>
      </c>
      <c r="B250" s="394">
        <v>47493</v>
      </c>
      <c r="C250" s="395" t="s">
        <v>377</v>
      </c>
      <c r="D250" s="396">
        <v>228.24</v>
      </c>
      <c r="E250" s="396">
        <v>85.8</v>
      </c>
      <c r="F250" s="397">
        <v>314.04000000000002</v>
      </c>
      <c r="G250" s="397">
        <v>28906.720000000001</v>
      </c>
    </row>
    <row r="251" spans="1:7" ht="13" customHeight="1" x14ac:dyDescent="0.2">
      <c r="A251" s="393">
        <v>246</v>
      </c>
      <c r="B251" s="394">
        <v>47494</v>
      </c>
      <c r="C251" s="395" t="s">
        <v>377</v>
      </c>
      <c r="D251" s="396">
        <v>228.61</v>
      </c>
      <c r="E251" s="396">
        <v>87.97</v>
      </c>
      <c r="F251" s="397">
        <v>316.58</v>
      </c>
      <c r="G251" s="397">
        <v>28678.11</v>
      </c>
    </row>
    <row r="252" spans="1:7" ht="13" customHeight="1" x14ac:dyDescent="0.2">
      <c r="A252" s="393">
        <v>247</v>
      </c>
      <c r="B252" s="394">
        <v>47495</v>
      </c>
      <c r="C252" s="395" t="s">
        <v>377</v>
      </c>
      <c r="D252" s="396">
        <v>228.98</v>
      </c>
      <c r="E252" s="396">
        <v>84.46</v>
      </c>
      <c r="F252" s="397">
        <v>313.44</v>
      </c>
      <c r="G252" s="397">
        <v>28449.13</v>
      </c>
    </row>
    <row r="253" spans="1:7" ht="13" customHeight="1" x14ac:dyDescent="0.2">
      <c r="A253" s="393">
        <v>248</v>
      </c>
      <c r="B253" s="394">
        <v>47849</v>
      </c>
      <c r="C253" s="395" t="s">
        <v>377</v>
      </c>
      <c r="D253" s="396">
        <v>229.36</v>
      </c>
      <c r="E253" s="396">
        <v>86.58</v>
      </c>
      <c r="F253" s="397">
        <v>315.94</v>
      </c>
      <c r="G253" s="397">
        <v>28219.77</v>
      </c>
    </row>
    <row r="254" spans="1:7" ht="13" customHeight="1" x14ac:dyDescent="0.2">
      <c r="A254" s="393">
        <v>249</v>
      </c>
      <c r="B254" s="394">
        <v>47850</v>
      </c>
      <c r="C254" s="395" t="s">
        <v>377</v>
      </c>
      <c r="D254" s="396">
        <v>229.74</v>
      </c>
      <c r="E254" s="396">
        <v>85.88</v>
      </c>
      <c r="F254" s="397">
        <v>315.62</v>
      </c>
      <c r="G254" s="397">
        <v>27990.03</v>
      </c>
    </row>
    <row r="255" spans="1:7" ht="13" customHeight="1" x14ac:dyDescent="0.2">
      <c r="A255" s="393">
        <v>250</v>
      </c>
      <c r="B255" s="394">
        <v>47851</v>
      </c>
      <c r="C255" s="395" t="s">
        <v>377</v>
      </c>
      <c r="D255" s="396">
        <v>230.11</v>
      </c>
      <c r="E255" s="396">
        <v>76.94</v>
      </c>
      <c r="F255" s="397">
        <v>307.05</v>
      </c>
      <c r="G255" s="397">
        <v>27759.919999999998</v>
      </c>
    </row>
    <row r="256" spans="1:7" ht="13" customHeight="1" x14ac:dyDescent="0.2">
      <c r="A256" s="393">
        <v>251</v>
      </c>
      <c r="B256" s="394">
        <v>47852</v>
      </c>
      <c r="C256" s="395" t="s">
        <v>377</v>
      </c>
      <c r="D256" s="396">
        <v>230.49</v>
      </c>
      <c r="E256" s="396">
        <v>84.48</v>
      </c>
      <c r="F256" s="397">
        <v>314.97000000000003</v>
      </c>
      <c r="G256" s="397">
        <v>27529.43</v>
      </c>
    </row>
    <row r="257" spans="1:7" ht="13" customHeight="1" x14ac:dyDescent="0.2">
      <c r="A257" s="393">
        <v>252</v>
      </c>
      <c r="B257" s="394">
        <v>47853</v>
      </c>
      <c r="C257" s="395" t="s">
        <v>377</v>
      </c>
      <c r="D257" s="396">
        <v>230.87</v>
      </c>
      <c r="E257" s="396">
        <v>81.069999999999993</v>
      </c>
      <c r="F257" s="397">
        <v>311.94</v>
      </c>
      <c r="G257" s="397">
        <v>27298.560000000001</v>
      </c>
    </row>
    <row r="258" spans="1:7" ht="13" customHeight="1" x14ac:dyDescent="0.2">
      <c r="A258" s="393">
        <v>253</v>
      </c>
      <c r="B258" s="394">
        <v>47854</v>
      </c>
      <c r="C258" s="395" t="s">
        <v>377</v>
      </c>
      <c r="D258" s="396">
        <v>231.25</v>
      </c>
      <c r="E258" s="396">
        <v>83.07</v>
      </c>
      <c r="F258" s="397">
        <v>314.32</v>
      </c>
      <c r="G258" s="397">
        <v>27067.31</v>
      </c>
    </row>
    <row r="259" spans="1:7" ht="13" customHeight="1" x14ac:dyDescent="0.2">
      <c r="A259" s="393">
        <v>254</v>
      </c>
      <c r="B259" s="394">
        <v>47855</v>
      </c>
      <c r="C259" s="395" t="s">
        <v>377</v>
      </c>
      <c r="D259" s="396">
        <v>231.63</v>
      </c>
      <c r="E259" s="396">
        <v>79.709999999999994</v>
      </c>
      <c r="F259" s="397">
        <v>311.33999999999997</v>
      </c>
      <c r="G259" s="397">
        <v>26835.68</v>
      </c>
    </row>
    <row r="260" spans="1:7" ht="13" customHeight="1" x14ac:dyDescent="0.2">
      <c r="A260" s="393">
        <v>255</v>
      </c>
      <c r="B260" s="394">
        <v>47856</v>
      </c>
      <c r="C260" s="395" t="s">
        <v>377</v>
      </c>
      <c r="D260" s="396">
        <v>232.01</v>
      </c>
      <c r="E260" s="396">
        <v>81.67</v>
      </c>
      <c r="F260" s="397">
        <v>313.68</v>
      </c>
      <c r="G260" s="397">
        <v>26603.67</v>
      </c>
    </row>
    <row r="261" spans="1:7" ht="13" customHeight="1" x14ac:dyDescent="0.2">
      <c r="A261" s="393">
        <v>256</v>
      </c>
      <c r="B261" s="394">
        <v>47857</v>
      </c>
      <c r="C261" s="395" t="s">
        <v>377</v>
      </c>
      <c r="D261" s="396">
        <v>232.39</v>
      </c>
      <c r="E261" s="396">
        <v>80.959999999999994</v>
      </c>
      <c r="F261" s="397">
        <v>313.35000000000002</v>
      </c>
      <c r="G261" s="397">
        <v>26371.279999999999</v>
      </c>
    </row>
    <row r="262" spans="1:7" ht="13" customHeight="1" x14ac:dyDescent="0.2">
      <c r="A262" s="393">
        <v>257</v>
      </c>
      <c r="B262" s="394">
        <v>47858</v>
      </c>
      <c r="C262" s="395" t="s">
        <v>377</v>
      </c>
      <c r="D262" s="396">
        <v>232.77</v>
      </c>
      <c r="E262" s="396">
        <v>77.66</v>
      </c>
      <c r="F262" s="397">
        <v>310.43</v>
      </c>
      <c r="G262" s="397">
        <v>26138.51</v>
      </c>
    </row>
    <row r="263" spans="1:7" ht="13" customHeight="1" x14ac:dyDescent="0.2">
      <c r="A263" s="393">
        <v>258</v>
      </c>
      <c r="B263" s="394">
        <v>47859</v>
      </c>
      <c r="C263" s="395" t="s">
        <v>377</v>
      </c>
      <c r="D263" s="396">
        <v>233.15</v>
      </c>
      <c r="E263" s="396">
        <v>79.540000000000006</v>
      </c>
      <c r="F263" s="397">
        <v>312.69</v>
      </c>
      <c r="G263" s="397">
        <v>25905.360000000001</v>
      </c>
    </row>
    <row r="264" spans="1:7" ht="13" customHeight="1" x14ac:dyDescent="0.2">
      <c r="A264" s="393">
        <v>259</v>
      </c>
      <c r="B264" s="394">
        <v>47860</v>
      </c>
      <c r="C264" s="395" t="s">
        <v>377</v>
      </c>
      <c r="D264" s="396">
        <v>233.53</v>
      </c>
      <c r="E264" s="396">
        <v>76.290000000000006</v>
      </c>
      <c r="F264" s="397">
        <v>309.82</v>
      </c>
      <c r="G264" s="397">
        <v>25671.83</v>
      </c>
    </row>
    <row r="265" spans="1:7" ht="13" customHeight="1" x14ac:dyDescent="0.2">
      <c r="A265" s="393">
        <v>260</v>
      </c>
      <c r="B265" s="394">
        <v>48214</v>
      </c>
      <c r="C265" s="395" t="s">
        <v>377</v>
      </c>
      <c r="D265" s="396">
        <v>233.91</v>
      </c>
      <c r="E265" s="396">
        <v>78.12</v>
      </c>
      <c r="F265" s="397">
        <v>312.02999999999997</v>
      </c>
      <c r="G265" s="397">
        <v>25437.919999999998</v>
      </c>
    </row>
    <row r="266" spans="1:7" ht="13" customHeight="1" x14ac:dyDescent="0.2">
      <c r="A266" s="393">
        <v>261</v>
      </c>
      <c r="B266" s="394">
        <v>48215</v>
      </c>
      <c r="C266" s="395" t="s">
        <v>377</v>
      </c>
      <c r="D266" s="396">
        <v>234.3</v>
      </c>
      <c r="E266" s="396">
        <v>77.41</v>
      </c>
      <c r="F266" s="397">
        <v>311.70999999999998</v>
      </c>
      <c r="G266" s="397">
        <v>25203.62</v>
      </c>
    </row>
    <row r="267" spans="1:7" ht="13" customHeight="1" x14ac:dyDescent="0.2">
      <c r="A267" s="393">
        <v>262</v>
      </c>
      <c r="B267" s="394">
        <v>48216</v>
      </c>
      <c r="C267" s="395" t="s">
        <v>377</v>
      </c>
      <c r="D267" s="396">
        <v>234.68</v>
      </c>
      <c r="E267" s="396">
        <v>71.75</v>
      </c>
      <c r="F267" s="397">
        <v>306.43</v>
      </c>
      <c r="G267" s="397">
        <v>24968.94</v>
      </c>
    </row>
    <row r="268" spans="1:7" ht="13" customHeight="1" x14ac:dyDescent="0.2">
      <c r="A268" s="393">
        <v>263</v>
      </c>
      <c r="B268" s="394">
        <v>48217</v>
      </c>
      <c r="C268" s="395" t="s">
        <v>377</v>
      </c>
      <c r="D268" s="396">
        <v>235.07</v>
      </c>
      <c r="E268" s="396">
        <v>75.98</v>
      </c>
      <c r="F268" s="397">
        <v>311.05</v>
      </c>
      <c r="G268" s="397">
        <v>24733.87</v>
      </c>
    </row>
    <row r="269" spans="1:7" ht="13" customHeight="1" x14ac:dyDescent="0.2">
      <c r="A269" s="393">
        <v>264</v>
      </c>
      <c r="B269" s="394">
        <v>48218</v>
      </c>
      <c r="C269" s="395" t="s">
        <v>377</v>
      </c>
      <c r="D269" s="396">
        <v>235.45</v>
      </c>
      <c r="E269" s="396">
        <v>72.84</v>
      </c>
      <c r="F269" s="397">
        <v>308.29000000000002</v>
      </c>
      <c r="G269" s="397">
        <v>24498.42</v>
      </c>
    </row>
    <row r="270" spans="1:7" ht="13" customHeight="1" x14ac:dyDescent="0.2">
      <c r="A270" s="393">
        <v>265</v>
      </c>
      <c r="B270" s="394">
        <v>48219</v>
      </c>
      <c r="C270" s="395" t="s">
        <v>377</v>
      </c>
      <c r="D270" s="396">
        <v>235.84</v>
      </c>
      <c r="E270" s="396">
        <v>74.55</v>
      </c>
      <c r="F270" s="397">
        <v>310.39</v>
      </c>
      <c r="G270" s="397">
        <v>24262.58</v>
      </c>
    </row>
    <row r="271" spans="1:7" ht="13" customHeight="1" x14ac:dyDescent="0.2">
      <c r="A271" s="393">
        <v>266</v>
      </c>
      <c r="B271" s="394">
        <v>48220</v>
      </c>
      <c r="C271" s="395" t="s">
        <v>377</v>
      </c>
      <c r="D271" s="396">
        <v>236.23</v>
      </c>
      <c r="E271" s="396">
        <v>71.45</v>
      </c>
      <c r="F271" s="397">
        <v>307.68</v>
      </c>
      <c r="G271" s="397">
        <v>24026.35</v>
      </c>
    </row>
    <row r="272" spans="1:7" ht="13" customHeight="1" x14ac:dyDescent="0.2">
      <c r="A272" s="393">
        <v>267</v>
      </c>
      <c r="B272" s="394">
        <v>48221</v>
      </c>
      <c r="C272" s="395" t="s">
        <v>377</v>
      </c>
      <c r="D272" s="396">
        <v>236.61</v>
      </c>
      <c r="E272" s="396">
        <v>73.12</v>
      </c>
      <c r="F272" s="397">
        <v>309.73</v>
      </c>
      <c r="G272" s="397">
        <v>23789.74</v>
      </c>
    </row>
    <row r="273" spans="1:7" ht="13" customHeight="1" x14ac:dyDescent="0.2">
      <c r="A273" s="393">
        <v>268</v>
      </c>
      <c r="B273" s="394">
        <v>48222</v>
      </c>
      <c r="C273" s="395" t="s">
        <v>377</v>
      </c>
      <c r="D273" s="396">
        <v>237</v>
      </c>
      <c r="E273" s="396">
        <v>72.400000000000006</v>
      </c>
      <c r="F273" s="397">
        <v>309.39999999999998</v>
      </c>
      <c r="G273" s="397">
        <v>23552.74</v>
      </c>
    </row>
    <row r="274" spans="1:7" ht="13" customHeight="1" x14ac:dyDescent="0.2">
      <c r="A274" s="393">
        <v>269</v>
      </c>
      <c r="B274" s="394">
        <v>48223</v>
      </c>
      <c r="C274" s="395" t="s">
        <v>377</v>
      </c>
      <c r="D274" s="396">
        <v>237.39</v>
      </c>
      <c r="E274" s="396">
        <v>69.36</v>
      </c>
      <c r="F274" s="397">
        <v>306.75</v>
      </c>
      <c r="G274" s="397">
        <v>23315.35</v>
      </c>
    </row>
    <row r="275" spans="1:7" ht="13" customHeight="1" x14ac:dyDescent="0.2">
      <c r="A275" s="393">
        <v>270</v>
      </c>
      <c r="B275" s="394">
        <v>48224</v>
      </c>
      <c r="C275" s="395" t="s">
        <v>377</v>
      </c>
      <c r="D275" s="396">
        <v>237.78</v>
      </c>
      <c r="E275" s="396">
        <v>70.95</v>
      </c>
      <c r="F275" s="397">
        <v>308.73</v>
      </c>
      <c r="G275" s="397">
        <v>23077.57</v>
      </c>
    </row>
    <row r="276" spans="1:7" ht="13" customHeight="1" x14ac:dyDescent="0.2">
      <c r="A276" s="393">
        <v>271</v>
      </c>
      <c r="B276" s="394">
        <v>48225</v>
      </c>
      <c r="C276" s="395" t="s">
        <v>377</v>
      </c>
      <c r="D276" s="396">
        <v>238.17</v>
      </c>
      <c r="E276" s="396">
        <v>67.959999999999994</v>
      </c>
      <c r="F276" s="397">
        <v>306.13</v>
      </c>
      <c r="G276" s="397">
        <v>22839.4</v>
      </c>
    </row>
    <row r="277" spans="1:7" ht="13" customHeight="1" x14ac:dyDescent="0.2">
      <c r="A277" s="393">
        <v>272</v>
      </c>
      <c r="B277" s="394">
        <v>48580</v>
      </c>
      <c r="C277" s="395" t="s">
        <v>377</v>
      </c>
      <c r="D277" s="396">
        <v>238.56</v>
      </c>
      <c r="E277" s="396">
        <v>69.5</v>
      </c>
      <c r="F277" s="397">
        <v>308.06</v>
      </c>
      <c r="G277" s="397">
        <v>22600.84</v>
      </c>
    </row>
    <row r="278" spans="1:7" ht="13" customHeight="1" x14ac:dyDescent="0.2">
      <c r="A278" s="393">
        <v>273</v>
      </c>
      <c r="B278" s="394">
        <v>48581</v>
      </c>
      <c r="C278" s="395" t="s">
        <v>377</v>
      </c>
      <c r="D278" s="396">
        <v>238.95</v>
      </c>
      <c r="E278" s="396">
        <v>68.78</v>
      </c>
      <c r="F278" s="397">
        <v>307.73</v>
      </c>
      <c r="G278" s="397">
        <v>22361.89</v>
      </c>
    </row>
    <row r="279" spans="1:7" ht="13" customHeight="1" x14ac:dyDescent="0.2">
      <c r="A279" s="393">
        <v>274</v>
      </c>
      <c r="B279" s="394">
        <v>48582</v>
      </c>
      <c r="C279" s="395" t="s">
        <v>377</v>
      </c>
      <c r="D279" s="396">
        <v>239.34</v>
      </c>
      <c r="E279" s="396">
        <v>61.47</v>
      </c>
      <c r="F279" s="397">
        <v>300.81</v>
      </c>
      <c r="G279" s="397">
        <v>22122.55</v>
      </c>
    </row>
    <row r="280" spans="1:7" ht="13" customHeight="1" x14ac:dyDescent="0.2">
      <c r="A280" s="393">
        <v>275</v>
      </c>
      <c r="B280" s="394">
        <v>48583</v>
      </c>
      <c r="C280" s="395" t="s">
        <v>377</v>
      </c>
      <c r="D280" s="396">
        <v>239.74</v>
      </c>
      <c r="E280" s="396">
        <v>67.319999999999993</v>
      </c>
      <c r="F280" s="397">
        <v>307.06</v>
      </c>
      <c r="G280" s="397">
        <v>21882.81</v>
      </c>
    </row>
    <row r="281" spans="1:7" ht="13" customHeight="1" x14ac:dyDescent="0.2">
      <c r="A281" s="393">
        <v>276</v>
      </c>
      <c r="B281" s="394">
        <v>48584</v>
      </c>
      <c r="C281" s="395" t="s">
        <v>377</v>
      </c>
      <c r="D281" s="396">
        <v>240.13</v>
      </c>
      <c r="E281" s="396">
        <v>64.44</v>
      </c>
      <c r="F281" s="397">
        <v>304.57</v>
      </c>
      <c r="G281" s="397">
        <v>21642.68</v>
      </c>
    </row>
    <row r="282" spans="1:7" ht="13" customHeight="1" x14ac:dyDescent="0.2">
      <c r="A282" s="393">
        <v>277</v>
      </c>
      <c r="B282" s="394">
        <v>48585</v>
      </c>
      <c r="C282" s="395" t="s">
        <v>377</v>
      </c>
      <c r="D282" s="396">
        <v>240.52</v>
      </c>
      <c r="E282" s="396">
        <v>65.86</v>
      </c>
      <c r="F282" s="397">
        <v>306.38</v>
      </c>
      <c r="G282" s="397">
        <v>21402.16</v>
      </c>
    </row>
    <row r="283" spans="1:7" ht="13" customHeight="1" x14ac:dyDescent="0.2">
      <c r="A283" s="393">
        <v>278</v>
      </c>
      <c r="B283" s="394">
        <v>48586</v>
      </c>
      <c r="C283" s="395" t="s">
        <v>377</v>
      </c>
      <c r="D283" s="396">
        <v>240.92</v>
      </c>
      <c r="E283" s="396">
        <v>63.03</v>
      </c>
      <c r="F283" s="397">
        <v>303.95</v>
      </c>
      <c r="G283" s="397">
        <v>21161.24</v>
      </c>
    </row>
    <row r="284" spans="1:7" ht="13" customHeight="1" x14ac:dyDescent="0.2">
      <c r="A284" s="393">
        <v>279</v>
      </c>
      <c r="B284" s="394">
        <v>48587</v>
      </c>
      <c r="C284" s="395" t="s">
        <v>377</v>
      </c>
      <c r="D284" s="396">
        <v>241.31</v>
      </c>
      <c r="E284" s="396">
        <v>64.400000000000006</v>
      </c>
      <c r="F284" s="397">
        <v>305.70999999999998</v>
      </c>
      <c r="G284" s="397">
        <v>20919.93</v>
      </c>
    </row>
    <row r="285" spans="1:7" ht="13" customHeight="1" x14ac:dyDescent="0.2">
      <c r="A285" s="393">
        <v>280</v>
      </c>
      <c r="B285" s="394">
        <v>48588</v>
      </c>
      <c r="C285" s="395" t="s">
        <v>377</v>
      </c>
      <c r="D285" s="396">
        <v>241.71</v>
      </c>
      <c r="E285" s="396">
        <v>63.66</v>
      </c>
      <c r="F285" s="397">
        <v>305.37</v>
      </c>
      <c r="G285" s="397">
        <v>20678.22</v>
      </c>
    </row>
    <row r="286" spans="1:7" ht="13" customHeight="1" x14ac:dyDescent="0.2">
      <c r="A286" s="393">
        <v>281</v>
      </c>
      <c r="B286" s="394">
        <v>48589</v>
      </c>
      <c r="C286" s="395" t="s">
        <v>377</v>
      </c>
      <c r="D286" s="396">
        <v>242.1</v>
      </c>
      <c r="E286" s="396">
        <v>60.9</v>
      </c>
      <c r="F286" s="397">
        <v>303</v>
      </c>
      <c r="G286" s="397">
        <v>20436.12</v>
      </c>
    </row>
    <row r="287" spans="1:7" ht="13" customHeight="1" x14ac:dyDescent="0.2">
      <c r="A287" s="393">
        <v>282</v>
      </c>
      <c r="B287" s="394">
        <v>48590</v>
      </c>
      <c r="C287" s="395" t="s">
        <v>377</v>
      </c>
      <c r="D287" s="396">
        <v>242.5</v>
      </c>
      <c r="E287" s="396">
        <v>62.19</v>
      </c>
      <c r="F287" s="397">
        <v>304.69</v>
      </c>
      <c r="G287" s="397">
        <v>20193.62</v>
      </c>
    </row>
    <row r="288" spans="1:7" ht="13" customHeight="1" x14ac:dyDescent="0.2">
      <c r="A288" s="393">
        <v>283</v>
      </c>
      <c r="B288" s="394">
        <v>48591</v>
      </c>
      <c r="C288" s="395" t="s">
        <v>377</v>
      </c>
      <c r="D288" s="396">
        <v>242.9</v>
      </c>
      <c r="E288" s="396">
        <v>59.47</v>
      </c>
      <c r="F288" s="397">
        <v>302.37</v>
      </c>
      <c r="G288" s="397">
        <v>19950.72</v>
      </c>
    </row>
    <row r="289" spans="1:7" ht="13" customHeight="1" x14ac:dyDescent="0.2">
      <c r="A289" s="393">
        <v>284</v>
      </c>
      <c r="B289" s="394">
        <v>48945</v>
      </c>
      <c r="C289" s="395" t="s">
        <v>377</v>
      </c>
      <c r="D289" s="396">
        <v>243.3</v>
      </c>
      <c r="E289" s="396">
        <v>60.71</v>
      </c>
      <c r="F289" s="397">
        <v>304.01</v>
      </c>
      <c r="G289" s="397">
        <v>19707.419999999998</v>
      </c>
    </row>
    <row r="290" spans="1:7" ht="13" customHeight="1" x14ac:dyDescent="0.2">
      <c r="A290" s="393">
        <v>285</v>
      </c>
      <c r="B290" s="394">
        <v>48946</v>
      </c>
      <c r="C290" s="395" t="s">
        <v>377</v>
      </c>
      <c r="D290" s="396">
        <v>243.7</v>
      </c>
      <c r="E290" s="396">
        <v>59.97</v>
      </c>
      <c r="F290" s="397">
        <v>303.67</v>
      </c>
      <c r="G290" s="397">
        <v>19463.72</v>
      </c>
    </row>
    <row r="291" spans="1:7" ht="13" customHeight="1" x14ac:dyDescent="0.2">
      <c r="A291" s="393">
        <v>286</v>
      </c>
      <c r="B291" s="394">
        <v>48947</v>
      </c>
      <c r="C291" s="395" t="s">
        <v>377</v>
      </c>
      <c r="D291" s="396">
        <v>244.1</v>
      </c>
      <c r="E291" s="396">
        <v>53.5</v>
      </c>
      <c r="F291" s="397">
        <v>297.60000000000002</v>
      </c>
      <c r="G291" s="397">
        <v>19219.62</v>
      </c>
    </row>
    <row r="292" spans="1:7" ht="13" customHeight="1" x14ac:dyDescent="0.2">
      <c r="A292" s="393">
        <v>287</v>
      </c>
      <c r="B292" s="394">
        <v>48948</v>
      </c>
      <c r="C292" s="395" t="s">
        <v>377</v>
      </c>
      <c r="D292" s="396">
        <v>244.5</v>
      </c>
      <c r="E292" s="396">
        <v>58.49</v>
      </c>
      <c r="F292" s="397">
        <v>302.99</v>
      </c>
      <c r="G292" s="397">
        <v>18975.12</v>
      </c>
    </row>
    <row r="293" spans="1:7" ht="13" customHeight="1" x14ac:dyDescent="0.2">
      <c r="A293" s="393">
        <v>288</v>
      </c>
      <c r="B293" s="394">
        <v>48949</v>
      </c>
      <c r="C293" s="395" t="s">
        <v>377</v>
      </c>
      <c r="D293" s="396">
        <v>244.9</v>
      </c>
      <c r="E293" s="396">
        <v>55.88</v>
      </c>
      <c r="F293" s="397">
        <v>300.77999999999997</v>
      </c>
      <c r="G293" s="397">
        <v>18730.22</v>
      </c>
    </row>
    <row r="294" spans="1:7" ht="13" customHeight="1" x14ac:dyDescent="0.2">
      <c r="A294" s="393">
        <v>289</v>
      </c>
      <c r="B294" s="394">
        <v>48950</v>
      </c>
      <c r="C294" s="395" t="s">
        <v>377</v>
      </c>
      <c r="D294" s="396">
        <v>245.3</v>
      </c>
      <c r="E294" s="396">
        <v>57</v>
      </c>
      <c r="F294" s="397">
        <v>302.3</v>
      </c>
      <c r="G294" s="397">
        <v>18484.919999999998</v>
      </c>
    </row>
    <row r="295" spans="1:7" ht="13" customHeight="1" x14ac:dyDescent="0.2">
      <c r="A295" s="393">
        <v>290</v>
      </c>
      <c r="B295" s="394">
        <v>48951</v>
      </c>
      <c r="C295" s="395" t="s">
        <v>377</v>
      </c>
      <c r="D295" s="396">
        <v>245.7</v>
      </c>
      <c r="E295" s="396">
        <v>54.44</v>
      </c>
      <c r="F295" s="397">
        <v>300.14</v>
      </c>
      <c r="G295" s="397">
        <v>18239.22</v>
      </c>
    </row>
    <row r="296" spans="1:7" ht="13" customHeight="1" x14ac:dyDescent="0.2">
      <c r="A296" s="393">
        <v>291</v>
      </c>
      <c r="B296" s="394">
        <v>48952</v>
      </c>
      <c r="C296" s="395" t="s">
        <v>377</v>
      </c>
      <c r="D296" s="396">
        <v>246.1</v>
      </c>
      <c r="E296" s="396">
        <v>55.5</v>
      </c>
      <c r="F296" s="397">
        <v>301.60000000000002</v>
      </c>
      <c r="G296" s="397">
        <v>17993.12</v>
      </c>
    </row>
    <row r="297" spans="1:7" ht="13" customHeight="1" x14ac:dyDescent="0.2">
      <c r="A297" s="393">
        <v>292</v>
      </c>
      <c r="B297" s="394">
        <v>48953</v>
      </c>
      <c r="C297" s="395" t="s">
        <v>377</v>
      </c>
      <c r="D297" s="396">
        <v>246.51</v>
      </c>
      <c r="E297" s="396">
        <v>54.76</v>
      </c>
      <c r="F297" s="397">
        <v>301.27</v>
      </c>
      <c r="G297" s="397">
        <v>17746.61</v>
      </c>
    </row>
    <row r="298" spans="1:7" ht="13" customHeight="1" x14ac:dyDescent="0.2">
      <c r="A298" s="393">
        <v>293</v>
      </c>
      <c r="B298" s="394">
        <v>48954</v>
      </c>
      <c r="C298" s="395" t="s">
        <v>377</v>
      </c>
      <c r="D298" s="396">
        <v>246.91</v>
      </c>
      <c r="E298" s="396">
        <v>52.26</v>
      </c>
      <c r="F298" s="397">
        <v>299.17</v>
      </c>
      <c r="G298" s="397">
        <v>17499.7</v>
      </c>
    </row>
    <row r="299" spans="1:7" ht="13" customHeight="1" x14ac:dyDescent="0.2">
      <c r="A299" s="393">
        <v>294</v>
      </c>
      <c r="B299" s="394">
        <v>48955</v>
      </c>
      <c r="C299" s="395" t="s">
        <v>377</v>
      </c>
      <c r="D299" s="396">
        <v>247.32</v>
      </c>
      <c r="E299" s="396">
        <v>53.25</v>
      </c>
      <c r="F299" s="397">
        <v>300.57</v>
      </c>
      <c r="G299" s="397">
        <v>17252.38</v>
      </c>
    </row>
    <row r="300" spans="1:7" ht="13" customHeight="1" x14ac:dyDescent="0.2">
      <c r="A300" s="393">
        <v>295</v>
      </c>
      <c r="B300" s="394">
        <v>48956</v>
      </c>
      <c r="C300" s="395" t="s">
        <v>377</v>
      </c>
      <c r="D300" s="396">
        <v>247.72</v>
      </c>
      <c r="E300" s="396">
        <v>50.81</v>
      </c>
      <c r="F300" s="397">
        <v>298.52999999999997</v>
      </c>
      <c r="G300" s="397">
        <v>17004.66</v>
      </c>
    </row>
    <row r="301" spans="1:7" ht="13" customHeight="1" x14ac:dyDescent="0.2">
      <c r="A301" s="393">
        <v>296</v>
      </c>
      <c r="B301" s="394">
        <v>49310</v>
      </c>
      <c r="C301" s="395" t="s">
        <v>377</v>
      </c>
      <c r="D301" s="396">
        <v>248.13</v>
      </c>
      <c r="E301" s="396">
        <v>51.75</v>
      </c>
      <c r="F301" s="397">
        <v>299.88</v>
      </c>
      <c r="G301" s="397">
        <v>16756.53</v>
      </c>
    </row>
    <row r="302" spans="1:7" ht="13" customHeight="1" x14ac:dyDescent="0.2">
      <c r="A302" s="393">
        <v>297</v>
      </c>
      <c r="B302" s="394">
        <v>49311</v>
      </c>
      <c r="C302" s="395" t="s">
        <v>377</v>
      </c>
      <c r="D302" s="396">
        <v>248.54</v>
      </c>
      <c r="E302" s="396">
        <v>50.99</v>
      </c>
      <c r="F302" s="397">
        <v>299.52999999999997</v>
      </c>
      <c r="G302" s="397">
        <v>16507.990000000002</v>
      </c>
    </row>
    <row r="303" spans="1:7" ht="13" customHeight="1" x14ac:dyDescent="0.2">
      <c r="A303" s="393">
        <v>298</v>
      </c>
      <c r="B303" s="394">
        <v>49312</v>
      </c>
      <c r="C303" s="395" t="s">
        <v>377</v>
      </c>
      <c r="D303" s="396">
        <v>248.94</v>
      </c>
      <c r="E303" s="396">
        <v>45.37</v>
      </c>
      <c r="F303" s="397">
        <v>294.31</v>
      </c>
      <c r="G303" s="397">
        <v>16259.05</v>
      </c>
    </row>
    <row r="304" spans="1:7" ht="13" customHeight="1" x14ac:dyDescent="0.2">
      <c r="A304" s="393">
        <v>299</v>
      </c>
      <c r="B304" s="394">
        <v>49313</v>
      </c>
      <c r="C304" s="395" t="s">
        <v>377</v>
      </c>
      <c r="D304" s="396">
        <v>249.35</v>
      </c>
      <c r="E304" s="396">
        <v>49.48</v>
      </c>
      <c r="F304" s="397">
        <v>298.83</v>
      </c>
      <c r="G304" s="397">
        <v>16009.7</v>
      </c>
    </row>
    <row r="305" spans="1:7" ht="13" customHeight="1" x14ac:dyDescent="0.2">
      <c r="A305" s="393">
        <v>300</v>
      </c>
      <c r="B305" s="394">
        <v>49314</v>
      </c>
      <c r="C305" s="395" t="s">
        <v>377</v>
      </c>
      <c r="D305" s="396">
        <v>249.76</v>
      </c>
      <c r="E305" s="396">
        <v>47.15</v>
      </c>
      <c r="F305" s="397">
        <v>296.91000000000003</v>
      </c>
      <c r="G305" s="397">
        <v>15759.94</v>
      </c>
    </row>
    <row r="306" spans="1:7" ht="13" customHeight="1" x14ac:dyDescent="0.2">
      <c r="A306" s="393">
        <v>301</v>
      </c>
      <c r="B306" s="394">
        <v>49315</v>
      </c>
      <c r="C306" s="395" t="s">
        <v>377</v>
      </c>
      <c r="D306" s="396">
        <v>250.17</v>
      </c>
      <c r="E306" s="396">
        <v>47.96</v>
      </c>
      <c r="F306" s="397">
        <v>298.13</v>
      </c>
      <c r="G306" s="397">
        <v>15509.77</v>
      </c>
    </row>
    <row r="307" spans="1:7" ht="13" customHeight="1" x14ac:dyDescent="0.2">
      <c r="A307" s="393">
        <v>302</v>
      </c>
      <c r="B307" s="394">
        <v>49316</v>
      </c>
      <c r="C307" s="395" t="s">
        <v>377</v>
      </c>
      <c r="D307" s="396">
        <v>250.58</v>
      </c>
      <c r="E307" s="396">
        <v>45.68</v>
      </c>
      <c r="F307" s="397">
        <v>296.26</v>
      </c>
      <c r="G307" s="397">
        <v>15259.19</v>
      </c>
    </row>
    <row r="308" spans="1:7" ht="13" customHeight="1" x14ac:dyDescent="0.2">
      <c r="A308" s="393">
        <v>303</v>
      </c>
      <c r="B308" s="394">
        <v>49317</v>
      </c>
      <c r="C308" s="395" t="s">
        <v>377</v>
      </c>
      <c r="D308" s="396">
        <v>250.99</v>
      </c>
      <c r="E308" s="396">
        <v>46.44</v>
      </c>
      <c r="F308" s="397">
        <v>297.43</v>
      </c>
      <c r="G308" s="397">
        <v>15008.2</v>
      </c>
    </row>
    <row r="309" spans="1:7" ht="13" customHeight="1" x14ac:dyDescent="0.2">
      <c r="A309" s="393">
        <v>304</v>
      </c>
      <c r="B309" s="394">
        <v>49318</v>
      </c>
      <c r="C309" s="395" t="s">
        <v>377</v>
      </c>
      <c r="D309" s="396">
        <v>251.4</v>
      </c>
      <c r="E309" s="396">
        <v>45.67</v>
      </c>
      <c r="F309" s="397">
        <v>297.07</v>
      </c>
      <c r="G309" s="397">
        <v>14756.8</v>
      </c>
    </row>
    <row r="310" spans="1:7" ht="13" customHeight="1" x14ac:dyDescent="0.2">
      <c r="A310" s="393">
        <v>305</v>
      </c>
      <c r="B310" s="394">
        <v>49319</v>
      </c>
      <c r="C310" s="395" t="s">
        <v>377</v>
      </c>
      <c r="D310" s="396">
        <v>251.81</v>
      </c>
      <c r="E310" s="396">
        <v>43.46</v>
      </c>
      <c r="F310" s="397">
        <v>295.27</v>
      </c>
      <c r="G310" s="397">
        <v>14504.99</v>
      </c>
    </row>
    <row r="311" spans="1:7" ht="13" customHeight="1" x14ac:dyDescent="0.2">
      <c r="A311" s="393">
        <v>306</v>
      </c>
      <c r="B311" s="394">
        <v>49320</v>
      </c>
      <c r="C311" s="395" t="s">
        <v>377</v>
      </c>
      <c r="D311" s="396">
        <v>252.23</v>
      </c>
      <c r="E311" s="396">
        <v>44.14</v>
      </c>
      <c r="F311" s="397">
        <v>296.37</v>
      </c>
      <c r="G311" s="397">
        <v>14252.76</v>
      </c>
    </row>
    <row r="312" spans="1:7" ht="13" customHeight="1" x14ac:dyDescent="0.2">
      <c r="A312" s="393">
        <v>307</v>
      </c>
      <c r="B312" s="394">
        <v>49321</v>
      </c>
      <c r="C312" s="395" t="s">
        <v>377</v>
      </c>
      <c r="D312" s="396">
        <v>252.64</v>
      </c>
      <c r="E312" s="396">
        <v>41.97</v>
      </c>
      <c r="F312" s="397">
        <v>294.61</v>
      </c>
      <c r="G312" s="397">
        <v>14000.12</v>
      </c>
    </row>
    <row r="313" spans="1:7" ht="13" customHeight="1" x14ac:dyDescent="0.2">
      <c r="A313" s="393">
        <v>308</v>
      </c>
      <c r="B313" s="394">
        <v>49675</v>
      </c>
      <c r="C313" s="395" t="s">
        <v>377</v>
      </c>
      <c r="D313" s="396">
        <v>253.06</v>
      </c>
      <c r="E313" s="396">
        <v>42.6</v>
      </c>
      <c r="F313" s="397">
        <v>295.66000000000003</v>
      </c>
      <c r="G313" s="397">
        <v>13747.06</v>
      </c>
    </row>
    <row r="314" spans="1:7" ht="13" customHeight="1" x14ac:dyDescent="0.2">
      <c r="A314" s="393">
        <v>309</v>
      </c>
      <c r="B314" s="394">
        <v>49676</v>
      </c>
      <c r="C314" s="395" t="s">
        <v>377</v>
      </c>
      <c r="D314" s="396">
        <v>253.47</v>
      </c>
      <c r="E314" s="396">
        <v>41.83</v>
      </c>
      <c r="F314" s="397">
        <v>295.3</v>
      </c>
      <c r="G314" s="397">
        <v>13493.59</v>
      </c>
    </row>
    <row r="315" spans="1:7" ht="13" customHeight="1" x14ac:dyDescent="0.2">
      <c r="A315" s="393">
        <v>310</v>
      </c>
      <c r="B315" s="394">
        <v>49677</v>
      </c>
      <c r="C315" s="395" t="s">
        <v>377</v>
      </c>
      <c r="D315" s="396">
        <v>253.89</v>
      </c>
      <c r="E315" s="396">
        <v>38.409999999999997</v>
      </c>
      <c r="F315" s="397">
        <v>292.3</v>
      </c>
      <c r="G315" s="397">
        <v>13239.7</v>
      </c>
    </row>
    <row r="316" spans="1:7" ht="13" customHeight="1" x14ac:dyDescent="0.2">
      <c r="A316" s="393">
        <v>311</v>
      </c>
      <c r="B316" s="394">
        <v>49678</v>
      </c>
      <c r="C316" s="395" t="s">
        <v>377</v>
      </c>
      <c r="D316" s="396">
        <v>254.3</v>
      </c>
      <c r="E316" s="396">
        <v>40.29</v>
      </c>
      <c r="F316" s="397">
        <v>294.58999999999997</v>
      </c>
      <c r="G316" s="397">
        <v>12985.4</v>
      </c>
    </row>
    <row r="317" spans="1:7" ht="13" customHeight="1" x14ac:dyDescent="0.2">
      <c r="A317" s="393">
        <v>312</v>
      </c>
      <c r="B317" s="394">
        <v>49679</v>
      </c>
      <c r="C317" s="395" t="s">
        <v>377</v>
      </c>
      <c r="D317" s="396">
        <v>254.72</v>
      </c>
      <c r="E317" s="396">
        <v>38.24</v>
      </c>
      <c r="F317" s="397">
        <v>292.95999999999998</v>
      </c>
      <c r="G317" s="397">
        <v>12730.68</v>
      </c>
    </row>
    <row r="318" spans="1:7" ht="13" customHeight="1" x14ac:dyDescent="0.2">
      <c r="A318" s="393">
        <v>313</v>
      </c>
      <c r="B318" s="394">
        <v>49680</v>
      </c>
      <c r="C318" s="395" t="s">
        <v>377</v>
      </c>
      <c r="D318" s="396">
        <v>255.14</v>
      </c>
      <c r="E318" s="396">
        <v>38.74</v>
      </c>
      <c r="F318" s="397">
        <v>293.88</v>
      </c>
      <c r="G318" s="397">
        <v>12475.54</v>
      </c>
    </row>
    <row r="319" spans="1:7" ht="13" customHeight="1" x14ac:dyDescent="0.2">
      <c r="A319" s="393">
        <v>314</v>
      </c>
      <c r="B319" s="394">
        <v>49681</v>
      </c>
      <c r="C319" s="395" t="s">
        <v>377</v>
      </c>
      <c r="D319" s="396">
        <v>255.56</v>
      </c>
      <c r="E319" s="396">
        <v>36.74</v>
      </c>
      <c r="F319" s="397">
        <v>292.3</v>
      </c>
      <c r="G319" s="397">
        <v>12219.98</v>
      </c>
    </row>
    <row r="320" spans="1:7" ht="13" customHeight="1" x14ac:dyDescent="0.2">
      <c r="A320" s="393">
        <v>315</v>
      </c>
      <c r="B320" s="394">
        <v>49682</v>
      </c>
      <c r="C320" s="395" t="s">
        <v>377</v>
      </c>
      <c r="D320" s="396">
        <v>255.98</v>
      </c>
      <c r="E320" s="396">
        <v>37.19</v>
      </c>
      <c r="F320" s="397">
        <v>293.17</v>
      </c>
      <c r="G320" s="397">
        <v>11964</v>
      </c>
    </row>
    <row r="321" spans="1:7" ht="13" customHeight="1" x14ac:dyDescent="0.2">
      <c r="A321" s="393">
        <v>316</v>
      </c>
      <c r="B321" s="394">
        <v>49683</v>
      </c>
      <c r="C321" s="395" t="s">
        <v>377</v>
      </c>
      <c r="D321" s="396">
        <v>256.39</v>
      </c>
      <c r="E321" s="396">
        <v>36.409999999999997</v>
      </c>
      <c r="F321" s="397">
        <v>292.8</v>
      </c>
      <c r="G321" s="397">
        <v>11707.61</v>
      </c>
    </row>
    <row r="322" spans="1:7" ht="13" customHeight="1" x14ac:dyDescent="0.2">
      <c r="A322" s="393">
        <v>317</v>
      </c>
      <c r="B322" s="394">
        <v>49684</v>
      </c>
      <c r="C322" s="395" t="s">
        <v>377</v>
      </c>
      <c r="D322" s="396">
        <v>256.82</v>
      </c>
      <c r="E322" s="396">
        <v>34.479999999999997</v>
      </c>
      <c r="F322" s="397">
        <v>291.3</v>
      </c>
      <c r="G322" s="397">
        <v>11450.79</v>
      </c>
    </row>
    <row r="323" spans="1:7" ht="13" customHeight="1" x14ac:dyDescent="0.2">
      <c r="A323" s="393">
        <v>318</v>
      </c>
      <c r="B323" s="394">
        <v>49685</v>
      </c>
      <c r="C323" s="395" t="s">
        <v>377</v>
      </c>
      <c r="D323" s="396">
        <v>257.24</v>
      </c>
      <c r="E323" s="396">
        <v>34.85</v>
      </c>
      <c r="F323" s="397">
        <v>292.08999999999997</v>
      </c>
      <c r="G323" s="397">
        <v>11193.55</v>
      </c>
    </row>
    <row r="324" spans="1:7" ht="13" customHeight="1" x14ac:dyDescent="0.2">
      <c r="A324" s="393">
        <v>319</v>
      </c>
      <c r="B324" s="394">
        <v>49686</v>
      </c>
      <c r="C324" s="395" t="s">
        <v>377</v>
      </c>
      <c r="D324" s="396">
        <v>257.66000000000003</v>
      </c>
      <c r="E324" s="396">
        <v>32.96</v>
      </c>
      <c r="F324" s="397">
        <v>290.62</v>
      </c>
      <c r="G324" s="397">
        <v>10935.89</v>
      </c>
    </row>
    <row r="325" spans="1:7" ht="13" customHeight="1" x14ac:dyDescent="0.2">
      <c r="A325" s="393">
        <v>320</v>
      </c>
      <c r="B325" s="394">
        <v>50041</v>
      </c>
      <c r="C325" s="395" t="s">
        <v>377</v>
      </c>
      <c r="D325" s="396">
        <v>258.08</v>
      </c>
      <c r="E325" s="396">
        <v>33.28</v>
      </c>
      <c r="F325" s="397">
        <v>291.36</v>
      </c>
      <c r="G325" s="397">
        <v>10677.81</v>
      </c>
    </row>
    <row r="326" spans="1:7" ht="13" customHeight="1" x14ac:dyDescent="0.2">
      <c r="A326" s="393">
        <v>321</v>
      </c>
      <c r="B326" s="394">
        <v>50042</v>
      </c>
      <c r="C326" s="395" t="s">
        <v>377</v>
      </c>
      <c r="D326" s="396">
        <v>258.5</v>
      </c>
      <c r="E326" s="396">
        <v>32.49</v>
      </c>
      <c r="F326" s="397">
        <v>290.99</v>
      </c>
      <c r="G326" s="397">
        <v>10419.31</v>
      </c>
    </row>
    <row r="327" spans="1:7" ht="13" customHeight="1" x14ac:dyDescent="0.2">
      <c r="A327" s="393">
        <v>322</v>
      </c>
      <c r="B327" s="394">
        <v>50043</v>
      </c>
      <c r="C327" s="395" t="s">
        <v>377</v>
      </c>
      <c r="D327" s="396">
        <v>258.93</v>
      </c>
      <c r="E327" s="396">
        <v>28.64</v>
      </c>
      <c r="F327" s="397">
        <v>287.57</v>
      </c>
      <c r="G327" s="397">
        <v>10160.379999999999</v>
      </c>
    </row>
    <row r="328" spans="1:7" ht="13" customHeight="1" x14ac:dyDescent="0.2">
      <c r="A328" s="393">
        <v>323</v>
      </c>
      <c r="B328" s="394">
        <v>50044</v>
      </c>
      <c r="C328" s="395" t="s">
        <v>377</v>
      </c>
      <c r="D328" s="396">
        <v>259.35000000000002</v>
      </c>
      <c r="E328" s="396">
        <v>30.92</v>
      </c>
      <c r="F328" s="397">
        <v>290.27</v>
      </c>
      <c r="G328" s="397">
        <v>9901.0300000000007</v>
      </c>
    </row>
    <row r="329" spans="1:7" ht="13" customHeight="1" x14ac:dyDescent="0.2">
      <c r="A329" s="393">
        <v>324</v>
      </c>
      <c r="B329" s="394">
        <v>50045</v>
      </c>
      <c r="C329" s="395" t="s">
        <v>377</v>
      </c>
      <c r="D329" s="396">
        <v>259.77999999999997</v>
      </c>
      <c r="E329" s="396">
        <v>29.16</v>
      </c>
      <c r="F329" s="397">
        <v>288.94</v>
      </c>
      <c r="G329" s="397">
        <v>9641.25</v>
      </c>
    </row>
    <row r="330" spans="1:7" ht="13" customHeight="1" x14ac:dyDescent="0.2">
      <c r="A330" s="393">
        <v>325</v>
      </c>
      <c r="B330" s="394">
        <v>50046</v>
      </c>
      <c r="C330" s="395" t="s">
        <v>377</v>
      </c>
      <c r="D330" s="396">
        <v>260.2</v>
      </c>
      <c r="E330" s="396">
        <v>29.34</v>
      </c>
      <c r="F330" s="397">
        <v>289.54000000000002</v>
      </c>
      <c r="G330" s="397">
        <v>9381.0499999999993</v>
      </c>
    </row>
    <row r="331" spans="1:7" ht="13" customHeight="1" x14ac:dyDescent="0.2">
      <c r="A331" s="393">
        <v>326</v>
      </c>
      <c r="B331" s="394">
        <v>50047</v>
      </c>
      <c r="C331" s="395" t="s">
        <v>377</v>
      </c>
      <c r="D331" s="396">
        <v>260.63</v>
      </c>
      <c r="E331" s="396">
        <v>27.63</v>
      </c>
      <c r="F331" s="397">
        <v>288.26</v>
      </c>
      <c r="G331" s="397">
        <v>9120.42</v>
      </c>
    </row>
    <row r="332" spans="1:7" ht="13" customHeight="1" x14ac:dyDescent="0.2">
      <c r="A332" s="393">
        <v>327</v>
      </c>
      <c r="B332" s="394">
        <v>50048</v>
      </c>
      <c r="C332" s="395" t="s">
        <v>377</v>
      </c>
      <c r="D332" s="396">
        <v>261.06</v>
      </c>
      <c r="E332" s="396">
        <v>27.75</v>
      </c>
      <c r="F332" s="397">
        <v>288.81</v>
      </c>
      <c r="G332" s="397">
        <v>8859.36</v>
      </c>
    </row>
    <row r="333" spans="1:7" ht="13" customHeight="1" x14ac:dyDescent="0.2">
      <c r="A333" s="393">
        <v>328</v>
      </c>
      <c r="B333" s="394">
        <v>50049</v>
      </c>
      <c r="C333" s="395" t="s">
        <v>377</v>
      </c>
      <c r="D333" s="396">
        <v>261.49</v>
      </c>
      <c r="E333" s="396">
        <v>26.96</v>
      </c>
      <c r="F333" s="397">
        <v>288.45</v>
      </c>
      <c r="G333" s="397">
        <v>8597.8700000000008</v>
      </c>
    </row>
    <row r="334" spans="1:7" ht="13" customHeight="1" x14ac:dyDescent="0.2">
      <c r="A334" s="393">
        <v>329</v>
      </c>
      <c r="B334" s="394">
        <v>50050</v>
      </c>
      <c r="C334" s="395" t="s">
        <v>377</v>
      </c>
      <c r="D334" s="396">
        <v>261.92</v>
      </c>
      <c r="E334" s="396">
        <v>25.32</v>
      </c>
      <c r="F334" s="397">
        <v>287.24</v>
      </c>
      <c r="G334" s="397">
        <v>8335.9500000000007</v>
      </c>
    </row>
    <row r="335" spans="1:7" ht="13" customHeight="1" x14ac:dyDescent="0.2">
      <c r="A335" s="393">
        <v>330</v>
      </c>
      <c r="B335" s="394">
        <v>50051</v>
      </c>
      <c r="C335" s="395" t="s">
        <v>377</v>
      </c>
      <c r="D335" s="396">
        <v>262.33999999999997</v>
      </c>
      <c r="E335" s="396">
        <v>25.37</v>
      </c>
      <c r="F335" s="397">
        <v>287.70999999999998</v>
      </c>
      <c r="G335" s="397">
        <v>8073.61</v>
      </c>
    </row>
    <row r="336" spans="1:7" ht="13" customHeight="1" x14ac:dyDescent="0.2">
      <c r="A336" s="393">
        <v>331</v>
      </c>
      <c r="B336" s="394">
        <v>50052</v>
      </c>
      <c r="C336" s="395" t="s">
        <v>377</v>
      </c>
      <c r="D336" s="396">
        <v>262.77</v>
      </c>
      <c r="E336" s="396">
        <v>23.78</v>
      </c>
      <c r="F336" s="397">
        <v>286.55</v>
      </c>
      <c r="G336" s="397">
        <v>7810.84</v>
      </c>
    </row>
    <row r="337" spans="1:7" ht="13" customHeight="1" x14ac:dyDescent="0.2">
      <c r="A337" s="393">
        <v>332</v>
      </c>
      <c r="B337" s="394">
        <v>50406</v>
      </c>
      <c r="C337" s="395" t="s">
        <v>377</v>
      </c>
      <c r="D337" s="396">
        <v>263.20999999999998</v>
      </c>
      <c r="E337" s="396">
        <v>23.77</v>
      </c>
      <c r="F337" s="397">
        <v>286.98</v>
      </c>
      <c r="G337" s="397">
        <v>7547.63</v>
      </c>
    </row>
    <row r="338" spans="1:7" ht="13" customHeight="1" x14ac:dyDescent="0.2">
      <c r="A338" s="393">
        <v>333</v>
      </c>
      <c r="B338" s="394">
        <v>50407</v>
      </c>
      <c r="C338" s="395" t="s">
        <v>377</v>
      </c>
      <c r="D338" s="396">
        <v>263.64</v>
      </c>
      <c r="E338" s="396">
        <v>22.97</v>
      </c>
      <c r="F338" s="397">
        <v>286.61</v>
      </c>
      <c r="G338" s="397">
        <v>7283.99</v>
      </c>
    </row>
    <row r="339" spans="1:7" ht="13" customHeight="1" x14ac:dyDescent="0.2">
      <c r="A339" s="393">
        <v>334</v>
      </c>
      <c r="B339" s="394">
        <v>50408</v>
      </c>
      <c r="C339" s="395" t="s">
        <v>377</v>
      </c>
      <c r="D339" s="396">
        <v>264.07</v>
      </c>
      <c r="E339" s="396">
        <v>20.02</v>
      </c>
      <c r="F339" s="397">
        <v>284.08999999999997</v>
      </c>
      <c r="G339" s="397">
        <v>7019.92</v>
      </c>
    </row>
    <row r="340" spans="1:7" ht="13" customHeight="1" x14ac:dyDescent="0.2">
      <c r="A340" s="393">
        <v>335</v>
      </c>
      <c r="B340" s="394">
        <v>50409</v>
      </c>
      <c r="C340" s="395" t="s">
        <v>377</v>
      </c>
      <c r="D340" s="396">
        <v>264.5</v>
      </c>
      <c r="E340" s="396">
        <v>21.36</v>
      </c>
      <c r="F340" s="397">
        <v>285.86</v>
      </c>
      <c r="G340" s="397">
        <v>6755.42</v>
      </c>
    </row>
    <row r="341" spans="1:7" ht="13" customHeight="1" x14ac:dyDescent="0.2">
      <c r="A341" s="393">
        <v>336</v>
      </c>
      <c r="B341" s="394">
        <v>50410</v>
      </c>
      <c r="C341" s="395" t="s">
        <v>377</v>
      </c>
      <c r="D341" s="396">
        <v>264.94</v>
      </c>
      <c r="E341" s="396">
        <v>19.89</v>
      </c>
      <c r="F341" s="397">
        <v>284.83</v>
      </c>
      <c r="G341" s="397">
        <v>6490.48</v>
      </c>
    </row>
    <row r="342" spans="1:7" ht="13" customHeight="1" x14ac:dyDescent="0.2">
      <c r="A342" s="393">
        <v>337</v>
      </c>
      <c r="B342" s="394">
        <v>50411</v>
      </c>
      <c r="C342" s="395" t="s">
        <v>377</v>
      </c>
      <c r="D342" s="396">
        <v>265.37</v>
      </c>
      <c r="E342" s="396">
        <v>19.75</v>
      </c>
      <c r="F342" s="397">
        <v>285.12</v>
      </c>
      <c r="G342" s="397">
        <v>6225.11</v>
      </c>
    </row>
    <row r="343" spans="1:7" ht="13" customHeight="1" x14ac:dyDescent="0.2">
      <c r="A343" s="393">
        <v>338</v>
      </c>
      <c r="B343" s="394">
        <v>50412</v>
      </c>
      <c r="C343" s="395" t="s">
        <v>377</v>
      </c>
      <c r="D343" s="396">
        <v>265.81</v>
      </c>
      <c r="E343" s="396">
        <v>18.329999999999998</v>
      </c>
      <c r="F343" s="397">
        <v>284.14</v>
      </c>
      <c r="G343" s="397">
        <v>5959.3</v>
      </c>
    </row>
    <row r="344" spans="1:7" ht="13" customHeight="1" x14ac:dyDescent="0.2">
      <c r="A344" s="393">
        <v>339</v>
      </c>
      <c r="B344" s="394">
        <v>50413</v>
      </c>
      <c r="C344" s="395" t="s">
        <v>377</v>
      </c>
      <c r="D344" s="396">
        <v>266.24</v>
      </c>
      <c r="E344" s="396">
        <v>18.14</v>
      </c>
      <c r="F344" s="397">
        <v>284.38</v>
      </c>
      <c r="G344" s="397">
        <v>5693.06</v>
      </c>
    </row>
    <row r="345" spans="1:7" ht="13" customHeight="1" x14ac:dyDescent="0.2">
      <c r="A345" s="393">
        <v>340</v>
      </c>
      <c r="B345" s="394">
        <v>50414</v>
      </c>
      <c r="C345" s="395" t="s">
        <v>377</v>
      </c>
      <c r="D345" s="396">
        <v>266.68</v>
      </c>
      <c r="E345" s="396">
        <v>17.32</v>
      </c>
      <c r="F345" s="397">
        <v>284</v>
      </c>
      <c r="G345" s="397">
        <v>5426.38</v>
      </c>
    </row>
    <row r="346" spans="1:7" ht="13" customHeight="1" x14ac:dyDescent="0.2">
      <c r="A346" s="393">
        <v>341</v>
      </c>
      <c r="B346" s="394">
        <v>50415</v>
      </c>
      <c r="C346" s="395" t="s">
        <v>377</v>
      </c>
      <c r="D346" s="396">
        <v>267.12</v>
      </c>
      <c r="E346" s="396">
        <v>15.98</v>
      </c>
      <c r="F346" s="397">
        <v>283.10000000000002</v>
      </c>
      <c r="G346" s="397">
        <v>5159.26</v>
      </c>
    </row>
    <row r="347" spans="1:7" ht="13" customHeight="1" x14ac:dyDescent="0.2">
      <c r="A347" s="393">
        <v>342</v>
      </c>
      <c r="B347" s="394">
        <v>50416</v>
      </c>
      <c r="C347" s="395" t="s">
        <v>377</v>
      </c>
      <c r="D347" s="396">
        <v>267.55</v>
      </c>
      <c r="E347" s="396">
        <v>15.7</v>
      </c>
      <c r="F347" s="397">
        <v>283.25</v>
      </c>
      <c r="G347" s="397">
        <v>4891.71</v>
      </c>
    </row>
    <row r="348" spans="1:7" ht="13" customHeight="1" x14ac:dyDescent="0.2">
      <c r="A348" s="393">
        <v>343</v>
      </c>
      <c r="B348" s="394">
        <v>50417</v>
      </c>
      <c r="C348" s="395" t="s">
        <v>377</v>
      </c>
      <c r="D348" s="396">
        <v>267.99</v>
      </c>
      <c r="E348" s="396">
        <v>14.41</v>
      </c>
      <c r="F348" s="397">
        <v>282.39999999999998</v>
      </c>
      <c r="G348" s="397">
        <v>4623.72</v>
      </c>
    </row>
    <row r="349" spans="1:7" ht="13" customHeight="1" x14ac:dyDescent="0.2">
      <c r="A349" s="393">
        <v>344</v>
      </c>
      <c r="B349" s="394">
        <v>50771</v>
      </c>
      <c r="C349" s="395" t="s">
        <v>377</v>
      </c>
      <c r="D349" s="396">
        <v>268.43</v>
      </c>
      <c r="E349" s="396">
        <v>14.07</v>
      </c>
      <c r="F349" s="397">
        <v>282.5</v>
      </c>
      <c r="G349" s="397">
        <v>4355.29</v>
      </c>
    </row>
    <row r="350" spans="1:7" ht="13" customHeight="1" x14ac:dyDescent="0.2">
      <c r="A350" s="393">
        <v>345</v>
      </c>
      <c r="B350" s="394">
        <v>50772</v>
      </c>
      <c r="C350" s="395" t="s">
        <v>377</v>
      </c>
      <c r="D350" s="396">
        <v>268.87</v>
      </c>
      <c r="E350" s="396">
        <v>13.25</v>
      </c>
      <c r="F350" s="397">
        <v>282.12</v>
      </c>
      <c r="G350" s="397">
        <v>4086.42</v>
      </c>
    </row>
    <row r="351" spans="1:7" ht="13" customHeight="1" x14ac:dyDescent="0.2">
      <c r="A351" s="393">
        <v>346</v>
      </c>
      <c r="B351" s="394">
        <v>50773</v>
      </c>
      <c r="C351" s="395" t="s">
        <v>377</v>
      </c>
      <c r="D351" s="396">
        <v>269.31</v>
      </c>
      <c r="E351" s="396">
        <v>11.23</v>
      </c>
      <c r="F351" s="397">
        <v>280.54000000000002</v>
      </c>
      <c r="G351" s="397">
        <v>3817.11</v>
      </c>
    </row>
    <row r="352" spans="1:7" ht="13" customHeight="1" x14ac:dyDescent="0.2">
      <c r="A352" s="393">
        <v>347</v>
      </c>
      <c r="B352" s="394">
        <v>50774</v>
      </c>
      <c r="C352" s="395" t="s">
        <v>377</v>
      </c>
      <c r="D352" s="396">
        <v>269.76</v>
      </c>
      <c r="E352" s="396">
        <v>11.62</v>
      </c>
      <c r="F352" s="397">
        <v>281.38</v>
      </c>
      <c r="G352" s="397">
        <v>3547.35</v>
      </c>
    </row>
    <row r="353" spans="1:7" ht="13" customHeight="1" x14ac:dyDescent="0.2">
      <c r="A353" s="393">
        <v>348</v>
      </c>
      <c r="B353" s="394">
        <v>50775</v>
      </c>
      <c r="C353" s="395" t="s">
        <v>377</v>
      </c>
      <c r="D353" s="396">
        <v>270.2</v>
      </c>
      <c r="E353" s="396">
        <v>10.45</v>
      </c>
      <c r="F353" s="397">
        <v>280.64999999999998</v>
      </c>
      <c r="G353" s="397">
        <v>3277.15</v>
      </c>
    </row>
    <row r="354" spans="1:7" ht="13" customHeight="1" x14ac:dyDescent="0.2">
      <c r="A354" s="393">
        <v>349</v>
      </c>
      <c r="B354" s="394">
        <v>50776</v>
      </c>
      <c r="C354" s="395" t="s">
        <v>377</v>
      </c>
      <c r="D354" s="396">
        <v>270.64</v>
      </c>
      <c r="E354" s="396">
        <v>9.9700000000000006</v>
      </c>
      <c r="F354" s="397">
        <v>280.61</v>
      </c>
      <c r="G354" s="397">
        <v>3006.51</v>
      </c>
    </row>
    <row r="355" spans="1:7" ht="13" customHeight="1" x14ac:dyDescent="0.2">
      <c r="A355" s="393">
        <v>350</v>
      </c>
      <c r="B355" s="394">
        <v>50777</v>
      </c>
      <c r="C355" s="395" t="s">
        <v>377</v>
      </c>
      <c r="D355" s="396">
        <v>271.08999999999997</v>
      </c>
      <c r="E355" s="396">
        <v>8.85</v>
      </c>
      <c r="F355" s="397">
        <v>279.94</v>
      </c>
      <c r="G355" s="397">
        <v>2735.42</v>
      </c>
    </row>
    <row r="356" spans="1:7" ht="13" customHeight="1" x14ac:dyDescent="0.2">
      <c r="A356" s="393">
        <v>351</v>
      </c>
      <c r="B356" s="394">
        <v>50778</v>
      </c>
      <c r="C356" s="395" t="s">
        <v>377</v>
      </c>
      <c r="D356" s="396">
        <v>271.52999999999997</v>
      </c>
      <c r="E356" s="396">
        <v>8.32</v>
      </c>
      <c r="F356" s="397">
        <v>279.85000000000002</v>
      </c>
      <c r="G356" s="397">
        <v>2463.89</v>
      </c>
    </row>
    <row r="357" spans="1:7" ht="13" customHeight="1" x14ac:dyDescent="0.2">
      <c r="A357" s="393">
        <v>352</v>
      </c>
      <c r="B357" s="394">
        <v>50779</v>
      </c>
      <c r="C357" s="395" t="s">
        <v>377</v>
      </c>
      <c r="D357" s="396">
        <v>271.97000000000003</v>
      </c>
      <c r="E357" s="396">
        <v>7.5</v>
      </c>
      <c r="F357" s="397">
        <v>279.47000000000003</v>
      </c>
      <c r="G357" s="397">
        <v>2191.92</v>
      </c>
    </row>
    <row r="358" spans="1:7" ht="13" customHeight="1" x14ac:dyDescent="0.2">
      <c r="A358" s="393">
        <v>353</v>
      </c>
      <c r="B358" s="394">
        <v>50780</v>
      </c>
      <c r="C358" s="395" t="s">
        <v>377</v>
      </c>
      <c r="D358" s="396">
        <v>272.42</v>
      </c>
      <c r="E358" s="396">
        <v>6.46</v>
      </c>
      <c r="F358" s="397">
        <v>278.88</v>
      </c>
      <c r="G358" s="397">
        <v>1919.5</v>
      </c>
    </row>
    <row r="359" spans="1:7" ht="13" customHeight="1" x14ac:dyDescent="0.2">
      <c r="A359" s="393">
        <v>354</v>
      </c>
      <c r="B359" s="394">
        <v>50781</v>
      </c>
      <c r="C359" s="395" t="s">
        <v>377</v>
      </c>
      <c r="D359" s="396">
        <v>272.87</v>
      </c>
      <c r="E359" s="396">
        <v>5.84</v>
      </c>
      <c r="F359" s="397">
        <v>278.70999999999998</v>
      </c>
      <c r="G359" s="397">
        <v>1646.63</v>
      </c>
    </row>
    <row r="360" spans="1:7" ht="13" customHeight="1" x14ac:dyDescent="0.2">
      <c r="A360" s="393">
        <v>355</v>
      </c>
      <c r="B360" s="394">
        <v>50782</v>
      </c>
      <c r="C360" s="395" t="s">
        <v>377</v>
      </c>
      <c r="D360" s="396">
        <v>273.32</v>
      </c>
      <c r="E360" s="396">
        <v>4.8499999999999996</v>
      </c>
      <c r="F360" s="397">
        <v>278.17</v>
      </c>
      <c r="G360" s="397">
        <v>1373.31</v>
      </c>
    </row>
    <row r="361" spans="1:7" ht="13" customHeight="1" x14ac:dyDescent="0.2">
      <c r="A361" s="393">
        <v>356</v>
      </c>
      <c r="B361" s="394">
        <v>51136</v>
      </c>
      <c r="C361" s="395" t="s">
        <v>377</v>
      </c>
      <c r="D361" s="396">
        <v>273.76</v>
      </c>
      <c r="E361" s="396">
        <v>4.18</v>
      </c>
      <c r="F361" s="397">
        <v>277.94</v>
      </c>
      <c r="G361" s="397">
        <v>1099.55</v>
      </c>
    </row>
    <row r="362" spans="1:7" ht="13" customHeight="1" x14ac:dyDescent="0.2">
      <c r="A362" s="393">
        <v>357</v>
      </c>
      <c r="B362" s="394">
        <v>51137</v>
      </c>
      <c r="C362" s="395" t="s">
        <v>377</v>
      </c>
      <c r="D362" s="396">
        <v>274.20999999999998</v>
      </c>
      <c r="E362" s="396">
        <v>3.35</v>
      </c>
      <c r="F362" s="397">
        <v>277.56</v>
      </c>
      <c r="G362" s="397">
        <v>825.34</v>
      </c>
    </row>
    <row r="363" spans="1:7" ht="13" customHeight="1" x14ac:dyDescent="0.2">
      <c r="A363" s="393">
        <v>358</v>
      </c>
      <c r="B363" s="394">
        <v>51138</v>
      </c>
      <c r="C363" s="395" t="s">
        <v>377</v>
      </c>
      <c r="D363" s="396">
        <v>274.66000000000003</v>
      </c>
      <c r="E363" s="396">
        <v>2.35</v>
      </c>
      <c r="F363" s="397">
        <v>277.01</v>
      </c>
      <c r="G363" s="397">
        <v>550.67999999999995</v>
      </c>
    </row>
    <row r="364" spans="1:7" ht="13" customHeight="1" x14ac:dyDescent="0.2">
      <c r="A364" s="393">
        <v>359</v>
      </c>
      <c r="B364" s="394">
        <v>51139</v>
      </c>
      <c r="C364" s="395" t="s">
        <v>377</v>
      </c>
      <c r="D364" s="396">
        <v>275.11</v>
      </c>
      <c r="E364" s="396">
        <v>1.68</v>
      </c>
      <c r="F364" s="397">
        <v>276.79000000000002</v>
      </c>
      <c r="G364" s="397">
        <v>275.57</v>
      </c>
    </row>
    <row r="365" spans="1:7" ht="13" customHeight="1" x14ac:dyDescent="0.2">
      <c r="A365" s="393">
        <v>360</v>
      </c>
      <c r="B365" s="394">
        <v>51140</v>
      </c>
      <c r="C365" s="395" t="s">
        <v>377</v>
      </c>
      <c r="D365" s="396">
        <v>275.57</v>
      </c>
      <c r="E365" s="396">
        <v>0.81</v>
      </c>
      <c r="F365" s="397">
        <v>276.38</v>
      </c>
      <c r="G365" s="397">
        <v>0</v>
      </c>
    </row>
    <row r="366" spans="1:7" x14ac:dyDescent="0.2">
      <c r="G366" s="391"/>
    </row>
  </sheetData>
  <mergeCells count="1">
    <mergeCell ref="A1:J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96BB0-1C63-254F-96A1-1BFEB8018056}">
  <sheetPr codeName="Foglio2">
    <tabColor rgb="FFFF0000"/>
  </sheetPr>
  <dimension ref="A1:BA141"/>
  <sheetViews>
    <sheetView zoomScale="110" zoomScaleNormal="110" workbookViewId="0">
      <pane xSplit="1" ySplit="2" topLeftCell="L70" activePane="bottomRight" state="frozen"/>
      <selection pane="topRight" activeCell="B1" sqref="B1"/>
      <selection pane="bottomLeft" activeCell="A3" sqref="A3"/>
      <selection pane="bottomRight" activeCell="Z82" sqref="Z82"/>
    </sheetView>
  </sheetViews>
  <sheetFormatPr baseColWidth="10" defaultColWidth="11" defaultRowHeight="16" x14ac:dyDescent="0.2"/>
  <cols>
    <col min="1" max="1" width="41.59765625" style="93" bestFit="1" customWidth="1"/>
    <col min="2" max="2" width="15.19921875" style="93" bestFit="1" customWidth="1"/>
    <col min="3" max="3" width="17.3984375" style="93" bestFit="1" customWidth="1"/>
    <col min="4" max="4" width="10.19921875" style="93" bestFit="1" customWidth="1"/>
    <col min="5" max="5" width="28" style="94" customWidth="1"/>
    <col min="6" max="6" width="15.796875" style="93" bestFit="1" customWidth="1"/>
    <col min="7" max="7" width="18.19921875" style="93" bestFit="1" customWidth="1"/>
    <col min="8" max="8" width="5.796875" style="93" customWidth="1"/>
    <col min="9" max="9" width="28" style="94" customWidth="1"/>
    <col min="10" max="10" width="13.3984375" style="93" bestFit="1" customWidth="1"/>
    <col min="11" max="11" width="15.59765625" style="93" bestFit="1" customWidth="1"/>
    <col min="12" max="12" width="5.3984375" style="93" customWidth="1"/>
    <col min="13" max="13" width="27.796875" style="94" customWidth="1"/>
    <col min="14" max="14" width="13.59765625" style="93" bestFit="1" customWidth="1"/>
    <col min="15" max="15" width="15.19921875" style="93" bestFit="1" customWidth="1"/>
    <col min="16" max="16" width="5.3984375" style="93" bestFit="1" customWidth="1"/>
    <col min="17" max="17" width="28" style="94" customWidth="1"/>
    <col min="18" max="18" width="14.3984375" style="93" bestFit="1" customWidth="1"/>
    <col min="19" max="19" width="16.59765625" style="93" bestFit="1" customWidth="1"/>
    <col min="20" max="20" width="5.3984375" style="93" customWidth="1"/>
    <col min="21" max="21" width="28" style="94" customWidth="1"/>
    <col min="22" max="22" width="14.19921875" style="93" bestFit="1" customWidth="1"/>
    <col min="23" max="23" width="16.3984375" style="93" customWidth="1"/>
    <col min="24" max="24" width="6.3984375" style="93" bestFit="1" customWidth="1"/>
    <col min="25" max="25" width="28" style="94" customWidth="1"/>
    <col min="26" max="26" width="13.59765625" style="93" bestFit="1" customWidth="1"/>
    <col min="27" max="27" width="15.19921875" style="93" bestFit="1" customWidth="1"/>
    <col min="28" max="28" width="5.3984375" style="93" customWidth="1"/>
    <col min="29" max="29" width="28" style="94" customWidth="1"/>
    <col min="30" max="30" width="14" style="93" bestFit="1" customWidth="1"/>
    <col min="31" max="31" width="16.19921875" style="93" bestFit="1" customWidth="1"/>
    <col min="32" max="32" width="5.3984375" style="93" customWidth="1"/>
    <col min="33" max="33" width="28" style="94" customWidth="1"/>
    <col min="34" max="34" width="17.19921875" style="94" bestFit="1" customWidth="1"/>
    <col min="35" max="35" width="19.3984375" style="94" bestFit="1" customWidth="1"/>
    <col min="36" max="36" width="7.19921875" style="93" customWidth="1"/>
    <col min="37" max="37" width="28" style="94" customWidth="1"/>
    <col min="38" max="38" width="15" style="93" bestFit="1" customWidth="1"/>
    <col min="39" max="39" width="17.19921875" style="93" bestFit="1" customWidth="1"/>
    <col min="40" max="40" width="5.3984375" style="93" customWidth="1"/>
    <col min="41" max="41" width="28" style="94" customWidth="1"/>
    <col min="42" max="42" width="17.19921875" style="93" bestFit="1" customWidth="1"/>
    <col min="43" max="43" width="19.59765625" style="93" bestFit="1" customWidth="1"/>
    <col min="44" max="44" width="5.3984375" style="93" customWidth="1"/>
    <col min="45" max="45" width="28" style="94" customWidth="1"/>
    <col min="46" max="46" width="16.3984375" style="94" bestFit="1" customWidth="1"/>
    <col min="47" max="47" width="18.796875" style="94" bestFit="1" customWidth="1"/>
    <col min="48" max="48" width="7.19921875" style="93" customWidth="1"/>
    <col min="49" max="49" width="28" style="94" customWidth="1"/>
    <col min="50" max="16384" width="11" style="93"/>
  </cols>
  <sheetData>
    <row r="1" spans="1:49" s="146" customFormat="1" ht="7" customHeight="1" x14ac:dyDescent="0.2">
      <c r="C1" s="146">
        <v>0</v>
      </c>
      <c r="D1" s="146">
        <v>0</v>
      </c>
      <c r="E1" s="146">
        <v>0</v>
      </c>
      <c r="F1" s="146">
        <v>0</v>
      </c>
      <c r="G1" s="146">
        <v>0</v>
      </c>
      <c r="H1" s="146">
        <v>0</v>
      </c>
      <c r="I1" s="146">
        <v>0</v>
      </c>
      <c r="J1" s="146">
        <v>1</v>
      </c>
      <c r="K1" s="146">
        <v>1</v>
      </c>
      <c r="L1" s="146">
        <v>1</v>
      </c>
      <c r="M1" s="146">
        <v>1</v>
      </c>
      <c r="N1" s="146">
        <v>0</v>
      </c>
      <c r="O1" s="146">
        <v>0</v>
      </c>
      <c r="P1" s="146">
        <v>0</v>
      </c>
      <c r="Q1" s="146">
        <v>0</v>
      </c>
      <c r="R1" s="146">
        <v>0</v>
      </c>
      <c r="S1" s="146">
        <v>0</v>
      </c>
      <c r="T1" s="146">
        <v>0</v>
      </c>
      <c r="U1" s="146">
        <v>0</v>
      </c>
      <c r="V1" s="146">
        <v>0</v>
      </c>
      <c r="W1" s="146">
        <v>0</v>
      </c>
      <c r="X1" s="146">
        <v>0</v>
      </c>
      <c r="Y1" s="146">
        <v>0</v>
      </c>
      <c r="Z1" s="146">
        <v>0</v>
      </c>
      <c r="AA1" s="146">
        <v>0</v>
      </c>
      <c r="AB1" s="146">
        <v>0</v>
      </c>
      <c r="AC1" s="146">
        <v>0</v>
      </c>
      <c r="AD1" s="146">
        <v>0</v>
      </c>
      <c r="AE1" s="146">
        <v>0</v>
      </c>
      <c r="AF1" s="146">
        <v>0</v>
      </c>
      <c r="AG1" s="146">
        <v>0</v>
      </c>
      <c r="AH1" s="146">
        <v>0</v>
      </c>
      <c r="AI1" s="146">
        <v>0</v>
      </c>
      <c r="AJ1" s="146">
        <v>0</v>
      </c>
      <c r="AK1" s="146">
        <v>0</v>
      </c>
      <c r="AL1" s="146">
        <v>0</v>
      </c>
      <c r="AM1" s="146">
        <v>0</v>
      </c>
      <c r="AN1" s="146">
        <v>0</v>
      </c>
      <c r="AO1" s="146">
        <v>0</v>
      </c>
      <c r="AP1" s="146">
        <v>0</v>
      </c>
      <c r="AQ1" s="146">
        <v>0</v>
      </c>
      <c r="AR1" s="146">
        <v>0</v>
      </c>
      <c r="AS1" s="146">
        <v>0</v>
      </c>
      <c r="AT1" s="146">
        <v>0</v>
      </c>
      <c r="AU1" s="146">
        <v>0</v>
      </c>
      <c r="AV1" s="146">
        <v>0</v>
      </c>
      <c r="AW1" s="146">
        <v>0</v>
      </c>
    </row>
    <row r="2" spans="1:49" s="141" customFormat="1" ht="34" x14ac:dyDescent="0.2">
      <c r="A2" s="138" t="s">
        <v>137</v>
      </c>
      <c r="B2" s="142" t="s">
        <v>321</v>
      </c>
      <c r="C2" s="142" t="s">
        <v>322</v>
      </c>
      <c r="D2" s="143" t="s">
        <v>14</v>
      </c>
      <c r="E2" s="142" t="s">
        <v>114</v>
      </c>
      <c r="F2" s="138" t="s">
        <v>323</v>
      </c>
      <c r="G2" s="138" t="s">
        <v>324</v>
      </c>
      <c r="H2" s="140" t="s">
        <v>14</v>
      </c>
      <c r="I2" s="138" t="s">
        <v>114</v>
      </c>
      <c r="J2" s="142" t="s">
        <v>325</v>
      </c>
      <c r="K2" s="142" t="s">
        <v>326</v>
      </c>
      <c r="L2" s="143" t="s">
        <v>14</v>
      </c>
      <c r="M2" s="142" t="s">
        <v>114</v>
      </c>
      <c r="N2" s="138" t="s">
        <v>327</v>
      </c>
      <c r="O2" s="138" t="s">
        <v>328</v>
      </c>
      <c r="P2" s="140" t="s">
        <v>14</v>
      </c>
      <c r="Q2" s="138" t="s">
        <v>114</v>
      </c>
      <c r="R2" s="142" t="s">
        <v>329</v>
      </c>
      <c r="S2" s="142" t="s">
        <v>330</v>
      </c>
      <c r="T2" s="143" t="s">
        <v>14</v>
      </c>
      <c r="U2" s="142" t="s">
        <v>114</v>
      </c>
      <c r="V2" s="138" t="s">
        <v>318</v>
      </c>
      <c r="W2" s="138" t="s">
        <v>319</v>
      </c>
      <c r="X2" s="140" t="s">
        <v>14</v>
      </c>
      <c r="Y2" s="138" t="s">
        <v>114</v>
      </c>
      <c r="Z2" s="142" t="s">
        <v>331</v>
      </c>
      <c r="AA2" s="142" t="s">
        <v>332</v>
      </c>
      <c r="AB2" s="143" t="s">
        <v>14</v>
      </c>
      <c r="AC2" s="142" t="s">
        <v>114</v>
      </c>
      <c r="AD2" s="138" t="s">
        <v>333</v>
      </c>
      <c r="AE2" s="138" t="s">
        <v>334</v>
      </c>
      <c r="AF2" s="140" t="s">
        <v>14</v>
      </c>
      <c r="AG2" s="138" t="s">
        <v>114</v>
      </c>
      <c r="AH2" s="142" t="s">
        <v>335</v>
      </c>
      <c r="AI2" s="142" t="s">
        <v>336</v>
      </c>
      <c r="AJ2" s="143" t="s">
        <v>14</v>
      </c>
      <c r="AK2" s="142" t="s">
        <v>114</v>
      </c>
      <c r="AL2" s="138" t="s">
        <v>337</v>
      </c>
      <c r="AM2" s="138" t="s">
        <v>338</v>
      </c>
      <c r="AN2" s="140" t="s">
        <v>14</v>
      </c>
      <c r="AO2" s="138" t="s">
        <v>114</v>
      </c>
      <c r="AP2" s="142" t="s">
        <v>339</v>
      </c>
      <c r="AQ2" s="142" t="s">
        <v>340</v>
      </c>
      <c r="AR2" s="143" t="s">
        <v>14</v>
      </c>
      <c r="AS2" s="142" t="s">
        <v>114</v>
      </c>
      <c r="AT2" s="138" t="s">
        <v>341</v>
      </c>
      <c r="AU2" s="138" t="s">
        <v>342</v>
      </c>
      <c r="AV2" s="140" t="s">
        <v>14</v>
      </c>
      <c r="AW2" s="138" t="s">
        <v>114</v>
      </c>
    </row>
    <row r="3" spans="1:49" ht="7" customHeight="1" x14ac:dyDescent="0.2"/>
    <row r="4" spans="1:49" x14ac:dyDescent="0.2">
      <c r="A4" s="98" t="str">
        <f>'Conto Economico'!A83</f>
        <v>Spese Generali</v>
      </c>
      <c r="B4" s="99"/>
      <c r="C4" s="99"/>
      <c r="D4" s="99"/>
      <c r="E4" s="99"/>
      <c r="F4" s="218"/>
      <c r="G4" s="99"/>
      <c r="H4" s="99"/>
      <c r="I4" s="99"/>
      <c r="J4" s="218"/>
      <c r="K4" s="99"/>
      <c r="L4" s="99"/>
      <c r="M4" s="99"/>
      <c r="N4" s="218"/>
      <c r="O4" s="99"/>
      <c r="P4" s="99"/>
      <c r="Q4" s="99"/>
      <c r="R4" s="218"/>
      <c r="S4" s="99"/>
      <c r="T4" s="99"/>
      <c r="U4" s="99"/>
      <c r="V4" s="218"/>
      <c r="W4" s="99"/>
      <c r="X4" s="99"/>
      <c r="Y4" s="99"/>
      <c r="Z4" s="218"/>
      <c r="AA4" s="99"/>
      <c r="AB4" s="99"/>
      <c r="AC4" s="99"/>
      <c r="AD4" s="218"/>
      <c r="AE4" s="99"/>
      <c r="AF4" s="99"/>
      <c r="AG4" s="99"/>
      <c r="AH4" s="218"/>
      <c r="AI4" s="99"/>
      <c r="AJ4" s="99"/>
      <c r="AK4" s="99"/>
      <c r="AL4" s="218"/>
      <c r="AM4" s="99"/>
      <c r="AN4" s="99"/>
      <c r="AO4" s="99"/>
      <c r="AP4" s="218"/>
      <c r="AQ4" s="99"/>
      <c r="AR4" s="99"/>
      <c r="AS4" s="99"/>
      <c r="AT4" s="218"/>
      <c r="AU4" s="99"/>
      <c r="AV4" s="99"/>
      <c r="AW4" s="99"/>
    </row>
    <row r="5" spans="1:49" x14ac:dyDescent="0.2">
      <c r="A5" s="97" t="str">
        <f>'Conto Economico'!A84</f>
        <v>Arredamento</v>
      </c>
      <c r="B5" s="96"/>
      <c r="C5" s="96"/>
      <c r="D5" s="96"/>
      <c r="E5" s="96"/>
      <c r="F5" s="219"/>
      <c r="G5" s="96"/>
      <c r="H5" s="96"/>
      <c r="I5" s="96"/>
      <c r="J5" s="219"/>
      <c r="K5" s="96"/>
      <c r="L5" s="96"/>
      <c r="M5" s="96"/>
      <c r="N5" s="219"/>
      <c r="O5" s="96"/>
      <c r="P5" s="96"/>
      <c r="Q5" s="96"/>
      <c r="R5" s="219"/>
      <c r="S5" s="96"/>
      <c r="T5" s="96"/>
      <c r="U5" s="96"/>
      <c r="V5" s="219"/>
      <c r="W5" s="96"/>
      <c r="X5" s="96"/>
      <c r="Y5" s="96"/>
      <c r="Z5" s="219"/>
      <c r="AA5" s="96"/>
      <c r="AB5" s="96"/>
      <c r="AC5" s="96"/>
      <c r="AD5" s="219"/>
      <c r="AE5" s="96"/>
      <c r="AF5" s="96"/>
      <c r="AG5" s="96"/>
      <c r="AH5" s="219"/>
      <c r="AI5" s="96"/>
      <c r="AJ5" s="96"/>
      <c r="AK5" s="96"/>
      <c r="AL5" s="219"/>
      <c r="AM5" s="96"/>
      <c r="AN5" s="96"/>
      <c r="AO5" s="96"/>
      <c r="AP5" s="219"/>
      <c r="AQ5" s="96"/>
      <c r="AR5" s="96"/>
      <c r="AS5" s="96"/>
      <c r="AT5" s="219"/>
      <c r="AU5" s="96"/>
      <c r="AV5" s="96"/>
      <c r="AW5" s="96"/>
    </row>
    <row r="6" spans="1:49" x14ac:dyDescent="0.2">
      <c r="A6" s="97" t="str">
        <f>'Conto Economico'!A85</f>
        <v>Cinema - Giochi - Libri - Regali</v>
      </c>
      <c r="B6" s="96"/>
      <c r="C6" s="96"/>
      <c r="D6" s="96"/>
      <c r="E6" s="96"/>
      <c r="F6" s="219"/>
      <c r="G6" s="96"/>
      <c r="H6" s="96"/>
      <c r="I6" s="96"/>
      <c r="J6" s="219"/>
      <c r="K6" s="96"/>
      <c r="L6" s="96"/>
      <c r="M6" s="96"/>
      <c r="N6" s="219"/>
      <c r="O6" s="96"/>
      <c r="P6" s="96"/>
      <c r="Q6" s="96"/>
      <c r="R6" s="219"/>
      <c r="S6" s="96"/>
      <c r="T6" s="96"/>
      <c r="U6" s="96"/>
      <c r="V6" s="219"/>
      <c r="W6" s="96"/>
      <c r="X6" s="96"/>
      <c r="Y6" s="96"/>
      <c r="Z6" s="219"/>
      <c r="AA6" s="96"/>
      <c r="AB6" s="96"/>
      <c r="AC6" s="96"/>
      <c r="AD6" s="219"/>
      <c r="AE6" s="96"/>
      <c r="AF6" s="96"/>
      <c r="AG6" s="96"/>
      <c r="AH6" s="219"/>
      <c r="AI6" s="96"/>
      <c r="AJ6" s="96"/>
      <c r="AK6" s="96"/>
      <c r="AL6" s="219"/>
      <c r="AM6" s="96"/>
      <c r="AN6" s="96"/>
      <c r="AO6" s="96"/>
      <c r="AP6" s="219"/>
      <c r="AQ6" s="96"/>
      <c r="AR6" s="96"/>
      <c r="AS6" s="96"/>
      <c r="AT6" s="219"/>
      <c r="AU6" s="96"/>
      <c r="AV6" s="96"/>
      <c r="AW6" s="96"/>
    </row>
    <row r="7" spans="1:49" x14ac:dyDescent="0.2">
      <c r="A7" s="97" t="str">
        <f>'Conto Economico'!A86</f>
        <v>Elettronica e Tecnologia</v>
      </c>
      <c r="B7" s="96"/>
      <c r="C7" s="96"/>
      <c r="D7" s="96"/>
      <c r="E7" s="96"/>
      <c r="F7" s="219"/>
      <c r="G7" s="96"/>
      <c r="H7" s="96"/>
      <c r="I7" s="96"/>
      <c r="J7" s="219"/>
      <c r="K7" s="96"/>
      <c r="L7" s="96"/>
      <c r="M7" s="96"/>
      <c r="N7" s="219"/>
      <c r="O7" s="96"/>
      <c r="P7" s="96"/>
      <c r="Q7" s="96"/>
      <c r="R7" s="219"/>
      <c r="S7" s="96"/>
      <c r="T7" s="96"/>
      <c r="U7" s="96"/>
      <c r="V7" s="219"/>
      <c r="W7" s="96"/>
      <c r="X7" s="96"/>
      <c r="Y7" s="96"/>
      <c r="Z7" s="219"/>
      <c r="AA7" s="96"/>
      <c r="AB7" s="96"/>
      <c r="AC7" s="96"/>
      <c r="AD7" s="219"/>
      <c r="AE7" s="96"/>
      <c r="AF7" s="96"/>
      <c r="AG7" s="96"/>
      <c r="AH7" s="219"/>
      <c r="AI7" s="96"/>
      <c r="AJ7" s="96"/>
      <c r="AK7" s="96"/>
      <c r="AL7" s="219"/>
      <c r="AM7" s="96"/>
      <c r="AN7" s="96"/>
      <c r="AO7" s="96"/>
      <c r="AP7" s="219"/>
      <c r="AQ7" s="96"/>
      <c r="AR7" s="96"/>
      <c r="AS7" s="96"/>
      <c r="AT7" s="219"/>
      <c r="AU7" s="96"/>
      <c r="AV7" s="96"/>
      <c r="AW7" s="96"/>
    </row>
    <row r="8" spans="1:49" x14ac:dyDescent="0.2">
      <c r="A8" s="97" t="str">
        <f>'Conto Economico'!A87</f>
        <v>Elettrodomestici</v>
      </c>
      <c r="B8" s="96"/>
      <c r="C8" s="96"/>
      <c r="D8" s="96"/>
      <c r="E8" s="96"/>
      <c r="F8" s="219"/>
      <c r="G8" s="96"/>
      <c r="H8" s="96"/>
      <c r="I8" s="96"/>
      <c r="J8" s="219"/>
      <c r="K8" s="96"/>
      <c r="L8" s="96"/>
      <c r="M8" s="96"/>
      <c r="N8" s="219"/>
      <c r="O8" s="96"/>
      <c r="P8" s="96"/>
      <c r="Q8" s="96"/>
      <c r="R8" s="219"/>
      <c r="S8" s="96"/>
      <c r="T8" s="96"/>
      <c r="U8" s="96"/>
      <c r="V8" s="219"/>
      <c r="W8" s="96"/>
      <c r="X8" s="96"/>
      <c r="Y8" s="96"/>
      <c r="Z8" s="219"/>
      <c r="AA8" s="96"/>
      <c r="AB8" s="96"/>
      <c r="AC8" s="96"/>
      <c r="AD8" s="219"/>
      <c r="AE8" s="96"/>
      <c r="AF8" s="96"/>
      <c r="AG8" s="96"/>
      <c r="AH8" s="219"/>
      <c r="AI8" s="96"/>
      <c r="AJ8" s="96"/>
      <c r="AK8" s="96"/>
      <c r="AL8" s="219"/>
      <c r="AM8" s="96"/>
      <c r="AN8" s="96"/>
      <c r="AO8" s="96"/>
      <c r="AP8" s="219"/>
      <c r="AQ8" s="96"/>
      <c r="AR8" s="96"/>
      <c r="AS8" s="96"/>
      <c r="AT8" s="219"/>
      <c r="AU8" s="96"/>
      <c r="AV8" s="96"/>
      <c r="AW8" s="96"/>
    </row>
    <row r="9" spans="1:49" x14ac:dyDescent="0.2">
      <c r="A9" s="97" t="str">
        <f>'Conto Economico'!A88</f>
        <v>Prodotti per la Pulizia - Detersivi</v>
      </c>
      <c r="B9" s="96"/>
      <c r="C9" s="96"/>
      <c r="D9" s="96"/>
      <c r="E9" s="96"/>
      <c r="F9" s="219"/>
      <c r="G9" s="96"/>
      <c r="H9" s="96"/>
      <c r="I9" s="96"/>
      <c r="J9" s="219"/>
      <c r="K9" s="96"/>
      <c r="L9" s="96"/>
      <c r="M9" s="96"/>
      <c r="N9" s="219"/>
      <c r="O9" s="96"/>
      <c r="P9" s="96"/>
      <c r="Q9" s="96"/>
      <c r="R9" s="219"/>
      <c r="S9" s="96"/>
      <c r="T9" s="96"/>
      <c r="U9" s="96"/>
      <c r="V9" s="219"/>
      <c r="W9" s="96"/>
      <c r="X9" s="96"/>
      <c r="Y9" s="96"/>
      <c r="Z9" s="219"/>
      <c r="AA9" s="96"/>
      <c r="AB9" s="96"/>
      <c r="AC9" s="96"/>
      <c r="AD9" s="219"/>
      <c r="AE9" s="96"/>
      <c r="AF9" s="96"/>
      <c r="AG9" s="96"/>
      <c r="AH9" s="219"/>
      <c r="AI9" s="96"/>
      <c r="AJ9" s="96"/>
      <c r="AK9" s="96"/>
      <c r="AL9" s="219"/>
      <c r="AM9" s="96"/>
      <c r="AN9" s="96"/>
      <c r="AO9" s="96"/>
      <c r="AP9" s="219"/>
      <c r="AQ9" s="96"/>
      <c r="AR9" s="96"/>
      <c r="AS9" s="96"/>
      <c r="AT9" s="219"/>
      <c r="AU9" s="96"/>
      <c r="AV9" s="96"/>
      <c r="AW9" s="96"/>
    </row>
    <row r="10" spans="1:49" x14ac:dyDescent="0.2">
      <c r="A10" s="97" t="str">
        <f>'Conto Economico'!A89</f>
        <v>Accessori per Casa e Cucina</v>
      </c>
      <c r="B10" s="96"/>
      <c r="C10" s="96"/>
      <c r="D10" s="96"/>
      <c r="E10" s="96"/>
      <c r="F10" s="219"/>
      <c r="G10" s="96"/>
      <c r="H10" s="96"/>
      <c r="I10" s="96"/>
      <c r="J10" s="219"/>
      <c r="K10" s="96"/>
      <c r="L10" s="96"/>
      <c r="M10" s="96"/>
      <c r="N10" s="219"/>
      <c r="O10" s="96"/>
      <c r="P10" s="96"/>
      <c r="Q10" s="96"/>
      <c r="R10" s="219"/>
      <c r="S10" s="96"/>
      <c r="T10" s="96"/>
      <c r="U10" s="96"/>
      <c r="V10" s="219"/>
      <c r="W10" s="96"/>
      <c r="X10" s="96"/>
      <c r="Y10" s="96"/>
      <c r="Z10" s="219"/>
      <c r="AA10" s="96"/>
      <c r="AB10" s="96"/>
      <c r="AC10" s="96"/>
      <c r="AD10" s="219"/>
      <c r="AE10" s="96"/>
      <c r="AF10" s="96"/>
      <c r="AG10" s="96"/>
      <c r="AH10" s="219"/>
      <c r="AI10" s="96"/>
      <c r="AJ10" s="96"/>
      <c r="AK10" s="96"/>
      <c r="AL10" s="219"/>
      <c r="AM10" s="96"/>
      <c r="AN10" s="96"/>
      <c r="AO10" s="96"/>
      <c r="AP10" s="219"/>
      <c r="AQ10" s="96"/>
      <c r="AR10" s="96"/>
      <c r="AS10" s="96"/>
      <c r="AT10" s="219"/>
      <c r="AU10" s="96"/>
      <c r="AV10" s="96"/>
      <c r="AW10" s="96"/>
    </row>
    <row r="11" spans="1:49" x14ac:dyDescent="0.2">
      <c r="A11" s="97" t="str">
        <f>'Conto Economico'!A90</f>
        <v>Accessori per Piscina e Giardino</v>
      </c>
      <c r="B11" s="96"/>
      <c r="C11" s="96"/>
      <c r="D11" s="96"/>
      <c r="E11" s="96"/>
      <c r="F11" s="219"/>
      <c r="G11" s="96"/>
      <c r="H11" s="96"/>
      <c r="I11" s="96"/>
      <c r="J11" s="219"/>
      <c r="K11" s="96"/>
      <c r="L11" s="96"/>
      <c r="M11" s="96"/>
      <c r="N11" s="219"/>
      <c r="O11" s="96"/>
      <c r="P11" s="96"/>
      <c r="Q11" s="96"/>
      <c r="R11" s="219"/>
      <c r="S11" s="96"/>
      <c r="T11" s="96"/>
      <c r="U11" s="96"/>
      <c r="V11" s="219"/>
      <c r="W11" s="96"/>
      <c r="X11" s="96"/>
      <c r="Y11" s="96"/>
      <c r="Z11" s="219"/>
      <c r="AA11" s="96"/>
      <c r="AB11" s="96"/>
      <c r="AC11" s="96"/>
      <c r="AD11" s="219"/>
      <c r="AE11" s="96"/>
      <c r="AF11" s="96"/>
      <c r="AG11" s="96"/>
      <c r="AH11" s="219"/>
      <c r="AI11" s="96"/>
      <c r="AJ11" s="96"/>
      <c r="AK11" s="96"/>
      <c r="AL11" s="219"/>
      <c r="AM11" s="96"/>
      <c r="AN11" s="96"/>
      <c r="AO11" s="96"/>
      <c r="AP11" s="219"/>
      <c r="AQ11" s="96"/>
      <c r="AR11" s="96"/>
      <c r="AS11" s="96"/>
      <c r="AT11" s="219"/>
      <c r="AU11" s="96"/>
      <c r="AV11" s="96"/>
      <c r="AW11" s="96"/>
    </row>
    <row r="12" spans="1:49" x14ac:dyDescent="0.2">
      <c r="A12" s="97"/>
      <c r="B12" s="96"/>
      <c r="C12" s="96"/>
      <c r="D12" s="96"/>
      <c r="E12" s="96"/>
      <c r="F12" s="219"/>
      <c r="G12" s="96"/>
      <c r="H12" s="96"/>
      <c r="I12" s="96"/>
      <c r="J12" s="219"/>
      <c r="K12" s="96"/>
      <c r="L12" s="96"/>
      <c r="M12" s="96"/>
      <c r="N12" s="219"/>
      <c r="O12" s="96"/>
      <c r="P12" s="96"/>
      <c r="Q12" s="96"/>
      <c r="R12" s="219"/>
      <c r="S12" s="96"/>
      <c r="T12" s="96"/>
      <c r="U12" s="96"/>
      <c r="V12" s="219"/>
      <c r="W12" s="96"/>
      <c r="X12" s="96"/>
      <c r="Y12" s="96"/>
      <c r="Z12" s="219"/>
      <c r="AA12" s="96"/>
      <c r="AB12" s="96"/>
      <c r="AC12" s="96"/>
      <c r="AD12" s="219"/>
      <c r="AE12" s="96"/>
      <c r="AF12" s="96"/>
      <c r="AG12" s="96"/>
      <c r="AH12" s="219"/>
      <c r="AI12" s="96"/>
      <c r="AJ12" s="96"/>
      <c r="AK12" s="96"/>
      <c r="AL12" s="219"/>
      <c r="AM12" s="96"/>
      <c r="AN12" s="96"/>
      <c r="AO12" s="96"/>
      <c r="AP12" s="219"/>
      <c r="AQ12" s="96"/>
      <c r="AR12" s="96"/>
      <c r="AS12" s="96"/>
      <c r="AT12" s="219"/>
      <c r="AU12" s="96"/>
      <c r="AV12" s="96"/>
      <c r="AW12" s="96"/>
    </row>
    <row r="13" spans="1:49" x14ac:dyDescent="0.2">
      <c r="A13" s="98" t="str">
        <f>'Conto Economico'!A92</f>
        <v>Spese Ricorrenti</v>
      </c>
      <c r="B13" s="99"/>
      <c r="C13" s="99"/>
      <c r="D13" s="99"/>
      <c r="E13" s="99"/>
      <c r="F13" s="218"/>
      <c r="G13" s="99"/>
      <c r="H13" s="99"/>
      <c r="I13" s="99"/>
      <c r="J13" s="218"/>
      <c r="K13" s="99"/>
      <c r="L13" s="99"/>
      <c r="M13" s="99"/>
      <c r="N13" s="218"/>
      <c r="O13" s="99"/>
      <c r="P13" s="99"/>
      <c r="Q13" s="99"/>
      <c r="R13" s="218"/>
      <c r="S13" s="99"/>
      <c r="T13" s="99"/>
      <c r="U13" s="99"/>
      <c r="V13" s="218"/>
      <c r="W13" s="99"/>
      <c r="X13" s="99"/>
      <c r="Y13" s="99"/>
      <c r="Z13" s="218"/>
      <c r="AA13" s="99"/>
      <c r="AB13" s="99"/>
      <c r="AC13" s="99"/>
      <c r="AD13" s="218"/>
      <c r="AE13" s="99"/>
      <c r="AF13" s="99"/>
      <c r="AG13" s="99"/>
      <c r="AH13" s="218"/>
      <c r="AI13" s="99"/>
      <c r="AJ13" s="99"/>
      <c r="AK13" s="99"/>
      <c r="AL13" s="218"/>
      <c r="AM13" s="99"/>
      <c r="AN13" s="99"/>
      <c r="AO13" s="99"/>
      <c r="AP13" s="218"/>
      <c r="AQ13" s="99"/>
      <c r="AR13" s="99"/>
      <c r="AS13" s="99"/>
      <c r="AT13" s="218"/>
      <c r="AU13" s="99"/>
      <c r="AV13" s="99"/>
      <c r="AW13" s="99"/>
    </row>
    <row r="14" spans="1:49" x14ac:dyDescent="0.2">
      <c r="A14" s="97" t="str">
        <f>'Conto Economico'!A93</f>
        <v>Luce</v>
      </c>
      <c r="B14" s="96"/>
      <c r="C14" s="96"/>
      <c r="D14" s="96"/>
      <c r="E14" s="96"/>
      <c r="F14" s="219"/>
      <c r="G14" s="96"/>
      <c r="H14" s="96"/>
      <c r="I14" s="96"/>
      <c r="J14" s="219"/>
      <c r="K14" s="96"/>
      <c r="L14" s="96"/>
      <c r="M14" s="96"/>
      <c r="N14" s="219"/>
      <c r="O14" s="96"/>
      <c r="P14" s="96"/>
      <c r="Q14" s="96"/>
      <c r="R14" s="219"/>
      <c r="S14" s="96"/>
      <c r="T14" s="96"/>
      <c r="U14" s="96"/>
      <c r="V14" s="219"/>
      <c r="W14" s="96"/>
      <c r="X14" s="96"/>
      <c r="Y14" s="96"/>
      <c r="Z14" s="219"/>
      <c r="AA14" s="96"/>
      <c r="AB14" s="96"/>
      <c r="AC14" s="96"/>
      <c r="AD14" s="219"/>
      <c r="AE14" s="96"/>
      <c r="AF14" s="96"/>
      <c r="AG14" s="96"/>
      <c r="AH14" s="219"/>
      <c r="AI14" s="96"/>
      <c r="AJ14" s="96"/>
      <c r="AK14" s="96"/>
      <c r="AL14" s="219"/>
      <c r="AM14" s="96"/>
      <c r="AN14" s="96"/>
      <c r="AO14" s="96"/>
      <c r="AP14" s="219"/>
      <c r="AQ14" s="96"/>
      <c r="AR14" s="96"/>
      <c r="AS14" s="96"/>
      <c r="AT14" s="219"/>
      <c r="AU14" s="96"/>
      <c r="AV14" s="96"/>
      <c r="AW14" s="96"/>
    </row>
    <row r="15" spans="1:49" x14ac:dyDescent="0.2">
      <c r="A15" s="97" t="str">
        <f>'Conto Economico'!A94</f>
        <v>Acqua Potabile</v>
      </c>
      <c r="B15" s="96"/>
      <c r="C15" s="96"/>
      <c r="D15" s="96"/>
      <c r="E15" s="96"/>
      <c r="F15" s="219"/>
      <c r="G15" s="96"/>
      <c r="H15" s="96"/>
      <c r="I15" s="96"/>
      <c r="J15" s="219"/>
      <c r="K15" s="96"/>
      <c r="L15" s="96"/>
      <c r="M15" s="96"/>
      <c r="N15" s="219"/>
      <c r="O15" s="96"/>
      <c r="P15" s="96"/>
      <c r="Q15" s="96"/>
      <c r="R15" s="219"/>
      <c r="S15" s="96"/>
      <c r="T15" s="96"/>
      <c r="U15" s="96"/>
      <c r="V15" s="219"/>
      <c r="W15" s="96"/>
      <c r="X15" s="96"/>
      <c r="Y15" s="96"/>
      <c r="Z15" s="219"/>
      <c r="AA15" s="96"/>
      <c r="AB15" s="96"/>
      <c r="AC15" s="96"/>
      <c r="AD15" s="219"/>
      <c r="AE15" s="96"/>
      <c r="AF15" s="96"/>
      <c r="AG15" s="96"/>
      <c r="AH15" s="219"/>
      <c r="AI15" s="96"/>
      <c r="AJ15" s="96"/>
      <c r="AK15" s="96"/>
      <c r="AL15" s="219"/>
      <c r="AM15" s="96"/>
      <c r="AN15" s="96"/>
      <c r="AO15" s="96"/>
      <c r="AP15" s="219"/>
      <c r="AQ15" s="96"/>
      <c r="AR15" s="96"/>
      <c r="AS15" s="96"/>
      <c r="AT15" s="219"/>
      <c r="AU15" s="96"/>
      <c r="AV15" s="96"/>
      <c r="AW15" s="96"/>
    </row>
    <row r="16" spans="1:49" x14ac:dyDescent="0.2">
      <c r="A16" s="97" t="str">
        <f>'Conto Economico'!A95</f>
        <v>Gas</v>
      </c>
      <c r="B16" s="96"/>
      <c r="C16" s="96"/>
      <c r="D16" s="96"/>
      <c r="E16" s="96"/>
      <c r="F16" s="219"/>
      <c r="G16" s="96"/>
      <c r="H16" s="96"/>
      <c r="I16" s="96"/>
      <c r="J16" s="219"/>
      <c r="K16" s="96"/>
      <c r="L16" s="96"/>
      <c r="M16" s="96"/>
      <c r="N16" s="219"/>
      <c r="O16" s="96"/>
      <c r="P16" s="96"/>
      <c r="Q16" s="96"/>
      <c r="R16" s="219"/>
      <c r="S16" s="96"/>
      <c r="T16" s="96"/>
      <c r="U16" s="96"/>
      <c r="V16" s="219"/>
      <c r="W16" s="96"/>
      <c r="X16" s="96"/>
      <c r="Y16" s="96"/>
      <c r="Z16" s="219"/>
      <c r="AA16" s="96"/>
      <c r="AB16" s="96"/>
      <c r="AC16" s="96"/>
      <c r="AD16" s="219"/>
      <c r="AE16" s="96"/>
      <c r="AF16" s="96"/>
      <c r="AG16" s="96"/>
      <c r="AH16" s="219"/>
      <c r="AI16" s="96"/>
      <c r="AJ16" s="96"/>
      <c r="AK16" s="96"/>
      <c r="AL16" s="219"/>
      <c r="AM16" s="96"/>
      <c r="AN16" s="96"/>
      <c r="AO16" s="96"/>
      <c r="AP16" s="219"/>
      <c r="AQ16" s="96"/>
      <c r="AR16" s="96"/>
      <c r="AS16" s="96"/>
      <c r="AT16" s="219"/>
      <c r="AU16" s="96"/>
      <c r="AV16" s="96"/>
      <c r="AW16" s="96"/>
    </row>
    <row r="17" spans="1:49" x14ac:dyDescent="0.2">
      <c r="A17" s="97" t="str">
        <f>'Conto Economico'!A96</f>
        <v>Rifiuti</v>
      </c>
      <c r="B17" s="96"/>
      <c r="C17" s="96"/>
      <c r="D17" s="96"/>
      <c r="E17" s="96"/>
      <c r="F17" s="219"/>
      <c r="G17" s="96"/>
      <c r="H17" s="96"/>
      <c r="I17" s="96"/>
      <c r="J17" s="219"/>
      <c r="K17" s="96"/>
      <c r="L17" s="96"/>
      <c r="M17" s="96"/>
      <c r="N17" s="219"/>
      <c r="O17" s="96"/>
      <c r="P17" s="96"/>
      <c r="Q17" s="96"/>
      <c r="R17" s="219"/>
      <c r="S17" s="96"/>
      <c r="T17" s="96"/>
      <c r="U17" s="96"/>
      <c r="V17" s="219"/>
      <c r="W17" s="96"/>
      <c r="X17" s="96"/>
      <c r="Y17" s="96"/>
      <c r="Z17" s="219"/>
      <c r="AA17" s="96"/>
      <c r="AB17" s="96"/>
      <c r="AC17" s="96"/>
      <c r="AD17" s="219"/>
      <c r="AE17" s="96"/>
      <c r="AF17" s="96"/>
      <c r="AG17" s="96"/>
      <c r="AH17" s="219"/>
      <c r="AI17" s="96"/>
      <c r="AJ17" s="96"/>
      <c r="AK17" s="96"/>
      <c r="AL17" s="219"/>
      <c r="AM17" s="96"/>
      <c r="AN17" s="96"/>
      <c r="AO17" s="96"/>
      <c r="AP17" s="219"/>
      <c r="AQ17" s="96"/>
      <c r="AR17" s="96"/>
      <c r="AS17" s="96"/>
      <c r="AT17" s="219"/>
      <c r="AU17" s="96"/>
      <c r="AV17" s="96"/>
      <c r="AW17" s="96"/>
    </row>
    <row r="18" spans="1:49" x14ac:dyDescent="0.2">
      <c r="A18" s="97" t="str">
        <f>'Conto Economico'!A97</f>
        <v>Servizi Internet - Amazon Prime - iCloud</v>
      </c>
      <c r="B18" s="96"/>
      <c r="C18" s="96"/>
      <c r="D18" s="96"/>
      <c r="E18" s="96"/>
      <c r="F18" s="219"/>
      <c r="G18" s="96"/>
      <c r="H18" s="96"/>
      <c r="I18" s="96"/>
      <c r="J18" s="219"/>
      <c r="K18" s="96"/>
      <c r="L18" s="96"/>
      <c r="M18" s="96"/>
      <c r="N18" s="219"/>
      <c r="O18" s="96"/>
      <c r="P18" s="96"/>
      <c r="Q18" s="96"/>
      <c r="R18" s="219"/>
      <c r="S18" s="96"/>
      <c r="T18" s="96"/>
      <c r="U18" s="96"/>
      <c r="V18" s="219"/>
      <c r="W18" s="96"/>
      <c r="X18" s="96"/>
      <c r="Y18" s="96"/>
      <c r="Z18" s="219"/>
      <c r="AA18" s="96"/>
      <c r="AB18" s="96"/>
      <c r="AC18" s="96"/>
      <c r="AD18" s="219"/>
      <c r="AE18" s="96"/>
      <c r="AF18" s="96"/>
      <c r="AG18" s="96"/>
      <c r="AH18" s="219"/>
      <c r="AI18" s="96"/>
      <c r="AJ18" s="96"/>
      <c r="AK18" s="96"/>
      <c r="AL18" s="219"/>
      <c r="AM18" s="96"/>
      <c r="AN18" s="96"/>
      <c r="AO18" s="96"/>
      <c r="AP18" s="219"/>
      <c r="AQ18" s="96"/>
      <c r="AR18" s="96"/>
      <c r="AS18" s="96"/>
      <c r="AT18" s="219"/>
      <c r="AU18" s="96"/>
      <c r="AV18" s="96"/>
      <c r="AW18" s="96"/>
    </row>
    <row r="19" spans="1:49" x14ac:dyDescent="0.2">
      <c r="A19" s="97" t="str">
        <f>'Conto Economico'!A98</f>
        <v>Editoria Digitale</v>
      </c>
      <c r="B19" s="96"/>
      <c r="C19" s="96"/>
      <c r="D19" s="96"/>
      <c r="E19" s="96"/>
      <c r="F19" s="219"/>
      <c r="G19" s="96"/>
      <c r="H19" s="96"/>
      <c r="I19" s="96"/>
      <c r="J19" s="219"/>
      <c r="K19" s="96"/>
      <c r="L19" s="96"/>
      <c r="M19" s="96"/>
      <c r="N19" s="219"/>
      <c r="O19" s="96"/>
      <c r="P19" s="96"/>
      <c r="Q19" s="96"/>
      <c r="R19" s="219"/>
      <c r="S19" s="96"/>
      <c r="T19" s="96"/>
      <c r="U19" s="96"/>
      <c r="V19" s="219"/>
      <c r="W19" s="96"/>
      <c r="X19" s="96"/>
      <c r="Y19" s="96"/>
      <c r="Z19" s="219"/>
      <c r="AA19" s="96"/>
      <c r="AB19" s="96"/>
      <c r="AC19" s="96"/>
      <c r="AD19" s="219"/>
      <c r="AE19" s="96"/>
      <c r="AF19" s="96"/>
      <c r="AG19" s="96"/>
      <c r="AH19" s="219"/>
      <c r="AI19" s="96"/>
      <c r="AJ19" s="96"/>
      <c r="AK19" s="96"/>
      <c r="AL19" s="219"/>
      <c r="AM19" s="96"/>
      <c r="AN19" s="96"/>
      <c r="AO19" s="96"/>
      <c r="AP19" s="219"/>
      <c r="AQ19" s="96"/>
      <c r="AR19" s="96"/>
      <c r="AS19" s="96"/>
      <c r="AT19" s="219"/>
      <c r="AU19" s="96"/>
      <c r="AV19" s="96"/>
      <c r="AW19" s="96"/>
    </row>
    <row r="20" spans="1:49" x14ac:dyDescent="0.2">
      <c r="A20" s="97" t="str">
        <f>'Conto Economico'!A99</f>
        <v>Fibra Telefonica</v>
      </c>
      <c r="B20" s="96"/>
      <c r="C20" s="96"/>
      <c r="D20" s="96"/>
      <c r="E20" s="96"/>
      <c r="F20" s="219"/>
      <c r="G20" s="96"/>
      <c r="H20" s="96"/>
      <c r="I20" s="96"/>
      <c r="J20" s="219"/>
      <c r="K20" s="96"/>
      <c r="L20" s="96"/>
      <c r="M20" s="96"/>
      <c r="N20" s="219"/>
      <c r="O20" s="96"/>
      <c r="P20" s="96"/>
      <c r="Q20" s="96"/>
      <c r="R20" s="219"/>
      <c r="S20" s="96"/>
      <c r="T20" s="96"/>
      <c r="U20" s="96"/>
      <c r="V20" s="219"/>
      <c r="W20" s="96"/>
      <c r="X20" s="96"/>
      <c r="Y20" s="96"/>
      <c r="Z20" s="219"/>
      <c r="AA20" s="96"/>
      <c r="AB20" s="96"/>
      <c r="AC20" s="96"/>
      <c r="AD20" s="219"/>
      <c r="AE20" s="96"/>
      <c r="AF20" s="96"/>
      <c r="AG20" s="96"/>
      <c r="AH20" s="219"/>
      <c r="AI20" s="96"/>
      <c r="AJ20" s="96"/>
      <c r="AK20" s="96"/>
      <c r="AL20" s="219"/>
      <c r="AM20" s="96"/>
      <c r="AN20" s="96"/>
      <c r="AO20" s="96"/>
      <c r="AP20" s="219"/>
      <c r="AQ20" s="96"/>
      <c r="AR20" s="96"/>
      <c r="AS20" s="96"/>
      <c r="AT20" s="219"/>
      <c r="AU20" s="96"/>
      <c r="AV20" s="96"/>
      <c r="AW20" s="96"/>
    </row>
    <row r="21" spans="1:49" x14ac:dyDescent="0.2">
      <c r="A21" s="97" t="str">
        <f>'Conto Economico'!A100</f>
        <v>Telefonia Cellulare</v>
      </c>
      <c r="B21" s="96"/>
      <c r="C21" s="96"/>
      <c r="D21" s="96"/>
      <c r="E21" s="96"/>
      <c r="F21" s="219"/>
      <c r="G21" s="96"/>
      <c r="H21" s="96"/>
      <c r="I21" s="96"/>
      <c r="J21" s="219"/>
      <c r="K21" s="96"/>
      <c r="L21" s="96"/>
      <c r="M21" s="96"/>
      <c r="N21" s="219"/>
      <c r="O21" s="96"/>
      <c r="P21" s="96"/>
      <c r="Q21" s="96"/>
      <c r="R21" s="219"/>
      <c r="S21" s="96"/>
      <c r="T21" s="96"/>
      <c r="U21" s="96"/>
      <c r="V21" s="219"/>
      <c r="W21" s="96"/>
      <c r="X21" s="96"/>
      <c r="Y21" s="96"/>
      <c r="Z21" s="219"/>
      <c r="AA21" s="96"/>
      <c r="AB21" s="96"/>
      <c r="AC21" s="96"/>
      <c r="AD21" s="219"/>
      <c r="AE21" s="96"/>
      <c r="AF21" s="96"/>
      <c r="AG21" s="96"/>
      <c r="AH21" s="219"/>
      <c r="AI21" s="96"/>
      <c r="AJ21" s="96"/>
      <c r="AK21" s="96"/>
      <c r="AL21" s="219"/>
      <c r="AM21" s="96"/>
      <c r="AN21" s="96"/>
      <c r="AO21" s="96"/>
      <c r="AP21" s="219"/>
      <c r="AQ21" s="96"/>
      <c r="AR21" s="96"/>
      <c r="AS21" s="96"/>
      <c r="AT21" s="219"/>
      <c r="AU21" s="96"/>
      <c r="AV21" s="96"/>
      <c r="AW21" s="96"/>
    </row>
    <row r="22" spans="1:49" x14ac:dyDescent="0.2">
      <c r="A22" s="97" t="str">
        <f>'Conto Economico'!A101</f>
        <v>Streaming TV</v>
      </c>
      <c r="B22" s="96"/>
      <c r="C22" s="96"/>
      <c r="D22" s="96"/>
      <c r="E22" s="96"/>
      <c r="F22" s="219"/>
      <c r="G22" s="96"/>
      <c r="H22" s="96"/>
      <c r="I22" s="96"/>
      <c r="J22" s="219"/>
      <c r="K22" s="96"/>
      <c r="L22" s="96"/>
      <c r="M22" s="96"/>
      <c r="N22" s="219"/>
      <c r="O22" s="96"/>
      <c r="P22" s="96"/>
      <c r="Q22" s="96"/>
      <c r="R22" s="219"/>
      <c r="S22" s="96"/>
      <c r="T22" s="96"/>
      <c r="U22" s="96"/>
      <c r="V22" s="219"/>
      <c r="W22" s="96"/>
      <c r="X22" s="96"/>
      <c r="Y22" s="96"/>
      <c r="Z22" s="219"/>
      <c r="AA22" s="96"/>
      <c r="AB22" s="96"/>
      <c r="AC22" s="96"/>
      <c r="AD22" s="219"/>
      <c r="AE22" s="96"/>
      <c r="AF22" s="96"/>
      <c r="AG22" s="96"/>
      <c r="AH22" s="219"/>
      <c r="AI22" s="96"/>
      <c r="AJ22" s="96"/>
      <c r="AK22" s="96"/>
      <c r="AL22" s="219"/>
      <c r="AM22" s="96"/>
      <c r="AN22" s="96"/>
      <c r="AO22" s="96"/>
      <c r="AP22" s="219"/>
      <c r="AQ22" s="96"/>
      <c r="AR22" s="96"/>
      <c r="AS22" s="96"/>
      <c r="AT22" s="219"/>
      <c r="AU22" s="96"/>
      <c r="AV22" s="96"/>
      <c r="AW22" s="96"/>
    </row>
    <row r="23" spans="1:49" x14ac:dyDescent="0.2">
      <c r="A23" s="97" t="str">
        <f>'Conto Economico'!A102</f>
        <v>Streaming Audio</v>
      </c>
      <c r="B23" s="96"/>
      <c r="C23" s="96"/>
      <c r="D23" s="96"/>
      <c r="E23" s="96"/>
      <c r="F23" s="219"/>
      <c r="G23" s="96"/>
      <c r="H23" s="96"/>
      <c r="I23" s="96"/>
      <c r="J23" s="219"/>
      <c r="K23" s="96"/>
      <c r="L23" s="96"/>
      <c r="M23" s="96"/>
      <c r="N23" s="219"/>
      <c r="O23" s="96"/>
      <c r="P23" s="96"/>
      <c r="Q23" s="96"/>
      <c r="R23" s="219"/>
      <c r="S23" s="96"/>
      <c r="T23" s="96"/>
      <c r="U23" s="96"/>
      <c r="V23" s="219"/>
      <c r="W23" s="96"/>
      <c r="X23" s="96"/>
      <c r="Y23" s="96"/>
      <c r="Z23" s="219"/>
      <c r="AA23" s="96"/>
      <c r="AB23" s="96"/>
      <c r="AC23" s="96"/>
      <c r="AD23" s="219"/>
      <c r="AE23" s="96"/>
      <c r="AF23" s="96"/>
      <c r="AG23" s="96"/>
      <c r="AH23" s="219"/>
      <c r="AI23" s="96"/>
      <c r="AJ23" s="96"/>
      <c r="AK23" s="96"/>
      <c r="AL23" s="219"/>
      <c r="AM23" s="96"/>
      <c r="AN23" s="96"/>
      <c r="AO23" s="96"/>
      <c r="AP23" s="219"/>
      <c r="AQ23" s="96"/>
      <c r="AR23" s="96"/>
      <c r="AS23" s="96"/>
      <c r="AT23" s="219"/>
      <c r="AU23" s="96"/>
      <c r="AV23" s="96"/>
      <c r="AW23" s="96"/>
    </row>
    <row r="24" spans="1:49" x14ac:dyDescent="0.2">
      <c r="A24" s="97"/>
      <c r="B24" s="96"/>
      <c r="C24" s="96"/>
      <c r="D24" s="96"/>
      <c r="E24" s="96"/>
      <c r="F24" s="219"/>
      <c r="G24" s="96"/>
      <c r="H24" s="96"/>
      <c r="I24" s="96"/>
      <c r="J24" s="219"/>
      <c r="K24" s="96"/>
      <c r="L24" s="96"/>
      <c r="M24" s="96"/>
      <c r="N24" s="219"/>
      <c r="O24" s="96"/>
      <c r="P24" s="96"/>
      <c r="Q24" s="96"/>
      <c r="R24" s="219"/>
      <c r="S24" s="96"/>
      <c r="T24" s="96"/>
      <c r="U24" s="96"/>
      <c r="V24" s="219"/>
      <c r="W24" s="96"/>
      <c r="X24" s="96"/>
      <c r="Y24" s="96"/>
      <c r="Z24" s="219"/>
      <c r="AA24" s="96"/>
      <c r="AB24" s="96"/>
      <c r="AC24" s="96"/>
      <c r="AD24" s="219"/>
      <c r="AE24" s="96"/>
      <c r="AF24" s="96"/>
      <c r="AG24" s="96"/>
      <c r="AH24" s="219"/>
      <c r="AI24" s="96"/>
      <c r="AJ24" s="96"/>
      <c r="AK24" s="96"/>
      <c r="AL24" s="219"/>
      <c r="AM24" s="96"/>
      <c r="AN24" s="96"/>
      <c r="AO24" s="96"/>
      <c r="AP24" s="219"/>
      <c r="AQ24" s="96"/>
      <c r="AR24" s="96"/>
      <c r="AS24" s="96"/>
      <c r="AT24" s="219"/>
      <c r="AU24" s="96"/>
      <c r="AV24" s="96"/>
      <c r="AW24" s="96"/>
    </row>
    <row r="25" spans="1:49" x14ac:dyDescent="0.2">
      <c r="A25" s="98" t="str">
        <f>'Conto Economico'!A104</f>
        <v>Spese Alimentari</v>
      </c>
      <c r="B25" s="99"/>
      <c r="C25" s="99"/>
      <c r="D25" s="99"/>
      <c r="E25" s="99"/>
      <c r="F25" s="218"/>
      <c r="G25" s="99"/>
      <c r="H25" s="99"/>
      <c r="I25" s="99"/>
      <c r="J25" s="218"/>
      <c r="K25" s="99"/>
      <c r="L25" s="99"/>
      <c r="M25" s="99"/>
      <c r="N25" s="218"/>
      <c r="O25" s="99"/>
      <c r="P25" s="99"/>
      <c r="Q25" s="99"/>
      <c r="R25" s="218"/>
      <c r="S25" s="99"/>
      <c r="T25" s="99"/>
      <c r="U25" s="99"/>
      <c r="V25" s="218"/>
      <c r="W25" s="99"/>
      <c r="X25" s="99"/>
      <c r="Y25" s="99"/>
      <c r="Z25" s="218"/>
      <c r="AA25" s="99"/>
      <c r="AB25" s="99"/>
      <c r="AC25" s="99"/>
      <c r="AD25" s="218"/>
      <c r="AE25" s="99"/>
      <c r="AF25" s="99"/>
      <c r="AG25" s="99"/>
      <c r="AH25" s="218"/>
      <c r="AI25" s="99"/>
      <c r="AJ25" s="99"/>
      <c r="AK25" s="99"/>
      <c r="AL25" s="218"/>
      <c r="AM25" s="99"/>
      <c r="AN25" s="99"/>
      <c r="AO25" s="99"/>
      <c r="AP25" s="218"/>
      <c r="AQ25" s="99"/>
      <c r="AR25" s="99"/>
      <c r="AS25" s="99"/>
      <c r="AT25" s="218"/>
      <c r="AU25" s="99"/>
      <c r="AV25" s="99"/>
      <c r="AW25" s="99"/>
    </row>
    <row r="26" spans="1:49" x14ac:dyDescent="0.2">
      <c r="A26" s="97" t="str">
        <f>'Conto Economico'!A105</f>
        <v>Alimentari</v>
      </c>
      <c r="B26" s="96"/>
      <c r="C26" s="96"/>
      <c r="D26" s="96"/>
      <c r="E26" s="96"/>
      <c r="F26" s="219"/>
      <c r="G26" s="96"/>
      <c r="H26" s="96"/>
      <c r="I26" s="96"/>
      <c r="J26" s="219"/>
      <c r="K26" s="96"/>
      <c r="L26" s="96"/>
      <c r="M26" s="96"/>
      <c r="N26" s="219">
        <v>12.4</v>
      </c>
      <c r="O26" s="96"/>
      <c r="P26" s="96"/>
      <c r="Q26" s="96"/>
      <c r="R26" s="219">
        <v>20</v>
      </c>
      <c r="S26" s="96"/>
      <c r="T26" s="96"/>
      <c r="U26" s="96"/>
      <c r="V26" s="219"/>
      <c r="W26" s="96"/>
      <c r="X26" s="96"/>
      <c r="Y26" s="96"/>
      <c r="Z26" s="219"/>
      <c r="AA26" s="96"/>
      <c r="AB26" s="96"/>
      <c r="AC26" s="96"/>
      <c r="AD26" s="219"/>
      <c r="AE26" s="96"/>
      <c r="AF26" s="96"/>
      <c r="AG26" s="96"/>
      <c r="AH26" s="219"/>
      <c r="AI26" s="96"/>
      <c r="AJ26" s="96"/>
      <c r="AK26" s="96"/>
      <c r="AL26" s="219"/>
      <c r="AM26" s="96"/>
      <c r="AN26" s="96"/>
      <c r="AO26" s="96"/>
      <c r="AP26" s="219"/>
      <c r="AQ26" s="96"/>
      <c r="AR26" s="96"/>
      <c r="AS26" s="96"/>
      <c r="AT26" s="219"/>
      <c r="AU26" s="96"/>
      <c r="AV26" s="96"/>
      <c r="AW26" s="96"/>
    </row>
    <row r="27" spans="1:49" x14ac:dyDescent="0.2">
      <c r="A27" s="97" t="str">
        <f>'Conto Economico'!A106</f>
        <v>Colazioni - Bar - Aperitivi - Gelateria</v>
      </c>
      <c r="B27" s="96"/>
      <c r="C27" s="96"/>
      <c r="D27" s="96"/>
      <c r="E27" s="96"/>
      <c r="F27" s="219"/>
      <c r="G27" s="96"/>
      <c r="H27" s="96"/>
      <c r="I27" s="96"/>
      <c r="J27" s="219"/>
      <c r="K27" s="96"/>
      <c r="L27" s="96"/>
      <c r="M27" s="96"/>
      <c r="N27" s="219"/>
      <c r="O27" s="96"/>
      <c r="P27" s="96"/>
      <c r="Q27" s="96"/>
      <c r="R27" s="219"/>
      <c r="S27" s="96"/>
      <c r="T27" s="96"/>
      <c r="U27" s="96"/>
      <c r="V27" s="219">
        <v>-3</v>
      </c>
      <c r="W27" s="96"/>
      <c r="X27" s="96"/>
      <c r="Y27" s="96"/>
      <c r="Z27" s="219"/>
      <c r="AA27" s="96"/>
      <c r="AB27" s="96"/>
      <c r="AC27" s="96"/>
      <c r="AD27" s="219"/>
      <c r="AE27" s="96"/>
      <c r="AF27" s="96"/>
      <c r="AG27" s="96"/>
      <c r="AH27" s="219"/>
      <c r="AI27" s="96"/>
      <c r="AJ27" s="96"/>
      <c r="AK27" s="96"/>
      <c r="AL27" s="219"/>
      <c r="AM27" s="96"/>
      <c r="AN27" s="96"/>
      <c r="AO27" s="96"/>
      <c r="AP27" s="219"/>
      <c r="AQ27" s="96"/>
      <c r="AR27" s="96"/>
      <c r="AS27" s="96"/>
      <c r="AT27" s="219"/>
      <c r="AU27" s="96"/>
      <c r="AV27" s="96"/>
      <c r="AW27" s="96"/>
    </row>
    <row r="28" spans="1:49" x14ac:dyDescent="0.2">
      <c r="A28" s="97" t="str">
        <f>'Conto Economico'!A107</f>
        <v>Ristorazione</v>
      </c>
      <c r="B28" s="96"/>
      <c r="C28" s="96"/>
      <c r="D28" s="96"/>
      <c r="E28" s="96"/>
      <c r="F28" s="219"/>
      <c r="G28" s="96"/>
      <c r="H28" s="96"/>
      <c r="I28" s="96"/>
      <c r="J28" s="219"/>
      <c r="K28" s="96"/>
      <c r="L28" s="96"/>
      <c r="M28" s="96"/>
      <c r="N28" s="219"/>
      <c r="O28" s="96"/>
      <c r="P28" s="96"/>
      <c r="Q28" s="96"/>
      <c r="R28" s="219">
        <v>15</v>
      </c>
      <c r="S28" s="96"/>
      <c r="T28" s="96"/>
      <c r="U28" s="96"/>
      <c r="V28" s="219"/>
      <c r="W28" s="96"/>
      <c r="X28" s="96"/>
      <c r="Y28" s="96"/>
      <c r="Z28" s="219">
        <v>12.5</v>
      </c>
      <c r="AA28" s="96"/>
      <c r="AB28" s="96"/>
      <c r="AC28" s="96"/>
      <c r="AD28" s="219"/>
      <c r="AE28" s="96"/>
      <c r="AF28" s="96"/>
      <c r="AG28" s="96"/>
      <c r="AH28" s="219"/>
      <c r="AI28" s="96"/>
      <c r="AJ28" s="96"/>
      <c r="AK28" s="96"/>
      <c r="AL28" s="219"/>
      <c r="AM28" s="96"/>
      <c r="AN28" s="96"/>
      <c r="AO28" s="96"/>
      <c r="AP28" s="219"/>
      <c r="AQ28" s="96"/>
      <c r="AR28" s="96"/>
      <c r="AS28" s="96"/>
      <c r="AT28" s="219"/>
      <c r="AU28" s="96"/>
      <c r="AV28" s="96"/>
      <c r="AW28" s="96"/>
    </row>
    <row r="29" spans="1:49" x14ac:dyDescent="0.2">
      <c r="A29" s="97"/>
      <c r="B29" s="96"/>
      <c r="C29" s="96"/>
      <c r="D29" s="96"/>
      <c r="E29" s="96"/>
      <c r="F29" s="219"/>
      <c r="G29" s="96"/>
      <c r="H29" s="96"/>
      <c r="I29" s="96"/>
      <c r="J29" s="219"/>
      <c r="K29" s="96"/>
      <c r="L29" s="96"/>
      <c r="M29" s="96"/>
      <c r="N29" s="219"/>
      <c r="O29" s="96"/>
      <c r="P29" s="96"/>
      <c r="Q29" s="96"/>
      <c r="R29" s="219"/>
      <c r="S29" s="96"/>
      <c r="T29" s="96"/>
      <c r="U29" s="96"/>
      <c r="V29" s="219"/>
      <c r="W29" s="96"/>
      <c r="X29" s="96"/>
      <c r="Y29" s="96"/>
      <c r="Z29" s="219"/>
      <c r="AA29" s="96"/>
      <c r="AB29" s="96"/>
      <c r="AC29" s="96"/>
      <c r="AD29" s="219"/>
      <c r="AE29" s="96"/>
      <c r="AF29" s="96"/>
      <c r="AG29" s="96"/>
      <c r="AH29" s="219"/>
      <c r="AI29" s="96"/>
      <c r="AJ29" s="96"/>
      <c r="AK29" s="96"/>
      <c r="AL29" s="219"/>
      <c r="AM29" s="96"/>
      <c r="AN29" s="96"/>
      <c r="AO29" s="96"/>
      <c r="AP29" s="219"/>
      <c r="AQ29" s="96"/>
      <c r="AR29" s="96"/>
      <c r="AS29" s="96"/>
      <c r="AT29" s="219"/>
      <c r="AU29" s="96"/>
      <c r="AV29" s="96"/>
      <c r="AW29" s="96"/>
    </row>
    <row r="30" spans="1:49" x14ac:dyDescent="0.2">
      <c r="A30" s="98" t="str">
        <f>'Conto Economico'!A109</f>
        <v>Manutenzioni</v>
      </c>
      <c r="B30" s="99"/>
      <c r="C30" s="99"/>
      <c r="D30" s="99"/>
      <c r="E30" s="99"/>
      <c r="F30" s="218"/>
      <c r="G30" s="99"/>
      <c r="H30" s="99"/>
      <c r="I30" s="99"/>
      <c r="J30" s="218"/>
      <c r="K30" s="99"/>
      <c r="L30" s="99"/>
      <c r="M30" s="99"/>
      <c r="N30" s="218"/>
      <c r="O30" s="99"/>
      <c r="P30" s="99"/>
      <c r="Q30" s="99"/>
      <c r="R30" s="218"/>
      <c r="S30" s="99"/>
      <c r="T30" s="99"/>
      <c r="U30" s="99"/>
      <c r="V30" s="218"/>
      <c r="W30" s="99"/>
      <c r="X30" s="99"/>
      <c r="Y30" s="99"/>
      <c r="Z30" s="218"/>
      <c r="AA30" s="99"/>
      <c r="AB30" s="99"/>
      <c r="AC30" s="99"/>
      <c r="AD30" s="218"/>
      <c r="AE30" s="99"/>
      <c r="AF30" s="99"/>
      <c r="AG30" s="99"/>
      <c r="AH30" s="218"/>
      <c r="AI30" s="99"/>
      <c r="AJ30" s="99"/>
      <c r="AK30" s="99"/>
      <c r="AL30" s="218"/>
      <c r="AM30" s="99"/>
      <c r="AN30" s="99"/>
      <c r="AO30" s="99"/>
      <c r="AP30" s="218"/>
      <c r="AQ30" s="99"/>
      <c r="AR30" s="99"/>
      <c r="AS30" s="99"/>
      <c r="AT30" s="218"/>
      <c r="AU30" s="99"/>
      <c r="AV30" s="99"/>
      <c r="AW30" s="99"/>
    </row>
    <row r="31" spans="1:49" x14ac:dyDescent="0.2">
      <c r="A31" s="97" t="str">
        <f>'Conto Economico'!A110</f>
        <v>Manutenzione Immobile</v>
      </c>
      <c r="B31" s="96"/>
      <c r="C31" s="96"/>
      <c r="D31" s="96"/>
      <c r="E31" s="96"/>
      <c r="F31" s="219"/>
      <c r="G31" s="96"/>
      <c r="H31" s="96"/>
      <c r="I31" s="96"/>
      <c r="J31" s="219"/>
      <c r="K31" s="96"/>
      <c r="L31" s="96"/>
      <c r="M31" s="96"/>
      <c r="N31" s="219"/>
      <c r="O31" s="96"/>
      <c r="P31" s="96"/>
      <c r="Q31" s="96"/>
      <c r="R31" s="219"/>
      <c r="S31" s="96"/>
      <c r="T31" s="96"/>
      <c r="U31" s="96"/>
      <c r="V31" s="219"/>
      <c r="W31" s="96"/>
      <c r="X31" s="96"/>
      <c r="Y31" s="96"/>
      <c r="Z31" s="219"/>
      <c r="AA31" s="96"/>
      <c r="AB31" s="96"/>
      <c r="AC31" s="96"/>
      <c r="AD31" s="219"/>
      <c r="AE31" s="96"/>
      <c r="AF31" s="96"/>
      <c r="AG31" s="96"/>
      <c r="AH31" s="219"/>
      <c r="AI31" s="96"/>
      <c r="AJ31" s="96"/>
      <c r="AK31" s="96"/>
      <c r="AL31" s="219"/>
      <c r="AM31" s="96"/>
      <c r="AN31" s="96"/>
      <c r="AO31" s="96"/>
      <c r="AP31" s="219"/>
      <c r="AQ31" s="96"/>
      <c r="AR31" s="96"/>
      <c r="AS31" s="96"/>
      <c r="AT31" s="219"/>
      <c r="AU31" s="96"/>
      <c r="AV31" s="96"/>
      <c r="AW31" s="96"/>
    </row>
    <row r="32" spans="1:49" x14ac:dyDescent="0.2">
      <c r="A32" s="97" t="str">
        <f>'Conto Economico'!A111</f>
        <v>Manutenzione del Giardino</v>
      </c>
      <c r="B32" s="96"/>
      <c r="C32" s="96"/>
      <c r="D32" s="96"/>
      <c r="E32" s="96"/>
      <c r="F32" s="219"/>
      <c r="G32" s="96"/>
      <c r="H32" s="96"/>
      <c r="I32" s="96"/>
      <c r="J32" s="219"/>
      <c r="K32" s="96"/>
      <c r="L32" s="96"/>
      <c r="M32" s="96"/>
      <c r="N32" s="219"/>
      <c r="O32" s="96"/>
      <c r="P32" s="96"/>
      <c r="Q32" s="96"/>
      <c r="R32" s="219"/>
      <c r="S32" s="96"/>
      <c r="T32" s="96"/>
      <c r="U32" s="96"/>
      <c r="V32" s="219"/>
      <c r="W32" s="96"/>
      <c r="X32" s="96"/>
      <c r="Y32" s="96"/>
      <c r="Z32" s="219"/>
      <c r="AA32" s="96"/>
      <c r="AB32" s="96"/>
      <c r="AC32" s="96"/>
      <c r="AD32" s="219"/>
      <c r="AE32" s="96"/>
      <c r="AF32" s="96"/>
      <c r="AG32" s="96"/>
      <c r="AH32" s="219"/>
      <c r="AI32" s="96"/>
      <c r="AJ32" s="96"/>
      <c r="AK32" s="96"/>
      <c r="AL32" s="219"/>
      <c r="AM32" s="96"/>
      <c r="AN32" s="96"/>
      <c r="AO32" s="96"/>
      <c r="AP32" s="219"/>
      <c r="AQ32" s="96"/>
      <c r="AR32" s="96"/>
      <c r="AS32" s="96"/>
      <c r="AT32" s="219"/>
      <c r="AU32" s="96"/>
      <c r="AV32" s="96"/>
      <c r="AW32" s="96"/>
    </row>
    <row r="33" spans="1:53" x14ac:dyDescent="0.2">
      <c r="A33" s="97" t="str">
        <f>'Conto Economico'!A112</f>
        <v>Manutenzione Piscina</v>
      </c>
      <c r="B33" s="96"/>
      <c r="C33" s="96"/>
      <c r="D33" s="96"/>
      <c r="E33" s="96"/>
      <c r="F33" s="219"/>
      <c r="G33" s="96"/>
      <c r="H33" s="96"/>
      <c r="I33" s="96"/>
      <c r="J33" s="219"/>
      <c r="K33" s="96"/>
      <c r="L33" s="96"/>
      <c r="M33" s="96"/>
      <c r="N33" s="219"/>
      <c r="O33" s="96"/>
      <c r="P33" s="96"/>
      <c r="Q33" s="96"/>
      <c r="R33" s="219"/>
      <c r="S33" s="96"/>
      <c r="T33" s="96"/>
      <c r="U33" s="96"/>
      <c r="V33" s="219"/>
      <c r="W33" s="96"/>
      <c r="X33" s="96"/>
      <c r="Y33" s="96"/>
      <c r="Z33" s="219"/>
      <c r="AA33" s="96"/>
      <c r="AB33" s="96"/>
      <c r="AC33" s="96"/>
      <c r="AD33" s="219"/>
      <c r="AE33" s="96"/>
      <c r="AF33" s="96"/>
      <c r="AG33" s="96"/>
      <c r="AH33" s="219"/>
      <c r="AI33" s="96"/>
      <c r="AJ33" s="96"/>
      <c r="AK33" s="96"/>
      <c r="AL33" s="219"/>
      <c r="AM33" s="96"/>
      <c r="AN33" s="96"/>
      <c r="AO33" s="96"/>
      <c r="AP33" s="219"/>
      <c r="AQ33" s="96"/>
      <c r="AR33" s="96"/>
      <c r="AS33" s="96"/>
      <c r="AT33" s="219"/>
      <c r="AU33" s="96"/>
      <c r="AV33" s="96"/>
      <c r="AW33" s="96"/>
    </row>
    <row r="34" spans="1:53" x14ac:dyDescent="0.2">
      <c r="A34" s="97"/>
      <c r="B34" s="96"/>
      <c r="C34" s="96"/>
      <c r="D34" s="96"/>
      <c r="E34" s="96"/>
      <c r="F34" s="219"/>
      <c r="G34" s="96"/>
      <c r="H34" s="96"/>
      <c r="I34" s="96"/>
      <c r="J34" s="219"/>
      <c r="K34" s="96"/>
      <c r="L34" s="96"/>
      <c r="M34" s="96"/>
      <c r="N34" s="219"/>
      <c r="O34" s="96"/>
      <c r="P34" s="96"/>
      <c r="Q34" s="96"/>
      <c r="R34" s="219"/>
      <c r="S34" s="96"/>
      <c r="T34" s="96"/>
      <c r="U34" s="96"/>
      <c r="V34" s="219"/>
      <c r="W34" s="96"/>
      <c r="X34" s="96"/>
      <c r="Y34" s="96"/>
      <c r="Z34" s="219"/>
      <c r="AA34" s="96"/>
      <c r="AB34" s="96"/>
      <c r="AC34" s="96"/>
      <c r="AD34" s="219"/>
      <c r="AE34" s="96"/>
      <c r="AF34" s="96"/>
      <c r="AG34" s="96"/>
      <c r="AH34" s="219"/>
      <c r="AI34" s="96"/>
      <c r="AJ34" s="96"/>
      <c r="AK34" s="96"/>
      <c r="AL34" s="219"/>
      <c r="AM34" s="96"/>
      <c r="AN34" s="96"/>
      <c r="AO34" s="96"/>
      <c r="AP34" s="219"/>
      <c r="AQ34" s="96"/>
      <c r="AR34" s="96"/>
      <c r="AS34" s="96"/>
      <c r="AT34" s="219"/>
      <c r="AU34" s="96"/>
      <c r="AV34" s="96"/>
      <c r="AW34" s="96"/>
    </row>
    <row r="35" spans="1:53" x14ac:dyDescent="0.2">
      <c r="A35" s="98" t="str">
        <f>'Conto Economico'!A114</f>
        <v>Educazione Emma</v>
      </c>
      <c r="B35" s="99"/>
      <c r="C35" s="99"/>
      <c r="D35" s="99"/>
      <c r="E35" s="99"/>
      <c r="F35" s="218"/>
      <c r="G35" s="99"/>
      <c r="H35" s="99"/>
      <c r="I35" s="99"/>
      <c r="J35" s="218"/>
      <c r="K35" s="99"/>
      <c r="L35" s="99"/>
      <c r="M35" s="99"/>
      <c r="N35" s="218"/>
      <c r="O35" s="99"/>
      <c r="P35" s="99"/>
      <c r="Q35" s="99"/>
      <c r="R35" s="218"/>
      <c r="S35" s="99"/>
      <c r="T35" s="99"/>
      <c r="U35" s="99"/>
      <c r="V35" s="218"/>
      <c r="W35" s="99"/>
      <c r="X35" s="99"/>
      <c r="Y35" s="99"/>
      <c r="Z35" s="218"/>
      <c r="AA35" s="99"/>
      <c r="AB35" s="99"/>
      <c r="AC35" s="99"/>
      <c r="AD35" s="218"/>
      <c r="AE35" s="99"/>
      <c r="AF35" s="99"/>
      <c r="AG35" s="99"/>
      <c r="AH35" s="218"/>
      <c r="AI35" s="99"/>
      <c r="AJ35" s="99"/>
      <c r="AK35" s="99"/>
      <c r="AL35" s="218"/>
      <c r="AM35" s="99"/>
      <c r="AN35" s="99"/>
      <c r="AO35" s="99"/>
      <c r="AP35" s="218"/>
      <c r="AQ35" s="99"/>
      <c r="AR35" s="99"/>
      <c r="AS35" s="99"/>
      <c r="AT35" s="218"/>
      <c r="AU35" s="99"/>
      <c r="AV35" s="99"/>
      <c r="AW35" s="99"/>
    </row>
    <row r="36" spans="1:53" x14ac:dyDescent="0.2">
      <c r="A36" s="97" t="str">
        <f>'Conto Economico'!A115</f>
        <v>Istruzione e Corsi</v>
      </c>
      <c r="B36" s="96"/>
      <c r="C36" s="96"/>
      <c r="D36" s="96"/>
      <c r="E36" s="96"/>
      <c r="F36" s="219"/>
      <c r="G36" s="96"/>
      <c r="H36" s="96"/>
      <c r="I36" s="96"/>
      <c r="J36" s="219"/>
      <c r="K36" s="96"/>
      <c r="L36" s="96"/>
      <c r="M36" s="96"/>
      <c r="N36" s="219">
        <v>280</v>
      </c>
      <c r="O36" s="96"/>
      <c r="P36" s="96"/>
      <c r="Q36" s="96"/>
      <c r="R36" s="219">
        <v>400</v>
      </c>
      <c r="S36" s="96"/>
      <c r="T36" s="96"/>
      <c r="U36" s="96"/>
      <c r="V36" s="219">
        <v>120</v>
      </c>
      <c r="W36" s="96"/>
      <c r="X36" s="96"/>
      <c r="Y36" s="96"/>
      <c r="Z36" s="219"/>
      <c r="AA36" s="96"/>
      <c r="AB36" s="96"/>
      <c r="AC36" s="96"/>
      <c r="AD36" s="219"/>
      <c r="AE36" s="96"/>
      <c r="AF36" s="96"/>
      <c r="AG36" s="96"/>
      <c r="AH36" s="219"/>
      <c r="AI36" s="96"/>
      <c r="AJ36" s="96"/>
      <c r="AK36" s="96"/>
      <c r="AL36" s="219"/>
      <c r="AM36" s="96"/>
      <c r="AN36" s="96"/>
      <c r="AO36" s="96"/>
      <c r="AP36" s="219"/>
      <c r="AQ36" s="96"/>
      <c r="AR36" s="96"/>
      <c r="AS36" s="96"/>
      <c r="AT36" s="219"/>
      <c r="AU36" s="96"/>
      <c r="AV36" s="96"/>
      <c r="AW36" s="96"/>
    </row>
    <row r="37" spans="1:53" x14ac:dyDescent="0.2">
      <c r="A37" s="97"/>
      <c r="B37" s="96"/>
      <c r="C37" s="96"/>
      <c r="D37" s="96"/>
      <c r="E37" s="96"/>
      <c r="F37" s="219"/>
      <c r="G37" s="96"/>
      <c r="H37" s="96"/>
      <c r="I37" s="96"/>
      <c r="J37" s="219"/>
      <c r="K37" s="96"/>
      <c r="L37" s="96"/>
      <c r="M37" s="96"/>
      <c r="N37" s="219"/>
      <c r="O37" s="96"/>
      <c r="P37" s="96"/>
      <c r="Q37" s="96"/>
      <c r="R37" s="219"/>
      <c r="S37" s="96"/>
      <c r="T37" s="96"/>
      <c r="U37" s="96"/>
      <c r="V37" s="219"/>
      <c r="W37" s="96"/>
      <c r="X37" s="96"/>
      <c r="Y37" s="96"/>
      <c r="Z37" s="219"/>
      <c r="AA37" s="96"/>
      <c r="AB37" s="96"/>
      <c r="AC37" s="96"/>
      <c r="AD37" s="219"/>
      <c r="AE37" s="96"/>
      <c r="AF37" s="96"/>
      <c r="AG37" s="96"/>
      <c r="AH37" s="219"/>
      <c r="AI37" s="96"/>
      <c r="AJ37" s="96"/>
      <c r="AK37" s="96"/>
      <c r="AL37" s="219"/>
      <c r="AM37" s="96"/>
      <c r="AN37" s="96"/>
      <c r="AO37" s="96"/>
      <c r="AP37" s="219"/>
      <c r="AQ37" s="96"/>
      <c r="AR37" s="96"/>
      <c r="AS37" s="96"/>
      <c r="AT37" s="219"/>
      <c r="AU37" s="96"/>
      <c r="AV37" s="96"/>
      <c r="AW37" s="96"/>
    </row>
    <row r="38" spans="1:53" x14ac:dyDescent="0.2">
      <c r="A38" s="98" t="str">
        <f>'Conto Economico'!A117</f>
        <v>Viaggi</v>
      </c>
      <c r="B38" s="99"/>
      <c r="C38" s="99"/>
      <c r="D38" s="99"/>
      <c r="E38" s="99"/>
      <c r="F38" s="218"/>
      <c r="G38" s="99"/>
      <c r="H38" s="99"/>
      <c r="I38" s="99"/>
      <c r="J38" s="218"/>
      <c r="K38" s="99"/>
      <c r="L38" s="99"/>
      <c r="M38" s="99"/>
      <c r="N38" s="218"/>
      <c r="O38" s="99"/>
      <c r="P38" s="99"/>
      <c r="Q38" s="99"/>
      <c r="R38" s="218"/>
      <c r="S38" s="99"/>
      <c r="T38" s="99"/>
      <c r="U38" s="99"/>
      <c r="V38" s="218"/>
      <c r="W38" s="99"/>
      <c r="X38" s="99"/>
      <c r="Y38" s="99"/>
      <c r="Z38" s="218"/>
      <c r="AA38" s="99"/>
      <c r="AB38" s="99"/>
      <c r="AC38" s="99"/>
      <c r="AD38" s="218"/>
      <c r="AE38" s="99"/>
      <c r="AF38" s="99"/>
      <c r="AG38" s="99"/>
      <c r="AH38" s="218"/>
      <c r="AI38" s="99"/>
      <c r="AJ38" s="99"/>
      <c r="AK38" s="99"/>
      <c r="AL38" s="218"/>
      <c r="AM38" s="99"/>
      <c r="AN38" s="99"/>
      <c r="AO38" s="99"/>
      <c r="AP38" s="218"/>
      <c r="AQ38" s="99"/>
      <c r="AR38" s="99"/>
      <c r="AS38" s="99"/>
      <c r="AT38" s="218"/>
      <c r="AU38" s="99"/>
      <c r="AV38" s="99"/>
      <c r="AW38" s="99"/>
    </row>
    <row r="39" spans="1:53" x14ac:dyDescent="0.2">
      <c r="A39" s="97" t="str">
        <f>'Conto Economico'!A118</f>
        <v>V - Trasporto Aereo</v>
      </c>
      <c r="B39" s="96">
        <v>0</v>
      </c>
      <c r="C39" s="96"/>
      <c r="D39" s="96" t="s">
        <v>320</v>
      </c>
      <c r="E39" s="96"/>
      <c r="F39" s="219">
        <v>0</v>
      </c>
      <c r="G39" s="96"/>
      <c r="H39" s="96" t="s">
        <v>320</v>
      </c>
      <c r="I39" s="96"/>
      <c r="J39" s="219">
        <v>0</v>
      </c>
      <c r="K39" s="96"/>
      <c r="L39" s="96" t="s">
        <v>320</v>
      </c>
      <c r="M39" s="96"/>
      <c r="N39" s="219">
        <v>0</v>
      </c>
      <c r="O39" s="96"/>
      <c r="P39" s="96" t="s">
        <v>320</v>
      </c>
      <c r="Q39" s="96"/>
      <c r="R39" s="219">
        <v>0</v>
      </c>
      <c r="S39" s="96"/>
      <c r="T39" s="96" t="s">
        <v>320</v>
      </c>
      <c r="U39" s="96"/>
      <c r="V39" s="219">
        <v>0</v>
      </c>
      <c r="W39" s="96"/>
      <c r="X39" s="96" t="s">
        <v>320</v>
      </c>
      <c r="Y39" s="96"/>
      <c r="Z39" s="219">
        <v>0</v>
      </c>
      <c r="AA39" s="96"/>
      <c r="AB39" s="96" t="s">
        <v>320</v>
      </c>
      <c r="AC39" s="96"/>
      <c r="AD39" s="219">
        <v>0</v>
      </c>
      <c r="AE39" s="96"/>
      <c r="AF39" s="96" t="s">
        <v>320</v>
      </c>
      <c r="AG39" s="96"/>
      <c r="AH39" s="219">
        <v>0</v>
      </c>
      <c r="AI39" s="96"/>
      <c r="AJ39" s="96" t="s">
        <v>320</v>
      </c>
      <c r="AK39" s="96"/>
      <c r="AL39" s="219">
        <v>0</v>
      </c>
      <c r="AM39" s="96"/>
      <c r="AN39" s="96" t="s">
        <v>320</v>
      </c>
      <c r="AO39" s="96"/>
      <c r="AP39" s="219"/>
      <c r="AQ39" s="96"/>
      <c r="AR39" s="96" t="s">
        <v>320</v>
      </c>
      <c r="AS39" s="96"/>
      <c r="AT39" s="219">
        <v>0</v>
      </c>
      <c r="AU39" s="96"/>
      <c r="AV39" s="96" t="s">
        <v>320</v>
      </c>
      <c r="AW39" s="96"/>
    </row>
    <row r="40" spans="1:53" x14ac:dyDescent="0.2">
      <c r="A40" s="97" t="str">
        <f>'Conto Economico'!A119</f>
        <v>V - Automobile a noleggio</v>
      </c>
      <c r="B40" s="96">
        <v>0</v>
      </c>
      <c r="C40" s="96"/>
      <c r="D40" s="96" t="s">
        <v>320</v>
      </c>
      <c r="E40" s="96"/>
      <c r="F40" s="219">
        <v>0</v>
      </c>
      <c r="G40" s="96"/>
      <c r="H40" s="96" t="s">
        <v>320</v>
      </c>
      <c r="I40" s="96"/>
      <c r="J40" s="219">
        <v>0</v>
      </c>
      <c r="K40" s="96"/>
      <c r="L40" s="96" t="s">
        <v>320</v>
      </c>
      <c r="M40" s="96"/>
      <c r="N40" s="219">
        <v>0</v>
      </c>
      <c r="O40" s="96"/>
      <c r="P40" s="96" t="s">
        <v>320</v>
      </c>
      <c r="Q40" s="96"/>
      <c r="R40" s="219">
        <v>0</v>
      </c>
      <c r="S40" s="96"/>
      <c r="T40" s="96" t="s">
        <v>320</v>
      </c>
      <c r="U40" s="96"/>
      <c r="V40" s="219">
        <v>0</v>
      </c>
      <c r="W40" s="96"/>
      <c r="X40" s="96" t="s">
        <v>320</v>
      </c>
      <c r="Y40" s="96"/>
      <c r="Z40" s="219">
        <v>0</v>
      </c>
      <c r="AA40" s="96"/>
      <c r="AB40" s="96" t="s">
        <v>320</v>
      </c>
      <c r="AC40" s="96"/>
      <c r="AD40" s="219">
        <v>0</v>
      </c>
      <c r="AE40" s="96"/>
      <c r="AF40" s="96" t="s">
        <v>320</v>
      </c>
      <c r="AG40" s="96"/>
      <c r="AH40" s="219">
        <v>0</v>
      </c>
      <c r="AI40" s="96"/>
      <c r="AJ40" s="96" t="s">
        <v>320</v>
      </c>
      <c r="AK40" s="96"/>
      <c r="AL40" s="219">
        <v>0</v>
      </c>
      <c r="AM40" s="96"/>
      <c r="AN40" s="96" t="s">
        <v>320</v>
      </c>
      <c r="AO40" s="96"/>
      <c r="AP40" s="219">
        <v>0</v>
      </c>
      <c r="AQ40" s="96"/>
      <c r="AR40" s="96" t="s">
        <v>320</v>
      </c>
      <c r="AS40" s="96"/>
      <c r="AT40" s="219">
        <v>0</v>
      </c>
      <c r="AU40" s="96"/>
      <c r="AV40" s="96" t="s">
        <v>320</v>
      </c>
      <c r="AW40" s="96"/>
    </row>
    <row r="41" spans="1:53" x14ac:dyDescent="0.2">
      <c r="A41" s="97" t="str">
        <f>'Conto Economico'!A120</f>
        <v>V - Carburante</v>
      </c>
      <c r="B41" s="96">
        <v>0</v>
      </c>
      <c r="C41" s="96"/>
      <c r="D41" s="96" t="s">
        <v>320</v>
      </c>
      <c r="E41" s="96"/>
      <c r="F41" s="219">
        <v>0</v>
      </c>
      <c r="G41" s="96"/>
      <c r="H41" s="96" t="s">
        <v>320</v>
      </c>
      <c r="I41" s="96"/>
      <c r="J41" s="219">
        <v>0</v>
      </c>
      <c r="K41" s="96"/>
      <c r="L41" s="96" t="s">
        <v>320</v>
      </c>
      <c r="M41" s="96"/>
      <c r="N41" s="219">
        <v>0</v>
      </c>
      <c r="O41" s="96"/>
      <c r="P41" s="96" t="s">
        <v>320</v>
      </c>
      <c r="Q41" s="96"/>
      <c r="R41" s="219">
        <v>0</v>
      </c>
      <c r="S41" s="96"/>
      <c r="T41" s="96" t="s">
        <v>320</v>
      </c>
      <c r="U41" s="96"/>
      <c r="V41" s="219">
        <v>0</v>
      </c>
      <c r="W41" s="96"/>
      <c r="X41" s="96" t="s">
        <v>320</v>
      </c>
      <c r="Y41" s="96"/>
      <c r="Z41" s="219"/>
      <c r="AA41" s="96"/>
      <c r="AB41" s="96" t="s">
        <v>320</v>
      </c>
      <c r="AC41" s="96"/>
      <c r="AD41" s="219">
        <v>0</v>
      </c>
      <c r="AE41" s="96"/>
      <c r="AF41" s="96" t="s">
        <v>320</v>
      </c>
      <c r="AG41" s="96"/>
      <c r="AH41" s="219">
        <v>0</v>
      </c>
      <c r="AI41" s="96"/>
      <c r="AJ41" s="96" t="s">
        <v>320</v>
      </c>
      <c r="AK41" s="96"/>
      <c r="AL41" s="219">
        <v>0</v>
      </c>
      <c r="AM41" s="96"/>
      <c r="AN41" s="96" t="s">
        <v>320</v>
      </c>
      <c r="AO41" s="96"/>
      <c r="AP41" s="219">
        <v>0</v>
      </c>
      <c r="AQ41" s="96"/>
      <c r="AR41" s="96" t="s">
        <v>320</v>
      </c>
      <c r="AS41" s="96"/>
      <c r="AT41" s="219">
        <v>0</v>
      </c>
      <c r="AU41" s="96"/>
      <c r="AV41" s="96" t="s">
        <v>320</v>
      </c>
      <c r="AW41" s="96"/>
    </row>
    <row r="42" spans="1:53" x14ac:dyDescent="0.2">
      <c r="A42" s="97" t="str">
        <f>'Conto Economico'!A121</f>
        <v>V - Altri Trasporti - Parcheggio</v>
      </c>
      <c r="B42" s="96">
        <v>0</v>
      </c>
      <c r="C42" s="96"/>
      <c r="D42" s="96" t="s">
        <v>320</v>
      </c>
      <c r="E42" s="96"/>
      <c r="F42" s="219">
        <v>20.642201834862384</v>
      </c>
      <c r="G42" s="96">
        <f>65+25</f>
        <v>90</v>
      </c>
      <c r="H42" s="96" t="s">
        <v>634</v>
      </c>
      <c r="I42" s="96" t="s">
        <v>431</v>
      </c>
      <c r="J42" s="219">
        <v>0</v>
      </c>
      <c r="K42" s="96"/>
      <c r="L42" s="96" t="s">
        <v>320</v>
      </c>
      <c r="M42" s="96"/>
      <c r="N42" s="219">
        <v>0</v>
      </c>
      <c r="O42" s="96"/>
      <c r="P42" s="96" t="s">
        <v>320</v>
      </c>
      <c r="Q42" s="96"/>
      <c r="R42" s="219">
        <f>(5+13+11+8.82)/3</f>
        <v>12.606666666666667</v>
      </c>
      <c r="S42" s="96"/>
      <c r="T42" s="96" t="s">
        <v>320</v>
      </c>
      <c r="U42" s="96" t="s">
        <v>759</v>
      </c>
      <c r="V42" s="219">
        <v>0</v>
      </c>
      <c r="W42" s="96"/>
      <c r="X42" s="96" t="s">
        <v>320</v>
      </c>
      <c r="Y42" s="96"/>
      <c r="Z42" s="219">
        <v>0</v>
      </c>
      <c r="AA42" s="96"/>
      <c r="AB42" s="96" t="s">
        <v>320</v>
      </c>
      <c r="AC42" s="96"/>
      <c r="AD42" s="219">
        <v>0</v>
      </c>
      <c r="AE42" s="96"/>
      <c r="AF42" s="96" t="s">
        <v>320</v>
      </c>
      <c r="AG42" s="96"/>
      <c r="AH42" s="219">
        <v>0</v>
      </c>
      <c r="AI42" s="96"/>
      <c r="AJ42" s="96" t="s">
        <v>320</v>
      </c>
      <c r="AK42" s="96"/>
      <c r="AL42" s="219">
        <v>0</v>
      </c>
      <c r="AM42" s="96"/>
      <c r="AN42" s="96" t="s">
        <v>320</v>
      </c>
      <c r="AO42" s="96"/>
      <c r="AP42" s="219">
        <v>0</v>
      </c>
      <c r="AQ42" s="96"/>
      <c r="AR42" s="96" t="s">
        <v>320</v>
      </c>
      <c r="AS42" s="96"/>
      <c r="AT42" s="219">
        <v>0</v>
      </c>
      <c r="AU42" s="96"/>
      <c r="AV42" s="96" t="s">
        <v>320</v>
      </c>
      <c r="AW42" s="96"/>
    </row>
    <row r="43" spans="1:53" x14ac:dyDescent="0.2">
      <c r="A43" s="97" t="str">
        <f>'Conto Economico'!A122</f>
        <v>V - Assicurazione di Viaggio</v>
      </c>
      <c r="B43" s="96">
        <v>0</v>
      </c>
      <c r="C43" s="96"/>
      <c r="D43" s="96" t="s">
        <v>320</v>
      </c>
      <c r="E43" s="96"/>
      <c r="F43" s="219">
        <v>0</v>
      </c>
      <c r="G43" s="96"/>
      <c r="H43" s="96" t="s">
        <v>320</v>
      </c>
      <c r="I43" s="96"/>
      <c r="J43" s="219">
        <v>0</v>
      </c>
      <c r="K43" s="96"/>
      <c r="L43" s="96" t="s">
        <v>320</v>
      </c>
      <c r="M43" s="96"/>
      <c r="N43" s="219">
        <v>0</v>
      </c>
      <c r="O43" s="96"/>
      <c r="P43" s="96" t="s">
        <v>320</v>
      </c>
      <c r="Q43" s="96"/>
      <c r="R43" s="219">
        <v>0</v>
      </c>
      <c r="S43" s="96"/>
      <c r="T43" s="96" t="s">
        <v>320</v>
      </c>
      <c r="U43" s="96"/>
      <c r="V43" s="219">
        <v>0</v>
      </c>
      <c r="W43" s="96"/>
      <c r="X43" s="96" t="s">
        <v>320</v>
      </c>
      <c r="Y43" s="96"/>
      <c r="Z43" s="219">
        <v>0</v>
      </c>
      <c r="AA43" s="96"/>
      <c r="AB43" s="96" t="s">
        <v>320</v>
      </c>
      <c r="AC43" s="96"/>
      <c r="AD43" s="219">
        <v>0</v>
      </c>
      <c r="AE43" s="96"/>
      <c r="AF43" s="96" t="s">
        <v>320</v>
      </c>
      <c r="AG43" s="96"/>
      <c r="AH43" s="219">
        <v>0</v>
      </c>
      <c r="AI43" s="96"/>
      <c r="AJ43" s="96" t="s">
        <v>320</v>
      </c>
      <c r="AK43" s="96"/>
      <c r="AL43" s="219">
        <v>0</v>
      </c>
      <c r="AM43" s="96"/>
      <c r="AN43" s="96" t="s">
        <v>320</v>
      </c>
      <c r="AO43" s="96"/>
      <c r="AP43" s="219">
        <v>0</v>
      </c>
      <c r="AQ43" s="96"/>
      <c r="AR43" s="96" t="s">
        <v>320</v>
      </c>
      <c r="AS43" s="96"/>
      <c r="AT43" s="219">
        <v>0</v>
      </c>
      <c r="AU43" s="96"/>
      <c r="AV43" s="96" t="s">
        <v>320</v>
      </c>
      <c r="AW43" s="96"/>
    </row>
    <row r="44" spans="1:53" x14ac:dyDescent="0.2">
      <c r="A44" s="97" t="str">
        <f>'Conto Economico'!A123</f>
        <v>V - Alloggio</v>
      </c>
      <c r="B44" s="96">
        <v>0</v>
      </c>
      <c r="C44" s="96"/>
      <c r="D44" s="96" t="s">
        <v>320</v>
      </c>
      <c r="E44" s="96"/>
      <c r="F44" s="219">
        <v>0</v>
      </c>
      <c r="G44" s="96"/>
      <c r="H44" s="96" t="s">
        <v>320</v>
      </c>
      <c r="I44" s="96"/>
      <c r="J44" s="219">
        <v>0</v>
      </c>
      <c r="K44" s="96"/>
      <c r="L44" s="96" t="s">
        <v>320</v>
      </c>
      <c r="M44" s="96"/>
      <c r="N44" s="219">
        <v>0</v>
      </c>
      <c r="O44" s="96"/>
      <c r="P44" s="96" t="s">
        <v>320</v>
      </c>
      <c r="Q44" s="96"/>
      <c r="R44" s="219">
        <v>0</v>
      </c>
      <c r="S44" s="96"/>
      <c r="T44" s="96" t="s">
        <v>320</v>
      </c>
      <c r="U44" s="96"/>
      <c r="V44" s="219">
        <v>0</v>
      </c>
      <c r="W44" s="96"/>
      <c r="X44" s="96" t="s">
        <v>320</v>
      </c>
      <c r="Y44" s="96"/>
      <c r="Z44" s="219">
        <v>0</v>
      </c>
      <c r="AA44" s="96"/>
      <c r="AB44" s="96" t="s">
        <v>320</v>
      </c>
      <c r="AC44" s="96"/>
      <c r="AD44" s="219">
        <v>0</v>
      </c>
      <c r="AE44" s="96"/>
      <c r="AF44" s="96" t="s">
        <v>320</v>
      </c>
      <c r="AG44" s="96"/>
      <c r="AH44" s="219">
        <v>0</v>
      </c>
      <c r="AI44" s="96"/>
      <c r="AJ44" s="96" t="s">
        <v>320</v>
      </c>
      <c r="AK44" s="96"/>
      <c r="AL44" s="219">
        <v>0</v>
      </c>
      <c r="AM44" s="96"/>
      <c r="AN44" s="96" t="s">
        <v>320</v>
      </c>
      <c r="AO44" s="96"/>
      <c r="AP44" s="219">
        <v>0</v>
      </c>
      <c r="AQ44" s="96"/>
      <c r="AR44" s="96" t="s">
        <v>320</v>
      </c>
      <c r="AS44" s="96"/>
      <c r="AT44" s="219">
        <v>0</v>
      </c>
      <c r="AU44" s="96"/>
      <c r="AV44" s="96" t="s">
        <v>320</v>
      </c>
      <c r="AW44" s="96"/>
      <c r="AX44" s="95"/>
      <c r="AY44" s="95"/>
      <c r="AZ44" s="95"/>
      <c r="BA44" s="95"/>
    </row>
    <row r="45" spans="1:53" x14ac:dyDescent="0.2">
      <c r="A45" s="97" t="str">
        <f>'Conto Economico'!A124</f>
        <v>V - Alimentari/Ristorazione</v>
      </c>
      <c r="B45" s="96">
        <v>0</v>
      </c>
      <c r="C45" s="96"/>
      <c r="D45" s="96" t="s">
        <v>320</v>
      </c>
      <c r="E45" s="96"/>
      <c r="F45" s="219">
        <v>0</v>
      </c>
      <c r="G45" s="96"/>
      <c r="H45" s="96" t="s">
        <v>320</v>
      </c>
      <c r="I45" s="96"/>
      <c r="J45" s="219">
        <v>0</v>
      </c>
      <c r="K45" s="96"/>
      <c r="L45" s="96" t="s">
        <v>320</v>
      </c>
      <c r="M45" s="96"/>
      <c r="N45" s="219">
        <v>0</v>
      </c>
      <c r="O45" s="96"/>
      <c r="P45" s="96" t="s">
        <v>320</v>
      </c>
      <c r="Q45" s="96"/>
      <c r="R45" s="219">
        <f>(100+81)/3+10.5+3.4+3.5+5.25+10.5+55/3</f>
        <v>111.81666666666668</v>
      </c>
      <c r="S45" s="96"/>
      <c r="T45" s="96" t="s">
        <v>320</v>
      </c>
      <c r="U45" s="96" t="s">
        <v>759</v>
      </c>
      <c r="V45" s="219">
        <v>0</v>
      </c>
      <c r="W45" s="96"/>
      <c r="X45" s="96" t="s">
        <v>320</v>
      </c>
      <c r="Y45" s="96"/>
      <c r="Z45" s="219"/>
      <c r="AA45" s="96"/>
      <c r="AB45" s="96" t="s">
        <v>320</v>
      </c>
      <c r="AC45" s="96"/>
      <c r="AD45" s="219">
        <v>0</v>
      </c>
      <c r="AE45" s="96"/>
      <c r="AF45" s="96" t="s">
        <v>320</v>
      </c>
      <c r="AG45" s="96"/>
      <c r="AH45" s="219">
        <v>0</v>
      </c>
      <c r="AI45" s="96"/>
      <c r="AJ45" s="96" t="s">
        <v>320</v>
      </c>
      <c r="AK45" s="96"/>
      <c r="AL45" s="219">
        <v>0</v>
      </c>
      <c r="AM45" s="96"/>
      <c r="AN45" s="96" t="s">
        <v>320</v>
      </c>
      <c r="AO45" s="96"/>
      <c r="AP45" s="219">
        <v>0</v>
      </c>
      <c r="AQ45" s="96"/>
      <c r="AR45" s="96" t="s">
        <v>320</v>
      </c>
      <c r="AS45" s="96"/>
      <c r="AT45" s="219">
        <v>0</v>
      </c>
      <c r="AU45" s="96"/>
      <c r="AV45" s="96" t="s">
        <v>320</v>
      </c>
      <c r="AW45" s="96"/>
      <c r="AX45" s="95"/>
      <c r="AY45" s="95"/>
      <c r="AZ45" s="95"/>
      <c r="BA45" s="95"/>
    </row>
    <row r="46" spans="1:53" x14ac:dyDescent="0.2">
      <c r="A46" s="97" t="str">
        <f>'Conto Economico'!A125</f>
        <v>V - Musei - Parchi - Siti di Interesse</v>
      </c>
      <c r="B46" s="96">
        <v>0</v>
      </c>
      <c r="C46" s="96"/>
      <c r="D46" s="96" t="s">
        <v>320</v>
      </c>
      <c r="E46" s="96"/>
      <c r="F46" s="219">
        <v>0</v>
      </c>
      <c r="G46" s="96"/>
      <c r="H46" s="96" t="s">
        <v>320</v>
      </c>
      <c r="I46" s="96"/>
      <c r="J46" s="219">
        <v>0</v>
      </c>
      <c r="K46" s="96"/>
      <c r="L46" s="96" t="s">
        <v>320</v>
      </c>
      <c r="M46" s="96"/>
      <c r="N46" s="219">
        <v>0</v>
      </c>
      <c r="O46" s="96"/>
      <c r="P46" s="96" t="s">
        <v>320</v>
      </c>
      <c r="Q46" s="96"/>
      <c r="R46" s="219">
        <v>0</v>
      </c>
      <c r="S46" s="96"/>
      <c r="T46" s="96" t="s">
        <v>320</v>
      </c>
      <c r="U46" s="96"/>
      <c r="V46" s="219">
        <v>0</v>
      </c>
      <c r="W46" s="96"/>
      <c r="X46" s="96" t="s">
        <v>320</v>
      </c>
      <c r="Y46" s="96"/>
      <c r="Z46" s="219">
        <v>0</v>
      </c>
      <c r="AA46" s="96"/>
      <c r="AB46" s="96" t="s">
        <v>320</v>
      </c>
      <c r="AC46" s="96"/>
      <c r="AD46" s="219">
        <v>0</v>
      </c>
      <c r="AE46" s="96"/>
      <c r="AF46" s="96" t="s">
        <v>320</v>
      </c>
      <c r="AG46" s="96"/>
      <c r="AH46" s="219">
        <v>0</v>
      </c>
      <c r="AI46" s="96"/>
      <c r="AJ46" s="96" t="s">
        <v>320</v>
      </c>
      <c r="AK46" s="96"/>
      <c r="AL46" s="219">
        <v>0</v>
      </c>
      <c r="AM46" s="96"/>
      <c r="AN46" s="96" t="s">
        <v>320</v>
      </c>
      <c r="AO46" s="96"/>
      <c r="AP46" s="219">
        <v>0</v>
      </c>
      <c r="AQ46" s="96"/>
      <c r="AR46" s="96" t="s">
        <v>320</v>
      </c>
      <c r="AS46" s="96"/>
      <c r="AT46" s="219">
        <v>0</v>
      </c>
      <c r="AU46" s="96"/>
      <c r="AV46" s="96" t="s">
        <v>320</v>
      </c>
      <c r="AW46" s="96"/>
      <c r="AX46" s="95"/>
      <c r="AY46" s="95"/>
      <c r="AZ46" s="95"/>
      <c r="BA46" s="95"/>
    </row>
    <row r="47" spans="1:53" x14ac:dyDescent="0.2">
      <c r="A47" s="97" t="str">
        <f>'Conto Economico'!A126</f>
        <v>V - Spese di Alloggio per Animali</v>
      </c>
      <c r="B47" s="96">
        <v>0</v>
      </c>
      <c r="C47" s="96"/>
      <c r="D47" s="96" t="s">
        <v>320</v>
      </c>
      <c r="E47" s="96"/>
      <c r="F47" s="219">
        <v>360</v>
      </c>
      <c r="G47" s="96">
        <v>360</v>
      </c>
      <c r="H47" s="96" t="s">
        <v>320</v>
      </c>
      <c r="I47" s="96" t="s">
        <v>431</v>
      </c>
      <c r="J47" s="219">
        <v>0</v>
      </c>
      <c r="K47" s="96"/>
      <c r="L47" s="96" t="s">
        <v>320</v>
      </c>
      <c r="M47" s="96"/>
      <c r="N47" s="219">
        <v>0</v>
      </c>
      <c r="O47" s="96"/>
      <c r="P47" s="96" t="s">
        <v>320</v>
      </c>
      <c r="Q47" s="96"/>
      <c r="R47" s="219">
        <v>0</v>
      </c>
      <c r="S47" s="96"/>
      <c r="T47" s="96" t="s">
        <v>320</v>
      </c>
      <c r="U47" s="96"/>
      <c r="V47" s="219">
        <v>0</v>
      </c>
      <c r="W47" s="96"/>
      <c r="X47" s="96" t="s">
        <v>320</v>
      </c>
      <c r="Y47" s="96"/>
      <c r="Z47" s="219"/>
      <c r="AA47" s="96"/>
      <c r="AB47" s="96" t="s">
        <v>320</v>
      </c>
      <c r="AC47" s="96"/>
      <c r="AD47" s="219">
        <v>0</v>
      </c>
      <c r="AE47" s="96"/>
      <c r="AF47" s="96" t="s">
        <v>320</v>
      </c>
      <c r="AG47" s="96"/>
      <c r="AH47" s="219">
        <v>0</v>
      </c>
      <c r="AI47" s="96"/>
      <c r="AJ47" s="96" t="s">
        <v>320</v>
      </c>
      <c r="AK47" s="96"/>
      <c r="AL47" s="219">
        <v>0</v>
      </c>
      <c r="AM47" s="96"/>
      <c r="AN47" s="96" t="s">
        <v>320</v>
      </c>
      <c r="AO47" s="96"/>
      <c r="AP47" s="219"/>
      <c r="AQ47" s="96"/>
      <c r="AR47" s="96" t="s">
        <v>320</v>
      </c>
      <c r="AS47" s="96"/>
      <c r="AT47" s="219">
        <v>0</v>
      </c>
      <c r="AU47" s="96"/>
      <c r="AV47" s="96" t="s">
        <v>320</v>
      </c>
      <c r="AW47" s="96"/>
      <c r="AX47" s="95"/>
      <c r="AY47" s="95"/>
      <c r="AZ47" s="95"/>
      <c r="BA47" s="95"/>
    </row>
    <row r="48" spans="1:53" x14ac:dyDescent="0.2">
      <c r="A48" s="97" t="str">
        <f>'Conto Economico'!A127</f>
        <v>V - Parcheggio Aeroporto</v>
      </c>
      <c r="B48" s="96">
        <v>0</v>
      </c>
      <c r="C48" s="96"/>
      <c r="D48" s="96" t="s">
        <v>320</v>
      </c>
      <c r="E48" s="96"/>
      <c r="F48" s="219">
        <v>0</v>
      </c>
      <c r="G48" s="96"/>
      <c r="H48" s="96" t="s">
        <v>320</v>
      </c>
      <c r="I48" s="96"/>
      <c r="J48" s="219">
        <v>0</v>
      </c>
      <c r="K48" s="96"/>
      <c r="L48" s="96" t="s">
        <v>320</v>
      </c>
      <c r="M48" s="96"/>
      <c r="N48" s="219">
        <v>0</v>
      </c>
      <c r="O48" s="96"/>
      <c r="P48" s="96" t="s">
        <v>320</v>
      </c>
      <c r="Q48" s="96"/>
      <c r="R48" s="219">
        <v>0</v>
      </c>
      <c r="S48" s="96"/>
      <c r="T48" s="96" t="s">
        <v>320</v>
      </c>
      <c r="U48" s="96"/>
      <c r="V48" s="219">
        <v>0</v>
      </c>
      <c r="W48" s="96"/>
      <c r="X48" s="96" t="s">
        <v>320</v>
      </c>
      <c r="Y48" s="96"/>
      <c r="Z48" s="219">
        <v>0</v>
      </c>
      <c r="AA48" s="96"/>
      <c r="AB48" s="96" t="s">
        <v>320</v>
      </c>
      <c r="AC48" s="96"/>
      <c r="AD48" s="219">
        <v>0</v>
      </c>
      <c r="AE48" s="96"/>
      <c r="AF48" s="96" t="s">
        <v>320</v>
      </c>
      <c r="AG48" s="96"/>
      <c r="AH48" s="219">
        <v>0</v>
      </c>
      <c r="AI48" s="96"/>
      <c r="AJ48" s="96" t="s">
        <v>320</v>
      </c>
      <c r="AK48" s="96"/>
      <c r="AL48" s="219">
        <v>0</v>
      </c>
      <c r="AM48" s="96"/>
      <c r="AN48" s="96" t="s">
        <v>320</v>
      </c>
      <c r="AO48" s="96"/>
      <c r="AP48" s="219">
        <v>0</v>
      </c>
      <c r="AQ48" s="96"/>
      <c r="AR48" s="96" t="s">
        <v>320</v>
      </c>
      <c r="AS48" s="96"/>
      <c r="AT48" s="219">
        <v>0</v>
      </c>
      <c r="AU48" s="96"/>
      <c r="AV48" s="96" t="s">
        <v>320</v>
      </c>
      <c r="AW48" s="96"/>
      <c r="AX48" s="95"/>
      <c r="AY48" s="95"/>
      <c r="AZ48" s="95"/>
      <c r="BA48" s="95"/>
    </row>
    <row r="49" spans="1:53" x14ac:dyDescent="0.2">
      <c r="A49" s="97" t="str">
        <f>'Conto Economico'!A128</f>
        <v>V - Altre Spese di Viaggio</v>
      </c>
      <c r="B49" s="96">
        <v>0</v>
      </c>
      <c r="C49" s="96"/>
      <c r="D49" s="96" t="s">
        <v>320</v>
      </c>
      <c r="E49" s="96"/>
      <c r="F49" s="219">
        <v>0</v>
      </c>
      <c r="G49" s="96"/>
      <c r="H49" s="96" t="s">
        <v>320</v>
      </c>
      <c r="I49" s="96"/>
      <c r="J49" s="219">
        <v>0</v>
      </c>
      <c r="K49" s="96"/>
      <c r="L49" s="96" t="s">
        <v>320</v>
      </c>
      <c r="M49" s="96"/>
      <c r="N49" s="219">
        <v>0</v>
      </c>
      <c r="O49" s="96"/>
      <c r="P49" s="96" t="s">
        <v>320</v>
      </c>
      <c r="Q49" s="96"/>
      <c r="R49" s="219">
        <v>0</v>
      </c>
      <c r="S49" s="96"/>
      <c r="T49" s="96" t="s">
        <v>320</v>
      </c>
      <c r="U49" s="96"/>
      <c r="V49" s="219">
        <v>0</v>
      </c>
      <c r="W49" s="96"/>
      <c r="X49" s="96" t="s">
        <v>320</v>
      </c>
      <c r="Y49" s="96"/>
      <c r="Z49" s="219"/>
      <c r="AA49" s="96"/>
      <c r="AB49" s="96" t="s">
        <v>320</v>
      </c>
      <c r="AC49" s="96"/>
      <c r="AD49" s="219">
        <v>0</v>
      </c>
      <c r="AE49" s="96"/>
      <c r="AF49" s="96" t="s">
        <v>320</v>
      </c>
      <c r="AG49" s="96"/>
      <c r="AH49" s="219">
        <v>0</v>
      </c>
      <c r="AI49" s="96"/>
      <c r="AJ49" s="96" t="s">
        <v>320</v>
      </c>
      <c r="AK49" s="96"/>
      <c r="AL49" s="219">
        <v>0</v>
      </c>
      <c r="AM49" s="96"/>
      <c r="AN49" s="96" t="s">
        <v>320</v>
      </c>
      <c r="AO49" s="96"/>
      <c r="AP49" s="219">
        <v>0</v>
      </c>
      <c r="AQ49" s="96"/>
      <c r="AR49" s="96" t="s">
        <v>320</v>
      </c>
      <c r="AS49" s="96"/>
      <c r="AT49" s="219">
        <v>0</v>
      </c>
      <c r="AU49" s="96"/>
      <c r="AV49" s="96" t="s">
        <v>320</v>
      </c>
      <c r="AW49" s="96"/>
      <c r="AX49" s="95"/>
      <c r="AY49" s="95"/>
      <c r="AZ49" s="95"/>
      <c r="BA49" s="95"/>
    </row>
    <row r="50" spans="1:53" x14ac:dyDescent="0.2">
      <c r="A50" s="97"/>
      <c r="B50" s="96"/>
      <c r="C50" s="96"/>
      <c r="D50" s="96"/>
      <c r="E50" s="96"/>
      <c r="F50" s="219"/>
      <c r="G50" s="96"/>
      <c r="H50" s="96"/>
      <c r="I50" s="96"/>
      <c r="J50" s="219"/>
      <c r="K50" s="96"/>
      <c r="L50" s="96"/>
      <c r="M50" s="96"/>
      <c r="N50" s="219"/>
      <c r="O50" s="96"/>
      <c r="P50" s="96"/>
      <c r="Q50" s="96"/>
      <c r="R50" s="219"/>
      <c r="S50" s="96"/>
      <c r="T50" s="96"/>
      <c r="U50" s="96"/>
      <c r="V50" s="219"/>
      <c r="W50" s="96"/>
      <c r="X50" s="96"/>
      <c r="Y50" s="96"/>
      <c r="Z50" s="219"/>
      <c r="AA50" s="96"/>
      <c r="AB50" s="96"/>
      <c r="AC50" s="96"/>
      <c r="AD50" s="219"/>
      <c r="AE50" s="96"/>
      <c r="AF50" s="96"/>
      <c r="AG50" s="96"/>
      <c r="AH50" s="219"/>
      <c r="AI50" s="96"/>
      <c r="AJ50" s="96"/>
      <c r="AK50" s="96"/>
      <c r="AL50" s="219"/>
      <c r="AM50" s="96"/>
      <c r="AN50" s="96"/>
      <c r="AO50" s="96"/>
      <c r="AP50" s="219"/>
      <c r="AQ50" s="96"/>
      <c r="AR50" s="96"/>
      <c r="AS50" s="96"/>
      <c r="AT50" s="219"/>
      <c r="AU50" s="96"/>
      <c r="AV50" s="96"/>
      <c r="AW50" s="96"/>
      <c r="AX50" s="95"/>
      <c r="AY50" s="95"/>
      <c r="AZ50" s="95"/>
      <c r="BA50" s="95"/>
    </row>
    <row r="51" spans="1:53" x14ac:dyDescent="0.2">
      <c r="A51" s="100" t="str">
        <f>'Conto Economico'!A130</f>
        <v>Totale suddiviso per Viaggio</v>
      </c>
      <c r="B51" s="96"/>
      <c r="C51" s="96"/>
      <c r="D51" s="96"/>
      <c r="E51" s="96"/>
      <c r="F51" s="219"/>
      <c r="G51" s="96"/>
      <c r="H51" s="96"/>
      <c r="I51" s="96"/>
      <c r="J51" s="219"/>
      <c r="K51" s="96"/>
      <c r="L51" s="96"/>
      <c r="M51" s="96"/>
      <c r="N51" s="219"/>
      <c r="O51" s="96"/>
      <c r="P51" s="96"/>
      <c r="Q51" s="96"/>
      <c r="R51" s="219"/>
      <c r="S51" s="96"/>
      <c r="T51" s="96"/>
      <c r="U51" s="96"/>
      <c r="V51" s="219"/>
      <c r="W51" s="96"/>
      <c r="X51" s="96"/>
      <c r="Y51" s="96"/>
      <c r="Z51" s="219"/>
      <c r="AA51" s="96"/>
      <c r="AB51" s="96"/>
      <c r="AC51" s="96"/>
      <c r="AD51" s="219"/>
      <c r="AE51" s="96"/>
      <c r="AF51" s="96"/>
      <c r="AG51" s="96"/>
      <c r="AH51" s="219"/>
      <c r="AI51" s="96"/>
      <c r="AJ51" s="96"/>
      <c r="AK51" s="96"/>
      <c r="AL51" s="219"/>
      <c r="AM51" s="96"/>
      <c r="AN51" s="96"/>
      <c r="AO51" s="96"/>
      <c r="AP51" s="219"/>
      <c r="AQ51" s="96"/>
      <c r="AR51" s="96"/>
      <c r="AS51" s="96"/>
      <c r="AT51" s="219"/>
      <c r="AU51" s="96"/>
      <c r="AV51" s="96"/>
      <c r="AW51" s="96"/>
      <c r="AX51" s="122"/>
      <c r="AY51" s="122"/>
      <c r="AZ51" s="122"/>
      <c r="BA51" s="122"/>
    </row>
    <row r="52" spans="1:53" x14ac:dyDescent="0.2">
      <c r="A52" s="101" t="str">
        <f>'Conto Economico'!A131</f>
        <v>Dubai</v>
      </c>
      <c r="B52" s="96">
        <v>0</v>
      </c>
      <c r="C52" s="96">
        <v>0</v>
      </c>
      <c r="D52" s="96" t="s">
        <v>320</v>
      </c>
      <c r="E52" s="96"/>
      <c r="F52" s="219">
        <v>380.64220183486236</v>
      </c>
      <c r="G52" s="96">
        <v>450</v>
      </c>
      <c r="H52" s="96" t="s">
        <v>634</v>
      </c>
      <c r="I52" s="96"/>
      <c r="J52" s="219">
        <v>0</v>
      </c>
      <c r="K52" s="96">
        <v>0</v>
      </c>
      <c r="L52" s="96" t="s">
        <v>320</v>
      </c>
      <c r="M52" s="96"/>
      <c r="N52" s="219">
        <v>0</v>
      </c>
      <c r="O52" s="96">
        <v>0</v>
      </c>
      <c r="P52" s="96" t="s">
        <v>320</v>
      </c>
      <c r="Q52" s="96"/>
      <c r="R52" s="219">
        <v>0</v>
      </c>
      <c r="S52" s="96">
        <v>0</v>
      </c>
      <c r="T52" s="96" t="s">
        <v>320</v>
      </c>
      <c r="U52" s="96"/>
      <c r="V52" s="219">
        <v>0</v>
      </c>
      <c r="W52" s="96">
        <v>0</v>
      </c>
      <c r="X52" s="96" t="s">
        <v>320</v>
      </c>
      <c r="Y52" s="96"/>
      <c r="Z52" s="219">
        <v>0</v>
      </c>
      <c r="AA52" s="96"/>
      <c r="AB52" s="96" t="s">
        <v>320</v>
      </c>
      <c r="AC52" s="96"/>
      <c r="AD52" s="219">
        <v>0</v>
      </c>
      <c r="AE52" s="96"/>
      <c r="AF52" s="96" t="s">
        <v>320</v>
      </c>
      <c r="AG52" s="96"/>
      <c r="AH52" s="219">
        <v>0</v>
      </c>
      <c r="AI52" s="96"/>
      <c r="AJ52" s="96" t="s">
        <v>320</v>
      </c>
      <c r="AK52" s="96"/>
      <c r="AL52" s="219">
        <v>0</v>
      </c>
      <c r="AM52" s="96"/>
      <c r="AN52" s="96" t="s">
        <v>320</v>
      </c>
      <c r="AO52" s="96"/>
      <c r="AP52" s="219">
        <v>0</v>
      </c>
      <c r="AQ52" s="96"/>
      <c r="AR52" s="96" t="s">
        <v>320</v>
      </c>
      <c r="AS52" s="96"/>
      <c r="AT52" s="219">
        <v>0</v>
      </c>
      <c r="AU52" s="96"/>
      <c r="AV52" s="96" t="s">
        <v>320</v>
      </c>
      <c r="AW52" s="96"/>
      <c r="AX52" s="102"/>
      <c r="AY52" s="102"/>
      <c r="AZ52" s="102"/>
      <c r="BA52" s="103"/>
    </row>
    <row r="53" spans="1:53" x14ac:dyDescent="0.2">
      <c r="A53" s="101" t="str">
        <f>'Conto Economico'!A144</f>
        <v>Siviglia</v>
      </c>
      <c r="B53" s="96">
        <v>0</v>
      </c>
      <c r="C53" s="96">
        <v>0</v>
      </c>
      <c r="D53" s="96" t="s">
        <v>320</v>
      </c>
      <c r="E53" s="96"/>
      <c r="F53" s="219">
        <v>0</v>
      </c>
      <c r="G53" s="96">
        <v>0</v>
      </c>
      <c r="H53" s="96" t="s">
        <v>320</v>
      </c>
      <c r="I53" s="96"/>
      <c r="J53" s="219">
        <v>0</v>
      </c>
      <c r="K53" s="96">
        <v>0</v>
      </c>
      <c r="L53" s="96" t="s">
        <v>320</v>
      </c>
      <c r="M53" s="96"/>
      <c r="N53" s="219">
        <v>0</v>
      </c>
      <c r="O53" s="96">
        <v>0</v>
      </c>
      <c r="P53" s="96" t="s">
        <v>320</v>
      </c>
      <c r="Q53" s="96"/>
      <c r="R53" s="219">
        <v>0</v>
      </c>
      <c r="S53" s="96">
        <v>0</v>
      </c>
      <c r="T53" s="96" t="s">
        <v>320</v>
      </c>
      <c r="U53" s="96"/>
      <c r="V53" s="219">
        <v>0</v>
      </c>
      <c r="W53" s="96">
        <v>0</v>
      </c>
      <c r="X53" s="96" t="s">
        <v>320</v>
      </c>
      <c r="Y53" s="96"/>
      <c r="Z53" s="219">
        <v>0</v>
      </c>
      <c r="AA53" s="96"/>
      <c r="AB53" s="96" t="s">
        <v>320</v>
      </c>
      <c r="AC53" s="96"/>
      <c r="AD53" s="219">
        <v>0</v>
      </c>
      <c r="AE53" s="96"/>
      <c r="AF53" s="96" t="s">
        <v>320</v>
      </c>
      <c r="AG53" s="96"/>
      <c r="AH53" s="219">
        <v>0</v>
      </c>
      <c r="AI53" s="96"/>
      <c r="AJ53" s="96" t="s">
        <v>320</v>
      </c>
      <c r="AK53" s="96"/>
      <c r="AL53" s="219">
        <v>0</v>
      </c>
      <c r="AM53" s="96"/>
      <c r="AN53" s="96" t="s">
        <v>320</v>
      </c>
      <c r="AO53" s="96"/>
      <c r="AP53" s="219">
        <v>0</v>
      </c>
      <c r="AQ53" s="96"/>
      <c r="AR53" s="96" t="s">
        <v>320</v>
      </c>
      <c r="AS53" s="96"/>
      <c r="AT53" s="219">
        <v>0</v>
      </c>
      <c r="AU53" s="96"/>
      <c r="AV53" s="96" t="s">
        <v>320</v>
      </c>
      <c r="AW53" s="96"/>
    </row>
    <row r="54" spans="1:53" x14ac:dyDescent="0.2">
      <c r="A54" s="101" t="str">
        <f>'Conto Economico'!A157</f>
        <v>Viaggio3</v>
      </c>
      <c r="B54" s="96">
        <v>0</v>
      </c>
      <c r="C54" s="96">
        <v>0</v>
      </c>
      <c r="D54" s="96" t="s">
        <v>320</v>
      </c>
      <c r="E54" s="96"/>
      <c r="F54" s="219">
        <v>0</v>
      </c>
      <c r="G54" s="96">
        <v>0</v>
      </c>
      <c r="H54" s="96" t="s">
        <v>320</v>
      </c>
      <c r="I54" s="96"/>
      <c r="J54" s="219">
        <v>0</v>
      </c>
      <c r="K54" s="96">
        <v>0</v>
      </c>
      <c r="L54" s="96" t="s">
        <v>320</v>
      </c>
      <c r="M54" s="96"/>
      <c r="N54" s="219">
        <v>0</v>
      </c>
      <c r="O54" s="96">
        <v>0</v>
      </c>
      <c r="P54" s="96" t="s">
        <v>320</v>
      </c>
      <c r="Q54" s="96"/>
      <c r="R54" s="219">
        <v>0</v>
      </c>
      <c r="S54" s="96">
        <v>0</v>
      </c>
      <c r="T54" s="96" t="s">
        <v>320</v>
      </c>
      <c r="U54" s="96"/>
      <c r="V54" s="219">
        <v>0</v>
      </c>
      <c r="W54" s="96">
        <v>0</v>
      </c>
      <c r="X54" s="96" t="s">
        <v>320</v>
      </c>
      <c r="Y54" s="96"/>
      <c r="Z54" s="219">
        <v>0</v>
      </c>
      <c r="AA54" s="96"/>
      <c r="AB54" s="96" t="s">
        <v>320</v>
      </c>
      <c r="AC54" s="96"/>
      <c r="AD54" s="219">
        <v>0</v>
      </c>
      <c r="AE54" s="96"/>
      <c r="AF54" s="96" t="s">
        <v>320</v>
      </c>
      <c r="AG54" s="96"/>
      <c r="AH54" s="219">
        <v>0</v>
      </c>
      <c r="AI54" s="96"/>
      <c r="AJ54" s="96" t="s">
        <v>320</v>
      </c>
      <c r="AK54" s="96"/>
      <c r="AL54" s="219">
        <v>0</v>
      </c>
      <c r="AM54" s="96"/>
      <c r="AN54" s="96" t="s">
        <v>320</v>
      </c>
      <c r="AO54" s="96"/>
      <c r="AP54" s="219">
        <v>0</v>
      </c>
      <c r="AQ54" s="96"/>
      <c r="AR54" s="96" t="s">
        <v>320</v>
      </c>
      <c r="AS54" s="96"/>
      <c r="AT54" s="219">
        <v>0</v>
      </c>
      <c r="AU54" s="96"/>
      <c r="AV54" s="96" t="s">
        <v>320</v>
      </c>
      <c r="AW54" s="96"/>
    </row>
    <row r="55" spans="1:53" x14ac:dyDescent="0.2">
      <c r="A55" s="101" t="str">
        <f>'Conto Economico'!A170</f>
        <v>Viaggio4</v>
      </c>
      <c r="B55" s="96">
        <v>0</v>
      </c>
      <c r="C55" s="96">
        <v>0</v>
      </c>
      <c r="D55" s="96" t="s">
        <v>320</v>
      </c>
      <c r="E55" s="96"/>
      <c r="F55" s="219">
        <v>0</v>
      </c>
      <c r="G55" s="96">
        <v>0</v>
      </c>
      <c r="H55" s="96" t="s">
        <v>320</v>
      </c>
      <c r="I55" s="96"/>
      <c r="J55" s="219">
        <v>0</v>
      </c>
      <c r="K55" s="96">
        <v>0</v>
      </c>
      <c r="L55" s="96" t="s">
        <v>320</v>
      </c>
      <c r="M55" s="96"/>
      <c r="N55" s="219">
        <v>0</v>
      </c>
      <c r="O55" s="96">
        <v>0</v>
      </c>
      <c r="P55" s="96" t="s">
        <v>320</v>
      </c>
      <c r="Q55" s="96"/>
      <c r="R55" s="219">
        <v>0</v>
      </c>
      <c r="S55" s="96">
        <v>0</v>
      </c>
      <c r="T55" s="96" t="s">
        <v>320</v>
      </c>
      <c r="U55" s="96"/>
      <c r="V55" s="219">
        <v>0</v>
      </c>
      <c r="W55" s="96">
        <v>0</v>
      </c>
      <c r="X55" s="96" t="s">
        <v>320</v>
      </c>
      <c r="Y55" s="96"/>
      <c r="Z55" s="219">
        <v>0</v>
      </c>
      <c r="AA55" s="96"/>
      <c r="AB55" s="96" t="s">
        <v>320</v>
      </c>
      <c r="AC55" s="96"/>
      <c r="AD55" s="219">
        <v>0</v>
      </c>
      <c r="AE55" s="96"/>
      <c r="AF55" s="96" t="s">
        <v>320</v>
      </c>
      <c r="AG55" s="96"/>
      <c r="AH55" s="219">
        <v>0</v>
      </c>
      <c r="AI55" s="96"/>
      <c r="AJ55" s="96" t="s">
        <v>320</v>
      </c>
      <c r="AK55" s="96"/>
      <c r="AL55" s="219">
        <v>0</v>
      </c>
      <c r="AM55" s="96"/>
      <c r="AN55" s="96" t="s">
        <v>320</v>
      </c>
      <c r="AO55" s="96"/>
      <c r="AP55" s="219">
        <v>0</v>
      </c>
      <c r="AQ55" s="96"/>
      <c r="AR55" s="96" t="s">
        <v>320</v>
      </c>
      <c r="AS55" s="96"/>
      <c r="AT55" s="219">
        <v>0</v>
      </c>
      <c r="AU55" s="96"/>
      <c r="AV55" s="96" t="s">
        <v>320</v>
      </c>
      <c r="AW55" s="96"/>
    </row>
    <row r="56" spans="1:53" x14ac:dyDescent="0.2">
      <c r="A56" s="101" t="str">
        <f>'Conto Economico'!A183</f>
        <v>Viaggio5</v>
      </c>
      <c r="B56" s="96">
        <v>0</v>
      </c>
      <c r="C56" s="96">
        <v>0</v>
      </c>
      <c r="D56" s="96" t="s">
        <v>320</v>
      </c>
      <c r="E56" s="96"/>
      <c r="F56" s="219">
        <v>0</v>
      </c>
      <c r="G56" s="96">
        <v>0</v>
      </c>
      <c r="H56" s="96" t="s">
        <v>320</v>
      </c>
      <c r="I56" s="96"/>
      <c r="J56" s="219">
        <v>0</v>
      </c>
      <c r="K56" s="96">
        <v>0</v>
      </c>
      <c r="L56" s="96" t="s">
        <v>320</v>
      </c>
      <c r="M56" s="96"/>
      <c r="N56" s="219">
        <v>0</v>
      </c>
      <c r="O56" s="96">
        <v>0</v>
      </c>
      <c r="P56" s="96" t="s">
        <v>320</v>
      </c>
      <c r="Q56" s="96"/>
      <c r="R56" s="219">
        <v>0</v>
      </c>
      <c r="S56" s="96">
        <v>0</v>
      </c>
      <c r="T56" s="96" t="s">
        <v>320</v>
      </c>
      <c r="U56" s="96"/>
      <c r="V56" s="219">
        <v>0</v>
      </c>
      <c r="W56" s="96">
        <v>0</v>
      </c>
      <c r="X56" s="96" t="s">
        <v>320</v>
      </c>
      <c r="Y56" s="96"/>
      <c r="Z56" s="219">
        <v>0</v>
      </c>
      <c r="AA56" s="96"/>
      <c r="AB56" s="96" t="s">
        <v>320</v>
      </c>
      <c r="AC56" s="96"/>
      <c r="AD56" s="219">
        <v>0</v>
      </c>
      <c r="AE56" s="96"/>
      <c r="AF56" s="96" t="s">
        <v>320</v>
      </c>
      <c r="AG56" s="96"/>
      <c r="AH56" s="219">
        <v>0</v>
      </c>
      <c r="AI56" s="96"/>
      <c r="AJ56" s="96" t="s">
        <v>320</v>
      </c>
      <c r="AK56" s="96"/>
      <c r="AL56" s="219">
        <v>0</v>
      </c>
      <c r="AM56" s="96"/>
      <c r="AN56" s="96" t="s">
        <v>320</v>
      </c>
      <c r="AO56" s="96"/>
      <c r="AP56" s="219">
        <v>0</v>
      </c>
      <c r="AQ56" s="96"/>
      <c r="AR56" s="96" t="s">
        <v>320</v>
      </c>
      <c r="AS56" s="96"/>
      <c r="AT56" s="219">
        <v>0</v>
      </c>
      <c r="AU56" s="96"/>
      <c r="AV56" s="96" t="s">
        <v>320</v>
      </c>
      <c r="AW56" s="96"/>
    </row>
    <row r="57" spans="1:53" x14ac:dyDescent="0.2">
      <c r="B57" s="96"/>
      <c r="C57" s="96"/>
      <c r="D57" s="96"/>
      <c r="E57" s="96"/>
      <c r="F57" s="219"/>
      <c r="G57" s="96"/>
      <c r="H57" s="96"/>
      <c r="I57" s="96"/>
      <c r="J57" s="219"/>
      <c r="K57" s="96"/>
      <c r="L57" s="96"/>
      <c r="M57" s="96"/>
      <c r="N57" s="219"/>
      <c r="O57" s="96"/>
      <c r="P57" s="96"/>
      <c r="Q57" s="96"/>
      <c r="R57" s="219"/>
      <c r="S57" s="96"/>
      <c r="T57" s="96"/>
      <c r="U57" s="96"/>
      <c r="V57" s="219"/>
      <c r="W57" s="96"/>
      <c r="X57" s="96"/>
      <c r="Y57" s="96"/>
      <c r="Z57" s="219"/>
      <c r="AA57" s="96"/>
      <c r="AB57" s="96"/>
      <c r="AC57" s="96"/>
      <c r="AD57" s="219"/>
      <c r="AE57" s="96"/>
      <c r="AF57" s="96"/>
      <c r="AG57" s="96"/>
      <c r="AH57" s="219"/>
      <c r="AI57" s="96"/>
      <c r="AJ57" s="96"/>
      <c r="AK57" s="96"/>
      <c r="AL57" s="219"/>
      <c r="AM57" s="96"/>
      <c r="AN57" s="96"/>
      <c r="AO57" s="96"/>
      <c r="AP57" s="219"/>
      <c r="AQ57" s="96"/>
      <c r="AR57" s="96"/>
      <c r="AS57" s="96"/>
      <c r="AT57" s="219"/>
      <c r="AU57" s="96"/>
      <c r="AV57" s="96"/>
      <c r="AW57" s="96"/>
    </row>
    <row r="58" spans="1:53" x14ac:dyDescent="0.2">
      <c r="A58" s="98" t="str">
        <f>'Conto Economico'!A196</f>
        <v>Auto e Trasporti</v>
      </c>
      <c r="B58" s="99"/>
      <c r="C58" s="99"/>
      <c r="D58" s="99"/>
      <c r="E58" s="99"/>
      <c r="F58" s="218"/>
      <c r="G58" s="99"/>
      <c r="H58" s="99"/>
      <c r="I58" s="99"/>
      <c r="J58" s="218"/>
      <c r="K58" s="99"/>
      <c r="L58" s="99"/>
      <c r="M58" s="99"/>
      <c r="N58" s="218"/>
      <c r="O58" s="99"/>
      <c r="P58" s="99"/>
      <c r="Q58" s="99"/>
      <c r="R58" s="218"/>
      <c r="S58" s="99"/>
      <c r="T58" s="99"/>
      <c r="U58" s="99"/>
      <c r="V58" s="218"/>
      <c r="W58" s="99"/>
      <c r="X58" s="99"/>
      <c r="Y58" s="99"/>
      <c r="Z58" s="218"/>
      <c r="AA58" s="99"/>
      <c r="AB58" s="99"/>
      <c r="AC58" s="99"/>
      <c r="AD58" s="218"/>
      <c r="AE58" s="99"/>
      <c r="AF58" s="99"/>
      <c r="AG58" s="99"/>
      <c r="AH58" s="218"/>
      <c r="AI58" s="99"/>
      <c r="AJ58" s="99"/>
      <c r="AK58" s="99"/>
      <c r="AL58" s="218"/>
      <c r="AM58" s="99"/>
      <c r="AN58" s="99"/>
      <c r="AO58" s="99"/>
      <c r="AP58" s="218"/>
      <c r="AQ58" s="99"/>
      <c r="AR58" s="99"/>
      <c r="AS58" s="99"/>
      <c r="AT58" s="218"/>
      <c r="AU58" s="99"/>
      <c r="AV58" s="99"/>
      <c r="AW58" s="99"/>
    </row>
    <row r="59" spans="1:53" x14ac:dyDescent="0.2">
      <c r="A59" s="97" t="str">
        <f>'Conto Economico'!A197</f>
        <v xml:space="preserve">Assicurazione </v>
      </c>
      <c r="B59" s="96"/>
      <c r="C59" s="96"/>
      <c r="D59" s="96"/>
      <c r="E59" s="96"/>
      <c r="F59" s="219"/>
      <c r="G59" s="96"/>
      <c r="H59" s="96"/>
      <c r="I59" s="96"/>
      <c r="J59" s="219"/>
      <c r="K59" s="96"/>
      <c r="L59" s="96"/>
      <c r="M59" s="96"/>
      <c r="N59" s="219"/>
      <c r="O59" s="96"/>
      <c r="P59" s="96"/>
      <c r="Q59" s="96"/>
      <c r="R59" s="219"/>
      <c r="S59" s="96"/>
      <c r="T59" s="96"/>
      <c r="U59" s="96"/>
      <c r="V59" s="219"/>
      <c r="W59" s="96"/>
      <c r="X59" s="96"/>
      <c r="Y59" s="96"/>
      <c r="Z59" s="219"/>
      <c r="AA59" s="96"/>
      <c r="AB59" s="96"/>
      <c r="AC59" s="96"/>
      <c r="AD59" s="219"/>
      <c r="AE59" s="96"/>
      <c r="AF59" s="96"/>
      <c r="AG59" s="96"/>
      <c r="AH59" s="219"/>
      <c r="AI59" s="96"/>
      <c r="AJ59" s="96"/>
      <c r="AK59" s="96"/>
      <c r="AL59" s="219"/>
      <c r="AM59" s="96"/>
      <c r="AN59" s="96"/>
      <c r="AO59" s="96"/>
      <c r="AP59" s="219"/>
      <c r="AQ59" s="96"/>
      <c r="AR59" s="96"/>
      <c r="AS59" s="96"/>
      <c r="AT59" s="219"/>
      <c r="AU59" s="96"/>
      <c r="AV59" s="96"/>
      <c r="AW59" s="96"/>
    </row>
    <row r="60" spans="1:53" x14ac:dyDescent="0.2">
      <c r="A60" s="97" t="str">
        <f>'Conto Economico'!A198</f>
        <v xml:space="preserve">Carburante </v>
      </c>
      <c r="B60" s="96"/>
      <c r="C60" s="96"/>
      <c r="D60" s="96"/>
      <c r="E60" s="96"/>
      <c r="F60" s="219"/>
      <c r="G60" s="96"/>
      <c r="H60" s="96"/>
      <c r="I60" s="96"/>
      <c r="J60" s="219"/>
      <c r="K60" s="96"/>
      <c r="L60" s="96"/>
      <c r="M60" s="96"/>
      <c r="N60" s="219"/>
      <c r="O60" s="96"/>
      <c r="P60" s="96"/>
      <c r="Q60" s="96"/>
      <c r="R60" s="219"/>
      <c r="S60" s="96"/>
      <c r="T60" s="96"/>
      <c r="U60" s="96"/>
      <c r="V60" s="219"/>
      <c r="W60" s="96"/>
      <c r="X60" s="96"/>
      <c r="Y60" s="96"/>
      <c r="Z60" s="219"/>
      <c r="AA60" s="96"/>
      <c r="AB60" s="96"/>
      <c r="AC60" s="96"/>
      <c r="AD60" s="219"/>
      <c r="AE60" s="96"/>
      <c r="AF60" s="96"/>
      <c r="AG60" s="96"/>
      <c r="AH60" s="219"/>
      <c r="AI60" s="96"/>
      <c r="AJ60" s="96"/>
      <c r="AK60" s="96"/>
      <c r="AL60" s="219"/>
      <c r="AM60" s="96"/>
      <c r="AN60" s="96"/>
      <c r="AO60" s="96"/>
      <c r="AP60" s="219"/>
      <c r="AQ60" s="96"/>
      <c r="AR60" s="96"/>
      <c r="AS60" s="96"/>
      <c r="AT60" s="219"/>
      <c r="AU60" s="96"/>
      <c r="AV60" s="96"/>
      <c r="AW60" s="96"/>
    </row>
    <row r="61" spans="1:53" x14ac:dyDescent="0.2">
      <c r="A61" s="97" t="str">
        <f>'Conto Economico'!A199</f>
        <v>Tassa di circolazione</v>
      </c>
      <c r="B61" s="96"/>
      <c r="C61" s="96"/>
      <c r="D61" s="96"/>
      <c r="E61" s="96"/>
      <c r="F61" s="219"/>
      <c r="G61" s="96"/>
      <c r="H61" s="96"/>
      <c r="I61" s="96"/>
      <c r="J61" s="219"/>
      <c r="K61" s="96"/>
      <c r="L61" s="96"/>
      <c r="M61" s="96"/>
      <c r="N61" s="219"/>
      <c r="O61" s="96"/>
      <c r="P61" s="96"/>
      <c r="Q61" s="96"/>
      <c r="R61" s="219"/>
      <c r="S61" s="96"/>
      <c r="T61" s="96"/>
      <c r="U61" s="96"/>
      <c r="V61" s="219"/>
      <c r="W61" s="96"/>
      <c r="X61" s="96"/>
      <c r="Y61" s="96"/>
      <c r="Z61" s="219"/>
      <c r="AA61" s="96"/>
      <c r="AB61" s="96"/>
      <c r="AC61" s="96"/>
      <c r="AD61" s="219"/>
      <c r="AE61" s="96"/>
      <c r="AF61" s="96"/>
      <c r="AG61" s="96"/>
      <c r="AH61" s="219"/>
      <c r="AI61" s="96"/>
      <c r="AJ61" s="96"/>
      <c r="AK61" s="96"/>
      <c r="AL61" s="219"/>
      <c r="AM61" s="96"/>
      <c r="AN61" s="96"/>
      <c r="AO61" s="96"/>
      <c r="AP61" s="219"/>
      <c r="AQ61" s="96"/>
      <c r="AR61" s="96"/>
      <c r="AS61" s="96"/>
      <c r="AT61" s="219"/>
      <c r="AU61" s="96"/>
      <c r="AV61" s="96"/>
      <c r="AW61" s="96"/>
    </row>
    <row r="62" spans="1:53" x14ac:dyDescent="0.2">
      <c r="A62" s="97" t="str">
        <f>'Conto Economico'!A200</f>
        <v>ITV</v>
      </c>
      <c r="B62" s="96"/>
      <c r="C62" s="96"/>
      <c r="D62" s="96"/>
      <c r="E62" s="96"/>
      <c r="F62" s="219"/>
      <c r="G62" s="96"/>
      <c r="H62" s="96"/>
      <c r="I62" s="96"/>
      <c r="J62" s="219"/>
      <c r="K62" s="96"/>
      <c r="L62" s="96"/>
      <c r="M62" s="96"/>
      <c r="N62" s="219"/>
      <c r="O62" s="96"/>
      <c r="P62" s="96"/>
      <c r="Q62" s="96"/>
      <c r="R62" s="219"/>
      <c r="S62" s="96"/>
      <c r="T62" s="96"/>
      <c r="U62" s="96"/>
      <c r="V62" s="219"/>
      <c r="W62" s="96"/>
      <c r="X62" s="96"/>
      <c r="Y62" s="96"/>
      <c r="Z62" s="219"/>
      <c r="AA62" s="96"/>
      <c r="AB62" s="96"/>
      <c r="AC62" s="96"/>
      <c r="AD62" s="219"/>
      <c r="AE62" s="96"/>
      <c r="AF62" s="96"/>
      <c r="AG62" s="96"/>
      <c r="AH62" s="219"/>
      <c r="AI62" s="96"/>
      <c r="AJ62" s="96"/>
      <c r="AK62" s="96"/>
      <c r="AL62" s="219"/>
      <c r="AM62" s="96"/>
      <c r="AN62" s="96"/>
      <c r="AO62" s="96"/>
      <c r="AP62" s="219"/>
      <c r="AQ62" s="96"/>
      <c r="AR62" s="96"/>
      <c r="AS62" s="96"/>
      <c r="AT62" s="219"/>
      <c r="AU62" s="96"/>
      <c r="AV62" s="96"/>
      <c r="AW62" s="96"/>
    </row>
    <row r="63" spans="1:53" x14ac:dyDescent="0.2">
      <c r="A63" s="97" t="str">
        <f>'Conto Economico'!A201</f>
        <v>Silik</v>
      </c>
      <c r="B63" s="96"/>
      <c r="C63" s="96"/>
      <c r="D63" s="96"/>
      <c r="E63" s="96"/>
      <c r="F63" s="219"/>
      <c r="G63" s="96"/>
      <c r="H63" s="96"/>
      <c r="I63" s="96"/>
      <c r="J63" s="219"/>
      <c r="K63" s="96"/>
      <c r="L63" s="96"/>
      <c r="M63" s="96"/>
      <c r="N63" s="219"/>
      <c r="O63" s="96"/>
      <c r="P63" s="96"/>
      <c r="Q63" s="96"/>
      <c r="R63" s="219"/>
      <c r="S63" s="96"/>
      <c r="T63" s="96"/>
      <c r="U63" s="96"/>
      <c r="V63" s="219"/>
      <c r="W63" s="96"/>
      <c r="X63" s="96"/>
      <c r="Y63" s="96"/>
      <c r="Z63" s="219"/>
      <c r="AA63" s="96"/>
      <c r="AB63" s="96"/>
      <c r="AC63" s="96"/>
      <c r="AD63" s="219"/>
      <c r="AE63" s="96"/>
      <c r="AF63" s="96"/>
      <c r="AG63" s="96"/>
      <c r="AH63" s="219"/>
      <c r="AI63" s="96"/>
      <c r="AJ63" s="96"/>
      <c r="AK63" s="96"/>
      <c r="AL63" s="219"/>
      <c r="AM63" s="96"/>
      <c r="AN63" s="96"/>
      <c r="AO63" s="96"/>
      <c r="AP63" s="219"/>
      <c r="AQ63" s="96"/>
      <c r="AR63" s="96"/>
      <c r="AS63" s="96"/>
      <c r="AT63" s="219"/>
      <c r="AU63" s="96"/>
      <c r="AV63" s="96"/>
      <c r="AW63" s="96"/>
    </row>
    <row r="64" spans="1:53" x14ac:dyDescent="0.2">
      <c r="A64" s="97" t="str">
        <f>'Conto Economico'!A202</f>
        <v>Manutenzione Auto</v>
      </c>
      <c r="B64" s="96"/>
      <c r="C64" s="96"/>
      <c r="D64" s="96"/>
      <c r="E64" s="96"/>
      <c r="F64" s="219"/>
      <c r="G64" s="96"/>
      <c r="H64" s="96"/>
      <c r="I64" s="96"/>
      <c r="J64" s="219"/>
      <c r="K64" s="96"/>
      <c r="L64" s="96"/>
      <c r="M64" s="96"/>
      <c r="N64" s="219"/>
      <c r="O64" s="96"/>
      <c r="P64" s="96"/>
      <c r="Q64" s="96"/>
      <c r="R64" s="219"/>
      <c r="S64" s="96"/>
      <c r="T64" s="96"/>
      <c r="U64" s="96"/>
      <c r="V64" s="219">
        <v>50</v>
      </c>
      <c r="W64" s="96"/>
      <c r="X64" s="96"/>
      <c r="Y64" s="96"/>
      <c r="Z64" s="219"/>
      <c r="AA64" s="96"/>
      <c r="AB64" s="96"/>
      <c r="AC64" s="96"/>
      <c r="AD64" s="219"/>
      <c r="AE64" s="96"/>
      <c r="AF64" s="96"/>
      <c r="AG64" s="96"/>
      <c r="AH64" s="219"/>
      <c r="AI64" s="96"/>
      <c r="AJ64" s="96"/>
      <c r="AK64" s="96"/>
      <c r="AL64" s="219"/>
      <c r="AM64" s="96"/>
      <c r="AN64" s="96"/>
      <c r="AO64" s="96"/>
      <c r="AP64" s="219"/>
      <c r="AQ64" s="96"/>
      <c r="AR64" s="96"/>
      <c r="AS64" s="96"/>
      <c r="AT64" s="219"/>
      <c r="AU64" s="96"/>
      <c r="AV64" s="96"/>
      <c r="AW64" s="96"/>
    </row>
    <row r="65" spans="1:49" x14ac:dyDescent="0.2">
      <c r="A65" s="97" t="str">
        <f>'Conto Economico'!A203</f>
        <v>Trasporti pubblici</v>
      </c>
      <c r="B65" s="96"/>
      <c r="C65" s="96"/>
      <c r="D65" s="96"/>
      <c r="E65" s="96"/>
      <c r="F65" s="219"/>
      <c r="G65" s="96"/>
      <c r="H65" s="96"/>
      <c r="I65" s="96"/>
      <c r="J65" s="219"/>
      <c r="K65" s="96"/>
      <c r="L65" s="96"/>
      <c r="M65" s="96"/>
      <c r="N65" s="219"/>
      <c r="O65" s="96"/>
      <c r="P65" s="96"/>
      <c r="Q65" s="96"/>
      <c r="R65" s="219"/>
      <c r="S65" s="96"/>
      <c r="T65" s="96"/>
      <c r="U65" s="96"/>
      <c r="V65" s="219"/>
      <c r="W65" s="96"/>
      <c r="X65" s="96"/>
      <c r="Y65" s="96"/>
      <c r="Z65" s="219"/>
      <c r="AA65" s="96"/>
      <c r="AB65" s="96"/>
      <c r="AC65" s="96"/>
      <c r="AD65" s="219"/>
      <c r="AE65" s="96"/>
      <c r="AF65" s="96"/>
      <c r="AG65" s="96"/>
      <c r="AH65" s="219"/>
      <c r="AI65" s="96"/>
      <c r="AJ65" s="96"/>
      <c r="AK65" s="96"/>
      <c r="AL65" s="219"/>
      <c r="AM65" s="96"/>
      <c r="AN65" s="96"/>
      <c r="AO65" s="96"/>
      <c r="AP65" s="219"/>
      <c r="AQ65" s="96"/>
      <c r="AR65" s="96"/>
      <c r="AS65" s="96"/>
      <c r="AT65" s="219"/>
      <c r="AU65" s="96"/>
      <c r="AV65" s="96"/>
      <c r="AW65" s="96"/>
    </row>
    <row r="66" spans="1:49" x14ac:dyDescent="0.2">
      <c r="A66" s="97" t="str">
        <f>'Conto Economico'!A204</f>
        <v>Parcheggio</v>
      </c>
      <c r="B66" s="96"/>
      <c r="C66" s="96"/>
      <c r="D66" s="96"/>
      <c r="E66" s="96"/>
      <c r="F66" s="219"/>
      <c r="G66" s="96"/>
      <c r="H66" s="96"/>
      <c r="I66" s="96"/>
      <c r="J66" s="219"/>
      <c r="K66" s="96"/>
      <c r="L66" s="96"/>
      <c r="M66" s="96"/>
      <c r="N66" s="219"/>
      <c r="O66" s="96"/>
      <c r="P66" s="96"/>
      <c r="Q66" s="96"/>
      <c r="R66" s="219"/>
      <c r="S66" s="96"/>
      <c r="T66" s="96"/>
      <c r="U66" s="96"/>
      <c r="V66" s="219"/>
      <c r="W66" s="96"/>
      <c r="X66" s="96"/>
      <c r="Y66" s="96"/>
      <c r="Z66" s="219"/>
      <c r="AA66" s="96"/>
      <c r="AB66" s="96"/>
      <c r="AC66" s="96"/>
      <c r="AD66" s="219"/>
      <c r="AE66" s="96"/>
      <c r="AF66" s="96"/>
      <c r="AG66" s="96"/>
      <c r="AH66" s="219"/>
      <c r="AI66" s="96"/>
      <c r="AJ66" s="96"/>
      <c r="AK66" s="96"/>
      <c r="AL66" s="219"/>
      <c r="AM66" s="96"/>
      <c r="AN66" s="96"/>
      <c r="AO66" s="96"/>
      <c r="AP66" s="219"/>
      <c r="AQ66" s="96"/>
      <c r="AR66" s="96"/>
      <c r="AS66" s="96"/>
      <c r="AT66" s="219"/>
      <c r="AU66" s="96"/>
      <c r="AV66" s="96"/>
      <c r="AW66" s="96"/>
    </row>
    <row r="67" spans="1:49" x14ac:dyDescent="0.2">
      <c r="A67" s="97"/>
      <c r="B67" s="96"/>
      <c r="C67" s="96"/>
      <c r="D67" s="96"/>
      <c r="E67" s="96"/>
      <c r="F67" s="219"/>
      <c r="G67" s="96"/>
      <c r="H67" s="96"/>
      <c r="I67" s="96"/>
      <c r="J67" s="219"/>
      <c r="K67" s="96"/>
      <c r="L67" s="96"/>
      <c r="M67" s="96"/>
      <c r="N67" s="219"/>
      <c r="O67" s="96"/>
      <c r="P67" s="96"/>
      <c r="Q67" s="96"/>
      <c r="R67" s="219"/>
      <c r="S67" s="96"/>
      <c r="T67" s="96"/>
      <c r="U67" s="96"/>
      <c r="V67" s="219"/>
      <c r="W67" s="96"/>
      <c r="X67" s="96"/>
      <c r="Y67" s="96"/>
      <c r="Z67" s="219"/>
      <c r="AA67" s="96"/>
      <c r="AB67" s="96"/>
      <c r="AC67" s="96"/>
      <c r="AD67" s="219"/>
      <c r="AE67" s="96"/>
      <c r="AF67" s="96"/>
      <c r="AG67" s="96"/>
      <c r="AH67" s="219"/>
      <c r="AI67" s="96"/>
      <c r="AJ67" s="96"/>
      <c r="AK67" s="96"/>
      <c r="AL67" s="219"/>
      <c r="AM67" s="96"/>
      <c r="AN67" s="96"/>
      <c r="AO67" s="96"/>
      <c r="AP67" s="219"/>
      <c r="AQ67" s="96"/>
      <c r="AR67" s="96"/>
      <c r="AS67" s="96"/>
      <c r="AT67" s="219"/>
      <c r="AU67" s="96"/>
      <c r="AV67" s="96"/>
      <c r="AW67" s="96"/>
    </row>
    <row r="68" spans="1:49" x14ac:dyDescent="0.2">
      <c r="A68" s="98" t="str">
        <f>'Conto Economico'!A206</f>
        <v>Assicurazioni</v>
      </c>
      <c r="B68" s="99"/>
      <c r="C68" s="99"/>
      <c r="D68" s="99"/>
      <c r="E68" s="99"/>
      <c r="F68" s="218"/>
      <c r="G68" s="99"/>
      <c r="H68" s="99"/>
      <c r="I68" s="99"/>
      <c r="J68" s="218"/>
      <c r="K68" s="99"/>
      <c r="L68" s="99"/>
      <c r="M68" s="99"/>
      <c r="N68" s="218"/>
      <c r="O68" s="99"/>
      <c r="P68" s="99"/>
      <c r="Q68" s="99"/>
      <c r="R68" s="218"/>
      <c r="S68" s="99"/>
      <c r="T68" s="99"/>
      <c r="U68" s="99"/>
      <c r="V68" s="218"/>
      <c r="W68" s="99"/>
      <c r="X68" s="99"/>
      <c r="Y68" s="99"/>
      <c r="Z68" s="218"/>
      <c r="AA68" s="99"/>
      <c r="AB68" s="99"/>
      <c r="AC68" s="99"/>
      <c r="AD68" s="218"/>
      <c r="AE68" s="99"/>
      <c r="AF68" s="99"/>
      <c r="AG68" s="99"/>
      <c r="AH68" s="218"/>
      <c r="AI68" s="99"/>
      <c r="AJ68" s="99"/>
      <c r="AK68" s="99"/>
      <c r="AL68" s="218"/>
      <c r="AM68" s="99"/>
      <c r="AN68" s="99"/>
      <c r="AO68" s="99"/>
      <c r="AP68" s="218"/>
      <c r="AQ68" s="99"/>
      <c r="AR68" s="99"/>
      <c r="AS68" s="99"/>
      <c r="AT68" s="218"/>
      <c r="AU68" s="99"/>
      <c r="AV68" s="99"/>
      <c r="AW68" s="99"/>
    </row>
    <row r="69" spans="1:49" x14ac:dyDescent="0.2">
      <c r="A69" s="97" t="str">
        <f>'Conto Economico'!A207</f>
        <v>Polizza Vita</v>
      </c>
      <c r="B69" s="96"/>
      <c r="C69" s="96"/>
      <c r="D69" s="96"/>
      <c r="E69" s="96"/>
      <c r="F69" s="219"/>
      <c r="G69" s="96"/>
      <c r="H69" s="96"/>
      <c r="I69" s="96"/>
      <c r="J69" s="219"/>
      <c r="K69" s="96"/>
      <c r="L69" s="96"/>
      <c r="M69" s="96"/>
      <c r="N69" s="219"/>
      <c r="O69" s="96"/>
      <c r="P69" s="96"/>
      <c r="Q69" s="96"/>
      <c r="R69" s="219"/>
      <c r="S69" s="96"/>
      <c r="T69" s="96"/>
      <c r="U69" s="96"/>
      <c r="V69" s="219"/>
      <c r="W69" s="96"/>
      <c r="X69" s="96"/>
      <c r="Y69" s="96"/>
      <c r="Z69" s="219"/>
      <c r="AA69" s="96"/>
      <c r="AB69" s="96"/>
      <c r="AC69" s="96"/>
      <c r="AD69" s="219"/>
      <c r="AE69" s="96"/>
      <c r="AF69" s="96"/>
      <c r="AG69" s="96"/>
      <c r="AH69" s="219"/>
      <c r="AI69" s="96"/>
      <c r="AJ69" s="96"/>
      <c r="AK69" s="96"/>
      <c r="AL69" s="219"/>
      <c r="AM69" s="96"/>
      <c r="AN69" s="96"/>
      <c r="AO69" s="96"/>
      <c r="AP69" s="219"/>
      <c r="AQ69" s="96"/>
      <c r="AR69" s="96"/>
      <c r="AS69" s="96"/>
      <c r="AT69" s="219"/>
      <c r="AU69" s="96"/>
      <c r="AV69" s="96"/>
      <c r="AW69" s="96"/>
    </row>
    <row r="70" spans="1:49" x14ac:dyDescent="0.2">
      <c r="A70" s="97" t="str">
        <f>'Conto Economico'!A208</f>
        <v>Polizza Salute</v>
      </c>
      <c r="B70" s="96"/>
      <c r="C70" s="96"/>
      <c r="D70" s="96"/>
      <c r="E70" s="96"/>
      <c r="F70" s="219"/>
      <c r="G70" s="96"/>
      <c r="H70" s="96"/>
      <c r="I70" s="96"/>
      <c r="J70" s="219"/>
      <c r="K70" s="96"/>
      <c r="L70" s="96"/>
      <c r="M70" s="96"/>
      <c r="N70" s="219"/>
      <c r="O70" s="96"/>
      <c r="P70" s="96"/>
      <c r="Q70" s="96"/>
      <c r="R70" s="219"/>
      <c r="S70" s="96"/>
      <c r="T70" s="96"/>
      <c r="U70" s="96"/>
      <c r="V70" s="219"/>
      <c r="W70" s="96"/>
      <c r="X70" s="96"/>
      <c r="Y70" s="96"/>
      <c r="Z70" s="219"/>
      <c r="AA70" s="96"/>
      <c r="AB70" s="96"/>
      <c r="AC70" s="96"/>
      <c r="AD70" s="219"/>
      <c r="AE70" s="96"/>
      <c r="AF70" s="96"/>
      <c r="AG70" s="96"/>
      <c r="AH70" s="219"/>
      <c r="AI70" s="96"/>
      <c r="AJ70" s="96"/>
      <c r="AK70" s="96"/>
      <c r="AL70" s="219"/>
      <c r="AM70" s="96"/>
      <c r="AN70" s="96"/>
      <c r="AO70" s="96"/>
      <c r="AP70" s="219"/>
      <c r="AQ70" s="96"/>
      <c r="AR70" s="96"/>
      <c r="AS70" s="96"/>
      <c r="AT70" s="219"/>
      <c r="AU70" s="96"/>
      <c r="AV70" s="96"/>
      <c r="AW70" s="96"/>
    </row>
    <row r="71" spans="1:49" x14ac:dyDescent="0.2">
      <c r="A71" s="104" t="str">
        <f>'Conto Economico'!A209</f>
        <v>Polizza Casa</v>
      </c>
      <c r="B71" s="96"/>
      <c r="C71" s="96"/>
      <c r="D71" s="96"/>
      <c r="E71" s="96"/>
      <c r="F71" s="219"/>
      <c r="G71" s="96"/>
      <c r="H71" s="96"/>
      <c r="I71" s="96"/>
      <c r="J71" s="219"/>
      <c r="K71" s="96"/>
      <c r="L71" s="96"/>
      <c r="M71" s="96"/>
      <c r="N71" s="219"/>
      <c r="O71" s="96"/>
      <c r="P71" s="96"/>
      <c r="Q71" s="96"/>
      <c r="R71" s="219"/>
      <c r="S71" s="96"/>
      <c r="T71" s="96"/>
      <c r="U71" s="96"/>
      <c r="V71" s="219"/>
      <c r="W71" s="96"/>
      <c r="X71" s="96"/>
      <c r="Y71" s="96"/>
      <c r="Z71" s="219"/>
      <c r="AA71" s="96"/>
      <c r="AB71" s="96"/>
      <c r="AC71" s="96"/>
      <c r="AD71" s="219"/>
      <c r="AE71" s="96"/>
      <c r="AF71" s="96"/>
      <c r="AG71" s="96"/>
      <c r="AH71" s="219"/>
      <c r="AI71" s="96"/>
      <c r="AJ71" s="96"/>
      <c r="AK71" s="96"/>
      <c r="AL71" s="219"/>
      <c r="AM71" s="96"/>
      <c r="AN71" s="96"/>
      <c r="AO71" s="96"/>
      <c r="AP71" s="219"/>
      <c r="AQ71" s="96"/>
      <c r="AR71" s="96"/>
      <c r="AS71" s="96"/>
      <c r="AT71" s="219"/>
      <c r="AU71" s="96"/>
      <c r="AV71" s="96"/>
      <c r="AW71" s="96"/>
    </row>
    <row r="72" spans="1:49" x14ac:dyDescent="0.2">
      <c r="A72" s="97"/>
      <c r="B72" s="96"/>
      <c r="C72" s="96"/>
      <c r="D72" s="96"/>
      <c r="E72" s="96"/>
      <c r="F72" s="219"/>
      <c r="G72" s="96"/>
      <c r="H72" s="96"/>
      <c r="I72" s="96"/>
      <c r="J72" s="219"/>
      <c r="K72" s="96"/>
      <c r="L72" s="96"/>
      <c r="M72" s="96"/>
      <c r="N72" s="219"/>
      <c r="O72" s="96"/>
      <c r="P72" s="96"/>
      <c r="Q72" s="96"/>
      <c r="R72" s="219"/>
      <c r="S72" s="96"/>
      <c r="T72" s="96"/>
      <c r="U72" s="96"/>
      <c r="V72" s="219"/>
      <c r="W72" s="96"/>
      <c r="X72" s="96"/>
      <c r="Y72" s="96"/>
      <c r="Z72" s="219"/>
      <c r="AA72" s="96"/>
      <c r="AB72" s="96"/>
      <c r="AC72" s="96"/>
      <c r="AD72" s="219"/>
      <c r="AE72" s="96"/>
      <c r="AF72" s="96"/>
      <c r="AG72" s="96"/>
      <c r="AH72" s="219"/>
      <c r="AI72" s="96"/>
      <c r="AJ72" s="96"/>
      <c r="AK72" s="96"/>
      <c r="AL72" s="219"/>
      <c r="AM72" s="96"/>
      <c r="AN72" s="96"/>
      <c r="AO72" s="96"/>
      <c r="AP72" s="219"/>
      <c r="AQ72" s="96"/>
      <c r="AR72" s="96"/>
      <c r="AS72" s="96"/>
      <c r="AT72" s="219"/>
      <c r="AU72" s="96"/>
      <c r="AV72" s="96"/>
      <c r="AW72" s="96"/>
    </row>
    <row r="73" spans="1:49" x14ac:dyDescent="0.2">
      <c r="A73" s="98" t="str">
        <f>'Conto Economico'!A211</f>
        <v>Attività sportive</v>
      </c>
      <c r="B73" s="99"/>
      <c r="C73" s="99"/>
      <c r="D73" s="99"/>
      <c r="E73" s="99"/>
      <c r="F73" s="218"/>
      <c r="G73" s="99"/>
      <c r="H73" s="99"/>
      <c r="I73" s="99"/>
      <c r="J73" s="218"/>
      <c r="K73" s="99"/>
      <c r="L73" s="99"/>
      <c r="M73" s="99"/>
      <c r="N73" s="218"/>
      <c r="O73" s="99"/>
      <c r="P73" s="99"/>
      <c r="Q73" s="99"/>
      <c r="R73" s="218"/>
      <c r="S73" s="99"/>
      <c r="T73" s="99"/>
      <c r="U73" s="99"/>
      <c r="V73" s="218"/>
      <c r="W73" s="99"/>
      <c r="X73" s="99"/>
      <c r="Y73" s="99"/>
      <c r="Z73" s="218"/>
      <c r="AA73" s="99"/>
      <c r="AB73" s="99"/>
      <c r="AC73" s="99"/>
      <c r="AD73" s="218"/>
      <c r="AE73" s="99"/>
      <c r="AF73" s="99"/>
      <c r="AG73" s="99"/>
      <c r="AH73" s="218"/>
      <c r="AI73" s="99"/>
      <c r="AJ73" s="99"/>
      <c r="AK73" s="99"/>
      <c r="AL73" s="218"/>
      <c r="AM73" s="99"/>
      <c r="AN73" s="99"/>
      <c r="AO73" s="99"/>
      <c r="AP73" s="218"/>
      <c r="AQ73" s="99"/>
      <c r="AR73" s="99"/>
      <c r="AS73" s="99"/>
      <c r="AT73" s="218"/>
      <c r="AU73" s="99"/>
      <c r="AV73" s="99"/>
      <c r="AW73" s="99"/>
    </row>
    <row r="74" spans="1:49" x14ac:dyDescent="0.2">
      <c r="A74" s="97" t="str">
        <f>'Conto Economico'!A212</f>
        <v>Nautica</v>
      </c>
      <c r="B74" s="96"/>
      <c r="C74" s="96"/>
      <c r="D74" s="96"/>
      <c r="E74" s="96"/>
      <c r="F74" s="219"/>
      <c r="G74" s="96"/>
      <c r="H74" s="96"/>
      <c r="I74" s="96"/>
      <c r="J74" s="219"/>
      <c r="K74" s="96"/>
      <c r="L74" s="96"/>
      <c r="M74" s="96"/>
      <c r="N74" s="219"/>
      <c r="O74" s="96"/>
      <c r="P74" s="96"/>
      <c r="Q74" s="96"/>
      <c r="R74" s="219"/>
      <c r="S74" s="96"/>
      <c r="T74" s="96"/>
      <c r="U74" s="96"/>
      <c r="V74" s="219"/>
      <c r="W74" s="96"/>
      <c r="X74" s="96"/>
      <c r="Y74" s="96"/>
      <c r="Z74" s="219"/>
      <c r="AA74" s="96"/>
      <c r="AB74" s="96"/>
      <c r="AC74" s="96"/>
      <c r="AD74" s="219"/>
      <c r="AE74" s="96"/>
      <c r="AF74" s="96"/>
      <c r="AG74" s="96"/>
      <c r="AH74" s="219"/>
      <c r="AI74" s="96"/>
      <c r="AJ74" s="96"/>
      <c r="AK74" s="96"/>
      <c r="AL74" s="219"/>
      <c r="AM74" s="96"/>
      <c r="AN74" s="96"/>
      <c r="AO74" s="96"/>
      <c r="AP74" s="219"/>
      <c r="AQ74" s="96"/>
      <c r="AR74" s="96"/>
      <c r="AS74" s="96"/>
      <c r="AT74" s="219"/>
      <c r="AU74" s="96"/>
      <c r="AV74" s="96"/>
      <c r="AW74" s="96"/>
    </row>
    <row r="75" spans="1:49" x14ac:dyDescent="0.2">
      <c r="A75" s="97" t="str">
        <f>'Conto Economico'!A213</f>
        <v>Fitness</v>
      </c>
      <c r="B75" s="96"/>
      <c r="C75" s="96"/>
      <c r="D75" s="96"/>
      <c r="E75" s="96"/>
      <c r="F75" s="219"/>
      <c r="G75" s="96"/>
      <c r="H75" s="96"/>
      <c r="I75" s="96"/>
      <c r="J75" s="219"/>
      <c r="K75" s="96"/>
      <c r="L75" s="96"/>
      <c r="M75" s="96"/>
      <c r="N75" s="219"/>
      <c r="O75" s="96"/>
      <c r="P75" s="96"/>
      <c r="Q75" s="96"/>
      <c r="R75" s="219"/>
      <c r="S75" s="96"/>
      <c r="T75" s="96"/>
      <c r="U75" s="96"/>
      <c r="V75" s="219"/>
      <c r="W75" s="96"/>
      <c r="X75" s="96"/>
      <c r="Y75" s="96"/>
      <c r="Z75" s="219"/>
      <c r="AA75" s="96"/>
      <c r="AB75" s="96"/>
      <c r="AC75" s="96"/>
      <c r="AD75" s="219"/>
      <c r="AE75" s="96"/>
      <c r="AF75" s="96"/>
      <c r="AG75" s="96"/>
      <c r="AH75" s="219"/>
      <c r="AI75" s="96"/>
      <c r="AJ75" s="96"/>
      <c r="AK75" s="96"/>
      <c r="AL75" s="219"/>
      <c r="AM75" s="96"/>
      <c r="AN75" s="96"/>
      <c r="AO75" s="96"/>
      <c r="AP75" s="219"/>
      <c r="AQ75" s="96"/>
      <c r="AR75" s="96"/>
      <c r="AS75" s="96"/>
      <c r="AT75" s="219"/>
      <c r="AU75" s="96"/>
      <c r="AV75" s="96"/>
      <c r="AW75" s="96"/>
    </row>
    <row r="76" spans="1:49" x14ac:dyDescent="0.2">
      <c r="A76" s="97" t="str">
        <f>'Conto Economico'!A214</f>
        <v>Lingue Straniere</v>
      </c>
      <c r="B76" s="96"/>
      <c r="C76" s="96"/>
      <c r="D76" s="96"/>
      <c r="E76" s="96"/>
      <c r="F76" s="219"/>
      <c r="G76" s="96"/>
      <c r="H76" s="96"/>
      <c r="I76" s="96"/>
      <c r="J76" s="219"/>
      <c r="K76" s="96"/>
      <c r="L76" s="96"/>
      <c r="M76" s="96"/>
      <c r="N76" s="219"/>
      <c r="O76" s="96"/>
      <c r="P76" s="96"/>
      <c r="Q76" s="96"/>
      <c r="R76" s="219"/>
      <c r="S76" s="96"/>
      <c r="T76" s="96"/>
      <c r="U76" s="96"/>
      <c r="V76" s="219"/>
      <c r="W76" s="96"/>
      <c r="X76" s="96"/>
      <c r="Y76" s="96"/>
      <c r="Z76" s="219"/>
      <c r="AA76" s="96"/>
      <c r="AB76" s="96"/>
      <c r="AC76" s="96"/>
      <c r="AD76" s="219"/>
      <c r="AE76" s="96"/>
      <c r="AF76" s="96"/>
      <c r="AG76" s="96"/>
      <c r="AH76" s="219"/>
      <c r="AI76" s="96"/>
      <c r="AJ76" s="96"/>
      <c r="AK76" s="96"/>
      <c r="AL76" s="219"/>
      <c r="AM76" s="96"/>
      <c r="AN76" s="96"/>
      <c r="AO76" s="96"/>
      <c r="AP76" s="219"/>
      <c r="AQ76" s="96"/>
      <c r="AR76" s="96"/>
      <c r="AS76" s="96"/>
      <c r="AT76" s="219"/>
      <c r="AU76" s="96"/>
      <c r="AV76" s="96"/>
      <c r="AW76" s="96"/>
    </row>
    <row r="77" spans="1:49" x14ac:dyDescent="0.2">
      <c r="A77" s="97" t="str">
        <f>'Conto Economico'!A215</f>
        <v>Altri Corsi</v>
      </c>
      <c r="B77" s="96"/>
      <c r="C77" s="96"/>
      <c r="D77" s="96"/>
      <c r="E77" s="96"/>
      <c r="F77" s="219"/>
      <c r="G77" s="96"/>
      <c r="H77" s="96"/>
      <c r="I77" s="96"/>
      <c r="J77" s="219"/>
      <c r="K77" s="96"/>
      <c r="L77" s="96"/>
      <c r="M77" s="96"/>
      <c r="N77" s="219"/>
      <c r="O77" s="96"/>
      <c r="P77" s="96"/>
      <c r="Q77" s="96"/>
      <c r="R77" s="219"/>
      <c r="S77" s="96"/>
      <c r="T77" s="96"/>
      <c r="U77" s="96"/>
      <c r="V77" s="219"/>
      <c r="W77" s="96"/>
      <c r="X77" s="96"/>
      <c r="Y77" s="96"/>
      <c r="Z77" s="219"/>
      <c r="AA77" s="96"/>
      <c r="AB77" s="96"/>
      <c r="AC77" s="96"/>
      <c r="AD77" s="219"/>
      <c r="AE77" s="96"/>
      <c r="AF77" s="96"/>
      <c r="AG77" s="96"/>
      <c r="AH77" s="219"/>
      <c r="AI77" s="96"/>
      <c r="AJ77" s="96"/>
      <c r="AK77" s="96"/>
      <c r="AL77" s="219"/>
      <c r="AM77" s="96"/>
      <c r="AN77" s="96"/>
      <c r="AO77" s="96"/>
      <c r="AP77" s="219"/>
      <c r="AQ77" s="96"/>
      <c r="AR77" s="96"/>
      <c r="AS77" s="96"/>
      <c r="AT77" s="219"/>
      <c r="AU77" s="96"/>
      <c r="AV77" s="96"/>
      <c r="AW77" s="96"/>
    </row>
    <row r="78" spans="1:49" x14ac:dyDescent="0.2">
      <c r="A78" s="97" t="str">
        <f>'Conto Economico'!A216</f>
        <v>Attività Spot</v>
      </c>
      <c r="B78" s="96"/>
      <c r="C78" s="96"/>
      <c r="D78" s="96"/>
      <c r="E78" s="96"/>
      <c r="F78" s="219"/>
      <c r="G78" s="96"/>
      <c r="H78" s="96"/>
      <c r="I78" s="96"/>
      <c r="J78" s="219"/>
      <c r="K78" s="96"/>
      <c r="L78" s="96"/>
      <c r="M78" s="96"/>
      <c r="N78" s="219"/>
      <c r="O78" s="96"/>
      <c r="P78" s="96"/>
      <c r="Q78" s="96"/>
      <c r="R78" s="219"/>
      <c r="S78" s="96"/>
      <c r="T78" s="96"/>
      <c r="U78" s="96"/>
      <c r="V78" s="219">
        <f>22*2-30</f>
        <v>14</v>
      </c>
      <c r="W78" s="96"/>
      <c r="X78" s="96"/>
      <c r="Y78" s="96"/>
      <c r="Z78" s="219"/>
      <c r="AA78" s="96"/>
      <c r="AB78" s="96"/>
      <c r="AC78" s="96"/>
      <c r="AD78" s="219"/>
      <c r="AE78" s="96"/>
      <c r="AF78" s="96"/>
      <c r="AG78" s="96"/>
      <c r="AH78" s="219"/>
      <c r="AI78" s="96"/>
      <c r="AJ78" s="96"/>
      <c r="AK78" s="96"/>
      <c r="AL78" s="219"/>
      <c r="AM78" s="96"/>
      <c r="AN78" s="96"/>
      <c r="AO78" s="96"/>
      <c r="AP78" s="219"/>
      <c r="AQ78" s="96"/>
      <c r="AR78" s="96"/>
      <c r="AS78" s="96"/>
      <c r="AT78" s="219"/>
      <c r="AU78" s="96"/>
      <c r="AV78" s="96"/>
      <c r="AW78" s="96"/>
    </row>
    <row r="79" spans="1:49" x14ac:dyDescent="0.2">
      <c r="A79" s="97"/>
      <c r="B79" s="96"/>
      <c r="C79" s="96"/>
      <c r="D79" s="96"/>
      <c r="E79" s="96"/>
      <c r="F79" s="219"/>
      <c r="G79" s="96"/>
      <c r="H79" s="96"/>
      <c r="I79" s="96"/>
      <c r="J79" s="219"/>
      <c r="K79" s="96"/>
      <c r="L79" s="96"/>
      <c r="M79" s="96"/>
      <c r="N79" s="219"/>
      <c r="O79" s="96"/>
      <c r="P79" s="96"/>
      <c r="Q79" s="96"/>
      <c r="R79" s="219"/>
      <c r="S79" s="96"/>
      <c r="T79" s="96"/>
      <c r="U79" s="96"/>
      <c r="V79" s="219"/>
      <c r="W79" s="96"/>
      <c r="X79" s="96"/>
      <c r="Y79" s="96"/>
      <c r="Z79" s="219"/>
      <c r="AA79" s="96"/>
      <c r="AB79" s="96"/>
      <c r="AC79" s="96"/>
      <c r="AD79" s="219"/>
      <c r="AE79" s="96"/>
      <c r="AF79" s="96"/>
      <c r="AG79" s="96"/>
      <c r="AH79" s="219"/>
      <c r="AI79" s="96"/>
      <c r="AJ79" s="96"/>
      <c r="AK79" s="96"/>
      <c r="AL79" s="219"/>
      <c r="AM79" s="96"/>
      <c r="AN79" s="96"/>
      <c r="AO79" s="96"/>
      <c r="AP79" s="219"/>
      <c r="AQ79" s="96"/>
      <c r="AR79" s="96"/>
      <c r="AS79" s="96"/>
      <c r="AT79" s="219"/>
      <c r="AU79" s="96"/>
      <c r="AV79" s="96"/>
      <c r="AW79" s="96"/>
    </row>
    <row r="80" spans="1:49" x14ac:dyDescent="0.2">
      <c r="A80" s="98" t="str">
        <f>'Conto Economico'!A218</f>
        <v>Spese Personali</v>
      </c>
      <c r="B80" s="99"/>
      <c r="C80" s="99"/>
      <c r="D80" s="99"/>
      <c r="E80" s="99"/>
      <c r="F80" s="218"/>
      <c r="G80" s="99"/>
      <c r="H80" s="99"/>
      <c r="I80" s="99"/>
      <c r="J80" s="218"/>
      <c r="K80" s="99"/>
      <c r="L80" s="99"/>
      <c r="M80" s="99"/>
      <c r="N80" s="218"/>
      <c r="O80" s="99"/>
      <c r="P80" s="99"/>
      <c r="Q80" s="99"/>
      <c r="R80" s="218"/>
      <c r="S80" s="99"/>
      <c r="T80" s="99"/>
      <c r="U80" s="99"/>
      <c r="V80" s="218"/>
      <c r="W80" s="99"/>
      <c r="X80" s="99"/>
      <c r="Y80" s="99"/>
      <c r="Z80" s="218"/>
      <c r="AA80" s="99"/>
      <c r="AB80" s="99"/>
      <c r="AC80" s="99"/>
      <c r="AD80" s="218"/>
      <c r="AE80" s="99"/>
      <c r="AF80" s="99"/>
      <c r="AG80" s="99"/>
      <c r="AH80" s="218"/>
      <c r="AI80" s="99"/>
      <c r="AJ80" s="99"/>
      <c r="AK80" s="99"/>
      <c r="AL80" s="218"/>
      <c r="AM80" s="99"/>
      <c r="AN80" s="99"/>
      <c r="AO80" s="99"/>
      <c r="AP80" s="218"/>
      <c r="AQ80" s="99"/>
      <c r="AR80" s="99"/>
      <c r="AS80" s="99"/>
      <c r="AT80" s="218"/>
      <c r="AU80" s="99"/>
      <c r="AV80" s="99"/>
      <c r="AW80" s="99"/>
    </row>
    <row r="81" spans="1:49" x14ac:dyDescent="0.2">
      <c r="A81" s="97" t="str">
        <f>'Conto Economico'!A219</f>
        <v>Abbigliamento e Accessori</v>
      </c>
      <c r="B81" s="418"/>
      <c r="C81" s="418"/>
      <c r="D81" s="418"/>
      <c r="E81" s="418"/>
      <c r="F81" s="219"/>
      <c r="G81" s="418"/>
      <c r="H81" s="418"/>
      <c r="I81" s="418"/>
      <c r="J81" s="219"/>
      <c r="K81" s="418"/>
      <c r="L81" s="418"/>
      <c r="M81" s="418"/>
      <c r="N81" s="219"/>
      <c r="O81" s="418"/>
      <c r="P81" s="418"/>
      <c r="Q81" s="418"/>
      <c r="R81" s="219">
        <v>80</v>
      </c>
      <c r="S81" s="418"/>
      <c r="T81" s="418"/>
      <c r="U81" s="418"/>
      <c r="V81" s="219"/>
      <c r="W81" s="418"/>
      <c r="X81" s="418"/>
      <c r="Y81" s="418"/>
      <c r="Z81" s="219">
        <v>64.5</v>
      </c>
      <c r="AA81" s="418"/>
      <c r="AB81" s="418"/>
      <c r="AC81" s="418"/>
      <c r="AD81" s="219"/>
      <c r="AE81" s="418"/>
      <c r="AF81" s="418"/>
      <c r="AG81" s="418"/>
      <c r="AH81" s="219"/>
      <c r="AI81" s="418"/>
      <c r="AJ81" s="418"/>
      <c r="AK81" s="418"/>
      <c r="AL81" s="219"/>
      <c r="AM81" s="418"/>
      <c r="AN81" s="418"/>
      <c r="AO81" s="418"/>
      <c r="AP81" s="219"/>
      <c r="AQ81" s="418"/>
      <c r="AR81" s="418"/>
      <c r="AS81" s="418"/>
      <c r="AT81" s="219"/>
      <c r="AU81" s="418"/>
      <c r="AV81" s="418"/>
      <c r="AW81" s="418"/>
    </row>
    <row r="82" spans="1:49" x14ac:dyDescent="0.2">
      <c r="A82" s="97" t="str">
        <f>'Conto Economico'!A220</f>
        <v>Abbigliamento Sportivo e Accessori</v>
      </c>
      <c r="B82" s="96"/>
      <c r="C82" s="96"/>
      <c r="D82" s="96"/>
      <c r="E82" s="96"/>
      <c r="F82" s="219"/>
      <c r="G82" s="96"/>
      <c r="H82" s="96"/>
      <c r="I82" s="96"/>
      <c r="J82" s="219"/>
      <c r="K82" s="96"/>
      <c r="L82" s="96"/>
      <c r="M82" s="96"/>
      <c r="N82" s="219"/>
      <c r="O82" s="96"/>
      <c r="P82" s="96"/>
      <c r="Q82" s="96"/>
      <c r="R82" s="219"/>
      <c r="S82" s="96"/>
      <c r="T82" s="96"/>
      <c r="U82" s="96"/>
      <c r="V82" s="219"/>
      <c r="W82" s="96"/>
      <c r="X82" s="96"/>
      <c r="Y82" s="96"/>
      <c r="Z82" s="219"/>
      <c r="AA82" s="96"/>
      <c r="AB82" s="96"/>
      <c r="AC82" s="96"/>
      <c r="AD82" s="219"/>
      <c r="AE82" s="96"/>
      <c r="AF82" s="96"/>
      <c r="AG82" s="96"/>
      <c r="AH82" s="219"/>
      <c r="AI82" s="96"/>
      <c r="AJ82" s="96"/>
      <c r="AK82" s="96"/>
      <c r="AL82" s="219"/>
      <c r="AM82" s="96"/>
      <c r="AN82" s="96"/>
      <c r="AO82" s="96"/>
      <c r="AP82" s="219"/>
      <c r="AQ82" s="96"/>
      <c r="AR82" s="96"/>
      <c r="AS82" s="96"/>
      <c r="AT82" s="219"/>
      <c r="AU82" s="96"/>
      <c r="AV82" s="96"/>
      <c r="AW82" s="96"/>
    </row>
    <row r="83" spans="1:49" x14ac:dyDescent="0.2">
      <c r="A83" s="97" t="str">
        <f>'Conto Economico'!A221</f>
        <v>Prodotti per la Cura della Persona</v>
      </c>
      <c r="B83" s="96"/>
      <c r="C83" s="96"/>
      <c r="D83" s="96"/>
      <c r="E83" s="96"/>
      <c r="F83" s="219"/>
      <c r="G83" s="96"/>
      <c r="H83" s="96"/>
      <c r="I83" s="96"/>
      <c r="J83" s="219"/>
      <c r="K83" s="96"/>
      <c r="L83" s="96"/>
      <c r="M83" s="96"/>
      <c r="N83" s="219"/>
      <c r="O83" s="96"/>
      <c r="P83" s="96"/>
      <c r="Q83" s="96"/>
      <c r="R83" s="219"/>
      <c r="S83" s="96"/>
      <c r="T83" s="96"/>
      <c r="U83" s="96"/>
      <c r="V83" s="219"/>
      <c r="W83" s="96"/>
      <c r="X83" s="96"/>
      <c r="Y83" s="96"/>
      <c r="Z83" s="219"/>
      <c r="AA83" s="96"/>
      <c r="AB83" s="96"/>
      <c r="AC83" s="96"/>
      <c r="AD83" s="219"/>
      <c r="AE83" s="96"/>
      <c r="AF83" s="96"/>
      <c r="AG83" s="96"/>
      <c r="AH83" s="219"/>
      <c r="AI83" s="96"/>
      <c r="AJ83" s="96"/>
      <c r="AK83" s="96"/>
      <c r="AL83" s="219"/>
      <c r="AM83" s="96"/>
      <c r="AN83" s="96"/>
      <c r="AO83" s="96"/>
      <c r="AP83" s="219"/>
      <c r="AQ83" s="96"/>
      <c r="AR83" s="96"/>
      <c r="AS83" s="96"/>
      <c r="AT83" s="219"/>
      <c r="AU83" s="96"/>
      <c r="AV83" s="96"/>
      <c r="AW83" s="96"/>
    </row>
    <row r="84" spans="1:49" x14ac:dyDescent="0.2">
      <c r="A84" s="97" t="str">
        <f>'Conto Economico'!A222</f>
        <v>Parrucchiera/e</v>
      </c>
      <c r="B84" s="96"/>
      <c r="C84" s="96"/>
      <c r="D84" s="96"/>
      <c r="E84" s="96"/>
      <c r="F84" s="219">
        <v>10</v>
      </c>
      <c r="G84" s="96"/>
      <c r="H84" s="96"/>
      <c r="I84" s="96"/>
      <c r="J84" s="219"/>
      <c r="K84" s="96"/>
      <c r="L84" s="96"/>
      <c r="M84" s="96"/>
      <c r="N84" s="219">
        <v>10</v>
      </c>
      <c r="O84" s="96"/>
      <c r="P84" s="96"/>
      <c r="Q84" s="96"/>
      <c r="R84" s="219"/>
      <c r="S84" s="96"/>
      <c r="T84" s="96"/>
      <c r="U84" s="96"/>
      <c r="V84" s="219"/>
      <c r="W84" s="96"/>
      <c r="X84" s="96"/>
      <c r="Y84" s="96"/>
      <c r="Z84" s="219"/>
      <c r="AA84" s="96"/>
      <c r="AB84" s="96"/>
      <c r="AC84" s="96"/>
      <c r="AD84" s="219"/>
      <c r="AE84" s="96"/>
      <c r="AF84" s="96"/>
      <c r="AG84" s="96"/>
      <c r="AH84" s="219"/>
      <c r="AI84" s="96"/>
      <c r="AJ84" s="96"/>
      <c r="AK84" s="96"/>
      <c r="AL84" s="219"/>
      <c r="AM84" s="96"/>
      <c r="AN84" s="96"/>
      <c r="AO84" s="96"/>
      <c r="AP84" s="219"/>
      <c r="AQ84" s="96"/>
      <c r="AR84" s="96"/>
      <c r="AS84" s="96"/>
      <c r="AT84" s="219"/>
      <c r="AU84" s="96"/>
      <c r="AV84" s="96"/>
      <c r="AW84" s="96"/>
    </row>
    <row r="85" spans="1:49" x14ac:dyDescent="0.2">
      <c r="A85" s="97" t="str">
        <f>'Conto Economico'!A223</f>
        <v>Estetista</v>
      </c>
      <c r="B85" s="96"/>
      <c r="C85" s="96"/>
      <c r="D85" s="96"/>
      <c r="E85" s="96"/>
      <c r="F85" s="219"/>
      <c r="G85" s="96"/>
      <c r="H85" s="96"/>
      <c r="I85" s="96"/>
      <c r="J85" s="219">
        <v>94</v>
      </c>
      <c r="K85" s="96"/>
      <c r="L85" s="96"/>
      <c r="M85" s="96"/>
      <c r="N85" s="219"/>
      <c r="O85" s="96"/>
      <c r="P85" s="96"/>
      <c r="Q85" s="96"/>
      <c r="R85" s="219"/>
      <c r="S85" s="96"/>
      <c r="T85" s="96"/>
      <c r="U85" s="96"/>
      <c r="V85" s="219">
        <v>44</v>
      </c>
      <c r="W85" s="96"/>
      <c r="X85" s="96"/>
      <c r="Y85" s="96"/>
      <c r="Z85" s="219">
        <v>110</v>
      </c>
      <c r="AA85" s="96"/>
      <c r="AB85" s="96"/>
      <c r="AC85" s="96"/>
      <c r="AD85" s="219"/>
      <c r="AE85" s="96"/>
      <c r="AF85" s="96"/>
      <c r="AG85" s="96"/>
      <c r="AH85" s="219"/>
      <c r="AI85" s="96"/>
      <c r="AJ85" s="96"/>
      <c r="AK85" s="96"/>
      <c r="AL85" s="219"/>
      <c r="AM85" s="96"/>
      <c r="AN85" s="96"/>
      <c r="AO85" s="96"/>
      <c r="AP85" s="219"/>
      <c r="AQ85" s="96"/>
      <c r="AR85" s="96"/>
      <c r="AS85" s="96"/>
      <c r="AT85" s="219"/>
      <c r="AU85" s="96"/>
      <c r="AV85" s="96"/>
      <c r="AW85" s="96"/>
    </row>
    <row r="86" spans="1:49" x14ac:dyDescent="0.2">
      <c r="A86" s="97"/>
      <c r="B86" s="96"/>
      <c r="C86" s="96"/>
      <c r="D86" s="96"/>
      <c r="E86" s="96"/>
      <c r="F86" s="219"/>
      <c r="G86" s="96"/>
      <c r="H86" s="96"/>
      <c r="I86" s="96"/>
      <c r="J86" s="219"/>
      <c r="K86" s="96"/>
      <c r="L86" s="96"/>
      <c r="M86" s="96"/>
      <c r="N86" s="219"/>
      <c r="O86" s="96"/>
      <c r="P86" s="96"/>
      <c r="Q86" s="96"/>
      <c r="R86" s="219"/>
      <c r="S86" s="96"/>
      <c r="T86" s="96"/>
      <c r="U86" s="96"/>
      <c r="V86" s="219"/>
      <c r="W86" s="96"/>
      <c r="X86" s="96"/>
      <c r="Y86" s="96"/>
      <c r="Z86" s="219"/>
      <c r="AA86" s="96"/>
      <c r="AB86" s="96"/>
      <c r="AC86" s="96"/>
      <c r="AD86" s="219"/>
      <c r="AE86" s="96"/>
      <c r="AF86" s="96"/>
      <c r="AG86" s="96"/>
      <c r="AH86" s="219"/>
      <c r="AI86" s="96"/>
      <c r="AJ86" s="96"/>
      <c r="AK86" s="96"/>
      <c r="AL86" s="219"/>
      <c r="AM86" s="96"/>
      <c r="AN86" s="96"/>
      <c r="AO86" s="96"/>
      <c r="AP86" s="219"/>
      <c r="AQ86" s="96"/>
      <c r="AR86" s="96"/>
      <c r="AS86" s="96"/>
      <c r="AT86" s="219"/>
      <c r="AU86" s="96"/>
      <c r="AV86" s="96"/>
      <c r="AW86" s="96"/>
    </row>
    <row r="87" spans="1:49" x14ac:dyDescent="0.2">
      <c r="A87" s="98" t="str">
        <f>'Conto Economico'!A225</f>
        <v>Cure mediche</v>
      </c>
      <c r="B87" s="99"/>
      <c r="C87" s="99"/>
      <c r="D87" s="99"/>
      <c r="E87" s="99"/>
      <c r="F87" s="218"/>
      <c r="G87" s="99"/>
      <c r="H87" s="99"/>
      <c r="I87" s="99"/>
      <c r="J87" s="218"/>
      <c r="K87" s="99"/>
      <c r="L87" s="99"/>
      <c r="M87" s="99"/>
      <c r="N87" s="218"/>
      <c r="O87" s="99"/>
      <c r="P87" s="99"/>
      <c r="Q87" s="99"/>
      <c r="R87" s="218"/>
      <c r="S87" s="99"/>
      <c r="T87" s="99"/>
      <c r="U87" s="99"/>
      <c r="V87" s="218"/>
      <c r="W87" s="99"/>
      <c r="X87" s="99"/>
      <c r="Y87" s="99"/>
      <c r="Z87" s="218"/>
      <c r="AA87" s="99"/>
      <c r="AB87" s="99"/>
      <c r="AC87" s="99"/>
      <c r="AD87" s="218"/>
      <c r="AE87" s="99"/>
      <c r="AF87" s="99"/>
      <c r="AG87" s="99"/>
      <c r="AH87" s="218"/>
      <c r="AI87" s="99"/>
      <c r="AJ87" s="99"/>
      <c r="AK87" s="99"/>
      <c r="AL87" s="218"/>
      <c r="AM87" s="99"/>
      <c r="AN87" s="99"/>
      <c r="AO87" s="99"/>
      <c r="AP87" s="218"/>
      <c r="AQ87" s="99"/>
      <c r="AR87" s="99"/>
      <c r="AS87" s="99"/>
      <c r="AT87" s="218"/>
      <c r="AU87" s="99"/>
      <c r="AV87" s="99"/>
      <c r="AW87" s="99"/>
    </row>
    <row r="88" spans="1:49" x14ac:dyDescent="0.2">
      <c r="A88" s="97" t="str">
        <f>'Conto Economico'!A226</f>
        <v>Cure mediche extra ass.</v>
      </c>
      <c r="B88" s="96"/>
      <c r="C88" s="96"/>
      <c r="D88" s="96"/>
      <c r="E88" s="96"/>
      <c r="F88" s="219"/>
      <c r="G88" s="96"/>
      <c r="H88" s="96"/>
      <c r="I88" s="96"/>
      <c r="J88" s="219"/>
      <c r="K88" s="96"/>
      <c r="L88" s="96"/>
      <c r="M88" s="96"/>
      <c r="N88" s="219"/>
      <c r="O88" s="96"/>
      <c r="P88" s="96"/>
      <c r="Q88" s="96"/>
      <c r="R88" s="219"/>
      <c r="S88" s="96"/>
      <c r="T88" s="96"/>
      <c r="U88" s="96"/>
      <c r="V88" s="219"/>
      <c r="W88" s="96"/>
      <c r="X88" s="96"/>
      <c r="Y88" s="96"/>
      <c r="Z88" s="219"/>
      <c r="AA88" s="96"/>
      <c r="AB88" s="96"/>
      <c r="AC88" s="96"/>
      <c r="AD88" s="219"/>
      <c r="AE88" s="96"/>
      <c r="AF88" s="96"/>
      <c r="AG88" s="96"/>
      <c r="AH88" s="219"/>
      <c r="AI88" s="96"/>
      <c r="AJ88" s="96"/>
      <c r="AK88" s="96"/>
      <c r="AL88" s="219"/>
      <c r="AM88" s="96"/>
      <c r="AN88" s="96"/>
      <c r="AO88" s="96"/>
      <c r="AP88" s="219"/>
      <c r="AQ88" s="96"/>
      <c r="AR88" s="96"/>
      <c r="AS88" s="96"/>
      <c r="AT88" s="219"/>
      <c r="AU88" s="96"/>
      <c r="AV88" s="96"/>
      <c r="AW88" s="96"/>
    </row>
    <row r="89" spans="1:49" x14ac:dyDescent="0.2">
      <c r="A89" s="97" t="str">
        <f>'Conto Economico'!A227</f>
        <v>Medicinali - Test Covid - Integratori</v>
      </c>
      <c r="B89" s="96"/>
      <c r="C89" s="96"/>
      <c r="D89" s="96"/>
      <c r="E89" s="96"/>
      <c r="F89" s="219"/>
      <c r="G89" s="96"/>
      <c r="H89" s="96"/>
      <c r="I89" s="96"/>
      <c r="J89" s="219"/>
      <c r="K89" s="96"/>
      <c r="L89" s="96"/>
      <c r="M89" s="96"/>
      <c r="N89" s="219"/>
      <c r="O89" s="96"/>
      <c r="P89" s="96"/>
      <c r="Q89" s="96"/>
      <c r="R89" s="219"/>
      <c r="S89" s="96"/>
      <c r="T89" s="96"/>
      <c r="U89" s="96"/>
      <c r="V89" s="219"/>
      <c r="W89" s="96"/>
      <c r="X89" s="96"/>
      <c r="Y89" s="96"/>
      <c r="Z89" s="219"/>
      <c r="AA89" s="96"/>
      <c r="AB89" s="96"/>
      <c r="AC89" s="96"/>
      <c r="AD89" s="219"/>
      <c r="AE89" s="96"/>
      <c r="AF89" s="96"/>
      <c r="AG89" s="96"/>
      <c r="AH89" s="219"/>
      <c r="AI89" s="96"/>
      <c r="AJ89" s="96"/>
      <c r="AK89" s="96"/>
      <c r="AL89" s="219"/>
      <c r="AM89" s="96"/>
      <c r="AN89" s="96"/>
      <c r="AO89" s="96"/>
      <c r="AP89" s="219"/>
      <c r="AQ89" s="96"/>
      <c r="AR89" s="96"/>
      <c r="AS89" s="96"/>
      <c r="AT89" s="219"/>
      <c r="AU89" s="96"/>
      <c r="AV89" s="96"/>
      <c r="AW89" s="96"/>
    </row>
    <row r="90" spans="1:49" x14ac:dyDescent="0.2">
      <c r="A90" s="97" t="str">
        <f>'Conto Economico'!A228</f>
        <v>Dentista</v>
      </c>
      <c r="B90" s="96"/>
      <c r="C90" s="96"/>
      <c r="D90" s="96"/>
      <c r="E90" s="96"/>
      <c r="F90" s="219"/>
      <c r="G90" s="96"/>
      <c r="H90" s="96"/>
      <c r="I90" s="96"/>
      <c r="J90" s="219"/>
      <c r="K90" s="96"/>
      <c r="L90" s="96"/>
      <c r="M90" s="96"/>
      <c r="N90" s="219"/>
      <c r="O90" s="96"/>
      <c r="P90" s="96"/>
      <c r="Q90" s="96"/>
      <c r="R90" s="219"/>
      <c r="S90" s="96"/>
      <c r="T90" s="96"/>
      <c r="U90" s="96"/>
      <c r="V90" s="219"/>
      <c r="W90" s="96"/>
      <c r="X90" s="96"/>
      <c r="Y90" s="96"/>
      <c r="Z90" s="219"/>
      <c r="AA90" s="96"/>
      <c r="AB90" s="96"/>
      <c r="AC90" s="96"/>
      <c r="AD90" s="219"/>
      <c r="AE90" s="96"/>
      <c r="AF90" s="96"/>
      <c r="AG90" s="96"/>
      <c r="AH90" s="219"/>
      <c r="AI90" s="96"/>
      <c r="AJ90" s="96"/>
      <c r="AK90" s="96"/>
      <c r="AL90" s="219"/>
      <c r="AM90" s="96"/>
      <c r="AN90" s="96"/>
      <c r="AO90" s="96"/>
      <c r="AP90" s="219"/>
      <c r="AQ90" s="96"/>
      <c r="AR90" s="96"/>
      <c r="AS90" s="96"/>
      <c r="AT90" s="219"/>
      <c r="AU90" s="96"/>
      <c r="AV90" s="96"/>
      <c r="AW90" s="96"/>
    </row>
    <row r="91" spans="1:49" x14ac:dyDescent="0.2">
      <c r="A91" s="97" t="str">
        <f>'Conto Economico'!A229</f>
        <v>Oculista - Occhiali</v>
      </c>
      <c r="B91" s="96"/>
      <c r="C91" s="96"/>
      <c r="D91" s="96"/>
      <c r="E91" s="96"/>
      <c r="F91" s="219"/>
      <c r="G91" s="96"/>
      <c r="H91" s="96"/>
      <c r="I91" s="96"/>
      <c r="J91" s="219"/>
      <c r="K91" s="96"/>
      <c r="L91" s="96"/>
      <c r="M91" s="96"/>
      <c r="N91" s="219"/>
      <c r="O91" s="96"/>
      <c r="P91" s="96"/>
      <c r="Q91" s="96"/>
      <c r="R91" s="219"/>
      <c r="S91" s="96"/>
      <c r="T91" s="96"/>
      <c r="U91" s="96"/>
      <c r="V91" s="219"/>
      <c r="W91" s="96"/>
      <c r="X91" s="96"/>
      <c r="Y91" s="96"/>
      <c r="Z91" s="219"/>
      <c r="AA91" s="96"/>
      <c r="AB91" s="96"/>
      <c r="AC91" s="96"/>
      <c r="AD91" s="219"/>
      <c r="AE91" s="96"/>
      <c r="AF91" s="96"/>
      <c r="AG91" s="96"/>
      <c r="AH91" s="219"/>
      <c r="AI91" s="96"/>
      <c r="AJ91" s="96"/>
      <c r="AK91" s="96"/>
      <c r="AL91" s="219"/>
      <c r="AM91" s="96"/>
      <c r="AN91" s="96"/>
      <c r="AO91" s="96"/>
      <c r="AP91" s="219"/>
      <c r="AQ91" s="96"/>
      <c r="AR91" s="96"/>
      <c r="AS91" s="96"/>
      <c r="AT91" s="219"/>
      <c r="AU91" s="96"/>
      <c r="AV91" s="96"/>
      <c r="AW91" s="96"/>
    </row>
    <row r="92" spans="1:49" x14ac:dyDescent="0.2">
      <c r="A92" s="97"/>
      <c r="B92" s="96"/>
      <c r="C92" s="96"/>
      <c r="D92" s="96"/>
      <c r="E92" s="96"/>
      <c r="F92" s="219"/>
      <c r="G92" s="96"/>
      <c r="H92" s="96"/>
      <c r="I92" s="96"/>
      <c r="J92" s="219"/>
      <c r="K92" s="96"/>
      <c r="L92" s="96"/>
      <c r="M92" s="96"/>
      <c r="N92" s="219"/>
      <c r="O92" s="96"/>
      <c r="P92" s="96"/>
      <c r="Q92" s="96"/>
      <c r="R92" s="219"/>
      <c r="S92" s="96"/>
      <c r="T92" s="96"/>
      <c r="U92" s="96"/>
      <c r="V92" s="219"/>
      <c r="W92" s="96"/>
      <c r="X92" s="96"/>
      <c r="Y92" s="96"/>
      <c r="Z92" s="219"/>
      <c r="AA92" s="96"/>
      <c r="AB92" s="96"/>
      <c r="AC92" s="96"/>
      <c r="AD92" s="219"/>
      <c r="AE92" s="96"/>
      <c r="AF92" s="96"/>
      <c r="AG92" s="96"/>
      <c r="AH92" s="219"/>
      <c r="AI92" s="96"/>
      <c r="AJ92" s="96"/>
      <c r="AK92" s="96"/>
      <c r="AL92" s="219"/>
      <c r="AM92" s="96"/>
      <c r="AN92" s="96"/>
      <c r="AO92" s="96"/>
      <c r="AP92" s="219"/>
      <c r="AQ92" s="96"/>
      <c r="AR92" s="96"/>
      <c r="AS92" s="96"/>
      <c r="AT92" s="219"/>
      <c r="AU92" s="96"/>
      <c r="AV92" s="96"/>
      <c r="AW92" s="96"/>
    </row>
    <row r="93" spans="1:49" x14ac:dyDescent="0.2">
      <c r="A93" s="98" t="str">
        <f>'Conto Economico'!A231</f>
        <v>Imposte Spagna</v>
      </c>
      <c r="B93" s="99"/>
      <c r="C93" s="99"/>
      <c r="D93" s="99"/>
      <c r="E93" s="99"/>
      <c r="F93" s="218"/>
      <c r="G93" s="99"/>
      <c r="H93" s="99"/>
      <c r="I93" s="99"/>
      <c r="J93" s="218"/>
      <c r="K93" s="99"/>
      <c r="L93" s="99"/>
      <c r="M93" s="99"/>
      <c r="N93" s="218"/>
      <c r="O93" s="99"/>
      <c r="P93" s="99"/>
      <c r="Q93" s="99"/>
      <c r="R93" s="218"/>
      <c r="S93" s="99"/>
      <c r="T93" s="99"/>
      <c r="U93" s="99"/>
      <c r="V93" s="218"/>
      <c r="W93" s="99"/>
      <c r="X93" s="99"/>
      <c r="Y93" s="99"/>
      <c r="Z93" s="218"/>
      <c r="AA93" s="99"/>
      <c r="AB93" s="99"/>
      <c r="AC93" s="99"/>
      <c r="AD93" s="218"/>
      <c r="AE93" s="99"/>
      <c r="AF93" s="99"/>
      <c r="AG93" s="99"/>
      <c r="AH93" s="218"/>
      <c r="AI93" s="99"/>
      <c r="AJ93" s="99"/>
      <c r="AK93" s="99"/>
      <c r="AL93" s="218"/>
      <c r="AM93" s="99"/>
      <c r="AN93" s="99"/>
      <c r="AO93" s="99"/>
      <c r="AP93" s="218"/>
      <c r="AQ93" s="99"/>
      <c r="AR93" s="99"/>
      <c r="AS93" s="99"/>
      <c r="AT93" s="218"/>
      <c r="AU93" s="99"/>
      <c r="AV93" s="99"/>
      <c r="AW93" s="99"/>
    </row>
    <row r="94" spans="1:49" x14ac:dyDescent="0.2">
      <c r="A94" s="97" t="str">
        <f>'Conto Economico'!A232</f>
        <v>IBI</v>
      </c>
      <c r="B94" s="96"/>
      <c r="C94" s="96"/>
      <c r="D94" s="96"/>
      <c r="E94" s="96"/>
      <c r="F94" s="219"/>
      <c r="G94" s="96"/>
      <c r="H94" s="96"/>
      <c r="I94" s="96"/>
      <c r="J94" s="219"/>
      <c r="K94" s="96"/>
      <c r="L94" s="96"/>
      <c r="M94" s="96"/>
      <c r="N94" s="219"/>
      <c r="O94" s="96"/>
      <c r="P94" s="96"/>
      <c r="Q94" s="96"/>
      <c r="R94" s="219"/>
      <c r="S94" s="96"/>
      <c r="T94" s="96"/>
      <c r="U94" s="96"/>
      <c r="V94" s="219"/>
      <c r="W94" s="96"/>
      <c r="X94" s="96"/>
      <c r="Y94" s="96"/>
      <c r="Z94" s="219"/>
      <c r="AA94" s="96"/>
      <c r="AB94" s="96"/>
      <c r="AC94" s="96"/>
      <c r="AD94" s="219"/>
      <c r="AE94" s="96"/>
      <c r="AF94" s="96"/>
      <c r="AG94" s="96"/>
      <c r="AH94" s="219"/>
      <c r="AI94" s="96"/>
      <c r="AJ94" s="96"/>
      <c r="AK94" s="96"/>
      <c r="AL94" s="219"/>
      <c r="AM94" s="96"/>
      <c r="AN94" s="96"/>
      <c r="AO94" s="96"/>
      <c r="AP94" s="219"/>
      <c r="AQ94" s="96"/>
      <c r="AR94" s="96"/>
      <c r="AS94" s="96"/>
      <c r="AT94" s="219"/>
      <c r="AU94" s="96"/>
      <c r="AV94" s="96"/>
      <c r="AW94" s="96"/>
    </row>
    <row r="95" spans="1:49" x14ac:dyDescent="0.2">
      <c r="A95" s="97" t="str">
        <f>'Conto Economico'!A233</f>
        <v>Imposte Spagna</v>
      </c>
      <c r="B95" s="96"/>
      <c r="C95" s="96"/>
      <c r="D95" s="96"/>
      <c r="E95" s="96"/>
      <c r="F95" s="219"/>
      <c r="G95" s="96"/>
      <c r="H95" s="96"/>
      <c r="I95" s="96"/>
      <c r="J95" s="219"/>
      <c r="K95" s="96"/>
      <c r="L95" s="96"/>
      <c r="M95" s="96"/>
      <c r="N95" s="219"/>
      <c r="O95" s="96"/>
      <c r="P95" s="96"/>
      <c r="Q95" s="96"/>
      <c r="R95" s="219"/>
      <c r="S95" s="96"/>
      <c r="T95" s="96"/>
      <c r="U95" s="96"/>
      <c r="V95" s="219"/>
      <c r="W95" s="96"/>
      <c r="X95" s="96"/>
      <c r="Y95" s="96"/>
      <c r="Z95" s="219"/>
      <c r="AA95" s="96"/>
      <c r="AB95" s="96"/>
      <c r="AC95" s="96"/>
      <c r="AD95" s="219"/>
      <c r="AE95" s="96"/>
      <c r="AF95" s="96"/>
      <c r="AG95" s="96"/>
      <c r="AH95" s="219"/>
      <c r="AI95" s="96"/>
      <c r="AJ95" s="96"/>
      <c r="AK95" s="96"/>
      <c r="AL95" s="219"/>
      <c r="AM95" s="96"/>
      <c r="AN95" s="96"/>
      <c r="AO95" s="96"/>
      <c r="AP95" s="219"/>
      <c r="AQ95" s="96"/>
      <c r="AR95" s="96"/>
      <c r="AS95" s="96"/>
      <c r="AT95" s="219"/>
      <c r="AU95" s="96"/>
      <c r="AV95" s="96"/>
      <c r="AW95" s="96"/>
    </row>
    <row r="96" spans="1:49" x14ac:dyDescent="0.2">
      <c r="A96" s="97" t="str">
        <f>'Conto Economico'!A234</f>
        <v>Commercialista Spagna</v>
      </c>
      <c r="B96" s="96"/>
      <c r="C96" s="96"/>
      <c r="D96" s="96"/>
      <c r="E96" s="96"/>
      <c r="F96" s="219"/>
      <c r="G96" s="96"/>
      <c r="H96" s="96"/>
      <c r="I96" s="96"/>
      <c r="J96" s="219"/>
      <c r="K96" s="96"/>
      <c r="L96" s="96"/>
      <c r="M96" s="96"/>
      <c r="N96" s="219"/>
      <c r="O96" s="96"/>
      <c r="P96" s="96"/>
      <c r="Q96" s="96"/>
      <c r="R96" s="219"/>
      <c r="S96" s="96"/>
      <c r="T96" s="96"/>
      <c r="U96" s="96"/>
      <c r="V96" s="219"/>
      <c r="W96" s="96"/>
      <c r="X96" s="96"/>
      <c r="Y96" s="96"/>
      <c r="Z96" s="219"/>
      <c r="AA96" s="96"/>
      <c r="AB96" s="96"/>
      <c r="AC96" s="96"/>
      <c r="AD96" s="219"/>
      <c r="AE96" s="96"/>
      <c r="AF96" s="96"/>
      <c r="AG96" s="96"/>
      <c r="AH96" s="219"/>
      <c r="AI96" s="96"/>
      <c r="AJ96" s="96"/>
      <c r="AK96" s="96"/>
      <c r="AL96" s="219"/>
      <c r="AM96" s="96"/>
      <c r="AN96" s="96"/>
      <c r="AO96" s="96"/>
      <c r="AP96" s="219"/>
      <c r="AQ96" s="96"/>
      <c r="AR96" s="96"/>
      <c r="AS96" s="96"/>
      <c r="AT96" s="219"/>
      <c r="AU96" s="96"/>
      <c r="AV96" s="96"/>
      <c r="AW96" s="96"/>
    </row>
    <row r="97" spans="1:49" x14ac:dyDescent="0.2">
      <c r="A97" s="97"/>
      <c r="B97" s="96"/>
      <c r="C97" s="96"/>
      <c r="D97" s="96"/>
      <c r="E97" s="96"/>
      <c r="F97" s="219"/>
      <c r="G97" s="96"/>
      <c r="H97" s="96"/>
      <c r="I97" s="96"/>
      <c r="J97" s="219"/>
      <c r="K97" s="96"/>
      <c r="L97" s="96"/>
      <c r="M97" s="96"/>
      <c r="N97" s="219"/>
      <c r="O97" s="96"/>
      <c r="P97" s="96"/>
      <c r="Q97" s="96"/>
      <c r="R97" s="219"/>
      <c r="S97" s="96"/>
      <c r="T97" s="96"/>
      <c r="U97" s="96"/>
      <c r="V97" s="219"/>
      <c r="W97" s="96"/>
      <c r="X97" s="96"/>
      <c r="Y97" s="96"/>
      <c r="Z97" s="219"/>
      <c r="AA97" s="96"/>
      <c r="AB97" s="96"/>
      <c r="AC97" s="96"/>
      <c r="AD97" s="219"/>
      <c r="AE97" s="96"/>
      <c r="AF97" s="96"/>
      <c r="AG97" s="96"/>
      <c r="AH97" s="219"/>
      <c r="AI97" s="96"/>
      <c r="AJ97" s="96"/>
      <c r="AK97" s="96"/>
      <c r="AL97" s="219"/>
      <c r="AM97" s="96"/>
      <c r="AN97" s="96"/>
      <c r="AO97" s="96"/>
      <c r="AP97" s="219"/>
      <c r="AQ97" s="96"/>
      <c r="AR97" s="96"/>
      <c r="AS97" s="96"/>
      <c r="AT97" s="219"/>
      <c r="AU97" s="96"/>
      <c r="AV97" s="96"/>
      <c r="AW97" s="96"/>
    </row>
    <row r="98" spans="1:49" x14ac:dyDescent="0.2">
      <c r="A98" s="98" t="str">
        <f>'Conto Economico'!A236</f>
        <v>Imposte Italia</v>
      </c>
      <c r="B98" s="99"/>
      <c r="C98" s="99"/>
      <c r="D98" s="99"/>
      <c r="E98" s="99"/>
      <c r="F98" s="218"/>
      <c r="G98" s="99"/>
      <c r="H98" s="99"/>
      <c r="I98" s="99"/>
      <c r="J98" s="218"/>
      <c r="K98" s="99"/>
      <c r="L98" s="99"/>
      <c r="M98" s="99"/>
      <c r="N98" s="218"/>
      <c r="O98" s="99"/>
      <c r="P98" s="99"/>
      <c r="Q98" s="99"/>
      <c r="R98" s="218"/>
      <c r="S98" s="99"/>
      <c r="T98" s="99"/>
      <c r="U98" s="99"/>
      <c r="V98" s="218"/>
      <c r="W98" s="99"/>
      <c r="X98" s="99"/>
      <c r="Y98" s="99"/>
      <c r="Z98" s="218"/>
      <c r="AA98" s="99"/>
      <c r="AB98" s="99"/>
      <c r="AC98" s="99"/>
      <c r="AD98" s="218"/>
      <c r="AE98" s="99"/>
      <c r="AF98" s="99"/>
      <c r="AG98" s="99"/>
      <c r="AH98" s="218"/>
      <c r="AI98" s="99"/>
      <c r="AJ98" s="99"/>
      <c r="AK98" s="99"/>
      <c r="AL98" s="218"/>
      <c r="AM98" s="99"/>
      <c r="AN98" s="99"/>
      <c r="AO98" s="99"/>
      <c r="AP98" s="218"/>
      <c r="AQ98" s="99"/>
      <c r="AR98" s="99"/>
      <c r="AS98" s="99"/>
      <c r="AT98" s="218"/>
      <c r="AU98" s="99"/>
      <c r="AV98" s="99"/>
      <c r="AW98" s="99"/>
    </row>
    <row r="99" spans="1:49" x14ac:dyDescent="0.2">
      <c r="A99" s="97" t="str">
        <f>'Conto Economico'!A237</f>
        <v>Imposte Italia</v>
      </c>
      <c r="B99" s="96"/>
      <c r="C99" s="96"/>
      <c r="D99" s="96"/>
      <c r="E99" s="96"/>
      <c r="F99" s="219"/>
      <c r="G99" s="96"/>
      <c r="H99" s="96"/>
      <c r="I99" s="96"/>
      <c r="J99" s="219"/>
      <c r="K99" s="96"/>
      <c r="L99" s="96"/>
      <c r="M99" s="96"/>
      <c r="N99" s="219"/>
      <c r="O99" s="96"/>
      <c r="P99" s="96"/>
      <c r="Q99" s="96"/>
      <c r="R99" s="219"/>
      <c r="S99" s="96"/>
      <c r="T99" s="96"/>
      <c r="U99" s="96"/>
      <c r="V99" s="219"/>
      <c r="W99" s="96"/>
      <c r="X99" s="96"/>
      <c r="Y99" s="96"/>
      <c r="Z99" s="219"/>
      <c r="AA99" s="96"/>
      <c r="AB99" s="96"/>
      <c r="AC99" s="96"/>
      <c r="AD99" s="219"/>
      <c r="AE99" s="96"/>
      <c r="AF99" s="96"/>
      <c r="AG99" s="96"/>
      <c r="AH99" s="219"/>
      <c r="AI99" s="96"/>
      <c r="AJ99" s="96"/>
      <c r="AK99" s="96"/>
      <c r="AL99" s="219"/>
      <c r="AM99" s="96"/>
      <c r="AN99" s="96"/>
      <c r="AO99" s="96"/>
      <c r="AP99" s="219"/>
      <c r="AQ99" s="96"/>
      <c r="AR99" s="96"/>
      <c r="AS99" s="96"/>
      <c r="AT99" s="219"/>
      <c r="AU99" s="96"/>
      <c r="AV99" s="96"/>
      <c r="AW99" s="96"/>
    </row>
    <row r="100" spans="1:49" x14ac:dyDescent="0.2">
      <c r="A100" s="97" t="str">
        <f>'Conto Economico'!A238</f>
        <v>Imposta di Bollo Titoli e CC</v>
      </c>
      <c r="B100" s="96"/>
      <c r="C100" s="96"/>
      <c r="D100" s="96"/>
      <c r="E100" s="96"/>
      <c r="F100" s="219"/>
      <c r="G100" s="96"/>
      <c r="H100" s="96"/>
      <c r="I100" s="96"/>
      <c r="J100" s="219"/>
      <c r="K100" s="96"/>
      <c r="L100" s="96"/>
      <c r="M100" s="96"/>
      <c r="N100" s="219"/>
      <c r="O100" s="96"/>
      <c r="P100" s="96"/>
      <c r="Q100" s="96"/>
      <c r="R100" s="219"/>
      <c r="S100" s="96"/>
      <c r="T100" s="96"/>
      <c r="U100" s="96"/>
      <c r="V100" s="219"/>
      <c r="W100" s="96"/>
      <c r="X100" s="96"/>
      <c r="Y100" s="96"/>
      <c r="Z100" s="219"/>
      <c r="AA100" s="96"/>
      <c r="AB100" s="96"/>
      <c r="AC100" s="96"/>
      <c r="AD100" s="219"/>
      <c r="AE100" s="96"/>
      <c r="AF100" s="96"/>
      <c r="AG100" s="96"/>
      <c r="AH100" s="219"/>
      <c r="AI100" s="96"/>
      <c r="AJ100" s="96"/>
      <c r="AK100" s="96"/>
      <c r="AL100" s="219"/>
      <c r="AM100" s="96"/>
      <c r="AN100" s="96"/>
      <c r="AO100" s="96"/>
      <c r="AP100" s="219"/>
      <c r="AQ100" s="96"/>
      <c r="AR100" s="96"/>
      <c r="AS100" s="96"/>
      <c r="AT100" s="219"/>
      <c r="AU100" s="96"/>
      <c r="AV100" s="96"/>
      <c r="AW100" s="96"/>
    </row>
    <row r="101" spans="1:49" x14ac:dyDescent="0.2">
      <c r="A101" s="97" t="str">
        <f>'Conto Economico'!A239</f>
        <v>Commercialista Italia</v>
      </c>
      <c r="B101" s="96"/>
      <c r="C101" s="96"/>
      <c r="D101" s="96"/>
      <c r="E101" s="96"/>
      <c r="F101" s="219"/>
      <c r="G101" s="96"/>
      <c r="H101" s="96"/>
      <c r="I101" s="96"/>
      <c r="J101" s="219"/>
      <c r="K101" s="96"/>
      <c r="L101" s="96"/>
      <c r="M101" s="96"/>
      <c r="N101" s="219"/>
      <c r="O101" s="96"/>
      <c r="P101" s="96"/>
      <c r="Q101" s="96"/>
      <c r="R101" s="219"/>
      <c r="S101" s="96"/>
      <c r="T101" s="96"/>
      <c r="U101" s="96"/>
      <c r="V101" s="219"/>
      <c r="W101" s="96"/>
      <c r="X101" s="96"/>
      <c r="Y101" s="96"/>
      <c r="Z101" s="219"/>
      <c r="AA101" s="96"/>
      <c r="AB101" s="96"/>
      <c r="AC101" s="96"/>
      <c r="AD101" s="219"/>
      <c r="AE101" s="96"/>
      <c r="AF101" s="96"/>
      <c r="AG101" s="96"/>
      <c r="AH101" s="219"/>
      <c r="AI101" s="96"/>
      <c r="AJ101" s="96"/>
      <c r="AK101" s="96"/>
      <c r="AL101" s="219"/>
      <c r="AM101" s="96"/>
      <c r="AN101" s="96"/>
      <c r="AO101" s="96"/>
      <c r="AP101" s="219"/>
      <c r="AQ101" s="96"/>
      <c r="AR101" s="96"/>
      <c r="AS101" s="96"/>
      <c r="AT101" s="219"/>
      <c r="AU101" s="96"/>
      <c r="AV101" s="96"/>
      <c r="AW101" s="96"/>
    </row>
    <row r="102" spans="1:49" x14ac:dyDescent="0.2">
      <c r="A102" s="97"/>
      <c r="B102" s="96"/>
      <c r="C102" s="96"/>
      <c r="D102" s="96"/>
      <c r="E102" s="96"/>
      <c r="F102" s="219"/>
      <c r="G102" s="96"/>
      <c r="H102" s="96"/>
      <c r="I102" s="96"/>
      <c r="J102" s="219"/>
      <c r="K102" s="96"/>
      <c r="L102" s="96"/>
      <c r="M102" s="96"/>
      <c r="N102" s="219"/>
      <c r="O102" s="96"/>
      <c r="P102" s="96"/>
      <c r="Q102" s="96"/>
      <c r="R102" s="219"/>
      <c r="S102" s="96"/>
      <c r="T102" s="96"/>
      <c r="U102" s="96"/>
      <c r="V102" s="219"/>
      <c r="W102" s="96"/>
      <c r="X102" s="96"/>
      <c r="Y102" s="96"/>
      <c r="Z102" s="219"/>
      <c r="AA102" s="96"/>
      <c r="AB102" s="96"/>
      <c r="AC102" s="96"/>
      <c r="AD102" s="219"/>
      <c r="AE102" s="96"/>
      <c r="AF102" s="96"/>
      <c r="AG102" s="96"/>
      <c r="AH102" s="219"/>
      <c r="AI102" s="96"/>
      <c r="AJ102" s="96"/>
      <c r="AK102" s="96"/>
      <c r="AL102" s="219"/>
      <c r="AM102" s="96"/>
      <c r="AN102" s="96"/>
      <c r="AO102" s="96"/>
      <c r="AP102" s="219"/>
      <c r="AQ102" s="96"/>
      <c r="AR102" s="96"/>
      <c r="AS102" s="96"/>
      <c r="AT102" s="219"/>
      <c r="AU102" s="96"/>
      <c r="AV102" s="96"/>
      <c r="AW102" s="96"/>
    </row>
    <row r="103" spans="1:49" x14ac:dyDescent="0.2">
      <c r="A103" s="98" t="str">
        <f>'Conto Economico'!A241</f>
        <v>Commissioni Bancarie</v>
      </c>
      <c r="B103" s="99"/>
      <c r="C103" s="99"/>
      <c r="D103" s="99"/>
      <c r="E103" s="99"/>
      <c r="F103" s="218"/>
      <c r="G103" s="99"/>
      <c r="H103" s="99"/>
      <c r="I103" s="99"/>
      <c r="J103" s="218"/>
      <c r="K103" s="99"/>
      <c r="L103" s="99"/>
      <c r="M103" s="99"/>
      <c r="N103" s="218"/>
      <c r="O103" s="99"/>
      <c r="P103" s="99"/>
      <c r="Q103" s="99"/>
      <c r="R103" s="218"/>
      <c r="S103" s="99"/>
      <c r="T103" s="99"/>
      <c r="U103" s="99"/>
      <c r="V103" s="218"/>
      <c r="W103" s="99"/>
      <c r="X103" s="99"/>
      <c r="Y103" s="99"/>
      <c r="Z103" s="218"/>
      <c r="AA103" s="99"/>
      <c r="AB103" s="99"/>
      <c r="AC103" s="99"/>
      <c r="AD103" s="218"/>
      <c r="AE103" s="99"/>
      <c r="AF103" s="99"/>
      <c r="AG103" s="99"/>
      <c r="AH103" s="218"/>
      <c r="AI103" s="99"/>
      <c r="AJ103" s="99"/>
      <c r="AK103" s="99"/>
      <c r="AL103" s="218"/>
      <c r="AM103" s="99"/>
      <c r="AN103" s="99"/>
      <c r="AO103" s="99"/>
      <c r="AP103" s="218"/>
      <c r="AQ103" s="99"/>
      <c r="AR103" s="99"/>
      <c r="AS103" s="99"/>
      <c r="AT103" s="218"/>
      <c r="AU103" s="99"/>
      <c r="AV103" s="99"/>
      <c r="AW103" s="99"/>
    </row>
    <row r="104" spans="1:49" x14ac:dyDescent="0.2">
      <c r="A104" s="97" t="str">
        <f>'Conto Economico'!A242</f>
        <v>Commissioni Amex</v>
      </c>
      <c r="B104" s="96"/>
      <c r="C104" s="96"/>
      <c r="D104" s="96"/>
      <c r="E104" s="96"/>
      <c r="F104" s="219"/>
      <c r="G104" s="96"/>
      <c r="H104" s="96"/>
      <c r="I104" s="96"/>
      <c r="J104" s="219"/>
      <c r="K104" s="96"/>
      <c r="L104" s="96"/>
      <c r="M104" s="96"/>
      <c r="N104" s="219"/>
      <c r="O104" s="96"/>
      <c r="P104" s="96"/>
      <c r="Q104" s="96"/>
      <c r="R104" s="219"/>
      <c r="S104" s="96"/>
      <c r="T104" s="96"/>
      <c r="U104" s="96"/>
      <c r="V104" s="219"/>
      <c r="W104" s="96"/>
      <c r="X104" s="96"/>
      <c r="Y104" s="96"/>
      <c r="Z104" s="219"/>
      <c r="AA104" s="96"/>
      <c r="AB104" s="96"/>
      <c r="AC104" s="96"/>
      <c r="AD104" s="219"/>
      <c r="AE104" s="96"/>
      <c r="AF104" s="96"/>
      <c r="AG104" s="96"/>
      <c r="AH104" s="219"/>
      <c r="AI104" s="96"/>
      <c r="AJ104" s="96"/>
      <c r="AK104" s="96"/>
      <c r="AL104" s="219"/>
      <c r="AM104" s="96"/>
      <c r="AN104" s="96"/>
      <c r="AO104" s="96"/>
      <c r="AP104" s="219"/>
      <c r="AQ104" s="96"/>
      <c r="AR104" s="96"/>
      <c r="AS104" s="96"/>
      <c r="AT104" s="219"/>
      <c r="AU104" s="96"/>
      <c r="AV104" s="96"/>
      <c r="AW104" s="96"/>
    </row>
    <row r="105" spans="1:49" x14ac:dyDescent="0.2">
      <c r="A105" s="97" t="str">
        <f>'Conto Economico'!A243</f>
        <v>Commissioni Bancarie su Investimenti</v>
      </c>
      <c r="B105" s="96"/>
      <c r="C105" s="96"/>
      <c r="D105" s="96"/>
      <c r="E105" s="96"/>
      <c r="F105" s="219"/>
      <c r="G105" s="96"/>
      <c r="H105" s="96"/>
      <c r="I105" s="96"/>
      <c r="J105" s="219"/>
      <c r="K105" s="96"/>
      <c r="L105" s="96"/>
      <c r="M105" s="96"/>
      <c r="N105" s="219"/>
      <c r="O105" s="96"/>
      <c r="P105" s="96"/>
      <c r="Q105" s="96"/>
      <c r="R105" s="219"/>
      <c r="S105" s="96"/>
      <c r="T105" s="96"/>
      <c r="U105" s="96"/>
      <c r="V105" s="219"/>
      <c r="W105" s="96"/>
      <c r="X105" s="96"/>
      <c r="Y105" s="96"/>
      <c r="Z105" s="219"/>
      <c r="AA105" s="96"/>
      <c r="AB105" s="96"/>
      <c r="AC105" s="96"/>
      <c r="AD105" s="219"/>
      <c r="AE105" s="96"/>
      <c r="AF105" s="96"/>
      <c r="AG105" s="96"/>
      <c r="AH105" s="219"/>
      <c r="AI105" s="96"/>
      <c r="AJ105" s="96"/>
      <c r="AK105" s="96"/>
      <c r="AL105" s="219"/>
      <c r="AM105" s="96"/>
      <c r="AN105" s="96"/>
      <c r="AO105" s="96"/>
      <c r="AP105" s="219"/>
      <c r="AQ105" s="96"/>
      <c r="AR105" s="96"/>
      <c r="AS105" s="96"/>
      <c r="AT105" s="219"/>
      <c r="AU105" s="96"/>
      <c r="AV105" s="96"/>
      <c r="AW105" s="96"/>
    </row>
    <row r="106" spans="1:49" x14ac:dyDescent="0.2">
      <c r="A106" s="97" t="str">
        <f>'Conto Economico'!A244</f>
        <v>Altre Commissioni Bancarie</v>
      </c>
      <c r="B106" s="96"/>
      <c r="C106" s="96"/>
      <c r="D106" s="96"/>
      <c r="E106" s="96"/>
      <c r="F106" s="219"/>
      <c r="G106" s="96"/>
      <c r="H106" s="96"/>
      <c r="I106" s="96"/>
      <c r="J106" s="219"/>
      <c r="K106" s="96"/>
      <c r="L106" s="96"/>
      <c r="M106" s="96"/>
      <c r="N106" s="219"/>
      <c r="O106" s="96"/>
      <c r="P106" s="96"/>
      <c r="Q106" s="96"/>
      <c r="R106" s="219"/>
      <c r="S106" s="96"/>
      <c r="T106" s="96"/>
      <c r="U106" s="96"/>
      <c r="V106" s="219"/>
      <c r="W106" s="96"/>
      <c r="X106" s="96"/>
      <c r="Y106" s="96"/>
      <c r="Z106" s="219"/>
      <c r="AA106" s="96"/>
      <c r="AB106" s="96"/>
      <c r="AC106" s="96"/>
      <c r="AD106" s="219"/>
      <c r="AE106" s="96"/>
      <c r="AF106" s="96"/>
      <c r="AG106" s="96"/>
      <c r="AH106" s="219"/>
      <c r="AI106" s="96"/>
      <c r="AJ106" s="96"/>
      <c r="AK106" s="96"/>
      <c r="AL106" s="219"/>
      <c r="AM106" s="96"/>
      <c r="AN106" s="96"/>
      <c r="AO106" s="96"/>
      <c r="AP106" s="219"/>
      <c r="AQ106" s="96"/>
      <c r="AR106" s="96"/>
      <c r="AS106" s="96"/>
      <c r="AT106" s="219"/>
      <c r="AU106" s="96"/>
      <c r="AV106" s="96"/>
      <c r="AW106" s="96"/>
    </row>
    <row r="107" spans="1:49" x14ac:dyDescent="0.2">
      <c r="A107" s="97"/>
      <c r="B107" s="96"/>
      <c r="C107" s="96"/>
      <c r="D107" s="96"/>
      <c r="E107" s="96"/>
      <c r="F107" s="219"/>
      <c r="G107" s="96"/>
      <c r="H107" s="96"/>
      <c r="I107" s="96"/>
      <c r="J107" s="219"/>
      <c r="K107" s="96"/>
      <c r="L107" s="96"/>
      <c r="M107" s="96"/>
      <c r="N107" s="219"/>
      <c r="O107" s="96"/>
      <c r="P107" s="96"/>
      <c r="Q107" s="96"/>
      <c r="R107" s="219"/>
      <c r="S107" s="96"/>
      <c r="T107" s="96"/>
      <c r="U107" s="96"/>
      <c r="V107" s="219"/>
      <c r="W107" s="96"/>
      <c r="X107" s="96"/>
      <c r="Y107" s="96"/>
      <c r="Z107" s="219"/>
      <c r="AA107" s="96"/>
      <c r="AB107" s="96"/>
      <c r="AC107" s="96"/>
      <c r="AD107" s="219"/>
      <c r="AE107" s="96"/>
      <c r="AF107" s="96"/>
      <c r="AG107" s="96"/>
      <c r="AH107" s="219"/>
      <c r="AI107" s="96"/>
      <c r="AJ107" s="96"/>
      <c r="AK107" s="96"/>
      <c r="AL107" s="219"/>
      <c r="AM107" s="96"/>
      <c r="AN107" s="96"/>
      <c r="AO107" s="96"/>
      <c r="AP107" s="219"/>
      <c r="AQ107" s="96"/>
      <c r="AR107" s="96"/>
      <c r="AS107" s="96"/>
      <c r="AT107" s="219"/>
      <c r="AU107" s="96"/>
      <c r="AV107" s="96"/>
      <c r="AW107" s="96"/>
    </row>
    <row r="108" spans="1:49" x14ac:dyDescent="0.2">
      <c r="A108" s="98" t="str">
        <f>'Conto Economico'!A246</f>
        <v>Altre Spese</v>
      </c>
      <c r="B108" s="99"/>
      <c r="C108" s="99"/>
      <c r="D108" s="99"/>
      <c r="E108" s="99"/>
      <c r="F108" s="218"/>
      <c r="G108" s="99"/>
      <c r="H108" s="99"/>
      <c r="I108" s="99"/>
      <c r="J108" s="218"/>
      <c r="K108" s="99"/>
      <c r="L108" s="99"/>
      <c r="M108" s="99"/>
      <c r="N108" s="218"/>
      <c r="O108" s="99"/>
      <c r="P108" s="99"/>
      <c r="Q108" s="99"/>
      <c r="R108" s="218"/>
      <c r="S108" s="99"/>
      <c r="T108" s="99"/>
      <c r="U108" s="99"/>
      <c r="V108" s="218"/>
      <c r="W108" s="99"/>
      <c r="X108" s="99"/>
      <c r="Y108" s="99"/>
      <c r="Z108" s="218"/>
      <c r="AA108" s="99"/>
      <c r="AB108" s="99"/>
      <c r="AC108" s="99"/>
      <c r="AD108" s="218"/>
      <c r="AE108" s="99"/>
      <c r="AF108" s="99"/>
      <c r="AG108" s="99"/>
      <c r="AH108" s="218"/>
      <c r="AI108" s="99"/>
      <c r="AJ108" s="99"/>
      <c r="AK108" s="99"/>
      <c r="AL108" s="218"/>
      <c r="AM108" s="99"/>
      <c r="AN108" s="99"/>
      <c r="AO108" s="99"/>
      <c r="AP108" s="218"/>
      <c r="AQ108" s="99"/>
      <c r="AR108" s="99"/>
      <c r="AS108" s="99"/>
      <c r="AT108" s="218"/>
      <c r="AU108" s="99"/>
      <c r="AV108" s="99"/>
      <c r="AW108" s="99"/>
    </row>
    <row r="109" spans="1:49" x14ac:dyDescent="0.2">
      <c r="A109" s="97" t="str">
        <f>'Conto Economico'!A247</f>
        <v>Animali domestici</v>
      </c>
      <c r="B109" s="96"/>
      <c r="C109" s="96"/>
      <c r="D109" s="96"/>
      <c r="E109" s="96"/>
      <c r="F109" s="219"/>
      <c r="G109" s="96"/>
      <c r="H109" s="96"/>
      <c r="I109" s="96"/>
      <c r="J109" s="219"/>
      <c r="K109" s="96"/>
      <c r="L109" s="96"/>
      <c r="M109" s="96"/>
      <c r="N109" s="219"/>
      <c r="O109" s="96"/>
      <c r="P109" s="96"/>
      <c r="Q109" s="96"/>
      <c r="R109" s="219"/>
      <c r="S109" s="96"/>
      <c r="T109" s="96"/>
      <c r="U109" s="96"/>
      <c r="V109" s="219"/>
      <c r="W109" s="96"/>
      <c r="X109" s="96"/>
      <c r="Y109" s="96"/>
      <c r="Z109" s="219"/>
      <c r="AA109" s="96"/>
      <c r="AB109" s="96"/>
      <c r="AC109" s="96"/>
      <c r="AD109" s="219"/>
      <c r="AE109" s="96"/>
      <c r="AF109" s="96"/>
      <c r="AG109" s="96"/>
      <c r="AH109" s="219"/>
      <c r="AI109" s="96"/>
      <c r="AJ109" s="96"/>
      <c r="AK109" s="96"/>
      <c r="AL109" s="219"/>
      <c r="AM109" s="96"/>
      <c r="AN109" s="96"/>
      <c r="AO109" s="96"/>
      <c r="AP109" s="219"/>
      <c r="AQ109" s="96"/>
      <c r="AR109" s="96"/>
      <c r="AS109" s="96"/>
      <c r="AT109" s="219"/>
      <c r="AU109" s="96"/>
      <c r="AV109" s="96"/>
      <c r="AW109" s="96"/>
    </row>
    <row r="110" spans="1:49" x14ac:dyDescent="0.2">
      <c r="A110" s="97" t="str">
        <f>'Conto Economico'!A248</f>
        <v>Eventi musicali - Teatro - Musei</v>
      </c>
      <c r="B110" s="96"/>
      <c r="C110" s="96"/>
      <c r="D110" s="96"/>
      <c r="E110" s="96"/>
      <c r="F110" s="219"/>
      <c r="G110" s="96"/>
      <c r="H110" s="96"/>
      <c r="I110" s="96"/>
      <c r="J110" s="219"/>
      <c r="K110" s="96"/>
      <c r="L110" s="96"/>
      <c r="M110" s="96"/>
      <c r="N110" s="219"/>
      <c r="O110" s="96"/>
      <c r="P110" s="96"/>
      <c r="Q110" s="96"/>
      <c r="R110" s="219"/>
      <c r="S110" s="96"/>
      <c r="T110" s="96"/>
      <c r="U110" s="96"/>
      <c r="V110" s="219"/>
      <c r="W110" s="96"/>
      <c r="X110" s="96"/>
      <c r="Y110" s="96"/>
      <c r="Z110" s="219"/>
      <c r="AA110" s="96"/>
      <c r="AB110" s="96"/>
      <c r="AC110" s="96"/>
      <c r="AD110" s="219"/>
      <c r="AE110" s="96"/>
      <c r="AF110" s="96"/>
      <c r="AG110" s="96"/>
      <c r="AH110" s="219"/>
      <c r="AI110" s="96"/>
      <c r="AJ110" s="96"/>
      <c r="AK110" s="96"/>
      <c r="AL110" s="219"/>
      <c r="AM110" s="96"/>
      <c r="AN110" s="96"/>
      <c r="AO110" s="96"/>
      <c r="AP110" s="219"/>
      <c r="AQ110" s="96"/>
      <c r="AR110" s="96"/>
      <c r="AS110" s="96"/>
      <c r="AT110" s="219"/>
      <c r="AU110" s="96"/>
      <c r="AV110" s="96"/>
      <c r="AW110" s="96"/>
    </row>
    <row r="111" spans="1:49" x14ac:dyDescent="0.2">
      <c r="A111" s="97" t="str">
        <f>'Conto Economico'!A249</f>
        <v>Rientri a Bologna - Trasporti</v>
      </c>
      <c r="B111" s="96"/>
      <c r="C111" s="96"/>
      <c r="D111" s="96"/>
      <c r="E111" s="96"/>
      <c r="F111" s="219"/>
      <c r="G111" s="96"/>
      <c r="H111" s="96"/>
      <c r="I111" s="96"/>
      <c r="J111" s="219"/>
      <c r="K111" s="96"/>
      <c r="L111" s="96"/>
      <c r="M111" s="96"/>
      <c r="N111" s="219"/>
      <c r="O111" s="96"/>
      <c r="P111" s="96"/>
      <c r="Q111" s="96"/>
      <c r="R111" s="219"/>
      <c r="S111" s="96"/>
      <c r="T111" s="96"/>
      <c r="U111" s="96"/>
      <c r="V111" s="219"/>
      <c r="W111" s="96"/>
      <c r="X111" s="96"/>
      <c r="Y111" s="96"/>
      <c r="Z111" s="219"/>
      <c r="AA111" s="96"/>
      <c r="AB111" s="96"/>
      <c r="AC111" s="96"/>
      <c r="AD111" s="219"/>
      <c r="AE111" s="96"/>
      <c r="AF111" s="96"/>
      <c r="AG111" s="96"/>
      <c r="AH111" s="219"/>
      <c r="AI111" s="96"/>
      <c r="AJ111" s="96"/>
      <c r="AK111" s="96"/>
      <c r="AL111" s="219"/>
      <c r="AM111" s="96"/>
      <c r="AN111" s="96"/>
      <c r="AO111" s="96"/>
      <c r="AP111" s="219"/>
      <c r="AQ111" s="96"/>
      <c r="AR111" s="96"/>
      <c r="AS111" s="96"/>
      <c r="AT111" s="219"/>
      <c r="AU111" s="96"/>
      <c r="AV111" s="96"/>
      <c r="AW111" s="96"/>
    </row>
    <row r="112" spans="1:49" x14ac:dyDescent="0.2">
      <c r="A112" s="97" t="str">
        <f>'Conto Economico'!A250</f>
        <v>Mutuo Riccione</v>
      </c>
      <c r="B112" s="96"/>
      <c r="C112" s="96"/>
      <c r="D112" s="96"/>
      <c r="E112" s="96"/>
      <c r="F112" s="219"/>
      <c r="G112" s="96"/>
      <c r="H112" s="96"/>
      <c r="I112" s="96"/>
      <c r="J112" s="219"/>
      <c r="K112" s="96"/>
      <c r="L112" s="96"/>
      <c r="M112" s="96"/>
      <c r="N112" s="219"/>
      <c r="O112" s="96"/>
      <c r="P112" s="96"/>
      <c r="Q112" s="96"/>
      <c r="R112" s="219"/>
      <c r="S112" s="96"/>
      <c r="T112" s="96"/>
      <c r="U112" s="96"/>
      <c r="V112" s="219"/>
      <c r="W112" s="96"/>
      <c r="X112" s="96"/>
      <c r="Y112" s="96"/>
      <c r="Z112" s="219"/>
      <c r="AA112" s="96"/>
      <c r="AB112" s="96"/>
      <c r="AC112" s="96"/>
      <c r="AD112" s="219"/>
      <c r="AE112" s="96"/>
      <c r="AF112" s="96"/>
      <c r="AG112" s="96"/>
      <c r="AH112" s="219"/>
      <c r="AI112" s="96"/>
      <c r="AJ112" s="96"/>
      <c r="AK112" s="96"/>
      <c r="AL112" s="219"/>
      <c r="AM112" s="96"/>
      <c r="AN112" s="96"/>
      <c r="AO112" s="96"/>
      <c r="AP112" s="219"/>
      <c r="AQ112" s="96"/>
      <c r="AR112" s="96"/>
      <c r="AS112" s="96"/>
      <c r="AT112" s="219"/>
      <c r="AU112" s="96"/>
      <c r="AV112" s="96"/>
      <c r="AW112" s="96"/>
    </row>
    <row r="113" spans="1:49" x14ac:dyDescent="0.2">
      <c r="A113" s="97" t="str">
        <f>'Conto Economico'!A251</f>
        <v>Spese Amministrative - Passaporti - SPID</v>
      </c>
      <c r="B113" s="96"/>
      <c r="C113" s="96"/>
      <c r="D113" s="96"/>
      <c r="E113" s="96"/>
      <c r="F113" s="219"/>
      <c r="G113" s="96"/>
      <c r="H113" s="96"/>
      <c r="I113" s="96"/>
      <c r="J113" s="219"/>
      <c r="K113" s="96"/>
      <c r="L113" s="96"/>
      <c r="M113" s="96"/>
      <c r="N113" s="219"/>
      <c r="O113" s="96"/>
      <c r="P113" s="96"/>
      <c r="Q113" s="96"/>
      <c r="R113" s="219"/>
      <c r="S113" s="96"/>
      <c r="T113" s="96"/>
      <c r="U113" s="96"/>
      <c r="V113" s="219"/>
      <c r="W113" s="96"/>
      <c r="X113" s="96"/>
      <c r="Y113" s="96"/>
      <c r="Z113" s="219"/>
      <c r="AA113" s="96"/>
      <c r="AB113" s="96"/>
      <c r="AC113" s="96"/>
      <c r="AD113" s="219"/>
      <c r="AE113" s="96"/>
      <c r="AF113" s="96"/>
      <c r="AG113" s="96"/>
      <c r="AH113" s="219"/>
      <c r="AI113" s="96"/>
      <c r="AJ113" s="96"/>
      <c r="AK113" s="96"/>
      <c r="AL113" s="219"/>
      <c r="AM113" s="96"/>
      <c r="AN113" s="96"/>
      <c r="AO113" s="96"/>
      <c r="AP113" s="219"/>
      <c r="AQ113" s="96"/>
      <c r="AR113" s="96"/>
      <c r="AS113" s="96"/>
      <c r="AT113" s="219"/>
      <c r="AU113" s="96"/>
      <c r="AV113" s="96"/>
      <c r="AW113" s="96"/>
    </row>
    <row r="114" spans="1:49" x14ac:dyDescent="0.2">
      <c r="A114" s="97" t="str">
        <f>'Conto Economico'!A252</f>
        <v>Altre spese Italia</v>
      </c>
      <c r="B114" s="96"/>
      <c r="C114" s="96"/>
      <c r="D114" s="96"/>
      <c r="E114" s="96"/>
      <c r="F114" s="219"/>
      <c r="G114" s="96"/>
      <c r="H114" s="96"/>
      <c r="I114" s="96"/>
      <c r="J114" s="219"/>
      <c r="K114" s="96"/>
      <c r="L114" s="96"/>
      <c r="M114" s="96"/>
      <c r="N114" s="219"/>
      <c r="O114" s="96"/>
      <c r="P114" s="96"/>
      <c r="Q114" s="96"/>
      <c r="R114" s="219"/>
      <c r="S114" s="96"/>
      <c r="T114" s="96"/>
      <c r="U114" s="96"/>
      <c r="V114" s="219"/>
      <c r="W114" s="96"/>
      <c r="X114" s="96"/>
      <c r="Y114" s="96"/>
      <c r="Z114" s="219"/>
      <c r="AA114" s="96"/>
      <c r="AB114" s="96"/>
      <c r="AC114" s="96"/>
      <c r="AD114" s="219"/>
      <c r="AE114" s="96"/>
      <c r="AF114" s="96"/>
      <c r="AG114" s="96"/>
      <c r="AH114" s="219"/>
      <c r="AI114" s="96"/>
      <c r="AJ114" s="96"/>
      <c r="AK114" s="96"/>
      <c r="AL114" s="219"/>
      <c r="AM114" s="96"/>
      <c r="AN114" s="96"/>
      <c r="AO114" s="96"/>
      <c r="AP114" s="219"/>
      <c r="AQ114" s="96"/>
      <c r="AR114" s="96"/>
      <c r="AS114" s="96"/>
      <c r="AT114" s="219"/>
      <c r="AU114" s="96"/>
      <c r="AV114" s="96"/>
      <c r="AW114" s="96"/>
    </row>
    <row r="115" spans="1:49" x14ac:dyDescent="0.2">
      <c r="A115" s="97" t="str">
        <f>'Conto Economico'!A253</f>
        <v>Altre spese Spagna</v>
      </c>
      <c r="B115" s="96"/>
      <c r="C115" s="96"/>
      <c r="D115" s="96"/>
      <c r="E115" s="96"/>
      <c r="F115" s="219"/>
      <c r="G115" s="96"/>
      <c r="H115" s="96"/>
      <c r="I115" s="96"/>
      <c r="J115" s="219"/>
      <c r="K115" s="96"/>
      <c r="L115" s="96"/>
      <c r="M115" s="96"/>
      <c r="N115" s="219"/>
      <c r="O115" s="96"/>
      <c r="P115" s="96"/>
      <c r="Q115" s="96"/>
      <c r="R115" s="219"/>
      <c r="S115" s="96"/>
      <c r="T115" s="96"/>
      <c r="U115" s="96"/>
      <c r="V115" s="219"/>
      <c r="W115" s="96"/>
      <c r="X115" s="96"/>
      <c r="Y115" s="96"/>
      <c r="Z115" s="219"/>
      <c r="AA115" s="96"/>
      <c r="AB115" s="96"/>
      <c r="AC115" s="96"/>
      <c r="AD115" s="219"/>
      <c r="AE115" s="96"/>
      <c r="AF115" s="96"/>
      <c r="AG115" s="96"/>
      <c r="AH115" s="219"/>
      <c r="AI115" s="96"/>
      <c r="AJ115" s="96"/>
      <c r="AK115" s="96"/>
      <c r="AL115" s="219"/>
      <c r="AM115" s="96"/>
      <c r="AN115" s="96"/>
      <c r="AO115" s="96"/>
      <c r="AP115" s="219"/>
      <c r="AQ115" s="96"/>
      <c r="AR115" s="96"/>
      <c r="AS115" s="96"/>
      <c r="AT115" s="219"/>
      <c r="AU115" s="96"/>
      <c r="AV115" s="96"/>
      <c r="AW115" s="96"/>
    </row>
    <row r="116" spans="1:49" x14ac:dyDescent="0.2">
      <c r="A116" s="97"/>
      <c r="B116" s="96"/>
      <c r="C116" s="96"/>
      <c r="D116" s="96"/>
      <c r="E116" s="96"/>
      <c r="F116" s="219"/>
      <c r="G116" s="96"/>
      <c r="H116" s="96"/>
      <c r="I116" s="96"/>
      <c r="J116" s="219"/>
      <c r="K116" s="96"/>
      <c r="L116" s="96"/>
      <c r="M116" s="96"/>
      <c r="N116" s="219"/>
      <c r="O116" s="96"/>
      <c r="P116" s="96"/>
      <c r="Q116" s="96"/>
      <c r="R116" s="219"/>
      <c r="S116" s="96"/>
      <c r="T116" s="96"/>
      <c r="U116" s="96"/>
      <c r="V116" s="219"/>
      <c r="W116" s="96"/>
      <c r="X116" s="96"/>
      <c r="Y116" s="96"/>
      <c r="Z116" s="219"/>
      <c r="AA116" s="96"/>
      <c r="AB116" s="96"/>
      <c r="AC116" s="96"/>
      <c r="AD116" s="219"/>
      <c r="AE116" s="96"/>
      <c r="AF116" s="96"/>
      <c r="AG116" s="96"/>
      <c r="AH116" s="219"/>
      <c r="AI116" s="96"/>
      <c r="AJ116" s="96"/>
      <c r="AK116" s="96"/>
      <c r="AL116" s="219"/>
      <c r="AM116" s="96"/>
      <c r="AN116" s="96"/>
      <c r="AO116" s="96"/>
      <c r="AP116" s="219"/>
      <c r="AQ116" s="96"/>
      <c r="AR116" s="96"/>
      <c r="AS116" s="96"/>
      <c r="AT116" s="219"/>
      <c r="AU116" s="96"/>
      <c r="AV116" s="96"/>
      <c r="AW116" s="96"/>
    </row>
    <row r="117" spans="1:49" x14ac:dyDescent="0.2">
      <c r="A117" s="98" t="str">
        <f>'Conto Economico'!A255</f>
        <v>Spese Straordinarie</v>
      </c>
      <c r="B117" s="99"/>
      <c r="C117" s="99"/>
      <c r="D117" s="99"/>
      <c r="E117" s="99"/>
      <c r="F117" s="218"/>
      <c r="G117" s="99"/>
      <c r="H117" s="99"/>
      <c r="I117" s="99"/>
      <c r="J117" s="218"/>
      <c r="K117" s="99"/>
      <c r="L117" s="99"/>
      <c r="M117" s="99"/>
      <c r="N117" s="218"/>
      <c r="O117" s="99"/>
      <c r="P117" s="99"/>
      <c r="Q117" s="99"/>
      <c r="R117" s="218"/>
      <c r="S117" s="99"/>
      <c r="T117" s="99"/>
      <c r="U117" s="99"/>
      <c r="V117" s="218"/>
      <c r="W117" s="99"/>
      <c r="X117" s="99"/>
      <c r="Y117" s="99"/>
      <c r="Z117" s="218"/>
      <c r="AA117" s="99"/>
      <c r="AB117" s="99"/>
      <c r="AC117" s="99"/>
      <c r="AD117" s="218"/>
      <c r="AE117" s="99"/>
      <c r="AF117" s="99"/>
      <c r="AG117" s="99"/>
      <c r="AH117" s="218"/>
      <c r="AI117" s="99"/>
      <c r="AJ117" s="99"/>
      <c r="AK117" s="99"/>
      <c r="AL117" s="218"/>
      <c r="AM117" s="99"/>
      <c r="AN117" s="99"/>
      <c r="AO117" s="99"/>
      <c r="AP117" s="218"/>
      <c r="AQ117" s="99"/>
      <c r="AR117" s="99"/>
      <c r="AS117" s="99"/>
      <c r="AT117" s="218"/>
      <c r="AU117" s="99"/>
      <c r="AV117" s="99"/>
      <c r="AW117" s="99"/>
    </row>
    <row r="118" spans="1:49" x14ac:dyDescent="0.2">
      <c r="A118" s="97" t="str">
        <f>'Conto Economico'!A256</f>
        <v>Spese Per Vendita El Toro</v>
      </c>
      <c r="B118" s="96"/>
      <c r="C118" s="96"/>
      <c r="D118" s="96"/>
      <c r="E118" s="96"/>
      <c r="F118" s="219"/>
      <c r="G118" s="96"/>
      <c r="H118" s="96"/>
      <c r="I118" s="96"/>
      <c r="J118" s="219"/>
      <c r="K118" s="96"/>
      <c r="L118" s="96"/>
      <c r="M118" s="96"/>
      <c r="N118" s="219"/>
      <c r="O118" s="96"/>
      <c r="P118" s="96"/>
      <c r="Q118" s="96"/>
      <c r="R118" s="219"/>
      <c r="S118" s="96"/>
      <c r="T118" s="96"/>
      <c r="U118" s="96"/>
      <c r="V118" s="219"/>
      <c r="W118" s="96"/>
      <c r="X118" s="96"/>
      <c r="Y118" s="96"/>
      <c r="Z118" s="219"/>
      <c r="AA118" s="96"/>
      <c r="AB118" s="96"/>
      <c r="AC118" s="96"/>
      <c r="AD118" s="219"/>
      <c r="AE118" s="96"/>
      <c r="AF118" s="96"/>
      <c r="AG118" s="96"/>
      <c r="AH118" s="219"/>
      <c r="AI118" s="96"/>
      <c r="AJ118" s="96"/>
      <c r="AK118" s="96"/>
      <c r="AL118" s="219"/>
      <c r="AM118" s="96"/>
      <c r="AN118" s="96"/>
      <c r="AO118" s="96"/>
      <c r="AP118" s="219"/>
      <c r="AQ118" s="96"/>
      <c r="AR118" s="96"/>
      <c r="AS118" s="96"/>
      <c r="AT118" s="219"/>
      <c r="AU118" s="96"/>
      <c r="AV118" s="96"/>
      <c r="AW118" s="96"/>
    </row>
    <row r="119" spans="1:49" x14ac:dyDescent="0.2">
      <c r="A119" s="97" t="str">
        <f>'Conto Economico'!A257</f>
        <v>Spese per Trasferimento EAU</v>
      </c>
      <c r="B119" s="96"/>
      <c r="C119" s="96"/>
      <c r="D119" s="96"/>
      <c r="E119" s="96"/>
      <c r="F119" s="219"/>
      <c r="G119" s="96"/>
      <c r="H119" s="96"/>
      <c r="I119" s="96"/>
      <c r="J119" s="219"/>
      <c r="K119" s="96"/>
      <c r="L119" s="96"/>
      <c r="M119" s="96"/>
      <c r="N119" s="219"/>
      <c r="O119" s="96"/>
      <c r="P119" s="96"/>
      <c r="Q119" s="96"/>
      <c r="R119" s="219"/>
      <c r="S119" s="96"/>
      <c r="T119" s="96"/>
      <c r="U119" s="96"/>
      <c r="V119" s="219"/>
      <c r="W119" s="96"/>
      <c r="X119" s="96"/>
      <c r="Y119" s="96"/>
      <c r="Z119" s="219"/>
      <c r="AA119" s="96"/>
      <c r="AB119" s="96"/>
      <c r="AC119" s="96"/>
      <c r="AD119" s="219"/>
      <c r="AE119" s="96"/>
      <c r="AF119" s="96"/>
      <c r="AG119" s="96"/>
      <c r="AH119" s="219"/>
      <c r="AI119" s="96"/>
      <c r="AJ119" s="96"/>
      <c r="AK119" s="96"/>
      <c r="AL119" s="219"/>
      <c r="AM119" s="96"/>
      <c r="AN119" s="96"/>
      <c r="AO119" s="96"/>
      <c r="AP119" s="219"/>
      <c r="AQ119" s="96"/>
      <c r="AR119" s="96"/>
      <c r="AS119" s="96"/>
      <c r="AT119" s="219"/>
      <c r="AU119" s="96"/>
      <c r="AV119" s="96"/>
      <c r="AW119" s="96"/>
    </row>
    <row r="120" spans="1:49" x14ac:dyDescent="0.2">
      <c r="A120" s="97" t="str">
        <f>'Conto Economico'!A258</f>
        <v>Affitto Dubai</v>
      </c>
      <c r="B120" s="96"/>
      <c r="C120" s="96"/>
      <c r="D120" s="96"/>
      <c r="E120" s="96"/>
      <c r="F120" s="219"/>
      <c r="G120" s="96"/>
      <c r="H120" s="96"/>
      <c r="I120" s="96"/>
      <c r="J120" s="219"/>
      <c r="K120" s="96"/>
      <c r="L120" s="96"/>
      <c r="M120" s="96"/>
      <c r="N120" s="219"/>
      <c r="O120" s="96"/>
      <c r="P120" s="96"/>
      <c r="Q120" s="96"/>
      <c r="R120" s="219"/>
      <c r="S120" s="96"/>
      <c r="T120" s="96"/>
      <c r="U120" s="96"/>
      <c r="V120" s="219"/>
      <c r="W120" s="96"/>
      <c r="X120" s="96"/>
      <c r="Y120" s="96"/>
      <c r="Z120" s="219"/>
      <c r="AA120" s="96"/>
      <c r="AB120" s="96"/>
      <c r="AC120" s="96"/>
      <c r="AD120" s="219"/>
      <c r="AE120" s="96"/>
      <c r="AF120" s="96"/>
      <c r="AG120" s="96"/>
      <c r="AH120" s="219"/>
      <c r="AI120" s="96"/>
      <c r="AJ120" s="96"/>
      <c r="AK120" s="96"/>
      <c r="AL120" s="219"/>
      <c r="AM120" s="96"/>
      <c r="AN120" s="96"/>
      <c r="AO120" s="96"/>
      <c r="AP120" s="219"/>
      <c r="AQ120" s="96"/>
      <c r="AR120" s="96"/>
      <c r="AS120" s="96"/>
      <c r="AT120" s="219"/>
      <c r="AU120" s="96"/>
      <c r="AV120" s="96"/>
      <c r="AW120" s="96"/>
    </row>
    <row r="121" spans="1:49" x14ac:dyDescent="0.2">
      <c r="A121" s="97" t="str">
        <f>'Conto Economico'!A259</f>
        <v>Acquisto Autovettura</v>
      </c>
      <c r="B121" s="96"/>
      <c r="C121" s="96"/>
      <c r="D121" s="96"/>
      <c r="E121" s="96"/>
      <c r="F121" s="219"/>
      <c r="G121" s="96"/>
      <c r="H121" s="96"/>
      <c r="I121" s="96"/>
      <c r="J121" s="219"/>
      <c r="K121" s="96"/>
      <c r="L121" s="96"/>
      <c r="M121" s="96"/>
      <c r="N121" s="219"/>
      <c r="O121" s="96"/>
      <c r="P121" s="96"/>
      <c r="Q121" s="96"/>
      <c r="R121" s="219"/>
      <c r="S121" s="96"/>
      <c r="T121" s="96"/>
      <c r="U121" s="96"/>
      <c r="V121" s="219"/>
      <c r="W121" s="96"/>
      <c r="X121" s="96"/>
      <c r="Y121" s="96"/>
      <c r="Z121" s="219"/>
      <c r="AA121" s="96"/>
      <c r="AB121" s="96"/>
      <c r="AC121" s="96"/>
      <c r="AD121" s="219"/>
      <c r="AE121" s="96"/>
      <c r="AF121" s="96"/>
      <c r="AG121" s="96"/>
      <c r="AH121" s="219"/>
      <c r="AI121" s="96"/>
      <c r="AJ121" s="96"/>
      <c r="AK121" s="96"/>
      <c r="AL121" s="219"/>
      <c r="AM121" s="96"/>
      <c r="AN121" s="96"/>
      <c r="AO121" s="96"/>
      <c r="AP121" s="219"/>
      <c r="AQ121" s="96"/>
      <c r="AR121" s="96"/>
      <c r="AS121" s="96"/>
      <c r="AT121" s="219"/>
      <c r="AU121" s="96"/>
      <c r="AV121" s="96"/>
      <c r="AW121" s="96"/>
    </row>
    <row r="122" spans="1:49" x14ac:dyDescent="0.2">
      <c r="A122" s="97" t="str">
        <f>'Conto Economico'!A260</f>
        <v>Voli Aerei su Dubai</v>
      </c>
      <c r="B122" s="96"/>
      <c r="C122" s="96"/>
      <c r="D122" s="96"/>
      <c r="E122" s="96"/>
      <c r="F122" s="219"/>
      <c r="G122" s="96"/>
      <c r="H122" s="96"/>
      <c r="I122" s="96"/>
      <c r="J122" s="219"/>
      <c r="K122" s="96"/>
      <c r="L122" s="96"/>
      <c r="M122" s="96"/>
      <c r="N122" s="219"/>
      <c r="O122" s="96"/>
      <c r="P122" s="96"/>
      <c r="Q122" s="96"/>
      <c r="R122" s="219"/>
      <c r="S122" s="96"/>
      <c r="T122" s="96"/>
      <c r="U122" s="96"/>
      <c r="V122" s="219"/>
      <c r="W122" s="96"/>
      <c r="X122" s="96"/>
      <c r="Y122" s="96"/>
      <c r="Z122" s="219"/>
      <c r="AA122" s="96"/>
      <c r="AB122" s="96"/>
      <c r="AC122" s="96"/>
      <c r="AD122" s="219"/>
      <c r="AE122" s="96"/>
      <c r="AF122" s="96"/>
      <c r="AG122" s="96"/>
      <c r="AH122" s="219"/>
      <c r="AI122" s="96"/>
      <c r="AJ122" s="96"/>
      <c r="AK122" s="96"/>
      <c r="AL122" s="219"/>
      <c r="AM122" s="96"/>
      <c r="AN122" s="96"/>
      <c r="AO122" s="96"/>
      <c r="AP122" s="219"/>
      <c r="AQ122" s="96"/>
      <c r="AR122" s="96"/>
      <c r="AS122" s="96"/>
      <c r="AT122" s="219"/>
      <c r="AU122" s="96"/>
      <c r="AV122" s="96"/>
      <c r="AW122" s="96"/>
    </row>
    <row r="123" spans="1:49" x14ac:dyDescent="0.2">
      <c r="A123" s="97" t="str">
        <f>'Conto Economico'!A261</f>
        <v>Voli Aerei su Amsterdam</v>
      </c>
      <c r="B123" s="96"/>
      <c r="C123" s="96"/>
      <c r="D123" s="96"/>
      <c r="E123" s="96"/>
      <c r="F123" s="219"/>
      <c r="G123" s="96"/>
      <c r="H123" s="96"/>
      <c r="I123" s="96"/>
      <c r="J123" s="219"/>
      <c r="K123" s="96"/>
      <c r="L123" s="96"/>
      <c r="M123" s="96"/>
      <c r="N123" s="219"/>
      <c r="O123" s="96"/>
      <c r="P123" s="96"/>
      <c r="Q123" s="96"/>
      <c r="R123" s="219"/>
      <c r="S123" s="96"/>
      <c r="T123" s="96"/>
      <c r="U123" s="96"/>
      <c r="V123" s="219"/>
      <c r="W123" s="96"/>
      <c r="X123" s="96"/>
      <c r="Y123" s="96"/>
      <c r="Z123" s="219"/>
      <c r="AA123" s="96"/>
      <c r="AB123" s="96"/>
      <c r="AC123" s="96"/>
      <c r="AD123" s="219"/>
      <c r="AE123" s="96"/>
      <c r="AF123" s="96"/>
      <c r="AG123" s="96"/>
      <c r="AH123" s="219"/>
      <c r="AI123" s="96"/>
      <c r="AJ123" s="96"/>
      <c r="AK123" s="96"/>
      <c r="AL123" s="219"/>
      <c r="AM123" s="96"/>
      <c r="AN123" s="96"/>
      <c r="AO123" s="96"/>
      <c r="AP123" s="219"/>
      <c r="AQ123" s="96"/>
      <c r="AR123" s="96"/>
      <c r="AS123" s="96"/>
      <c r="AT123" s="219"/>
      <c r="AU123" s="96"/>
      <c r="AV123" s="96"/>
      <c r="AW123" s="96"/>
    </row>
    <row r="124" spans="1:49" x14ac:dyDescent="0.2">
      <c r="A124" s="97" t="str">
        <f>'Conto Economico'!A262</f>
        <v>Successione Vanzini</v>
      </c>
      <c r="B124" s="96"/>
      <c r="C124" s="96"/>
      <c r="D124" s="96"/>
      <c r="E124" s="96"/>
      <c r="F124" s="219"/>
      <c r="G124" s="96"/>
      <c r="H124" s="96"/>
      <c r="I124" s="96"/>
      <c r="J124" s="219"/>
      <c r="K124" s="96"/>
      <c r="L124" s="96"/>
      <c r="M124" s="96"/>
      <c r="N124" s="219"/>
      <c r="O124" s="96"/>
      <c r="P124" s="96"/>
      <c r="Q124" s="96"/>
      <c r="R124" s="219"/>
      <c r="S124" s="96"/>
      <c r="T124" s="96"/>
      <c r="U124" s="96"/>
      <c r="V124" s="219"/>
      <c r="W124" s="96"/>
      <c r="X124" s="96"/>
      <c r="Y124" s="96"/>
      <c r="Z124" s="219"/>
      <c r="AA124" s="96"/>
      <c r="AB124" s="96"/>
      <c r="AC124" s="96"/>
      <c r="AD124" s="219"/>
      <c r="AE124" s="96"/>
      <c r="AF124" s="96"/>
      <c r="AG124" s="96"/>
      <c r="AH124" s="219"/>
      <c r="AI124" s="96"/>
      <c r="AJ124" s="96"/>
      <c r="AK124" s="96"/>
      <c r="AL124" s="219"/>
      <c r="AM124" s="96"/>
      <c r="AN124" s="96"/>
      <c r="AO124" s="96"/>
      <c r="AP124" s="219"/>
      <c r="AQ124" s="96"/>
      <c r="AR124" s="96"/>
      <c r="AS124" s="96"/>
      <c r="AT124" s="219"/>
      <c r="AU124" s="96"/>
      <c r="AV124" s="96"/>
      <c r="AW124" s="96"/>
    </row>
    <row r="125" spans="1:49" x14ac:dyDescent="0.2">
      <c r="A125" s="97" t="str">
        <f>'Conto Economico'!A263</f>
        <v>Imprevisti</v>
      </c>
      <c r="B125" s="96"/>
      <c r="C125" s="96"/>
      <c r="D125" s="96"/>
      <c r="E125" s="96"/>
      <c r="F125" s="219"/>
      <c r="G125" s="96"/>
      <c r="H125" s="96"/>
      <c r="I125" s="96"/>
      <c r="J125" s="219"/>
      <c r="K125" s="96"/>
      <c r="L125" s="96"/>
      <c r="M125" s="96"/>
      <c r="N125" s="219"/>
      <c r="O125" s="96"/>
      <c r="P125" s="96"/>
      <c r="Q125" s="96"/>
      <c r="R125" s="219"/>
      <c r="S125" s="96"/>
      <c r="T125" s="96"/>
      <c r="U125" s="96"/>
      <c r="V125" s="219"/>
      <c r="W125" s="96"/>
      <c r="X125" s="96"/>
      <c r="Y125" s="96"/>
      <c r="Z125" s="219"/>
      <c r="AA125" s="96"/>
      <c r="AB125" s="96"/>
      <c r="AC125" s="96"/>
      <c r="AD125" s="219"/>
      <c r="AE125" s="96"/>
      <c r="AF125" s="96"/>
      <c r="AG125" s="96"/>
      <c r="AH125" s="219"/>
      <c r="AI125" s="96"/>
      <c r="AJ125" s="96"/>
      <c r="AK125" s="96"/>
      <c r="AL125" s="219"/>
      <c r="AM125" s="96"/>
      <c r="AN125" s="96"/>
      <c r="AO125" s="96"/>
      <c r="AP125" s="219"/>
      <c r="AQ125" s="96"/>
      <c r="AR125" s="96"/>
      <c r="AS125" s="96"/>
      <c r="AT125" s="219"/>
      <c r="AU125" s="96"/>
      <c r="AV125" s="96"/>
      <c r="AW125" s="96"/>
    </row>
    <row r="126" spans="1:49" x14ac:dyDescent="0.2">
      <c r="A126" s="97"/>
      <c r="B126" s="96"/>
      <c r="C126" s="96"/>
      <c r="D126" s="96"/>
      <c r="E126" s="96"/>
      <c r="F126" s="219"/>
      <c r="G126" s="96"/>
      <c r="H126" s="96"/>
      <c r="I126" s="96"/>
      <c r="J126" s="219"/>
      <c r="K126" s="96"/>
      <c r="L126" s="96"/>
      <c r="M126" s="96"/>
      <c r="N126" s="219"/>
      <c r="O126" s="96"/>
      <c r="P126" s="96"/>
      <c r="Q126" s="96"/>
      <c r="R126" s="219"/>
      <c r="S126" s="96"/>
      <c r="T126" s="96"/>
      <c r="U126" s="96"/>
      <c r="V126" s="219"/>
      <c r="W126" s="96"/>
      <c r="X126" s="96"/>
      <c r="Y126" s="96"/>
      <c r="Z126" s="219"/>
      <c r="AA126" s="96"/>
      <c r="AB126" s="96"/>
      <c r="AC126" s="96"/>
      <c r="AD126" s="219"/>
      <c r="AE126" s="96"/>
      <c r="AF126" s="96"/>
      <c r="AG126" s="96"/>
      <c r="AH126" s="219"/>
      <c r="AI126" s="96"/>
      <c r="AJ126" s="96"/>
      <c r="AK126" s="96"/>
      <c r="AL126" s="219"/>
      <c r="AM126" s="96"/>
      <c r="AN126" s="96"/>
      <c r="AO126" s="96"/>
      <c r="AP126" s="219"/>
      <c r="AQ126" s="96"/>
      <c r="AR126" s="96"/>
      <c r="AS126" s="96"/>
      <c r="AT126" s="219"/>
      <c r="AU126" s="96"/>
      <c r="AV126" s="96"/>
      <c r="AW126" s="96"/>
    </row>
    <row r="127" spans="1:49" x14ac:dyDescent="0.2">
      <c r="A127" s="98" t="str">
        <f>'Conto Economico'!A265</f>
        <v>Investimenti Immobili</v>
      </c>
      <c r="B127" s="99"/>
      <c r="C127" s="99"/>
      <c r="D127" s="99"/>
      <c r="E127" s="99"/>
      <c r="F127" s="218"/>
      <c r="G127" s="99"/>
      <c r="H127" s="99"/>
      <c r="I127" s="99"/>
      <c r="J127" s="218"/>
      <c r="K127" s="99"/>
      <c r="L127" s="99"/>
      <c r="M127" s="99"/>
      <c r="N127" s="218"/>
      <c r="O127" s="99"/>
      <c r="P127" s="99"/>
      <c r="Q127" s="99"/>
      <c r="R127" s="218"/>
      <c r="S127" s="99"/>
      <c r="T127" s="99"/>
      <c r="U127" s="99"/>
      <c r="V127" s="218"/>
      <c r="W127" s="99"/>
      <c r="X127" s="99"/>
      <c r="Y127" s="99"/>
      <c r="Z127" s="218"/>
      <c r="AA127" s="99"/>
      <c r="AB127" s="99"/>
      <c r="AC127" s="99"/>
      <c r="AD127" s="218"/>
      <c r="AE127" s="99"/>
      <c r="AF127" s="99"/>
      <c r="AG127" s="99"/>
      <c r="AH127" s="218"/>
      <c r="AI127" s="99"/>
      <c r="AJ127" s="99"/>
      <c r="AK127" s="99"/>
      <c r="AL127" s="218"/>
      <c r="AM127" s="99"/>
      <c r="AN127" s="99"/>
      <c r="AO127" s="99"/>
      <c r="AP127" s="218"/>
      <c r="AQ127" s="99"/>
      <c r="AR127" s="99"/>
      <c r="AS127" s="99"/>
      <c r="AT127" s="218"/>
      <c r="AU127" s="99"/>
      <c r="AV127" s="99"/>
      <c r="AW127" s="99"/>
    </row>
    <row r="128" spans="1:49" x14ac:dyDescent="0.2">
      <c r="A128" s="97" t="str">
        <f>'Conto Economico'!A266</f>
        <v>Project Plan Dubai I</v>
      </c>
      <c r="B128" s="96"/>
      <c r="C128" s="96"/>
      <c r="D128" s="96"/>
      <c r="E128" s="96"/>
      <c r="F128" s="219"/>
      <c r="G128" s="96"/>
      <c r="H128" s="96"/>
      <c r="I128" s="96"/>
      <c r="J128" s="219"/>
      <c r="K128" s="96"/>
      <c r="L128" s="96"/>
      <c r="M128" s="96"/>
      <c r="N128" s="219"/>
      <c r="O128" s="96"/>
      <c r="P128" s="96"/>
      <c r="Q128" s="96"/>
      <c r="R128" s="219"/>
      <c r="S128" s="96"/>
      <c r="T128" s="96"/>
      <c r="U128" s="96"/>
      <c r="V128" s="219"/>
      <c r="W128" s="96"/>
      <c r="X128" s="96"/>
      <c r="Y128" s="96"/>
      <c r="Z128" s="219"/>
      <c r="AA128" s="96"/>
      <c r="AB128" s="96"/>
      <c r="AC128" s="96"/>
      <c r="AD128" s="219"/>
      <c r="AE128" s="96"/>
      <c r="AF128" s="96"/>
      <c r="AG128" s="96"/>
      <c r="AH128" s="219"/>
      <c r="AI128" s="96"/>
      <c r="AJ128" s="96"/>
      <c r="AK128" s="96"/>
      <c r="AL128" s="219"/>
      <c r="AM128" s="96"/>
      <c r="AN128" s="96"/>
      <c r="AO128" s="96"/>
      <c r="AP128" s="219"/>
      <c r="AQ128" s="96"/>
      <c r="AR128" s="96"/>
      <c r="AS128" s="96"/>
      <c r="AT128" s="219"/>
      <c r="AU128" s="96"/>
      <c r="AV128" s="96"/>
      <c r="AW128" s="96"/>
    </row>
    <row r="129" spans="1:49" x14ac:dyDescent="0.2">
      <c r="A129" s="97" t="str">
        <f>'Conto Economico'!A267</f>
        <v>Project Plan Dubai II</v>
      </c>
      <c r="B129" s="96"/>
      <c r="C129" s="96"/>
      <c r="D129" s="96"/>
      <c r="E129" s="96"/>
      <c r="F129" s="219"/>
      <c r="G129" s="96"/>
      <c r="H129" s="96"/>
      <c r="I129" s="96"/>
      <c r="J129" s="219"/>
      <c r="K129" s="96"/>
      <c r="L129" s="96"/>
      <c r="M129" s="96"/>
      <c r="N129" s="219"/>
      <c r="O129" s="96"/>
      <c r="P129" s="96"/>
      <c r="Q129" s="96"/>
      <c r="R129" s="219"/>
      <c r="S129" s="96"/>
      <c r="T129" s="96"/>
      <c r="U129" s="96"/>
      <c r="V129" s="219"/>
      <c r="W129" s="96"/>
      <c r="X129" s="96"/>
      <c r="Y129" s="96"/>
      <c r="Z129" s="219"/>
      <c r="AA129" s="96"/>
      <c r="AB129" s="96"/>
      <c r="AC129" s="96"/>
      <c r="AD129" s="219"/>
      <c r="AE129" s="96"/>
      <c r="AF129" s="96"/>
      <c r="AG129" s="96"/>
      <c r="AH129" s="219"/>
      <c r="AI129" s="96"/>
      <c r="AJ129" s="96"/>
      <c r="AK129" s="96"/>
      <c r="AL129" s="219"/>
      <c r="AM129" s="96"/>
      <c r="AN129" s="96"/>
      <c r="AO129" s="96"/>
      <c r="AP129" s="219"/>
      <c r="AQ129" s="96"/>
      <c r="AR129" s="96"/>
      <c r="AS129" s="96"/>
      <c r="AT129" s="219"/>
      <c r="AU129" s="96"/>
      <c r="AV129" s="96"/>
      <c r="AW129" s="96"/>
    </row>
    <row r="130" spans="1:49" x14ac:dyDescent="0.2">
      <c r="A130" s="97" t="str">
        <f>'Conto Economico'!A268</f>
        <v>Project Plan Dubai III</v>
      </c>
      <c r="B130" s="96"/>
      <c r="C130" s="96"/>
      <c r="D130" s="96"/>
      <c r="E130" s="96"/>
      <c r="F130" s="219"/>
      <c r="G130" s="96"/>
      <c r="H130" s="96"/>
      <c r="I130" s="96"/>
      <c r="J130" s="219"/>
      <c r="K130" s="96"/>
      <c r="L130" s="96"/>
      <c r="M130" s="96"/>
      <c r="N130" s="219"/>
      <c r="O130" s="96"/>
      <c r="P130" s="96"/>
      <c r="Q130" s="96"/>
      <c r="R130" s="219"/>
      <c r="S130" s="96"/>
      <c r="T130" s="96"/>
      <c r="U130" s="96"/>
      <c r="V130" s="219"/>
      <c r="W130" s="96"/>
      <c r="X130" s="96"/>
      <c r="Y130" s="96"/>
      <c r="Z130" s="219"/>
      <c r="AA130" s="96"/>
      <c r="AB130" s="96"/>
      <c r="AC130" s="96"/>
      <c r="AD130" s="219"/>
      <c r="AE130" s="96"/>
      <c r="AF130" s="96"/>
      <c r="AG130" s="96"/>
      <c r="AH130" s="219"/>
      <c r="AI130" s="96"/>
      <c r="AJ130" s="96"/>
      <c r="AK130" s="96"/>
      <c r="AL130" s="219"/>
      <c r="AM130" s="96"/>
      <c r="AN130" s="96"/>
      <c r="AO130" s="96"/>
      <c r="AP130" s="219"/>
      <c r="AQ130" s="96"/>
      <c r="AR130" s="96"/>
      <c r="AS130" s="96"/>
      <c r="AT130" s="219"/>
      <c r="AU130" s="96"/>
      <c r="AV130" s="96"/>
      <c r="AW130" s="96"/>
    </row>
    <row r="131" spans="1:49" x14ac:dyDescent="0.2">
      <c r="A131" s="97" t="str">
        <f>'Conto Economico'!A269</f>
        <v>Acquisto Immobile Principale Dubai</v>
      </c>
      <c r="B131" s="96"/>
      <c r="C131" s="96"/>
      <c r="D131" s="96"/>
      <c r="E131" s="96"/>
      <c r="F131" s="219"/>
      <c r="G131" s="96"/>
      <c r="H131" s="96"/>
      <c r="I131" s="96"/>
      <c r="J131" s="219"/>
      <c r="K131" s="96"/>
      <c r="L131" s="96"/>
      <c r="M131" s="96"/>
      <c r="N131" s="219"/>
      <c r="O131" s="96"/>
      <c r="P131" s="96"/>
      <c r="Q131" s="96"/>
      <c r="R131" s="219"/>
      <c r="S131" s="96"/>
      <c r="T131" s="96"/>
      <c r="U131" s="96"/>
      <c r="V131" s="219"/>
      <c r="W131" s="96"/>
      <c r="X131" s="96"/>
      <c r="Y131" s="96"/>
      <c r="Z131" s="219"/>
      <c r="AA131" s="96"/>
      <c r="AB131" s="96"/>
      <c r="AC131" s="96"/>
      <c r="AD131" s="219"/>
      <c r="AE131" s="96"/>
      <c r="AF131" s="96"/>
      <c r="AG131" s="96"/>
      <c r="AH131" s="219"/>
      <c r="AI131" s="96"/>
      <c r="AJ131" s="96"/>
      <c r="AK131" s="96"/>
      <c r="AL131" s="219"/>
      <c r="AM131" s="96"/>
      <c r="AN131" s="96"/>
      <c r="AO131" s="96"/>
      <c r="AP131" s="219"/>
      <c r="AQ131" s="96"/>
      <c r="AR131" s="96"/>
      <c r="AS131" s="96"/>
      <c r="AT131" s="219"/>
      <c r="AU131" s="96"/>
      <c r="AV131" s="96"/>
      <c r="AW131" s="96"/>
    </row>
    <row r="132" spans="1:49" x14ac:dyDescent="0.2">
      <c r="A132" s="97" t="str">
        <f>'Conto Economico'!A270</f>
        <v>Acquisto Immobile per Emma</v>
      </c>
      <c r="B132" s="96"/>
      <c r="C132" s="96"/>
      <c r="D132" s="96"/>
      <c r="E132" s="96"/>
      <c r="F132" s="219"/>
      <c r="G132" s="96"/>
      <c r="H132" s="96"/>
      <c r="I132" s="96"/>
      <c r="J132" s="219"/>
      <c r="K132" s="96"/>
      <c r="L132" s="96"/>
      <c r="M132" s="96"/>
      <c r="N132" s="219"/>
      <c r="O132" s="96"/>
      <c r="P132" s="96"/>
      <c r="Q132" s="96"/>
      <c r="R132" s="219"/>
      <c r="S132" s="96"/>
      <c r="T132" s="96"/>
      <c r="U132" s="96"/>
      <c r="V132" s="219"/>
      <c r="W132" s="96"/>
      <c r="X132" s="96"/>
      <c r="Y132" s="96"/>
      <c r="Z132" s="219"/>
      <c r="AA132" s="96"/>
      <c r="AB132" s="96"/>
      <c r="AC132" s="96"/>
      <c r="AD132" s="219"/>
      <c r="AE132" s="96"/>
      <c r="AF132" s="96"/>
      <c r="AG132" s="96"/>
      <c r="AH132" s="219"/>
      <c r="AI132" s="96"/>
      <c r="AJ132" s="96"/>
      <c r="AK132" s="96"/>
      <c r="AL132" s="219"/>
      <c r="AM132" s="96"/>
      <c r="AN132" s="96"/>
      <c r="AO132" s="96"/>
      <c r="AP132" s="219"/>
      <c r="AQ132" s="96"/>
      <c r="AR132" s="96"/>
      <c r="AS132" s="96"/>
      <c r="AT132" s="219"/>
      <c r="AU132" s="96"/>
      <c r="AV132" s="96"/>
      <c r="AW132" s="96"/>
    </row>
    <row r="133" spans="1:49" x14ac:dyDescent="0.2">
      <c r="A133" s="97"/>
      <c r="B133" s="96"/>
      <c r="C133" s="96"/>
      <c r="D133" s="96"/>
      <c r="E133" s="96"/>
      <c r="F133" s="219"/>
      <c r="G133" s="96"/>
      <c r="H133" s="96"/>
      <c r="I133" s="96"/>
      <c r="J133" s="219"/>
      <c r="K133" s="96"/>
      <c r="L133" s="96"/>
      <c r="M133" s="96"/>
      <c r="N133" s="219"/>
      <c r="O133" s="96"/>
      <c r="P133" s="96"/>
      <c r="Q133" s="96"/>
      <c r="R133" s="219"/>
      <c r="S133" s="96"/>
      <c r="T133" s="96"/>
      <c r="U133" s="96"/>
      <c r="V133" s="219"/>
      <c r="W133" s="96"/>
      <c r="X133" s="96"/>
      <c r="Y133" s="96"/>
      <c r="Z133" s="219"/>
      <c r="AA133" s="96"/>
      <c r="AB133" s="96"/>
      <c r="AC133" s="96"/>
      <c r="AD133" s="219"/>
      <c r="AE133" s="96"/>
      <c r="AF133" s="96"/>
      <c r="AG133" s="96"/>
      <c r="AH133" s="219"/>
      <c r="AI133" s="96"/>
      <c r="AJ133" s="96"/>
      <c r="AK133" s="96"/>
      <c r="AL133" s="219"/>
      <c r="AM133" s="96"/>
      <c r="AN133" s="96"/>
      <c r="AO133" s="96"/>
      <c r="AP133" s="219"/>
      <c r="AQ133" s="96"/>
      <c r="AR133" s="96"/>
      <c r="AS133" s="96"/>
      <c r="AT133" s="219"/>
      <c r="AU133" s="96"/>
      <c r="AV133" s="96"/>
      <c r="AW133" s="96"/>
    </row>
    <row r="134" spans="1:49" x14ac:dyDescent="0.2">
      <c r="A134" s="105" t="str">
        <f>'Conto Economico'!A73</f>
        <v>Entrate da non contabilizzare</v>
      </c>
      <c r="B134" s="96"/>
      <c r="C134" s="96"/>
      <c r="D134" s="96"/>
      <c r="E134" s="96"/>
      <c r="F134" s="219"/>
      <c r="G134" s="96"/>
      <c r="H134" s="96"/>
      <c r="I134" s="96"/>
      <c r="J134" s="219"/>
      <c r="K134" s="96"/>
      <c r="L134" s="96"/>
      <c r="M134" s="96"/>
      <c r="N134" s="219"/>
      <c r="O134" s="96"/>
      <c r="P134" s="96"/>
      <c r="Q134" s="96"/>
      <c r="R134" s="219"/>
      <c r="S134" s="96"/>
      <c r="T134" s="96"/>
      <c r="U134" s="96"/>
      <c r="V134" s="219"/>
      <c r="W134" s="96"/>
      <c r="X134" s="96"/>
      <c r="Y134" s="96"/>
      <c r="Z134" s="219"/>
      <c r="AA134" s="96"/>
      <c r="AB134" s="96"/>
      <c r="AC134" s="96"/>
      <c r="AD134" s="219"/>
      <c r="AE134" s="96"/>
      <c r="AF134" s="96"/>
      <c r="AG134" s="96"/>
      <c r="AH134" s="219"/>
      <c r="AI134" s="96"/>
      <c r="AJ134" s="96"/>
      <c r="AK134" s="96"/>
      <c r="AL134" s="219"/>
      <c r="AM134" s="96"/>
      <c r="AN134" s="96"/>
      <c r="AO134" s="96"/>
      <c r="AP134" s="219"/>
      <c r="AQ134" s="96"/>
      <c r="AR134" s="96"/>
      <c r="AS134" s="96"/>
      <c r="AT134" s="219"/>
      <c r="AU134" s="96"/>
      <c r="AV134" s="96"/>
      <c r="AW134" s="96"/>
    </row>
    <row r="135" spans="1:49" x14ac:dyDescent="0.2">
      <c r="A135" s="97"/>
      <c r="B135" s="106"/>
      <c r="C135" s="106"/>
      <c r="D135" s="106"/>
      <c r="E135" s="107"/>
      <c r="F135" s="220"/>
      <c r="G135" s="106"/>
      <c r="H135" s="106"/>
      <c r="I135" s="107"/>
      <c r="J135" s="220"/>
      <c r="K135" s="106"/>
      <c r="L135" s="106"/>
      <c r="M135" s="107"/>
      <c r="N135" s="220"/>
      <c r="O135" s="106"/>
      <c r="P135" s="106"/>
      <c r="Q135" s="107"/>
      <c r="R135" s="220"/>
      <c r="S135" s="106"/>
      <c r="T135" s="106"/>
      <c r="U135" s="107"/>
      <c r="V135" s="220"/>
      <c r="W135" s="106"/>
      <c r="X135" s="106"/>
      <c r="Y135" s="107"/>
      <c r="Z135" s="220"/>
      <c r="AA135" s="106"/>
      <c r="AB135" s="106"/>
      <c r="AC135" s="107"/>
      <c r="AD135" s="220"/>
      <c r="AE135" s="106"/>
      <c r="AF135" s="106"/>
      <c r="AG135" s="107"/>
      <c r="AH135" s="221"/>
      <c r="AI135" s="107"/>
      <c r="AJ135" s="106"/>
      <c r="AK135" s="107"/>
      <c r="AL135" s="220"/>
      <c r="AM135" s="106"/>
      <c r="AN135" s="106"/>
      <c r="AO135" s="107"/>
      <c r="AP135" s="220"/>
      <c r="AQ135" s="106"/>
      <c r="AR135" s="106"/>
      <c r="AS135" s="107"/>
      <c r="AT135" s="221"/>
      <c r="AU135" s="107"/>
      <c r="AV135" s="95"/>
      <c r="AW135" s="222"/>
    </row>
    <row r="136" spans="1:49" ht="18" customHeight="1" x14ac:dyDescent="0.2">
      <c r="A136" s="108" t="s">
        <v>39</v>
      </c>
      <c r="B136" s="109">
        <f>SUM(B4:B133)</f>
        <v>0</v>
      </c>
      <c r="C136" s="109"/>
      <c r="D136" s="109"/>
      <c r="E136" s="109"/>
      <c r="F136" s="109">
        <f>SUM(F4:F133)</f>
        <v>771.28440366972472</v>
      </c>
      <c r="G136" s="109"/>
      <c r="H136" s="109"/>
      <c r="I136" s="109"/>
      <c r="J136" s="109">
        <f>SUM(J4:J133)</f>
        <v>94</v>
      </c>
      <c r="K136" s="109"/>
      <c r="L136" s="109"/>
      <c r="M136" s="109"/>
      <c r="N136" s="109">
        <f>SUM(N4:N133)</f>
        <v>302.39999999999998</v>
      </c>
      <c r="O136" s="109"/>
      <c r="P136" s="109"/>
      <c r="Q136" s="109"/>
      <c r="R136" s="109">
        <f>SUM(R4:R133)</f>
        <v>639.4233333333334</v>
      </c>
      <c r="S136" s="109"/>
      <c r="T136" s="109"/>
      <c r="U136" s="109"/>
      <c r="V136" s="109">
        <f>SUM(V4:V133)</f>
        <v>225</v>
      </c>
      <c r="W136" s="109"/>
      <c r="X136" s="109"/>
      <c r="Y136" s="109"/>
      <c r="Z136" s="109">
        <f>SUM(Z4:Z133)</f>
        <v>187</v>
      </c>
      <c r="AA136" s="109"/>
      <c r="AB136" s="109"/>
      <c r="AC136" s="109"/>
      <c r="AD136" s="109">
        <f>SUM(AD4:AD133)</f>
        <v>0</v>
      </c>
      <c r="AE136" s="109"/>
      <c r="AF136" s="109"/>
      <c r="AG136" s="109"/>
      <c r="AH136" s="109">
        <f>SUM(AH4:AH133)</f>
        <v>0</v>
      </c>
      <c r="AI136" s="109"/>
      <c r="AJ136" s="109"/>
      <c r="AK136" s="109"/>
      <c r="AL136" s="109">
        <f>SUM(AL4:AL133)</f>
        <v>0</v>
      </c>
      <c r="AM136" s="109"/>
      <c r="AN136" s="109"/>
      <c r="AO136" s="109"/>
      <c r="AP136" s="109">
        <f>SUM(AP4:AP133)</f>
        <v>0</v>
      </c>
      <c r="AQ136" s="109"/>
      <c r="AR136" s="109"/>
      <c r="AS136" s="109"/>
      <c r="AT136" s="109">
        <f>SUM(AT4:AT133)</f>
        <v>0</v>
      </c>
      <c r="AU136" s="109"/>
      <c r="AV136" s="109"/>
      <c r="AW136" s="109"/>
    </row>
    <row r="137" spans="1:49" x14ac:dyDescent="0.2">
      <c r="A137" s="108" t="s">
        <v>732</v>
      </c>
      <c r="B137" s="109">
        <f>B136+F136+J136+N136+R136+V136+Z136+AD136+AH136+AL136+AP136+AT136</f>
        <v>2219.107737003058</v>
      </c>
    </row>
    <row r="138" spans="1:49" x14ac:dyDescent="0.2">
      <c r="A138" s="146"/>
      <c r="B138" s="408"/>
    </row>
    <row r="139" spans="1:49" x14ac:dyDescent="0.2">
      <c r="A139" s="108" t="s">
        <v>317</v>
      </c>
      <c r="B139" s="108" t="s">
        <v>77</v>
      </c>
    </row>
    <row r="140" spans="1:49" x14ac:dyDescent="0.2">
      <c r="A140" s="97" t="s">
        <v>634</v>
      </c>
      <c r="B140" s="93">
        <v>4.3600000000000003</v>
      </c>
      <c r="C140" s="94" t="s">
        <v>635</v>
      </c>
      <c r="D140" s="401"/>
    </row>
    <row r="141" spans="1:49" x14ac:dyDescent="0.2">
      <c r="A141" s="97"/>
    </row>
  </sheetData>
  <sheetProtection selectLockedCells="1"/>
  <phoneticPr fontId="15" type="noConversion"/>
  <conditionalFormatting sqref="B4:E134">
    <cfRule type="expression" dxfId="51" priority="12">
      <formula>MONTH(TODAY())=1</formula>
    </cfRule>
  </conditionalFormatting>
  <conditionalFormatting sqref="F4:I134">
    <cfRule type="expression" dxfId="50" priority="11" stopIfTrue="1">
      <formula>MONTH(TODAY())=2</formula>
    </cfRule>
  </conditionalFormatting>
  <conditionalFormatting sqref="J4:M134">
    <cfRule type="expression" dxfId="49" priority="10">
      <formula>MONTH(TODAY())=3</formula>
    </cfRule>
  </conditionalFormatting>
  <conditionalFormatting sqref="N4:Q134">
    <cfRule type="expression" dxfId="48" priority="9">
      <formula>MONTH(TODAY())=4</formula>
    </cfRule>
  </conditionalFormatting>
  <conditionalFormatting sqref="R4:U134">
    <cfRule type="expression" dxfId="47" priority="8">
      <formula>MONTH(TODAY())=5</formula>
    </cfRule>
  </conditionalFormatting>
  <conditionalFormatting sqref="V4:Y134">
    <cfRule type="expression" dxfId="46" priority="7">
      <formula>MONTH(TODAY())=6</formula>
    </cfRule>
  </conditionalFormatting>
  <conditionalFormatting sqref="Z4:AC134">
    <cfRule type="expression" dxfId="45" priority="6">
      <formula>MONTH(TODAY())=7</formula>
    </cfRule>
  </conditionalFormatting>
  <conditionalFormatting sqref="AD4:AG134">
    <cfRule type="expression" dxfId="44" priority="5">
      <formula>MONTH(TODAY())=8</formula>
    </cfRule>
  </conditionalFormatting>
  <conditionalFormatting sqref="AH4:AK134">
    <cfRule type="expression" dxfId="43" priority="4">
      <formula>MONTH(TODAY())=9</formula>
    </cfRule>
  </conditionalFormatting>
  <conditionalFormatting sqref="AL4:AO134">
    <cfRule type="expression" dxfId="42" priority="3">
      <formula>MONTH(TODAY())=10</formula>
    </cfRule>
  </conditionalFormatting>
  <conditionalFormatting sqref="AP4:AS134">
    <cfRule type="expression" dxfId="41" priority="2">
      <formula>MONTH(TODAY())=11</formula>
    </cfRule>
  </conditionalFormatting>
  <conditionalFormatting sqref="AT4:AW134">
    <cfRule type="expression" dxfId="40" priority="1">
      <formula>MONTH(TODAY())=12</formula>
    </cfRule>
  </conditionalFormatting>
  <pageMargins left="0.7" right="0.7" top="0.75" bottom="0.75" header="0.3" footer="0.3"/>
  <pageSetup paperSize="9" orientation="portrait" horizontalDpi="0" verticalDpi="0"/>
  <ignoredErrors>
    <ignoredError sqref="Z39:Z40 AD39:AD49 AH39:AH49 AP40:AP46 AT39:AT49 R39:V41 R43:U43 R48:T48 T47 R50:U51 R49 J39:Q51 B39:E51 F39:I41 F46:I46 C1:AW1 Z53:AT55 X56:AT56 X55 T55:W56 B53:S56 A64:A70 Y54:Y55 A4:A28 F44:F45 H44:H45 V42:V49 AL39:AL49 T54:X54 T53:W53 AN52:AP52 AR52:AT52 AJ52:AL52 B136:AI136 AK136:AT136 Z46 Z42:Z43 Z48 AP48:AP49 F43:I43 F42:G42 B52:G52 I52:AH52 F48:I51 F47 H47 B137 R44:R47 R42 AX31:XFD33 A30:A56 A72:A117 A58:A63 A134 A118:A125 A127:A132 V78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814E-E160-1747-80A0-849CD94FF844}">
  <sheetPr codeName="Foglio10">
    <tabColor rgb="FFFF0000"/>
  </sheetPr>
  <dimension ref="A1:H418"/>
  <sheetViews>
    <sheetView zoomScale="140" zoomScaleNormal="140" workbookViewId="0">
      <selection activeCell="F8" sqref="F8"/>
    </sheetView>
  </sheetViews>
  <sheetFormatPr baseColWidth="10" defaultColWidth="11.3984375" defaultRowHeight="14" x14ac:dyDescent="0.2"/>
  <cols>
    <col min="1" max="1" width="12" style="8" bestFit="1" customWidth="1"/>
    <col min="2" max="2" width="11.19921875" style="8" bestFit="1" customWidth="1"/>
    <col min="3" max="3" width="13.59765625" style="8" bestFit="1" customWidth="1"/>
    <col min="4" max="4" width="13.3984375" style="8" customWidth="1"/>
    <col min="5" max="5" width="43.19921875" style="8" bestFit="1" customWidth="1"/>
    <col min="6" max="6" width="33.3984375" style="8" bestFit="1" customWidth="1"/>
    <col min="7" max="7" width="13.3984375" style="8" bestFit="1" customWidth="1"/>
    <col min="8" max="8" width="25.3984375" style="10" customWidth="1"/>
    <col min="9" max="16384" width="11.3984375" style="8"/>
  </cols>
  <sheetData>
    <row r="1" spans="1:8" s="7" customFormat="1" ht="15" x14ac:dyDescent="0.2">
      <c r="A1" s="419" t="s">
        <v>18</v>
      </c>
      <c r="B1" s="419" t="s">
        <v>21</v>
      </c>
      <c r="C1" s="419" t="s">
        <v>25</v>
      </c>
      <c r="D1" s="419" t="s">
        <v>26</v>
      </c>
      <c r="E1" s="419" t="s">
        <v>22</v>
      </c>
      <c r="F1" s="419" t="s">
        <v>36</v>
      </c>
      <c r="G1" s="419" t="s">
        <v>114</v>
      </c>
      <c r="H1" s="419" t="s">
        <v>163</v>
      </c>
    </row>
    <row r="2" spans="1:8" s="7" customFormat="1" x14ac:dyDescent="0.2">
      <c r="A2" s="50">
        <f t="shared" ref="A2:A8" si="0">MONTH(B2)</f>
        <v>7</v>
      </c>
      <c r="B2" s="51">
        <v>46212</v>
      </c>
      <c r="C2" s="66"/>
      <c r="D2" s="66">
        <v>1.79</v>
      </c>
      <c r="E2" s="8" t="s">
        <v>994</v>
      </c>
      <c r="F2" s="8" t="s">
        <v>32</v>
      </c>
      <c r="G2" s="419"/>
      <c r="H2" s="419"/>
    </row>
    <row r="3" spans="1:8" s="7" customFormat="1" x14ac:dyDescent="0.2">
      <c r="A3" s="50">
        <f t="shared" si="0"/>
        <v>7</v>
      </c>
      <c r="B3" s="51">
        <v>46211</v>
      </c>
      <c r="C3" s="66"/>
      <c r="D3" s="66">
        <v>4</v>
      </c>
      <c r="E3" s="8" t="s">
        <v>835</v>
      </c>
      <c r="F3" s="8" t="s">
        <v>419</v>
      </c>
      <c r="G3" s="419"/>
      <c r="H3" s="419"/>
    </row>
    <row r="4" spans="1:8" s="7" customFormat="1" x14ac:dyDescent="0.2">
      <c r="A4" s="50">
        <f t="shared" si="0"/>
        <v>7</v>
      </c>
      <c r="B4" s="51">
        <v>46210</v>
      </c>
      <c r="C4" s="66"/>
      <c r="D4" s="66">
        <v>32.83</v>
      </c>
      <c r="E4" s="8" t="s">
        <v>557</v>
      </c>
      <c r="F4" s="8" t="s">
        <v>32</v>
      </c>
      <c r="G4" s="419"/>
      <c r="H4" s="419"/>
    </row>
    <row r="5" spans="1:8" s="7" customFormat="1" x14ac:dyDescent="0.2">
      <c r="A5" s="50">
        <f t="shared" si="0"/>
        <v>7</v>
      </c>
      <c r="B5" s="51">
        <v>46210</v>
      </c>
      <c r="C5" s="66"/>
      <c r="D5" s="66">
        <v>72.97</v>
      </c>
      <c r="E5" s="8" t="s">
        <v>1076</v>
      </c>
      <c r="F5" s="8" t="s">
        <v>35</v>
      </c>
      <c r="G5" s="419"/>
      <c r="H5" s="419"/>
    </row>
    <row r="6" spans="1:8" s="7" customFormat="1" x14ac:dyDescent="0.2">
      <c r="A6" s="50">
        <f t="shared" ref="A6" si="1">MONTH(B6)</f>
        <v>7</v>
      </c>
      <c r="B6" s="51">
        <v>46209</v>
      </c>
      <c r="C6" s="66"/>
      <c r="D6" s="66">
        <f>4.59+1.69+2.99+1.29</f>
        <v>10.559999999999999</v>
      </c>
      <c r="E6" s="8" t="s">
        <v>1000</v>
      </c>
      <c r="F6" s="8" t="s">
        <v>32</v>
      </c>
      <c r="G6" s="419"/>
      <c r="H6" s="419"/>
    </row>
    <row r="7" spans="1:8" s="7" customFormat="1" x14ac:dyDescent="0.2">
      <c r="A7" s="50">
        <f t="shared" si="0"/>
        <v>7</v>
      </c>
      <c r="B7" s="51">
        <v>46209</v>
      </c>
      <c r="C7" s="66"/>
      <c r="D7" s="66">
        <f>27.28-D6</f>
        <v>16.720000000000002</v>
      </c>
      <c r="E7" s="8" t="s">
        <v>1000</v>
      </c>
      <c r="F7" s="8" t="s">
        <v>401</v>
      </c>
      <c r="G7" s="419"/>
      <c r="H7" s="419"/>
    </row>
    <row r="8" spans="1:8" s="7" customFormat="1" x14ac:dyDescent="0.2">
      <c r="A8" s="50">
        <f t="shared" si="0"/>
        <v>7</v>
      </c>
      <c r="B8" s="51">
        <v>46209</v>
      </c>
      <c r="C8" s="66"/>
      <c r="D8" s="66">
        <v>9.98</v>
      </c>
      <c r="E8" s="8" t="s">
        <v>1077</v>
      </c>
      <c r="F8" s="8" t="s">
        <v>419</v>
      </c>
      <c r="G8" s="419"/>
      <c r="H8" s="419"/>
    </row>
    <row r="9" spans="1:8" s="7" customFormat="1" x14ac:dyDescent="0.2">
      <c r="A9" s="50">
        <f t="shared" ref="A9:A11" si="2">MONTH(B9)</f>
        <v>7</v>
      </c>
      <c r="B9" s="51">
        <v>46208</v>
      </c>
      <c r="C9" s="66"/>
      <c r="D9" s="66">
        <v>115.98</v>
      </c>
      <c r="E9" s="8" t="s">
        <v>1035</v>
      </c>
      <c r="F9" s="8" t="s">
        <v>419</v>
      </c>
      <c r="G9" s="419"/>
      <c r="H9" s="419"/>
    </row>
    <row r="10" spans="1:8" s="7" customFormat="1" x14ac:dyDescent="0.2">
      <c r="A10" s="50">
        <f t="shared" si="2"/>
        <v>7</v>
      </c>
      <c r="B10" s="51">
        <v>46207</v>
      </c>
      <c r="C10" s="66"/>
      <c r="D10" s="66">
        <v>88.4</v>
      </c>
      <c r="E10" s="8" t="s">
        <v>1036</v>
      </c>
      <c r="F10" s="8" t="s">
        <v>47</v>
      </c>
      <c r="G10" s="419"/>
      <c r="H10" s="419"/>
    </row>
    <row r="11" spans="1:8" s="7" customFormat="1" x14ac:dyDescent="0.2">
      <c r="A11" s="50">
        <f t="shared" si="2"/>
        <v>7</v>
      </c>
      <c r="B11" s="51">
        <v>46206</v>
      </c>
      <c r="C11" s="66"/>
      <c r="D11" s="66">
        <v>7.4</v>
      </c>
      <c r="E11" s="8" t="s">
        <v>962</v>
      </c>
      <c r="F11" s="8" t="s">
        <v>46</v>
      </c>
      <c r="G11" s="419"/>
      <c r="H11" s="419"/>
    </row>
    <row r="12" spans="1:8" s="7" customFormat="1" x14ac:dyDescent="0.2">
      <c r="A12" s="50">
        <f t="shared" ref="A12:A17" si="3">MONTH(B12)</f>
        <v>7</v>
      </c>
      <c r="B12" s="51">
        <v>46205</v>
      </c>
      <c r="C12" s="66"/>
      <c r="D12" s="66">
        <v>1.69</v>
      </c>
      <c r="E12" s="8" t="s">
        <v>995</v>
      </c>
      <c r="F12" s="8" t="s">
        <v>32</v>
      </c>
      <c r="G12" s="419"/>
      <c r="H12" s="419"/>
    </row>
    <row r="13" spans="1:8" s="7" customFormat="1" x14ac:dyDescent="0.2">
      <c r="A13" s="50">
        <f t="shared" si="3"/>
        <v>7</v>
      </c>
      <c r="B13" s="51">
        <v>46205</v>
      </c>
      <c r="C13" s="66"/>
      <c r="D13" s="66">
        <v>42.97</v>
      </c>
      <c r="E13" s="8" t="s">
        <v>995</v>
      </c>
      <c r="F13" s="8" t="s">
        <v>32</v>
      </c>
      <c r="G13" s="419"/>
      <c r="H13" s="419"/>
    </row>
    <row r="14" spans="1:8" s="7" customFormat="1" x14ac:dyDescent="0.2">
      <c r="A14" s="50">
        <f t="shared" si="3"/>
        <v>7</v>
      </c>
      <c r="B14" s="51">
        <v>46205</v>
      </c>
      <c r="C14" s="66"/>
      <c r="D14" s="66">
        <v>19.079999999999998</v>
      </c>
      <c r="E14" s="8" t="s">
        <v>994</v>
      </c>
      <c r="F14" s="8" t="s">
        <v>32</v>
      </c>
      <c r="G14" s="419"/>
      <c r="H14" s="419"/>
    </row>
    <row r="15" spans="1:8" s="7" customFormat="1" x14ac:dyDescent="0.2">
      <c r="A15" s="50">
        <f t="shared" si="3"/>
        <v>7</v>
      </c>
      <c r="B15" s="51">
        <v>46205</v>
      </c>
      <c r="C15" s="66">
        <v>25.99</v>
      </c>
      <c r="D15" s="66"/>
      <c r="E15" s="8" t="s">
        <v>1017</v>
      </c>
      <c r="F15" s="8" t="s">
        <v>33</v>
      </c>
      <c r="G15" s="419"/>
      <c r="H15" s="419"/>
    </row>
    <row r="16" spans="1:8" s="7" customFormat="1" x14ac:dyDescent="0.2">
      <c r="A16" s="50">
        <f t="shared" si="3"/>
        <v>7</v>
      </c>
      <c r="B16" s="51">
        <v>46205</v>
      </c>
      <c r="C16" s="66"/>
      <c r="D16" s="66">
        <v>25.57</v>
      </c>
      <c r="E16" s="8" t="s">
        <v>1018</v>
      </c>
      <c r="F16" s="8" t="s">
        <v>33</v>
      </c>
      <c r="G16" s="419"/>
      <c r="H16" s="419"/>
    </row>
    <row r="17" spans="1:8" s="7" customFormat="1" x14ac:dyDescent="0.2">
      <c r="A17" s="50">
        <f t="shared" si="3"/>
        <v>7</v>
      </c>
      <c r="B17" s="51">
        <v>46204</v>
      </c>
      <c r="C17" s="66"/>
      <c r="D17" s="66">
        <v>96</v>
      </c>
      <c r="E17" s="8" t="s">
        <v>549</v>
      </c>
      <c r="F17" s="8" t="s">
        <v>33</v>
      </c>
      <c r="G17" s="419"/>
      <c r="H17" s="419"/>
    </row>
    <row r="18" spans="1:8" s="7" customFormat="1" x14ac:dyDescent="0.2">
      <c r="A18" s="50">
        <f t="shared" ref="A18:A24" si="4">MONTH(B18)</f>
        <v>6</v>
      </c>
      <c r="B18" s="51">
        <v>46203</v>
      </c>
      <c r="C18" s="66"/>
      <c r="D18" s="66">
        <v>27.99</v>
      </c>
      <c r="E18" s="8" t="s">
        <v>1008</v>
      </c>
      <c r="F18" s="8" t="s">
        <v>33</v>
      </c>
      <c r="G18" s="419"/>
      <c r="H18" s="419"/>
    </row>
    <row r="19" spans="1:8" s="7" customFormat="1" x14ac:dyDescent="0.2">
      <c r="A19" s="50">
        <f t="shared" si="4"/>
        <v>6</v>
      </c>
      <c r="B19" s="51">
        <v>46203</v>
      </c>
      <c r="C19" s="66"/>
      <c r="D19" s="66">
        <v>7.9</v>
      </c>
      <c r="E19" s="8" t="s">
        <v>1009</v>
      </c>
      <c r="F19" s="8" t="s">
        <v>288</v>
      </c>
      <c r="G19" s="419"/>
      <c r="H19" s="419"/>
    </row>
    <row r="20" spans="1:8" s="7" customFormat="1" x14ac:dyDescent="0.2">
      <c r="A20" s="50">
        <f t="shared" si="4"/>
        <v>6</v>
      </c>
      <c r="B20" s="51">
        <v>46202</v>
      </c>
      <c r="C20" s="66"/>
      <c r="D20" s="66">
        <v>31.27</v>
      </c>
      <c r="E20" s="8" t="s">
        <v>995</v>
      </c>
      <c r="F20" s="8" t="s">
        <v>47</v>
      </c>
      <c r="G20" s="419"/>
      <c r="H20" s="419"/>
    </row>
    <row r="21" spans="1:8" s="7" customFormat="1" x14ac:dyDescent="0.2">
      <c r="A21" s="50">
        <f t="shared" si="4"/>
        <v>6</v>
      </c>
      <c r="B21" s="51">
        <v>46202</v>
      </c>
      <c r="C21" s="66"/>
      <c r="D21" s="66">
        <v>15.99</v>
      </c>
      <c r="E21" s="8" t="s">
        <v>1000</v>
      </c>
      <c r="F21" s="8" t="s">
        <v>1013</v>
      </c>
      <c r="G21" s="419"/>
      <c r="H21" s="419"/>
    </row>
    <row r="22" spans="1:8" s="7" customFormat="1" x14ac:dyDescent="0.2">
      <c r="A22" s="50">
        <f t="shared" si="4"/>
        <v>6</v>
      </c>
      <c r="B22" s="51">
        <v>46202</v>
      </c>
      <c r="C22" s="66"/>
      <c r="D22" s="66">
        <v>12.19</v>
      </c>
      <c r="E22" s="8" t="s">
        <v>1010</v>
      </c>
      <c r="F22" s="8" t="s">
        <v>127</v>
      </c>
      <c r="G22" s="419"/>
      <c r="H22" s="419"/>
    </row>
    <row r="23" spans="1:8" s="7" customFormat="1" x14ac:dyDescent="0.2">
      <c r="A23" s="50">
        <f t="shared" si="4"/>
        <v>6</v>
      </c>
      <c r="B23" s="51">
        <v>46202</v>
      </c>
      <c r="C23" s="66"/>
      <c r="D23" s="66">
        <v>8.0399999999999991</v>
      </c>
      <c r="E23" s="8" t="s">
        <v>1011</v>
      </c>
      <c r="F23" s="8" t="s">
        <v>94</v>
      </c>
      <c r="G23" s="419"/>
      <c r="H23" s="419"/>
    </row>
    <row r="24" spans="1:8" s="7" customFormat="1" x14ac:dyDescent="0.2">
      <c r="A24" s="50">
        <f t="shared" si="4"/>
        <v>6</v>
      </c>
      <c r="B24" s="51">
        <v>46202</v>
      </c>
      <c r="C24" s="66"/>
      <c r="D24" s="66">
        <v>25.99</v>
      </c>
      <c r="E24" s="8" t="s">
        <v>1012</v>
      </c>
      <c r="F24" s="8" t="s">
        <v>33</v>
      </c>
      <c r="G24" s="419"/>
      <c r="H24" s="419"/>
    </row>
    <row r="25" spans="1:8" s="7" customFormat="1" x14ac:dyDescent="0.2">
      <c r="A25" s="50">
        <f t="shared" ref="A25:A30" si="5">MONTH(B25)</f>
        <v>6</v>
      </c>
      <c r="B25" s="51">
        <v>46201</v>
      </c>
      <c r="C25" s="66"/>
      <c r="D25" s="66">
        <v>15.6</v>
      </c>
      <c r="E25" s="8" t="s">
        <v>1001</v>
      </c>
      <c r="F25" s="8" t="s">
        <v>46</v>
      </c>
      <c r="G25" s="419"/>
      <c r="H25" s="419"/>
    </row>
    <row r="26" spans="1:8" s="7" customFormat="1" x14ac:dyDescent="0.2">
      <c r="A26" s="50">
        <f t="shared" si="5"/>
        <v>6</v>
      </c>
      <c r="B26" s="51">
        <v>46201</v>
      </c>
      <c r="C26" s="66"/>
      <c r="D26" s="66">
        <v>10.6</v>
      </c>
      <c r="E26" s="8" t="s">
        <v>994</v>
      </c>
      <c r="F26" s="8" t="s">
        <v>32</v>
      </c>
      <c r="G26" s="419"/>
      <c r="H26" s="419"/>
    </row>
    <row r="27" spans="1:8" s="7" customFormat="1" x14ac:dyDescent="0.2">
      <c r="A27" s="50">
        <f t="shared" si="5"/>
        <v>6</v>
      </c>
      <c r="B27" s="51">
        <v>46201</v>
      </c>
      <c r="C27" s="66"/>
      <c r="D27" s="66">
        <v>11.75</v>
      </c>
      <c r="E27" s="8" t="s">
        <v>994</v>
      </c>
      <c r="F27" s="8" t="s">
        <v>32</v>
      </c>
      <c r="G27" s="419"/>
      <c r="H27" s="419"/>
    </row>
    <row r="28" spans="1:8" s="7" customFormat="1" x14ac:dyDescent="0.2">
      <c r="A28" s="50">
        <f t="shared" ref="A28" si="6">MONTH(B28)</f>
        <v>6</v>
      </c>
      <c r="B28" s="51">
        <v>46200</v>
      </c>
      <c r="C28" s="66"/>
      <c r="D28" s="66">
        <v>2</v>
      </c>
      <c r="E28" s="8" t="s">
        <v>591</v>
      </c>
      <c r="F28" s="8" t="s">
        <v>144</v>
      </c>
      <c r="G28" s="419"/>
      <c r="H28" s="419"/>
    </row>
    <row r="29" spans="1:8" s="7" customFormat="1" x14ac:dyDescent="0.2">
      <c r="A29" s="50">
        <f t="shared" si="5"/>
        <v>6</v>
      </c>
      <c r="B29" s="51">
        <v>46200</v>
      </c>
      <c r="C29" s="66"/>
      <c r="D29" s="66">
        <v>55.55</v>
      </c>
      <c r="E29" s="8" t="s">
        <v>1002</v>
      </c>
      <c r="F29" s="8" t="s">
        <v>47</v>
      </c>
      <c r="G29" s="419"/>
      <c r="H29" s="419"/>
    </row>
    <row r="30" spans="1:8" s="7" customFormat="1" x14ac:dyDescent="0.2">
      <c r="A30" s="50">
        <f t="shared" si="5"/>
        <v>6</v>
      </c>
      <c r="B30" s="51">
        <v>46200</v>
      </c>
      <c r="C30" s="66"/>
      <c r="D30" s="66">
        <v>142.24</v>
      </c>
      <c r="E30" s="8" t="s">
        <v>1003</v>
      </c>
      <c r="F30" s="8" t="s">
        <v>129</v>
      </c>
      <c r="G30" s="419"/>
      <c r="H30" s="419"/>
    </row>
    <row r="31" spans="1:8" s="7" customFormat="1" x14ac:dyDescent="0.2">
      <c r="A31" s="50">
        <f t="shared" ref="A31:A43" si="7">MONTH(B31)</f>
        <v>6</v>
      </c>
      <c r="B31" s="51">
        <v>46198</v>
      </c>
      <c r="C31" s="66"/>
      <c r="D31" s="66">
        <v>3.89</v>
      </c>
      <c r="E31" s="8" t="s">
        <v>994</v>
      </c>
      <c r="F31" s="8" t="s">
        <v>32</v>
      </c>
      <c r="G31" s="419"/>
      <c r="H31" s="419"/>
    </row>
    <row r="32" spans="1:8" s="7" customFormat="1" x14ac:dyDescent="0.2">
      <c r="A32" s="50">
        <f t="shared" si="7"/>
        <v>6</v>
      </c>
      <c r="B32" s="51">
        <v>46197</v>
      </c>
      <c r="C32" s="66"/>
      <c r="D32" s="66">
        <v>40.31</v>
      </c>
      <c r="E32" s="8" t="s">
        <v>995</v>
      </c>
      <c r="F32" s="8" t="s">
        <v>32</v>
      </c>
      <c r="G32" s="419"/>
      <c r="H32" s="419"/>
    </row>
    <row r="33" spans="1:8" s="7" customFormat="1" x14ac:dyDescent="0.2">
      <c r="A33" s="50">
        <f t="shared" si="7"/>
        <v>6</v>
      </c>
      <c r="B33" s="51">
        <v>46197</v>
      </c>
      <c r="C33" s="66"/>
      <c r="D33" s="66">
        <v>10.35</v>
      </c>
      <c r="E33" s="8" t="s">
        <v>557</v>
      </c>
      <c r="F33" s="8" t="s">
        <v>32</v>
      </c>
      <c r="G33" s="419"/>
      <c r="H33" s="419"/>
    </row>
    <row r="34" spans="1:8" s="7" customFormat="1" x14ac:dyDescent="0.2">
      <c r="A34" s="50">
        <f t="shared" si="7"/>
        <v>6</v>
      </c>
      <c r="B34" s="51">
        <v>46197</v>
      </c>
      <c r="C34" s="66"/>
      <c r="D34" s="66">
        <v>84.5</v>
      </c>
      <c r="E34" s="8" t="s">
        <v>996</v>
      </c>
      <c r="F34" s="8" t="s">
        <v>926</v>
      </c>
      <c r="G34" s="419"/>
      <c r="H34" s="419"/>
    </row>
    <row r="35" spans="1:8" s="7" customFormat="1" x14ac:dyDescent="0.2">
      <c r="A35" s="50">
        <f t="shared" si="7"/>
        <v>6</v>
      </c>
      <c r="B35" s="51">
        <v>46197</v>
      </c>
      <c r="C35" s="66"/>
      <c r="D35" s="66">
        <v>8.93</v>
      </c>
      <c r="E35" s="8" t="s">
        <v>994</v>
      </c>
      <c r="F35" s="8" t="s">
        <v>32</v>
      </c>
      <c r="G35" s="419"/>
      <c r="H35" s="419"/>
    </row>
    <row r="36" spans="1:8" s="7" customFormat="1" x14ac:dyDescent="0.2">
      <c r="A36" s="50">
        <f t="shared" si="7"/>
        <v>6</v>
      </c>
      <c r="B36" s="51">
        <v>46196</v>
      </c>
      <c r="C36" s="66"/>
      <c r="D36" s="66">
        <v>15.07</v>
      </c>
      <c r="E36" s="8" t="s">
        <v>562</v>
      </c>
      <c r="F36" s="8" t="s">
        <v>32</v>
      </c>
      <c r="G36" s="419"/>
      <c r="H36" s="419"/>
    </row>
    <row r="37" spans="1:8" s="7" customFormat="1" x14ac:dyDescent="0.2">
      <c r="A37" s="50">
        <f t="shared" si="7"/>
        <v>6</v>
      </c>
      <c r="B37" s="51">
        <v>46196</v>
      </c>
      <c r="C37" s="66"/>
      <c r="D37" s="66">
        <v>2.99</v>
      </c>
      <c r="E37" s="8" t="s">
        <v>997</v>
      </c>
      <c r="F37" s="8" t="s">
        <v>127</v>
      </c>
      <c r="G37" s="419"/>
      <c r="H37" s="419"/>
    </row>
    <row r="38" spans="1:8" s="7" customFormat="1" x14ac:dyDescent="0.2">
      <c r="A38" s="50">
        <f t="shared" si="7"/>
        <v>6</v>
      </c>
      <c r="B38" s="51">
        <v>46196</v>
      </c>
      <c r="C38" s="66"/>
      <c r="D38" s="66">
        <v>19.989999999999998</v>
      </c>
      <c r="E38" s="8" t="s">
        <v>998</v>
      </c>
      <c r="F38" s="8" t="s">
        <v>35</v>
      </c>
      <c r="G38" s="419"/>
      <c r="H38" s="419"/>
    </row>
    <row r="39" spans="1:8" s="7" customFormat="1" x14ac:dyDescent="0.2">
      <c r="A39" s="50">
        <f t="shared" si="7"/>
        <v>6</v>
      </c>
      <c r="B39" s="51">
        <v>46196</v>
      </c>
      <c r="C39" s="66"/>
      <c r="D39" s="66">
        <v>9.99</v>
      </c>
      <c r="E39" s="8" t="s">
        <v>999</v>
      </c>
      <c r="F39" s="8" t="s">
        <v>1013</v>
      </c>
      <c r="G39" s="419"/>
      <c r="H39" s="419"/>
    </row>
    <row r="40" spans="1:8" s="7" customFormat="1" x14ac:dyDescent="0.2">
      <c r="A40" s="50">
        <f t="shared" ref="A40" si="8">MONTH(B40)</f>
        <v>6</v>
      </c>
      <c r="B40" s="51">
        <v>46196</v>
      </c>
      <c r="C40" s="66"/>
      <c r="D40" s="66">
        <f>1.99+3.99</f>
        <v>5.98</v>
      </c>
      <c r="E40" s="8" t="s">
        <v>1000</v>
      </c>
      <c r="F40" s="8" t="s">
        <v>88</v>
      </c>
      <c r="G40" s="419"/>
      <c r="H40" s="419"/>
    </row>
    <row r="41" spans="1:8" s="7" customFormat="1" x14ac:dyDescent="0.2">
      <c r="A41" s="50">
        <f t="shared" si="7"/>
        <v>6</v>
      </c>
      <c r="B41" s="51">
        <v>46196</v>
      </c>
      <c r="C41" s="66"/>
      <c r="D41" s="66">
        <f>10.16-D40</f>
        <v>4.18</v>
      </c>
      <c r="E41" s="8" t="s">
        <v>1000</v>
      </c>
      <c r="F41" s="8" t="s">
        <v>32</v>
      </c>
      <c r="G41" s="419"/>
      <c r="H41" s="419"/>
    </row>
    <row r="42" spans="1:8" s="7" customFormat="1" x14ac:dyDescent="0.2">
      <c r="A42" s="50">
        <f t="shared" si="7"/>
        <v>6</v>
      </c>
      <c r="B42" s="51">
        <v>46196</v>
      </c>
      <c r="C42" s="66"/>
      <c r="D42" s="66">
        <v>83.56</v>
      </c>
      <c r="E42" s="8" t="s">
        <v>549</v>
      </c>
      <c r="F42" s="8" t="s">
        <v>33</v>
      </c>
      <c r="G42" s="419"/>
      <c r="H42" s="419"/>
    </row>
    <row r="43" spans="1:8" s="7" customFormat="1" x14ac:dyDescent="0.2">
      <c r="A43" s="50">
        <f t="shared" si="7"/>
        <v>6</v>
      </c>
      <c r="B43" s="51">
        <v>46194</v>
      </c>
      <c r="C43" s="66"/>
      <c r="D43" s="66">
        <v>6.66</v>
      </c>
      <c r="E43" s="8" t="s">
        <v>994</v>
      </c>
      <c r="F43" s="8" t="s">
        <v>32</v>
      </c>
      <c r="G43" s="419"/>
      <c r="H43" s="419"/>
    </row>
    <row r="44" spans="1:8" s="7" customFormat="1" x14ac:dyDescent="0.2">
      <c r="A44" s="50">
        <f t="shared" ref="A44:A50" si="9">MONTH(B44)</f>
        <v>6</v>
      </c>
      <c r="B44" s="51">
        <v>46194</v>
      </c>
      <c r="C44" s="66"/>
      <c r="D44" s="66">
        <v>70.31</v>
      </c>
      <c r="E44" s="8" t="s">
        <v>979</v>
      </c>
      <c r="F44" s="8" t="s">
        <v>127</v>
      </c>
      <c r="G44" s="419"/>
      <c r="H44" s="419"/>
    </row>
    <row r="45" spans="1:8" s="7" customFormat="1" x14ac:dyDescent="0.2">
      <c r="A45" s="50">
        <f t="shared" si="9"/>
        <v>6</v>
      </c>
      <c r="B45" s="51">
        <v>46193</v>
      </c>
      <c r="C45" s="66"/>
      <c r="D45" s="66">
        <v>78.12</v>
      </c>
      <c r="E45" s="8" t="s">
        <v>644</v>
      </c>
      <c r="F45" s="8" t="s">
        <v>32</v>
      </c>
      <c r="G45" s="419"/>
      <c r="H45" s="419"/>
    </row>
    <row r="46" spans="1:8" s="7" customFormat="1" x14ac:dyDescent="0.2">
      <c r="A46" s="50">
        <f t="shared" si="9"/>
        <v>6</v>
      </c>
      <c r="B46" s="51">
        <v>46193</v>
      </c>
      <c r="C46" s="66"/>
      <c r="D46" s="66">
        <v>4.6900000000000004</v>
      </c>
      <c r="E46" s="8" t="s">
        <v>645</v>
      </c>
      <c r="F46" s="8" t="s">
        <v>32</v>
      </c>
      <c r="G46" s="419"/>
      <c r="H46" s="419"/>
    </row>
    <row r="47" spans="1:8" s="7" customFormat="1" x14ac:dyDescent="0.2">
      <c r="A47" s="50">
        <f t="shared" si="9"/>
        <v>6</v>
      </c>
      <c r="B47" s="51">
        <v>46193</v>
      </c>
      <c r="C47" s="66"/>
      <c r="D47" s="66">
        <v>65.900000000000006</v>
      </c>
      <c r="E47" s="8" t="s">
        <v>978</v>
      </c>
      <c r="F47" s="8" t="s">
        <v>47</v>
      </c>
      <c r="G47" s="419"/>
      <c r="H47" s="419"/>
    </row>
    <row r="48" spans="1:8" s="7" customFormat="1" x14ac:dyDescent="0.2">
      <c r="A48" s="50">
        <f t="shared" si="9"/>
        <v>6</v>
      </c>
      <c r="B48" s="51">
        <v>46193</v>
      </c>
      <c r="C48" s="66"/>
      <c r="D48" s="66">
        <v>10.87</v>
      </c>
      <c r="E48" s="8" t="s">
        <v>557</v>
      </c>
      <c r="F48" s="8" t="s">
        <v>32</v>
      </c>
      <c r="G48" s="419"/>
      <c r="H48" s="419"/>
    </row>
    <row r="49" spans="1:8" s="7" customFormat="1" x14ac:dyDescent="0.2">
      <c r="A49" s="50">
        <f t="shared" si="9"/>
        <v>6</v>
      </c>
      <c r="B49" s="51">
        <v>46192</v>
      </c>
      <c r="C49" s="66"/>
      <c r="D49" s="66">
        <v>17.7</v>
      </c>
      <c r="E49" s="8" t="s">
        <v>962</v>
      </c>
      <c r="F49" s="8" t="s">
        <v>32</v>
      </c>
      <c r="G49" s="419"/>
      <c r="H49" s="419"/>
    </row>
    <row r="50" spans="1:8" s="7" customFormat="1" x14ac:dyDescent="0.2">
      <c r="A50" s="50">
        <f t="shared" si="9"/>
        <v>6</v>
      </c>
      <c r="B50" s="51">
        <v>46192</v>
      </c>
      <c r="C50" s="66"/>
      <c r="D50" s="66">
        <v>24.42</v>
      </c>
      <c r="E50" s="8" t="s">
        <v>642</v>
      </c>
      <c r="F50" s="8" t="s">
        <v>32</v>
      </c>
      <c r="G50" s="419"/>
      <c r="H50" s="419"/>
    </row>
    <row r="51" spans="1:8" s="7" customFormat="1" x14ac:dyDescent="0.2">
      <c r="A51" s="50">
        <f t="shared" ref="A51:A52" si="10">MONTH(B51)</f>
        <v>6</v>
      </c>
      <c r="B51" s="51">
        <v>46192</v>
      </c>
      <c r="C51" s="66"/>
      <c r="D51" s="66">
        <v>2.89</v>
      </c>
      <c r="E51" s="8" t="s">
        <v>596</v>
      </c>
      <c r="F51" s="8" t="s">
        <v>119</v>
      </c>
      <c r="G51" s="419"/>
      <c r="H51" s="419"/>
    </row>
    <row r="52" spans="1:8" s="7" customFormat="1" x14ac:dyDescent="0.2">
      <c r="A52" s="50">
        <f t="shared" si="10"/>
        <v>6</v>
      </c>
      <c r="B52" s="51">
        <v>46191</v>
      </c>
      <c r="C52" s="66"/>
      <c r="D52" s="66">
        <v>231</v>
      </c>
      <c r="E52" s="8" t="s">
        <v>980</v>
      </c>
      <c r="F52" s="8" t="s">
        <v>47</v>
      </c>
      <c r="G52" s="419"/>
      <c r="H52" s="419"/>
    </row>
    <row r="53" spans="1:8" s="7" customFormat="1" x14ac:dyDescent="0.2">
      <c r="A53" s="50">
        <f t="shared" ref="A53:A59" si="11">MONTH(B53)</f>
        <v>6</v>
      </c>
      <c r="B53" s="51">
        <v>46190</v>
      </c>
      <c r="C53" s="66"/>
      <c r="D53" s="66">
        <v>7.95</v>
      </c>
      <c r="E53" s="8" t="s">
        <v>905</v>
      </c>
      <c r="F53" s="8" t="s">
        <v>33</v>
      </c>
      <c r="G53" s="419"/>
      <c r="H53" s="419"/>
    </row>
    <row r="54" spans="1:8" s="7" customFormat="1" x14ac:dyDescent="0.2">
      <c r="A54" s="50">
        <f t="shared" si="11"/>
        <v>6</v>
      </c>
      <c r="B54" s="51">
        <v>46190</v>
      </c>
      <c r="C54" s="66"/>
      <c r="D54" s="66">
        <v>14.98</v>
      </c>
      <c r="E54" s="8" t="s">
        <v>658</v>
      </c>
      <c r="F54" s="8" t="s">
        <v>88</v>
      </c>
      <c r="G54" s="419"/>
      <c r="H54" s="419"/>
    </row>
    <row r="55" spans="1:8" s="7" customFormat="1" x14ac:dyDescent="0.2">
      <c r="A55" s="50">
        <f t="shared" si="11"/>
        <v>6</v>
      </c>
      <c r="B55" s="51">
        <v>46190</v>
      </c>
      <c r="C55" s="66"/>
      <c r="D55" s="66">
        <v>19.989999999999998</v>
      </c>
      <c r="E55" s="8" t="s">
        <v>971</v>
      </c>
      <c r="F55" s="8" t="s">
        <v>33</v>
      </c>
      <c r="G55" s="419"/>
      <c r="H55" s="419"/>
    </row>
    <row r="56" spans="1:8" s="7" customFormat="1" x14ac:dyDescent="0.2">
      <c r="A56" s="50">
        <f t="shared" si="11"/>
        <v>6</v>
      </c>
      <c r="B56" s="51">
        <v>46188</v>
      </c>
      <c r="C56" s="66"/>
      <c r="D56" s="66">
        <v>53.39</v>
      </c>
      <c r="E56" s="8" t="s">
        <v>644</v>
      </c>
      <c r="F56" s="8" t="s">
        <v>32</v>
      </c>
      <c r="G56" s="419"/>
      <c r="H56" s="419"/>
    </row>
    <row r="57" spans="1:8" s="7" customFormat="1" x14ac:dyDescent="0.2">
      <c r="A57" s="50">
        <f t="shared" si="11"/>
        <v>6</v>
      </c>
      <c r="B57" s="51">
        <v>46188</v>
      </c>
      <c r="C57" s="66"/>
      <c r="D57" s="66">
        <v>28.88</v>
      </c>
      <c r="E57" s="8" t="s">
        <v>557</v>
      </c>
      <c r="F57" s="8" t="s">
        <v>32</v>
      </c>
      <c r="G57" s="419"/>
      <c r="H57" s="419"/>
    </row>
    <row r="58" spans="1:8" s="7" customFormat="1" x14ac:dyDescent="0.2">
      <c r="A58" s="50">
        <f t="shared" si="11"/>
        <v>6</v>
      </c>
      <c r="B58" s="51">
        <v>46188</v>
      </c>
      <c r="C58" s="66"/>
      <c r="D58" s="66">
        <v>3.95</v>
      </c>
      <c r="E58" s="8" t="s">
        <v>642</v>
      </c>
      <c r="F58" s="8" t="s">
        <v>32</v>
      </c>
      <c r="G58" s="419"/>
      <c r="H58" s="419"/>
    </row>
    <row r="59" spans="1:8" s="7" customFormat="1" x14ac:dyDescent="0.2">
      <c r="A59" s="50">
        <f t="shared" si="11"/>
        <v>6</v>
      </c>
      <c r="B59" s="51">
        <v>46188</v>
      </c>
      <c r="C59" s="66"/>
      <c r="D59" s="66">
        <v>2.44</v>
      </c>
      <c r="E59" s="8" t="s">
        <v>973</v>
      </c>
      <c r="F59" s="8" t="s">
        <v>42</v>
      </c>
      <c r="G59" s="419"/>
      <c r="H59" s="419"/>
    </row>
    <row r="60" spans="1:8" s="7" customFormat="1" x14ac:dyDescent="0.2">
      <c r="A60" s="50">
        <f t="shared" ref="A60:A69" si="12">MONTH(B60)</f>
        <v>6</v>
      </c>
      <c r="B60" s="51">
        <v>46186</v>
      </c>
      <c r="C60" s="66"/>
      <c r="D60" s="66">
        <v>6.4</v>
      </c>
      <c r="E60" s="8" t="s">
        <v>964</v>
      </c>
      <c r="F60" s="8" t="s">
        <v>46</v>
      </c>
      <c r="G60" s="419"/>
      <c r="H60" s="419"/>
    </row>
    <row r="61" spans="1:8" s="7" customFormat="1" x14ac:dyDescent="0.2">
      <c r="A61" s="50">
        <f t="shared" si="12"/>
        <v>6</v>
      </c>
      <c r="B61" s="51">
        <v>46186</v>
      </c>
      <c r="C61" s="66"/>
      <c r="D61" s="66">
        <v>65</v>
      </c>
      <c r="E61" s="8" t="s">
        <v>961</v>
      </c>
      <c r="F61" s="8" t="s">
        <v>346</v>
      </c>
      <c r="G61" s="419"/>
      <c r="H61" s="419"/>
    </row>
    <row r="62" spans="1:8" s="7" customFormat="1" x14ac:dyDescent="0.2">
      <c r="A62" s="50">
        <f t="shared" si="12"/>
        <v>6</v>
      </c>
      <c r="B62" s="51">
        <v>46185</v>
      </c>
      <c r="C62" s="66"/>
      <c r="D62" s="66">
        <v>22.22</v>
      </c>
      <c r="E62" s="8" t="s">
        <v>597</v>
      </c>
      <c r="F62" s="8" t="s">
        <v>32</v>
      </c>
      <c r="G62" s="419"/>
      <c r="H62" s="419"/>
    </row>
    <row r="63" spans="1:8" s="7" customFormat="1" x14ac:dyDescent="0.2">
      <c r="A63" s="50">
        <f t="shared" si="12"/>
        <v>6</v>
      </c>
      <c r="B63" s="51">
        <v>46185</v>
      </c>
      <c r="C63" s="66"/>
      <c r="D63" s="66">
        <v>431.55</v>
      </c>
      <c r="E63" s="8" t="s">
        <v>965</v>
      </c>
      <c r="F63" s="8" t="s">
        <v>419</v>
      </c>
      <c r="G63" s="419"/>
      <c r="H63" s="419"/>
    </row>
    <row r="64" spans="1:8" s="7" customFormat="1" x14ac:dyDescent="0.2">
      <c r="A64" s="50">
        <f t="shared" si="12"/>
        <v>6</v>
      </c>
      <c r="B64" s="51">
        <v>46185</v>
      </c>
      <c r="C64" s="66"/>
      <c r="D64" s="66">
        <v>6.99</v>
      </c>
      <c r="E64" s="8" t="s">
        <v>897</v>
      </c>
      <c r="F64" s="8" t="s">
        <v>119</v>
      </c>
      <c r="G64" s="419"/>
      <c r="H64" s="419"/>
    </row>
    <row r="65" spans="1:8" s="7" customFormat="1" x14ac:dyDescent="0.2">
      <c r="A65" s="50">
        <f t="shared" si="12"/>
        <v>6</v>
      </c>
      <c r="B65" s="51">
        <v>46185</v>
      </c>
      <c r="C65" s="66"/>
      <c r="D65" s="66">
        <v>58.4</v>
      </c>
      <c r="E65" s="8" t="s">
        <v>962</v>
      </c>
      <c r="F65" s="8" t="s">
        <v>47</v>
      </c>
      <c r="G65" s="419"/>
      <c r="H65" s="419"/>
    </row>
    <row r="66" spans="1:8" s="7" customFormat="1" x14ac:dyDescent="0.2">
      <c r="A66" s="50">
        <f t="shared" ref="A66" si="13">MONTH(B66)</f>
        <v>6</v>
      </c>
      <c r="B66" s="51">
        <v>46184</v>
      </c>
      <c r="C66" s="66"/>
      <c r="D66" s="66">
        <f>4.59+2.49</f>
        <v>7.08</v>
      </c>
      <c r="E66" s="8" t="s">
        <v>658</v>
      </c>
      <c r="F66" s="8" t="s">
        <v>32</v>
      </c>
      <c r="G66" s="419"/>
      <c r="H66" s="419"/>
    </row>
    <row r="67" spans="1:8" s="7" customFormat="1" x14ac:dyDescent="0.2">
      <c r="A67" s="50">
        <f t="shared" si="12"/>
        <v>6</v>
      </c>
      <c r="B67" s="51">
        <v>46184</v>
      </c>
      <c r="C67" s="66"/>
      <c r="D67" s="66">
        <f>37.25-D66</f>
        <v>30.17</v>
      </c>
      <c r="E67" s="8" t="s">
        <v>658</v>
      </c>
      <c r="F67" s="8" t="s">
        <v>88</v>
      </c>
      <c r="G67" s="419"/>
      <c r="H67" s="419"/>
    </row>
    <row r="68" spans="1:8" s="7" customFormat="1" x14ac:dyDescent="0.2">
      <c r="A68" s="50">
        <f t="shared" si="12"/>
        <v>6</v>
      </c>
      <c r="B68" s="51">
        <v>46184</v>
      </c>
      <c r="C68" s="66"/>
      <c r="D68" s="66">
        <v>18.84</v>
      </c>
      <c r="E68" s="8" t="s">
        <v>642</v>
      </c>
      <c r="F68" s="8" t="s">
        <v>32</v>
      </c>
      <c r="G68" s="419"/>
      <c r="H68" s="419"/>
    </row>
    <row r="69" spans="1:8" s="7" customFormat="1" x14ac:dyDescent="0.2">
      <c r="A69" s="50">
        <f t="shared" si="12"/>
        <v>6</v>
      </c>
      <c r="B69" s="51">
        <v>46184</v>
      </c>
      <c r="C69" s="66"/>
      <c r="D69" s="66">
        <v>33.28</v>
      </c>
      <c r="E69" s="8" t="s">
        <v>966</v>
      </c>
      <c r="F69" s="8" t="s">
        <v>289</v>
      </c>
      <c r="G69" s="419"/>
      <c r="H69" s="419"/>
    </row>
    <row r="70" spans="1:8" s="7" customFormat="1" x14ac:dyDescent="0.2">
      <c r="A70" s="50">
        <f t="shared" ref="A70:A78" si="14">MONTH(B70)</f>
        <v>6</v>
      </c>
      <c r="B70" s="51">
        <v>46183</v>
      </c>
      <c r="C70" s="66"/>
      <c r="D70" s="66">
        <v>3447.45</v>
      </c>
      <c r="E70" s="8" t="s">
        <v>969</v>
      </c>
      <c r="F70" s="8" t="s">
        <v>397</v>
      </c>
      <c r="G70" s="419"/>
      <c r="H70" s="419"/>
    </row>
    <row r="71" spans="1:8" s="7" customFormat="1" x14ac:dyDescent="0.2">
      <c r="A71" s="50">
        <f t="shared" si="14"/>
        <v>6</v>
      </c>
      <c r="B71" s="51">
        <v>46182</v>
      </c>
      <c r="C71" s="66"/>
      <c r="D71" s="66">
        <v>65.19</v>
      </c>
      <c r="E71" s="8" t="s">
        <v>644</v>
      </c>
      <c r="F71" s="8" t="s">
        <v>32</v>
      </c>
      <c r="G71" s="419"/>
      <c r="H71" s="419"/>
    </row>
    <row r="72" spans="1:8" s="7" customFormat="1" x14ac:dyDescent="0.2">
      <c r="A72" s="50">
        <f t="shared" si="14"/>
        <v>6</v>
      </c>
      <c r="B72" s="51">
        <v>46181</v>
      </c>
      <c r="C72" s="66"/>
      <c r="D72" s="66">
        <v>39.869999999999997</v>
      </c>
      <c r="E72" s="8" t="s">
        <v>967</v>
      </c>
      <c r="F72" s="8" t="s">
        <v>350</v>
      </c>
      <c r="G72" s="419"/>
      <c r="H72" s="419"/>
    </row>
    <row r="73" spans="1:8" s="7" customFormat="1" x14ac:dyDescent="0.2">
      <c r="A73" s="50">
        <f t="shared" si="14"/>
        <v>6</v>
      </c>
      <c r="B73" s="51">
        <v>46180</v>
      </c>
      <c r="C73" s="66"/>
      <c r="D73" s="66">
        <v>535.86</v>
      </c>
      <c r="E73" s="8" t="s">
        <v>968</v>
      </c>
      <c r="F73" s="8" t="s">
        <v>419</v>
      </c>
      <c r="G73" s="419"/>
      <c r="H73" s="419"/>
    </row>
    <row r="74" spans="1:8" s="7" customFormat="1" x14ac:dyDescent="0.2">
      <c r="A74" s="50">
        <f t="shared" si="14"/>
        <v>6</v>
      </c>
      <c r="B74" s="51">
        <v>46180</v>
      </c>
      <c r="C74" s="66"/>
      <c r="D74" s="66">
        <v>535.86</v>
      </c>
      <c r="E74" s="8" t="s">
        <v>968</v>
      </c>
      <c r="F74" s="8" t="s">
        <v>419</v>
      </c>
      <c r="G74" s="419"/>
      <c r="H74" s="419"/>
    </row>
    <row r="75" spans="1:8" s="7" customFormat="1" x14ac:dyDescent="0.2">
      <c r="A75" s="50">
        <f t="shared" si="14"/>
        <v>6</v>
      </c>
      <c r="B75" s="51">
        <v>46180</v>
      </c>
      <c r="C75" s="66"/>
      <c r="D75" s="66">
        <v>535.86</v>
      </c>
      <c r="E75" s="8" t="s">
        <v>968</v>
      </c>
      <c r="F75" s="8" t="s">
        <v>419</v>
      </c>
      <c r="G75" s="419"/>
      <c r="H75" s="419"/>
    </row>
    <row r="76" spans="1:8" s="7" customFormat="1" x14ac:dyDescent="0.2">
      <c r="A76" s="50">
        <f t="shared" si="14"/>
        <v>6</v>
      </c>
      <c r="B76" s="51">
        <v>46178</v>
      </c>
      <c r="C76" s="66"/>
      <c r="D76" s="66">
        <v>10.65</v>
      </c>
      <c r="E76" s="8" t="s">
        <v>644</v>
      </c>
      <c r="F76" s="8" t="s">
        <v>32</v>
      </c>
      <c r="G76" s="419"/>
      <c r="H76" s="419"/>
    </row>
    <row r="77" spans="1:8" s="7" customFormat="1" x14ac:dyDescent="0.2">
      <c r="A77" s="50">
        <f t="shared" si="14"/>
        <v>6</v>
      </c>
      <c r="B77" s="51">
        <v>46178</v>
      </c>
      <c r="C77" s="66"/>
      <c r="D77" s="66">
        <v>8.4700000000000006</v>
      </c>
      <c r="E77" s="8" t="s">
        <v>564</v>
      </c>
      <c r="F77" s="8" t="s">
        <v>32</v>
      </c>
      <c r="G77" s="419"/>
      <c r="H77" s="419"/>
    </row>
    <row r="78" spans="1:8" s="7" customFormat="1" x14ac:dyDescent="0.2">
      <c r="A78" s="50">
        <f t="shared" si="14"/>
        <v>6</v>
      </c>
      <c r="B78" s="51">
        <v>46178</v>
      </c>
      <c r="C78" s="66"/>
      <c r="D78" s="66">
        <v>6.99</v>
      </c>
      <c r="E78" s="8" t="s">
        <v>970</v>
      </c>
      <c r="F78" s="8" t="s">
        <v>119</v>
      </c>
      <c r="G78" s="419"/>
      <c r="H78" s="419"/>
    </row>
    <row r="79" spans="1:8" s="7" customFormat="1" x14ac:dyDescent="0.2">
      <c r="A79" s="50">
        <f t="shared" ref="A79:A81" si="15">MONTH(B79)</f>
        <v>6</v>
      </c>
      <c r="B79" s="51">
        <v>46177</v>
      </c>
      <c r="C79" s="66"/>
      <c r="D79" s="66">
        <v>15.8</v>
      </c>
      <c r="E79" s="8" t="s">
        <v>642</v>
      </c>
      <c r="F79" s="8" t="s">
        <v>32</v>
      </c>
      <c r="G79" s="419"/>
      <c r="H79" s="419"/>
    </row>
    <row r="80" spans="1:8" s="7" customFormat="1" x14ac:dyDescent="0.2">
      <c r="A80" s="50">
        <f t="shared" si="15"/>
        <v>6</v>
      </c>
      <c r="B80" s="51">
        <v>46176</v>
      </c>
      <c r="C80" s="66"/>
      <c r="D80" s="66">
        <v>29.03</v>
      </c>
      <c r="E80" s="8" t="s">
        <v>562</v>
      </c>
      <c r="F80" s="8" t="s">
        <v>32</v>
      </c>
      <c r="G80" s="419"/>
      <c r="H80" s="419"/>
    </row>
    <row r="81" spans="1:8" s="7" customFormat="1" x14ac:dyDescent="0.2">
      <c r="A81" s="50">
        <f t="shared" si="15"/>
        <v>6</v>
      </c>
      <c r="B81" s="51">
        <v>46176</v>
      </c>
      <c r="C81" s="66"/>
      <c r="D81" s="66">
        <v>9.99</v>
      </c>
      <c r="E81" s="8" t="s">
        <v>672</v>
      </c>
      <c r="F81" s="8" t="s">
        <v>127</v>
      </c>
      <c r="G81" s="419"/>
      <c r="H81" s="419"/>
    </row>
    <row r="82" spans="1:8" s="7" customFormat="1" x14ac:dyDescent="0.2">
      <c r="A82" s="50">
        <f t="shared" ref="A82:A90" si="16">MONTH(B82)</f>
        <v>6</v>
      </c>
      <c r="B82" s="51">
        <v>46175</v>
      </c>
      <c r="C82" s="66"/>
      <c r="D82" s="66">
        <v>35.090000000000003</v>
      </c>
      <c r="E82" s="8" t="s">
        <v>757</v>
      </c>
      <c r="F82" s="8" t="s">
        <v>33</v>
      </c>
      <c r="G82" s="419"/>
      <c r="H82" s="419"/>
    </row>
    <row r="83" spans="1:8" s="7" customFormat="1" x14ac:dyDescent="0.2">
      <c r="A83" s="50">
        <f t="shared" ref="A83" si="17">MONTH(B83)</f>
        <v>6</v>
      </c>
      <c r="B83" s="51">
        <v>46175</v>
      </c>
      <c r="C83" s="66"/>
      <c r="D83" s="66">
        <f>2.49+4.59+1.89</f>
        <v>8.9700000000000006</v>
      </c>
      <c r="E83" s="8" t="s">
        <v>658</v>
      </c>
      <c r="F83" s="8" t="s">
        <v>32</v>
      </c>
      <c r="G83" s="419"/>
      <c r="H83" s="419"/>
    </row>
    <row r="84" spans="1:8" s="7" customFormat="1" x14ac:dyDescent="0.2">
      <c r="A84" s="50">
        <f t="shared" si="16"/>
        <v>6</v>
      </c>
      <c r="B84" s="51">
        <v>46175</v>
      </c>
      <c r="C84" s="66"/>
      <c r="D84" s="66">
        <f>20.94-D83</f>
        <v>11.97</v>
      </c>
      <c r="E84" s="8" t="s">
        <v>658</v>
      </c>
      <c r="F84" s="8" t="s">
        <v>88</v>
      </c>
      <c r="G84" s="419"/>
      <c r="H84" s="419"/>
    </row>
    <row r="85" spans="1:8" s="7" customFormat="1" x14ac:dyDescent="0.2">
      <c r="A85" s="50">
        <f t="shared" si="16"/>
        <v>6</v>
      </c>
      <c r="B85" s="51">
        <v>46175</v>
      </c>
      <c r="C85" s="66"/>
      <c r="D85" s="66">
        <v>31.6</v>
      </c>
      <c r="E85" s="8" t="s">
        <v>549</v>
      </c>
      <c r="F85" s="8" t="s">
        <v>33</v>
      </c>
      <c r="G85" s="419"/>
      <c r="H85" s="419"/>
    </row>
    <row r="86" spans="1:8" s="7" customFormat="1" x14ac:dyDescent="0.2">
      <c r="A86" s="50">
        <f t="shared" si="16"/>
        <v>6</v>
      </c>
      <c r="B86" s="51">
        <v>46174</v>
      </c>
      <c r="C86" s="66"/>
      <c r="D86" s="66">
        <v>56.77</v>
      </c>
      <c r="E86" s="8" t="s">
        <v>644</v>
      </c>
      <c r="F86" s="8" t="s">
        <v>32</v>
      </c>
      <c r="G86" s="419"/>
      <c r="H86" s="419"/>
    </row>
    <row r="87" spans="1:8" s="7" customFormat="1" x14ac:dyDescent="0.2">
      <c r="A87" s="50">
        <f t="shared" si="16"/>
        <v>6</v>
      </c>
      <c r="B87" s="51">
        <v>46174</v>
      </c>
      <c r="C87" s="66"/>
      <c r="D87" s="66">
        <v>9.99</v>
      </c>
      <c r="E87" s="8" t="s">
        <v>952</v>
      </c>
      <c r="F87" s="8" t="s">
        <v>1013</v>
      </c>
      <c r="G87" s="419"/>
      <c r="H87" s="419"/>
    </row>
    <row r="88" spans="1:8" s="7" customFormat="1" x14ac:dyDescent="0.2">
      <c r="A88" s="50">
        <f t="shared" si="16"/>
        <v>6</v>
      </c>
      <c r="B88" s="51">
        <v>46174</v>
      </c>
      <c r="C88" s="66"/>
      <c r="D88" s="66">
        <v>4.3499999999999996</v>
      </c>
      <c r="E88" s="8" t="s">
        <v>557</v>
      </c>
      <c r="F88" s="8" t="s">
        <v>32</v>
      </c>
      <c r="G88" s="419"/>
      <c r="H88" s="419"/>
    </row>
    <row r="89" spans="1:8" s="7" customFormat="1" x14ac:dyDescent="0.2">
      <c r="A89" s="50">
        <f t="shared" si="16"/>
        <v>6</v>
      </c>
      <c r="B89" s="51">
        <v>46174</v>
      </c>
      <c r="C89" s="66"/>
      <c r="D89" s="66">
        <v>25.41</v>
      </c>
      <c r="E89" s="8" t="s">
        <v>557</v>
      </c>
      <c r="F89" s="8" t="s">
        <v>32</v>
      </c>
      <c r="G89" s="419"/>
      <c r="H89" s="419"/>
    </row>
    <row r="90" spans="1:8" s="7" customFormat="1" x14ac:dyDescent="0.2">
      <c r="A90" s="50">
        <f t="shared" si="16"/>
        <v>5</v>
      </c>
      <c r="B90" s="51">
        <v>46173</v>
      </c>
      <c r="C90" s="66"/>
      <c r="D90" s="66">
        <v>16.690000000000001</v>
      </c>
      <c r="E90" s="8" t="s">
        <v>642</v>
      </c>
      <c r="F90" s="8" t="s">
        <v>32</v>
      </c>
      <c r="G90" s="419"/>
      <c r="H90" s="419"/>
    </row>
    <row r="91" spans="1:8" s="7" customFormat="1" x14ac:dyDescent="0.2">
      <c r="A91" s="50">
        <f t="shared" ref="A91:A96" si="18">MONTH(B91)</f>
        <v>5</v>
      </c>
      <c r="B91" s="51">
        <v>46172</v>
      </c>
      <c r="C91" s="66"/>
      <c r="D91" s="66">
        <v>15.82</v>
      </c>
      <c r="E91" s="8" t="s">
        <v>564</v>
      </c>
      <c r="F91" s="8" t="s">
        <v>32</v>
      </c>
      <c r="G91" s="419"/>
      <c r="H91" s="419"/>
    </row>
    <row r="92" spans="1:8" s="7" customFormat="1" x14ac:dyDescent="0.2">
      <c r="A92" s="50">
        <f t="shared" si="18"/>
        <v>5</v>
      </c>
      <c r="B92" s="51">
        <v>46172</v>
      </c>
      <c r="C92" s="66"/>
      <c r="D92" s="66">
        <v>13.99</v>
      </c>
      <c r="E92" s="8" t="s">
        <v>658</v>
      </c>
      <c r="F92" s="8" t="s">
        <v>88</v>
      </c>
      <c r="G92" s="419"/>
      <c r="H92" s="419"/>
    </row>
    <row r="93" spans="1:8" s="7" customFormat="1" x14ac:dyDescent="0.2">
      <c r="A93" s="50">
        <f t="shared" si="18"/>
        <v>5</v>
      </c>
      <c r="B93" s="51">
        <v>46172</v>
      </c>
      <c r="C93" s="66"/>
      <c r="D93" s="66">
        <f>4.69</f>
        <v>4.6900000000000004</v>
      </c>
      <c r="E93" s="8" t="s">
        <v>658</v>
      </c>
      <c r="F93" s="8" t="s">
        <v>401</v>
      </c>
      <c r="G93" s="419"/>
      <c r="H93" s="419"/>
    </row>
    <row r="94" spans="1:8" s="7" customFormat="1" x14ac:dyDescent="0.2">
      <c r="A94" s="50">
        <f t="shared" si="18"/>
        <v>5</v>
      </c>
      <c r="B94" s="51">
        <v>46172</v>
      </c>
      <c r="C94" s="66"/>
      <c r="D94" s="66">
        <v>33.42</v>
      </c>
      <c r="E94" s="8" t="s">
        <v>658</v>
      </c>
      <c r="F94" s="8" t="s">
        <v>32</v>
      </c>
      <c r="G94" s="419"/>
      <c r="H94" s="419"/>
    </row>
    <row r="95" spans="1:8" s="7" customFormat="1" x14ac:dyDescent="0.2">
      <c r="A95" s="50">
        <f t="shared" si="18"/>
        <v>5</v>
      </c>
      <c r="B95" s="51">
        <v>46172</v>
      </c>
      <c r="C95" s="66"/>
      <c r="D95" s="66">
        <v>42</v>
      </c>
      <c r="E95" s="8" t="s">
        <v>900</v>
      </c>
      <c r="F95" s="8" t="s">
        <v>47</v>
      </c>
      <c r="G95" s="419"/>
      <c r="H95" s="419"/>
    </row>
    <row r="96" spans="1:8" s="7" customFormat="1" x14ac:dyDescent="0.2">
      <c r="A96" s="50">
        <f t="shared" si="18"/>
        <v>5</v>
      </c>
      <c r="B96" s="51">
        <v>46172</v>
      </c>
      <c r="C96" s="66"/>
      <c r="D96" s="66">
        <v>7.9</v>
      </c>
      <c r="E96" s="8" t="s">
        <v>660</v>
      </c>
      <c r="F96" s="8" t="s">
        <v>288</v>
      </c>
      <c r="G96" s="419"/>
      <c r="H96" s="419"/>
    </row>
    <row r="97" spans="1:8" s="7" customFormat="1" x14ac:dyDescent="0.2">
      <c r="A97" s="50">
        <f t="shared" ref="A97:A101" si="19">MONTH(B97)</f>
        <v>5</v>
      </c>
      <c r="B97" s="51">
        <v>46170</v>
      </c>
      <c r="C97" s="66"/>
      <c r="D97" s="66">
        <v>14.9</v>
      </c>
      <c r="E97" s="8" t="s">
        <v>953</v>
      </c>
      <c r="F97" s="8" t="s">
        <v>289</v>
      </c>
      <c r="G97" s="419"/>
      <c r="H97" s="419"/>
    </row>
    <row r="98" spans="1:8" s="7" customFormat="1" x14ac:dyDescent="0.2">
      <c r="A98" s="50">
        <f t="shared" si="19"/>
        <v>5</v>
      </c>
      <c r="B98" s="51">
        <v>46169</v>
      </c>
      <c r="C98" s="66"/>
      <c r="D98" s="66">
        <f>4.79+7.99</f>
        <v>12.780000000000001</v>
      </c>
      <c r="E98" s="8" t="s">
        <v>658</v>
      </c>
      <c r="F98" s="8" t="s">
        <v>88</v>
      </c>
      <c r="G98" s="419"/>
      <c r="H98" s="419"/>
    </row>
    <row r="99" spans="1:8" s="7" customFormat="1" x14ac:dyDescent="0.2">
      <c r="A99" s="50">
        <f t="shared" ref="A99" si="20">MONTH(B99)</f>
        <v>5</v>
      </c>
      <c r="B99" s="51">
        <v>46169</v>
      </c>
      <c r="C99" s="66"/>
      <c r="D99" s="66">
        <v>4.59</v>
      </c>
      <c r="E99" s="8" t="s">
        <v>658</v>
      </c>
      <c r="F99" s="8" t="s">
        <v>32</v>
      </c>
      <c r="G99" s="419"/>
      <c r="H99" s="419"/>
    </row>
    <row r="100" spans="1:8" s="7" customFormat="1" x14ac:dyDescent="0.2">
      <c r="A100" s="50">
        <f t="shared" si="19"/>
        <v>5</v>
      </c>
      <c r="B100" s="51">
        <v>46169</v>
      </c>
      <c r="C100" s="66"/>
      <c r="D100" s="66">
        <f>19.86-D99-D98</f>
        <v>2.4899999999999984</v>
      </c>
      <c r="E100" s="8" t="s">
        <v>658</v>
      </c>
      <c r="F100" s="8" t="s">
        <v>401</v>
      </c>
      <c r="G100" s="419"/>
      <c r="H100" s="419"/>
    </row>
    <row r="101" spans="1:8" s="7" customFormat="1" x14ac:dyDescent="0.2">
      <c r="A101" s="50">
        <f t="shared" si="19"/>
        <v>5</v>
      </c>
      <c r="B101" s="51">
        <v>46169</v>
      </c>
      <c r="C101" s="66"/>
      <c r="D101" s="66">
        <v>8.94</v>
      </c>
      <c r="E101" s="8" t="s">
        <v>642</v>
      </c>
      <c r="F101" s="8" t="s">
        <v>32</v>
      </c>
      <c r="G101" s="419"/>
      <c r="H101" s="419"/>
    </row>
    <row r="102" spans="1:8" s="7" customFormat="1" x14ac:dyDescent="0.2">
      <c r="A102" s="50">
        <f t="shared" ref="A102:A106" si="21">MONTH(B102)</f>
        <v>5</v>
      </c>
      <c r="B102" s="51">
        <v>46169</v>
      </c>
      <c r="C102" s="66"/>
      <c r="D102" s="66">
        <v>2</v>
      </c>
      <c r="E102" s="8" t="s">
        <v>591</v>
      </c>
      <c r="F102" s="8" t="s">
        <v>144</v>
      </c>
      <c r="G102" s="419"/>
      <c r="H102" s="419"/>
    </row>
    <row r="103" spans="1:8" s="7" customFormat="1" x14ac:dyDescent="0.2">
      <c r="A103" s="50">
        <f t="shared" si="21"/>
        <v>5</v>
      </c>
      <c r="B103" s="51">
        <v>46168</v>
      </c>
      <c r="C103" s="66"/>
      <c r="D103" s="66">
        <v>26.24</v>
      </c>
      <c r="E103" s="8" t="s">
        <v>644</v>
      </c>
      <c r="F103" s="8" t="s">
        <v>32</v>
      </c>
      <c r="G103" s="419"/>
      <c r="H103" s="419"/>
    </row>
    <row r="104" spans="1:8" s="7" customFormat="1" x14ac:dyDescent="0.2">
      <c r="A104" s="50">
        <f t="shared" si="21"/>
        <v>5</v>
      </c>
      <c r="B104" s="51">
        <v>46168</v>
      </c>
      <c r="C104" s="66"/>
      <c r="D104" s="66">
        <v>45.29</v>
      </c>
      <c r="E104" s="8" t="s">
        <v>644</v>
      </c>
      <c r="F104" s="8" t="s">
        <v>32</v>
      </c>
      <c r="G104" s="419"/>
      <c r="H104" s="419"/>
    </row>
    <row r="105" spans="1:8" s="7" customFormat="1" x14ac:dyDescent="0.2">
      <c r="A105" s="50">
        <f t="shared" si="21"/>
        <v>5</v>
      </c>
      <c r="B105" s="51">
        <v>46167</v>
      </c>
      <c r="C105" s="66"/>
      <c r="D105" s="66">
        <v>27</v>
      </c>
      <c r="E105" s="8" t="s">
        <v>595</v>
      </c>
      <c r="F105" s="8" t="s">
        <v>32</v>
      </c>
      <c r="G105" s="419"/>
      <c r="H105" s="419"/>
    </row>
    <row r="106" spans="1:8" s="7" customFormat="1" x14ac:dyDescent="0.2">
      <c r="A106" s="50">
        <f t="shared" si="21"/>
        <v>5</v>
      </c>
      <c r="B106" s="51">
        <v>46167</v>
      </c>
      <c r="C106" s="66"/>
      <c r="D106" s="66">
        <v>5.24</v>
      </c>
      <c r="E106" s="8" t="s">
        <v>564</v>
      </c>
      <c r="F106" s="8" t="s">
        <v>32</v>
      </c>
      <c r="G106" s="419"/>
      <c r="H106" s="419"/>
    </row>
    <row r="107" spans="1:8" s="7" customFormat="1" x14ac:dyDescent="0.2">
      <c r="A107" s="50">
        <f t="shared" ref="A107" si="22">MONTH(B107)</f>
        <v>5</v>
      </c>
      <c r="B107" s="51">
        <v>46165</v>
      </c>
      <c r="C107" s="66"/>
      <c r="D107" s="66">
        <v>2.99</v>
      </c>
      <c r="E107" s="8" t="s">
        <v>672</v>
      </c>
      <c r="F107" s="8" t="s">
        <v>127</v>
      </c>
      <c r="G107" s="419"/>
      <c r="H107" s="419"/>
    </row>
    <row r="108" spans="1:8" s="7" customFormat="1" x14ac:dyDescent="0.2">
      <c r="A108" s="50">
        <f t="shared" ref="A108:A111" si="23">MONTH(B108)</f>
        <v>5</v>
      </c>
      <c r="B108" s="51">
        <v>46164</v>
      </c>
      <c r="C108" s="66"/>
      <c r="D108" s="66">
        <v>13.55</v>
      </c>
      <c r="E108" s="8" t="s">
        <v>644</v>
      </c>
      <c r="F108" s="8" t="s">
        <v>32</v>
      </c>
      <c r="G108" s="419"/>
      <c r="H108" s="419"/>
    </row>
    <row r="109" spans="1:8" s="7" customFormat="1" x14ac:dyDescent="0.2">
      <c r="A109" s="50">
        <f t="shared" si="23"/>
        <v>5</v>
      </c>
      <c r="B109" s="51">
        <v>46164</v>
      </c>
      <c r="C109" s="66"/>
      <c r="D109" s="66">
        <v>53.36</v>
      </c>
      <c r="E109" s="8" t="s">
        <v>597</v>
      </c>
      <c r="F109" s="8" t="s">
        <v>32</v>
      </c>
      <c r="G109" s="419"/>
      <c r="H109" s="419"/>
    </row>
    <row r="110" spans="1:8" s="7" customFormat="1" x14ac:dyDescent="0.2">
      <c r="A110" s="50">
        <f t="shared" si="23"/>
        <v>5</v>
      </c>
      <c r="B110" s="51">
        <v>46164</v>
      </c>
      <c r="C110" s="66"/>
      <c r="D110" s="66">
        <v>6.29</v>
      </c>
      <c r="E110" s="8" t="s">
        <v>645</v>
      </c>
      <c r="F110" s="8" t="s">
        <v>32</v>
      </c>
      <c r="G110" s="419"/>
      <c r="H110" s="419"/>
    </row>
    <row r="111" spans="1:8" s="7" customFormat="1" ht="15" x14ac:dyDescent="0.2">
      <c r="A111" s="50">
        <f t="shared" si="23"/>
        <v>5</v>
      </c>
      <c r="B111" s="51">
        <v>46164</v>
      </c>
      <c r="C111" s="66"/>
      <c r="D111" s="66">
        <v>111.6</v>
      </c>
      <c r="E111" s="8" t="s">
        <v>920</v>
      </c>
      <c r="F111" s="8" t="s">
        <v>47</v>
      </c>
      <c r="G111" s="419"/>
      <c r="H111" s="419" t="s">
        <v>921</v>
      </c>
    </row>
    <row r="112" spans="1:8" s="7" customFormat="1" x14ac:dyDescent="0.2">
      <c r="A112" s="50">
        <f t="shared" ref="A112:A117" si="24">MONTH(B112)</f>
        <v>5</v>
      </c>
      <c r="B112" s="51">
        <v>46163</v>
      </c>
      <c r="C112" s="66"/>
      <c r="D112" s="66">
        <v>65.28</v>
      </c>
      <c r="E112" s="8" t="s">
        <v>644</v>
      </c>
      <c r="F112" s="8" t="s">
        <v>32</v>
      </c>
      <c r="G112" s="419"/>
      <c r="H112" s="419"/>
    </row>
    <row r="113" spans="1:8" s="7" customFormat="1" x14ac:dyDescent="0.2">
      <c r="A113" s="50">
        <f t="shared" si="24"/>
        <v>5</v>
      </c>
      <c r="B113" s="51">
        <v>46163</v>
      </c>
      <c r="C113" s="66"/>
      <c r="D113" s="66">
        <v>21.7</v>
      </c>
      <c r="E113" s="8" t="s">
        <v>557</v>
      </c>
      <c r="F113" s="8" t="s">
        <v>32</v>
      </c>
      <c r="G113" s="419"/>
      <c r="H113" s="419"/>
    </row>
    <row r="114" spans="1:8" s="7" customFormat="1" x14ac:dyDescent="0.2">
      <c r="A114" s="50">
        <f t="shared" ref="A114" si="25">MONTH(B114)</f>
        <v>5</v>
      </c>
      <c r="B114" s="51">
        <v>46163</v>
      </c>
      <c r="C114" s="66"/>
      <c r="D114" s="66">
        <v>3.99</v>
      </c>
      <c r="E114" s="8" t="s">
        <v>658</v>
      </c>
      <c r="F114" s="8" t="s">
        <v>88</v>
      </c>
      <c r="G114" s="419"/>
      <c r="H114" s="419"/>
    </row>
    <row r="115" spans="1:8" s="7" customFormat="1" x14ac:dyDescent="0.2">
      <c r="A115" s="50">
        <f t="shared" si="24"/>
        <v>5</v>
      </c>
      <c r="B115" s="51">
        <v>46163</v>
      </c>
      <c r="C115" s="66"/>
      <c r="D115" s="66">
        <f>15.7-D114</f>
        <v>11.709999999999999</v>
      </c>
      <c r="E115" s="8" t="s">
        <v>658</v>
      </c>
      <c r="F115" s="8" t="s">
        <v>32</v>
      </c>
      <c r="G115" s="419"/>
      <c r="H115" s="419"/>
    </row>
    <row r="116" spans="1:8" s="7" customFormat="1" x14ac:dyDescent="0.2">
      <c r="A116" s="50">
        <f t="shared" si="24"/>
        <v>5</v>
      </c>
      <c r="B116" s="51">
        <v>46161</v>
      </c>
      <c r="C116" s="66"/>
      <c r="D116" s="66">
        <v>20.23</v>
      </c>
      <c r="E116" s="8" t="s">
        <v>557</v>
      </c>
      <c r="F116" s="8" t="s">
        <v>32</v>
      </c>
      <c r="G116" s="419"/>
      <c r="H116" s="419"/>
    </row>
    <row r="117" spans="1:8" s="7" customFormat="1" x14ac:dyDescent="0.2">
      <c r="A117" s="50">
        <f t="shared" si="24"/>
        <v>5</v>
      </c>
      <c r="B117" s="51">
        <v>46161</v>
      </c>
      <c r="C117" s="66"/>
      <c r="D117" s="66">
        <v>2.89</v>
      </c>
      <c r="E117" s="8" t="s">
        <v>596</v>
      </c>
      <c r="F117" s="8" t="s">
        <v>119</v>
      </c>
      <c r="G117" s="419"/>
      <c r="H117" s="419"/>
    </row>
    <row r="118" spans="1:8" s="7" customFormat="1" x14ac:dyDescent="0.2">
      <c r="A118" s="50">
        <f t="shared" ref="A118:A119" si="26">MONTH(B118)</f>
        <v>5</v>
      </c>
      <c r="B118" s="51">
        <v>46157</v>
      </c>
      <c r="C118" s="66"/>
      <c r="D118" s="66">
        <f>3.39+1.19+0.99</f>
        <v>5.57</v>
      </c>
      <c r="E118" s="8" t="s">
        <v>658</v>
      </c>
      <c r="F118" s="8" t="s">
        <v>88</v>
      </c>
      <c r="G118" s="419"/>
      <c r="H118" s="419"/>
    </row>
    <row r="119" spans="1:8" s="7" customFormat="1" x14ac:dyDescent="0.2">
      <c r="A119" s="50">
        <f t="shared" si="26"/>
        <v>5</v>
      </c>
      <c r="B119" s="51">
        <v>46157</v>
      </c>
      <c r="C119" s="66"/>
      <c r="D119" s="66">
        <f>2.39</f>
        <v>2.39</v>
      </c>
      <c r="E119" s="8" t="s">
        <v>658</v>
      </c>
      <c r="F119" s="8" t="s">
        <v>33</v>
      </c>
      <c r="G119" s="419"/>
      <c r="H119" s="419"/>
    </row>
    <row r="120" spans="1:8" s="7" customFormat="1" x14ac:dyDescent="0.2">
      <c r="A120" s="50">
        <f t="shared" ref="A120:A125" si="27">MONTH(B120)</f>
        <v>5</v>
      </c>
      <c r="B120" s="51">
        <v>46157</v>
      </c>
      <c r="C120" s="66"/>
      <c r="D120" s="66">
        <f>10.95-D118-D119</f>
        <v>2.9899999999999989</v>
      </c>
      <c r="E120" s="8" t="s">
        <v>658</v>
      </c>
      <c r="F120" s="8" t="s">
        <v>401</v>
      </c>
      <c r="G120" s="419"/>
      <c r="H120" s="419"/>
    </row>
    <row r="121" spans="1:8" s="7" customFormat="1" x14ac:dyDescent="0.2">
      <c r="A121" s="50">
        <f t="shared" si="27"/>
        <v>5</v>
      </c>
      <c r="B121" s="51">
        <v>46156</v>
      </c>
      <c r="C121" s="66"/>
      <c r="D121" s="66">
        <v>30.54</v>
      </c>
      <c r="E121" s="8" t="s">
        <v>644</v>
      </c>
      <c r="F121" s="8" t="s">
        <v>32</v>
      </c>
      <c r="G121" s="419"/>
      <c r="H121" s="419"/>
    </row>
    <row r="122" spans="1:8" s="7" customFormat="1" ht="15" x14ac:dyDescent="0.2">
      <c r="A122" s="50">
        <f t="shared" si="27"/>
        <v>5</v>
      </c>
      <c r="B122" s="51">
        <v>46156</v>
      </c>
      <c r="D122" s="66">
        <v>187</v>
      </c>
      <c r="E122" s="8" t="s">
        <v>895</v>
      </c>
      <c r="F122" s="8" t="s">
        <v>99</v>
      </c>
      <c r="G122" s="435" t="s">
        <v>759</v>
      </c>
      <c r="H122" s="419"/>
    </row>
    <row r="123" spans="1:8" s="7" customFormat="1" ht="15" x14ac:dyDescent="0.2">
      <c r="A123" s="50">
        <f t="shared" si="27"/>
        <v>5</v>
      </c>
      <c r="B123" s="51">
        <v>46156</v>
      </c>
      <c r="D123" s="66">
        <v>89.9</v>
      </c>
      <c r="E123" s="8" t="s">
        <v>885</v>
      </c>
      <c r="F123" s="8" t="s">
        <v>99</v>
      </c>
      <c r="G123" s="435" t="s">
        <v>759</v>
      </c>
      <c r="H123" s="419"/>
    </row>
    <row r="124" spans="1:8" s="7" customFormat="1" x14ac:dyDescent="0.2">
      <c r="A124" s="50">
        <f t="shared" si="27"/>
        <v>5</v>
      </c>
      <c r="B124" s="51">
        <v>46156</v>
      </c>
      <c r="C124" s="66"/>
      <c r="D124" s="66">
        <v>18.809999999999999</v>
      </c>
      <c r="E124" s="8" t="s">
        <v>642</v>
      </c>
      <c r="F124" s="8" t="s">
        <v>32</v>
      </c>
      <c r="G124" s="419"/>
      <c r="H124" s="419"/>
    </row>
    <row r="125" spans="1:8" s="7" customFormat="1" x14ac:dyDescent="0.2">
      <c r="A125" s="50">
        <f t="shared" si="27"/>
        <v>5</v>
      </c>
      <c r="B125" s="51">
        <v>46155</v>
      </c>
      <c r="C125" s="66"/>
      <c r="D125" s="66">
        <v>8.68</v>
      </c>
      <c r="E125" s="8" t="s">
        <v>564</v>
      </c>
      <c r="F125" s="8" t="s">
        <v>32</v>
      </c>
      <c r="G125" s="419"/>
      <c r="H125" s="419"/>
    </row>
    <row r="126" spans="1:8" s="7" customFormat="1" x14ac:dyDescent="0.2">
      <c r="A126" s="50">
        <f t="shared" ref="A126:A138" si="28">MONTH(B126)</f>
        <v>5</v>
      </c>
      <c r="B126" s="51">
        <v>46155</v>
      </c>
      <c r="C126" s="66"/>
      <c r="D126" s="66">
        <v>8.68</v>
      </c>
      <c r="E126" s="8" t="s">
        <v>564</v>
      </c>
      <c r="F126" s="8" t="s">
        <v>32</v>
      </c>
      <c r="G126" s="419"/>
      <c r="H126" s="419"/>
    </row>
    <row r="127" spans="1:8" s="7" customFormat="1" x14ac:dyDescent="0.2">
      <c r="A127" s="50">
        <f t="shared" si="28"/>
        <v>5</v>
      </c>
      <c r="B127" s="51">
        <v>46155</v>
      </c>
      <c r="C127" s="66"/>
      <c r="D127" s="66">
        <v>880.74</v>
      </c>
      <c r="E127" s="8" t="s">
        <v>907</v>
      </c>
      <c r="F127" s="8" t="s">
        <v>141</v>
      </c>
      <c r="G127" s="419"/>
      <c r="H127" s="419"/>
    </row>
    <row r="128" spans="1:8" s="7" customFormat="1" x14ac:dyDescent="0.2">
      <c r="A128" s="50">
        <f t="shared" si="28"/>
        <v>5</v>
      </c>
      <c r="B128" s="51">
        <v>46155</v>
      </c>
      <c r="C128" s="66"/>
      <c r="D128" s="66">
        <v>7.6</v>
      </c>
      <c r="E128" s="8" t="s">
        <v>896</v>
      </c>
      <c r="F128" s="8" t="s">
        <v>104</v>
      </c>
      <c r="G128" s="419"/>
      <c r="H128" s="419"/>
    </row>
    <row r="129" spans="1:8" s="7" customFormat="1" x14ac:dyDescent="0.2">
      <c r="A129" s="50">
        <f t="shared" si="28"/>
        <v>5</v>
      </c>
      <c r="B129" s="51">
        <v>46154</v>
      </c>
      <c r="C129" s="66"/>
      <c r="D129" s="66">
        <v>31.25</v>
      </c>
      <c r="E129" s="8" t="s">
        <v>564</v>
      </c>
      <c r="F129" s="8" t="s">
        <v>32</v>
      </c>
      <c r="G129" s="419"/>
      <c r="H129" s="419"/>
    </row>
    <row r="130" spans="1:8" s="7" customFormat="1" x14ac:dyDescent="0.2">
      <c r="A130" s="50">
        <f t="shared" si="28"/>
        <v>5</v>
      </c>
      <c r="B130" s="51">
        <v>46154</v>
      </c>
      <c r="C130" s="66"/>
      <c r="D130" s="66">
        <v>4.99</v>
      </c>
      <c r="E130" s="8" t="s">
        <v>886</v>
      </c>
      <c r="F130" s="8" t="s">
        <v>1013</v>
      </c>
      <c r="G130" s="419"/>
      <c r="H130" s="419"/>
    </row>
    <row r="131" spans="1:8" s="7" customFormat="1" x14ac:dyDescent="0.2">
      <c r="A131" s="50">
        <f t="shared" si="28"/>
        <v>5</v>
      </c>
      <c r="B131" s="51">
        <v>46154</v>
      </c>
      <c r="C131" s="66"/>
      <c r="D131" s="66">
        <v>6.99</v>
      </c>
      <c r="E131" s="8" t="s">
        <v>897</v>
      </c>
      <c r="F131" s="8" t="s">
        <v>119</v>
      </c>
      <c r="G131" s="419"/>
      <c r="H131" s="419"/>
    </row>
    <row r="132" spans="1:8" s="7" customFormat="1" x14ac:dyDescent="0.2">
      <c r="A132" s="50">
        <f t="shared" si="28"/>
        <v>5</v>
      </c>
      <c r="B132" s="51">
        <v>46154</v>
      </c>
      <c r="C132" s="66"/>
      <c r="D132" s="66">
        <v>79.95</v>
      </c>
      <c r="E132" s="8" t="s">
        <v>898</v>
      </c>
      <c r="F132" s="8" t="s">
        <v>35</v>
      </c>
      <c r="G132" s="419"/>
      <c r="H132" s="419"/>
    </row>
    <row r="133" spans="1:8" s="7" customFormat="1" x14ac:dyDescent="0.2">
      <c r="A133" s="50">
        <f t="shared" si="28"/>
        <v>5</v>
      </c>
      <c r="B133" s="51">
        <v>46154</v>
      </c>
      <c r="C133" s="66"/>
      <c r="D133" s="66">
        <v>7.47</v>
      </c>
      <c r="E133" s="8" t="s">
        <v>642</v>
      </c>
      <c r="F133" s="8" t="s">
        <v>32</v>
      </c>
      <c r="G133" s="419"/>
      <c r="H133" s="419"/>
    </row>
    <row r="134" spans="1:8" s="7" customFormat="1" x14ac:dyDescent="0.2">
      <c r="A134" s="50">
        <f t="shared" si="28"/>
        <v>5</v>
      </c>
      <c r="B134" s="51">
        <v>46153</v>
      </c>
      <c r="C134" s="66"/>
      <c r="D134" s="66">
        <v>17.27</v>
      </c>
      <c r="E134" s="8" t="s">
        <v>564</v>
      </c>
      <c r="F134" s="8" t="s">
        <v>32</v>
      </c>
      <c r="G134" s="419"/>
      <c r="H134" s="419"/>
    </row>
    <row r="135" spans="1:8" s="7" customFormat="1" x14ac:dyDescent="0.2">
      <c r="A135" s="50">
        <f t="shared" ref="A135" si="29">MONTH(B135)</f>
        <v>5</v>
      </c>
      <c r="B135" s="51">
        <v>46153</v>
      </c>
      <c r="C135" s="66"/>
      <c r="D135" s="66">
        <f>2.49+2.99</f>
        <v>5.48</v>
      </c>
      <c r="E135" s="8" t="s">
        <v>658</v>
      </c>
      <c r="F135" s="8" t="s">
        <v>32</v>
      </c>
      <c r="G135" s="419"/>
      <c r="H135" s="419"/>
    </row>
    <row r="136" spans="1:8" s="7" customFormat="1" x14ac:dyDescent="0.2">
      <c r="A136" s="50">
        <f t="shared" si="28"/>
        <v>5</v>
      </c>
      <c r="B136" s="51">
        <v>46153</v>
      </c>
      <c r="C136" s="66"/>
      <c r="D136" s="66">
        <f>15.37-D135</f>
        <v>9.8899999999999988</v>
      </c>
      <c r="E136" s="8" t="s">
        <v>658</v>
      </c>
      <c r="F136" s="8" t="s">
        <v>88</v>
      </c>
      <c r="G136" s="419"/>
      <c r="H136" s="419"/>
    </row>
    <row r="137" spans="1:8" s="7" customFormat="1" x14ac:dyDescent="0.2">
      <c r="A137" s="50">
        <f t="shared" si="28"/>
        <v>5</v>
      </c>
      <c r="B137" s="51">
        <v>46153</v>
      </c>
      <c r="C137" s="66"/>
      <c r="D137" s="66">
        <v>13.99</v>
      </c>
      <c r="E137" s="8" t="s">
        <v>899</v>
      </c>
      <c r="F137" s="8" t="s">
        <v>35</v>
      </c>
      <c r="G137" s="419"/>
      <c r="H137" s="419"/>
    </row>
    <row r="138" spans="1:8" s="7" customFormat="1" x14ac:dyDescent="0.2">
      <c r="A138" s="50">
        <f t="shared" si="28"/>
        <v>5</v>
      </c>
      <c r="B138" s="51">
        <v>46153</v>
      </c>
      <c r="C138" s="66"/>
      <c r="D138" s="66">
        <v>253.99</v>
      </c>
      <c r="E138" s="8" t="s">
        <v>899</v>
      </c>
      <c r="F138" s="8" t="s">
        <v>35</v>
      </c>
      <c r="G138" s="419"/>
      <c r="H138" s="419"/>
    </row>
    <row r="139" spans="1:8" s="7" customFormat="1" x14ac:dyDescent="0.2">
      <c r="A139" s="50">
        <f t="shared" ref="A139:A148" si="30">MONTH(B139)</f>
        <v>5</v>
      </c>
      <c r="B139" s="51">
        <v>46152</v>
      </c>
      <c r="C139" s="66"/>
      <c r="D139" s="66">
        <v>72.12</v>
      </c>
      <c r="E139" s="8" t="s">
        <v>632</v>
      </c>
      <c r="F139" s="8" t="s">
        <v>270</v>
      </c>
      <c r="G139" s="419"/>
      <c r="H139" s="419"/>
    </row>
    <row r="140" spans="1:8" s="7" customFormat="1" x14ac:dyDescent="0.2">
      <c r="A140" s="50">
        <f t="shared" si="30"/>
        <v>5</v>
      </c>
      <c r="B140" s="51">
        <v>46152</v>
      </c>
      <c r="C140" s="66"/>
      <c r="D140" s="66">
        <v>7.4</v>
      </c>
      <c r="E140" s="8" t="s">
        <v>802</v>
      </c>
      <c r="F140" s="8" t="s">
        <v>46</v>
      </c>
      <c r="G140" s="419"/>
      <c r="H140" s="419"/>
    </row>
    <row r="141" spans="1:8" s="7" customFormat="1" x14ac:dyDescent="0.2">
      <c r="A141" s="50">
        <f t="shared" si="30"/>
        <v>5</v>
      </c>
      <c r="B141" s="51">
        <v>46151</v>
      </c>
      <c r="C141" s="66"/>
      <c r="D141" s="66">
        <v>57.13</v>
      </c>
      <c r="E141" s="8" t="s">
        <v>644</v>
      </c>
      <c r="F141" s="8" t="s">
        <v>32</v>
      </c>
      <c r="G141" s="419"/>
      <c r="H141" s="419"/>
    </row>
    <row r="142" spans="1:8" s="7" customFormat="1" x14ac:dyDescent="0.2">
      <c r="A142" s="50">
        <f t="shared" si="30"/>
        <v>5</v>
      </c>
      <c r="B142" s="51">
        <v>46151</v>
      </c>
      <c r="C142" s="66"/>
      <c r="D142" s="66">
        <v>48.8</v>
      </c>
      <c r="E142" s="8" t="s">
        <v>887</v>
      </c>
      <c r="F142" s="8" t="s">
        <v>47</v>
      </c>
      <c r="G142" s="419"/>
      <c r="H142" s="419"/>
    </row>
    <row r="143" spans="1:8" s="7" customFormat="1" x14ac:dyDescent="0.2">
      <c r="A143" s="50">
        <f t="shared" si="30"/>
        <v>5</v>
      </c>
      <c r="B143" s="51">
        <v>46151</v>
      </c>
      <c r="C143" s="66"/>
      <c r="D143" s="66">
        <v>43.94</v>
      </c>
      <c r="E143" s="8" t="s">
        <v>888</v>
      </c>
      <c r="F143" s="8" t="s">
        <v>270</v>
      </c>
      <c r="G143" s="419"/>
      <c r="H143" s="419"/>
    </row>
    <row r="144" spans="1:8" s="7" customFormat="1" x14ac:dyDescent="0.2">
      <c r="A144" s="50">
        <f t="shared" si="30"/>
        <v>5</v>
      </c>
      <c r="B144" s="51">
        <v>46150</v>
      </c>
      <c r="C144" s="66"/>
      <c r="D144" s="66">
        <v>135</v>
      </c>
      <c r="E144" s="8" t="s">
        <v>904</v>
      </c>
      <c r="F144" s="8" t="s">
        <v>104</v>
      </c>
      <c r="G144" s="419"/>
      <c r="H144" s="419"/>
    </row>
    <row r="145" spans="1:8" s="7" customFormat="1" x14ac:dyDescent="0.2">
      <c r="A145" s="50">
        <f t="shared" si="30"/>
        <v>5</v>
      </c>
      <c r="B145" s="51">
        <v>46149</v>
      </c>
      <c r="C145" s="66"/>
      <c r="D145" s="66">
        <v>17.03</v>
      </c>
      <c r="E145" s="8" t="s">
        <v>564</v>
      </c>
      <c r="F145" s="8" t="s">
        <v>32</v>
      </c>
      <c r="G145" s="419"/>
      <c r="H145" s="419"/>
    </row>
    <row r="146" spans="1:8" s="7" customFormat="1" x14ac:dyDescent="0.2">
      <c r="A146" s="50">
        <f t="shared" si="30"/>
        <v>5</v>
      </c>
      <c r="B146" s="51">
        <v>46148</v>
      </c>
      <c r="C146" s="66"/>
      <c r="D146" s="66">
        <f>1.69+1.29+1.29+2.49+1.59+1.69+1.69</f>
        <v>11.729999999999999</v>
      </c>
      <c r="E146" s="8" t="s">
        <v>658</v>
      </c>
      <c r="F146" s="8" t="s">
        <v>32</v>
      </c>
      <c r="G146" s="419"/>
      <c r="H146" s="419"/>
    </row>
    <row r="147" spans="1:8" s="7" customFormat="1" x14ac:dyDescent="0.2">
      <c r="A147" s="50">
        <f t="shared" ref="A147" si="31">MONTH(B147)</f>
        <v>5</v>
      </c>
      <c r="B147" s="51">
        <v>46148</v>
      </c>
      <c r="C147" s="66"/>
      <c r="D147" s="66">
        <f>18.89-D146</f>
        <v>7.1600000000000019</v>
      </c>
      <c r="E147" s="8" t="s">
        <v>658</v>
      </c>
      <c r="F147" s="8" t="s">
        <v>401</v>
      </c>
      <c r="G147" s="419"/>
      <c r="H147" s="419"/>
    </row>
    <row r="148" spans="1:8" s="7" customFormat="1" x14ac:dyDescent="0.2">
      <c r="A148" s="50">
        <f t="shared" si="30"/>
        <v>5</v>
      </c>
      <c r="B148" s="51">
        <v>46148</v>
      </c>
      <c r="C148" s="66"/>
      <c r="D148" s="66">
        <v>20.77</v>
      </c>
      <c r="E148" s="8" t="s">
        <v>642</v>
      </c>
      <c r="F148" s="8" t="s">
        <v>32</v>
      </c>
      <c r="G148" s="419"/>
      <c r="H148" s="419"/>
    </row>
    <row r="149" spans="1:8" s="7" customFormat="1" x14ac:dyDescent="0.2">
      <c r="A149" s="50">
        <f t="shared" ref="A149:A153" si="32">MONTH(B149)</f>
        <v>5</v>
      </c>
      <c r="B149" s="51">
        <v>46147</v>
      </c>
      <c r="C149" s="66"/>
      <c r="D149" s="66">
        <v>66.209999999999994</v>
      </c>
      <c r="E149" s="8" t="s">
        <v>644</v>
      </c>
      <c r="F149" s="8" t="s">
        <v>32</v>
      </c>
      <c r="G149" s="419"/>
      <c r="H149" s="419"/>
    </row>
    <row r="150" spans="1:8" s="7" customFormat="1" x14ac:dyDescent="0.2">
      <c r="A150" s="50">
        <f t="shared" si="32"/>
        <v>5</v>
      </c>
      <c r="B150" s="51">
        <v>46147</v>
      </c>
      <c r="C150" s="66"/>
      <c r="D150" s="66">
        <v>6.99</v>
      </c>
      <c r="E150" s="8" t="s">
        <v>563</v>
      </c>
      <c r="F150" s="8" t="s">
        <v>119</v>
      </c>
      <c r="G150" s="419"/>
      <c r="H150" s="419"/>
    </row>
    <row r="151" spans="1:8" s="7" customFormat="1" x14ac:dyDescent="0.2">
      <c r="A151" s="50">
        <f t="shared" si="32"/>
        <v>5</v>
      </c>
      <c r="B151" s="51">
        <v>46146</v>
      </c>
      <c r="C151" s="66"/>
      <c r="D151" s="66">
        <v>2.5</v>
      </c>
      <c r="E151" s="8" t="s">
        <v>877</v>
      </c>
      <c r="F151" s="8" t="s">
        <v>46</v>
      </c>
      <c r="G151" s="419"/>
      <c r="H151" s="419"/>
    </row>
    <row r="152" spans="1:8" s="7" customFormat="1" x14ac:dyDescent="0.2">
      <c r="A152" s="50">
        <f t="shared" si="32"/>
        <v>5</v>
      </c>
      <c r="B152" s="51">
        <v>46146</v>
      </c>
      <c r="C152" s="66"/>
      <c r="D152" s="66">
        <v>16.190000000000001</v>
      </c>
      <c r="E152" s="8" t="s">
        <v>889</v>
      </c>
      <c r="F152" s="8" t="s">
        <v>270</v>
      </c>
      <c r="G152" s="419"/>
      <c r="H152" s="419"/>
    </row>
    <row r="153" spans="1:8" s="7" customFormat="1" x14ac:dyDescent="0.2">
      <c r="A153" s="50">
        <f t="shared" si="32"/>
        <v>5</v>
      </c>
      <c r="B153" s="51">
        <v>46145</v>
      </c>
      <c r="C153" s="66"/>
      <c r="D153" s="66">
        <v>9.99</v>
      </c>
      <c r="E153" s="8" t="s">
        <v>672</v>
      </c>
      <c r="F153" s="8" t="s">
        <v>119</v>
      </c>
      <c r="G153" s="419"/>
      <c r="H153" s="419"/>
    </row>
    <row r="154" spans="1:8" s="7" customFormat="1" x14ac:dyDescent="0.2">
      <c r="A154" s="50">
        <f t="shared" ref="A154:A162" si="33">MONTH(B154)</f>
        <v>5</v>
      </c>
      <c r="B154" s="51">
        <v>46144</v>
      </c>
      <c r="C154" s="66"/>
      <c r="D154" s="66">
        <v>8.42</v>
      </c>
      <c r="E154" s="8" t="s">
        <v>645</v>
      </c>
      <c r="F154" s="8" t="s">
        <v>32</v>
      </c>
      <c r="G154" s="419"/>
      <c r="H154" s="419"/>
    </row>
    <row r="155" spans="1:8" s="7" customFormat="1" x14ac:dyDescent="0.2">
      <c r="A155" s="50">
        <f t="shared" si="33"/>
        <v>5</v>
      </c>
      <c r="B155" s="51">
        <v>46144</v>
      </c>
      <c r="C155" s="66"/>
      <c r="D155" s="66">
        <v>16.64</v>
      </c>
      <c r="E155" s="8" t="s">
        <v>642</v>
      </c>
      <c r="F155" s="8" t="s">
        <v>32</v>
      </c>
      <c r="G155" s="419"/>
      <c r="H155" s="419"/>
    </row>
    <row r="156" spans="1:8" s="7" customFormat="1" x14ac:dyDescent="0.2">
      <c r="A156" s="50">
        <f t="shared" si="33"/>
        <v>5</v>
      </c>
      <c r="B156" s="51">
        <v>46144</v>
      </c>
      <c r="C156" s="66"/>
      <c r="D156" s="66">
        <v>2.2999999999999998</v>
      </c>
      <c r="E156" s="8" t="s">
        <v>652</v>
      </c>
      <c r="F156" s="8" t="s">
        <v>85</v>
      </c>
      <c r="G156" s="419"/>
      <c r="H156" s="419"/>
    </row>
    <row r="157" spans="1:8" s="7" customFormat="1" x14ac:dyDescent="0.2">
      <c r="A157" s="50">
        <f t="shared" si="33"/>
        <v>5</v>
      </c>
      <c r="B157" s="51">
        <v>46143</v>
      </c>
      <c r="C157" s="66"/>
      <c r="D157" s="66">
        <v>29.81</v>
      </c>
      <c r="E157" s="8" t="s">
        <v>644</v>
      </c>
      <c r="F157" s="8" t="s">
        <v>32</v>
      </c>
      <c r="G157" s="419"/>
      <c r="H157" s="419"/>
    </row>
    <row r="158" spans="1:8" s="7" customFormat="1" x14ac:dyDescent="0.2">
      <c r="A158" s="50">
        <f t="shared" si="33"/>
        <v>5</v>
      </c>
      <c r="B158" s="51">
        <v>46143</v>
      </c>
      <c r="C158" s="66"/>
      <c r="D158" s="66">
        <v>13.11</v>
      </c>
      <c r="E158" s="8" t="s">
        <v>564</v>
      </c>
      <c r="F158" s="8" t="s">
        <v>32</v>
      </c>
      <c r="G158" s="419"/>
      <c r="H158" s="419"/>
    </row>
    <row r="159" spans="1:8" s="7" customFormat="1" x14ac:dyDescent="0.2">
      <c r="A159" s="50">
        <f t="shared" si="33"/>
        <v>5</v>
      </c>
      <c r="B159" s="51">
        <v>46143</v>
      </c>
      <c r="C159" s="66"/>
      <c r="D159" s="66">
        <v>2.19</v>
      </c>
      <c r="E159" s="8" t="s">
        <v>878</v>
      </c>
      <c r="F159" s="8" t="s">
        <v>347</v>
      </c>
      <c r="G159" s="419"/>
      <c r="H159" s="419"/>
    </row>
    <row r="160" spans="1:8" s="7" customFormat="1" x14ac:dyDescent="0.2">
      <c r="A160" s="50">
        <f t="shared" si="33"/>
        <v>5</v>
      </c>
      <c r="B160" s="51">
        <v>46143</v>
      </c>
      <c r="C160" s="66"/>
      <c r="D160" s="66">
        <v>20.75</v>
      </c>
      <c r="E160" s="8" t="s">
        <v>663</v>
      </c>
      <c r="F160" s="8" t="s">
        <v>47</v>
      </c>
      <c r="G160" s="419"/>
      <c r="H160" s="419"/>
    </row>
    <row r="161" spans="1:8" s="7" customFormat="1" x14ac:dyDescent="0.2">
      <c r="A161" s="50">
        <f t="shared" si="33"/>
        <v>4</v>
      </c>
      <c r="B161" s="51">
        <v>46142</v>
      </c>
      <c r="C161" s="66"/>
      <c r="D161" s="66">
        <v>3.16</v>
      </c>
      <c r="E161" s="8" t="s">
        <v>879</v>
      </c>
      <c r="F161" s="8" t="s">
        <v>46</v>
      </c>
      <c r="G161" s="419"/>
      <c r="H161" s="419"/>
    </row>
    <row r="162" spans="1:8" s="7" customFormat="1" x14ac:dyDescent="0.2">
      <c r="A162" s="50">
        <f t="shared" si="33"/>
        <v>4</v>
      </c>
      <c r="B162" s="51">
        <v>46142</v>
      </c>
      <c r="C162" s="66"/>
      <c r="D162" s="66">
        <v>7.9</v>
      </c>
      <c r="E162" s="8" t="s">
        <v>660</v>
      </c>
      <c r="F162" s="8" t="s">
        <v>288</v>
      </c>
      <c r="G162" s="419"/>
      <c r="H162" s="419"/>
    </row>
    <row r="163" spans="1:8" s="7" customFormat="1" x14ac:dyDescent="0.2">
      <c r="A163" s="50">
        <f t="shared" ref="A163:A171" si="34">MONTH(B163)</f>
        <v>4</v>
      </c>
      <c r="B163" s="51">
        <v>46141</v>
      </c>
      <c r="C163" s="66"/>
      <c r="D163" s="66">
        <v>1</v>
      </c>
      <c r="E163" s="8" t="s">
        <v>835</v>
      </c>
      <c r="F163" s="8" t="s">
        <v>136</v>
      </c>
      <c r="G163" s="50"/>
      <c r="H163" s="50"/>
    </row>
    <row r="164" spans="1:8" s="7" customFormat="1" x14ac:dyDescent="0.2">
      <c r="A164" s="50">
        <f t="shared" si="34"/>
        <v>4</v>
      </c>
      <c r="B164" s="51">
        <v>46141</v>
      </c>
      <c r="C164" s="66"/>
      <c r="D164" s="66">
        <v>37.36</v>
      </c>
      <c r="E164" s="8" t="s">
        <v>564</v>
      </c>
      <c r="F164" s="8" t="s">
        <v>32</v>
      </c>
      <c r="G164" s="50"/>
      <c r="H164" s="50"/>
    </row>
    <row r="165" spans="1:8" s="7" customFormat="1" x14ac:dyDescent="0.2">
      <c r="A165" s="50">
        <f t="shared" si="34"/>
        <v>4</v>
      </c>
      <c r="B165" s="51">
        <v>46141</v>
      </c>
      <c r="C165" s="66"/>
      <c r="D165" s="66">
        <v>3.12</v>
      </c>
      <c r="E165" s="8" t="s">
        <v>645</v>
      </c>
      <c r="F165" s="8" t="s">
        <v>32</v>
      </c>
      <c r="G165" s="50"/>
      <c r="H165" s="50"/>
    </row>
    <row r="166" spans="1:8" s="7" customFormat="1" x14ac:dyDescent="0.2">
      <c r="A166" s="50">
        <f t="shared" ref="A166" si="35">MONTH(B166)</f>
        <v>4</v>
      </c>
      <c r="B166" s="51">
        <v>46141</v>
      </c>
      <c r="C166" s="66"/>
      <c r="D166" s="66">
        <f>1.99</f>
        <v>1.99</v>
      </c>
      <c r="E166" s="8" t="s">
        <v>658</v>
      </c>
      <c r="F166" s="8" t="s">
        <v>401</v>
      </c>
      <c r="G166" s="50"/>
      <c r="H166" s="50"/>
    </row>
    <row r="167" spans="1:8" s="7" customFormat="1" x14ac:dyDescent="0.2">
      <c r="A167" s="50">
        <f t="shared" si="34"/>
        <v>4</v>
      </c>
      <c r="B167" s="51">
        <v>46141</v>
      </c>
      <c r="C167" s="66"/>
      <c r="D167" s="66">
        <f>3.99</f>
        <v>3.99</v>
      </c>
      <c r="E167" s="8" t="s">
        <v>658</v>
      </c>
      <c r="F167" s="8" t="s">
        <v>289</v>
      </c>
      <c r="G167" s="50"/>
      <c r="H167" s="50"/>
    </row>
    <row r="168" spans="1:8" s="7" customFormat="1" x14ac:dyDescent="0.2">
      <c r="A168" s="50">
        <f t="shared" ref="A168" si="36">MONTH(B168)</f>
        <v>4</v>
      </c>
      <c r="B168" s="51">
        <v>46141</v>
      </c>
      <c r="C168" s="66"/>
      <c r="D168" s="66">
        <f>3.99+6.79+4.99+6.99</f>
        <v>22.76</v>
      </c>
      <c r="E168" s="8" t="s">
        <v>658</v>
      </c>
      <c r="F168" s="8" t="s">
        <v>88</v>
      </c>
      <c r="G168" s="50"/>
      <c r="H168" s="50"/>
    </row>
    <row r="169" spans="1:8" s="7" customFormat="1" x14ac:dyDescent="0.2">
      <c r="A169" s="50">
        <f t="shared" si="34"/>
        <v>4</v>
      </c>
      <c r="B169" s="51">
        <v>46141</v>
      </c>
      <c r="C169" s="66"/>
      <c r="D169" s="66">
        <f>37.66-D168-D167-D166</f>
        <v>8.9199999999999946</v>
      </c>
      <c r="E169" s="8" t="s">
        <v>658</v>
      </c>
      <c r="F169" s="8" t="s">
        <v>32</v>
      </c>
      <c r="G169" s="50"/>
      <c r="H169" s="50"/>
    </row>
    <row r="170" spans="1:8" s="7" customFormat="1" x14ac:dyDescent="0.2">
      <c r="A170" s="50">
        <f t="shared" si="34"/>
        <v>4</v>
      </c>
      <c r="B170" s="51">
        <v>46139</v>
      </c>
      <c r="C170" s="66"/>
      <c r="D170" s="66">
        <v>13.44</v>
      </c>
      <c r="E170" s="8" t="s">
        <v>562</v>
      </c>
      <c r="F170" s="8" t="s">
        <v>32</v>
      </c>
      <c r="G170" s="50"/>
      <c r="H170" s="50"/>
    </row>
    <row r="171" spans="1:8" s="7" customFormat="1" x14ac:dyDescent="0.2">
      <c r="A171" s="50">
        <f t="shared" si="34"/>
        <v>4</v>
      </c>
      <c r="B171" s="51">
        <v>46139</v>
      </c>
      <c r="C171" s="66"/>
      <c r="D171" s="66">
        <v>10.3</v>
      </c>
      <c r="E171" s="8" t="s">
        <v>644</v>
      </c>
      <c r="F171" s="8" t="s">
        <v>32</v>
      </c>
      <c r="G171" s="50"/>
      <c r="H171" s="50"/>
    </row>
    <row r="172" spans="1:8" s="7" customFormat="1" x14ac:dyDescent="0.2">
      <c r="A172" s="50">
        <f t="shared" ref="A172:A174" si="37">MONTH(B172)</f>
        <v>4</v>
      </c>
      <c r="B172" s="51">
        <v>46139</v>
      </c>
      <c r="C172" s="66"/>
      <c r="D172" s="66">
        <v>2</v>
      </c>
      <c r="E172" s="8" t="s">
        <v>591</v>
      </c>
      <c r="F172" s="8" t="s">
        <v>144</v>
      </c>
      <c r="G172" s="50"/>
      <c r="H172" s="50"/>
    </row>
    <row r="173" spans="1:8" s="7" customFormat="1" x14ac:dyDescent="0.2">
      <c r="A173" s="50">
        <f t="shared" si="37"/>
        <v>4</v>
      </c>
      <c r="B173" s="51">
        <v>46137</v>
      </c>
      <c r="C173" s="66"/>
      <c r="D173" s="66">
        <v>46.25</v>
      </c>
      <c r="E173" s="8" t="s">
        <v>557</v>
      </c>
      <c r="F173" s="8" t="s">
        <v>32</v>
      </c>
      <c r="G173" s="50"/>
      <c r="H173" s="50"/>
    </row>
    <row r="174" spans="1:8" s="7" customFormat="1" x14ac:dyDescent="0.2">
      <c r="A174" s="50">
        <f t="shared" si="37"/>
        <v>4</v>
      </c>
      <c r="B174" s="51">
        <v>46137</v>
      </c>
      <c r="C174" s="66"/>
      <c r="D174" s="66">
        <v>144.69999999999999</v>
      </c>
      <c r="E174" s="8" t="s">
        <v>900</v>
      </c>
      <c r="F174" s="8" t="s">
        <v>47</v>
      </c>
      <c r="G174" s="50"/>
      <c r="H174" s="50"/>
    </row>
    <row r="175" spans="1:8" s="7" customFormat="1" x14ac:dyDescent="0.2">
      <c r="A175" s="50">
        <f t="shared" ref="A175:A183" si="38">MONTH(B175)</f>
        <v>4</v>
      </c>
      <c r="B175" s="51">
        <v>46136</v>
      </c>
      <c r="C175" s="66"/>
      <c r="D175" s="66">
        <v>6.68</v>
      </c>
      <c r="E175" s="8" t="s">
        <v>642</v>
      </c>
      <c r="F175" s="8" t="s">
        <v>32</v>
      </c>
      <c r="G175" s="50"/>
      <c r="H175" s="50"/>
    </row>
    <row r="176" spans="1:8" s="7" customFormat="1" x14ac:dyDescent="0.2">
      <c r="A176" s="50">
        <f t="shared" si="38"/>
        <v>4</v>
      </c>
      <c r="B176" s="51">
        <v>46135</v>
      </c>
      <c r="C176" s="66"/>
      <c r="D176" s="66">
        <v>2.99</v>
      </c>
      <c r="E176" s="8" t="s">
        <v>672</v>
      </c>
      <c r="F176" s="8" t="s">
        <v>127</v>
      </c>
      <c r="G176" s="50"/>
      <c r="H176" s="50"/>
    </row>
    <row r="177" spans="1:8" s="7" customFormat="1" x14ac:dyDescent="0.2">
      <c r="A177" s="50">
        <f t="shared" si="38"/>
        <v>4</v>
      </c>
      <c r="B177" s="51">
        <v>46135</v>
      </c>
      <c r="C177" s="66"/>
      <c r="D177" s="66">
        <v>7.99</v>
      </c>
      <c r="E177" s="8" t="s">
        <v>905</v>
      </c>
      <c r="F177" s="8" t="s">
        <v>347</v>
      </c>
      <c r="G177" s="50"/>
      <c r="H177" s="50"/>
    </row>
    <row r="178" spans="1:8" s="7" customFormat="1" x14ac:dyDescent="0.2">
      <c r="A178" s="50">
        <f t="shared" si="38"/>
        <v>4</v>
      </c>
      <c r="B178" s="51">
        <v>46135</v>
      </c>
      <c r="C178" s="66"/>
      <c r="D178" s="66">
        <v>9.74</v>
      </c>
      <c r="E178" s="8" t="s">
        <v>645</v>
      </c>
      <c r="F178" s="8" t="s">
        <v>32</v>
      </c>
      <c r="G178" s="50"/>
      <c r="H178" s="50"/>
    </row>
    <row r="179" spans="1:8" s="7" customFormat="1" x14ac:dyDescent="0.2">
      <c r="A179" s="50">
        <f t="shared" si="38"/>
        <v>4</v>
      </c>
      <c r="B179" s="51">
        <v>46135</v>
      </c>
      <c r="C179" s="66"/>
      <c r="D179" s="66">
        <v>9.99</v>
      </c>
      <c r="E179" s="8" t="s">
        <v>890</v>
      </c>
      <c r="F179" s="8" t="s">
        <v>1013</v>
      </c>
      <c r="G179" s="50"/>
      <c r="H179" s="50"/>
    </row>
    <row r="180" spans="1:8" s="7" customFormat="1" x14ac:dyDescent="0.2">
      <c r="A180" s="50">
        <f t="shared" si="38"/>
        <v>4</v>
      </c>
      <c r="B180" s="51">
        <v>46134</v>
      </c>
      <c r="C180" s="66"/>
      <c r="D180" s="66">
        <f>4.99+1.89*2</f>
        <v>8.77</v>
      </c>
      <c r="E180" s="8" t="s">
        <v>658</v>
      </c>
      <c r="F180" s="8" t="s">
        <v>32</v>
      </c>
      <c r="G180" s="50"/>
      <c r="H180" s="50"/>
    </row>
    <row r="181" spans="1:8" s="7" customFormat="1" x14ac:dyDescent="0.2">
      <c r="A181" s="50">
        <f t="shared" ref="A181" si="39">MONTH(B181)</f>
        <v>4</v>
      </c>
      <c r="B181" s="51">
        <v>46134</v>
      </c>
      <c r="C181" s="66"/>
      <c r="D181" s="66">
        <f>7.19+1.99</f>
        <v>9.18</v>
      </c>
      <c r="E181" s="8" t="s">
        <v>658</v>
      </c>
      <c r="F181" s="8" t="s">
        <v>401</v>
      </c>
      <c r="G181" s="50"/>
      <c r="H181" s="50"/>
    </row>
    <row r="182" spans="1:8" s="7" customFormat="1" x14ac:dyDescent="0.2">
      <c r="A182" s="50">
        <f t="shared" si="38"/>
        <v>4</v>
      </c>
      <c r="B182" s="51">
        <v>46134</v>
      </c>
      <c r="C182" s="66"/>
      <c r="D182" s="66">
        <f>29.42-D181</f>
        <v>20.240000000000002</v>
      </c>
      <c r="E182" s="8" t="s">
        <v>658</v>
      </c>
      <c r="F182" s="8" t="s">
        <v>88</v>
      </c>
      <c r="G182" s="50"/>
      <c r="H182" s="50"/>
    </row>
    <row r="183" spans="1:8" s="7" customFormat="1" x14ac:dyDescent="0.2">
      <c r="A183" s="50">
        <f t="shared" si="38"/>
        <v>4</v>
      </c>
      <c r="B183" s="51">
        <v>46134</v>
      </c>
      <c r="C183" s="66"/>
      <c r="D183" s="66">
        <v>19.899999999999999</v>
      </c>
      <c r="E183" s="8" t="s">
        <v>891</v>
      </c>
      <c r="F183" s="8" t="s">
        <v>270</v>
      </c>
      <c r="G183" s="50"/>
      <c r="H183" s="50"/>
    </row>
    <row r="184" spans="1:8" s="7" customFormat="1" x14ac:dyDescent="0.2">
      <c r="A184" s="50">
        <f t="shared" ref="A184:A187" si="40">MONTH(B184)</f>
        <v>4</v>
      </c>
      <c r="B184" s="51">
        <v>46133</v>
      </c>
      <c r="C184" s="66"/>
      <c r="D184" s="66">
        <v>48.65</v>
      </c>
      <c r="E184" s="8" t="s">
        <v>597</v>
      </c>
      <c r="F184" s="8" t="s">
        <v>32</v>
      </c>
      <c r="G184" s="50"/>
      <c r="H184" s="50"/>
    </row>
    <row r="185" spans="1:8" s="7" customFormat="1" x14ac:dyDescent="0.2">
      <c r="A185" s="50">
        <f t="shared" si="40"/>
        <v>4</v>
      </c>
      <c r="B185" s="51">
        <v>46132</v>
      </c>
      <c r="C185" s="66"/>
      <c r="D185" s="66">
        <v>39.22</v>
      </c>
      <c r="E185" s="8" t="s">
        <v>557</v>
      </c>
      <c r="F185" s="8" t="s">
        <v>32</v>
      </c>
      <c r="G185" s="50"/>
      <c r="H185" s="50"/>
    </row>
    <row r="186" spans="1:8" s="7" customFormat="1" x14ac:dyDescent="0.2">
      <c r="A186" s="50">
        <f t="shared" si="40"/>
        <v>4</v>
      </c>
      <c r="B186" s="51">
        <v>46132</v>
      </c>
      <c r="C186" s="66"/>
      <c r="D186" s="66">
        <v>7.09</v>
      </c>
      <c r="E186" s="8" t="s">
        <v>642</v>
      </c>
      <c r="F186" s="8" t="s">
        <v>32</v>
      </c>
      <c r="G186" s="50"/>
      <c r="H186" s="50"/>
    </row>
    <row r="187" spans="1:8" s="7" customFormat="1" x14ac:dyDescent="0.2">
      <c r="A187" s="50">
        <f t="shared" si="40"/>
        <v>4</v>
      </c>
      <c r="B187" s="51">
        <v>46132</v>
      </c>
      <c r="C187" s="66"/>
      <c r="D187" s="66">
        <v>19.97</v>
      </c>
      <c r="E187" s="8" t="s">
        <v>892</v>
      </c>
      <c r="F187" s="8" t="s">
        <v>270</v>
      </c>
      <c r="G187" s="50"/>
      <c r="H187" s="50"/>
    </row>
    <row r="188" spans="1:8" s="7" customFormat="1" x14ac:dyDescent="0.2">
      <c r="A188" s="50">
        <f t="shared" ref="A188:A192" si="41">MONTH(B188)</f>
        <v>4</v>
      </c>
      <c r="B188" s="51">
        <v>46131</v>
      </c>
      <c r="C188" s="66"/>
      <c r="D188" s="66">
        <v>2.89</v>
      </c>
      <c r="E188" s="8" t="s">
        <v>596</v>
      </c>
      <c r="F188" s="8" t="s">
        <v>119</v>
      </c>
      <c r="G188" s="50"/>
      <c r="H188" s="50"/>
    </row>
    <row r="189" spans="1:8" s="7" customFormat="1" x14ac:dyDescent="0.2">
      <c r="A189" s="50">
        <f t="shared" si="41"/>
        <v>4</v>
      </c>
      <c r="B189" s="51">
        <v>46130</v>
      </c>
      <c r="C189" s="66"/>
      <c r="D189" s="66">
        <v>106.8</v>
      </c>
      <c r="E189" s="8" t="s">
        <v>801</v>
      </c>
      <c r="F189" s="8" t="s">
        <v>47</v>
      </c>
      <c r="G189" s="50"/>
      <c r="H189" s="50"/>
    </row>
    <row r="190" spans="1:8" s="7" customFormat="1" x14ac:dyDescent="0.2">
      <c r="A190" s="50">
        <f t="shared" si="41"/>
        <v>4</v>
      </c>
      <c r="B190" s="51">
        <v>46129</v>
      </c>
      <c r="C190" s="66"/>
      <c r="D190" s="66">
        <v>5</v>
      </c>
      <c r="E190" s="8" t="s">
        <v>802</v>
      </c>
      <c r="F190" s="8" t="s">
        <v>46</v>
      </c>
      <c r="G190" s="50"/>
      <c r="H190" s="50"/>
    </row>
    <row r="191" spans="1:8" s="7" customFormat="1" x14ac:dyDescent="0.2">
      <c r="A191" s="50">
        <f t="shared" si="41"/>
        <v>4</v>
      </c>
      <c r="B191" s="51">
        <v>46129</v>
      </c>
      <c r="C191" s="66"/>
      <c r="D191" s="66">
        <v>0.95</v>
      </c>
      <c r="E191" s="8" t="s">
        <v>642</v>
      </c>
      <c r="F191" s="8" t="s">
        <v>32</v>
      </c>
      <c r="G191" s="50"/>
      <c r="H191" s="50"/>
    </row>
    <row r="192" spans="1:8" s="7" customFormat="1" x14ac:dyDescent="0.2">
      <c r="A192" s="50">
        <f t="shared" si="41"/>
        <v>4</v>
      </c>
      <c r="B192" s="51">
        <v>46129</v>
      </c>
      <c r="C192" s="66"/>
      <c r="D192" s="66">
        <v>15.95</v>
      </c>
      <c r="E192" s="8" t="s">
        <v>642</v>
      </c>
      <c r="F192" s="8" t="s">
        <v>32</v>
      </c>
      <c r="G192" s="50"/>
      <c r="H192" s="50"/>
    </row>
    <row r="193" spans="1:8" s="7" customFormat="1" x14ac:dyDescent="0.2">
      <c r="A193" s="50">
        <f t="shared" ref="A193:A205" si="42">MONTH(B193)</f>
        <v>4</v>
      </c>
      <c r="B193" s="51">
        <v>46128</v>
      </c>
      <c r="C193" s="66"/>
      <c r="D193" s="66">
        <v>30.73</v>
      </c>
      <c r="E193" s="8" t="s">
        <v>644</v>
      </c>
      <c r="F193" s="8" t="s">
        <v>32</v>
      </c>
      <c r="G193" s="50"/>
      <c r="H193" s="50"/>
    </row>
    <row r="194" spans="1:8" s="7" customFormat="1" x14ac:dyDescent="0.2">
      <c r="A194" s="50">
        <f t="shared" si="42"/>
        <v>4</v>
      </c>
      <c r="B194" s="51">
        <v>46128</v>
      </c>
      <c r="C194" s="66"/>
      <c r="D194" s="66">
        <v>30.1</v>
      </c>
      <c r="E194" s="8" t="s">
        <v>557</v>
      </c>
      <c r="F194" s="8" t="s">
        <v>32</v>
      </c>
      <c r="G194" s="50"/>
      <c r="H194" s="50"/>
    </row>
    <row r="195" spans="1:8" s="7" customFormat="1" x14ac:dyDescent="0.2">
      <c r="A195" s="50">
        <f t="shared" ref="A195" si="43">MONTH(B195)</f>
        <v>4</v>
      </c>
      <c r="B195" s="51">
        <v>46128</v>
      </c>
      <c r="C195" s="66"/>
      <c r="D195" s="66">
        <f>3.99+0.69</f>
        <v>4.68</v>
      </c>
      <c r="E195" s="8" t="s">
        <v>658</v>
      </c>
      <c r="F195" s="8" t="s">
        <v>88</v>
      </c>
      <c r="G195" s="50"/>
      <c r="H195" s="50"/>
    </row>
    <row r="196" spans="1:8" s="7" customFormat="1" x14ac:dyDescent="0.2">
      <c r="A196" s="50">
        <f t="shared" si="42"/>
        <v>4</v>
      </c>
      <c r="B196" s="51">
        <v>46128</v>
      </c>
      <c r="C196" s="66"/>
      <c r="D196" s="66">
        <f>8.96-D195</f>
        <v>4.2800000000000011</v>
      </c>
      <c r="E196" s="8" t="s">
        <v>658</v>
      </c>
      <c r="F196" s="8" t="s">
        <v>32</v>
      </c>
      <c r="G196" s="50"/>
      <c r="H196" s="50"/>
    </row>
    <row r="197" spans="1:8" s="7" customFormat="1" x14ac:dyDescent="0.2">
      <c r="A197" s="50">
        <f t="shared" si="42"/>
        <v>4</v>
      </c>
      <c r="B197" s="51">
        <v>46126</v>
      </c>
      <c r="C197" s="66"/>
      <c r="D197" s="66">
        <v>33.08</v>
      </c>
      <c r="E197" s="8" t="s">
        <v>562</v>
      </c>
      <c r="F197" s="8" t="s">
        <v>32</v>
      </c>
      <c r="G197" s="50"/>
      <c r="H197" s="50"/>
    </row>
    <row r="198" spans="1:8" s="7" customFormat="1" x14ac:dyDescent="0.2">
      <c r="A198" s="50">
        <f t="shared" si="42"/>
        <v>4</v>
      </c>
      <c r="B198" s="51">
        <v>46126</v>
      </c>
      <c r="C198" s="66"/>
      <c r="D198" s="66">
        <v>68.61</v>
      </c>
      <c r="E198" s="8" t="s">
        <v>901</v>
      </c>
      <c r="F198" s="8" t="s">
        <v>88</v>
      </c>
      <c r="G198" s="50"/>
      <c r="H198" s="50"/>
    </row>
    <row r="199" spans="1:8" s="7" customFormat="1" x14ac:dyDescent="0.2">
      <c r="A199" s="50">
        <f t="shared" si="42"/>
        <v>4</v>
      </c>
      <c r="B199" s="51">
        <v>46125</v>
      </c>
      <c r="C199" s="66"/>
      <c r="D199" s="66">
        <v>14.33</v>
      </c>
      <c r="E199" s="8" t="s">
        <v>645</v>
      </c>
      <c r="F199" s="8" t="s">
        <v>32</v>
      </c>
      <c r="G199" s="50"/>
      <c r="H199" s="50"/>
    </row>
    <row r="200" spans="1:8" s="7" customFormat="1" x14ac:dyDescent="0.2">
      <c r="A200" s="50">
        <f t="shared" si="42"/>
        <v>4</v>
      </c>
      <c r="B200" s="51">
        <v>46125</v>
      </c>
      <c r="C200" s="66"/>
      <c r="D200" s="66">
        <v>12.19</v>
      </c>
      <c r="E200" s="8" t="s">
        <v>902</v>
      </c>
      <c r="F200" s="8" t="s">
        <v>398</v>
      </c>
      <c r="G200" s="50"/>
      <c r="H200" s="50"/>
    </row>
    <row r="201" spans="1:8" s="7" customFormat="1" x14ac:dyDescent="0.2">
      <c r="A201" s="50">
        <f t="shared" si="42"/>
        <v>4</v>
      </c>
      <c r="B201" s="51">
        <v>46124</v>
      </c>
      <c r="C201" s="66"/>
      <c r="D201" s="66">
        <v>6.99</v>
      </c>
      <c r="E201" s="8" t="s">
        <v>671</v>
      </c>
      <c r="F201" s="8" t="s">
        <v>119</v>
      </c>
      <c r="G201" s="50"/>
      <c r="H201" s="50"/>
    </row>
    <row r="202" spans="1:8" s="7" customFormat="1" x14ac:dyDescent="0.2">
      <c r="A202" s="50">
        <f t="shared" si="42"/>
        <v>4</v>
      </c>
      <c r="B202" s="51">
        <v>46124</v>
      </c>
      <c r="C202" s="66"/>
      <c r="D202" s="66">
        <v>59.9</v>
      </c>
      <c r="E202" s="8" t="s">
        <v>903</v>
      </c>
      <c r="F202" s="8" t="s">
        <v>35</v>
      </c>
      <c r="G202" s="50"/>
      <c r="H202" s="50"/>
    </row>
    <row r="203" spans="1:8" s="7" customFormat="1" x14ac:dyDescent="0.2">
      <c r="A203" s="50">
        <f t="shared" si="42"/>
        <v>4</v>
      </c>
      <c r="B203" s="51">
        <v>46124</v>
      </c>
      <c r="C203" s="66"/>
      <c r="D203" s="66">
        <v>18.95</v>
      </c>
      <c r="E203" s="8" t="s">
        <v>893</v>
      </c>
      <c r="F203" s="8" t="s">
        <v>94</v>
      </c>
      <c r="G203" s="50"/>
      <c r="H203" s="50"/>
    </row>
    <row r="204" spans="1:8" s="7" customFormat="1" x14ac:dyDescent="0.2">
      <c r="A204" s="50">
        <f t="shared" si="42"/>
        <v>4</v>
      </c>
      <c r="B204" s="51">
        <v>46123</v>
      </c>
      <c r="C204" s="66"/>
      <c r="D204" s="66">
        <v>9.77</v>
      </c>
      <c r="E204" s="8" t="s">
        <v>797</v>
      </c>
      <c r="F204" s="8" t="s">
        <v>111</v>
      </c>
      <c r="G204" s="50" t="s">
        <v>431</v>
      </c>
      <c r="H204" s="50"/>
    </row>
    <row r="205" spans="1:8" s="7" customFormat="1" x14ac:dyDescent="0.2">
      <c r="A205" s="50">
        <f t="shared" si="42"/>
        <v>4</v>
      </c>
      <c r="B205" s="51">
        <v>46123</v>
      </c>
      <c r="C205" s="66"/>
      <c r="D205" s="66">
        <v>102.25</v>
      </c>
      <c r="E205" s="8" t="s">
        <v>798</v>
      </c>
      <c r="F205" s="8" t="s">
        <v>47</v>
      </c>
      <c r="G205" s="50"/>
      <c r="H205" s="50"/>
    </row>
    <row r="206" spans="1:8" s="7" customFormat="1" x14ac:dyDescent="0.2">
      <c r="A206" s="50">
        <f t="shared" ref="A206:A213" si="44">MONTH(B206)</f>
        <v>4</v>
      </c>
      <c r="B206" s="51">
        <v>46122</v>
      </c>
      <c r="C206" s="66"/>
      <c r="D206" s="66">
        <v>93.35</v>
      </c>
      <c r="E206" s="8" t="s">
        <v>644</v>
      </c>
      <c r="F206" s="8" t="s">
        <v>32</v>
      </c>
      <c r="G206" s="50"/>
      <c r="H206" s="50"/>
    </row>
    <row r="207" spans="1:8" s="7" customFormat="1" x14ac:dyDescent="0.2">
      <c r="A207" s="50">
        <f t="shared" si="44"/>
        <v>4</v>
      </c>
      <c r="B207" s="51">
        <v>46122</v>
      </c>
      <c r="C207" s="66"/>
      <c r="D207" s="66">
        <v>4.2300000000000004</v>
      </c>
      <c r="E207" s="8" t="s">
        <v>645</v>
      </c>
      <c r="F207" s="8" t="s">
        <v>32</v>
      </c>
      <c r="G207" s="50"/>
      <c r="H207" s="50"/>
    </row>
    <row r="208" spans="1:8" s="7" customFormat="1" x14ac:dyDescent="0.2">
      <c r="A208" s="50">
        <f t="shared" si="44"/>
        <v>4</v>
      </c>
      <c r="B208" s="51">
        <v>46122</v>
      </c>
      <c r="C208" s="66"/>
      <c r="D208" s="66">
        <v>29.57</v>
      </c>
      <c r="E208" s="8" t="s">
        <v>557</v>
      </c>
      <c r="F208" s="8" t="s">
        <v>32</v>
      </c>
      <c r="G208" s="50"/>
      <c r="H208" s="50"/>
    </row>
    <row r="209" spans="1:8" s="7" customFormat="1" x14ac:dyDescent="0.2">
      <c r="A209" s="50">
        <f t="shared" si="44"/>
        <v>4</v>
      </c>
      <c r="B209" s="51">
        <v>46121</v>
      </c>
      <c r="C209" s="66"/>
      <c r="D209" s="66">
        <v>20.85</v>
      </c>
      <c r="E209" s="8" t="s">
        <v>663</v>
      </c>
      <c r="F209" s="8" t="s">
        <v>47</v>
      </c>
      <c r="G209" s="50"/>
      <c r="H209" s="50"/>
    </row>
    <row r="210" spans="1:8" s="7" customFormat="1" x14ac:dyDescent="0.2">
      <c r="A210" s="50">
        <f t="shared" si="44"/>
        <v>4</v>
      </c>
      <c r="B210" s="51">
        <v>46120</v>
      </c>
      <c r="C210" s="66"/>
      <c r="D210" s="66">
        <v>7.56</v>
      </c>
      <c r="E210" s="8" t="s">
        <v>564</v>
      </c>
      <c r="F210" s="8" t="s">
        <v>32</v>
      </c>
      <c r="G210" s="50"/>
      <c r="H210" s="50"/>
    </row>
    <row r="211" spans="1:8" s="7" customFormat="1" x14ac:dyDescent="0.2">
      <c r="A211" s="50">
        <f t="shared" si="44"/>
        <v>4</v>
      </c>
      <c r="B211" s="51">
        <v>46120</v>
      </c>
      <c r="C211" s="66"/>
      <c r="D211" s="66">
        <v>3.9</v>
      </c>
      <c r="E211" s="8" t="s">
        <v>642</v>
      </c>
      <c r="F211" s="8" t="s">
        <v>32</v>
      </c>
      <c r="G211" s="50"/>
      <c r="H211" s="50"/>
    </row>
    <row r="212" spans="1:8" s="7" customFormat="1" x14ac:dyDescent="0.2">
      <c r="A212" s="50">
        <f t="shared" si="44"/>
        <v>4</v>
      </c>
      <c r="B212" s="51">
        <v>46119</v>
      </c>
      <c r="C212" s="66"/>
      <c r="D212" s="66">
        <v>325</v>
      </c>
      <c r="E212" s="8" t="s">
        <v>906</v>
      </c>
      <c r="F212" s="8" t="s">
        <v>35</v>
      </c>
      <c r="G212" s="50"/>
      <c r="H212" s="50"/>
    </row>
    <row r="213" spans="1:8" s="7" customFormat="1" x14ac:dyDescent="0.2">
      <c r="A213" s="50">
        <f t="shared" si="44"/>
        <v>4</v>
      </c>
      <c r="B213" s="51">
        <v>46119</v>
      </c>
      <c r="C213" s="66"/>
      <c r="D213" s="66">
        <v>213</v>
      </c>
      <c r="E213" s="8" t="s">
        <v>549</v>
      </c>
      <c r="F213" s="8" t="s">
        <v>33</v>
      </c>
      <c r="G213" s="50"/>
      <c r="H213" s="50"/>
    </row>
    <row r="214" spans="1:8" s="7" customFormat="1" x14ac:dyDescent="0.2">
      <c r="A214" s="50">
        <f t="shared" ref="A214:A223" si="45">MONTH(B214)</f>
        <v>4</v>
      </c>
      <c r="B214" s="51">
        <v>46117</v>
      </c>
      <c r="C214" s="66"/>
      <c r="D214" s="66">
        <v>6.99</v>
      </c>
      <c r="E214" s="8" t="s">
        <v>563</v>
      </c>
      <c r="F214" s="8" t="s">
        <v>119</v>
      </c>
      <c r="G214" s="50"/>
      <c r="H214" s="50"/>
    </row>
    <row r="215" spans="1:8" s="7" customFormat="1" x14ac:dyDescent="0.2">
      <c r="A215" s="50">
        <f t="shared" si="45"/>
        <v>4</v>
      </c>
      <c r="B215" s="51">
        <v>46117</v>
      </c>
      <c r="C215" s="66"/>
      <c r="D215" s="66">
        <v>7.52</v>
      </c>
      <c r="E215" s="8" t="s">
        <v>642</v>
      </c>
      <c r="F215" s="8" t="s">
        <v>32</v>
      </c>
      <c r="G215" s="50"/>
      <c r="H215" s="50"/>
    </row>
    <row r="216" spans="1:8" s="7" customFormat="1" x14ac:dyDescent="0.2">
      <c r="A216" s="50">
        <f t="shared" ref="A216:A217" si="46">MONTH(B216)</f>
        <v>4</v>
      </c>
      <c r="B216" s="51">
        <v>46116</v>
      </c>
      <c r="C216" s="66"/>
      <c r="D216" s="66">
        <f>1.89+2.49</f>
        <v>4.38</v>
      </c>
      <c r="E216" s="8" t="s">
        <v>658</v>
      </c>
      <c r="F216" s="8" t="s">
        <v>32</v>
      </c>
      <c r="G216" s="50"/>
      <c r="H216" s="50"/>
    </row>
    <row r="217" spans="1:8" s="7" customFormat="1" x14ac:dyDescent="0.2">
      <c r="A217" s="50">
        <f t="shared" si="46"/>
        <v>4</v>
      </c>
      <c r="B217" s="51">
        <v>46116</v>
      </c>
      <c r="C217" s="66"/>
      <c r="D217" s="66">
        <v>6.79</v>
      </c>
      <c r="E217" s="8" t="s">
        <v>658</v>
      </c>
      <c r="F217" s="8" t="s">
        <v>88</v>
      </c>
      <c r="G217" s="50"/>
      <c r="H217" s="50"/>
    </row>
    <row r="218" spans="1:8" s="7" customFormat="1" x14ac:dyDescent="0.2">
      <c r="A218" s="50">
        <f t="shared" si="45"/>
        <v>4</v>
      </c>
      <c r="B218" s="51">
        <v>46116</v>
      </c>
      <c r="C218" s="66"/>
      <c r="D218" s="66">
        <f>13.56-D217-D216</f>
        <v>2.3900000000000006</v>
      </c>
      <c r="E218" s="8" t="s">
        <v>658</v>
      </c>
      <c r="F218" s="8" t="s">
        <v>33</v>
      </c>
      <c r="G218" s="50"/>
      <c r="H218" s="50"/>
    </row>
    <row r="219" spans="1:8" s="7" customFormat="1" x14ac:dyDescent="0.2">
      <c r="A219" s="50">
        <f t="shared" si="45"/>
        <v>4</v>
      </c>
      <c r="B219" s="51">
        <v>46116</v>
      </c>
      <c r="C219" s="66"/>
      <c r="D219" s="66">
        <v>110</v>
      </c>
      <c r="E219" s="8" t="s">
        <v>783</v>
      </c>
      <c r="F219" s="8" t="s">
        <v>123</v>
      </c>
      <c r="G219" s="50"/>
      <c r="H219" s="50"/>
    </row>
    <row r="220" spans="1:8" s="7" customFormat="1" x14ac:dyDescent="0.2">
      <c r="A220" s="50">
        <f t="shared" si="45"/>
        <v>4</v>
      </c>
      <c r="B220" s="51">
        <v>46115</v>
      </c>
      <c r="C220" s="66"/>
      <c r="D220" s="66">
        <v>9.99</v>
      </c>
      <c r="E220" s="8" t="s">
        <v>672</v>
      </c>
      <c r="F220" s="8" t="s">
        <v>127</v>
      </c>
      <c r="G220" s="50"/>
      <c r="H220" s="50"/>
    </row>
    <row r="221" spans="1:8" s="7" customFormat="1" x14ac:dyDescent="0.2">
      <c r="A221" s="50">
        <f t="shared" ref="A221" si="47">MONTH(B221)</f>
        <v>4</v>
      </c>
      <c r="B221" s="51">
        <v>46115</v>
      </c>
      <c r="C221" s="66"/>
      <c r="D221" s="66">
        <v>7.5</v>
      </c>
      <c r="E221" s="8" t="s">
        <v>894</v>
      </c>
      <c r="F221" s="8" t="s">
        <v>88</v>
      </c>
      <c r="G221" s="50"/>
      <c r="H221" s="50"/>
    </row>
    <row r="222" spans="1:8" s="7" customFormat="1" x14ac:dyDescent="0.2">
      <c r="A222" s="50">
        <f t="shared" si="45"/>
        <v>4</v>
      </c>
      <c r="B222" s="51">
        <v>46115</v>
      </c>
      <c r="C222" s="66"/>
      <c r="D222" s="66">
        <f>21.49-D221</f>
        <v>13.989999999999998</v>
      </c>
      <c r="E222" s="8" t="s">
        <v>894</v>
      </c>
      <c r="F222" s="8" t="s">
        <v>33</v>
      </c>
      <c r="G222" s="50"/>
      <c r="H222" s="50"/>
    </row>
    <row r="223" spans="1:8" s="7" customFormat="1" x14ac:dyDescent="0.2">
      <c r="A223" s="50">
        <f t="shared" si="45"/>
        <v>4</v>
      </c>
      <c r="B223" s="51">
        <v>46114</v>
      </c>
      <c r="C223" s="66"/>
      <c r="D223" s="66">
        <v>55.89</v>
      </c>
      <c r="E223" s="8" t="s">
        <v>632</v>
      </c>
      <c r="F223" s="8" t="s">
        <v>270</v>
      </c>
      <c r="G223" s="50"/>
      <c r="H223" s="50"/>
    </row>
    <row r="224" spans="1:8" s="7" customFormat="1" x14ac:dyDescent="0.2">
      <c r="A224" s="50">
        <f t="shared" ref="A224:A254" si="48">MONTH(B224)</f>
        <v>4</v>
      </c>
      <c r="B224" s="51">
        <v>46114</v>
      </c>
      <c r="C224" s="66"/>
      <c r="D224" s="66">
        <v>37.99</v>
      </c>
      <c r="E224" s="8" t="s">
        <v>784</v>
      </c>
      <c r="F224" s="8" t="s">
        <v>136</v>
      </c>
      <c r="G224" s="50"/>
      <c r="H224" s="50"/>
    </row>
    <row r="225" spans="1:8" s="7" customFormat="1" x14ac:dyDescent="0.2">
      <c r="A225" s="50">
        <f t="shared" si="48"/>
        <v>4</v>
      </c>
      <c r="B225" s="51">
        <v>46113</v>
      </c>
      <c r="C225" s="66"/>
      <c r="D225" s="66">
        <v>37.799999999999997</v>
      </c>
      <c r="E225" s="8" t="s">
        <v>595</v>
      </c>
      <c r="F225" s="8" t="s">
        <v>32</v>
      </c>
      <c r="G225" s="50"/>
      <c r="H225" s="50"/>
    </row>
    <row r="226" spans="1:8" s="7" customFormat="1" x14ac:dyDescent="0.2">
      <c r="A226" s="50">
        <f t="shared" si="48"/>
        <v>4</v>
      </c>
      <c r="B226" s="51">
        <v>46113</v>
      </c>
      <c r="C226" s="66"/>
      <c r="D226" s="66">
        <v>25.36</v>
      </c>
      <c r="E226" s="8" t="s">
        <v>661</v>
      </c>
      <c r="F226" s="8" t="s">
        <v>100</v>
      </c>
      <c r="G226" s="50" t="s">
        <v>759</v>
      </c>
      <c r="H226" s="50"/>
    </row>
    <row r="227" spans="1:8" s="7" customFormat="1" x14ac:dyDescent="0.2">
      <c r="A227" s="50">
        <f t="shared" si="48"/>
        <v>4</v>
      </c>
      <c r="B227" s="51">
        <v>46113</v>
      </c>
      <c r="C227" s="66">
        <v>1.52</v>
      </c>
      <c r="E227" s="8" t="s">
        <v>593</v>
      </c>
      <c r="F227" s="8" t="s">
        <v>100</v>
      </c>
      <c r="G227" s="50" t="s">
        <v>759</v>
      </c>
      <c r="H227" s="50"/>
    </row>
    <row r="228" spans="1:8" s="7" customFormat="1" x14ac:dyDescent="0.2">
      <c r="A228" s="50">
        <f t="shared" si="48"/>
        <v>3</v>
      </c>
      <c r="B228" s="51">
        <v>46112</v>
      </c>
      <c r="C228" s="66"/>
      <c r="D228" s="66">
        <v>76.5</v>
      </c>
      <c r="E228" s="8" t="s">
        <v>644</v>
      </c>
      <c r="F228" s="8" t="s">
        <v>32</v>
      </c>
      <c r="G228" s="50"/>
      <c r="H228" s="50"/>
    </row>
    <row r="229" spans="1:8" s="7" customFormat="1" x14ac:dyDescent="0.2">
      <c r="A229" s="50">
        <f t="shared" ref="A229" si="49">MONTH(B229)</f>
        <v>3</v>
      </c>
      <c r="B229" s="51">
        <v>46112</v>
      </c>
      <c r="C229" s="66"/>
      <c r="D229" s="66">
        <v>54</v>
      </c>
      <c r="E229" s="8" t="s">
        <v>757</v>
      </c>
      <c r="F229" s="8" t="s">
        <v>33</v>
      </c>
      <c r="G229" s="50"/>
      <c r="H229" s="50"/>
    </row>
    <row r="230" spans="1:8" s="7" customFormat="1" x14ac:dyDescent="0.2">
      <c r="A230" s="50">
        <f t="shared" si="48"/>
        <v>3</v>
      </c>
      <c r="B230" s="51">
        <v>46112</v>
      </c>
      <c r="C230" s="66"/>
      <c r="D230" s="66">
        <f>105.94-D229</f>
        <v>51.94</v>
      </c>
      <c r="E230" s="8" t="s">
        <v>757</v>
      </c>
      <c r="F230" s="8" t="s">
        <v>270</v>
      </c>
      <c r="G230" s="50"/>
      <c r="H230" s="50"/>
    </row>
    <row r="231" spans="1:8" s="7" customFormat="1" x14ac:dyDescent="0.2">
      <c r="A231" s="50">
        <f t="shared" si="48"/>
        <v>3</v>
      </c>
      <c r="B231" s="51">
        <v>46111</v>
      </c>
      <c r="C231" s="66"/>
      <c r="D231" s="66">
        <v>18.649999999999999</v>
      </c>
      <c r="E231" s="8" t="s">
        <v>642</v>
      </c>
      <c r="F231" s="8" t="s">
        <v>32</v>
      </c>
      <c r="G231" s="50"/>
      <c r="H231" s="50"/>
    </row>
    <row r="232" spans="1:8" s="7" customFormat="1" x14ac:dyDescent="0.2">
      <c r="A232" s="50">
        <f t="shared" si="48"/>
        <v>3</v>
      </c>
      <c r="B232" s="51">
        <v>46111</v>
      </c>
      <c r="C232" s="66"/>
      <c r="D232" s="66">
        <v>2.2000000000000002</v>
      </c>
      <c r="E232" s="8" t="s">
        <v>758</v>
      </c>
      <c r="F232" s="8" t="s">
        <v>46</v>
      </c>
      <c r="G232" s="50"/>
      <c r="H232" s="50"/>
    </row>
    <row r="233" spans="1:8" s="7" customFormat="1" x14ac:dyDescent="0.2">
      <c r="A233" s="50">
        <f t="shared" si="48"/>
        <v>3</v>
      </c>
      <c r="B233" s="51">
        <v>46111</v>
      </c>
      <c r="C233" s="66"/>
      <c r="D233" s="66">
        <v>7.9</v>
      </c>
      <c r="E233" s="8" t="s">
        <v>660</v>
      </c>
      <c r="F233" s="8" t="s">
        <v>288</v>
      </c>
      <c r="G233" s="50"/>
      <c r="H233" s="50"/>
    </row>
    <row r="234" spans="1:8" s="7" customFormat="1" x14ac:dyDescent="0.2">
      <c r="A234" s="50">
        <f t="shared" si="48"/>
        <v>3</v>
      </c>
      <c r="B234" s="51">
        <v>46110</v>
      </c>
      <c r="C234" s="66"/>
      <c r="D234" s="66">
        <v>82.5</v>
      </c>
      <c r="E234" s="8" t="s">
        <v>780</v>
      </c>
      <c r="F234" s="8" t="s">
        <v>35</v>
      </c>
      <c r="G234" s="50"/>
      <c r="H234" s="50"/>
    </row>
    <row r="235" spans="1:8" s="7" customFormat="1" x14ac:dyDescent="0.2">
      <c r="A235" s="50">
        <f t="shared" si="48"/>
        <v>3</v>
      </c>
      <c r="B235" s="51">
        <v>46110</v>
      </c>
      <c r="C235" s="66"/>
      <c r="D235" s="66">
        <v>29</v>
      </c>
      <c r="E235" s="8" t="s">
        <v>661</v>
      </c>
      <c r="F235" s="8" t="s">
        <v>129</v>
      </c>
      <c r="G235" s="50"/>
      <c r="H235" s="50"/>
    </row>
    <row r="236" spans="1:8" s="7" customFormat="1" x14ac:dyDescent="0.2">
      <c r="A236" s="50">
        <f t="shared" si="48"/>
        <v>3</v>
      </c>
      <c r="B236" s="51">
        <v>46110</v>
      </c>
      <c r="C236" s="66">
        <v>1.1100000000000001</v>
      </c>
      <c r="E236" s="8" t="s">
        <v>593</v>
      </c>
      <c r="F236" s="8" t="s">
        <v>129</v>
      </c>
      <c r="G236" s="50"/>
      <c r="H236" s="50"/>
    </row>
    <row r="237" spans="1:8" s="7" customFormat="1" x14ac:dyDescent="0.2">
      <c r="A237" s="50">
        <f t="shared" si="48"/>
        <v>3</v>
      </c>
      <c r="B237" s="51">
        <v>46109</v>
      </c>
      <c r="C237" s="66"/>
      <c r="D237" s="66">
        <v>21.2</v>
      </c>
      <c r="E237" s="8" t="s">
        <v>594</v>
      </c>
      <c r="F237" s="8" t="s">
        <v>47</v>
      </c>
      <c r="G237" s="50"/>
      <c r="H237" s="50"/>
    </row>
    <row r="238" spans="1:8" s="7" customFormat="1" x14ac:dyDescent="0.2">
      <c r="A238" s="50">
        <f t="shared" si="48"/>
        <v>3</v>
      </c>
      <c r="B238" s="51">
        <v>46109</v>
      </c>
      <c r="C238" s="66"/>
      <c r="D238" s="66">
        <v>108.5</v>
      </c>
      <c r="E238" s="8" t="s">
        <v>781</v>
      </c>
      <c r="F238" s="8" t="s">
        <v>35</v>
      </c>
      <c r="G238" s="50"/>
      <c r="H238" s="50"/>
    </row>
    <row r="239" spans="1:8" s="7" customFormat="1" x14ac:dyDescent="0.2">
      <c r="A239" s="50">
        <f t="shared" si="48"/>
        <v>3</v>
      </c>
      <c r="B239" s="51">
        <v>46108</v>
      </c>
      <c r="C239" s="66"/>
      <c r="D239" s="66">
        <v>2</v>
      </c>
      <c r="E239" s="8" t="s">
        <v>591</v>
      </c>
      <c r="F239" s="8" t="s">
        <v>144</v>
      </c>
      <c r="G239" s="50"/>
      <c r="H239" s="50"/>
    </row>
    <row r="240" spans="1:8" s="7" customFormat="1" x14ac:dyDescent="0.2">
      <c r="A240" s="50">
        <f t="shared" si="48"/>
        <v>3</v>
      </c>
      <c r="B240" s="51">
        <v>46107</v>
      </c>
      <c r="C240" s="66"/>
      <c r="D240" s="66">
        <v>18.16</v>
      </c>
      <c r="E240" s="8" t="s">
        <v>644</v>
      </c>
      <c r="F240" s="8" t="s">
        <v>32</v>
      </c>
      <c r="G240" s="50"/>
      <c r="H240" s="50"/>
    </row>
    <row r="241" spans="1:8" s="7" customFormat="1" x14ac:dyDescent="0.2">
      <c r="A241" s="50">
        <f t="shared" ref="A241" si="50">MONTH(B241)</f>
        <v>3</v>
      </c>
      <c r="B241" s="51">
        <v>46107</v>
      </c>
      <c r="C241" s="66"/>
      <c r="D241" s="66">
        <f>2.99+4.19+5.99</f>
        <v>13.170000000000002</v>
      </c>
      <c r="E241" s="8" t="s">
        <v>658</v>
      </c>
      <c r="F241" s="8" t="s">
        <v>88</v>
      </c>
      <c r="G241" s="50"/>
      <c r="H241" s="50"/>
    </row>
    <row r="242" spans="1:8" s="7" customFormat="1" x14ac:dyDescent="0.2">
      <c r="A242" s="50">
        <f t="shared" si="48"/>
        <v>3</v>
      </c>
      <c r="B242" s="51">
        <v>46107</v>
      </c>
      <c r="C242" s="66"/>
      <c r="D242" s="66">
        <f>17.46-D241</f>
        <v>4.2899999999999991</v>
      </c>
      <c r="E242" s="8" t="s">
        <v>658</v>
      </c>
      <c r="F242" s="8" t="s">
        <v>32</v>
      </c>
      <c r="G242" s="50"/>
      <c r="H242" s="50"/>
    </row>
    <row r="243" spans="1:8" s="7" customFormat="1" x14ac:dyDescent="0.2">
      <c r="A243" s="50">
        <f t="shared" si="48"/>
        <v>3</v>
      </c>
      <c r="B243" s="51">
        <v>46106</v>
      </c>
      <c r="C243" s="66"/>
      <c r="D243" s="66">
        <v>42.81</v>
      </c>
      <c r="E243" s="8" t="s">
        <v>562</v>
      </c>
      <c r="F243" s="8" t="s">
        <v>32</v>
      </c>
      <c r="G243" s="50"/>
      <c r="H243" s="50"/>
    </row>
    <row r="244" spans="1:8" s="7" customFormat="1" x14ac:dyDescent="0.2">
      <c r="A244" s="50">
        <f t="shared" si="48"/>
        <v>3</v>
      </c>
      <c r="B244" s="51">
        <v>46106</v>
      </c>
      <c r="C244" s="66"/>
      <c r="D244" s="66">
        <v>17.510000000000002</v>
      </c>
      <c r="E244" s="8" t="s">
        <v>564</v>
      </c>
      <c r="F244" s="8" t="s">
        <v>32</v>
      </c>
      <c r="G244" s="50"/>
      <c r="H244" s="50"/>
    </row>
    <row r="245" spans="1:8" s="7" customFormat="1" x14ac:dyDescent="0.2">
      <c r="A245" s="50">
        <f t="shared" si="48"/>
        <v>3</v>
      </c>
      <c r="B245" s="51">
        <v>46106</v>
      </c>
      <c r="C245" s="66"/>
      <c r="D245" s="66">
        <v>4.3</v>
      </c>
      <c r="E245" s="8" t="s">
        <v>645</v>
      </c>
      <c r="F245" s="8" t="s">
        <v>32</v>
      </c>
      <c r="G245" s="50"/>
      <c r="H245" s="50"/>
    </row>
    <row r="246" spans="1:8" s="7" customFormat="1" x14ac:dyDescent="0.2">
      <c r="A246" s="50">
        <f t="shared" ref="A246" si="51">MONTH(B246)</f>
        <v>3</v>
      </c>
      <c r="B246" s="51">
        <v>46106</v>
      </c>
      <c r="C246" s="66"/>
      <c r="D246" s="66">
        <f>3.99+4.69</f>
        <v>8.68</v>
      </c>
      <c r="E246" s="8" t="s">
        <v>658</v>
      </c>
      <c r="F246" s="8" t="s">
        <v>401</v>
      </c>
      <c r="G246" s="50"/>
      <c r="H246" s="50"/>
    </row>
    <row r="247" spans="1:8" s="7" customFormat="1" x14ac:dyDescent="0.2">
      <c r="A247" s="50">
        <f t="shared" si="48"/>
        <v>3</v>
      </c>
      <c r="B247" s="51">
        <v>46106</v>
      </c>
      <c r="C247" s="66"/>
      <c r="D247" s="66">
        <f>23.4-D246</f>
        <v>14.719999999999999</v>
      </c>
      <c r="E247" s="8" t="s">
        <v>658</v>
      </c>
      <c r="F247" s="8" t="s">
        <v>32</v>
      </c>
      <c r="G247" s="50"/>
      <c r="H247" s="50"/>
    </row>
    <row r="248" spans="1:8" s="7" customFormat="1" x14ac:dyDescent="0.2">
      <c r="A248" s="50">
        <f t="shared" si="48"/>
        <v>3</v>
      </c>
      <c r="B248" s="51">
        <v>46106</v>
      </c>
      <c r="C248" s="66"/>
      <c r="D248" s="66">
        <v>3.7</v>
      </c>
      <c r="E248" s="8" t="s">
        <v>642</v>
      </c>
      <c r="F248" s="8" t="s">
        <v>32</v>
      </c>
      <c r="G248" s="50"/>
      <c r="H248" s="50"/>
    </row>
    <row r="249" spans="1:8" s="7" customFormat="1" x14ac:dyDescent="0.2">
      <c r="A249" s="50">
        <f t="shared" si="48"/>
        <v>3</v>
      </c>
      <c r="B249" s="51">
        <v>46106</v>
      </c>
      <c r="C249" s="66"/>
      <c r="D249" s="66">
        <v>4.3499999999999996</v>
      </c>
      <c r="E249" s="8" t="s">
        <v>642</v>
      </c>
      <c r="F249" s="8" t="s">
        <v>32</v>
      </c>
      <c r="G249" s="50"/>
      <c r="H249" s="50"/>
    </row>
    <row r="250" spans="1:8" s="7" customFormat="1" x14ac:dyDescent="0.2">
      <c r="A250" s="50">
        <f t="shared" si="48"/>
        <v>3</v>
      </c>
      <c r="B250" s="51">
        <v>46105</v>
      </c>
      <c r="C250" s="66"/>
      <c r="D250" s="66">
        <v>8.52</v>
      </c>
      <c r="E250" s="8" t="s">
        <v>642</v>
      </c>
      <c r="F250" s="8" t="s">
        <v>32</v>
      </c>
      <c r="G250" s="50"/>
      <c r="H250" s="50"/>
    </row>
    <row r="251" spans="1:8" s="7" customFormat="1" x14ac:dyDescent="0.2">
      <c r="A251" s="50">
        <f t="shared" si="48"/>
        <v>3</v>
      </c>
      <c r="B251" s="51">
        <v>46104</v>
      </c>
      <c r="C251" s="66"/>
      <c r="D251" s="66">
        <v>2.99</v>
      </c>
      <c r="E251" s="8" t="s">
        <v>672</v>
      </c>
      <c r="F251" s="8" t="s">
        <v>127</v>
      </c>
      <c r="G251" s="50"/>
      <c r="H251" s="50"/>
    </row>
    <row r="252" spans="1:8" s="7" customFormat="1" x14ac:dyDescent="0.2">
      <c r="A252" s="50">
        <f t="shared" si="48"/>
        <v>3</v>
      </c>
      <c r="B252" s="51">
        <v>46104</v>
      </c>
      <c r="C252" s="66"/>
      <c r="D252" s="66">
        <v>41.98</v>
      </c>
      <c r="E252" s="8" t="s">
        <v>661</v>
      </c>
      <c r="F252" s="8" t="s">
        <v>129</v>
      </c>
      <c r="G252" s="50"/>
      <c r="H252" s="50"/>
    </row>
    <row r="253" spans="1:8" s="7" customFormat="1" x14ac:dyDescent="0.2">
      <c r="A253" s="50">
        <f t="shared" si="48"/>
        <v>3</v>
      </c>
      <c r="B253" s="51">
        <v>46104</v>
      </c>
      <c r="C253" s="66">
        <v>13.01</v>
      </c>
      <c r="E253" s="8" t="s">
        <v>593</v>
      </c>
      <c r="F253" s="8" t="s">
        <v>129</v>
      </c>
      <c r="G253" s="50"/>
      <c r="H253" s="50"/>
    </row>
    <row r="254" spans="1:8" s="7" customFormat="1" x14ac:dyDescent="0.2">
      <c r="A254" s="50">
        <f t="shared" si="48"/>
        <v>3</v>
      </c>
      <c r="B254" s="51">
        <v>46104</v>
      </c>
      <c r="C254" s="66"/>
      <c r="D254" s="66">
        <v>16.98</v>
      </c>
      <c r="E254" s="8" t="s">
        <v>778</v>
      </c>
      <c r="F254" s="8" t="s">
        <v>145</v>
      </c>
      <c r="G254" s="50"/>
      <c r="H254" s="50"/>
    </row>
    <row r="255" spans="1:8" s="7" customFormat="1" x14ac:dyDescent="0.2">
      <c r="A255" s="50">
        <f t="shared" ref="A255:A260" si="52">MONTH(B255)</f>
        <v>3</v>
      </c>
      <c r="B255" s="51">
        <v>46102</v>
      </c>
      <c r="C255" s="66"/>
      <c r="D255" s="66">
        <v>30</v>
      </c>
      <c r="E255" s="8" t="s">
        <v>749</v>
      </c>
      <c r="F255" s="8" t="s">
        <v>145</v>
      </c>
      <c r="G255" s="50"/>
      <c r="H255" s="50"/>
    </row>
    <row r="256" spans="1:8" s="7" customFormat="1" x14ac:dyDescent="0.2">
      <c r="A256" s="50">
        <f t="shared" si="52"/>
        <v>3</v>
      </c>
      <c r="B256" s="51">
        <v>46102</v>
      </c>
      <c r="C256" s="66"/>
      <c r="D256" s="66">
        <v>53.4</v>
      </c>
      <c r="E256" s="8" t="s">
        <v>594</v>
      </c>
      <c r="F256" s="8" t="s">
        <v>47</v>
      </c>
      <c r="G256" s="50"/>
      <c r="H256" s="50"/>
    </row>
    <row r="257" spans="1:8" s="7" customFormat="1" x14ac:dyDescent="0.2">
      <c r="A257" s="50">
        <f t="shared" si="52"/>
        <v>3</v>
      </c>
      <c r="B257" s="51">
        <v>46102</v>
      </c>
      <c r="C257" s="66"/>
      <c r="D257" s="66">
        <v>11.37</v>
      </c>
      <c r="E257" s="8" t="s">
        <v>642</v>
      </c>
      <c r="F257" s="8" t="s">
        <v>32</v>
      </c>
      <c r="G257" s="50"/>
      <c r="H257" s="50"/>
    </row>
    <row r="258" spans="1:8" s="7" customFormat="1" x14ac:dyDescent="0.2">
      <c r="A258" s="50">
        <f t="shared" si="52"/>
        <v>3</v>
      </c>
      <c r="B258" s="51">
        <v>46101</v>
      </c>
      <c r="C258" s="66"/>
      <c r="D258" s="66">
        <v>37.729999999999997</v>
      </c>
      <c r="E258" s="8" t="s">
        <v>597</v>
      </c>
      <c r="F258" s="8" t="s">
        <v>32</v>
      </c>
      <c r="G258" s="50"/>
      <c r="H258" s="50"/>
    </row>
    <row r="259" spans="1:8" s="7" customFormat="1" x14ac:dyDescent="0.2">
      <c r="A259" s="50">
        <f t="shared" si="52"/>
        <v>3</v>
      </c>
      <c r="B259" s="51">
        <v>46100</v>
      </c>
      <c r="C259" s="66"/>
      <c r="D259" s="66">
        <v>31.79</v>
      </c>
      <c r="E259" s="8" t="s">
        <v>564</v>
      </c>
      <c r="F259" s="8" t="s">
        <v>32</v>
      </c>
      <c r="G259" s="50"/>
      <c r="H259" s="50"/>
    </row>
    <row r="260" spans="1:8" s="7" customFormat="1" x14ac:dyDescent="0.2">
      <c r="A260" s="50">
        <f t="shared" si="52"/>
        <v>3</v>
      </c>
      <c r="B260" s="51">
        <v>46100</v>
      </c>
      <c r="C260" s="66"/>
      <c r="D260" s="66">
        <v>2.89</v>
      </c>
      <c r="E260" s="8" t="s">
        <v>596</v>
      </c>
      <c r="F260" s="8" t="s">
        <v>119</v>
      </c>
      <c r="G260" s="50"/>
      <c r="H260" s="50"/>
    </row>
    <row r="261" spans="1:8" s="7" customFormat="1" x14ac:dyDescent="0.2">
      <c r="A261" s="50">
        <f t="shared" ref="A261:A263" si="53">MONTH(B261)</f>
        <v>3</v>
      </c>
      <c r="B261" s="51">
        <v>46099</v>
      </c>
      <c r="C261" s="66"/>
      <c r="D261" s="66">
        <v>28.73</v>
      </c>
      <c r="E261" s="8" t="s">
        <v>644</v>
      </c>
      <c r="F261" s="8" t="s">
        <v>32</v>
      </c>
      <c r="G261" s="50"/>
      <c r="H261" s="50"/>
    </row>
    <row r="262" spans="1:8" s="7" customFormat="1" x14ac:dyDescent="0.2">
      <c r="A262" s="50">
        <f t="shared" si="53"/>
        <v>3</v>
      </c>
      <c r="B262" s="51">
        <v>46099</v>
      </c>
      <c r="C262" s="66"/>
      <c r="D262" s="66">
        <v>49.75</v>
      </c>
      <c r="E262" s="8" t="s">
        <v>557</v>
      </c>
      <c r="F262" s="8" t="s">
        <v>32</v>
      </c>
      <c r="G262" s="50"/>
      <c r="H262" s="50"/>
    </row>
    <row r="263" spans="1:8" s="7" customFormat="1" x14ac:dyDescent="0.2">
      <c r="A263" s="50">
        <f t="shared" si="53"/>
        <v>3</v>
      </c>
      <c r="B263" s="51">
        <v>46098</v>
      </c>
      <c r="C263" s="66"/>
      <c r="D263" s="66">
        <v>42.74</v>
      </c>
      <c r="E263" s="8" t="s">
        <v>779</v>
      </c>
      <c r="F263" s="8" t="s">
        <v>88</v>
      </c>
      <c r="G263" s="50"/>
      <c r="H263" s="50"/>
    </row>
    <row r="264" spans="1:8" s="7" customFormat="1" x14ac:dyDescent="0.2">
      <c r="A264" s="50">
        <f t="shared" ref="A264:A266" si="54">MONTH(B264)</f>
        <v>3</v>
      </c>
      <c r="B264" s="51">
        <v>46097</v>
      </c>
      <c r="C264" s="66"/>
      <c r="D264" s="66">
        <v>30</v>
      </c>
      <c r="E264" s="8" t="s">
        <v>749</v>
      </c>
      <c r="F264" s="8" t="s">
        <v>145</v>
      </c>
      <c r="G264" s="50"/>
      <c r="H264" s="50"/>
    </row>
    <row r="265" spans="1:8" s="7" customFormat="1" x14ac:dyDescent="0.2">
      <c r="A265" s="50">
        <f t="shared" si="54"/>
        <v>3</v>
      </c>
      <c r="B265" s="51">
        <v>46097</v>
      </c>
      <c r="C265" s="66"/>
      <c r="D265" s="66">
        <v>240</v>
      </c>
      <c r="E265" s="8" t="s">
        <v>631</v>
      </c>
      <c r="F265" s="8" t="s">
        <v>83</v>
      </c>
      <c r="G265" s="50"/>
      <c r="H265" s="50"/>
    </row>
    <row r="266" spans="1:8" s="7" customFormat="1" x14ac:dyDescent="0.2">
      <c r="A266" s="50">
        <f t="shared" si="54"/>
        <v>3</v>
      </c>
      <c r="B266" s="51">
        <v>46097</v>
      </c>
      <c r="C266" s="66">
        <v>15.99</v>
      </c>
      <c r="D266" s="66"/>
      <c r="E266" s="8" t="s">
        <v>664</v>
      </c>
      <c r="F266" s="8" t="s">
        <v>35</v>
      </c>
      <c r="G266" s="50"/>
      <c r="H266" s="50"/>
    </row>
    <row r="267" spans="1:8" s="7" customFormat="1" x14ac:dyDescent="0.2">
      <c r="A267" s="50">
        <f t="shared" ref="A267" si="55">MONTH(B267)</f>
        <v>3</v>
      </c>
      <c r="B267" s="51">
        <v>46095</v>
      </c>
      <c r="C267" s="66"/>
      <c r="D267" s="66">
        <v>5.99</v>
      </c>
      <c r="E267" s="8" t="s">
        <v>658</v>
      </c>
      <c r="F267" s="8" t="s">
        <v>88</v>
      </c>
      <c r="G267" s="50"/>
      <c r="H267" s="50"/>
    </row>
    <row r="268" spans="1:8" s="7" customFormat="1" x14ac:dyDescent="0.2">
      <c r="A268" s="50">
        <f t="shared" ref="A268:A269" si="56">MONTH(B268)</f>
        <v>3</v>
      </c>
      <c r="B268" s="51">
        <v>46095</v>
      </c>
      <c r="C268" s="66"/>
      <c r="D268" s="66">
        <f>14.85-D267</f>
        <v>8.86</v>
      </c>
      <c r="E268" s="8" t="s">
        <v>658</v>
      </c>
      <c r="F268" s="8" t="s">
        <v>32</v>
      </c>
      <c r="G268" s="50"/>
      <c r="H268" s="50"/>
    </row>
    <row r="269" spans="1:8" s="7" customFormat="1" x14ac:dyDescent="0.2">
      <c r="A269" s="50">
        <f t="shared" si="56"/>
        <v>3</v>
      </c>
      <c r="B269" s="51">
        <v>46095</v>
      </c>
      <c r="C269" s="66"/>
      <c r="D269" s="66">
        <v>8.6199999999999992</v>
      </c>
      <c r="E269" s="8" t="s">
        <v>642</v>
      </c>
      <c r="F269" s="8" t="s">
        <v>32</v>
      </c>
      <c r="G269" s="50"/>
      <c r="H269" s="50"/>
    </row>
    <row r="270" spans="1:8" s="7" customFormat="1" x14ac:dyDescent="0.2">
      <c r="A270" s="50">
        <f t="shared" ref="A270:A275" si="57">MONTH(B270)</f>
        <v>3</v>
      </c>
      <c r="B270" s="51">
        <v>46094</v>
      </c>
      <c r="C270" s="66"/>
      <c r="D270" s="66">
        <v>2.98</v>
      </c>
      <c r="E270" s="8" t="s">
        <v>644</v>
      </c>
      <c r="F270" s="8" t="s">
        <v>32</v>
      </c>
      <c r="G270" s="50"/>
      <c r="H270" s="50"/>
    </row>
    <row r="271" spans="1:8" s="7" customFormat="1" x14ac:dyDescent="0.2">
      <c r="A271" s="50">
        <f t="shared" si="57"/>
        <v>3</v>
      </c>
      <c r="B271" s="51">
        <v>46094</v>
      </c>
      <c r="C271" s="66"/>
      <c r="D271" s="66">
        <v>5.99</v>
      </c>
      <c r="E271" s="8" t="s">
        <v>568</v>
      </c>
      <c r="F271" s="8" t="s">
        <v>119</v>
      </c>
      <c r="G271" s="50"/>
      <c r="H271" s="50"/>
    </row>
    <row r="272" spans="1:8" s="7" customFormat="1" x14ac:dyDescent="0.2">
      <c r="A272" s="50">
        <f t="shared" si="57"/>
        <v>3</v>
      </c>
      <c r="B272" s="51">
        <v>46094</v>
      </c>
      <c r="C272" s="66"/>
      <c r="D272" s="66">
        <v>9.3699999999999992</v>
      </c>
      <c r="E272" s="8" t="s">
        <v>642</v>
      </c>
      <c r="F272" s="8" t="s">
        <v>32</v>
      </c>
      <c r="G272" s="50"/>
      <c r="H272" s="50"/>
    </row>
    <row r="273" spans="1:8" s="7" customFormat="1" x14ac:dyDescent="0.2">
      <c r="A273" s="50">
        <f t="shared" si="57"/>
        <v>3</v>
      </c>
      <c r="B273" s="51">
        <v>46093</v>
      </c>
      <c r="C273" s="66"/>
      <c r="D273" s="66">
        <v>104.1</v>
      </c>
      <c r="E273" s="8" t="s">
        <v>595</v>
      </c>
      <c r="F273" s="8" t="s">
        <v>32</v>
      </c>
      <c r="G273" s="50"/>
      <c r="H273" s="50"/>
    </row>
    <row r="274" spans="1:8" s="7" customFormat="1" x14ac:dyDescent="0.2">
      <c r="A274" s="50">
        <f t="shared" si="57"/>
        <v>3</v>
      </c>
      <c r="B274" s="51">
        <v>46093</v>
      </c>
      <c r="C274" s="66"/>
      <c r="D274" s="66">
        <v>18.850000000000001</v>
      </c>
      <c r="E274" s="8" t="s">
        <v>740</v>
      </c>
      <c r="F274" s="8" t="s">
        <v>47</v>
      </c>
      <c r="G274" s="50"/>
      <c r="H274" s="50"/>
    </row>
    <row r="275" spans="1:8" s="7" customFormat="1" x14ac:dyDescent="0.2">
      <c r="A275" s="50">
        <f t="shared" si="57"/>
        <v>3</v>
      </c>
      <c r="B275" s="51">
        <v>46093</v>
      </c>
      <c r="C275" s="66"/>
      <c r="D275" s="66">
        <v>6.99</v>
      </c>
      <c r="E275" s="8" t="s">
        <v>671</v>
      </c>
      <c r="F275" s="8" t="s">
        <v>119</v>
      </c>
      <c r="G275" s="50"/>
      <c r="H275" s="50"/>
    </row>
    <row r="276" spans="1:8" s="7" customFormat="1" x14ac:dyDescent="0.2">
      <c r="A276" s="50">
        <f t="shared" ref="A276:A278" si="58">MONTH(B276)</f>
        <v>3</v>
      </c>
      <c r="B276" s="51">
        <v>46092</v>
      </c>
      <c r="C276" s="66"/>
      <c r="D276" s="66">
        <v>4.79</v>
      </c>
      <c r="E276" s="8" t="s">
        <v>645</v>
      </c>
      <c r="F276" s="8" t="s">
        <v>32</v>
      </c>
      <c r="G276" s="50"/>
      <c r="H276" s="50"/>
    </row>
    <row r="277" spans="1:8" s="7" customFormat="1" x14ac:dyDescent="0.2">
      <c r="A277" s="50">
        <f t="shared" si="58"/>
        <v>3</v>
      </c>
      <c r="B277" s="51">
        <v>46092</v>
      </c>
      <c r="C277" s="66"/>
      <c r="D277" s="66">
        <v>241.53</v>
      </c>
      <c r="E277" s="8" t="s">
        <v>743</v>
      </c>
      <c r="F277" s="8" t="s">
        <v>35</v>
      </c>
      <c r="G277" s="50"/>
      <c r="H277" s="50"/>
    </row>
    <row r="278" spans="1:8" s="7" customFormat="1" x14ac:dyDescent="0.2">
      <c r="A278" s="50">
        <f t="shared" si="58"/>
        <v>3</v>
      </c>
      <c r="B278" s="51">
        <v>46091</v>
      </c>
      <c r="C278" s="66"/>
      <c r="D278" s="66">
        <v>19.579999999999998</v>
      </c>
      <c r="E278" s="8" t="s">
        <v>557</v>
      </c>
      <c r="F278" s="8" t="s">
        <v>32</v>
      </c>
      <c r="G278" s="50"/>
      <c r="H278" s="50"/>
    </row>
    <row r="279" spans="1:8" s="7" customFormat="1" x14ac:dyDescent="0.2">
      <c r="A279" s="50">
        <f t="shared" ref="A279:A285" si="59">MONTH(B279)</f>
        <v>3</v>
      </c>
      <c r="B279" s="51">
        <v>46090</v>
      </c>
      <c r="C279" s="66"/>
      <c r="D279" s="66">
        <v>17.66</v>
      </c>
      <c r="E279" s="8" t="s">
        <v>562</v>
      </c>
      <c r="F279" s="8" t="s">
        <v>32</v>
      </c>
      <c r="G279" s="50"/>
      <c r="H279" s="50"/>
    </row>
    <row r="280" spans="1:8" s="7" customFormat="1" x14ac:dyDescent="0.2">
      <c r="A280" s="50">
        <f t="shared" si="59"/>
        <v>3</v>
      </c>
      <c r="B280" s="51">
        <v>46090</v>
      </c>
      <c r="C280" s="66"/>
      <c r="D280" s="66">
        <f>1.29</f>
        <v>1.29</v>
      </c>
      <c r="E280" s="8" t="s">
        <v>658</v>
      </c>
      <c r="F280" s="8" t="s">
        <v>88</v>
      </c>
      <c r="G280" s="50"/>
      <c r="H280" s="50"/>
    </row>
    <row r="281" spans="1:8" s="7" customFormat="1" x14ac:dyDescent="0.2">
      <c r="A281" s="50">
        <f t="shared" ref="A281" si="60">MONTH(B281)</f>
        <v>3</v>
      </c>
      <c r="B281" s="51">
        <v>46090</v>
      </c>
      <c r="C281" s="66"/>
      <c r="D281" s="66">
        <f>3.43+2.7</f>
        <v>6.1300000000000008</v>
      </c>
      <c r="E281" s="8" t="s">
        <v>658</v>
      </c>
      <c r="F281" s="8" t="s">
        <v>32</v>
      </c>
      <c r="G281" s="50"/>
      <c r="H281" s="50"/>
    </row>
    <row r="282" spans="1:8" s="7" customFormat="1" x14ac:dyDescent="0.2">
      <c r="A282" s="50">
        <f t="shared" si="59"/>
        <v>3</v>
      </c>
      <c r="B282" s="51">
        <v>46090</v>
      </c>
      <c r="C282" s="66"/>
      <c r="D282" s="66">
        <f>15.29-D281-D280</f>
        <v>7.8699999999999983</v>
      </c>
      <c r="E282" s="8" t="s">
        <v>658</v>
      </c>
      <c r="F282" s="8" t="s">
        <v>401</v>
      </c>
      <c r="G282" s="50"/>
      <c r="H282" s="50"/>
    </row>
    <row r="283" spans="1:8" s="7" customFormat="1" x14ac:dyDescent="0.2">
      <c r="A283" s="50">
        <f t="shared" si="59"/>
        <v>3</v>
      </c>
      <c r="B283" s="51">
        <v>46090</v>
      </c>
      <c r="C283" s="66"/>
      <c r="D283" s="66">
        <v>2.56</v>
      </c>
      <c r="E283" s="8" t="s">
        <v>642</v>
      </c>
      <c r="F283" s="8" t="s">
        <v>32</v>
      </c>
      <c r="G283" s="50"/>
      <c r="H283" s="50"/>
    </row>
    <row r="284" spans="1:8" s="7" customFormat="1" x14ac:dyDescent="0.2">
      <c r="A284" s="50">
        <f t="shared" si="59"/>
        <v>3</v>
      </c>
      <c r="B284" s="51">
        <v>46089</v>
      </c>
      <c r="C284" s="66"/>
      <c r="D284" s="66">
        <v>12.77</v>
      </c>
      <c r="E284" s="8" t="s">
        <v>645</v>
      </c>
      <c r="F284" s="8" t="s">
        <v>32</v>
      </c>
      <c r="G284" s="50"/>
      <c r="H284" s="50"/>
    </row>
    <row r="285" spans="1:8" s="7" customFormat="1" x14ac:dyDescent="0.2">
      <c r="A285" s="50">
        <f t="shared" si="59"/>
        <v>3</v>
      </c>
      <c r="B285" s="51">
        <v>46089</v>
      </c>
      <c r="C285" s="66"/>
      <c r="D285" s="66">
        <v>15.99</v>
      </c>
      <c r="E285" s="8" t="s">
        <v>744</v>
      </c>
      <c r="F285" s="8" t="s">
        <v>270</v>
      </c>
      <c r="G285" s="50"/>
      <c r="H285" s="50"/>
    </row>
    <row r="286" spans="1:8" s="7" customFormat="1" x14ac:dyDescent="0.2">
      <c r="A286" s="50">
        <f t="shared" ref="A286:A297" si="61">MONTH(B286)</f>
        <v>3</v>
      </c>
      <c r="B286" s="51">
        <v>46088</v>
      </c>
      <c r="C286" s="66"/>
      <c r="D286" s="66">
        <v>43.84</v>
      </c>
      <c r="E286" s="8" t="s">
        <v>683</v>
      </c>
      <c r="F286" s="8" t="s">
        <v>111</v>
      </c>
      <c r="G286" s="50" t="s">
        <v>431</v>
      </c>
      <c r="H286" s="50"/>
    </row>
    <row r="287" spans="1:8" s="7" customFormat="1" x14ac:dyDescent="0.2">
      <c r="A287" s="50">
        <f t="shared" si="61"/>
        <v>3</v>
      </c>
      <c r="B287" s="51">
        <v>46087</v>
      </c>
      <c r="C287" s="66"/>
      <c r="D287" s="66">
        <v>38.93</v>
      </c>
      <c r="E287" s="8" t="s">
        <v>644</v>
      </c>
      <c r="F287" s="8" t="s">
        <v>32</v>
      </c>
      <c r="G287" s="50"/>
      <c r="H287" s="50"/>
    </row>
    <row r="288" spans="1:8" s="7" customFormat="1" x14ac:dyDescent="0.2">
      <c r="A288" s="50">
        <f t="shared" si="61"/>
        <v>3</v>
      </c>
      <c r="B288" s="51">
        <v>46087</v>
      </c>
      <c r="C288" s="66"/>
      <c r="D288" s="66">
        <v>9.9600000000000009</v>
      </c>
      <c r="E288" s="8" t="s">
        <v>642</v>
      </c>
      <c r="F288" s="8" t="s">
        <v>32</v>
      </c>
      <c r="G288" s="50"/>
      <c r="H288" s="50"/>
    </row>
    <row r="289" spans="1:8" s="7" customFormat="1" x14ac:dyDescent="0.2">
      <c r="A289" s="50">
        <f t="shared" si="61"/>
        <v>3</v>
      </c>
      <c r="B289" s="51">
        <v>46086</v>
      </c>
      <c r="C289" s="66"/>
      <c r="D289" s="66">
        <v>15.99</v>
      </c>
      <c r="E289" s="8" t="s">
        <v>664</v>
      </c>
      <c r="F289" s="8" t="s">
        <v>270</v>
      </c>
      <c r="G289" s="50"/>
      <c r="H289" s="50"/>
    </row>
    <row r="290" spans="1:8" s="7" customFormat="1" x14ac:dyDescent="0.2">
      <c r="A290" s="50">
        <f t="shared" si="61"/>
        <v>3</v>
      </c>
      <c r="B290" s="51">
        <v>46086</v>
      </c>
      <c r="C290" s="66"/>
      <c r="D290" s="66">
        <v>26.61</v>
      </c>
      <c r="E290" s="8" t="s">
        <v>642</v>
      </c>
      <c r="F290" s="8" t="s">
        <v>32</v>
      </c>
      <c r="G290" s="50"/>
      <c r="H290" s="50"/>
    </row>
    <row r="291" spans="1:8" s="7" customFormat="1" x14ac:dyDescent="0.2">
      <c r="A291" s="50">
        <f t="shared" si="61"/>
        <v>3</v>
      </c>
      <c r="B291" s="51">
        <v>46085</v>
      </c>
      <c r="C291" s="66"/>
      <c r="D291" s="66">
        <v>27.33</v>
      </c>
      <c r="E291" s="8" t="s">
        <v>562</v>
      </c>
      <c r="F291" s="8" t="s">
        <v>32</v>
      </c>
      <c r="G291" s="50"/>
      <c r="H291" s="50"/>
    </row>
    <row r="292" spans="1:8" s="7" customFormat="1" x14ac:dyDescent="0.2">
      <c r="A292" s="50">
        <f t="shared" si="61"/>
        <v>3</v>
      </c>
      <c r="B292" s="51">
        <v>46085</v>
      </c>
      <c r="C292" s="66"/>
      <c r="D292" s="66">
        <v>276</v>
      </c>
      <c r="E292" s="8" t="s">
        <v>549</v>
      </c>
      <c r="F292" s="8" t="s">
        <v>33</v>
      </c>
      <c r="G292" s="50"/>
      <c r="H292" s="50"/>
    </row>
    <row r="293" spans="1:8" s="7" customFormat="1" x14ac:dyDescent="0.2">
      <c r="A293" s="50">
        <f t="shared" si="61"/>
        <v>3</v>
      </c>
      <c r="B293" s="51">
        <v>46084</v>
      </c>
      <c r="C293" s="66"/>
      <c r="D293" s="66">
        <v>9.99</v>
      </c>
      <c r="E293" s="8" t="s">
        <v>672</v>
      </c>
      <c r="F293" s="8" t="s">
        <v>127</v>
      </c>
      <c r="G293" s="50"/>
      <c r="H293" s="50"/>
    </row>
    <row r="294" spans="1:8" s="7" customFormat="1" x14ac:dyDescent="0.2">
      <c r="A294" s="50">
        <f t="shared" ref="A294" si="62">MONTH(B294)</f>
        <v>3</v>
      </c>
      <c r="B294" s="51">
        <v>46083</v>
      </c>
      <c r="C294" s="66"/>
      <c r="D294" s="66">
        <f>1.69*2+4.29</f>
        <v>7.67</v>
      </c>
      <c r="E294" s="8" t="s">
        <v>658</v>
      </c>
      <c r="F294" s="8" t="s">
        <v>32</v>
      </c>
      <c r="G294" s="50"/>
      <c r="H294" s="50"/>
    </row>
    <row r="295" spans="1:8" s="7" customFormat="1" x14ac:dyDescent="0.2">
      <c r="A295" s="50">
        <f t="shared" si="61"/>
        <v>3</v>
      </c>
      <c r="B295" s="51">
        <v>46083</v>
      </c>
      <c r="C295" s="66"/>
      <c r="D295" s="66">
        <f>25.61-D294</f>
        <v>17.939999999999998</v>
      </c>
      <c r="E295" s="8" t="s">
        <v>658</v>
      </c>
      <c r="F295" s="8" t="s">
        <v>401</v>
      </c>
      <c r="G295" s="50"/>
      <c r="H295" s="50"/>
    </row>
    <row r="296" spans="1:8" s="7" customFormat="1" x14ac:dyDescent="0.2">
      <c r="A296" s="50">
        <f t="shared" si="61"/>
        <v>3</v>
      </c>
      <c r="B296" s="51">
        <v>46083</v>
      </c>
      <c r="C296" s="66"/>
      <c r="D296" s="66">
        <v>4</v>
      </c>
      <c r="E296" s="8" t="s">
        <v>745</v>
      </c>
      <c r="F296" s="8" t="s">
        <v>345</v>
      </c>
      <c r="G296" s="50"/>
      <c r="H296" s="50"/>
    </row>
    <row r="297" spans="1:8" s="7" customFormat="1" x14ac:dyDescent="0.2">
      <c r="A297" s="50">
        <f t="shared" si="61"/>
        <v>3</v>
      </c>
      <c r="B297" s="51">
        <v>46082</v>
      </c>
      <c r="C297" s="66"/>
      <c r="D297" s="66">
        <v>53.4</v>
      </c>
      <c r="E297" s="8" t="s">
        <v>594</v>
      </c>
      <c r="F297" s="8" t="s">
        <v>47</v>
      </c>
      <c r="G297" s="50"/>
      <c r="H297" s="50"/>
    </row>
    <row r="298" spans="1:8" s="7" customFormat="1" x14ac:dyDescent="0.2">
      <c r="A298" s="50">
        <f t="shared" ref="A298:A314" si="63">MONTH(B298)</f>
        <v>2</v>
      </c>
      <c r="B298" s="51">
        <v>46081</v>
      </c>
      <c r="C298" s="66"/>
      <c r="D298" s="66">
        <v>114.57</v>
      </c>
      <c r="E298" s="8" t="s">
        <v>644</v>
      </c>
      <c r="F298" s="8" t="s">
        <v>32</v>
      </c>
      <c r="G298" s="50"/>
      <c r="H298" s="50"/>
    </row>
    <row r="299" spans="1:8" s="7" customFormat="1" x14ac:dyDescent="0.2">
      <c r="A299" s="50">
        <f t="shared" si="63"/>
        <v>2</v>
      </c>
      <c r="B299" s="51">
        <v>46081</v>
      </c>
      <c r="C299" s="66"/>
      <c r="D299" s="66">
        <v>7.47</v>
      </c>
      <c r="E299" s="8" t="s">
        <v>658</v>
      </c>
      <c r="F299" s="8" t="s">
        <v>32</v>
      </c>
      <c r="G299" s="50"/>
      <c r="H299" s="50"/>
    </row>
    <row r="300" spans="1:8" s="7" customFormat="1" x14ac:dyDescent="0.2">
      <c r="A300" s="50">
        <f t="shared" si="63"/>
        <v>2</v>
      </c>
      <c r="B300" s="51">
        <v>46081</v>
      </c>
      <c r="C300" s="66"/>
      <c r="D300" s="66">
        <v>7.9</v>
      </c>
      <c r="E300" s="8" t="s">
        <v>660</v>
      </c>
      <c r="F300" s="8" t="s">
        <v>288</v>
      </c>
      <c r="G300" s="50"/>
      <c r="H300" s="50"/>
    </row>
    <row r="301" spans="1:8" s="7" customFormat="1" x14ac:dyDescent="0.2">
      <c r="A301" s="50">
        <f t="shared" si="63"/>
        <v>2</v>
      </c>
      <c r="B301" s="51">
        <v>46080</v>
      </c>
      <c r="C301" s="66"/>
      <c r="D301" s="66">
        <v>8.75</v>
      </c>
      <c r="E301" s="8" t="s">
        <v>733</v>
      </c>
      <c r="F301" s="8" t="s">
        <v>112</v>
      </c>
      <c r="G301" s="50" t="s">
        <v>431</v>
      </c>
      <c r="H301" s="50"/>
    </row>
    <row r="302" spans="1:8" s="7" customFormat="1" x14ac:dyDescent="0.2">
      <c r="A302" s="50">
        <f t="shared" si="63"/>
        <v>2</v>
      </c>
      <c r="B302" s="51">
        <v>46080</v>
      </c>
      <c r="C302" s="66"/>
      <c r="D302" s="66">
        <v>18.2</v>
      </c>
      <c r="E302" s="8" t="s">
        <v>714</v>
      </c>
      <c r="F302" s="8" t="s">
        <v>243</v>
      </c>
      <c r="G302" s="50" t="s">
        <v>431</v>
      </c>
      <c r="H302" s="50"/>
    </row>
    <row r="303" spans="1:8" s="7" customFormat="1" x14ac:dyDescent="0.2">
      <c r="A303" s="50">
        <f t="shared" si="63"/>
        <v>2</v>
      </c>
      <c r="B303" s="51">
        <v>46080</v>
      </c>
      <c r="C303" s="66"/>
      <c r="D303" s="66">
        <v>43.49</v>
      </c>
      <c r="E303" s="8" t="s">
        <v>715</v>
      </c>
      <c r="F303" s="8" t="s">
        <v>243</v>
      </c>
      <c r="G303" s="50" t="s">
        <v>431</v>
      </c>
      <c r="H303" s="50"/>
    </row>
    <row r="304" spans="1:8" s="7" customFormat="1" x14ac:dyDescent="0.2">
      <c r="A304" s="50">
        <f t="shared" si="63"/>
        <v>2</v>
      </c>
      <c r="B304" s="51">
        <v>46080</v>
      </c>
      <c r="C304" s="66"/>
      <c r="D304" s="66">
        <v>13</v>
      </c>
      <c r="E304" s="8" t="s">
        <v>689</v>
      </c>
      <c r="F304" s="8" t="s">
        <v>243</v>
      </c>
      <c r="G304" s="50" t="s">
        <v>431</v>
      </c>
      <c r="H304" s="50"/>
    </row>
    <row r="305" spans="1:8" s="7" customFormat="1" x14ac:dyDescent="0.2">
      <c r="A305" s="50">
        <f t="shared" si="63"/>
        <v>2</v>
      </c>
      <c r="B305" s="51">
        <v>46079</v>
      </c>
      <c r="C305" s="66"/>
      <c r="D305" s="66">
        <v>19.559999999999999</v>
      </c>
      <c r="E305" s="8" t="s">
        <v>716</v>
      </c>
      <c r="F305" s="8" t="s">
        <v>345</v>
      </c>
      <c r="G305" s="50"/>
      <c r="H305" s="50"/>
    </row>
    <row r="306" spans="1:8" s="7" customFormat="1" x14ac:dyDescent="0.2">
      <c r="A306" s="50">
        <f t="shared" si="63"/>
        <v>2</v>
      </c>
      <c r="B306" s="51">
        <v>46079</v>
      </c>
      <c r="C306" s="66"/>
      <c r="D306" s="66">
        <v>19.559999999999999</v>
      </c>
      <c r="E306" s="8" t="s">
        <v>716</v>
      </c>
      <c r="F306" s="8" t="s">
        <v>345</v>
      </c>
      <c r="G306" s="50"/>
      <c r="H306" s="50"/>
    </row>
    <row r="307" spans="1:8" s="7" customFormat="1" x14ac:dyDescent="0.2">
      <c r="A307" s="50">
        <f t="shared" si="63"/>
        <v>2</v>
      </c>
      <c r="B307" s="51">
        <v>46079</v>
      </c>
      <c r="C307" s="66"/>
      <c r="D307" s="66">
        <v>13.95</v>
      </c>
      <c r="E307" s="8" t="s">
        <v>689</v>
      </c>
      <c r="F307" s="8" t="s">
        <v>243</v>
      </c>
      <c r="G307" s="50" t="s">
        <v>431</v>
      </c>
      <c r="H307" s="50"/>
    </row>
    <row r="308" spans="1:8" s="7" customFormat="1" x14ac:dyDescent="0.2">
      <c r="A308" s="50">
        <f t="shared" si="63"/>
        <v>2</v>
      </c>
      <c r="B308" s="51">
        <v>46080</v>
      </c>
      <c r="C308" s="66"/>
      <c r="D308" s="66">
        <v>2</v>
      </c>
      <c r="E308" s="8" t="s">
        <v>591</v>
      </c>
      <c r="F308" s="8" t="s">
        <v>144</v>
      </c>
      <c r="G308" s="50"/>
      <c r="H308" s="50"/>
    </row>
    <row r="309" spans="1:8" s="7" customFormat="1" x14ac:dyDescent="0.2">
      <c r="A309" s="50">
        <f t="shared" si="63"/>
        <v>2</v>
      </c>
      <c r="B309" s="51">
        <v>46078</v>
      </c>
      <c r="C309" s="66"/>
      <c r="D309" s="66">
        <v>11.37</v>
      </c>
      <c r="E309" s="8" t="s">
        <v>713</v>
      </c>
      <c r="F309" s="8" t="s">
        <v>243</v>
      </c>
      <c r="G309" s="50" t="s">
        <v>431</v>
      </c>
      <c r="H309" s="50"/>
    </row>
    <row r="310" spans="1:8" s="7" customFormat="1" x14ac:dyDescent="0.2">
      <c r="A310" s="50">
        <f t="shared" si="63"/>
        <v>2</v>
      </c>
      <c r="B310" s="51">
        <v>46078</v>
      </c>
      <c r="C310" s="66"/>
      <c r="D310" s="66">
        <v>182.2</v>
      </c>
      <c r="E310" s="8" t="s">
        <v>734</v>
      </c>
      <c r="F310" s="8" t="s">
        <v>170</v>
      </c>
      <c r="G310" s="50" t="s">
        <v>431</v>
      </c>
      <c r="H310" s="50"/>
    </row>
    <row r="311" spans="1:8" s="7" customFormat="1" x14ac:dyDescent="0.2">
      <c r="A311" s="50">
        <f t="shared" si="63"/>
        <v>2</v>
      </c>
      <c r="B311" s="51">
        <v>46077</v>
      </c>
      <c r="C311" s="66"/>
      <c r="D311" s="66">
        <v>13.97</v>
      </c>
      <c r="E311" s="8" t="s">
        <v>689</v>
      </c>
      <c r="F311" s="8" t="s">
        <v>243</v>
      </c>
      <c r="G311" s="50" t="s">
        <v>431</v>
      </c>
      <c r="H311" s="50"/>
    </row>
    <row r="312" spans="1:8" s="7" customFormat="1" x14ac:dyDescent="0.2">
      <c r="A312" s="50">
        <f t="shared" si="63"/>
        <v>2</v>
      </c>
      <c r="B312" s="51">
        <v>46077</v>
      </c>
      <c r="C312" s="66"/>
      <c r="D312" s="66">
        <v>18.72</v>
      </c>
      <c r="E312" s="8" t="s">
        <v>686</v>
      </c>
      <c r="F312" s="8" t="s">
        <v>104</v>
      </c>
      <c r="G312" s="50"/>
      <c r="H312" s="50"/>
    </row>
    <row r="313" spans="1:8" s="7" customFormat="1" x14ac:dyDescent="0.2">
      <c r="A313" s="50">
        <f t="shared" si="63"/>
        <v>2</v>
      </c>
      <c r="B313" s="51">
        <v>46077</v>
      </c>
      <c r="C313" s="66"/>
      <c r="D313" s="66">
        <v>21.34</v>
      </c>
      <c r="E313" s="8" t="s">
        <v>687</v>
      </c>
      <c r="F313" s="8" t="s">
        <v>112</v>
      </c>
      <c r="G313" s="50" t="s">
        <v>431</v>
      </c>
      <c r="H313" s="50"/>
    </row>
    <row r="314" spans="1:8" s="7" customFormat="1" x14ac:dyDescent="0.2">
      <c r="A314" s="50">
        <f t="shared" si="63"/>
        <v>2</v>
      </c>
      <c r="B314" s="51">
        <v>46076</v>
      </c>
      <c r="C314" s="66"/>
      <c r="D314" s="66">
        <v>2.99</v>
      </c>
      <c r="E314" s="8" t="s">
        <v>672</v>
      </c>
      <c r="F314" s="8" t="s">
        <v>127</v>
      </c>
      <c r="G314" s="50"/>
      <c r="H314" s="50"/>
    </row>
    <row r="315" spans="1:8" s="7" customFormat="1" x14ac:dyDescent="0.2">
      <c r="A315" s="50">
        <f t="shared" ref="A315:A316" si="64">MONTH(B315)</f>
        <v>2</v>
      </c>
      <c r="B315" s="51">
        <v>46076</v>
      </c>
      <c r="C315" s="66"/>
      <c r="D315" s="66">
        <v>19.39</v>
      </c>
      <c r="E315" s="8" t="s">
        <v>688</v>
      </c>
      <c r="F315" s="8" t="s">
        <v>243</v>
      </c>
      <c r="G315" s="50" t="s">
        <v>431</v>
      </c>
      <c r="H315" s="50"/>
    </row>
    <row r="316" spans="1:8" s="7" customFormat="1" x14ac:dyDescent="0.2">
      <c r="A316" s="50">
        <f t="shared" si="64"/>
        <v>2</v>
      </c>
      <c r="B316" s="51">
        <v>46076</v>
      </c>
      <c r="C316" s="66"/>
      <c r="D316" s="66">
        <v>7.58</v>
      </c>
      <c r="E316" s="8" t="s">
        <v>689</v>
      </c>
      <c r="F316" s="8" t="s">
        <v>243</v>
      </c>
      <c r="G316" s="50" t="s">
        <v>431</v>
      </c>
      <c r="H316" s="50"/>
    </row>
    <row r="317" spans="1:8" s="7" customFormat="1" x14ac:dyDescent="0.2">
      <c r="A317" s="50">
        <f>MONTH(B317)</f>
        <v>2</v>
      </c>
      <c r="B317" s="51">
        <v>46075</v>
      </c>
      <c r="C317" s="66"/>
      <c r="D317" s="66">
        <v>6.77</v>
      </c>
      <c r="E317" s="8" t="s">
        <v>707</v>
      </c>
      <c r="F317" s="8" t="s">
        <v>243</v>
      </c>
      <c r="G317" s="50" t="s">
        <v>431</v>
      </c>
      <c r="H317" s="50"/>
    </row>
    <row r="318" spans="1:8" s="7" customFormat="1" x14ac:dyDescent="0.2">
      <c r="A318" s="50">
        <f>MONTH(B318)</f>
        <v>2</v>
      </c>
      <c r="B318" s="51">
        <v>46075</v>
      </c>
      <c r="C318" s="66"/>
      <c r="D318" s="66">
        <v>32.15</v>
      </c>
      <c r="E318" s="8" t="s">
        <v>689</v>
      </c>
      <c r="F318" s="8" t="s">
        <v>243</v>
      </c>
      <c r="G318" s="50" t="s">
        <v>431</v>
      </c>
      <c r="H318" s="50"/>
    </row>
    <row r="319" spans="1:8" s="7" customFormat="1" x14ac:dyDescent="0.2">
      <c r="A319" s="50">
        <f>MONTH(B319)</f>
        <v>2</v>
      </c>
      <c r="B319" s="51">
        <v>46074</v>
      </c>
      <c r="C319" s="66"/>
      <c r="D319" s="66">
        <v>11.54</v>
      </c>
      <c r="E319" s="8" t="s">
        <v>711</v>
      </c>
      <c r="F319" s="8" t="s">
        <v>243</v>
      </c>
      <c r="G319" s="50" t="s">
        <v>431</v>
      </c>
      <c r="H319" s="50"/>
    </row>
    <row r="320" spans="1:8" s="7" customFormat="1" x14ac:dyDescent="0.2">
      <c r="A320" s="50">
        <f>MONTH(B320)</f>
        <v>2</v>
      </c>
      <c r="B320" s="51">
        <v>46074</v>
      </c>
      <c r="C320" s="66"/>
      <c r="D320" s="66">
        <v>47.4</v>
      </c>
      <c r="E320" s="8" t="s">
        <v>689</v>
      </c>
      <c r="F320" s="8" t="s">
        <v>243</v>
      </c>
      <c r="G320" s="50" t="s">
        <v>431</v>
      </c>
      <c r="H320" s="50"/>
    </row>
    <row r="321" spans="1:8" s="7" customFormat="1" x14ac:dyDescent="0.2">
      <c r="A321" s="50">
        <f>MONTH(B321)</f>
        <v>2</v>
      </c>
      <c r="B321" s="51">
        <v>46074</v>
      </c>
      <c r="C321" s="66"/>
      <c r="D321" s="66">
        <v>48.34</v>
      </c>
      <c r="E321" s="8" t="s">
        <v>683</v>
      </c>
      <c r="F321" s="8" t="s">
        <v>111</v>
      </c>
      <c r="G321" s="50" t="s">
        <v>431</v>
      </c>
      <c r="H321" s="50"/>
    </row>
    <row r="322" spans="1:8" s="7" customFormat="1" x14ac:dyDescent="0.2">
      <c r="A322" s="50">
        <f t="shared" ref="A322:A329" si="65">MONTH(B322)</f>
        <v>2</v>
      </c>
      <c r="B322" s="51">
        <v>46074</v>
      </c>
      <c r="C322" s="66"/>
      <c r="D322" s="66">
        <v>11.54</v>
      </c>
      <c r="E322" s="8" t="s">
        <v>711</v>
      </c>
      <c r="F322" s="8" t="s">
        <v>243</v>
      </c>
      <c r="G322" s="50" t="s">
        <v>431</v>
      </c>
      <c r="H322" s="50"/>
    </row>
    <row r="323" spans="1:8" s="7" customFormat="1" x14ac:dyDescent="0.2">
      <c r="A323" s="50">
        <f t="shared" si="65"/>
        <v>2</v>
      </c>
      <c r="B323" s="51">
        <v>46073</v>
      </c>
      <c r="C323" s="66"/>
      <c r="D323" s="66">
        <v>1.99</v>
      </c>
      <c r="E323" s="8" t="s">
        <v>684</v>
      </c>
      <c r="F323" s="8" t="s">
        <v>243</v>
      </c>
      <c r="G323" s="50" t="s">
        <v>431</v>
      </c>
      <c r="H323" s="50"/>
    </row>
    <row r="324" spans="1:8" s="7" customFormat="1" x14ac:dyDescent="0.2">
      <c r="A324" s="50">
        <f t="shared" si="65"/>
        <v>2</v>
      </c>
      <c r="B324" s="51">
        <v>46073</v>
      </c>
      <c r="C324" s="66"/>
      <c r="D324" s="66">
        <v>25</v>
      </c>
      <c r="E324" s="8" t="s">
        <v>685</v>
      </c>
      <c r="F324" s="8" t="s">
        <v>23</v>
      </c>
      <c r="G324" s="50"/>
      <c r="H324" s="50"/>
    </row>
    <row r="325" spans="1:8" s="7" customFormat="1" x14ac:dyDescent="0.2">
      <c r="A325" s="50">
        <f t="shared" si="65"/>
        <v>2</v>
      </c>
      <c r="B325" s="51">
        <v>46072</v>
      </c>
      <c r="C325" s="66"/>
      <c r="D325" s="66">
        <v>5.6</v>
      </c>
      <c r="E325" s="8" t="s">
        <v>679</v>
      </c>
      <c r="F325" s="8" t="s">
        <v>102</v>
      </c>
      <c r="G325" s="50" t="s">
        <v>431</v>
      </c>
      <c r="H325" s="50"/>
    </row>
    <row r="326" spans="1:8" s="7" customFormat="1" x14ac:dyDescent="0.2">
      <c r="A326" s="50">
        <f t="shared" si="65"/>
        <v>2</v>
      </c>
      <c r="B326" s="51">
        <v>46072</v>
      </c>
      <c r="C326" s="66"/>
      <c r="D326" s="66">
        <v>2.89</v>
      </c>
      <c r="E326" s="8" t="s">
        <v>596</v>
      </c>
      <c r="F326" s="8" t="s">
        <v>119</v>
      </c>
      <c r="G326" s="50"/>
      <c r="H326" s="50"/>
    </row>
    <row r="327" spans="1:8" s="7" customFormat="1" x14ac:dyDescent="0.2">
      <c r="A327" s="50">
        <f t="shared" si="65"/>
        <v>2</v>
      </c>
      <c r="B327" s="51">
        <v>46072</v>
      </c>
      <c r="C327" s="66"/>
      <c r="D327" s="66">
        <v>9.56</v>
      </c>
      <c r="E327" s="8" t="s">
        <v>642</v>
      </c>
      <c r="F327" s="8" t="s">
        <v>32</v>
      </c>
      <c r="G327" s="50"/>
      <c r="H327" s="50"/>
    </row>
    <row r="328" spans="1:8" s="7" customFormat="1" x14ac:dyDescent="0.2">
      <c r="A328" s="50">
        <f t="shared" si="65"/>
        <v>2</v>
      </c>
      <c r="B328" s="51">
        <v>46070</v>
      </c>
      <c r="C328" s="66"/>
      <c r="D328" s="66">
        <v>8.2799999999999994</v>
      </c>
      <c r="E328" s="8" t="s">
        <v>658</v>
      </c>
      <c r="F328" s="8" t="s">
        <v>401</v>
      </c>
      <c r="G328" s="50"/>
      <c r="H328" s="50"/>
    </row>
    <row r="329" spans="1:8" s="7" customFormat="1" x14ac:dyDescent="0.2">
      <c r="A329" s="50">
        <f t="shared" si="65"/>
        <v>2</v>
      </c>
      <c r="B329" s="51">
        <v>46070</v>
      </c>
      <c r="C329" s="66"/>
      <c r="D329" s="66">
        <v>11.9</v>
      </c>
      <c r="E329" s="8" t="s">
        <v>549</v>
      </c>
      <c r="F329" s="8" t="s">
        <v>33</v>
      </c>
      <c r="G329" s="50"/>
      <c r="H329" s="50"/>
    </row>
    <row r="330" spans="1:8" s="7" customFormat="1" x14ac:dyDescent="0.2">
      <c r="A330" s="50">
        <f t="shared" ref="A330:A361" si="66">MONTH(B330)</f>
        <v>2</v>
      </c>
      <c r="B330" s="51">
        <v>46068</v>
      </c>
      <c r="C330" s="66"/>
      <c r="D330" s="66">
        <v>22.55</v>
      </c>
      <c r="E330" s="8" t="s">
        <v>680</v>
      </c>
      <c r="F330" s="8" t="s">
        <v>47</v>
      </c>
      <c r="G330" s="50"/>
      <c r="H330" s="50"/>
    </row>
    <row r="331" spans="1:8" s="7" customFormat="1" x14ac:dyDescent="0.2">
      <c r="A331" s="50">
        <f t="shared" si="66"/>
        <v>2</v>
      </c>
      <c r="B331" s="51">
        <v>46067</v>
      </c>
      <c r="C331" s="66"/>
      <c r="D331" s="66">
        <v>19.97</v>
      </c>
      <c r="E331" s="8" t="s">
        <v>640</v>
      </c>
      <c r="F331" s="8" t="s">
        <v>270</v>
      </c>
      <c r="G331" s="50"/>
      <c r="H331" s="50"/>
    </row>
    <row r="332" spans="1:8" s="7" customFormat="1" x14ac:dyDescent="0.2">
      <c r="A332" s="50">
        <f t="shared" si="66"/>
        <v>2</v>
      </c>
      <c r="B332" s="51">
        <v>46067</v>
      </c>
      <c r="C332" s="66"/>
      <c r="D332" s="66">
        <v>4.25</v>
      </c>
      <c r="E332" s="8" t="s">
        <v>564</v>
      </c>
      <c r="F332" s="8" t="s">
        <v>32</v>
      </c>
      <c r="G332" s="50"/>
      <c r="H332" s="50"/>
    </row>
    <row r="333" spans="1:8" s="7" customFormat="1" x14ac:dyDescent="0.2">
      <c r="A333" s="50">
        <f t="shared" si="66"/>
        <v>2</v>
      </c>
      <c r="B333" s="51">
        <v>46067</v>
      </c>
      <c r="C333" s="66"/>
      <c r="D333" s="66">
        <v>17.7</v>
      </c>
      <c r="E333" s="8" t="s">
        <v>679</v>
      </c>
      <c r="F333" s="8" t="s">
        <v>102</v>
      </c>
      <c r="G333" s="50" t="s">
        <v>431</v>
      </c>
      <c r="H333" s="50"/>
    </row>
    <row r="334" spans="1:8" s="7" customFormat="1" x14ac:dyDescent="0.2">
      <c r="A334" s="50">
        <f t="shared" si="66"/>
        <v>2</v>
      </c>
      <c r="B334" s="51">
        <v>46066</v>
      </c>
      <c r="C334" s="66"/>
      <c r="D334" s="66">
        <v>26</v>
      </c>
      <c r="E334" s="8" t="s">
        <v>636</v>
      </c>
      <c r="F334" s="8" t="s">
        <v>187</v>
      </c>
      <c r="G334" s="50"/>
      <c r="H334" s="50"/>
    </row>
    <row r="335" spans="1:8" s="7" customFormat="1" x14ac:dyDescent="0.2">
      <c r="A335" s="50">
        <f t="shared" si="66"/>
        <v>2</v>
      </c>
      <c r="B335" s="51">
        <v>46066</v>
      </c>
      <c r="C335" s="66"/>
      <c r="D335" s="66">
        <v>11.49</v>
      </c>
      <c r="E335" s="8" t="s">
        <v>637</v>
      </c>
      <c r="F335" s="8" t="s">
        <v>350</v>
      </c>
      <c r="G335" s="50"/>
      <c r="H335" s="50"/>
    </row>
    <row r="336" spans="1:8" s="7" customFormat="1" x14ac:dyDescent="0.2">
      <c r="A336" s="50">
        <f t="shared" si="66"/>
        <v>2</v>
      </c>
      <c r="B336" s="51">
        <v>46066</v>
      </c>
      <c r="C336" s="66"/>
      <c r="D336" s="66">
        <v>5.99</v>
      </c>
      <c r="E336" s="8" t="s">
        <v>568</v>
      </c>
      <c r="F336" s="8" t="s">
        <v>119</v>
      </c>
      <c r="G336" s="50"/>
      <c r="H336" s="50"/>
    </row>
    <row r="337" spans="1:8" s="7" customFormat="1" x14ac:dyDescent="0.2">
      <c r="A337" s="50">
        <f t="shared" si="66"/>
        <v>2</v>
      </c>
      <c r="B337" s="51">
        <v>46066</v>
      </c>
      <c r="C337" s="66"/>
      <c r="D337" s="66">
        <v>48.3</v>
      </c>
      <c r="E337" s="8" t="s">
        <v>651</v>
      </c>
      <c r="F337" s="8" t="s">
        <v>47</v>
      </c>
      <c r="G337" s="50"/>
      <c r="H337" s="50"/>
    </row>
    <row r="338" spans="1:8" s="7" customFormat="1" x14ac:dyDescent="0.2">
      <c r="A338" s="50">
        <f t="shared" si="66"/>
        <v>2</v>
      </c>
      <c r="B338" s="51">
        <v>46065</v>
      </c>
      <c r="C338" s="66"/>
      <c r="D338" s="66">
        <v>500</v>
      </c>
      <c r="E338" s="8" t="s">
        <v>641</v>
      </c>
      <c r="F338" s="8" t="s">
        <v>347</v>
      </c>
      <c r="G338" s="50"/>
      <c r="H338" s="50"/>
    </row>
    <row r="339" spans="1:8" s="7" customFormat="1" x14ac:dyDescent="0.2">
      <c r="A339" s="50">
        <f t="shared" si="66"/>
        <v>2</v>
      </c>
      <c r="B339" s="51">
        <v>46065</v>
      </c>
      <c r="C339" s="66"/>
      <c r="D339" s="66">
        <v>6.99</v>
      </c>
      <c r="E339" s="8" t="s">
        <v>671</v>
      </c>
      <c r="F339" s="8" t="s">
        <v>119</v>
      </c>
      <c r="G339" s="50"/>
      <c r="H339" s="50"/>
    </row>
    <row r="340" spans="1:8" s="7" customFormat="1" x14ac:dyDescent="0.2">
      <c r="A340" s="50">
        <f t="shared" si="66"/>
        <v>2</v>
      </c>
      <c r="B340" s="51">
        <v>46064</v>
      </c>
      <c r="C340" s="66"/>
      <c r="D340" s="66">
        <v>7.46</v>
      </c>
      <c r="E340" s="8" t="s">
        <v>642</v>
      </c>
      <c r="F340" s="8" t="s">
        <v>32</v>
      </c>
      <c r="G340" s="50"/>
      <c r="H340" s="50"/>
    </row>
    <row r="341" spans="1:8" s="7" customFormat="1" x14ac:dyDescent="0.2">
      <c r="A341" s="50">
        <f t="shared" si="66"/>
        <v>2</v>
      </c>
      <c r="B341" s="51">
        <v>46063</v>
      </c>
      <c r="C341" s="66"/>
      <c r="D341" s="66">
        <v>28.63</v>
      </c>
      <c r="E341" s="8" t="s">
        <v>564</v>
      </c>
      <c r="F341" s="8" t="s">
        <v>32</v>
      </c>
      <c r="G341" s="50"/>
      <c r="H341" s="50"/>
    </row>
    <row r="342" spans="1:8" s="7" customFormat="1" x14ac:dyDescent="0.2">
      <c r="A342" s="50">
        <f t="shared" si="66"/>
        <v>2</v>
      </c>
      <c r="B342" s="51">
        <v>46063</v>
      </c>
      <c r="C342" s="66"/>
      <c r="D342" s="66">
        <v>1875.99</v>
      </c>
      <c r="E342" s="8" t="s">
        <v>631</v>
      </c>
      <c r="F342" s="8" t="s">
        <v>83</v>
      </c>
      <c r="G342" s="50"/>
      <c r="H342" s="50"/>
    </row>
    <row r="343" spans="1:8" s="7" customFormat="1" x14ac:dyDescent="0.2">
      <c r="A343" s="50">
        <f t="shared" si="66"/>
        <v>2</v>
      </c>
      <c r="B343" s="51">
        <v>46063</v>
      </c>
      <c r="C343" s="66">
        <v>34.99</v>
      </c>
      <c r="D343" s="66"/>
      <c r="E343" s="8" t="s">
        <v>656</v>
      </c>
      <c r="F343" s="8" t="s">
        <v>35</v>
      </c>
      <c r="G343" s="50"/>
      <c r="H343" s="50"/>
    </row>
    <row r="344" spans="1:8" s="7" customFormat="1" x14ac:dyDescent="0.2">
      <c r="A344" s="50">
        <f t="shared" si="66"/>
        <v>2</v>
      </c>
      <c r="B344" s="51">
        <v>46062</v>
      </c>
      <c r="C344" s="66"/>
      <c r="D344" s="66">
        <v>65.62</v>
      </c>
      <c r="E344" s="8" t="s">
        <v>562</v>
      </c>
      <c r="F344" s="8" t="s">
        <v>32</v>
      </c>
      <c r="G344" s="50"/>
      <c r="H344" s="50"/>
    </row>
    <row r="345" spans="1:8" s="7" customFormat="1" x14ac:dyDescent="0.2">
      <c r="A345" s="50">
        <f t="shared" si="66"/>
        <v>2</v>
      </c>
      <c r="B345" s="51">
        <v>46061</v>
      </c>
      <c r="C345" s="66"/>
      <c r="D345" s="66">
        <v>14.71</v>
      </c>
      <c r="E345" s="8" t="s">
        <v>657</v>
      </c>
      <c r="F345" s="8" t="s">
        <v>33</v>
      </c>
      <c r="G345" s="50"/>
      <c r="H345" s="50"/>
    </row>
    <row r="346" spans="1:8" s="7" customFormat="1" x14ac:dyDescent="0.2">
      <c r="A346" s="50">
        <f t="shared" si="66"/>
        <v>2</v>
      </c>
      <c r="B346" s="51">
        <v>46061</v>
      </c>
      <c r="C346" s="66"/>
      <c r="D346" s="66">
        <v>33.79</v>
      </c>
      <c r="E346" s="8" t="s">
        <v>632</v>
      </c>
      <c r="F346" s="8" t="s">
        <v>270</v>
      </c>
      <c r="G346" s="50"/>
      <c r="H346" s="50"/>
    </row>
    <row r="347" spans="1:8" s="7" customFormat="1" x14ac:dyDescent="0.2">
      <c r="A347" s="50">
        <f t="shared" si="66"/>
        <v>2</v>
      </c>
      <c r="B347" s="51">
        <v>46061</v>
      </c>
      <c r="C347" s="66"/>
      <c r="D347" s="66">
        <v>18.940000000000001</v>
      </c>
      <c r="E347" s="8" t="s">
        <v>643</v>
      </c>
      <c r="F347" s="8" t="s">
        <v>270</v>
      </c>
      <c r="G347" s="50"/>
      <c r="H347" s="50"/>
    </row>
    <row r="348" spans="1:8" s="7" customFormat="1" x14ac:dyDescent="0.2">
      <c r="A348" s="50">
        <f t="shared" si="66"/>
        <v>2</v>
      </c>
      <c r="B348" s="51">
        <v>46060</v>
      </c>
      <c r="C348" s="66"/>
      <c r="D348" s="66">
        <v>2.79</v>
      </c>
      <c r="E348" s="8" t="s">
        <v>564</v>
      </c>
      <c r="F348" s="8" t="s">
        <v>32</v>
      </c>
      <c r="G348" s="50"/>
      <c r="H348" s="50"/>
    </row>
    <row r="349" spans="1:8" s="7" customFormat="1" x14ac:dyDescent="0.2">
      <c r="A349" s="50">
        <f t="shared" si="66"/>
        <v>2</v>
      </c>
      <c r="B349" s="51">
        <v>46060</v>
      </c>
      <c r="C349" s="66"/>
      <c r="D349" s="66">
        <v>3.86</v>
      </c>
      <c r="E349" s="8" t="s">
        <v>658</v>
      </c>
      <c r="F349" s="8" t="s">
        <v>187</v>
      </c>
      <c r="G349" s="50"/>
      <c r="H349" s="50"/>
    </row>
    <row r="350" spans="1:8" s="7" customFormat="1" x14ac:dyDescent="0.2">
      <c r="A350" s="50">
        <f t="shared" si="66"/>
        <v>2</v>
      </c>
      <c r="B350" s="51">
        <v>46060</v>
      </c>
      <c r="C350" s="66"/>
      <c r="D350" s="66">
        <v>8.3800000000000008</v>
      </c>
      <c r="E350" s="8" t="s">
        <v>658</v>
      </c>
      <c r="F350" s="8" t="s">
        <v>88</v>
      </c>
      <c r="G350" s="50"/>
      <c r="H350" s="50"/>
    </row>
    <row r="351" spans="1:8" s="7" customFormat="1" x14ac:dyDescent="0.2">
      <c r="A351" s="50">
        <f t="shared" si="66"/>
        <v>2</v>
      </c>
      <c r="B351" s="51">
        <v>46059</v>
      </c>
      <c r="C351" s="66"/>
      <c r="D351" s="66">
        <v>15.15</v>
      </c>
      <c r="E351" s="8" t="s">
        <v>644</v>
      </c>
      <c r="F351" s="8" t="s">
        <v>32</v>
      </c>
      <c r="G351" s="50"/>
      <c r="H351" s="50"/>
    </row>
    <row r="352" spans="1:8" s="7" customFormat="1" x14ac:dyDescent="0.2">
      <c r="A352" s="50">
        <f t="shared" si="66"/>
        <v>2</v>
      </c>
      <c r="B352" s="51">
        <v>46058</v>
      </c>
      <c r="C352" s="66"/>
      <c r="D352" s="66">
        <v>77.53</v>
      </c>
      <c r="E352" s="8" t="s">
        <v>644</v>
      </c>
      <c r="F352" s="8" t="s">
        <v>32</v>
      </c>
      <c r="G352" s="50"/>
      <c r="H352" s="50"/>
    </row>
    <row r="353" spans="1:8" s="7" customFormat="1" x14ac:dyDescent="0.2">
      <c r="A353" s="50">
        <f t="shared" si="66"/>
        <v>2</v>
      </c>
      <c r="B353" s="51">
        <v>46058</v>
      </c>
      <c r="C353" s="66"/>
      <c r="D353" s="66">
        <v>8.14</v>
      </c>
      <c r="E353" s="8" t="s">
        <v>645</v>
      </c>
      <c r="F353" s="8" t="s">
        <v>32</v>
      </c>
      <c r="G353" s="50"/>
      <c r="H353" s="50"/>
    </row>
    <row r="354" spans="1:8" s="7" customFormat="1" x14ac:dyDescent="0.2">
      <c r="A354" s="50">
        <f t="shared" si="66"/>
        <v>2</v>
      </c>
      <c r="B354" s="51">
        <v>46057</v>
      </c>
      <c r="C354" s="66"/>
      <c r="D354" s="66">
        <v>8.49</v>
      </c>
      <c r="E354" s="8" t="s">
        <v>646</v>
      </c>
      <c r="F354" s="8" t="s">
        <v>187</v>
      </c>
      <c r="G354" s="50"/>
      <c r="H354" s="50"/>
    </row>
    <row r="355" spans="1:8" s="7" customFormat="1" x14ac:dyDescent="0.2">
      <c r="A355" s="50">
        <f t="shared" si="66"/>
        <v>2</v>
      </c>
      <c r="B355" s="51">
        <v>46057</v>
      </c>
      <c r="C355" s="66"/>
      <c r="D355" s="66">
        <v>6.49</v>
      </c>
      <c r="E355" s="8" t="s">
        <v>658</v>
      </c>
      <c r="F355" s="8" t="s">
        <v>347</v>
      </c>
      <c r="G355" s="50"/>
      <c r="H355" s="50"/>
    </row>
    <row r="356" spans="1:8" s="7" customFormat="1" x14ac:dyDescent="0.2">
      <c r="A356" s="50">
        <f t="shared" si="66"/>
        <v>2</v>
      </c>
      <c r="B356" s="51">
        <v>46057</v>
      </c>
      <c r="C356" s="66"/>
      <c r="D356" s="66">
        <v>6.26</v>
      </c>
      <c r="E356" s="8" t="s">
        <v>658</v>
      </c>
      <c r="F356" s="8" t="s">
        <v>32</v>
      </c>
      <c r="G356" s="50"/>
      <c r="H356" s="50"/>
    </row>
    <row r="357" spans="1:8" s="7" customFormat="1" x14ac:dyDescent="0.2">
      <c r="A357" s="50">
        <f t="shared" si="66"/>
        <v>2</v>
      </c>
      <c r="B357" s="51">
        <v>46057</v>
      </c>
      <c r="C357" s="66"/>
      <c r="D357" s="66">
        <v>8.98</v>
      </c>
      <c r="E357" s="8" t="s">
        <v>658</v>
      </c>
      <c r="F357" s="8" t="s">
        <v>88</v>
      </c>
      <c r="G357" s="50"/>
      <c r="H357" s="50"/>
    </row>
    <row r="358" spans="1:8" s="7" customFormat="1" x14ac:dyDescent="0.2">
      <c r="A358" s="50">
        <f t="shared" si="66"/>
        <v>2</v>
      </c>
      <c r="B358" s="51">
        <v>46057</v>
      </c>
      <c r="C358" s="66"/>
      <c r="D358" s="66">
        <v>6.23</v>
      </c>
      <c r="E358" s="8" t="s">
        <v>642</v>
      </c>
      <c r="F358" s="8" t="s">
        <v>32</v>
      </c>
      <c r="G358" s="50"/>
      <c r="H358" s="50"/>
    </row>
    <row r="359" spans="1:8" s="7" customFormat="1" x14ac:dyDescent="0.2">
      <c r="A359" s="50">
        <f t="shared" si="66"/>
        <v>2</v>
      </c>
      <c r="B359" s="51">
        <v>46056</v>
      </c>
      <c r="C359" s="66"/>
      <c r="D359" s="66">
        <v>9.99</v>
      </c>
      <c r="E359" s="8" t="s">
        <v>672</v>
      </c>
      <c r="F359" s="8" t="s">
        <v>119</v>
      </c>
      <c r="G359" s="50"/>
      <c r="H359" s="50"/>
    </row>
    <row r="360" spans="1:8" s="7" customFormat="1" x14ac:dyDescent="0.2">
      <c r="A360" s="50">
        <f t="shared" si="66"/>
        <v>2</v>
      </c>
      <c r="B360" s="51">
        <v>46055</v>
      </c>
      <c r="C360" s="66"/>
      <c r="D360" s="66">
        <v>17.989999999999998</v>
      </c>
      <c r="E360" s="8" t="s">
        <v>647</v>
      </c>
      <c r="F360" s="8" t="s">
        <v>270</v>
      </c>
      <c r="G360" s="50"/>
      <c r="H360" s="50"/>
    </row>
    <row r="361" spans="1:8" s="7" customFormat="1" x14ac:dyDescent="0.2">
      <c r="A361" s="50">
        <f t="shared" si="66"/>
        <v>2</v>
      </c>
      <c r="B361" s="51">
        <v>46056</v>
      </c>
      <c r="C361" s="66"/>
      <c r="D361" s="66">
        <v>44.43</v>
      </c>
      <c r="E361" s="8" t="s">
        <v>614</v>
      </c>
      <c r="F361" s="8" t="s">
        <v>42</v>
      </c>
      <c r="G361" s="50"/>
      <c r="H361" s="50" t="s">
        <v>615</v>
      </c>
    </row>
    <row r="362" spans="1:8" s="7" customFormat="1" x14ac:dyDescent="0.2">
      <c r="A362" s="50">
        <f t="shared" ref="A362:A364" si="67">MONTH(B362)</f>
        <v>1</v>
      </c>
      <c r="B362" s="51">
        <v>46053</v>
      </c>
      <c r="C362" s="66"/>
      <c r="D362" s="66">
        <v>70.67</v>
      </c>
      <c r="E362" s="8" t="s">
        <v>644</v>
      </c>
      <c r="F362" s="8" t="s">
        <v>32</v>
      </c>
      <c r="G362" s="50"/>
      <c r="H362" s="50"/>
    </row>
    <row r="363" spans="1:8" s="7" customFormat="1" x14ac:dyDescent="0.2">
      <c r="A363" s="50">
        <f t="shared" si="67"/>
        <v>1</v>
      </c>
      <c r="B363" s="51">
        <v>46053</v>
      </c>
      <c r="C363" s="66"/>
      <c r="D363" s="66">
        <v>15.4</v>
      </c>
      <c r="E363" s="8" t="s">
        <v>659</v>
      </c>
      <c r="F363" s="8" t="s">
        <v>46</v>
      </c>
      <c r="G363" s="50"/>
      <c r="H363" s="50"/>
    </row>
    <row r="364" spans="1:8" s="7" customFormat="1" x14ac:dyDescent="0.2">
      <c r="A364" s="50">
        <f t="shared" si="67"/>
        <v>1</v>
      </c>
      <c r="B364" s="51">
        <v>46053</v>
      </c>
      <c r="C364" s="66"/>
      <c r="D364" s="66">
        <v>12.04</v>
      </c>
      <c r="E364" s="8" t="s">
        <v>642</v>
      </c>
      <c r="F364" s="8" t="s">
        <v>32</v>
      </c>
      <c r="G364" s="50"/>
      <c r="H364" s="50"/>
    </row>
    <row r="365" spans="1:8" s="7" customFormat="1" x14ac:dyDescent="0.2">
      <c r="A365" s="50">
        <f t="shared" ref="A365:A369" si="68">MONTH(B365)</f>
        <v>1</v>
      </c>
      <c r="B365" s="51">
        <v>46052</v>
      </c>
      <c r="C365" s="66"/>
      <c r="D365" s="66">
        <v>7.9</v>
      </c>
      <c r="E365" s="8" t="s">
        <v>660</v>
      </c>
      <c r="F365" s="8" t="s">
        <v>288</v>
      </c>
      <c r="G365" s="50"/>
      <c r="H365" s="50"/>
    </row>
    <row r="366" spans="1:8" s="7" customFormat="1" x14ac:dyDescent="0.2">
      <c r="A366" s="50">
        <f t="shared" si="68"/>
        <v>1</v>
      </c>
      <c r="B366" s="51">
        <v>46051</v>
      </c>
      <c r="C366" s="66"/>
      <c r="D366" s="66">
        <v>88</v>
      </c>
      <c r="E366" s="8" t="s">
        <v>590</v>
      </c>
      <c r="F366" s="8" t="s">
        <v>47</v>
      </c>
      <c r="G366" s="50"/>
      <c r="H366" s="50"/>
    </row>
    <row r="367" spans="1:8" s="7" customFormat="1" x14ac:dyDescent="0.2">
      <c r="A367" s="50">
        <f t="shared" si="68"/>
        <v>1</v>
      </c>
      <c r="B367" s="51">
        <v>46050</v>
      </c>
      <c r="C367" s="66"/>
      <c r="D367" s="66">
        <v>39.03</v>
      </c>
      <c r="E367" s="8" t="s">
        <v>562</v>
      </c>
      <c r="F367" s="8" t="s">
        <v>32</v>
      </c>
      <c r="G367" s="50"/>
      <c r="H367" s="50"/>
    </row>
    <row r="368" spans="1:8" s="7" customFormat="1" x14ac:dyDescent="0.2">
      <c r="A368" s="50">
        <f t="shared" si="68"/>
        <v>1</v>
      </c>
      <c r="B368" s="51">
        <v>46050</v>
      </c>
      <c r="C368" s="66"/>
      <c r="D368" s="66">
        <v>14.95</v>
      </c>
      <c r="E368" s="8" t="s">
        <v>658</v>
      </c>
      <c r="F368" s="8" t="s">
        <v>88</v>
      </c>
      <c r="G368" s="50"/>
      <c r="H368" s="50"/>
    </row>
    <row r="369" spans="1:8" s="7" customFormat="1" x14ac:dyDescent="0.2">
      <c r="A369" s="50">
        <f t="shared" si="68"/>
        <v>1</v>
      </c>
      <c r="B369" s="51">
        <v>46050</v>
      </c>
      <c r="C369" s="66"/>
      <c r="D369" s="66">
        <v>7.4600000000000009</v>
      </c>
      <c r="E369" s="8" t="s">
        <v>658</v>
      </c>
      <c r="F369" s="8" t="s">
        <v>32</v>
      </c>
      <c r="G369" s="50"/>
      <c r="H369" s="50"/>
    </row>
    <row r="370" spans="1:8" s="7" customFormat="1" x14ac:dyDescent="0.2">
      <c r="A370" s="50">
        <f t="shared" ref="A370:A390" si="69">MONTH(B370)</f>
        <v>1</v>
      </c>
      <c r="B370" s="51">
        <v>46050</v>
      </c>
      <c r="C370" s="66"/>
      <c r="D370" s="66">
        <v>33</v>
      </c>
      <c r="E370" s="8" t="s">
        <v>673</v>
      </c>
      <c r="F370" s="8" t="s">
        <v>47</v>
      </c>
      <c r="G370" s="50"/>
      <c r="H370" s="50"/>
    </row>
    <row r="371" spans="1:8" s="7" customFormat="1" x14ac:dyDescent="0.2">
      <c r="A371" s="50">
        <f t="shared" si="69"/>
        <v>1</v>
      </c>
      <c r="B371" s="51">
        <v>46050</v>
      </c>
      <c r="C371" s="66"/>
      <c r="D371" s="66">
        <v>180</v>
      </c>
      <c r="E371" s="8" t="s">
        <v>549</v>
      </c>
      <c r="F371" s="8" t="s">
        <v>33</v>
      </c>
      <c r="G371" s="50"/>
      <c r="H371" s="50"/>
    </row>
    <row r="372" spans="1:8" s="7" customFormat="1" x14ac:dyDescent="0.2">
      <c r="A372" s="50">
        <f t="shared" si="69"/>
        <v>1</v>
      </c>
      <c r="B372" s="51">
        <v>46049</v>
      </c>
      <c r="C372" s="66"/>
      <c r="D372" s="66">
        <v>80.239999999999995</v>
      </c>
      <c r="E372" s="8" t="s">
        <v>661</v>
      </c>
      <c r="F372" s="8" t="s">
        <v>129</v>
      </c>
      <c r="G372" s="50"/>
      <c r="H372" s="50"/>
    </row>
    <row r="373" spans="1:8" s="7" customFormat="1" x14ac:dyDescent="0.2">
      <c r="A373" s="50">
        <f t="shared" si="69"/>
        <v>1</v>
      </c>
      <c r="B373" s="51">
        <v>46049</v>
      </c>
      <c r="C373" s="66"/>
      <c r="D373" s="66">
        <v>11.4</v>
      </c>
      <c r="E373" s="8" t="s">
        <v>642</v>
      </c>
      <c r="F373" s="8" t="s">
        <v>32</v>
      </c>
      <c r="G373" s="50"/>
      <c r="H373" s="50"/>
    </row>
    <row r="374" spans="1:8" s="7" customFormat="1" x14ac:dyDescent="0.2">
      <c r="A374" s="50">
        <f t="shared" si="69"/>
        <v>1</v>
      </c>
      <c r="B374" s="51">
        <v>46049</v>
      </c>
      <c r="C374" s="66"/>
      <c r="D374" s="66">
        <v>2.2999999999999998</v>
      </c>
      <c r="E374" s="8" t="s">
        <v>652</v>
      </c>
      <c r="F374" s="8" t="s">
        <v>85</v>
      </c>
      <c r="G374" s="50"/>
      <c r="H374" s="50"/>
    </row>
    <row r="375" spans="1:8" s="7" customFormat="1" x14ac:dyDescent="0.2">
      <c r="A375" s="50">
        <f t="shared" si="69"/>
        <v>1</v>
      </c>
      <c r="B375" s="51">
        <v>46049</v>
      </c>
      <c r="C375" s="66"/>
      <c r="D375" s="66">
        <v>2</v>
      </c>
      <c r="E375" s="8" t="s">
        <v>591</v>
      </c>
      <c r="F375" s="8" t="s">
        <v>144</v>
      </c>
      <c r="G375" s="50"/>
      <c r="H375" s="50"/>
    </row>
    <row r="376" spans="1:8" s="7" customFormat="1" x14ac:dyDescent="0.2">
      <c r="A376" s="50">
        <f t="shared" si="69"/>
        <v>1</v>
      </c>
      <c r="B376" s="51">
        <v>46048</v>
      </c>
      <c r="C376" s="66"/>
      <c r="D376" s="66">
        <v>97</v>
      </c>
      <c r="E376" s="8" t="s">
        <v>592</v>
      </c>
      <c r="F376" s="8" t="s">
        <v>303</v>
      </c>
      <c r="G376" s="50"/>
      <c r="H376" s="50"/>
    </row>
    <row r="377" spans="1:8" s="7" customFormat="1" x14ac:dyDescent="0.2">
      <c r="A377" s="50">
        <f t="shared" si="69"/>
        <v>1</v>
      </c>
      <c r="B377" s="51">
        <v>46048</v>
      </c>
      <c r="C377" s="66"/>
      <c r="D377" s="66">
        <v>33</v>
      </c>
      <c r="E377" s="8" t="s">
        <v>661</v>
      </c>
      <c r="F377" s="8" t="s">
        <v>129</v>
      </c>
      <c r="G377" s="50"/>
      <c r="H377" s="50"/>
    </row>
    <row r="378" spans="1:8" s="7" customFormat="1" x14ac:dyDescent="0.2">
      <c r="A378" s="50">
        <f t="shared" si="69"/>
        <v>1</v>
      </c>
      <c r="B378" s="51">
        <v>46048</v>
      </c>
      <c r="C378" s="66">
        <v>1.99</v>
      </c>
      <c r="D378" s="66"/>
      <c r="E378" s="8" t="s">
        <v>593</v>
      </c>
      <c r="F378" s="8" t="s">
        <v>23</v>
      </c>
      <c r="G378" s="50"/>
      <c r="H378" s="50"/>
    </row>
    <row r="379" spans="1:8" s="7" customFormat="1" x14ac:dyDescent="0.2">
      <c r="A379" s="50">
        <f t="shared" si="69"/>
        <v>1</v>
      </c>
      <c r="B379" s="51">
        <v>46047</v>
      </c>
      <c r="C379" s="66"/>
      <c r="D379" s="66">
        <v>9.7899999999999991</v>
      </c>
      <c r="E379" s="8" t="s">
        <v>662</v>
      </c>
      <c r="F379" s="8" t="s">
        <v>33</v>
      </c>
      <c r="G379" s="50"/>
      <c r="H379" s="50"/>
    </row>
    <row r="380" spans="1:8" s="7" customFormat="1" x14ac:dyDescent="0.2">
      <c r="A380" s="50">
        <f t="shared" si="69"/>
        <v>1</v>
      </c>
      <c r="B380" s="51">
        <v>46047</v>
      </c>
      <c r="C380" s="66"/>
      <c r="D380" s="66">
        <v>56.98</v>
      </c>
      <c r="E380" s="8" t="s">
        <v>648</v>
      </c>
      <c r="F380" s="8" t="s">
        <v>33</v>
      </c>
      <c r="G380" s="50"/>
      <c r="H380" s="50"/>
    </row>
    <row r="381" spans="1:8" s="7" customFormat="1" x14ac:dyDescent="0.2">
      <c r="A381" s="50">
        <f t="shared" si="69"/>
        <v>1</v>
      </c>
      <c r="B381" s="51">
        <v>46046</v>
      </c>
      <c r="C381" s="66"/>
      <c r="D381" s="66">
        <v>29.2</v>
      </c>
      <c r="E381" s="8" t="s">
        <v>594</v>
      </c>
      <c r="F381" s="8" t="s">
        <v>47</v>
      </c>
      <c r="G381" s="50"/>
      <c r="H381" s="50"/>
    </row>
    <row r="382" spans="1:8" s="7" customFormat="1" x14ac:dyDescent="0.2">
      <c r="A382" s="50">
        <f t="shared" si="69"/>
        <v>1</v>
      </c>
      <c r="B382" s="51">
        <v>46046</v>
      </c>
      <c r="C382" s="66"/>
      <c r="D382" s="66">
        <v>15.99</v>
      </c>
      <c r="E382" s="8" t="s">
        <v>653</v>
      </c>
      <c r="F382" s="8" t="s">
        <v>1013</v>
      </c>
      <c r="G382" s="50"/>
      <c r="H382" s="50"/>
    </row>
    <row r="383" spans="1:8" s="7" customFormat="1" x14ac:dyDescent="0.2">
      <c r="A383" s="50">
        <f t="shared" si="69"/>
        <v>1</v>
      </c>
      <c r="B383" s="51">
        <v>46046</v>
      </c>
      <c r="C383" s="66"/>
      <c r="D383" s="66">
        <v>9.14</v>
      </c>
      <c r="E383" s="8" t="s">
        <v>658</v>
      </c>
      <c r="F383" s="8" t="s">
        <v>88</v>
      </c>
      <c r="G383" s="50"/>
      <c r="H383" s="50"/>
    </row>
    <row r="384" spans="1:8" s="7" customFormat="1" x14ac:dyDescent="0.2">
      <c r="A384" s="50">
        <f t="shared" si="69"/>
        <v>1</v>
      </c>
      <c r="B384" s="51">
        <v>46045</v>
      </c>
      <c r="C384" s="66"/>
      <c r="D384" s="66">
        <v>2.99</v>
      </c>
      <c r="E384" s="8" t="s">
        <v>672</v>
      </c>
      <c r="F384" s="8" t="s">
        <v>127</v>
      </c>
      <c r="G384" s="50"/>
      <c r="H384" s="50"/>
    </row>
    <row r="385" spans="1:8" s="7" customFormat="1" x14ac:dyDescent="0.2">
      <c r="A385" s="50">
        <f t="shared" si="69"/>
        <v>1</v>
      </c>
      <c r="B385" s="51">
        <v>46045</v>
      </c>
      <c r="C385" s="66"/>
      <c r="D385" s="66">
        <v>35.049999999999997</v>
      </c>
      <c r="E385" s="8" t="s">
        <v>663</v>
      </c>
      <c r="F385" s="8" t="s">
        <v>47</v>
      </c>
      <c r="G385" s="50"/>
      <c r="H385" s="50"/>
    </row>
    <row r="386" spans="1:8" s="7" customFormat="1" x14ac:dyDescent="0.2">
      <c r="A386" s="50">
        <f t="shared" si="69"/>
        <v>1</v>
      </c>
      <c r="B386" s="51">
        <v>46044</v>
      </c>
      <c r="C386" s="66"/>
      <c r="D386" s="66">
        <v>34.99</v>
      </c>
      <c r="E386" s="8" t="s">
        <v>656</v>
      </c>
      <c r="F386" s="8" t="s">
        <v>35</v>
      </c>
      <c r="G386" s="50"/>
      <c r="H386" s="50"/>
    </row>
    <row r="387" spans="1:8" s="7" customFormat="1" x14ac:dyDescent="0.2">
      <c r="A387" s="50">
        <f t="shared" si="69"/>
        <v>1</v>
      </c>
      <c r="B387" s="51">
        <v>46043</v>
      </c>
      <c r="C387" s="66"/>
      <c r="D387" s="66">
        <v>19.96</v>
      </c>
      <c r="E387" s="8" t="s">
        <v>644</v>
      </c>
      <c r="F387" s="8" t="s">
        <v>32</v>
      </c>
      <c r="G387" s="50"/>
      <c r="H387" s="50"/>
    </row>
    <row r="388" spans="1:8" s="7" customFormat="1" x14ac:dyDescent="0.2">
      <c r="A388" s="50">
        <f t="shared" si="69"/>
        <v>1</v>
      </c>
      <c r="B388" s="51">
        <v>46042</v>
      </c>
      <c r="C388" s="66"/>
      <c r="D388" s="66">
        <v>25.74</v>
      </c>
      <c r="E388" s="8" t="s">
        <v>645</v>
      </c>
      <c r="F388" s="8" t="s">
        <v>32</v>
      </c>
      <c r="G388" s="50"/>
      <c r="H388" s="50"/>
    </row>
    <row r="389" spans="1:8" s="7" customFormat="1" x14ac:dyDescent="0.2">
      <c r="A389" s="50">
        <f t="shared" si="69"/>
        <v>1</v>
      </c>
      <c r="B389" s="51">
        <v>46041</v>
      </c>
      <c r="C389" s="66"/>
      <c r="D389" s="66">
        <v>53.2</v>
      </c>
      <c r="E389" s="8" t="s">
        <v>595</v>
      </c>
      <c r="F389" s="8" t="s">
        <v>32</v>
      </c>
      <c r="G389" s="50"/>
      <c r="H389" s="50"/>
    </row>
    <row r="390" spans="1:8" s="7" customFormat="1" x14ac:dyDescent="0.2">
      <c r="A390" s="50">
        <f t="shared" si="69"/>
        <v>1</v>
      </c>
      <c r="B390" s="51">
        <v>46041</v>
      </c>
      <c r="C390" s="66"/>
      <c r="D390" s="66">
        <v>23.15</v>
      </c>
      <c r="E390" s="8" t="s">
        <v>658</v>
      </c>
      <c r="F390" s="8" t="s">
        <v>88</v>
      </c>
      <c r="G390" s="50"/>
      <c r="H390" s="50"/>
    </row>
    <row r="391" spans="1:8" s="7" customFormat="1" x14ac:dyDescent="0.2">
      <c r="A391" s="50">
        <f>MONTH(B456)</f>
        <v>1</v>
      </c>
      <c r="B391" s="51">
        <v>46041</v>
      </c>
      <c r="C391" s="66"/>
      <c r="D391" s="66">
        <v>2.89</v>
      </c>
      <c r="E391" s="8" t="s">
        <v>596</v>
      </c>
      <c r="F391" s="8" t="s">
        <v>119</v>
      </c>
      <c r="G391" s="50"/>
      <c r="H391" s="50"/>
    </row>
    <row r="392" spans="1:8" s="7" customFormat="1" x14ac:dyDescent="0.2">
      <c r="A392" s="50">
        <f>MONTH(B392)</f>
        <v>1</v>
      </c>
      <c r="B392" s="51">
        <v>46041</v>
      </c>
      <c r="C392" s="66"/>
      <c r="D392" s="66">
        <v>30.94</v>
      </c>
      <c r="E392" s="8" t="s">
        <v>664</v>
      </c>
      <c r="F392" s="8" t="s">
        <v>35</v>
      </c>
      <c r="G392" s="50"/>
      <c r="H392" s="50"/>
    </row>
    <row r="393" spans="1:8" s="7" customFormat="1" x14ac:dyDescent="0.2">
      <c r="A393" s="50">
        <f>MONTH(B393)</f>
        <v>1</v>
      </c>
      <c r="B393" s="51">
        <v>46038</v>
      </c>
      <c r="C393" s="66"/>
      <c r="D393" s="66">
        <v>23.42</v>
      </c>
      <c r="E393" s="8" t="s">
        <v>644</v>
      </c>
      <c r="F393" s="8" t="s">
        <v>32</v>
      </c>
      <c r="G393" s="50"/>
      <c r="H393" s="50"/>
    </row>
    <row r="394" spans="1:8" s="7" customFormat="1" x14ac:dyDescent="0.2">
      <c r="A394" s="50">
        <f t="shared" ref="A394:A418" si="70">MONTH(B394)</f>
        <v>1</v>
      </c>
      <c r="B394" s="51">
        <v>46038</v>
      </c>
      <c r="C394" s="66"/>
      <c r="D394" s="66">
        <v>55.98</v>
      </c>
      <c r="E394" s="8" t="s">
        <v>597</v>
      </c>
      <c r="F394" s="8" t="s">
        <v>32</v>
      </c>
      <c r="G394" s="50"/>
      <c r="H394" s="50"/>
    </row>
    <row r="395" spans="1:8" s="7" customFormat="1" x14ac:dyDescent="0.2">
      <c r="A395" s="50">
        <f t="shared" si="70"/>
        <v>1</v>
      </c>
      <c r="B395" s="51">
        <v>46038</v>
      </c>
      <c r="C395" s="66"/>
      <c r="D395" s="66">
        <v>236.61</v>
      </c>
      <c r="E395" s="8" t="s">
        <v>654</v>
      </c>
      <c r="F395" s="8" t="s">
        <v>129</v>
      </c>
      <c r="G395" s="50"/>
      <c r="H395" s="50"/>
    </row>
    <row r="396" spans="1:8" s="7" customFormat="1" x14ac:dyDescent="0.2">
      <c r="A396" s="50">
        <f t="shared" si="70"/>
        <v>1</v>
      </c>
      <c r="B396" s="51">
        <v>46038</v>
      </c>
      <c r="C396" s="66">
        <v>35.43</v>
      </c>
      <c r="D396" s="66"/>
      <c r="E396" s="8" t="s">
        <v>593</v>
      </c>
      <c r="F396" s="8" t="s">
        <v>23</v>
      </c>
      <c r="G396" s="50"/>
      <c r="H396" s="50"/>
    </row>
    <row r="397" spans="1:8" s="7" customFormat="1" x14ac:dyDescent="0.2">
      <c r="A397" s="50">
        <f t="shared" si="70"/>
        <v>1</v>
      </c>
      <c r="B397" s="51">
        <v>46037</v>
      </c>
      <c r="C397" s="66"/>
      <c r="D397" s="66">
        <v>7.99</v>
      </c>
      <c r="E397" s="8" t="s">
        <v>655</v>
      </c>
      <c r="F397" s="8" t="s">
        <v>1013</v>
      </c>
      <c r="G397" s="50"/>
      <c r="H397" s="50"/>
    </row>
    <row r="398" spans="1:8" s="7" customFormat="1" x14ac:dyDescent="0.2">
      <c r="A398" s="50">
        <f t="shared" si="70"/>
        <v>1</v>
      </c>
      <c r="B398" s="51">
        <v>46036</v>
      </c>
      <c r="C398" s="66"/>
      <c r="D398" s="66">
        <v>8.7800000000000011</v>
      </c>
      <c r="E398" s="8" t="s">
        <v>658</v>
      </c>
      <c r="F398" s="8" t="s">
        <v>88</v>
      </c>
      <c r="G398" s="50"/>
      <c r="H398" s="50"/>
    </row>
    <row r="399" spans="1:8" s="7" customFormat="1" x14ac:dyDescent="0.2">
      <c r="A399" s="50">
        <f t="shared" si="70"/>
        <v>1</v>
      </c>
      <c r="B399" s="51">
        <v>46036</v>
      </c>
      <c r="C399" s="66"/>
      <c r="D399" s="66">
        <v>18.739999999999998</v>
      </c>
      <c r="E399" s="8" t="s">
        <v>658</v>
      </c>
      <c r="F399" s="8" t="s">
        <v>32</v>
      </c>
      <c r="G399" s="50"/>
      <c r="H399" s="50"/>
    </row>
    <row r="400" spans="1:8" s="7" customFormat="1" x14ac:dyDescent="0.2">
      <c r="A400" s="50">
        <f t="shared" si="70"/>
        <v>1</v>
      </c>
      <c r="B400" s="51">
        <v>46035</v>
      </c>
      <c r="C400" s="66"/>
      <c r="D400" s="66">
        <v>5.99</v>
      </c>
      <c r="E400" s="8" t="s">
        <v>568</v>
      </c>
      <c r="F400" s="8" t="s">
        <v>119</v>
      </c>
      <c r="G400" s="50"/>
      <c r="H400" s="50"/>
    </row>
    <row r="401" spans="1:8" s="7" customFormat="1" x14ac:dyDescent="0.2">
      <c r="A401" s="50">
        <f t="shared" si="70"/>
        <v>1</v>
      </c>
      <c r="B401" s="51">
        <v>46035</v>
      </c>
      <c r="C401" s="66"/>
      <c r="D401" s="66">
        <v>18.11</v>
      </c>
      <c r="E401" s="8" t="s">
        <v>642</v>
      </c>
      <c r="F401" s="8" t="s">
        <v>32</v>
      </c>
      <c r="G401" s="50"/>
      <c r="H401" s="50"/>
    </row>
    <row r="402" spans="1:8" s="7" customFormat="1" x14ac:dyDescent="0.2">
      <c r="A402" s="50">
        <f t="shared" si="70"/>
        <v>1</v>
      </c>
      <c r="B402" s="51">
        <v>46034</v>
      </c>
      <c r="C402" s="66"/>
      <c r="D402" s="66">
        <v>46.31</v>
      </c>
      <c r="E402" s="8" t="s">
        <v>644</v>
      </c>
      <c r="F402" s="8" t="s">
        <v>32</v>
      </c>
      <c r="G402" s="50"/>
      <c r="H402" s="50"/>
    </row>
    <row r="403" spans="1:8" s="7" customFormat="1" x14ac:dyDescent="0.2">
      <c r="A403" s="50">
        <f t="shared" si="70"/>
        <v>1</v>
      </c>
      <c r="B403" s="51">
        <v>46033</v>
      </c>
      <c r="C403" s="66"/>
      <c r="D403" s="66">
        <v>6.99</v>
      </c>
      <c r="E403" s="8" t="s">
        <v>674</v>
      </c>
      <c r="F403" s="8" t="s">
        <v>119</v>
      </c>
      <c r="G403" s="50"/>
      <c r="H403" s="50"/>
    </row>
    <row r="404" spans="1:8" s="7" customFormat="1" x14ac:dyDescent="0.2">
      <c r="A404" s="50">
        <f t="shared" si="70"/>
        <v>1</v>
      </c>
      <c r="B404" s="51">
        <v>46032</v>
      </c>
      <c r="C404" s="66"/>
      <c r="D404" s="66">
        <v>9.98</v>
      </c>
      <c r="E404" s="8" t="s">
        <v>658</v>
      </c>
      <c r="F404" s="8" t="s">
        <v>88</v>
      </c>
      <c r="G404" s="50"/>
      <c r="H404" s="50"/>
    </row>
    <row r="405" spans="1:8" s="7" customFormat="1" x14ac:dyDescent="0.2">
      <c r="A405" s="50">
        <f t="shared" si="70"/>
        <v>1</v>
      </c>
      <c r="B405" s="51">
        <v>46032</v>
      </c>
      <c r="C405" s="66"/>
      <c r="D405" s="66">
        <v>14.440000000000001</v>
      </c>
      <c r="E405" s="8" t="s">
        <v>658</v>
      </c>
      <c r="F405" s="8" t="s">
        <v>32</v>
      </c>
      <c r="G405" s="50"/>
      <c r="H405" s="50"/>
    </row>
    <row r="406" spans="1:8" s="7" customFormat="1" x14ac:dyDescent="0.2">
      <c r="A406" s="50">
        <f t="shared" si="70"/>
        <v>1</v>
      </c>
      <c r="B406" s="51">
        <v>46032</v>
      </c>
      <c r="C406" s="66"/>
      <c r="D406" s="66">
        <v>47.85</v>
      </c>
      <c r="E406" s="8" t="s">
        <v>663</v>
      </c>
      <c r="F406" s="8" t="s">
        <v>47</v>
      </c>
      <c r="G406" s="50"/>
      <c r="H406" s="50"/>
    </row>
    <row r="407" spans="1:8" s="7" customFormat="1" x14ac:dyDescent="0.2">
      <c r="A407" s="50">
        <f t="shared" si="70"/>
        <v>1</v>
      </c>
      <c r="B407" s="51">
        <v>46030</v>
      </c>
      <c r="C407" s="66"/>
      <c r="D407" s="66">
        <v>68</v>
      </c>
      <c r="E407" s="8" t="s">
        <v>562</v>
      </c>
      <c r="F407" s="8" t="s">
        <v>32</v>
      </c>
      <c r="G407" s="50"/>
      <c r="H407" s="50"/>
    </row>
    <row r="408" spans="1:8" s="7" customFormat="1" x14ac:dyDescent="0.2">
      <c r="A408" s="50">
        <f t="shared" si="70"/>
        <v>1</v>
      </c>
      <c r="B408" s="51">
        <v>46030</v>
      </c>
      <c r="C408" s="66"/>
      <c r="D408" s="66">
        <v>6.99</v>
      </c>
      <c r="E408" s="8" t="s">
        <v>563</v>
      </c>
      <c r="F408" s="8" t="s">
        <v>119</v>
      </c>
      <c r="G408" s="50"/>
      <c r="H408" s="50"/>
    </row>
    <row r="409" spans="1:8" s="7" customFormat="1" x14ac:dyDescent="0.2">
      <c r="A409" s="50">
        <f t="shared" si="70"/>
        <v>1</v>
      </c>
      <c r="B409" s="51">
        <v>46029</v>
      </c>
      <c r="C409" s="66"/>
      <c r="D409" s="66">
        <v>5.55</v>
      </c>
      <c r="E409" s="8" t="s">
        <v>564</v>
      </c>
      <c r="F409" s="8" t="s">
        <v>32</v>
      </c>
      <c r="G409" s="50"/>
      <c r="H409" s="50"/>
    </row>
    <row r="410" spans="1:8" s="7" customFormat="1" x14ac:dyDescent="0.2">
      <c r="A410" s="50">
        <f t="shared" si="70"/>
        <v>1</v>
      </c>
      <c r="B410" s="51">
        <v>46029</v>
      </c>
      <c r="C410" s="66"/>
      <c r="D410" s="66">
        <v>21.89</v>
      </c>
      <c r="E410" s="8" t="s">
        <v>565</v>
      </c>
      <c r="F410" s="8" t="s">
        <v>270</v>
      </c>
      <c r="G410" s="50"/>
      <c r="H410" s="50"/>
    </row>
    <row r="411" spans="1:8" s="7" customFormat="1" x14ac:dyDescent="0.2">
      <c r="A411" s="50">
        <f t="shared" si="70"/>
        <v>1</v>
      </c>
      <c r="B411" s="51">
        <v>46027</v>
      </c>
      <c r="C411" s="66"/>
      <c r="D411" s="66">
        <v>94.99</v>
      </c>
      <c r="E411" s="8" t="s">
        <v>644</v>
      </c>
      <c r="F411" s="8" t="s">
        <v>32</v>
      </c>
      <c r="G411" s="50"/>
      <c r="H411" s="50"/>
    </row>
    <row r="412" spans="1:8" s="7" customFormat="1" x14ac:dyDescent="0.2">
      <c r="A412" s="50">
        <f t="shared" si="70"/>
        <v>1</v>
      </c>
      <c r="B412" s="51">
        <v>46027</v>
      </c>
      <c r="C412" s="66"/>
      <c r="D412" s="66">
        <v>17.600000000000001</v>
      </c>
      <c r="E412" s="8" t="s">
        <v>557</v>
      </c>
      <c r="F412" s="8" t="s">
        <v>32</v>
      </c>
      <c r="G412" s="50"/>
      <c r="H412" s="50"/>
    </row>
    <row r="413" spans="1:8" s="7" customFormat="1" x14ac:dyDescent="0.2">
      <c r="A413" s="50">
        <f t="shared" si="70"/>
        <v>1</v>
      </c>
      <c r="B413" s="51">
        <v>46026</v>
      </c>
      <c r="C413" s="66"/>
      <c r="D413" s="66">
        <v>11.08</v>
      </c>
      <c r="E413" s="8" t="s">
        <v>642</v>
      </c>
      <c r="F413" s="8" t="s">
        <v>32</v>
      </c>
      <c r="G413" s="50"/>
      <c r="H413" s="50"/>
    </row>
    <row r="414" spans="1:8" s="7" customFormat="1" x14ac:dyDescent="0.2">
      <c r="A414" s="50">
        <f t="shared" si="70"/>
        <v>1</v>
      </c>
      <c r="B414" s="51">
        <v>46025</v>
      </c>
      <c r="C414" s="66"/>
      <c r="D414" s="66">
        <v>10.29</v>
      </c>
      <c r="E414" s="8" t="s">
        <v>649</v>
      </c>
      <c r="F414" s="8" t="s">
        <v>33</v>
      </c>
      <c r="G414" s="50"/>
      <c r="H414" s="50"/>
    </row>
    <row r="415" spans="1:8" s="7" customFormat="1" x14ac:dyDescent="0.2">
      <c r="A415" s="50">
        <f t="shared" si="70"/>
        <v>1</v>
      </c>
      <c r="B415" s="51">
        <v>46025</v>
      </c>
      <c r="C415" s="66"/>
      <c r="D415" s="66">
        <v>19.970000000000002</v>
      </c>
      <c r="E415" s="8" t="s">
        <v>649</v>
      </c>
      <c r="F415" s="8" t="s">
        <v>270</v>
      </c>
      <c r="G415" s="50"/>
      <c r="H415" s="50"/>
    </row>
    <row r="416" spans="1:8" s="7" customFormat="1" x14ac:dyDescent="0.2">
      <c r="A416" s="50">
        <f t="shared" si="70"/>
        <v>1</v>
      </c>
      <c r="B416" s="51">
        <v>46025</v>
      </c>
      <c r="C416" s="66"/>
      <c r="D416" s="66">
        <v>9.99</v>
      </c>
      <c r="E416" s="8" t="s">
        <v>672</v>
      </c>
      <c r="F416" s="8" t="s">
        <v>119</v>
      </c>
      <c r="G416" s="50"/>
      <c r="H416" s="50"/>
    </row>
    <row r="417" spans="1:8" s="7" customFormat="1" x14ac:dyDescent="0.2">
      <c r="A417" s="50">
        <f t="shared" si="70"/>
        <v>1</v>
      </c>
      <c r="B417" s="51">
        <v>46024</v>
      </c>
      <c r="C417" s="66"/>
      <c r="D417" s="66">
        <v>11.49</v>
      </c>
      <c r="E417" s="8" t="s">
        <v>672</v>
      </c>
      <c r="F417" s="8" t="s">
        <v>345</v>
      </c>
      <c r="G417" s="50"/>
      <c r="H417" s="50"/>
    </row>
    <row r="418" spans="1:8" s="7" customFormat="1" x14ac:dyDescent="0.2">
      <c r="A418" s="50">
        <f t="shared" si="70"/>
        <v>1</v>
      </c>
      <c r="B418" s="51">
        <v>46024</v>
      </c>
      <c r="C418" s="66"/>
      <c r="D418" s="66">
        <v>64.5</v>
      </c>
      <c r="E418" s="8" t="s">
        <v>549</v>
      </c>
      <c r="F418" s="8" t="s">
        <v>33</v>
      </c>
      <c r="G418" s="50"/>
      <c r="H418" s="50"/>
    </row>
  </sheetData>
  <autoFilter ref="A1:H418" xr:uid="{728A814E-E160-1747-80A0-849CD94FF844}"/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Messaggio" error="Valore non presente in elenco_x000a_" xr:uid="{387EB9F1-7228-A64F-858A-6668CCF3A43E}">
          <x14:formula1>
            <xm:f>Dati!$B$3:$B$105</xm:f>
          </x14:formula1>
          <xm:sqref>F2:F418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A9FF4-1DCD-0949-8B2B-5F41E2224A53}">
  <sheetPr codeName="Foglio21">
    <tabColor rgb="FFFF0000"/>
  </sheetPr>
  <dimension ref="A1:J7"/>
  <sheetViews>
    <sheetView zoomScale="150" zoomScaleNormal="140" workbookViewId="0">
      <selection activeCell="C4" sqref="C4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2.59765625" style="52" bestFit="1" customWidth="1"/>
    <col min="4" max="4" width="14.3984375" style="9" bestFit="1" customWidth="1"/>
    <col min="5" max="5" width="12.59765625" style="9" bestFit="1" customWidth="1"/>
    <col min="6" max="6" width="40.59765625" style="8" bestFit="1" customWidth="1"/>
    <col min="7" max="7" width="29.59765625" style="43" bestFit="1" customWidth="1"/>
    <col min="8" max="8" width="13.3984375" style="50" bestFit="1" customWidth="1"/>
    <col min="9" max="9" width="22.19921875" style="50" bestFit="1" customWidth="1"/>
    <col min="10" max="10" width="16.796875" style="8" customWidth="1"/>
    <col min="11" max="16384" width="11" style="8"/>
  </cols>
  <sheetData>
    <row r="1" spans="1:10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114</v>
      </c>
      <c r="I1" s="419" t="s">
        <v>163</v>
      </c>
      <c r="J1" s="42" t="e" vm="1">
        <v>#VALUE!</v>
      </c>
    </row>
    <row r="2" spans="1:10" x14ac:dyDescent="0.2">
      <c r="A2" s="50">
        <f t="shared" ref="A2" si="0">MONTH(C2)</f>
        <v>5</v>
      </c>
      <c r="B2" s="51">
        <v>46164</v>
      </c>
      <c r="C2" s="51">
        <v>46164</v>
      </c>
      <c r="D2" s="66"/>
      <c r="E2" s="66">
        <v>29912.59</v>
      </c>
      <c r="F2" s="8" t="s">
        <v>918</v>
      </c>
      <c r="G2" s="8" t="s">
        <v>236</v>
      </c>
    </row>
    <row r="3" spans="1:10" x14ac:dyDescent="0.2">
      <c r="A3" s="50">
        <f t="shared" ref="A3:A4" si="1">MONTH(C3)</f>
        <v>5</v>
      </c>
      <c r="B3" s="51">
        <v>46164</v>
      </c>
      <c r="C3" s="51">
        <v>46164</v>
      </c>
      <c r="D3" s="66"/>
      <c r="E3" s="66">
        <v>28328.84</v>
      </c>
      <c r="F3" s="8" t="s">
        <v>917</v>
      </c>
      <c r="G3" s="8" t="s">
        <v>236</v>
      </c>
    </row>
    <row r="4" spans="1:10" x14ac:dyDescent="0.2">
      <c r="A4" s="50">
        <f t="shared" si="1"/>
        <v>5</v>
      </c>
      <c r="B4" s="51">
        <v>46162</v>
      </c>
      <c r="C4" s="51">
        <v>46162</v>
      </c>
      <c r="D4" s="66">
        <v>30000</v>
      </c>
      <c r="E4" s="66"/>
      <c r="F4" s="8" t="s">
        <v>45</v>
      </c>
      <c r="G4" s="8" t="s">
        <v>45</v>
      </c>
    </row>
    <row r="5" spans="1:10" x14ac:dyDescent="0.2">
      <c r="A5" s="50">
        <f t="shared" ref="A5" si="2">MONTH(C5)</f>
        <v>5</v>
      </c>
      <c r="B5" s="51">
        <v>46162</v>
      </c>
      <c r="C5" s="51">
        <v>46162</v>
      </c>
      <c r="D5" s="66">
        <f>100-3.33</f>
        <v>96.67</v>
      </c>
      <c r="E5" s="66"/>
      <c r="F5" s="8" t="s">
        <v>45</v>
      </c>
      <c r="G5" s="8" t="s">
        <v>45</v>
      </c>
    </row>
    <row r="6" spans="1:10" x14ac:dyDescent="0.2">
      <c r="A6" s="50">
        <f t="shared" ref="A6:A7" si="3">MONTH(C6)</f>
        <v>5</v>
      </c>
      <c r="B6" s="51">
        <v>46160</v>
      </c>
      <c r="C6" s="51">
        <v>46160</v>
      </c>
      <c r="D6" s="66">
        <v>30000</v>
      </c>
      <c r="E6" s="66"/>
      <c r="F6" s="8" t="s">
        <v>45</v>
      </c>
      <c r="G6" s="8" t="s">
        <v>45</v>
      </c>
    </row>
    <row r="7" spans="1:10" x14ac:dyDescent="0.2">
      <c r="A7" s="50">
        <f t="shared" si="3"/>
        <v>4</v>
      </c>
      <c r="B7" s="51">
        <v>46142</v>
      </c>
      <c r="C7" s="51">
        <v>46142</v>
      </c>
      <c r="D7" s="66">
        <v>100</v>
      </c>
      <c r="E7" s="66"/>
      <c r="F7" s="8" t="s">
        <v>45</v>
      </c>
      <c r="G7" s="8" t="s">
        <v>45</v>
      </c>
    </row>
  </sheetData>
  <autoFilter ref="A1:H7" xr:uid="{C374035D-ED0C-8346-B61B-FB4260558752}"/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Messaggio" error="Valore non presente in elenco_x000a_" xr:uid="{FA48CB0A-E437-CB4C-895A-0333F38C9A67}">
          <x14:formula1>
            <xm:f>Dati!$B$3:$B$105</xm:f>
          </x14:formula1>
          <xm:sqref>G2:G7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FFBF-34AC-2F4F-97BB-979E44E20947}">
  <sheetPr codeName="Foglio19">
    <tabColor rgb="FFFF0000"/>
  </sheetPr>
  <dimension ref="A1:J12"/>
  <sheetViews>
    <sheetView zoomScale="150" zoomScaleNormal="140" workbookViewId="0">
      <selection activeCell="K32" sqref="K32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5.59765625" style="52" bestFit="1" customWidth="1"/>
    <col min="4" max="4" width="12" style="9" bestFit="1" customWidth="1"/>
    <col min="5" max="5" width="12.796875" style="9" bestFit="1" customWidth="1"/>
    <col min="6" max="6" width="30.19921875" style="8" customWidth="1"/>
    <col min="7" max="7" width="10.59765625" style="43" bestFit="1" customWidth="1"/>
    <col min="8" max="8" width="7.3984375" style="50" bestFit="1" customWidth="1"/>
    <col min="9" max="9" width="10.59765625" style="50" bestFit="1" customWidth="1"/>
    <col min="10" max="10" width="22.19921875" style="50" bestFit="1" customWidth="1"/>
    <col min="11" max="16384" width="11" style="8"/>
  </cols>
  <sheetData>
    <row r="1" spans="1:9" s="42" customFormat="1" ht="17" customHeight="1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114</v>
      </c>
      <c r="I1" s="419" t="s">
        <v>163</v>
      </c>
    </row>
    <row r="2" spans="1:9" s="42" customFormat="1" x14ac:dyDescent="0.2">
      <c r="A2" s="50">
        <f t="shared" ref="A2" si="0">MONTH(C2)</f>
        <v>7</v>
      </c>
      <c r="B2" s="51">
        <v>46207</v>
      </c>
      <c r="C2" s="51">
        <v>46207</v>
      </c>
      <c r="D2" s="419"/>
      <c r="E2" s="66">
        <v>21</v>
      </c>
      <c r="F2" s="8" t="s">
        <v>45</v>
      </c>
      <c r="G2" s="8" t="s">
        <v>45</v>
      </c>
      <c r="H2" s="419"/>
      <c r="I2" s="419"/>
    </row>
    <row r="3" spans="1:9" s="42" customFormat="1" x14ac:dyDescent="0.2">
      <c r="A3" s="50">
        <f t="shared" ref="A3" si="1">MONTH(C3)</f>
        <v>7</v>
      </c>
      <c r="B3" s="51">
        <v>46207</v>
      </c>
      <c r="C3" s="51">
        <v>46207</v>
      </c>
      <c r="D3" s="419"/>
      <c r="E3" s="66">
        <v>30000</v>
      </c>
      <c r="F3" s="8" t="s">
        <v>45</v>
      </c>
      <c r="G3" s="8" t="s">
        <v>45</v>
      </c>
      <c r="H3" s="419"/>
      <c r="I3" s="419"/>
    </row>
    <row r="4" spans="1:9" x14ac:dyDescent="0.2">
      <c r="A4" s="50">
        <f t="shared" ref="A4:A5" si="2">MONTH(C4)</f>
        <v>5</v>
      </c>
      <c r="B4" s="51">
        <v>46164</v>
      </c>
      <c r="C4" s="51">
        <v>46164</v>
      </c>
      <c r="D4" s="66"/>
      <c r="E4" s="66">
        <v>21</v>
      </c>
      <c r="F4" s="8" t="s">
        <v>45</v>
      </c>
      <c r="G4" s="8" t="s">
        <v>45</v>
      </c>
    </row>
    <row r="5" spans="1:9" x14ac:dyDescent="0.2">
      <c r="A5" s="50">
        <f t="shared" si="2"/>
        <v>5</v>
      </c>
      <c r="B5" s="51">
        <v>46164</v>
      </c>
      <c r="C5" s="51">
        <v>46164</v>
      </c>
      <c r="D5" s="66"/>
      <c r="E5" s="66">
        <v>30000</v>
      </c>
      <c r="F5" s="8" t="s">
        <v>45</v>
      </c>
      <c r="G5" s="8" t="s">
        <v>45</v>
      </c>
    </row>
    <row r="6" spans="1:9" x14ac:dyDescent="0.2">
      <c r="A6" s="50">
        <f t="shared" ref="A6" si="3">MONTH(C6)</f>
        <v>5</v>
      </c>
      <c r="B6" s="51">
        <v>46160</v>
      </c>
      <c r="C6" s="51">
        <v>46160</v>
      </c>
      <c r="D6" s="66"/>
      <c r="E6" s="66">
        <v>21</v>
      </c>
      <c r="F6" s="8" t="s">
        <v>45</v>
      </c>
      <c r="G6" s="8" t="s">
        <v>45</v>
      </c>
    </row>
    <row r="7" spans="1:9" x14ac:dyDescent="0.2">
      <c r="A7" s="50">
        <f t="shared" ref="A7" si="4">MONTH(C7)</f>
        <v>5</v>
      </c>
      <c r="B7" s="51">
        <v>46160</v>
      </c>
      <c r="C7" s="51">
        <v>46160</v>
      </c>
      <c r="D7" s="66"/>
      <c r="E7" s="66">
        <v>30000</v>
      </c>
      <c r="F7" s="8" t="s">
        <v>45</v>
      </c>
      <c r="G7" s="8" t="s">
        <v>45</v>
      </c>
    </row>
    <row r="8" spans="1:9" x14ac:dyDescent="0.2">
      <c r="A8" s="50">
        <f t="shared" ref="A8" si="5">MONTH(C8)</f>
        <v>4</v>
      </c>
      <c r="B8" s="51">
        <v>46140</v>
      </c>
      <c r="C8" s="51">
        <v>46140</v>
      </c>
      <c r="D8" s="66">
        <v>250000</v>
      </c>
      <c r="E8" s="66"/>
      <c r="F8" s="8" t="s">
        <v>45</v>
      </c>
      <c r="G8" s="8" t="s">
        <v>45</v>
      </c>
    </row>
    <row r="9" spans="1:9" x14ac:dyDescent="0.2">
      <c r="A9" s="50">
        <f t="shared" ref="A9:A12" si="6">MONTH(C9)</f>
        <v>4</v>
      </c>
      <c r="B9" s="51">
        <v>46127</v>
      </c>
      <c r="C9" s="51">
        <v>46127</v>
      </c>
      <c r="D9" s="66"/>
      <c r="E9" s="66">
        <v>69900</v>
      </c>
      <c r="F9" s="8" t="s">
        <v>45</v>
      </c>
      <c r="G9" s="8" t="s">
        <v>45</v>
      </c>
    </row>
    <row r="10" spans="1:9" x14ac:dyDescent="0.2">
      <c r="A10" s="50">
        <f t="shared" si="6"/>
        <v>4</v>
      </c>
      <c r="B10" s="51">
        <v>46119</v>
      </c>
      <c r="C10" s="51">
        <v>46119</v>
      </c>
      <c r="D10" s="66"/>
      <c r="E10" s="66">
        <v>37.19</v>
      </c>
      <c r="F10" s="8" t="s">
        <v>792</v>
      </c>
      <c r="G10" s="8" t="s">
        <v>152</v>
      </c>
    </row>
    <row r="11" spans="1:9" x14ac:dyDescent="0.2">
      <c r="A11" s="50">
        <f t="shared" si="6"/>
        <v>4</v>
      </c>
      <c r="B11" s="51">
        <v>46119</v>
      </c>
      <c r="C11" s="51">
        <v>46119</v>
      </c>
      <c r="D11" s="66"/>
      <c r="E11" s="66">
        <v>37.19</v>
      </c>
      <c r="F11" s="8" t="s">
        <v>792</v>
      </c>
      <c r="G11" s="8" t="s">
        <v>152</v>
      </c>
    </row>
    <row r="12" spans="1:9" x14ac:dyDescent="0.2">
      <c r="A12" s="50">
        <f t="shared" si="6"/>
        <v>4</v>
      </c>
      <c r="B12" s="51">
        <v>46113</v>
      </c>
      <c r="C12" s="51">
        <v>46113</v>
      </c>
      <c r="D12" s="66">
        <v>70000</v>
      </c>
      <c r="E12" s="66"/>
      <c r="F12" s="8" t="s">
        <v>45</v>
      </c>
      <c r="G12" s="8" t="s">
        <v>45</v>
      </c>
    </row>
  </sheetData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Messaggio" error="Valore non presente in elenco_x000a_" xr:uid="{7233477A-F9A5-9949-A2BA-84D9008BA4AD}">
          <x14:formula1>
            <xm:f>Dati!$B$3:$B$105</xm:f>
          </x14:formula1>
          <xm:sqref>G2:G12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EB636-9839-884A-A753-8FBCC89D067B}">
  <sheetPr codeName="Foglio30">
    <tabColor rgb="FFFF0000"/>
  </sheetPr>
  <dimension ref="A1:L22"/>
  <sheetViews>
    <sheetView zoomScale="160" zoomScaleNormal="160" workbookViewId="0">
      <selection activeCell="J36" sqref="J36"/>
    </sheetView>
  </sheetViews>
  <sheetFormatPr baseColWidth="10" defaultColWidth="11" defaultRowHeight="14" x14ac:dyDescent="0.2"/>
  <cols>
    <col min="1" max="1" width="10.3984375" style="8" bestFit="1" customWidth="1"/>
    <col min="2" max="2" width="9" style="50" bestFit="1" customWidth="1"/>
    <col min="3" max="4" width="11" style="52" bestFit="1" customWidth="1"/>
    <col min="5" max="5" width="12.796875" style="9" bestFit="1" customWidth="1"/>
    <col min="6" max="6" width="11.59765625" style="9" bestFit="1" customWidth="1"/>
    <col min="7" max="7" width="11.796875" style="9" bestFit="1" customWidth="1"/>
    <col min="8" max="8" width="11.59765625" style="9" bestFit="1" customWidth="1"/>
    <col min="9" max="9" width="47.3984375" style="8" bestFit="1" customWidth="1"/>
    <col min="10" max="10" width="29.59765625" style="43" bestFit="1" customWidth="1"/>
    <col min="11" max="11" width="13.3984375" style="50" bestFit="1" customWidth="1"/>
    <col min="12" max="12" width="22.19921875" style="50" bestFit="1" customWidth="1"/>
    <col min="13" max="16384" width="11" style="8"/>
  </cols>
  <sheetData>
    <row r="1" spans="1:12" ht="30" x14ac:dyDescent="0.2">
      <c r="A1" s="413" t="s">
        <v>859</v>
      </c>
      <c r="B1" s="417" cm="1">
        <f t="array" aca="1" ref="B1" ca="1">_FV(C1,"Prezzo")</f>
        <v>0.23880000000000001</v>
      </c>
      <c r="C1" s="413" t="e" vm="1">
        <v>#VALUE!</v>
      </c>
    </row>
    <row r="3" spans="1:12" ht="15" customHeight="1" x14ac:dyDescent="0.2">
      <c r="E3" s="522" t="s">
        <v>862</v>
      </c>
      <c r="F3" s="523"/>
      <c r="G3" s="522" t="s">
        <v>861</v>
      </c>
      <c r="H3" s="523"/>
      <c r="K3" s="8"/>
    </row>
    <row r="4" spans="1:12" s="50" customFormat="1" ht="30" x14ac:dyDescent="0.2">
      <c r="A4" s="427" t="s">
        <v>846</v>
      </c>
      <c r="B4" s="50" t="s">
        <v>18</v>
      </c>
      <c r="C4" s="52" t="s">
        <v>21</v>
      </c>
      <c r="D4" s="52" t="s">
        <v>14</v>
      </c>
      <c r="E4" s="425" t="s">
        <v>847</v>
      </c>
      <c r="F4" s="425" t="s">
        <v>848</v>
      </c>
      <c r="G4" s="426" t="s">
        <v>849</v>
      </c>
      <c r="H4" s="426" t="s">
        <v>850</v>
      </c>
      <c r="I4" s="50" t="s">
        <v>24</v>
      </c>
      <c r="J4" s="50" t="s">
        <v>36</v>
      </c>
      <c r="K4" s="50" t="s">
        <v>114</v>
      </c>
      <c r="L4" s="50" t="s">
        <v>163</v>
      </c>
    </row>
    <row r="5" spans="1:12" s="50" customFormat="1" x14ac:dyDescent="0.2">
      <c r="A5" s="318">
        <v>0.23308000000000001</v>
      </c>
      <c r="B5" s="50">
        <f t="shared" ref="B5:B10" si="0">MONTH(D5)</f>
        <v>7</v>
      </c>
      <c r="C5" s="51">
        <v>46206</v>
      </c>
      <c r="D5" s="51">
        <v>46206</v>
      </c>
      <c r="E5" s="421"/>
      <c r="F5" s="421">
        <v>0.19</v>
      </c>
      <c r="G5" s="422">
        <f t="shared" ref="G5:G10" si="1">E5*A5</f>
        <v>0</v>
      </c>
      <c r="H5" s="422">
        <f t="shared" ref="H5:H10" si="2">F5*A5</f>
        <v>4.4285200000000004E-2</v>
      </c>
      <c r="I5" s="8" t="s">
        <v>1033</v>
      </c>
      <c r="J5" s="8" t="s">
        <v>419</v>
      </c>
    </row>
    <row r="6" spans="1:12" s="50" customFormat="1" x14ac:dyDescent="0.2">
      <c r="A6" s="318">
        <v>0.23308000000000001</v>
      </c>
      <c r="B6" s="50">
        <f t="shared" si="0"/>
        <v>7</v>
      </c>
      <c r="C6" s="51">
        <v>46206</v>
      </c>
      <c r="D6" s="51">
        <v>46206</v>
      </c>
      <c r="E6" s="421"/>
      <c r="F6" s="421">
        <v>23985</v>
      </c>
      <c r="G6" s="422">
        <f t="shared" si="1"/>
        <v>0</v>
      </c>
      <c r="H6" s="422">
        <f t="shared" si="2"/>
        <v>5590.4238000000005</v>
      </c>
      <c r="I6" s="8" t="s">
        <v>1028</v>
      </c>
      <c r="J6" s="8" t="s">
        <v>419</v>
      </c>
    </row>
    <row r="7" spans="1:12" s="50" customFormat="1" x14ac:dyDescent="0.2">
      <c r="A7" s="318">
        <v>0.23308000000000001</v>
      </c>
      <c r="B7" s="50">
        <f t="shared" si="0"/>
        <v>7</v>
      </c>
      <c r="C7" s="51">
        <v>46206</v>
      </c>
      <c r="D7" s="51">
        <v>46206</v>
      </c>
      <c r="E7" s="421"/>
      <c r="F7" s="421">
        <v>40479.980000000003</v>
      </c>
      <c r="G7" s="422">
        <f t="shared" si="1"/>
        <v>0</v>
      </c>
      <c r="H7" s="422">
        <f t="shared" si="2"/>
        <v>9435.0737384000004</v>
      </c>
      <c r="I7" s="8" t="s">
        <v>1032</v>
      </c>
      <c r="J7" s="8" t="s">
        <v>540</v>
      </c>
    </row>
    <row r="8" spans="1:12" s="50" customFormat="1" x14ac:dyDescent="0.2">
      <c r="A8" s="318">
        <v>0.23308000000000001</v>
      </c>
      <c r="B8" s="50">
        <f t="shared" si="0"/>
        <v>7</v>
      </c>
      <c r="C8" s="51">
        <v>46206</v>
      </c>
      <c r="D8" s="51">
        <v>46206</v>
      </c>
      <c r="E8" s="421"/>
      <c r="F8" s="421">
        <v>1.05</v>
      </c>
      <c r="G8" s="422">
        <f t="shared" si="1"/>
        <v>0</v>
      </c>
      <c r="H8" s="422">
        <f t="shared" si="2"/>
        <v>0.24473400000000001</v>
      </c>
      <c r="I8" s="8" t="s">
        <v>1031</v>
      </c>
      <c r="J8" s="8" t="s">
        <v>540</v>
      </c>
    </row>
    <row r="9" spans="1:12" s="50" customFormat="1" x14ac:dyDescent="0.2">
      <c r="A9" s="318">
        <v>0.23308000000000001</v>
      </c>
      <c r="B9" s="50">
        <f t="shared" si="0"/>
        <v>6</v>
      </c>
      <c r="C9" s="51">
        <v>46198</v>
      </c>
      <c r="D9" s="51">
        <v>46198</v>
      </c>
      <c r="E9" s="421"/>
      <c r="F9" s="421">
        <v>2999</v>
      </c>
      <c r="G9" s="422">
        <f t="shared" si="1"/>
        <v>0</v>
      </c>
      <c r="H9" s="422">
        <f t="shared" si="2"/>
        <v>699.00692000000004</v>
      </c>
      <c r="I9" s="8" t="s">
        <v>1030</v>
      </c>
      <c r="J9" s="8" t="s">
        <v>419</v>
      </c>
    </row>
    <row r="10" spans="1:12" s="50" customFormat="1" x14ac:dyDescent="0.2">
      <c r="A10" s="318">
        <v>0.23308000000000001</v>
      </c>
      <c r="B10" s="50">
        <f t="shared" si="0"/>
        <v>6</v>
      </c>
      <c r="C10" s="51">
        <v>46198</v>
      </c>
      <c r="D10" s="51">
        <v>46198</v>
      </c>
      <c r="E10" s="421"/>
      <c r="F10" s="421">
        <v>1.05</v>
      </c>
      <c r="G10" s="422">
        <f t="shared" si="1"/>
        <v>0</v>
      </c>
      <c r="H10" s="422">
        <f t="shared" si="2"/>
        <v>0.24473400000000001</v>
      </c>
      <c r="I10" s="8" t="s">
        <v>1029</v>
      </c>
      <c r="J10" s="8" t="s">
        <v>419</v>
      </c>
      <c r="L10" s="50" t="s">
        <v>1034</v>
      </c>
    </row>
    <row r="11" spans="1:12" s="50" customFormat="1" x14ac:dyDescent="0.2">
      <c r="A11" s="318">
        <v>0.23499999999999999</v>
      </c>
      <c r="B11" s="50">
        <f t="shared" ref="B11" si="3">MONTH(D11)</f>
        <v>5</v>
      </c>
      <c r="C11" s="51">
        <v>46186</v>
      </c>
      <c r="D11" s="51">
        <v>46164</v>
      </c>
      <c r="E11" s="421">
        <v>1354.92</v>
      </c>
      <c r="F11" s="425"/>
      <c r="G11" s="422">
        <f t="shared" ref="G11" si="4">E11*A11</f>
        <v>318.40620000000001</v>
      </c>
      <c r="H11" s="422">
        <f t="shared" ref="H11" si="5">F11*A11</f>
        <v>0</v>
      </c>
      <c r="I11" s="8" t="s">
        <v>923</v>
      </c>
      <c r="J11" s="8" t="s">
        <v>34</v>
      </c>
    </row>
    <row r="12" spans="1:12" x14ac:dyDescent="0.2">
      <c r="A12" s="318">
        <v>0.23308000000000001</v>
      </c>
      <c r="B12" s="50">
        <f t="shared" ref="B12" si="6">MONTH(D12)</f>
        <v>6</v>
      </c>
      <c r="C12" s="51">
        <v>46176</v>
      </c>
      <c r="D12" s="51">
        <v>46176</v>
      </c>
      <c r="E12" s="421"/>
      <c r="F12" s="421">
        <v>40479.980000000003</v>
      </c>
      <c r="G12" s="422">
        <f t="shared" ref="G12" si="7">E12*A12</f>
        <v>0</v>
      </c>
      <c r="H12" s="422">
        <f t="shared" ref="H12" si="8">F12*A12</f>
        <v>9435.0737384000004</v>
      </c>
      <c r="I12" s="8" t="s">
        <v>940</v>
      </c>
      <c r="J12" s="8" t="s">
        <v>540</v>
      </c>
    </row>
    <row r="13" spans="1:12" x14ac:dyDescent="0.2">
      <c r="A13" s="318">
        <v>0.23308000000000001</v>
      </c>
      <c r="B13" s="50">
        <f t="shared" ref="B13" si="9">MONTH(D13)</f>
        <v>6</v>
      </c>
      <c r="C13" s="51">
        <v>46176</v>
      </c>
      <c r="D13" s="51">
        <v>46176</v>
      </c>
      <c r="E13" s="421"/>
      <c r="F13" s="421">
        <v>1.05</v>
      </c>
      <c r="G13" s="422">
        <f t="shared" ref="G13" si="10">E13*A13</f>
        <v>0</v>
      </c>
      <c r="H13" s="422">
        <f t="shared" ref="H13" si="11">F13*A13</f>
        <v>0.24473400000000001</v>
      </c>
      <c r="I13" s="8" t="s">
        <v>940</v>
      </c>
      <c r="J13" s="8" t="s">
        <v>540</v>
      </c>
    </row>
    <row r="14" spans="1:12" s="50" customFormat="1" x14ac:dyDescent="0.2">
      <c r="A14" s="318">
        <v>0.23449999999999999</v>
      </c>
      <c r="B14" s="50">
        <f t="shared" ref="B14:B17" si="12">MONTH(D14)</f>
        <v>5</v>
      </c>
      <c r="C14" s="51">
        <v>46164</v>
      </c>
      <c r="D14" s="51">
        <v>46164</v>
      </c>
      <c r="E14" s="421">
        <v>833.97</v>
      </c>
      <c r="F14" s="425"/>
      <c r="G14" s="422">
        <f t="shared" ref="G14:G20" si="13">E14*A14</f>
        <v>195.56596500000001</v>
      </c>
      <c r="H14" s="422">
        <f t="shared" ref="H14:H20" si="14">F14*A14</f>
        <v>0</v>
      </c>
      <c r="I14" s="8" t="s">
        <v>923</v>
      </c>
      <c r="J14" s="8" t="s">
        <v>34</v>
      </c>
    </row>
    <row r="15" spans="1:12" x14ac:dyDescent="0.2">
      <c r="A15" s="318">
        <v>0.23355999999999999</v>
      </c>
      <c r="B15" s="50">
        <f t="shared" ref="B15" si="15">MONTH(D15)</f>
        <v>5</v>
      </c>
      <c r="C15" s="51">
        <v>46160</v>
      </c>
      <c r="D15" s="51">
        <v>46160</v>
      </c>
      <c r="E15" s="421"/>
      <c r="F15" s="421">
        <v>30</v>
      </c>
      <c r="G15" s="422">
        <f t="shared" ref="G15" si="16">E15*A15</f>
        <v>0</v>
      </c>
      <c r="H15" s="422">
        <f t="shared" ref="H15" si="17">F15*A15</f>
        <v>7.0068000000000001</v>
      </c>
      <c r="I15" s="8" t="s">
        <v>880</v>
      </c>
      <c r="J15" s="8" t="s">
        <v>345</v>
      </c>
    </row>
    <row r="16" spans="1:12" x14ac:dyDescent="0.2">
      <c r="A16" s="318">
        <v>0.23355999999999999</v>
      </c>
      <c r="B16" s="50">
        <f t="shared" ref="B16" si="18">MONTH(D16)</f>
        <v>5</v>
      </c>
      <c r="C16" s="51">
        <v>46160</v>
      </c>
      <c r="D16" s="51">
        <v>46160</v>
      </c>
      <c r="E16" s="421"/>
      <c r="F16" s="421">
        <v>30</v>
      </c>
      <c r="G16" s="422">
        <f t="shared" ref="G16" si="19">E16*A16</f>
        <v>0</v>
      </c>
      <c r="H16" s="422">
        <f t="shared" ref="H16" si="20">F16*A16</f>
        <v>7.0068000000000001</v>
      </c>
      <c r="I16" s="8" t="s">
        <v>880</v>
      </c>
      <c r="J16" s="8" t="s">
        <v>345</v>
      </c>
    </row>
    <row r="17" spans="1:10" x14ac:dyDescent="0.2">
      <c r="A17" s="318">
        <v>0.23200000000000001</v>
      </c>
      <c r="B17" s="50">
        <f t="shared" si="12"/>
        <v>5</v>
      </c>
      <c r="C17" s="51">
        <v>46154</v>
      </c>
      <c r="D17" s="51">
        <v>46154</v>
      </c>
      <c r="E17" s="421"/>
      <c r="F17" s="421">
        <v>0.19</v>
      </c>
      <c r="G17" s="422">
        <f t="shared" si="13"/>
        <v>0</v>
      </c>
      <c r="H17" s="422">
        <f t="shared" si="14"/>
        <v>4.4080000000000001E-2</v>
      </c>
      <c r="I17" s="8" t="s">
        <v>880</v>
      </c>
      <c r="J17" s="8" t="s">
        <v>419</v>
      </c>
    </row>
    <row r="18" spans="1:10" x14ac:dyDescent="0.2">
      <c r="A18" s="318">
        <v>0.23200000000000001</v>
      </c>
      <c r="B18" s="50">
        <f t="shared" ref="B18:B19" si="21">MONTH(D18)</f>
        <v>5</v>
      </c>
      <c r="C18" s="51">
        <v>46154</v>
      </c>
      <c r="D18" s="51">
        <v>46154</v>
      </c>
      <c r="E18" s="421"/>
      <c r="F18" s="421">
        <v>16954.5</v>
      </c>
      <c r="G18" s="422">
        <f t="shared" si="13"/>
        <v>0</v>
      </c>
      <c r="H18" s="422">
        <f t="shared" si="14"/>
        <v>3933.4440000000004</v>
      </c>
      <c r="I18" s="8" t="s">
        <v>880</v>
      </c>
      <c r="J18" s="8" t="s">
        <v>419</v>
      </c>
    </row>
    <row r="19" spans="1:10" x14ac:dyDescent="0.2">
      <c r="A19" s="318">
        <v>0.23308000000000001</v>
      </c>
      <c r="B19" s="50">
        <f t="shared" si="21"/>
        <v>5</v>
      </c>
      <c r="C19" s="51">
        <v>46146</v>
      </c>
      <c r="D19" s="51">
        <v>46146</v>
      </c>
      <c r="E19" s="421"/>
      <c r="F19" s="421">
        <v>1.05</v>
      </c>
      <c r="G19" s="422">
        <f t="shared" si="13"/>
        <v>0</v>
      </c>
      <c r="H19" s="422">
        <f t="shared" si="14"/>
        <v>0.24473400000000001</v>
      </c>
      <c r="I19" s="8" t="s">
        <v>863</v>
      </c>
      <c r="J19" s="8" t="s">
        <v>540</v>
      </c>
    </row>
    <row r="20" spans="1:10" x14ac:dyDescent="0.2">
      <c r="A20" s="318">
        <v>0.23308000000000001</v>
      </c>
      <c r="B20" s="50">
        <f t="shared" ref="B20:B21" si="22">MONTH(D20)</f>
        <v>5</v>
      </c>
      <c r="C20" s="51">
        <v>46146</v>
      </c>
      <c r="D20" s="51">
        <v>46146</v>
      </c>
      <c r="E20" s="421"/>
      <c r="F20" s="421">
        <v>40480</v>
      </c>
      <c r="G20" s="422">
        <f t="shared" si="13"/>
        <v>0</v>
      </c>
      <c r="H20" s="422">
        <f t="shared" si="14"/>
        <v>9435.0784000000003</v>
      </c>
      <c r="I20" s="8" t="s">
        <v>863</v>
      </c>
      <c r="J20" s="8" t="s">
        <v>540</v>
      </c>
    </row>
    <row r="21" spans="1:10" x14ac:dyDescent="0.2">
      <c r="A21" s="8">
        <v>0.23089999999999999</v>
      </c>
      <c r="B21" s="50">
        <f t="shared" si="22"/>
        <v>4</v>
      </c>
      <c r="C21" s="51">
        <v>46127</v>
      </c>
      <c r="D21" s="51">
        <v>46127</v>
      </c>
      <c r="E21" s="421">
        <f>292692.27</f>
        <v>292692.27</v>
      </c>
      <c r="F21" s="421"/>
      <c r="G21" s="422">
        <f>E21*A21</f>
        <v>67582.645143000002</v>
      </c>
      <c r="H21" s="422">
        <f>F21*A21</f>
        <v>0</v>
      </c>
      <c r="I21" s="8" t="s">
        <v>841</v>
      </c>
      <c r="J21" s="8" t="s">
        <v>45</v>
      </c>
    </row>
    <row r="22" spans="1:10" x14ac:dyDescent="0.2">
      <c r="C22" s="51"/>
      <c r="D22" s="51"/>
      <c r="E22" s="421"/>
      <c r="F22" s="421"/>
      <c r="G22" s="422"/>
      <c r="H22" s="422"/>
      <c r="J22" s="8"/>
    </row>
  </sheetData>
  <dataConsolidate/>
  <mergeCells count="2">
    <mergeCell ref="G3:H3"/>
    <mergeCell ref="E3:F3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Messaggio" error="Valore non presente in elenco_x000a_" xr:uid="{80B2D2ED-A574-294D-969D-8DE6B8672167}">
          <x14:formula1>
            <xm:f>Dati!$B$3:$B$105</xm:f>
          </x14:formula1>
          <xm:sqref>J5:J8 J11:J22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B5454-AEDA-7B44-9BA2-384A4BD550B4}">
  <sheetPr codeName="Foglio24">
    <tabColor rgb="FFFF0000"/>
  </sheetPr>
  <dimension ref="A1:I28"/>
  <sheetViews>
    <sheetView zoomScale="150" zoomScaleNormal="140" workbookViewId="0">
      <selection activeCell="I30" sqref="I30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2.59765625" style="52" bestFit="1" customWidth="1"/>
    <col min="4" max="4" width="13.59765625" style="9" bestFit="1" customWidth="1"/>
    <col min="5" max="5" width="12.59765625" style="9" bestFit="1" customWidth="1"/>
    <col min="6" max="6" width="25.19921875" style="8" bestFit="1" customWidth="1"/>
    <col min="7" max="7" width="34.3984375" style="43" bestFit="1" customWidth="1"/>
    <col min="8" max="8" width="13.3984375" style="50" bestFit="1" customWidth="1"/>
    <col min="9" max="9" width="20.19921875" style="50" bestFit="1" customWidth="1"/>
    <col min="10" max="16384" width="11" style="8"/>
  </cols>
  <sheetData>
    <row r="1" spans="1:9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114</v>
      </c>
      <c r="I1" s="419" t="s">
        <v>163</v>
      </c>
    </row>
    <row r="2" spans="1:9" s="42" customFormat="1" x14ac:dyDescent="0.2">
      <c r="A2" s="50">
        <f t="shared" ref="A2" si="0">MONTH(B2)</f>
        <v>4</v>
      </c>
      <c r="B2" s="51">
        <v>46137.550775462965</v>
      </c>
      <c r="C2" s="51">
        <v>46137.550775462965</v>
      </c>
      <c r="D2" s="66">
        <v>100</v>
      </c>
      <c r="E2" s="66"/>
      <c r="F2" s="8" t="s">
        <v>832</v>
      </c>
      <c r="G2" s="43" t="s">
        <v>45</v>
      </c>
      <c r="H2" s="50"/>
      <c r="I2" s="50"/>
    </row>
    <row r="3" spans="1:9" s="42" customFormat="1" x14ac:dyDescent="0.2">
      <c r="A3" s="50">
        <f t="shared" ref="A3" si="1">MONTH(B3)</f>
        <v>4</v>
      </c>
      <c r="B3" s="51">
        <v>46137.550775462965</v>
      </c>
      <c r="C3" s="51">
        <v>46137.550775462965</v>
      </c>
      <c r="D3" s="66"/>
      <c r="E3" s="66">
        <v>66.95</v>
      </c>
      <c r="F3" s="8" t="s">
        <v>829</v>
      </c>
      <c r="G3" s="43" t="s">
        <v>35</v>
      </c>
      <c r="H3" s="50"/>
      <c r="I3" s="50"/>
    </row>
    <row r="4" spans="1:9" s="42" customFormat="1" x14ac:dyDescent="0.2">
      <c r="A4" s="50">
        <f t="shared" ref="A4" si="2">MONTH(B4)</f>
        <v>3</v>
      </c>
      <c r="B4" s="51">
        <v>46101.550775462965</v>
      </c>
      <c r="C4" s="51">
        <v>46101.550775462965</v>
      </c>
      <c r="D4" s="66"/>
      <c r="E4" s="66">
        <v>89.1</v>
      </c>
      <c r="F4" s="8" t="s">
        <v>830</v>
      </c>
      <c r="G4" s="43" t="s">
        <v>79</v>
      </c>
      <c r="H4" s="50"/>
      <c r="I4" s="50" t="s">
        <v>831</v>
      </c>
    </row>
    <row r="5" spans="1:9" s="42" customFormat="1" x14ac:dyDescent="0.2">
      <c r="A5" s="50">
        <f t="shared" ref="A5:A28" si="3">MONTH(B5)</f>
        <v>3</v>
      </c>
      <c r="B5" s="51">
        <v>46096.550775462965</v>
      </c>
      <c r="C5" s="51">
        <v>46096.550775462965</v>
      </c>
      <c r="D5" s="66"/>
      <c r="E5" s="66">
        <v>2.42</v>
      </c>
      <c r="F5" s="8" t="s">
        <v>750</v>
      </c>
      <c r="G5" s="43" t="s">
        <v>345</v>
      </c>
      <c r="H5" s="50"/>
      <c r="I5" s="50"/>
    </row>
    <row r="6" spans="1:9" s="42" customFormat="1" x14ac:dyDescent="0.2">
      <c r="A6" s="50">
        <f t="shared" si="3"/>
        <v>2</v>
      </c>
      <c r="B6" s="51">
        <v>46081.550775462965</v>
      </c>
      <c r="C6" s="51">
        <v>46081.550775462965</v>
      </c>
      <c r="D6" s="66"/>
      <c r="E6" s="66">
        <v>14.9</v>
      </c>
      <c r="F6" s="8" t="s">
        <v>703</v>
      </c>
      <c r="G6" s="43" t="s">
        <v>47</v>
      </c>
      <c r="H6" s="50"/>
      <c r="I6" s="50"/>
    </row>
    <row r="7" spans="1:9" s="42" customFormat="1" x14ac:dyDescent="0.2">
      <c r="A7" s="50">
        <f t="shared" si="3"/>
        <v>2</v>
      </c>
      <c r="B7" s="51">
        <v>46079.33935185185</v>
      </c>
      <c r="C7" s="51">
        <v>46079.33935185185</v>
      </c>
      <c r="D7" s="66"/>
      <c r="E7" s="66">
        <v>2.4300000000000002</v>
      </c>
      <c r="F7" s="8" t="s">
        <v>701</v>
      </c>
      <c r="G7" s="43" t="s">
        <v>113</v>
      </c>
      <c r="H7" s="50" t="s">
        <v>431</v>
      </c>
      <c r="I7" s="50"/>
    </row>
    <row r="8" spans="1:9" s="42" customFormat="1" x14ac:dyDescent="0.2">
      <c r="A8" s="50">
        <f t="shared" si="3"/>
        <v>2</v>
      </c>
      <c r="B8" s="51">
        <v>46079.329085648147</v>
      </c>
      <c r="C8" s="51">
        <v>46079.329085648147</v>
      </c>
      <c r="D8" s="66"/>
      <c r="E8" s="66">
        <v>201.01</v>
      </c>
      <c r="F8" s="8" t="s">
        <v>700</v>
      </c>
      <c r="G8" s="43" t="s">
        <v>398</v>
      </c>
      <c r="H8" s="50"/>
      <c r="I8" s="50"/>
    </row>
    <row r="9" spans="1:9" s="42" customFormat="1" x14ac:dyDescent="0.2">
      <c r="A9" s="50">
        <f t="shared" si="3"/>
        <v>2</v>
      </c>
      <c r="B9" s="51">
        <v>46078.502025462964</v>
      </c>
      <c r="C9" s="51">
        <v>46078.502025462964</v>
      </c>
      <c r="D9" s="66"/>
      <c r="E9" s="66">
        <v>25.51</v>
      </c>
      <c r="F9" s="8" t="s">
        <v>702</v>
      </c>
      <c r="G9" s="43" t="s">
        <v>243</v>
      </c>
      <c r="H9" s="50" t="s">
        <v>431</v>
      </c>
      <c r="I9" s="50"/>
    </row>
    <row r="10" spans="1:9" s="42" customFormat="1" x14ac:dyDescent="0.2">
      <c r="A10" s="50">
        <f t="shared" si="3"/>
        <v>2</v>
      </c>
      <c r="B10" s="51">
        <v>46077.337650462963</v>
      </c>
      <c r="C10" s="51">
        <v>46077.337650462963</v>
      </c>
      <c r="D10" s="66"/>
      <c r="E10" s="66">
        <v>0.23</v>
      </c>
      <c r="F10" s="8" t="s">
        <v>698</v>
      </c>
      <c r="G10" s="43" t="s">
        <v>243</v>
      </c>
      <c r="H10" s="50" t="s">
        <v>431</v>
      </c>
      <c r="I10" s="50"/>
    </row>
    <row r="11" spans="1:9" s="42" customFormat="1" x14ac:dyDescent="0.2">
      <c r="A11" s="50">
        <f t="shared" si="3"/>
        <v>2</v>
      </c>
      <c r="B11" s="51">
        <v>46077.308634259258</v>
      </c>
      <c r="C11" s="51">
        <v>46077.308634259258</v>
      </c>
      <c r="D11" s="66"/>
      <c r="E11" s="66">
        <v>6.96</v>
      </c>
      <c r="F11" s="8" t="s">
        <v>699</v>
      </c>
      <c r="G11" s="43" t="s">
        <v>113</v>
      </c>
      <c r="H11" s="50" t="s">
        <v>431</v>
      </c>
      <c r="I11" s="50"/>
    </row>
    <row r="12" spans="1:9" s="42" customFormat="1" x14ac:dyDescent="0.2">
      <c r="A12" s="50">
        <f t="shared" si="3"/>
        <v>2</v>
      </c>
      <c r="B12" s="51">
        <v>46075.512986111113</v>
      </c>
      <c r="C12" s="51">
        <v>46075.512986111113</v>
      </c>
      <c r="D12" s="66"/>
      <c r="E12" s="66">
        <v>18.5</v>
      </c>
      <c r="F12" s="8" t="s">
        <v>682</v>
      </c>
      <c r="G12" s="43" t="s">
        <v>88</v>
      </c>
      <c r="H12" s="50"/>
      <c r="I12" s="50"/>
    </row>
    <row r="13" spans="1:9" s="42" customFormat="1" x14ac:dyDescent="0.2">
      <c r="A13" s="50">
        <f t="shared" si="3"/>
        <v>2</v>
      </c>
      <c r="B13" s="51">
        <v>46070.378831018519</v>
      </c>
      <c r="C13" s="51">
        <v>46070.378831018519</v>
      </c>
      <c r="D13" s="66"/>
      <c r="E13" s="66">
        <v>120.83</v>
      </c>
      <c r="F13" s="8" t="s">
        <v>639</v>
      </c>
      <c r="G13" s="43" t="s">
        <v>249</v>
      </c>
      <c r="H13" s="50"/>
      <c r="I13" s="50"/>
    </row>
    <row r="14" spans="1:9" s="42" customFormat="1" x14ac:dyDescent="0.2">
      <c r="A14" s="50">
        <f t="shared" si="3"/>
        <v>2</v>
      </c>
      <c r="B14" s="51">
        <v>46065.378831018519</v>
      </c>
      <c r="C14" s="51">
        <v>46065.378831018519</v>
      </c>
      <c r="D14" s="66"/>
      <c r="E14" s="66">
        <v>0.89</v>
      </c>
      <c r="F14" s="8" t="s">
        <v>638</v>
      </c>
      <c r="G14" s="43" t="s">
        <v>47</v>
      </c>
      <c r="H14" s="50"/>
      <c r="I14" s="50"/>
    </row>
    <row r="15" spans="1:9" s="42" customFormat="1" x14ac:dyDescent="0.2">
      <c r="A15" s="50">
        <f t="shared" si="3"/>
        <v>2</v>
      </c>
      <c r="B15" s="51">
        <v>46055.378831018519</v>
      </c>
      <c r="C15" s="51">
        <v>46056.425451388888</v>
      </c>
      <c r="D15" s="66"/>
      <c r="E15" s="66">
        <v>119</v>
      </c>
      <c r="F15" s="8" t="s">
        <v>556</v>
      </c>
      <c r="G15" s="43" t="s">
        <v>123</v>
      </c>
      <c r="H15" s="50"/>
      <c r="I15" s="50"/>
    </row>
    <row r="16" spans="1:9" s="42" customFormat="1" x14ac:dyDescent="0.2">
      <c r="A16" s="50">
        <f t="shared" si="3"/>
        <v>2</v>
      </c>
      <c r="B16" s="51">
        <v>46054.857083333336</v>
      </c>
      <c r="C16" s="51">
        <v>46055.489652777775</v>
      </c>
      <c r="D16" s="66"/>
      <c r="E16" s="66">
        <v>15.5</v>
      </c>
      <c r="F16" s="8" t="s">
        <v>606</v>
      </c>
      <c r="G16" s="43" t="s">
        <v>47</v>
      </c>
      <c r="H16" s="50"/>
      <c r="I16" s="50"/>
    </row>
    <row r="17" spans="1:9" s="42" customFormat="1" x14ac:dyDescent="0.2">
      <c r="A17" s="50">
        <f t="shared" si="3"/>
        <v>2</v>
      </c>
      <c r="B17" s="51">
        <v>46054.76767361111</v>
      </c>
      <c r="C17" s="51">
        <v>46055.447002314817</v>
      </c>
      <c r="D17" s="66"/>
      <c r="E17" s="66">
        <v>10.5</v>
      </c>
      <c r="F17" s="8" t="s">
        <v>605</v>
      </c>
      <c r="G17" s="43" t="s">
        <v>46</v>
      </c>
      <c r="H17" s="50"/>
      <c r="I17" s="50" t="s">
        <v>607</v>
      </c>
    </row>
    <row r="18" spans="1:9" s="42" customFormat="1" x14ac:dyDescent="0.2">
      <c r="A18" s="50">
        <f t="shared" si="3"/>
        <v>1</v>
      </c>
      <c r="B18" s="51">
        <v>46053.424259259256</v>
      </c>
      <c r="C18" s="51">
        <v>46054.569108796299</v>
      </c>
      <c r="D18" s="66"/>
      <c r="E18" s="66">
        <v>6.2</v>
      </c>
      <c r="F18" s="8" t="s">
        <v>604</v>
      </c>
      <c r="G18" s="43" t="s">
        <v>46</v>
      </c>
      <c r="H18" s="50"/>
      <c r="I18" s="50"/>
    </row>
    <row r="19" spans="1:9" s="42" customFormat="1" x14ac:dyDescent="0.2">
      <c r="A19" s="50">
        <f t="shared" si="3"/>
        <v>1</v>
      </c>
      <c r="B19" s="51">
        <v>46052.44327546296</v>
      </c>
      <c r="C19" s="51">
        <v>46053.465243055558</v>
      </c>
      <c r="D19" s="66"/>
      <c r="E19" s="66">
        <v>4.8</v>
      </c>
      <c r="F19" s="8" t="s">
        <v>604</v>
      </c>
      <c r="G19" s="43" t="s">
        <v>46</v>
      </c>
      <c r="H19" s="50"/>
      <c r="I19" s="50"/>
    </row>
    <row r="20" spans="1:9" s="42" customFormat="1" x14ac:dyDescent="0.2">
      <c r="A20" s="50">
        <f t="shared" si="3"/>
        <v>1</v>
      </c>
      <c r="B20" s="51">
        <v>46049.473680555559</v>
      </c>
      <c r="C20" s="51">
        <v>46050.433969907404</v>
      </c>
      <c r="D20" s="66"/>
      <c r="E20" s="66">
        <v>1.66</v>
      </c>
      <c r="F20" s="8" t="s">
        <v>602</v>
      </c>
      <c r="G20" s="43" t="s">
        <v>32</v>
      </c>
      <c r="H20" s="50"/>
      <c r="I20" s="50"/>
    </row>
    <row r="21" spans="1:9" s="42" customFormat="1" x14ac:dyDescent="0.2">
      <c r="A21" s="50">
        <f t="shared" si="3"/>
        <v>1</v>
      </c>
      <c r="B21" s="51">
        <v>46049.382418981484</v>
      </c>
      <c r="C21" s="51">
        <v>46050.448321759257</v>
      </c>
      <c r="D21" s="66"/>
      <c r="E21" s="66">
        <v>8.5</v>
      </c>
      <c r="F21" s="8" t="s">
        <v>603</v>
      </c>
      <c r="G21" s="43" t="s">
        <v>46</v>
      </c>
      <c r="H21" s="50"/>
      <c r="I21" s="50"/>
    </row>
    <row r="22" spans="1:9" s="42" customFormat="1" x14ac:dyDescent="0.2">
      <c r="A22" s="50">
        <f t="shared" si="3"/>
        <v>1</v>
      </c>
      <c r="B22" s="51">
        <v>46048.703333333331</v>
      </c>
      <c r="C22" s="51">
        <v>46049.517928240741</v>
      </c>
      <c r="D22" s="66"/>
      <c r="E22" s="66">
        <v>17.32</v>
      </c>
      <c r="F22" s="8" t="s">
        <v>602</v>
      </c>
      <c r="G22" s="43" t="s">
        <v>32</v>
      </c>
      <c r="H22" s="50"/>
      <c r="I22" s="50"/>
    </row>
    <row r="23" spans="1:9" s="42" customFormat="1" x14ac:dyDescent="0.2">
      <c r="A23" s="50">
        <f t="shared" si="3"/>
        <v>1</v>
      </c>
      <c r="B23" s="51">
        <v>46044.46979166667</v>
      </c>
      <c r="C23" s="51">
        <v>46045.572465277779</v>
      </c>
      <c r="D23" s="66"/>
      <c r="E23" s="66">
        <v>6.5</v>
      </c>
      <c r="F23" s="8" t="s">
        <v>602</v>
      </c>
      <c r="G23" s="43" t="s">
        <v>32</v>
      </c>
      <c r="H23" s="50"/>
      <c r="I23" s="50"/>
    </row>
    <row r="24" spans="1:9" s="42" customFormat="1" x14ac:dyDescent="0.2">
      <c r="A24" s="50">
        <f t="shared" si="3"/>
        <v>1</v>
      </c>
      <c r="B24" s="51">
        <v>46040.835405092592</v>
      </c>
      <c r="C24" s="51">
        <v>46041.497708333336</v>
      </c>
      <c r="D24" s="66"/>
      <c r="E24" s="66">
        <v>3</v>
      </c>
      <c r="F24" s="8" t="s">
        <v>602</v>
      </c>
      <c r="G24" s="43" t="s">
        <v>32</v>
      </c>
      <c r="H24" s="50"/>
      <c r="I24" s="50" t="s">
        <v>731</v>
      </c>
    </row>
    <row r="25" spans="1:9" s="42" customFormat="1" x14ac:dyDescent="0.2">
      <c r="A25" s="50">
        <f t="shared" si="3"/>
        <v>1</v>
      </c>
      <c r="B25" s="51">
        <v>46040.405509259261</v>
      </c>
      <c r="C25" s="51">
        <v>46041.508425925924</v>
      </c>
      <c r="D25" s="66"/>
      <c r="E25" s="66">
        <v>16.850000000000001</v>
      </c>
      <c r="F25" s="8" t="s">
        <v>602</v>
      </c>
      <c r="G25" s="43" t="s">
        <v>32</v>
      </c>
      <c r="H25" s="50"/>
      <c r="I25" s="50"/>
    </row>
    <row r="26" spans="1:9" s="42" customFormat="1" x14ac:dyDescent="0.2">
      <c r="A26" s="50">
        <f t="shared" si="3"/>
        <v>1</v>
      </c>
      <c r="B26" s="51">
        <v>46036.787395833337</v>
      </c>
      <c r="C26" s="51">
        <v>46037.501296296294</v>
      </c>
      <c r="D26" s="66"/>
      <c r="E26" s="66">
        <v>4.5999999999999996</v>
      </c>
      <c r="F26" s="8" t="s">
        <v>578</v>
      </c>
      <c r="G26" s="43" t="s">
        <v>46</v>
      </c>
      <c r="H26" s="50"/>
      <c r="I26" s="50"/>
    </row>
    <row r="27" spans="1:9" s="42" customFormat="1" x14ac:dyDescent="0.2">
      <c r="A27" s="50">
        <f t="shared" si="3"/>
        <v>1</v>
      </c>
      <c r="B27" s="51">
        <v>46027.422754629632</v>
      </c>
      <c r="C27" s="51">
        <v>46028.453194444446</v>
      </c>
      <c r="D27" s="66"/>
      <c r="E27" s="66">
        <v>256.8</v>
      </c>
      <c r="F27" s="8" t="s">
        <v>556</v>
      </c>
      <c r="G27" s="43" t="s">
        <v>123</v>
      </c>
      <c r="H27" s="50"/>
      <c r="I27" s="50"/>
    </row>
    <row r="28" spans="1:9" s="42" customFormat="1" x14ac:dyDescent="0.2">
      <c r="A28" s="50">
        <f t="shared" si="3"/>
        <v>1</v>
      </c>
      <c r="B28" s="51">
        <v>46026.341226851851</v>
      </c>
      <c r="C28" s="51">
        <v>46027.507453703707</v>
      </c>
      <c r="D28" s="66"/>
      <c r="E28" s="66">
        <v>4.4000000000000004</v>
      </c>
      <c r="F28" s="8" t="s">
        <v>548</v>
      </c>
      <c r="G28" s="43" t="s">
        <v>46</v>
      </c>
      <c r="H28" s="50"/>
      <c r="I28" s="50"/>
    </row>
  </sheetData>
  <autoFilter ref="A1:H21" xr:uid="{C374035D-ED0C-8346-B61B-FB4260558752}">
    <sortState xmlns:xlrd2="http://schemas.microsoft.com/office/spreadsheetml/2017/richdata2" ref="A2:H28">
      <sortCondition descending="1" ref="B1:B28"/>
    </sortState>
  </autoFilter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Messaggio" error="Valore non presente in elenco_x000a_" xr:uid="{D9A15230-1181-0640-A81C-D5B089888BF0}">
          <x14:formula1>
            <xm:f>Dati!$B$3:$B$105</xm:f>
          </x14:formula1>
          <xm:sqref>G2:G28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035D-ED0C-8346-B61B-FB4260558752}">
  <sheetPr codeName="Foglio12">
    <tabColor rgb="FFFF0000"/>
  </sheetPr>
  <dimension ref="A1:N278"/>
  <sheetViews>
    <sheetView zoomScale="150" zoomScaleNormal="140" workbookViewId="0">
      <selection activeCell="G5" sqref="G5"/>
    </sheetView>
  </sheetViews>
  <sheetFormatPr baseColWidth="10" defaultColWidth="11" defaultRowHeight="14" x14ac:dyDescent="0.2"/>
  <cols>
    <col min="1" max="1" width="12" style="50" bestFit="1" customWidth="1"/>
    <col min="2" max="2" width="11.19921875" style="52" bestFit="1" customWidth="1"/>
    <col min="3" max="3" width="12.59765625" style="52" bestFit="1" customWidth="1"/>
    <col min="4" max="4" width="13.59765625" style="9" bestFit="1" customWidth="1"/>
    <col min="5" max="5" width="12.59765625" style="9" bestFit="1" customWidth="1"/>
    <col min="6" max="6" width="40.59765625" style="8" bestFit="1" customWidth="1"/>
    <col min="7" max="7" width="29.59765625" style="43" bestFit="1" customWidth="1"/>
    <col min="8" max="8" width="20" style="50" bestFit="1" customWidth="1"/>
    <col min="9" max="9" width="13.3984375" style="50" bestFit="1" customWidth="1"/>
    <col min="10" max="10" width="25.59765625" style="50" bestFit="1" customWidth="1"/>
    <col min="11" max="11" width="59.796875" style="50" bestFit="1" customWidth="1"/>
    <col min="12" max="12" width="60" style="50" bestFit="1" customWidth="1"/>
    <col min="13" max="13" width="37.59765625" style="8" bestFit="1" customWidth="1"/>
    <col min="14" max="14" width="19.19921875" style="8" bestFit="1" customWidth="1"/>
    <col min="15" max="15" width="14.59765625" style="8" bestFit="1" customWidth="1"/>
    <col min="16" max="16384" width="11" style="8"/>
  </cols>
  <sheetData>
    <row r="1" spans="1:14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24</v>
      </c>
      <c r="G1" s="419" t="s">
        <v>36</v>
      </c>
      <c r="H1" s="419" t="s">
        <v>313</v>
      </c>
      <c r="I1" s="419" t="s">
        <v>114</v>
      </c>
      <c r="J1" s="419" t="s">
        <v>163</v>
      </c>
      <c r="K1" s="524" t="s">
        <v>374</v>
      </c>
      <c r="L1" s="524"/>
      <c r="M1" s="42" t="s">
        <v>376</v>
      </c>
      <c r="N1" s="42" t="s">
        <v>375</v>
      </c>
    </row>
    <row r="2" spans="1:14" x14ac:dyDescent="0.2">
      <c r="A2" s="50">
        <f t="shared" ref="A2:A4" si="0">MONTH(C2)</f>
        <v>7</v>
      </c>
      <c r="B2" s="51">
        <v>46215</v>
      </c>
      <c r="C2" s="51">
        <v>46216</v>
      </c>
      <c r="D2" s="66"/>
      <c r="E2" s="66">
        <v>35</v>
      </c>
      <c r="F2" s="8" t="s">
        <v>1078</v>
      </c>
      <c r="G2" s="8" t="s">
        <v>419</v>
      </c>
      <c r="M2" s="324"/>
    </row>
    <row r="3" spans="1:14" x14ac:dyDescent="0.2">
      <c r="A3" s="50">
        <f t="shared" si="0"/>
        <v>7</v>
      </c>
      <c r="B3" s="51">
        <v>46212</v>
      </c>
      <c r="C3" s="51">
        <v>46212</v>
      </c>
      <c r="D3" s="66"/>
      <c r="E3" s="66">
        <v>50</v>
      </c>
      <c r="F3" s="8" t="s">
        <v>1038</v>
      </c>
      <c r="G3" s="8" t="s">
        <v>145</v>
      </c>
      <c r="M3" s="324"/>
    </row>
    <row r="4" spans="1:14" x14ac:dyDescent="0.2">
      <c r="A4" s="50">
        <f t="shared" si="0"/>
        <v>7</v>
      </c>
      <c r="B4" s="51">
        <v>46211</v>
      </c>
      <c r="C4" s="51">
        <v>46211</v>
      </c>
      <c r="D4" s="66"/>
      <c r="E4" s="66">
        <v>105</v>
      </c>
      <c r="F4" s="8" t="s">
        <v>588</v>
      </c>
      <c r="G4" s="8" t="s">
        <v>84</v>
      </c>
      <c r="M4" s="324"/>
    </row>
    <row r="5" spans="1:14" x14ac:dyDescent="0.2">
      <c r="A5" s="50">
        <f t="shared" ref="A5:A12" si="1">MONTH(C5)</f>
        <v>7</v>
      </c>
      <c r="B5" s="51">
        <v>46211</v>
      </c>
      <c r="C5" s="51">
        <v>46211</v>
      </c>
      <c r="D5" s="66"/>
      <c r="E5" s="66">
        <v>316.64999999999998</v>
      </c>
      <c r="F5" s="8" t="s">
        <v>874</v>
      </c>
      <c r="G5" s="8" t="s">
        <v>41</v>
      </c>
      <c r="M5" s="324"/>
    </row>
    <row r="6" spans="1:14" x14ac:dyDescent="0.2">
      <c r="A6" s="50">
        <f t="shared" si="1"/>
        <v>7</v>
      </c>
      <c r="B6" s="51">
        <v>46211</v>
      </c>
      <c r="C6" s="51">
        <v>46211</v>
      </c>
      <c r="D6" s="66"/>
      <c r="E6" s="66">
        <v>165.1</v>
      </c>
      <c r="F6" s="8" t="s">
        <v>1037</v>
      </c>
      <c r="G6" s="8" t="s">
        <v>147</v>
      </c>
      <c r="M6" s="324"/>
    </row>
    <row r="7" spans="1:14" x14ac:dyDescent="0.2">
      <c r="A7" s="50">
        <f t="shared" si="1"/>
        <v>7</v>
      </c>
      <c r="B7" s="51">
        <v>46211</v>
      </c>
      <c r="C7" s="51">
        <v>46211</v>
      </c>
      <c r="D7" s="66"/>
      <c r="E7" s="66">
        <v>535.41</v>
      </c>
      <c r="F7" s="8" t="s">
        <v>1037</v>
      </c>
      <c r="G7" s="8" t="s">
        <v>124</v>
      </c>
      <c r="M7" s="324"/>
    </row>
    <row r="8" spans="1:14" x14ac:dyDescent="0.2">
      <c r="A8" s="50">
        <f t="shared" si="1"/>
        <v>7</v>
      </c>
      <c r="B8" s="51">
        <v>46211</v>
      </c>
      <c r="C8" s="51">
        <v>46211</v>
      </c>
      <c r="D8" s="66"/>
      <c r="E8" s="66">
        <v>12.6</v>
      </c>
      <c r="F8" s="8" t="s">
        <v>1037</v>
      </c>
      <c r="G8" s="8" t="s">
        <v>140</v>
      </c>
      <c r="M8" s="324"/>
    </row>
    <row r="9" spans="1:14" x14ac:dyDescent="0.2">
      <c r="A9" s="50">
        <f t="shared" si="1"/>
        <v>7</v>
      </c>
      <c r="B9" s="51">
        <v>46210</v>
      </c>
      <c r="C9" s="51">
        <v>46210</v>
      </c>
      <c r="D9" s="66"/>
      <c r="E9" s="66">
        <v>96.99</v>
      </c>
      <c r="F9" s="8" t="s">
        <v>571</v>
      </c>
      <c r="G9" s="8" t="s">
        <v>231</v>
      </c>
      <c r="M9" s="324"/>
    </row>
    <row r="10" spans="1:14" x14ac:dyDescent="0.2">
      <c r="A10" s="50">
        <f t="shared" si="1"/>
        <v>7</v>
      </c>
      <c r="B10" s="51">
        <v>46209</v>
      </c>
      <c r="C10" s="51">
        <v>46209</v>
      </c>
      <c r="D10" s="66"/>
      <c r="E10" s="66">
        <v>4.9800000000000004</v>
      </c>
      <c r="F10" s="8" t="s">
        <v>982</v>
      </c>
      <c r="G10" s="8" t="s">
        <v>32</v>
      </c>
      <c r="M10" s="324"/>
    </row>
    <row r="11" spans="1:14" x14ac:dyDescent="0.2">
      <c r="A11" s="50">
        <f t="shared" si="1"/>
        <v>7</v>
      </c>
      <c r="B11" s="51">
        <v>46209</v>
      </c>
      <c r="C11" s="51">
        <v>46209</v>
      </c>
      <c r="D11" s="66">
        <v>3000</v>
      </c>
      <c r="E11" s="66"/>
      <c r="F11" s="8" t="s">
        <v>569</v>
      </c>
      <c r="G11" s="8" t="s">
        <v>45</v>
      </c>
      <c r="M11" s="324"/>
    </row>
    <row r="12" spans="1:14" x14ac:dyDescent="0.2">
      <c r="A12" s="50">
        <f t="shared" si="1"/>
        <v>7</v>
      </c>
      <c r="B12" s="51">
        <v>46207</v>
      </c>
      <c r="C12" s="51">
        <v>46209</v>
      </c>
      <c r="D12" s="66"/>
      <c r="E12" s="66">
        <v>50</v>
      </c>
      <c r="F12" s="8" t="s">
        <v>1038</v>
      </c>
      <c r="G12" s="8" t="s">
        <v>145</v>
      </c>
      <c r="M12" s="324"/>
    </row>
    <row r="13" spans="1:14" x14ac:dyDescent="0.2">
      <c r="A13" s="50">
        <f>MONTH(C13)</f>
        <v>7</v>
      </c>
      <c r="B13" s="51">
        <v>46206</v>
      </c>
      <c r="C13" s="51">
        <v>46206</v>
      </c>
      <c r="D13" s="66"/>
      <c r="E13" s="66">
        <v>14.12</v>
      </c>
      <c r="F13" s="8" t="s">
        <v>1019</v>
      </c>
      <c r="G13" s="8" t="s">
        <v>350</v>
      </c>
      <c r="M13" s="324"/>
    </row>
    <row r="14" spans="1:14" x14ac:dyDescent="0.2">
      <c r="A14" s="50">
        <f t="shared" ref="A14:A32" si="2">MONTH(C14)</f>
        <v>7</v>
      </c>
      <c r="B14" s="51">
        <v>46206</v>
      </c>
      <c r="C14" s="51">
        <v>46206</v>
      </c>
      <c r="D14" s="66"/>
      <c r="E14" s="66">
        <v>0.35</v>
      </c>
      <c r="F14" s="8" t="s">
        <v>1020</v>
      </c>
      <c r="G14" s="8" t="s">
        <v>74</v>
      </c>
      <c r="M14" s="324"/>
    </row>
    <row r="15" spans="1:14" x14ac:dyDescent="0.2">
      <c r="A15" s="50">
        <f t="shared" si="2"/>
        <v>7</v>
      </c>
      <c r="B15" s="51">
        <v>46204</v>
      </c>
      <c r="C15" s="51">
        <v>46204</v>
      </c>
      <c r="D15" s="66"/>
      <c r="E15" s="66">
        <v>27.86</v>
      </c>
      <c r="F15" s="8" t="s">
        <v>554</v>
      </c>
      <c r="G15" s="8" t="s">
        <v>32</v>
      </c>
      <c r="M15" s="324"/>
    </row>
    <row r="16" spans="1:14" x14ac:dyDescent="0.2">
      <c r="A16" s="50">
        <f t="shared" si="2"/>
        <v>7</v>
      </c>
      <c r="B16" s="51">
        <v>46204</v>
      </c>
      <c r="C16" s="51">
        <v>46204</v>
      </c>
      <c r="D16" s="66"/>
      <c r="E16" s="66">
        <v>108</v>
      </c>
      <c r="F16" s="8" t="s">
        <v>580</v>
      </c>
      <c r="G16" s="8" t="s">
        <v>123</v>
      </c>
      <c r="M16" s="324"/>
    </row>
    <row r="17" spans="1:13" x14ac:dyDescent="0.2">
      <c r="A17" s="50">
        <f t="shared" si="2"/>
        <v>7</v>
      </c>
      <c r="B17" s="51">
        <v>46204</v>
      </c>
      <c r="C17" s="51">
        <v>46204</v>
      </c>
      <c r="D17" s="66"/>
      <c r="E17" s="66">
        <v>663.75</v>
      </c>
      <c r="F17" s="8" t="s">
        <v>553</v>
      </c>
      <c r="G17" s="8" t="s">
        <v>82</v>
      </c>
      <c r="M17" s="324"/>
    </row>
    <row r="18" spans="1:13" x14ac:dyDescent="0.2">
      <c r="A18" s="50">
        <f t="shared" si="2"/>
        <v>6</v>
      </c>
      <c r="B18" s="51">
        <v>46203</v>
      </c>
      <c r="C18" s="51">
        <v>46203</v>
      </c>
      <c r="D18" s="66"/>
      <c r="E18" s="66">
        <v>6.76</v>
      </c>
      <c r="F18" s="8" t="s">
        <v>612</v>
      </c>
      <c r="G18" s="8" t="s">
        <v>38</v>
      </c>
      <c r="M18" s="324"/>
    </row>
    <row r="19" spans="1:13" x14ac:dyDescent="0.2">
      <c r="A19" s="50">
        <f t="shared" si="2"/>
        <v>6</v>
      </c>
      <c r="B19" s="51">
        <v>46202</v>
      </c>
      <c r="C19" s="51">
        <v>46202</v>
      </c>
      <c r="D19" s="66"/>
      <c r="E19" s="66">
        <v>56.82</v>
      </c>
      <c r="F19" s="8" t="s">
        <v>612</v>
      </c>
      <c r="G19" s="8" t="s">
        <v>38</v>
      </c>
      <c r="M19" s="324"/>
    </row>
    <row r="20" spans="1:13" x14ac:dyDescent="0.2">
      <c r="A20" s="50">
        <f t="shared" ref="A20" si="3">MONTH(C20)</f>
        <v>6</v>
      </c>
      <c r="B20" s="51">
        <v>46202</v>
      </c>
      <c r="C20" s="51">
        <v>46202</v>
      </c>
      <c r="D20" s="66"/>
      <c r="E20" s="66">
        <v>15</v>
      </c>
      <c r="F20" s="8" t="s">
        <v>579</v>
      </c>
      <c r="G20" s="8" t="s">
        <v>345</v>
      </c>
      <c r="M20" s="324"/>
    </row>
    <row r="21" spans="1:13" x14ac:dyDescent="0.2">
      <c r="A21" s="50">
        <f t="shared" si="2"/>
        <v>6</v>
      </c>
      <c r="B21" s="51">
        <v>46202</v>
      </c>
      <c r="C21" s="51">
        <v>46202</v>
      </c>
      <c r="D21" s="66"/>
      <c r="E21" s="66">
        <f>45.96-E20</f>
        <v>30.96</v>
      </c>
      <c r="F21" s="8" t="s">
        <v>579</v>
      </c>
      <c r="G21" s="8" t="s">
        <v>344</v>
      </c>
      <c r="M21" s="324"/>
    </row>
    <row r="22" spans="1:13" x14ac:dyDescent="0.2">
      <c r="A22" s="50">
        <f t="shared" si="2"/>
        <v>6</v>
      </c>
      <c r="B22" s="51">
        <v>46200</v>
      </c>
      <c r="C22" s="51">
        <v>46202</v>
      </c>
      <c r="D22" s="66"/>
      <c r="E22" s="66">
        <v>7.7</v>
      </c>
      <c r="F22" s="8" t="s">
        <v>1021</v>
      </c>
      <c r="G22" s="8" t="s">
        <v>46</v>
      </c>
      <c r="M22" s="324"/>
    </row>
    <row r="23" spans="1:13" x14ac:dyDescent="0.2">
      <c r="A23" s="50">
        <f t="shared" si="2"/>
        <v>6</v>
      </c>
      <c r="B23" s="51">
        <v>46200</v>
      </c>
      <c r="C23" s="51">
        <v>46202</v>
      </c>
      <c r="D23" s="66"/>
      <c r="E23" s="66">
        <v>14.5</v>
      </c>
      <c r="F23" s="8" t="s">
        <v>1022</v>
      </c>
      <c r="G23" s="8" t="s">
        <v>47</v>
      </c>
      <c r="M23" s="324"/>
    </row>
    <row r="24" spans="1:13" x14ac:dyDescent="0.2">
      <c r="A24" s="50">
        <f t="shared" si="2"/>
        <v>6</v>
      </c>
      <c r="B24" s="51">
        <v>46199</v>
      </c>
      <c r="C24" s="51">
        <v>46199</v>
      </c>
      <c r="D24" s="66"/>
      <c r="E24" s="66">
        <v>5.62</v>
      </c>
      <c r="F24" s="8" t="s">
        <v>942</v>
      </c>
      <c r="G24" s="8" t="s">
        <v>270</v>
      </c>
      <c r="M24" s="324"/>
    </row>
    <row r="25" spans="1:13" x14ac:dyDescent="0.2">
      <c r="A25" s="50">
        <f t="shared" si="2"/>
        <v>6</v>
      </c>
      <c r="B25" s="51">
        <v>46199</v>
      </c>
      <c r="C25" s="51">
        <v>46199</v>
      </c>
      <c r="D25" s="66"/>
      <c r="E25" s="66">
        <v>5.45</v>
      </c>
      <c r="F25" s="8" t="s">
        <v>875</v>
      </c>
      <c r="G25" s="8" t="s">
        <v>46</v>
      </c>
      <c r="M25" s="324"/>
    </row>
    <row r="26" spans="1:13" x14ac:dyDescent="0.2">
      <c r="A26" s="50">
        <f t="shared" si="2"/>
        <v>6</v>
      </c>
      <c r="B26" s="51">
        <v>46199</v>
      </c>
      <c r="C26" s="51">
        <v>46199</v>
      </c>
      <c r="D26" s="66"/>
      <c r="E26" s="66">
        <v>5</v>
      </c>
      <c r="F26" s="8" t="s">
        <v>1023</v>
      </c>
      <c r="G26" s="8" t="s">
        <v>152</v>
      </c>
      <c r="M26" s="324"/>
    </row>
    <row r="27" spans="1:13" x14ac:dyDescent="0.2">
      <c r="A27" s="50">
        <f t="shared" si="2"/>
        <v>6</v>
      </c>
      <c r="B27" s="51">
        <v>46198</v>
      </c>
      <c r="C27" s="51">
        <v>46198</v>
      </c>
      <c r="D27" s="66"/>
      <c r="E27" s="66">
        <v>12.89</v>
      </c>
      <c r="F27" s="8" t="s">
        <v>554</v>
      </c>
      <c r="G27" s="8" t="s">
        <v>32</v>
      </c>
      <c r="M27" s="324"/>
    </row>
    <row r="28" spans="1:13" x14ac:dyDescent="0.2">
      <c r="A28" s="50">
        <f t="shared" si="2"/>
        <v>6</v>
      </c>
      <c r="B28" s="51">
        <v>46198</v>
      </c>
      <c r="C28" s="51">
        <v>46198</v>
      </c>
      <c r="D28" s="66"/>
      <c r="E28" s="66">
        <v>53.75</v>
      </c>
      <c r="F28" s="8" t="s">
        <v>1024</v>
      </c>
      <c r="G28" s="8" t="s">
        <v>145</v>
      </c>
      <c r="M28" s="324"/>
    </row>
    <row r="29" spans="1:13" x14ac:dyDescent="0.2">
      <c r="A29" s="50">
        <f t="shared" si="2"/>
        <v>6</v>
      </c>
      <c r="B29" s="51" t="s">
        <v>1025</v>
      </c>
      <c r="C29" s="51" t="s">
        <v>1025</v>
      </c>
      <c r="D29" s="66"/>
      <c r="E29" s="66">
        <v>10.8</v>
      </c>
      <c r="F29" s="8" t="s">
        <v>751</v>
      </c>
      <c r="G29" s="8" t="s">
        <v>46</v>
      </c>
      <c r="I29" s="324"/>
      <c r="J29" s="8"/>
      <c r="K29" s="8"/>
      <c r="L29" s="8"/>
    </row>
    <row r="30" spans="1:13" x14ac:dyDescent="0.2">
      <c r="A30" s="50">
        <f t="shared" si="2"/>
        <v>6</v>
      </c>
      <c r="B30" s="51" t="s">
        <v>1026</v>
      </c>
      <c r="C30" s="51" t="s">
        <v>1027</v>
      </c>
      <c r="D30" s="66">
        <v>1.05</v>
      </c>
      <c r="E30" s="66"/>
      <c r="F30" s="8" t="s">
        <v>941</v>
      </c>
      <c r="G30" s="8" t="s">
        <v>35</v>
      </c>
      <c r="I30" s="324"/>
      <c r="J30" s="8"/>
      <c r="K30" s="8"/>
      <c r="L30" s="8"/>
    </row>
    <row r="31" spans="1:13" x14ac:dyDescent="0.2">
      <c r="A31" s="50">
        <f t="shared" si="2"/>
        <v>6</v>
      </c>
      <c r="B31" s="51" t="s">
        <v>1027</v>
      </c>
      <c r="C31" s="51" t="s">
        <v>1027</v>
      </c>
      <c r="D31" s="66"/>
      <c r="E31" s="66">
        <v>33.64</v>
      </c>
      <c r="F31" s="8" t="s">
        <v>554</v>
      </c>
      <c r="G31" s="8" t="s">
        <v>32</v>
      </c>
      <c r="I31" s="324"/>
      <c r="J31" s="8"/>
      <c r="K31" s="8"/>
      <c r="L31" s="8"/>
    </row>
    <row r="32" spans="1:13" x14ac:dyDescent="0.2">
      <c r="A32" s="50">
        <f t="shared" si="2"/>
        <v>6</v>
      </c>
      <c r="B32" s="51" t="s">
        <v>1027</v>
      </c>
      <c r="C32" s="51" t="s">
        <v>1027</v>
      </c>
      <c r="D32" s="66"/>
      <c r="E32" s="66">
        <v>7.05</v>
      </c>
      <c r="F32" s="8" t="s">
        <v>751</v>
      </c>
      <c r="G32" s="8" t="s">
        <v>46</v>
      </c>
      <c r="I32" s="324"/>
      <c r="J32" s="8"/>
      <c r="K32" s="8"/>
      <c r="L32" s="8"/>
    </row>
    <row r="33" spans="1:13" x14ac:dyDescent="0.2">
      <c r="A33" s="50">
        <f t="shared" ref="A33:A39" si="4">MONTH(C33)</f>
        <v>6</v>
      </c>
      <c r="B33" s="51">
        <v>46196</v>
      </c>
      <c r="C33" s="51">
        <v>46196</v>
      </c>
      <c r="D33" s="66"/>
      <c r="E33" s="66">
        <v>795.8</v>
      </c>
      <c r="F33" s="8" t="s">
        <v>570</v>
      </c>
      <c r="G33" s="8" t="s">
        <v>350</v>
      </c>
      <c r="J33" s="50" t="s">
        <v>984</v>
      </c>
      <c r="M33" s="324"/>
    </row>
    <row r="34" spans="1:13" x14ac:dyDescent="0.2">
      <c r="A34" s="50">
        <f t="shared" si="4"/>
        <v>6</v>
      </c>
      <c r="B34" s="51">
        <v>46196</v>
      </c>
      <c r="C34" s="51">
        <v>46196</v>
      </c>
      <c r="D34" s="66"/>
      <c r="E34" s="66">
        <v>5.45</v>
      </c>
      <c r="F34" s="8" t="s">
        <v>912</v>
      </c>
      <c r="G34" s="8" t="s">
        <v>46</v>
      </c>
      <c r="M34" s="324"/>
    </row>
    <row r="35" spans="1:13" x14ac:dyDescent="0.2">
      <c r="A35" s="50">
        <f t="shared" si="4"/>
        <v>6</v>
      </c>
      <c r="B35" s="51">
        <v>46195</v>
      </c>
      <c r="C35" s="51">
        <v>46195</v>
      </c>
      <c r="D35" s="66"/>
      <c r="E35" s="66">
        <v>4</v>
      </c>
      <c r="F35" s="8" t="s">
        <v>963</v>
      </c>
      <c r="G35" s="8" t="s">
        <v>47</v>
      </c>
      <c r="M35" s="324"/>
    </row>
    <row r="36" spans="1:13" x14ac:dyDescent="0.2">
      <c r="A36" s="50">
        <f t="shared" si="4"/>
        <v>6</v>
      </c>
      <c r="B36" s="51">
        <v>46195</v>
      </c>
      <c r="C36" s="51">
        <v>46195</v>
      </c>
      <c r="D36" s="66"/>
      <c r="E36" s="66">
        <v>0.6</v>
      </c>
      <c r="F36" s="8" t="s">
        <v>982</v>
      </c>
      <c r="G36" s="8" t="s">
        <v>32</v>
      </c>
      <c r="M36" s="324"/>
    </row>
    <row r="37" spans="1:13" x14ac:dyDescent="0.2">
      <c r="A37" s="50">
        <f t="shared" si="4"/>
        <v>6</v>
      </c>
      <c r="B37" s="51">
        <v>46195</v>
      </c>
      <c r="C37" s="51">
        <v>46195</v>
      </c>
      <c r="D37" s="66"/>
      <c r="E37" s="66">
        <v>4.17</v>
      </c>
      <c r="F37" s="8" t="s">
        <v>983</v>
      </c>
      <c r="G37" s="8" t="s">
        <v>232</v>
      </c>
      <c r="M37" s="324"/>
    </row>
    <row r="38" spans="1:13" x14ac:dyDescent="0.2">
      <c r="A38" s="50">
        <f t="shared" si="4"/>
        <v>6</v>
      </c>
      <c r="B38" s="51">
        <v>46195</v>
      </c>
      <c r="C38" s="51">
        <v>46195</v>
      </c>
      <c r="D38" s="66"/>
      <c r="E38" s="66">
        <v>35.1</v>
      </c>
      <c r="F38" s="8" t="s">
        <v>983</v>
      </c>
      <c r="G38" s="8" t="s">
        <v>232</v>
      </c>
      <c r="M38" s="324"/>
    </row>
    <row r="39" spans="1:13" x14ac:dyDescent="0.2">
      <c r="A39" s="50">
        <f t="shared" si="4"/>
        <v>6</v>
      </c>
      <c r="B39" s="51">
        <v>46193</v>
      </c>
      <c r="C39" s="51">
        <v>46195</v>
      </c>
      <c r="D39" s="66"/>
      <c r="E39" s="66">
        <v>50</v>
      </c>
      <c r="F39" s="8" t="s">
        <v>675</v>
      </c>
      <c r="G39" s="8" t="s">
        <v>145</v>
      </c>
      <c r="M39" s="324"/>
    </row>
    <row r="40" spans="1:13" x14ac:dyDescent="0.2">
      <c r="A40" s="50">
        <f t="shared" ref="A40:A44" si="5">MONTH(C40)</f>
        <v>6</v>
      </c>
      <c r="B40" s="51">
        <v>46192</v>
      </c>
      <c r="C40" s="51">
        <v>46192</v>
      </c>
      <c r="D40" s="66"/>
      <c r="E40" s="66">
        <v>46.42</v>
      </c>
      <c r="F40" s="8" t="s">
        <v>669</v>
      </c>
      <c r="G40" s="8" t="s">
        <v>32</v>
      </c>
      <c r="M40" s="324"/>
    </row>
    <row r="41" spans="1:13" x14ac:dyDescent="0.2">
      <c r="A41" s="50">
        <f t="shared" si="5"/>
        <v>6</v>
      </c>
      <c r="B41" s="51">
        <v>46192</v>
      </c>
      <c r="C41" s="51">
        <v>46192</v>
      </c>
      <c r="D41" s="66"/>
      <c r="E41" s="66">
        <v>0.7</v>
      </c>
      <c r="F41" s="8" t="s">
        <v>972</v>
      </c>
      <c r="G41" s="8" t="s">
        <v>74</v>
      </c>
      <c r="M41" s="324"/>
    </row>
    <row r="42" spans="1:13" x14ac:dyDescent="0.2">
      <c r="A42" s="50">
        <f t="shared" si="5"/>
        <v>6</v>
      </c>
      <c r="B42" s="51">
        <v>46191</v>
      </c>
      <c r="C42" s="51">
        <v>46191</v>
      </c>
      <c r="D42" s="66"/>
      <c r="E42" s="66">
        <v>45.35</v>
      </c>
      <c r="F42" s="8" t="s">
        <v>572</v>
      </c>
      <c r="G42" s="8" t="s">
        <v>33</v>
      </c>
      <c r="M42" s="324"/>
    </row>
    <row r="43" spans="1:13" x14ac:dyDescent="0.2">
      <c r="A43" s="50">
        <f t="shared" si="5"/>
        <v>6</v>
      </c>
      <c r="B43" s="51">
        <v>46190</v>
      </c>
      <c r="C43" s="51">
        <v>46190</v>
      </c>
      <c r="D43" s="66"/>
      <c r="E43" s="66">
        <v>7.9</v>
      </c>
      <c r="F43" s="8" t="s">
        <v>611</v>
      </c>
      <c r="G43" s="8" t="s">
        <v>270</v>
      </c>
      <c r="M43" s="324"/>
    </row>
    <row r="44" spans="1:13" x14ac:dyDescent="0.2">
      <c r="A44" s="50">
        <f t="shared" si="5"/>
        <v>6</v>
      </c>
      <c r="B44" s="51">
        <v>46190</v>
      </c>
      <c r="C44" s="51">
        <v>46190</v>
      </c>
      <c r="D44" s="66"/>
      <c r="E44" s="66">
        <v>45</v>
      </c>
      <c r="F44" s="8" t="s">
        <v>572</v>
      </c>
      <c r="G44" s="8" t="s">
        <v>33</v>
      </c>
      <c r="M44" s="324"/>
    </row>
    <row r="45" spans="1:13" x14ac:dyDescent="0.2">
      <c r="A45" s="50">
        <f t="shared" ref="A45:A49" si="6">MONTH(C45)</f>
        <v>6</v>
      </c>
      <c r="B45" s="51">
        <v>46186</v>
      </c>
      <c r="C45" s="51">
        <v>46188</v>
      </c>
      <c r="D45" s="66"/>
      <c r="E45" s="66">
        <v>9</v>
      </c>
      <c r="F45" s="8" t="s">
        <v>782</v>
      </c>
      <c r="G45" s="8" t="s">
        <v>46</v>
      </c>
      <c r="M45" s="324"/>
    </row>
    <row r="46" spans="1:13" x14ac:dyDescent="0.2">
      <c r="A46" s="50">
        <f t="shared" si="6"/>
        <v>6</v>
      </c>
      <c r="B46" s="51">
        <v>46186</v>
      </c>
      <c r="C46" s="51">
        <v>46188</v>
      </c>
      <c r="D46" s="66"/>
      <c r="E46" s="66">
        <v>4</v>
      </c>
      <c r="F46" s="8" t="s">
        <v>963</v>
      </c>
      <c r="G46" s="8" t="s">
        <v>46</v>
      </c>
      <c r="M46" s="324"/>
    </row>
    <row r="47" spans="1:13" x14ac:dyDescent="0.2">
      <c r="A47" s="50">
        <f t="shared" si="6"/>
        <v>6</v>
      </c>
      <c r="B47" s="51">
        <v>46186</v>
      </c>
      <c r="C47" s="51">
        <v>46188</v>
      </c>
      <c r="D47" s="66"/>
      <c r="E47" s="66">
        <v>76.53</v>
      </c>
      <c r="F47" s="8" t="s">
        <v>675</v>
      </c>
      <c r="G47" s="8" t="s">
        <v>145</v>
      </c>
      <c r="M47" s="324"/>
    </row>
    <row r="48" spans="1:13" x14ac:dyDescent="0.2">
      <c r="A48" s="50">
        <f t="shared" si="6"/>
        <v>6</v>
      </c>
      <c r="B48" s="51">
        <v>46186</v>
      </c>
      <c r="C48" s="51">
        <v>46188</v>
      </c>
      <c r="D48" s="66"/>
      <c r="E48" s="66">
        <v>3.8</v>
      </c>
      <c r="F48" s="8" t="s">
        <v>751</v>
      </c>
      <c r="G48" s="8" t="s">
        <v>46</v>
      </c>
      <c r="M48" s="324"/>
    </row>
    <row r="49" spans="1:13" x14ac:dyDescent="0.2">
      <c r="A49" s="50">
        <f t="shared" si="6"/>
        <v>6</v>
      </c>
      <c r="B49" s="51">
        <v>46185</v>
      </c>
      <c r="C49" s="51">
        <v>46185</v>
      </c>
      <c r="D49" s="66"/>
      <c r="E49" s="66">
        <v>100</v>
      </c>
      <c r="F49" s="8" t="s">
        <v>588</v>
      </c>
      <c r="G49" s="8" t="s">
        <v>84</v>
      </c>
      <c r="M49" s="324"/>
    </row>
    <row r="50" spans="1:13" x14ac:dyDescent="0.2">
      <c r="A50" s="50">
        <f t="shared" ref="A50" si="7">MONTH(C50)</f>
        <v>6</v>
      </c>
      <c r="B50" s="51">
        <v>46183</v>
      </c>
      <c r="C50" s="51">
        <v>46183</v>
      </c>
      <c r="D50" s="66"/>
      <c r="E50" s="66">
        <v>5.9</v>
      </c>
      <c r="F50" s="8" t="s">
        <v>875</v>
      </c>
      <c r="G50" s="8" t="s">
        <v>46</v>
      </c>
      <c r="M50" s="324"/>
    </row>
    <row r="51" spans="1:13" x14ac:dyDescent="0.2">
      <c r="A51" s="50">
        <f t="shared" ref="A51:A54" si="8">MONTH(C51)</f>
        <v>6</v>
      </c>
      <c r="B51" s="51">
        <v>46182</v>
      </c>
      <c r="C51" s="51">
        <v>46182</v>
      </c>
      <c r="D51" s="66"/>
      <c r="E51" s="66">
        <v>12.29</v>
      </c>
      <c r="F51" s="8" t="s">
        <v>955</v>
      </c>
      <c r="G51" s="8" t="s">
        <v>232</v>
      </c>
      <c r="M51" s="324"/>
    </row>
    <row r="52" spans="1:13" x14ac:dyDescent="0.2">
      <c r="A52" s="50">
        <f t="shared" si="8"/>
        <v>6</v>
      </c>
      <c r="B52" s="51">
        <v>46182</v>
      </c>
      <c r="C52" s="51">
        <v>46182</v>
      </c>
      <c r="D52" s="66"/>
      <c r="E52" s="66">
        <v>7.5</v>
      </c>
      <c r="F52" s="8" t="s">
        <v>709</v>
      </c>
      <c r="G52" s="8" t="s">
        <v>46</v>
      </c>
      <c r="M52" s="324"/>
    </row>
    <row r="53" spans="1:13" x14ac:dyDescent="0.2">
      <c r="A53" s="50">
        <f t="shared" si="8"/>
        <v>6</v>
      </c>
      <c r="B53" s="51">
        <v>46179</v>
      </c>
      <c r="C53" s="51">
        <v>46181</v>
      </c>
      <c r="D53" s="66"/>
      <c r="E53" s="66">
        <v>3.7</v>
      </c>
      <c r="F53" s="8" t="s">
        <v>941</v>
      </c>
      <c r="G53" s="8" t="s">
        <v>35</v>
      </c>
      <c r="M53" s="324"/>
    </row>
    <row r="54" spans="1:13" x14ac:dyDescent="0.2">
      <c r="A54" s="50">
        <f t="shared" si="8"/>
        <v>6</v>
      </c>
      <c r="B54" s="51">
        <v>46181</v>
      </c>
      <c r="C54" s="51">
        <v>46181</v>
      </c>
      <c r="D54" s="66"/>
      <c r="E54" s="66">
        <v>3.1</v>
      </c>
      <c r="F54" s="8" t="s">
        <v>586</v>
      </c>
      <c r="G54" s="8" t="s">
        <v>74</v>
      </c>
      <c r="M54" s="324"/>
    </row>
    <row r="55" spans="1:13" x14ac:dyDescent="0.2">
      <c r="A55" s="50">
        <f t="shared" ref="A55:A65" si="9">MONTH(C55)</f>
        <v>6</v>
      </c>
      <c r="B55" s="51">
        <v>46180</v>
      </c>
      <c r="C55" s="51">
        <v>46181</v>
      </c>
      <c r="D55" s="66"/>
      <c r="E55" s="66">
        <v>17.89</v>
      </c>
      <c r="F55" s="8" t="s">
        <v>669</v>
      </c>
      <c r="G55" s="8" t="s">
        <v>32</v>
      </c>
      <c r="M55" s="324"/>
    </row>
    <row r="56" spans="1:13" x14ac:dyDescent="0.2">
      <c r="A56" s="50">
        <f t="shared" si="9"/>
        <v>6</v>
      </c>
      <c r="B56" s="51">
        <v>46180</v>
      </c>
      <c r="C56" s="51">
        <v>46181</v>
      </c>
      <c r="D56" s="66"/>
      <c r="E56" s="66">
        <v>4.8</v>
      </c>
      <c r="F56" s="8" t="s">
        <v>677</v>
      </c>
      <c r="G56" s="8" t="s">
        <v>46</v>
      </c>
      <c r="M56" s="324"/>
    </row>
    <row r="57" spans="1:13" x14ac:dyDescent="0.2">
      <c r="A57" s="50">
        <f t="shared" si="9"/>
        <v>6</v>
      </c>
      <c r="B57" s="51">
        <v>46180</v>
      </c>
      <c r="C57" s="51">
        <v>46181</v>
      </c>
      <c r="D57" s="66"/>
      <c r="E57" s="66">
        <v>8.8000000000000007</v>
      </c>
      <c r="F57" s="8" t="s">
        <v>677</v>
      </c>
      <c r="G57" s="8" t="s">
        <v>46</v>
      </c>
      <c r="M57" s="324"/>
    </row>
    <row r="58" spans="1:13" x14ac:dyDescent="0.2">
      <c r="A58" s="50">
        <f t="shared" si="9"/>
        <v>6</v>
      </c>
      <c r="B58" s="51">
        <v>46179</v>
      </c>
      <c r="C58" s="51">
        <v>46181</v>
      </c>
      <c r="D58" s="66"/>
      <c r="E58" s="66">
        <v>39</v>
      </c>
      <c r="F58" s="8" t="s">
        <v>956</v>
      </c>
      <c r="G58" s="8" t="s">
        <v>47</v>
      </c>
      <c r="M58" s="324"/>
    </row>
    <row r="59" spans="1:13" x14ac:dyDescent="0.2">
      <c r="A59" s="50">
        <f t="shared" si="9"/>
        <v>6</v>
      </c>
      <c r="B59" s="51">
        <v>46176</v>
      </c>
      <c r="C59" s="51">
        <v>46178</v>
      </c>
      <c r="D59" s="66"/>
      <c r="E59" s="66">
        <v>64.64</v>
      </c>
      <c r="F59" s="8" t="s">
        <v>941</v>
      </c>
      <c r="G59" s="8" t="s">
        <v>35</v>
      </c>
      <c r="M59" s="324"/>
    </row>
    <row r="60" spans="1:13" x14ac:dyDescent="0.2">
      <c r="A60" s="50">
        <f t="shared" si="9"/>
        <v>6</v>
      </c>
      <c r="B60" s="51">
        <v>46178</v>
      </c>
      <c r="C60" s="51">
        <v>46178</v>
      </c>
      <c r="D60" s="66"/>
      <c r="E60" s="66">
        <v>7.99</v>
      </c>
      <c r="F60" s="8" t="s">
        <v>916</v>
      </c>
      <c r="G60" s="8" t="s">
        <v>32</v>
      </c>
      <c r="M60" s="324"/>
    </row>
    <row r="61" spans="1:13" x14ac:dyDescent="0.2">
      <c r="A61" s="50">
        <f t="shared" si="9"/>
        <v>6</v>
      </c>
      <c r="B61" s="51">
        <v>46178</v>
      </c>
      <c r="C61" s="51">
        <v>46178</v>
      </c>
      <c r="D61" s="66"/>
      <c r="E61" s="66">
        <v>2.99</v>
      </c>
      <c r="F61" s="8" t="s">
        <v>954</v>
      </c>
      <c r="G61" s="8" t="s">
        <v>187</v>
      </c>
      <c r="M61" s="324"/>
    </row>
    <row r="62" spans="1:13" x14ac:dyDescent="0.2">
      <c r="A62" s="50">
        <f t="shared" si="9"/>
        <v>6</v>
      </c>
      <c r="B62" s="51">
        <v>46177</v>
      </c>
      <c r="C62" s="51">
        <v>46177</v>
      </c>
      <c r="D62" s="66"/>
      <c r="E62" s="66">
        <v>50</v>
      </c>
      <c r="F62" s="8" t="s">
        <v>675</v>
      </c>
      <c r="G62" s="8" t="s">
        <v>145</v>
      </c>
      <c r="M62" s="324"/>
    </row>
    <row r="63" spans="1:13" x14ac:dyDescent="0.2">
      <c r="A63" s="50">
        <f t="shared" si="9"/>
        <v>6</v>
      </c>
      <c r="B63" s="51">
        <v>46176</v>
      </c>
      <c r="C63" s="51">
        <v>46176</v>
      </c>
      <c r="D63" s="66"/>
      <c r="E63" s="66">
        <v>55.99</v>
      </c>
      <c r="F63" s="8" t="s">
        <v>942</v>
      </c>
      <c r="G63" s="8" t="s">
        <v>33</v>
      </c>
      <c r="M63" s="324"/>
    </row>
    <row r="64" spans="1:13" x14ac:dyDescent="0.2">
      <c r="A64" s="50">
        <f t="shared" si="9"/>
        <v>6</v>
      </c>
      <c r="B64" s="51">
        <v>46176</v>
      </c>
      <c r="C64" s="51">
        <v>46176</v>
      </c>
      <c r="D64" s="66"/>
      <c r="E64" s="66">
        <v>5.9</v>
      </c>
      <c r="F64" s="8" t="s">
        <v>875</v>
      </c>
      <c r="G64" s="8" t="s">
        <v>46</v>
      </c>
      <c r="M64" s="324"/>
    </row>
    <row r="65" spans="1:13" x14ac:dyDescent="0.2">
      <c r="A65" s="50">
        <f t="shared" si="9"/>
        <v>6</v>
      </c>
      <c r="B65" s="51">
        <v>46174</v>
      </c>
      <c r="C65" s="51">
        <v>46174</v>
      </c>
      <c r="D65" s="66"/>
      <c r="E65" s="66">
        <v>24.27</v>
      </c>
      <c r="F65" s="8" t="s">
        <v>612</v>
      </c>
      <c r="G65" s="8" t="s">
        <v>38</v>
      </c>
      <c r="M65" s="324"/>
    </row>
    <row r="66" spans="1:13" x14ac:dyDescent="0.2">
      <c r="A66" s="50">
        <f t="shared" ref="A66" si="10">MONTH(C66)</f>
        <v>6</v>
      </c>
      <c r="B66" s="51">
        <v>46173</v>
      </c>
      <c r="C66" s="51">
        <v>46174</v>
      </c>
      <c r="D66" s="66">
        <v>3000</v>
      </c>
      <c r="E66" s="66"/>
      <c r="F66" s="8" t="s">
        <v>569</v>
      </c>
      <c r="G66" s="8" t="s">
        <v>45</v>
      </c>
      <c r="M66" s="324"/>
    </row>
    <row r="67" spans="1:13" x14ac:dyDescent="0.2">
      <c r="A67" s="50">
        <f t="shared" ref="A67:A69" si="11">MONTH(C67)</f>
        <v>6</v>
      </c>
      <c r="B67" s="51">
        <v>46172</v>
      </c>
      <c r="C67" s="51">
        <v>46174</v>
      </c>
      <c r="D67" s="66"/>
      <c r="E67" s="66">
        <v>600</v>
      </c>
      <c r="F67" s="8" t="s">
        <v>650</v>
      </c>
      <c r="G67" s="8" t="s">
        <v>249</v>
      </c>
      <c r="M67" s="324"/>
    </row>
    <row r="68" spans="1:13" x14ac:dyDescent="0.2">
      <c r="A68" s="50">
        <f t="shared" si="11"/>
        <v>6</v>
      </c>
      <c r="B68" s="51">
        <v>46172</v>
      </c>
      <c r="C68" s="51">
        <v>46174</v>
      </c>
      <c r="D68" s="66"/>
      <c r="E68" s="66">
        <v>149.30000000000001</v>
      </c>
      <c r="F68" s="8" t="s">
        <v>957</v>
      </c>
      <c r="G68" s="8" t="s">
        <v>123</v>
      </c>
      <c r="M68" s="324"/>
    </row>
    <row r="69" spans="1:13" x14ac:dyDescent="0.2">
      <c r="A69" s="50">
        <f t="shared" si="11"/>
        <v>6</v>
      </c>
      <c r="B69" s="51">
        <v>46172</v>
      </c>
      <c r="C69" s="51">
        <v>46174</v>
      </c>
      <c r="D69" s="66"/>
      <c r="E69" s="66">
        <v>6.4</v>
      </c>
      <c r="F69" s="8" t="s">
        <v>677</v>
      </c>
      <c r="G69" s="8" t="s">
        <v>46</v>
      </c>
      <c r="M69" s="324"/>
    </row>
    <row r="70" spans="1:13" x14ac:dyDescent="0.2">
      <c r="A70" s="50">
        <f t="shared" ref="A70:A76" si="12">MONTH(C70)</f>
        <v>5</v>
      </c>
      <c r="B70" s="51">
        <v>46171</v>
      </c>
      <c r="C70" s="51">
        <v>46171</v>
      </c>
      <c r="D70" s="66"/>
      <c r="E70" s="66">
        <v>5.9</v>
      </c>
      <c r="F70" s="8" t="s">
        <v>912</v>
      </c>
      <c r="G70" s="8" t="s">
        <v>46</v>
      </c>
      <c r="M70" s="324"/>
    </row>
    <row r="71" spans="1:13" x14ac:dyDescent="0.2">
      <c r="A71" s="50">
        <f t="shared" si="12"/>
        <v>5</v>
      </c>
      <c r="B71" s="51">
        <v>46170</v>
      </c>
      <c r="C71" s="51">
        <v>46170</v>
      </c>
      <c r="D71" s="66"/>
      <c r="E71" s="66">
        <v>48.46</v>
      </c>
      <c r="F71" s="8" t="s">
        <v>554</v>
      </c>
      <c r="G71" s="8" t="s">
        <v>32</v>
      </c>
      <c r="M71" s="324"/>
    </row>
    <row r="72" spans="1:13" x14ac:dyDescent="0.2">
      <c r="A72" s="50">
        <f t="shared" si="12"/>
        <v>5</v>
      </c>
      <c r="B72" s="51">
        <v>46168</v>
      </c>
      <c r="C72" s="51">
        <v>46170</v>
      </c>
      <c r="D72" s="66"/>
      <c r="E72" s="66">
        <v>1</v>
      </c>
      <c r="F72" s="8" t="s">
        <v>927</v>
      </c>
      <c r="G72" s="8" t="s">
        <v>136</v>
      </c>
      <c r="M72" s="324"/>
    </row>
    <row r="73" spans="1:13" x14ac:dyDescent="0.2">
      <c r="A73" s="50">
        <f t="shared" si="12"/>
        <v>5</v>
      </c>
      <c r="B73" s="51">
        <v>46170</v>
      </c>
      <c r="C73" s="51">
        <v>46170</v>
      </c>
      <c r="D73" s="66"/>
      <c r="E73" s="66">
        <v>5.9</v>
      </c>
      <c r="F73" s="8" t="s">
        <v>875</v>
      </c>
      <c r="G73" s="8" t="s">
        <v>46</v>
      </c>
      <c r="M73" s="324"/>
    </row>
    <row r="74" spans="1:13" x14ac:dyDescent="0.2">
      <c r="A74" s="50">
        <f t="shared" ref="A74" si="13">MONTH(C74)</f>
        <v>5</v>
      </c>
      <c r="B74" s="51">
        <v>46170</v>
      </c>
      <c r="C74" s="51">
        <v>46170</v>
      </c>
      <c r="D74" s="66"/>
      <c r="E74" s="66">
        <v>15</v>
      </c>
      <c r="F74" s="8" t="s">
        <v>579</v>
      </c>
      <c r="G74" s="8" t="s">
        <v>345</v>
      </c>
      <c r="M74" s="324"/>
    </row>
    <row r="75" spans="1:13" x14ac:dyDescent="0.2">
      <c r="A75" s="50">
        <f t="shared" si="12"/>
        <v>5</v>
      </c>
      <c r="B75" s="51">
        <v>46170</v>
      </c>
      <c r="C75" s="51">
        <v>46170</v>
      </c>
      <c r="D75" s="66"/>
      <c r="E75" s="66">
        <f>45-E74</f>
        <v>30</v>
      </c>
      <c r="F75" s="8" t="s">
        <v>579</v>
      </c>
      <c r="G75" s="8" t="s">
        <v>344</v>
      </c>
      <c r="M75" s="324"/>
    </row>
    <row r="76" spans="1:13" x14ac:dyDescent="0.2">
      <c r="A76" s="50">
        <f t="shared" si="12"/>
        <v>5</v>
      </c>
      <c r="B76" s="51">
        <v>46169</v>
      </c>
      <c r="C76" s="51">
        <v>46169</v>
      </c>
      <c r="D76" s="66"/>
      <c r="E76" s="66">
        <v>5.9</v>
      </c>
      <c r="F76" s="8" t="s">
        <v>875</v>
      </c>
      <c r="G76" s="8" t="s">
        <v>46</v>
      </c>
      <c r="M76" s="324"/>
    </row>
    <row r="77" spans="1:13" x14ac:dyDescent="0.2">
      <c r="A77" s="50">
        <f t="shared" ref="A77:A78" si="14">MONTH(C77)</f>
        <v>5</v>
      </c>
      <c r="B77" s="51">
        <v>46168</v>
      </c>
      <c r="C77" s="51">
        <v>46168</v>
      </c>
      <c r="D77" s="66"/>
      <c r="E77" s="66">
        <v>40</v>
      </c>
      <c r="F77" s="8" t="s">
        <v>675</v>
      </c>
      <c r="G77" s="8" t="s">
        <v>145</v>
      </c>
      <c r="M77" s="324"/>
    </row>
    <row r="78" spans="1:13" x14ac:dyDescent="0.2">
      <c r="A78" s="50">
        <f t="shared" si="14"/>
        <v>5</v>
      </c>
      <c r="B78" s="51">
        <v>46168</v>
      </c>
      <c r="C78" s="51">
        <v>46168</v>
      </c>
      <c r="D78" s="66"/>
      <c r="E78" s="66">
        <v>5.6</v>
      </c>
      <c r="F78" s="8" t="s">
        <v>912</v>
      </c>
      <c r="G78" s="8" t="s">
        <v>46</v>
      </c>
      <c r="M78" s="324"/>
    </row>
    <row r="79" spans="1:13" x14ac:dyDescent="0.2">
      <c r="A79" s="50">
        <f t="shared" ref="A79" si="15">MONTH(C79)</f>
        <v>5</v>
      </c>
      <c r="B79" s="51">
        <v>46167</v>
      </c>
      <c r="C79" s="51">
        <v>46167</v>
      </c>
      <c r="D79" s="66"/>
      <c r="E79" s="66">
        <v>10</v>
      </c>
      <c r="F79" s="8" t="s">
        <v>922</v>
      </c>
      <c r="G79" s="8" t="s">
        <v>35</v>
      </c>
      <c r="M79" s="324"/>
    </row>
    <row r="80" spans="1:13" x14ac:dyDescent="0.2">
      <c r="A80" s="50">
        <f t="shared" ref="A80" si="16">MONTH(C80)</f>
        <v>5</v>
      </c>
      <c r="B80" s="51">
        <v>46166</v>
      </c>
      <c r="C80" s="51">
        <v>46167</v>
      </c>
      <c r="D80" s="66"/>
      <c r="E80" s="66">
        <v>15.28</v>
      </c>
      <c r="F80" s="8" t="s">
        <v>669</v>
      </c>
      <c r="G80" s="8" t="s">
        <v>32</v>
      </c>
      <c r="M80" s="324"/>
    </row>
    <row r="81" spans="1:13" x14ac:dyDescent="0.2">
      <c r="A81" s="50">
        <f t="shared" ref="A81:A84" si="17">MONTH(C81)</f>
        <v>5</v>
      </c>
      <c r="B81" s="51">
        <v>46164</v>
      </c>
      <c r="C81" s="51">
        <v>46164</v>
      </c>
      <c r="D81" s="66"/>
      <c r="E81" s="66">
        <v>40.700000000000003</v>
      </c>
      <c r="F81" s="8" t="s">
        <v>676</v>
      </c>
      <c r="G81" s="8" t="s">
        <v>145</v>
      </c>
      <c r="M81" s="324"/>
    </row>
    <row r="82" spans="1:13" x14ac:dyDescent="0.2">
      <c r="A82" s="50">
        <f t="shared" si="17"/>
        <v>5</v>
      </c>
      <c r="B82" s="51">
        <v>46164</v>
      </c>
      <c r="C82" s="51">
        <v>46164</v>
      </c>
      <c r="D82" s="66"/>
      <c r="E82" s="66">
        <v>1</v>
      </c>
      <c r="F82" s="8" t="s">
        <v>914</v>
      </c>
      <c r="G82" s="8" t="s">
        <v>136</v>
      </c>
      <c r="M82" s="324"/>
    </row>
    <row r="83" spans="1:13" x14ac:dyDescent="0.2">
      <c r="A83" s="50">
        <f t="shared" si="17"/>
        <v>5</v>
      </c>
      <c r="B83" s="51">
        <v>46164</v>
      </c>
      <c r="C83" s="51">
        <v>46164</v>
      </c>
      <c r="D83" s="66"/>
      <c r="E83" s="66">
        <v>5.45</v>
      </c>
      <c r="F83" s="8" t="s">
        <v>912</v>
      </c>
      <c r="G83" s="8" t="s">
        <v>46</v>
      </c>
      <c r="M83" s="324"/>
    </row>
    <row r="84" spans="1:13" x14ac:dyDescent="0.2">
      <c r="A84" s="50">
        <f t="shared" si="17"/>
        <v>5</v>
      </c>
      <c r="B84" s="51">
        <v>46163</v>
      </c>
      <c r="C84" s="51">
        <v>46163</v>
      </c>
      <c r="D84" s="66"/>
      <c r="E84" s="66">
        <v>5.45</v>
      </c>
      <c r="F84" s="8" t="s">
        <v>875</v>
      </c>
      <c r="G84" s="8" t="s">
        <v>46</v>
      </c>
      <c r="M84" s="324"/>
    </row>
    <row r="85" spans="1:13" x14ac:dyDescent="0.2">
      <c r="A85" s="50">
        <f t="shared" ref="A85:A88" si="18">MONTH(C85)</f>
        <v>5</v>
      </c>
      <c r="B85" s="51">
        <v>46162</v>
      </c>
      <c r="C85" s="51">
        <v>46162</v>
      </c>
      <c r="D85" s="66"/>
      <c r="E85" s="66">
        <v>100</v>
      </c>
      <c r="F85" s="8" t="s">
        <v>570</v>
      </c>
      <c r="G85" s="8" t="s">
        <v>45</v>
      </c>
      <c r="M85" s="324"/>
    </row>
    <row r="86" spans="1:13" x14ac:dyDescent="0.2">
      <c r="A86" s="50">
        <f t="shared" si="18"/>
        <v>5</v>
      </c>
      <c r="B86" s="51">
        <v>46159</v>
      </c>
      <c r="C86" s="51">
        <v>46161</v>
      </c>
      <c r="D86" s="66"/>
      <c r="E86" s="66">
        <v>9</v>
      </c>
      <c r="F86" s="8" t="s">
        <v>910</v>
      </c>
      <c r="G86" s="8" t="s">
        <v>243</v>
      </c>
      <c r="I86" s="50" t="s">
        <v>759</v>
      </c>
      <c r="M86" s="324"/>
    </row>
    <row r="87" spans="1:13" x14ac:dyDescent="0.2">
      <c r="A87" s="50">
        <f t="shared" si="18"/>
        <v>5</v>
      </c>
      <c r="B87" s="51">
        <v>46161</v>
      </c>
      <c r="C87" s="51">
        <v>46161</v>
      </c>
      <c r="D87" s="66"/>
      <c r="E87" s="66">
        <v>0.49</v>
      </c>
      <c r="F87" s="8" t="s">
        <v>915</v>
      </c>
      <c r="G87" s="8" t="s">
        <v>113</v>
      </c>
      <c r="I87" s="50" t="s">
        <v>759</v>
      </c>
      <c r="M87" s="324"/>
    </row>
    <row r="88" spans="1:13" x14ac:dyDescent="0.2">
      <c r="A88" s="50">
        <f t="shared" si="18"/>
        <v>5</v>
      </c>
      <c r="B88" s="51">
        <v>46160</v>
      </c>
      <c r="C88" s="51">
        <v>46160</v>
      </c>
      <c r="D88" s="66"/>
      <c r="E88" s="66">
        <v>10.8</v>
      </c>
      <c r="F88" s="8" t="s">
        <v>911</v>
      </c>
      <c r="G88" s="8" t="s">
        <v>136</v>
      </c>
      <c r="M88" s="324"/>
    </row>
    <row r="89" spans="1:13" x14ac:dyDescent="0.2">
      <c r="A89" s="50">
        <f t="shared" ref="A89:A98" si="19">MONTH(C89)</f>
        <v>5</v>
      </c>
      <c r="B89" s="51">
        <v>46160</v>
      </c>
      <c r="C89" s="51">
        <v>46160</v>
      </c>
      <c r="D89" s="66"/>
      <c r="E89" s="66">
        <v>834.99</v>
      </c>
      <c r="F89" s="8" t="s">
        <v>874</v>
      </c>
      <c r="G89" s="8" t="s">
        <v>189</v>
      </c>
      <c r="M89" s="324"/>
    </row>
    <row r="90" spans="1:13" x14ac:dyDescent="0.2">
      <c r="A90" s="50">
        <f t="shared" si="19"/>
        <v>5</v>
      </c>
      <c r="B90" s="51">
        <v>46159</v>
      </c>
      <c r="C90" s="51">
        <v>46160</v>
      </c>
      <c r="D90" s="66"/>
      <c r="E90" s="66">
        <v>20.8</v>
      </c>
      <c r="F90" s="8" t="s">
        <v>559</v>
      </c>
      <c r="G90" s="8" t="s">
        <v>47</v>
      </c>
      <c r="M90" s="324"/>
    </row>
    <row r="91" spans="1:13" x14ac:dyDescent="0.2">
      <c r="A91" s="50">
        <f t="shared" si="19"/>
        <v>5</v>
      </c>
      <c r="B91" s="51">
        <v>46158</v>
      </c>
      <c r="C91" s="51">
        <v>46160</v>
      </c>
      <c r="D91" s="66"/>
      <c r="E91" s="66">
        <v>40</v>
      </c>
      <c r="F91" s="8" t="s">
        <v>676</v>
      </c>
      <c r="G91" s="8" t="s">
        <v>145</v>
      </c>
      <c r="M91" s="324"/>
    </row>
    <row r="92" spans="1:13" x14ac:dyDescent="0.2">
      <c r="A92" s="50">
        <f t="shared" si="19"/>
        <v>5</v>
      </c>
      <c r="B92" s="51">
        <v>46158</v>
      </c>
      <c r="C92" s="51">
        <v>46160</v>
      </c>
      <c r="D92" s="66"/>
      <c r="E92" s="66">
        <v>430</v>
      </c>
      <c r="F92" s="8" t="s">
        <v>650</v>
      </c>
      <c r="G92" s="8" t="s">
        <v>249</v>
      </c>
      <c r="M92" s="324"/>
    </row>
    <row r="93" spans="1:13" x14ac:dyDescent="0.2">
      <c r="A93" s="50">
        <f t="shared" si="19"/>
        <v>5</v>
      </c>
      <c r="B93" s="51">
        <v>46158</v>
      </c>
      <c r="C93" s="51">
        <v>46160</v>
      </c>
      <c r="D93" s="66"/>
      <c r="E93" s="66">
        <v>6.4</v>
      </c>
      <c r="F93" s="8" t="s">
        <v>677</v>
      </c>
      <c r="G93" s="8" t="s">
        <v>46</v>
      </c>
      <c r="M93" s="324"/>
    </row>
    <row r="94" spans="1:13" x14ac:dyDescent="0.2">
      <c r="A94" s="50">
        <f t="shared" si="19"/>
        <v>5</v>
      </c>
      <c r="B94" s="51">
        <v>46157</v>
      </c>
      <c r="C94" s="51">
        <v>46157</v>
      </c>
      <c r="D94" s="66"/>
      <c r="E94" s="66">
        <v>100</v>
      </c>
      <c r="F94" s="8" t="s">
        <v>710</v>
      </c>
      <c r="G94" s="8" t="s">
        <v>84</v>
      </c>
      <c r="M94" s="324"/>
    </row>
    <row r="95" spans="1:13" x14ac:dyDescent="0.2">
      <c r="A95" s="50">
        <f t="shared" si="19"/>
        <v>5</v>
      </c>
      <c r="B95" s="51">
        <v>46157</v>
      </c>
      <c r="C95" s="51">
        <v>46157</v>
      </c>
      <c r="D95" s="66"/>
      <c r="E95" s="66">
        <v>1.8</v>
      </c>
      <c r="F95" s="8" t="s">
        <v>709</v>
      </c>
      <c r="G95" s="8" t="s">
        <v>46</v>
      </c>
      <c r="M95" s="324"/>
    </row>
    <row r="96" spans="1:13" x14ac:dyDescent="0.2">
      <c r="A96" s="50">
        <f t="shared" si="19"/>
        <v>5</v>
      </c>
      <c r="B96" s="51">
        <v>46156</v>
      </c>
      <c r="C96" s="51">
        <v>46156</v>
      </c>
      <c r="D96" s="66"/>
      <c r="E96" s="66">
        <v>45.35</v>
      </c>
      <c r="F96" s="8" t="s">
        <v>572</v>
      </c>
      <c r="G96" s="8" t="s">
        <v>33</v>
      </c>
      <c r="M96" s="324"/>
    </row>
    <row r="97" spans="1:13" x14ac:dyDescent="0.2">
      <c r="A97" s="50">
        <f t="shared" si="19"/>
        <v>5</v>
      </c>
      <c r="B97" s="51">
        <v>46156</v>
      </c>
      <c r="C97" s="51">
        <v>46156</v>
      </c>
      <c r="D97" s="66"/>
      <c r="E97" s="66">
        <v>5.45</v>
      </c>
      <c r="F97" s="8" t="s">
        <v>875</v>
      </c>
      <c r="G97" s="8" t="s">
        <v>46</v>
      </c>
      <c r="M97" s="324"/>
    </row>
    <row r="98" spans="1:13" x14ac:dyDescent="0.2">
      <c r="A98" s="50">
        <f t="shared" si="19"/>
        <v>5</v>
      </c>
      <c r="B98" s="51">
        <v>46155</v>
      </c>
      <c r="C98" s="51">
        <v>46155</v>
      </c>
      <c r="D98" s="66"/>
      <c r="E98" s="66">
        <v>5.45</v>
      </c>
      <c r="F98" s="8" t="s">
        <v>875</v>
      </c>
      <c r="G98" s="8" t="s">
        <v>46</v>
      </c>
      <c r="M98" s="324"/>
    </row>
    <row r="99" spans="1:13" x14ac:dyDescent="0.2">
      <c r="A99" s="50">
        <f t="shared" ref="A99:A101" si="20">MONTH(C99)</f>
        <v>5</v>
      </c>
      <c r="B99" s="51">
        <v>46155</v>
      </c>
      <c r="C99" s="51">
        <v>46155</v>
      </c>
      <c r="D99" s="66"/>
      <c r="E99" s="66">
        <v>15.71</v>
      </c>
      <c r="F99" s="8" t="s">
        <v>612</v>
      </c>
      <c r="G99" s="8" t="s">
        <v>38</v>
      </c>
      <c r="M99" s="324"/>
    </row>
    <row r="100" spans="1:13" x14ac:dyDescent="0.2">
      <c r="A100" s="50">
        <f t="shared" si="20"/>
        <v>5</v>
      </c>
      <c r="B100" s="51">
        <v>46154</v>
      </c>
      <c r="C100" s="51">
        <v>46154</v>
      </c>
      <c r="D100" s="66"/>
      <c r="E100" s="66">
        <v>7.99</v>
      </c>
      <c r="F100" s="8" t="s">
        <v>916</v>
      </c>
      <c r="G100" s="8" t="s">
        <v>32</v>
      </c>
      <c r="M100" s="324"/>
    </row>
    <row r="101" spans="1:13" x14ac:dyDescent="0.2">
      <c r="A101" s="50">
        <f t="shared" si="20"/>
        <v>5</v>
      </c>
      <c r="B101" s="51">
        <v>46154</v>
      </c>
      <c r="C101" s="51">
        <v>46154</v>
      </c>
      <c r="D101" s="66"/>
      <c r="E101" s="66">
        <v>30</v>
      </c>
      <c r="F101" s="8" t="s">
        <v>675</v>
      </c>
      <c r="G101" s="8" t="s">
        <v>145</v>
      </c>
      <c r="M101" s="324"/>
    </row>
    <row r="102" spans="1:13" x14ac:dyDescent="0.2">
      <c r="A102" s="50">
        <f t="shared" ref="A102:A104" si="21">MONTH(C102)</f>
        <v>5</v>
      </c>
      <c r="B102" s="51">
        <v>46153</v>
      </c>
      <c r="C102" s="51">
        <v>46153</v>
      </c>
      <c r="D102" s="66"/>
      <c r="E102" s="66">
        <v>5.45</v>
      </c>
      <c r="F102" s="8" t="s">
        <v>912</v>
      </c>
      <c r="G102" s="8" t="s">
        <v>46</v>
      </c>
      <c r="M102" s="324"/>
    </row>
    <row r="103" spans="1:13" x14ac:dyDescent="0.2">
      <c r="A103" s="50">
        <f t="shared" si="21"/>
        <v>5</v>
      </c>
      <c r="B103" s="51">
        <v>46152</v>
      </c>
      <c r="C103" s="51">
        <v>46153</v>
      </c>
      <c r="D103" s="66"/>
      <c r="E103" s="66">
        <v>40.1</v>
      </c>
      <c r="F103" s="8" t="s">
        <v>554</v>
      </c>
      <c r="G103" s="8" t="s">
        <v>32</v>
      </c>
      <c r="M103" s="324"/>
    </row>
    <row r="104" spans="1:13" x14ac:dyDescent="0.2">
      <c r="A104" s="50">
        <f t="shared" si="21"/>
        <v>5</v>
      </c>
      <c r="B104" s="51">
        <v>46150</v>
      </c>
      <c r="C104" s="51">
        <v>46150</v>
      </c>
      <c r="D104" s="66"/>
      <c r="E104" s="66">
        <v>5.45</v>
      </c>
      <c r="F104" s="8" t="s">
        <v>875</v>
      </c>
      <c r="G104" s="8" t="s">
        <v>46</v>
      </c>
      <c r="M104" s="324"/>
    </row>
    <row r="105" spans="1:13" x14ac:dyDescent="0.2">
      <c r="A105" s="50">
        <f t="shared" ref="A105:A110" si="22">MONTH(C105)</f>
        <v>5</v>
      </c>
      <c r="B105" s="51">
        <v>46150</v>
      </c>
      <c r="C105" s="51">
        <v>46150</v>
      </c>
      <c r="D105" s="66"/>
      <c r="E105" s="66">
        <v>66.87</v>
      </c>
      <c r="F105" s="8" t="s">
        <v>874</v>
      </c>
      <c r="G105" s="8" t="s">
        <v>231</v>
      </c>
      <c r="M105" s="324"/>
    </row>
    <row r="106" spans="1:13" x14ac:dyDescent="0.2">
      <c r="A106" s="50">
        <f t="shared" si="22"/>
        <v>5</v>
      </c>
      <c r="B106" s="51">
        <v>46149</v>
      </c>
      <c r="C106" s="51">
        <v>46149</v>
      </c>
      <c r="D106" s="66"/>
      <c r="E106" s="66">
        <v>3.99</v>
      </c>
      <c r="F106" s="8" t="s">
        <v>916</v>
      </c>
      <c r="G106" s="8" t="s">
        <v>32</v>
      </c>
      <c r="M106" s="324"/>
    </row>
    <row r="107" spans="1:13" x14ac:dyDescent="0.2">
      <c r="A107" s="50">
        <f t="shared" si="22"/>
        <v>5</v>
      </c>
      <c r="B107" s="51">
        <v>46149</v>
      </c>
      <c r="C107" s="51">
        <v>46149</v>
      </c>
      <c r="D107" s="66"/>
      <c r="E107" s="66">
        <v>5.45</v>
      </c>
      <c r="F107" s="8" t="s">
        <v>912</v>
      </c>
      <c r="G107" s="8" t="s">
        <v>46</v>
      </c>
      <c r="M107" s="324"/>
    </row>
    <row r="108" spans="1:13" x14ac:dyDescent="0.2">
      <c r="A108" s="50">
        <f t="shared" si="22"/>
        <v>5</v>
      </c>
      <c r="B108" s="51">
        <v>46148</v>
      </c>
      <c r="C108" s="51">
        <v>46148</v>
      </c>
      <c r="D108" s="66"/>
      <c r="E108" s="66">
        <v>5.45</v>
      </c>
      <c r="F108" s="8" t="s">
        <v>875</v>
      </c>
      <c r="G108" s="8" t="s">
        <v>46</v>
      </c>
      <c r="M108" s="324"/>
    </row>
    <row r="109" spans="1:13" x14ac:dyDescent="0.2">
      <c r="A109" s="50">
        <f t="shared" si="22"/>
        <v>5</v>
      </c>
      <c r="B109" s="51">
        <v>46148</v>
      </c>
      <c r="C109" s="51">
        <v>46148</v>
      </c>
      <c r="D109" s="66"/>
      <c r="E109" s="66">
        <v>40</v>
      </c>
      <c r="F109" s="8" t="s">
        <v>675</v>
      </c>
      <c r="G109" s="8" t="s">
        <v>145</v>
      </c>
      <c r="M109" s="324"/>
    </row>
    <row r="110" spans="1:13" x14ac:dyDescent="0.2">
      <c r="A110" s="50">
        <f t="shared" si="22"/>
        <v>5</v>
      </c>
      <c r="B110" s="51">
        <v>46144</v>
      </c>
      <c r="C110" s="51">
        <v>46147</v>
      </c>
      <c r="D110" s="66"/>
      <c r="E110" s="66">
        <v>20</v>
      </c>
      <c r="F110" s="8" t="s">
        <v>876</v>
      </c>
      <c r="G110" s="8" t="s">
        <v>46</v>
      </c>
      <c r="M110" s="324"/>
    </row>
    <row r="111" spans="1:13" x14ac:dyDescent="0.2">
      <c r="A111" s="50">
        <f t="shared" ref="A111:A113" si="23">MONTH(C111)</f>
        <v>5</v>
      </c>
      <c r="B111" s="51">
        <v>46143</v>
      </c>
      <c r="C111" s="51">
        <v>46146</v>
      </c>
      <c r="D111" s="66"/>
      <c r="E111" s="66">
        <v>9.3000000000000007</v>
      </c>
      <c r="F111" s="8" t="s">
        <v>864</v>
      </c>
      <c r="G111" s="8" t="s">
        <v>46</v>
      </c>
      <c r="M111" s="324"/>
    </row>
    <row r="112" spans="1:13" x14ac:dyDescent="0.2">
      <c r="A112" s="50">
        <f t="shared" si="23"/>
        <v>5</v>
      </c>
      <c r="B112" s="51">
        <v>46142</v>
      </c>
      <c r="C112" s="51">
        <v>46146</v>
      </c>
      <c r="D112" s="66"/>
      <c r="E112" s="66">
        <v>5.0999999999999996</v>
      </c>
      <c r="F112" s="8" t="s">
        <v>865</v>
      </c>
      <c r="G112" s="8" t="s">
        <v>46</v>
      </c>
      <c r="M112" s="324"/>
    </row>
    <row r="113" spans="1:13" x14ac:dyDescent="0.2">
      <c r="A113" s="50">
        <f t="shared" si="23"/>
        <v>5</v>
      </c>
      <c r="B113" s="51">
        <v>46146</v>
      </c>
      <c r="C113" s="51">
        <v>46146</v>
      </c>
      <c r="D113" s="66"/>
      <c r="E113" s="66">
        <v>79.62</v>
      </c>
      <c r="F113" s="8" t="s">
        <v>612</v>
      </c>
      <c r="G113" s="8" t="s">
        <v>38</v>
      </c>
      <c r="M113" s="324"/>
    </row>
    <row r="114" spans="1:13" x14ac:dyDescent="0.2">
      <c r="A114" s="50">
        <f t="shared" ref="A114:A126" si="24">MONTH(C114)</f>
        <v>5</v>
      </c>
      <c r="B114" s="51">
        <v>46143</v>
      </c>
      <c r="C114" s="51">
        <v>46146</v>
      </c>
      <c r="D114" s="66"/>
      <c r="E114" s="66">
        <v>7.99</v>
      </c>
      <c r="F114" s="8" t="s">
        <v>916</v>
      </c>
      <c r="G114" s="8" t="s">
        <v>32</v>
      </c>
      <c r="M114" s="324"/>
    </row>
    <row r="115" spans="1:13" x14ac:dyDescent="0.2">
      <c r="A115" s="50">
        <f t="shared" si="24"/>
        <v>5</v>
      </c>
      <c r="B115" s="51">
        <v>46143</v>
      </c>
      <c r="C115" s="51">
        <v>46146</v>
      </c>
      <c r="D115" s="66"/>
      <c r="E115" s="66">
        <v>3.5</v>
      </c>
      <c r="F115" s="8" t="s">
        <v>912</v>
      </c>
      <c r="G115" s="8" t="s">
        <v>46</v>
      </c>
      <c r="M115" s="324"/>
    </row>
    <row r="116" spans="1:13" x14ac:dyDescent="0.2">
      <c r="A116" s="50">
        <f t="shared" si="24"/>
        <v>4</v>
      </c>
      <c r="B116" s="51">
        <v>46142</v>
      </c>
      <c r="C116" s="51">
        <v>46142</v>
      </c>
      <c r="D116" s="66"/>
      <c r="E116" s="66">
        <v>30</v>
      </c>
      <c r="F116" s="8" t="s">
        <v>675</v>
      </c>
      <c r="G116" s="8" t="s">
        <v>145</v>
      </c>
      <c r="M116" s="324"/>
    </row>
    <row r="117" spans="1:13" x14ac:dyDescent="0.2">
      <c r="A117" s="50">
        <f t="shared" si="24"/>
        <v>4</v>
      </c>
      <c r="B117" s="51">
        <v>46142</v>
      </c>
      <c r="C117" s="51">
        <v>46142</v>
      </c>
      <c r="D117" s="66"/>
      <c r="E117" s="66">
        <v>3.5</v>
      </c>
      <c r="F117" s="8" t="s">
        <v>912</v>
      </c>
      <c r="G117" s="8" t="s">
        <v>46</v>
      </c>
      <c r="M117" s="324"/>
    </row>
    <row r="118" spans="1:13" x14ac:dyDescent="0.2">
      <c r="A118" s="50">
        <f t="shared" si="24"/>
        <v>4</v>
      </c>
      <c r="B118" s="51">
        <v>46141</v>
      </c>
      <c r="C118" s="51">
        <v>46141</v>
      </c>
      <c r="D118" s="66"/>
      <c r="E118" s="66">
        <v>45</v>
      </c>
      <c r="F118" s="8" t="s">
        <v>572</v>
      </c>
      <c r="G118" s="8" t="s">
        <v>33</v>
      </c>
      <c r="M118" s="324"/>
    </row>
    <row r="119" spans="1:13" x14ac:dyDescent="0.2">
      <c r="A119" s="50">
        <f t="shared" si="24"/>
        <v>4</v>
      </c>
      <c r="B119" s="51">
        <v>46141</v>
      </c>
      <c r="C119" s="51">
        <v>46141</v>
      </c>
      <c r="D119" s="66"/>
      <c r="E119" s="66">
        <v>149.30000000000001</v>
      </c>
      <c r="F119" s="8" t="s">
        <v>580</v>
      </c>
      <c r="G119" s="8" t="s">
        <v>123</v>
      </c>
      <c r="M119" s="324"/>
    </row>
    <row r="120" spans="1:13" x14ac:dyDescent="0.2">
      <c r="A120" s="50">
        <f t="shared" ref="A120" si="25">MONTH(C120)</f>
        <v>4</v>
      </c>
      <c r="B120" s="51">
        <v>46141</v>
      </c>
      <c r="C120" s="51">
        <v>46141</v>
      </c>
      <c r="D120" s="66"/>
      <c r="E120" s="66">
        <v>15</v>
      </c>
      <c r="F120" s="8" t="s">
        <v>579</v>
      </c>
      <c r="G120" s="8" t="s">
        <v>345</v>
      </c>
      <c r="M120" s="324"/>
    </row>
    <row r="121" spans="1:13" x14ac:dyDescent="0.2">
      <c r="A121" s="50">
        <f t="shared" si="24"/>
        <v>4</v>
      </c>
      <c r="B121" s="51">
        <v>46141</v>
      </c>
      <c r="C121" s="51">
        <v>46141</v>
      </c>
      <c r="D121" s="66"/>
      <c r="E121" s="66">
        <f>45-E120</f>
        <v>30</v>
      </c>
      <c r="F121" s="8" t="s">
        <v>579</v>
      </c>
      <c r="G121" s="8" t="s">
        <v>344</v>
      </c>
      <c r="M121" s="324"/>
    </row>
    <row r="122" spans="1:13" x14ac:dyDescent="0.2">
      <c r="A122" s="50">
        <f t="shared" si="24"/>
        <v>4</v>
      </c>
      <c r="B122" s="51">
        <v>46140</v>
      </c>
      <c r="C122" s="51">
        <v>46140</v>
      </c>
      <c r="D122" s="66"/>
      <c r="E122" s="66">
        <v>99</v>
      </c>
      <c r="F122" s="8" t="s">
        <v>581</v>
      </c>
      <c r="G122" s="8" t="s">
        <v>83</v>
      </c>
      <c r="M122" s="324"/>
    </row>
    <row r="123" spans="1:13" x14ac:dyDescent="0.2">
      <c r="A123" s="50">
        <f t="shared" si="24"/>
        <v>4</v>
      </c>
      <c r="B123" s="51">
        <v>46140</v>
      </c>
      <c r="C123" s="51">
        <v>46140</v>
      </c>
      <c r="D123" s="66"/>
      <c r="E123" s="66">
        <v>100</v>
      </c>
      <c r="F123" s="8" t="s">
        <v>570</v>
      </c>
      <c r="G123" s="8" t="s">
        <v>45</v>
      </c>
      <c r="M123" s="324"/>
    </row>
    <row r="124" spans="1:13" x14ac:dyDescent="0.2">
      <c r="A124" s="50">
        <f t="shared" si="24"/>
        <v>4</v>
      </c>
      <c r="B124" s="51">
        <v>46140</v>
      </c>
      <c r="C124" s="51">
        <v>46140</v>
      </c>
      <c r="D124" s="66"/>
      <c r="E124" s="66">
        <v>3.6</v>
      </c>
      <c r="F124" s="8" t="s">
        <v>769</v>
      </c>
      <c r="G124" s="8" t="s">
        <v>46</v>
      </c>
      <c r="M124" s="324"/>
    </row>
    <row r="125" spans="1:13" x14ac:dyDescent="0.2">
      <c r="A125" s="50">
        <f t="shared" si="24"/>
        <v>4</v>
      </c>
      <c r="B125" s="51">
        <v>46136</v>
      </c>
      <c r="C125" s="51">
        <v>46139</v>
      </c>
      <c r="D125" s="66"/>
      <c r="E125" s="66">
        <v>9</v>
      </c>
      <c r="F125" s="8" t="s">
        <v>782</v>
      </c>
      <c r="G125" s="8" t="s">
        <v>46</v>
      </c>
      <c r="M125" s="324"/>
    </row>
    <row r="126" spans="1:13" x14ac:dyDescent="0.2">
      <c r="A126" s="50">
        <f t="shared" si="24"/>
        <v>4</v>
      </c>
      <c r="B126" s="51">
        <v>46139</v>
      </c>
      <c r="C126" s="51">
        <v>46139</v>
      </c>
      <c r="D126" s="66"/>
      <c r="E126" s="66">
        <v>3.6</v>
      </c>
      <c r="F126" s="8" t="s">
        <v>826</v>
      </c>
      <c r="G126" s="8" t="s">
        <v>46</v>
      </c>
      <c r="M126" s="324"/>
    </row>
    <row r="127" spans="1:13" x14ac:dyDescent="0.2">
      <c r="A127" s="50">
        <f t="shared" ref="A127" si="26">MONTH(C127)</f>
        <v>4</v>
      </c>
      <c r="B127" s="51">
        <v>46137</v>
      </c>
      <c r="C127" s="51">
        <v>46139</v>
      </c>
      <c r="D127" s="66"/>
      <c r="E127" s="66">
        <v>100</v>
      </c>
      <c r="F127" s="8" t="s">
        <v>570</v>
      </c>
      <c r="G127" s="8" t="s">
        <v>45</v>
      </c>
      <c r="M127" s="324"/>
    </row>
    <row r="128" spans="1:13" x14ac:dyDescent="0.2">
      <c r="A128" s="50">
        <f t="shared" ref="A128:A135" si="27">MONTH(C128)</f>
        <v>4</v>
      </c>
      <c r="B128" s="51">
        <v>46137</v>
      </c>
      <c r="C128" s="51">
        <v>46139</v>
      </c>
      <c r="D128" s="66"/>
      <c r="E128" s="66">
        <v>30</v>
      </c>
      <c r="F128" s="8" t="s">
        <v>675</v>
      </c>
      <c r="G128" s="8" t="s">
        <v>145</v>
      </c>
      <c r="M128" s="324"/>
    </row>
    <row r="129" spans="1:13" x14ac:dyDescent="0.2">
      <c r="A129" s="50">
        <f t="shared" si="27"/>
        <v>4</v>
      </c>
      <c r="B129" s="51">
        <v>46136</v>
      </c>
      <c r="C129" s="51">
        <v>46136</v>
      </c>
      <c r="D129" s="66"/>
      <c r="E129" s="66">
        <v>1.3</v>
      </c>
      <c r="F129" s="8" t="s">
        <v>913</v>
      </c>
      <c r="G129" s="8" t="s">
        <v>74</v>
      </c>
      <c r="M129" s="324"/>
    </row>
    <row r="130" spans="1:13" x14ac:dyDescent="0.2">
      <c r="A130" s="50">
        <f t="shared" si="27"/>
        <v>4</v>
      </c>
      <c r="B130" s="51">
        <v>46135</v>
      </c>
      <c r="C130" s="51">
        <v>46135</v>
      </c>
      <c r="D130" s="66"/>
      <c r="E130" s="66">
        <v>15000</v>
      </c>
      <c r="F130" s="8" t="s">
        <v>570</v>
      </c>
      <c r="G130" s="8" t="s">
        <v>45</v>
      </c>
      <c r="M130" s="324"/>
    </row>
    <row r="131" spans="1:13" x14ac:dyDescent="0.2">
      <c r="A131" s="50">
        <f t="shared" si="27"/>
        <v>4</v>
      </c>
      <c r="B131" s="51">
        <v>46135</v>
      </c>
      <c r="C131" s="51">
        <v>46135</v>
      </c>
      <c r="D131" s="66">
        <v>15000</v>
      </c>
      <c r="E131" s="66"/>
      <c r="F131" s="8" t="s">
        <v>569</v>
      </c>
      <c r="G131" s="8" t="s">
        <v>45</v>
      </c>
      <c r="M131" s="324"/>
    </row>
    <row r="132" spans="1:13" x14ac:dyDescent="0.2">
      <c r="A132" s="50">
        <f t="shared" si="27"/>
        <v>4</v>
      </c>
      <c r="B132" s="51">
        <v>46135</v>
      </c>
      <c r="C132" s="51">
        <v>46135</v>
      </c>
      <c r="D132" s="66"/>
      <c r="E132" s="66">
        <v>20</v>
      </c>
      <c r="F132" s="8" t="s">
        <v>675</v>
      </c>
      <c r="G132" s="8" t="s">
        <v>145</v>
      </c>
      <c r="M132" s="324"/>
    </row>
    <row r="133" spans="1:13" x14ac:dyDescent="0.2">
      <c r="A133" s="50">
        <f t="shared" si="27"/>
        <v>4</v>
      </c>
      <c r="B133" s="51">
        <v>46135</v>
      </c>
      <c r="C133" s="51">
        <v>46135</v>
      </c>
      <c r="D133" s="66"/>
      <c r="E133" s="66">
        <v>5</v>
      </c>
      <c r="F133" s="8" t="s">
        <v>826</v>
      </c>
      <c r="G133" s="8" t="s">
        <v>46</v>
      </c>
      <c r="M133" s="324"/>
    </row>
    <row r="134" spans="1:13" x14ac:dyDescent="0.2">
      <c r="A134" s="50">
        <f t="shared" si="27"/>
        <v>4</v>
      </c>
      <c r="B134" s="51">
        <v>46134</v>
      </c>
      <c r="C134" s="51">
        <v>46134</v>
      </c>
      <c r="D134" s="66"/>
      <c r="E134" s="66">
        <v>5</v>
      </c>
      <c r="F134" s="8" t="s">
        <v>826</v>
      </c>
      <c r="G134" s="8" t="s">
        <v>46</v>
      </c>
      <c r="M134" s="324"/>
    </row>
    <row r="135" spans="1:13" x14ac:dyDescent="0.2">
      <c r="A135" s="50">
        <f t="shared" si="27"/>
        <v>4</v>
      </c>
      <c r="B135" s="51">
        <v>46133</v>
      </c>
      <c r="C135" s="51">
        <v>46133</v>
      </c>
      <c r="D135" s="66"/>
      <c r="E135" s="66">
        <v>5.3</v>
      </c>
      <c r="F135" s="8" t="s">
        <v>826</v>
      </c>
      <c r="G135" s="8" t="s">
        <v>46</v>
      </c>
      <c r="M135" s="324"/>
    </row>
    <row r="136" spans="1:13" x14ac:dyDescent="0.2">
      <c r="A136" s="50">
        <f t="shared" ref="A136" si="28">MONTH(C136)</f>
        <v>4</v>
      </c>
      <c r="B136" s="51">
        <v>46131</v>
      </c>
      <c r="C136" s="51">
        <v>46132</v>
      </c>
      <c r="D136" s="66"/>
      <c r="E136" s="66">
        <v>8.1999999999999993</v>
      </c>
      <c r="F136" s="8" t="s">
        <v>574</v>
      </c>
      <c r="G136" s="8" t="s">
        <v>46</v>
      </c>
      <c r="M136" s="324"/>
    </row>
    <row r="137" spans="1:13" x14ac:dyDescent="0.2">
      <c r="A137" s="50">
        <f t="shared" ref="A137:A142" si="29">MONTH(C137)</f>
        <v>4</v>
      </c>
      <c r="B137" s="51">
        <v>46131</v>
      </c>
      <c r="C137" s="51">
        <v>46132</v>
      </c>
      <c r="D137" s="66"/>
      <c r="E137" s="66">
        <v>4.4000000000000004</v>
      </c>
      <c r="F137" s="8" t="s">
        <v>677</v>
      </c>
      <c r="G137" s="8" t="s">
        <v>46</v>
      </c>
      <c r="M137" s="324"/>
    </row>
    <row r="138" spans="1:13" x14ac:dyDescent="0.2">
      <c r="A138" s="50">
        <f t="shared" si="29"/>
        <v>4</v>
      </c>
      <c r="B138" s="51">
        <v>46130</v>
      </c>
      <c r="C138" s="51">
        <v>46132</v>
      </c>
      <c r="D138" s="66"/>
      <c r="E138" s="66">
        <v>20</v>
      </c>
      <c r="F138" s="8" t="s">
        <v>675</v>
      </c>
      <c r="G138" s="8" t="s">
        <v>145</v>
      </c>
      <c r="M138" s="324"/>
    </row>
    <row r="139" spans="1:13" x14ac:dyDescent="0.2">
      <c r="A139" s="50">
        <f t="shared" si="29"/>
        <v>4</v>
      </c>
      <c r="B139" s="51">
        <v>46129</v>
      </c>
      <c r="C139" s="51">
        <v>46129</v>
      </c>
      <c r="D139" s="66"/>
      <c r="E139" s="66">
        <v>4.4000000000000004</v>
      </c>
      <c r="F139" s="8" t="s">
        <v>677</v>
      </c>
      <c r="G139" s="8" t="s">
        <v>46</v>
      </c>
      <c r="M139" s="324"/>
    </row>
    <row r="140" spans="1:13" x14ac:dyDescent="0.2">
      <c r="A140" s="50">
        <f t="shared" si="29"/>
        <v>4</v>
      </c>
      <c r="B140" s="51">
        <v>46128</v>
      </c>
      <c r="C140" s="51">
        <v>46128</v>
      </c>
      <c r="D140" s="66"/>
      <c r="E140" s="66">
        <v>45.35</v>
      </c>
      <c r="F140" s="8" t="s">
        <v>572</v>
      </c>
      <c r="G140" s="8" t="s">
        <v>33</v>
      </c>
      <c r="M140" s="324"/>
    </row>
    <row r="141" spans="1:13" x14ac:dyDescent="0.2">
      <c r="A141" s="50">
        <f t="shared" si="29"/>
        <v>4</v>
      </c>
      <c r="B141" s="51">
        <v>46128</v>
      </c>
      <c r="C141" s="51">
        <v>46128</v>
      </c>
      <c r="D141" s="66"/>
      <c r="E141" s="66">
        <v>1</v>
      </c>
      <c r="F141" s="8" t="s">
        <v>799</v>
      </c>
      <c r="G141" s="8" t="s">
        <v>136</v>
      </c>
      <c r="J141" s="50" t="s">
        <v>800</v>
      </c>
      <c r="M141" s="324"/>
    </row>
    <row r="142" spans="1:13" x14ac:dyDescent="0.2">
      <c r="A142" s="50">
        <f t="shared" si="29"/>
        <v>4</v>
      </c>
      <c r="B142" s="51">
        <v>46128</v>
      </c>
      <c r="C142" s="51">
        <v>46128</v>
      </c>
      <c r="D142" s="66"/>
      <c r="E142" s="66">
        <v>95</v>
      </c>
      <c r="F142" s="8" t="s">
        <v>588</v>
      </c>
      <c r="G142" s="8" t="s">
        <v>84</v>
      </c>
      <c r="M142" s="324"/>
    </row>
    <row r="143" spans="1:13" x14ac:dyDescent="0.2">
      <c r="A143" s="50">
        <f t="shared" ref="A143:A150" si="30">MONTH(C143)</f>
        <v>4</v>
      </c>
      <c r="B143" s="51">
        <v>46124</v>
      </c>
      <c r="C143" s="51">
        <v>46125</v>
      </c>
      <c r="D143" s="66"/>
      <c r="E143" s="66">
        <v>4.4000000000000004</v>
      </c>
      <c r="F143" s="8" t="s">
        <v>677</v>
      </c>
      <c r="G143" s="8" t="s">
        <v>46</v>
      </c>
      <c r="M143" s="324"/>
    </row>
    <row r="144" spans="1:13" x14ac:dyDescent="0.2">
      <c r="A144" s="50">
        <f t="shared" si="30"/>
        <v>4</v>
      </c>
      <c r="B144" s="51">
        <v>46123</v>
      </c>
      <c r="C144" s="51">
        <v>46125</v>
      </c>
      <c r="D144" s="66"/>
      <c r="E144" s="66">
        <v>12.99</v>
      </c>
      <c r="F144" s="8" t="s">
        <v>785</v>
      </c>
      <c r="G144" s="8" t="s">
        <v>270</v>
      </c>
      <c r="M144" s="324"/>
    </row>
    <row r="145" spans="1:13" x14ac:dyDescent="0.2">
      <c r="A145" s="50">
        <f t="shared" si="30"/>
        <v>4</v>
      </c>
      <c r="B145" s="51">
        <v>46123</v>
      </c>
      <c r="C145" s="51">
        <v>46125</v>
      </c>
      <c r="D145" s="66"/>
      <c r="E145" s="66">
        <v>30</v>
      </c>
      <c r="F145" s="8" t="s">
        <v>675</v>
      </c>
      <c r="G145" s="8" t="s">
        <v>145</v>
      </c>
      <c r="M145" s="324"/>
    </row>
    <row r="146" spans="1:13" x14ac:dyDescent="0.2">
      <c r="A146" s="50">
        <f t="shared" si="30"/>
        <v>4</v>
      </c>
      <c r="B146" s="51">
        <v>46121</v>
      </c>
      <c r="C146" s="51">
        <v>46121</v>
      </c>
      <c r="D146" s="66"/>
      <c r="E146" s="66">
        <v>0.9</v>
      </c>
      <c r="F146" s="8" t="s">
        <v>786</v>
      </c>
      <c r="G146" s="8" t="s">
        <v>74</v>
      </c>
      <c r="M146" s="324"/>
    </row>
    <row r="147" spans="1:13" x14ac:dyDescent="0.2">
      <c r="A147" s="50">
        <f t="shared" si="30"/>
        <v>4</v>
      </c>
      <c r="B147" s="51">
        <v>46119</v>
      </c>
      <c r="C147" s="51">
        <v>46121</v>
      </c>
      <c r="D147" s="66"/>
      <c r="E147" s="66">
        <v>13.5</v>
      </c>
      <c r="F147" s="8" t="s">
        <v>782</v>
      </c>
      <c r="G147" s="8" t="s">
        <v>46</v>
      </c>
      <c r="M147" s="324"/>
    </row>
    <row r="148" spans="1:13" x14ac:dyDescent="0.2">
      <c r="A148" s="50">
        <f t="shared" si="30"/>
        <v>4</v>
      </c>
      <c r="B148" s="51">
        <v>46120</v>
      </c>
      <c r="C148" s="51">
        <v>46120</v>
      </c>
      <c r="D148" s="66"/>
      <c r="E148" s="66">
        <v>40</v>
      </c>
      <c r="F148" s="8" t="s">
        <v>588</v>
      </c>
      <c r="G148" s="8" t="s">
        <v>84</v>
      </c>
      <c r="M148" s="324"/>
    </row>
    <row r="149" spans="1:13" x14ac:dyDescent="0.2">
      <c r="A149" s="50">
        <f t="shared" si="30"/>
        <v>4</v>
      </c>
      <c r="B149" s="51">
        <v>46119</v>
      </c>
      <c r="C149" s="51">
        <v>46119</v>
      </c>
      <c r="D149" s="66"/>
      <c r="E149" s="66">
        <v>3.55</v>
      </c>
      <c r="F149" s="8" t="s">
        <v>786</v>
      </c>
      <c r="G149" s="8" t="s">
        <v>74</v>
      </c>
      <c r="M149" s="324"/>
    </row>
    <row r="150" spans="1:13" x14ac:dyDescent="0.2">
      <c r="A150" s="50">
        <f t="shared" si="30"/>
        <v>4</v>
      </c>
      <c r="B150" s="51">
        <v>46119</v>
      </c>
      <c r="C150" s="51">
        <v>46119</v>
      </c>
      <c r="D150" s="66"/>
      <c r="E150" s="66">
        <v>73.5</v>
      </c>
      <c r="F150" s="8" t="s">
        <v>612</v>
      </c>
      <c r="G150" s="8" t="s">
        <v>38</v>
      </c>
      <c r="M150" s="324"/>
    </row>
    <row r="151" spans="1:13" x14ac:dyDescent="0.2">
      <c r="A151" s="50">
        <f t="shared" ref="A151:A153" si="31">MONTH(C151)</f>
        <v>4</v>
      </c>
      <c r="B151" s="51">
        <v>46119</v>
      </c>
      <c r="C151" s="51">
        <v>46119</v>
      </c>
      <c r="D151" s="66"/>
      <c r="E151" s="66">
        <v>30</v>
      </c>
      <c r="F151" s="8" t="s">
        <v>675</v>
      </c>
      <c r="G151" s="8" t="s">
        <v>145</v>
      </c>
      <c r="M151" s="324"/>
    </row>
    <row r="152" spans="1:13" x14ac:dyDescent="0.2">
      <c r="A152" s="50">
        <f t="shared" si="31"/>
        <v>4</v>
      </c>
      <c r="B152" s="51">
        <v>46119</v>
      </c>
      <c r="C152" s="51">
        <v>46119</v>
      </c>
      <c r="D152" s="66"/>
      <c r="E152" s="66">
        <v>3.5</v>
      </c>
      <c r="F152" s="8" t="s">
        <v>677</v>
      </c>
      <c r="G152" s="8" t="s">
        <v>46</v>
      </c>
      <c r="M152" s="324"/>
    </row>
    <row r="153" spans="1:13" x14ac:dyDescent="0.2">
      <c r="A153" s="50">
        <f t="shared" si="31"/>
        <v>4</v>
      </c>
      <c r="B153" s="51">
        <v>46116</v>
      </c>
      <c r="C153" s="51">
        <v>46118</v>
      </c>
      <c r="D153" s="66"/>
      <c r="E153" s="66">
        <v>9</v>
      </c>
      <c r="F153" s="8" t="s">
        <v>782</v>
      </c>
      <c r="G153" s="8" t="s">
        <v>46</v>
      </c>
      <c r="M153" s="324"/>
    </row>
    <row r="154" spans="1:13" x14ac:dyDescent="0.2">
      <c r="A154" s="50">
        <f t="shared" ref="A154" si="32">MONTH(C154)</f>
        <v>4</v>
      </c>
      <c r="B154" s="51">
        <v>46117</v>
      </c>
      <c r="C154" s="51">
        <v>46118</v>
      </c>
      <c r="D154" s="66"/>
      <c r="E154" s="66">
        <v>7</v>
      </c>
      <c r="F154" s="8" t="s">
        <v>677</v>
      </c>
      <c r="G154" s="8" t="s">
        <v>46</v>
      </c>
      <c r="M154" s="324"/>
    </row>
    <row r="155" spans="1:13" x14ac:dyDescent="0.2">
      <c r="A155" s="50">
        <f t="shared" ref="A155:A170" si="33">MONTH(C155)</f>
        <v>4</v>
      </c>
      <c r="B155" s="51" t="s">
        <v>760</v>
      </c>
      <c r="C155" s="51" t="s">
        <v>761</v>
      </c>
      <c r="D155" s="66"/>
      <c r="E155" s="66">
        <v>41.7</v>
      </c>
      <c r="F155" s="8" t="s">
        <v>559</v>
      </c>
      <c r="G155" s="8" t="s">
        <v>47</v>
      </c>
      <c r="M155" s="324"/>
    </row>
    <row r="156" spans="1:13" x14ac:dyDescent="0.2">
      <c r="A156" s="50">
        <f t="shared" si="33"/>
        <v>4</v>
      </c>
      <c r="B156" s="51" t="s">
        <v>760</v>
      </c>
      <c r="C156" s="51" t="s">
        <v>761</v>
      </c>
      <c r="D156" s="66"/>
      <c r="E156" s="66">
        <v>20.8</v>
      </c>
      <c r="F156" s="8" t="s">
        <v>559</v>
      </c>
      <c r="G156" s="8" t="s">
        <v>47</v>
      </c>
      <c r="M156" s="324"/>
    </row>
    <row r="157" spans="1:13" x14ac:dyDescent="0.2">
      <c r="A157" s="50">
        <f t="shared" si="33"/>
        <v>4</v>
      </c>
      <c r="B157" s="51" t="s">
        <v>760</v>
      </c>
      <c r="C157" s="51" t="s">
        <v>761</v>
      </c>
      <c r="D157" s="66"/>
      <c r="E157" s="66">
        <v>7.8</v>
      </c>
      <c r="F157" s="8" t="s">
        <v>677</v>
      </c>
      <c r="G157" s="8" t="s">
        <v>46</v>
      </c>
      <c r="M157" s="324"/>
    </row>
    <row r="158" spans="1:13" x14ac:dyDescent="0.2">
      <c r="A158" s="50">
        <f t="shared" si="33"/>
        <v>4</v>
      </c>
      <c r="B158" s="51" t="s">
        <v>762</v>
      </c>
      <c r="C158" s="51" t="s">
        <v>762</v>
      </c>
      <c r="D158" s="66"/>
      <c r="E158" s="66">
        <v>48.95</v>
      </c>
      <c r="F158" s="8" t="s">
        <v>669</v>
      </c>
      <c r="G158" s="8" t="s">
        <v>32</v>
      </c>
      <c r="M158" s="324"/>
    </row>
    <row r="159" spans="1:13" x14ac:dyDescent="0.2">
      <c r="A159" s="50">
        <f t="shared" si="33"/>
        <v>4</v>
      </c>
      <c r="B159" s="51" t="s">
        <v>763</v>
      </c>
      <c r="C159" s="51" t="s">
        <v>763</v>
      </c>
      <c r="D159" s="66"/>
      <c r="E159" s="66">
        <v>149.30000000000001</v>
      </c>
      <c r="F159" s="8" t="s">
        <v>580</v>
      </c>
      <c r="G159" s="8" t="s">
        <v>123</v>
      </c>
      <c r="M159" s="324"/>
    </row>
    <row r="160" spans="1:13" x14ac:dyDescent="0.2">
      <c r="A160" s="50">
        <f t="shared" si="33"/>
        <v>4</v>
      </c>
      <c r="B160" s="51" t="s">
        <v>763</v>
      </c>
      <c r="C160" s="51" t="s">
        <v>763</v>
      </c>
      <c r="D160" s="66"/>
      <c r="E160" s="66">
        <v>9</v>
      </c>
      <c r="F160" s="8" t="s">
        <v>589</v>
      </c>
      <c r="G160" s="8" t="s">
        <v>35</v>
      </c>
      <c r="M160" s="324"/>
    </row>
    <row r="161" spans="1:13" x14ac:dyDescent="0.2">
      <c r="A161" s="50">
        <f t="shared" si="33"/>
        <v>4</v>
      </c>
      <c r="B161" s="51" t="s">
        <v>763</v>
      </c>
      <c r="C161" s="51" t="s">
        <v>763</v>
      </c>
      <c r="D161" s="66"/>
      <c r="E161" s="66">
        <v>7.1</v>
      </c>
      <c r="F161" s="8" t="s">
        <v>767</v>
      </c>
      <c r="G161" s="8" t="s">
        <v>46</v>
      </c>
      <c r="M161" s="324"/>
    </row>
    <row r="162" spans="1:13" x14ac:dyDescent="0.2">
      <c r="A162" s="50">
        <f t="shared" si="33"/>
        <v>4</v>
      </c>
      <c r="B162" s="51" t="s">
        <v>763</v>
      </c>
      <c r="C162" s="51" t="s">
        <v>763</v>
      </c>
      <c r="D162" s="66"/>
      <c r="E162" s="66">
        <v>38.85</v>
      </c>
      <c r="F162" s="8" t="s">
        <v>768</v>
      </c>
      <c r="G162" s="8" t="s">
        <v>35</v>
      </c>
      <c r="M162" s="324"/>
    </row>
    <row r="163" spans="1:13" x14ac:dyDescent="0.2">
      <c r="A163" s="50">
        <f t="shared" si="33"/>
        <v>4</v>
      </c>
      <c r="B163" s="51" t="s">
        <v>763</v>
      </c>
      <c r="C163" s="51" t="s">
        <v>763</v>
      </c>
      <c r="D163" s="66"/>
      <c r="E163" s="66">
        <v>663.75</v>
      </c>
      <c r="F163" s="8" t="s">
        <v>553</v>
      </c>
      <c r="G163" s="8" t="s">
        <v>82</v>
      </c>
      <c r="M163" s="324"/>
    </row>
    <row r="164" spans="1:13" x14ac:dyDescent="0.2">
      <c r="A164" s="50">
        <f t="shared" si="33"/>
        <v>3</v>
      </c>
      <c r="B164" s="51" t="s">
        <v>764</v>
      </c>
      <c r="C164" s="51" t="s">
        <v>764</v>
      </c>
      <c r="D164" s="66"/>
      <c r="E164" s="66">
        <v>30</v>
      </c>
      <c r="F164" s="8" t="s">
        <v>675</v>
      </c>
      <c r="G164" s="8" t="s">
        <v>145</v>
      </c>
      <c r="M164" s="324"/>
    </row>
    <row r="165" spans="1:13" x14ac:dyDescent="0.2">
      <c r="A165" s="50">
        <f t="shared" ref="A165" si="34">MONTH(C165)</f>
        <v>3</v>
      </c>
      <c r="B165" s="51" t="s">
        <v>764</v>
      </c>
      <c r="C165" s="51" t="s">
        <v>764</v>
      </c>
      <c r="D165" s="66"/>
      <c r="E165" s="66">
        <v>15</v>
      </c>
      <c r="F165" s="8" t="s">
        <v>579</v>
      </c>
      <c r="G165" s="8" t="s">
        <v>345</v>
      </c>
      <c r="M165" s="324"/>
    </row>
    <row r="166" spans="1:13" x14ac:dyDescent="0.2">
      <c r="A166" s="50">
        <f t="shared" si="33"/>
        <v>3</v>
      </c>
      <c r="B166" s="51" t="s">
        <v>764</v>
      </c>
      <c r="C166" s="51" t="s">
        <v>764</v>
      </c>
      <c r="D166" s="66"/>
      <c r="E166" s="66">
        <f>45.3-E165</f>
        <v>30.299999999999997</v>
      </c>
      <c r="F166" s="8" t="s">
        <v>579</v>
      </c>
      <c r="G166" s="8" t="s">
        <v>344</v>
      </c>
      <c r="M166" s="324"/>
    </row>
    <row r="167" spans="1:13" x14ac:dyDescent="0.2">
      <c r="A167" s="50">
        <f t="shared" si="33"/>
        <v>3</v>
      </c>
      <c r="B167" s="51" t="s">
        <v>765</v>
      </c>
      <c r="C167" s="51" t="s">
        <v>765</v>
      </c>
      <c r="D167" s="66"/>
      <c r="E167" s="66">
        <v>4.99</v>
      </c>
      <c r="F167" s="8" t="s">
        <v>560</v>
      </c>
      <c r="G167" s="8" t="s">
        <v>94</v>
      </c>
      <c r="M167" s="324"/>
    </row>
    <row r="168" spans="1:13" x14ac:dyDescent="0.2">
      <c r="A168" s="50">
        <f t="shared" si="33"/>
        <v>3</v>
      </c>
      <c r="B168" s="51" t="s">
        <v>765</v>
      </c>
      <c r="C168" s="51" t="s">
        <v>765</v>
      </c>
      <c r="D168" s="66"/>
      <c r="E168" s="66">
        <v>5</v>
      </c>
      <c r="F168" s="8" t="s">
        <v>769</v>
      </c>
      <c r="G168" s="8" t="s">
        <v>46</v>
      </c>
      <c r="M168" s="324"/>
    </row>
    <row r="169" spans="1:13" x14ac:dyDescent="0.2">
      <c r="A169" s="50">
        <f t="shared" si="33"/>
        <v>3</v>
      </c>
      <c r="B169" s="51" t="s">
        <v>766</v>
      </c>
      <c r="C169" s="51" t="s">
        <v>766</v>
      </c>
      <c r="D169" s="66"/>
      <c r="E169" s="66">
        <v>30</v>
      </c>
      <c r="F169" s="8" t="s">
        <v>675</v>
      </c>
      <c r="G169" s="8" t="s">
        <v>145</v>
      </c>
      <c r="M169" s="324"/>
    </row>
    <row r="170" spans="1:13" x14ac:dyDescent="0.2">
      <c r="A170" s="50">
        <f t="shared" si="33"/>
        <v>3</v>
      </c>
      <c r="B170" s="51" t="s">
        <v>766</v>
      </c>
      <c r="C170" s="51" t="s">
        <v>766</v>
      </c>
      <c r="D170" s="66"/>
      <c r="E170" s="66">
        <v>5</v>
      </c>
      <c r="F170" s="8" t="s">
        <v>667</v>
      </c>
      <c r="G170" s="8" t="s">
        <v>46</v>
      </c>
      <c r="M170" s="324"/>
    </row>
    <row r="171" spans="1:13" x14ac:dyDescent="0.2">
      <c r="A171" s="50">
        <f t="shared" ref="A171:A173" si="35">MONTH(C171)</f>
        <v>3</v>
      </c>
      <c r="B171" s="51">
        <v>46106</v>
      </c>
      <c r="C171" s="51">
        <v>46106</v>
      </c>
      <c r="D171" s="66"/>
      <c r="E171" s="66">
        <v>8.39</v>
      </c>
      <c r="F171" s="8" t="s">
        <v>752</v>
      </c>
      <c r="G171" s="8" t="s">
        <v>32</v>
      </c>
      <c r="M171" s="324"/>
    </row>
    <row r="172" spans="1:13" x14ac:dyDescent="0.2">
      <c r="A172" s="50">
        <f t="shared" si="35"/>
        <v>3</v>
      </c>
      <c r="B172" s="51">
        <v>46106</v>
      </c>
      <c r="C172" s="51">
        <v>46106</v>
      </c>
      <c r="D172" s="66"/>
      <c r="E172" s="66">
        <v>5</v>
      </c>
      <c r="F172" s="8" t="s">
        <v>667</v>
      </c>
      <c r="G172" s="8" t="s">
        <v>46</v>
      </c>
      <c r="M172" s="324"/>
    </row>
    <row r="173" spans="1:13" x14ac:dyDescent="0.2">
      <c r="A173" s="50">
        <f t="shared" si="35"/>
        <v>3</v>
      </c>
      <c r="B173" s="51">
        <v>46105</v>
      </c>
      <c r="C173" s="51">
        <v>46105</v>
      </c>
      <c r="D173" s="66"/>
      <c r="E173" s="66">
        <v>5</v>
      </c>
      <c r="F173" s="8" t="s">
        <v>667</v>
      </c>
      <c r="G173" s="8" t="s">
        <v>46</v>
      </c>
      <c r="M173" s="324"/>
    </row>
    <row r="174" spans="1:13" x14ac:dyDescent="0.2">
      <c r="A174" s="50">
        <f t="shared" ref="A174:A182" si="36">MONTH(C174)</f>
        <v>3</v>
      </c>
      <c r="B174" s="51">
        <v>46104</v>
      </c>
      <c r="C174" s="51">
        <v>46104</v>
      </c>
      <c r="D174" s="66"/>
      <c r="E174" s="66">
        <v>5</v>
      </c>
      <c r="F174" s="8" t="s">
        <v>667</v>
      </c>
      <c r="G174" s="8" t="s">
        <v>46</v>
      </c>
      <c r="M174" s="324"/>
    </row>
    <row r="175" spans="1:13" x14ac:dyDescent="0.2">
      <c r="A175" s="50">
        <f t="shared" si="36"/>
        <v>3</v>
      </c>
      <c r="B175" s="51">
        <v>46103</v>
      </c>
      <c r="C175" s="51">
        <v>46104</v>
      </c>
      <c r="D175" s="66"/>
      <c r="E175" s="66">
        <v>25.67</v>
      </c>
      <c r="F175" s="8" t="s">
        <v>554</v>
      </c>
      <c r="G175" s="8" t="s">
        <v>32</v>
      </c>
      <c r="M175" s="324"/>
    </row>
    <row r="176" spans="1:13" x14ac:dyDescent="0.2">
      <c r="A176" s="50">
        <f t="shared" si="36"/>
        <v>3</v>
      </c>
      <c r="B176" s="51">
        <v>46102</v>
      </c>
      <c r="C176" s="51">
        <v>46104</v>
      </c>
      <c r="D176" s="66"/>
      <c r="E176" s="66">
        <v>4.4000000000000004</v>
      </c>
      <c r="F176" s="8" t="s">
        <v>751</v>
      </c>
      <c r="G176" s="8" t="s">
        <v>46</v>
      </c>
      <c r="M176" s="324"/>
    </row>
    <row r="177" spans="1:13" x14ac:dyDescent="0.2">
      <c r="A177" s="50">
        <f t="shared" si="36"/>
        <v>3</v>
      </c>
      <c r="B177" s="51">
        <v>46101</v>
      </c>
      <c r="C177" s="51">
        <v>46101</v>
      </c>
      <c r="D177" s="66"/>
      <c r="E177" s="66">
        <v>115</v>
      </c>
      <c r="F177" s="8" t="s">
        <v>588</v>
      </c>
      <c r="G177" s="8" t="s">
        <v>84</v>
      </c>
      <c r="M177" s="324"/>
    </row>
    <row r="178" spans="1:13" x14ac:dyDescent="0.2">
      <c r="A178" s="50">
        <f t="shared" si="36"/>
        <v>3</v>
      </c>
      <c r="B178" s="51">
        <v>46100</v>
      </c>
      <c r="C178" s="51">
        <v>46100</v>
      </c>
      <c r="D178" s="66"/>
      <c r="E178" s="66">
        <v>8.39</v>
      </c>
      <c r="F178" s="8" t="s">
        <v>752</v>
      </c>
      <c r="G178" s="8" t="s">
        <v>32</v>
      </c>
      <c r="J178" s="50" t="s">
        <v>753</v>
      </c>
      <c r="M178" s="324"/>
    </row>
    <row r="179" spans="1:13" x14ac:dyDescent="0.2">
      <c r="A179" s="50">
        <f t="shared" si="36"/>
        <v>3</v>
      </c>
      <c r="B179" s="51">
        <v>46100</v>
      </c>
      <c r="C179" s="51">
        <v>46100</v>
      </c>
      <c r="D179" s="66"/>
      <c r="E179" s="66">
        <v>5</v>
      </c>
      <c r="F179" s="8" t="s">
        <v>667</v>
      </c>
      <c r="G179" s="8" t="s">
        <v>46</v>
      </c>
      <c r="M179" s="324"/>
    </row>
    <row r="180" spans="1:13" x14ac:dyDescent="0.2">
      <c r="A180" s="50">
        <f t="shared" si="36"/>
        <v>3</v>
      </c>
      <c r="B180" s="51">
        <v>46099</v>
      </c>
      <c r="C180" s="51">
        <v>46099</v>
      </c>
      <c r="D180" s="66"/>
      <c r="E180" s="66">
        <v>4.78</v>
      </c>
      <c r="F180" s="8" t="s">
        <v>611</v>
      </c>
      <c r="G180" s="8" t="s">
        <v>270</v>
      </c>
      <c r="M180" s="324"/>
    </row>
    <row r="181" spans="1:13" x14ac:dyDescent="0.2">
      <c r="A181" s="50">
        <f t="shared" si="36"/>
        <v>3</v>
      </c>
      <c r="B181" s="51">
        <v>46099</v>
      </c>
      <c r="C181" s="51">
        <v>46099</v>
      </c>
      <c r="D181" s="66"/>
      <c r="E181" s="66">
        <v>5</v>
      </c>
      <c r="F181" s="8" t="s">
        <v>667</v>
      </c>
      <c r="G181" s="8" t="s">
        <v>46</v>
      </c>
      <c r="M181" s="324"/>
    </row>
    <row r="182" spans="1:13" x14ac:dyDescent="0.2">
      <c r="A182" s="50">
        <f t="shared" si="36"/>
        <v>3</v>
      </c>
      <c r="B182" s="51">
        <v>46098</v>
      </c>
      <c r="C182" s="51">
        <v>46098</v>
      </c>
      <c r="D182" s="66"/>
      <c r="E182" s="66">
        <v>5</v>
      </c>
      <c r="F182" s="8" t="s">
        <v>667</v>
      </c>
      <c r="G182" s="8" t="s">
        <v>46</v>
      </c>
      <c r="M182" s="324"/>
    </row>
    <row r="183" spans="1:13" x14ac:dyDescent="0.2">
      <c r="A183" s="50">
        <f t="shared" ref="A183" si="37">MONTH(C183)</f>
        <v>3</v>
      </c>
      <c r="B183" s="51">
        <v>46097</v>
      </c>
      <c r="C183" s="51">
        <v>46097</v>
      </c>
      <c r="D183" s="66"/>
      <c r="E183" s="66">
        <v>3.7</v>
      </c>
      <c r="F183" s="8" t="s">
        <v>629</v>
      </c>
      <c r="G183" s="8" t="s">
        <v>74</v>
      </c>
      <c r="M183" s="324"/>
    </row>
    <row r="184" spans="1:13" x14ac:dyDescent="0.2">
      <c r="A184" s="50">
        <f t="shared" ref="A184" si="38">MONTH(C184)</f>
        <v>3</v>
      </c>
      <c r="B184" s="51">
        <v>46097</v>
      </c>
      <c r="C184" s="51">
        <v>46097</v>
      </c>
      <c r="D184" s="66">
        <v>3.54</v>
      </c>
      <c r="E184" s="66"/>
      <c r="F184" s="8" t="s">
        <v>741</v>
      </c>
      <c r="G184" s="8" t="s">
        <v>105</v>
      </c>
      <c r="J184" s="50" t="s">
        <v>742</v>
      </c>
      <c r="M184" s="324"/>
    </row>
    <row r="185" spans="1:13" x14ac:dyDescent="0.2">
      <c r="A185" s="50">
        <f t="shared" ref="A185" si="39">MONTH(C185)</f>
        <v>3</v>
      </c>
      <c r="B185" s="51">
        <v>46097</v>
      </c>
      <c r="C185" s="51">
        <v>46097</v>
      </c>
      <c r="D185" s="66"/>
      <c r="E185" s="66">
        <v>3.54</v>
      </c>
      <c r="F185" s="8" t="s">
        <v>741</v>
      </c>
      <c r="G185" s="8" t="s">
        <v>104</v>
      </c>
      <c r="H185" s="50" t="s">
        <v>314</v>
      </c>
      <c r="M185" s="324"/>
    </row>
    <row r="186" spans="1:13" x14ac:dyDescent="0.2">
      <c r="A186" s="50">
        <f t="shared" ref="A186:A190" si="40">MONTH(C186)</f>
        <v>3</v>
      </c>
      <c r="B186" s="51">
        <v>46097</v>
      </c>
      <c r="C186" s="51">
        <v>46097</v>
      </c>
      <c r="D186" s="66"/>
      <c r="E186" s="66">
        <v>5</v>
      </c>
      <c r="F186" s="8" t="s">
        <v>667</v>
      </c>
      <c r="G186" s="8" t="s">
        <v>46</v>
      </c>
      <c r="M186" s="324"/>
    </row>
    <row r="187" spans="1:13" x14ac:dyDescent="0.2">
      <c r="A187" s="50">
        <f t="shared" si="40"/>
        <v>3</v>
      </c>
      <c r="B187" s="51">
        <v>46096</v>
      </c>
      <c r="C187" s="51">
        <v>46097</v>
      </c>
      <c r="D187" s="66"/>
      <c r="E187" s="66">
        <v>8.1999999999999993</v>
      </c>
      <c r="F187" s="8" t="s">
        <v>559</v>
      </c>
      <c r="G187" s="8" t="s">
        <v>46</v>
      </c>
      <c r="M187" s="324"/>
    </row>
    <row r="188" spans="1:13" x14ac:dyDescent="0.2">
      <c r="A188" s="50">
        <f t="shared" si="40"/>
        <v>3</v>
      </c>
      <c r="B188" s="51">
        <v>46096</v>
      </c>
      <c r="C188" s="51">
        <v>46097</v>
      </c>
      <c r="D188" s="66"/>
      <c r="E188" s="66">
        <v>2.2000000000000002</v>
      </c>
      <c r="F188" s="8" t="s">
        <v>677</v>
      </c>
      <c r="G188" s="8" t="s">
        <v>46</v>
      </c>
      <c r="M188" s="324"/>
    </row>
    <row r="189" spans="1:13" x14ac:dyDescent="0.2">
      <c r="A189" s="50">
        <f t="shared" si="40"/>
        <v>3</v>
      </c>
      <c r="B189" s="51">
        <v>46095</v>
      </c>
      <c r="C189" s="51">
        <v>46097</v>
      </c>
      <c r="D189" s="66"/>
      <c r="E189" s="66">
        <v>2.2000000000000002</v>
      </c>
      <c r="F189" s="8" t="s">
        <v>677</v>
      </c>
      <c r="G189" s="8" t="s">
        <v>46</v>
      </c>
      <c r="M189" s="324"/>
    </row>
    <row r="190" spans="1:13" x14ac:dyDescent="0.2">
      <c r="A190" s="50">
        <f t="shared" si="40"/>
        <v>3</v>
      </c>
      <c r="B190" s="51">
        <v>46094</v>
      </c>
      <c r="C190" s="51">
        <v>46094</v>
      </c>
      <c r="D190" s="66">
        <v>53</v>
      </c>
      <c r="E190" s="66"/>
      <c r="F190" s="8" t="s">
        <v>630</v>
      </c>
      <c r="G190" s="8" t="s">
        <v>35</v>
      </c>
      <c r="M190" s="324"/>
    </row>
    <row r="191" spans="1:13" x14ac:dyDescent="0.2">
      <c r="A191" s="50">
        <f t="shared" ref="A191:A198" si="41">MONTH(C191)</f>
        <v>3</v>
      </c>
      <c r="B191" s="51">
        <v>46094</v>
      </c>
      <c r="C191" s="51">
        <v>46094</v>
      </c>
      <c r="D191" s="66"/>
      <c r="E191" s="66">
        <v>70.849999999999994</v>
      </c>
      <c r="F191" s="8" t="s">
        <v>747</v>
      </c>
      <c r="G191" s="8" t="s">
        <v>32</v>
      </c>
      <c r="M191" s="324"/>
    </row>
    <row r="192" spans="1:13" x14ac:dyDescent="0.2">
      <c r="A192" s="50">
        <f t="shared" si="41"/>
        <v>3</v>
      </c>
      <c r="B192" s="51">
        <v>46093</v>
      </c>
      <c r="C192" s="51">
        <v>46093</v>
      </c>
      <c r="D192" s="66"/>
      <c r="E192" s="66">
        <v>2.5</v>
      </c>
      <c r="F192" s="8" t="s">
        <v>738</v>
      </c>
      <c r="G192" s="8" t="s">
        <v>74</v>
      </c>
      <c r="M192" s="324"/>
    </row>
    <row r="193" spans="1:13" x14ac:dyDescent="0.2">
      <c r="A193" s="50">
        <f t="shared" si="41"/>
        <v>3</v>
      </c>
      <c r="B193" s="51">
        <v>46093</v>
      </c>
      <c r="C193" s="51">
        <v>46093</v>
      </c>
      <c r="D193" s="66"/>
      <c r="E193" s="66">
        <v>20</v>
      </c>
      <c r="F193" s="8" t="s">
        <v>746</v>
      </c>
      <c r="G193" s="8" t="s">
        <v>145</v>
      </c>
      <c r="M193" s="324"/>
    </row>
    <row r="194" spans="1:13" x14ac:dyDescent="0.2">
      <c r="A194" s="50">
        <f t="shared" si="41"/>
        <v>3</v>
      </c>
      <c r="B194" s="51">
        <v>46093</v>
      </c>
      <c r="C194" s="51">
        <v>46093</v>
      </c>
      <c r="D194" s="66"/>
      <c r="E194" s="66">
        <v>5</v>
      </c>
      <c r="F194" s="8" t="s">
        <v>667</v>
      </c>
      <c r="G194" s="8" t="s">
        <v>46</v>
      </c>
      <c r="M194" s="324"/>
    </row>
    <row r="195" spans="1:13" x14ac:dyDescent="0.2">
      <c r="A195" s="50">
        <f t="shared" si="41"/>
        <v>3</v>
      </c>
      <c r="B195" s="51">
        <v>46092</v>
      </c>
      <c r="C195" s="51">
        <v>46092</v>
      </c>
      <c r="D195" s="66"/>
      <c r="E195" s="66">
        <v>5</v>
      </c>
      <c r="F195" s="8" t="s">
        <v>667</v>
      </c>
      <c r="G195" s="8" t="s">
        <v>46</v>
      </c>
      <c r="M195" s="324"/>
    </row>
    <row r="196" spans="1:13" x14ac:dyDescent="0.2">
      <c r="A196" s="50">
        <f t="shared" si="41"/>
        <v>3</v>
      </c>
      <c r="B196" s="51">
        <v>46092</v>
      </c>
      <c r="C196" s="51">
        <v>46092</v>
      </c>
      <c r="D196" s="66"/>
      <c r="E196" s="66">
        <v>40.31</v>
      </c>
      <c r="F196" s="8" t="s">
        <v>571</v>
      </c>
      <c r="G196" s="8" t="s">
        <v>231</v>
      </c>
      <c r="M196" s="324"/>
    </row>
    <row r="197" spans="1:13" x14ac:dyDescent="0.2">
      <c r="A197" s="50">
        <f t="shared" si="41"/>
        <v>3</v>
      </c>
      <c r="B197" s="51">
        <v>46091</v>
      </c>
      <c r="C197" s="51">
        <v>46091</v>
      </c>
      <c r="D197" s="66"/>
      <c r="E197" s="66">
        <v>5</v>
      </c>
      <c r="F197" s="8" t="s">
        <v>667</v>
      </c>
      <c r="G197" s="8" t="s">
        <v>46</v>
      </c>
      <c r="M197" s="324"/>
    </row>
    <row r="198" spans="1:13" x14ac:dyDescent="0.2">
      <c r="A198" s="50">
        <f t="shared" si="41"/>
        <v>3</v>
      </c>
      <c r="B198" s="51">
        <v>46090</v>
      </c>
      <c r="C198" s="51">
        <v>46090</v>
      </c>
      <c r="D198" s="66"/>
      <c r="E198" s="66">
        <v>5</v>
      </c>
      <c r="F198" s="8" t="s">
        <v>667</v>
      </c>
      <c r="G198" s="8" t="s">
        <v>46</v>
      </c>
      <c r="M198" s="324"/>
    </row>
    <row r="199" spans="1:13" x14ac:dyDescent="0.2">
      <c r="A199" s="50">
        <f t="shared" ref="A199:A207" si="42">MONTH(C199)</f>
        <v>3</v>
      </c>
      <c r="B199" s="51">
        <v>46087</v>
      </c>
      <c r="C199" s="51">
        <v>46087</v>
      </c>
      <c r="D199" s="66"/>
      <c r="E199" s="66">
        <v>7.4</v>
      </c>
      <c r="F199" s="8" t="s">
        <v>709</v>
      </c>
      <c r="G199" s="8" t="s">
        <v>46</v>
      </c>
      <c r="M199" s="324"/>
    </row>
    <row r="200" spans="1:13" x14ac:dyDescent="0.2">
      <c r="A200" s="50">
        <f t="shared" si="42"/>
        <v>3</v>
      </c>
      <c r="B200" s="51">
        <v>46086</v>
      </c>
      <c r="C200" s="51">
        <v>46086</v>
      </c>
      <c r="D200" s="66"/>
      <c r="E200" s="66">
        <v>2</v>
      </c>
      <c r="F200" s="8" t="s">
        <v>728</v>
      </c>
      <c r="G200" s="8" t="s">
        <v>152</v>
      </c>
      <c r="M200" s="324"/>
    </row>
    <row r="201" spans="1:13" x14ac:dyDescent="0.2">
      <c r="A201" s="50">
        <f t="shared" si="42"/>
        <v>3</v>
      </c>
      <c r="B201" s="51">
        <v>46086</v>
      </c>
      <c r="C201" s="51">
        <v>46086</v>
      </c>
      <c r="D201" s="66"/>
      <c r="E201" s="66">
        <v>45.35</v>
      </c>
      <c r="F201" s="8" t="s">
        <v>712</v>
      </c>
      <c r="G201" s="8" t="s">
        <v>33</v>
      </c>
      <c r="M201" s="324"/>
    </row>
    <row r="202" spans="1:13" x14ac:dyDescent="0.2">
      <c r="A202" s="50">
        <f t="shared" si="42"/>
        <v>3</v>
      </c>
      <c r="B202" s="51">
        <v>46086</v>
      </c>
      <c r="C202" s="51">
        <v>46086</v>
      </c>
      <c r="D202" s="66"/>
      <c r="E202" s="66">
        <v>5</v>
      </c>
      <c r="F202" s="8" t="s">
        <v>667</v>
      </c>
      <c r="G202" s="8" t="s">
        <v>46</v>
      </c>
      <c r="M202" s="324"/>
    </row>
    <row r="203" spans="1:13" x14ac:dyDescent="0.2">
      <c r="A203" s="50">
        <f t="shared" si="42"/>
        <v>3</v>
      </c>
      <c r="B203" s="51">
        <v>46085</v>
      </c>
      <c r="C203" s="51">
        <v>46085</v>
      </c>
      <c r="D203" s="66"/>
      <c r="E203" s="66">
        <v>20</v>
      </c>
      <c r="F203" s="8" t="s">
        <v>675</v>
      </c>
      <c r="G203" s="8" t="s">
        <v>145</v>
      </c>
      <c r="M203" s="324"/>
    </row>
    <row r="204" spans="1:13" x14ac:dyDescent="0.2">
      <c r="A204" s="50">
        <f t="shared" si="42"/>
        <v>3</v>
      </c>
      <c r="B204" s="51">
        <v>46085</v>
      </c>
      <c r="C204" s="51">
        <v>46085</v>
      </c>
      <c r="D204" s="66"/>
      <c r="E204" s="66">
        <v>103.66</v>
      </c>
      <c r="F204" s="8" t="s">
        <v>612</v>
      </c>
      <c r="G204" s="8" t="s">
        <v>38</v>
      </c>
      <c r="M204" s="324"/>
    </row>
    <row r="205" spans="1:13" x14ac:dyDescent="0.2">
      <c r="A205" s="50">
        <f t="shared" si="42"/>
        <v>3</v>
      </c>
      <c r="B205" s="51">
        <v>46084</v>
      </c>
      <c r="C205" s="51">
        <v>46084</v>
      </c>
      <c r="D205" s="66"/>
      <c r="E205" s="66">
        <v>16.920000000000002</v>
      </c>
      <c r="F205" s="8" t="s">
        <v>729</v>
      </c>
      <c r="G205" s="8" t="s">
        <v>239</v>
      </c>
      <c r="M205" s="324"/>
    </row>
    <row r="206" spans="1:13" x14ac:dyDescent="0.2">
      <c r="A206" s="50">
        <f t="shared" si="42"/>
        <v>3</v>
      </c>
      <c r="B206" s="51">
        <v>46084</v>
      </c>
      <c r="C206" s="51">
        <v>46084</v>
      </c>
      <c r="D206" s="66"/>
      <c r="E206" s="66">
        <v>5</v>
      </c>
      <c r="F206" s="8" t="s">
        <v>667</v>
      </c>
      <c r="G206" s="8" t="s">
        <v>46</v>
      </c>
      <c r="M206" s="324"/>
    </row>
    <row r="207" spans="1:13" x14ac:dyDescent="0.2">
      <c r="A207" s="50">
        <f t="shared" si="42"/>
        <v>3</v>
      </c>
      <c r="B207" s="51">
        <v>46084</v>
      </c>
      <c r="C207" s="51">
        <v>46084</v>
      </c>
      <c r="D207" s="66"/>
      <c r="E207" s="66">
        <v>517.78</v>
      </c>
      <c r="F207" s="8" t="s">
        <v>730</v>
      </c>
      <c r="G207" s="8" t="s">
        <v>146</v>
      </c>
      <c r="M207" s="324"/>
    </row>
    <row r="208" spans="1:13" x14ac:dyDescent="0.2">
      <c r="A208" s="50">
        <f t="shared" ref="A208:A239" si="43">MONTH(C208)</f>
        <v>3</v>
      </c>
      <c r="B208" s="51">
        <v>46083</v>
      </c>
      <c r="C208" s="51">
        <v>46083</v>
      </c>
      <c r="D208" s="66"/>
      <c r="E208" s="66">
        <v>64.489999999999995</v>
      </c>
      <c r="F208" s="8" t="s">
        <v>669</v>
      </c>
      <c r="G208" s="8" t="s">
        <v>32</v>
      </c>
      <c r="M208" s="324"/>
    </row>
    <row r="209" spans="1:13" x14ac:dyDescent="0.2">
      <c r="A209" s="50">
        <f t="shared" si="43"/>
        <v>3</v>
      </c>
      <c r="B209" s="51">
        <v>46083</v>
      </c>
      <c r="C209" s="51">
        <v>46083</v>
      </c>
      <c r="D209" s="66"/>
      <c r="E209" s="66">
        <v>149.30000000000001</v>
      </c>
      <c r="F209" s="8" t="s">
        <v>735</v>
      </c>
      <c r="G209" s="8" t="s">
        <v>123</v>
      </c>
      <c r="M209" s="324"/>
    </row>
    <row r="210" spans="1:13" x14ac:dyDescent="0.2">
      <c r="A210" s="50">
        <f t="shared" si="43"/>
        <v>3</v>
      </c>
      <c r="B210" s="51">
        <v>46083</v>
      </c>
      <c r="C210" s="51">
        <v>46083</v>
      </c>
      <c r="D210" s="66"/>
      <c r="E210" s="66">
        <v>1.65</v>
      </c>
      <c r="F210" s="8" t="s">
        <v>677</v>
      </c>
      <c r="G210" s="8" t="s">
        <v>46</v>
      </c>
      <c r="M210" s="324"/>
    </row>
    <row r="211" spans="1:13" x14ac:dyDescent="0.2">
      <c r="A211" s="50">
        <f t="shared" si="43"/>
        <v>3</v>
      </c>
      <c r="B211" s="51">
        <v>46082</v>
      </c>
      <c r="C211" s="51">
        <v>46083</v>
      </c>
      <c r="D211" s="66"/>
      <c r="E211" s="66">
        <v>1.65</v>
      </c>
      <c r="F211" s="8" t="s">
        <v>677</v>
      </c>
      <c r="G211" s="8" t="s">
        <v>46</v>
      </c>
      <c r="M211" s="324"/>
    </row>
    <row r="212" spans="1:13" x14ac:dyDescent="0.2">
      <c r="A212" s="50">
        <f t="shared" si="43"/>
        <v>3</v>
      </c>
      <c r="B212" s="51">
        <v>46081</v>
      </c>
      <c r="C212" s="51">
        <v>46083</v>
      </c>
      <c r="D212" s="66"/>
      <c r="E212" s="66">
        <v>360</v>
      </c>
      <c r="F212" s="8" t="s">
        <v>650</v>
      </c>
      <c r="G212" s="8" t="s">
        <v>249</v>
      </c>
      <c r="M212" s="324"/>
    </row>
    <row r="213" spans="1:13" x14ac:dyDescent="0.2">
      <c r="A213" s="50">
        <f t="shared" si="43"/>
        <v>2</v>
      </c>
      <c r="B213" s="51">
        <v>46079</v>
      </c>
      <c r="C213" s="51">
        <v>46079</v>
      </c>
      <c r="D213" s="66"/>
      <c r="E213" s="66">
        <v>15.01</v>
      </c>
      <c r="F213" s="8" t="s">
        <v>579</v>
      </c>
      <c r="G213" s="8" t="s">
        <v>345</v>
      </c>
      <c r="M213" s="324"/>
    </row>
    <row r="214" spans="1:13" x14ac:dyDescent="0.2">
      <c r="A214" s="50">
        <f t="shared" si="43"/>
        <v>2</v>
      </c>
      <c r="B214" s="51">
        <v>46079</v>
      </c>
      <c r="C214" s="51">
        <v>46079</v>
      </c>
      <c r="D214" s="66"/>
      <c r="E214" s="66">
        <v>30</v>
      </c>
      <c r="F214" s="8" t="s">
        <v>579</v>
      </c>
      <c r="G214" s="8" t="s">
        <v>344</v>
      </c>
      <c r="M214" s="324"/>
    </row>
    <row r="215" spans="1:13" x14ac:dyDescent="0.2">
      <c r="A215" s="50">
        <f t="shared" si="43"/>
        <v>2</v>
      </c>
      <c r="B215" s="51">
        <v>46078</v>
      </c>
      <c r="C215" s="51">
        <v>46078</v>
      </c>
      <c r="D215" s="66"/>
      <c r="E215" s="66">
        <v>350.54</v>
      </c>
      <c r="F215" s="8" t="s">
        <v>570</v>
      </c>
      <c r="G215" s="8" t="s">
        <v>350</v>
      </c>
      <c r="M215" s="324"/>
    </row>
    <row r="216" spans="1:13" x14ac:dyDescent="0.2">
      <c r="A216" s="50">
        <f t="shared" si="43"/>
        <v>2</v>
      </c>
      <c r="B216" s="51">
        <v>46074</v>
      </c>
      <c r="C216" s="51">
        <v>46076</v>
      </c>
      <c r="D216" s="66"/>
      <c r="E216" s="66">
        <v>45.63</v>
      </c>
      <c r="F216" s="8" t="s">
        <v>705</v>
      </c>
      <c r="G216" s="8" t="s">
        <v>243</v>
      </c>
      <c r="H216" s="50" t="s">
        <v>431</v>
      </c>
      <c r="M216" s="324"/>
    </row>
    <row r="217" spans="1:13" x14ac:dyDescent="0.2">
      <c r="A217" s="50">
        <f t="shared" si="43"/>
        <v>2</v>
      </c>
      <c r="B217" s="51">
        <v>46074</v>
      </c>
      <c r="C217" s="51">
        <v>46076</v>
      </c>
      <c r="D217" s="66"/>
      <c r="E217" s="66">
        <v>1.02</v>
      </c>
      <c r="F217" s="8" t="s">
        <v>706</v>
      </c>
      <c r="G217" s="8" t="s">
        <v>243</v>
      </c>
      <c r="H217" s="50" t="s">
        <v>431</v>
      </c>
      <c r="M217" s="324"/>
    </row>
    <row r="218" spans="1:13" x14ac:dyDescent="0.2">
      <c r="A218" s="50">
        <f t="shared" si="43"/>
        <v>2</v>
      </c>
      <c r="B218" s="51">
        <v>46073</v>
      </c>
      <c r="C218" s="51">
        <v>46073</v>
      </c>
      <c r="D218" s="66"/>
      <c r="E218" s="66">
        <v>1.8</v>
      </c>
      <c r="F218" s="8" t="s">
        <v>667</v>
      </c>
      <c r="G218" s="8" t="s">
        <v>46</v>
      </c>
      <c r="M218" s="324"/>
    </row>
    <row r="219" spans="1:13" x14ac:dyDescent="0.2">
      <c r="A219" s="50">
        <f t="shared" si="43"/>
        <v>2</v>
      </c>
      <c r="B219" s="51">
        <v>46072</v>
      </c>
      <c r="C219" s="51">
        <v>46072</v>
      </c>
      <c r="D219" s="66"/>
      <c r="E219" s="66">
        <v>21.4</v>
      </c>
      <c r="F219" s="8" t="s">
        <v>712</v>
      </c>
      <c r="G219" s="8" t="s">
        <v>33</v>
      </c>
      <c r="M219" s="324"/>
    </row>
    <row r="220" spans="1:13" x14ac:dyDescent="0.2">
      <c r="A220" s="50">
        <f t="shared" si="43"/>
        <v>2</v>
      </c>
      <c r="B220" s="51">
        <v>46072</v>
      </c>
      <c r="C220" s="51">
        <v>46072</v>
      </c>
      <c r="D220" s="66"/>
      <c r="E220" s="66">
        <v>1.8</v>
      </c>
      <c r="F220" s="8" t="s">
        <v>665</v>
      </c>
      <c r="G220" s="8" t="s">
        <v>46</v>
      </c>
      <c r="M220" s="324"/>
    </row>
    <row r="221" spans="1:13" x14ac:dyDescent="0.2">
      <c r="A221" s="50">
        <f t="shared" si="43"/>
        <v>2</v>
      </c>
      <c r="B221" s="51">
        <v>46072</v>
      </c>
      <c r="C221" s="51">
        <v>46072</v>
      </c>
      <c r="D221" s="66"/>
      <c r="E221" s="66">
        <v>27.9</v>
      </c>
      <c r="F221" s="8" t="s">
        <v>675</v>
      </c>
      <c r="G221" s="8" t="s">
        <v>145</v>
      </c>
      <c r="M221" s="324"/>
    </row>
    <row r="222" spans="1:13" x14ac:dyDescent="0.2">
      <c r="A222" s="50">
        <f t="shared" si="43"/>
        <v>2</v>
      </c>
      <c r="B222" s="51">
        <v>46071</v>
      </c>
      <c r="C222" s="51">
        <v>46071</v>
      </c>
      <c r="D222" s="66"/>
      <c r="E222" s="66">
        <v>65.569999999999993</v>
      </c>
      <c r="F222" s="8" t="s">
        <v>708</v>
      </c>
      <c r="G222" s="8" t="s">
        <v>33</v>
      </c>
      <c r="M222" s="324"/>
    </row>
    <row r="223" spans="1:13" x14ac:dyDescent="0.2">
      <c r="A223" s="50">
        <f t="shared" si="43"/>
        <v>2</v>
      </c>
      <c r="B223" s="51">
        <v>46071</v>
      </c>
      <c r="C223" s="51">
        <v>46071</v>
      </c>
      <c r="D223" s="66"/>
      <c r="E223" s="66">
        <v>95</v>
      </c>
      <c r="F223" s="8" t="s">
        <v>710</v>
      </c>
      <c r="G223" s="8" t="s">
        <v>84</v>
      </c>
      <c r="M223" s="324"/>
    </row>
    <row r="224" spans="1:13" x14ac:dyDescent="0.2">
      <c r="A224" s="50">
        <f t="shared" si="43"/>
        <v>2</v>
      </c>
      <c r="B224" s="51">
        <v>46071</v>
      </c>
      <c r="C224" s="51">
        <v>46071</v>
      </c>
      <c r="D224" s="66"/>
      <c r="E224" s="66">
        <v>2.5</v>
      </c>
      <c r="F224" s="8" t="s">
        <v>709</v>
      </c>
      <c r="G224" s="8" t="s">
        <v>46</v>
      </c>
      <c r="M224" s="324"/>
    </row>
    <row r="225" spans="1:13" x14ac:dyDescent="0.2">
      <c r="A225" s="50">
        <f t="shared" si="43"/>
        <v>2</v>
      </c>
      <c r="B225" s="51">
        <v>46070</v>
      </c>
      <c r="C225" s="51">
        <v>46070</v>
      </c>
      <c r="D225" s="66">
        <v>2709.99</v>
      </c>
      <c r="E225" s="66"/>
      <c r="F225" s="8" t="s">
        <v>569</v>
      </c>
      <c r="G225" s="8" t="s">
        <v>577</v>
      </c>
      <c r="M225" s="324"/>
    </row>
    <row r="226" spans="1:13" x14ac:dyDescent="0.2">
      <c r="A226" s="50">
        <f t="shared" si="43"/>
        <v>2</v>
      </c>
      <c r="B226" s="51">
        <v>46069</v>
      </c>
      <c r="C226" s="51">
        <v>46069</v>
      </c>
      <c r="D226" s="66"/>
      <c r="E226" s="66">
        <v>1.8</v>
      </c>
      <c r="F226" s="8" t="s">
        <v>665</v>
      </c>
      <c r="G226" s="8" t="s">
        <v>46</v>
      </c>
      <c r="M226" s="324"/>
    </row>
    <row r="227" spans="1:13" x14ac:dyDescent="0.2">
      <c r="A227" s="50">
        <f t="shared" si="43"/>
        <v>2</v>
      </c>
      <c r="B227" s="51">
        <v>46067</v>
      </c>
      <c r="C227" s="51">
        <v>46069</v>
      </c>
      <c r="D227" s="66"/>
      <c r="E227" s="66">
        <v>300</v>
      </c>
      <c r="F227" s="8" t="s">
        <v>650</v>
      </c>
      <c r="G227" s="8" t="s">
        <v>249</v>
      </c>
      <c r="M227" s="324"/>
    </row>
    <row r="228" spans="1:13" x14ac:dyDescent="0.2">
      <c r="A228" s="50">
        <f t="shared" si="43"/>
        <v>2</v>
      </c>
      <c r="B228" s="51">
        <v>46067</v>
      </c>
      <c r="C228" s="51">
        <v>46069</v>
      </c>
      <c r="D228" s="66"/>
      <c r="E228" s="66">
        <v>300</v>
      </c>
      <c r="F228" s="8" t="s">
        <v>650</v>
      </c>
      <c r="G228" s="8" t="s">
        <v>249</v>
      </c>
      <c r="M228" s="324"/>
    </row>
    <row r="229" spans="1:13" x14ac:dyDescent="0.2">
      <c r="A229" s="50">
        <f t="shared" si="43"/>
        <v>2</v>
      </c>
      <c r="B229" s="51">
        <v>46066</v>
      </c>
      <c r="C229" s="51">
        <v>46066</v>
      </c>
      <c r="D229" s="66"/>
      <c r="E229" s="66">
        <v>4.8</v>
      </c>
      <c r="F229" s="8" t="s">
        <v>666</v>
      </c>
      <c r="G229" s="8" t="s">
        <v>74</v>
      </c>
      <c r="M229" s="324"/>
    </row>
    <row r="230" spans="1:13" x14ac:dyDescent="0.2">
      <c r="A230" s="50">
        <f t="shared" si="43"/>
        <v>2</v>
      </c>
      <c r="B230" s="51">
        <v>46066</v>
      </c>
      <c r="C230" s="51">
        <v>46066</v>
      </c>
      <c r="D230" s="66"/>
      <c r="E230" s="66">
        <v>57.83</v>
      </c>
      <c r="F230" s="8" t="s">
        <v>675</v>
      </c>
      <c r="G230" s="8" t="s">
        <v>145</v>
      </c>
      <c r="M230" s="324"/>
    </row>
    <row r="231" spans="1:13" x14ac:dyDescent="0.2">
      <c r="A231" s="50">
        <f t="shared" si="43"/>
        <v>2</v>
      </c>
      <c r="B231" s="51">
        <v>46065</v>
      </c>
      <c r="C231" s="51">
        <v>46065</v>
      </c>
      <c r="D231" s="66"/>
      <c r="E231" s="66">
        <v>3.6</v>
      </c>
      <c r="F231" s="8" t="s">
        <v>667</v>
      </c>
      <c r="G231" s="8" t="s">
        <v>46</v>
      </c>
      <c r="M231" s="324"/>
    </row>
    <row r="232" spans="1:13" x14ac:dyDescent="0.2">
      <c r="A232" s="50">
        <f t="shared" si="43"/>
        <v>2</v>
      </c>
      <c r="B232" s="51">
        <v>46064</v>
      </c>
      <c r="C232" s="51">
        <v>46064</v>
      </c>
      <c r="D232" s="66"/>
      <c r="E232" s="66">
        <v>59.55</v>
      </c>
      <c r="F232" s="8" t="s">
        <v>572</v>
      </c>
      <c r="G232" s="8" t="s">
        <v>33</v>
      </c>
      <c r="M232" s="324"/>
    </row>
    <row r="233" spans="1:13" x14ac:dyDescent="0.2">
      <c r="A233" s="50">
        <f t="shared" si="43"/>
        <v>2</v>
      </c>
      <c r="B233" s="51">
        <v>46063</v>
      </c>
      <c r="C233" s="51">
        <v>46063</v>
      </c>
      <c r="D233" s="66"/>
      <c r="E233" s="66">
        <v>5.95</v>
      </c>
      <c r="F233" s="8" t="s">
        <v>629</v>
      </c>
      <c r="G233" s="8" t="s">
        <v>74</v>
      </c>
      <c r="M233" s="324"/>
    </row>
    <row r="234" spans="1:13" x14ac:dyDescent="0.2">
      <c r="A234" s="50">
        <f t="shared" si="43"/>
        <v>2</v>
      </c>
      <c r="B234" s="51">
        <v>46063</v>
      </c>
      <c r="C234" s="51">
        <v>46063</v>
      </c>
      <c r="D234" s="66">
        <v>4000</v>
      </c>
      <c r="E234" s="66"/>
      <c r="F234" s="8" t="s">
        <v>630</v>
      </c>
      <c r="G234" s="8" t="s">
        <v>45</v>
      </c>
      <c r="M234" s="324"/>
    </row>
    <row r="235" spans="1:13" x14ac:dyDescent="0.2">
      <c r="A235" s="50">
        <f t="shared" si="43"/>
        <v>2</v>
      </c>
      <c r="B235" s="51">
        <v>46059</v>
      </c>
      <c r="C235" s="51">
        <v>46059</v>
      </c>
      <c r="D235" s="66"/>
      <c r="E235" s="66">
        <v>9.57</v>
      </c>
      <c r="F235" s="8" t="s">
        <v>668</v>
      </c>
      <c r="G235" s="8" t="s">
        <v>270</v>
      </c>
      <c r="M235" s="324"/>
    </row>
    <row r="236" spans="1:13" x14ac:dyDescent="0.2">
      <c r="A236" s="50">
        <f t="shared" si="43"/>
        <v>2</v>
      </c>
      <c r="B236" s="51">
        <v>46058</v>
      </c>
      <c r="C236" s="51">
        <v>46058</v>
      </c>
      <c r="D236" s="66"/>
      <c r="E236" s="66">
        <v>66.05</v>
      </c>
      <c r="F236" s="8" t="s">
        <v>611</v>
      </c>
      <c r="G236" s="8" t="s">
        <v>33</v>
      </c>
      <c r="M236" s="324"/>
    </row>
    <row r="237" spans="1:13" x14ac:dyDescent="0.2">
      <c r="A237" s="50">
        <f t="shared" si="43"/>
        <v>2</v>
      </c>
      <c r="B237" s="51">
        <v>46057</v>
      </c>
      <c r="C237" s="51">
        <v>46057</v>
      </c>
      <c r="D237" s="66"/>
      <c r="E237" s="66">
        <v>2.1</v>
      </c>
      <c r="F237" s="8" t="s">
        <v>582</v>
      </c>
      <c r="G237" s="8" t="s">
        <v>74</v>
      </c>
      <c r="M237" s="324"/>
    </row>
    <row r="238" spans="1:13" x14ac:dyDescent="0.2">
      <c r="A238" s="50">
        <f t="shared" si="43"/>
        <v>2</v>
      </c>
      <c r="B238" s="51">
        <v>46057</v>
      </c>
      <c r="C238" s="51">
        <v>46057</v>
      </c>
      <c r="D238" s="66"/>
      <c r="E238" s="66">
        <v>162.01</v>
      </c>
      <c r="F238" s="8" t="s">
        <v>612</v>
      </c>
      <c r="G238" s="8" t="s">
        <v>38</v>
      </c>
      <c r="M238" s="324"/>
    </row>
    <row r="239" spans="1:13" x14ac:dyDescent="0.2">
      <c r="A239" s="50">
        <f t="shared" si="43"/>
        <v>2</v>
      </c>
      <c r="B239" s="51">
        <v>46056</v>
      </c>
      <c r="C239" s="51">
        <v>46056</v>
      </c>
      <c r="D239" s="66"/>
      <c r="E239" s="66">
        <v>644.41</v>
      </c>
      <c r="F239" s="8" t="s">
        <v>570</v>
      </c>
      <c r="G239" s="8" t="s">
        <v>350</v>
      </c>
      <c r="M239" s="324"/>
    </row>
    <row r="240" spans="1:13" x14ac:dyDescent="0.2">
      <c r="A240" s="50">
        <f t="shared" ref="A240:A271" si="44">MONTH(C240)</f>
        <v>2</v>
      </c>
      <c r="B240" s="51">
        <v>46055</v>
      </c>
      <c r="C240" s="51">
        <v>46055</v>
      </c>
      <c r="D240" s="66"/>
      <c r="E240" s="66">
        <v>24.6</v>
      </c>
      <c r="F240" s="8" t="s">
        <v>669</v>
      </c>
      <c r="G240" s="8" t="s">
        <v>32</v>
      </c>
      <c r="M240" s="324"/>
    </row>
    <row r="241" spans="1:13" x14ac:dyDescent="0.2">
      <c r="A241" s="50">
        <f t="shared" si="44"/>
        <v>2</v>
      </c>
      <c r="B241" s="51">
        <v>46055</v>
      </c>
      <c r="C241" s="51">
        <v>46055</v>
      </c>
      <c r="D241" s="66"/>
      <c r="E241" s="66">
        <v>3.95</v>
      </c>
      <c r="F241" s="8" t="s">
        <v>670</v>
      </c>
      <c r="G241" s="8" t="s">
        <v>350</v>
      </c>
      <c r="M241" s="324"/>
    </row>
    <row r="242" spans="1:13" x14ac:dyDescent="0.2">
      <c r="A242" s="50">
        <f t="shared" si="44"/>
        <v>2</v>
      </c>
      <c r="B242" s="51">
        <v>46055</v>
      </c>
      <c r="C242" s="51">
        <v>46055</v>
      </c>
      <c r="D242" s="66"/>
      <c r="E242" s="66">
        <v>55.31</v>
      </c>
      <c r="F242" s="8" t="s">
        <v>675</v>
      </c>
      <c r="G242" s="8" t="s">
        <v>145</v>
      </c>
      <c r="M242" s="324"/>
    </row>
    <row r="243" spans="1:13" x14ac:dyDescent="0.2">
      <c r="A243" s="50">
        <f t="shared" si="44"/>
        <v>2</v>
      </c>
      <c r="B243" s="51">
        <v>46055</v>
      </c>
      <c r="C243" s="51">
        <v>46055</v>
      </c>
      <c r="D243" s="66"/>
      <c r="E243" s="66">
        <v>501.78</v>
      </c>
      <c r="F243" s="8" t="s">
        <v>570</v>
      </c>
      <c r="G243" s="8" t="s">
        <v>347</v>
      </c>
      <c r="M243" s="324"/>
    </row>
    <row r="244" spans="1:13" x14ac:dyDescent="0.2">
      <c r="A244" s="50">
        <f t="shared" si="44"/>
        <v>2</v>
      </c>
      <c r="B244" s="51">
        <v>46055</v>
      </c>
      <c r="C244" s="51">
        <v>46055</v>
      </c>
      <c r="D244" s="66"/>
      <c r="E244" s="66">
        <v>500</v>
      </c>
      <c r="F244" s="8" t="s">
        <v>570</v>
      </c>
      <c r="G244" s="8" t="s">
        <v>347</v>
      </c>
      <c r="M244" s="324"/>
    </row>
    <row r="245" spans="1:13" x14ac:dyDescent="0.2">
      <c r="A245" s="50">
        <f t="shared" si="44"/>
        <v>1</v>
      </c>
      <c r="B245" s="51">
        <v>46051</v>
      </c>
      <c r="C245" s="51">
        <v>46051</v>
      </c>
      <c r="D245" s="66"/>
      <c r="E245" s="66">
        <v>15</v>
      </c>
      <c r="F245" s="8" t="s">
        <v>579</v>
      </c>
      <c r="G245" s="8" t="s">
        <v>345</v>
      </c>
      <c r="M245" s="324"/>
    </row>
    <row r="246" spans="1:13" x14ac:dyDescent="0.2">
      <c r="A246" s="50">
        <f t="shared" si="44"/>
        <v>1</v>
      </c>
      <c r="B246" s="51">
        <v>46051</v>
      </c>
      <c r="C246" s="51">
        <v>46051</v>
      </c>
      <c r="D246" s="66"/>
      <c r="E246" s="66">
        <v>30.189999999999998</v>
      </c>
      <c r="F246" s="8" t="s">
        <v>579</v>
      </c>
      <c r="G246" s="8" t="s">
        <v>344</v>
      </c>
      <c r="M246" s="324"/>
    </row>
    <row r="247" spans="1:13" x14ac:dyDescent="0.2">
      <c r="A247" s="50">
        <f t="shared" si="44"/>
        <v>1</v>
      </c>
      <c r="B247" s="51">
        <v>46050</v>
      </c>
      <c r="C247" s="51">
        <v>46050</v>
      </c>
      <c r="D247" s="66"/>
      <c r="E247" s="66">
        <v>54</v>
      </c>
      <c r="F247" s="8" t="s">
        <v>580</v>
      </c>
      <c r="G247" s="8" t="s">
        <v>123</v>
      </c>
      <c r="M247" s="324"/>
    </row>
    <row r="248" spans="1:13" x14ac:dyDescent="0.2">
      <c r="A248" s="50">
        <f t="shared" si="44"/>
        <v>1</v>
      </c>
      <c r="B248" s="51">
        <v>46049</v>
      </c>
      <c r="C248" s="51">
        <v>46049</v>
      </c>
      <c r="D248" s="66"/>
      <c r="E248" s="66">
        <v>99</v>
      </c>
      <c r="F248" s="8" t="s">
        <v>581</v>
      </c>
      <c r="G248" s="8" t="s">
        <v>83</v>
      </c>
      <c r="M248" s="324"/>
    </row>
    <row r="249" spans="1:13" x14ac:dyDescent="0.2">
      <c r="A249" s="50">
        <f t="shared" si="44"/>
        <v>1</v>
      </c>
      <c r="B249" s="51">
        <v>46049</v>
      </c>
      <c r="C249" s="51">
        <v>46049</v>
      </c>
      <c r="D249" s="66"/>
      <c r="E249" s="66">
        <v>4.1500000000000004</v>
      </c>
      <c r="F249" s="8" t="s">
        <v>582</v>
      </c>
      <c r="G249" s="8" t="s">
        <v>74</v>
      </c>
      <c r="M249" s="324"/>
    </row>
    <row r="250" spans="1:13" x14ac:dyDescent="0.2">
      <c r="A250" s="50">
        <f t="shared" si="44"/>
        <v>1</v>
      </c>
      <c r="B250" s="51">
        <v>46049</v>
      </c>
      <c r="C250" s="51">
        <v>46049</v>
      </c>
      <c r="D250" s="66"/>
      <c r="E250" s="66">
        <v>1.8</v>
      </c>
      <c r="F250" s="8" t="s">
        <v>583</v>
      </c>
      <c r="G250" s="8" t="s">
        <v>46</v>
      </c>
      <c r="M250" s="324"/>
    </row>
    <row r="251" spans="1:13" x14ac:dyDescent="0.2">
      <c r="A251" s="50">
        <f t="shared" si="44"/>
        <v>1</v>
      </c>
      <c r="B251" s="51">
        <v>46049</v>
      </c>
      <c r="C251" s="51">
        <v>46049</v>
      </c>
      <c r="D251" s="66"/>
      <c r="E251" s="66">
        <v>40.01</v>
      </c>
      <c r="F251" s="8" t="s">
        <v>675</v>
      </c>
      <c r="G251" s="8" t="s">
        <v>145</v>
      </c>
      <c r="M251" s="324"/>
    </row>
    <row r="252" spans="1:13" x14ac:dyDescent="0.2">
      <c r="A252" s="50">
        <f t="shared" si="44"/>
        <v>1</v>
      </c>
      <c r="B252" s="51">
        <v>46046</v>
      </c>
      <c r="C252" s="51">
        <v>46048</v>
      </c>
      <c r="D252" s="66"/>
      <c r="E252" s="66">
        <v>2.2000000000000002</v>
      </c>
      <c r="F252" s="8" t="s">
        <v>584</v>
      </c>
      <c r="G252" s="8" t="s">
        <v>32</v>
      </c>
      <c r="M252" s="324"/>
    </row>
    <row r="253" spans="1:13" x14ac:dyDescent="0.2">
      <c r="A253" s="50">
        <f t="shared" si="44"/>
        <v>1</v>
      </c>
      <c r="B253" s="51">
        <v>46048</v>
      </c>
      <c r="C253" s="51">
        <v>46048</v>
      </c>
      <c r="D253" s="66"/>
      <c r="E253" s="66">
        <v>1.2</v>
      </c>
      <c r="F253" s="8" t="s">
        <v>555</v>
      </c>
      <c r="G253" s="8" t="s">
        <v>74</v>
      </c>
      <c r="M253" s="324"/>
    </row>
    <row r="254" spans="1:13" x14ac:dyDescent="0.2">
      <c r="A254" s="50">
        <f t="shared" si="44"/>
        <v>1</v>
      </c>
      <c r="B254" s="51">
        <v>46045</v>
      </c>
      <c r="C254" s="51">
        <v>46045</v>
      </c>
      <c r="D254" s="66"/>
      <c r="E254" s="66">
        <v>29</v>
      </c>
      <c r="F254" s="8" t="s">
        <v>554</v>
      </c>
      <c r="G254" s="8" t="s">
        <v>32</v>
      </c>
      <c r="M254" s="324"/>
    </row>
    <row r="255" spans="1:13" x14ac:dyDescent="0.2">
      <c r="A255" s="50">
        <f t="shared" si="44"/>
        <v>1</v>
      </c>
      <c r="B255" s="51">
        <v>46042</v>
      </c>
      <c r="C255" s="51">
        <v>46044</v>
      </c>
      <c r="D255" s="66"/>
      <c r="E255" s="66">
        <v>3.5</v>
      </c>
      <c r="F255" s="8" t="s">
        <v>585</v>
      </c>
      <c r="G255" s="8" t="s">
        <v>32</v>
      </c>
      <c r="M255" s="324"/>
    </row>
    <row r="256" spans="1:13" x14ac:dyDescent="0.2">
      <c r="A256" s="50">
        <f t="shared" si="44"/>
        <v>1</v>
      </c>
      <c r="B256" s="51">
        <v>46044</v>
      </c>
      <c r="C256" s="51">
        <v>46044</v>
      </c>
      <c r="D256" s="66"/>
      <c r="E256" s="66">
        <v>3.3</v>
      </c>
      <c r="F256" s="8" t="s">
        <v>586</v>
      </c>
      <c r="G256" s="8" t="s">
        <v>74</v>
      </c>
      <c r="M256" s="324"/>
    </row>
    <row r="257" spans="1:13" x14ac:dyDescent="0.2">
      <c r="A257" s="50">
        <f t="shared" si="44"/>
        <v>1</v>
      </c>
      <c r="B257" s="51">
        <v>46044</v>
      </c>
      <c r="C257" s="51">
        <v>46044</v>
      </c>
      <c r="D257" s="66"/>
      <c r="E257" s="66">
        <v>3.9</v>
      </c>
      <c r="F257" s="8" t="s">
        <v>587</v>
      </c>
      <c r="G257" s="8" t="s">
        <v>46</v>
      </c>
      <c r="M257" s="324"/>
    </row>
    <row r="258" spans="1:13" x14ac:dyDescent="0.2">
      <c r="A258" s="50">
        <f t="shared" si="44"/>
        <v>1</v>
      </c>
      <c r="B258" s="51">
        <v>46043</v>
      </c>
      <c r="C258" s="51">
        <v>46043</v>
      </c>
      <c r="D258" s="66"/>
      <c r="E258" s="66">
        <v>210</v>
      </c>
      <c r="F258" s="8" t="s">
        <v>588</v>
      </c>
      <c r="G258" s="8" t="s">
        <v>84</v>
      </c>
      <c r="M258" s="324"/>
    </row>
    <row r="259" spans="1:13" x14ac:dyDescent="0.2">
      <c r="A259" s="50">
        <f t="shared" si="44"/>
        <v>1</v>
      </c>
      <c r="B259" s="51">
        <v>46041</v>
      </c>
      <c r="C259" s="51">
        <v>46041</v>
      </c>
      <c r="D259" s="66"/>
      <c r="E259" s="66">
        <v>10.3</v>
      </c>
      <c r="F259" s="8" t="s">
        <v>589</v>
      </c>
      <c r="G259" s="8" t="s">
        <v>35</v>
      </c>
      <c r="M259" s="324"/>
    </row>
    <row r="260" spans="1:13" x14ac:dyDescent="0.2">
      <c r="A260" s="50">
        <f t="shared" si="44"/>
        <v>1</v>
      </c>
      <c r="B260" s="51">
        <v>46039</v>
      </c>
      <c r="C260" s="51">
        <v>46041</v>
      </c>
      <c r="D260" s="66"/>
      <c r="E260" s="66">
        <v>50.89</v>
      </c>
      <c r="F260" s="8" t="s">
        <v>676</v>
      </c>
      <c r="G260" s="8" t="s">
        <v>145</v>
      </c>
      <c r="M260" s="324"/>
    </row>
    <row r="261" spans="1:13" x14ac:dyDescent="0.2">
      <c r="A261" s="50">
        <f t="shared" si="44"/>
        <v>1</v>
      </c>
      <c r="B261" s="51">
        <v>46038</v>
      </c>
      <c r="C261" s="51">
        <v>46038</v>
      </c>
      <c r="D261" s="66">
        <v>4000</v>
      </c>
      <c r="E261" s="66"/>
      <c r="F261" s="8" t="s">
        <v>569</v>
      </c>
      <c r="G261" s="8" t="s">
        <v>45</v>
      </c>
      <c r="M261" s="324"/>
    </row>
    <row r="262" spans="1:13" x14ac:dyDescent="0.2">
      <c r="A262" s="50">
        <f t="shared" si="44"/>
        <v>1</v>
      </c>
      <c r="B262" s="51">
        <v>46035</v>
      </c>
      <c r="C262" s="51">
        <v>46037</v>
      </c>
      <c r="D262" s="66"/>
      <c r="E262" s="66">
        <v>5</v>
      </c>
      <c r="F262" s="8" t="s">
        <v>667</v>
      </c>
      <c r="G262" s="8" t="s">
        <v>46</v>
      </c>
      <c r="M262" s="324"/>
    </row>
    <row r="263" spans="1:13" x14ac:dyDescent="0.2">
      <c r="A263" s="50">
        <f t="shared" si="44"/>
        <v>1</v>
      </c>
      <c r="B263" s="51">
        <v>46037</v>
      </c>
      <c r="C263" s="51">
        <v>46037</v>
      </c>
      <c r="D263" s="66"/>
      <c r="E263" s="66">
        <v>2395.8000000000002</v>
      </c>
      <c r="F263" s="8" t="s">
        <v>570</v>
      </c>
      <c r="G263" s="8" t="s">
        <v>577</v>
      </c>
      <c r="M263" s="324"/>
    </row>
    <row r="264" spans="1:13" x14ac:dyDescent="0.2">
      <c r="A264" s="50">
        <f t="shared" si="44"/>
        <v>1</v>
      </c>
      <c r="B264" s="51">
        <v>46037</v>
      </c>
      <c r="C264" s="51">
        <v>46037</v>
      </c>
      <c r="D264" s="66"/>
      <c r="E264" s="66">
        <v>52.15</v>
      </c>
      <c r="F264" s="8" t="s">
        <v>571</v>
      </c>
      <c r="G264" s="8" t="s">
        <v>231</v>
      </c>
      <c r="M264" s="324"/>
    </row>
    <row r="265" spans="1:13" x14ac:dyDescent="0.2">
      <c r="A265" s="50">
        <f t="shared" si="44"/>
        <v>1</v>
      </c>
      <c r="B265" s="51">
        <v>46036</v>
      </c>
      <c r="C265" s="51">
        <v>46036</v>
      </c>
      <c r="D265" s="66"/>
      <c r="E265" s="66">
        <v>14.55</v>
      </c>
      <c r="F265" s="8" t="s">
        <v>572</v>
      </c>
      <c r="G265" s="8" t="s">
        <v>46</v>
      </c>
      <c r="M265" s="324"/>
    </row>
    <row r="266" spans="1:13" x14ac:dyDescent="0.2">
      <c r="A266" s="50">
        <f t="shared" si="44"/>
        <v>1</v>
      </c>
      <c r="B266" s="51">
        <v>46034</v>
      </c>
      <c r="C266" s="51">
        <v>46034</v>
      </c>
      <c r="D266" s="66"/>
      <c r="E266" s="66">
        <v>6.1</v>
      </c>
      <c r="F266" s="8" t="s">
        <v>573</v>
      </c>
      <c r="G266" s="8" t="s">
        <v>46</v>
      </c>
      <c r="M266" s="324"/>
    </row>
    <row r="267" spans="1:13" x14ac:dyDescent="0.2">
      <c r="A267" s="50">
        <f t="shared" si="44"/>
        <v>1</v>
      </c>
      <c r="B267" s="51">
        <v>46033</v>
      </c>
      <c r="C267" s="51">
        <v>46034</v>
      </c>
      <c r="D267" s="66"/>
      <c r="E267" s="66">
        <v>8.1999999999999993</v>
      </c>
      <c r="F267" s="8" t="s">
        <v>574</v>
      </c>
      <c r="G267" s="8" t="s">
        <v>46</v>
      </c>
      <c r="M267" s="324"/>
    </row>
    <row r="268" spans="1:13" x14ac:dyDescent="0.2">
      <c r="A268" s="50">
        <f t="shared" si="44"/>
        <v>1</v>
      </c>
      <c r="B268" s="51">
        <v>46032</v>
      </c>
      <c r="C268" s="51">
        <v>46034</v>
      </c>
      <c r="D268" s="66"/>
      <c r="E268" s="66">
        <v>4.4000000000000004</v>
      </c>
      <c r="F268" s="8" t="s">
        <v>677</v>
      </c>
      <c r="G268" s="8" t="s">
        <v>46</v>
      </c>
      <c r="M268" s="324"/>
    </row>
    <row r="269" spans="1:13" x14ac:dyDescent="0.2">
      <c r="A269" s="50">
        <f t="shared" si="44"/>
        <v>1</v>
      </c>
      <c r="B269" s="51">
        <v>46031</v>
      </c>
      <c r="C269" s="51">
        <v>46031</v>
      </c>
      <c r="D269" s="66"/>
      <c r="E269" s="66">
        <v>0.7</v>
      </c>
      <c r="F269" s="8" t="s">
        <v>678</v>
      </c>
      <c r="G269" s="8" t="s">
        <v>74</v>
      </c>
      <c r="M269" s="324"/>
    </row>
    <row r="270" spans="1:13" x14ac:dyDescent="0.2">
      <c r="A270" s="50">
        <f t="shared" si="44"/>
        <v>1</v>
      </c>
      <c r="B270" s="51">
        <v>46031</v>
      </c>
      <c r="C270" s="51">
        <v>46031</v>
      </c>
      <c r="D270" s="66"/>
      <c r="E270" s="66">
        <v>60.2</v>
      </c>
      <c r="F270" s="8" t="s">
        <v>675</v>
      </c>
      <c r="G270" s="8" t="s">
        <v>145</v>
      </c>
      <c r="M270" s="324"/>
    </row>
    <row r="271" spans="1:13" x14ac:dyDescent="0.2">
      <c r="A271" s="50">
        <f t="shared" si="44"/>
        <v>1</v>
      </c>
      <c r="B271" s="51">
        <v>46031</v>
      </c>
      <c r="C271" s="51">
        <v>46031</v>
      </c>
      <c r="D271" s="66"/>
      <c r="E271" s="66">
        <v>8.1999999999999993</v>
      </c>
      <c r="F271" s="8" t="s">
        <v>559</v>
      </c>
      <c r="G271" s="8" t="s">
        <v>46</v>
      </c>
      <c r="M271" s="324"/>
    </row>
    <row r="272" spans="1:13" x14ac:dyDescent="0.2">
      <c r="A272" s="50">
        <f t="shared" ref="A272:A278" si="45">MONTH(C272)</f>
        <v>1</v>
      </c>
      <c r="B272" s="51">
        <v>46028</v>
      </c>
      <c r="C272" s="51">
        <v>46029</v>
      </c>
      <c r="D272" s="66"/>
      <c r="E272" s="66">
        <v>7.98</v>
      </c>
      <c r="F272" s="8" t="s">
        <v>560</v>
      </c>
      <c r="G272" s="8" t="s">
        <v>187</v>
      </c>
      <c r="J272" s="50" t="s">
        <v>561</v>
      </c>
      <c r="M272" s="324"/>
    </row>
    <row r="273" spans="1:13" x14ac:dyDescent="0.2">
      <c r="A273" s="50">
        <f t="shared" si="45"/>
        <v>1</v>
      </c>
      <c r="B273" s="51">
        <v>46028</v>
      </c>
      <c r="C273" s="51">
        <v>46029</v>
      </c>
      <c r="D273" s="66"/>
      <c r="E273" s="66">
        <v>2.2000000000000002</v>
      </c>
      <c r="F273" s="8" t="s">
        <v>677</v>
      </c>
      <c r="G273" s="8" t="s">
        <v>46</v>
      </c>
      <c r="M273" s="324"/>
    </row>
    <row r="274" spans="1:13" x14ac:dyDescent="0.2">
      <c r="A274" s="50">
        <f t="shared" si="45"/>
        <v>1</v>
      </c>
      <c r="B274" s="51">
        <v>46027</v>
      </c>
      <c r="C274" s="51">
        <v>46027</v>
      </c>
      <c r="D274" s="66"/>
      <c r="E274" s="66">
        <v>663.75</v>
      </c>
      <c r="F274" s="8" t="s">
        <v>553</v>
      </c>
      <c r="G274" s="8" t="s">
        <v>82</v>
      </c>
      <c r="M274" s="324"/>
    </row>
    <row r="275" spans="1:13" x14ac:dyDescent="0.2">
      <c r="A275" s="50">
        <f t="shared" si="45"/>
        <v>1</v>
      </c>
      <c r="B275" s="51">
        <v>46026</v>
      </c>
      <c r="C275" s="51">
        <v>46027</v>
      </c>
      <c r="D275" s="66"/>
      <c r="E275" s="66">
        <v>5.41</v>
      </c>
      <c r="F275" s="8" t="s">
        <v>554</v>
      </c>
      <c r="G275" s="8" t="s">
        <v>32</v>
      </c>
      <c r="M275" s="324"/>
    </row>
    <row r="276" spans="1:13" x14ac:dyDescent="0.2">
      <c r="A276" s="50">
        <f t="shared" si="45"/>
        <v>1</v>
      </c>
      <c r="B276" s="51">
        <v>46025</v>
      </c>
      <c r="C276" s="51">
        <v>46027</v>
      </c>
      <c r="D276" s="66"/>
      <c r="E276" s="66">
        <v>6.05</v>
      </c>
      <c r="F276" s="8" t="s">
        <v>555</v>
      </c>
      <c r="G276" s="8" t="s">
        <v>74</v>
      </c>
      <c r="M276" s="324"/>
    </row>
    <row r="277" spans="1:13" x14ac:dyDescent="0.2">
      <c r="A277" s="50">
        <f t="shared" si="45"/>
        <v>1</v>
      </c>
      <c r="B277" s="51">
        <v>46024</v>
      </c>
      <c r="C277" s="51">
        <v>46024</v>
      </c>
      <c r="D277" s="66"/>
      <c r="E277" s="66">
        <v>25.84</v>
      </c>
      <c r="F277" s="8" t="s">
        <v>669</v>
      </c>
      <c r="G277" s="8" t="s">
        <v>32</v>
      </c>
      <c r="M277" s="324"/>
    </row>
    <row r="278" spans="1:13" x14ac:dyDescent="0.2">
      <c r="A278" s="50">
        <f t="shared" si="45"/>
        <v>1</v>
      </c>
      <c r="B278" s="51">
        <v>46024</v>
      </c>
      <c r="C278" s="51">
        <v>46024</v>
      </c>
      <c r="D278" s="66"/>
      <c r="E278" s="66">
        <v>4.4000000000000004</v>
      </c>
      <c r="F278" s="8" t="s">
        <v>677</v>
      </c>
      <c r="G278" s="8" t="s">
        <v>46</v>
      </c>
      <c r="M278" s="324"/>
    </row>
  </sheetData>
  <autoFilter ref="A1:I278" xr:uid="{C374035D-ED0C-8346-B61B-FB4260558752}"/>
  <dataConsolidate/>
  <mergeCells count="1">
    <mergeCell ref="K1:L1"/>
  </mergeCell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30A5C18-D2F0-704D-B50E-984FDA10354D}">
          <x14:formula1>
            <xm:f>Dati!$G$3:$G$4</xm:f>
          </x14:formula1>
          <xm:sqref>H184:H185</xm:sqref>
        </x14:dataValidation>
        <x14:dataValidation type="list" allowBlank="1" showInputMessage="1" showErrorMessage="1" errorTitle="Messaggio" error="Valore non presente in elenco_x000a_" xr:uid="{B0C211A4-4F3F-1347-824E-299130530CF7}">
          <x14:formula1>
            <xm:f>Dati!$B$3:$B$105</xm:f>
          </x14:formula1>
          <xm:sqref>G2:G278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84EA-692A-674C-8475-BFF6DDE76557}">
  <sheetPr codeName="Foglio4">
    <tabColor rgb="FFFF0000"/>
  </sheetPr>
  <dimension ref="A1:J82"/>
  <sheetViews>
    <sheetView zoomScale="140" zoomScaleNormal="140" workbookViewId="0">
      <selection activeCell="A4" sqref="A4:XFD4"/>
    </sheetView>
  </sheetViews>
  <sheetFormatPr baseColWidth="10" defaultColWidth="11.3984375" defaultRowHeight="14" x14ac:dyDescent="0.2"/>
  <cols>
    <col min="1" max="1" width="12" style="8" bestFit="1" customWidth="1"/>
    <col min="2" max="3" width="12.3984375" style="10" bestFit="1" customWidth="1"/>
    <col min="4" max="4" width="14.19921875" style="9" bestFit="1" customWidth="1"/>
    <col min="5" max="5" width="13.3984375" style="9" bestFit="1" customWidth="1"/>
    <col min="6" max="6" width="30.19921875" style="43" bestFit="1" customWidth="1"/>
    <col min="7" max="7" width="59.19921875" style="8" customWidth="1"/>
    <col min="8" max="8" width="31.796875" style="8" bestFit="1" customWidth="1"/>
    <col min="9" max="9" width="21.59765625" style="8" customWidth="1"/>
    <col min="10" max="10" width="16" style="8" bestFit="1" customWidth="1"/>
    <col min="11" max="11" width="15.59765625" style="8" bestFit="1" customWidth="1"/>
    <col min="12" max="14" width="11" style="8"/>
    <col min="15" max="15" width="12.19921875" style="8" bestFit="1" customWidth="1"/>
    <col min="16" max="16" width="13.19921875" style="8" bestFit="1" customWidth="1"/>
    <col min="17" max="17" width="11" style="8"/>
    <col min="18" max="18" width="11.19921875" style="8" bestFit="1" customWidth="1"/>
    <col min="19" max="22" width="11" style="8"/>
    <col min="23" max="24" width="13.19921875" style="8" bestFit="1" customWidth="1"/>
    <col min="25" max="25" width="11" style="8"/>
    <col min="26" max="26" width="11.19921875" style="8" bestFit="1" customWidth="1"/>
    <col min="27" max="30" width="11" style="8"/>
    <col min="31" max="31" width="13.19921875" style="8" bestFit="1" customWidth="1"/>
    <col min="32" max="32" width="11.19921875" style="8" bestFit="1" customWidth="1"/>
    <col min="33" max="33" width="11" style="8"/>
    <col min="34" max="34" width="11.19921875" style="8" bestFit="1" customWidth="1"/>
    <col min="35" max="38" width="11" style="8"/>
    <col min="39" max="40" width="11.19921875" style="8" bestFit="1" customWidth="1"/>
    <col min="41" max="41" width="11" style="8"/>
    <col min="42" max="42" width="12.19921875" style="8" bestFit="1" customWidth="1"/>
    <col min="43" max="46" width="11" style="8"/>
    <col min="47" max="48" width="11.19921875" style="8" bestFit="1" customWidth="1"/>
    <col min="49" max="49" width="11" style="8"/>
    <col min="50" max="50" width="12.19921875" style="8" bestFit="1" customWidth="1"/>
    <col min="51" max="54" width="11" style="8"/>
    <col min="55" max="55" width="11.19921875" style="8" bestFit="1" customWidth="1"/>
    <col min="56" max="56" width="12.19921875" style="8" bestFit="1" customWidth="1"/>
    <col min="57" max="57" width="11" style="8"/>
    <col min="58" max="58" width="12.19921875" style="8" bestFit="1" customWidth="1"/>
    <col min="59" max="62" width="11" style="8"/>
    <col min="63" max="64" width="12.19921875" style="8" bestFit="1" customWidth="1"/>
    <col min="65" max="65" width="11" style="8"/>
    <col min="66" max="66" width="12.19921875" style="8" bestFit="1" customWidth="1"/>
    <col min="67" max="70" width="11" style="8"/>
    <col min="71" max="71" width="12.19921875" style="8" bestFit="1" customWidth="1"/>
    <col min="72" max="72" width="13.19921875" style="8" bestFit="1" customWidth="1"/>
    <col min="73" max="73" width="11" style="8"/>
    <col min="74" max="74" width="11.19921875" style="8" bestFit="1" customWidth="1"/>
    <col min="75" max="78" width="11" style="8"/>
    <col min="79" max="80" width="13.19921875" style="8" bestFit="1" customWidth="1"/>
    <col min="81" max="81" width="11" style="8"/>
    <col min="82" max="82" width="11.19921875" style="8" bestFit="1" customWidth="1"/>
    <col min="83" max="86" width="11" style="8"/>
    <col min="87" max="87" width="13.19921875" style="8" bestFit="1" customWidth="1"/>
    <col min="88" max="88" width="11.19921875" style="8" bestFit="1" customWidth="1"/>
    <col min="89" max="89" width="11" style="8"/>
    <col min="90" max="90" width="11.19921875" style="8" bestFit="1" customWidth="1"/>
    <col min="91" max="94" width="11" style="8"/>
    <col min="95" max="96" width="11.19921875" style="8" bestFit="1" customWidth="1"/>
    <col min="97" max="97" width="11" style="8"/>
    <col min="98" max="98" width="12.19921875" style="8" bestFit="1" customWidth="1"/>
    <col min="99" max="102" width="11" style="8"/>
    <col min="103" max="104" width="11.19921875" style="8" bestFit="1" customWidth="1"/>
    <col min="105" max="105" width="11" style="8"/>
    <col min="106" max="106" width="12.19921875" style="8" bestFit="1" customWidth="1"/>
    <col min="107" max="110" width="11" style="8"/>
    <col min="111" max="111" width="11.19921875" style="8" bestFit="1" customWidth="1"/>
    <col min="112" max="112" width="12.19921875" style="8" bestFit="1" customWidth="1"/>
    <col min="113" max="113" width="11" style="8"/>
    <col min="114" max="114" width="12.19921875" style="8" bestFit="1" customWidth="1"/>
    <col min="115" max="118" width="11" style="8"/>
    <col min="119" max="120" width="12.19921875" style="8" bestFit="1" customWidth="1"/>
    <col min="121" max="121" width="11" style="8"/>
    <col min="122" max="122" width="12.19921875" style="8" bestFit="1" customWidth="1"/>
    <col min="123" max="126" width="11" style="8"/>
    <col min="127" max="127" width="12.19921875" style="8" bestFit="1" customWidth="1"/>
    <col min="128" max="128" width="13.19921875" style="8" bestFit="1" customWidth="1"/>
    <col min="129" max="129" width="11" style="8"/>
    <col min="130" max="130" width="11.19921875" style="8" bestFit="1" customWidth="1"/>
    <col min="131" max="134" width="11" style="8"/>
    <col min="135" max="136" width="13.19921875" style="8" bestFit="1" customWidth="1"/>
    <col min="137" max="137" width="11" style="8"/>
    <col min="138" max="138" width="11.19921875" style="8" bestFit="1" customWidth="1"/>
    <col min="139" max="142" width="11" style="8"/>
    <col min="143" max="143" width="13.19921875" style="8" bestFit="1" customWidth="1"/>
    <col min="144" max="144" width="11.19921875" style="8" bestFit="1" customWidth="1"/>
    <col min="145" max="145" width="11" style="8"/>
    <col min="146" max="146" width="11.19921875" style="8" bestFit="1" customWidth="1"/>
    <col min="147" max="150" width="11" style="8"/>
    <col min="151" max="152" width="11.19921875" style="8" bestFit="1" customWidth="1"/>
    <col min="153" max="153" width="11" style="8"/>
    <col min="154" max="154" width="12.19921875" style="8" bestFit="1" customWidth="1"/>
    <col min="155" max="158" width="11" style="8"/>
    <col min="159" max="160" width="11.19921875" style="8" bestFit="1" customWidth="1"/>
    <col min="161" max="161" width="11" style="8"/>
    <col min="162" max="162" width="12.19921875" style="8" bestFit="1" customWidth="1"/>
    <col min="163" max="166" width="11" style="8"/>
    <col min="167" max="167" width="11.19921875" style="8" bestFit="1" customWidth="1"/>
    <col min="168" max="168" width="12.19921875" style="8" bestFit="1" customWidth="1"/>
    <col min="169" max="169" width="11" style="8"/>
    <col min="170" max="170" width="12.19921875" style="8" bestFit="1" customWidth="1"/>
    <col min="171" max="174" width="11" style="8"/>
    <col min="175" max="176" width="12.19921875" style="8" bestFit="1" customWidth="1"/>
    <col min="177" max="177" width="11" style="8"/>
    <col min="178" max="178" width="12.19921875" style="8" bestFit="1" customWidth="1"/>
    <col min="179" max="182" width="11" style="8"/>
    <col min="183" max="183" width="12.19921875" style="8" bestFit="1" customWidth="1"/>
    <col min="184" max="184" width="13.19921875" style="8" bestFit="1" customWidth="1"/>
    <col min="185" max="185" width="11" style="8"/>
    <col min="186" max="186" width="11.19921875" style="8" bestFit="1" customWidth="1"/>
    <col min="187" max="190" width="11" style="8"/>
    <col min="191" max="192" width="13.19921875" style="8" bestFit="1" customWidth="1"/>
    <col min="193" max="193" width="11" style="8"/>
    <col min="194" max="194" width="11.19921875" style="8" bestFit="1" customWidth="1"/>
    <col min="195" max="198" width="11" style="8"/>
    <col min="199" max="199" width="13.19921875" style="8" bestFit="1" customWidth="1"/>
    <col min="200" max="200" width="11.19921875" style="8" bestFit="1" customWidth="1"/>
    <col min="201" max="201" width="11" style="8"/>
    <col min="202" max="202" width="11.19921875" style="8" bestFit="1" customWidth="1"/>
    <col min="203" max="206" width="11" style="8"/>
    <col min="207" max="208" width="11.19921875" style="8" bestFit="1" customWidth="1"/>
    <col min="209" max="209" width="11" style="8"/>
    <col min="210" max="210" width="12.19921875" style="8" bestFit="1" customWidth="1"/>
    <col min="211" max="214" width="11" style="8"/>
    <col min="215" max="216" width="11.19921875" style="8" bestFit="1" customWidth="1"/>
    <col min="217" max="217" width="11" style="8"/>
    <col min="218" max="218" width="12.19921875" style="8" bestFit="1" customWidth="1"/>
    <col min="219" max="222" width="11" style="8"/>
    <col min="223" max="223" width="11.19921875" style="8" bestFit="1" customWidth="1"/>
    <col min="224" max="224" width="12.19921875" style="8" bestFit="1" customWidth="1"/>
    <col min="225" max="225" width="11" style="8"/>
    <col min="226" max="226" width="12.19921875" style="8" bestFit="1" customWidth="1"/>
    <col min="227" max="230" width="11" style="8"/>
    <col min="231" max="232" width="12.19921875" style="8" bestFit="1" customWidth="1"/>
    <col min="233" max="233" width="11" style="8"/>
    <col min="234" max="234" width="12.19921875" style="8" bestFit="1" customWidth="1"/>
    <col min="235" max="238" width="11" style="8"/>
    <col min="239" max="239" width="12.19921875" style="8" bestFit="1" customWidth="1"/>
    <col min="240" max="240" width="13.19921875" style="8" bestFit="1" customWidth="1"/>
    <col min="241" max="241" width="11" style="8"/>
    <col min="242" max="242" width="11.19921875" style="8" bestFit="1" customWidth="1"/>
    <col min="243" max="246" width="11" style="8"/>
    <col min="247" max="248" width="13.19921875" style="8" bestFit="1" customWidth="1"/>
    <col min="249" max="249" width="11" style="8"/>
    <col min="250" max="250" width="11.19921875" style="8" bestFit="1" customWidth="1"/>
    <col min="251" max="254" width="11" style="8"/>
    <col min="255" max="255" width="13.19921875" style="8" bestFit="1" customWidth="1"/>
    <col min="256" max="256" width="11.19921875" style="8" bestFit="1" customWidth="1"/>
    <col min="257" max="257" width="11" style="8"/>
    <col min="258" max="258" width="11.19921875" style="8" bestFit="1" customWidth="1"/>
    <col min="259" max="262" width="11" style="8"/>
    <col min="263" max="264" width="11.19921875" style="8" bestFit="1" customWidth="1"/>
    <col min="265" max="265" width="11" style="8"/>
    <col min="266" max="266" width="12.19921875" style="8" bestFit="1" customWidth="1"/>
    <col min="267" max="270" width="11" style="8"/>
    <col min="271" max="272" width="11.19921875" style="8" bestFit="1" customWidth="1"/>
    <col min="273" max="273" width="11" style="8"/>
    <col min="274" max="274" width="12.19921875" style="8" bestFit="1" customWidth="1"/>
    <col min="275" max="278" width="11" style="8"/>
    <col min="279" max="279" width="11.19921875" style="8" bestFit="1" customWidth="1"/>
    <col min="280" max="280" width="12.19921875" style="8" bestFit="1" customWidth="1"/>
    <col min="281" max="281" width="11" style="8"/>
    <col min="282" max="282" width="12.19921875" style="8" bestFit="1" customWidth="1"/>
    <col min="283" max="286" width="11" style="8"/>
    <col min="287" max="288" width="12.19921875" style="8" bestFit="1" customWidth="1"/>
    <col min="289" max="289" width="11" style="8"/>
    <col min="290" max="290" width="12.19921875" style="8" bestFit="1" customWidth="1"/>
    <col min="291" max="294" width="11" style="8"/>
    <col min="295" max="295" width="12.19921875" style="8" bestFit="1" customWidth="1"/>
    <col min="296" max="296" width="13.19921875" style="8" bestFit="1" customWidth="1"/>
    <col min="297" max="297" width="11" style="8"/>
    <col min="298" max="298" width="11.19921875" style="8" bestFit="1" customWidth="1"/>
    <col min="299" max="302" width="11" style="8"/>
    <col min="303" max="304" width="13.19921875" style="8" bestFit="1" customWidth="1"/>
    <col min="305" max="305" width="11" style="8"/>
    <col min="306" max="306" width="11.19921875" style="8" bestFit="1" customWidth="1"/>
    <col min="307" max="310" width="11" style="8"/>
    <col min="311" max="311" width="13.19921875" style="8" bestFit="1" customWidth="1"/>
    <col min="312" max="312" width="11.19921875" style="8" bestFit="1" customWidth="1"/>
    <col min="313" max="313" width="11" style="8"/>
    <col min="314" max="314" width="11.19921875" style="8" bestFit="1" customWidth="1"/>
    <col min="315" max="318" width="11" style="8"/>
    <col min="319" max="320" width="11.19921875" style="8" bestFit="1" customWidth="1"/>
    <col min="321" max="321" width="11" style="8"/>
    <col min="322" max="322" width="12.19921875" style="8" bestFit="1" customWidth="1"/>
    <col min="323" max="326" width="11" style="8"/>
    <col min="327" max="328" width="11.19921875" style="8" bestFit="1" customWidth="1"/>
    <col min="329" max="329" width="11" style="8"/>
    <col min="330" max="330" width="12.19921875" style="8" bestFit="1" customWidth="1"/>
    <col min="331" max="334" width="11" style="8"/>
    <col min="335" max="335" width="11.19921875" style="8" bestFit="1" customWidth="1"/>
    <col min="336" max="336" width="12.19921875" style="8" bestFit="1" customWidth="1"/>
    <col min="337" max="337" width="11" style="8"/>
    <col min="338" max="338" width="12.19921875" style="8" bestFit="1" customWidth="1"/>
    <col min="339" max="342" width="11" style="8"/>
    <col min="343" max="344" width="12.19921875" style="8" bestFit="1" customWidth="1"/>
    <col min="345" max="345" width="11" style="8"/>
    <col min="346" max="346" width="12.19921875" style="8" bestFit="1" customWidth="1"/>
    <col min="347" max="350" width="11" style="8"/>
    <col min="351" max="351" width="12.19921875" style="8" bestFit="1" customWidth="1"/>
    <col min="352" max="352" width="13.19921875" style="8" bestFit="1" customWidth="1"/>
    <col min="353" max="353" width="11" style="8"/>
    <col min="354" max="354" width="11.19921875" style="8" bestFit="1" customWidth="1"/>
    <col min="355" max="358" width="11" style="8"/>
    <col min="359" max="360" width="13.19921875" style="8" bestFit="1" customWidth="1"/>
    <col min="361" max="361" width="11" style="8"/>
    <col min="362" max="362" width="11.19921875" style="8" bestFit="1" customWidth="1"/>
    <col min="363" max="366" width="11" style="8"/>
    <col min="367" max="367" width="13.19921875" style="8" bestFit="1" customWidth="1"/>
    <col min="368" max="368" width="11.19921875" style="8" bestFit="1" customWidth="1"/>
    <col min="369" max="369" width="11" style="8"/>
    <col min="370" max="370" width="11.19921875" style="8" bestFit="1" customWidth="1"/>
    <col min="371" max="374" width="11" style="8"/>
    <col min="375" max="376" width="11.19921875" style="8" bestFit="1" customWidth="1"/>
    <col min="377" max="377" width="11" style="8"/>
    <col min="378" max="378" width="12.19921875" style="8" bestFit="1" customWidth="1"/>
    <col min="379" max="382" width="11" style="8"/>
    <col min="383" max="384" width="11.19921875" style="8" bestFit="1" customWidth="1"/>
    <col min="385" max="385" width="11" style="8"/>
    <col min="386" max="386" width="12.19921875" style="8" bestFit="1" customWidth="1"/>
    <col min="387" max="390" width="11" style="8"/>
    <col min="391" max="391" width="11.19921875" style="8" bestFit="1" customWidth="1"/>
    <col min="392" max="392" width="12.19921875" style="8" bestFit="1" customWidth="1"/>
    <col min="393" max="393" width="11" style="8"/>
    <col min="394" max="394" width="12.19921875" style="8" bestFit="1" customWidth="1"/>
    <col min="395" max="398" width="11" style="8"/>
    <col min="399" max="400" width="12.19921875" style="8" bestFit="1" customWidth="1"/>
    <col min="401" max="401" width="11" style="8"/>
    <col min="402" max="402" width="12.19921875" style="8" bestFit="1" customWidth="1"/>
    <col min="403" max="406" width="11" style="8"/>
    <col min="407" max="407" width="12.19921875" style="8" bestFit="1" customWidth="1"/>
    <col min="408" max="408" width="13.19921875" style="8" bestFit="1" customWidth="1"/>
    <col min="409" max="409" width="11" style="8"/>
    <col min="410" max="410" width="11.19921875" style="8" bestFit="1" customWidth="1"/>
    <col min="411" max="414" width="11" style="8"/>
    <col min="415" max="416" width="13.19921875" style="8" bestFit="1" customWidth="1"/>
    <col min="417" max="417" width="11" style="8"/>
    <col min="418" max="418" width="11.19921875" style="8" bestFit="1" customWidth="1"/>
    <col min="419" max="422" width="11" style="8"/>
    <col min="423" max="423" width="13.19921875" style="8" bestFit="1" customWidth="1"/>
    <col min="424" max="424" width="11.19921875" style="8" bestFit="1" customWidth="1"/>
    <col min="425" max="425" width="11" style="8"/>
    <col min="426" max="426" width="11.19921875" style="8" bestFit="1" customWidth="1"/>
    <col min="427" max="430" width="11" style="8"/>
    <col min="431" max="432" width="11.19921875" style="8" bestFit="1" customWidth="1"/>
    <col min="433" max="433" width="11" style="8"/>
    <col min="434" max="434" width="12.19921875" style="8" bestFit="1" customWidth="1"/>
    <col min="435" max="438" width="11" style="8"/>
    <col min="439" max="440" width="11.19921875" style="8" bestFit="1" customWidth="1"/>
    <col min="441" max="441" width="11" style="8"/>
    <col min="442" max="442" width="12.19921875" style="8" bestFit="1" customWidth="1"/>
    <col min="443" max="446" width="11" style="8"/>
    <col min="447" max="447" width="11.19921875" style="8" bestFit="1" customWidth="1"/>
    <col min="448" max="448" width="12.19921875" style="8" bestFit="1" customWidth="1"/>
    <col min="449" max="449" width="11" style="8"/>
    <col min="450" max="450" width="12.19921875" style="8" bestFit="1" customWidth="1"/>
    <col min="451" max="454" width="11" style="8"/>
    <col min="455" max="456" width="12.19921875" style="8" bestFit="1" customWidth="1"/>
    <col min="457" max="457" width="11" style="8"/>
    <col min="458" max="458" width="12.19921875" style="8" bestFit="1" customWidth="1"/>
    <col min="459" max="462" width="11" style="8"/>
    <col min="463" max="463" width="12.19921875" style="8" bestFit="1" customWidth="1"/>
    <col min="464" max="464" width="13.19921875" style="8" bestFit="1" customWidth="1"/>
    <col min="465" max="465" width="11" style="8"/>
    <col min="466" max="466" width="11.19921875" style="8" bestFit="1" customWidth="1"/>
    <col min="467" max="470" width="11" style="8"/>
    <col min="471" max="472" width="13.19921875" style="8" bestFit="1" customWidth="1"/>
    <col min="473" max="473" width="11" style="8"/>
    <col min="474" max="474" width="11.19921875" style="8" bestFit="1" customWidth="1"/>
    <col min="475" max="478" width="11" style="8"/>
    <col min="479" max="479" width="13.19921875" style="8" bestFit="1" customWidth="1"/>
    <col min="480" max="480" width="11.19921875" style="8" bestFit="1" customWidth="1"/>
    <col min="481" max="481" width="11" style="8"/>
    <col min="482" max="482" width="11.19921875" style="8" bestFit="1" customWidth="1"/>
    <col min="483" max="486" width="11" style="8"/>
    <col min="487" max="488" width="11.19921875" style="8" bestFit="1" customWidth="1"/>
    <col min="489" max="489" width="11" style="8"/>
    <col min="490" max="490" width="12.19921875" style="8" bestFit="1" customWidth="1"/>
    <col min="491" max="494" width="11" style="8"/>
    <col min="495" max="496" width="11.19921875" style="8" bestFit="1" customWidth="1"/>
    <col min="497" max="497" width="11" style="8"/>
    <col min="498" max="498" width="12.19921875" style="8" bestFit="1" customWidth="1"/>
    <col min="499" max="502" width="11" style="8"/>
    <col min="503" max="503" width="11.19921875" style="8" bestFit="1" customWidth="1"/>
    <col min="504" max="504" width="12.19921875" style="8" bestFit="1" customWidth="1"/>
    <col min="505" max="505" width="11" style="8"/>
    <col min="506" max="506" width="12.19921875" style="8" bestFit="1" customWidth="1"/>
    <col min="507" max="510" width="11" style="8"/>
    <col min="511" max="512" width="12.19921875" style="8" bestFit="1" customWidth="1"/>
    <col min="513" max="513" width="11" style="8"/>
    <col min="514" max="514" width="12.19921875" style="8" bestFit="1" customWidth="1"/>
    <col min="515" max="518" width="11" style="8"/>
    <col min="519" max="519" width="12.19921875" style="8" bestFit="1" customWidth="1"/>
    <col min="520" max="520" width="13.19921875" style="8" bestFit="1" customWidth="1"/>
    <col min="521" max="521" width="11" style="8"/>
    <col min="522" max="522" width="11.19921875" style="8" bestFit="1" customWidth="1"/>
    <col min="523" max="526" width="11" style="8"/>
    <col min="527" max="528" width="13.19921875" style="8" bestFit="1" customWidth="1"/>
    <col min="529" max="529" width="11" style="8"/>
    <col min="530" max="530" width="11.19921875" style="8" bestFit="1" customWidth="1"/>
    <col min="531" max="534" width="11" style="8"/>
    <col min="535" max="535" width="13.19921875" style="8" bestFit="1" customWidth="1"/>
    <col min="536" max="536" width="11.19921875" style="8" bestFit="1" customWidth="1"/>
    <col min="537" max="537" width="11" style="8"/>
    <col min="538" max="538" width="11.19921875" style="8" bestFit="1" customWidth="1"/>
    <col min="539" max="542" width="11" style="8"/>
    <col min="543" max="544" width="11.19921875" style="8" bestFit="1" customWidth="1"/>
    <col min="545" max="545" width="11" style="8"/>
    <col min="546" max="546" width="12.19921875" style="8" bestFit="1" customWidth="1"/>
    <col min="547" max="550" width="11" style="8"/>
    <col min="551" max="552" width="11.19921875" style="8" bestFit="1" customWidth="1"/>
    <col min="553" max="553" width="11" style="8"/>
    <col min="554" max="554" width="12.19921875" style="8" bestFit="1" customWidth="1"/>
    <col min="555" max="558" width="11" style="8"/>
    <col min="559" max="559" width="11.19921875" style="8" bestFit="1" customWidth="1"/>
    <col min="560" max="560" width="12.19921875" style="8" bestFit="1" customWidth="1"/>
    <col min="561" max="561" width="11" style="8"/>
    <col min="562" max="562" width="12.19921875" style="8" bestFit="1" customWidth="1"/>
    <col min="563" max="566" width="11" style="8"/>
    <col min="567" max="568" width="12.19921875" style="8" bestFit="1" customWidth="1"/>
    <col min="569" max="569" width="11" style="8"/>
    <col min="570" max="570" width="12.19921875" style="8" bestFit="1" customWidth="1"/>
    <col min="571" max="574" width="11" style="8"/>
    <col min="575" max="575" width="12.19921875" style="8" bestFit="1" customWidth="1"/>
    <col min="576" max="576" width="13.19921875" style="8" bestFit="1" customWidth="1"/>
    <col min="577" max="577" width="11" style="8"/>
    <col min="578" max="578" width="11.19921875" style="8" bestFit="1" customWidth="1"/>
    <col min="579" max="582" width="11" style="8"/>
    <col min="583" max="584" width="13.19921875" style="8" bestFit="1" customWidth="1"/>
    <col min="585" max="585" width="11" style="8"/>
    <col min="586" max="586" width="11.19921875" style="8" bestFit="1" customWidth="1"/>
    <col min="587" max="590" width="11" style="8"/>
    <col min="591" max="591" width="13.19921875" style="8" bestFit="1" customWidth="1"/>
    <col min="592" max="592" width="11.19921875" style="8" bestFit="1" customWidth="1"/>
    <col min="593" max="593" width="11" style="8"/>
    <col min="594" max="594" width="11.19921875" style="8" bestFit="1" customWidth="1"/>
    <col min="595" max="598" width="11" style="8"/>
    <col min="599" max="600" width="11.19921875" style="8" bestFit="1" customWidth="1"/>
    <col min="601" max="601" width="11" style="8"/>
    <col min="602" max="602" width="12.19921875" style="8" bestFit="1" customWidth="1"/>
    <col min="603" max="606" width="11" style="8"/>
    <col min="607" max="608" width="11.19921875" style="8" bestFit="1" customWidth="1"/>
    <col min="609" max="609" width="11" style="8"/>
    <col min="610" max="610" width="12.19921875" style="8" bestFit="1" customWidth="1"/>
    <col min="611" max="614" width="11" style="8"/>
    <col min="615" max="615" width="11.19921875" style="8" bestFit="1" customWidth="1"/>
    <col min="616" max="616" width="12.19921875" style="8" bestFit="1" customWidth="1"/>
    <col min="617" max="617" width="11" style="8"/>
    <col min="618" max="618" width="12.19921875" style="8" bestFit="1" customWidth="1"/>
    <col min="619" max="622" width="11" style="8"/>
    <col min="623" max="624" width="12.19921875" style="8" bestFit="1" customWidth="1"/>
    <col min="625" max="625" width="11" style="8"/>
    <col min="626" max="626" width="12.19921875" style="8" bestFit="1" customWidth="1"/>
    <col min="627" max="630" width="11" style="8"/>
    <col min="631" max="631" width="12.19921875" style="8" bestFit="1" customWidth="1"/>
    <col min="632" max="632" width="13.19921875" style="8" bestFit="1" customWidth="1"/>
    <col min="633" max="633" width="11" style="8"/>
    <col min="634" max="634" width="11.19921875" style="8" bestFit="1" customWidth="1"/>
    <col min="635" max="638" width="11" style="8"/>
    <col min="639" max="640" width="13.19921875" style="8" bestFit="1" customWidth="1"/>
    <col min="641" max="641" width="11" style="8"/>
    <col min="642" max="642" width="11.19921875" style="8" bestFit="1" customWidth="1"/>
    <col min="643" max="646" width="11" style="8"/>
    <col min="647" max="647" width="13.19921875" style="8" bestFit="1" customWidth="1"/>
    <col min="648" max="648" width="11.19921875" style="8" bestFit="1" customWidth="1"/>
    <col min="649" max="649" width="11" style="8"/>
    <col min="650" max="650" width="11.19921875" style="8" bestFit="1" customWidth="1"/>
    <col min="651" max="654" width="11" style="8"/>
    <col min="655" max="656" width="11.19921875" style="8" bestFit="1" customWidth="1"/>
    <col min="657" max="657" width="11" style="8"/>
    <col min="658" max="658" width="12.19921875" style="8" bestFit="1" customWidth="1"/>
    <col min="659" max="662" width="11" style="8"/>
    <col min="663" max="664" width="11.19921875" style="8" bestFit="1" customWidth="1"/>
    <col min="665" max="665" width="11" style="8"/>
    <col min="666" max="666" width="12.19921875" style="8" bestFit="1" customWidth="1"/>
    <col min="667" max="670" width="11" style="8"/>
    <col min="671" max="671" width="11.19921875" style="8" bestFit="1" customWidth="1"/>
    <col min="672" max="672" width="12.19921875" style="8" bestFit="1" customWidth="1"/>
    <col min="673" max="673" width="11" style="8"/>
    <col min="674" max="674" width="12.19921875" style="8" bestFit="1" customWidth="1"/>
    <col min="675" max="678" width="11" style="8"/>
    <col min="679" max="680" width="12.19921875" style="8" bestFit="1" customWidth="1"/>
    <col min="681" max="681" width="11" style="8"/>
    <col min="682" max="682" width="12.19921875" style="8" bestFit="1" customWidth="1"/>
    <col min="683" max="686" width="11" style="8"/>
    <col min="687" max="687" width="12.19921875" style="8" bestFit="1" customWidth="1"/>
    <col min="688" max="688" width="13.19921875" style="8" bestFit="1" customWidth="1"/>
    <col min="689" max="689" width="11" style="8"/>
    <col min="690" max="690" width="11.19921875" style="8" bestFit="1" customWidth="1"/>
    <col min="691" max="694" width="11" style="8"/>
    <col min="695" max="696" width="13.19921875" style="8" bestFit="1" customWidth="1"/>
    <col min="697" max="697" width="11" style="8"/>
    <col min="698" max="698" width="11.19921875" style="8" bestFit="1" customWidth="1"/>
    <col min="699" max="702" width="11" style="8"/>
    <col min="703" max="703" width="13.19921875" style="8" bestFit="1" customWidth="1"/>
    <col min="704" max="704" width="11.19921875" style="8" bestFit="1" customWidth="1"/>
    <col min="705" max="705" width="11" style="8"/>
    <col min="706" max="706" width="11.19921875" style="8" bestFit="1" customWidth="1"/>
    <col min="707" max="710" width="11" style="8"/>
    <col min="711" max="712" width="11.19921875" style="8" bestFit="1" customWidth="1"/>
    <col min="713" max="713" width="11" style="8"/>
    <col min="714" max="714" width="12.19921875" style="8" bestFit="1" customWidth="1"/>
    <col min="715" max="718" width="11" style="8"/>
    <col min="719" max="720" width="11.19921875" style="8" bestFit="1" customWidth="1"/>
    <col min="721" max="721" width="11" style="8"/>
    <col min="722" max="722" width="12.19921875" style="8" bestFit="1" customWidth="1"/>
    <col min="723" max="726" width="11" style="8"/>
    <col min="727" max="727" width="11.19921875" style="8" bestFit="1" customWidth="1"/>
    <col min="728" max="728" width="12.19921875" style="8" bestFit="1" customWidth="1"/>
    <col min="729" max="729" width="11" style="8"/>
    <col min="730" max="730" width="12.19921875" style="8" bestFit="1" customWidth="1"/>
    <col min="731" max="734" width="11" style="8"/>
    <col min="735" max="736" width="12.19921875" style="8" bestFit="1" customWidth="1"/>
    <col min="737" max="737" width="11" style="8"/>
    <col min="738" max="738" width="12.19921875" style="8" bestFit="1" customWidth="1"/>
    <col min="739" max="742" width="11" style="8"/>
    <col min="743" max="743" width="12.19921875" style="8" bestFit="1" customWidth="1"/>
    <col min="744" max="744" width="13.19921875" style="8" bestFit="1" customWidth="1"/>
    <col min="745" max="745" width="11" style="8"/>
    <col min="746" max="746" width="11.19921875" style="8" bestFit="1" customWidth="1"/>
    <col min="747" max="750" width="11" style="8"/>
    <col min="751" max="752" width="13.19921875" style="8" bestFit="1" customWidth="1"/>
    <col min="753" max="753" width="11" style="8"/>
    <col min="754" max="754" width="11.19921875" style="8" bestFit="1" customWidth="1"/>
    <col min="755" max="758" width="11" style="8"/>
    <col min="759" max="759" width="13.19921875" style="8" bestFit="1" customWidth="1"/>
    <col min="760" max="760" width="11.19921875" style="8" bestFit="1" customWidth="1"/>
    <col min="761" max="761" width="11" style="8"/>
    <col min="762" max="762" width="11.19921875" style="8" bestFit="1" customWidth="1"/>
    <col min="763" max="766" width="11" style="8"/>
    <col min="767" max="768" width="11.19921875" style="8" bestFit="1" customWidth="1"/>
    <col min="769" max="769" width="11" style="8"/>
    <col min="770" max="770" width="12.19921875" style="8" bestFit="1" customWidth="1"/>
    <col min="771" max="774" width="11" style="8"/>
    <col min="775" max="776" width="11.19921875" style="8" bestFit="1" customWidth="1"/>
    <col min="777" max="777" width="11" style="8"/>
    <col min="778" max="778" width="12.19921875" style="8" bestFit="1" customWidth="1"/>
    <col min="779" max="782" width="11" style="8"/>
    <col min="783" max="783" width="11.19921875" style="8" bestFit="1" customWidth="1"/>
    <col min="784" max="784" width="12.19921875" style="8" bestFit="1" customWidth="1"/>
    <col min="785" max="785" width="11" style="8"/>
    <col min="786" max="786" width="12.19921875" style="8" bestFit="1" customWidth="1"/>
    <col min="787" max="790" width="11" style="8"/>
    <col min="791" max="792" width="12.19921875" style="8" bestFit="1" customWidth="1"/>
    <col min="793" max="793" width="11" style="8"/>
    <col min="794" max="794" width="12.19921875" style="8" bestFit="1" customWidth="1"/>
    <col min="795" max="798" width="11" style="8"/>
    <col min="799" max="799" width="12.19921875" style="8" bestFit="1" customWidth="1"/>
    <col min="800" max="800" width="13.19921875" style="8" bestFit="1" customWidth="1"/>
    <col min="801" max="801" width="11" style="8"/>
    <col min="802" max="802" width="11.19921875" style="8" bestFit="1" customWidth="1"/>
    <col min="803" max="806" width="11" style="8"/>
    <col min="807" max="808" width="13.19921875" style="8" bestFit="1" customWidth="1"/>
    <col min="809" max="809" width="11" style="8"/>
    <col min="810" max="810" width="11.19921875" style="8" bestFit="1" customWidth="1"/>
    <col min="811" max="814" width="11" style="8"/>
    <col min="815" max="815" width="13.19921875" style="8" bestFit="1" customWidth="1"/>
    <col min="816" max="816" width="11.19921875" style="8" bestFit="1" customWidth="1"/>
    <col min="817" max="817" width="11" style="8"/>
    <col min="818" max="818" width="11.19921875" style="8" bestFit="1" customWidth="1"/>
    <col min="819" max="822" width="11" style="8"/>
    <col min="823" max="824" width="11.19921875" style="8" bestFit="1" customWidth="1"/>
    <col min="825" max="825" width="11" style="8"/>
    <col min="826" max="826" width="12.19921875" style="8" bestFit="1" customWidth="1"/>
    <col min="827" max="830" width="11" style="8"/>
    <col min="831" max="832" width="11.19921875" style="8" bestFit="1" customWidth="1"/>
    <col min="833" max="833" width="11" style="8"/>
    <col min="834" max="834" width="12.19921875" style="8" bestFit="1" customWidth="1"/>
    <col min="835" max="838" width="11" style="8"/>
    <col min="839" max="839" width="11.19921875" style="8" bestFit="1" customWidth="1"/>
    <col min="840" max="840" width="12.19921875" style="8" bestFit="1" customWidth="1"/>
    <col min="841" max="841" width="11" style="8"/>
    <col min="842" max="842" width="12.19921875" style="8" bestFit="1" customWidth="1"/>
    <col min="843" max="846" width="11" style="8"/>
    <col min="847" max="848" width="12.19921875" style="8" bestFit="1" customWidth="1"/>
    <col min="849" max="849" width="11" style="8"/>
    <col min="850" max="850" width="12.19921875" style="8" bestFit="1" customWidth="1"/>
    <col min="851" max="854" width="11" style="8"/>
    <col min="855" max="855" width="12.19921875" style="8" bestFit="1" customWidth="1"/>
    <col min="856" max="856" width="13.19921875" style="8" bestFit="1" customWidth="1"/>
    <col min="857" max="857" width="11" style="8"/>
    <col min="858" max="858" width="11.19921875" style="8" bestFit="1" customWidth="1"/>
    <col min="859" max="862" width="11" style="8"/>
    <col min="863" max="864" width="13.19921875" style="8" bestFit="1" customWidth="1"/>
    <col min="865" max="865" width="11" style="8"/>
    <col min="866" max="866" width="11.19921875" style="8" bestFit="1" customWidth="1"/>
    <col min="867" max="870" width="11" style="8"/>
    <col min="871" max="871" width="13.19921875" style="8" bestFit="1" customWidth="1"/>
    <col min="872" max="872" width="11.19921875" style="8" bestFit="1" customWidth="1"/>
    <col min="873" max="873" width="11" style="8"/>
    <col min="874" max="874" width="11.19921875" style="8" bestFit="1" customWidth="1"/>
    <col min="875" max="878" width="11" style="8"/>
    <col min="879" max="880" width="11.19921875" style="8" bestFit="1" customWidth="1"/>
    <col min="881" max="881" width="11" style="8"/>
    <col min="882" max="882" width="12.19921875" style="8" bestFit="1" customWidth="1"/>
    <col min="883" max="886" width="11" style="8"/>
    <col min="887" max="888" width="11.19921875" style="8" bestFit="1" customWidth="1"/>
    <col min="889" max="889" width="11" style="8"/>
    <col min="890" max="890" width="12.19921875" style="8" bestFit="1" customWidth="1"/>
    <col min="891" max="894" width="11" style="8"/>
    <col min="895" max="895" width="11.19921875" style="8" bestFit="1" customWidth="1"/>
    <col min="896" max="896" width="12.19921875" style="8" bestFit="1" customWidth="1"/>
    <col min="897" max="897" width="11" style="8"/>
    <col min="898" max="898" width="12.19921875" style="8" bestFit="1" customWidth="1"/>
    <col min="899" max="902" width="11" style="8"/>
    <col min="903" max="904" width="12.19921875" style="8" bestFit="1" customWidth="1"/>
    <col min="905" max="905" width="11" style="8"/>
    <col min="906" max="906" width="12.19921875" style="8" bestFit="1" customWidth="1"/>
    <col min="907" max="910" width="11" style="8"/>
    <col min="911" max="911" width="12.19921875" style="8" bestFit="1" customWidth="1"/>
    <col min="912" max="912" width="13.19921875" style="8" bestFit="1" customWidth="1"/>
    <col min="913" max="913" width="11" style="8"/>
    <col min="914" max="914" width="11.19921875" style="8" bestFit="1" customWidth="1"/>
    <col min="915" max="918" width="11" style="8"/>
    <col min="919" max="920" width="13.19921875" style="8" bestFit="1" customWidth="1"/>
    <col min="921" max="921" width="11" style="8"/>
    <col min="922" max="922" width="11.19921875" style="8" bestFit="1" customWidth="1"/>
    <col min="923" max="926" width="11" style="8"/>
    <col min="927" max="927" width="13.19921875" style="8" bestFit="1" customWidth="1"/>
    <col min="928" max="928" width="11.19921875" style="8" bestFit="1" customWidth="1"/>
    <col min="929" max="929" width="11" style="8"/>
    <col min="930" max="930" width="11.19921875" style="8" bestFit="1" customWidth="1"/>
    <col min="931" max="934" width="11" style="8"/>
    <col min="935" max="936" width="11.19921875" style="8" bestFit="1" customWidth="1"/>
    <col min="937" max="937" width="11" style="8"/>
    <col min="938" max="938" width="12.19921875" style="8" bestFit="1" customWidth="1"/>
    <col min="939" max="942" width="11" style="8"/>
    <col min="943" max="944" width="11.19921875" style="8" bestFit="1" customWidth="1"/>
    <col min="945" max="945" width="11" style="8"/>
    <col min="946" max="946" width="12.19921875" style="8" bestFit="1" customWidth="1"/>
    <col min="947" max="950" width="11" style="8"/>
    <col min="951" max="951" width="11.19921875" style="8" bestFit="1" customWidth="1"/>
    <col min="952" max="952" width="12.19921875" style="8" bestFit="1" customWidth="1"/>
    <col min="953" max="953" width="11" style="8"/>
    <col min="954" max="954" width="12.19921875" style="8" bestFit="1" customWidth="1"/>
    <col min="955" max="958" width="11" style="8"/>
    <col min="959" max="960" width="12.19921875" style="8" bestFit="1" customWidth="1"/>
    <col min="961" max="961" width="11" style="8"/>
    <col min="962" max="962" width="12.19921875" style="8" bestFit="1" customWidth="1"/>
    <col min="963" max="966" width="11" style="8"/>
    <col min="967" max="967" width="12.19921875" style="8" bestFit="1" customWidth="1"/>
    <col min="968" max="968" width="13.19921875" style="8" bestFit="1" customWidth="1"/>
    <col min="969" max="969" width="11" style="8"/>
    <col min="970" max="970" width="11.19921875" style="8" bestFit="1" customWidth="1"/>
    <col min="971" max="974" width="11" style="8"/>
    <col min="975" max="976" width="13.19921875" style="8" bestFit="1" customWidth="1"/>
    <col min="977" max="977" width="11" style="8"/>
    <col min="978" max="978" width="11.19921875" style="8" bestFit="1" customWidth="1"/>
    <col min="979" max="982" width="11" style="8"/>
    <col min="983" max="983" width="13.19921875" style="8" bestFit="1" customWidth="1"/>
    <col min="984" max="984" width="11.19921875" style="8" bestFit="1" customWidth="1"/>
    <col min="985" max="985" width="11" style="8"/>
    <col min="986" max="986" width="11.19921875" style="8" bestFit="1" customWidth="1"/>
    <col min="987" max="990" width="11" style="8"/>
    <col min="991" max="992" width="11.19921875" style="8" bestFit="1" customWidth="1"/>
    <col min="993" max="993" width="11" style="8"/>
    <col min="994" max="994" width="12.19921875" style="8" bestFit="1" customWidth="1"/>
    <col min="995" max="998" width="11" style="8"/>
    <col min="999" max="1000" width="11.19921875" style="8" bestFit="1" customWidth="1"/>
    <col min="1001" max="1001" width="11" style="8"/>
    <col min="1002" max="1002" width="12.19921875" style="8" bestFit="1" customWidth="1"/>
    <col min="1003" max="1006" width="11" style="8"/>
    <col min="1007" max="1007" width="11.19921875" style="8" bestFit="1" customWidth="1"/>
    <col min="1008" max="1008" width="12.19921875" style="8" bestFit="1" customWidth="1"/>
    <col min="1009" max="1009" width="11" style="8"/>
    <col min="1010" max="1010" width="12.19921875" style="8" bestFit="1" customWidth="1"/>
    <col min="1011" max="1014" width="11" style="8"/>
    <col min="1015" max="1016" width="12.19921875" style="8" bestFit="1" customWidth="1"/>
    <col min="1017" max="1017" width="11" style="8"/>
    <col min="1018" max="1018" width="12.19921875" style="8" bestFit="1" customWidth="1"/>
    <col min="1019" max="1022" width="11" style="8"/>
    <col min="1023" max="1023" width="12.19921875" style="8" bestFit="1" customWidth="1"/>
    <col min="1024" max="1024" width="13.19921875" style="8" bestFit="1" customWidth="1"/>
    <col min="1025" max="1025" width="11" style="8"/>
    <col min="1026" max="1026" width="11.19921875" style="8" bestFit="1" customWidth="1"/>
    <col min="1027" max="1030" width="11" style="8"/>
    <col min="1031" max="1032" width="13.19921875" style="8" bestFit="1" customWidth="1"/>
    <col min="1033" max="1033" width="11" style="8"/>
    <col min="1034" max="1034" width="11.19921875" style="8" bestFit="1" customWidth="1"/>
    <col min="1035" max="1038" width="11" style="8"/>
    <col min="1039" max="1039" width="13.19921875" style="8" bestFit="1" customWidth="1"/>
    <col min="1040" max="1040" width="11.19921875" style="8" bestFit="1" customWidth="1"/>
    <col min="1041" max="1041" width="11" style="8"/>
    <col min="1042" max="1042" width="11.19921875" style="8" bestFit="1" customWidth="1"/>
    <col min="1043" max="1046" width="11" style="8"/>
    <col min="1047" max="1048" width="11.19921875" style="8" bestFit="1" customWidth="1"/>
    <col min="1049" max="1049" width="11" style="8"/>
    <col min="1050" max="1050" width="12.19921875" style="8" bestFit="1" customWidth="1"/>
    <col min="1051" max="1054" width="11" style="8"/>
    <col min="1055" max="1056" width="11.19921875" style="8" bestFit="1" customWidth="1"/>
    <col min="1057" max="1057" width="11" style="8"/>
    <col min="1058" max="1058" width="12.19921875" style="8" bestFit="1" customWidth="1"/>
    <col min="1059" max="1062" width="11" style="8"/>
    <col min="1063" max="1063" width="11.19921875" style="8" bestFit="1" customWidth="1"/>
    <col min="1064" max="1064" width="12.19921875" style="8" bestFit="1" customWidth="1"/>
    <col min="1065" max="1065" width="11" style="8"/>
    <col min="1066" max="1066" width="12.19921875" style="8" bestFit="1" customWidth="1"/>
    <col min="1067" max="1070" width="11" style="8"/>
    <col min="1071" max="1072" width="12.19921875" style="8" bestFit="1" customWidth="1"/>
    <col min="1073" max="1073" width="11" style="8"/>
    <col min="1074" max="1074" width="12.19921875" style="8" bestFit="1" customWidth="1"/>
    <col min="1075" max="1078" width="11" style="8"/>
    <col min="1079" max="1079" width="12.19921875" style="8" bestFit="1" customWidth="1"/>
    <col min="1080" max="1080" width="13.19921875" style="8" bestFit="1" customWidth="1"/>
    <col min="1081" max="1081" width="11" style="8"/>
    <col min="1082" max="1082" width="11.19921875" style="8" bestFit="1" customWidth="1"/>
    <col min="1083" max="1086" width="11" style="8"/>
    <col min="1087" max="1088" width="13.19921875" style="8" bestFit="1" customWidth="1"/>
    <col min="1089" max="1089" width="11" style="8"/>
    <col min="1090" max="1090" width="11.19921875" style="8" bestFit="1" customWidth="1"/>
    <col min="1091" max="1094" width="11" style="8"/>
    <col min="1095" max="1095" width="13.19921875" style="8" bestFit="1" customWidth="1"/>
    <col min="1096" max="1096" width="11.19921875" style="8" bestFit="1" customWidth="1"/>
    <col min="1097" max="1097" width="11" style="8"/>
    <col min="1098" max="1098" width="11.19921875" style="8" bestFit="1" customWidth="1"/>
    <col min="1099" max="1102" width="11" style="8"/>
    <col min="1103" max="1104" width="11.19921875" style="8" bestFit="1" customWidth="1"/>
    <col min="1105" max="1105" width="11" style="8"/>
    <col min="1106" max="1106" width="12.19921875" style="8" bestFit="1" customWidth="1"/>
    <col min="1107" max="1110" width="11" style="8"/>
    <col min="1111" max="1112" width="11.19921875" style="8" bestFit="1" customWidth="1"/>
    <col min="1113" max="1113" width="11" style="8"/>
    <col min="1114" max="1114" width="12.19921875" style="8" bestFit="1" customWidth="1"/>
    <col min="1115" max="1118" width="11" style="8"/>
    <col min="1119" max="1119" width="11.19921875" style="8" bestFit="1" customWidth="1"/>
    <col min="1120" max="1120" width="12.19921875" style="8" bestFit="1" customWidth="1"/>
    <col min="1121" max="1121" width="11" style="8"/>
    <col min="1122" max="1122" width="12.19921875" style="8" bestFit="1" customWidth="1"/>
    <col min="1123" max="1126" width="11" style="8"/>
    <col min="1127" max="1128" width="12.19921875" style="8" bestFit="1" customWidth="1"/>
    <col min="1129" max="1129" width="11" style="8"/>
    <col min="1130" max="1130" width="12.19921875" style="8" bestFit="1" customWidth="1"/>
    <col min="1131" max="1134" width="11" style="8"/>
    <col min="1135" max="1135" width="12.19921875" style="8" bestFit="1" customWidth="1"/>
    <col min="1136" max="1136" width="13.19921875" style="8" bestFit="1" customWidth="1"/>
    <col min="1137" max="1137" width="11" style="8"/>
    <col min="1138" max="1138" width="11.19921875" style="8" bestFit="1" customWidth="1"/>
    <col min="1139" max="1142" width="11" style="8"/>
    <col min="1143" max="1144" width="13.19921875" style="8" bestFit="1" customWidth="1"/>
    <col min="1145" max="1145" width="11" style="8"/>
    <col min="1146" max="1146" width="11.19921875" style="8" bestFit="1" customWidth="1"/>
    <col min="1147" max="1150" width="11" style="8"/>
    <col min="1151" max="1151" width="13.19921875" style="8" bestFit="1" customWidth="1"/>
    <col min="1152" max="1152" width="11.19921875" style="8" bestFit="1" customWidth="1"/>
    <col min="1153" max="1153" width="11" style="8"/>
    <col min="1154" max="1154" width="11.19921875" style="8" bestFit="1" customWidth="1"/>
    <col min="1155" max="1158" width="11" style="8"/>
    <col min="1159" max="1160" width="11.19921875" style="8" bestFit="1" customWidth="1"/>
    <col min="1161" max="1161" width="11" style="8"/>
    <col min="1162" max="1162" width="12.19921875" style="8" bestFit="1" customWidth="1"/>
    <col min="1163" max="1166" width="11" style="8"/>
    <col min="1167" max="1168" width="11.19921875" style="8" bestFit="1" customWidth="1"/>
    <col min="1169" max="1169" width="11" style="8"/>
    <col min="1170" max="1170" width="12.19921875" style="8" bestFit="1" customWidth="1"/>
    <col min="1171" max="1174" width="11" style="8"/>
    <col min="1175" max="1175" width="11.19921875" style="8" bestFit="1" customWidth="1"/>
    <col min="1176" max="1176" width="12.19921875" style="8" bestFit="1" customWidth="1"/>
    <col min="1177" max="1177" width="11" style="8"/>
    <col min="1178" max="1178" width="12.19921875" style="8" bestFit="1" customWidth="1"/>
    <col min="1179" max="1182" width="11" style="8"/>
    <col min="1183" max="1184" width="12.19921875" style="8" bestFit="1" customWidth="1"/>
    <col min="1185" max="1185" width="11" style="8"/>
    <col min="1186" max="1186" width="12.19921875" style="8" bestFit="1" customWidth="1"/>
    <col min="1187" max="1190" width="11" style="8"/>
    <col min="1191" max="1191" width="12.19921875" style="8" bestFit="1" customWidth="1"/>
    <col min="1192" max="1192" width="13.19921875" style="8" bestFit="1" customWidth="1"/>
    <col min="1193" max="1193" width="11" style="8"/>
    <col min="1194" max="1194" width="11.19921875" style="8" bestFit="1" customWidth="1"/>
    <col min="1195" max="1198" width="11" style="8"/>
    <col min="1199" max="1200" width="13.19921875" style="8" bestFit="1" customWidth="1"/>
    <col min="1201" max="1201" width="11" style="8"/>
    <col min="1202" max="1202" width="11.19921875" style="8" bestFit="1" customWidth="1"/>
    <col min="1203" max="1206" width="11" style="8"/>
    <col min="1207" max="1207" width="13.19921875" style="8" bestFit="1" customWidth="1"/>
    <col min="1208" max="1208" width="11.19921875" style="8" bestFit="1" customWidth="1"/>
    <col min="1209" max="1209" width="11" style="8"/>
    <col min="1210" max="1210" width="11.19921875" style="8" bestFit="1" customWidth="1"/>
    <col min="1211" max="1214" width="11" style="8"/>
    <col min="1215" max="1216" width="11.19921875" style="8" bestFit="1" customWidth="1"/>
    <col min="1217" max="1217" width="11" style="8"/>
    <col min="1218" max="1218" width="12.19921875" style="8" bestFit="1" customWidth="1"/>
    <col min="1219" max="1222" width="11" style="8"/>
    <col min="1223" max="1224" width="11.19921875" style="8" bestFit="1" customWidth="1"/>
    <col min="1225" max="1225" width="11" style="8"/>
    <col min="1226" max="1226" width="12.19921875" style="8" bestFit="1" customWidth="1"/>
    <col min="1227" max="1230" width="11" style="8"/>
    <col min="1231" max="1231" width="11.19921875" style="8" bestFit="1" customWidth="1"/>
    <col min="1232" max="1232" width="12.19921875" style="8" bestFit="1" customWidth="1"/>
    <col min="1233" max="1233" width="11" style="8"/>
    <col min="1234" max="1234" width="12.19921875" style="8" bestFit="1" customWidth="1"/>
    <col min="1235" max="1238" width="11" style="8"/>
    <col min="1239" max="1240" width="12.19921875" style="8" bestFit="1" customWidth="1"/>
    <col min="1241" max="1241" width="11" style="8"/>
    <col min="1242" max="1242" width="12.19921875" style="8" bestFit="1" customWidth="1"/>
    <col min="1243" max="1246" width="11" style="8"/>
    <col min="1247" max="1247" width="12.19921875" style="8" bestFit="1" customWidth="1"/>
    <col min="1248" max="1248" width="13.19921875" style="8" bestFit="1" customWidth="1"/>
    <col min="1249" max="1249" width="11" style="8"/>
    <col min="1250" max="1250" width="11.19921875" style="8" bestFit="1" customWidth="1"/>
    <col min="1251" max="1254" width="11" style="8"/>
    <col min="1255" max="1256" width="13.19921875" style="8" bestFit="1" customWidth="1"/>
    <col min="1257" max="1257" width="11" style="8"/>
    <col min="1258" max="1258" width="11.19921875" style="8" bestFit="1" customWidth="1"/>
    <col min="1259" max="1262" width="11" style="8"/>
    <col min="1263" max="1263" width="13.19921875" style="8" bestFit="1" customWidth="1"/>
    <col min="1264" max="1264" width="11.19921875" style="8" bestFit="1" customWidth="1"/>
    <col min="1265" max="1265" width="11" style="8"/>
    <col min="1266" max="1266" width="11.19921875" style="8" bestFit="1" customWidth="1"/>
    <col min="1267" max="1270" width="11" style="8"/>
    <col min="1271" max="1272" width="11.19921875" style="8" bestFit="1" customWidth="1"/>
    <col min="1273" max="1273" width="11" style="8"/>
    <col min="1274" max="1274" width="12.19921875" style="8" bestFit="1" customWidth="1"/>
    <col min="1275" max="1278" width="11" style="8"/>
    <col min="1279" max="1280" width="11.19921875" style="8" bestFit="1" customWidth="1"/>
    <col min="1281" max="1281" width="11" style="8"/>
    <col min="1282" max="1282" width="12.19921875" style="8" bestFit="1" customWidth="1"/>
    <col min="1283" max="1286" width="11" style="8"/>
    <col min="1287" max="1287" width="11.19921875" style="8" bestFit="1" customWidth="1"/>
    <col min="1288" max="1288" width="12.19921875" style="8" bestFit="1" customWidth="1"/>
    <col min="1289" max="1289" width="11" style="8"/>
    <col min="1290" max="1290" width="12.19921875" style="8" bestFit="1" customWidth="1"/>
    <col min="1291" max="1294" width="11" style="8"/>
    <col min="1295" max="1296" width="12.19921875" style="8" bestFit="1" customWidth="1"/>
    <col min="1297" max="1297" width="11" style="8"/>
    <col min="1298" max="1298" width="12.19921875" style="8" bestFit="1" customWidth="1"/>
    <col min="1299" max="1302" width="11" style="8"/>
    <col min="1303" max="1303" width="12.19921875" style="8" bestFit="1" customWidth="1"/>
    <col min="1304" max="1304" width="13.19921875" style="8" bestFit="1" customWidth="1"/>
    <col min="1305" max="1305" width="11" style="8"/>
    <col min="1306" max="1306" width="11.19921875" style="8" bestFit="1" customWidth="1"/>
    <col min="1307" max="1310" width="11" style="8"/>
    <col min="1311" max="1312" width="13.19921875" style="8" bestFit="1" customWidth="1"/>
    <col min="1313" max="1313" width="11" style="8"/>
    <col min="1314" max="1314" width="11.19921875" style="8" bestFit="1" customWidth="1"/>
    <col min="1315" max="1318" width="11" style="8"/>
    <col min="1319" max="1319" width="13.19921875" style="8" bestFit="1" customWidth="1"/>
    <col min="1320" max="1320" width="11.19921875" style="8" bestFit="1" customWidth="1"/>
    <col min="1321" max="1321" width="11" style="8"/>
    <col min="1322" max="1322" width="11.19921875" style="8" bestFit="1" customWidth="1"/>
    <col min="1323" max="1326" width="11" style="8"/>
    <col min="1327" max="1328" width="11.19921875" style="8" bestFit="1" customWidth="1"/>
    <col min="1329" max="1329" width="11" style="8"/>
    <col min="1330" max="1330" width="12.19921875" style="8" bestFit="1" customWidth="1"/>
    <col min="1331" max="1334" width="11" style="8"/>
    <col min="1335" max="1336" width="11.19921875" style="8" bestFit="1" customWidth="1"/>
    <col min="1337" max="1337" width="11" style="8"/>
    <col min="1338" max="1338" width="12.19921875" style="8" bestFit="1" customWidth="1"/>
    <col min="1339" max="1342" width="11" style="8"/>
    <col min="1343" max="1343" width="11.19921875" style="8" bestFit="1" customWidth="1"/>
    <col min="1344" max="1344" width="12.19921875" style="8" bestFit="1" customWidth="1"/>
    <col min="1345" max="1345" width="11" style="8"/>
    <col min="1346" max="1346" width="12.19921875" style="8" bestFit="1" customWidth="1"/>
    <col min="1347" max="1350" width="11" style="8"/>
    <col min="1351" max="1352" width="12.19921875" style="8" bestFit="1" customWidth="1"/>
    <col min="1353" max="1353" width="11" style="8"/>
    <col min="1354" max="1354" width="12.19921875" style="8" bestFit="1" customWidth="1"/>
    <col min="1355" max="1358" width="11" style="8"/>
    <col min="1359" max="1359" width="12.19921875" style="8" bestFit="1" customWidth="1"/>
    <col min="1360" max="1360" width="13.19921875" style="8" bestFit="1" customWidth="1"/>
    <col min="1361" max="1361" width="11" style="8"/>
    <col min="1362" max="1362" width="11.19921875" style="8" bestFit="1" customWidth="1"/>
    <col min="1363" max="1366" width="11" style="8"/>
    <col min="1367" max="1368" width="13.19921875" style="8" bestFit="1" customWidth="1"/>
    <col min="1369" max="1369" width="11" style="8"/>
    <col min="1370" max="1370" width="11.19921875" style="8" bestFit="1" customWidth="1"/>
    <col min="1371" max="1374" width="11" style="8"/>
    <col min="1375" max="1375" width="13.19921875" style="8" bestFit="1" customWidth="1"/>
    <col min="1376" max="1376" width="11.19921875" style="8" bestFit="1" customWidth="1"/>
    <col min="1377" max="1377" width="11" style="8"/>
    <col min="1378" max="1378" width="11.19921875" style="8" bestFit="1" customWidth="1"/>
    <col min="1379" max="1382" width="11" style="8"/>
    <col min="1383" max="1384" width="11.19921875" style="8" bestFit="1" customWidth="1"/>
    <col min="1385" max="1385" width="11" style="8"/>
    <col min="1386" max="1386" width="12.19921875" style="8" bestFit="1" customWidth="1"/>
    <col min="1387" max="1390" width="11" style="8"/>
    <col min="1391" max="1392" width="11.19921875" style="8" bestFit="1" customWidth="1"/>
    <col min="1393" max="1393" width="11" style="8"/>
    <col min="1394" max="1394" width="12.19921875" style="8" bestFit="1" customWidth="1"/>
    <col min="1395" max="1398" width="11" style="8"/>
    <col min="1399" max="1399" width="11.19921875" style="8" bestFit="1" customWidth="1"/>
    <col min="1400" max="1400" width="12.19921875" style="8" bestFit="1" customWidth="1"/>
    <col min="1401" max="1401" width="11" style="8"/>
    <col min="1402" max="1402" width="12.19921875" style="8" bestFit="1" customWidth="1"/>
    <col min="1403" max="1406" width="11" style="8"/>
    <col min="1407" max="1408" width="12.19921875" style="8" bestFit="1" customWidth="1"/>
    <col min="1409" max="1409" width="11" style="8"/>
    <col min="1410" max="1410" width="12.19921875" style="8" bestFit="1" customWidth="1"/>
    <col min="1411" max="1414" width="11" style="8"/>
    <col min="1415" max="1415" width="12.19921875" style="8" bestFit="1" customWidth="1"/>
    <col min="1416" max="1416" width="13.19921875" style="8" bestFit="1" customWidth="1"/>
    <col min="1417" max="1417" width="11" style="8"/>
    <col min="1418" max="1418" width="11.19921875" style="8" bestFit="1" customWidth="1"/>
    <col min="1419" max="1422" width="11" style="8"/>
    <col min="1423" max="1424" width="13.19921875" style="8" bestFit="1" customWidth="1"/>
    <col min="1425" max="1425" width="11" style="8"/>
    <col min="1426" max="1426" width="11.19921875" style="8" bestFit="1" customWidth="1"/>
    <col min="1427" max="1430" width="11" style="8"/>
    <col min="1431" max="1431" width="13.19921875" style="8" bestFit="1" customWidth="1"/>
    <col min="1432" max="1432" width="11.19921875" style="8" bestFit="1" customWidth="1"/>
    <col min="1433" max="1433" width="11" style="8"/>
    <col min="1434" max="1434" width="11.19921875" style="8" bestFit="1" customWidth="1"/>
    <col min="1435" max="1438" width="11" style="8"/>
    <col min="1439" max="1440" width="11.19921875" style="8" bestFit="1" customWidth="1"/>
    <col min="1441" max="1441" width="11" style="8"/>
    <col min="1442" max="1442" width="12.19921875" style="8" bestFit="1" customWidth="1"/>
    <col min="1443" max="1446" width="11" style="8"/>
    <col min="1447" max="1448" width="11.19921875" style="8" bestFit="1" customWidth="1"/>
    <col min="1449" max="1449" width="11" style="8"/>
    <col min="1450" max="1450" width="12.19921875" style="8" bestFit="1" customWidth="1"/>
    <col min="1451" max="1454" width="11" style="8"/>
    <col min="1455" max="1455" width="11.19921875" style="8" bestFit="1" customWidth="1"/>
    <col min="1456" max="1456" width="12.19921875" style="8" bestFit="1" customWidth="1"/>
    <col min="1457" max="1457" width="11" style="8"/>
    <col min="1458" max="1458" width="12.19921875" style="8" bestFit="1" customWidth="1"/>
    <col min="1459" max="1462" width="11" style="8"/>
    <col min="1463" max="1464" width="12.19921875" style="8" bestFit="1" customWidth="1"/>
    <col min="1465" max="1465" width="11" style="8"/>
    <col min="1466" max="1466" width="12.19921875" style="8" bestFit="1" customWidth="1"/>
    <col min="1467" max="1470" width="11" style="8"/>
    <col min="1471" max="1471" width="12.19921875" style="8" bestFit="1" customWidth="1"/>
    <col min="1472" max="1472" width="13.19921875" style="8" bestFit="1" customWidth="1"/>
    <col min="1473" max="1473" width="11" style="8"/>
    <col min="1474" max="1474" width="11.19921875" style="8" bestFit="1" customWidth="1"/>
    <col min="1475" max="1478" width="11" style="8"/>
    <col min="1479" max="1480" width="13.19921875" style="8" bestFit="1" customWidth="1"/>
    <col min="1481" max="1481" width="11" style="8"/>
    <col min="1482" max="1482" width="11.19921875" style="8" bestFit="1" customWidth="1"/>
    <col min="1483" max="1486" width="11" style="8"/>
    <col min="1487" max="1487" width="13.19921875" style="8" bestFit="1" customWidth="1"/>
    <col min="1488" max="1488" width="11.19921875" style="8" bestFit="1" customWidth="1"/>
    <col min="1489" max="1489" width="11" style="8"/>
    <col min="1490" max="1490" width="11.19921875" style="8" bestFit="1" customWidth="1"/>
    <col min="1491" max="1494" width="11" style="8"/>
    <col min="1495" max="1496" width="11.19921875" style="8" bestFit="1" customWidth="1"/>
    <col min="1497" max="1497" width="11" style="8"/>
    <col min="1498" max="1498" width="12.19921875" style="8" bestFit="1" customWidth="1"/>
    <col min="1499" max="1502" width="11" style="8"/>
    <col min="1503" max="1504" width="11.19921875" style="8" bestFit="1" customWidth="1"/>
    <col min="1505" max="1505" width="11" style="8"/>
    <col min="1506" max="1506" width="12.19921875" style="8" bestFit="1" customWidth="1"/>
    <col min="1507" max="1510" width="11" style="8"/>
    <col min="1511" max="1511" width="11.19921875" style="8" bestFit="1" customWidth="1"/>
    <col min="1512" max="1512" width="12.19921875" style="8" bestFit="1" customWidth="1"/>
    <col min="1513" max="1513" width="11" style="8"/>
    <col min="1514" max="1514" width="12.19921875" style="8" bestFit="1" customWidth="1"/>
    <col min="1515" max="1518" width="11" style="8"/>
    <col min="1519" max="1520" width="12.19921875" style="8" bestFit="1" customWidth="1"/>
    <col min="1521" max="1521" width="11" style="8"/>
    <col min="1522" max="1522" width="12.19921875" style="8" bestFit="1" customWidth="1"/>
    <col min="1523" max="1526" width="11" style="8"/>
    <col min="1527" max="1527" width="12.19921875" style="8" bestFit="1" customWidth="1"/>
    <col min="1528" max="1528" width="13.19921875" style="8" bestFit="1" customWidth="1"/>
    <col min="1529" max="1529" width="11" style="8"/>
    <col min="1530" max="1530" width="11.19921875" style="8" bestFit="1" customWidth="1"/>
    <col min="1531" max="1534" width="11" style="8"/>
    <col min="1535" max="1536" width="13.19921875" style="8" bestFit="1" customWidth="1"/>
    <col min="1537" max="1537" width="11" style="8"/>
    <col min="1538" max="1538" width="11.19921875" style="8" bestFit="1" customWidth="1"/>
    <col min="1539" max="1542" width="11" style="8"/>
    <col min="1543" max="1543" width="13.19921875" style="8" bestFit="1" customWidth="1"/>
    <col min="1544" max="1544" width="11.19921875" style="8" bestFit="1" customWidth="1"/>
    <col min="1545" max="1545" width="11" style="8"/>
    <col min="1546" max="1546" width="11.19921875" style="8" bestFit="1" customWidth="1"/>
    <col min="1547" max="1550" width="11" style="8"/>
    <col min="1551" max="1552" width="11.19921875" style="8" bestFit="1" customWidth="1"/>
    <col min="1553" max="1553" width="11" style="8"/>
    <col min="1554" max="1554" width="12.19921875" style="8" bestFit="1" customWidth="1"/>
    <col min="1555" max="1558" width="11" style="8"/>
    <col min="1559" max="1560" width="11.19921875" style="8" bestFit="1" customWidth="1"/>
    <col min="1561" max="1561" width="11" style="8"/>
    <col min="1562" max="1562" width="12.19921875" style="8" bestFit="1" customWidth="1"/>
    <col min="1563" max="1566" width="11" style="8"/>
    <col min="1567" max="1567" width="11.19921875" style="8" bestFit="1" customWidth="1"/>
    <col min="1568" max="1568" width="12.19921875" style="8" bestFit="1" customWidth="1"/>
    <col min="1569" max="1569" width="11" style="8"/>
    <col min="1570" max="1570" width="12.19921875" style="8" bestFit="1" customWidth="1"/>
    <col min="1571" max="1574" width="11" style="8"/>
    <col min="1575" max="1576" width="12.19921875" style="8" bestFit="1" customWidth="1"/>
    <col min="1577" max="1577" width="11" style="8"/>
    <col min="1578" max="1578" width="12.19921875" style="8" bestFit="1" customWidth="1"/>
    <col min="1579" max="1582" width="11" style="8"/>
    <col min="1583" max="1583" width="12.19921875" style="8" bestFit="1" customWidth="1"/>
    <col min="1584" max="1584" width="13.19921875" style="8" bestFit="1" customWidth="1"/>
    <col min="1585" max="1585" width="11" style="8"/>
    <col min="1586" max="1586" width="11.19921875" style="8" bestFit="1" customWidth="1"/>
    <col min="1587" max="1590" width="11" style="8"/>
    <col min="1591" max="1592" width="13.19921875" style="8" bestFit="1" customWidth="1"/>
    <col min="1593" max="1593" width="11" style="8"/>
    <col min="1594" max="1594" width="11.19921875" style="8" bestFit="1" customWidth="1"/>
    <col min="1595" max="1598" width="11" style="8"/>
    <col min="1599" max="1599" width="13.19921875" style="8" bestFit="1" customWidth="1"/>
    <col min="1600" max="1600" width="11.19921875" style="8" bestFit="1" customWidth="1"/>
    <col min="1601" max="1601" width="11" style="8"/>
    <col min="1602" max="1602" width="11.19921875" style="8" bestFit="1" customWidth="1"/>
    <col min="1603" max="1606" width="11" style="8"/>
    <col min="1607" max="1608" width="11.19921875" style="8" bestFit="1" customWidth="1"/>
    <col min="1609" max="1609" width="11" style="8"/>
    <col min="1610" max="1610" width="12.19921875" style="8" bestFit="1" customWidth="1"/>
    <col min="1611" max="1614" width="11" style="8"/>
    <col min="1615" max="1616" width="11.19921875" style="8" bestFit="1" customWidth="1"/>
    <col min="1617" max="1617" width="11" style="8"/>
    <col min="1618" max="1618" width="12.19921875" style="8" bestFit="1" customWidth="1"/>
    <col min="1619" max="1622" width="11" style="8"/>
    <col min="1623" max="1623" width="11.19921875" style="8" bestFit="1" customWidth="1"/>
    <col min="1624" max="1624" width="12.19921875" style="8" bestFit="1" customWidth="1"/>
    <col min="1625" max="1625" width="11" style="8"/>
    <col min="1626" max="1626" width="12.19921875" style="8" bestFit="1" customWidth="1"/>
    <col min="1627" max="1630" width="11" style="8"/>
    <col min="1631" max="1632" width="12.19921875" style="8" bestFit="1" customWidth="1"/>
    <col min="1633" max="1633" width="11" style="8"/>
    <col min="1634" max="1634" width="12.19921875" style="8" bestFit="1" customWidth="1"/>
    <col min="1635" max="1638" width="11" style="8"/>
    <col min="1639" max="1639" width="12.19921875" style="8" bestFit="1" customWidth="1"/>
    <col min="1640" max="1640" width="13.19921875" style="8" bestFit="1" customWidth="1"/>
    <col min="1641" max="1641" width="11" style="8"/>
    <col min="1642" max="1642" width="11.19921875" style="8" bestFit="1" customWidth="1"/>
    <col min="1643" max="1646" width="11" style="8"/>
    <col min="1647" max="1648" width="13.19921875" style="8" bestFit="1" customWidth="1"/>
    <col min="1649" max="1649" width="11" style="8"/>
    <col min="1650" max="1650" width="11.19921875" style="8" bestFit="1" customWidth="1"/>
    <col min="1651" max="1654" width="11" style="8"/>
    <col min="1655" max="1655" width="13.19921875" style="8" bestFit="1" customWidth="1"/>
    <col min="1656" max="1656" width="11.19921875" style="8" bestFit="1" customWidth="1"/>
    <col min="1657" max="1657" width="11" style="8"/>
    <col min="1658" max="1658" width="11.19921875" style="8" bestFit="1" customWidth="1"/>
    <col min="1659" max="1662" width="11" style="8"/>
    <col min="1663" max="1664" width="11.19921875" style="8" bestFit="1" customWidth="1"/>
    <col min="1665" max="1665" width="11" style="8"/>
    <col min="1666" max="1666" width="12.19921875" style="8" bestFit="1" customWidth="1"/>
    <col min="1667" max="1670" width="11" style="8"/>
    <col min="1671" max="1672" width="11.19921875" style="8" bestFit="1" customWidth="1"/>
    <col min="1673" max="1673" width="11" style="8"/>
    <col min="1674" max="1674" width="12.19921875" style="8" bestFit="1" customWidth="1"/>
    <col min="1675" max="1678" width="11" style="8"/>
    <col min="1679" max="1679" width="11.19921875" style="8" bestFit="1" customWidth="1"/>
    <col min="1680" max="1680" width="12.19921875" style="8" bestFit="1" customWidth="1"/>
    <col min="1681" max="1681" width="11" style="8"/>
    <col min="1682" max="1682" width="12.19921875" style="8" bestFit="1" customWidth="1"/>
    <col min="1683" max="1686" width="11" style="8"/>
    <col min="1687" max="1688" width="12.19921875" style="8" bestFit="1" customWidth="1"/>
    <col min="1689" max="1689" width="11" style="8"/>
    <col min="1690" max="1690" width="12.19921875" style="8" bestFit="1" customWidth="1"/>
    <col min="1691" max="1694" width="11" style="8"/>
    <col min="1695" max="1695" width="12.19921875" style="8" bestFit="1" customWidth="1"/>
    <col min="1696" max="1696" width="13.19921875" style="8" bestFit="1" customWidth="1"/>
    <col min="1697" max="1697" width="11" style="8"/>
    <col min="1698" max="1698" width="11.19921875" style="8" bestFit="1" customWidth="1"/>
    <col min="1699" max="1702" width="11" style="8"/>
    <col min="1703" max="1704" width="13.19921875" style="8" bestFit="1" customWidth="1"/>
    <col min="1705" max="1705" width="11" style="8"/>
    <col min="1706" max="1706" width="11.19921875" style="8" bestFit="1" customWidth="1"/>
    <col min="1707" max="1710" width="11" style="8"/>
    <col min="1711" max="1711" width="13.19921875" style="8" bestFit="1" customWidth="1"/>
    <col min="1712" max="1712" width="11.19921875" style="8" bestFit="1" customWidth="1"/>
    <col min="1713" max="1713" width="11" style="8"/>
    <col min="1714" max="1714" width="11.19921875" style="8" bestFit="1" customWidth="1"/>
    <col min="1715" max="1718" width="11" style="8"/>
    <col min="1719" max="1720" width="11.19921875" style="8" bestFit="1" customWidth="1"/>
    <col min="1721" max="1721" width="11" style="8"/>
    <col min="1722" max="1722" width="12.19921875" style="8" bestFit="1" customWidth="1"/>
    <col min="1723" max="1726" width="11" style="8"/>
    <col min="1727" max="1728" width="11.19921875" style="8" bestFit="1" customWidth="1"/>
    <col min="1729" max="1729" width="11" style="8"/>
    <col min="1730" max="1730" width="12.19921875" style="8" bestFit="1" customWidth="1"/>
    <col min="1731" max="1734" width="11" style="8"/>
    <col min="1735" max="1735" width="11.19921875" style="8" bestFit="1" customWidth="1"/>
    <col min="1736" max="1736" width="12.19921875" style="8" bestFit="1" customWidth="1"/>
    <col min="1737" max="1737" width="11" style="8"/>
    <col min="1738" max="1738" width="12.19921875" style="8" bestFit="1" customWidth="1"/>
    <col min="1739" max="1742" width="11" style="8"/>
    <col min="1743" max="1744" width="12.19921875" style="8" bestFit="1" customWidth="1"/>
    <col min="1745" max="1745" width="11" style="8"/>
    <col min="1746" max="1746" width="12.19921875" style="8" bestFit="1" customWidth="1"/>
    <col min="1747" max="1750" width="11" style="8"/>
    <col min="1751" max="1751" width="12.19921875" style="8" bestFit="1" customWidth="1"/>
    <col min="1752" max="1752" width="13.19921875" style="8" bestFit="1" customWidth="1"/>
    <col min="1753" max="1753" width="11" style="8"/>
    <col min="1754" max="1754" width="11.19921875" style="8" bestFit="1" customWidth="1"/>
    <col min="1755" max="1758" width="11" style="8"/>
    <col min="1759" max="1760" width="13.19921875" style="8" bestFit="1" customWidth="1"/>
    <col min="1761" max="1761" width="11" style="8"/>
    <col min="1762" max="1762" width="11.19921875" style="8" bestFit="1" customWidth="1"/>
    <col min="1763" max="1766" width="11" style="8"/>
    <col min="1767" max="1767" width="13.19921875" style="8" bestFit="1" customWidth="1"/>
    <col min="1768" max="1768" width="11.19921875" style="8" bestFit="1" customWidth="1"/>
    <col min="1769" max="1769" width="11" style="8"/>
    <col min="1770" max="1770" width="11.19921875" style="8" bestFit="1" customWidth="1"/>
    <col min="1771" max="1774" width="11" style="8"/>
    <col min="1775" max="1776" width="11.19921875" style="8" bestFit="1" customWidth="1"/>
    <col min="1777" max="1777" width="11" style="8"/>
    <col min="1778" max="1778" width="12.19921875" style="8" bestFit="1" customWidth="1"/>
    <col min="1779" max="1782" width="11" style="8"/>
    <col min="1783" max="1784" width="11.19921875" style="8" bestFit="1" customWidth="1"/>
    <col min="1785" max="1785" width="11" style="8"/>
    <col min="1786" max="1786" width="12.19921875" style="8" bestFit="1" customWidth="1"/>
    <col min="1787" max="1790" width="11" style="8"/>
    <col min="1791" max="1791" width="11.19921875" style="8" bestFit="1" customWidth="1"/>
    <col min="1792" max="1792" width="12.19921875" style="8" bestFit="1" customWidth="1"/>
    <col min="1793" max="1793" width="11" style="8"/>
    <col min="1794" max="1794" width="12.19921875" style="8" bestFit="1" customWidth="1"/>
    <col min="1795" max="1798" width="11" style="8"/>
    <col min="1799" max="1800" width="12.19921875" style="8" bestFit="1" customWidth="1"/>
    <col min="1801" max="1801" width="11" style="8"/>
    <col min="1802" max="1802" width="12.19921875" style="8" bestFit="1" customWidth="1"/>
    <col min="1803" max="1806" width="11" style="8"/>
    <col min="1807" max="1807" width="12.19921875" style="8" bestFit="1" customWidth="1"/>
    <col min="1808" max="1808" width="13.19921875" style="8" bestFit="1" customWidth="1"/>
    <col min="1809" max="1809" width="11" style="8"/>
    <col min="1810" max="1810" width="11.19921875" style="8" bestFit="1" customWidth="1"/>
    <col min="1811" max="1814" width="11" style="8"/>
    <col min="1815" max="1816" width="13.19921875" style="8" bestFit="1" customWidth="1"/>
    <col min="1817" max="1817" width="11" style="8"/>
    <col min="1818" max="1818" width="11.19921875" style="8" bestFit="1" customWidth="1"/>
    <col min="1819" max="1822" width="11" style="8"/>
    <col min="1823" max="1823" width="13.19921875" style="8" bestFit="1" customWidth="1"/>
    <col min="1824" max="1824" width="11.19921875" style="8" bestFit="1" customWidth="1"/>
    <col min="1825" max="1825" width="11" style="8"/>
    <col min="1826" max="1826" width="11.19921875" style="8" bestFit="1" customWidth="1"/>
    <col min="1827" max="1830" width="11" style="8"/>
    <col min="1831" max="1832" width="11.19921875" style="8" bestFit="1" customWidth="1"/>
    <col min="1833" max="1833" width="11" style="8"/>
    <col min="1834" max="1834" width="12.19921875" style="8" bestFit="1" customWidth="1"/>
    <col min="1835" max="1838" width="11" style="8"/>
    <col min="1839" max="1840" width="11.19921875" style="8" bestFit="1" customWidth="1"/>
    <col min="1841" max="1841" width="11" style="8"/>
    <col min="1842" max="1842" width="12.19921875" style="8" bestFit="1" customWidth="1"/>
    <col min="1843" max="1846" width="11" style="8"/>
    <col min="1847" max="1847" width="11.19921875" style="8" bestFit="1" customWidth="1"/>
    <col min="1848" max="1848" width="12.19921875" style="8" bestFit="1" customWidth="1"/>
    <col min="1849" max="1849" width="11" style="8"/>
    <col min="1850" max="1850" width="12.19921875" style="8" bestFit="1" customWidth="1"/>
    <col min="1851" max="1854" width="11" style="8"/>
    <col min="1855" max="1856" width="12.19921875" style="8" bestFit="1" customWidth="1"/>
    <col min="1857" max="1857" width="11" style="8"/>
    <col min="1858" max="1858" width="12.19921875" style="8" bestFit="1" customWidth="1"/>
    <col min="1859" max="1862" width="11" style="8"/>
    <col min="1863" max="1863" width="12.19921875" style="8" bestFit="1" customWidth="1"/>
    <col min="1864" max="1864" width="13.19921875" style="8" bestFit="1" customWidth="1"/>
    <col min="1865" max="1865" width="11" style="8"/>
    <col min="1866" max="1866" width="11.19921875" style="8" bestFit="1" customWidth="1"/>
    <col min="1867" max="1870" width="11" style="8"/>
    <col min="1871" max="1872" width="13.19921875" style="8" bestFit="1" customWidth="1"/>
    <col min="1873" max="1873" width="11" style="8"/>
    <col min="1874" max="1874" width="11.19921875" style="8" bestFit="1" customWidth="1"/>
    <col min="1875" max="1878" width="11" style="8"/>
    <col min="1879" max="1879" width="13.19921875" style="8" bestFit="1" customWidth="1"/>
    <col min="1880" max="1880" width="11.19921875" style="8" bestFit="1" customWidth="1"/>
    <col min="1881" max="1881" width="11" style="8"/>
    <col min="1882" max="1882" width="11.19921875" style="8" bestFit="1" customWidth="1"/>
    <col min="1883" max="1886" width="11" style="8"/>
    <col min="1887" max="1888" width="11.19921875" style="8" bestFit="1" customWidth="1"/>
    <col min="1889" max="1889" width="11" style="8"/>
    <col min="1890" max="1890" width="12.19921875" style="8" bestFit="1" customWidth="1"/>
    <col min="1891" max="1894" width="11" style="8"/>
    <col min="1895" max="1896" width="11.19921875" style="8" bestFit="1" customWidth="1"/>
    <col min="1897" max="1897" width="11" style="8"/>
    <col min="1898" max="1898" width="12.19921875" style="8" bestFit="1" customWidth="1"/>
    <col min="1899" max="1902" width="11" style="8"/>
    <col min="1903" max="1903" width="11.19921875" style="8" bestFit="1" customWidth="1"/>
    <col min="1904" max="1904" width="12.19921875" style="8" bestFit="1" customWidth="1"/>
    <col min="1905" max="1905" width="11" style="8"/>
    <col min="1906" max="1906" width="12.19921875" style="8" bestFit="1" customWidth="1"/>
    <col min="1907" max="1910" width="11" style="8"/>
    <col min="1911" max="1912" width="12.19921875" style="8" bestFit="1" customWidth="1"/>
    <col min="1913" max="1913" width="11" style="8"/>
    <col min="1914" max="1914" width="12.19921875" style="8" bestFit="1" customWidth="1"/>
    <col min="1915" max="1918" width="11" style="8"/>
    <col min="1919" max="1919" width="12.19921875" style="8" bestFit="1" customWidth="1"/>
    <col min="1920" max="1920" width="13.19921875" style="8" bestFit="1" customWidth="1"/>
    <col min="1921" max="1921" width="11" style="8"/>
    <col min="1922" max="1922" width="11.19921875" style="8" bestFit="1" customWidth="1"/>
    <col min="1923" max="1926" width="11" style="8"/>
    <col min="1927" max="1928" width="13.19921875" style="8" bestFit="1" customWidth="1"/>
    <col min="1929" max="1929" width="11" style="8"/>
    <col min="1930" max="1930" width="11.19921875" style="8" bestFit="1" customWidth="1"/>
    <col min="1931" max="1934" width="11" style="8"/>
    <col min="1935" max="1935" width="13.19921875" style="8" bestFit="1" customWidth="1"/>
    <col min="1936" max="1936" width="11.19921875" style="8" bestFit="1" customWidth="1"/>
    <col min="1937" max="1937" width="11" style="8"/>
    <col min="1938" max="1938" width="11.19921875" style="8" bestFit="1" customWidth="1"/>
    <col min="1939" max="1942" width="11" style="8"/>
    <col min="1943" max="1944" width="11.19921875" style="8" bestFit="1" customWidth="1"/>
    <col min="1945" max="1945" width="11" style="8"/>
    <col min="1946" max="1946" width="12.19921875" style="8" bestFit="1" customWidth="1"/>
    <col min="1947" max="1950" width="11" style="8"/>
    <col min="1951" max="1952" width="11.19921875" style="8" bestFit="1" customWidth="1"/>
    <col min="1953" max="1953" width="11" style="8"/>
    <col min="1954" max="1954" width="12.19921875" style="8" bestFit="1" customWidth="1"/>
    <col min="1955" max="1958" width="11" style="8"/>
    <col min="1959" max="1959" width="11.19921875" style="8" bestFit="1" customWidth="1"/>
    <col min="1960" max="1960" width="12.19921875" style="8" bestFit="1" customWidth="1"/>
    <col min="1961" max="1961" width="11" style="8"/>
    <col min="1962" max="1962" width="12.19921875" style="8" bestFit="1" customWidth="1"/>
    <col min="1963" max="1966" width="11" style="8"/>
    <col min="1967" max="1968" width="12.19921875" style="8" bestFit="1" customWidth="1"/>
    <col min="1969" max="1969" width="11" style="8"/>
    <col min="1970" max="1970" width="12.19921875" style="8" bestFit="1" customWidth="1"/>
    <col min="1971" max="1974" width="11" style="8"/>
    <col min="1975" max="1975" width="12.19921875" style="8" bestFit="1" customWidth="1"/>
    <col min="1976" max="1976" width="13.19921875" style="8" bestFit="1" customWidth="1"/>
    <col min="1977" max="1977" width="11" style="8"/>
    <col min="1978" max="1978" width="11.19921875" style="8" bestFit="1" customWidth="1"/>
    <col min="1979" max="1982" width="11" style="8"/>
    <col min="1983" max="1984" width="13.19921875" style="8" bestFit="1" customWidth="1"/>
    <col min="1985" max="1985" width="11" style="8"/>
    <col min="1986" max="1986" width="11.19921875" style="8" bestFit="1" customWidth="1"/>
    <col min="1987" max="1990" width="11" style="8"/>
    <col min="1991" max="1991" width="13.19921875" style="8" bestFit="1" customWidth="1"/>
    <col min="1992" max="1992" width="11.19921875" style="8" bestFit="1" customWidth="1"/>
    <col min="1993" max="1993" width="11" style="8"/>
    <col min="1994" max="1994" width="11.19921875" style="8" bestFit="1" customWidth="1"/>
    <col min="1995" max="1998" width="11" style="8"/>
    <col min="1999" max="2000" width="11.19921875" style="8" bestFit="1" customWidth="1"/>
    <col min="2001" max="2001" width="11" style="8"/>
    <col min="2002" max="2002" width="12.19921875" style="8" bestFit="1" customWidth="1"/>
    <col min="2003" max="2006" width="11" style="8"/>
    <col min="2007" max="2008" width="11.19921875" style="8" bestFit="1" customWidth="1"/>
    <col min="2009" max="2009" width="11" style="8"/>
    <col min="2010" max="2010" width="12.19921875" style="8" bestFit="1" customWidth="1"/>
    <col min="2011" max="2014" width="11" style="8"/>
    <col min="2015" max="2015" width="11.19921875" style="8" bestFit="1" customWidth="1"/>
    <col min="2016" max="2016" width="12.19921875" style="8" bestFit="1" customWidth="1"/>
    <col min="2017" max="2017" width="11" style="8"/>
    <col min="2018" max="2018" width="12.19921875" style="8" bestFit="1" customWidth="1"/>
    <col min="2019" max="2022" width="11" style="8"/>
    <col min="2023" max="2024" width="12.19921875" style="8" bestFit="1" customWidth="1"/>
    <col min="2025" max="2025" width="11" style="8"/>
    <col min="2026" max="2026" width="12.19921875" style="8" bestFit="1" customWidth="1"/>
    <col min="2027" max="2030" width="11" style="8"/>
    <col min="2031" max="2031" width="12.19921875" style="8" bestFit="1" customWidth="1"/>
    <col min="2032" max="2032" width="13.19921875" style="8" bestFit="1" customWidth="1"/>
    <col min="2033" max="2033" width="11" style="8"/>
    <col min="2034" max="2034" width="11.19921875" style="8" bestFit="1" customWidth="1"/>
    <col min="2035" max="2038" width="11" style="8"/>
    <col min="2039" max="2040" width="13.19921875" style="8" bestFit="1" customWidth="1"/>
    <col min="2041" max="2041" width="11" style="8"/>
    <col min="2042" max="2042" width="11.19921875" style="8" bestFit="1" customWidth="1"/>
    <col min="2043" max="2046" width="11" style="8"/>
    <col min="2047" max="2047" width="13.19921875" style="8" bestFit="1" customWidth="1"/>
    <col min="2048" max="2048" width="11.19921875" style="8" bestFit="1" customWidth="1"/>
    <col min="2049" max="2049" width="11" style="8"/>
    <col min="2050" max="2050" width="11.19921875" style="8" bestFit="1" customWidth="1"/>
    <col min="2051" max="2054" width="11" style="8"/>
    <col min="2055" max="2056" width="11.19921875" style="8" bestFit="1" customWidth="1"/>
    <col min="2057" max="2057" width="11" style="8"/>
    <col min="2058" max="2058" width="12.19921875" style="8" bestFit="1" customWidth="1"/>
    <col min="2059" max="2062" width="11" style="8"/>
    <col min="2063" max="2064" width="11.19921875" style="8" bestFit="1" customWidth="1"/>
    <col min="2065" max="2065" width="11" style="8"/>
    <col min="2066" max="2066" width="12.19921875" style="8" bestFit="1" customWidth="1"/>
    <col min="2067" max="2070" width="11" style="8"/>
    <col min="2071" max="2071" width="11.19921875" style="8" bestFit="1" customWidth="1"/>
    <col min="2072" max="2072" width="12.19921875" style="8" bestFit="1" customWidth="1"/>
    <col min="2073" max="2073" width="11" style="8"/>
    <col min="2074" max="2074" width="12.19921875" style="8" bestFit="1" customWidth="1"/>
    <col min="2075" max="2078" width="11" style="8"/>
    <col min="2079" max="2080" width="12.19921875" style="8" bestFit="1" customWidth="1"/>
    <col min="2081" max="2081" width="11" style="8"/>
    <col min="2082" max="2082" width="12.19921875" style="8" bestFit="1" customWidth="1"/>
    <col min="2083" max="2086" width="11" style="8"/>
    <col min="2087" max="2087" width="12.19921875" style="8" bestFit="1" customWidth="1"/>
    <col min="2088" max="2088" width="13.19921875" style="8" bestFit="1" customWidth="1"/>
    <col min="2089" max="2089" width="11" style="8"/>
    <col min="2090" max="2090" width="11.19921875" style="8" bestFit="1" customWidth="1"/>
    <col min="2091" max="2094" width="11" style="8"/>
    <col min="2095" max="2096" width="13.19921875" style="8" bestFit="1" customWidth="1"/>
    <col min="2097" max="2097" width="11" style="8"/>
    <col min="2098" max="2098" width="11.19921875" style="8" bestFit="1" customWidth="1"/>
    <col min="2099" max="2102" width="11" style="8"/>
    <col min="2103" max="2103" width="13.19921875" style="8" bestFit="1" customWidth="1"/>
    <col min="2104" max="2104" width="11.19921875" style="8" bestFit="1" customWidth="1"/>
    <col min="2105" max="2105" width="11" style="8"/>
    <col min="2106" max="2106" width="11.19921875" style="8" bestFit="1" customWidth="1"/>
    <col min="2107" max="2110" width="11" style="8"/>
    <col min="2111" max="2112" width="11.19921875" style="8" bestFit="1" customWidth="1"/>
    <col min="2113" max="2113" width="11" style="8"/>
    <col min="2114" max="2114" width="12.19921875" style="8" bestFit="1" customWidth="1"/>
    <col min="2115" max="2118" width="11" style="8"/>
    <col min="2119" max="2120" width="11.19921875" style="8" bestFit="1" customWidth="1"/>
    <col min="2121" max="2121" width="11" style="8"/>
    <col min="2122" max="2122" width="12.19921875" style="8" bestFit="1" customWidth="1"/>
    <col min="2123" max="2126" width="11" style="8"/>
    <col min="2127" max="2127" width="11.19921875" style="8" bestFit="1" customWidth="1"/>
    <col min="2128" max="2128" width="12.19921875" style="8" bestFit="1" customWidth="1"/>
    <col min="2129" max="2129" width="11" style="8"/>
    <col min="2130" max="2130" width="12.19921875" style="8" bestFit="1" customWidth="1"/>
    <col min="2131" max="2134" width="11" style="8"/>
    <col min="2135" max="2136" width="12.19921875" style="8" bestFit="1" customWidth="1"/>
    <col min="2137" max="2137" width="11" style="8"/>
    <col min="2138" max="2138" width="12.19921875" style="8" bestFit="1" customWidth="1"/>
    <col min="2139" max="2142" width="11" style="8"/>
    <col min="2143" max="2143" width="12.19921875" style="8" bestFit="1" customWidth="1"/>
    <col min="2144" max="2144" width="13.19921875" style="8" bestFit="1" customWidth="1"/>
    <col min="2145" max="2145" width="11" style="8"/>
    <col min="2146" max="2146" width="11.19921875" style="8" bestFit="1" customWidth="1"/>
    <col min="2147" max="2150" width="11" style="8"/>
    <col min="2151" max="2152" width="13.19921875" style="8" bestFit="1" customWidth="1"/>
    <col min="2153" max="2153" width="11" style="8"/>
    <col min="2154" max="2154" width="11.19921875" style="8" bestFit="1" customWidth="1"/>
    <col min="2155" max="2158" width="11" style="8"/>
    <col min="2159" max="2159" width="13.19921875" style="8" bestFit="1" customWidth="1"/>
    <col min="2160" max="2160" width="11.19921875" style="8" bestFit="1" customWidth="1"/>
    <col min="2161" max="2161" width="11" style="8"/>
    <col min="2162" max="2162" width="11.19921875" style="8" bestFit="1" customWidth="1"/>
    <col min="2163" max="2166" width="11" style="8"/>
    <col min="2167" max="2168" width="11.19921875" style="8" bestFit="1" customWidth="1"/>
    <col min="2169" max="2169" width="11" style="8"/>
    <col min="2170" max="2170" width="12.19921875" style="8" bestFit="1" customWidth="1"/>
    <col min="2171" max="2174" width="11" style="8"/>
    <col min="2175" max="2176" width="11.19921875" style="8" bestFit="1" customWidth="1"/>
    <col min="2177" max="2177" width="11" style="8"/>
    <col min="2178" max="2178" width="12.19921875" style="8" bestFit="1" customWidth="1"/>
    <col min="2179" max="2182" width="11" style="8"/>
    <col min="2183" max="2183" width="11.19921875" style="8" bestFit="1" customWidth="1"/>
    <col min="2184" max="2184" width="12.19921875" style="8" bestFit="1" customWidth="1"/>
    <col min="2185" max="2185" width="11" style="8"/>
    <col min="2186" max="2186" width="12.19921875" style="8" bestFit="1" customWidth="1"/>
    <col min="2187" max="2190" width="11" style="8"/>
    <col min="2191" max="2192" width="12.19921875" style="8" bestFit="1" customWidth="1"/>
    <col min="2193" max="2193" width="11" style="8"/>
    <col min="2194" max="2194" width="12.19921875" style="8" bestFit="1" customWidth="1"/>
    <col min="2195" max="2198" width="11" style="8"/>
    <col min="2199" max="2199" width="12.19921875" style="8" bestFit="1" customWidth="1"/>
    <col min="2200" max="2200" width="13.19921875" style="8" bestFit="1" customWidth="1"/>
    <col min="2201" max="2201" width="11" style="8"/>
    <col min="2202" max="2202" width="11.19921875" style="8" bestFit="1" customWidth="1"/>
    <col min="2203" max="2206" width="11" style="8"/>
    <col min="2207" max="2208" width="13.19921875" style="8" bestFit="1" customWidth="1"/>
    <col min="2209" max="2209" width="11" style="8"/>
    <col min="2210" max="2210" width="11.19921875" style="8" bestFit="1" customWidth="1"/>
    <col min="2211" max="2214" width="11" style="8"/>
    <col min="2215" max="2215" width="13.19921875" style="8" bestFit="1" customWidth="1"/>
    <col min="2216" max="2216" width="11.19921875" style="8" bestFit="1" customWidth="1"/>
    <col min="2217" max="2217" width="11" style="8"/>
    <col min="2218" max="2218" width="11.19921875" style="8" bestFit="1" customWidth="1"/>
    <col min="2219" max="2222" width="11" style="8"/>
    <col min="2223" max="2224" width="11.19921875" style="8" bestFit="1" customWidth="1"/>
    <col min="2225" max="2225" width="11" style="8"/>
    <col min="2226" max="2226" width="12.19921875" style="8" bestFit="1" customWidth="1"/>
    <col min="2227" max="2230" width="11" style="8"/>
    <col min="2231" max="2232" width="11.19921875" style="8" bestFit="1" customWidth="1"/>
    <col min="2233" max="2233" width="11" style="8"/>
    <col min="2234" max="2234" width="12.19921875" style="8" bestFit="1" customWidth="1"/>
    <col min="2235" max="2238" width="11" style="8"/>
    <col min="2239" max="2239" width="11.19921875" style="8" bestFit="1" customWidth="1"/>
    <col min="2240" max="2240" width="12.19921875" style="8" bestFit="1" customWidth="1"/>
    <col min="2241" max="2241" width="11" style="8"/>
    <col min="2242" max="2242" width="12.19921875" style="8" bestFit="1" customWidth="1"/>
    <col min="2243" max="2246" width="11" style="8"/>
    <col min="2247" max="2248" width="12.19921875" style="8" bestFit="1" customWidth="1"/>
    <col min="2249" max="2249" width="11" style="8"/>
    <col min="2250" max="2250" width="12.19921875" style="8" bestFit="1" customWidth="1"/>
    <col min="2251" max="2254" width="11" style="8"/>
    <col min="2255" max="2255" width="12.19921875" style="8" bestFit="1" customWidth="1"/>
    <col min="2256" max="2256" width="13.19921875" style="8" bestFit="1" customWidth="1"/>
    <col min="2257" max="2257" width="11" style="8"/>
    <col min="2258" max="2258" width="11.19921875" style="8" bestFit="1" customWidth="1"/>
    <col min="2259" max="2262" width="11" style="8"/>
    <col min="2263" max="2264" width="13.19921875" style="8" bestFit="1" customWidth="1"/>
    <col min="2265" max="2265" width="11" style="8"/>
    <col min="2266" max="2266" width="11.19921875" style="8" bestFit="1" customWidth="1"/>
    <col min="2267" max="2270" width="11" style="8"/>
    <col min="2271" max="2271" width="13.19921875" style="8" bestFit="1" customWidth="1"/>
    <col min="2272" max="2272" width="11.19921875" style="8" bestFit="1" customWidth="1"/>
    <col min="2273" max="2273" width="11" style="8"/>
    <col min="2274" max="2274" width="11.19921875" style="8" bestFit="1" customWidth="1"/>
    <col min="2275" max="2278" width="11" style="8"/>
    <col min="2279" max="2280" width="11.19921875" style="8" bestFit="1" customWidth="1"/>
    <col min="2281" max="2281" width="11" style="8"/>
    <col min="2282" max="2282" width="12.19921875" style="8" bestFit="1" customWidth="1"/>
    <col min="2283" max="2286" width="11" style="8"/>
    <col min="2287" max="2288" width="11.19921875" style="8" bestFit="1" customWidth="1"/>
    <col min="2289" max="2289" width="11" style="8"/>
    <col min="2290" max="2290" width="12.19921875" style="8" bestFit="1" customWidth="1"/>
    <col min="2291" max="2294" width="11" style="8"/>
    <col min="2295" max="2295" width="11.19921875" style="8" bestFit="1" customWidth="1"/>
    <col min="2296" max="2296" width="12.19921875" style="8" bestFit="1" customWidth="1"/>
    <col min="2297" max="2297" width="11" style="8"/>
    <col min="2298" max="2298" width="12.19921875" style="8" bestFit="1" customWidth="1"/>
    <col min="2299" max="2302" width="11" style="8"/>
    <col min="2303" max="2304" width="12.19921875" style="8" bestFit="1" customWidth="1"/>
    <col min="2305" max="2305" width="11" style="8"/>
    <col min="2306" max="2306" width="12.19921875" style="8" bestFit="1" customWidth="1"/>
    <col min="2307" max="2310" width="11" style="8"/>
    <col min="2311" max="2311" width="12.19921875" style="8" bestFit="1" customWidth="1"/>
    <col min="2312" max="2312" width="13.19921875" style="8" bestFit="1" customWidth="1"/>
    <col min="2313" max="2313" width="11" style="8"/>
    <col min="2314" max="2314" width="11.19921875" style="8" bestFit="1" customWidth="1"/>
    <col min="2315" max="2318" width="11" style="8"/>
    <col min="2319" max="2320" width="13.19921875" style="8" bestFit="1" customWidth="1"/>
    <col min="2321" max="2321" width="11" style="8"/>
    <col min="2322" max="2322" width="11.19921875" style="8" bestFit="1" customWidth="1"/>
    <col min="2323" max="2326" width="11" style="8"/>
    <col min="2327" max="2327" width="13.19921875" style="8" bestFit="1" customWidth="1"/>
    <col min="2328" max="2328" width="11.19921875" style="8" bestFit="1" customWidth="1"/>
    <col min="2329" max="2329" width="11" style="8"/>
    <col min="2330" max="2330" width="11.19921875" style="8" bestFit="1" customWidth="1"/>
    <col min="2331" max="2334" width="11" style="8"/>
    <col min="2335" max="2336" width="11.19921875" style="8" bestFit="1" customWidth="1"/>
    <col min="2337" max="2337" width="11" style="8"/>
    <col min="2338" max="2338" width="12.19921875" style="8" bestFit="1" customWidth="1"/>
    <col min="2339" max="2342" width="11" style="8"/>
    <col min="2343" max="2344" width="11.19921875" style="8" bestFit="1" customWidth="1"/>
    <col min="2345" max="2345" width="11" style="8"/>
    <col min="2346" max="2346" width="12.19921875" style="8" bestFit="1" customWidth="1"/>
    <col min="2347" max="2350" width="11" style="8"/>
    <col min="2351" max="2351" width="11.19921875" style="8" bestFit="1" customWidth="1"/>
    <col min="2352" max="2352" width="12.19921875" style="8" bestFit="1" customWidth="1"/>
    <col min="2353" max="2353" width="11" style="8"/>
    <col min="2354" max="2354" width="12.19921875" style="8" bestFit="1" customWidth="1"/>
    <col min="2355" max="2358" width="11" style="8"/>
    <col min="2359" max="2360" width="12.19921875" style="8" bestFit="1" customWidth="1"/>
    <col min="2361" max="2361" width="11" style="8"/>
    <col min="2362" max="2362" width="12.19921875" style="8" bestFit="1" customWidth="1"/>
    <col min="2363" max="2366" width="11" style="8"/>
    <col min="2367" max="2367" width="12.19921875" style="8" bestFit="1" customWidth="1"/>
    <col min="2368" max="2368" width="13.19921875" style="8" bestFit="1" customWidth="1"/>
    <col min="2369" max="2369" width="11" style="8"/>
    <col min="2370" max="2370" width="11.19921875" style="8" bestFit="1" customWidth="1"/>
    <col min="2371" max="2374" width="11" style="8"/>
    <col min="2375" max="2376" width="13.19921875" style="8" bestFit="1" customWidth="1"/>
    <col min="2377" max="2377" width="11" style="8"/>
    <col min="2378" max="2378" width="11.19921875" style="8" bestFit="1" customWidth="1"/>
    <col min="2379" max="2382" width="11" style="8"/>
    <col min="2383" max="2383" width="13.19921875" style="8" bestFit="1" customWidth="1"/>
    <col min="2384" max="2384" width="11.19921875" style="8" bestFit="1" customWidth="1"/>
    <col min="2385" max="2385" width="11" style="8"/>
    <col min="2386" max="2386" width="11.19921875" style="8" bestFit="1" customWidth="1"/>
    <col min="2387" max="2390" width="11" style="8"/>
    <col min="2391" max="2392" width="11.19921875" style="8" bestFit="1" customWidth="1"/>
    <col min="2393" max="2393" width="11" style="8"/>
    <col min="2394" max="2394" width="12.19921875" style="8" bestFit="1" customWidth="1"/>
    <col min="2395" max="2398" width="11" style="8"/>
    <col min="2399" max="2400" width="11.19921875" style="8" bestFit="1" customWidth="1"/>
    <col min="2401" max="2401" width="11" style="8"/>
    <col min="2402" max="2402" width="12.19921875" style="8" bestFit="1" customWidth="1"/>
    <col min="2403" max="2406" width="11" style="8"/>
    <col min="2407" max="2407" width="11.19921875" style="8" bestFit="1" customWidth="1"/>
    <col min="2408" max="2408" width="12.19921875" style="8" bestFit="1" customWidth="1"/>
    <col min="2409" max="2409" width="11" style="8"/>
    <col min="2410" max="2410" width="12.19921875" style="8" bestFit="1" customWidth="1"/>
    <col min="2411" max="2414" width="11" style="8"/>
    <col min="2415" max="2416" width="12.19921875" style="8" bestFit="1" customWidth="1"/>
    <col min="2417" max="2417" width="11" style="8"/>
    <col min="2418" max="2418" width="12.19921875" style="8" bestFit="1" customWidth="1"/>
    <col min="2419" max="2422" width="11" style="8"/>
    <col min="2423" max="2423" width="12.19921875" style="8" bestFit="1" customWidth="1"/>
    <col min="2424" max="2424" width="13.19921875" style="8" bestFit="1" customWidth="1"/>
    <col min="2425" max="2425" width="11" style="8"/>
    <col min="2426" max="2426" width="11.19921875" style="8" bestFit="1" customWidth="1"/>
    <col min="2427" max="2430" width="11" style="8"/>
    <col min="2431" max="2432" width="13.19921875" style="8" bestFit="1" customWidth="1"/>
    <col min="2433" max="2433" width="11" style="8"/>
    <col min="2434" max="2434" width="11.19921875" style="8" bestFit="1" customWidth="1"/>
    <col min="2435" max="2438" width="11" style="8"/>
    <col min="2439" max="2439" width="13.19921875" style="8" bestFit="1" customWidth="1"/>
    <col min="2440" max="2440" width="11.19921875" style="8" bestFit="1" customWidth="1"/>
    <col min="2441" max="2441" width="11" style="8"/>
    <col min="2442" max="2442" width="11.19921875" style="8" bestFit="1" customWidth="1"/>
    <col min="2443" max="2446" width="11" style="8"/>
    <col min="2447" max="2448" width="11.19921875" style="8" bestFit="1" customWidth="1"/>
    <col min="2449" max="2449" width="11" style="8"/>
    <col min="2450" max="2450" width="12.19921875" style="8" bestFit="1" customWidth="1"/>
    <col min="2451" max="2454" width="11" style="8"/>
    <col min="2455" max="2456" width="11.19921875" style="8" bestFit="1" customWidth="1"/>
    <col min="2457" max="2457" width="11" style="8"/>
    <col min="2458" max="2458" width="12.19921875" style="8" bestFit="1" customWidth="1"/>
    <col min="2459" max="2462" width="11" style="8"/>
    <col min="2463" max="2463" width="11.19921875" style="8" bestFit="1" customWidth="1"/>
    <col min="2464" max="2464" width="12.19921875" style="8" bestFit="1" customWidth="1"/>
    <col min="2465" max="2465" width="11" style="8"/>
    <col min="2466" max="2466" width="12.19921875" style="8" bestFit="1" customWidth="1"/>
    <col min="2467" max="2470" width="11" style="8"/>
    <col min="2471" max="2472" width="12.19921875" style="8" bestFit="1" customWidth="1"/>
    <col min="2473" max="2473" width="11" style="8"/>
    <col min="2474" max="2474" width="12.19921875" style="8" bestFit="1" customWidth="1"/>
    <col min="2475" max="2478" width="11" style="8"/>
    <col min="2479" max="2479" width="12.19921875" style="8" bestFit="1" customWidth="1"/>
    <col min="2480" max="2480" width="13.19921875" style="8" bestFit="1" customWidth="1"/>
    <col min="2481" max="2481" width="11" style="8"/>
    <col min="2482" max="2482" width="11.19921875" style="8" bestFit="1" customWidth="1"/>
    <col min="2483" max="2486" width="11" style="8"/>
    <col min="2487" max="2488" width="13.19921875" style="8" bestFit="1" customWidth="1"/>
    <col min="2489" max="2489" width="11" style="8"/>
    <col min="2490" max="2490" width="11.19921875" style="8" bestFit="1" customWidth="1"/>
    <col min="2491" max="2494" width="11" style="8"/>
    <col min="2495" max="2495" width="13.19921875" style="8" bestFit="1" customWidth="1"/>
    <col min="2496" max="2496" width="11.19921875" style="8" bestFit="1" customWidth="1"/>
    <col min="2497" max="2497" width="11" style="8"/>
    <col min="2498" max="2498" width="11.19921875" style="8" bestFit="1" customWidth="1"/>
    <col min="2499" max="2502" width="11" style="8"/>
    <col min="2503" max="2504" width="11.19921875" style="8" bestFit="1" customWidth="1"/>
    <col min="2505" max="2505" width="11" style="8"/>
    <col min="2506" max="2506" width="12.19921875" style="8" bestFit="1" customWidth="1"/>
    <col min="2507" max="2510" width="11" style="8"/>
    <col min="2511" max="2512" width="11.19921875" style="8" bestFit="1" customWidth="1"/>
    <col min="2513" max="2513" width="11" style="8"/>
    <col min="2514" max="2514" width="12.19921875" style="8" bestFit="1" customWidth="1"/>
    <col min="2515" max="2518" width="11" style="8"/>
    <col min="2519" max="2519" width="11.19921875" style="8" bestFit="1" customWidth="1"/>
    <col min="2520" max="2520" width="12.19921875" style="8" bestFit="1" customWidth="1"/>
    <col min="2521" max="2521" width="11" style="8"/>
    <col min="2522" max="2522" width="12.19921875" style="8" bestFit="1" customWidth="1"/>
    <col min="2523" max="2526" width="11" style="8"/>
    <col min="2527" max="2528" width="12.19921875" style="8" bestFit="1" customWidth="1"/>
    <col min="2529" max="2529" width="11" style="8"/>
    <col min="2530" max="2530" width="12.19921875" style="8" bestFit="1" customWidth="1"/>
    <col min="2531" max="2534" width="11" style="8"/>
    <col min="2535" max="2535" width="12.19921875" style="8" bestFit="1" customWidth="1"/>
    <col min="2536" max="2536" width="13.19921875" style="8" bestFit="1" customWidth="1"/>
    <col min="2537" max="2537" width="11" style="8"/>
    <col min="2538" max="2538" width="11.19921875" style="8" bestFit="1" customWidth="1"/>
    <col min="2539" max="2542" width="11" style="8"/>
    <col min="2543" max="2544" width="13.19921875" style="8" bestFit="1" customWidth="1"/>
    <col min="2545" max="2545" width="11" style="8"/>
    <col min="2546" max="2546" width="11.19921875" style="8" bestFit="1" customWidth="1"/>
    <col min="2547" max="2550" width="11" style="8"/>
    <col min="2551" max="2551" width="13.19921875" style="8" bestFit="1" customWidth="1"/>
    <col min="2552" max="2552" width="11.19921875" style="8" bestFit="1" customWidth="1"/>
    <col min="2553" max="2553" width="11" style="8"/>
    <col min="2554" max="2554" width="11.19921875" style="8" bestFit="1" customWidth="1"/>
    <col min="2555" max="2558" width="11" style="8"/>
    <col min="2559" max="2560" width="11.19921875" style="8" bestFit="1" customWidth="1"/>
    <col min="2561" max="2561" width="11" style="8"/>
    <col min="2562" max="2562" width="12.19921875" style="8" bestFit="1" customWidth="1"/>
    <col min="2563" max="2566" width="11" style="8"/>
    <col min="2567" max="2568" width="11.19921875" style="8" bestFit="1" customWidth="1"/>
    <col min="2569" max="2569" width="11" style="8"/>
    <col min="2570" max="2570" width="12.19921875" style="8" bestFit="1" customWidth="1"/>
    <col min="2571" max="2574" width="11" style="8"/>
    <col min="2575" max="2575" width="11.19921875" style="8" bestFit="1" customWidth="1"/>
    <col min="2576" max="2576" width="12.19921875" style="8" bestFit="1" customWidth="1"/>
    <col min="2577" max="2577" width="11" style="8"/>
    <col min="2578" max="2578" width="12.19921875" style="8" bestFit="1" customWidth="1"/>
    <col min="2579" max="2582" width="11" style="8"/>
    <col min="2583" max="2584" width="12.19921875" style="8" bestFit="1" customWidth="1"/>
    <col min="2585" max="2585" width="11" style="8"/>
    <col min="2586" max="2586" width="12.19921875" style="8" bestFit="1" customWidth="1"/>
    <col min="2587" max="2590" width="11" style="8"/>
    <col min="2591" max="2591" width="12.19921875" style="8" bestFit="1" customWidth="1"/>
    <col min="2592" max="2592" width="13.19921875" style="8" bestFit="1" customWidth="1"/>
    <col min="2593" max="2593" width="11" style="8"/>
    <col min="2594" max="2594" width="11.19921875" style="8" bestFit="1" customWidth="1"/>
    <col min="2595" max="2598" width="11" style="8"/>
    <col min="2599" max="2600" width="13.19921875" style="8" bestFit="1" customWidth="1"/>
    <col min="2601" max="2601" width="11" style="8"/>
    <col min="2602" max="2602" width="11.19921875" style="8" bestFit="1" customWidth="1"/>
    <col min="2603" max="2606" width="11" style="8"/>
    <col min="2607" max="2607" width="13.19921875" style="8" bestFit="1" customWidth="1"/>
    <col min="2608" max="2608" width="11.19921875" style="8" bestFit="1" customWidth="1"/>
    <col min="2609" max="2609" width="11" style="8"/>
    <col min="2610" max="2610" width="11.19921875" style="8" bestFit="1" customWidth="1"/>
    <col min="2611" max="2614" width="11" style="8"/>
    <col min="2615" max="2616" width="11.19921875" style="8" bestFit="1" customWidth="1"/>
    <col min="2617" max="2617" width="11" style="8"/>
    <col min="2618" max="2618" width="12.19921875" style="8" bestFit="1" customWidth="1"/>
    <col min="2619" max="2622" width="11" style="8"/>
    <col min="2623" max="2624" width="11.19921875" style="8" bestFit="1" customWidth="1"/>
    <col min="2625" max="2625" width="11" style="8"/>
    <col min="2626" max="2626" width="12.19921875" style="8" bestFit="1" customWidth="1"/>
    <col min="2627" max="2630" width="11" style="8"/>
    <col min="2631" max="2631" width="11.19921875" style="8" bestFit="1" customWidth="1"/>
    <col min="2632" max="2632" width="12.19921875" style="8" bestFit="1" customWidth="1"/>
    <col min="2633" max="2633" width="11" style="8"/>
    <col min="2634" max="2634" width="12.19921875" style="8" bestFit="1" customWidth="1"/>
    <col min="2635" max="2638" width="11" style="8"/>
    <col min="2639" max="2640" width="12.19921875" style="8" bestFit="1" customWidth="1"/>
    <col min="2641" max="2641" width="11" style="8"/>
    <col min="2642" max="2642" width="12.19921875" style="8" bestFit="1" customWidth="1"/>
    <col min="2643" max="2646" width="11" style="8"/>
    <col min="2647" max="2647" width="12.19921875" style="8" bestFit="1" customWidth="1"/>
    <col min="2648" max="2648" width="13.19921875" style="8" bestFit="1" customWidth="1"/>
    <col min="2649" max="2649" width="11" style="8"/>
    <col min="2650" max="2650" width="11.19921875" style="8" bestFit="1" customWidth="1"/>
    <col min="2651" max="2654" width="11" style="8"/>
    <col min="2655" max="2656" width="13.19921875" style="8" bestFit="1" customWidth="1"/>
    <col min="2657" max="2657" width="11" style="8"/>
    <col min="2658" max="2658" width="11.19921875" style="8" bestFit="1" customWidth="1"/>
    <col min="2659" max="2662" width="11" style="8"/>
    <col min="2663" max="2663" width="13.19921875" style="8" bestFit="1" customWidth="1"/>
    <col min="2664" max="2664" width="11.19921875" style="8" bestFit="1" customWidth="1"/>
    <col min="2665" max="2665" width="11" style="8"/>
    <col min="2666" max="2666" width="11.19921875" style="8" bestFit="1" customWidth="1"/>
    <col min="2667" max="2670" width="11" style="8"/>
    <col min="2671" max="2672" width="11.19921875" style="8" bestFit="1" customWidth="1"/>
    <col min="2673" max="2673" width="11" style="8"/>
    <col min="2674" max="2674" width="12.19921875" style="8" bestFit="1" customWidth="1"/>
    <col min="2675" max="2678" width="11" style="8"/>
    <col min="2679" max="2680" width="11.19921875" style="8" bestFit="1" customWidth="1"/>
    <col min="2681" max="2681" width="11" style="8"/>
    <col min="2682" max="2682" width="12.19921875" style="8" bestFit="1" customWidth="1"/>
    <col min="2683" max="2686" width="11" style="8"/>
    <col min="2687" max="2687" width="11.19921875" style="8" bestFit="1" customWidth="1"/>
    <col min="2688" max="2688" width="12.19921875" style="8" bestFit="1" customWidth="1"/>
    <col min="2689" max="2689" width="11" style="8"/>
    <col min="2690" max="2690" width="12.19921875" style="8" bestFit="1" customWidth="1"/>
    <col min="2691" max="2694" width="11" style="8"/>
    <col min="2695" max="2696" width="12.19921875" style="8" bestFit="1" customWidth="1"/>
    <col min="2697" max="2697" width="11" style="8"/>
    <col min="2698" max="2698" width="12.19921875" style="8" bestFit="1" customWidth="1"/>
    <col min="2699" max="2702" width="11" style="8"/>
    <col min="2703" max="2703" width="12.19921875" style="8" bestFit="1" customWidth="1"/>
    <col min="2704" max="2704" width="13.19921875" style="8" bestFit="1" customWidth="1"/>
    <col min="2705" max="2705" width="11" style="8"/>
    <col min="2706" max="2706" width="11.19921875" style="8" bestFit="1" customWidth="1"/>
    <col min="2707" max="2710" width="11" style="8"/>
    <col min="2711" max="2712" width="13.19921875" style="8" bestFit="1" customWidth="1"/>
    <col min="2713" max="2713" width="11" style="8"/>
    <col min="2714" max="2714" width="11.19921875" style="8" bestFit="1" customWidth="1"/>
    <col min="2715" max="2718" width="11" style="8"/>
    <col min="2719" max="2719" width="13.19921875" style="8" bestFit="1" customWidth="1"/>
    <col min="2720" max="2720" width="11.19921875" style="8" bestFit="1" customWidth="1"/>
    <col min="2721" max="2721" width="11" style="8"/>
    <col min="2722" max="2722" width="11.19921875" style="8" bestFit="1" customWidth="1"/>
    <col min="2723" max="2726" width="11" style="8"/>
    <col min="2727" max="2728" width="11.19921875" style="8" bestFit="1" customWidth="1"/>
    <col min="2729" max="2729" width="11" style="8"/>
    <col min="2730" max="2730" width="12.19921875" style="8" bestFit="1" customWidth="1"/>
    <col min="2731" max="2734" width="11" style="8"/>
    <col min="2735" max="2736" width="11.19921875" style="8" bestFit="1" customWidth="1"/>
    <col min="2737" max="2737" width="11" style="8"/>
    <col min="2738" max="2738" width="12.19921875" style="8" bestFit="1" customWidth="1"/>
    <col min="2739" max="2742" width="11" style="8"/>
    <col min="2743" max="2743" width="11.19921875" style="8" bestFit="1" customWidth="1"/>
    <col min="2744" max="2744" width="12.19921875" style="8" bestFit="1" customWidth="1"/>
    <col min="2745" max="2745" width="11" style="8"/>
    <col min="2746" max="2746" width="12.19921875" style="8" bestFit="1" customWidth="1"/>
    <col min="2747" max="2750" width="11" style="8"/>
    <col min="2751" max="2752" width="12.19921875" style="8" bestFit="1" customWidth="1"/>
    <col min="2753" max="2753" width="11" style="8"/>
    <col min="2754" max="2754" width="12.19921875" style="8" bestFit="1" customWidth="1"/>
    <col min="2755" max="2758" width="11" style="8"/>
    <col min="2759" max="2759" width="12.19921875" style="8" bestFit="1" customWidth="1"/>
    <col min="2760" max="2760" width="13.19921875" style="8" bestFit="1" customWidth="1"/>
    <col min="2761" max="2761" width="11" style="8"/>
    <col min="2762" max="2762" width="11.19921875" style="8" bestFit="1" customWidth="1"/>
    <col min="2763" max="2766" width="11" style="8"/>
    <col min="2767" max="2768" width="13.19921875" style="8" bestFit="1" customWidth="1"/>
    <col min="2769" max="2769" width="11" style="8"/>
    <col min="2770" max="2770" width="11.19921875" style="8" bestFit="1" customWidth="1"/>
    <col min="2771" max="2774" width="11" style="8"/>
    <col min="2775" max="2775" width="13.19921875" style="8" bestFit="1" customWidth="1"/>
    <col min="2776" max="2776" width="11.19921875" style="8" bestFit="1" customWidth="1"/>
    <col min="2777" max="2777" width="11" style="8"/>
    <col min="2778" max="2778" width="11.19921875" style="8" bestFit="1" customWidth="1"/>
    <col min="2779" max="2782" width="11" style="8"/>
    <col min="2783" max="2784" width="11.19921875" style="8" bestFit="1" customWidth="1"/>
    <col min="2785" max="2785" width="11" style="8"/>
    <col min="2786" max="2786" width="12.19921875" style="8" bestFit="1" customWidth="1"/>
    <col min="2787" max="2790" width="11" style="8"/>
    <col min="2791" max="2792" width="11.19921875" style="8" bestFit="1" customWidth="1"/>
    <col min="2793" max="2793" width="11" style="8"/>
    <col min="2794" max="2794" width="12.19921875" style="8" bestFit="1" customWidth="1"/>
    <col min="2795" max="2798" width="11" style="8"/>
    <col min="2799" max="2799" width="11.19921875" style="8" bestFit="1" customWidth="1"/>
    <col min="2800" max="2800" width="12.19921875" style="8" bestFit="1" customWidth="1"/>
    <col min="2801" max="2801" width="11" style="8"/>
    <col min="2802" max="2802" width="12.19921875" style="8" bestFit="1" customWidth="1"/>
    <col min="2803" max="2806" width="11" style="8"/>
    <col min="2807" max="2808" width="12.19921875" style="8" bestFit="1" customWidth="1"/>
    <col min="2809" max="2809" width="11" style="8"/>
    <col min="2810" max="2810" width="12.19921875" style="8" bestFit="1" customWidth="1"/>
    <col min="2811" max="2814" width="11" style="8"/>
    <col min="2815" max="2815" width="12.19921875" style="8" bestFit="1" customWidth="1"/>
    <col min="2816" max="2816" width="13.19921875" style="8" bestFit="1" customWidth="1"/>
    <col min="2817" max="2817" width="11" style="8"/>
    <col min="2818" max="2818" width="11.19921875" style="8" bestFit="1" customWidth="1"/>
    <col min="2819" max="2822" width="11" style="8"/>
    <col min="2823" max="2824" width="13.19921875" style="8" bestFit="1" customWidth="1"/>
    <col min="2825" max="2825" width="11" style="8"/>
    <col min="2826" max="2826" width="11.19921875" style="8" bestFit="1" customWidth="1"/>
    <col min="2827" max="2830" width="11" style="8"/>
    <col min="2831" max="2831" width="13.19921875" style="8" bestFit="1" customWidth="1"/>
    <col min="2832" max="2832" width="11.19921875" style="8" bestFit="1" customWidth="1"/>
    <col min="2833" max="2833" width="11" style="8"/>
    <col min="2834" max="2834" width="11.19921875" style="8" bestFit="1" customWidth="1"/>
    <col min="2835" max="2838" width="11" style="8"/>
    <col min="2839" max="2840" width="11.19921875" style="8" bestFit="1" customWidth="1"/>
    <col min="2841" max="2841" width="11" style="8"/>
    <col min="2842" max="2842" width="12.19921875" style="8" bestFit="1" customWidth="1"/>
    <col min="2843" max="2846" width="11" style="8"/>
    <col min="2847" max="2848" width="11.19921875" style="8" bestFit="1" customWidth="1"/>
    <col min="2849" max="2849" width="11" style="8"/>
    <col min="2850" max="2850" width="12.19921875" style="8" bestFit="1" customWidth="1"/>
    <col min="2851" max="2854" width="11" style="8"/>
    <col min="2855" max="2855" width="11.19921875" style="8" bestFit="1" customWidth="1"/>
    <col min="2856" max="2856" width="12.19921875" style="8" bestFit="1" customWidth="1"/>
    <col min="2857" max="2857" width="11" style="8"/>
    <col min="2858" max="2858" width="12.19921875" style="8" bestFit="1" customWidth="1"/>
    <col min="2859" max="2862" width="11" style="8"/>
    <col min="2863" max="2864" width="12.19921875" style="8" bestFit="1" customWidth="1"/>
    <col min="2865" max="2865" width="11" style="8"/>
    <col min="2866" max="2866" width="12.19921875" style="8" bestFit="1" customWidth="1"/>
    <col min="2867" max="2870" width="11" style="8"/>
    <col min="2871" max="2871" width="12.19921875" style="8" bestFit="1" customWidth="1"/>
    <col min="2872" max="2872" width="13.19921875" style="8" bestFit="1" customWidth="1"/>
    <col min="2873" max="2873" width="11" style="8"/>
    <col min="2874" max="2874" width="11.19921875" style="8" bestFit="1" customWidth="1"/>
    <col min="2875" max="2878" width="11" style="8"/>
    <col min="2879" max="2880" width="13.19921875" style="8" bestFit="1" customWidth="1"/>
    <col min="2881" max="2881" width="11" style="8"/>
    <col min="2882" max="2882" width="11.19921875" style="8" bestFit="1" customWidth="1"/>
    <col min="2883" max="2886" width="11" style="8"/>
    <col min="2887" max="2887" width="13.19921875" style="8" bestFit="1" customWidth="1"/>
    <col min="2888" max="2888" width="11.19921875" style="8" bestFit="1" customWidth="1"/>
    <col min="2889" max="2889" width="11" style="8"/>
    <col min="2890" max="2890" width="11.19921875" style="8" bestFit="1" customWidth="1"/>
    <col min="2891" max="2894" width="11" style="8"/>
    <col min="2895" max="2896" width="11.19921875" style="8" bestFit="1" customWidth="1"/>
    <col min="2897" max="2897" width="11" style="8"/>
    <col min="2898" max="2898" width="12.19921875" style="8" bestFit="1" customWidth="1"/>
    <col min="2899" max="2902" width="11" style="8"/>
    <col min="2903" max="2904" width="11.19921875" style="8" bestFit="1" customWidth="1"/>
    <col min="2905" max="2905" width="11" style="8"/>
    <col min="2906" max="2906" width="12.19921875" style="8" bestFit="1" customWidth="1"/>
    <col min="2907" max="2910" width="11" style="8"/>
    <col min="2911" max="2911" width="11.19921875" style="8" bestFit="1" customWidth="1"/>
    <col min="2912" max="2912" width="12.19921875" style="8" bestFit="1" customWidth="1"/>
    <col min="2913" max="2913" width="11" style="8"/>
    <col min="2914" max="2914" width="12.19921875" style="8" bestFit="1" customWidth="1"/>
    <col min="2915" max="2918" width="11" style="8"/>
    <col min="2919" max="2920" width="12.19921875" style="8" bestFit="1" customWidth="1"/>
    <col min="2921" max="2921" width="11" style="8"/>
    <col min="2922" max="2922" width="12.19921875" style="8" bestFit="1" customWidth="1"/>
    <col min="2923" max="2926" width="11" style="8"/>
    <col min="2927" max="2927" width="12.19921875" style="8" bestFit="1" customWidth="1"/>
    <col min="2928" max="2928" width="13.19921875" style="8" bestFit="1" customWidth="1"/>
    <col min="2929" max="2929" width="11" style="8"/>
    <col min="2930" max="2930" width="11.19921875" style="8" bestFit="1" customWidth="1"/>
    <col min="2931" max="2934" width="11" style="8"/>
    <col min="2935" max="2936" width="13.19921875" style="8" bestFit="1" customWidth="1"/>
    <col min="2937" max="2937" width="11" style="8"/>
    <col min="2938" max="2938" width="11.19921875" style="8" bestFit="1" customWidth="1"/>
    <col min="2939" max="2942" width="11" style="8"/>
    <col min="2943" max="2943" width="13.19921875" style="8" bestFit="1" customWidth="1"/>
    <col min="2944" max="2944" width="11.19921875" style="8" bestFit="1" customWidth="1"/>
    <col min="2945" max="2945" width="11" style="8"/>
    <col min="2946" max="2946" width="11.19921875" style="8" bestFit="1" customWidth="1"/>
    <col min="2947" max="2950" width="11" style="8"/>
    <col min="2951" max="2952" width="11.19921875" style="8" bestFit="1" customWidth="1"/>
    <col min="2953" max="2953" width="11" style="8"/>
    <col min="2954" max="2954" width="12.19921875" style="8" bestFit="1" customWidth="1"/>
    <col min="2955" max="2958" width="11" style="8"/>
    <col min="2959" max="2960" width="11.19921875" style="8" bestFit="1" customWidth="1"/>
    <col min="2961" max="2961" width="11" style="8"/>
    <col min="2962" max="2962" width="12.19921875" style="8" bestFit="1" customWidth="1"/>
    <col min="2963" max="2966" width="11" style="8"/>
    <col min="2967" max="2967" width="11.19921875" style="8" bestFit="1" customWidth="1"/>
    <col min="2968" max="2968" width="12.19921875" style="8" bestFit="1" customWidth="1"/>
    <col min="2969" max="2969" width="11" style="8"/>
    <col min="2970" max="2970" width="12.19921875" style="8" bestFit="1" customWidth="1"/>
    <col min="2971" max="2974" width="11" style="8"/>
    <col min="2975" max="2976" width="12.19921875" style="8" bestFit="1" customWidth="1"/>
    <col min="2977" max="2977" width="11" style="8"/>
    <col min="2978" max="2978" width="12.19921875" style="8" bestFit="1" customWidth="1"/>
    <col min="2979" max="2982" width="11" style="8"/>
    <col min="2983" max="2983" width="12.19921875" style="8" bestFit="1" customWidth="1"/>
    <col min="2984" max="2984" width="13.19921875" style="8" bestFit="1" customWidth="1"/>
    <col min="2985" max="2985" width="11" style="8"/>
    <col min="2986" max="2986" width="11.19921875" style="8" bestFit="1" customWidth="1"/>
    <col min="2987" max="2990" width="11" style="8"/>
    <col min="2991" max="2992" width="13.19921875" style="8" bestFit="1" customWidth="1"/>
    <col min="2993" max="2993" width="11" style="8"/>
    <col min="2994" max="2994" width="11.19921875" style="8" bestFit="1" customWidth="1"/>
    <col min="2995" max="2998" width="11" style="8"/>
    <col min="2999" max="2999" width="13.19921875" style="8" bestFit="1" customWidth="1"/>
    <col min="3000" max="3000" width="11.19921875" style="8" bestFit="1" customWidth="1"/>
    <col min="3001" max="3001" width="11" style="8"/>
    <col min="3002" max="3002" width="11.19921875" style="8" bestFit="1" customWidth="1"/>
    <col min="3003" max="3006" width="11" style="8"/>
    <col min="3007" max="3008" width="11.19921875" style="8" bestFit="1" customWidth="1"/>
    <col min="3009" max="3009" width="11" style="8"/>
    <col min="3010" max="3010" width="12.19921875" style="8" bestFit="1" customWidth="1"/>
    <col min="3011" max="3014" width="11" style="8"/>
    <col min="3015" max="3016" width="11.19921875" style="8" bestFit="1" customWidth="1"/>
    <col min="3017" max="3017" width="11" style="8"/>
    <col min="3018" max="3018" width="12.19921875" style="8" bestFit="1" customWidth="1"/>
    <col min="3019" max="3022" width="11" style="8"/>
    <col min="3023" max="3023" width="11.19921875" style="8" bestFit="1" customWidth="1"/>
    <col min="3024" max="3024" width="12.19921875" style="8" bestFit="1" customWidth="1"/>
    <col min="3025" max="3025" width="11" style="8"/>
    <col min="3026" max="3026" width="12.19921875" style="8" bestFit="1" customWidth="1"/>
    <col min="3027" max="3030" width="11" style="8"/>
    <col min="3031" max="3032" width="12.19921875" style="8" bestFit="1" customWidth="1"/>
    <col min="3033" max="3033" width="11" style="8"/>
    <col min="3034" max="3034" width="12.19921875" style="8" bestFit="1" customWidth="1"/>
    <col min="3035" max="3038" width="11" style="8"/>
    <col min="3039" max="3039" width="12.19921875" style="8" bestFit="1" customWidth="1"/>
    <col min="3040" max="3040" width="13.19921875" style="8" bestFit="1" customWidth="1"/>
    <col min="3041" max="3041" width="11" style="8"/>
    <col min="3042" max="3042" width="11.19921875" style="8" bestFit="1" customWidth="1"/>
    <col min="3043" max="3046" width="11" style="8"/>
    <col min="3047" max="3048" width="13.19921875" style="8" bestFit="1" customWidth="1"/>
    <col min="3049" max="3049" width="11" style="8"/>
    <col min="3050" max="3050" width="11.19921875" style="8" bestFit="1" customWidth="1"/>
    <col min="3051" max="3054" width="11" style="8"/>
    <col min="3055" max="3055" width="13.19921875" style="8" bestFit="1" customWidth="1"/>
    <col min="3056" max="3056" width="11.19921875" style="8" bestFit="1" customWidth="1"/>
    <col min="3057" max="3057" width="11" style="8"/>
    <col min="3058" max="3058" width="11.19921875" style="8" bestFit="1" customWidth="1"/>
    <col min="3059" max="3062" width="11" style="8"/>
    <col min="3063" max="3064" width="11.19921875" style="8" bestFit="1" customWidth="1"/>
    <col min="3065" max="3065" width="11" style="8"/>
    <col min="3066" max="3066" width="12.19921875" style="8" bestFit="1" customWidth="1"/>
    <col min="3067" max="3070" width="11" style="8"/>
    <col min="3071" max="3072" width="11.19921875" style="8" bestFit="1" customWidth="1"/>
    <col min="3073" max="3073" width="11" style="8"/>
    <col min="3074" max="3074" width="12.19921875" style="8" bestFit="1" customWidth="1"/>
    <col min="3075" max="3078" width="11" style="8"/>
    <col min="3079" max="3079" width="11.19921875" style="8" bestFit="1" customWidth="1"/>
    <col min="3080" max="3080" width="12.19921875" style="8" bestFit="1" customWidth="1"/>
    <col min="3081" max="3081" width="11" style="8"/>
    <col min="3082" max="3082" width="12.19921875" style="8" bestFit="1" customWidth="1"/>
    <col min="3083" max="3086" width="11" style="8"/>
    <col min="3087" max="3088" width="12.19921875" style="8" bestFit="1" customWidth="1"/>
    <col min="3089" max="3089" width="11" style="8"/>
    <col min="3090" max="3090" width="12.19921875" style="8" bestFit="1" customWidth="1"/>
    <col min="3091" max="3094" width="11" style="8"/>
    <col min="3095" max="3095" width="12.19921875" style="8" bestFit="1" customWidth="1"/>
    <col min="3096" max="3096" width="13.19921875" style="8" bestFit="1" customWidth="1"/>
    <col min="3097" max="3097" width="11" style="8"/>
    <col min="3098" max="3098" width="11.19921875" style="8" bestFit="1" customWidth="1"/>
    <col min="3099" max="3102" width="11" style="8"/>
    <col min="3103" max="3104" width="13.19921875" style="8" bestFit="1" customWidth="1"/>
    <col min="3105" max="3105" width="11" style="8"/>
    <col min="3106" max="3106" width="11.19921875" style="8" bestFit="1" customWidth="1"/>
    <col min="3107" max="3110" width="11" style="8"/>
    <col min="3111" max="3111" width="13.19921875" style="8" bestFit="1" customWidth="1"/>
    <col min="3112" max="3112" width="11.19921875" style="8" bestFit="1" customWidth="1"/>
    <col min="3113" max="3113" width="11" style="8"/>
    <col min="3114" max="3114" width="11.19921875" style="8" bestFit="1" customWidth="1"/>
    <col min="3115" max="3118" width="11" style="8"/>
    <col min="3119" max="3120" width="11.19921875" style="8" bestFit="1" customWidth="1"/>
    <col min="3121" max="3121" width="11" style="8"/>
    <col min="3122" max="3122" width="12.19921875" style="8" bestFit="1" customWidth="1"/>
    <col min="3123" max="3126" width="11" style="8"/>
    <col min="3127" max="3128" width="11.19921875" style="8" bestFit="1" customWidth="1"/>
    <col min="3129" max="3129" width="11" style="8"/>
    <col min="3130" max="3130" width="12.19921875" style="8" bestFit="1" customWidth="1"/>
    <col min="3131" max="3134" width="11" style="8"/>
    <col min="3135" max="3135" width="11.19921875" style="8" bestFit="1" customWidth="1"/>
    <col min="3136" max="3136" width="12.19921875" style="8" bestFit="1" customWidth="1"/>
    <col min="3137" max="3137" width="11" style="8"/>
    <col min="3138" max="3138" width="12.19921875" style="8" bestFit="1" customWidth="1"/>
    <col min="3139" max="3142" width="11" style="8"/>
    <col min="3143" max="3144" width="12.19921875" style="8" bestFit="1" customWidth="1"/>
    <col min="3145" max="3145" width="11" style="8"/>
    <col min="3146" max="3146" width="12.19921875" style="8" bestFit="1" customWidth="1"/>
    <col min="3147" max="3150" width="11" style="8"/>
    <col min="3151" max="3151" width="12.19921875" style="8" bestFit="1" customWidth="1"/>
    <col min="3152" max="3152" width="13.19921875" style="8" bestFit="1" customWidth="1"/>
    <col min="3153" max="3153" width="11" style="8"/>
    <col min="3154" max="3154" width="11.19921875" style="8" bestFit="1" customWidth="1"/>
    <col min="3155" max="3158" width="11" style="8"/>
    <col min="3159" max="3160" width="13.19921875" style="8" bestFit="1" customWidth="1"/>
    <col min="3161" max="3161" width="11" style="8"/>
    <col min="3162" max="3162" width="11.19921875" style="8" bestFit="1" customWidth="1"/>
    <col min="3163" max="3166" width="11" style="8"/>
    <col min="3167" max="3167" width="13.19921875" style="8" bestFit="1" customWidth="1"/>
    <col min="3168" max="3168" width="11.19921875" style="8" bestFit="1" customWidth="1"/>
    <col min="3169" max="3169" width="11" style="8"/>
    <col min="3170" max="3170" width="11.19921875" style="8" bestFit="1" customWidth="1"/>
    <col min="3171" max="3174" width="11" style="8"/>
    <col min="3175" max="3176" width="11.19921875" style="8" bestFit="1" customWidth="1"/>
    <col min="3177" max="3177" width="11" style="8"/>
    <col min="3178" max="3178" width="12.19921875" style="8" bestFit="1" customWidth="1"/>
    <col min="3179" max="3182" width="11" style="8"/>
    <col min="3183" max="3184" width="11.19921875" style="8" bestFit="1" customWidth="1"/>
    <col min="3185" max="3185" width="11" style="8"/>
    <col min="3186" max="3186" width="12.19921875" style="8" bestFit="1" customWidth="1"/>
    <col min="3187" max="3190" width="11" style="8"/>
    <col min="3191" max="3191" width="11.19921875" style="8" bestFit="1" customWidth="1"/>
    <col min="3192" max="3192" width="12.19921875" style="8" bestFit="1" customWidth="1"/>
    <col min="3193" max="3193" width="11" style="8"/>
    <col min="3194" max="3194" width="12.19921875" style="8" bestFit="1" customWidth="1"/>
    <col min="3195" max="3198" width="11" style="8"/>
    <col min="3199" max="3200" width="12.19921875" style="8" bestFit="1" customWidth="1"/>
    <col min="3201" max="3201" width="11" style="8"/>
    <col min="3202" max="3202" width="12.19921875" style="8" bestFit="1" customWidth="1"/>
    <col min="3203" max="3206" width="11" style="8"/>
    <col min="3207" max="3207" width="12.19921875" style="8" bestFit="1" customWidth="1"/>
    <col min="3208" max="3208" width="13.19921875" style="8" bestFit="1" customWidth="1"/>
    <col min="3209" max="3209" width="11" style="8"/>
    <col min="3210" max="3210" width="11.19921875" style="8" bestFit="1" customWidth="1"/>
    <col min="3211" max="3214" width="11" style="8"/>
    <col min="3215" max="3216" width="13.19921875" style="8" bestFit="1" customWidth="1"/>
    <col min="3217" max="3217" width="11" style="8"/>
    <col min="3218" max="3218" width="11.19921875" style="8" bestFit="1" customWidth="1"/>
    <col min="3219" max="3222" width="11" style="8"/>
    <col min="3223" max="3223" width="13.19921875" style="8" bestFit="1" customWidth="1"/>
    <col min="3224" max="3224" width="11.19921875" style="8" bestFit="1" customWidth="1"/>
    <col min="3225" max="3225" width="11" style="8"/>
    <col min="3226" max="3226" width="11.19921875" style="8" bestFit="1" customWidth="1"/>
    <col min="3227" max="3230" width="11" style="8"/>
    <col min="3231" max="3232" width="11.19921875" style="8" bestFit="1" customWidth="1"/>
    <col min="3233" max="3233" width="11" style="8"/>
    <col min="3234" max="3234" width="12.19921875" style="8" bestFit="1" customWidth="1"/>
    <col min="3235" max="3238" width="11" style="8"/>
    <col min="3239" max="3240" width="11.19921875" style="8" bestFit="1" customWidth="1"/>
    <col min="3241" max="3241" width="11" style="8"/>
    <col min="3242" max="3242" width="12.19921875" style="8" bestFit="1" customWidth="1"/>
    <col min="3243" max="3246" width="11" style="8"/>
    <col min="3247" max="3247" width="11.19921875" style="8" bestFit="1" customWidth="1"/>
    <col min="3248" max="3248" width="12.19921875" style="8" bestFit="1" customWidth="1"/>
    <col min="3249" max="3249" width="11" style="8"/>
    <col min="3250" max="3250" width="12.19921875" style="8" bestFit="1" customWidth="1"/>
    <col min="3251" max="3254" width="11" style="8"/>
    <col min="3255" max="3256" width="12.19921875" style="8" bestFit="1" customWidth="1"/>
    <col min="3257" max="3257" width="11" style="8"/>
    <col min="3258" max="3258" width="12.19921875" style="8" bestFit="1" customWidth="1"/>
    <col min="3259" max="3262" width="11" style="8"/>
    <col min="3263" max="3263" width="12.19921875" style="8" bestFit="1" customWidth="1"/>
    <col min="3264" max="3264" width="13.19921875" style="8" bestFit="1" customWidth="1"/>
    <col min="3265" max="3265" width="11" style="8"/>
    <col min="3266" max="3266" width="11.19921875" style="8" bestFit="1" customWidth="1"/>
    <col min="3267" max="3270" width="11" style="8"/>
    <col min="3271" max="3272" width="13.19921875" style="8" bestFit="1" customWidth="1"/>
    <col min="3273" max="3273" width="11" style="8"/>
    <col min="3274" max="3274" width="11.19921875" style="8" bestFit="1" customWidth="1"/>
    <col min="3275" max="3278" width="11" style="8"/>
    <col min="3279" max="3279" width="13.19921875" style="8" bestFit="1" customWidth="1"/>
    <col min="3280" max="3280" width="11.19921875" style="8" bestFit="1" customWidth="1"/>
    <col min="3281" max="3281" width="11" style="8"/>
    <col min="3282" max="3282" width="11.19921875" style="8" bestFit="1" customWidth="1"/>
    <col min="3283" max="3286" width="11" style="8"/>
    <col min="3287" max="3288" width="11.19921875" style="8" bestFit="1" customWidth="1"/>
    <col min="3289" max="3289" width="11" style="8"/>
    <col min="3290" max="3290" width="12.19921875" style="8" bestFit="1" customWidth="1"/>
    <col min="3291" max="3294" width="11" style="8"/>
    <col min="3295" max="3296" width="11.19921875" style="8" bestFit="1" customWidth="1"/>
    <col min="3297" max="3297" width="11" style="8"/>
    <col min="3298" max="3298" width="12.19921875" style="8" bestFit="1" customWidth="1"/>
    <col min="3299" max="3302" width="11" style="8"/>
    <col min="3303" max="3303" width="11.19921875" style="8" bestFit="1" customWidth="1"/>
    <col min="3304" max="3304" width="12.19921875" style="8" bestFit="1" customWidth="1"/>
    <col min="3305" max="3305" width="11" style="8"/>
    <col min="3306" max="3306" width="12.19921875" style="8" bestFit="1" customWidth="1"/>
    <col min="3307" max="3310" width="11" style="8"/>
    <col min="3311" max="3312" width="12.19921875" style="8" bestFit="1" customWidth="1"/>
    <col min="3313" max="3313" width="11" style="8"/>
    <col min="3314" max="3314" width="12.19921875" style="8" bestFit="1" customWidth="1"/>
    <col min="3315" max="3318" width="11" style="8"/>
    <col min="3319" max="3319" width="12.19921875" style="8" bestFit="1" customWidth="1"/>
    <col min="3320" max="3320" width="13.19921875" style="8" bestFit="1" customWidth="1"/>
    <col min="3321" max="3321" width="11" style="8"/>
    <col min="3322" max="3322" width="11.19921875" style="8" bestFit="1" customWidth="1"/>
    <col min="3323" max="3326" width="11" style="8"/>
    <col min="3327" max="3328" width="13.19921875" style="8" bestFit="1" customWidth="1"/>
    <col min="3329" max="3329" width="11" style="8"/>
    <col min="3330" max="3330" width="11.19921875" style="8" bestFit="1" customWidth="1"/>
    <col min="3331" max="3334" width="11" style="8"/>
    <col min="3335" max="3335" width="13.19921875" style="8" bestFit="1" customWidth="1"/>
    <col min="3336" max="3336" width="11.19921875" style="8" bestFit="1" customWidth="1"/>
    <col min="3337" max="3337" width="11" style="8"/>
    <col min="3338" max="3338" width="11.19921875" style="8" bestFit="1" customWidth="1"/>
    <col min="3339" max="3342" width="11" style="8"/>
    <col min="3343" max="3344" width="11.19921875" style="8" bestFit="1" customWidth="1"/>
    <col min="3345" max="3345" width="11" style="8"/>
    <col min="3346" max="3346" width="12.19921875" style="8" bestFit="1" customWidth="1"/>
    <col min="3347" max="3350" width="11" style="8"/>
    <col min="3351" max="3352" width="11.19921875" style="8" bestFit="1" customWidth="1"/>
    <col min="3353" max="3353" width="11" style="8"/>
    <col min="3354" max="3354" width="12.19921875" style="8" bestFit="1" customWidth="1"/>
    <col min="3355" max="3358" width="11" style="8"/>
    <col min="3359" max="3359" width="11.19921875" style="8" bestFit="1" customWidth="1"/>
    <col min="3360" max="3360" width="12.19921875" style="8" bestFit="1" customWidth="1"/>
    <col min="3361" max="3361" width="11" style="8"/>
    <col min="3362" max="3362" width="12.19921875" style="8" bestFit="1" customWidth="1"/>
    <col min="3363" max="3366" width="11" style="8"/>
    <col min="3367" max="3368" width="12.19921875" style="8" bestFit="1" customWidth="1"/>
    <col min="3369" max="3369" width="11" style="8"/>
    <col min="3370" max="3370" width="12.19921875" style="8" bestFit="1" customWidth="1"/>
    <col min="3371" max="3374" width="11" style="8"/>
    <col min="3375" max="3375" width="12.19921875" style="8" bestFit="1" customWidth="1"/>
    <col min="3376" max="3376" width="13.19921875" style="8" bestFit="1" customWidth="1"/>
    <col min="3377" max="3377" width="11" style="8"/>
    <col min="3378" max="3378" width="11.19921875" style="8" bestFit="1" customWidth="1"/>
    <col min="3379" max="3382" width="11" style="8"/>
    <col min="3383" max="3384" width="13.19921875" style="8" bestFit="1" customWidth="1"/>
    <col min="3385" max="3385" width="11" style="8"/>
    <col min="3386" max="3386" width="11.19921875" style="8" bestFit="1" customWidth="1"/>
    <col min="3387" max="3390" width="11" style="8"/>
    <col min="3391" max="3391" width="13.19921875" style="8" bestFit="1" customWidth="1"/>
    <col min="3392" max="3392" width="11.19921875" style="8" bestFit="1" customWidth="1"/>
    <col min="3393" max="3393" width="11" style="8"/>
    <col min="3394" max="3394" width="11.19921875" style="8" bestFit="1" customWidth="1"/>
    <col min="3395" max="3398" width="11" style="8"/>
    <col min="3399" max="3400" width="11.19921875" style="8" bestFit="1" customWidth="1"/>
    <col min="3401" max="3401" width="11" style="8"/>
    <col min="3402" max="3402" width="12.19921875" style="8" bestFit="1" customWidth="1"/>
    <col min="3403" max="3406" width="11" style="8"/>
    <col min="3407" max="3408" width="11.19921875" style="8" bestFit="1" customWidth="1"/>
    <col min="3409" max="3409" width="11" style="8"/>
    <col min="3410" max="3410" width="12.19921875" style="8" bestFit="1" customWidth="1"/>
    <col min="3411" max="3414" width="11" style="8"/>
    <col min="3415" max="3415" width="11.19921875" style="8" bestFit="1" customWidth="1"/>
    <col min="3416" max="3416" width="12.19921875" style="8" bestFit="1" customWidth="1"/>
    <col min="3417" max="3417" width="11" style="8"/>
    <col min="3418" max="3418" width="12.19921875" style="8" bestFit="1" customWidth="1"/>
    <col min="3419" max="3422" width="11" style="8"/>
    <col min="3423" max="3424" width="12.19921875" style="8" bestFit="1" customWidth="1"/>
    <col min="3425" max="3425" width="11" style="8"/>
    <col min="3426" max="3426" width="12.19921875" style="8" bestFit="1" customWidth="1"/>
    <col min="3427" max="3430" width="11" style="8"/>
    <col min="3431" max="3431" width="12.19921875" style="8" bestFit="1" customWidth="1"/>
    <col min="3432" max="3432" width="13.19921875" style="8" bestFit="1" customWidth="1"/>
    <col min="3433" max="3433" width="11" style="8"/>
    <col min="3434" max="3434" width="11.19921875" style="8" bestFit="1" customWidth="1"/>
    <col min="3435" max="3438" width="11" style="8"/>
    <col min="3439" max="3440" width="13.19921875" style="8" bestFit="1" customWidth="1"/>
    <col min="3441" max="3441" width="11" style="8"/>
    <col min="3442" max="3442" width="11.19921875" style="8" bestFit="1" customWidth="1"/>
    <col min="3443" max="3446" width="11" style="8"/>
    <col min="3447" max="3447" width="13.19921875" style="8" bestFit="1" customWidth="1"/>
    <col min="3448" max="3448" width="11.19921875" style="8" bestFit="1" customWidth="1"/>
    <col min="3449" max="3449" width="11" style="8"/>
    <col min="3450" max="3450" width="11.19921875" style="8" bestFit="1" customWidth="1"/>
    <col min="3451" max="3454" width="11" style="8"/>
    <col min="3455" max="3456" width="11.19921875" style="8" bestFit="1" customWidth="1"/>
    <col min="3457" max="3457" width="11" style="8"/>
    <col min="3458" max="3458" width="12.19921875" style="8" bestFit="1" customWidth="1"/>
    <col min="3459" max="3462" width="11" style="8"/>
    <col min="3463" max="3464" width="11.19921875" style="8" bestFit="1" customWidth="1"/>
    <col min="3465" max="3465" width="11" style="8"/>
    <col min="3466" max="3466" width="12.19921875" style="8" bestFit="1" customWidth="1"/>
    <col min="3467" max="3470" width="11" style="8"/>
    <col min="3471" max="3471" width="11.19921875" style="8" bestFit="1" customWidth="1"/>
    <col min="3472" max="3472" width="12.19921875" style="8" bestFit="1" customWidth="1"/>
    <col min="3473" max="3473" width="11" style="8"/>
    <col min="3474" max="3474" width="12.19921875" style="8" bestFit="1" customWidth="1"/>
    <col min="3475" max="3478" width="11" style="8"/>
    <col min="3479" max="3480" width="12.19921875" style="8" bestFit="1" customWidth="1"/>
    <col min="3481" max="3481" width="11" style="8"/>
    <col min="3482" max="3482" width="12.19921875" style="8" bestFit="1" customWidth="1"/>
    <col min="3483" max="3486" width="11" style="8"/>
    <col min="3487" max="3487" width="12.19921875" style="8" bestFit="1" customWidth="1"/>
    <col min="3488" max="3488" width="13.19921875" style="8" bestFit="1" customWidth="1"/>
    <col min="3489" max="3489" width="11" style="8"/>
    <col min="3490" max="3490" width="11.19921875" style="8" bestFit="1" customWidth="1"/>
    <col min="3491" max="3494" width="11" style="8"/>
    <col min="3495" max="3496" width="13.19921875" style="8" bestFit="1" customWidth="1"/>
    <col min="3497" max="3497" width="11" style="8"/>
    <col min="3498" max="3498" width="11.19921875" style="8" bestFit="1" customWidth="1"/>
    <col min="3499" max="3502" width="11" style="8"/>
    <col min="3503" max="3503" width="13.19921875" style="8" bestFit="1" customWidth="1"/>
    <col min="3504" max="3504" width="11.19921875" style="8" bestFit="1" customWidth="1"/>
    <col min="3505" max="3505" width="11" style="8"/>
    <col min="3506" max="3506" width="11.19921875" style="8" bestFit="1" customWidth="1"/>
    <col min="3507" max="3510" width="11" style="8"/>
    <col min="3511" max="3512" width="11.19921875" style="8" bestFit="1" customWidth="1"/>
    <col min="3513" max="3513" width="11" style="8"/>
    <col min="3514" max="3514" width="12.19921875" style="8" bestFit="1" customWidth="1"/>
    <col min="3515" max="3518" width="11" style="8"/>
    <col min="3519" max="3520" width="11.19921875" style="8" bestFit="1" customWidth="1"/>
    <col min="3521" max="3521" width="11" style="8"/>
    <col min="3522" max="3522" width="12.19921875" style="8" bestFit="1" customWidth="1"/>
    <col min="3523" max="3526" width="11" style="8"/>
    <col min="3527" max="3527" width="11.19921875" style="8" bestFit="1" customWidth="1"/>
    <col min="3528" max="3528" width="12.19921875" style="8" bestFit="1" customWidth="1"/>
    <col min="3529" max="3529" width="11" style="8"/>
    <col min="3530" max="3530" width="12.19921875" style="8" bestFit="1" customWidth="1"/>
    <col min="3531" max="3534" width="11" style="8"/>
    <col min="3535" max="3536" width="12.19921875" style="8" bestFit="1" customWidth="1"/>
    <col min="3537" max="3537" width="11" style="8"/>
    <col min="3538" max="3538" width="12.19921875" style="8" bestFit="1" customWidth="1"/>
    <col min="3539" max="3542" width="11" style="8"/>
    <col min="3543" max="3543" width="12.19921875" style="8" bestFit="1" customWidth="1"/>
    <col min="3544" max="3544" width="13.19921875" style="8" bestFit="1" customWidth="1"/>
    <col min="3545" max="3545" width="11" style="8"/>
    <col min="3546" max="3546" width="11.19921875" style="8" bestFit="1" customWidth="1"/>
    <col min="3547" max="3550" width="11" style="8"/>
    <col min="3551" max="3552" width="13.19921875" style="8" bestFit="1" customWidth="1"/>
    <col min="3553" max="3553" width="11" style="8"/>
    <col min="3554" max="3554" width="11.19921875" style="8" bestFit="1" customWidth="1"/>
    <col min="3555" max="3558" width="11" style="8"/>
    <col min="3559" max="3559" width="13.19921875" style="8" bestFit="1" customWidth="1"/>
    <col min="3560" max="3560" width="11.19921875" style="8" bestFit="1" customWidth="1"/>
    <col min="3561" max="3561" width="11" style="8"/>
    <col min="3562" max="3562" width="11.19921875" style="8" bestFit="1" customWidth="1"/>
    <col min="3563" max="3566" width="11" style="8"/>
    <col min="3567" max="3568" width="11.19921875" style="8" bestFit="1" customWidth="1"/>
    <col min="3569" max="3569" width="11" style="8"/>
    <col min="3570" max="3570" width="12.19921875" style="8" bestFit="1" customWidth="1"/>
    <col min="3571" max="3574" width="11" style="8"/>
    <col min="3575" max="3576" width="11.19921875" style="8" bestFit="1" customWidth="1"/>
    <col min="3577" max="3577" width="11" style="8"/>
    <col min="3578" max="3578" width="12.19921875" style="8" bestFit="1" customWidth="1"/>
    <col min="3579" max="3582" width="11" style="8"/>
    <col min="3583" max="3583" width="11.19921875" style="8" bestFit="1" customWidth="1"/>
    <col min="3584" max="3584" width="12.19921875" style="8" bestFit="1" customWidth="1"/>
    <col min="3585" max="3585" width="11" style="8"/>
    <col min="3586" max="3586" width="12.19921875" style="8" bestFit="1" customWidth="1"/>
    <col min="3587" max="3590" width="11" style="8"/>
    <col min="3591" max="3592" width="12.19921875" style="8" bestFit="1" customWidth="1"/>
    <col min="3593" max="3593" width="11" style="8"/>
    <col min="3594" max="3594" width="12.19921875" style="8" bestFit="1" customWidth="1"/>
    <col min="3595" max="3598" width="11" style="8"/>
    <col min="3599" max="3599" width="12.19921875" style="8" bestFit="1" customWidth="1"/>
    <col min="3600" max="3600" width="13.19921875" style="8" bestFit="1" customWidth="1"/>
    <col min="3601" max="3601" width="11" style="8"/>
    <col min="3602" max="3602" width="11.19921875" style="8" bestFit="1" customWidth="1"/>
    <col min="3603" max="3606" width="11" style="8"/>
    <col min="3607" max="3608" width="13.19921875" style="8" bestFit="1" customWidth="1"/>
    <col min="3609" max="3609" width="11" style="8"/>
    <col min="3610" max="3610" width="11.19921875" style="8" bestFit="1" customWidth="1"/>
    <col min="3611" max="3614" width="11" style="8"/>
    <col min="3615" max="3615" width="13.19921875" style="8" bestFit="1" customWidth="1"/>
    <col min="3616" max="3616" width="11.19921875" style="8" bestFit="1" customWidth="1"/>
    <col min="3617" max="3617" width="11" style="8"/>
    <col min="3618" max="3618" width="11.19921875" style="8" bestFit="1" customWidth="1"/>
    <col min="3619" max="3622" width="11" style="8"/>
    <col min="3623" max="3624" width="11.19921875" style="8" bestFit="1" customWidth="1"/>
    <col min="3625" max="3625" width="11" style="8"/>
    <col min="3626" max="3626" width="12.19921875" style="8" bestFit="1" customWidth="1"/>
    <col min="3627" max="3630" width="11" style="8"/>
    <col min="3631" max="3632" width="11.19921875" style="8" bestFit="1" customWidth="1"/>
    <col min="3633" max="3633" width="11" style="8"/>
    <col min="3634" max="3634" width="12.19921875" style="8" bestFit="1" customWidth="1"/>
    <col min="3635" max="3638" width="11" style="8"/>
    <col min="3639" max="3639" width="11.19921875" style="8" bestFit="1" customWidth="1"/>
    <col min="3640" max="3640" width="12.19921875" style="8" bestFit="1" customWidth="1"/>
    <col min="3641" max="3641" width="11" style="8"/>
    <col min="3642" max="3642" width="12.19921875" style="8" bestFit="1" customWidth="1"/>
    <col min="3643" max="3646" width="11" style="8"/>
    <col min="3647" max="3648" width="12.19921875" style="8" bestFit="1" customWidth="1"/>
    <col min="3649" max="3649" width="11" style="8"/>
    <col min="3650" max="3650" width="12.19921875" style="8" bestFit="1" customWidth="1"/>
    <col min="3651" max="3654" width="11" style="8"/>
    <col min="3655" max="3655" width="12.19921875" style="8" bestFit="1" customWidth="1"/>
    <col min="3656" max="3656" width="13.19921875" style="8" bestFit="1" customWidth="1"/>
    <col min="3657" max="3657" width="11" style="8"/>
    <col min="3658" max="3658" width="11.19921875" style="8" bestFit="1" customWidth="1"/>
    <col min="3659" max="3662" width="11" style="8"/>
    <col min="3663" max="3664" width="13.19921875" style="8" bestFit="1" customWidth="1"/>
    <col min="3665" max="3665" width="11" style="8"/>
    <col min="3666" max="3666" width="11.19921875" style="8" bestFit="1" customWidth="1"/>
    <col min="3667" max="3670" width="11" style="8"/>
    <col min="3671" max="3671" width="13.19921875" style="8" bestFit="1" customWidth="1"/>
    <col min="3672" max="3672" width="11.19921875" style="8" bestFit="1" customWidth="1"/>
    <col min="3673" max="3673" width="11" style="8"/>
    <col min="3674" max="3674" width="11.19921875" style="8" bestFit="1" customWidth="1"/>
    <col min="3675" max="3678" width="11" style="8"/>
    <col min="3679" max="3680" width="11.19921875" style="8" bestFit="1" customWidth="1"/>
    <col min="3681" max="3681" width="11" style="8"/>
    <col min="3682" max="3682" width="12.19921875" style="8" bestFit="1" customWidth="1"/>
    <col min="3683" max="3686" width="11" style="8"/>
    <col min="3687" max="3688" width="11.19921875" style="8" bestFit="1" customWidth="1"/>
    <col min="3689" max="3689" width="11" style="8"/>
    <col min="3690" max="3690" width="12.19921875" style="8" bestFit="1" customWidth="1"/>
    <col min="3691" max="3694" width="11" style="8"/>
    <col min="3695" max="3695" width="11.19921875" style="8" bestFit="1" customWidth="1"/>
    <col min="3696" max="3696" width="12.19921875" style="8" bestFit="1" customWidth="1"/>
    <col min="3697" max="3697" width="11" style="8"/>
    <col min="3698" max="3698" width="12.19921875" style="8" bestFit="1" customWidth="1"/>
    <col min="3699" max="3702" width="11" style="8"/>
    <col min="3703" max="3704" width="12.19921875" style="8" bestFit="1" customWidth="1"/>
    <col min="3705" max="3705" width="11" style="8"/>
    <col min="3706" max="3706" width="12.19921875" style="8" bestFit="1" customWidth="1"/>
    <col min="3707" max="3710" width="11" style="8"/>
    <col min="3711" max="3711" width="12.19921875" style="8" bestFit="1" customWidth="1"/>
    <col min="3712" max="3712" width="13.19921875" style="8" bestFit="1" customWidth="1"/>
    <col min="3713" max="3713" width="11" style="8"/>
    <col min="3714" max="3714" width="11.19921875" style="8" bestFit="1" customWidth="1"/>
    <col min="3715" max="3718" width="11" style="8"/>
    <col min="3719" max="3720" width="13.19921875" style="8" bestFit="1" customWidth="1"/>
    <col min="3721" max="3721" width="11" style="8"/>
    <col min="3722" max="3722" width="11.19921875" style="8" bestFit="1" customWidth="1"/>
    <col min="3723" max="3726" width="11" style="8"/>
    <col min="3727" max="3727" width="13.19921875" style="8" bestFit="1" customWidth="1"/>
    <col min="3728" max="3728" width="11.19921875" style="8" bestFit="1" customWidth="1"/>
    <col min="3729" max="3729" width="11" style="8"/>
    <col min="3730" max="3730" width="11.19921875" style="8" bestFit="1" customWidth="1"/>
    <col min="3731" max="3734" width="11" style="8"/>
    <col min="3735" max="3736" width="11.19921875" style="8" bestFit="1" customWidth="1"/>
    <col min="3737" max="3737" width="11" style="8"/>
    <col min="3738" max="3738" width="12.19921875" style="8" bestFit="1" customWidth="1"/>
    <col min="3739" max="3742" width="11" style="8"/>
    <col min="3743" max="3744" width="11.19921875" style="8" bestFit="1" customWidth="1"/>
    <col min="3745" max="3745" width="11" style="8"/>
    <col min="3746" max="3746" width="12.19921875" style="8" bestFit="1" customWidth="1"/>
    <col min="3747" max="3750" width="11" style="8"/>
    <col min="3751" max="3751" width="11.19921875" style="8" bestFit="1" customWidth="1"/>
    <col min="3752" max="3752" width="12.19921875" style="8" bestFit="1" customWidth="1"/>
    <col min="3753" max="3753" width="11" style="8"/>
    <col min="3754" max="3754" width="12.19921875" style="8" bestFit="1" customWidth="1"/>
    <col min="3755" max="3758" width="11" style="8"/>
    <col min="3759" max="3760" width="12.19921875" style="8" bestFit="1" customWidth="1"/>
    <col min="3761" max="3761" width="11" style="8"/>
    <col min="3762" max="3762" width="12.19921875" style="8" bestFit="1" customWidth="1"/>
    <col min="3763" max="3766" width="11" style="8"/>
    <col min="3767" max="3767" width="12.19921875" style="8" bestFit="1" customWidth="1"/>
    <col min="3768" max="3768" width="13.19921875" style="8" bestFit="1" customWidth="1"/>
    <col min="3769" max="3769" width="11" style="8"/>
    <col min="3770" max="3770" width="11.19921875" style="8" bestFit="1" customWidth="1"/>
    <col min="3771" max="3774" width="11" style="8"/>
    <col min="3775" max="3776" width="13.19921875" style="8" bestFit="1" customWidth="1"/>
    <col min="3777" max="3777" width="11" style="8"/>
    <col min="3778" max="3778" width="11.19921875" style="8" bestFit="1" customWidth="1"/>
    <col min="3779" max="3782" width="11" style="8"/>
    <col min="3783" max="3783" width="13.19921875" style="8" bestFit="1" customWidth="1"/>
    <col min="3784" max="3784" width="11.19921875" style="8" bestFit="1" customWidth="1"/>
    <col min="3785" max="3785" width="11" style="8"/>
    <col min="3786" max="3786" width="11.19921875" style="8" bestFit="1" customWidth="1"/>
    <col min="3787" max="3790" width="11" style="8"/>
    <col min="3791" max="3792" width="11.19921875" style="8" bestFit="1" customWidth="1"/>
    <col min="3793" max="3793" width="11" style="8"/>
    <col min="3794" max="3794" width="12.19921875" style="8" bestFit="1" customWidth="1"/>
    <col min="3795" max="3798" width="11" style="8"/>
    <col min="3799" max="3800" width="11.19921875" style="8" bestFit="1" customWidth="1"/>
    <col min="3801" max="3801" width="11" style="8"/>
    <col min="3802" max="3802" width="12.19921875" style="8" bestFit="1" customWidth="1"/>
    <col min="3803" max="3806" width="11" style="8"/>
    <col min="3807" max="3807" width="11.19921875" style="8" bestFit="1" customWidth="1"/>
    <col min="3808" max="3808" width="12.19921875" style="8" bestFit="1" customWidth="1"/>
    <col min="3809" max="3809" width="11" style="8"/>
    <col min="3810" max="3810" width="12.19921875" style="8" bestFit="1" customWidth="1"/>
    <col min="3811" max="3814" width="11" style="8"/>
    <col min="3815" max="3816" width="12.19921875" style="8" bestFit="1" customWidth="1"/>
    <col min="3817" max="3817" width="11" style="8"/>
    <col min="3818" max="3818" width="12.19921875" style="8" bestFit="1" customWidth="1"/>
    <col min="3819" max="3822" width="11" style="8"/>
    <col min="3823" max="3823" width="12.19921875" style="8" bestFit="1" customWidth="1"/>
    <col min="3824" max="3824" width="13.19921875" style="8" bestFit="1" customWidth="1"/>
    <col min="3825" max="3825" width="11" style="8"/>
    <col min="3826" max="3826" width="11.19921875" style="8" bestFit="1" customWidth="1"/>
    <col min="3827" max="3830" width="11" style="8"/>
    <col min="3831" max="3832" width="13.19921875" style="8" bestFit="1" customWidth="1"/>
    <col min="3833" max="3833" width="11" style="8"/>
    <col min="3834" max="3834" width="11.19921875" style="8" bestFit="1" customWidth="1"/>
    <col min="3835" max="3838" width="11" style="8"/>
    <col min="3839" max="3839" width="13.19921875" style="8" bestFit="1" customWidth="1"/>
    <col min="3840" max="3840" width="11.19921875" style="8" bestFit="1" customWidth="1"/>
    <col min="3841" max="3841" width="11" style="8"/>
    <col min="3842" max="3842" width="11.19921875" style="8" bestFit="1" customWidth="1"/>
    <col min="3843" max="3846" width="11" style="8"/>
    <col min="3847" max="3848" width="11.19921875" style="8" bestFit="1" customWidth="1"/>
    <col min="3849" max="3849" width="11" style="8"/>
    <col min="3850" max="3850" width="12.19921875" style="8" bestFit="1" customWidth="1"/>
    <col min="3851" max="3854" width="11" style="8"/>
    <col min="3855" max="3856" width="11.19921875" style="8" bestFit="1" customWidth="1"/>
    <col min="3857" max="3857" width="11" style="8"/>
    <col min="3858" max="3858" width="12.19921875" style="8" bestFit="1" customWidth="1"/>
    <col min="3859" max="3862" width="11" style="8"/>
    <col min="3863" max="3863" width="11.19921875" style="8" bestFit="1" customWidth="1"/>
    <col min="3864" max="3864" width="12.19921875" style="8" bestFit="1" customWidth="1"/>
    <col min="3865" max="3865" width="11" style="8"/>
    <col min="3866" max="3866" width="12.19921875" style="8" bestFit="1" customWidth="1"/>
    <col min="3867" max="3870" width="11" style="8"/>
    <col min="3871" max="3872" width="12.19921875" style="8" bestFit="1" customWidth="1"/>
    <col min="3873" max="3873" width="11" style="8"/>
    <col min="3874" max="3874" width="12.19921875" style="8" bestFit="1" customWidth="1"/>
    <col min="3875" max="3878" width="11" style="8"/>
    <col min="3879" max="3879" width="12.19921875" style="8" bestFit="1" customWidth="1"/>
    <col min="3880" max="3880" width="13.19921875" style="8" bestFit="1" customWidth="1"/>
    <col min="3881" max="3881" width="11" style="8"/>
    <col min="3882" max="3882" width="11.19921875" style="8" bestFit="1" customWidth="1"/>
    <col min="3883" max="3886" width="11" style="8"/>
    <col min="3887" max="3888" width="13.19921875" style="8" bestFit="1" customWidth="1"/>
    <col min="3889" max="3889" width="11" style="8"/>
    <col min="3890" max="3890" width="11.19921875" style="8" bestFit="1" customWidth="1"/>
    <col min="3891" max="3894" width="11" style="8"/>
    <col min="3895" max="3895" width="13.19921875" style="8" bestFit="1" customWidth="1"/>
    <col min="3896" max="3896" width="11.19921875" style="8" bestFit="1" customWidth="1"/>
    <col min="3897" max="3897" width="11" style="8"/>
    <col min="3898" max="3898" width="11.19921875" style="8" bestFit="1" customWidth="1"/>
    <col min="3899" max="3902" width="11" style="8"/>
    <col min="3903" max="3904" width="11.19921875" style="8" bestFit="1" customWidth="1"/>
    <col min="3905" max="3905" width="11" style="8"/>
    <col min="3906" max="3906" width="12.19921875" style="8" bestFit="1" customWidth="1"/>
    <col min="3907" max="3910" width="11" style="8"/>
    <col min="3911" max="3912" width="11.19921875" style="8" bestFit="1" customWidth="1"/>
    <col min="3913" max="3913" width="11" style="8"/>
    <col min="3914" max="3914" width="12.19921875" style="8" bestFit="1" customWidth="1"/>
    <col min="3915" max="3918" width="11" style="8"/>
    <col min="3919" max="3919" width="11.19921875" style="8" bestFit="1" customWidth="1"/>
    <col min="3920" max="3920" width="12.19921875" style="8" bestFit="1" customWidth="1"/>
    <col min="3921" max="3921" width="11" style="8"/>
    <col min="3922" max="3922" width="12.19921875" style="8" bestFit="1" customWidth="1"/>
    <col min="3923" max="3926" width="11" style="8"/>
    <col min="3927" max="3928" width="12.19921875" style="8" bestFit="1" customWidth="1"/>
    <col min="3929" max="3929" width="11" style="8"/>
    <col min="3930" max="3930" width="12.19921875" style="8" bestFit="1" customWidth="1"/>
    <col min="3931" max="3934" width="11" style="8"/>
    <col min="3935" max="3935" width="12.19921875" style="8" bestFit="1" customWidth="1"/>
    <col min="3936" max="3936" width="13.19921875" style="8" bestFit="1" customWidth="1"/>
    <col min="3937" max="3937" width="11" style="8"/>
    <col min="3938" max="3938" width="11.19921875" style="8" bestFit="1" customWidth="1"/>
    <col min="3939" max="3942" width="11" style="8"/>
    <col min="3943" max="3944" width="13.19921875" style="8" bestFit="1" customWidth="1"/>
    <col min="3945" max="3945" width="11" style="8"/>
    <col min="3946" max="3946" width="11.19921875" style="8" bestFit="1" customWidth="1"/>
    <col min="3947" max="3950" width="11" style="8"/>
    <col min="3951" max="3951" width="13.19921875" style="8" bestFit="1" customWidth="1"/>
    <col min="3952" max="3952" width="11.19921875" style="8" bestFit="1" customWidth="1"/>
    <col min="3953" max="3953" width="11" style="8"/>
    <col min="3954" max="3954" width="11.19921875" style="8" bestFit="1" customWidth="1"/>
    <col min="3955" max="3958" width="11" style="8"/>
    <col min="3959" max="3960" width="11.19921875" style="8" bestFit="1" customWidth="1"/>
    <col min="3961" max="3961" width="11" style="8"/>
    <col min="3962" max="3962" width="12.19921875" style="8" bestFit="1" customWidth="1"/>
    <col min="3963" max="3966" width="11" style="8"/>
    <col min="3967" max="3968" width="11.19921875" style="8" bestFit="1" customWidth="1"/>
    <col min="3969" max="3969" width="11" style="8"/>
    <col min="3970" max="3970" width="12.19921875" style="8" bestFit="1" customWidth="1"/>
    <col min="3971" max="3974" width="11" style="8"/>
    <col min="3975" max="3975" width="11.19921875" style="8" bestFit="1" customWidth="1"/>
    <col min="3976" max="3976" width="12.19921875" style="8" bestFit="1" customWidth="1"/>
    <col min="3977" max="3977" width="11" style="8"/>
    <col min="3978" max="3978" width="12.19921875" style="8" bestFit="1" customWidth="1"/>
    <col min="3979" max="3982" width="11" style="8"/>
    <col min="3983" max="3984" width="12.19921875" style="8" bestFit="1" customWidth="1"/>
    <col min="3985" max="3985" width="11" style="8"/>
    <col min="3986" max="3986" width="12.19921875" style="8" bestFit="1" customWidth="1"/>
    <col min="3987" max="3990" width="11" style="8"/>
    <col min="3991" max="3991" width="12.19921875" style="8" bestFit="1" customWidth="1"/>
    <col min="3992" max="3992" width="13.19921875" style="8" bestFit="1" customWidth="1"/>
    <col min="3993" max="3993" width="11" style="8"/>
    <col min="3994" max="3994" width="11.19921875" style="8" bestFit="1" customWidth="1"/>
    <col min="3995" max="3998" width="11" style="8"/>
    <col min="3999" max="4000" width="13.19921875" style="8" bestFit="1" customWidth="1"/>
    <col min="4001" max="4001" width="11" style="8"/>
    <col min="4002" max="4002" width="11.19921875" style="8" bestFit="1" customWidth="1"/>
    <col min="4003" max="4006" width="11" style="8"/>
    <col min="4007" max="4007" width="13.19921875" style="8" bestFit="1" customWidth="1"/>
    <col min="4008" max="4008" width="11.19921875" style="8" bestFit="1" customWidth="1"/>
    <col min="4009" max="4009" width="11" style="8"/>
    <col min="4010" max="4010" width="11.19921875" style="8" bestFit="1" customWidth="1"/>
    <col min="4011" max="4014" width="11" style="8"/>
    <col min="4015" max="4016" width="11.19921875" style="8" bestFit="1" customWidth="1"/>
    <col min="4017" max="4017" width="11" style="8"/>
    <col min="4018" max="4018" width="12.19921875" style="8" bestFit="1" customWidth="1"/>
    <col min="4019" max="4022" width="11" style="8"/>
    <col min="4023" max="4024" width="11.19921875" style="8" bestFit="1" customWidth="1"/>
    <col min="4025" max="4025" width="11" style="8"/>
    <col min="4026" max="4026" width="12.19921875" style="8" bestFit="1" customWidth="1"/>
    <col min="4027" max="4030" width="11" style="8"/>
    <col min="4031" max="4031" width="11.19921875" style="8" bestFit="1" customWidth="1"/>
    <col min="4032" max="4032" width="12.19921875" style="8" bestFit="1" customWidth="1"/>
    <col min="4033" max="4033" width="11" style="8"/>
    <col min="4034" max="4034" width="12.19921875" style="8" bestFit="1" customWidth="1"/>
    <col min="4035" max="4038" width="11" style="8"/>
    <col min="4039" max="4040" width="12.19921875" style="8" bestFit="1" customWidth="1"/>
    <col min="4041" max="4041" width="11" style="8"/>
    <col min="4042" max="4042" width="12.19921875" style="8" bestFit="1" customWidth="1"/>
    <col min="4043" max="4046" width="11" style="8"/>
    <col min="4047" max="4047" width="12.19921875" style="8" bestFit="1" customWidth="1"/>
    <col min="4048" max="4048" width="13.19921875" style="8" bestFit="1" customWidth="1"/>
    <col min="4049" max="4049" width="11" style="8"/>
    <col min="4050" max="4050" width="11.19921875" style="8" bestFit="1" customWidth="1"/>
    <col min="4051" max="4054" width="11" style="8"/>
    <col min="4055" max="4056" width="13.19921875" style="8" bestFit="1" customWidth="1"/>
    <col min="4057" max="4057" width="11" style="8"/>
    <col min="4058" max="4058" width="11.19921875" style="8" bestFit="1" customWidth="1"/>
    <col min="4059" max="4062" width="11" style="8"/>
    <col min="4063" max="4063" width="13.19921875" style="8" bestFit="1" customWidth="1"/>
    <col min="4064" max="4064" width="11.19921875" style="8" bestFit="1" customWidth="1"/>
    <col min="4065" max="4065" width="11" style="8"/>
    <col min="4066" max="4066" width="11.19921875" style="8" bestFit="1" customWidth="1"/>
    <col min="4067" max="4070" width="11" style="8"/>
    <col min="4071" max="4072" width="11.19921875" style="8" bestFit="1" customWidth="1"/>
    <col min="4073" max="4073" width="11" style="8"/>
    <col min="4074" max="4074" width="12.19921875" style="8" bestFit="1" customWidth="1"/>
    <col min="4075" max="4078" width="11" style="8"/>
    <col min="4079" max="4080" width="11.19921875" style="8" bestFit="1" customWidth="1"/>
    <col min="4081" max="4081" width="11" style="8"/>
    <col min="4082" max="4082" width="12.19921875" style="8" bestFit="1" customWidth="1"/>
    <col min="4083" max="4086" width="11" style="8"/>
    <col min="4087" max="4087" width="11.19921875" style="8" bestFit="1" customWidth="1"/>
    <col min="4088" max="4088" width="12.19921875" style="8" bestFit="1" customWidth="1"/>
    <col min="4089" max="4089" width="11" style="8"/>
    <col min="4090" max="4090" width="12.19921875" style="8" bestFit="1" customWidth="1"/>
    <col min="4091" max="4094" width="11" style="8"/>
    <col min="4095" max="4096" width="12.19921875" style="8" bestFit="1" customWidth="1"/>
    <col min="4097" max="4097" width="11" style="8"/>
    <col min="4098" max="4098" width="12.19921875" style="8" bestFit="1" customWidth="1"/>
    <col min="4099" max="4102" width="11" style="8"/>
    <col min="4103" max="4103" width="12.19921875" style="8" bestFit="1" customWidth="1"/>
    <col min="4104" max="4104" width="13.19921875" style="8" bestFit="1" customWidth="1"/>
    <col min="4105" max="4105" width="11" style="8"/>
    <col min="4106" max="4106" width="11.19921875" style="8" bestFit="1" customWidth="1"/>
    <col min="4107" max="4110" width="11" style="8"/>
    <col min="4111" max="4112" width="13.19921875" style="8" bestFit="1" customWidth="1"/>
    <col min="4113" max="4113" width="11" style="8"/>
    <col min="4114" max="4114" width="11.19921875" style="8" bestFit="1" customWidth="1"/>
    <col min="4115" max="4118" width="11" style="8"/>
    <col min="4119" max="4119" width="13.19921875" style="8" bestFit="1" customWidth="1"/>
    <col min="4120" max="4120" width="11.19921875" style="8" bestFit="1" customWidth="1"/>
    <col min="4121" max="4121" width="11" style="8"/>
    <col min="4122" max="4122" width="11.19921875" style="8" bestFit="1" customWidth="1"/>
    <col min="4123" max="4126" width="11" style="8"/>
    <col min="4127" max="4128" width="11.19921875" style="8" bestFit="1" customWidth="1"/>
    <col min="4129" max="4129" width="11" style="8"/>
    <col min="4130" max="4130" width="12.19921875" style="8" bestFit="1" customWidth="1"/>
    <col min="4131" max="4134" width="11" style="8"/>
    <col min="4135" max="4136" width="11.19921875" style="8" bestFit="1" customWidth="1"/>
    <col min="4137" max="4137" width="11" style="8"/>
    <col min="4138" max="4138" width="12.19921875" style="8" bestFit="1" customWidth="1"/>
    <col min="4139" max="4142" width="11" style="8"/>
    <col min="4143" max="4143" width="11.19921875" style="8" bestFit="1" customWidth="1"/>
    <col min="4144" max="4144" width="12.19921875" style="8" bestFit="1" customWidth="1"/>
    <col min="4145" max="4145" width="11" style="8"/>
    <col min="4146" max="4146" width="12.19921875" style="8" bestFit="1" customWidth="1"/>
    <col min="4147" max="4150" width="11" style="8"/>
    <col min="4151" max="4152" width="12.19921875" style="8" bestFit="1" customWidth="1"/>
    <col min="4153" max="4153" width="11" style="8"/>
    <col min="4154" max="4154" width="12.19921875" style="8" bestFit="1" customWidth="1"/>
    <col min="4155" max="4158" width="11" style="8"/>
    <col min="4159" max="4159" width="12.19921875" style="8" bestFit="1" customWidth="1"/>
    <col min="4160" max="4160" width="13.19921875" style="8" bestFit="1" customWidth="1"/>
    <col min="4161" max="4161" width="11" style="8"/>
    <col min="4162" max="4162" width="11.19921875" style="8" bestFit="1" customWidth="1"/>
    <col min="4163" max="4166" width="11" style="8"/>
    <col min="4167" max="4168" width="13.19921875" style="8" bestFit="1" customWidth="1"/>
    <col min="4169" max="4169" width="11" style="8"/>
    <col min="4170" max="4170" width="11.19921875" style="8" bestFit="1" customWidth="1"/>
    <col min="4171" max="4174" width="11" style="8"/>
    <col min="4175" max="4175" width="13.19921875" style="8" bestFit="1" customWidth="1"/>
    <col min="4176" max="4176" width="11.19921875" style="8" bestFit="1" customWidth="1"/>
    <col min="4177" max="4177" width="11" style="8"/>
    <col min="4178" max="4178" width="11.19921875" style="8" bestFit="1" customWidth="1"/>
    <col min="4179" max="4182" width="11" style="8"/>
    <col min="4183" max="4184" width="11.19921875" style="8" bestFit="1" customWidth="1"/>
    <col min="4185" max="4185" width="11" style="8"/>
    <col min="4186" max="4186" width="12.19921875" style="8" bestFit="1" customWidth="1"/>
    <col min="4187" max="4190" width="11" style="8"/>
    <col min="4191" max="4192" width="11.19921875" style="8" bestFit="1" customWidth="1"/>
    <col min="4193" max="4193" width="11" style="8"/>
    <col min="4194" max="4194" width="12.19921875" style="8" bestFit="1" customWidth="1"/>
    <col min="4195" max="4198" width="11" style="8"/>
    <col min="4199" max="4199" width="11.19921875" style="8" bestFit="1" customWidth="1"/>
    <col min="4200" max="4200" width="12.19921875" style="8" bestFit="1" customWidth="1"/>
    <col min="4201" max="4201" width="11" style="8"/>
    <col min="4202" max="4202" width="12.19921875" style="8" bestFit="1" customWidth="1"/>
    <col min="4203" max="4206" width="11" style="8"/>
    <col min="4207" max="4208" width="12.19921875" style="8" bestFit="1" customWidth="1"/>
    <col min="4209" max="4209" width="11" style="8"/>
    <col min="4210" max="4210" width="12.19921875" style="8" bestFit="1" customWidth="1"/>
    <col min="4211" max="4214" width="11" style="8"/>
    <col min="4215" max="4215" width="12.19921875" style="8" bestFit="1" customWidth="1"/>
    <col min="4216" max="4216" width="13.19921875" style="8" bestFit="1" customWidth="1"/>
    <col min="4217" max="4217" width="11" style="8"/>
    <col min="4218" max="4218" width="11.19921875" style="8" bestFit="1" customWidth="1"/>
    <col min="4219" max="4222" width="11" style="8"/>
    <col min="4223" max="4224" width="13.19921875" style="8" bestFit="1" customWidth="1"/>
    <col min="4225" max="4225" width="11" style="8"/>
    <col min="4226" max="4226" width="11.19921875" style="8" bestFit="1" customWidth="1"/>
    <col min="4227" max="4230" width="11" style="8"/>
    <col min="4231" max="4231" width="13.19921875" style="8" bestFit="1" customWidth="1"/>
    <col min="4232" max="4232" width="11.19921875" style="8" bestFit="1" customWidth="1"/>
    <col min="4233" max="4233" width="11" style="8"/>
    <col min="4234" max="4234" width="11.19921875" style="8" bestFit="1" customWidth="1"/>
    <col min="4235" max="4238" width="11" style="8"/>
    <col min="4239" max="4240" width="11.19921875" style="8" bestFit="1" customWidth="1"/>
    <col min="4241" max="4241" width="11" style="8"/>
    <col min="4242" max="4242" width="12.19921875" style="8" bestFit="1" customWidth="1"/>
    <col min="4243" max="4246" width="11" style="8"/>
    <col min="4247" max="4248" width="11.19921875" style="8" bestFit="1" customWidth="1"/>
    <col min="4249" max="4249" width="11" style="8"/>
    <col min="4250" max="4250" width="12.19921875" style="8" bestFit="1" customWidth="1"/>
    <col min="4251" max="4254" width="11" style="8"/>
    <col min="4255" max="4255" width="11.19921875" style="8" bestFit="1" customWidth="1"/>
    <col min="4256" max="4256" width="12.19921875" style="8" bestFit="1" customWidth="1"/>
    <col min="4257" max="4257" width="11" style="8"/>
    <col min="4258" max="4258" width="12.19921875" style="8" bestFit="1" customWidth="1"/>
    <col min="4259" max="4262" width="11" style="8"/>
    <col min="4263" max="4264" width="12.19921875" style="8" bestFit="1" customWidth="1"/>
    <col min="4265" max="4265" width="11" style="8"/>
    <col min="4266" max="4266" width="12.19921875" style="8" bestFit="1" customWidth="1"/>
    <col min="4267" max="4270" width="11" style="8"/>
    <col min="4271" max="4271" width="12.19921875" style="8" bestFit="1" customWidth="1"/>
    <col min="4272" max="4272" width="13.19921875" style="8" bestFit="1" customWidth="1"/>
    <col min="4273" max="4273" width="11" style="8"/>
    <col min="4274" max="4274" width="11.19921875" style="8" bestFit="1" customWidth="1"/>
    <col min="4275" max="4278" width="11" style="8"/>
    <col min="4279" max="4280" width="13.19921875" style="8" bestFit="1" customWidth="1"/>
    <col min="4281" max="4281" width="11" style="8"/>
    <col min="4282" max="4282" width="11.19921875" style="8" bestFit="1" customWidth="1"/>
    <col min="4283" max="4286" width="11" style="8"/>
    <col min="4287" max="4287" width="13.19921875" style="8" bestFit="1" customWidth="1"/>
    <col min="4288" max="4288" width="11.19921875" style="8" bestFit="1" customWidth="1"/>
    <col min="4289" max="4289" width="11" style="8"/>
    <col min="4290" max="4290" width="11.19921875" style="8" bestFit="1" customWidth="1"/>
    <col min="4291" max="4294" width="11" style="8"/>
    <col min="4295" max="4296" width="11.19921875" style="8" bestFit="1" customWidth="1"/>
    <col min="4297" max="4297" width="11" style="8"/>
    <col min="4298" max="4298" width="12.19921875" style="8" bestFit="1" customWidth="1"/>
    <col min="4299" max="4302" width="11" style="8"/>
    <col min="4303" max="4304" width="11.19921875" style="8" bestFit="1" customWidth="1"/>
    <col min="4305" max="4305" width="11" style="8"/>
    <col min="4306" max="4306" width="12.19921875" style="8" bestFit="1" customWidth="1"/>
    <col min="4307" max="4310" width="11" style="8"/>
    <col min="4311" max="4311" width="11.19921875" style="8" bestFit="1" customWidth="1"/>
    <col min="4312" max="4312" width="12.19921875" style="8" bestFit="1" customWidth="1"/>
    <col min="4313" max="4313" width="11" style="8"/>
    <col min="4314" max="4314" width="12.19921875" style="8" bestFit="1" customWidth="1"/>
    <col min="4315" max="4318" width="11" style="8"/>
    <col min="4319" max="4320" width="12.19921875" style="8" bestFit="1" customWidth="1"/>
    <col min="4321" max="4321" width="11" style="8"/>
    <col min="4322" max="4322" width="12.19921875" style="8" bestFit="1" customWidth="1"/>
    <col min="4323" max="4326" width="11" style="8"/>
    <col min="4327" max="4327" width="12.19921875" style="8" bestFit="1" customWidth="1"/>
    <col min="4328" max="4328" width="13.19921875" style="8" bestFit="1" customWidth="1"/>
    <col min="4329" max="4329" width="11" style="8"/>
    <col min="4330" max="4330" width="11.19921875" style="8" bestFit="1" customWidth="1"/>
    <col min="4331" max="4334" width="11" style="8"/>
    <col min="4335" max="4336" width="13.19921875" style="8" bestFit="1" customWidth="1"/>
    <col min="4337" max="4337" width="11" style="8"/>
    <col min="4338" max="4338" width="11.19921875" style="8" bestFit="1" customWidth="1"/>
    <col min="4339" max="4342" width="11" style="8"/>
    <col min="4343" max="4343" width="13.19921875" style="8" bestFit="1" customWidth="1"/>
    <col min="4344" max="4344" width="11.19921875" style="8" bestFit="1" customWidth="1"/>
    <col min="4345" max="4345" width="11" style="8"/>
    <col min="4346" max="4346" width="11.19921875" style="8" bestFit="1" customWidth="1"/>
    <col min="4347" max="4350" width="11" style="8"/>
    <col min="4351" max="4352" width="11.19921875" style="8" bestFit="1" customWidth="1"/>
    <col min="4353" max="4353" width="11" style="8"/>
    <col min="4354" max="4354" width="12.19921875" style="8" bestFit="1" customWidth="1"/>
    <col min="4355" max="4358" width="11" style="8"/>
    <col min="4359" max="4360" width="11.19921875" style="8" bestFit="1" customWidth="1"/>
    <col min="4361" max="4361" width="11" style="8"/>
    <col min="4362" max="4362" width="12.19921875" style="8" bestFit="1" customWidth="1"/>
    <col min="4363" max="4366" width="11" style="8"/>
    <col min="4367" max="4367" width="11.19921875" style="8" bestFit="1" customWidth="1"/>
    <col min="4368" max="4368" width="12.19921875" style="8" bestFit="1" customWidth="1"/>
    <col min="4369" max="4369" width="11" style="8"/>
    <col min="4370" max="4370" width="12.19921875" style="8" bestFit="1" customWidth="1"/>
    <col min="4371" max="4374" width="11" style="8"/>
    <col min="4375" max="4376" width="12.19921875" style="8" bestFit="1" customWidth="1"/>
    <col min="4377" max="4377" width="11" style="8"/>
    <col min="4378" max="4378" width="12.19921875" style="8" bestFit="1" customWidth="1"/>
    <col min="4379" max="4382" width="11" style="8"/>
    <col min="4383" max="4383" width="12.19921875" style="8" bestFit="1" customWidth="1"/>
    <col min="4384" max="4384" width="13.19921875" style="8" bestFit="1" customWidth="1"/>
    <col min="4385" max="4385" width="11" style="8"/>
    <col min="4386" max="4386" width="11.19921875" style="8" bestFit="1" customWidth="1"/>
    <col min="4387" max="4390" width="11" style="8"/>
    <col min="4391" max="4392" width="13.19921875" style="8" bestFit="1" customWidth="1"/>
    <col min="4393" max="4393" width="11" style="8"/>
    <col min="4394" max="4394" width="11.19921875" style="8" bestFit="1" customWidth="1"/>
    <col min="4395" max="4398" width="11" style="8"/>
    <col min="4399" max="4399" width="13.19921875" style="8" bestFit="1" customWidth="1"/>
    <col min="4400" max="4400" width="11.19921875" style="8" bestFit="1" customWidth="1"/>
    <col min="4401" max="4401" width="11" style="8"/>
    <col min="4402" max="4402" width="11.19921875" style="8" bestFit="1" customWidth="1"/>
    <col min="4403" max="4406" width="11" style="8"/>
    <col min="4407" max="4408" width="11.19921875" style="8" bestFit="1" customWidth="1"/>
    <col min="4409" max="4409" width="11" style="8"/>
    <col min="4410" max="4410" width="12.19921875" style="8" bestFit="1" customWidth="1"/>
    <col min="4411" max="4414" width="11" style="8"/>
    <col min="4415" max="4416" width="11.19921875" style="8" bestFit="1" customWidth="1"/>
    <col min="4417" max="4417" width="11" style="8"/>
    <col min="4418" max="4418" width="12.19921875" style="8" bestFit="1" customWidth="1"/>
    <col min="4419" max="4422" width="11" style="8"/>
    <col min="4423" max="4423" width="11.19921875" style="8" bestFit="1" customWidth="1"/>
    <col min="4424" max="4424" width="12.19921875" style="8" bestFit="1" customWidth="1"/>
    <col min="4425" max="4425" width="11" style="8"/>
    <col min="4426" max="4426" width="12.19921875" style="8" bestFit="1" customWidth="1"/>
    <col min="4427" max="4430" width="11" style="8"/>
    <col min="4431" max="4432" width="12.19921875" style="8" bestFit="1" customWidth="1"/>
    <col min="4433" max="4433" width="11" style="8"/>
    <col min="4434" max="4434" width="12.19921875" style="8" bestFit="1" customWidth="1"/>
    <col min="4435" max="4438" width="11" style="8"/>
    <col min="4439" max="4439" width="12.19921875" style="8" bestFit="1" customWidth="1"/>
    <col min="4440" max="4440" width="13.19921875" style="8" bestFit="1" customWidth="1"/>
    <col min="4441" max="4441" width="11" style="8"/>
    <col min="4442" max="4442" width="11.19921875" style="8" bestFit="1" customWidth="1"/>
    <col min="4443" max="4446" width="11" style="8"/>
    <col min="4447" max="4448" width="13.19921875" style="8" bestFit="1" customWidth="1"/>
    <col min="4449" max="4449" width="11" style="8"/>
    <col min="4450" max="4450" width="11.19921875" style="8" bestFit="1" customWidth="1"/>
    <col min="4451" max="4454" width="11" style="8"/>
    <col min="4455" max="4455" width="13.19921875" style="8" bestFit="1" customWidth="1"/>
    <col min="4456" max="4456" width="11.19921875" style="8" bestFit="1" customWidth="1"/>
    <col min="4457" max="4457" width="11" style="8"/>
    <col min="4458" max="4458" width="11.19921875" style="8" bestFit="1" customWidth="1"/>
    <col min="4459" max="4462" width="11" style="8"/>
    <col min="4463" max="4464" width="11.19921875" style="8" bestFit="1" customWidth="1"/>
    <col min="4465" max="4465" width="11" style="8"/>
    <col min="4466" max="4466" width="12.19921875" style="8" bestFit="1" customWidth="1"/>
    <col min="4467" max="4470" width="11" style="8"/>
    <col min="4471" max="4472" width="11.19921875" style="8" bestFit="1" customWidth="1"/>
    <col min="4473" max="4473" width="11" style="8"/>
    <col min="4474" max="4474" width="12.19921875" style="8" bestFit="1" customWidth="1"/>
    <col min="4475" max="4478" width="11" style="8"/>
    <col min="4479" max="4479" width="11.19921875" style="8" bestFit="1" customWidth="1"/>
    <col min="4480" max="4480" width="12.19921875" style="8" bestFit="1" customWidth="1"/>
    <col min="4481" max="4481" width="11" style="8"/>
    <col min="4482" max="4482" width="12.19921875" style="8" bestFit="1" customWidth="1"/>
    <col min="4483" max="4486" width="11" style="8"/>
    <col min="4487" max="4488" width="12.19921875" style="8" bestFit="1" customWidth="1"/>
    <col min="4489" max="4489" width="11" style="8"/>
    <col min="4490" max="4490" width="12.19921875" style="8" bestFit="1" customWidth="1"/>
    <col min="4491" max="4494" width="11" style="8"/>
    <col min="4495" max="4495" width="12.19921875" style="8" bestFit="1" customWidth="1"/>
    <col min="4496" max="4496" width="13.19921875" style="8" bestFit="1" customWidth="1"/>
    <col min="4497" max="4497" width="11" style="8"/>
    <col min="4498" max="4498" width="11.19921875" style="8" bestFit="1" customWidth="1"/>
    <col min="4499" max="4502" width="11" style="8"/>
    <col min="4503" max="4504" width="13.19921875" style="8" bestFit="1" customWidth="1"/>
    <col min="4505" max="4505" width="11" style="8"/>
    <col min="4506" max="4506" width="11.19921875" style="8" bestFit="1" customWidth="1"/>
    <col min="4507" max="4510" width="11" style="8"/>
    <col min="4511" max="4511" width="13.19921875" style="8" bestFit="1" customWidth="1"/>
    <col min="4512" max="4512" width="11.19921875" style="8" bestFit="1" customWidth="1"/>
    <col min="4513" max="4513" width="11" style="8"/>
    <col min="4514" max="4514" width="11.19921875" style="8" bestFit="1" customWidth="1"/>
    <col min="4515" max="4518" width="11" style="8"/>
    <col min="4519" max="4520" width="11.19921875" style="8" bestFit="1" customWidth="1"/>
    <col min="4521" max="4521" width="11" style="8"/>
    <col min="4522" max="4522" width="12.19921875" style="8" bestFit="1" customWidth="1"/>
    <col min="4523" max="4526" width="11" style="8"/>
    <col min="4527" max="4528" width="11.19921875" style="8" bestFit="1" customWidth="1"/>
    <col min="4529" max="4529" width="11" style="8"/>
    <col min="4530" max="4530" width="12.19921875" style="8" bestFit="1" customWidth="1"/>
    <col min="4531" max="4534" width="11" style="8"/>
    <col min="4535" max="4535" width="11.19921875" style="8" bestFit="1" customWidth="1"/>
    <col min="4536" max="4536" width="12.19921875" style="8" bestFit="1" customWidth="1"/>
    <col min="4537" max="4537" width="11" style="8"/>
    <col min="4538" max="4538" width="12.19921875" style="8" bestFit="1" customWidth="1"/>
    <col min="4539" max="4542" width="11" style="8"/>
    <col min="4543" max="4544" width="12.19921875" style="8" bestFit="1" customWidth="1"/>
    <col min="4545" max="4545" width="11" style="8"/>
    <col min="4546" max="4546" width="12.19921875" style="8" bestFit="1" customWidth="1"/>
    <col min="4547" max="4550" width="11" style="8"/>
    <col min="4551" max="4551" width="12.19921875" style="8" bestFit="1" customWidth="1"/>
    <col min="4552" max="4552" width="13.19921875" style="8" bestFit="1" customWidth="1"/>
    <col min="4553" max="4553" width="11" style="8"/>
    <col min="4554" max="4554" width="11.19921875" style="8" bestFit="1" customWidth="1"/>
    <col min="4555" max="4558" width="11" style="8"/>
    <col min="4559" max="4560" width="13.19921875" style="8" bestFit="1" customWidth="1"/>
    <col min="4561" max="4561" width="11" style="8"/>
    <col min="4562" max="4562" width="11.19921875" style="8" bestFit="1" customWidth="1"/>
    <col min="4563" max="4566" width="11" style="8"/>
    <col min="4567" max="4567" width="13.19921875" style="8" bestFit="1" customWidth="1"/>
    <col min="4568" max="4568" width="11.19921875" style="8" bestFit="1" customWidth="1"/>
    <col min="4569" max="4569" width="11" style="8"/>
    <col min="4570" max="4570" width="11.19921875" style="8" bestFit="1" customWidth="1"/>
    <col min="4571" max="4574" width="11" style="8"/>
    <col min="4575" max="4576" width="11.19921875" style="8" bestFit="1" customWidth="1"/>
    <col min="4577" max="4577" width="11" style="8"/>
    <col min="4578" max="4578" width="12.19921875" style="8" bestFit="1" customWidth="1"/>
    <col min="4579" max="4582" width="11" style="8"/>
    <col min="4583" max="4584" width="11.19921875" style="8" bestFit="1" customWidth="1"/>
    <col min="4585" max="4585" width="11" style="8"/>
    <col min="4586" max="4586" width="12.19921875" style="8" bestFit="1" customWidth="1"/>
    <col min="4587" max="4590" width="11" style="8"/>
    <col min="4591" max="4591" width="11.19921875" style="8" bestFit="1" customWidth="1"/>
    <col min="4592" max="4592" width="12.19921875" style="8" bestFit="1" customWidth="1"/>
    <col min="4593" max="4593" width="11" style="8"/>
    <col min="4594" max="4594" width="12.19921875" style="8" bestFit="1" customWidth="1"/>
    <col min="4595" max="4598" width="11" style="8"/>
    <col min="4599" max="4600" width="12.19921875" style="8" bestFit="1" customWidth="1"/>
    <col min="4601" max="4601" width="11" style="8"/>
    <col min="4602" max="4602" width="12.19921875" style="8" bestFit="1" customWidth="1"/>
    <col min="4603" max="4606" width="11" style="8"/>
    <col min="4607" max="4607" width="12.19921875" style="8" bestFit="1" customWidth="1"/>
    <col min="4608" max="4608" width="13.19921875" style="8" bestFit="1" customWidth="1"/>
    <col min="4609" max="4609" width="11" style="8"/>
    <col min="4610" max="4610" width="11.19921875" style="8" bestFit="1" customWidth="1"/>
    <col min="4611" max="4614" width="11" style="8"/>
    <col min="4615" max="4616" width="13.19921875" style="8" bestFit="1" customWidth="1"/>
    <col min="4617" max="4617" width="11" style="8"/>
    <col min="4618" max="4618" width="11.19921875" style="8" bestFit="1" customWidth="1"/>
    <col min="4619" max="4622" width="11" style="8"/>
    <col min="4623" max="4623" width="13.19921875" style="8" bestFit="1" customWidth="1"/>
    <col min="4624" max="4624" width="11.19921875" style="8" bestFit="1" customWidth="1"/>
    <col min="4625" max="4625" width="11" style="8"/>
    <col min="4626" max="4626" width="11.19921875" style="8" bestFit="1" customWidth="1"/>
    <col min="4627" max="4630" width="11" style="8"/>
    <col min="4631" max="4632" width="11.19921875" style="8" bestFit="1" customWidth="1"/>
    <col min="4633" max="4633" width="11" style="8"/>
    <col min="4634" max="4634" width="12.19921875" style="8" bestFit="1" customWidth="1"/>
    <col min="4635" max="4638" width="11" style="8"/>
    <col min="4639" max="4640" width="11.19921875" style="8" bestFit="1" customWidth="1"/>
    <col min="4641" max="4641" width="11" style="8"/>
    <col min="4642" max="4642" width="12.19921875" style="8" bestFit="1" customWidth="1"/>
    <col min="4643" max="4646" width="11" style="8"/>
    <col min="4647" max="4647" width="11.19921875" style="8" bestFit="1" customWidth="1"/>
    <col min="4648" max="4648" width="12.19921875" style="8" bestFit="1" customWidth="1"/>
    <col min="4649" max="4649" width="11" style="8"/>
    <col min="4650" max="4650" width="12.19921875" style="8" bestFit="1" customWidth="1"/>
    <col min="4651" max="4654" width="11" style="8"/>
    <col min="4655" max="4656" width="12.19921875" style="8" bestFit="1" customWidth="1"/>
    <col min="4657" max="4657" width="11" style="8"/>
    <col min="4658" max="4658" width="12.19921875" style="8" bestFit="1" customWidth="1"/>
    <col min="4659" max="4662" width="11" style="8"/>
    <col min="4663" max="4663" width="12.19921875" style="8" bestFit="1" customWidth="1"/>
    <col min="4664" max="4664" width="13.19921875" style="8" bestFit="1" customWidth="1"/>
    <col min="4665" max="4665" width="11" style="8"/>
    <col min="4666" max="4666" width="11.19921875" style="8" bestFit="1" customWidth="1"/>
    <col min="4667" max="4670" width="11" style="8"/>
    <col min="4671" max="4672" width="13.19921875" style="8" bestFit="1" customWidth="1"/>
    <col min="4673" max="4673" width="11" style="8"/>
    <col min="4674" max="4674" width="11.19921875" style="8" bestFit="1" customWidth="1"/>
    <col min="4675" max="4678" width="11" style="8"/>
    <col min="4679" max="4679" width="13.19921875" style="8" bestFit="1" customWidth="1"/>
    <col min="4680" max="4680" width="11.19921875" style="8" bestFit="1" customWidth="1"/>
    <col min="4681" max="4681" width="11" style="8"/>
    <col min="4682" max="4682" width="11.19921875" style="8" bestFit="1" customWidth="1"/>
    <col min="4683" max="4686" width="11" style="8"/>
    <col min="4687" max="4688" width="11.19921875" style="8" bestFit="1" customWidth="1"/>
    <col min="4689" max="4689" width="11" style="8"/>
    <col min="4690" max="4690" width="12.19921875" style="8" bestFit="1" customWidth="1"/>
    <col min="4691" max="4694" width="11" style="8"/>
    <col min="4695" max="4696" width="11.19921875" style="8" bestFit="1" customWidth="1"/>
    <col min="4697" max="4697" width="11" style="8"/>
    <col min="4698" max="4698" width="12.19921875" style="8" bestFit="1" customWidth="1"/>
    <col min="4699" max="4702" width="11" style="8"/>
    <col min="4703" max="4703" width="11.19921875" style="8" bestFit="1" customWidth="1"/>
    <col min="4704" max="4704" width="12.19921875" style="8" bestFit="1" customWidth="1"/>
    <col min="4705" max="4705" width="11" style="8"/>
    <col min="4706" max="4706" width="12.19921875" style="8" bestFit="1" customWidth="1"/>
    <col min="4707" max="4710" width="11" style="8"/>
    <col min="4711" max="4712" width="12.19921875" style="8" bestFit="1" customWidth="1"/>
    <col min="4713" max="4713" width="11" style="8"/>
    <col min="4714" max="4714" width="12.19921875" style="8" bestFit="1" customWidth="1"/>
    <col min="4715" max="4718" width="11" style="8"/>
    <col min="4719" max="4719" width="12.19921875" style="8" bestFit="1" customWidth="1"/>
    <col min="4720" max="4720" width="13.19921875" style="8" bestFit="1" customWidth="1"/>
    <col min="4721" max="4721" width="11" style="8"/>
    <col min="4722" max="4722" width="11.19921875" style="8" bestFit="1" customWidth="1"/>
    <col min="4723" max="4726" width="11" style="8"/>
    <col min="4727" max="4728" width="13.19921875" style="8" bestFit="1" customWidth="1"/>
    <col min="4729" max="4729" width="11" style="8"/>
    <col min="4730" max="4730" width="11.19921875" style="8" bestFit="1" customWidth="1"/>
    <col min="4731" max="4734" width="11" style="8"/>
    <col min="4735" max="4735" width="13.19921875" style="8" bestFit="1" customWidth="1"/>
    <col min="4736" max="4736" width="11.19921875" style="8" bestFit="1" customWidth="1"/>
    <col min="4737" max="4737" width="11" style="8"/>
    <col min="4738" max="4738" width="11.19921875" style="8" bestFit="1" customWidth="1"/>
    <col min="4739" max="4742" width="11" style="8"/>
    <col min="4743" max="4744" width="11.19921875" style="8" bestFit="1" customWidth="1"/>
    <col min="4745" max="4745" width="11" style="8"/>
    <col min="4746" max="4746" width="12.19921875" style="8" bestFit="1" customWidth="1"/>
    <col min="4747" max="4750" width="11" style="8"/>
    <col min="4751" max="4752" width="11.19921875" style="8" bestFit="1" customWidth="1"/>
    <col min="4753" max="4753" width="11" style="8"/>
    <col min="4754" max="4754" width="12.19921875" style="8" bestFit="1" customWidth="1"/>
    <col min="4755" max="4758" width="11" style="8"/>
    <col min="4759" max="4759" width="11.19921875" style="8" bestFit="1" customWidth="1"/>
    <col min="4760" max="4760" width="12.19921875" style="8" bestFit="1" customWidth="1"/>
    <col min="4761" max="4761" width="11" style="8"/>
    <col min="4762" max="4762" width="12.19921875" style="8" bestFit="1" customWidth="1"/>
    <col min="4763" max="4766" width="11" style="8"/>
    <col min="4767" max="4768" width="12.19921875" style="8" bestFit="1" customWidth="1"/>
    <col min="4769" max="4769" width="11" style="8"/>
    <col min="4770" max="4770" width="12.19921875" style="8" bestFit="1" customWidth="1"/>
    <col min="4771" max="4774" width="11" style="8"/>
    <col min="4775" max="4775" width="12.19921875" style="8" bestFit="1" customWidth="1"/>
    <col min="4776" max="4776" width="13.19921875" style="8" bestFit="1" customWidth="1"/>
    <col min="4777" max="4777" width="11" style="8"/>
    <col min="4778" max="4778" width="11.19921875" style="8" bestFit="1" customWidth="1"/>
    <col min="4779" max="4782" width="11" style="8"/>
    <col min="4783" max="4784" width="13.19921875" style="8" bestFit="1" customWidth="1"/>
    <col min="4785" max="4785" width="11" style="8"/>
    <col min="4786" max="4786" width="11.19921875" style="8" bestFit="1" customWidth="1"/>
    <col min="4787" max="4790" width="11" style="8"/>
    <col min="4791" max="4791" width="13.19921875" style="8" bestFit="1" customWidth="1"/>
    <col min="4792" max="4792" width="11.19921875" style="8" bestFit="1" customWidth="1"/>
    <col min="4793" max="4793" width="11" style="8"/>
    <col min="4794" max="4794" width="11.19921875" style="8" bestFit="1" customWidth="1"/>
    <col min="4795" max="4798" width="11" style="8"/>
    <col min="4799" max="4800" width="11.19921875" style="8" bestFit="1" customWidth="1"/>
    <col min="4801" max="4801" width="11" style="8"/>
    <col min="4802" max="4802" width="12.19921875" style="8" bestFit="1" customWidth="1"/>
    <col min="4803" max="4806" width="11" style="8"/>
    <col min="4807" max="4808" width="11.19921875" style="8" bestFit="1" customWidth="1"/>
    <col min="4809" max="4809" width="11" style="8"/>
    <col min="4810" max="4810" width="12.19921875" style="8" bestFit="1" customWidth="1"/>
    <col min="4811" max="4814" width="11" style="8"/>
    <col min="4815" max="4815" width="11.19921875" style="8" bestFit="1" customWidth="1"/>
    <col min="4816" max="4816" width="12.19921875" style="8" bestFit="1" customWidth="1"/>
    <col min="4817" max="4817" width="11" style="8"/>
    <col min="4818" max="4818" width="12.19921875" style="8" bestFit="1" customWidth="1"/>
    <col min="4819" max="4822" width="11" style="8"/>
    <col min="4823" max="4824" width="12.19921875" style="8" bestFit="1" customWidth="1"/>
    <col min="4825" max="4825" width="11" style="8"/>
    <col min="4826" max="4826" width="12.19921875" style="8" bestFit="1" customWidth="1"/>
    <col min="4827" max="4830" width="11" style="8"/>
    <col min="4831" max="4831" width="12.19921875" style="8" bestFit="1" customWidth="1"/>
    <col min="4832" max="4832" width="13.19921875" style="8" bestFit="1" customWidth="1"/>
    <col min="4833" max="4833" width="11" style="8"/>
    <col min="4834" max="4834" width="11.19921875" style="8" bestFit="1" customWidth="1"/>
    <col min="4835" max="4838" width="11" style="8"/>
    <col min="4839" max="4840" width="13.19921875" style="8" bestFit="1" customWidth="1"/>
    <col min="4841" max="4841" width="11" style="8"/>
    <col min="4842" max="4842" width="11.19921875" style="8" bestFit="1" customWidth="1"/>
    <col min="4843" max="4846" width="11" style="8"/>
    <col min="4847" max="4847" width="13.19921875" style="8" bestFit="1" customWidth="1"/>
    <col min="4848" max="4848" width="11.19921875" style="8" bestFit="1" customWidth="1"/>
    <col min="4849" max="4849" width="11" style="8"/>
    <col min="4850" max="4850" width="11.19921875" style="8" bestFit="1" customWidth="1"/>
    <col min="4851" max="4854" width="11" style="8"/>
    <col min="4855" max="4856" width="11.19921875" style="8" bestFit="1" customWidth="1"/>
    <col min="4857" max="4857" width="11" style="8"/>
    <col min="4858" max="4858" width="12.19921875" style="8" bestFit="1" customWidth="1"/>
    <col min="4859" max="4862" width="11" style="8"/>
    <col min="4863" max="4864" width="11.19921875" style="8" bestFit="1" customWidth="1"/>
    <col min="4865" max="4865" width="11" style="8"/>
    <col min="4866" max="4866" width="12.19921875" style="8" bestFit="1" customWidth="1"/>
    <col min="4867" max="4870" width="11" style="8"/>
    <col min="4871" max="4871" width="11.19921875" style="8" bestFit="1" customWidth="1"/>
    <col min="4872" max="4872" width="12.19921875" style="8" bestFit="1" customWidth="1"/>
    <col min="4873" max="4873" width="11" style="8"/>
    <col min="4874" max="4874" width="12.19921875" style="8" bestFit="1" customWidth="1"/>
    <col min="4875" max="4878" width="11" style="8"/>
    <col min="4879" max="4880" width="12.19921875" style="8" bestFit="1" customWidth="1"/>
    <col min="4881" max="4881" width="11" style="8"/>
    <col min="4882" max="4882" width="12.19921875" style="8" bestFit="1" customWidth="1"/>
    <col min="4883" max="4886" width="11" style="8"/>
    <col min="4887" max="4887" width="12.19921875" style="8" bestFit="1" customWidth="1"/>
    <col min="4888" max="4888" width="13.19921875" style="8" bestFit="1" customWidth="1"/>
    <col min="4889" max="4889" width="11" style="8"/>
    <col min="4890" max="4890" width="11.19921875" style="8" bestFit="1" customWidth="1"/>
    <col min="4891" max="4894" width="11" style="8"/>
    <col min="4895" max="4896" width="13.19921875" style="8" bestFit="1" customWidth="1"/>
    <col min="4897" max="4897" width="11" style="8"/>
    <col min="4898" max="4898" width="11.19921875" style="8" bestFit="1" customWidth="1"/>
    <col min="4899" max="4902" width="11" style="8"/>
    <col min="4903" max="4903" width="13.19921875" style="8" bestFit="1" customWidth="1"/>
    <col min="4904" max="4904" width="11.19921875" style="8" bestFit="1" customWidth="1"/>
    <col min="4905" max="4905" width="11" style="8"/>
    <col min="4906" max="4906" width="11.19921875" style="8" bestFit="1" customWidth="1"/>
    <col min="4907" max="4910" width="11" style="8"/>
    <col min="4911" max="4912" width="11.19921875" style="8" bestFit="1" customWidth="1"/>
    <col min="4913" max="4913" width="11" style="8"/>
    <col min="4914" max="4914" width="12.19921875" style="8" bestFit="1" customWidth="1"/>
    <col min="4915" max="4918" width="11" style="8"/>
    <col min="4919" max="4920" width="11.19921875" style="8" bestFit="1" customWidth="1"/>
    <col min="4921" max="4921" width="11" style="8"/>
    <col min="4922" max="4922" width="12.19921875" style="8" bestFit="1" customWidth="1"/>
    <col min="4923" max="4926" width="11" style="8"/>
    <col min="4927" max="4927" width="11.19921875" style="8" bestFit="1" customWidth="1"/>
    <col min="4928" max="4928" width="12.19921875" style="8" bestFit="1" customWidth="1"/>
    <col min="4929" max="4929" width="11" style="8"/>
    <col min="4930" max="4930" width="12.19921875" style="8" bestFit="1" customWidth="1"/>
    <col min="4931" max="4934" width="11" style="8"/>
    <col min="4935" max="4936" width="12.19921875" style="8" bestFit="1" customWidth="1"/>
    <col min="4937" max="4937" width="11" style="8"/>
    <col min="4938" max="4938" width="12.19921875" style="8" bestFit="1" customWidth="1"/>
    <col min="4939" max="4942" width="11" style="8"/>
    <col min="4943" max="4943" width="12.19921875" style="8" bestFit="1" customWidth="1"/>
    <col min="4944" max="4944" width="13.19921875" style="8" bestFit="1" customWidth="1"/>
    <col min="4945" max="4945" width="11" style="8"/>
    <col min="4946" max="4946" width="11.19921875" style="8" bestFit="1" customWidth="1"/>
    <col min="4947" max="4950" width="11" style="8"/>
    <col min="4951" max="4952" width="13.19921875" style="8" bestFit="1" customWidth="1"/>
    <col min="4953" max="4953" width="11" style="8"/>
    <col min="4954" max="4954" width="11.19921875" style="8" bestFit="1" customWidth="1"/>
    <col min="4955" max="4958" width="11" style="8"/>
    <col min="4959" max="4959" width="13.19921875" style="8" bestFit="1" customWidth="1"/>
    <col min="4960" max="4960" width="11.19921875" style="8" bestFit="1" customWidth="1"/>
    <col min="4961" max="4961" width="11" style="8"/>
    <col min="4962" max="4962" width="11.19921875" style="8" bestFit="1" customWidth="1"/>
    <col min="4963" max="4966" width="11" style="8"/>
    <col min="4967" max="4968" width="11.19921875" style="8" bestFit="1" customWidth="1"/>
    <col min="4969" max="4969" width="11" style="8"/>
    <col min="4970" max="4970" width="12.19921875" style="8" bestFit="1" customWidth="1"/>
    <col min="4971" max="4974" width="11" style="8"/>
    <col min="4975" max="4976" width="11.19921875" style="8" bestFit="1" customWidth="1"/>
    <col min="4977" max="4977" width="11" style="8"/>
    <col min="4978" max="4978" width="12.19921875" style="8" bestFit="1" customWidth="1"/>
    <col min="4979" max="4982" width="11" style="8"/>
    <col min="4983" max="4983" width="11.19921875" style="8" bestFit="1" customWidth="1"/>
    <col min="4984" max="4984" width="12.19921875" style="8" bestFit="1" customWidth="1"/>
    <col min="4985" max="4985" width="11" style="8"/>
    <col min="4986" max="4986" width="12.19921875" style="8" bestFit="1" customWidth="1"/>
    <col min="4987" max="4990" width="11" style="8"/>
    <col min="4991" max="4992" width="12.19921875" style="8" bestFit="1" customWidth="1"/>
    <col min="4993" max="4993" width="11" style="8"/>
    <col min="4994" max="4994" width="12.19921875" style="8" bestFit="1" customWidth="1"/>
    <col min="4995" max="4998" width="11" style="8"/>
    <col min="4999" max="4999" width="12.19921875" style="8" bestFit="1" customWidth="1"/>
    <col min="5000" max="5000" width="13.19921875" style="8" bestFit="1" customWidth="1"/>
    <col min="5001" max="5001" width="11" style="8"/>
    <col min="5002" max="5002" width="11.19921875" style="8" bestFit="1" customWidth="1"/>
    <col min="5003" max="5006" width="11" style="8"/>
    <col min="5007" max="5008" width="13.19921875" style="8" bestFit="1" customWidth="1"/>
    <col min="5009" max="5009" width="11" style="8"/>
    <col min="5010" max="5010" width="11.19921875" style="8" bestFit="1" customWidth="1"/>
    <col min="5011" max="5014" width="11" style="8"/>
    <col min="5015" max="5015" width="13.19921875" style="8" bestFit="1" customWidth="1"/>
    <col min="5016" max="5016" width="11.19921875" style="8" bestFit="1" customWidth="1"/>
    <col min="5017" max="5017" width="11" style="8"/>
    <col min="5018" max="5018" width="11.19921875" style="8" bestFit="1" customWidth="1"/>
    <col min="5019" max="5022" width="11" style="8"/>
    <col min="5023" max="5024" width="11.19921875" style="8" bestFit="1" customWidth="1"/>
    <col min="5025" max="5025" width="11" style="8"/>
    <col min="5026" max="5026" width="12.19921875" style="8" bestFit="1" customWidth="1"/>
    <col min="5027" max="5030" width="11" style="8"/>
    <col min="5031" max="5032" width="11.19921875" style="8" bestFit="1" customWidth="1"/>
    <col min="5033" max="5033" width="11" style="8"/>
    <col min="5034" max="5034" width="12.19921875" style="8" bestFit="1" customWidth="1"/>
    <col min="5035" max="5038" width="11" style="8"/>
    <col min="5039" max="5039" width="11.19921875" style="8" bestFit="1" customWidth="1"/>
    <col min="5040" max="5040" width="12.19921875" style="8" bestFit="1" customWidth="1"/>
    <col min="5041" max="5041" width="11" style="8"/>
    <col min="5042" max="5042" width="12.19921875" style="8" bestFit="1" customWidth="1"/>
    <col min="5043" max="5046" width="11" style="8"/>
    <col min="5047" max="5048" width="12.19921875" style="8" bestFit="1" customWidth="1"/>
    <col min="5049" max="5049" width="11" style="8"/>
    <col min="5050" max="5050" width="12.19921875" style="8" bestFit="1" customWidth="1"/>
    <col min="5051" max="5054" width="11" style="8"/>
    <col min="5055" max="5055" width="12.19921875" style="8" bestFit="1" customWidth="1"/>
    <col min="5056" max="5056" width="13.19921875" style="8" bestFit="1" customWidth="1"/>
    <col min="5057" max="5057" width="11" style="8"/>
    <col min="5058" max="5058" width="11.19921875" style="8" bestFit="1" customWidth="1"/>
    <col min="5059" max="5062" width="11" style="8"/>
    <col min="5063" max="5064" width="13.19921875" style="8" bestFit="1" customWidth="1"/>
    <col min="5065" max="5065" width="11" style="8"/>
    <col min="5066" max="5066" width="11.19921875" style="8" bestFit="1" customWidth="1"/>
    <col min="5067" max="5070" width="11" style="8"/>
    <col min="5071" max="5071" width="13.19921875" style="8" bestFit="1" customWidth="1"/>
    <col min="5072" max="5072" width="11.19921875" style="8" bestFit="1" customWidth="1"/>
    <col min="5073" max="5073" width="11" style="8"/>
    <col min="5074" max="5074" width="11.19921875" style="8" bestFit="1" customWidth="1"/>
    <col min="5075" max="5078" width="11" style="8"/>
    <col min="5079" max="5080" width="11.19921875" style="8" bestFit="1" customWidth="1"/>
    <col min="5081" max="5081" width="11" style="8"/>
    <col min="5082" max="5082" width="12.19921875" style="8" bestFit="1" customWidth="1"/>
    <col min="5083" max="5086" width="11" style="8"/>
    <col min="5087" max="5088" width="11.19921875" style="8" bestFit="1" customWidth="1"/>
    <col min="5089" max="5089" width="11" style="8"/>
    <col min="5090" max="5090" width="12.19921875" style="8" bestFit="1" customWidth="1"/>
    <col min="5091" max="5094" width="11" style="8"/>
    <col min="5095" max="5095" width="11.19921875" style="8" bestFit="1" customWidth="1"/>
    <col min="5096" max="5096" width="12.19921875" style="8" bestFit="1" customWidth="1"/>
    <col min="5097" max="5097" width="11" style="8"/>
    <col min="5098" max="5098" width="12.19921875" style="8" bestFit="1" customWidth="1"/>
    <col min="5099" max="5102" width="11" style="8"/>
    <col min="5103" max="5104" width="12.19921875" style="8" bestFit="1" customWidth="1"/>
    <col min="5105" max="5105" width="11" style="8"/>
    <col min="5106" max="5106" width="12.19921875" style="8" bestFit="1" customWidth="1"/>
    <col min="5107" max="5110" width="11" style="8"/>
    <col min="5111" max="5111" width="12.19921875" style="8" bestFit="1" customWidth="1"/>
    <col min="5112" max="5112" width="13.19921875" style="8" bestFit="1" customWidth="1"/>
    <col min="5113" max="5113" width="11" style="8"/>
    <col min="5114" max="5114" width="11.19921875" style="8" bestFit="1" customWidth="1"/>
    <col min="5115" max="5118" width="11" style="8"/>
    <col min="5119" max="5120" width="13.19921875" style="8" bestFit="1" customWidth="1"/>
    <col min="5121" max="5121" width="11" style="8"/>
    <col min="5122" max="5122" width="11.19921875" style="8" bestFit="1" customWidth="1"/>
    <col min="5123" max="5126" width="11" style="8"/>
    <col min="5127" max="5127" width="13.19921875" style="8" bestFit="1" customWidth="1"/>
    <col min="5128" max="5128" width="11.19921875" style="8" bestFit="1" customWidth="1"/>
    <col min="5129" max="5129" width="11" style="8"/>
    <col min="5130" max="5130" width="11.19921875" style="8" bestFit="1" customWidth="1"/>
    <col min="5131" max="5134" width="11" style="8"/>
    <col min="5135" max="5136" width="11.19921875" style="8" bestFit="1" customWidth="1"/>
    <col min="5137" max="5137" width="11" style="8"/>
    <col min="5138" max="5138" width="12.19921875" style="8" bestFit="1" customWidth="1"/>
    <col min="5139" max="5142" width="11" style="8"/>
    <col min="5143" max="5144" width="11.19921875" style="8" bestFit="1" customWidth="1"/>
    <col min="5145" max="5145" width="11" style="8"/>
    <col min="5146" max="5146" width="12.19921875" style="8" bestFit="1" customWidth="1"/>
    <col min="5147" max="5150" width="11" style="8"/>
    <col min="5151" max="5151" width="11.19921875" style="8" bestFit="1" customWidth="1"/>
    <col min="5152" max="5152" width="12.19921875" style="8" bestFit="1" customWidth="1"/>
    <col min="5153" max="5153" width="11" style="8"/>
    <col min="5154" max="5154" width="12.19921875" style="8" bestFit="1" customWidth="1"/>
    <col min="5155" max="5158" width="11" style="8"/>
    <col min="5159" max="5160" width="12.19921875" style="8" bestFit="1" customWidth="1"/>
    <col min="5161" max="5161" width="11" style="8"/>
    <col min="5162" max="5162" width="12.19921875" style="8" bestFit="1" customWidth="1"/>
    <col min="5163" max="5166" width="11" style="8"/>
    <col min="5167" max="5167" width="12.19921875" style="8" bestFit="1" customWidth="1"/>
    <col min="5168" max="5168" width="13.19921875" style="8" bestFit="1" customWidth="1"/>
    <col min="5169" max="5169" width="11" style="8"/>
    <col min="5170" max="5170" width="11.19921875" style="8" bestFit="1" customWidth="1"/>
    <col min="5171" max="5174" width="11" style="8"/>
    <col min="5175" max="5176" width="13.19921875" style="8" bestFit="1" customWidth="1"/>
    <col min="5177" max="5177" width="11" style="8"/>
    <col min="5178" max="5178" width="11.19921875" style="8" bestFit="1" customWidth="1"/>
    <col min="5179" max="5182" width="11" style="8"/>
    <col min="5183" max="5183" width="13.19921875" style="8" bestFit="1" customWidth="1"/>
    <col min="5184" max="5184" width="11.19921875" style="8" bestFit="1" customWidth="1"/>
    <col min="5185" max="5185" width="11" style="8"/>
    <col min="5186" max="5186" width="11.19921875" style="8" bestFit="1" customWidth="1"/>
    <col min="5187" max="5190" width="11" style="8"/>
    <col min="5191" max="5192" width="11.19921875" style="8" bestFit="1" customWidth="1"/>
    <col min="5193" max="5193" width="11" style="8"/>
    <col min="5194" max="5194" width="12.19921875" style="8" bestFit="1" customWidth="1"/>
    <col min="5195" max="5198" width="11" style="8"/>
    <col min="5199" max="5200" width="11.19921875" style="8" bestFit="1" customWidth="1"/>
    <col min="5201" max="5201" width="11" style="8"/>
    <col min="5202" max="5202" width="12.19921875" style="8" bestFit="1" customWidth="1"/>
    <col min="5203" max="5206" width="11" style="8"/>
    <col min="5207" max="5207" width="11.19921875" style="8" bestFit="1" customWidth="1"/>
    <col min="5208" max="5208" width="12.19921875" style="8" bestFit="1" customWidth="1"/>
    <col min="5209" max="5209" width="11" style="8"/>
    <col min="5210" max="5210" width="12.19921875" style="8" bestFit="1" customWidth="1"/>
    <col min="5211" max="5214" width="11" style="8"/>
    <col min="5215" max="5216" width="12.19921875" style="8" bestFit="1" customWidth="1"/>
    <col min="5217" max="5217" width="11" style="8"/>
    <col min="5218" max="5218" width="12.19921875" style="8" bestFit="1" customWidth="1"/>
    <col min="5219" max="5222" width="11" style="8"/>
    <col min="5223" max="5223" width="12.19921875" style="8" bestFit="1" customWidth="1"/>
    <col min="5224" max="5224" width="13.19921875" style="8" bestFit="1" customWidth="1"/>
    <col min="5225" max="5225" width="11" style="8"/>
    <col min="5226" max="5226" width="11.19921875" style="8" bestFit="1" customWidth="1"/>
    <col min="5227" max="5230" width="11" style="8"/>
    <col min="5231" max="5232" width="13.19921875" style="8" bestFit="1" customWidth="1"/>
    <col min="5233" max="5233" width="11" style="8"/>
    <col min="5234" max="5234" width="11.19921875" style="8" bestFit="1" customWidth="1"/>
    <col min="5235" max="5238" width="11" style="8"/>
    <col min="5239" max="5239" width="13.19921875" style="8" bestFit="1" customWidth="1"/>
    <col min="5240" max="5240" width="11.19921875" style="8" bestFit="1" customWidth="1"/>
    <col min="5241" max="5241" width="11" style="8"/>
    <col min="5242" max="5242" width="11.19921875" style="8" bestFit="1" customWidth="1"/>
    <col min="5243" max="5246" width="11" style="8"/>
    <col min="5247" max="5248" width="11.19921875" style="8" bestFit="1" customWidth="1"/>
    <col min="5249" max="5249" width="11" style="8"/>
    <col min="5250" max="5250" width="12.19921875" style="8" bestFit="1" customWidth="1"/>
    <col min="5251" max="5254" width="11" style="8"/>
    <col min="5255" max="5256" width="11.19921875" style="8" bestFit="1" customWidth="1"/>
    <col min="5257" max="5257" width="11" style="8"/>
    <col min="5258" max="5258" width="12.19921875" style="8" bestFit="1" customWidth="1"/>
    <col min="5259" max="5262" width="11" style="8"/>
    <col min="5263" max="5263" width="11.19921875" style="8" bestFit="1" customWidth="1"/>
    <col min="5264" max="5264" width="12.19921875" style="8" bestFit="1" customWidth="1"/>
    <col min="5265" max="5265" width="11" style="8"/>
    <col min="5266" max="5266" width="12.19921875" style="8" bestFit="1" customWidth="1"/>
    <col min="5267" max="5270" width="11" style="8"/>
    <col min="5271" max="5272" width="12.19921875" style="8" bestFit="1" customWidth="1"/>
    <col min="5273" max="5273" width="11" style="8"/>
    <col min="5274" max="5274" width="12.19921875" style="8" bestFit="1" customWidth="1"/>
    <col min="5275" max="5278" width="11" style="8"/>
    <col min="5279" max="5279" width="12.19921875" style="8" bestFit="1" customWidth="1"/>
    <col min="5280" max="5280" width="13.19921875" style="8" bestFit="1" customWidth="1"/>
    <col min="5281" max="5281" width="11" style="8"/>
    <col min="5282" max="5282" width="11.19921875" style="8" bestFit="1" customWidth="1"/>
    <col min="5283" max="5286" width="11" style="8"/>
    <col min="5287" max="5288" width="13.19921875" style="8" bestFit="1" customWidth="1"/>
    <col min="5289" max="5289" width="11" style="8"/>
    <col min="5290" max="5290" width="11.19921875" style="8" bestFit="1" customWidth="1"/>
    <col min="5291" max="5294" width="11" style="8"/>
    <col min="5295" max="5295" width="13.19921875" style="8" bestFit="1" customWidth="1"/>
    <col min="5296" max="5296" width="11.19921875" style="8" bestFit="1" customWidth="1"/>
    <col min="5297" max="5297" width="11" style="8"/>
    <col min="5298" max="5298" width="11.19921875" style="8" bestFit="1" customWidth="1"/>
    <col min="5299" max="5302" width="11" style="8"/>
    <col min="5303" max="5304" width="11.19921875" style="8" bestFit="1" customWidth="1"/>
    <col min="5305" max="5305" width="11" style="8"/>
    <col min="5306" max="5306" width="12.19921875" style="8" bestFit="1" customWidth="1"/>
    <col min="5307" max="5310" width="11" style="8"/>
    <col min="5311" max="5312" width="11.19921875" style="8" bestFit="1" customWidth="1"/>
    <col min="5313" max="5313" width="11" style="8"/>
    <col min="5314" max="5314" width="12.19921875" style="8" bestFit="1" customWidth="1"/>
    <col min="5315" max="5318" width="11" style="8"/>
    <col min="5319" max="5319" width="11.19921875" style="8" bestFit="1" customWidth="1"/>
    <col min="5320" max="5320" width="12.19921875" style="8" bestFit="1" customWidth="1"/>
    <col min="5321" max="5321" width="11" style="8"/>
    <col min="5322" max="5322" width="12.19921875" style="8" bestFit="1" customWidth="1"/>
    <col min="5323" max="5326" width="11" style="8"/>
    <col min="5327" max="5328" width="12.19921875" style="8" bestFit="1" customWidth="1"/>
    <col min="5329" max="5329" width="11" style="8"/>
    <col min="5330" max="5330" width="12.19921875" style="8" bestFit="1" customWidth="1"/>
    <col min="5331" max="5334" width="11" style="8"/>
    <col min="5335" max="5335" width="12.19921875" style="8" bestFit="1" customWidth="1"/>
    <col min="5336" max="5336" width="13.19921875" style="8" bestFit="1" customWidth="1"/>
    <col min="5337" max="5337" width="11" style="8"/>
    <col min="5338" max="5338" width="11.19921875" style="8" bestFit="1" customWidth="1"/>
    <col min="5339" max="5342" width="11" style="8"/>
    <col min="5343" max="5344" width="13.19921875" style="8" bestFit="1" customWidth="1"/>
    <col min="5345" max="5345" width="11" style="8"/>
    <col min="5346" max="5346" width="11.19921875" style="8" bestFit="1" customWidth="1"/>
    <col min="5347" max="5350" width="11" style="8"/>
    <col min="5351" max="5351" width="13.19921875" style="8" bestFit="1" customWidth="1"/>
    <col min="5352" max="5352" width="11.19921875" style="8" bestFit="1" customWidth="1"/>
    <col min="5353" max="5353" width="11" style="8"/>
    <col min="5354" max="5354" width="11.19921875" style="8" bestFit="1" customWidth="1"/>
    <col min="5355" max="5358" width="11" style="8"/>
    <col min="5359" max="5360" width="11.19921875" style="8" bestFit="1" customWidth="1"/>
    <col min="5361" max="5361" width="11" style="8"/>
    <col min="5362" max="5362" width="12.19921875" style="8" bestFit="1" customWidth="1"/>
    <col min="5363" max="5366" width="11" style="8"/>
    <col min="5367" max="5368" width="11.19921875" style="8" bestFit="1" customWidth="1"/>
    <col min="5369" max="5369" width="11" style="8"/>
    <col min="5370" max="5370" width="12.19921875" style="8" bestFit="1" customWidth="1"/>
    <col min="5371" max="5374" width="11" style="8"/>
    <col min="5375" max="5375" width="11.19921875" style="8" bestFit="1" customWidth="1"/>
    <col min="5376" max="5376" width="12.19921875" style="8" bestFit="1" customWidth="1"/>
    <col min="5377" max="5377" width="11" style="8"/>
    <col min="5378" max="5378" width="12.19921875" style="8" bestFit="1" customWidth="1"/>
    <col min="5379" max="5382" width="11" style="8"/>
    <col min="5383" max="5384" width="12.19921875" style="8" bestFit="1" customWidth="1"/>
    <col min="5385" max="5385" width="11" style="8"/>
    <col min="5386" max="5386" width="12.19921875" style="8" bestFit="1" customWidth="1"/>
    <col min="5387" max="5390" width="11" style="8"/>
    <col min="5391" max="5391" width="12.19921875" style="8" bestFit="1" customWidth="1"/>
    <col min="5392" max="5392" width="13.19921875" style="8" bestFit="1" customWidth="1"/>
    <col min="5393" max="5393" width="11" style="8"/>
    <col min="5394" max="5394" width="11.19921875" style="8" bestFit="1" customWidth="1"/>
    <col min="5395" max="5398" width="11" style="8"/>
    <col min="5399" max="5400" width="13.19921875" style="8" bestFit="1" customWidth="1"/>
    <col min="5401" max="5401" width="11" style="8"/>
    <col min="5402" max="5402" width="11.19921875" style="8" bestFit="1" customWidth="1"/>
    <col min="5403" max="5406" width="11" style="8"/>
    <col min="5407" max="5407" width="13.19921875" style="8" bestFit="1" customWidth="1"/>
    <col min="5408" max="5408" width="11.19921875" style="8" bestFit="1" customWidth="1"/>
    <col min="5409" max="5409" width="11" style="8"/>
    <col min="5410" max="5410" width="11.19921875" style="8" bestFit="1" customWidth="1"/>
    <col min="5411" max="5414" width="11" style="8"/>
    <col min="5415" max="5416" width="11.19921875" style="8" bestFit="1" customWidth="1"/>
    <col min="5417" max="5417" width="11" style="8"/>
    <col min="5418" max="5418" width="12.19921875" style="8" bestFit="1" customWidth="1"/>
    <col min="5419" max="5422" width="11" style="8"/>
    <col min="5423" max="5424" width="11.19921875" style="8" bestFit="1" customWidth="1"/>
    <col min="5425" max="5425" width="11" style="8"/>
    <col min="5426" max="5426" width="12.19921875" style="8" bestFit="1" customWidth="1"/>
    <col min="5427" max="5430" width="11" style="8"/>
    <col min="5431" max="5431" width="11.19921875" style="8" bestFit="1" customWidth="1"/>
    <col min="5432" max="5432" width="12.19921875" style="8" bestFit="1" customWidth="1"/>
    <col min="5433" max="5433" width="11" style="8"/>
    <col min="5434" max="5434" width="12.19921875" style="8" bestFit="1" customWidth="1"/>
    <col min="5435" max="5438" width="11" style="8"/>
    <col min="5439" max="5440" width="12.19921875" style="8" bestFit="1" customWidth="1"/>
    <col min="5441" max="5441" width="11" style="8"/>
    <col min="5442" max="5442" width="12.19921875" style="8" bestFit="1" customWidth="1"/>
    <col min="5443" max="5446" width="11" style="8"/>
    <col min="5447" max="5447" width="12.19921875" style="8" bestFit="1" customWidth="1"/>
    <col min="5448" max="5448" width="13.19921875" style="8" bestFit="1" customWidth="1"/>
    <col min="5449" max="5449" width="11" style="8"/>
    <col min="5450" max="5450" width="11.19921875" style="8" bestFit="1" customWidth="1"/>
    <col min="5451" max="5454" width="11" style="8"/>
    <col min="5455" max="5456" width="13.19921875" style="8" bestFit="1" customWidth="1"/>
    <col min="5457" max="5457" width="11" style="8"/>
    <col min="5458" max="5458" width="11.19921875" style="8" bestFit="1" customWidth="1"/>
    <col min="5459" max="5462" width="11" style="8"/>
    <col min="5463" max="5463" width="13.19921875" style="8" bestFit="1" customWidth="1"/>
    <col min="5464" max="5464" width="11.19921875" style="8" bestFit="1" customWidth="1"/>
    <col min="5465" max="5465" width="11" style="8"/>
    <col min="5466" max="5466" width="11.19921875" style="8" bestFit="1" customWidth="1"/>
    <col min="5467" max="5470" width="11" style="8"/>
    <col min="5471" max="5472" width="11.19921875" style="8" bestFit="1" customWidth="1"/>
    <col min="5473" max="5473" width="11" style="8"/>
    <col min="5474" max="5474" width="12.19921875" style="8" bestFit="1" customWidth="1"/>
    <col min="5475" max="5478" width="11" style="8"/>
    <col min="5479" max="5480" width="11.19921875" style="8" bestFit="1" customWidth="1"/>
    <col min="5481" max="5481" width="11" style="8"/>
    <col min="5482" max="5482" width="12.19921875" style="8" bestFit="1" customWidth="1"/>
    <col min="5483" max="5486" width="11" style="8"/>
    <col min="5487" max="5487" width="11.19921875" style="8" bestFit="1" customWidth="1"/>
    <col min="5488" max="5488" width="12.19921875" style="8" bestFit="1" customWidth="1"/>
    <col min="5489" max="5489" width="11" style="8"/>
    <col min="5490" max="5490" width="12.19921875" style="8" bestFit="1" customWidth="1"/>
    <col min="5491" max="5494" width="11" style="8"/>
    <col min="5495" max="5496" width="12.19921875" style="8" bestFit="1" customWidth="1"/>
    <col min="5497" max="5497" width="11" style="8"/>
    <col min="5498" max="5498" width="12.19921875" style="8" bestFit="1" customWidth="1"/>
    <col min="5499" max="5502" width="11" style="8"/>
    <col min="5503" max="5503" width="12.19921875" style="8" bestFit="1" customWidth="1"/>
    <col min="5504" max="5504" width="13.19921875" style="8" bestFit="1" customWidth="1"/>
    <col min="5505" max="5505" width="11" style="8"/>
    <col min="5506" max="5506" width="11.19921875" style="8" bestFit="1" customWidth="1"/>
    <col min="5507" max="5510" width="11" style="8"/>
    <col min="5511" max="5512" width="13.19921875" style="8" bestFit="1" customWidth="1"/>
    <col min="5513" max="5513" width="11" style="8"/>
    <col min="5514" max="5514" width="11.19921875" style="8" bestFit="1" customWidth="1"/>
    <col min="5515" max="5518" width="11" style="8"/>
    <col min="5519" max="5519" width="13.19921875" style="8" bestFit="1" customWidth="1"/>
    <col min="5520" max="5520" width="11.19921875" style="8" bestFit="1" customWidth="1"/>
    <col min="5521" max="5521" width="11" style="8"/>
    <col min="5522" max="5522" width="11.19921875" style="8" bestFit="1" customWidth="1"/>
    <col min="5523" max="5526" width="11" style="8"/>
    <col min="5527" max="5528" width="11.19921875" style="8" bestFit="1" customWidth="1"/>
    <col min="5529" max="5529" width="11" style="8"/>
    <col min="5530" max="5530" width="12.19921875" style="8" bestFit="1" customWidth="1"/>
    <col min="5531" max="5534" width="11" style="8"/>
    <col min="5535" max="5536" width="11.19921875" style="8" bestFit="1" customWidth="1"/>
    <col min="5537" max="5537" width="11" style="8"/>
    <col min="5538" max="5538" width="12.19921875" style="8" bestFit="1" customWidth="1"/>
    <col min="5539" max="5542" width="11" style="8"/>
    <col min="5543" max="5543" width="11.19921875" style="8" bestFit="1" customWidth="1"/>
    <col min="5544" max="5544" width="12.19921875" style="8" bestFit="1" customWidth="1"/>
    <col min="5545" max="5545" width="11" style="8"/>
    <col min="5546" max="5546" width="12.19921875" style="8" bestFit="1" customWidth="1"/>
    <col min="5547" max="5550" width="11" style="8"/>
    <col min="5551" max="5552" width="12.19921875" style="8" bestFit="1" customWidth="1"/>
    <col min="5553" max="5553" width="11" style="8"/>
    <col min="5554" max="5554" width="12.19921875" style="8" bestFit="1" customWidth="1"/>
    <col min="5555" max="5558" width="11" style="8"/>
    <col min="5559" max="5559" width="12.19921875" style="8" bestFit="1" customWidth="1"/>
    <col min="5560" max="5560" width="13.19921875" style="8" bestFit="1" customWidth="1"/>
    <col min="5561" max="5561" width="11" style="8"/>
    <col min="5562" max="5562" width="11.19921875" style="8" bestFit="1" customWidth="1"/>
    <col min="5563" max="5566" width="11" style="8"/>
    <col min="5567" max="5568" width="13.19921875" style="8" bestFit="1" customWidth="1"/>
    <col min="5569" max="5569" width="11" style="8"/>
    <col min="5570" max="5570" width="11.19921875" style="8" bestFit="1" customWidth="1"/>
    <col min="5571" max="5574" width="11" style="8"/>
    <col min="5575" max="5575" width="13.19921875" style="8" bestFit="1" customWidth="1"/>
    <col min="5576" max="5576" width="11.19921875" style="8" bestFit="1" customWidth="1"/>
    <col min="5577" max="5577" width="11" style="8"/>
    <col min="5578" max="5578" width="11.19921875" style="8" bestFit="1" customWidth="1"/>
    <col min="5579" max="5582" width="11" style="8"/>
    <col min="5583" max="5584" width="11.19921875" style="8" bestFit="1" customWidth="1"/>
    <col min="5585" max="5585" width="11" style="8"/>
    <col min="5586" max="5586" width="12.19921875" style="8" bestFit="1" customWidth="1"/>
    <col min="5587" max="5590" width="11" style="8"/>
    <col min="5591" max="5592" width="11.19921875" style="8" bestFit="1" customWidth="1"/>
    <col min="5593" max="5593" width="11" style="8"/>
    <col min="5594" max="5594" width="12.19921875" style="8" bestFit="1" customWidth="1"/>
    <col min="5595" max="5598" width="11" style="8"/>
    <col min="5599" max="5599" width="11.19921875" style="8" bestFit="1" customWidth="1"/>
    <col min="5600" max="5600" width="12.19921875" style="8" bestFit="1" customWidth="1"/>
    <col min="5601" max="5601" width="11" style="8"/>
    <col min="5602" max="5602" width="12.19921875" style="8" bestFit="1" customWidth="1"/>
    <col min="5603" max="5606" width="11" style="8"/>
    <col min="5607" max="5608" width="12.19921875" style="8" bestFit="1" customWidth="1"/>
    <col min="5609" max="5609" width="11" style="8"/>
    <col min="5610" max="5610" width="12.19921875" style="8" bestFit="1" customWidth="1"/>
    <col min="5611" max="5614" width="11" style="8"/>
    <col min="5615" max="5615" width="12.19921875" style="8" bestFit="1" customWidth="1"/>
    <col min="5616" max="5616" width="13.19921875" style="8" bestFit="1" customWidth="1"/>
    <col min="5617" max="5617" width="11" style="8"/>
    <col min="5618" max="5618" width="11.19921875" style="8" bestFit="1" customWidth="1"/>
    <col min="5619" max="5622" width="11" style="8"/>
    <col min="5623" max="5624" width="13.19921875" style="8" bestFit="1" customWidth="1"/>
    <col min="5625" max="5625" width="11" style="8"/>
    <col min="5626" max="5626" width="11.19921875" style="8" bestFit="1" customWidth="1"/>
    <col min="5627" max="5630" width="11" style="8"/>
    <col min="5631" max="5631" width="13.19921875" style="8" bestFit="1" customWidth="1"/>
    <col min="5632" max="5632" width="11.19921875" style="8" bestFit="1" customWidth="1"/>
    <col min="5633" max="5633" width="11" style="8"/>
    <col min="5634" max="5634" width="11.19921875" style="8" bestFit="1" customWidth="1"/>
    <col min="5635" max="5638" width="11" style="8"/>
    <col min="5639" max="5640" width="11.19921875" style="8" bestFit="1" customWidth="1"/>
    <col min="5641" max="5641" width="11" style="8"/>
    <col min="5642" max="5642" width="12.19921875" style="8" bestFit="1" customWidth="1"/>
    <col min="5643" max="5646" width="11" style="8"/>
    <col min="5647" max="5648" width="11.19921875" style="8" bestFit="1" customWidth="1"/>
    <col min="5649" max="5649" width="11" style="8"/>
    <col min="5650" max="5650" width="12.19921875" style="8" bestFit="1" customWidth="1"/>
    <col min="5651" max="5654" width="11" style="8"/>
    <col min="5655" max="5655" width="11.19921875" style="8" bestFit="1" customWidth="1"/>
    <col min="5656" max="5656" width="12.19921875" style="8" bestFit="1" customWidth="1"/>
    <col min="5657" max="5657" width="11" style="8"/>
    <col min="5658" max="5658" width="12.19921875" style="8" bestFit="1" customWidth="1"/>
    <col min="5659" max="5662" width="11" style="8"/>
    <col min="5663" max="5664" width="12.19921875" style="8" bestFit="1" customWidth="1"/>
    <col min="5665" max="5665" width="11" style="8"/>
    <col min="5666" max="5666" width="12.19921875" style="8" bestFit="1" customWidth="1"/>
    <col min="5667" max="5670" width="11" style="8"/>
    <col min="5671" max="5671" width="12.19921875" style="8" bestFit="1" customWidth="1"/>
    <col min="5672" max="5672" width="13.19921875" style="8" bestFit="1" customWidth="1"/>
    <col min="5673" max="5673" width="11" style="8"/>
    <col min="5674" max="5674" width="11.19921875" style="8" bestFit="1" customWidth="1"/>
    <col min="5675" max="5678" width="11" style="8"/>
    <col min="5679" max="5680" width="13.19921875" style="8" bestFit="1" customWidth="1"/>
    <col min="5681" max="5681" width="11" style="8"/>
    <col min="5682" max="5682" width="11.19921875" style="8" bestFit="1" customWidth="1"/>
    <col min="5683" max="5686" width="11" style="8"/>
    <col min="5687" max="5687" width="13.19921875" style="8" bestFit="1" customWidth="1"/>
    <col min="5688" max="5688" width="11.19921875" style="8" bestFit="1" customWidth="1"/>
    <col min="5689" max="5689" width="11" style="8"/>
    <col min="5690" max="5690" width="11.19921875" style="8" bestFit="1" customWidth="1"/>
    <col min="5691" max="5694" width="11" style="8"/>
    <col min="5695" max="5696" width="11.19921875" style="8" bestFit="1" customWidth="1"/>
    <col min="5697" max="5697" width="11" style="8"/>
    <col min="5698" max="5698" width="12.19921875" style="8" bestFit="1" customWidth="1"/>
    <col min="5699" max="5702" width="11" style="8"/>
    <col min="5703" max="5704" width="11.19921875" style="8" bestFit="1" customWidth="1"/>
    <col min="5705" max="5705" width="11" style="8"/>
    <col min="5706" max="5706" width="12.19921875" style="8" bestFit="1" customWidth="1"/>
    <col min="5707" max="5710" width="11" style="8"/>
    <col min="5711" max="5711" width="11.19921875" style="8" bestFit="1" customWidth="1"/>
    <col min="5712" max="5712" width="12.19921875" style="8" bestFit="1" customWidth="1"/>
    <col min="5713" max="5713" width="11" style="8"/>
    <col min="5714" max="5714" width="12.19921875" style="8" bestFit="1" customWidth="1"/>
    <col min="5715" max="5718" width="11" style="8"/>
    <col min="5719" max="5720" width="12.19921875" style="8" bestFit="1" customWidth="1"/>
    <col min="5721" max="5721" width="11" style="8"/>
    <col min="5722" max="5722" width="12.19921875" style="8" bestFit="1" customWidth="1"/>
    <col min="5723" max="5726" width="11" style="8"/>
    <col min="5727" max="5727" width="12.19921875" style="8" bestFit="1" customWidth="1"/>
    <col min="5728" max="5728" width="13.19921875" style="8" bestFit="1" customWidth="1"/>
    <col min="5729" max="5729" width="11" style="8"/>
    <col min="5730" max="5730" width="11.19921875" style="8" bestFit="1" customWidth="1"/>
    <col min="5731" max="5734" width="11" style="8"/>
    <col min="5735" max="5736" width="13.19921875" style="8" bestFit="1" customWidth="1"/>
    <col min="5737" max="5737" width="11" style="8"/>
    <col min="5738" max="5738" width="11.19921875" style="8" bestFit="1" customWidth="1"/>
    <col min="5739" max="5742" width="11" style="8"/>
    <col min="5743" max="5743" width="13.19921875" style="8" bestFit="1" customWidth="1"/>
    <col min="5744" max="5744" width="11.19921875" style="8" bestFit="1" customWidth="1"/>
    <col min="5745" max="5745" width="11" style="8"/>
    <col min="5746" max="5746" width="11.19921875" style="8" bestFit="1" customWidth="1"/>
    <col min="5747" max="5750" width="11" style="8"/>
    <col min="5751" max="5752" width="11.19921875" style="8" bestFit="1" customWidth="1"/>
    <col min="5753" max="5753" width="11" style="8"/>
    <col min="5754" max="5754" width="12.19921875" style="8" bestFit="1" customWidth="1"/>
    <col min="5755" max="5758" width="11" style="8"/>
    <col min="5759" max="5760" width="11.19921875" style="8" bestFit="1" customWidth="1"/>
    <col min="5761" max="5761" width="11" style="8"/>
    <col min="5762" max="5762" width="12.19921875" style="8" bestFit="1" customWidth="1"/>
    <col min="5763" max="5766" width="11" style="8"/>
    <col min="5767" max="5767" width="11.19921875" style="8" bestFit="1" customWidth="1"/>
    <col min="5768" max="5768" width="12.19921875" style="8" bestFit="1" customWidth="1"/>
    <col min="5769" max="5769" width="11" style="8"/>
    <col min="5770" max="5770" width="12.19921875" style="8" bestFit="1" customWidth="1"/>
    <col min="5771" max="5774" width="11" style="8"/>
    <col min="5775" max="5776" width="12.19921875" style="8" bestFit="1" customWidth="1"/>
    <col min="5777" max="5777" width="11" style="8"/>
    <col min="5778" max="5778" width="12.19921875" style="8" bestFit="1" customWidth="1"/>
    <col min="5779" max="5782" width="11" style="8"/>
    <col min="5783" max="5783" width="12.19921875" style="8" bestFit="1" customWidth="1"/>
    <col min="5784" max="5784" width="13.19921875" style="8" bestFit="1" customWidth="1"/>
    <col min="5785" max="5785" width="11" style="8"/>
    <col min="5786" max="5786" width="11.19921875" style="8" bestFit="1" customWidth="1"/>
    <col min="5787" max="5790" width="11" style="8"/>
    <col min="5791" max="5792" width="13.19921875" style="8" bestFit="1" customWidth="1"/>
    <col min="5793" max="5793" width="11" style="8"/>
    <col min="5794" max="5794" width="11.19921875" style="8" bestFit="1" customWidth="1"/>
    <col min="5795" max="5798" width="11" style="8"/>
    <col min="5799" max="5799" width="13.19921875" style="8" bestFit="1" customWidth="1"/>
    <col min="5800" max="5800" width="11.19921875" style="8" bestFit="1" customWidth="1"/>
    <col min="5801" max="5801" width="11" style="8"/>
    <col min="5802" max="5802" width="11.19921875" style="8" bestFit="1" customWidth="1"/>
    <col min="5803" max="5806" width="11" style="8"/>
    <col min="5807" max="5808" width="11.19921875" style="8" bestFit="1" customWidth="1"/>
    <col min="5809" max="5809" width="11" style="8"/>
    <col min="5810" max="5810" width="12.19921875" style="8" bestFit="1" customWidth="1"/>
    <col min="5811" max="5814" width="11" style="8"/>
    <col min="5815" max="5816" width="11.19921875" style="8" bestFit="1" customWidth="1"/>
    <col min="5817" max="5817" width="11" style="8"/>
    <col min="5818" max="5818" width="12.19921875" style="8" bestFit="1" customWidth="1"/>
    <col min="5819" max="5822" width="11" style="8"/>
    <col min="5823" max="5823" width="11.19921875" style="8" bestFit="1" customWidth="1"/>
    <col min="5824" max="5824" width="12.19921875" style="8" bestFit="1" customWidth="1"/>
    <col min="5825" max="5825" width="11" style="8"/>
    <col min="5826" max="5826" width="12.19921875" style="8" bestFit="1" customWidth="1"/>
    <col min="5827" max="5830" width="11" style="8"/>
    <col min="5831" max="5832" width="12.19921875" style="8" bestFit="1" customWidth="1"/>
    <col min="5833" max="5833" width="11" style="8"/>
    <col min="5834" max="5834" width="12.19921875" style="8" bestFit="1" customWidth="1"/>
    <col min="5835" max="5838" width="11" style="8"/>
    <col min="5839" max="5839" width="12.19921875" style="8" bestFit="1" customWidth="1"/>
    <col min="5840" max="5840" width="13.19921875" style="8" bestFit="1" customWidth="1"/>
    <col min="5841" max="5841" width="11" style="8"/>
    <col min="5842" max="5842" width="11.19921875" style="8" bestFit="1" customWidth="1"/>
    <col min="5843" max="5846" width="11" style="8"/>
    <col min="5847" max="5848" width="13.19921875" style="8" bestFit="1" customWidth="1"/>
    <col min="5849" max="5849" width="11" style="8"/>
    <col min="5850" max="5850" width="11.19921875" style="8" bestFit="1" customWidth="1"/>
    <col min="5851" max="5854" width="11" style="8"/>
    <col min="5855" max="5855" width="13.19921875" style="8" bestFit="1" customWidth="1"/>
    <col min="5856" max="5856" width="11.19921875" style="8" bestFit="1" customWidth="1"/>
    <col min="5857" max="5857" width="11" style="8"/>
    <col min="5858" max="5858" width="11.19921875" style="8" bestFit="1" customWidth="1"/>
    <col min="5859" max="5862" width="11" style="8"/>
    <col min="5863" max="5864" width="11.19921875" style="8" bestFit="1" customWidth="1"/>
    <col min="5865" max="5865" width="11" style="8"/>
    <col min="5866" max="5866" width="12.19921875" style="8" bestFit="1" customWidth="1"/>
    <col min="5867" max="5870" width="11" style="8"/>
    <col min="5871" max="5872" width="11.19921875" style="8" bestFit="1" customWidth="1"/>
    <col min="5873" max="5873" width="11" style="8"/>
    <col min="5874" max="5874" width="12.19921875" style="8" bestFit="1" customWidth="1"/>
    <col min="5875" max="5878" width="11" style="8"/>
    <col min="5879" max="5879" width="11.19921875" style="8" bestFit="1" customWidth="1"/>
    <col min="5880" max="5880" width="12.19921875" style="8" bestFit="1" customWidth="1"/>
    <col min="5881" max="5881" width="11" style="8"/>
    <col min="5882" max="5882" width="12.19921875" style="8" bestFit="1" customWidth="1"/>
    <col min="5883" max="5886" width="11" style="8"/>
    <col min="5887" max="5888" width="12.19921875" style="8" bestFit="1" customWidth="1"/>
    <col min="5889" max="5889" width="11" style="8"/>
    <col min="5890" max="5890" width="12.19921875" style="8" bestFit="1" customWidth="1"/>
    <col min="5891" max="5894" width="11" style="8"/>
    <col min="5895" max="5895" width="12.19921875" style="8" bestFit="1" customWidth="1"/>
    <col min="5896" max="5896" width="13.19921875" style="8" bestFit="1" customWidth="1"/>
    <col min="5897" max="5897" width="11" style="8"/>
    <col min="5898" max="5898" width="11.19921875" style="8" bestFit="1" customWidth="1"/>
    <col min="5899" max="5902" width="11" style="8"/>
    <col min="5903" max="5904" width="13.19921875" style="8" bestFit="1" customWidth="1"/>
    <col min="5905" max="5905" width="11" style="8"/>
    <col min="5906" max="5906" width="11.19921875" style="8" bestFit="1" customWidth="1"/>
    <col min="5907" max="5910" width="11" style="8"/>
    <col min="5911" max="5911" width="13.19921875" style="8" bestFit="1" customWidth="1"/>
    <col min="5912" max="5912" width="11.19921875" style="8" bestFit="1" customWidth="1"/>
    <col min="5913" max="5913" width="11" style="8"/>
    <col min="5914" max="5914" width="11.19921875" style="8" bestFit="1" customWidth="1"/>
    <col min="5915" max="5918" width="11" style="8"/>
    <col min="5919" max="5920" width="11.19921875" style="8" bestFit="1" customWidth="1"/>
    <col min="5921" max="5921" width="11" style="8"/>
    <col min="5922" max="5922" width="12.19921875" style="8" bestFit="1" customWidth="1"/>
    <col min="5923" max="5926" width="11" style="8"/>
    <col min="5927" max="5928" width="11.19921875" style="8" bestFit="1" customWidth="1"/>
    <col min="5929" max="5929" width="11" style="8"/>
    <col min="5930" max="5930" width="12.19921875" style="8" bestFit="1" customWidth="1"/>
    <col min="5931" max="5934" width="11" style="8"/>
    <col min="5935" max="5935" width="11.19921875" style="8" bestFit="1" customWidth="1"/>
    <col min="5936" max="5936" width="12.19921875" style="8" bestFit="1" customWidth="1"/>
    <col min="5937" max="5937" width="11" style="8"/>
    <col min="5938" max="5938" width="12.19921875" style="8" bestFit="1" customWidth="1"/>
    <col min="5939" max="5942" width="11" style="8"/>
    <col min="5943" max="5944" width="12.19921875" style="8" bestFit="1" customWidth="1"/>
    <col min="5945" max="5945" width="11" style="8"/>
    <col min="5946" max="5946" width="12.19921875" style="8" bestFit="1" customWidth="1"/>
    <col min="5947" max="5950" width="11" style="8"/>
    <col min="5951" max="5951" width="12.19921875" style="8" bestFit="1" customWidth="1"/>
    <col min="5952" max="5952" width="13.19921875" style="8" bestFit="1" customWidth="1"/>
    <col min="5953" max="5953" width="11" style="8"/>
    <col min="5954" max="5954" width="11.19921875" style="8" bestFit="1" customWidth="1"/>
    <col min="5955" max="5958" width="11" style="8"/>
    <col min="5959" max="5960" width="13.19921875" style="8" bestFit="1" customWidth="1"/>
    <col min="5961" max="5961" width="11" style="8"/>
    <col min="5962" max="5962" width="11.19921875" style="8" bestFit="1" customWidth="1"/>
    <col min="5963" max="5966" width="11" style="8"/>
    <col min="5967" max="5967" width="13.19921875" style="8" bestFit="1" customWidth="1"/>
    <col min="5968" max="5968" width="11.19921875" style="8" bestFit="1" customWidth="1"/>
    <col min="5969" max="5969" width="11" style="8"/>
    <col min="5970" max="5970" width="11.19921875" style="8" bestFit="1" customWidth="1"/>
    <col min="5971" max="5974" width="11" style="8"/>
    <col min="5975" max="5976" width="11.19921875" style="8" bestFit="1" customWidth="1"/>
    <col min="5977" max="5977" width="11" style="8"/>
    <col min="5978" max="5978" width="12.19921875" style="8" bestFit="1" customWidth="1"/>
    <col min="5979" max="5982" width="11" style="8"/>
    <col min="5983" max="5984" width="11.19921875" style="8" bestFit="1" customWidth="1"/>
    <col min="5985" max="5985" width="11" style="8"/>
    <col min="5986" max="5986" width="12.19921875" style="8" bestFit="1" customWidth="1"/>
    <col min="5987" max="5990" width="11" style="8"/>
    <col min="5991" max="5991" width="11.19921875" style="8" bestFit="1" customWidth="1"/>
    <col min="5992" max="5992" width="12.19921875" style="8" bestFit="1" customWidth="1"/>
    <col min="5993" max="5993" width="11" style="8"/>
    <col min="5994" max="5994" width="12.19921875" style="8" bestFit="1" customWidth="1"/>
    <col min="5995" max="5998" width="11" style="8"/>
    <col min="5999" max="6000" width="12.19921875" style="8" bestFit="1" customWidth="1"/>
    <col min="6001" max="6001" width="11" style="8"/>
    <col min="6002" max="6002" width="12.19921875" style="8" bestFit="1" customWidth="1"/>
    <col min="6003" max="6006" width="11" style="8"/>
    <col min="6007" max="6007" width="12.19921875" style="8" bestFit="1" customWidth="1"/>
    <col min="6008" max="6008" width="13.19921875" style="8" bestFit="1" customWidth="1"/>
    <col min="6009" max="6009" width="11" style="8"/>
    <col min="6010" max="6010" width="11.19921875" style="8" bestFit="1" customWidth="1"/>
    <col min="6011" max="6014" width="11" style="8"/>
    <col min="6015" max="6016" width="13.19921875" style="8" bestFit="1" customWidth="1"/>
    <col min="6017" max="6017" width="11" style="8"/>
    <col min="6018" max="6018" width="11.19921875" style="8" bestFit="1" customWidth="1"/>
    <col min="6019" max="6022" width="11" style="8"/>
    <col min="6023" max="6023" width="13.19921875" style="8" bestFit="1" customWidth="1"/>
    <col min="6024" max="6024" width="11.19921875" style="8" bestFit="1" customWidth="1"/>
    <col min="6025" max="6025" width="11" style="8"/>
    <col min="6026" max="6026" width="11.19921875" style="8" bestFit="1" customWidth="1"/>
    <col min="6027" max="6030" width="11" style="8"/>
    <col min="6031" max="6032" width="11.19921875" style="8" bestFit="1" customWidth="1"/>
    <col min="6033" max="6033" width="11" style="8"/>
    <col min="6034" max="6034" width="12.19921875" style="8" bestFit="1" customWidth="1"/>
    <col min="6035" max="6038" width="11" style="8"/>
    <col min="6039" max="6040" width="11.19921875" style="8" bestFit="1" customWidth="1"/>
    <col min="6041" max="6041" width="11" style="8"/>
    <col min="6042" max="6042" width="12.19921875" style="8" bestFit="1" customWidth="1"/>
    <col min="6043" max="6046" width="11" style="8"/>
    <col min="6047" max="6047" width="11.19921875" style="8" bestFit="1" customWidth="1"/>
    <col min="6048" max="6048" width="12.19921875" style="8" bestFit="1" customWidth="1"/>
    <col min="6049" max="6049" width="11" style="8"/>
    <col min="6050" max="6050" width="12.19921875" style="8" bestFit="1" customWidth="1"/>
    <col min="6051" max="6054" width="11" style="8"/>
    <col min="6055" max="6056" width="12.19921875" style="8" bestFit="1" customWidth="1"/>
    <col min="6057" max="6057" width="11" style="8"/>
    <col min="6058" max="6058" width="12.19921875" style="8" bestFit="1" customWidth="1"/>
    <col min="6059" max="6062" width="11" style="8"/>
    <col min="6063" max="6063" width="12.19921875" style="8" bestFit="1" customWidth="1"/>
    <col min="6064" max="6064" width="13.19921875" style="8" bestFit="1" customWidth="1"/>
    <col min="6065" max="6065" width="11" style="8"/>
    <col min="6066" max="6066" width="11.19921875" style="8" bestFit="1" customWidth="1"/>
    <col min="6067" max="6070" width="11" style="8"/>
    <col min="6071" max="6072" width="13.19921875" style="8" bestFit="1" customWidth="1"/>
    <col min="6073" max="6073" width="11" style="8"/>
    <col min="6074" max="6074" width="11.19921875" style="8" bestFit="1" customWidth="1"/>
    <col min="6075" max="6078" width="11" style="8"/>
    <col min="6079" max="6079" width="13.19921875" style="8" bestFit="1" customWidth="1"/>
    <col min="6080" max="6080" width="11.19921875" style="8" bestFit="1" customWidth="1"/>
    <col min="6081" max="6081" width="11" style="8"/>
    <col min="6082" max="6082" width="11.19921875" style="8" bestFit="1" customWidth="1"/>
    <col min="6083" max="6086" width="11" style="8"/>
    <col min="6087" max="6088" width="11.19921875" style="8" bestFit="1" customWidth="1"/>
    <col min="6089" max="6089" width="11" style="8"/>
    <col min="6090" max="6090" width="12.19921875" style="8" bestFit="1" customWidth="1"/>
    <col min="6091" max="6094" width="11" style="8"/>
    <col min="6095" max="6096" width="11.19921875" style="8" bestFit="1" customWidth="1"/>
    <col min="6097" max="6097" width="11" style="8"/>
    <col min="6098" max="6098" width="12.19921875" style="8" bestFit="1" customWidth="1"/>
    <col min="6099" max="6102" width="11" style="8"/>
    <col min="6103" max="6103" width="11.19921875" style="8" bestFit="1" customWidth="1"/>
    <col min="6104" max="6104" width="12.19921875" style="8" bestFit="1" customWidth="1"/>
    <col min="6105" max="6105" width="11" style="8"/>
    <col min="6106" max="6106" width="12.19921875" style="8" bestFit="1" customWidth="1"/>
    <col min="6107" max="6110" width="11" style="8"/>
    <col min="6111" max="6112" width="12.19921875" style="8" bestFit="1" customWidth="1"/>
    <col min="6113" max="6113" width="11" style="8"/>
    <col min="6114" max="6114" width="12.19921875" style="8" bestFit="1" customWidth="1"/>
    <col min="6115" max="6118" width="11" style="8"/>
    <col min="6119" max="6119" width="12.19921875" style="8" bestFit="1" customWidth="1"/>
    <col min="6120" max="6120" width="13.19921875" style="8" bestFit="1" customWidth="1"/>
    <col min="6121" max="6121" width="11" style="8"/>
    <col min="6122" max="6122" width="11.19921875" style="8" bestFit="1" customWidth="1"/>
    <col min="6123" max="6126" width="11" style="8"/>
    <col min="6127" max="6128" width="13.19921875" style="8" bestFit="1" customWidth="1"/>
    <col min="6129" max="6129" width="11" style="8"/>
    <col min="6130" max="6130" width="11.19921875" style="8" bestFit="1" customWidth="1"/>
    <col min="6131" max="6134" width="11" style="8"/>
    <col min="6135" max="6135" width="13.19921875" style="8" bestFit="1" customWidth="1"/>
    <col min="6136" max="6136" width="11.19921875" style="8" bestFit="1" customWidth="1"/>
    <col min="6137" max="6137" width="11" style="8"/>
    <col min="6138" max="6138" width="11.19921875" style="8" bestFit="1" customWidth="1"/>
    <col min="6139" max="6142" width="11" style="8"/>
    <col min="6143" max="6144" width="11.19921875" style="8" bestFit="1" customWidth="1"/>
    <col min="6145" max="6145" width="11" style="8"/>
    <col min="6146" max="6146" width="12.19921875" style="8" bestFit="1" customWidth="1"/>
    <col min="6147" max="6150" width="11" style="8"/>
    <col min="6151" max="6152" width="11.19921875" style="8" bestFit="1" customWidth="1"/>
    <col min="6153" max="6153" width="11" style="8"/>
    <col min="6154" max="6154" width="12.19921875" style="8" bestFit="1" customWidth="1"/>
    <col min="6155" max="6158" width="11" style="8"/>
    <col min="6159" max="6159" width="11.19921875" style="8" bestFit="1" customWidth="1"/>
    <col min="6160" max="6160" width="12.19921875" style="8" bestFit="1" customWidth="1"/>
    <col min="6161" max="6161" width="11" style="8"/>
    <col min="6162" max="6162" width="12.19921875" style="8" bestFit="1" customWidth="1"/>
    <col min="6163" max="6166" width="11" style="8"/>
    <col min="6167" max="6168" width="12.19921875" style="8" bestFit="1" customWidth="1"/>
    <col min="6169" max="6169" width="11" style="8"/>
    <col min="6170" max="6170" width="12.19921875" style="8" bestFit="1" customWidth="1"/>
    <col min="6171" max="6174" width="11" style="8"/>
    <col min="6175" max="6175" width="12.19921875" style="8" bestFit="1" customWidth="1"/>
    <col min="6176" max="6176" width="13.19921875" style="8" bestFit="1" customWidth="1"/>
    <col min="6177" max="6177" width="11" style="8"/>
    <col min="6178" max="6178" width="11.19921875" style="8" bestFit="1" customWidth="1"/>
    <col min="6179" max="6182" width="11" style="8"/>
    <col min="6183" max="6184" width="13.19921875" style="8" bestFit="1" customWidth="1"/>
    <col min="6185" max="6185" width="11" style="8"/>
    <col min="6186" max="6186" width="11.19921875" style="8" bestFit="1" customWidth="1"/>
    <col min="6187" max="6190" width="11" style="8"/>
    <col min="6191" max="6191" width="13.19921875" style="8" bestFit="1" customWidth="1"/>
    <col min="6192" max="6192" width="11.19921875" style="8" bestFit="1" customWidth="1"/>
    <col min="6193" max="6193" width="11" style="8"/>
    <col min="6194" max="6194" width="11.19921875" style="8" bestFit="1" customWidth="1"/>
    <col min="6195" max="6198" width="11" style="8"/>
    <col min="6199" max="6200" width="11.19921875" style="8" bestFit="1" customWidth="1"/>
    <col min="6201" max="6201" width="11" style="8"/>
    <col min="6202" max="6202" width="12.19921875" style="8" bestFit="1" customWidth="1"/>
    <col min="6203" max="6206" width="11" style="8"/>
    <col min="6207" max="6208" width="11.19921875" style="8" bestFit="1" customWidth="1"/>
    <col min="6209" max="6209" width="11" style="8"/>
    <col min="6210" max="6210" width="12.19921875" style="8" bestFit="1" customWidth="1"/>
    <col min="6211" max="6214" width="11" style="8"/>
    <col min="6215" max="6215" width="11.19921875" style="8" bestFit="1" customWidth="1"/>
    <col min="6216" max="6216" width="12.19921875" style="8" bestFit="1" customWidth="1"/>
    <col min="6217" max="6217" width="11" style="8"/>
    <col min="6218" max="6218" width="12.19921875" style="8" bestFit="1" customWidth="1"/>
    <col min="6219" max="6222" width="11" style="8"/>
    <col min="6223" max="6224" width="12.19921875" style="8" bestFit="1" customWidth="1"/>
    <col min="6225" max="6225" width="11" style="8"/>
    <col min="6226" max="6226" width="12.19921875" style="8" bestFit="1" customWidth="1"/>
    <col min="6227" max="6230" width="11" style="8"/>
    <col min="6231" max="6231" width="12.19921875" style="8" bestFit="1" customWidth="1"/>
    <col min="6232" max="6232" width="13.19921875" style="8" bestFit="1" customWidth="1"/>
    <col min="6233" max="6233" width="11" style="8"/>
    <col min="6234" max="6234" width="11.19921875" style="8" bestFit="1" customWidth="1"/>
    <col min="6235" max="6238" width="11" style="8"/>
    <col min="6239" max="6240" width="13.19921875" style="8" bestFit="1" customWidth="1"/>
    <col min="6241" max="6241" width="11" style="8"/>
    <col min="6242" max="6242" width="11.19921875" style="8" bestFit="1" customWidth="1"/>
    <col min="6243" max="6246" width="11" style="8"/>
    <col min="6247" max="6247" width="13.19921875" style="8" bestFit="1" customWidth="1"/>
    <col min="6248" max="6248" width="11.19921875" style="8" bestFit="1" customWidth="1"/>
    <col min="6249" max="6249" width="11" style="8"/>
    <col min="6250" max="6250" width="11.19921875" style="8" bestFit="1" customWidth="1"/>
    <col min="6251" max="6254" width="11" style="8"/>
    <col min="6255" max="6256" width="11.19921875" style="8" bestFit="1" customWidth="1"/>
    <col min="6257" max="6257" width="11" style="8"/>
    <col min="6258" max="6258" width="12.19921875" style="8" bestFit="1" customWidth="1"/>
    <col min="6259" max="6262" width="11" style="8"/>
    <col min="6263" max="6264" width="11.19921875" style="8" bestFit="1" customWidth="1"/>
    <col min="6265" max="6265" width="11" style="8"/>
    <col min="6266" max="6266" width="12.19921875" style="8" bestFit="1" customWidth="1"/>
    <col min="6267" max="6270" width="11" style="8"/>
    <col min="6271" max="6271" width="11.19921875" style="8" bestFit="1" customWidth="1"/>
    <col min="6272" max="6272" width="12.19921875" style="8" bestFit="1" customWidth="1"/>
    <col min="6273" max="6273" width="11" style="8"/>
    <col min="6274" max="6274" width="12.19921875" style="8" bestFit="1" customWidth="1"/>
    <col min="6275" max="6278" width="11" style="8"/>
    <col min="6279" max="6280" width="12.19921875" style="8" bestFit="1" customWidth="1"/>
    <col min="6281" max="6281" width="11" style="8"/>
    <col min="6282" max="6282" width="12.19921875" style="8" bestFit="1" customWidth="1"/>
    <col min="6283" max="6286" width="11" style="8"/>
    <col min="6287" max="6287" width="12.19921875" style="8" bestFit="1" customWidth="1"/>
    <col min="6288" max="6288" width="13.19921875" style="8" bestFit="1" customWidth="1"/>
    <col min="6289" max="6289" width="11" style="8"/>
    <col min="6290" max="6290" width="11.19921875" style="8" bestFit="1" customWidth="1"/>
    <col min="6291" max="6294" width="11" style="8"/>
    <col min="6295" max="6296" width="13.19921875" style="8" bestFit="1" customWidth="1"/>
    <col min="6297" max="6297" width="11" style="8"/>
    <col min="6298" max="6298" width="11.19921875" style="8" bestFit="1" customWidth="1"/>
    <col min="6299" max="6302" width="11" style="8"/>
    <col min="6303" max="6303" width="13.19921875" style="8" bestFit="1" customWidth="1"/>
    <col min="6304" max="6304" width="11.19921875" style="8" bestFit="1" customWidth="1"/>
    <col min="6305" max="6305" width="11" style="8"/>
    <col min="6306" max="6306" width="11.19921875" style="8" bestFit="1" customWidth="1"/>
    <col min="6307" max="6310" width="11" style="8"/>
    <col min="6311" max="6312" width="11.19921875" style="8" bestFit="1" customWidth="1"/>
    <col min="6313" max="6313" width="11" style="8"/>
    <col min="6314" max="6314" width="12.19921875" style="8" bestFit="1" customWidth="1"/>
    <col min="6315" max="6318" width="11" style="8"/>
    <col min="6319" max="6320" width="11.19921875" style="8" bestFit="1" customWidth="1"/>
    <col min="6321" max="6321" width="11" style="8"/>
    <col min="6322" max="6322" width="12.19921875" style="8" bestFit="1" customWidth="1"/>
    <col min="6323" max="6326" width="11" style="8"/>
    <col min="6327" max="6327" width="11.19921875" style="8" bestFit="1" customWidth="1"/>
    <col min="6328" max="6328" width="12.19921875" style="8" bestFit="1" customWidth="1"/>
    <col min="6329" max="6329" width="11" style="8"/>
    <col min="6330" max="6330" width="12.19921875" style="8" bestFit="1" customWidth="1"/>
    <col min="6331" max="6334" width="11" style="8"/>
    <col min="6335" max="6336" width="12.19921875" style="8" bestFit="1" customWidth="1"/>
    <col min="6337" max="6337" width="11" style="8"/>
    <col min="6338" max="6338" width="12.19921875" style="8" bestFit="1" customWidth="1"/>
    <col min="6339" max="6342" width="11" style="8"/>
    <col min="6343" max="6343" width="12.19921875" style="8" bestFit="1" customWidth="1"/>
    <col min="6344" max="6344" width="13.19921875" style="8" bestFit="1" customWidth="1"/>
    <col min="6345" max="6345" width="11" style="8"/>
    <col min="6346" max="6346" width="11.19921875" style="8" bestFit="1" customWidth="1"/>
    <col min="6347" max="6350" width="11" style="8"/>
    <col min="6351" max="6352" width="13.19921875" style="8" bestFit="1" customWidth="1"/>
    <col min="6353" max="6353" width="11" style="8"/>
    <col min="6354" max="6354" width="11.19921875" style="8" bestFit="1" customWidth="1"/>
    <col min="6355" max="6358" width="11" style="8"/>
    <col min="6359" max="6359" width="13.19921875" style="8" bestFit="1" customWidth="1"/>
    <col min="6360" max="6360" width="11.19921875" style="8" bestFit="1" customWidth="1"/>
    <col min="6361" max="6361" width="11" style="8"/>
    <col min="6362" max="6362" width="11.19921875" style="8" bestFit="1" customWidth="1"/>
    <col min="6363" max="6366" width="11" style="8"/>
    <col min="6367" max="6368" width="11.19921875" style="8" bestFit="1" customWidth="1"/>
    <col min="6369" max="6369" width="11" style="8"/>
    <col min="6370" max="6370" width="12.19921875" style="8" bestFit="1" customWidth="1"/>
    <col min="6371" max="6374" width="11" style="8"/>
    <col min="6375" max="6376" width="11.19921875" style="8" bestFit="1" customWidth="1"/>
    <col min="6377" max="6377" width="11" style="8"/>
    <col min="6378" max="6378" width="12.19921875" style="8" bestFit="1" customWidth="1"/>
    <col min="6379" max="6382" width="11" style="8"/>
    <col min="6383" max="6383" width="11.19921875" style="8" bestFit="1" customWidth="1"/>
    <col min="6384" max="6384" width="12.19921875" style="8" bestFit="1" customWidth="1"/>
    <col min="6385" max="6385" width="11" style="8"/>
    <col min="6386" max="6386" width="12.19921875" style="8" bestFit="1" customWidth="1"/>
    <col min="6387" max="6390" width="11" style="8"/>
    <col min="6391" max="6392" width="12.19921875" style="8" bestFit="1" customWidth="1"/>
    <col min="6393" max="6393" width="11" style="8"/>
    <col min="6394" max="6394" width="12.19921875" style="8" bestFit="1" customWidth="1"/>
    <col min="6395" max="6398" width="11" style="8"/>
    <col min="6399" max="6399" width="12.19921875" style="8" bestFit="1" customWidth="1"/>
    <col min="6400" max="6400" width="13.19921875" style="8" bestFit="1" customWidth="1"/>
    <col min="6401" max="6401" width="11" style="8"/>
    <col min="6402" max="6402" width="11.19921875" style="8" bestFit="1" customWidth="1"/>
    <col min="6403" max="6406" width="11" style="8"/>
    <col min="6407" max="6408" width="13.19921875" style="8" bestFit="1" customWidth="1"/>
    <col min="6409" max="6409" width="11" style="8"/>
    <col min="6410" max="6410" width="11.19921875" style="8" bestFit="1" customWidth="1"/>
    <col min="6411" max="6414" width="11" style="8"/>
    <col min="6415" max="6415" width="13.19921875" style="8" bestFit="1" customWidth="1"/>
    <col min="6416" max="6416" width="11.19921875" style="8" bestFit="1" customWidth="1"/>
    <col min="6417" max="6417" width="11" style="8"/>
    <col min="6418" max="6418" width="11.19921875" style="8" bestFit="1" customWidth="1"/>
    <col min="6419" max="6422" width="11" style="8"/>
    <col min="6423" max="6424" width="11.19921875" style="8" bestFit="1" customWidth="1"/>
    <col min="6425" max="6425" width="11" style="8"/>
    <col min="6426" max="6426" width="12.19921875" style="8" bestFit="1" customWidth="1"/>
    <col min="6427" max="6430" width="11" style="8"/>
    <col min="6431" max="6432" width="11.19921875" style="8" bestFit="1" customWidth="1"/>
    <col min="6433" max="6433" width="11" style="8"/>
    <col min="6434" max="6434" width="12.19921875" style="8" bestFit="1" customWidth="1"/>
    <col min="6435" max="6438" width="11" style="8"/>
    <col min="6439" max="6439" width="11.19921875" style="8" bestFit="1" customWidth="1"/>
    <col min="6440" max="6440" width="12.19921875" style="8" bestFit="1" customWidth="1"/>
    <col min="6441" max="6441" width="11" style="8"/>
    <col min="6442" max="6442" width="12.19921875" style="8" bestFit="1" customWidth="1"/>
    <col min="6443" max="6446" width="11" style="8"/>
    <col min="6447" max="6448" width="12.19921875" style="8" bestFit="1" customWidth="1"/>
    <col min="6449" max="6449" width="11" style="8"/>
    <col min="6450" max="6450" width="12.19921875" style="8" bestFit="1" customWidth="1"/>
    <col min="6451" max="6454" width="11" style="8"/>
    <col min="6455" max="6455" width="12.19921875" style="8" bestFit="1" customWidth="1"/>
    <col min="6456" max="6456" width="13.19921875" style="8" bestFit="1" customWidth="1"/>
    <col min="6457" max="6457" width="11" style="8"/>
    <col min="6458" max="6458" width="11.19921875" style="8" bestFit="1" customWidth="1"/>
    <col min="6459" max="6462" width="11" style="8"/>
    <col min="6463" max="6464" width="13.19921875" style="8" bestFit="1" customWidth="1"/>
    <col min="6465" max="6465" width="11" style="8"/>
    <col min="6466" max="6466" width="11.19921875" style="8" bestFit="1" customWidth="1"/>
    <col min="6467" max="6470" width="11" style="8"/>
    <col min="6471" max="6471" width="13.19921875" style="8" bestFit="1" customWidth="1"/>
    <col min="6472" max="6472" width="11.19921875" style="8" bestFit="1" customWidth="1"/>
    <col min="6473" max="6473" width="11" style="8"/>
    <col min="6474" max="6474" width="11.19921875" style="8" bestFit="1" customWidth="1"/>
    <col min="6475" max="6478" width="11" style="8"/>
    <col min="6479" max="6480" width="11.19921875" style="8" bestFit="1" customWidth="1"/>
    <col min="6481" max="6481" width="11" style="8"/>
    <col min="6482" max="6482" width="12.19921875" style="8" bestFit="1" customWidth="1"/>
    <col min="6483" max="6486" width="11" style="8"/>
    <col min="6487" max="6488" width="11.19921875" style="8" bestFit="1" customWidth="1"/>
    <col min="6489" max="6489" width="11" style="8"/>
    <col min="6490" max="6490" width="12.19921875" style="8" bestFit="1" customWidth="1"/>
    <col min="6491" max="6494" width="11" style="8"/>
    <col min="6495" max="6495" width="11.19921875" style="8" bestFit="1" customWidth="1"/>
    <col min="6496" max="6496" width="12.19921875" style="8" bestFit="1" customWidth="1"/>
    <col min="6497" max="6497" width="11" style="8"/>
    <col min="6498" max="6498" width="12.19921875" style="8" bestFit="1" customWidth="1"/>
    <col min="6499" max="6502" width="11" style="8"/>
    <col min="6503" max="6504" width="12.19921875" style="8" bestFit="1" customWidth="1"/>
    <col min="6505" max="6505" width="11" style="8"/>
    <col min="6506" max="6506" width="12.19921875" style="8" bestFit="1" customWidth="1"/>
    <col min="6507" max="6510" width="11" style="8"/>
    <col min="6511" max="6511" width="12.19921875" style="8" bestFit="1" customWidth="1"/>
    <col min="6512" max="6512" width="13.19921875" style="8" bestFit="1" customWidth="1"/>
    <col min="6513" max="6513" width="11" style="8"/>
    <col min="6514" max="6514" width="11.19921875" style="8" bestFit="1" customWidth="1"/>
    <col min="6515" max="6518" width="11" style="8"/>
    <col min="6519" max="6520" width="13.19921875" style="8" bestFit="1" customWidth="1"/>
    <col min="6521" max="6521" width="11" style="8"/>
    <col min="6522" max="6522" width="11.19921875" style="8" bestFit="1" customWidth="1"/>
    <col min="6523" max="6526" width="11" style="8"/>
    <col min="6527" max="6527" width="13.19921875" style="8" bestFit="1" customWidth="1"/>
    <col min="6528" max="6528" width="11.19921875" style="8" bestFit="1" customWidth="1"/>
    <col min="6529" max="6529" width="11" style="8"/>
    <col min="6530" max="6530" width="11.19921875" style="8" bestFit="1" customWidth="1"/>
    <col min="6531" max="6534" width="11" style="8"/>
    <col min="6535" max="6536" width="11.19921875" style="8" bestFit="1" customWidth="1"/>
    <col min="6537" max="6537" width="11" style="8"/>
    <col min="6538" max="6538" width="12.19921875" style="8" bestFit="1" customWidth="1"/>
    <col min="6539" max="6542" width="11" style="8"/>
    <col min="6543" max="6544" width="11.19921875" style="8" bestFit="1" customWidth="1"/>
    <col min="6545" max="6545" width="11" style="8"/>
    <col min="6546" max="6546" width="12.19921875" style="8" bestFit="1" customWidth="1"/>
    <col min="6547" max="6550" width="11" style="8"/>
    <col min="6551" max="6551" width="11.19921875" style="8" bestFit="1" customWidth="1"/>
    <col min="6552" max="6552" width="12.19921875" style="8" bestFit="1" customWidth="1"/>
    <col min="6553" max="6553" width="11" style="8"/>
    <col min="6554" max="6554" width="12.19921875" style="8" bestFit="1" customWidth="1"/>
    <col min="6555" max="6558" width="11" style="8"/>
    <col min="6559" max="6560" width="12.19921875" style="8" bestFit="1" customWidth="1"/>
    <col min="6561" max="6561" width="11" style="8"/>
    <col min="6562" max="6562" width="12.19921875" style="8" bestFit="1" customWidth="1"/>
    <col min="6563" max="6566" width="11" style="8"/>
    <col min="6567" max="6567" width="12.19921875" style="8" bestFit="1" customWidth="1"/>
    <col min="6568" max="6568" width="13.19921875" style="8" bestFit="1" customWidth="1"/>
    <col min="6569" max="6569" width="11" style="8"/>
    <col min="6570" max="6570" width="11.19921875" style="8" bestFit="1" customWidth="1"/>
    <col min="6571" max="6574" width="11" style="8"/>
    <col min="6575" max="6576" width="13.19921875" style="8" bestFit="1" customWidth="1"/>
    <col min="6577" max="6577" width="11" style="8"/>
    <col min="6578" max="6578" width="11.19921875" style="8" bestFit="1" customWidth="1"/>
    <col min="6579" max="6582" width="11" style="8"/>
    <col min="6583" max="6583" width="13.19921875" style="8" bestFit="1" customWidth="1"/>
    <col min="6584" max="6584" width="11.19921875" style="8" bestFit="1" customWidth="1"/>
    <col min="6585" max="6585" width="11" style="8"/>
    <col min="6586" max="6586" width="11.19921875" style="8" bestFit="1" customWidth="1"/>
    <col min="6587" max="6590" width="11" style="8"/>
    <col min="6591" max="6592" width="11.19921875" style="8" bestFit="1" customWidth="1"/>
    <col min="6593" max="6593" width="11" style="8"/>
    <col min="6594" max="6594" width="12.19921875" style="8" bestFit="1" customWidth="1"/>
    <col min="6595" max="6598" width="11" style="8"/>
    <col min="6599" max="6600" width="11.19921875" style="8" bestFit="1" customWidth="1"/>
    <col min="6601" max="6601" width="11" style="8"/>
    <col min="6602" max="6602" width="12.19921875" style="8" bestFit="1" customWidth="1"/>
    <col min="6603" max="6606" width="11" style="8"/>
    <col min="6607" max="6607" width="11.19921875" style="8" bestFit="1" customWidth="1"/>
    <col min="6608" max="6608" width="12.19921875" style="8" bestFit="1" customWidth="1"/>
    <col min="6609" max="6609" width="11" style="8"/>
    <col min="6610" max="6610" width="12.19921875" style="8" bestFit="1" customWidth="1"/>
    <col min="6611" max="6614" width="11" style="8"/>
    <col min="6615" max="6616" width="12.19921875" style="8" bestFit="1" customWidth="1"/>
    <col min="6617" max="6617" width="11" style="8"/>
    <col min="6618" max="6618" width="12.19921875" style="8" bestFit="1" customWidth="1"/>
    <col min="6619" max="6622" width="11" style="8"/>
    <col min="6623" max="6623" width="12.19921875" style="8" bestFit="1" customWidth="1"/>
    <col min="6624" max="6624" width="13.19921875" style="8" bestFit="1" customWidth="1"/>
    <col min="6625" max="6625" width="11" style="8"/>
    <col min="6626" max="6626" width="11.19921875" style="8" bestFit="1" customWidth="1"/>
    <col min="6627" max="6630" width="11" style="8"/>
    <col min="6631" max="6632" width="13.19921875" style="8" bestFit="1" customWidth="1"/>
    <col min="6633" max="6633" width="11" style="8"/>
    <col min="6634" max="6634" width="11.19921875" style="8" bestFit="1" customWidth="1"/>
    <col min="6635" max="6638" width="11" style="8"/>
    <col min="6639" max="6639" width="13.19921875" style="8" bestFit="1" customWidth="1"/>
    <col min="6640" max="6640" width="11.19921875" style="8" bestFit="1" customWidth="1"/>
    <col min="6641" max="6641" width="11" style="8"/>
    <col min="6642" max="6642" width="11.19921875" style="8" bestFit="1" customWidth="1"/>
    <col min="6643" max="6646" width="11" style="8"/>
    <col min="6647" max="6648" width="11.19921875" style="8" bestFit="1" customWidth="1"/>
    <col min="6649" max="6649" width="11" style="8"/>
    <col min="6650" max="6650" width="12.19921875" style="8" bestFit="1" customWidth="1"/>
    <col min="6651" max="6654" width="11" style="8"/>
    <col min="6655" max="6656" width="11.19921875" style="8" bestFit="1" customWidth="1"/>
    <col min="6657" max="6657" width="11" style="8"/>
    <col min="6658" max="6658" width="12.19921875" style="8" bestFit="1" customWidth="1"/>
    <col min="6659" max="6662" width="11" style="8"/>
    <col min="6663" max="6663" width="11.19921875" style="8" bestFit="1" customWidth="1"/>
    <col min="6664" max="6664" width="12.19921875" style="8" bestFit="1" customWidth="1"/>
    <col min="6665" max="6665" width="11" style="8"/>
    <col min="6666" max="6666" width="12.19921875" style="8" bestFit="1" customWidth="1"/>
    <col min="6667" max="6670" width="11" style="8"/>
    <col min="6671" max="6672" width="12.19921875" style="8" bestFit="1" customWidth="1"/>
    <col min="6673" max="6673" width="11" style="8"/>
    <col min="6674" max="6674" width="12.19921875" style="8" bestFit="1" customWidth="1"/>
    <col min="6675" max="6678" width="11" style="8"/>
    <col min="6679" max="6679" width="12.19921875" style="8" bestFit="1" customWidth="1"/>
    <col min="6680" max="6680" width="13.19921875" style="8" bestFit="1" customWidth="1"/>
    <col min="6681" max="6681" width="11" style="8"/>
    <col min="6682" max="6682" width="11.19921875" style="8" bestFit="1" customWidth="1"/>
    <col min="6683" max="6686" width="11" style="8"/>
    <col min="6687" max="6688" width="13.19921875" style="8" bestFit="1" customWidth="1"/>
    <col min="6689" max="6689" width="11" style="8"/>
    <col min="6690" max="6690" width="11.19921875" style="8" bestFit="1" customWidth="1"/>
    <col min="6691" max="6694" width="11" style="8"/>
    <col min="6695" max="6695" width="13.19921875" style="8" bestFit="1" customWidth="1"/>
    <col min="6696" max="6696" width="11.19921875" style="8" bestFit="1" customWidth="1"/>
    <col min="6697" max="6697" width="11" style="8"/>
    <col min="6698" max="6698" width="11.19921875" style="8" bestFit="1" customWidth="1"/>
    <col min="6699" max="6702" width="11" style="8"/>
    <col min="6703" max="6704" width="11.19921875" style="8" bestFit="1" customWidth="1"/>
    <col min="6705" max="6705" width="11" style="8"/>
    <col min="6706" max="6706" width="12.19921875" style="8" bestFit="1" customWidth="1"/>
    <col min="6707" max="6710" width="11" style="8"/>
    <col min="6711" max="6712" width="11.19921875" style="8" bestFit="1" customWidth="1"/>
    <col min="6713" max="6713" width="11" style="8"/>
    <col min="6714" max="6714" width="12.19921875" style="8" bestFit="1" customWidth="1"/>
    <col min="6715" max="6718" width="11" style="8"/>
    <col min="6719" max="6719" width="11.19921875" style="8" bestFit="1" customWidth="1"/>
    <col min="6720" max="6720" width="12.19921875" style="8" bestFit="1" customWidth="1"/>
    <col min="6721" max="6721" width="11" style="8"/>
    <col min="6722" max="6722" width="12.19921875" style="8" bestFit="1" customWidth="1"/>
    <col min="6723" max="6726" width="11" style="8"/>
    <col min="6727" max="6728" width="12.19921875" style="8" bestFit="1" customWidth="1"/>
    <col min="6729" max="6729" width="11" style="8"/>
    <col min="6730" max="6730" width="12.19921875" style="8" bestFit="1" customWidth="1"/>
    <col min="6731" max="6734" width="11" style="8"/>
    <col min="6735" max="6735" width="12.19921875" style="8" bestFit="1" customWidth="1"/>
    <col min="6736" max="6736" width="13.19921875" style="8" bestFit="1" customWidth="1"/>
    <col min="6737" max="6737" width="11" style="8"/>
    <col min="6738" max="6738" width="11.19921875" style="8" bestFit="1" customWidth="1"/>
    <col min="6739" max="6742" width="11" style="8"/>
    <col min="6743" max="6744" width="13.19921875" style="8" bestFit="1" customWidth="1"/>
    <col min="6745" max="6745" width="11" style="8"/>
    <col min="6746" max="6746" width="11.19921875" style="8" bestFit="1" customWidth="1"/>
    <col min="6747" max="6750" width="11" style="8"/>
    <col min="6751" max="6751" width="13.19921875" style="8" bestFit="1" customWidth="1"/>
    <col min="6752" max="6752" width="11.19921875" style="8" bestFit="1" customWidth="1"/>
    <col min="6753" max="6753" width="11" style="8"/>
    <col min="6754" max="6754" width="11.19921875" style="8" bestFit="1" customWidth="1"/>
    <col min="6755" max="6758" width="11" style="8"/>
    <col min="6759" max="6760" width="11.19921875" style="8" bestFit="1" customWidth="1"/>
    <col min="6761" max="6761" width="11" style="8"/>
    <col min="6762" max="6762" width="12.19921875" style="8" bestFit="1" customWidth="1"/>
    <col min="6763" max="6766" width="11" style="8"/>
    <col min="6767" max="6768" width="11.19921875" style="8" bestFit="1" customWidth="1"/>
    <col min="6769" max="6769" width="11" style="8"/>
    <col min="6770" max="6770" width="12.19921875" style="8" bestFit="1" customWidth="1"/>
    <col min="6771" max="6774" width="11" style="8"/>
    <col min="6775" max="6775" width="11.19921875" style="8" bestFit="1" customWidth="1"/>
    <col min="6776" max="6776" width="12.19921875" style="8" bestFit="1" customWidth="1"/>
    <col min="6777" max="6777" width="11" style="8"/>
    <col min="6778" max="6778" width="12.19921875" style="8" bestFit="1" customWidth="1"/>
    <col min="6779" max="6782" width="11" style="8"/>
    <col min="6783" max="6784" width="12.19921875" style="8" bestFit="1" customWidth="1"/>
    <col min="6785" max="6785" width="11" style="8"/>
    <col min="6786" max="6786" width="12.19921875" style="8" bestFit="1" customWidth="1"/>
    <col min="6787" max="6790" width="11" style="8"/>
    <col min="6791" max="6791" width="12.19921875" style="8" bestFit="1" customWidth="1"/>
    <col min="6792" max="6792" width="13.19921875" style="8" bestFit="1" customWidth="1"/>
    <col min="6793" max="6793" width="11" style="8"/>
    <col min="6794" max="6794" width="11.19921875" style="8" bestFit="1" customWidth="1"/>
    <col min="6795" max="6798" width="11" style="8"/>
    <col min="6799" max="6800" width="13.19921875" style="8" bestFit="1" customWidth="1"/>
    <col min="6801" max="6801" width="11" style="8"/>
    <col min="6802" max="6802" width="11.19921875" style="8" bestFit="1" customWidth="1"/>
    <col min="6803" max="6806" width="11" style="8"/>
    <col min="6807" max="6807" width="13.19921875" style="8" bestFit="1" customWidth="1"/>
    <col min="6808" max="6808" width="11.19921875" style="8" bestFit="1" customWidth="1"/>
    <col min="6809" max="6809" width="11" style="8"/>
    <col min="6810" max="6810" width="11.19921875" style="8" bestFit="1" customWidth="1"/>
    <col min="6811" max="6814" width="11" style="8"/>
    <col min="6815" max="6816" width="11.19921875" style="8" bestFit="1" customWidth="1"/>
    <col min="6817" max="6817" width="11" style="8"/>
    <col min="6818" max="6818" width="12.19921875" style="8" bestFit="1" customWidth="1"/>
    <col min="6819" max="6822" width="11" style="8"/>
    <col min="6823" max="6824" width="11.19921875" style="8" bestFit="1" customWidth="1"/>
    <col min="6825" max="6825" width="11" style="8"/>
    <col min="6826" max="6826" width="12.19921875" style="8" bestFit="1" customWidth="1"/>
    <col min="6827" max="6830" width="11" style="8"/>
    <col min="6831" max="6831" width="11.19921875" style="8" bestFit="1" customWidth="1"/>
    <col min="6832" max="6832" width="12.19921875" style="8" bestFit="1" customWidth="1"/>
    <col min="6833" max="6833" width="11" style="8"/>
    <col min="6834" max="6834" width="12.19921875" style="8" bestFit="1" customWidth="1"/>
    <col min="6835" max="6838" width="11" style="8"/>
    <col min="6839" max="6840" width="12.19921875" style="8" bestFit="1" customWidth="1"/>
    <col min="6841" max="6841" width="11" style="8"/>
    <col min="6842" max="6842" width="12.19921875" style="8" bestFit="1" customWidth="1"/>
    <col min="6843" max="6846" width="11" style="8"/>
    <col min="6847" max="6847" width="12.19921875" style="8" bestFit="1" customWidth="1"/>
    <col min="6848" max="6848" width="13.19921875" style="8" bestFit="1" customWidth="1"/>
    <col min="6849" max="6849" width="11" style="8"/>
    <col min="6850" max="6850" width="11.19921875" style="8" bestFit="1" customWidth="1"/>
    <col min="6851" max="6854" width="11" style="8"/>
    <col min="6855" max="6856" width="13.19921875" style="8" bestFit="1" customWidth="1"/>
    <col min="6857" max="6857" width="11" style="8"/>
    <col min="6858" max="6858" width="11.19921875" style="8" bestFit="1" customWidth="1"/>
    <col min="6859" max="6862" width="11" style="8"/>
    <col min="6863" max="6863" width="13.19921875" style="8" bestFit="1" customWidth="1"/>
    <col min="6864" max="6864" width="11.19921875" style="8" bestFit="1" customWidth="1"/>
    <col min="6865" max="6865" width="11" style="8"/>
    <col min="6866" max="6866" width="11.19921875" style="8" bestFit="1" customWidth="1"/>
    <col min="6867" max="6870" width="11" style="8"/>
    <col min="6871" max="6872" width="11.19921875" style="8" bestFit="1" customWidth="1"/>
    <col min="6873" max="6873" width="11" style="8"/>
    <col min="6874" max="6874" width="12.19921875" style="8" bestFit="1" customWidth="1"/>
    <col min="6875" max="6878" width="11" style="8"/>
    <col min="6879" max="6880" width="11.19921875" style="8" bestFit="1" customWidth="1"/>
    <col min="6881" max="6881" width="11" style="8"/>
    <col min="6882" max="6882" width="12.19921875" style="8" bestFit="1" customWidth="1"/>
    <col min="6883" max="6886" width="11" style="8"/>
    <col min="6887" max="6887" width="11.19921875" style="8" bestFit="1" customWidth="1"/>
    <col min="6888" max="6888" width="12.19921875" style="8" bestFit="1" customWidth="1"/>
    <col min="6889" max="6889" width="11" style="8"/>
    <col min="6890" max="6890" width="12.19921875" style="8" bestFit="1" customWidth="1"/>
    <col min="6891" max="6894" width="11" style="8"/>
    <col min="6895" max="6896" width="12.19921875" style="8" bestFit="1" customWidth="1"/>
    <col min="6897" max="6897" width="11" style="8"/>
    <col min="6898" max="6898" width="12.19921875" style="8" bestFit="1" customWidth="1"/>
    <col min="6899" max="6902" width="11" style="8"/>
    <col min="6903" max="6903" width="12.19921875" style="8" bestFit="1" customWidth="1"/>
    <col min="6904" max="6904" width="13.19921875" style="8" bestFit="1" customWidth="1"/>
    <col min="6905" max="6905" width="11" style="8"/>
    <col min="6906" max="6906" width="11.19921875" style="8" bestFit="1" customWidth="1"/>
    <col min="6907" max="6910" width="11" style="8"/>
    <col min="6911" max="6912" width="13.19921875" style="8" bestFit="1" customWidth="1"/>
    <col min="6913" max="6913" width="11" style="8"/>
    <col min="6914" max="6914" width="11.19921875" style="8" bestFit="1" customWidth="1"/>
    <col min="6915" max="6918" width="11" style="8"/>
    <col min="6919" max="6919" width="13.19921875" style="8" bestFit="1" customWidth="1"/>
    <col min="6920" max="6920" width="11.19921875" style="8" bestFit="1" customWidth="1"/>
    <col min="6921" max="6921" width="11" style="8"/>
    <col min="6922" max="6922" width="11.19921875" style="8" bestFit="1" customWidth="1"/>
    <col min="6923" max="6926" width="11" style="8"/>
    <col min="6927" max="6928" width="11.19921875" style="8" bestFit="1" customWidth="1"/>
    <col min="6929" max="6929" width="11" style="8"/>
    <col min="6930" max="6930" width="12.19921875" style="8" bestFit="1" customWidth="1"/>
    <col min="6931" max="6934" width="11" style="8"/>
    <col min="6935" max="6936" width="11.19921875" style="8" bestFit="1" customWidth="1"/>
    <col min="6937" max="6937" width="11" style="8"/>
    <col min="6938" max="6938" width="12.19921875" style="8" bestFit="1" customWidth="1"/>
    <col min="6939" max="6942" width="11" style="8"/>
    <col min="6943" max="6943" width="11.19921875" style="8" bestFit="1" customWidth="1"/>
    <col min="6944" max="6944" width="12.19921875" style="8" bestFit="1" customWidth="1"/>
    <col min="6945" max="6945" width="11" style="8"/>
    <col min="6946" max="6946" width="12.19921875" style="8" bestFit="1" customWidth="1"/>
    <col min="6947" max="6950" width="11" style="8"/>
    <col min="6951" max="6952" width="12.19921875" style="8" bestFit="1" customWidth="1"/>
    <col min="6953" max="6953" width="11" style="8"/>
    <col min="6954" max="6954" width="12.19921875" style="8" bestFit="1" customWidth="1"/>
    <col min="6955" max="6958" width="11" style="8"/>
    <col min="6959" max="6959" width="12.19921875" style="8" bestFit="1" customWidth="1"/>
    <col min="6960" max="6960" width="13.19921875" style="8" bestFit="1" customWidth="1"/>
    <col min="6961" max="6961" width="11" style="8"/>
    <col min="6962" max="6962" width="11.19921875" style="8" bestFit="1" customWidth="1"/>
    <col min="6963" max="6966" width="11" style="8"/>
    <col min="6967" max="6968" width="13.19921875" style="8" bestFit="1" customWidth="1"/>
    <col min="6969" max="6969" width="11" style="8"/>
    <col min="6970" max="6970" width="11.19921875" style="8" bestFit="1" customWidth="1"/>
    <col min="6971" max="6974" width="11" style="8"/>
    <col min="6975" max="6975" width="13.19921875" style="8" bestFit="1" customWidth="1"/>
    <col min="6976" max="6976" width="11.19921875" style="8" bestFit="1" customWidth="1"/>
    <col min="6977" max="6977" width="11" style="8"/>
    <col min="6978" max="6978" width="11.19921875" style="8" bestFit="1" customWidth="1"/>
    <col min="6979" max="6982" width="11" style="8"/>
    <col min="6983" max="6984" width="11.19921875" style="8" bestFit="1" customWidth="1"/>
    <col min="6985" max="6985" width="11" style="8"/>
    <col min="6986" max="6986" width="12.19921875" style="8" bestFit="1" customWidth="1"/>
    <col min="6987" max="6990" width="11" style="8"/>
    <col min="6991" max="6992" width="11.19921875" style="8" bestFit="1" customWidth="1"/>
    <col min="6993" max="6993" width="11" style="8"/>
    <col min="6994" max="6994" width="12.19921875" style="8" bestFit="1" customWidth="1"/>
    <col min="6995" max="6998" width="11" style="8"/>
    <col min="6999" max="6999" width="11.19921875" style="8" bestFit="1" customWidth="1"/>
    <col min="7000" max="7000" width="12.19921875" style="8" bestFit="1" customWidth="1"/>
    <col min="7001" max="7001" width="11" style="8"/>
    <col min="7002" max="7002" width="12.19921875" style="8" bestFit="1" customWidth="1"/>
    <col min="7003" max="7006" width="11" style="8"/>
    <col min="7007" max="7008" width="12.19921875" style="8" bestFit="1" customWidth="1"/>
    <col min="7009" max="7009" width="11" style="8"/>
    <col min="7010" max="7010" width="12.19921875" style="8" bestFit="1" customWidth="1"/>
    <col min="7011" max="7014" width="11" style="8"/>
    <col min="7015" max="7015" width="12.19921875" style="8" bestFit="1" customWidth="1"/>
    <col min="7016" max="7016" width="13.19921875" style="8" bestFit="1" customWidth="1"/>
    <col min="7017" max="7017" width="11" style="8"/>
    <col min="7018" max="7018" width="11.19921875" style="8" bestFit="1" customWidth="1"/>
    <col min="7019" max="7022" width="11" style="8"/>
    <col min="7023" max="7024" width="13.19921875" style="8" bestFit="1" customWidth="1"/>
    <col min="7025" max="7025" width="11" style="8"/>
    <col min="7026" max="7026" width="11.19921875" style="8" bestFit="1" customWidth="1"/>
    <col min="7027" max="7030" width="11" style="8"/>
    <col min="7031" max="7031" width="13.19921875" style="8" bestFit="1" customWidth="1"/>
    <col min="7032" max="7032" width="11.19921875" style="8" bestFit="1" customWidth="1"/>
    <col min="7033" max="7033" width="11" style="8"/>
    <col min="7034" max="7034" width="11.19921875" style="8" bestFit="1" customWidth="1"/>
    <col min="7035" max="7038" width="11" style="8"/>
    <col min="7039" max="7040" width="11.19921875" style="8" bestFit="1" customWidth="1"/>
    <col min="7041" max="7041" width="11" style="8"/>
    <col min="7042" max="7042" width="12.19921875" style="8" bestFit="1" customWidth="1"/>
    <col min="7043" max="7046" width="11" style="8"/>
    <col min="7047" max="7048" width="11.19921875" style="8" bestFit="1" customWidth="1"/>
    <col min="7049" max="7049" width="11" style="8"/>
    <col min="7050" max="7050" width="12.19921875" style="8" bestFit="1" customWidth="1"/>
    <col min="7051" max="7054" width="11" style="8"/>
    <col min="7055" max="7055" width="11.19921875" style="8" bestFit="1" customWidth="1"/>
    <col min="7056" max="7056" width="12.19921875" style="8" bestFit="1" customWidth="1"/>
    <col min="7057" max="7057" width="11" style="8"/>
    <col min="7058" max="7058" width="12.19921875" style="8" bestFit="1" customWidth="1"/>
    <col min="7059" max="7062" width="11" style="8"/>
    <col min="7063" max="7064" width="12.19921875" style="8" bestFit="1" customWidth="1"/>
    <col min="7065" max="7065" width="11" style="8"/>
    <col min="7066" max="7066" width="12.19921875" style="8" bestFit="1" customWidth="1"/>
    <col min="7067" max="7070" width="11" style="8"/>
    <col min="7071" max="7071" width="12.19921875" style="8" bestFit="1" customWidth="1"/>
    <col min="7072" max="7072" width="13.19921875" style="8" bestFit="1" customWidth="1"/>
    <col min="7073" max="7073" width="11" style="8"/>
    <col min="7074" max="7074" width="11.19921875" style="8" bestFit="1" customWidth="1"/>
    <col min="7075" max="7078" width="11" style="8"/>
    <col min="7079" max="7080" width="13.19921875" style="8" bestFit="1" customWidth="1"/>
    <col min="7081" max="7081" width="11" style="8"/>
    <col min="7082" max="7082" width="11.19921875" style="8" bestFit="1" customWidth="1"/>
    <col min="7083" max="7086" width="11" style="8"/>
    <col min="7087" max="7087" width="13.19921875" style="8" bestFit="1" customWidth="1"/>
    <col min="7088" max="7088" width="11.19921875" style="8" bestFit="1" customWidth="1"/>
    <col min="7089" max="7089" width="11" style="8"/>
    <col min="7090" max="7090" width="11.19921875" style="8" bestFit="1" customWidth="1"/>
    <col min="7091" max="7094" width="11" style="8"/>
    <col min="7095" max="7096" width="11.19921875" style="8" bestFit="1" customWidth="1"/>
    <col min="7097" max="7097" width="11" style="8"/>
    <col min="7098" max="7098" width="12.19921875" style="8" bestFit="1" customWidth="1"/>
    <col min="7099" max="7102" width="11" style="8"/>
    <col min="7103" max="7104" width="11.19921875" style="8" bestFit="1" customWidth="1"/>
    <col min="7105" max="7105" width="11" style="8"/>
    <col min="7106" max="7106" width="12.19921875" style="8" bestFit="1" customWidth="1"/>
    <col min="7107" max="7110" width="11" style="8"/>
    <col min="7111" max="7111" width="11.19921875" style="8" bestFit="1" customWidth="1"/>
    <col min="7112" max="7112" width="12.19921875" style="8" bestFit="1" customWidth="1"/>
    <col min="7113" max="7113" width="11" style="8"/>
    <col min="7114" max="7114" width="12.19921875" style="8" bestFit="1" customWidth="1"/>
    <col min="7115" max="7118" width="11" style="8"/>
    <col min="7119" max="7120" width="12.19921875" style="8" bestFit="1" customWidth="1"/>
    <col min="7121" max="7121" width="11" style="8"/>
    <col min="7122" max="7122" width="12.19921875" style="8" bestFit="1" customWidth="1"/>
    <col min="7123" max="7126" width="11" style="8"/>
    <col min="7127" max="7127" width="12.19921875" style="8" bestFit="1" customWidth="1"/>
    <col min="7128" max="7128" width="13.19921875" style="8" bestFit="1" customWidth="1"/>
    <col min="7129" max="7129" width="11" style="8"/>
    <col min="7130" max="7130" width="11.19921875" style="8" bestFit="1" customWidth="1"/>
    <col min="7131" max="7134" width="11" style="8"/>
    <col min="7135" max="7136" width="13.19921875" style="8" bestFit="1" customWidth="1"/>
    <col min="7137" max="7137" width="11" style="8"/>
    <col min="7138" max="7138" width="11.19921875" style="8" bestFit="1" customWidth="1"/>
    <col min="7139" max="7142" width="11" style="8"/>
    <col min="7143" max="7143" width="13.19921875" style="8" bestFit="1" customWidth="1"/>
    <col min="7144" max="7144" width="11.19921875" style="8" bestFit="1" customWidth="1"/>
    <col min="7145" max="7145" width="11" style="8"/>
    <col min="7146" max="7146" width="11.19921875" style="8" bestFit="1" customWidth="1"/>
    <col min="7147" max="7150" width="11" style="8"/>
    <col min="7151" max="7152" width="11.19921875" style="8" bestFit="1" customWidth="1"/>
    <col min="7153" max="7153" width="11" style="8"/>
    <col min="7154" max="7154" width="12.19921875" style="8" bestFit="1" customWidth="1"/>
    <col min="7155" max="7158" width="11" style="8"/>
    <col min="7159" max="7160" width="11.19921875" style="8" bestFit="1" customWidth="1"/>
    <col min="7161" max="7161" width="11" style="8"/>
    <col min="7162" max="7162" width="12.19921875" style="8" bestFit="1" customWidth="1"/>
    <col min="7163" max="7166" width="11" style="8"/>
    <col min="7167" max="7167" width="11.19921875" style="8" bestFit="1" customWidth="1"/>
    <col min="7168" max="7168" width="12.19921875" style="8" bestFit="1" customWidth="1"/>
    <col min="7169" max="7169" width="11" style="8"/>
    <col min="7170" max="7170" width="12.19921875" style="8" bestFit="1" customWidth="1"/>
    <col min="7171" max="7174" width="11" style="8"/>
    <col min="7175" max="7176" width="12.19921875" style="8" bestFit="1" customWidth="1"/>
    <col min="7177" max="7177" width="11" style="8"/>
    <col min="7178" max="7178" width="12.19921875" style="8" bestFit="1" customWidth="1"/>
    <col min="7179" max="7182" width="11" style="8"/>
    <col min="7183" max="7183" width="12.19921875" style="8" bestFit="1" customWidth="1"/>
    <col min="7184" max="7184" width="13.19921875" style="8" bestFit="1" customWidth="1"/>
    <col min="7185" max="7185" width="11" style="8"/>
    <col min="7186" max="7186" width="11.19921875" style="8" bestFit="1" customWidth="1"/>
    <col min="7187" max="7190" width="11" style="8"/>
    <col min="7191" max="7192" width="13.19921875" style="8" bestFit="1" customWidth="1"/>
    <col min="7193" max="7193" width="11" style="8"/>
    <col min="7194" max="7194" width="11.19921875" style="8" bestFit="1" customWidth="1"/>
    <col min="7195" max="7198" width="11" style="8"/>
    <col min="7199" max="7199" width="13.19921875" style="8" bestFit="1" customWidth="1"/>
    <col min="7200" max="7200" width="11.19921875" style="8" bestFit="1" customWidth="1"/>
    <col min="7201" max="7201" width="11" style="8"/>
    <col min="7202" max="7202" width="11.19921875" style="8" bestFit="1" customWidth="1"/>
    <col min="7203" max="7206" width="11" style="8"/>
    <col min="7207" max="7208" width="11.19921875" style="8" bestFit="1" customWidth="1"/>
    <col min="7209" max="7209" width="11" style="8"/>
    <col min="7210" max="7210" width="12.19921875" style="8" bestFit="1" customWidth="1"/>
    <col min="7211" max="7214" width="11" style="8"/>
    <col min="7215" max="7216" width="11.19921875" style="8" bestFit="1" customWidth="1"/>
    <col min="7217" max="7217" width="11" style="8"/>
    <col min="7218" max="7218" width="12.19921875" style="8" bestFit="1" customWidth="1"/>
    <col min="7219" max="7222" width="11" style="8"/>
    <col min="7223" max="7223" width="11.19921875" style="8" bestFit="1" customWidth="1"/>
    <col min="7224" max="7224" width="12.19921875" style="8" bestFit="1" customWidth="1"/>
    <col min="7225" max="7225" width="11" style="8"/>
    <col min="7226" max="7226" width="12.19921875" style="8" bestFit="1" customWidth="1"/>
    <col min="7227" max="7230" width="11" style="8"/>
    <col min="7231" max="7232" width="12.19921875" style="8" bestFit="1" customWidth="1"/>
    <col min="7233" max="7233" width="11" style="8"/>
    <col min="7234" max="7234" width="12.19921875" style="8" bestFit="1" customWidth="1"/>
    <col min="7235" max="7238" width="11" style="8"/>
    <col min="7239" max="7239" width="12.19921875" style="8" bestFit="1" customWidth="1"/>
    <col min="7240" max="7240" width="13.19921875" style="8" bestFit="1" customWidth="1"/>
    <col min="7241" max="7241" width="11" style="8"/>
    <col min="7242" max="7242" width="11.19921875" style="8" bestFit="1" customWidth="1"/>
    <col min="7243" max="7246" width="11" style="8"/>
    <col min="7247" max="7248" width="13.19921875" style="8" bestFit="1" customWidth="1"/>
    <col min="7249" max="7249" width="11" style="8"/>
    <col min="7250" max="7250" width="11.19921875" style="8" bestFit="1" customWidth="1"/>
    <col min="7251" max="7254" width="11" style="8"/>
    <col min="7255" max="7255" width="13.19921875" style="8" bestFit="1" customWidth="1"/>
    <col min="7256" max="7256" width="11.19921875" style="8" bestFit="1" customWidth="1"/>
    <col min="7257" max="7257" width="11" style="8"/>
    <col min="7258" max="7258" width="11.19921875" style="8" bestFit="1" customWidth="1"/>
    <col min="7259" max="7262" width="11" style="8"/>
    <col min="7263" max="7264" width="11.19921875" style="8" bestFit="1" customWidth="1"/>
    <col min="7265" max="7265" width="11" style="8"/>
    <col min="7266" max="7266" width="12.19921875" style="8" bestFit="1" customWidth="1"/>
    <col min="7267" max="7270" width="11" style="8"/>
    <col min="7271" max="7272" width="11.19921875" style="8" bestFit="1" customWidth="1"/>
    <col min="7273" max="7273" width="11" style="8"/>
    <col min="7274" max="7274" width="12.19921875" style="8" bestFit="1" customWidth="1"/>
    <col min="7275" max="7278" width="11" style="8"/>
    <col min="7279" max="7279" width="11.19921875" style="8" bestFit="1" customWidth="1"/>
    <col min="7280" max="7280" width="12.19921875" style="8" bestFit="1" customWidth="1"/>
    <col min="7281" max="7281" width="11" style="8"/>
    <col min="7282" max="7282" width="12.19921875" style="8" bestFit="1" customWidth="1"/>
    <col min="7283" max="7286" width="11" style="8"/>
    <col min="7287" max="7288" width="12.19921875" style="8" bestFit="1" customWidth="1"/>
    <col min="7289" max="7289" width="11" style="8"/>
    <col min="7290" max="7290" width="12.19921875" style="8" bestFit="1" customWidth="1"/>
    <col min="7291" max="7294" width="11" style="8"/>
    <col min="7295" max="7295" width="12.19921875" style="8" bestFit="1" customWidth="1"/>
    <col min="7296" max="7296" width="13.19921875" style="8" bestFit="1" customWidth="1"/>
    <col min="7297" max="7297" width="11" style="8"/>
    <col min="7298" max="7298" width="11.19921875" style="8" bestFit="1" customWidth="1"/>
    <col min="7299" max="7302" width="11" style="8"/>
    <col min="7303" max="7304" width="13.19921875" style="8" bestFit="1" customWidth="1"/>
    <col min="7305" max="7305" width="11" style="8"/>
    <col min="7306" max="7306" width="11.19921875" style="8" bestFit="1" customWidth="1"/>
    <col min="7307" max="7310" width="11" style="8"/>
    <col min="7311" max="7311" width="13.19921875" style="8" bestFit="1" customWidth="1"/>
    <col min="7312" max="7312" width="11.19921875" style="8" bestFit="1" customWidth="1"/>
    <col min="7313" max="7313" width="11" style="8"/>
    <col min="7314" max="7314" width="11.19921875" style="8" bestFit="1" customWidth="1"/>
    <col min="7315" max="7318" width="11" style="8"/>
    <col min="7319" max="7320" width="11.19921875" style="8" bestFit="1" customWidth="1"/>
    <col min="7321" max="7321" width="11" style="8"/>
    <col min="7322" max="7322" width="12.19921875" style="8" bestFit="1" customWidth="1"/>
    <col min="7323" max="7326" width="11" style="8"/>
    <col min="7327" max="7328" width="11.19921875" style="8" bestFit="1" customWidth="1"/>
    <col min="7329" max="7329" width="11" style="8"/>
    <col min="7330" max="7330" width="12.19921875" style="8" bestFit="1" customWidth="1"/>
    <col min="7331" max="7334" width="11" style="8"/>
    <col min="7335" max="7335" width="11.19921875" style="8" bestFit="1" customWidth="1"/>
    <col min="7336" max="7336" width="12.19921875" style="8" bestFit="1" customWidth="1"/>
    <col min="7337" max="7337" width="11" style="8"/>
    <col min="7338" max="7338" width="12.19921875" style="8" bestFit="1" customWidth="1"/>
    <col min="7339" max="7342" width="11" style="8"/>
    <col min="7343" max="7344" width="12.19921875" style="8" bestFit="1" customWidth="1"/>
    <col min="7345" max="7345" width="11" style="8"/>
    <col min="7346" max="7346" width="12.19921875" style="8" bestFit="1" customWidth="1"/>
    <col min="7347" max="7350" width="11" style="8"/>
    <col min="7351" max="7351" width="12.19921875" style="8" bestFit="1" customWidth="1"/>
    <col min="7352" max="7352" width="13.19921875" style="8" bestFit="1" customWidth="1"/>
    <col min="7353" max="7353" width="11" style="8"/>
    <col min="7354" max="7354" width="11.19921875" style="8" bestFit="1" customWidth="1"/>
    <col min="7355" max="7358" width="11" style="8"/>
    <col min="7359" max="7360" width="13.19921875" style="8" bestFit="1" customWidth="1"/>
    <col min="7361" max="7361" width="11" style="8"/>
    <col min="7362" max="7362" width="11.19921875" style="8" bestFit="1" customWidth="1"/>
    <col min="7363" max="7366" width="11" style="8"/>
    <col min="7367" max="7367" width="13.19921875" style="8" bestFit="1" customWidth="1"/>
    <col min="7368" max="7368" width="11.19921875" style="8" bestFit="1" customWidth="1"/>
    <col min="7369" max="7369" width="11" style="8"/>
    <col min="7370" max="7370" width="11.19921875" style="8" bestFit="1" customWidth="1"/>
    <col min="7371" max="7374" width="11" style="8"/>
    <col min="7375" max="7376" width="11.19921875" style="8" bestFit="1" customWidth="1"/>
    <col min="7377" max="7377" width="11" style="8"/>
    <col min="7378" max="7378" width="12.19921875" style="8" bestFit="1" customWidth="1"/>
    <col min="7379" max="7382" width="11" style="8"/>
    <col min="7383" max="7384" width="11.19921875" style="8" bestFit="1" customWidth="1"/>
    <col min="7385" max="7385" width="11" style="8"/>
    <col min="7386" max="7386" width="12.19921875" style="8" bestFit="1" customWidth="1"/>
    <col min="7387" max="7390" width="11" style="8"/>
    <col min="7391" max="7391" width="11.19921875" style="8" bestFit="1" customWidth="1"/>
    <col min="7392" max="7392" width="12.19921875" style="8" bestFit="1" customWidth="1"/>
    <col min="7393" max="7393" width="11" style="8"/>
    <col min="7394" max="7394" width="12.19921875" style="8" bestFit="1" customWidth="1"/>
    <col min="7395" max="7398" width="11" style="8"/>
    <col min="7399" max="7400" width="12.19921875" style="8" bestFit="1" customWidth="1"/>
    <col min="7401" max="7401" width="11" style="8"/>
    <col min="7402" max="7402" width="12.19921875" style="8" bestFit="1" customWidth="1"/>
    <col min="7403" max="7406" width="11" style="8"/>
    <col min="7407" max="7407" width="12.19921875" style="8" bestFit="1" customWidth="1"/>
    <col min="7408" max="7408" width="13.19921875" style="8" bestFit="1" customWidth="1"/>
    <col min="7409" max="7409" width="11" style="8"/>
    <col min="7410" max="7410" width="11.19921875" style="8" bestFit="1" customWidth="1"/>
    <col min="7411" max="7414" width="11" style="8"/>
    <col min="7415" max="7416" width="13.19921875" style="8" bestFit="1" customWidth="1"/>
    <col min="7417" max="7417" width="11" style="8"/>
    <col min="7418" max="7418" width="11.19921875" style="8" bestFit="1" customWidth="1"/>
    <col min="7419" max="7422" width="11" style="8"/>
    <col min="7423" max="7423" width="13.19921875" style="8" bestFit="1" customWidth="1"/>
    <col min="7424" max="7424" width="11.19921875" style="8" bestFit="1" customWidth="1"/>
    <col min="7425" max="7425" width="11" style="8"/>
    <col min="7426" max="7426" width="11.19921875" style="8" bestFit="1" customWidth="1"/>
    <col min="7427" max="7430" width="11" style="8"/>
    <col min="7431" max="7432" width="11.19921875" style="8" bestFit="1" customWidth="1"/>
    <col min="7433" max="7433" width="11" style="8"/>
    <col min="7434" max="7434" width="12.19921875" style="8" bestFit="1" customWidth="1"/>
    <col min="7435" max="7438" width="11" style="8"/>
    <col min="7439" max="7440" width="11.19921875" style="8" bestFit="1" customWidth="1"/>
    <col min="7441" max="7441" width="11" style="8"/>
    <col min="7442" max="7442" width="12.19921875" style="8" bestFit="1" customWidth="1"/>
    <col min="7443" max="7446" width="11" style="8"/>
    <col min="7447" max="7447" width="11.19921875" style="8" bestFit="1" customWidth="1"/>
    <col min="7448" max="7448" width="12.19921875" style="8" bestFit="1" customWidth="1"/>
    <col min="7449" max="7449" width="11" style="8"/>
    <col min="7450" max="7450" width="12.19921875" style="8" bestFit="1" customWidth="1"/>
    <col min="7451" max="7454" width="11" style="8"/>
    <col min="7455" max="7456" width="12.19921875" style="8" bestFit="1" customWidth="1"/>
    <col min="7457" max="7457" width="11" style="8"/>
    <col min="7458" max="7458" width="12.19921875" style="8" bestFit="1" customWidth="1"/>
    <col min="7459" max="7462" width="11" style="8"/>
    <col min="7463" max="7463" width="12.19921875" style="8" bestFit="1" customWidth="1"/>
    <col min="7464" max="7464" width="13.19921875" style="8" bestFit="1" customWidth="1"/>
    <col min="7465" max="7465" width="11" style="8"/>
    <col min="7466" max="7466" width="11.19921875" style="8" bestFit="1" customWidth="1"/>
    <col min="7467" max="7470" width="11" style="8"/>
    <col min="7471" max="7472" width="13.19921875" style="8" bestFit="1" customWidth="1"/>
    <col min="7473" max="7473" width="11" style="8"/>
    <col min="7474" max="7474" width="11.19921875" style="8" bestFit="1" customWidth="1"/>
    <col min="7475" max="7478" width="11" style="8"/>
    <col min="7479" max="7479" width="13.19921875" style="8" bestFit="1" customWidth="1"/>
    <col min="7480" max="7480" width="11.19921875" style="8" bestFit="1" customWidth="1"/>
    <col min="7481" max="7481" width="11" style="8"/>
    <col min="7482" max="7482" width="11.19921875" style="8" bestFit="1" customWidth="1"/>
    <col min="7483" max="7486" width="11" style="8"/>
    <col min="7487" max="7488" width="11.19921875" style="8" bestFit="1" customWidth="1"/>
    <col min="7489" max="7489" width="11" style="8"/>
    <col min="7490" max="7490" width="12.19921875" style="8" bestFit="1" customWidth="1"/>
    <col min="7491" max="7494" width="11" style="8"/>
    <col min="7495" max="7496" width="11.19921875" style="8" bestFit="1" customWidth="1"/>
    <col min="7497" max="7497" width="11" style="8"/>
    <col min="7498" max="7498" width="12.19921875" style="8" bestFit="1" customWidth="1"/>
    <col min="7499" max="7502" width="11" style="8"/>
    <col min="7503" max="7503" width="11.19921875" style="8" bestFit="1" customWidth="1"/>
    <col min="7504" max="7504" width="12.19921875" style="8" bestFit="1" customWidth="1"/>
    <col min="7505" max="7505" width="11" style="8"/>
    <col min="7506" max="7506" width="12.19921875" style="8" bestFit="1" customWidth="1"/>
    <col min="7507" max="7510" width="11" style="8"/>
    <col min="7511" max="7512" width="12.19921875" style="8" bestFit="1" customWidth="1"/>
    <col min="7513" max="7513" width="11" style="8"/>
    <col min="7514" max="7514" width="12.19921875" style="8" bestFit="1" customWidth="1"/>
    <col min="7515" max="7518" width="11" style="8"/>
    <col min="7519" max="7519" width="12.19921875" style="8" bestFit="1" customWidth="1"/>
    <col min="7520" max="7520" width="13.19921875" style="8" bestFit="1" customWidth="1"/>
    <col min="7521" max="7521" width="11" style="8"/>
    <col min="7522" max="7522" width="11.19921875" style="8" bestFit="1" customWidth="1"/>
    <col min="7523" max="7526" width="11" style="8"/>
    <col min="7527" max="7528" width="13.19921875" style="8" bestFit="1" customWidth="1"/>
    <col min="7529" max="7529" width="11" style="8"/>
    <col min="7530" max="7530" width="11.19921875" style="8" bestFit="1" customWidth="1"/>
    <col min="7531" max="7534" width="11" style="8"/>
    <col min="7535" max="7535" width="13.19921875" style="8" bestFit="1" customWidth="1"/>
    <col min="7536" max="7536" width="11.19921875" style="8" bestFit="1" customWidth="1"/>
    <col min="7537" max="7537" width="11" style="8"/>
    <col min="7538" max="7538" width="11.19921875" style="8" bestFit="1" customWidth="1"/>
    <col min="7539" max="7542" width="11" style="8"/>
    <col min="7543" max="7544" width="11.19921875" style="8" bestFit="1" customWidth="1"/>
    <col min="7545" max="7545" width="11" style="8"/>
    <col min="7546" max="7546" width="12.19921875" style="8" bestFit="1" customWidth="1"/>
    <col min="7547" max="7550" width="11" style="8"/>
    <col min="7551" max="7552" width="11.19921875" style="8" bestFit="1" customWidth="1"/>
    <col min="7553" max="7553" width="11" style="8"/>
    <col min="7554" max="7554" width="12.19921875" style="8" bestFit="1" customWidth="1"/>
    <col min="7555" max="7558" width="11" style="8"/>
    <col min="7559" max="7559" width="11.19921875" style="8" bestFit="1" customWidth="1"/>
    <col min="7560" max="7560" width="12.19921875" style="8" bestFit="1" customWidth="1"/>
    <col min="7561" max="7561" width="11" style="8"/>
    <col min="7562" max="7562" width="12.19921875" style="8" bestFit="1" customWidth="1"/>
    <col min="7563" max="7566" width="11" style="8"/>
    <col min="7567" max="7568" width="12.19921875" style="8" bestFit="1" customWidth="1"/>
    <col min="7569" max="7569" width="11" style="8"/>
    <col min="7570" max="7570" width="12.19921875" style="8" bestFit="1" customWidth="1"/>
    <col min="7571" max="7574" width="11" style="8"/>
    <col min="7575" max="7575" width="12.19921875" style="8" bestFit="1" customWidth="1"/>
    <col min="7576" max="7576" width="13.19921875" style="8" bestFit="1" customWidth="1"/>
    <col min="7577" max="7577" width="11" style="8"/>
    <col min="7578" max="7578" width="11.19921875" style="8" bestFit="1" customWidth="1"/>
    <col min="7579" max="7582" width="11" style="8"/>
    <col min="7583" max="7584" width="13.19921875" style="8" bestFit="1" customWidth="1"/>
    <col min="7585" max="7585" width="11" style="8"/>
    <col min="7586" max="7586" width="11.19921875" style="8" bestFit="1" customWidth="1"/>
    <col min="7587" max="7590" width="11" style="8"/>
    <col min="7591" max="7591" width="13.19921875" style="8" bestFit="1" customWidth="1"/>
    <col min="7592" max="7592" width="11.19921875" style="8" bestFit="1" customWidth="1"/>
    <col min="7593" max="7593" width="11" style="8"/>
    <col min="7594" max="7594" width="11.19921875" style="8" bestFit="1" customWidth="1"/>
    <col min="7595" max="7598" width="11" style="8"/>
    <col min="7599" max="7600" width="11.19921875" style="8" bestFit="1" customWidth="1"/>
    <col min="7601" max="7601" width="11" style="8"/>
    <col min="7602" max="7602" width="12.19921875" style="8" bestFit="1" customWidth="1"/>
    <col min="7603" max="7606" width="11" style="8"/>
    <col min="7607" max="7608" width="11.19921875" style="8" bestFit="1" customWidth="1"/>
    <col min="7609" max="7609" width="11" style="8"/>
    <col min="7610" max="7610" width="12.19921875" style="8" bestFit="1" customWidth="1"/>
    <col min="7611" max="7614" width="11" style="8"/>
    <col min="7615" max="7615" width="11.19921875" style="8" bestFit="1" customWidth="1"/>
    <col min="7616" max="7616" width="12.19921875" style="8" bestFit="1" customWidth="1"/>
    <col min="7617" max="7617" width="11" style="8"/>
    <col min="7618" max="7618" width="12.19921875" style="8" bestFit="1" customWidth="1"/>
    <col min="7619" max="7622" width="11" style="8"/>
    <col min="7623" max="7624" width="12.19921875" style="8" bestFit="1" customWidth="1"/>
    <col min="7625" max="7625" width="11" style="8"/>
    <col min="7626" max="7626" width="12.19921875" style="8" bestFit="1" customWidth="1"/>
    <col min="7627" max="7630" width="11" style="8"/>
    <col min="7631" max="7631" width="12.19921875" style="8" bestFit="1" customWidth="1"/>
    <col min="7632" max="7632" width="13.19921875" style="8" bestFit="1" customWidth="1"/>
    <col min="7633" max="7633" width="11" style="8"/>
    <col min="7634" max="7634" width="11.19921875" style="8" bestFit="1" customWidth="1"/>
    <col min="7635" max="7638" width="11" style="8"/>
    <col min="7639" max="7640" width="13.19921875" style="8" bestFit="1" customWidth="1"/>
    <col min="7641" max="7641" width="11" style="8"/>
    <col min="7642" max="7642" width="11.19921875" style="8" bestFit="1" customWidth="1"/>
    <col min="7643" max="7646" width="11" style="8"/>
    <col min="7647" max="7647" width="13.19921875" style="8" bestFit="1" customWidth="1"/>
    <col min="7648" max="7648" width="11.19921875" style="8" bestFit="1" customWidth="1"/>
    <col min="7649" max="7649" width="11" style="8"/>
    <col min="7650" max="7650" width="11.19921875" style="8" bestFit="1" customWidth="1"/>
    <col min="7651" max="7654" width="11" style="8"/>
    <col min="7655" max="7656" width="11.19921875" style="8" bestFit="1" customWidth="1"/>
    <col min="7657" max="7657" width="11" style="8"/>
    <col min="7658" max="7658" width="12.19921875" style="8" bestFit="1" customWidth="1"/>
    <col min="7659" max="7662" width="11" style="8"/>
    <col min="7663" max="7664" width="11.19921875" style="8" bestFit="1" customWidth="1"/>
    <col min="7665" max="7665" width="11" style="8"/>
    <col min="7666" max="7666" width="12.19921875" style="8" bestFit="1" customWidth="1"/>
    <col min="7667" max="7670" width="11" style="8"/>
    <col min="7671" max="7671" width="11.19921875" style="8" bestFit="1" customWidth="1"/>
    <col min="7672" max="7672" width="12.19921875" style="8" bestFit="1" customWidth="1"/>
    <col min="7673" max="7673" width="11" style="8"/>
    <col min="7674" max="7674" width="12.19921875" style="8" bestFit="1" customWidth="1"/>
    <col min="7675" max="7678" width="11" style="8"/>
    <col min="7679" max="7680" width="12.19921875" style="8" bestFit="1" customWidth="1"/>
    <col min="7681" max="7681" width="11" style="8"/>
    <col min="7682" max="7682" width="12.19921875" style="8" bestFit="1" customWidth="1"/>
    <col min="7683" max="7686" width="11" style="8"/>
    <col min="7687" max="7687" width="12.19921875" style="8" bestFit="1" customWidth="1"/>
    <col min="7688" max="7688" width="13.19921875" style="8" bestFit="1" customWidth="1"/>
    <col min="7689" max="7689" width="11" style="8"/>
    <col min="7690" max="7690" width="11.19921875" style="8" bestFit="1" customWidth="1"/>
    <col min="7691" max="7694" width="11" style="8"/>
    <col min="7695" max="7696" width="13.19921875" style="8" bestFit="1" customWidth="1"/>
    <col min="7697" max="7697" width="11" style="8"/>
    <col min="7698" max="7698" width="11.19921875" style="8" bestFit="1" customWidth="1"/>
    <col min="7699" max="7702" width="11" style="8"/>
    <col min="7703" max="7703" width="13.19921875" style="8" bestFit="1" customWidth="1"/>
    <col min="7704" max="7704" width="11.19921875" style="8" bestFit="1" customWidth="1"/>
    <col min="7705" max="7705" width="11" style="8"/>
    <col min="7706" max="7706" width="11.19921875" style="8" bestFit="1" customWidth="1"/>
    <col min="7707" max="7710" width="11" style="8"/>
    <col min="7711" max="7712" width="11.19921875" style="8" bestFit="1" customWidth="1"/>
    <col min="7713" max="7713" width="11" style="8"/>
    <col min="7714" max="7714" width="12.19921875" style="8" bestFit="1" customWidth="1"/>
    <col min="7715" max="7718" width="11" style="8"/>
    <col min="7719" max="7720" width="11.19921875" style="8" bestFit="1" customWidth="1"/>
    <col min="7721" max="7721" width="11" style="8"/>
    <col min="7722" max="7722" width="12.19921875" style="8" bestFit="1" customWidth="1"/>
    <col min="7723" max="7726" width="11" style="8"/>
    <col min="7727" max="7727" width="11.19921875" style="8" bestFit="1" customWidth="1"/>
    <col min="7728" max="7728" width="12.19921875" style="8" bestFit="1" customWidth="1"/>
    <col min="7729" max="7729" width="11" style="8"/>
    <col min="7730" max="7730" width="12.19921875" style="8" bestFit="1" customWidth="1"/>
    <col min="7731" max="7734" width="11" style="8"/>
    <col min="7735" max="7736" width="12.19921875" style="8" bestFit="1" customWidth="1"/>
    <col min="7737" max="7737" width="11" style="8"/>
    <col min="7738" max="7738" width="12.19921875" style="8" bestFit="1" customWidth="1"/>
    <col min="7739" max="7742" width="11" style="8"/>
    <col min="7743" max="7743" width="12.19921875" style="8" bestFit="1" customWidth="1"/>
    <col min="7744" max="7744" width="13.19921875" style="8" bestFit="1" customWidth="1"/>
    <col min="7745" max="7745" width="11" style="8"/>
    <col min="7746" max="7746" width="11.19921875" style="8" bestFit="1" customWidth="1"/>
    <col min="7747" max="7750" width="11" style="8"/>
    <col min="7751" max="7752" width="13.19921875" style="8" bestFit="1" customWidth="1"/>
    <col min="7753" max="7753" width="11" style="8"/>
    <col min="7754" max="7754" width="11.19921875" style="8" bestFit="1" customWidth="1"/>
    <col min="7755" max="7758" width="11" style="8"/>
    <col min="7759" max="7759" width="13.19921875" style="8" bestFit="1" customWidth="1"/>
    <col min="7760" max="7760" width="11.19921875" style="8" bestFit="1" customWidth="1"/>
    <col min="7761" max="7761" width="11" style="8"/>
    <col min="7762" max="7762" width="11.19921875" style="8" bestFit="1" customWidth="1"/>
    <col min="7763" max="7766" width="11" style="8"/>
    <col min="7767" max="7768" width="11.19921875" style="8" bestFit="1" customWidth="1"/>
    <col min="7769" max="7769" width="11" style="8"/>
    <col min="7770" max="7770" width="12.19921875" style="8" bestFit="1" customWidth="1"/>
    <col min="7771" max="7774" width="11" style="8"/>
    <col min="7775" max="7776" width="11.19921875" style="8" bestFit="1" customWidth="1"/>
    <col min="7777" max="7777" width="11" style="8"/>
    <col min="7778" max="7778" width="12.19921875" style="8" bestFit="1" customWidth="1"/>
    <col min="7779" max="7782" width="11" style="8"/>
    <col min="7783" max="7783" width="11.19921875" style="8" bestFit="1" customWidth="1"/>
    <col min="7784" max="7784" width="12.19921875" style="8" bestFit="1" customWidth="1"/>
    <col min="7785" max="7785" width="11" style="8"/>
    <col min="7786" max="7786" width="12.19921875" style="8" bestFit="1" customWidth="1"/>
    <col min="7787" max="7790" width="11" style="8"/>
    <col min="7791" max="7792" width="12.19921875" style="8" bestFit="1" customWidth="1"/>
    <col min="7793" max="7793" width="11" style="8"/>
    <col min="7794" max="7794" width="12.19921875" style="8" bestFit="1" customWidth="1"/>
    <col min="7795" max="7798" width="11" style="8"/>
    <col min="7799" max="7799" width="12.19921875" style="8" bestFit="1" customWidth="1"/>
    <col min="7800" max="7800" width="13.19921875" style="8" bestFit="1" customWidth="1"/>
    <col min="7801" max="7801" width="11" style="8"/>
    <col min="7802" max="7802" width="11.19921875" style="8" bestFit="1" customWidth="1"/>
    <col min="7803" max="7806" width="11" style="8"/>
    <col min="7807" max="7808" width="13.19921875" style="8" bestFit="1" customWidth="1"/>
    <col min="7809" max="7809" width="11" style="8"/>
    <col min="7810" max="7810" width="11.19921875" style="8" bestFit="1" customWidth="1"/>
    <col min="7811" max="7814" width="11" style="8"/>
    <col min="7815" max="7815" width="13.19921875" style="8" bestFit="1" customWidth="1"/>
    <col min="7816" max="7816" width="11.19921875" style="8" bestFit="1" customWidth="1"/>
    <col min="7817" max="7817" width="11" style="8"/>
    <col min="7818" max="7818" width="11.19921875" style="8" bestFit="1" customWidth="1"/>
    <col min="7819" max="7822" width="11" style="8"/>
    <col min="7823" max="7824" width="11.19921875" style="8" bestFit="1" customWidth="1"/>
    <col min="7825" max="7825" width="11" style="8"/>
    <col min="7826" max="7826" width="12.19921875" style="8" bestFit="1" customWidth="1"/>
    <col min="7827" max="7830" width="11" style="8"/>
    <col min="7831" max="7832" width="11.19921875" style="8" bestFit="1" customWidth="1"/>
    <col min="7833" max="7833" width="11" style="8"/>
    <col min="7834" max="7834" width="12.19921875" style="8" bestFit="1" customWidth="1"/>
    <col min="7835" max="7838" width="11" style="8"/>
    <col min="7839" max="7839" width="11.19921875" style="8" bestFit="1" customWidth="1"/>
    <col min="7840" max="7840" width="12.19921875" style="8" bestFit="1" customWidth="1"/>
    <col min="7841" max="7841" width="11" style="8"/>
    <col min="7842" max="7842" width="12.19921875" style="8" bestFit="1" customWidth="1"/>
    <col min="7843" max="7846" width="11" style="8"/>
    <col min="7847" max="7848" width="12.19921875" style="8" bestFit="1" customWidth="1"/>
    <col min="7849" max="7849" width="11" style="8"/>
    <col min="7850" max="7850" width="12.19921875" style="8" bestFit="1" customWidth="1"/>
    <col min="7851" max="7854" width="11" style="8"/>
    <col min="7855" max="7855" width="12.19921875" style="8" bestFit="1" customWidth="1"/>
    <col min="7856" max="7856" width="13.19921875" style="8" bestFit="1" customWidth="1"/>
    <col min="7857" max="7857" width="11" style="8"/>
    <col min="7858" max="7858" width="11.19921875" style="8" bestFit="1" customWidth="1"/>
    <col min="7859" max="7862" width="11" style="8"/>
    <col min="7863" max="7864" width="13.19921875" style="8" bestFit="1" customWidth="1"/>
    <col min="7865" max="7865" width="11" style="8"/>
    <col min="7866" max="7866" width="11.19921875" style="8" bestFit="1" customWidth="1"/>
    <col min="7867" max="7870" width="11" style="8"/>
    <col min="7871" max="7871" width="13.19921875" style="8" bestFit="1" customWidth="1"/>
    <col min="7872" max="7872" width="11.19921875" style="8" bestFit="1" customWidth="1"/>
    <col min="7873" max="7873" width="11" style="8"/>
    <col min="7874" max="7874" width="11.19921875" style="8" bestFit="1" customWidth="1"/>
    <col min="7875" max="7878" width="11" style="8"/>
    <col min="7879" max="7880" width="11.19921875" style="8" bestFit="1" customWidth="1"/>
    <col min="7881" max="7881" width="11" style="8"/>
    <col min="7882" max="7882" width="12.19921875" style="8" bestFit="1" customWidth="1"/>
    <col min="7883" max="7886" width="11" style="8"/>
    <col min="7887" max="7888" width="11.19921875" style="8" bestFit="1" customWidth="1"/>
    <col min="7889" max="7889" width="11" style="8"/>
    <col min="7890" max="7890" width="12.19921875" style="8" bestFit="1" customWidth="1"/>
    <col min="7891" max="7894" width="11" style="8"/>
    <col min="7895" max="7895" width="11.19921875" style="8" bestFit="1" customWidth="1"/>
    <col min="7896" max="7896" width="12.19921875" style="8" bestFit="1" customWidth="1"/>
    <col min="7897" max="7897" width="11" style="8"/>
    <col min="7898" max="7898" width="12.19921875" style="8" bestFit="1" customWidth="1"/>
    <col min="7899" max="7902" width="11" style="8"/>
    <col min="7903" max="7904" width="12.19921875" style="8" bestFit="1" customWidth="1"/>
    <col min="7905" max="7905" width="11" style="8"/>
    <col min="7906" max="7906" width="12.19921875" style="8" bestFit="1" customWidth="1"/>
    <col min="7907" max="7910" width="11" style="8"/>
    <col min="7911" max="7911" width="12.19921875" style="8" bestFit="1" customWidth="1"/>
    <col min="7912" max="7912" width="13.19921875" style="8" bestFit="1" customWidth="1"/>
    <col min="7913" max="7913" width="11" style="8"/>
    <col min="7914" max="7914" width="11.19921875" style="8" bestFit="1" customWidth="1"/>
    <col min="7915" max="7918" width="11" style="8"/>
    <col min="7919" max="7920" width="13.19921875" style="8" bestFit="1" customWidth="1"/>
    <col min="7921" max="7921" width="11" style="8"/>
    <col min="7922" max="7922" width="11.19921875" style="8" bestFit="1" customWidth="1"/>
    <col min="7923" max="7926" width="11" style="8"/>
    <col min="7927" max="7927" width="13.19921875" style="8" bestFit="1" customWidth="1"/>
    <col min="7928" max="7928" width="11.19921875" style="8" bestFit="1" customWidth="1"/>
    <col min="7929" max="7929" width="11" style="8"/>
    <col min="7930" max="7930" width="11.19921875" style="8" bestFit="1" customWidth="1"/>
    <col min="7931" max="7934" width="11" style="8"/>
    <col min="7935" max="7936" width="11.19921875" style="8" bestFit="1" customWidth="1"/>
    <col min="7937" max="7937" width="11" style="8"/>
    <col min="7938" max="7938" width="12.19921875" style="8" bestFit="1" customWidth="1"/>
    <col min="7939" max="7942" width="11" style="8"/>
    <col min="7943" max="7944" width="11.19921875" style="8" bestFit="1" customWidth="1"/>
    <col min="7945" max="7945" width="11" style="8"/>
    <col min="7946" max="7946" width="12.19921875" style="8" bestFit="1" customWidth="1"/>
    <col min="7947" max="7950" width="11" style="8"/>
    <col min="7951" max="7951" width="11.19921875" style="8" bestFit="1" customWidth="1"/>
    <col min="7952" max="7952" width="12.19921875" style="8" bestFit="1" customWidth="1"/>
    <col min="7953" max="7953" width="11" style="8"/>
    <col min="7954" max="7954" width="12.19921875" style="8" bestFit="1" customWidth="1"/>
    <col min="7955" max="7958" width="11" style="8"/>
    <col min="7959" max="7960" width="12.19921875" style="8" bestFit="1" customWidth="1"/>
    <col min="7961" max="7961" width="11" style="8"/>
    <col min="7962" max="7962" width="12.19921875" style="8" bestFit="1" customWidth="1"/>
    <col min="7963" max="7966" width="11" style="8"/>
    <col min="7967" max="7967" width="12.19921875" style="8" bestFit="1" customWidth="1"/>
    <col min="7968" max="7968" width="13.19921875" style="8" bestFit="1" customWidth="1"/>
    <col min="7969" max="7969" width="11" style="8"/>
    <col min="7970" max="7970" width="11.19921875" style="8" bestFit="1" customWidth="1"/>
    <col min="7971" max="7974" width="11" style="8"/>
    <col min="7975" max="7976" width="13.19921875" style="8" bestFit="1" customWidth="1"/>
    <col min="7977" max="7977" width="11" style="8"/>
    <col min="7978" max="7978" width="11.19921875" style="8" bestFit="1" customWidth="1"/>
    <col min="7979" max="7982" width="11" style="8"/>
    <col min="7983" max="7983" width="13.19921875" style="8" bestFit="1" customWidth="1"/>
    <col min="7984" max="7984" width="11.19921875" style="8" bestFit="1" customWidth="1"/>
    <col min="7985" max="7985" width="11" style="8"/>
    <col min="7986" max="7986" width="11.19921875" style="8" bestFit="1" customWidth="1"/>
    <col min="7987" max="7990" width="11" style="8"/>
    <col min="7991" max="7992" width="11.19921875" style="8" bestFit="1" customWidth="1"/>
    <col min="7993" max="7993" width="11" style="8"/>
    <col min="7994" max="7994" width="12.19921875" style="8" bestFit="1" customWidth="1"/>
    <col min="7995" max="7998" width="11" style="8"/>
    <col min="7999" max="8000" width="11.19921875" style="8" bestFit="1" customWidth="1"/>
    <col min="8001" max="8001" width="11" style="8"/>
    <col min="8002" max="8002" width="12.19921875" style="8" bestFit="1" customWidth="1"/>
    <col min="8003" max="8006" width="11" style="8"/>
    <col min="8007" max="8007" width="11.19921875" style="8" bestFit="1" customWidth="1"/>
    <col min="8008" max="8008" width="12.19921875" style="8" bestFit="1" customWidth="1"/>
    <col min="8009" max="8009" width="11" style="8"/>
    <col min="8010" max="8010" width="12.19921875" style="8" bestFit="1" customWidth="1"/>
    <col min="8011" max="8014" width="11" style="8"/>
    <col min="8015" max="8016" width="12.19921875" style="8" bestFit="1" customWidth="1"/>
    <col min="8017" max="8017" width="11" style="8"/>
    <col min="8018" max="8018" width="12.19921875" style="8" bestFit="1" customWidth="1"/>
    <col min="8019" max="8022" width="11" style="8"/>
    <col min="8023" max="8023" width="12.19921875" style="8" bestFit="1" customWidth="1"/>
    <col min="8024" max="8024" width="13.19921875" style="8" bestFit="1" customWidth="1"/>
    <col min="8025" max="8025" width="11" style="8"/>
    <col min="8026" max="8026" width="11.19921875" style="8" bestFit="1" customWidth="1"/>
    <col min="8027" max="8030" width="11" style="8"/>
    <col min="8031" max="8032" width="13.19921875" style="8" bestFit="1" customWidth="1"/>
    <col min="8033" max="8033" width="11" style="8"/>
    <col min="8034" max="8034" width="11.19921875" style="8" bestFit="1" customWidth="1"/>
    <col min="8035" max="8038" width="11" style="8"/>
    <col min="8039" max="8039" width="13.19921875" style="8" bestFit="1" customWidth="1"/>
    <col min="8040" max="8040" width="11.19921875" style="8" bestFit="1" customWidth="1"/>
    <col min="8041" max="8041" width="11" style="8"/>
    <col min="8042" max="8042" width="11.19921875" style="8" bestFit="1" customWidth="1"/>
    <col min="8043" max="8046" width="11" style="8"/>
    <col min="8047" max="8048" width="11.19921875" style="8" bestFit="1" customWidth="1"/>
    <col min="8049" max="8049" width="11" style="8"/>
    <col min="8050" max="8050" width="12.19921875" style="8" bestFit="1" customWidth="1"/>
    <col min="8051" max="8054" width="11" style="8"/>
    <col min="8055" max="8056" width="11.19921875" style="8" bestFit="1" customWidth="1"/>
    <col min="8057" max="8057" width="11" style="8"/>
    <col min="8058" max="8058" width="12.19921875" style="8" bestFit="1" customWidth="1"/>
    <col min="8059" max="8062" width="11" style="8"/>
    <col min="8063" max="8063" width="11.19921875" style="8" bestFit="1" customWidth="1"/>
    <col min="8064" max="8064" width="12.19921875" style="8" bestFit="1" customWidth="1"/>
    <col min="8065" max="8065" width="11" style="8"/>
    <col min="8066" max="8066" width="12.19921875" style="8" bestFit="1" customWidth="1"/>
    <col min="8067" max="8070" width="11" style="8"/>
    <col min="8071" max="8072" width="12.19921875" style="8" bestFit="1" customWidth="1"/>
    <col min="8073" max="8073" width="11" style="8"/>
    <col min="8074" max="8074" width="12.19921875" style="8" bestFit="1" customWidth="1"/>
    <col min="8075" max="8078" width="11" style="8"/>
    <col min="8079" max="8079" width="12.19921875" style="8" bestFit="1" customWidth="1"/>
    <col min="8080" max="8080" width="13.19921875" style="8" bestFit="1" customWidth="1"/>
    <col min="8081" max="8081" width="11" style="8"/>
    <col min="8082" max="8082" width="11.19921875" style="8" bestFit="1" customWidth="1"/>
    <col min="8083" max="8086" width="11" style="8"/>
    <col min="8087" max="8088" width="13.19921875" style="8" bestFit="1" customWidth="1"/>
    <col min="8089" max="8089" width="11" style="8"/>
    <col min="8090" max="8090" width="11.19921875" style="8" bestFit="1" customWidth="1"/>
    <col min="8091" max="8094" width="11" style="8"/>
    <col min="8095" max="8095" width="13.19921875" style="8" bestFit="1" customWidth="1"/>
    <col min="8096" max="8096" width="11.19921875" style="8" bestFit="1" customWidth="1"/>
    <col min="8097" max="8097" width="11" style="8"/>
    <col min="8098" max="8098" width="11.19921875" style="8" bestFit="1" customWidth="1"/>
    <col min="8099" max="8102" width="11" style="8"/>
    <col min="8103" max="8104" width="11.19921875" style="8" bestFit="1" customWidth="1"/>
    <col min="8105" max="8105" width="11" style="8"/>
    <col min="8106" max="8106" width="12.19921875" style="8" bestFit="1" customWidth="1"/>
    <col min="8107" max="8110" width="11" style="8"/>
    <col min="8111" max="8112" width="11.19921875" style="8" bestFit="1" customWidth="1"/>
    <col min="8113" max="8113" width="11" style="8"/>
    <col min="8114" max="8114" width="12.19921875" style="8" bestFit="1" customWidth="1"/>
    <col min="8115" max="8118" width="11" style="8"/>
    <col min="8119" max="8119" width="11.19921875" style="8" bestFit="1" customWidth="1"/>
    <col min="8120" max="8120" width="12.19921875" style="8" bestFit="1" customWidth="1"/>
    <col min="8121" max="8121" width="11" style="8"/>
    <col min="8122" max="8122" width="12.19921875" style="8" bestFit="1" customWidth="1"/>
    <col min="8123" max="8126" width="11" style="8"/>
    <col min="8127" max="8128" width="12.19921875" style="8" bestFit="1" customWidth="1"/>
    <col min="8129" max="8129" width="11" style="8"/>
    <col min="8130" max="8130" width="12.19921875" style="8" bestFit="1" customWidth="1"/>
    <col min="8131" max="8134" width="11" style="8"/>
    <col min="8135" max="8135" width="12.19921875" style="8" bestFit="1" customWidth="1"/>
    <col min="8136" max="8136" width="13.19921875" style="8" bestFit="1" customWidth="1"/>
    <col min="8137" max="8137" width="11" style="8"/>
    <col min="8138" max="8138" width="11.19921875" style="8" bestFit="1" customWidth="1"/>
    <col min="8139" max="8142" width="11" style="8"/>
    <col min="8143" max="8144" width="13.19921875" style="8" bestFit="1" customWidth="1"/>
    <col min="8145" max="8145" width="11" style="8"/>
    <col min="8146" max="8146" width="11.19921875" style="8" bestFit="1" customWidth="1"/>
    <col min="8147" max="8150" width="11" style="8"/>
    <col min="8151" max="8151" width="13.19921875" style="8" bestFit="1" customWidth="1"/>
    <col min="8152" max="8152" width="11.19921875" style="8" bestFit="1" customWidth="1"/>
    <col min="8153" max="8153" width="11" style="8"/>
    <col min="8154" max="8154" width="11.19921875" style="8" bestFit="1" customWidth="1"/>
    <col min="8155" max="8158" width="11" style="8"/>
    <col min="8159" max="8160" width="11.19921875" style="8" bestFit="1" customWidth="1"/>
    <col min="8161" max="8161" width="11" style="8"/>
    <col min="8162" max="8162" width="12.19921875" style="8" bestFit="1" customWidth="1"/>
    <col min="8163" max="8166" width="11" style="8"/>
    <col min="8167" max="8168" width="11.19921875" style="8" bestFit="1" customWidth="1"/>
    <col min="8169" max="8169" width="11" style="8"/>
    <col min="8170" max="8170" width="12.19921875" style="8" bestFit="1" customWidth="1"/>
    <col min="8171" max="8174" width="11" style="8"/>
    <col min="8175" max="8175" width="11.19921875" style="8" bestFit="1" customWidth="1"/>
    <col min="8176" max="8176" width="12.19921875" style="8" bestFit="1" customWidth="1"/>
    <col min="8177" max="8177" width="11" style="8"/>
    <col min="8178" max="8178" width="12.19921875" style="8" bestFit="1" customWidth="1"/>
    <col min="8179" max="8182" width="11" style="8"/>
    <col min="8183" max="8184" width="12.19921875" style="8" bestFit="1" customWidth="1"/>
    <col min="8185" max="8185" width="11" style="8"/>
    <col min="8186" max="8186" width="12.19921875" style="8" bestFit="1" customWidth="1"/>
    <col min="8187" max="8190" width="11" style="8"/>
    <col min="8191" max="8191" width="12.19921875" style="8" bestFit="1" customWidth="1"/>
    <col min="8192" max="8192" width="13.19921875" style="8" bestFit="1" customWidth="1"/>
    <col min="8193" max="8193" width="11" style="8"/>
    <col min="8194" max="8194" width="11.19921875" style="8" bestFit="1" customWidth="1"/>
    <col min="8195" max="8198" width="11" style="8"/>
    <col min="8199" max="8200" width="13.19921875" style="8" bestFit="1" customWidth="1"/>
    <col min="8201" max="8201" width="11" style="8"/>
    <col min="8202" max="8202" width="11.19921875" style="8" bestFit="1" customWidth="1"/>
    <col min="8203" max="8206" width="11" style="8"/>
    <col min="8207" max="8207" width="13.19921875" style="8" bestFit="1" customWidth="1"/>
    <col min="8208" max="8208" width="11.19921875" style="8" bestFit="1" customWidth="1"/>
    <col min="8209" max="8209" width="11" style="8"/>
    <col min="8210" max="8210" width="11.19921875" style="8" bestFit="1" customWidth="1"/>
    <col min="8211" max="8214" width="11" style="8"/>
    <col min="8215" max="8216" width="11.19921875" style="8" bestFit="1" customWidth="1"/>
    <col min="8217" max="8217" width="11" style="8"/>
    <col min="8218" max="8218" width="12.19921875" style="8" bestFit="1" customWidth="1"/>
    <col min="8219" max="8222" width="11" style="8"/>
    <col min="8223" max="8224" width="11.19921875" style="8" bestFit="1" customWidth="1"/>
    <col min="8225" max="8225" width="11" style="8"/>
    <col min="8226" max="8226" width="12.19921875" style="8" bestFit="1" customWidth="1"/>
    <col min="8227" max="8230" width="11" style="8"/>
    <col min="8231" max="8231" width="11.19921875" style="8" bestFit="1" customWidth="1"/>
    <col min="8232" max="8232" width="12.19921875" style="8" bestFit="1" customWidth="1"/>
    <col min="8233" max="8233" width="11" style="8"/>
    <col min="8234" max="8234" width="12.19921875" style="8" bestFit="1" customWidth="1"/>
    <col min="8235" max="8238" width="11" style="8"/>
    <col min="8239" max="8240" width="12.19921875" style="8" bestFit="1" customWidth="1"/>
    <col min="8241" max="8241" width="11" style="8"/>
    <col min="8242" max="8242" width="12.19921875" style="8" bestFit="1" customWidth="1"/>
    <col min="8243" max="8246" width="11" style="8"/>
    <col min="8247" max="8247" width="12.19921875" style="8" bestFit="1" customWidth="1"/>
    <col min="8248" max="8248" width="13.19921875" style="8" bestFit="1" customWidth="1"/>
    <col min="8249" max="8249" width="11" style="8"/>
    <col min="8250" max="8250" width="11.19921875" style="8" bestFit="1" customWidth="1"/>
    <col min="8251" max="8254" width="11" style="8"/>
    <col min="8255" max="8256" width="13.19921875" style="8" bestFit="1" customWidth="1"/>
    <col min="8257" max="8257" width="11" style="8"/>
    <col min="8258" max="8258" width="11.19921875" style="8" bestFit="1" customWidth="1"/>
    <col min="8259" max="8262" width="11" style="8"/>
    <col min="8263" max="8263" width="13.19921875" style="8" bestFit="1" customWidth="1"/>
    <col min="8264" max="8264" width="11.19921875" style="8" bestFit="1" customWidth="1"/>
    <col min="8265" max="8265" width="11" style="8"/>
    <col min="8266" max="8266" width="11.19921875" style="8" bestFit="1" customWidth="1"/>
    <col min="8267" max="8270" width="11" style="8"/>
    <col min="8271" max="8272" width="11.19921875" style="8" bestFit="1" customWidth="1"/>
    <col min="8273" max="8273" width="11" style="8"/>
    <col min="8274" max="8274" width="12.19921875" style="8" bestFit="1" customWidth="1"/>
    <col min="8275" max="8278" width="11" style="8"/>
    <col min="8279" max="8280" width="11.19921875" style="8" bestFit="1" customWidth="1"/>
    <col min="8281" max="8281" width="11" style="8"/>
    <col min="8282" max="8282" width="12.19921875" style="8" bestFit="1" customWidth="1"/>
    <col min="8283" max="8286" width="11" style="8"/>
    <col min="8287" max="8287" width="11.19921875" style="8" bestFit="1" customWidth="1"/>
    <col min="8288" max="8288" width="12.19921875" style="8" bestFit="1" customWidth="1"/>
    <col min="8289" max="8289" width="11" style="8"/>
    <col min="8290" max="8290" width="12.19921875" style="8" bestFit="1" customWidth="1"/>
    <col min="8291" max="8294" width="11" style="8"/>
    <col min="8295" max="8296" width="12.19921875" style="8" bestFit="1" customWidth="1"/>
    <col min="8297" max="8297" width="11" style="8"/>
    <col min="8298" max="8298" width="12.19921875" style="8" bestFit="1" customWidth="1"/>
    <col min="8299" max="8302" width="11" style="8"/>
    <col min="8303" max="8303" width="12.19921875" style="8" bestFit="1" customWidth="1"/>
    <col min="8304" max="8304" width="13.19921875" style="8" bestFit="1" customWidth="1"/>
    <col min="8305" max="8305" width="11" style="8"/>
    <col min="8306" max="8306" width="11.19921875" style="8" bestFit="1" customWidth="1"/>
    <col min="8307" max="8310" width="11" style="8"/>
    <col min="8311" max="8312" width="13.19921875" style="8" bestFit="1" customWidth="1"/>
    <col min="8313" max="8313" width="11" style="8"/>
    <col min="8314" max="8314" width="11.19921875" style="8" bestFit="1" customWidth="1"/>
    <col min="8315" max="8318" width="11" style="8"/>
    <col min="8319" max="8319" width="13.19921875" style="8" bestFit="1" customWidth="1"/>
    <col min="8320" max="8320" width="11.19921875" style="8" bestFit="1" customWidth="1"/>
    <col min="8321" max="8321" width="11" style="8"/>
    <col min="8322" max="8322" width="11.19921875" style="8" bestFit="1" customWidth="1"/>
    <col min="8323" max="8326" width="11" style="8"/>
    <col min="8327" max="8328" width="11.19921875" style="8" bestFit="1" customWidth="1"/>
    <col min="8329" max="8329" width="11" style="8"/>
    <col min="8330" max="8330" width="12.19921875" style="8" bestFit="1" customWidth="1"/>
    <col min="8331" max="8334" width="11" style="8"/>
    <col min="8335" max="8336" width="11.19921875" style="8" bestFit="1" customWidth="1"/>
    <col min="8337" max="8337" width="11" style="8"/>
    <col min="8338" max="8338" width="12.19921875" style="8" bestFit="1" customWidth="1"/>
    <col min="8339" max="8342" width="11" style="8"/>
    <col min="8343" max="8343" width="11.19921875" style="8" bestFit="1" customWidth="1"/>
    <col min="8344" max="8344" width="12.19921875" style="8" bestFit="1" customWidth="1"/>
    <col min="8345" max="8345" width="11" style="8"/>
    <col min="8346" max="8346" width="12.19921875" style="8" bestFit="1" customWidth="1"/>
    <col min="8347" max="8350" width="11" style="8"/>
    <col min="8351" max="8352" width="12.19921875" style="8" bestFit="1" customWidth="1"/>
    <col min="8353" max="8353" width="11" style="8"/>
    <col min="8354" max="8354" width="12.19921875" style="8" bestFit="1" customWidth="1"/>
    <col min="8355" max="8358" width="11" style="8"/>
    <col min="8359" max="8359" width="12.19921875" style="8" bestFit="1" customWidth="1"/>
    <col min="8360" max="8360" width="13.19921875" style="8" bestFit="1" customWidth="1"/>
    <col min="8361" max="8361" width="11" style="8"/>
    <col min="8362" max="8362" width="11.19921875" style="8" bestFit="1" customWidth="1"/>
    <col min="8363" max="8366" width="11" style="8"/>
    <col min="8367" max="8368" width="13.19921875" style="8" bestFit="1" customWidth="1"/>
    <col min="8369" max="8369" width="11" style="8"/>
    <col min="8370" max="8370" width="11.19921875" style="8" bestFit="1" customWidth="1"/>
    <col min="8371" max="8374" width="11" style="8"/>
    <col min="8375" max="8375" width="13.19921875" style="8" bestFit="1" customWidth="1"/>
    <col min="8376" max="8376" width="11.19921875" style="8" bestFit="1" customWidth="1"/>
    <col min="8377" max="8377" width="11" style="8"/>
    <col min="8378" max="8378" width="11.19921875" style="8" bestFit="1" customWidth="1"/>
    <col min="8379" max="8382" width="11" style="8"/>
    <col min="8383" max="8384" width="11.19921875" style="8" bestFit="1" customWidth="1"/>
    <col min="8385" max="8385" width="11" style="8"/>
    <col min="8386" max="8386" width="12.19921875" style="8" bestFit="1" customWidth="1"/>
    <col min="8387" max="8390" width="11" style="8"/>
    <col min="8391" max="8392" width="11.19921875" style="8" bestFit="1" customWidth="1"/>
    <col min="8393" max="8393" width="11" style="8"/>
    <col min="8394" max="8394" width="12.19921875" style="8" bestFit="1" customWidth="1"/>
    <col min="8395" max="8398" width="11" style="8"/>
    <col min="8399" max="8399" width="11.19921875" style="8" bestFit="1" customWidth="1"/>
    <col min="8400" max="8400" width="12.19921875" style="8" bestFit="1" customWidth="1"/>
    <col min="8401" max="8401" width="11" style="8"/>
    <col min="8402" max="8402" width="12.19921875" style="8" bestFit="1" customWidth="1"/>
    <col min="8403" max="8406" width="11" style="8"/>
    <col min="8407" max="8408" width="12.19921875" style="8" bestFit="1" customWidth="1"/>
    <col min="8409" max="8409" width="11" style="8"/>
    <col min="8410" max="8410" width="12.19921875" style="8" bestFit="1" customWidth="1"/>
    <col min="8411" max="8414" width="11" style="8"/>
    <col min="8415" max="8415" width="12.19921875" style="8" bestFit="1" customWidth="1"/>
    <col min="8416" max="8416" width="13.19921875" style="8" bestFit="1" customWidth="1"/>
    <col min="8417" max="8417" width="11" style="8"/>
    <col min="8418" max="8418" width="11.19921875" style="8" bestFit="1" customWidth="1"/>
    <col min="8419" max="8422" width="11" style="8"/>
    <col min="8423" max="8424" width="13.19921875" style="8" bestFit="1" customWidth="1"/>
    <col min="8425" max="8425" width="11" style="8"/>
    <col min="8426" max="8426" width="11.19921875" style="8" bestFit="1" customWidth="1"/>
    <col min="8427" max="8430" width="11" style="8"/>
    <col min="8431" max="8431" width="13.19921875" style="8" bestFit="1" customWidth="1"/>
    <col min="8432" max="8432" width="11.19921875" style="8" bestFit="1" customWidth="1"/>
    <col min="8433" max="8433" width="11" style="8"/>
    <col min="8434" max="8434" width="11.19921875" style="8" bestFit="1" customWidth="1"/>
    <col min="8435" max="8438" width="11" style="8"/>
    <col min="8439" max="8440" width="11.19921875" style="8" bestFit="1" customWidth="1"/>
    <col min="8441" max="8441" width="11" style="8"/>
    <col min="8442" max="8442" width="12.19921875" style="8" bestFit="1" customWidth="1"/>
    <col min="8443" max="8446" width="11" style="8"/>
    <col min="8447" max="8448" width="11.19921875" style="8" bestFit="1" customWidth="1"/>
    <col min="8449" max="8449" width="11" style="8"/>
    <col min="8450" max="8450" width="12.19921875" style="8" bestFit="1" customWidth="1"/>
    <col min="8451" max="8454" width="11" style="8"/>
    <col min="8455" max="8455" width="11.19921875" style="8" bestFit="1" customWidth="1"/>
    <col min="8456" max="8456" width="12.19921875" style="8" bestFit="1" customWidth="1"/>
    <col min="8457" max="8457" width="11" style="8"/>
    <col min="8458" max="8458" width="12.19921875" style="8" bestFit="1" customWidth="1"/>
    <col min="8459" max="8462" width="11" style="8"/>
    <col min="8463" max="8464" width="12.19921875" style="8" bestFit="1" customWidth="1"/>
    <col min="8465" max="8465" width="11" style="8"/>
    <col min="8466" max="8466" width="12.19921875" style="8" bestFit="1" customWidth="1"/>
    <col min="8467" max="8470" width="11" style="8"/>
    <col min="8471" max="8471" width="12.19921875" style="8" bestFit="1" customWidth="1"/>
    <col min="8472" max="8472" width="13.19921875" style="8" bestFit="1" customWidth="1"/>
    <col min="8473" max="8473" width="11" style="8"/>
    <col min="8474" max="8474" width="11.19921875" style="8" bestFit="1" customWidth="1"/>
    <col min="8475" max="8478" width="11" style="8"/>
    <col min="8479" max="8480" width="13.19921875" style="8" bestFit="1" customWidth="1"/>
    <col min="8481" max="8481" width="11" style="8"/>
    <col min="8482" max="8482" width="11.19921875" style="8" bestFit="1" customWidth="1"/>
    <col min="8483" max="8486" width="11" style="8"/>
    <col min="8487" max="8487" width="13.19921875" style="8" bestFit="1" customWidth="1"/>
    <col min="8488" max="8488" width="11.19921875" style="8" bestFit="1" customWidth="1"/>
    <col min="8489" max="8489" width="11" style="8"/>
    <col min="8490" max="8490" width="11.19921875" style="8" bestFit="1" customWidth="1"/>
    <col min="8491" max="8494" width="11" style="8"/>
    <col min="8495" max="8496" width="11.19921875" style="8" bestFit="1" customWidth="1"/>
    <col min="8497" max="8497" width="11" style="8"/>
    <col min="8498" max="8498" width="12.19921875" style="8" bestFit="1" customWidth="1"/>
    <col min="8499" max="8502" width="11" style="8"/>
    <col min="8503" max="8504" width="11.19921875" style="8" bestFit="1" customWidth="1"/>
    <col min="8505" max="8505" width="11" style="8"/>
    <col min="8506" max="8506" width="12.19921875" style="8" bestFit="1" customWidth="1"/>
    <col min="8507" max="8510" width="11" style="8"/>
    <col min="8511" max="8511" width="11.19921875" style="8" bestFit="1" customWidth="1"/>
    <col min="8512" max="8512" width="12.19921875" style="8" bestFit="1" customWidth="1"/>
    <col min="8513" max="8513" width="11" style="8"/>
    <col min="8514" max="8514" width="12.19921875" style="8" bestFit="1" customWidth="1"/>
    <col min="8515" max="8518" width="11" style="8"/>
    <col min="8519" max="8520" width="12.19921875" style="8" bestFit="1" customWidth="1"/>
    <col min="8521" max="8521" width="11" style="8"/>
    <col min="8522" max="8522" width="12.19921875" style="8" bestFit="1" customWidth="1"/>
    <col min="8523" max="8526" width="11" style="8"/>
    <col min="8527" max="8527" width="12.19921875" style="8" bestFit="1" customWidth="1"/>
    <col min="8528" max="8528" width="13.19921875" style="8" bestFit="1" customWidth="1"/>
    <col min="8529" max="8529" width="11" style="8"/>
    <col min="8530" max="8530" width="11.19921875" style="8" bestFit="1" customWidth="1"/>
    <col min="8531" max="8534" width="11" style="8"/>
    <col min="8535" max="8536" width="13.19921875" style="8" bestFit="1" customWidth="1"/>
    <col min="8537" max="8537" width="11" style="8"/>
    <col min="8538" max="8538" width="11.19921875" style="8" bestFit="1" customWidth="1"/>
    <col min="8539" max="8542" width="11" style="8"/>
    <col min="8543" max="8543" width="13.19921875" style="8" bestFit="1" customWidth="1"/>
    <col min="8544" max="8544" width="11.19921875" style="8" bestFit="1" customWidth="1"/>
    <col min="8545" max="8545" width="11" style="8"/>
    <col min="8546" max="8546" width="11.19921875" style="8" bestFit="1" customWidth="1"/>
    <col min="8547" max="8550" width="11" style="8"/>
    <col min="8551" max="8552" width="11.19921875" style="8" bestFit="1" customWidth="1"/>
    <col min="8553" max="8553" width="11" style="8"/>
    <col min="8554" max="8554" width="12.19921875" style="8" bestFit="1" customWidth="1"/>
    <col min="8555" max="8558" width="11" style="8"/>
    <col min="8559" max="8560" width="11.19921875" style="8" bestFit="1" customWidth="1"/>
    <col min="8561" max="8561" width="11" style="8"/>
    <col min="8562" max="8562" width="12.19921875" style="8" bestFit="1" customWidth="1"/>
    <col min="8563" max="8566" width="11" style="8"/>
    <col min="8567" max="8567" width="11.19921875" style="8" bestFit="1" customWidth="1"/>
    <col min="8568" max="8568" width="12.19921875" style="8" bestFit="1" customWidth="1"/>
    <col min="8569" max="8569" width="11" style="8"/>
    <col min="8570" max="8570" width="12.19921875" style="8" bestFit="1" customWidth="1"/>
    <col min="8571" max="8574" width="11" style="8"/>
    <col min="8575" max="8576" width="12.19921875" style="8" bestFit="1" customWidth="1"/>
    <col min="8577" max="8577" width="11" style="8"/>
    <col min="8578" max="8578" width="12.19921875" style="8" bestFit="1" customWidth="1"/>
    <col min="8579" max="8582" width="11" style="8"/>
    <col min="8583" max="8583" width="12.19921875" style="8" bestFit="1" customWidth="1"/>
    <col min="8584" max="8584" width="13.19921875" style="8" bestFit="1" customWidth="1"/>
    <col min="8585" max="8585" width="11" style="8"/>
    <col min="8586" max="8586" width="11.19921875" style="8" bestFit="1" customWidth="1"/>
    <col min="8587" max="8590" width="11" style="8"/>
    <col min="8591" max="8592" width="13.19921875" style="8" bestFit="1" customWidth="1"/>
    <col min="8593" max="8593" width="11" style="8"/>
    <col min="8594" max="8594" width="11.19921875" style="8" bestFit="1" customWidth="1"/>
    <col min="8595" max="8598" width="11" style="8"/>
    <col min="8599" max="8599" width="13.19921875" style="8" bestFit="1" customWidth="1"/>
    <col min="8600" max="8600" width="11.19921875" style="8" bestFit="1" customWidth="1"/>
    <col min="8601" max="8601" width="11" style="8"/>
    <col min="8602" max="8602" width="11.19921875" style="8" bestFit="1" customWidth="1"/>
    <col min="8603" max="8606" width="11" style="8"/>
    <col min="8607" max="8608" width="11.19921875" style="8" bestFit="1" customWidth="1"/>
    <col min="8609" max="8609" width="11" style="8"/>
    <col min="8610" max="8610" width="12.19921875" style="8" bestFit="1" customWidth="1"/>
    <col min="8611" max="8614" width="11" style="8"/>
    <col min="8615" max="8616" width="11.19921875" style="8" bestFit="1" customWidth="1"/>
    <col min="8617" max="8617" width="11" style="8"/>
    <col min="8618" max="8618" width="12.19921875" style="8" bestFit="1" customWidth="1"/>
    <col min="8619" max="8622" width="11" style="8"/>
    <col min="8623" max="8623" width="11.19921875" style="8" bestFit="1" customWidth="1"/>
    <col min="8624" max="8624" width="12.19921875" style="8" bestFit="1" customWidth="1"/>
    <col min="8625" max="8625" width="11" style="8"/>
    <col min="8626" max="8626" width="12.19921875" style="8" bestFit="1" customWidth="1"/>
    <col min="8627" max="8630" width="11" style="8"/>
    <col min="8631" max="8632" width="12.19921875" style="8" bestFit="1" customWidth="1"/>
    <col min="8633" max="8633" width="11" style="8"/>
    <col min="8634" max="8634" width="12.19921875" style="8" bestFit="1" customWidth="1"/>
    <col min="8635" max="8638" width="11" style="8"/>
    <col min="8639" max="8639" width="12.19921875" style="8" bestFit="1" customWidth="1"/>
    <col min="8640" max="8640" width="13.19921875" style="8" bestFit="1" customWidth="1"/>
    <col min="8641" max="8641" width="11" style="8"/>
    <col min="8642" max="8642" width="11.19921875" style="8" bestFit="1" customWidth="1"/>
    <col min="8643" max="8646" width="11" style="8"/>
    <col min="8647" max="8648" width="13.19921875" style="8" bestFit="1" customWidth="1"/>
    <col min="8649" max="8649" width="11" style="8"/>
    <col min="8650" max="8650" width="11.19921875" style="8" bestFit="1" customWidth="1"/>
    <col min="8651" max="8654" width="11" style="8"/>
    <col min="8655" max="8655" width="13.19921875" style="8" bestFit="1" customWidth="1"/>
    <col min="8656" max="8656" width="11.19921875" style="8" bestFit="1" customWidth="1"/>
    <col min="8657" max="8657" width="11" style="8"/>
    <col min="8658" max="8658" width="11.19921875" style="8" bestFit="1" customWidth="1"/>
    <col min="8659" max="8662" width="11" style="8"/>
    <col min="8663" max="8664" width="11.19921875" style="8" bestFit="1" customWidth="1"/>
    <col min="8665" max="8665" width="11" style="8"/>
    <col min="8666" max="8666" width="12.19921875" style="8" bestFit="1" customWidth="1"/>
    <col min="8667" max="8670" width="11" style="8"/>
    <col min="8671" max="8672" width="11.19921875" style="8" bestFit="1" customWidth="1"/>
    <col min="8673" max="8673" width="11" style="8"/>
    <col min="8674" max="8674" width="12.19921875" style="8" bestFit="1" customWidth="1"/>
    <col min="8675" max="8678" width="11" style="8"/>
    <col min="8679" max="8679" width="11.19921875" style="8" bestFit="1" customWidth="1"/>
    <col min="8680" max="8680" width="12.19921875" style="8" bestFit="1" customWidth="1"/>
    <col min="8681" max="8681" width="11" style="8"/>
    <col min="8682" max="8682" width="12.19921875" style="8" bestFit="1" customWidth="1"/>
    <col min="8683" max="8686" width="11" style="8"/>
    <col min="8687" max="8688" width="12.19921875" style="8" bestFit="1" customWidth="1"/>
    <col min="8689" max="8689" width="11" style="8"/>
    <col min="8690" max="8690" width="12.19921875" style="8" bestFit="1" customWidth="1"/>
    <col min="8691" max="8694" width="11" style="8"/>
    <col min="8695" max="8695" width="12.19921875" style="8" bestFit="1" customWidth="1"/>
    <col min="8696" max="8696" width="13.19921875" style="8" bestFit="1" customWidth="1"/>
    <col min="8697" max="8697" width="11" style="8"/>
    <col min="8698" max="8698" width="11.19921875" style="8" bestFit="1" customWidth="1"/>
    <col min="8699" max="8702" width="11" style="8"/>
    <col min="8703" max="8704" width="13.19921875" style="8" bestFit="1" customWidth="1"/>
    <col min="8705" max="8705" width="11" style="8"/>
    <col min="8706" max="8706" width="11.19921875" style="8" bestFit="1" customWidth="1"/>
    <col min="8707" max="8710" width="11" style="8"/>
    <col min="8711" max="8711" width="13.19921875" style="8" bestFit="1" customWidth="1"/>
    <col min="8712" max="8712" width="11.19921875" style="8" bestFit="1" customWidth="1"/>
    <col min="8713" max="8713" width="11" style="8"/>
    <col min="8714" max="8714" width="11.19921875" style="8" bestFit="1" customWidth="1"/>
    <col min="8715" max="8718" width="11" style="8"/>
    <col min="8719" max="8720" width="11.19921875" style="8" bestFit="1" customWidth="1"/>
    <col min="8721" max="8721" width="11" style="8"/>
    <col min="8722" max="8722" width="12.19921875" style="8" bestFit="1" customWidth="1"/>
    <col min="8723" max="8726" width="11" style="8"/>
    <col min="8727" max="8728" width="11.19921875" style="8" bestFit="1" customWidth="1"/>
    <col min="8729" max="8729" width="11" style="8"/>
    <col min="8730" max="8730" width="12.19921875" style="8" bestFit="1" customWidth="1"/>
    <col min="8731" max="8734" width="11" style="8"/>
    <col min="8735" max="8735" width="11.19921875" style="8" bestFit="1" customWidth="1"/>
    <col min="8736" max="8736" width="12.19921875" style="8" bestFit="1" customWidth="1"/>
    <col min="8737" max="8737" width="11" style="8"/>
    <col min="8738" max="8738" width="12.19921875" style="8" bestFit="1" customWidth="1"/>
    <col min="8739" max="8742" width="11" style="8"/>
    <col min="8743" max="8744" width="12.19921875" style="8" bestFit="1" customWidth="1"/>
    <col min="8745" max="8745" width="11" style="8"/>
    <col min="8746" max="8746" width="12.19921875" style="8" bestFit="1" customWidth="1"/>
    <col min="8747" max="8750" width="11" style="8"/>
    <col min="8751" max="8751" width="12.19921875" style="8" bestFit="1" customWidth="1"/>
    <col min="8752" max="8752" width="13.19921875" style="8" bestFit="1" customWidth="1"/>
    <col min="8753" max="8753" width="11" style="8"/>
    <col min="8754" max="8754" width="11.19921875" style="8" bestFit="1" customWidth="1"/>
    <col min="8755" max="8758" width="11" style="8"/>
    <col min="8759" max="8760" width="13.19921875" style="8" bestFit="1" customWidth="1"/>
    <col min="8761" max="8761" width="11" style="8"/>
    <col min="8762" max="8762" width="11.19921875" style="8" bestFit="1" customWidth="1"/>
    <col min="8763" max="8766" width="11" style="8"/>
    <col min="8767" max="8767" width="13.19921875" style="8" bestFit="1" customWidth="1"/>
    <col min="8768" max="8768" width="11.19921875" style="8" bestFit="1" customWidth="1"/>
    <col min="8769" max="8769" width="11" style="8"/>
    <col min="8770" max="8770" width="11.19921875" style="8" bestFit="1" customWidth="1"/>
    <col min="8771" max="8774" width="11" style="8"/>
    <col min="8775" max="8776" width="11.19921875" style="8" bestFit="1" customWidth="1"/>
    <col min="8777" max="8777" width="11" style="8"/>
    <col min="8778" max="8778" width="12.19921875" style="8" bestFit="1" customWidth="1"/>
    <col min="8779" max="8782" width="11" style="8"/>
    <col min="8783" max="8784" width="11.19921875" style="8" bestFit="1" customWidth="1"/>
    <col min="8785" max="8785" width="11" style="8"/>
    <col min="8786" max="8786" width="12.19921875" style="8" bestFit="1" customWidth="1"/>
    <col min="8787" max="8790" width="11" style="8"/>
    <col min="8791" max="8791" width="11.19921875" style="8" bestFit="1" customWidth="1"/>
    <col min="8792" max="8792" width="12.19921875" style="8" bestFit="1" customWidth="1"/>
    <col min="8793" max="8793" width="11" style="8"/>
    <col min="8794" max="8794" width="12.19921875" style="8" bestFit="1" customWidth="1"/>
    <col min="8795" max="8798" width="11" style="8"/>
    <col min="8799" max="8800" width="12.19921875" style="8" bestFit="1" customWidth="1"/>
    <col min="8801" max="8801" width="11" style="8"/>
    <col min="8802" max="8802" width="12.19921875" style="8" bestFit="1" customWidth="1"/>
    <col min="8803" max="8806" width="11" style="8"/>
    <col min="8807" max="8807" width="12.19921875" style="8" bestFit="1" customWidth="1"/>
    <col min="8808" max="8808" width="13.19921875" style="8" bestFit="1" customWidth="1"/>
    <col min="8809" max="8809" width="11" style="8"/>
    <col min="8810" max="8810" width="11.19921875" style="8" bestFit="1" customWidth="1"/>
    <col min="8811" max="8814" width="11" style="8"/>
    <col min="8815" max="8816" width="13.19921875" style="8" bestFit="1" customWidth="1"/>
    <col min="8817" max="8817" width="11" style="8"/>
    <col min="8818" max="8818" width="11.19921875" style="8" bestFit="1" customWidth="1"/>
    <col min="8819" max="8822" width="11" style="8"/>
    <col min="8823" max="8823" width="13.19921875" style="8" bestFit="1" customWidth="1"/>
    <col min="8824" max="8824" width="11.19921875" style="8" bestFit="1" customWidth="1"/>
    <col min="8825" max="8825" width="11" style="8"/>
    <col min="8826" max="8826" width="11.19921875" style="8" bestFit="1" customWidth="1"/>
    <col min="8827" max="8830" width="11" style="8"/>
    <col min="8831" max="8832" width="11.19921875" style="8" bestFit="1" customWidth="1"/>
    <col min="8833" max="8833" width="11" style="8"/>
    <col min="8834" max="8834" width="12.19921875" style="8" bestFit="1" customWidth="1"/>
    <col min="8835" max="8838" width="11" style="8"/>
    <col min="8839" max="8840" width="11.19921875" style="8" bestFit="1" customWidth="1"/>
    <col min="8841" max="8841" width="11" style="8"/>
    <col min="8842" max="8842" width="12.19921875" style="8" bestFit="1" customWidth="1"/>
    <col min="8843" max="8846" width="11" style="8"/>
    <col min="8847" max="8847" width="11.19921875" style="8" bestFit="1" customWidth="1"/>
    <col min="8848" max="8848" width="12.19921875" style="8" bestFit="1" customWidth="1"/>
    <col min="8849" max="8849" width="11" style="8"/>
    <col min="8850" max="8850" width="12.19921875" style="8" bestFit="1" customWidth="1"/>
    <col min="8851" max="8854" width="11" style="8"/>
    <col min="8855" max="8856" width="12.19921875" style="8" bestFit="1" customWidth="1"/>
    <col min="8857" max="8857" width="11" style="8"/>
    <col min="8858" max="8858" width="12.19921875" style="8" bestFit="1" customWidth="1"/>
    <col min="8859" max="8862" width="11" style="8"/>
    <col min="8863" max="8863" width="12.19921875" style="8" bestFit="1" customWidth="1"/>
    <col min="8864" max="8864" width="13.19921875" style="8" bestFit="1" customWidth="1"/>
    <col min="8865" max="8865" width="11" style="8"/>
    <col min="8866" max="8866" width="11.19921875" style="8" bestFit="1" customWidth="1"/>
    <col min="8867" max="8870" width="11" style="8"/>
    <col min="8871" max="8872" width="13.19921875" style="8" bestFit="1" customWidth="1"/>
    <col min="8873" max="8873" width="11" style="8"/>
    <col min="8874" max="8874" width="11.19921875" style="8" bestFit="1" customWidth="1"/>
    <col min="8875" max="8878" width="11" style="8"/>
    <col min="8879" max="8879" width="13.19921875" style="8" bestFit="1" customWidth="1"/>
    <col min="8880" max="8880" width="11.19921875" style="8" bestFit="1" customWidth="1"/>
    <col min="8881" max="8881" width="11" style="8"/>
    <col min="8882" max="8882" width="11.19921875" style="8" bestFit="1" customWidth="1"/>
    <col min="8883" max="8886" width="11" style="8"/>
    <col min="8887" max="8888" width="11.19921875" style="8" bestFit="1" customWidth="1"/>
    <col min="8889" max="8889" width="11" style="8"/>
    <col min="8890" max="8890" width="12.19921875" style="8" bestFit="1" customWidth="1"/>
    <col min="8891" max="8894" width="11" style="8"/>
    <col min="8895" max="8896" width="11.19921875" style="8" bestFit="1" customWidth="1"/>
    <col min="8897" max="8897" width="11" style="8"/>
    <col min="8898" max="8898" width="12.19921875" style="8" bestFit="1" customWidth="1"/>
    <col min="8899" max="8902" width="11" style="8"/>
    <col min="8903" max="8903" width="11.19921875" style="8" bestFit="1" customWidth="1"/>
    <col min="8904" max="8904" width="12.19921875" style="8" bestFit="1" customWidth="1"/>
    <col min="8905" max="8905" width="11" style="8"/>
    <col min="8906" max="8906" width="12.19921875" style="8" bestFit="1" customWidth="1"/>
    <col min="8907" max="8910" width="11" style="8"/>
    <col min="8911" max="8912" width="12.19921875" style="8" bestFit="1" customWidth="1"/>
    <col min="8913" max="8913" width="11" style="8"/>
    <col min="8914" max="8914" width="12.19921875" style="8" bestFit="1" customWidth="1"/>
    <col min="8915" max="8918" width="11" style="8"/>
    <col min="8919" max="8919" width="12.19921875" style="8" bestFit="1" customWidth="1"/>
    <col min="8920" max="8920" width="13.19921875" style="8" bestFit="1" customWidth="1"/>
    <col min="8921" max="8921" width="11" style="8"/>
    <col min="8922" max="8922" width="11.19921875" style="8" bestFit="1" customWidth="1"/>
    <col min="8923" max="8926" width="11" style="8"/>
    <col min="8927" max="8928" width="13.19921875" style="8" bestFit="1" customWidth="1"/>
    <col min="8929" max="8929" width="11" style="8"/>
    <col min="8930" max="8930" width="11.19921875" style="8" bestFit="1" customWidth="1"/>
    <col min="8931" max="8934" width="11" style="8"/>
    <col min="8935" max="8935" width="13.19921875" style="8" bestFit="1" customWidth="1"/>
    <col min="8936" max="8936" width="11.19921875" style="8" bestFit="1" customWidth="1"/>
    <col min="8937" max="8937" width="11" style="8"/>
    <col min="8938" max="8938" width="11.19921875" style="8" bestFit="1" customWidth="1"/>
    <col min="8939" max="8942" width="11" style="8"/>
    <col min="8943" max="8944" width="11.19921875" style="8" bestFit="1" customWidth="1"/>
    <col min="8945" max="8945" width="11" style="8"/>
    <col min="8946" max="8946" width="12.19921875" style="8" bestFit="1" customWidth="1"/>
    <col min="8947" max="8950" width="11" style="8"/>
    <col min="8951" max="8952" width="11.19921875" style="8" bestFit="1" customWidth="1"/>
    <col min="8953" max="8953" width="11" style="8"/>
    <col min="8954" max="8954" width="12.19921875" style="8" bestFit="1" customWidth="1"/>
    <col min="8955" max="8958" width="11" style="8"/>
    <col min="8959" max="8959" width="11.19921875" style="8" bestFit="1" customWidth="1"/>
    <col min="8960" max="8960" width="12.19921875" style="8" bestFit="1" customWidth="1"/>
    <col min="8961" max="8961" width="11" style="8"/>
    <col min="8962" max="8962" width="12.19921875" style="8" bestFit="1" customWidth="1"/>
    <col min="8963" max="8966" width="11" style="8"/>
    <col min="8967" max="8968" width="12.19921875" style="8" bestFit="1" customWidth="1"/>
    <col min="8969" max="8969" width="11" style="8"/>
    <col min="8970" max="8970" width="12.19921875" style="8" bestFit="1" customWidth="1"/>
    <col min="8971" max="8974" width="11" style="8"/>
    <col min="8975" max="8975" width="12.19921875" style="8" bestFit="1" customWidth="1"/>
    <col min="8976" max="8976" width="13.19921875" style="8" bestFit="1" customWidth="1"/>
    <col min="8977" max="8977" width="11" style="8"/>
    <col min="8978" max="8978" width="11.19921875" style="8" bestFit="1" customWidth="1"/>
    <col min="8979" max="8982" width="11" style="8"/>
    <col min="8983" max="8984" width="13.19921875" style="8" bestFit="1" customWidth="1"/>
    <col min="8985" max="8985" width="11" style="8"/>
    <col min="8986" max="8986" width="11.19921875" style="8" bestFit="1" customWidth="1"/>
    <col min="8987" max="8990" width="11" style="8"/>
    <col min="8991" max="8991" width="13.19921875" style="8" bestFit="1" customWidth="1"/>
    <col min="8992" max="8992" width="11.19921875" style="8" bestFit="1" customWidth="1"/>
    <col min="8993" max="8993" width="11" style="8"/>
    <col min="8994" max="8994" width="11.19921875" style="8" bestFit="1" customWidth="1"/>
    <col min="8995" max="8998" width="11" style="8"/>
    <col min="8999" max="9000" width="11.19921875" style="8" bestFit="1" customWidth="1"/>
    <col min="9001" max="9001" width="11" style="8"/>
    <col min="9002" max="9002" width="12.19921875" style="8" bestFit="1" customWidth="1"/>
    <col min="9003" max="9006" width="11" style="8"/>
    <col min="9007" max="9008" width="11.19921875" style="8" bestFit="1" customWidth="1"/>
    <col min="9009" max="9009" width="11" style="8"/>
    <col min="9010" max="9010" width="12.19921875" style="8" bestFit="1" customWidth="1"/>
    <col min="9011" max="9014" width="11" style="8"/>
    <col min="9015" max="9015" width="11.19921875" style="8" bestFit="1" customWidth="1"/>
    <col min="9016" max="9016" width="12.19921875" style="8" bestFit="1" customWidth="1"/>
    <col min="9017" max="9017" width="11" style="8"/>
    <col min="9018" max="9018" width="12.19921875" style="8" bestFit="1" customWidth="1"/>
    <col min="9019" max="9022" width="11" style="8"/>
    <col min="9023" max="9024" width="12.19921875" style="8" bestFit="1" customWidth="1"/>
    <col min="9025" max="9025" width="11" style="8"/>
    <col min="9026" max="9026" width="12.19921875" style="8" bestFit="1" customWidth="1"/>
    <col min="9027" max="9030" width="11" style="8"/>
    <col min="9031" max="9031" width="12.19921875" style="8" bestFit="1" customWidth="1"/>
    <col min="9032" max="9032" width="13.19921875" style="8" bestFit="1" customWidth="1"/>
    <col min="9033" max="9033" width="11" style="8"/>
    <col min="9034" max="9034" width="11.19921875" style="8" bestFit="1" customWidth="1"/>
    <col min="9035" max="9038" width="11" style="8"/>
    <col min="9039" max="9040" width="13.19921875" style="8" bestFit="1" customWidth="1"/>
    <col min="9041" max="9041" width="11" style="8"/>
    <col min="9042" max="9042" width="11.19921875" style="8" bestFit="1" customWidth="1"/>
    <col min="9043" max="9046" width="11" style="8"/>
    <col min="9047" max="9047" width="13.19921875" style="8" bestFit="1" customWidth="1"/>
    <col min="9048" max="9048" width="11.19921875" style="8" bestFit="1" customWidth="1"/>
    <col min="9049" max="9049" width="11" style="8"/>
    <col min="9050" max="9050" width="11.19921875" style="8" bestFit="1" customWidth="1"/>
    <col min="9051" max="9054" width="11" style="8"/>
    <col min="9055" max="9056" width="11.19921875" style="8" bestFit="1" customWidth="1"/>
    <col min="9057" max="9057" width="11" style="8"/>
    <col min="9058" max="9058" width="12.19921875" style="8" bestFit="1" customWidth="1"/>
    <col min="9059" max="9062" width="11" style="8"/>
    <col min="9063" max="9064" width="11.19921875" style="8" bestFit="1" customWidth="1"/>
    <col min="9065" max="9065" width="11" style="8"/>
    <col min="9066" max="9066" width="12.19921875" style="8" bestFit="1" customWidth="1"/>
    <col min="9067" max="9070" width="11" style="8"/>
    <col min="9071" max="9071" width="11.19921875" style="8" bestFit="1" customWidth="1"/>
    <col min="9072" max="9072" width="12.19921875" style="8" bestFit="1" customWidth="1"/>
    <col min="9073" max="9073" width="11" style="8"/>
    <col min="9074" max="9074" width="12.19921875" style="8" bestFit="1" customWidth="1"/>
    <col min="9075" max="9078" width="11" style="8"/>
    <col min="9079" max="9080" width="12.19921875" style="8" bestFit="1" customWidth="1"/>
    <col min="9081" max="9081" width="11" style="8"/>
    <col min="9082" max="9082" width="12.19921875" style="8" bestFit="1" customWidth="1"/>
    <col min="9083" max="9086" width="11" style="8"/>
    <col min="9087" max="9087" width="12.19921875" style="8" bestFit="1" customWidth="1"/>
    <col min="9088" max="9088" width="13.19921875" style="8" bestFit="1" customWidth="1"/>
    <col min="9089" max="9089" width="11" style="8"/>
    <col min="9090" max="9090" width="11.19921875" style="8" bestFit="1" customWidth="1"/>
    <col min="9091" max="9094" width="11" style="8"/>
    <col min="9095" max="9096" width="13.19921875" style="8" bestFit="1" customWidth="1"/>
    <col min="9097" max="9097" width="11" style="8"/>
    <col min="9098" max="9098" width="11.19921875" style="8" bestFit="1" customWidth="1"/>
    <col min="9099" max="9102" width="11" style="8"/>
    <col min="9103" max="9103" width="13.19921875" style="8" bestFit="1" customWidth="1"/>
    <col min="9104" max="9104" width="11.19921875" style="8" bestFit="1" customWidth="1"/>
    <col min="9105" max="9105" width="11" style="8"/>
    <col min="9106" max="9106" width="11.19921875" style="8" bestFit="1" customWidth="1"/>
    <col min="9107" max="9110" width="11" style="8"/>
    <col min="9111" max="9112" width="11.19921875" style="8" bestFit="1" customWidth="1"/>
    <col min="9113" max="9113" width="11" style="8"/>
    <col min="9114" max="9114" width="12.19921875" style="8" bestFit="1" customWidth="1"/>
    <col min="9115" max="9118" width="11" style="8"/>
    <col min="9119" max="9120" width="11.19921875" style="8" bestFit="1" customWidth="1"/>
    <col min="9121" max="9121" width="11" style="8"/>
    <col min="9122" max="9122" width="12.19921875" style="8" bestFit="1" customWidth="1"/>
    <col min="9123" max="9126" width="11" style="8"/>
    <col min="9127" max="9127" width="11.19921875" style="8" bestFit="1" customWidth="1"/>
    <col min="9128" max="9128" width="12.19921875" style="8" bestFit="1" customWidth="1"/>
    <col min="9129" max="9129" width="11" style="8"/>
    <col min="9130" max="9130" width="12.19921875" style="8" bestFit="1" customWidth="1"/>
    <col min="9131" max="9134" width="11" style="8"/>
    <col min="9135" max="9136" width="12.19921875" style="8" bestFit="1" customWidth="1"/>
    <col min="9137" max="9137" width="11" style="8"/>
    <col min="9138" max="9138" width="12.19921875" style="8" bestFit="1" customWidth="1"/>
    <col min="9139" max="9142" width="11" style="8"/>
    <col min="9143" max="9143" width="12.19921875" style="8" bestFit="1" customWidth="1"/>
    <col min="9144" max="9144" width="13.19921875" style="8" bestFit="1" customWidth="1"/>
    <col min="9145" max="9145" width="11" style="8"/>
    <col min="9146" max="9146" width="11.19921875" style="8" bestFit="1" customWidth="1"/>
    <col min="9147" max="9150" width="11" style="8"/>
    <col min="9151" max="9152" width="13.19921875" style="8" bestFit="1" customWidth="1"/>
    <col min="9153" max="9153" width="11" style="8"/>
    <col min="9154" max="9154" width="11.19921875" style="8" bestFit="1" customWidth="1"/>
    <col min="9155" max="9158" width="11" style="8"/>
    <col min="9159" max="9159" width="13.19921875" style="8" bestFit="1" customWidth="1"/>
    <col min="9160" max="9160" width="11.19921875" style="8" bestFit="1" customWidth="1"/>
    <col min="9161" max="9161" width="11" style="8"/>
    <col min="9162" max="9162" width="11.19921875" style="8" bestFit="1" customWidth="1"/>
    <col min="9163" max="9166" width="11" style="8"/>
    <col min="9167" max="9168" width="11.19921875" style="8" bestFit="1" customWidth="1"/>
    <col min="9169" max="9169" width="11" style="8"/>
    <col min="9170" max="9170" width="12.19921875" style="8" bestFit="1" customWidth="1"/>
    <col min="9171" max="9174" width="11" style="8"/>
    <col min="9175" max="9176" width="11.19921875" style="8" bestFit="1" customWidth="1"/>
    <col min="9177" max="9177" width="11" style="8"/>
    <col min="9178" max="9178" width="12.19921875" style="8" bestFit="1" customWidth="1"/>
    <col min="9179" max="9182" width="11" style="8"/>
    <col min="9183" max="9183" width="11.19921875" style="8" bestFit="1" customWidth="1"/>
    <col min="9184" max="9184" width="12.19921875" style="8" bestFit="1" customWidth="1"/>
    <col min="9185" max="9185" width="11" style="8"/>
    <col min="9186" max="9186" width="12.19921875" style="8" bestFit="1" customWidth="1"/>
    <col min="9187" max="9190" width="11" style="8"/>
    <col min="9191" max="9192" width="12.19921875" style="8" bestFit="1" customWidth="1"/>
    <col min="9193" max="9193" width="11" style="8"/>
    <col min="9194" max="9194" width="12.19921875" style="8" bestFit="1" customWidth="1"/>
    <col min="9195" max="9198" width="11" style="8"/>
    <col min="9199" max="9199" width="12.19921875" style="8" bestFit="1" customWidth="1"/>
    <col min="9200" max="9200" width="13.19921875" style="8" bestFit="1" customWidth="1"/>
    <col min="9201" max="9201" width="11" style="8"/>
    <col min="9202" max="9202" width="11.19921875" style="8" bestFit="1" customWidth="1"/>
    <col min="9203" max="9206" width="11" style="8"/>
    <col min="9207" max="9208" width="13.19921875" style="8" bestFit="1" customWidth="1"/>
    <col min="9209" max="9209" width="11" style="8"/>
    <col min="9210" max="9210" width="11.19921875" style="8" bestFit="1" customWidth="1"/>
    <col min="9211" max="9214" width="11" style="8"/>
    <col min="9215" max="9215" width="13.19921875" style="8" bestFit="1" customWidth="1"/>
    <col min="9216" max="9216" width="11.19921875" style="8" bestFit="1" customWidth="1"/>
    <col min="9217" max="9217" width="11" style="8"/>
    <col min="9218" max="9218" width="11.19921875" style="8" bestFit="1" customWidth="1"/>
    <col min="9219" max="9222" width="11" style="8"/>
    <col min="9223" max="9224" width="11.19921875" style="8" bestFit="1" customWidth="1"/>
    <col min="9225" max="9225" width="11" style="8"/>
    <col min="9226" max="9226" width="12.19921875" style="8" bestFit="1" customWidth="1"/>
    <col min="9227" max="9230" width="11" style="8"/>
    <col min="9231" max="9232" width="11.19921875" style="8" bestFit="1" customWidth="1"/>
    <col min="9233" max="9233" width="11" style="8"/>
    <col min="9234" max="9234" width="12.19921875" style="8" bestFit="1" customWidth="1"/>
    <col min="9235" max="9238" width="11" style="8"/>
    <col min="9239" max="9239" width="11.19921875" style="8" bestFit="1" customWidth="1"/>
    <col min="9240" max="9240" width="12.19921875" style="8" bestFit="1" customWidth="1"/>
    <col min="9241" max="9241" width="11" style="8"/>
    <col min="9242" max="9242" width="12.19921875" style="8" bestFit="1" customWidth="1"/>
    <col min="9243" max="9246" width="11" style="8"/>
    <col min="9247" max="9248" width="12.19921875" style="8" bestFit="1" customWidth="1"/>
    <col min="9249" max="9249" width="11" style="8"/>
    <col min="9250" max="9250" width="12.19921875" style="8" bestFit="1" customWidth="1"/>
    <col min="9251" max="9254" width="11" style="8"/>
    <col min="9255" max="9255" width="12.19921875" style="8" bestFit="1" customWidth="1"/>
    <col min="9256" max="9256" width="13.19921875" style="8" bestFit="1" customWidth="1"/>
    <col min="9257" max="9257" width="11" style="8"/>
    <col min="9258" max="9258" width="11.19921875" style="8" bestFit="1" customWidth="1"/>
    <col min="9259" max="9262" width="11" style="8"/>
    <col min="9263" max="9264" width="13.19921875" style="8" bestFit="1" customWidth="1"/>
    <col min="9265" max="9265" width="11" style="8"/>
    <col min="9266" max="9266" width="11.19921875" style="8" bestFit="1" customWidth="1"/>
    <col min="9267" max="9270" width="11" style="8"/>
    <col min="9271" max="9271" width="13.19921875" style="8" bestFit="1" customWidth="1"/>
    <col min="9272" max="9272" width="11.19921875" style="8" bestFit="1" customWidth="1"/>
    <col min="9273" max="9273" width="11" style="8"/>
    <col min="9274" max="9274" width="11.19921875" style="8" bestFit="1" customWidth="1"/>
    <col min="9275" max="9278" width="11" style="8"/>
    <col min="9279" max="9280" width="11.19921875" style="8" bestFit="1" customWidth="1"/>
    <col min="9281" max="9281" width="11" style="8"/>
    <col min="9282" max="9282" width="12.19921875" style="8" bestFit="1" customWidth="1"/>
    <col min="9283" max="9286" width="11" style="8"/>
    <col min="9287" max="9288" width="11.19921875" style="8" bestFit="1" customWidth="1"/>
    <col min="9289" max="9289" width="11" style="8"/>
    <col min="9290" max="9290" width="12.19921875" style="8" bestFit="1" customWidth="1"/>
    <col min="9291" max="9294" width="11" style="8"/>
    <col min="9295" max="9295" width="11.19921875" style="8" bestFit="1" customWidth="1"/>
    <col min="9296" max="9296" width="12.19921875" style="8" bestFit="1" customWidth="1"/>
    <col min="9297" max="9297" width="11" style="8"/>
    <col min="9298" max="9298" width="12.19921875" style="8" bestFit="1" customWidth="1"/>
    <col min="9299" max="9302" width="11" style="8"/>
    <col min="9303" max="9304" width="12.19921875" style="8" bestFit="1" customWidth="1"/>
    <col min="9305" max="9305" width="11" style="8"/>
    <col min="9306" max="9306" width="12.19921875" style="8" bestFit="1" customWidth="1"/>
    <col min="9307" max="9310" width="11" style="8"/>
    <col min="9311" max="9311" width="12.19921875" style="8" bestFit="1" customWidth="1"/>
    <col min="9312" max="9312" width="13.19921875" style="8" bestFit="1" customWidth="1"/>
    <col min="9313" max="9313" width="11" style="8"/>
    <col min="9314" max="9314" width="11.19921875" style="8" bestFit="1" customWidth="1"/>
    <col min="9315" max="9318" width="11" style="8"/>
    <col min="9319" max="9320" width="13.19921875" style="8" bestFit="1" customWidth="1"/>
    <col min="9321" max="9321" width="11" style="8"/>
    <col min="9322" max="9322" width="11.19921875" style="8" bestFit="1" customWidth="1"/>
    <col min="9323" max="9326" width="11" style="8"/>
    <col min="9327" max="9327" width="13.19921875" style="8" bestFit="1" customWidth="1"/>
    <col min="9328" max="9328" width="11.19921875" style="8" bestFit="1" customWidth="1"/>
    <col min="9329" max="9329" width="11" style="8"/>
    <col min="9330" max="9330" width="11.19921875" style="8" bestFit="1" customWidth="1"/>
    <col min="9331" max="9334" width="11" style="8"/>
    <col min="9335" max="9336" width="11.19921875" style="8" bestFit="1" customWidth="1"/>
    <col min="9337" max="9337" width="11" style="8"/>
    <col min="9338" max="9338" width="12.19921875" style="8" bestFit="1" customWidth="1"/>
    <col min="9339" max="9342" width="11" style="8"/>
    <col min="9343" max="9344" width="11.19921875" style="8" bestFit="1" customWidth="1"/>
    <col min="9345" max="9345" width="11" style="8"/>
    <col min="9346" max="9346" width="12.19921875" style="8" bestFit="1" customWidth="1"/>
    <col min="9347" max="9350" width="11" style="8"/>
    <col min="9351" max="9351" width="11.19921875" style="8" bestFit="1" customWidth="1"/>
    <col min="9352" max="9352" width="12.19921875" style="8" bestFit="1" customWidth="1"/>
    <col min="9353" max="9353" width="11" style="8"/>
    <col min="9354" max="9354" width="12.19921875" style="8" bestFit="1" customWidth="1"/>
    <col min="9355" max="9358" width="11" style="8"/>
    <col min="9359" max="9360" width="12.19921875" style="8" bestFit="1" customWidth="1"/>
    <col min="9361" max="9361" width="11" style="8"/>
    <col min="9362" max="9362" width="12.19921875" style="8" bestFit="1" customWidth="1"/>
    <col min="9363" max="9366" width="11" style="8"/>
    <col min="9367" max="9367" width="12.19921875" style="8" bestFit="1" customWidth="1"/>
    <col min="9368" max="9368" width="13.19921875" style="8" bestFit="1" customWidth="1"/>
    <col min="9369" max="9369" width="11" style="8"/>
    <col min="9370" max="9370" width="11.19921875" style="8" bestFit="1" customWidth="1"/>
    <col min="9371" max="9374" width="11" style="8"/>
    <col min="9375" max="9376" width="13.19921875" style="8" bestFit="1" customWidth="1"/>
    <col min="9377" max="9377" width="11" style="8"/>
    <col min="9378" max="9378" width="11.19921875" style="8" bestFit="1" customWidth="1"/>
    <col min="9379" max="9382" width="11" style="8"/>
    <col min="9383" max="9383" width="13.19921875" style="8" bestFit="1" customWidth="1"/>
    <col min="9384" max="9384" width="11.19921875" style="8" bestFit="1" customWidth="1"/>
    <col min="9385" max="9385" width="11" style="8"/>
    <col min="9386" max="9386" width="11.19921875" style="8" bestFit="1" customWidth="1"/>
    <col min="9387" max="9390" width="11" style="8"/>
    <col min="9391" max="9392" width="11.19921875" style="8" bestFit="1" customWidth="1"/>
    <col min="9393" max="9393" width="11" style="8"/>
    <col min="9394" max="9394" width="12.19921875" style="8" bestFit="1" customWidth="1"/>
    <col min="9395" max="9398" width="11" style="8"/>
    <col min="9399" max="9400" width="11.19921875" style="8" bestFit="1" customWidth="1"/>
    <col min="9401" max="9401" width="11" style="8"/>
    <col min="9402" max="9402" width="12.19921875" style="8" bestFit="1" customWidth="1"/>
    <col min="9403" max="9406" width="11" style="8"/>
    <col min="9407" max="9407" width="11.19921875" style="8" bestFit="1" customWidth="1"/>
    <col min="9408" max="9408" width="12.19921875" style="8" bestFit="1" customWidth="1"/>
    <col min="9409" max="9409" width="11" style="8"/>
    <col min="9410" max="9410" width="12.19921875" style="8" bestFit="1" customWidth="1"/>
    <col min="9411" max="9414" width="11" style="8"/>
    <col min="9415" max="9416" width="12.19921875" style="8" bestFit="1" customWidth="1"/>
    <col min="9417" max="9417" width="11" style="8"/>
    <col min="9418" max="9418" width="12.19921875" style="8" bestFit="1" customWidth="1"/>
    <col min="9419" max="9422" width="11" style="8"/>
    <col min="9423" max="9423" width="12.19921875" style="8" bestFit="1" customWidth="1"/>
    <col min="9424" max="9424" width="13.19921875" style="8" bestFit="1" customWidth="1"/>
    <col min="9425" max="9425" width="11" style="8"/>
    <col min="9426" max="9426" width="11.19921875" style="8" bestFit="1" customWidth="1"/>
    <col min="9427" max="9430" width="11" style="8"/>
    <col min="9431" max="9432" width="13.19921875" style="8" bestFit="1" customWidth="1"/>
    <col min="9433" max="9433" width="11" style="8"/>
    <col min="9434" max="9434" width="11.19921875" style="8" bestFit="1" customWidth="1"/>
    <col min="9435" max="9438" width="11" style="8"/>
    <col min="9439" max="9439" width="13.19921875" style="8" bestFit="1" customWidth="1"/>
    <col min="9440" max="9440" width="11.19921875" style="8" bestFit="1" customWidth="1"/>
    <col min="9441" max="9441" width="11" style="8"/>
    <col min="9442" max="9442" width="11.19921875" style="8" bestFit="1" customWidth="1"/>
    <col min="9443" max="9446" width="11" style="8"/>
    <col min="9447" max="9448" width="11.19921875" style="8" bestFit="1" customWidth="1"/>
    <col min="9449" max="9449" width="11" style="8"/>
    <col min="9450" max="9450" width="12.19921875" style="8" bestFit="1" customWidth="1"/>
    <col min="9451" max="9454" width="11" style="8"/>
    <col min="9455" max="9456" width="11.19921875" style="8" bestFit="1" customWidth="1"/>
    <col min="9457" max="9457" width="11" style="8"/>
    <col min="9458" max="9458" width="12.19921875" style="8" bestFit="1" customWidth="1"/>
    <col min="9459" max="9462" width="11" style="8"/>
    <col min="9463" max="9463" width="11.19921875" style="8" bestFit="1" customWidth="1"/>
    <col min="9464" max="9464" width="12.19921875" style="8" bestFit="1" customWidth="1"/>
    <col min="9465" max="9465" width="11" style="8"/>
    <col min="9466" max="9466" width="12.19921875" style="8" bestFit="1" customWidth="1"/>
    <col min="9467" max="9470" width="11" style="8"/>
    <col min="9471" max="9472" width="12.19921875" style="8" bestFit="1" customWidth="1"/>
    <col min="9473" max="9473" width="11" style="8"/>
    <col min="9474" max="9474" width="12.19921875" style="8" bestFit="1" customWidth="1"/>
    <col min="9475" max="9478" width="11" style="8"/>
    <col min="9479" max="9479" width="12.19921875" style="8" bestFit="1" customWidth="1"/>
    <col min="9480" max="9480" width="13.19921875" style="8" bestFit="1" customWidth="1"/>
    <col min="9481" max="9481" width="11" style="8"/>
    <col min="9482" max="9482" width="11.19921875" style="8" bestFit="1" customWidth="1"/>
    <col min="9483" max="9486" width="11" style="8"/>
    <col min="9487" max="9488" width="13.19921875" style="8" bestFit="1" customWidth="1"/>
    <col min="9489" max="9489" width="11" style="8"/>
    <col min="9490" max="9490" width="11.19921875" style="8" bestFit="1" customWidth="1"/>
    <col min="9491" max="9494" width="11" style="8"/>
    <col min="9495" max="9495" width="13.19921875" style="8" bestFit="1" customWidth="1"/>
    <col min="9496" max="9496" width="11.19921875" style="8" bestFit="1" customWidth="1"/>
    <col min="9497" max="9497" width="11" style="8"/>
    <col min="9498" max="9498" width="11.19921875" style="8" bestFit="1" customWidth="1"/>
    <col min="9499" max="9502" width="11" style="8"/>
    <col min="9503" max="9504" width="11.19921875" style="8" bestFit="1" customWidth="1"/>
    <col min="9505" max="9505" width="11" style="8"/>
    <col min="9506" max="9506" width="12.19921875" style="8" bestFit="1" customWidth="1"/>
    <col min="9507" max="9510" width="11" style="8"/>
    <col min="9511" max="9512" width="11.19921875" style="8" bestFit="1" customWidth="1"/>
    <col min="9513" max="9513" width="11" style="8"/>
    <col min="9514" max="9514" width="12.19921875" style="8" bestFit="1" customWidth="1"/>
    <col min="9515" max="9518" width="11" style="8"/>
    <col min="9519" max="9519" width="11.19921875" style="8" bestFit="1" customWidth="1"/>
    <col min="9520" max="9520" width="12.19921875" style="8" bestFit="1" customWidth="1"/>
    <col min="9521" max="9521" width="11" style="8"/>
    <col min="9522" max="9522" width="12.19921875" style="8" bestFit="1" customWidth="1"/>
    <col min="9523" max="9526" width="11" style="8"/>
    <col min="9527" max="9528" width="12.19921875" style="8" bestFit="1" customWidth="1"/>
    <col min="9529" max="9529" width="11" style="8"/>
    <col min="9530" max="9530" width="12.19921875" style="8" bestFit="1" customWidth="1"/>
    <col min="9531" max="9534" width="11" style="8"/>
    <col min="9535" max="9535" width="12.19921875" style="8" bestFit="1" customWidth="1"/>
    <col min="9536" max="9536" width="13.19921875" style="8" bestFit="1" customWidth="1"/>
    <col min="9537" max="9537" width="11" style="8"/>
    <col min="9538" max="9538" width="11.19921875" style="8" bestFit="1" customWidth="1"/>
    <col min="9539" max="9542" width="11" style="8"/>
    <col min="9543" max="9544" width="13.19921875" style="8" bestFit="1" customWidth="1"/>
    <col min="9545" max="9545" width="11" style="8"/>
    <col min="9546" max="9546" width="11.19921875" style="8" bestFit="1" customWidth="1"/>
    <col min="9547" max="9550" width="11" style="8"/>
    <col min="9551" max="9551" width="13.19921875" style="8" bestFit="1" customWidth="1"/>
    <col min="9552" max="9552" width="11.19921875" style="8" bestFit="1" customWidth="1"/>
    <col min="9553" max="9553" width="11" style="8"/>
    <col min="9554" max="9554" width="11.19921875" style="8" bestFit="1" customWidth="1"/>
    <col min="9555" max="9558" width="11" style="8"/>
    <col min="9559" max="9560" width="11.19921875" style="8" bestFit="1" customWidth="1"/>
    <col min="9561" max="9561" width="11" style="8"/>
    <col min="9562" max="9562" width="12.19921875" style="8" bestFit="1" customWidth="1"/>
    <col min="9563" max="9566" width="11" style="8"/>
    <col min="9567" max="9568" width="11.19921875" style="8" bestFit="1" customWidth="1"/>
    <col min="9569" max="9569" width="11" style="8"/>
    <col min="9570" max="9570" width="12.19921875" style="8" bestFit="1" customWidth="1"/>
    <col min="9571" max="9574" width="11" style="8"/>
    <col min="9575" max="9575" width="11.19921875" style="8" bestFit="1" customWidth="1"/>
    <col min="9576" max="9576" width="12.19921875" style="8" bestFit="1" customWidth="1"/>
    <col min="9577" max="9577" width="11" style="8"/>
    <col min="9578" max="9578" width="12.19921875" style="8" bestFit="1" customWidth="1"/>
    <col min="9579" max="9582" width="11" style="8"/>
    <col min="9583" max="9584" width="12.19921875" style="8" bestFit="1" customWidth="1"/>
    <col min="9585" max="9585" width="11" style="8"/>
    <col min="9586" max="9586" width="12.19921875" style="8" bestFit="1" customWidth="1"/>
    <col min="9587" max="9590" width="11" style="8"/>
    <col min="9591" max="9591" width="12.19921875" style="8" bestFit="1" customWidth="1"/>
    <col min="9592" max="9592" width="13.19921875" style="8" bestFit="1" customWidth="1"/>
    <col min="9593" max="9593" width="11" style="8"/>
    <col min="9594" max="9594" width="11.19921875" style="8" bestFit="1" customWidth="1"/>
    <col min="9595" max="9598" width="11" style="8"/>
    <col min="9599" max="9600" width="13.19921875" style="8" bestFit="1" customWidth="1"/>
    <col min="9601" max="9601" width="11" style="8"/>
    <col min="9602" max="9602" width="11.19921875" style="8" bestFit="1" customWidth="1"/>
    <col min="9603" max="9606" width="11" style="8"/>
    <col min="9607" max="9607" width="13.19921875" style="8" bestFit="1" customWidth="1"/>
    <col min="9608" max="9608" width="11.19921875" style="8" bestFit="1" customWidth="1"/>
    <col min="9609" max="9609" width="11" style="8"/>
    <col min="9610" max="9610" width="11.19921875" style="8" bestFit="1" customWidth="1"/>
    <col min="9611" max="9614" width="11" style="8"/>
    <col min="9615" max="9616" width="11.19921875" style="8" bestFit="1" customWidth="1"/>
    <col min="9617" max="9617" width="11" style="8"/>
    <col min="9618" max="9618" width="12.19921875" style="8" bestFit="1" customWidth="1"/>
    <col min="9619" max="9622" width="11" style="8"/>
    <col min="9623" max="9624" width="11.19921875" style="8" bestFit="1" customWidth="1"/>
    <col min="9625" max="9625" width="11" style="8"/>
    <col min="9626" max="9626" width="12.19921875" style="8" bestFit="1" customWidth="1"/>
    <col min="9627" max="9630" width="11" style="8"/>
    <col min="9631" max="9631" width="11.19921875" style="8" bestFit="1" customWidth="1"/>
    <col min="9632" max="9632" width="12.19921875" style="8" bestFit="1" customWidth="1"/>
    <col min="9633" max="9633" width="11" style="8"/>
    <col min="9634" max="9634" width="12.19921875" style="8" bestFit="1" customWidth="1"/>
    <col min="9635" max="9638" width="11" style="8"/>
    <col min="9639" max="9640" width="12.19921875" style="8" bestFit="1" customWidth="1"/>
    <col min="9641" max="9641" width="11" style="8"/>
    <col min="9642" max="9642" width="12.19921875" style="8" bestFit="1" customWidth="1"/>
    <col min="9643" max="9646" width="11" style="8"/>
    <col min="9647" max="9647" width="12.19921875" style="8" bestFit="1" customWidth="1"/>
    <col min="9648" max="9648" width="13.19921875" style="8" bestFit="1" customWidth="1"/>
    <col min="9649" max="9649" width="11" style="8"/>
    <col min="9650" max="9650" width="11.19921875" style="8" bestFit="1" customWidth="1"/>
    <col min="9651" max="9654" width="11" style="8"/>
    <col min="9655" max="9656" width="13.19921875" style="8" bestFit="1" customWidth="1"/>
    <col min="9657" max="9657" width="11" style="8"/>
    <col min="9658" max="9658" width="11.19921875" style="8" bestFit="1" customWidth="1"/>
    <col min="9659" max="9662" width="11" style="8"/>
    <col min="9663" max="9663" width="13.19921875" style="8" bestFit="1" customWidth="1"/>
    <col min="9664" max="9664" width="11.19921875" style="8" bestFit="1" customWidth="1"/>
    <col min="9665" max="9665" width="11" style="8"/>
    <col min="9666" max="9666" width="11.19921875" style="8" bestFit="1" customWidth="1"/>
    <col min="9667" max="9670" width="11" style="8"/>
    <col min="9671" max="9672" width="11.19921875" style="8" bestFit="1" customWidth="1"/>
    <col min="9673" max="9673" width="11" style="8"/>
    <col min="9674" max="9674" width="12.19921875" style="8" bestFit="1" customWidth="1"/>
    <col min="9675" max="9678" width="11" style="8"/>
    <col min="9679" max="9680" width="11.19921875" style="8" bestFit="1" customWidth="1"/>
    <col min="9681" max="9681" width="11" style="8"/>
    <col min="9682" max="9682" width="12.19921875" style="8" bestFit="1" customWidth="1"/>
    <col min="9683" max="9686" width="11" style="8"/>
    <col min="9687" max="9687" width="11.19921875" style="8" bestFit="1" customWidth="1"/>
    <col min="9688" max="9688" width="12.19921875" style="8" bestFit="1" customWidth="1"/>
    <col min="9689" max="9689" width="11" style="8"/>
    <col min="9690" max="9690" width="12.19921875" style="8" bestFit="1" customWidth="1"/>
    <col min="9691" max="9694" width="11" style="8"/>
    <col min="9695" max="9696" width="12.19921875" style="8" bestFit="1" customWidth="1"/>
    <col min="9697" max="9697" width="11" style="8"/>
    <col min="9698" max="9698" width="12.19921875" style="8" bestFit="1" customWidth="1"/>
    <col min="9699" max="9702" width="11" style="8"/>
    <col min="9703" max="9703" width="12.19921875" style="8" bestFit="1" customWidth="1"/>
    <col min="9704" max="9704" width="13.19921875" style="8" bestFit="1" customWidth="1"/>
    <col min="9705" max="9705" width="11" style="8"/>
    <col min="9706" max="9706" width="11.19921875" style="8" bestFit="1" customWidth="1"/>
    <col min="9707" max="9710" width="11" style="8"/>
    <col min="9711" max="9712" width="13.19921875" style="8" bestFit="1" customWidth="1"/>
    <col min="9713" max="9713" width="11" style="8"/>
    <col min="9714" max="9714" width="11.19921875" style="8" bestFit="1" customWidth="1"/>
    <col min="9715" max="9718" width="11" style="8"/>
    <col min="9719" max="9719" width="13.19921875" style="8" bestFit="1" customWidth="1"/>
    <col min="9720" max="9720" width="11.19921875" style="8" bestFit="1" customWidth="1"/>
    <col min="9721" max="9721" width="11" style="8"/>
    <col min="9722" max="9722" width="11.19921875" style="8" bestFit="1" customWidth="1"/>
    <col min="9723" max="9726" width="11" style="8"/>
    <col min="9727" max="9728" width="11.19921875" style="8" bestFit="1" customWidth="1"/>
    <col min="9729" max="9729" width="11" style="8"/>
    <col min="9730" max="9730" width="12.19921875" style="8" bestFit="1" customWidth="1"/>
    <col min="9731" max="9734" width="11" style="8"/>
    <col min="9735" max="9736" width="11.19921875" style="8" bestFit="1" customWidth="1"/>
    <col min="9737" max="9737" width="11" style="8"/>
    <col min="9738" max="9738" width="12.19921875" style="8" bestFit="1" customWidth="1"/>
    <col min="9739" max="9742" width="11" style="8"/>
    <col min="9743" max="9743" width="11.19921875" style="8" bestFit="1" customWidth="1"/>
    <col min="9744" max="9744" width="12.19921875" style="8" bestFit="1" customWidth="1"/>
    <col min="9745" max="9745" width="11" style="8"/>
    <col min="9746" max="9746" width="12.19921875" style="8" bestFit="1" customWidth="1"/>
    <col min="9747" max="9750" width="11" style="8"/>
    <col min="9751" max="9752" width="12.19921875" style="8" bestFit="1" customWidth="1"/>
    <col min="9753" max="9753" width="11" style="8"/>
    <col min="9754" max="9754" width="12.19921875" style="8" bestFit="1" customWidth="1"/>
    <col min="9755" max="9758" width="11" style="8"/>
    <col min="9759" max="9759" width="12.19921875" style="8" bestFit="1" customWidth="1"/>
    <col min="9760" max="9760" width="13.19921875" style="8" bestFit="1" customWidth="1"/>
    <col min="9761" max="9761" width="11" style="8"/>
    <col min="9762" max="9762" width="11.19921875" style="8" bestFit="1" customWidth="1"/>
    <col min="9763" max="9766" width="11" style="8"/>
    <col min="9767" max="9768" width="13.19921875" style="8" bestFit="1" customWidth="1"/>
    <col min="9769" max="9769" width="11" style="8"/>
    <col min="9770" max="9770" width="11.19921875" style="8" bestFit="1" customWidth="1"/>
    <col min="9771" max="9774" width="11" style="8"/>
    <col min="9775" max="9775" width="13.19921875" style="8" bestFit="1" customWidth="1"/>
    <col min="9776" max="9776" width="11.19921875" style="8" bestFit="1" customWidth="1"/>
    <col min="9777" max="9777" width="11" style="8"/>
    <col min="9778" max="9778" width="11.19921875" style="8" bestFit="1" customWidth="1"/>
    <col min="9779" max="9782" width="11" style="8"/>
    <col min="9783" max="9784" width="11.19921875" style="8" bestFit="1" customWidth="1"/>
    <col min="9785" max="9785" width="11" style="8"/>
    <col min="9786" max="9786" width="12.19921875" style="8" bestFit="1" customWidth="1"/>
    <col min="9787" max="9790" width="11" style="8"/>
    <col min="9791" max="9792" width="11.19921875" style="8" bestFit="1" customWidth="1"/>
    <col min="9793" max="9793" width="11" style="8"/>
    <col min="9794" max="9794" width="12.19921875" style="8" bestFit="1" customWidth="1"/>
    <col min="9795" max="9798" width="11" style="8"/>
    <col min="9799" max="9799" width="11.19921875" style="8" bestFit="1" customWidth="1"/>
    <col min="9800" max="9800" width="12.19921875" style="8" bestFit="1" customWidth="1"/>
    <col min="9801" max="9801" width="11" style="8"/>
    <col min="9802" max="9802" width="12.19921875" style="8" bestFit="1" customWidth="1"/>
    <col min="9803" max="9806" width="11" style="8"/>
    <col min="9807" max="9808" width="12.19921875" style="8" bestFit="1" customWidth="1"/>
    <col min="9809" max="9809" width="11" style="8"/>
    <col min="9810" max="9810" width="12.19921875" style="8" bestFit="1" customWidth="1"/>
    <col min="9811" max="9814" width="11" style="8"/>
    <col min="9815" max="9815" width="12.19921875" style="8" bestFit="1" customWidth="1"/>
    <col min="9816" max="9816" width="13.19921875" style="8" bestFit="1" customWidth="1"/>
    <col min="9817" max="9817" width="11" style="8"/>
    <col min="9818" max="9818" width="11.19921875" style="8" bestFit="1" customWidth="1"/>
    <col min="9819" max="9822" width="11" style="8"/>
    <col min="9823" max="9824" width="13.19921875" style="8" bestFit="1" customWidth="1"/>
    <col min="9825" max="9825" width="11" style="8"/>
    <col min="9826" max="9826" width="11.19921875" style="8" bestFit="1" customWidth="1"/>
    <col min="9827" max="9830" width="11" style="8"/>
    <col min="9831" max="9831" width="13.19921875" style="8" bestFit="1" customWidth="1"/>
    <col min="9832" max="9832" width="11.19921875" style="8" bestFit="1" customWidth="1"/>
    <col min="9833" max="9833" width="11" style="8"/>
    <col min="9834" max="9834" width="11.19921875" style="8" bestFit="1" customWidth="1"/>
    <col min="9835" max="9838" width="11" style="8"/>
    <col min="9839" max="9840" width="11.19921875" style="8" bestFit="1" customWidth="1"/>
    <col min="9841" max="9841" width="11" style="8"/>
    <col min="9842" max="9842" width="12.19921875" style="8" bestFit="1" customWidth="1"/>
    <col min="9843" max="9846" width="11" style="8"/>
    <col min="9847" max="9848" width="11.19921875" style="8" bestFit="1" customWidth="1"/>
    <col min="9849" max="9849" width="11" style="8"/>
    <col min="9850" max="9850" width="12.19921875" style="8" bestFit="1" customWidth="1"/>
    <col min="9851" max="9854" width="11" style="8"/>
    <col min="9855" max="9855" width="11.19921875" style="8" bestFit="1" customWidth="1"/>
    <col min="9856" max="9856" width="12.19921875" style="8" bestFit="1" customWidth="1"/>
    <col min="9857" max="9857" width="11" style="8"/>
    <col min="9858" max="9858" width="12.19921875" style="8" bestFit="1" customWidth="1"/>
    <col min="9859" max="9862" width="11" style="8"/>
    <col min="9863" max="9864" width="12.19921875" style="8" bestFit="1" customWidth="1"/>
    <col min="9865" max="9865" width="11" style="8"/>
    <col min="9866" max="9866" width="12.19921875" style="8" bestFit="1" customWidth="1"/>
    <col min="9867" max="9870" width="11" style="8"/>
    <col min="9871" max="9871" width="12.19921875" style="8" bestFit="1" customWidth="1"/>
    <col min="9872" max="9872" width="13.19921875" style="8" bestFit="1" customWidth="1"/>
    <col min="9873" max="9873" width="11" style="8"/>
    <col min="9874" max="9874" width="11.19921875" style="8" bestFit="1" customWidth="1"/>
    <col min="9875" max="9878" width="11" style="8"/>
    <col min="9879" max="9880" width="13.19921875" style="8" bestFit="1" customWidth="1"/>
    <col min="9881" max="9881" width="11" style="8"/>
    <col min="9882" max="9882" width="11.19921875" style="8" bestFit="1" customWidth="1"/>
    <col min="9883" max="9886" width="11" style="8"/>
    <col min="9887" max="9887" width="13.19921875" style="8" bestFit="1" customWidth="1"/>
    <col min="9888" max="9888" width="11.19921875" style="8" bestFit="1" customWidth="1"/>
    <col min="9889" max="9889" width="11" style="8"/>
    <col min="9890" max="9890" width="11.19921875" style="8" bestFit="1" customWidth="1"/>
    <col min="9891" max="9894" width="11" style="8"/>
    <col min="9895" max="9896" width="11.19921875" style="8" bestFit="1" customWidth="1"/>
    <col min="9897" max="9897" width="11" style="8"/>
    <col min="9898" max="9898" width="12.19921875" style="8" bestFit="1" customWidth="1"/>
    <col min="9899" max="9902" width="11" style="8"/>
    <col min="9903" max="9904" width="11.19921875" style="8" bestFit="1" customWidth="1"/>
    <col min="9905" max="9905" width="11" style="8"/>
    <col min="9906" max="9906" width="12.19921875" style="8" bestFit="1" customWidth="1"/>
    <col min="9907" max="9910" width="11" style="8"/>
    <col min="9911" max="9911" width="11.19921875" style="8" bestFit="1" customWidth="1"/>
    <col min="9912" max="9912" width="12.19921875" style="8" bestFit="1" customWidth="1"/>
    <col min="9913" max="9913" width="11" style="8"/>
    <col min="9914" max="9914" width="12.19921875" style="8" bestFit="1" customWidth="1"/>
    <col min="9915" max="9918" width="11" style="8"/>
    <col min="9919" max="9920" width="12.19921875" style="8" bestFit="1" customWidth="1"/>
    <col min="9921" max="9921" width="11" style="8"/>
    <col min="9922" max="9922" width="12.19921875" style="8" bestFit="1" customWidth="1"/>
    <col min="9923" max="9926" width="11" style="8"/>
    <col min="9927" max="9927" width="12.19921875" style="8" bestFit="1" customWidth="1"/>
    <col min="9928" max="9928" width="13.19921875" style="8" bestFit="1" customWidth="1"/>
    <col min="9929" max="9929" width="11" style="8"/>
    <col min="9930" max="9930" width="11.19921875" style="8" bestFit="1" customWidth="1"/>
    <col min="9931" max="9934" width="11" style="8"/>
    <col min="9935" max="9936" width="13.19921875" style="8" bestFit="1" customWidth="1"/>
    <col min="9937" max="9937" width="11" style="8"/>
    <col min="9938" max="9938" width="11.19921875" style="8" bestFit="1" customWidth="1"/>
    <col min="9939" max="9942" width="11" style="8"/>
    <col min="9943" max="9943" width="13.19921875" style="8" bestFit="1" customWidth="1"/>
    <col min="9944" max="9944" width="11.19921875" style="8" bestFit="1" customWidth="1"/>
    <col min="9945" max="9945" width="11" style="8"/>
    <col min="9946" max="9946" width="11.19921875" style="8" bestFit="1" customWidth="1"/>
    <col min="9947" max="9950" width="11" style="8"/>
    <col min="9951" max="9952" width="11.19921875" style="8" bestFit="1" customWidth="1"/>
    <col min="9953" max="9953" width="11" style="8"/>
    <col min="9954" max="9954" width="12.19921875" style="8" bestFit="1" customWidth="1"/>
    <col min="9955" max="9958" width="11" style="8"/>
    <col min="9959" max="9960" width="11.19921875" style="8" bestFit="1" customWidth="1"/>
    <col min="9961" max="9961" width="11" style="8"/>
    <col min="9962" max="9962" width="12.19921875" style="8" bestFit="1" customWidth="1"/>
    <col min="9963" max="9966" width="11" style="8"/>
    <col min="9967" max="9967" width="11.19921875" style="8" bestFit="1" customWidth="1"/>
    <col min="9968" max="9968" width="12.19921875" style="8" bestFit="1" customWidth="1"/>
    <col min="9969" max="9969" width="11" style="8"/>
    <col min="9970" max="9970" width="12.19921875" style="8" bestFit="1" customWidth="1"/>
    <col min="9971" max="9974" width="11" style="8"/>
    <col min="9975" max="9976" width="12.19921875" style="8" bestFit="1" customWidth="1"/>
    <col min="9977" max="9977" width="11" style="8"/>
    <col min="9978" max="9978" width="12.19921875" style="8" bestFit="1" customWidth="1"/>
    <col min="9979" max="9982" width="11" style="8"/>
    <col min="9983" max="9983" width="12.19921875" style="8" bestFit="1" customWidth="1"/>
    <col min="9984" max="9984" width="13.19921875" style="8" bestFit="1" customWidth="1"/>
    <col min="9985" max="9985" width="11" style="8"/>
    <col min="9986" max="9986" width="11.19921875" style="8" bestFit="1" customWidth="1"/>
    <col min="9987" max="9990" width="11" style="8"/>
    <col min="9991" max="9992" width="13.19921875" style="8" bestFit="1" customWidth="1"/>
    <col min="9993" max="9993" width="11" style="8"/>
    <col min="9994" max="9994" width="11.19921875" style="8" bestFit="1" customWidth="1"/>
    <col min="9995" max="9998" width="11" style="8"/>
    <col min="9999" max="9999" width="13.19921875" style="8" bestFit="1" customWidth="1"/>
    <col min="10000" max="10000" width="11.19921875" style="8" bestFit="1" customWidth="1"/>
    <col min="10001" max="10001" width="11" style="8"/>
    <col min="10002" max="10002" width="11.19921875" style="8" bestFit="1" customWidth="1"/>
    <col min="10003" max="10006" width="11" style="8"/>
    <col min="10007" max="10008" width="11.19921875" style="8" bestFit="1" customWidth="1"/>
    <col min="10009" max="10009" width="11" style="8"/>
    <col min="10010" max="10010" width="12.19921875" style="8" bestFit="1" customWidth="1"/>
    <col min="10011" max="10014" width="11" style="8"/>
    <col min="10015" max="10016" width="11.19921875" style="8" bestFit="1" customWidth="1"/>
    <col min="10017" max="10017" width="11" style="8"/>
    <col min="10018" max="10018" width="12.19921875" style="8" bestFit="1" customWidth="1"/>
    <col min="10019" max="10022" width="11" style="8"/>
    <col min="10023" max="10023" width="11.19921875" style="8" bestFit="1" customWidth="1"/>
    <col min="10024" max="10024" width="12.19921875" style="8" bestFit="1" customWidth="1"/>
    <col min="10025" max="10025" width="11" style="8"/>
    <col min="10026" max="10026" width="12.19921875" style="8" bestFit="1" customWidth="1"/>
    <col min="10027" max="10030" width="11" style="8"/>
    <col min="10031" max="10032" width="12.19921875" style="8" bestFit="1" customWidth="1"/>
    <col min="10033" max="10033" width="11" style="8"/>
    <col min="10034" max="10034" width="12.19921875" style="8" bestFit="1" customWidth="1"/>
    <col min="10035" max="10038" width="11" style="8"/>
    <col min="10039" max="10039" width="12.19921875" style="8" bestFit="1" customWidth="1"/>
    <col min="10040" max="10040" width="13.19921875" style="8" bestFit="1" customWidth="1"/>
    <col min="10041" max="10041" width="11" style="8"/>
    <col min="10042" max="10042" width="11.19921875" style="8" bestFit="1" customWidth="1"/>
    <col min="10043" max="10046" width="11" style="8"/>
    <col min="10047" max="10048" width="13.19921875" style="8" bestFit="1" customWidth="1"/>
    <col min="10049" max="10049" width="11" style="8"/>
    <col min="10050" max="10050" width="11.19921875" style="8" bestFit="1" customWidth="1"/>
    <col min="10051" max="10054" width="11" style="8"/>
    <col min="10055" max="10055" width="13.19921875" style="8" bestFit="1" customWidth="1"/>
    <col min="10056" max="10056" width="11.19921875" style="8" bestFit="1" customWidth="1"/>
    <col min="10057" max="10057" width="11" style="8"/>
    <col min="10058" max="10058" width="11.19921875" style="8" bestFit="1" customWidth="1"/>
    <col min="10059" max="10062" width="11" style="8"/>
    <col min="10063" max="10064" width="11.19921875" style="8" bestFit="1" customWidth="1"/>
    <col min="10065" max="10065" width="11" style="8"/>
    <col min="10066" max="10066" width="12.19921875" style="8" bestFit="1" customWidth="1"/>
    <col min="10067" max="10070" width="11" style="8"/>
    <col min="10071" max="10072" width="11.19921875" style="8" bestFit="1" customWidth="1"/>
    <col min="10073" max="10073" width="11" style="8"/>
    <col min="10074" max="10074" width="12.19921875" style="8" bestFit="1" customWidth="1"/>
    <col min="10075" max="10078" width="11" style="8"/>
    <col min="10079" max="10079" width="11.19921875" style="8" bestFit="1" customWidth="1"/>
    <col min="10080" max="10080" width="12.19921875" style="8" bestFit="1" customWidth="1"/>
    <col min="10081" max="10081" width="11" style="8"/>
    <col min="10082" max="10082" width="12.19921875" style="8" bestFit="1" customWidth="1"/>
    <col min="10083" max="10086" width="11" style="8"/>
    <col min="10087" max="10088" width="12.19921875" style="8" bestFit="1" customWidth="1"/>
    <col min="10089" max="10089" width="11" style="8"/>
    <col min="10090" max="10090" width="12.19921875" style="8" bestFit="1" customWidth="1"/>
    <col min="10091" max="10094" width="11" style="8"/>
    <col min="10095" max="10095" width="12.19921875" style="8" bestFit="1" customWidth="1"/>
    <col min="10096" max="10096" width="13.19921875" style="8" bestFit="1" customWidth="1"/>
    <col min="10097" max="10097" width="11" style="8"/>
    <col min="10098" max="10098" width="11.19921875" style="8" bestFit="1" customWidth="1"/>
    <col min="10099" max="10102" width="11" style="8"/>
    <col min="10103" max="10104" width="13.19921875" style="8" bestFit="1" customWidth="1"/>
    <col min="10105" max="10105" width="11" style="8"/>
    <col min="10106" max="10106" width="11.19921875" style="8" bestFit="1" customWidth="1"/>
    <col min="10107" max="10110" width="11" style="8"/>
    <col min="10111" max="10111" width="13.19921875" style="8" bestFit="1" customWidth="1"/>
    <col min="10112" max="10112" width="11.19921875" style="8" bestFit="1" customWidth="1"/>
    <col min="10113" max="10113" width="11" style="8"/>
    <col min="10114" max="10114" width="11.19921875" style="8" bestFit="1" customWidth="1"/>
    <col min="10115" max="10118" width="11" style="8"/>
    <col min="10119" max="10120" width="11.19921875" style="8" bestFit="1" customWidth="1"/>
    <col min="10121" max="10121" width="11" style="8"/>
    <col min="10122" max="10122" width="12.19921875" style="8" bestFit="1" customWidth="1"/>
    <col min="10123" max="10126" width="11" style="8"/>
    <col min="10127" max="10128" width="11.19921875" style="8" bestFit="1" customWidth="1"/>
    <col min="10129" max="10129" width="11" style="8"/>
    <col min="10130" max="10130" width="12.19921875" style="8" bestFit="1" customWidth="1"/>
    <col min="10131" max="10134" width="11" style="8"/>
    <col min="10135" max="10135" width="11.19921875" style="8" bestFit="1" customWidth="1"/>
    <col min="10136" max="10136" width="12.19921875" style="8" bestFit="1" customWidth="1"/>
    <col min="10137" max="10137" width="11" style="8"/>
    <col min="10138" max="10138" width="12.19921875" style="8" bestFit="1" customWidth="1"/>
    <col min="10139" max="10142" width="11" style="8"/>
    <col min="10143" max="10144" width="12.19921875" style="8" bestFit="1" customWidth="1"/>
    <col min="10145" max="10145" width="11" style="8"/>
    <col min="10146" max="10146" width="12.19921875" style="8" bestFit="1" customWidth="1"/>
    <col min="10147" max="10150" width="11" style="8"/>
    <col min="10151" max="10151" width="12.19921875" style="8" bestFit="1" customWidth="1"/>
    <col min="10152" max="10152" width="13.19921875" style="8" bestFit="1" customWidth="1"/>
    <col min="10153" max="10153" width="11" style="8"/>
    <col min="10154" max="10154" width="11.19921875" style="8" bestFit="1" customWidth="1"/>
    <col min="10155" max="10158" width="11" style="8"/>
    <col min="10159" max="10160" width="13.19921875" style="8" bestFit="1" customWidth="1"/>
    <col min="10161" max="10161" width="11" style="8"/>
    <col min="10162" max="10162" width="11.19921875" style="8" bestFit="1" customWidth="1"/>
    <col min="10163" max="10166" width="11" style="8"/>
    <col min="10167" max="10167" width="13.19921875" style="8" bestFit="1" customWidth="1"/>
    <col min="10168" max="10168" width="11.19921875" style="8" bestFit="1" customWidth="1"/>
    <col min="10169" max="10169" width="11" style="8"/>
    <col min="10170" max="10170" width="11.19921875" style="8" bestFit="1" customWidth="1"/>
    <col min="10171" max="10174" width="11" style="8"/>
    <col min="10175" max="10176" width="11.19921875" style="8" bestFit="1" customWidth="1"/>
    <col min="10177" max="10177" width="11" style="8"/>
    <col min="10178" max="10178" width="12.19921875" style="8" bestFit="1" customWidth="1"/>
    <col min="10179" max="10182" width="11" style="8"/>
    <col min="10183" max="10184" width="11.19921875" style="8" bestFit="1" customWidth="1"/>
    <col min="10185" max="10185" width="11" style="8"/>
    <col min="10186" max="10186" width="12.19921875" style="8" bestFit="1" customWidth="1"/>
    <col min="10187" max="10190" width="11" style="8"/>
    <col min="10191" max="10191" width="11.19921875" style="8" bestFit="1" customWidth="1"/>
    <col min="10192" max="10192" width="12.19921875" style="8" bestFit="1" customWidth="1"/>
    <col min="10193" max="10193" width="11" style="8"/>
    <col min="10194" max="10194" width="12.19921875" style="8" bestFit="1" customWidth="1"/>
    <col min="10195" max="10198" width="11" style="8"/>
    <col min="10199" max="10200" width="12.19921875" style="8" bestFit="1" customWidth="1"/>
    <col min="10201" max="10201" width="11" style="8"/>
    <col min="10202" max="10202" width="12.19921875" style="8" bestFit="1" customWidth="1"/>
    <col min="10203" max="10206" width="11" style="8"/>
    <col min="10207" max="10207" width="12.19921875" style="8" bestFit="1" customWidth="1"/>
    <col min="10208" max="10208" width="13.19921875" style="8" bestFit="1" customWidth="1"/>
    <col min="10209" max="10209" width="11" style="8"/>
    <col min="10210" max="10210" width="11.19921875" style="8" bestFit="1" customWidth="1"/>
    <col min="10211" max="10214" width="11" style="8"/>
    <col min="10215" max="10216" width="13.19921875" style="8" bestFit="1" customWidth="1"/>
    <col min="10217" max="10217" width="11" style="8"/>
    <col min="10218" max="10218" width="11.19921875" style="8" bestFit="1" customWidth="1"/>
    <col min="10219" max="10222" width="11" style="8"/>
    <col min="10223" max="10223" width="13.19921875" style="8" bestFit="1" customWidth="1"/>
    <col min="10224" max="10224" width="11.19921875" style="8" bestFit="1" customWidth="1"/>
    <col min="10225" max="10225" width="11" style="8"/>
    <col min="10226" max="10226" width="11.19921875" style="8" bestFit="1" customWidth="1"/>
    <col min="10227" max="10230" width="11" style="8"/>
    <col min="10231" max="10232" width="11.19921875" style="8" bestFit="1" customWidth="1"/>
    <col min="10233" max="10233" width="11" style="8"/>
    <col min="10234" max="10234" width="12.19921875" style="8" bestFit="1" customWidth="1"/>
    <col min="10235" max="10238" width="11" style="8"/>
    <col min="10239" max="10240" width="11.19921875" style="8" bestFit="1" customWidth="1"/>
    <col min="10241" max="10241" width="11" style="8"/>
    <col min="10242" max="10242" width="12.19921875" style="8" bestFit="1" customWidth="1"/>
    <col min="10243" max="10246" width="11" style="8"/>
    <col min="10247" max="10247" width="11.19921875" style="8" bestFit="1" customWidth="1"/>
    <col min="10248" max="10248" width="12.19921875" style="8" bestFit="1" customWidth="1"/>
    <col min="10249" max="10249" width="11" style="8"/>
    <col min="10250" max="10250" width="12.19921875" style="8" bestFit="1" customWidth="1"/>
    <col min="10251" max="10254" width="11" style="8"/>
    <col min="10255" max="10256" width="12.19921875" style="8" bestFit="1" customWidth="1"/>
    <col min="10257" max="10257" width="11" style="8"/>
    <col min="10258" max="10258" width="12.19921875" style="8" bestFit="1" customWidth="1"/>
    <col min="10259" max="10262" width="11" style="8"/>
    <col min="10263" max="10263" width="12.19921875" style="8" bestFit="1" customWidth="1"/>
    <col min="10264" max="10264" width="13.19921875" style="8" bestFit="1" customWidth="1"/>
    <col min="10265" max="10265" width="11" style="8"/>
    <col min="10266" max="10266" width="11.19921875" style="8" bestFit="1" customWidth="1"/>
    <col min="10267" max="10270" width="11" style="8"/>
    <col min="10271" max="10272" width="13.19921875" style="8" bestFit="1" customWidth="1"/>
    <col min="10273" max="10273" width="11" style="8"/>
    <col min="10274" max="10274" width="11.19921875" style="8" bestFit="1" customWidth="1"/>
    <col min="10275" max="10278" width="11" style="8"/>
    <col min="10279" max="10279" width="13.19921875" style="8" bestFit="1" customWidth="1"/>
    <col min="10280" max="10280" width="11.19921875" style="8" bestFit="1" customWidth="1"/>
    <col min="10281" max="10281" width="11" style="8"/>
    <col min="10282" max="10282" width="11.19921875" style="8" bestFit="1" customWidth="1"/>
    <col min="10283" max="10286" width="11" style="8"/>
    <col min="10287" max="10288" width="11.19921875" style="8" bestFit="1" customWidth="1"/>
    <col min="10289" max="10289" width="11" style="8"/>
    <col min="10290" max="10290" width="12.19921875" style="8" bestFit="1" customWidth="1"/>
    <col min="10291" max="10294" width="11" style="8"/>
    <col min="10295" max="10296" width="11.19921875" style="8" bestFit="1" customWidth="1"/>
    <col min="10297" max="10297" width="11" style="8"/>
    <col min="10298" max="10298" width="12.19921875" style="8" bestFit="1" customWidth="1"/>
    <col min="10299" max="10302" width="11" style="8"/>
    <col min="10303" max="10303" width="11.19921875" style="8" bestFit="1" customWidth="1"/>
    <col min="10304" max="10304" width="12.19921875" style="8" bestFit="1" customWidth="1"/>
    <col min="10305" max="10305" width="11" style="8"/>
    <col min="10306" max="10306" width="12.19921875" style="8" bestFit="1" customWidth="1"/>
    <col min="10307" max="10310" width="11" style="8"/>
    <col min="10311" max="10312" width="12.19921875" style="8" bestFit="1" customWidth="1"/>
    <col min="10313" max="10313" width="11" style="8"/>
    <col min="10314" max="10314" width="12.19921875" style="8" bestFit="1" customWidth="1"/>
    <col min="10315" max="10318" width="11" style="8"/>
    <col min="10319" max="10319" width="12.19921875" style="8" bestFit="1" customWidth="1"/>
    <col min="10320" max="10320" width="13.19921875" style="8" bestFit="1" customWidth="1"/>
    <col min="10321" max="10321" width="11" style="8"/>
    <col min="10322" max="10322" width="11.19921875" style="8" bestFit="1" customWidth="1"/>
    <col min="10323" max="10326" width="11" style="8"/>
    <col min="10327" max="10328" width="13.19921875" style="8" bestFit="1" customWidth="1"/>
    <col min="10329" max="10329" width="11" style="8"/>
    <col min="10330" max="10330" width="11.19921875" style="8" bestFit="1" customWidth="1"/>
    <col min="10331" max="10334" width="11" style="8"/>
    <col min="10335" max="10335" width="13.19921875" style="8" bestFit="1" customWidth="1"/>
    <col min="10336" max="10336" width="11.19921875" style="8" bestFit="1" customWidth="1"/>
    <col min="10337" max="10337" width="11" style="8"/>
    <col min="10338" max="10338" width="11.19921875" style="8" bestFit="1" customWidth="1"/>
    <col min="10339" max="10342" width="11" style="8"/>
    <col min="10343" max="10344" width="11.19921875" style="8" bestFit="1" customWidth="1"/>
    <col min="10345" max="10345" width="11" style="8"/>
    <col min="10346" max="10346" width="12.19921875" style="8" bestFit="1" customWidth="1"/>
    <col min="10347" max="10350" width="11" style="8"/>
    <col min="10351" max="10352" width="11.19921875" style="8" bestFit="1" customWidth="1"/>
    <col min="10353" max="10353" width="11" style="8"/>
    <col min="10354" max="10354" width="12.19921875" style="8" bestFit="1" customWidth="1"/>
    <col min="10355" max="10358" width="11" style="8"/>
    <col min="10359" max="10359" width="11.19921875" style="8" bestFit="1" customWidth="1"/>
    <col min="10360" max="10360" width="12.19921875" style="8" bestFit="1" customWidth="1"/>
    <col min="10361" max="10361" width="11" style="8"/>
    <col min="10362" max="10362" width="12.19921875" style="8" bestFit="1" customWidth="1"/>
    <col min="10363" max="10366" width="11" style="8"/>
    <col min="10367" max="10368" width="12.19921875" style="8" bestFit="1" customWidth="1"/>
    <col min="10369" max="10369" width="11" style="8"/>
    <col min="10370" max="10370" width="12.19921875" style="8" bestFit="1" customWidth="1"/>
    <col min="10371" max="10374" width="11" style="8"/>
    <col min="10375" max="10375" width="12.19921875" style="8" bestFit="1" customWidth="1"/>
    <col min="10376" max="10376" width="13.19921875" style="8" bestFit="1" customWidth="1"/>
    <col min="10377" max="10377" width="11" style="8"/>
    <col min="10378" max="10378" width="11.19921875" style="8" bestFit="1" customWidth="1"/>
    <col min="10379" max="10382" width="11" style="8"/>
    <col min="10383" max="10384" width="13.19921875" style="8" bestFit="1" customWidth="1"/>
    <col min="10385" max="10385" width="11" style="8"/>
    <col min="10386" max="10386" width="11.19921875" style="8" bestFit="1" customWidth="1"/>
    <col min="10387" max="10390" width="11" style="8"/>
    <col min="10391" max="10391" width="13.19921875" style="8" bestFit="1" customWidth="1"/>
    <col min="10392" max="10392" width="11.19921875" style="8" bestFit="1" customWidth="1"/>
    <col min="10393" max="10393" width="11" style="8"/>
    <col min="10394" max="10394" width="11.19921875" style="8" bestFit="1" customWidth="1"/>
    <col min="10395" max="10398" width="11" style="8"/>
    <col min="10399" max="10400" width="11.19921875" style="8" bestFit="1" customWidth="1"/>
    <col min="10401" max="10401" width="11" style="8"/>
    <col min="10402" max="10402" width="12.19921875" style="8" bestFit="1" customWidth="1"/>
    <col min="10403" max="10406" width="11" style="8"/>
    <col min="10407" max="10408" width="11.19921875" style="8" bestFit="1" customWidth="1"/>
    <col min="10409" max="10409" width="11" style="8"/>
    <col min="10410" max="10410" width="12.19921875" style="8" bestFit="1" customWidth="1"/>
    <col min="10411" max="10414" width="11" style="8"/>
    <col min="10415" max="10415" width="11.19921875" style="8" bestFit="1" customWidth="1"/>
    <col min="10416" max="10416" width="12.19921875" style="8" bestFit="1" customWidth="1"/>
    <col min="10417" max="10417" width="11" style="8"/>
    <col min="10418" max="10418" width="12.19921875" style="8" bestFit="1" customWidth="1"/>
    <col min="10419" max="10422" width="11" style="8"/>
    <col min="10423" max="10424" width="12.19921875" style="8" bestFit="1" customWidth="1"/>
    <col min="10425" max="10425" width="11" style="8"/>
    <col min="10426" max="10426" width="12.19921875" style="8" bestFit="1" customWidth="1"/>
    <col min="10427" max="10430" width="11" style="8"/>
    <col min="10431" max="10431" width="12.19921875" style="8" bestFit="1" customWidth="1"/>
    <col min="10432" max="10432" width="13.19921875" style="8" bestFit="1" customWidth="1"/>
    <col min="10433" max="10433" width="11" style="8"/>
    <col min="10434" max="10434" width="11.19921875" style="8" bestFit="1" customWidth="1"/>
    <col min="10435" max="10438" width="11" style="8"/>
    <col min="10439" max="10440" width="13.19921875" style="8" bestFit="1" customWidth="1"/>
    <col min="10441" max="10441" width="11" style="8"/>
    <col min="10442" max="10442" width="11.19921875" style="8" bestFit="1" customWidth="1"/>
    <col min="10443" max="10446" width="11" style="8"/>
    <col min="10447" max="10447" width="13.19921875" style="8" bestFit="1" customWidth="1"/>
    <col min="10448" max="10448" width="11.19921875" style="8" bestFit="1" customWidth="1"/>
    <col min="10449" max="10449" width="11" style="8"/>
    <col min="10450" max="10450" width="11.19921875" style="8" bestFit="1" customWidth="1"/>
    <col min="10451" max="10454" width="11" style="8"/>
    <col min="10455" max="10456" width="11.19921875" style="8" bestFit="1" customWidth="1"/>
    <col min="10457" max="10457" width="11" style="8"/>
    <col min="10458" max="10458" width="12.19921875" style="8" bestFit="1" customWidth="1"/>
    <col min="10459" max="10462" width="11" style="8"/>
    <col min="10463" max="10464" width="11.19921875" style="8" bestFit="1" customWidth="1"/>
    <col min="10465" max="10465" width="11" style="8"/>
    <col min="10466" max="10466" width="12.19921875" style="8" bestFit="1" customWidth="1"/>
    <col min="10467" max="10470" width="11" style="8"/>
    <col min="10471" max="10471" width="11.19921875" style="8" bestFit="1" customWidth="1"/>
    <col min="10472" max="10472" width="12.19921875" style="8" bestFit="1" customWidth="1"/>
    <col min="10473" max="10473" width="11" style="8"/>
    <col min="10474" max="10474" width="12.19921875" style="8" bestFit="1" customWidth="1"/>
    <col min="10475" max="10478" width="11" style="8"/>
    <col min="10479" max="10480" width="12.19921875" style="8" bestFit="1" customWidth="1"/>
    <col min="10481" max="10481" width="11" style="8"/>
    <col min="10482" max="10482" width="12.19921875" style="8" bestFit="1" customWidth="1"/>
    <col min="10483" max="10486" width="11" style="8"/>
    <col min="10487" max="10487" width="12.19921875" style="8" bestFit="1" customWidth="1"/>
    <col min="10488" max="10488" width="13.19921875" style="8" bestFit="1" customWidth="1"/>
    <col min="10489" max="10489" width="11" style="8"/>
    <col min="10490" max="10490" width="11.19921875" style="8" bestFit="1" customWidth="1"/>
    <col min="10491" max="10494" width="11" style="8"/>
    <col min="10495" max="10496" width="13.19921875" style="8" bestFit="1" customWidth="1"/>
    <col min="10497" max="10497" width="11" style="8"/>
    <col min="10498" max="10498" width="11.19921875" style="8" bestFit="1" customWidth="1"/>
    <col min="10499" max="10502" width="11" style="8"/>
    <col min="10503" max="10503" width="13.19921875" style="8" bestFit="1" customWidth="1"/>
    <col min="10504" max="10504" width="11.19921875" style="8" bestFit="1" customWidth="1"/>
    <col min="10505" max="10505" width="11" style="8"/>
    <col min="10506" max="10506" width="11.19921875" style="8" bestFit="1" customWidth="1"/>
    <col min="10507" max="10510" width="11" style="8"/>
    <col min="10511" max="10512" width="11.19921875" style="8" bestFit="1" customWidth="1"/>
    <col min="10513" max="10513" width="11" style="8"/>
    <col min="10514" max="10514" width="12.19921875" style="8" bestFit="1" customWidth="1"/>
    <col min="10515" max="10518" width="11" style="8"/>
    <col min="10519" max="10520" width="11.19921875" style="8" bestFit="1" customWidth="1"/>
    <col min="10521" max="10521" width="11" style="8"/>
    <col min="10522" max="10522" width="12.19921875" style="8" bestFit="1" customWidth="1"/>
    <col min="10523" max="10526" width="11" style="8"/>
    <col min="10527" max="10527" width="11.19921875" style="8" bestFit="1" customWidth="1"/>
    <col min="10528" max="10528" width="12.19921875" style="8" bestFit="1" customWidth="1"/>
    <col min="10529" max="10529" width="11" style="8"/>
    <col min="10530" max="10530" width="12.19921875" style="8" bestFit="1" customWidth="1"/>
    <col min="10531" max="10534" width="11" style="8"/>
    <col min="10535" max="10536" width="12.19921875" style="8" bestFit="1" customWidth="1"/>
    <col min="10537" max="10537" width="11" style="8"/>
    <col min="10538" max="10538" width="12.19921875" style="8" bestFit="1" customWidth="1"/>
    <col min="10539" max="10542" width="11" style="8"/>
    <col min="10543" max="10543" width="12.19921875" style="8" bestFit="1" customWidth="1"/>
    <col min="10544" max="10544" width="13.19921875" style="8" bestFit="1" customWidth="1"/>
    <col min="10545" max="10545" width="11" style="8"/>
    <col min="10546" max="10546" width="11.19921875" style="8" bestFit="1" customWidth="1"/>
    <col min="10547" max="10550" width="11" style="8"/>
    <col min="10551" max="10552" width="13.19921875" style="8" bestFit="1" customWidth="1"/>
    <col min="10553" max="10553" width="11" style="8"/>
    <col min="10554" max="10554" width="11.19921875" style="8" bestFit="1" customWidth="1"/>
    <col min="10555" max="10558" width="11" style="8"/>
    <col min="10559" max="10559" width="13.19921875" style="8" bestFit="1" customWidth="1"/>
    <col min="10560" max="10560" width="11.19921875" style="8" bestFit="1" customWidth="1"/>
    <col min="10561" max="10561" width="11" style="8"/>
    <col min="10562" max="10562" width="11.19921875" style="8" bestFit="1" customWidth="1"/>
    <col min="10563" max="10566" width="11" style="8"/>
    <col min="10567" max="10568" width="11.19921875" style="8" bestFit="1" customWidth="1"/>
    <col min="10569" max="10569" width="11" style="8"/>
    <col min="10570" max="10570" width="12.19921875" style="8" bestFit="1" customWidth="1"/>
    <col min="10571" max="10574" width="11" style="8"/>
    <col min="10575" max="10576" width="11.19921875" style="8" bestFit="1" customWidth="1"/>
    <col min="10577" max="10577" width="11" style="8"/>
    <col min="10578" max="10578" width="12.19921875" style="8" bestFit="1" customWidth="1"/>
    <col min="10579" max="10582" width="11" style="8"/>
    <col min="10583" max="10583" width="11.19921875" style="8" bestFit="1" customWidth="1"/>
    <col min="10584" max="10584" width="12.19921875" style="8" bestFit="1" customWidth="1"/>
    <col min="10585" max="10585" width="11" style="8"/>
    <col min="10586" max="10586" width="12.19921875" style="8" bestFit="1" customWidth="1"/>
    <col min="10587" max="10590" width="11" style="8"/>
    <col min="10591" max="10592" width="12.19921875" style="8" bestFit="1" customWidth="1"/>
    <col min="10593" max="10593" width="11" style="8"/>
    <col min="10594" max="10594" width="12.19921875" style="8" bestFit="1" customWidth="1"/>
    <col min="10595" max="10598" width="11" style="8"/>
    <col min="10599" max="10599" width="12.19921875" style="8" bestFit="1" customWidth="1"/>
    <col min="10600" max="10600" width="13.19921875" style="8" bestFit="1" customWidth="1"/>
    <col min="10601" max="10601" width="11" style="8"/>
    <col min="10602" max="10602" width="11.19921875" style="8" bestFit="1" customWidth="1"/>
    <col min="10603" max="10606" width="11" style="8"/>
    <col min="10607" max="10608" width="13.19921875" style="8" bestFit="1" customWidth="1"/>
    <col min="10609" max="10609" width="11" style="8"/>
    <col min="10610" max="10610" width="11.19921875" style="8" bestFit="1" customWidth="1"/>
    <col min="10611" max="10614" width="11" style="8"/>
    <col min="10615" max="10615" width="13.19921875" style="8" bestFit="1" customWidth="1"/>
    <col min="10616" max="10616" width="11.19921875" style="8" bestFit="1" customWidth="1"/>
    <col min="10617" max="10617" width="11" style="8"/>
    <col min="10618" max="10618" width="11.19921875" style="8" bestFit="1" customWidth="1"/>
    <col min="10619" max="10622" width="11" style="8"/>
    <col min="10623" max="10624" width="11.19921875" style="8" bestFit="1" customWidth="1"/>
    <col min="10625" max="10625" width="11" style="8"/>
    <col min="10626" max="10626" width="12.19921875" style="8" bestFit="1" customWidth="1"/>
    <col min="10627" max="10630" width="11" style="8"/>
    <col min="10631" max="10632" width="11.19921875" style="8" bestFit="1" customWidth="1"/>
    <col min="10633" max="10633" width="11" style="8"/>
    <col min="10634" max="10634" width="12.19921875" style="8" bestFit="1" customWidth="1"/>
    <col min="10635" max="10638" width="11" style="8"/>
    <col min="10639" max="10639" width="11.19921875" style="8" bestFit="1" customWidth="1"/>
    <col min="10640" max="10640" width="12.19921875" style="8" bestFit="1" customWidth="1"/>
    <col min="10641" max="10641" width="11" style="8"/>
    <col min="10642" max="10642" width="12.19921875" style="8" bestFit="1" customWidth="1"/>
    <col min="10643" max="10646" width="11" style="8"/>
    <col min="10647" max="10648" width="12.19921875" style="8" bestFit="1" customWidth="1"/>
    <col min="10649" max="10649" width="11" style="8"/>
    <col min="10650" max="10650" width="12.19921875" style="8" bestFit="1" customWidth="1"/>
    <col min="10651" max="10654" width="11" style="8"/>
    <col min="10655" max="10655" width="12.19921875" style="8" bestFit="1" customWidth="1"/>
    <col min="10656" max="10656" width="13.19921875" style="8" bestFit="1" customWidth="1"/>
    <col min="10657" max="10657" width="11" style="8"/>
    <col min="10658" max="10658" width="11.19921875" style="8" bestFit="1" customWidth="1"/>
    <col min="10659" max="10662" width="11" style="8"/>
    <col min="10663" max="10664" width="13.19921875" style="8" bestFit="1" customWidth="1"/>
    <col min="10665" max="10665" width="11" style="8"/>
    <col min="10666" max="10666" width="11.19921875" style="8" bestFit="1" customWidth="1"/>
    <col min="10667" max="10670" width="11" style="8"/>
    <col min="10671" max="10671" width="13.19921875" style="8" bestFit="1" customWidth="1"/>
    <col min="10672" max="10672" width="11.19921875" style="8" bestFit="1" customWidth="1"/>
    <col min="10673" max="10673" width="11" style="8"/>
    <col min="10674" max="10674" width="11.19921875" style="8" bestFit="1" customWidth="1"/>
    <col min="10675" max="10678" width="11" style="8"/>
    <col min="10679" max="10680" width="11.19921875" style="8" bestFit="1" customWidth="1"/>
    <col min="10681" max="10681" width="11" style="8"/>
    <col min="10682" max="10682" width="12.19921875" style="8" bestFit="1" customWidth="1"/>
    <col min="10683" max="10686" width="11" style="8"/>
    <col min="10687" max="10688" width="11.19921875" style="8" bestFit="1" customWidth="1"/>
    <col min="10689" max="10689" width="11" style="8"/>
    <col min="10690" max="10690" width="12.19921875" style="8" bestFit="1" customWidth="1"/>
    <col min="10691" max="10694" width="11" style="8"/>
    <col min="10695" max="10695" width="11.19921875" style="8" bestFit="1" customWidth="1"/>
    <col min="10696" max="10696" width="12.19921875" style="8" bestFit="1" customWidth="1"/>
    <col min="10697" max="10697" width="11" style="8"/>
    <col min="10698" max="10698" width="12.19921875" style="8" bestFit="1" customWidth="1"/>
    <col min="10699" max="10702" width="11" style="8"/>
    <col min="10703" max="10704" width="12.19921875" style="8" bestFit="1" customWidth="1"/>
    <col min="10705" max="10705" width="11" style="8"/>
    <col min="10706" max="10706" width="12.19921875" style="8" bestFit="1" customWidth="1"/>
    <col min="10707" max="10710" width="11" style="8"/>
    <col min="10711" max="10711" width="12.19921875" style="8" bestFit="1" customWidth="1"/>
    <col min="10712" max="10712" width="13.19921875" style="8" bestFit="1" customWidth="1"/>
    <col min="10713" max="10713" width="11" style="8"/>
    <col min="10714" max="10714" width="11.19921875" style="8" bestFit="1" customWidth="1"/>
    <col min="10715" max="10718" width="11" style="8"/>
    <col min="10719" max="10720" width="13.19921875" style="8" bestFit="1" customWidth="1"/>
    <col min="10721" max="10721" width="11" style="8"/>
    <col min="10722" max="10722" width="11.19921875" style="8" bestFit="1" customWidth="1"/>
    <col min="10723" max="10726" width="11" style="8"/>
    <col min="10727" max="10727" width="13.19921875" style="8" bestFit="1" customWidth="1"/>
    <col min="10728" max="10728" width="11.19921875" style="8" bestFit="1" customWidth="1"/>
    <col min="10729" max="10729" width="11" style="8"/>
    <col min="10730" max="10730" width="11.19921875" style="8" bestFit="1" customWidth="1"/>
    <col min="10731" max="10734" width="11" style="8"/>
    <col min="10735" max="10736" width="11.19921875" style="8" bestFit="1" customWidth="1"/>
    <col min="10737" max="10737" width="11" style="8"/>
    <col min="10738" max="10738" width="12.19921875" style="8" bestFit="1" customWidth="1"/>
    <col min="10739" max="10742" width="11" style="8"/>
    <col min="10743" max="10744" width="11.19921875" style="8" bestFit="1" customWidth="1"/>
    <col min="10745" max="10745" width="11" style="8"/>
    <col min="10746" max="10746" width="12.19921875" style="8" bestFit="1" customWidth="1"/>
    <col min="10747" max="10750" width="11" style="8"/>
    <col min="10751" max="10751" width="11.19921875" style="8" bestFit="1" customWidth="1"/>
    <col min="10752" max="10752" width="12.19921875" style="8" bestFit="1" customWidth="1"/>
    <col min="10753" max="10753" width="11" style="8"/>
    <col min="10754" max="10754" width="12.19921875" style="8" bestFit="1" customWidth="1"/>
    <col min="10755" max="10758" width="11" style="8"/>
    <col min="10759" max="10760" width="12.19921875" style="8" bestFit="1" customWidth="1"/>
    <col min="10761" max="10761" width="11" style="8"/>
    <col min="10762" max="10762" width="12.19921875" style="8" bestFit="1" customWidth="1"/>
    <col min="10763" max="10766" width="11" style="8"/>
    <col min="10767" max="10767" width="12.19921875" style="8" bestFit="1" customWidth="1"/>
    <col min="10768" max="10768" width="13.19921875" style="8" bestFit="1" customWidth="1"/>
    <col min="10769" max="10769" width="11" style="8"/>
    <col min="10770" max="10770" width="11.19921875" style="8" bestFit="1" customWidth="1"/>
    <col min="10771" max="10774" width="11" style="8"/>
    <col min="10775" max="10776" width="13.19921875" style="8" bestFit="1" customWidth="1"/>
    <col min="10777" max="10777" width="11" style="8"/>
    <col min="10778" max="10778" width="11.19921875" style="8" bestFit="1" customWidth="1"/>
    <col min="10779" max="10782" width="11" style="8"/>
    <col min="10783" max="10783" width="13.19921875" style="8" bestFit="1" customWidth="1"/>
    <col min="10784" max="10784" width="11.19921875" style="8" bestFit="1" customWidth="1"/>
    <col min="10785" max="10785" width="11" style="8"/>
    <col min="10786" max="10786" width="11.19921875" style="8" bestFit="1" customWidth="1"/>
    <col min="10787" max="10790" width="11" style="8"/>
    <col min="10791" max="10792" width="11.19921875" style="8" bestFit="1" customWidth="1"/>
    <col min="10793" max="10793" width="11" style="8"/>
    <col min="10794" max="10794" width="12.19921875" style="8" bestFit="1" customWidth="1"/>
    <col min="10795" max="10798" width="11" style="8"/>
    <col min="10799" max="10800" width="11.19921875" style="8" bestFit="1" customWidth="1"/>
    <col min="10801" max="10801" width="11" style="8"/>
    <col min="10802" max="10802" width="12.19921875" style="8" bestFit="1" customWidth="1"/>
    <col min="10803" max="10806" width="11" style="8"/>
    <col min="10807" max="10807" width="11.19921875" style="8" bestFit="1" customWidth="1"/>
    <col min="10808" max="10808" width="12.19921875" style="8" bestFit="1" customWidth="1"/>
    <col min="10809" max="10809" width="11" style="8"/>
    <col min="10810" max="10810" width="12.19921875" style="8" bestFit="1" customWidth="1"/>
    <col min="10811" max="10814" width="11" style="8"/>
    <col min="10815" max="10816" width="12.19921875" style="8" bestFit="1" customWidth="1"/>
    <col min="10817" max="10817" width="11" style="8"/>
    <col min="10818" max="10818" width="12.19921875" style="8" bestFit="1" customWidth="1"/>
    <col min="10819" max="10822" width="11" style="8"/>
    <col min="10823" max="10823" width="12.19921875" style="8" bestFit="1" customWidth="1"/>
    <col min="10824" max="10824" width="13.19921875" style="8" bestFit="1" customWidth="1"/>
    <col min="10825" max="10825" width="11" style="8"/>
    <col min="10826" max="10826" width="11.19921875" style="8" bestFit="1" customWidth="1"/>
    <col min="10827" max="10830" width="11" style="8"/>
    <col min="10831" max="10832" width="13.19921875" style="8" bestFit="1" customWidth="1"/>
    <col min="10833" max="10833" width="11" style="8"/>
    <col min="10834" max="10834" width="11.19921875" style="8" bestFit="1" customWidth="1"/>
    <col min="10835" max="10838" width="11" style="8"/>
    <col min="10839" max="10839" width="13.19921875" style="8" bestFit="1" customWidth="1"/>
    <col min="10840" max="10840" width="11.19921875" style="8" bestFit="1" customWidth="1"/>
    <col min="10841" max="10841" width="11" style="8"/>
    <col min="10842" max="10842" width="11.19921875" style="8" bestFit="1" customWidth="1"/>
    <col min="10843" max="10846" width="11" style="8"/>
    <col min="10847" max="10848" width="11.19921875" style="8" bestFit="1" customWidth="1"/>
    <col min="10849" max="10849" width="11" style="8"/>
    <col min="10850" max="10850" width="12.19921875" style="8" bestFit="1" customWidth="1"/>
    <col min="10851" max="10854" width="11" style="8"/>
    <col min="10855" max="10856" width="11.19921875" style="8" bestFit="1" customWidth="1"/>
    <col min="10857" max="10857" width="11" style="8"/>
    <col min="10858" max="10858" width="12.19921875" style="8" bestFit="1" customWidth="1"/>
    <col min="10859" max="10862" width="11" style="8"/>
    <col min="10863" max="10863" width="11.19921875" style="8" bestFit="1" customWidth="1"/>
    <col min="10864" max="10864" width="12.19921875" style="8" bestFit="1" customWidth="1"/>
    <col min="10865" max="10865" width="11" style="8"/>
    <col min="10866" max="10866" width="12.19921875" style="8" bestFit="1" customWidth="1"/>
    <col min="10867" max="10870" width="11" style="8"/>
    <col min="10871" max="10872" width="12.19921875" style="8" bestFit="1" customWidth="1"/>
    <col min="10873" max="10873" width="11" style="8"/>
    <col min="10874" max="10874" width="12.19921875" style="8" bestFit="1" customWidth="1"/>
    <col min="10875" max="10878" width="11" style="8"/>
    <col min="10879" max="10879" width="12.19921875" style="8" bestFit="1" customWidth="1"/>
    <col min="10880" max="10880" width="13.19921875" style="8" bestFit="1" customWidth="1"/>
    <col min="10881" max="10881" width="11" style="8"/>
    <col min="10882" max="10882" width="11.19921875" style="8" bestFit="1" customWidth="1"/>
    <col min="10883" max="10886" width="11" style="8"/>
    <col min="10887" max="10888" width="13.19921875" style="8" bestFit="1" customWidth="1"/>
    <col min="10889" max="10889" width="11" style="8"/>
    <col min="10890" max="10890" width="11.19921875" style="8" bestFit="1" customWidth="1"/>
    <col min="10891" max="10894" width="11" style="8"/>
    <col min="10895" max="10895" width="13.19921875" style="8" bestFit="1" customWidth="1"/>
    <col min="10896" max="10896" width="11.19921875" style="8" bestFit="1" customWidth="1"/>
    <col min="10897" max="10897" width="11" style="8"/>
    <col min="10898" max="10898" width="11.19921875" style="8" bestFit="1" customWidth="1"/>
    <col min="10899" max="10902" width="11" style="8"/>
    <col min="10903" max="10904" width="11.19921875" style="8" bestFit="1" customWidth="1"/>
    <col min="10905" max="10905" width="11" style="8"/>
    <col min="10906" max="10906" width="12.19921875" style="8" bestFit="1" customWidth="1"/>
    <col min="10907" max="10910" width="11" style="8"/>
    <col min="10911" max="10912" width="11.19921875" style="8" bestFit="1" customWidth="1"/>
    <col min="10913" max="10913" width="11" style="8"/>
    <col min="10914" max="10914" width="12.19921875" style="8" bestFit="1" customWidth="1"/>
    <col min="10915" max="10918" width="11" style="8"/>
    <col min="10919" max="10919" width="11.19921875" style="8" bestFit="1" customWidth="1"/>
    <col min="10920" max="10920" width="12.19921875" style="8" bestFit="1" customWidth="1"/>
    <col min="10921" max="10921" width="11" style="8"/>
    <col min="10922" max="10922" width="12.19921875" style="8" bestFit="1" customWidth="1"/>
    <col min="10923" max="10926" width="11" style="8"/>
    <col min="10927" max="10928" width="12.19921875" style="8" bestFit="1" customWidth="1"/>
    <col min="10929" max="10929" width="11" style="8"/>
    <col min="10930" max="10930" width="12.19921875" style="8" bestFit="1" customWidth="1"/>
    <col min="10931" max="10934" width="11" style="8"/>
    <col min="10935" max="10935" width="12.19921875" style="8" bestFit="1" customWidth="1"/>
    <col min="10936" max="10936" width="13.19921875" style="8" bestFit="1" customWidth="1"/>
    <col min="10937" max="10937" width="11" style="8"/>
    <col min="10938" max="10938" width="11.19921875" style="8" bestFit="1" customWidth="1"/>
    <col min="10939" max="10942" width="11" style="8"/>
    <col min="10943" max="10944" width="13.19921875" style="8" bestFit="1" customWidth="1"/>
    <col min="10945" max="10945" width="11" style="8"/>
    <col min="10946" max="10946" width="11.19921875" style="8" bestFit="1" customWidth="1"/>
    <col min="10947" max="10950" width="11" style="8"/>
    <col min="10951" max="10951" width="13.19921875" style="8" bestFit="1" customWidth="1"/>
    <col min="10952" max="10952" width="11.19921875" style="8" bestFit="1" customWidth="1"/>
    <col min="10953" max="10953" width="11" style="8"/>
    <col min="10954" max="10954" width="11.19921875" style="8" bestFit="1" customWidth="1"/>
    <col min="10955" max="10958" width="11" style="8"/>
    <col min="10959" max="10960" width="11.19921875" style="8" bestFit="1" customWidth="1"/>
    <col min="10961" max="10961" width="11" style="8"/>
    <col min="10962" max="10962" width="12.19921875" style="8" bestFit="1" customWidth="1"/>
    <col min="10963" max="10966" width="11" style="8"/>
    <col min="10967" max="10968" width="11.19921875" style="8" bestFit="1" customWidth="1"/>
    <col min="10969" max="10969" width="11" style="8"/>
    <col min="10970" max="10970" width="12.19921875" style="8" bestFit="1" customWidth="1"/>
    <col min="10971" max="10974" width="11" style="8"/>
    <col min="10975" max="10975" width="11.19921875" style="8" bestFit="1" customWidth="1"/>
    <col min="10976" max="10976" width="12.19921875" style="8" bestFit="1" customWidth="1"/>
    <col min="10977" max="10977" width="11" style="8"/>
    <col min="10978" max="10978" width="12.19921875" style="8" bestFit="1" customWidth="1"/>
    <col min="10979" max="10982" width="11" style="8"/>
    <col min="10983" max="10984" width="12.19921875" style="8" bestFit="1" customWidth="1"/>
    <col min="10985" max="10985" width="11" style="8"/>
    <col min="10986" max="10986" width="12.19921875" style="8" bestFit="1" customWidth="1"/>
    <col min="10987" max="10990" width="11" style="8"/>
    <col min="10991" max="10991" width="12.19921875" style="8" bestFit="1" customWidth="1"/>
    <col min="10992" max="10992" width="13.19921875" style="8" bestFit="1" customWidth="1"/>
    <col min="10993" max="10993" width="11" style="8"/>
    <col min="10994" max="10994" width="11.19921875" style="8" bestFit="1" customWidth="1"/>
    <col min="10995" max="10998" width="11" style="8"/>
    <col min="10999" max="11000" width="13.19921875" style="8" bestFit="1" customWidth="1"/>
    <col min="11001" max="11001" width="11" style="8"/>
    <col min="11002" max="11002" width="11.19921875" style="8" bestFit="1" customWidth="1"/>
    <col min="11003" max="11006" width="11" style="8"/>
    <col min="11007" max="11007" width="13.19921875" style="8" bestFit="1" customWidth="1"/>
    <col min="11008" max="11008" width="11.19921875" style="8" bestFit="1" customWidth="1"/>
    <col min="11009" max="11009" width="11" style="8"/>
    <col min="11010" max="11010" width="11.19921875" style="8" bestFit="1" customWidth="1"/>
    <col min="11011" max="11014" width="11" style="8"/>
    <col min="11015" max="11016" width="11.19921875" style="8" bestFit="1" customWidth="1"/>
    <col min="11017" max="11017" width="11" style="8"/>
    <col min="11018" max="11018" width="12.19921875" style="8" bestFit="1" customWidth="1"/>
    <col min="11019" max="11022" width="11" style="8"/>
    <col min="11023" max="11024" width="11.19921875" style="8" bestFit="1" customWidth="1"/>
    <col min="11025" max="11025" width="11" style="8"/>
    <col min="11026" max="11026" width="12.19921875" style="8" bestFit="1" customWidth="1"/>
    <col min="11027" max="11030" width="11" style="8"/>
    <col min="11031" max="11031" width="11.19921875" style="8" bestFit="1" customWidth="1"/>
    <col min="11032" max="11032" width="12.19921875" style="8" bestFit="1" customWidth="1"/>
    <col min="11033" max="11033" width="11" style="8"/>
    <col min="11034" max="11034" width="12.19921875" style="8" bestFit="1" customWidth="1"/>
    <col min="11035" max="11038" width="11" style="8"/>
    <col min="11039" max="11040" width="12.19921875" style="8" bestFit="1" customWidth="1"/>
    <col min="11041" max="11041" width="11" style="8"/>
    <col min="11042" max="11042" width="12.19921875" style="8" bestFit="1" customWidth="1"/>
    <col min="11043" max="11046" width="11" style="8"/>
    <col min="11047" max="11047" width="12.19921875" style="8" bestFit="1" customWidth="1"/>
    <col min="11048" max="11048" width="13.19921875" style="8" bestFit="1" customWidth="1"/>
    <col min="11049" max="11049" width="11" style="8"/>
    <col min="11050" max="11050" width="11.19921875" style="8" bestFit="1" customWidth="1"/>
    <col min="11051" max="11054" width="11" style="8"/>
    <col min="11055" max="11056" width="13.19921875" style="8" bestFit="1" customWidth="1"/>
    <col min="11057" max="11057" width="11" style="8"/>
    <col min="11058" max="11058" width="11.19921875" style="8" bestFit="1" customWidth="1"/>
    <col min="11059" max="11062" width="11" style="8"/>
    <col min="11063" max="11063" width="13.19921875" style="8" bestFit="1" customWidth="1"/>
    <col min="11064" max="11064" width="11.19921875" style="8" bestFit="1" customWidth="1"/>
    <col min="11065" max="11065" width="11" style="8"/>
    <col min="11066" max="11066" width="11.19921875" style="8" bestFit="1" customWidth="1"/>
    <col min="11067" max="11070" width="11" style="8"/>
    <col min="11071" max="11072" width="11.19921875" style="8" bestFit="1" customWidth="1"/>
    <col min="11073" max="11073" width="11" style="8"/>
    <col min="11074" max="11074" width="12.19921875" style="8" bestFit="1" customWidth="1"/>
    <col min="11075" max="11078" width="11" style="8"/>
    <col min="11079" max="11080" width="11.19921875" style="8" bestFit="1" customWidth="1"/>
    <col min="11081" max="11081" width="11" style="8"/>
    <col min="11082" max="11082" width="12.19921875" style="8" bestFit="1" customWidth="1"/>
    <col min="11083" max="11086" width="11" style="8"/>
    <col min="11087" max="11087" width="11.19921875" style="8" bestFit="1" customWidth="1"/>
    <col min="11088" max="11088" width="12.19921875" style="8" bestFit="1" customWidth="1"/>
    <col min="11089" max="11089" width="11" style="8"/>
    <col min="11090" max="11090" width="12.19921875" style="8" bestFit="1" customWidth="1"/>
    <col min="11091" max="11094" width="11" style="8"/>
    <col min="11095" max="11096" width="12.19921875" style="8" bestFit="1" customWidth="1"/>
    <col min="11097" max="11097" width="11" style="8"/>
    <col min="11098" max="11098" width="12.19921875" style="8" bestFit="1" customWidth="1"/>
    <col min="11099" max="11102" width="11" style="8"/>
    <col min="11103" max="11103" width="12.19921875" style="8" bestFit="1" customWidth="1"/>
    <col min="11104" max="11104" width="13.19921875" style="8" bestFit="1" customWidth="1"/>
    <col min="11105" max="11105" width="11" style="8"/>
    <col min="11106" max="11106" width="11.19921875" style="8" bestFit="1" customWidth="1"/>
    <col min="11107" max="11110" width="11" style="8"/>
    <col min="11111" max="11112" width="13.19921875" style="8" bestFit="1" customWidth="1"/>
    <col min="11113" max="11113" width="11" style="8"/>
    <col min="11114" max="11114" width="11.19921875" style="8" bestFit="1" customWidth="1"/>
    <col min="11115" max="11118" width="11" style="8"/>
    <col min="11119" max="11119" width="13.19921875" style="8" bestFit="1" customWidth="1"/>
    <col min="11120" max="11120" width="11.19921875" style="8" bestFit="1" customWidth="1"/>
    <col min="11121" max="11121" width="11" style="8"/>
    <col min="11122" max="11122" width="11.19921875" style="8" bestFit="1" customWidth="1"/>
    <col min="11123" max="11126" width="11" style="8"/>
    <col min="11127" max="11128" width="11.19921875" style="8" bestFit="1" customWidth="1"/>
    <col min="11129" max="11129" width="11" style="8"/>
    <col min="11130" max="11130" width="12.19921875" style="8" bestFit="1" customWidth="1"/>
    <col min="11131" max="11134" width="11" style="8"/>
    <col min="11135" max="11136" width="11.19921875" style="8" bestFit="1" customWidth="1"/>
    <col min="11137" max="11137" width="11" style="8"/>
    <col min="11138" max="11138" width="12.19921875" style="8" bestFit="1" customWidth="1"/>
    <col min="11139" max="11142" width="11" style="8"/>
    <col min="11143" max="11143" width="11.19921875" style="8" bestFit="1" customWidth="1"/>
    <col min="11144" max="11144" width="12.19921875" style="8" bestFit="1" customWidth="1"/>
    <col min="11145" max="11145" width="11" style="8"/>
    <col min="11146" max="11146" width="12.19921875" style="8" bestFit="1" customWidth="1"/>
    <col min="11147" max="11150" width="11" style="8"/>
    <col min="11151" max="11152" width="12.19921875" style="8" bestFit="1" customWidth="1"/>
    <col min="11153" max="11153" width="11" style="8"/>
    <col min="11154" max="11154" width="12.19921875" style="8" bestFit="1" customWidth="1"/>
    <col min="11155" max="11158" width="11" style="8"/>
    <col min="11159" max="11159" width="12.19921875" style="8" bestFit="1" customWidth="1"/>
    <col min="11160" max="11160" width="13.19921875" style="8" bestFit="1" customWidth="1"/>
    <col min="11161" max="11161" width="11" style="8"/>
    <col min="11162" max="11162" width="11.19921875" style="8" bestFit="1" customWidth="1"/>
    <col min="11163" max="11166" width="11" style="8"/>
    <col min="11167" max="11168" width="13.19921875" style="8" bestFit="1" customWidth="1"/>
    <col min="11169" max="11169" width="11" style="8"/>
    <col min="11170" max="11170" width="11.19921875" style="8" bestFit="1" customWidth="1"/>
    <col min="11171" max="11174" width="11" style="8"/>
    <col min="11175" max="11175" width="13.19921875" style="8" bestFit="1" customWidth="1"/>
    <col min="11176" max="11176" width="11.19921875" style="8" bestFit="1" customWidth="1"/>
    <col min="11177" max="11177" width="11" style="8"/>
    <col min="11178" max="11178" width="11.19921875" style="8" bestFit="1" customWidth="1"/>
    <col min="11179" max="11182" width="11" style="8"/>
    <col min="11183" max="11184" width="11.19921875" style="8" bestFit="1" customWidth="1"/>
    <col min="11185" max="11185" width="11" style="8"/>
    <col min="11186" max="11186" width="12.19921875" style="8" bestFit="1" customWidth="1"/>
    <col min="11187" max="11190" width="11" style="8"/>
    <col min="11191" max="11192" width="11.19921875" style="8" bestFit="1" customWidth="1"/>
    <col min="11193" max="11193" width="11" style="8"/>
    <col min="11194" max="11194" width="12.19921875" style="8" bestFit="1" customWidth="1"/>
    <col min="11195" max="11198" width="11" style="8"/>
    <col min="11199" max="11199" width="11.19921875" style="8" bestFit="1" customWidth="1"/>
    <col min="11200" max="11200" width="12.19921875" style="8" bestFit="1" customWidth="1"/>
    <col min="11201" max="11201" width="11" style="8"/>
    <col min="11202" max="11202" width="12.19921875" style="8" bestFit="1" customWidth="1"/>
    <col min="11203" max="11206" width="11" style="8"/>
    <col min="11207" max="11208" width="12.19921875" style="8" bestFit="1" customWidth="1"/>
    <col min="11209" max="11209" width="11" style="8"/>
    <col min="11210" max="11210" width="12.19921875" style="8" bestFit="1" customWidth="1"/>
    <col min="11211" max="11214" width="11" style="8"/>
    <col min="11215" max="11215" width="12.19921875" style="8" bestFit="1" customWidth="1"/>
    <col min="11216" max="11216" width="13.19921875" style="8" bestFit="1" customWidth="1"/>
    <col min="11217" max="11217" width="11" style="8"/>
    <col min="11218" max="11218" width="11.19921875" style="8" bestFit="1" customWidth="1"/>
    <col min="11219" max="11222" width="11" style="8"/>
    <col min="11223" max="11224" width="13.19921875" style="8" bestFit="1" customWidth="1"/>
    <col min="11225" max="11225" width="11" style="8"/>
    <col min="11226" max="11226" width="11.19921875" style="8" bestFit="1" customWidth="1"/>
    <col min="11227" max="11230" width="11" style="8"/>
    <col min="11231" max="11231" width="13.19921875" style="8" bestFit="1" customWidth="1"/>
    <col min="11232" max="11232" width="11.19921875" style="8" bestFit="1" customWidth="1"/>
    <col min="11233" max="11233" width="11" style="8"/>
    <col min="11234" max="11234" width="11.19921875" style="8" bestFit="1" customWidth="1"/>
    <col min="11235" max="11238" width="11" style="8"/>
    <col min="11239" max="11240" width="11.19921875" style="8" bestFit="1" customWidth="1"/>
    <col min="11241" max="11241" width="11" style="8"/>
    <col min="11242" max="11242" width="12.19921875" style="8" bestFit="1" customWidth="1"/>
    <col min="11243" max="11246" width="11" style="8"/>
    <col min="11247" max="11248" width="11.19921875" style="8" bestFit="1" customWidth="1"/>
    <col min="11249" max="11249" width="11" style="8"/>
    <col min="11250" max="11250" width="12.19921875" style="8" bestFit="1" customWidth="1"/>
    <col min="11251" max="11254" width="11" style="8"/>
    <col min="11255" max="11255" width="11.19921875" style="8" bestFit="1" customWidth="1"/>
    <col min="11256" max="11256" width="12.19921875" style="8" bestFit="1" customWidth="1"/>
    <col min="11257" max="11257" width="11" style="8"/>
    <col min="11258" max="11258" width="12.19921875" style="8" bestFit="1" customWidth="1"/>
    <col min="11259" max="11262" width="11" style="8"/>
    <col min="11263" max="11264" width="12.19921875" style="8" bestFit="1" customWidth="1"/>
    <col min="11265" max="11265" width="11" style="8"/>
    <col min="11266" max="11266" width="12.19921875" style="8" bestFit="1" customWidth="1"/>
    <col min="11267" max="11270" width="11" style="8"/>
    <col min="11271" max="11271" width="12.19921875" style="8" bestFit="1" customWidth="1"/>
    <col min="11272" max="11272" width="13.19921875" style="8" bestFit="1" customWidth="1"/>
    <col min="11273" max="11273" width="11" style="8"/>
    <col min="11274" max="11274" width="11.19921875" style="8" bestFit="1" customWidth="1"/>
    <col min="11275" max="11278" width="11" style="8"/>
    <col min="11279" max="11280" width="13.19921875" style="8" bestFit="1" customWidth="1"/>
    <col min="11281" max="11281" width="11" style="8"/>
    <col min="11282" max="11282" width="11.19921875" style="8" bestFit="1" customWidth="1"/>
    <col min="11283" max="11286" width="11" style="8"/>
    <col min="11287" max="11287" width="13.19921875" style="8" bestFit="1" customWidth="1"/>
    <col min="11288" max="11288" width="11.19921875" style="8" bestFit="1" customWidth="1"/>
    <col min="11289" max="11289" width="11" style="8"/>
    <col min="11290" max="11290" width="11.19921875" style="8" bestFit="1" customWidth="1"/>
    <col min="11291" max="11294" width="11" style="8"/>
    <col min="11295" max="11296" width="11.19921875" style="8" bestFit="1" customWidth="1"/>
    <col min="11297" max="11297" width="11" style="8"/>
    <col min="11298" max="11298" width="12.19921875" style="8" bestFit="1" customWidth="1"/>
    <col min="11299" max="11302" width="11" style="8"/>
    <col min="11303" max="11304" width="11.19921875" style="8" bestFit="1" customWidth="1"/>
    <col min="11305" max="11305" width="11" style="8"/>
    <col min="11306" max="11306" width="12.19921875" style="8" bestFit="1" customWidth="1"/>
    <col min="11307" max="11310" width="11" style="8"/>
    <col min="11311" max="11311" width="11.19921875" style="8" bestFit="1" customWidth="1"/>
    <col min="11312" max="11312" width="12.19921875" style="8" bestFit="1" customWidth="1"/>
    <col min="11313" max="11313" width="11" style="8"/>
    <col min="11314" max="11314" width="12.19921875" style="8" bestFit="1" customWidth="1"/>
    <col min="11315" max="11318" width="11" style="8"/>
    <col min="11319" max="11320" width="12.19921875" style="8" bestFit="1" customWidth="1"/>
    <col min="11321" max="11321" width="11" style="8"/>
    <col min="11322" max="11322" width="12.19921875" style="8" bestFit="1" customWidth="1"/>
    <col min="11323" max="11326" width="11" style="8"/>
    <col min="11327" max="11327" width="12.19921875" style="8" bestFit="1" customWidth="1"/>
    <col min="11328" max="11328" width="13.19921875" style="8" bestFit="1" customWidth="1"/>
    <col min="11329" max="11329" width="11" style="8"/>
    <col min="11330" max="11330" width="11.19921875" style="8" bestFit="1" customWidth="1"/>
    <col min="11331" max="11334" width="11" style="8"/>
    <col min="11335" max="11336" width="13.19921875" style="8" bestFit="1" customWidth="1"/>
    <col min="11337" max="11337" width="11" style="8"/>
    <col min="11338" max="11338" width="11.19921875" style="8" bestFit="1" customWidth="1"/>
    <col min="11339" max="11342" width="11" style="8"/>
    <col min="11343" max="11343" width="13.19921875" style="8" bestFit="1" customWidth="1"/>
    <col min="11344" max="11344" width="11.19921875" style="8" bestFit="1" customWidth="1"/>
    <col min="11345" max="11345" width="11" style="8"/>
    <col min="11346" max="11346" width="11.19921875" style="8" bestFit="1" customWidth="1"/>
    <col min="11347" max="11350" width="11" style="8"/>
    <col min="11351" max="11352" width="11.19921875" style="8" bestFit="1" customWidth="1"/>
    <col min="11353" max="11353" width="11" style="8"/>
    <col min="11354" max="11354" width="12.19921875" style="8" bestFit="1" customWidth="1"/>
    <col min="11355" max="11358" width="11" style="8"/>
    <col min="11359" max="11360" width="11.19921875" style="8" bestFit="1" customWidth="1"/>
    <col min="11361" max="11361" width="11" style="8"/>
    <col min="11362" max="11362" width="12.19921875" style="8" bestFit="1" customWidth="1"/>
    <col min="11363" max="11366" width="11" style="8"/>
    <col min="11367" max="11367" width="11.19921875" style="8" bestFit="1" customWidth="1"/>
    <col min="11368" max="11368" width="12.19921875" style="8" bestFit="1" customWidth="1"/>
    <col min="11369" max="11369" width="11" style="8"/>
    <col min="11370" max="11370" width="12.19921875" style="8" bestFit="1" customWidth="1"/>
    <col min="11371" max="11374" width="11" style="8"/>
    <col min="11375" max="11376" width="12.19921875" style="8" bestFit="1" customWidth="1"/>
    <col min="11377" max="11377" width="11" style="8"/>
    <col min="11378" max="11378" width="12.19921875" style="8" bestFit="1" customWidth="1"/>
    <col min="11379" max="11382" width="11" style="8"/>
    <col min="11383" max="11383" width="12.19921875" style="8" bestFit="1" customWidth="1"/>
    <col min="11384" max="11384" width="13.19921875" style="8" bestFit="1" customWidth="1"/>
    <col min="11385" max="11385" width="11" style="8"/>
    <col min="11386" max="11386" width="11.19921875" style="8" bestFit="1" customWidth="1"/>
    <col min="11387" max="11390" width="11" style="8"/>
    <col min="11391" max="11392" width="13.19921875" style="8" bestFit="1" customWidth="1"/>
    <col min="11393" max="11393" width="11" style="8"/>
    <col min="11394" max="11394" width="11.19921875" style="8" bestFit="1" customWidth="1"/>
    <col min="11395" max="11398" width="11" style="8"/>
    <col min="11399" max="11399" width="13.19921875" style="8" bestFit="1" customWidth="1"/>
    <col min="11400" max="11400" width="11.19921875" style="8" bestFit="1" customWidth="1"/>
    <col min="11401" max="11401" width="11" style="8"/>
    <col min="11402" max="11402" width="11.19921875" style="8" bestFit="1" customWidth="1"/>
    <col min="11403" max="11406" width="11" style="8"/>
    <col min="11407" max="11408" width="11.19921875" style="8" bestFit="1" customWidth="1"/>
    <col min="11409" max="11409" width="11" style="8"/>
    <col min="11410" max="11410" width="12.19921875" style="8" bestFit="1" customWidth="1"/>
    <col min="11411" max="11414" width="11" style="8"/>
    <col min="11415" max="11416" width="11.19921875" style="8" bestFit="1" customWidth="1"/>
    <col min="11417" max="11417" width="11" style="8"/>
    <col min="11418" max="11418" width="12.19921875" style="8" bestFit="1" customWidth="1"/>
    <col min="11419" max="11422" width="11" style="8"/>
    <col min="11423" max="11423" width="11.19921875" style="8" bestFit="1" customWidth="1"/>
    <col min="11424" max="11424" width="12.19921875" style="8" bestFit="1" customWidth="1"/>
    <col min="11425" max="11425" width="11" style="8"/>
    <col min="11426" max="11426" width="12.19921875" style="8" bestFit="1" customWidth="1"/>
    <col min="11427" max="11430" width="11" style="8"/>
    <col min="11431" max="11432" width="12.19921875" style="8" bestFit="1" customWidth="1"/>
    <col min="11433" max="11433" width="11" style="8"/>
    <col min="11434" max="11434" width="12.19921875" style="8" bestFit="1" customWidth="1"/>
    <col min="11435" max="11438" width="11" style="8"/>
    <col min="11439" max="11439" width="12.19921875" style="8" bestFit="1" customWidth="1"/>
    <col min="11440" max="11440" width="13.19921875" style="8" bestFit="1" customWidth="1"/>
    <col min="11441" max="11441" width="11" style="8"/>
    <col min="11442" max="11442" width="11.19921875" style="8" bestFit="1" customWidth="1"/>
    <col min="11443" max="11446" width="11" style="8"/>
    <col min="11447" max="11448" width="13.19921875" style="8" bestFit="1" customWidth="1"/>
    <col min="11449" max="11449" width="11" style="8"/>
    <col min="11450" max="11450" width="11.19921875" style="8" bestFit="1" customWidth="1"/>
    <col min="11451" max="11454" width="11" style="8"/>
    <col min="11455" max="11455" width="13.19921875" style="8" bestFit="1" customWidth="1"/>
    <col min="11456" max="11456" width="11.19921875" style="8" bestFit="1" customWidth="1"/>
    <col min="11457" max="11457" width="11" style="8"/>
    <col min="11458" max="11458" width="11.19921875" style="8" bestFit="1" customWidth="1"/>
    <col min="11459" max="11462" width="11" style="8"/>
    <col min="11463" max="11464" width="11.19921875" style="8" bestFit="1" customWidth="1"/>
    <col min="11465" max="11465" width="11" style="8"/>
    <col min="11466" max="11466" width="12.19921875" style="8" bestFit="1" customWidth="1"/>
    <col min="11467" max="11470" width="11" style="8"/>
    <col min="11471" max="11472" width="11.19921875" style="8" bestFit="1" customWidth="1"/>
    <col min="11473" max="11473" width="11" style="8"/>
    <col min="11474" max="11474" width="12.19921875" style="8" bestFit="1" customWidth="1"/>
    <col min="11475" max="11478" width="11" style="8"/>
    <col min="11479" max="11479" width="11.19921875" style="8" bestFit="1" customWidth="1"/>
    <col min="11480" max="11480" width="12.19921875" style="8" bestFit="1" customWidth="1"/>
    <col min="11481" max="11481" width="11" style="8"/>
    <col min="11482" max="11482" width="12.19921875" style="8" bestFit="1" customWidth="1"/>
    <col min="11483" max="11486" width="11" style="8"/>
    <col min="11487" max="11488" width="12.19921875" style="8" bestFit="1" customWidth="1"/>
    <col min="11489" max="11489" width="11" style="8"/>
    <col min="11490" max="11490" width="12.19921875" style="8" bestFit="1" customWidth="1"/>
    <col min="11491" max="11494" width="11" style="8"/>
    <col min="11495" max="11495" width="12.19921875" style="8" bestFit="1" customWidth="1"/>
    <col min="11496" max="11496" width="13.19921875" style="8" bestFit="1" customWidth="1"/>
    <col min="11497" max="11497" width="11" style="8"/>
    <col min="11498" max="11498" width="11.19921875" style="8" bestFit="1" customWidth="1"/>
    <col min="11499" max="11502" width="11" style="8"/>
    <col min="11503" max="11504" width="13.19921875" style="8" bestFit="1" customWidth="1"/>
    <col min="11505" max="11505" width="11" style="8"/>
    <col min="11506" max="11506" width="11.19921875" style="8" bestFit="1" customWidth="1"/>
    <col min="11507" max="11510" width="11" style="8"/>
    <col min="11511" max="11511" width="13.19921875" style="8" bestFit="1" customWidth="1"/>
    <col min="11512" max="11512" width="11.19921875" style="8" bestFit="1" customWidth="1"/>
    <col min="11513" max="11513" width="11" style="8"/>
    <col min="11514" max="11514" width="11.19921875" style="8" bestFit="1" customWidth="1"/>
    <col min="11515" max="11518" width="11" style="8"/>
    <col min="11519" max="11520" width="11.19921875" style="8" bestFit="1" customWidth="1"/>
    <col min="11521" max="11521" width="11" style="8"/>
    <col min="11522" max="11522" width="12.19921875" style="8" bestFit="1" customWidth="1"/>
    <col min="11523" max="11526" width="11" style="8"/>
    <col min="11527" max="11528" width="11.19921875" style="8" bestFit="1" customWidth="1"/>
    <col min="11529" max="11529" width="11" style="8"/>
    <col min="11530" max="11530" width="12.19921875" style="8" bestFit="1" customWidth="1"/>
    <col min="11531" max="11534" width="11" style="8"/>
    <col min="11535" max="11535" width="11.19921875" style="8" bestFit="1" customWidth="1"/>
    <col min="11536" max="11536" width="12.19921875" style="8" bestFit="1" customWidth="1"/>
    <col min="11537" max="11537" width="11" style="8"/>
    <col min="11538" max="11538" width="12.19921875" style="8" bestFit="1" customWidth="1"/>
    <col min="11539" max="11542" width="11" style="8"/>
    <col min="11543" max="11544" width="12.19921875" style="8" bestFit="1" customWidth="1"/>
    <col min="11545" max="11545" width="11" style="8"/>
    <col min="11546" max="11546" width="12.19921875" style="8" bestFit="1" customWidth="1"/>
    <col min="11547" max="11550" width="11" style="8"/>
    <col min="11551" max="11551" width="12.19921875" style="8" bestFit="1" customWidth="1"/>
    <col min="11552" max="11552" width="13.19921875" style="8" bestFit="1" customWidth="1"/>
    <col min="11553" max="11553" width="11" style="8"/>
    <col min="11554" max="11554" width="11.19921875" style="8" bestFit="1" customWidth="1"/>
    <col min="11555" max="11558" width="11" style="8"/>
    <col min="11559" max="11560" width="13.19921875" style="8" bestFit="1" customWidth="1"/>
    <col min="11561" max="11561" width="11" style="8"/>
    <col min="11562" max="11562" width="11.19921875" style="8" bestFit="1" customWidth="1"/>
    <col min="11563" max="11566" width="11" style="8"/>
    <col min="11567" max="11567" width="13.19921875" style="8" bestFit="1" customWidth="1"/>
    <col min="11568" max="11568" width="11.19921875" style="8" bestFit="1" customWidth="1"/>
    <col min="11569" max="11569" width="11" style="8"/>
    <col min="11570" max="11570" width="11.19921875" style="8" bestFit="1" customWidth="1"/>
    <col min="11571" max="11574" width="11" style="8"/>
    <col min="11575" max="11576" width="11.19921875" style="8" bestFit="1" customWidth="1"/>
    <col min="11577" max="11577" width="11" style="8"/>
    <col min="11578" max="11578" width="12.19921875" style="8" bestFit="1" customWidth="1"/>
    <col min="11579" max="11582" width="11" style="8"/>
    <col min="11583" max="11584" width="11.19921875" style="8" bestFit="1" customWidth="1"/>
    <col min="11585" max="11585" width="11" style="8"/>
    <col min="11586" max="11586" width="12.19921875" style="8" bestFit="1" customWidth="1"/>
    <col min="11587" max="11590" width="11" style="8"/>
    <col min="11591" max="11591" width="11.19921875" style="8" bestFit="1" customWidth="1"/>
    <col min="11592" max="11592" width="12.19921875" style="8" bestFit="1" customWidth="1"/>
    <col min="11593" max="11593" width="11" style="8"/>
    <col min="11594" max="11594" width="12.19921875" style="8" bestFit="1" customWidth="1"/>
    <col min="11595" max="11598" width="11" style="8"/>
    <col min="11599" max="11600" width="12.19921875" style="8" bestFit="1" customWidth="1"/>
    <col min="11601" max="11601" width="11" style="8"/>
    <col min="11602" max="11602" width="12.19921875" style="8" bestFit="1" customWidth="1"/>
    <col min="11603" max="11606" width="11" style="8"/>
    <col min="11607" max="11607" width="12.19921875" style="8" bestFit="1" customWidth="1"/>
    <col min="11608" max="11608" width="13.19921875" style="8" bestFit="1" customWidth="1"/>
    <col min="11609" max="11609" width="11" style="8"/>
    <col min="11610" max="11610" width="11.19921875" style="8" bestFit="1" customWidth="1"/>
    <col min="11611" max="11614" width="11" style="8"/>
    <col min="11615" max="11616" width="13.19921875" style="8" bestFit="1" customWidth="1"/>
    <col min="11617" max="11617" width="11" style="8"/>
    <col min="11618" max="11618" width="11.19921875" style="8" bestFit="1" customWidth="1"/>
    <col min="11619" max="11622" width="11" style="8"/>
    <col min="11623" max="11623" width="13.19921875" style="8" bestFit="1" customWidth="1"/>
    <col min="11624" max="11624" width="11.19921875" style="8" bestFit="1" customWidth="1"/>
    <col min="11625" max="11625" width="11" style="8"/>
    <col min="11626" max="11626" width="11.19921875" style="8" bestFit="1" customWidth="1"/>
    <col min="11627" max="11630" width="11" style="8"/>
    <col min="11631" max="11632" width="11.19921875" style="8" bestFit="1" customWidth="1"/>
    <col min="11633" max="11633" width="11" style="8"/>
    <col min="11634" max="11634" width="12.19921875" style="8" bestFit="1" customWidth="1"/>
    <col min="11635" max="11638" width="11" style="8"/>
    <col min="11639" max="11640" width="11.19921875" style="8" bestFit="1" customWidth="1"/>
    <col min="11641" max="11641" width="11" style="8"/>
    <col min="11642" max="11642" width="12.19921875" style="8" bestFit="1" customWidth="1"/>
    <col min="11643" max="11646" width="11" style="8"/>
    <col min="11647" max="11647" width="11.19921875" style="8" bestFit="1" customWidth="1"/>
    <col min="11648" max="11648" width="12.19921875" style="8" bestFit="1" customWidth="1"/>
    <col min="11649" max="11649" width="11" style="8"/>
    <col min="11650" max="11650" width="12.19921875" style="8" bestFit="1" customWidth="1"/>
    <col min="11651" max="11654" width="11" style="8"/>
    <col min="11655" max="11656" width="12.19921875" style="8" bestFit="1" customWidth="1"/>
    <col min="11657" max="11657" width="11" style="8"/>
    <col min="11658" max="11658" width="12.19921875" style="8" bestFit="1" customWidth="1"/>
    <col min="11659" max="11662" width="11" style="8"/>
    <col min="11663" max="11663" width="12.19921875" style="8" bestFit="1" customWidth="1"/>
    <col min="11664" max="11664" width="13.19921875" style="8" bestFit="1" customWidth="1"/>
    <col min="11665" max="11665" width="11" style="8"/>
    <col min="11666" max="11666" width="11.19921875" style="8" bestFit="1" customWidth="1"/>
    <col min="11667" max="11670" width="11" style="8"/>
    <col min="11671" max="11672" width="13.19921875" style="8" bestFit="1" customWidth="1"/>
    <col min="11673" max="11673" width="11" style="8"/>
    <col min="11674" max="11674" width="11.19921875" style="8" bestFit="1" customWidth="1"/>
    <col min="11675" max="11678" width="11" style="8"/>
    <col min="11679" max="11679" width="13.19921875" style="8" bestFit="1" customWidth="1"/>
    <col min="11680" max="11680" width="11.19921875" style="8" bestFit="1" customWidth="1"/>
    <col min="11681" max="11681" width="11" style="8"/>
    <col min="11682" max="11682" width="11.19921875" style="8" bestFit="1" customWidth="1"/>
    <col min="11683" max="11686" width="11" style="8"/>
    <col min="11687" max="11688" width="11.19921875" style="8" bestFit="1" customWidth="1"/>
    <col min="11689" max="11689" width="11" style="8"/>
    <col min="11690" max="11690" width="12.19921875" style="8" bestFit="1" customWidth="1"/>
    <col min="11691" max="11694" width="11" style="8"/>
    <col min="11695" max="11696" width="11.19921875" style="8" bestFit="1" customWidth="1"/>
    <col min="11697" max="11697" width="11" style="8"/>
    <col min="11698" max="11698" width="12.19921875" style="8" bestFit="1" customWidth="1"/>
    <col min="11699" max="11702" width="11" style="8"/>
    <col min="11703" max="11703" width="11.19921875" style="8" bestFit="1" customWidth="1"/>
    <col min="11704" max="11704" width="12.19921875" style="8" bestFit="1" customWidth="1"/>
    <col min="11705" max="11705" width="11" style="8"/>
    <col min="11706" max="11706" width="12.19921875" style="8" bestFit="1" customWidth="1"/>
    <col min="11707" max="11710" width="11" style="8"/>
    <col min="11711" max="11712" width="12.19921875" style="8" bestFit="1" customWidth="1"/>
    <col min="11713" max="11713" width="11" style="8"/>
    <col min="11714" max="11714" width="12.19921875" style="8" bestFit="1" customWidth="1"/>
    <col min="11715" max="11718" width="11" style="8"/>
    <col min="11719" max="11719" width="12.19921875" style="8" bestFit="1" customWidth="1"/>
    <col min="11720" max="11720" width="13.19921875" style="8" bestFit="1" customWidth="1"/>
    <col min="11721" max="11721" width="11" style="8"/>
    <col min="11722" max="11722" width="11.19921875" style="8" bestFit="1" customWidth="1"/>
    <col min="11723" max="11726" width="11" style="8"/>
    <col min="11727" max="11728" width="13.19921875" style="8" bestFit="1" customWidth="1"/>
    <col min="11729" max="11729" width="11" style="8"/>
    <col min="11730" max="11730" width="11.19921875" style="8" bestFit="1" customWidth="1"/>
    <col min="11731" max="11734" width="11" style="8"/>
    <col min="11735" max="11735" width="13.19921875" style="8" bestFit="1" customWidth="1"/>
    <col min="11736" max="11736" width="11.19921875" style="8" bestFit="1" customWidth="1"/>
    <col min="11737" max="11737" width="11" style="8"/>
    <col min="11738" max="11738" width="11.19921875" style="8" bestFit="1" customWidth="1"/>
    <col min="11739" max="11742" width="11" style="8"/>
    <col min="11743" max="11744" width="11.19921875" style="8" bestFit="1" customWidth="1"/>
    <col min="11745" max="11745" width="11" style="8"/>
    <col min="11746" max="11746" width="12.19921875" style="8" bestFit="1" customWidth="1"/>
    <col min="11747" max="11750" width="11" style="8"/>
    <col min="11751" max="11752" width="11.19921875" style="8" bestFit="1" customWidth="1"/>
    <col min="11753" max="11753" width="11" style="8"/>
    <col min="11754" max="11754" width="12.19921875" style="8" bestFit="1" customWidth="1"/>
    <col min="11755" max="11758" width="11" style="8"/>
    <col min="11759" max="11759" width="11.19921875" style="8" bestFit="1" customWidth="1"/>
    <col min="11760" max="11760" width="12.19921875" style="8" bestFit="1" customWidth="1"/>
    <col min="11761" max="11761" width="11" style="8"/>
    <col min="11762" max="11762" width="12.19921875" style="8" bestFit="1" customWidth="1"/>
    <col min="11763" max="11766" width="11" style="8"/>
    <col min="11767" max="11768" width="12.19921875" style="8" bestFit="1" customWidth="1"/>
    <col min="11769" max="11769" width="11" style="8"/>
    <col min="11770" max="11770" width="12.19921875" style="8" bestFit="1" customWidth="1"/>
    <col min="11771" max="11774" width="11" style="8"/>
    <col min="11775" max="11775" width="12.19921875" style="8" bestFit="1" customWidth="1"/>
    <col min="11776" max="11776" width="13.19921875" style="8" bestFit="1" customWidth="1"/>
    <col min="11777" max="11777" width="11" style="8"/>
    <col min="11778" max="11778" width="11.19921875" style="8" bestFit="1" customWidth="1"/>
    <col min="11779" max="11782" width="11" style="8"/>
    <col min="11783" max="11784" width="13.19921875" style="8" bestFit="1" customWidth="1"/>
    <col min="11785" max="11785" width="11" style="8"/>
    <col min="11786" max="11786" width="11.19921875" style="8" bestFit="1" customWidth="1"/>
    <col min="11787" max="11790" width="11" style="8"/>
    <col min="11791" max="11791" width="13.19921875" style="8" bestFit="1" customWidth="1"/>
    <col min="11792" max="11792" width="11.19921875" style="8" bestFit="1" customWidth="1"/>
    <col min="11793" max="11793" width="11" style="8"/>
    <col min="11794" max="11794" width="11.19921875" style="8" bestFit="1" customWidth="1"/>
    <col min="11795" max="11798" width="11" style="8"/>
    <col min="11799" max="11800" width="11.19921875" style="8" bestFit="1" customWidth="1"/>
    <col min="11801" max="11801" width="11" style="8"/>
    <col min="11802" max="11802" width="12.19921875" style="8" bestFit="1" customWidth="1"/>
    <col min="11803" max="11806" width="11" style="8"/>
    <col min="11807" max="11808" width="11.19921875" style="8" bestFit="1" customWidth="1"/>
    <col min="11809" max="11809" width="11" style="8"/>
    <col min="11810" max="11810" width="12.19921875" style="8" bestFit="1" customWidth="1"/>
    <col min="11811" max="11814" width="11" style="8"/>
    <col min="11815" max="11815" width="11.19921875" style="8" bestFit="1" customWidth="1"/>
    <col min="11816" max="11816" width="12.19921875" style="8" bestFit="1" customWidth="1"/>
    <col min="11817" max="11817" width="11" style="8"/>
    <col min="11818" max="11818" width="12.19921875" style="8" bestFit="1" customWidth="1"/>
    <col min="11819" max="11822" width="11" style="8"/>
    <col min="11823" max="11824" width="12.19921875" style="8" bestFit="1" customWidth="1"/>
    <col min="11825" max="11825" width="11" style="8"/>
    <col min="11826" max="11826" width="12.19921875" style="8" bestFit="1" customWidth="1"/>
    <col min="11827" max="11830" width="11" style="8"/>
    <col min="11831" max="11831" width="12.19921875" style="8" bestFit="1" customWidth="1"/>
    <col min="11832" max="11832" width="13.19921875" style="8" bestFit="1" customWidth="1"/>
    <col min="11833" max="11833" width="11" style="8"/>
    <col min="11834" max="11834" width="11.19921875" style="8" bestFit="1" customWidth="1"/>
    <col min="11835" max="11838" width="11" style="8"/>
    <col min="11839" max="11840" width="13.19921875" style="8" bestFit="1" customWidth="1"/>
    <col min="11841" max="11841" width="11" style="8"/>
    <col min="11842" max="11842" width="11.19921875" style="8" bestFit="1" customWidth="1"/>
    <col min="11843" max="11846" width="11" style="8"/>
    <col min="11847" max="11847" width="13.19921875" style="8" bestFit="1" customWidth="1"/>
    <col min="11848" max="11848" width="11.19921875" style="8" bestFit="1" customWidth="1"/>
    <col min="11849" max="11849" width="11" style="8"/>
    <col min="11850" max="11850" width="11.19921875" style="8" bestFit="1" customWidth="1"/>
    <col min="11851" max="11854" width="11" style="8"/>
    <col min="11855" max="11856" width="11.19921875" style="8" bestFit="1" customWidth="1"/>
    <col min="11857" max="11857" width="11" style="8"/>
    <col min="11858" max="11858" width="12.19921875" style="8" bestFit="1" customWidth="1"/>
    <col min="11859" max="11862" width="11" style="8"/>
    <col min="11863" max="11864" width="11.19921875" style="8" bestFit="1" customWidth="1"/>
    <col min="11865" max="11865" width="11" style="8"/>
    <col min="11866" max="11866" width="12.19921875" style="8" bestFit="1" customWidth="1"/>
    <col min="11867" max="11870" width="11" style="8"/>
    <col min="11871" max="11871" width="11.19921875" style="8" bestFit="1" customWidth="1"/>
    <col min="11872" max="11872" width="12.19921875" style="8" bestFit="1" customWidth="1"/>
    <col min="11873" max="11873" width="11" style="8"/>
    <col min="11874" max="11874" width="12.19921875" style="8" bestFit="1" customWidth="1"/>
    <col min="11875" max="11878" width="11" style="8"/>
    <col min="11879" max="11880" width="12.19921875" style="8" bestFit="1" customWidth="1"/>
    <col min="11881" max="11881" width="11" style="8"/>
    <col min="11882" max="11882" width="12.19921875" style="8" bestFit="1" customWidth="1"/>
    <col min="11883" max="11886" width="11" style="8"/>
    <col min="11887" max="11887" width="12.19921875" style="8" bestFit="1" customWidth="1"/>
    <col min="11888" max="11888" width="13.19921875" style="8" bestFit="1" customWidth="1"/>
    <col min="11889" max="11889" width="11" style="8"/>
    <col min="11890" max="11890" width="11.19921875" style="8" bestFit="1" customWidth="1"/>
    <col min="11891" max="11894" width="11" style="8"/>
    <col min="11895" max="11896" width="13.19921875" style="8" bestFit="1" customWidth="1"/>
    <col min="11897" max="11897" width="11" style="8"/>
    <col min="11898" max="11898" width="11.19921875" style="8" bestFit="1" customWidth="1"/>
    <col min="11899" max="11902" width="11" style="8"/>
    <col min="11903" max="11903" width="13.19921875" style="8" bestFit="1" customWidth="1"/>
    <col min="11904" max="11904" width="11.19921875" style="8" bestFit="1" customWidth="1"/>
    <col min="11905" max="11905" width="11" style="8"/>
    <col min="11906" max="11906" width="11.19921875" style="8" bestFit="1" customWidth="1"/>
    <col min="11907" max="11910" width="11" style="8"/>
    <col min="11911" max="11912" width="11.19921875" style="8" bestFit="1" customWidth="1"/>
    <col min="11913" max="11913" width="11" style="8"/>
    <col min="11914" max="11914" width="12.19921875" style="8" bestFit="1" customWidth="1"/>
    <col min="11915" max="11918" width="11" style="8"/>
    <col min="11919" max="11920" width="11.19921875" style="8" bestFit="1" customWidth="1"/>
    <col min="11921" max="11921" width="11" style="8"/>
    <col min="11922" max="11922" width="12.19921875" style="8" bestFit="1" customWidth="1"/>
    <col min="11923" max="11926" width="11" style="8"/>
    <col min="11927" max="11927" width="11.19921875" style="8" bestFit="1" customWidth="1"/>
    <col min="11928" max="11928" width="12.19921875" style="8" bestFit="1" customWidth="1"/>
    <col min="11929" max="11929" width="11" style="8"/>
    <col min="11930" max="11930" width="12.19921875" style="8" bestFit="1" customWidth="1"/>
    <col min="11931" max="11934" width="11" style="8"/>
    <col min="11935" max="11936" width="12.19921875" style="8" bestFit="1" customWidth="1"/>
    <col min="11937" max="11937" width="11" style="8"/>
    <col min="11938" max="11938" width="12.19921875" style="8" bestFit="1" customWidth="1"/>
    <col min="11939" max="11942" width="11" style="8"/>
    <col min="11943" max="11943" width="12.19921875" style="8" bestFit="1" customWidth="1"/>
    <col min="11944" max="11944" width="13.19921875" style="8" bestFit="1" customWidth="1"/>
    <col min="11945" max="11945" width="11" style="8"/>
    <col min="11946" max="11946" width="11.19921875" style="8" bestFit="1" customWidth="1"/>
    <col min="11947" max="11950" width="11" style="8"/>
    <col min="11951" max="11952" width="13.19921875" style="8" bestFit="1" customWidth="1"/>
    <col min="11953" max="11953" width="11" style="8"/>
    <col min="11954" max="11954" width="11.19921875" style="8" bestFit="1" customWidth="1"/>
    <col min="11955" max="11958" width="11" style="8"/>
    <col min="11959" max="11959" width="13.19921875" style="8" bestFit="1" customWidth="1"/>
    <col min="11960" max="11960" width="11.19921875" style="8" bestFit="1" customWidth="1"/>
    <col min="11961" max="11961" width="11" style="8"/>
    <col min="11962" max="11962" width="11.19921875" style="8" bestFit="1" customWidth="1"/>
    <col min="11963" max="11966" width="11" style="8"/>
    <col min="11967" max="11968" width="11.19921875" style="8" bestFit="1" customWidth="1"/>
    <col min="11969" max="11969" width="11" style="8"/>
    <col min="11970" max="11970" width="12.19921875" style="8" bestFit="1" customWidth="1"/>
    <col min="11971" max="11974" width="11" style="8"/>
    <col min="11975" max="11976" width="11.19921875" style="8" bestFit="1" customWidth="1"/>
    <col min="11977" max="11977" width="11" style="8"/>
    <col min="11978" max="11978" width="12.19921875" style="8" bestFit="1" customWidth="1"/>
    <col min="11979" max="11982" width="11" style="8"/>
    <col min="11983" max="11983" width="11.19921875" style="8" bestFit="1" customWidth="1"/>
    <col min="11984" max="11984" width="12.19921875" style="8" bestFit="1" customWidth="1"/>
    <col min="11985" max="11985" width="11" style="8"/>
    <col min="11986" max="11986" width="12.19921875" style="8" bestFit="1" customWidth="1"/>
    <col min="11987" max="11990" width="11" style="8"/>
    <col min="11991" max="11992" width="12.19921875" style="8" bestFit="1" customWidth="1"/>
    <col min="11993" max="11993" width="11" style="8"/>
    <col min="11994" max="11994" width="12.19921875" style="8" bestFit="1" customWidth="1"/>
    <col min="11995" max="11998" width="11" style="8"/>
    <col min="11999" max="11999" width="12.19921875" style="8" bestFit="1" customWidth="1"/>
    <col min="12000" max="12000" width="13.19921875" style="8" bestFit="1" customWidth="1"/>
    <col min="12001" max="12001" width="11" style="8"/>
    <col min="12002" max="12002" width="11.19921875" style="8" bestFit="1" customWidth="1"/>
    <col min="12003" max="12006" width="11" style="8"/>
    <col min="12007" max="12008" width="13.19921875" style="8" bestFit="1" customWidth="1"/>
    <col min="12009" max="12009" width="11" style="8"/>
    <col min="12010" max="12010" width="11.19921875" style="8" bestFit="1" customWidth="1"/>
    <col min="12011" max="12014" width="11" style="8"/>
    <col min="12015" max="12015" width="13.19921875" style="8" bestFit="1" customWidth="1"/>
    <col min="12016" max="12016" width="11.19921875" style="8" bestFit="1" customWidth="1"/>
    <col min="12017" max="12017" width="11" style="8"/>
    <col min="12018" max="12018" width="11.19921875" style="8" bestFit="1" customWidth="1"/>
    <col min="12019" max="12022" width="11" style="8"/>
    <col min="12023" max="12024" width="11.19921875" style="8" bestFit="1" customWidth="1"/>
    <col min="12025" max="12025" width="11" style="8"/>
    <col min="12026" max="12026" width="12.19921875" style="8" bestFit="1" customWidth="1"/>
    <col min="12027" max="12030" width="11" style="8"/>
    <col min="12031" max="12032" width="11.19921875" style="8" bestFit="1" customWidth="1"/>
    <col min="12033" max="12033" width="11" style="8"/>
    <col min="12034" max="12034" width="12.19921875" style="8" bestFit="1" customWidth="1"/>
    <col min="12035" max="12038" width="11" style="8"/>
    <col min="12039" max="12039" width="11.19921875" style="8" bestFit="1" customWidth="1"/>
    <col min="12040" max="12040" width="12.19921875" style="8" bestFit="1" customWidth="1"/>
    <col min="12041" max="12041" width="11" style="8"/>
    <col min="12042" max="12042" width="12.19921875" style="8" bestFit="1" customWidth="1"/>
    <col min="12043" max="12046" width="11" style="8"/>
    <col min="12047" max="12048" width="12.19921875" style="8" bestFit="1" customWidth="1"/>
    <col min="12049" max="12049" width="11" style="8"/>
    <col min="12050" max="12050" width="12.19921875" style="8" bestFit="1" customWidth="1"/>
    <col min="12051" max="12054" width="11" style="8"/>
    <col min="12055" max="12055" width="12.19921875" style="8" bestFit="1" customWidth="1"/>
    <col min="12056" max="12056" width="13.19921875" style="8" bestFit="1" customWidth="1"/>
    <col min="12057" max="12057" width="11" style="8"/>
    <col min="12058" max="12058" width="11.19921875" style="8" bestFit="1" customWidth="1"/>
    <col min="12059" max="12062" width="11" style="8"/>
    <col min="12063" max="12064" width="13.19921875" style="8" bestFit="1" customWidth="1"/>
    <col min="12065" max="12065" width="11" style="8"/>
    <col min="12066" max="12066" width="11.19921875" style="8" bestFit="1" customWidth="1"/>
    <col min="12067" max="12070" width="11" style="8"/>
    <col min="12071" max="12071" width="13.19921875" style="8" bestFit="1" customWidth="1"/>
    <col min="12072" max="12072" width="11.19921875" style="8" bestFit="1" customWidth="1"/>
    <col min="12073" max="12073" width="11" style="8"/>
    <col min="12074" max="12074" width="11.19921875" style="8" bestFit="1" customWidth="1"/>
    <col min="12075" max="12078" width="11" style="8"/>
    <col min="12079" max="12080" width="11.19921875" style="8" bestFit="1" customWidth="1"/>
    <col min="12081" max="12081" width="11" style="8"/>
    <col min="12082" max="12082" width="12.19921875" style="8" bestFit="1" customWidth="1"/>
    <col min="12083" max="12086" width="11" style="8"/>
    <col min="12087" max="12088" width="11.19921875" style="8" bestFit="1" customWidth="1"/>
    <col min="12089" max="12089" width="11" style="8"/>
    <col min="12090" max="12090" width="12.19921875" style="8" bestFit="1" customWidth="1"/>
    <col min="12091" max="12094" width="11" style="8"/>
    <col min="12095" max="12095" width="11.19921875" style="8" bestFit="1" customWidth="1"/>
    <col min="12096" max="12096" width="12.19921875" style="8" bestFit="1" customWidth="1"/>
    <col min="12097" max="12097" width="11" style="8"/>
    <col min="12098" max="12098" width="12.19921875" style="8" bestFit="1" customWidth="1"/>
    <col min="12099" max="12102" width="11" style="8"/>
    <col min="12103" max="12104" width="12.19921875" style="8" bestFit="1" customWidth="1"/>
    <col min="12105" max="12105" width="11" style="8"/>
    <col min="12106" max="12106" width="12.19921875" style="8" bestFit="1" customWidth="1"/>
    <col min="12107" max="12110" width="11" style="8"/>
    <col min="12111" max="12111" width="12.19921875" style="8" bestFit="1" customWidth="1"/>
    <col min="12112" max="12112" width="13.19921875" style="8" bestFit="1" customWidth="1"/>
    <col min="12113" max="12113" width="11" style="8"/>
    <col min="12114" max="12114" width="11.19921875" style="8" bestFit="1" customWidth="1"/>
    <col min="12115" max="12118" width="11" style="8"/>
    <col min="12119" max="12120" width="13.19921875" style="8" bestFit="1" customWidth="1"/>
    <col min="12121" max="12121" width="11" style="8"/>
    <col min="12122" max="12122" width="11.19921875" style="8" bestFit="1" customWidth="1"/>
    <col min="12123" max="12126" width="11" style="8"/>
    <col min="12127" max="12127" width="13.19921875" style="8" bestFit="1" customWidth="1"/>
    <col min="12128" max="12128" width="11.19921875" style="8" bestFit="1" customWidth="1"/>
    <col min="12129" max="12129" width="11" style="8"/>
    <col min="12130" max="12130" width="11.19921875" style="8" bestFit="1" customWidth="1"/>
    <col min="12131" max="12134" width="11" style="8"/>
    <col min="12135" max="12136" width="11.19921875" style="8" bestFit="1" customWidth="1"/>
    <col min="12137" max="12137" width="11" style="8"/>
    <col min="12138" max="12138" width="12.19921875" style="8" bestFit="1" customWidth="1"/>
    <col min="12139" max="12142" width="11" style="8"/>
    <col min="12143" max="12144" width="11.19921875" style="8" bestFit="1" customWidth="1"/>
    <col min="12145" max="12145" width="11" style="8"/>
    <col min="12146" max="12146" width="12.19921875" style="8" bestFit="1" customWidth="1"/>
    <col min="12147" max="12150" width="11" style="8"/>
    <col min="12151" max="12151" width="11.19921875" style="8" bestFit="1" customWidth="1"/>
    <col min="12152" max="12152" width="12.19921875" style="8" bestFit="1" customWidth="1"/>
    <col min="12153" max="12153" width="11" style="8"/>
    <col min="12154" max="12154" width="12.19921875" style="8" bestFit="1" customWidth="1"/>
    <col min="12155" max="12158" width="11" style="8"/>
    <col min="12159" max="12160" width="12.19921875" style="8" bestFit="1" customWidth="1"/>
    <col min="12161" max="12161" width="11" style="8"/>
    <col min="12162" max="12162" width="12.19921875" style="8" bestFit="1" customWidth="1"/>
    <col min="12163" max="12166" width="11" style="8"/>
    <col min="12167" max="12167" width="12.19921875" style="8" bestFit="1" customWidth="1"/>
    <col min="12168" max="12168" width="13.19921875" style="8" bestFit="1" customWidth="1"/>
    <col min="12169" max="12169" width="11" style="8"/>
    <col min="12170" max="12170" width="11.19921875" style="8" bestFit="1" customWidth="1"/>
    <col min="12171" max="12174" width="11" style="8"/>
    <col min="12175" max="12176" width="13.19921875" style="8" bestFit="1" customWidth="1"/>
    <col min="12177" max="12177" width="11" style="8"/>
    <col min="12178" max="12178" width="11.19921875" style="8" bestFit="1" customWidth="1"/>
    <col min="12179" max="12182" width="11" style="8"/>
    <col min="12183" max="12183" width="13.19921875" style="8" bestFit="1" customWidth="1"/>
    <col min="12184" max="12184" width="11.19921875" style="8" bestFit="1" customWidth="1"/>
    <col min="12185" max="12185" width="11" style="8"/>
    <col min="12186" max="12186" width="11.19921875" style="8" bestFit="1" customWidth="1"/>
    <col min="12187" max="12190" width="11" style="8"/>
    <col min="12191" max="12192" width="11.19921875" style="8" bestFit="1" customWidth="1"/>
    <col min="12193" max="12193" width="11" style="8"/>
    <col min="12194" max="12194" width="12.19921875" style="8" bestFit="1" customWidth="1"/>
    <col min="12195" max="12198" width="11" style="8"/>
    <col min="12199" max="12200" width="11.19921875" style="8" bestFit="1" customWidth="1"/>
    <col min="12201" max="12201" width="11" style="8"/>
    <col min="12202" max="12202" width="12.19921875" style="8" bestFit="1" customWidth="1"/>
    <col min="12203" max="12206" width="11" style="8"/>
    <col min="12207" max="12207" width="11.19921875" style="8" bestFit="1" customWidth="1"/>
    <col min="12208" max="12208" width="12.19921875" style="8" bestFit="1" customWidth="1"/>
    <col min="12209" max="12209" width="11" style="8"/>
    <col min="12210" max="12210" width="12.19921875" style="8" bestFit="1" customWidth="1"/>
    <col min="12211" max="12214" width="11" style="8"/>
    <col min="12215" max="12216" width="12.19921875" style="8" bestFit="1" customWidth="1"/>
    <col min="12217" max="12217" width="11" style="8"/>
    <col min="12218" max="12218" width="12.19921875" style="8" bestFit="1" customWidth="1"/>
    <col min="12219" max="12222" width="11" style="8"/>
    <col min="12223" max="12223" width="12.19921875" style="8" bestFit="1" customWidth="1"/>
    <col min="12224" max="12224" width="13.19921875" style="8" bestFit="1" customWidth="1"/>
    <col min="12225" max="12225" width="11" style="8"/>
    <col min="12226" max="12226" width="11.19921875" style="8" bestFit="1" customWidth="1"/>
    <col min="12227" max="12230" width="11" style="8"/>
    <col min="12231" max="12232" width="13.19921875" style="8" bestFit="1" customWidth="1"/>
    <col min="12233" max="12233" width="11" style="8"/>
    <col min="12234" max="12234" width="11.19921875" style="8" bestFit="1" customWidth="1"/>
    <col min="12235" max="12238" width="11" style="8"/>
    <col min="12239" max="12239" width="13.19921875" style="8" bestFit="1" customWidth="1"/>
    <col min="12240" max="12240" width="11.19921875" style="8" bestFit="1" customWidth="1"/>
    <col min="12241" max="12241" width="11" style="8"/>
    <col min="12242" max="12242" width="11.19921875" style="8" bestFit="1" customWidth="1"/>
    <col min="12243" max="12246" width="11" style="8"/>
    <col min="12247" max="12248" width="11.19921875" style="8" bestFit="1" customWidth="1"/>
    <col min="12249" max="12249" width="11" style="8"/>
    <col min="12250" max="12250" width="12.19921875" style="8" bestFit="1" customWidth="1"/>
    <col min="12251" max="12254" width="11" style="8"/>
    <col min="12255" max="12256" width="11.19921875" style="8" bestFit="1" customWidth="1"/>
    <col min="12257" max="12257" width="11" style="8"/>
    <col min="12258" max="12258" width="12.19921875" style="8" bestFit="1" customWidth="1"/>
    <col min="12259" max="12262" width="11" style="8"/>
    <col min="12263" max="12263" width="11.19921875" style="8" bestFit="1" customWidth="1"/>
    <col min="12264" max="12264" width="12.19921875" style="8" bestFit="1" customWidth="1"/>
    <col min="12265" max="12265" width="11" style="8"/>
    <col min="12266" max="12266" width="12.19921875" style="8" bestFit="1" customWidth="1"/>
    <col min="12267" max="12270" width="11" style="8"/>
    <col min="12271" max="12272" width="12.19921875" style="8" bestFit="1" customWidth="1"/>
    <col min="12273" max="12273" width="11" style="8"/>
    <col min="12274" max="12274" width="12.19921875" style="8" bestFit="1" customWidth="1"/>
    <col min="12275" max="12278" width="11" style="8"/>
    <col min="12279" max="12279" width="12.19921875" style="8" bestFit="1" customWidth="1"/>
    <col min="12280" max="12280" width="13.19921875" style="8" bestFit="1" customWidth="1"/>
    <col min="12281" max="12281" width="11" style="8"/>
    <col min="12282" max="12282" width="11.19921875" style="8" bestFit="1" customWidth="1"/>
    <col min="12283" max="12286" width="11" style="8"/>
    <col min="12287" max="12288" width="13.19921875" style="8" bestFit="1" customWidth="1"/>
    <col min="12289" max="12289" width="11" style="8"/>
    <col min="12290" max="12290" width="11.19921875" style="8" bestFit="1" customWidth="1"/>
    <col min="12291" max="12294" width="11" style="8"/>
    <col min="12295" max="12295" width="13.19921875" style="8" bestFit="1" customWidth="1"/>
    <col min="12296" max="12296" width="11.19921875" style="8" bestFit="1" customWidth="1"/>
    <col min="12297" max="12297" width="11" style="8"/>
    <col min="12298" max="12298" width="11.19921875" style="8" bestFit="1" customWidth="1"/>
    <col min="12299" max="12302" width="11" style="8"/>
    <col min="12303" max="12304" width="11.19921875" style="8" bestFit="1" customWidth="1"/>
    <col min="12305" max="12305" width="11" style="8"/>
    <col min="12306" max="12306" width="12.19921875" style="8" bestFit="1" customWidth="1"/>
    <col min="12307" max="12310" width="11" style="8"/>
    <col min="12311" max="12312" width="11.19921875" style="8" bestFit="1" customWidth="1"/>
    <col min="12313" max="12313" width="11" style="8"/>
    <col min="12314" max="12314" width="12.19921875" style="8" bestFit="1" customWidth="1"/>
    <col min="12315" max="12318" width="11" style="8"/>
    <col min="12319" max="12319" width="11.19921875" style="8" bestFit="1" customWidth="1"/>
    <col min="12320" max="12320" width="12.19921875" style="8" bestFit="1" customWidth="1"/>
    <col min="12321" max="12321" width="11" style="8"/>
    <col min="12322" max="12322" width="12.19921875" style="8" bestFit="1" customWidth="1"/>
    <col min="12323" max="12326" width="11" style="8"/>
    <col min="12327" max="12328" width="12.19921875" style="8" bestFit="1" customWidth="1"/>
    <col min="12329" max="12329" width="11" style="8"/>
    <col min="12330" max="12330" width="12.19921875" style="8" bestFit="1" customWidth="1"/>
    <col min="12331" max="12334" width="11" style="8"/>
    <col min="12335" max="12335" width="12.19921875" style="8" bestFit="1" customWidth="1"/>
    <col min="12336" max="12336" width="13.19921875" style="8" bestFit="1" customWidth="1"/>
    <col min="12337" max="12337" width="11" style="8"/>
    <col min="12338" max="12338" width="11.19921875" style="8" bestFit="1" customWidth="1"/>
    <col min="12339" max="12342" width="11" style="8"/>
    <col min="12343" max="12344" width="13.19921875" style="8" bestFit="1" customWidth="1"/>
    <col min="12345" max="12345" width="11" style="8"/>
    <col min="12346" max="12346" width="11.19921875" style="8" bestFit="1" customWidth="1"/>
    <col min="12347" max="12350" width="11" style="8"/>
    <col min="12351" max="12351" width="13.19921875" style="8" bestFit="1" customWidth="1"/>
    <col min="12352" max="12352" width="11.19921875" style="8" bestFit="1" customWidth="1"/>
    <col min="12353" max="12353" width="11" style="8"/>
    <col min="12354" max="12354" width="11.19921875" style="8" bestFit="1" customWidth="1"/>
    <col min="12355" max="12358" width="11" style="8"/>
    <col min="12359" max="12360" width="11.19921875" style="8" bestFit="1" customWidth="1"/>
    <col min="12361" max="12361" width="11" style="8"/>
    <col min="12362" max="12362" width="12.19921875" style="8" bestFit="1" customWidth="1"/>
    <col min="12363" max="12366" width="11" style="8"/>
    <col min="12367" max="12368" width="11.19921875" style="8" bestFit="1" customWidth="1"/>
    <col min="12369" max="12369" width="11" style="8"/>
    <col min="12370" max="12370" width="12.19921875" style="8" bestFit="1" customWidth="1"/>
    <col min="12371" max="12374" width="11" style="8"/>
    <col min="12375" max="12375" width="11.19921875" style="8" bestFit="1" customWidth="1"/>
    <col min="12376" max="12376" width="12.19921875" style="8" bestFit="1" customWidth="1"/>
    <col min="12377" max="12377" width="11" style="8"/>
    <col min="12378" max="12378" width="12.19921875" style="8" bestFit="1" customWidth="1"/>
    <col min="12379" max="12382" width="11" style="8"/>
    <col min="12383" max="12384" width="12.19921875" style="8" bestFit="1" customWidth="1"/>
    <col min="12385" max="12385" width="11" style="8"/>
    <col min="12386" max="12386" width="12.19921875" style="8" bestFit="1" customWidth="1"/>
    <col min="12387" max="12390" width="11" style="8"/>
    <col min="12391" max="12391" width="12.19921875" style="8" bestFit="1" customWidth="1"/>
    <col min="12392" max="12392" width="13.19921875" style="8" bestFit="1" customWidth="1"/>
    <col min="12393" max="12393" width="11" style="8"/>
    <col min="12394" max="12394" width="11.19921875" style="8" bestFit="1" customWidth="1"/>
    <col min="12395" max="12398" width="11" style="8"/>
    <col min="12399" max="12400" width="13.19921875" style="8" bestFit="1" customWidth="1"/>
    <col min="12401" max="12401" width="11" style="8"/>
    <col min="12402" max="12402" width="11.19921875" style="8" bestFit="1" customWidth="1"/>
    <col min="12403" max="12406" width="11" style="8"/>
    <col min="12407" max="12407" width="13.19921875" style="8" bestFit="1" customWidth="1"/>
    <col min="12408" max="12408" width="11.19921875" style="8" bestFit="1" customWidth="1"/>
    <col min="12409" max="12409" width="11" style="8"/>
    <col min="12410" max="12410" width="11.19921875" style="8" bestFit="1" customWidth="1"/>
    <col min="12411" max="12414" width="11" style="8"/>
    <col min="12415" max="12416" width="11.19921875" style="8" bestFit="1" customWidth="1"/>
    <col min="12417" max="12417" width="11" style="8"/>
    <col min="12418" max="12418" width="12.19921875" style="8" bestFit="1" customWidth="1"/>
    <col min="12419" max="12422" width="11" style="8"/>
    <col min="12423" max="12424" width="11.19921875" style="8" bestFit="1" customWidth="1"/>
    <col min="12425" max="12425" width="11" style="8"/>
    <col min="12426" max="12426" width="12.19921875" style="8" bestFit="1" customWidth="1"/>
    <col min="12427" max="12430" width="11" style="8"/>
    <col min="12431" max="12431" width="11.19921875" style="8" bestFit="1" customWidth="1"/>
    <col min="12432" max="12432" width="12.19921875" style="8" bestFit="1" customWidth="1"/>
    <col min="12433" max="12433" width="11" style="8"/>
    <col min="12434" max="12434" width="12.19921875" style="8" bestFit="1" customWidth="1"/>
    <col min="12435" max="12438" width="11" style="8"/>
    <col min="12439" max="12440" width="12.19921875" style="8" bestFit="1" customWidth="1"/>
    <col min="12441" max="12441" width="11" style="8"/>
    <col min="12442" max="12442" width="12.19921875" style="8" bestFit="1" customWidth="1"/>
    <col min="12443" max="12446" width="11" style="8"/>
    <col min="12447" max="12447" width="12.19921875" style="8" bestFit="1" customWidth="1"/>
    <col min="12448" max="12448" width="13.19921875" style="8" bestFit="1" customWidth="1"/>
    <col min="12449" max="12449" width="11" style="8"/>
    <col min="12450" max="12450" width="11.19921875" style="8" bestFit="1" customWidth="1"/>
    <col min="12451" max="12454" width="11" style="8"/>
    <col min="12455" max="12456" width="13.19921875" style="8" bestFit="1" customWidth="1"/>
    <col min="12457" max="12457" width="11" style="8"/>
    <col min="12458" max="12458" width="11.19921875" style="8" bestFit="1" customWidth="1"/>
    <col min="12459" max="12462" width="11" style="8"/>
    <col min="12463" max="12463" width="13.19921875" style="8" bestFit="1" customWidth="1"/>
    <col min="12464" max="12464" width="11.19921875" style="8" bestFit="1" customWidth="1"/>
    <col min="12465" max="12465" width="11" style="8"/>
    <col min="12466" max="12466" width="11.19921875" style="8" bestFit="1" customWidth="1"/>
    <col min="12467" max="12470" width="11" style="8"/>
    <col min="12471" max="12472" width="11.19921875" style="8" bestFit="1" customWidth="1"/>
    <col min="12473" max="12473" width="11" style="8"/>
    <col min="12474" max="12474" width="12.19921875" style="8" bestFit="1" customWidth="1"/>
    <col min="12475" max="12478" width="11" style="8"/>
    <col min="12479" max="12480" width="11.19921875" style="8" bestFit="1" customWidth="1"/>
    <col min="12481" max="12481" width="11" style="8"/>
    <col min="12482" max="12482" width="12.19921875" style="8" bestFit="1" customWidth="1"/>
    <col min="12483" max="12486" width="11" style="8"/>
    <col min="12487" max="12487" width="11.19921875" style="8" bestFit="1" customWidth="1"/>
    <col min="12488" max="12488" width="12.19921875" style="8" bestFit="1" customWidth="1"/>
    <col min="12489" max="12489" width="11" style="8"/>
    <col min="12490" max="12490" width="12.19921875" style="8" bestFit="1" customWidth="1"/>
    <col min="12491" max="12494" width="11" style="8"/>
    <col min="12495" max="12496" width="12.19921875" style="8" bestFit="1" customWidth="1"/>
    <col min="12497" max="12497" width="11" style="8"/>
    <col min="12498" max="12498" width="12.19921875" style="8" bestFit="1" customWidth="1"/>
    <col min="12499" max="12502" width="11" style="8"/>
    <col min="12503" max="12503" width="12.19921875" style="8" bestFit="1" customWidth="1"/>
    <col min="12504" max="12504" width="13.19921875" style="8" bestFit="1" customWidth="1"/>
    <col min="12505" max="12505" width="11" style="8"/>
    <col min="12506" max="12506" width="11.19921875" style="8" bestFit="1" customWidth="1"/>
    <col min="12507" max="12510" width="11" style="8"/>
    <col min="12511" max="12512" width="13.19921875" style="8" bestFit="1" customWidth="1"/>
    <col min="12513" max="12513" width="11" style="8"/>
    <col min="12514" max="12514" width="11.19921875" style="8" bestFit="1" customWidth="1"/>
    <col min="12515" max="12518" width="11" style="8"/>
    <col min="12519" max="12519" width="13.19921875" style="8" bestFit="1" customWidth="1"/>
    <col min="12520" max="12520" width="11.19921875" style="8" bestFit="1" customWidth="1"/>
    <col min="12521" max="12521" width="11" style="8"/>
    <col min="12522" max="12522" width="11.19921875" style="8" bestFit="1" customWidth="1"/>
    <col min="12523" max="12526" width="11" style="8"/>
    <col min="12527" max="12528" width="11.19921875" style="8" bestFit="1" customWidth="1"/>
    <col min="12529" max="12529" width="11" style="8"/>
    <col min="12530" max="12530" width="12.19921875" style="8" bestFit="1" customWidth="1"/>
    <col min="12531" max="12534" width="11" style="8"/>
    <col min="12535" max="12536" width="11.19921875" style="8" bestFit="1" customWidth="1"/>
    <col min="12537" max="12537" width="11" style="8"/>
    <col min="12538" max="12538" width="12.19921875" style="8" bestFit="1" customWidth="1"/>
    <col min="12539" max="12542" width="11" style="8"/>
    <col min="12543" max="12543" width="11.19921875" style="8" bestFit="1" customWidth="1"/>
    <col min="12544" max="12544" width="12.19921875" style="8" bestFit="1" customWidth="1"/>
    <col min="12545" max="12545" width="11" style="8"/>
    <col min="12546" max="12546" width="12.19921875" style="8" bestFit="1" customWidth="1"/>
    <col min="12547" max="12550" width="11" style="8"/>
    <col min="12551" max="12552" width="12.19921875" style="8" bestFit="1" customWidth="1"/>
    <col min="12553" max="12553" width="11" style="8"/>
    <col min="12554" max="12554" width="12.19921875" style="8" bestFit="1" customWidth="1"/>
    <col min="12555" max="12558" width="11" style="8"/>
    <col min="12559" max="12559" width="12.19921875" style="8" bestFit="1" customWidth="1"/>
    <col min="12560" max="12560" width="13.19921875" style="8" bestFit="1" customWidth="1"/>
    <col min="12561" max="12561" width="11" style="8"/>
    <col min="12562" max="12562" width="11.19921875" style="8" bestFit="1" customWidth="1"/>
    <col min="12563" max="12566" width="11" style="8"/>
    <col min="12567" max="12568" width="13.19921875" style="8" bestFit="1" customWidth="1"/>
    <col min="12569" max="12569" width="11" style="8"/>
    <col min="12570" max="12570" width="11.19921875" style="8" bestFit="1" customWidth="1"/>
    <col min="12571" max="12574" width="11" style="8"/>
    <col min="12575" max="12575" width="13.19921875" style="8" bestFit="1" customWidth="1"/>
    <col min="12576" max="12576" width="11.19921875" style="8" bestFit="1" customWidth="1"/>
    <col min="12577" max="12577" width="11" style="8"/>
    <col min="12578" max="12578" width="11.19921875" style="8" bestFit="1" customWidth="1"/>
    <col min="12579" max="12582" width="11" style="8"/>
    <col min="12583" max="12584" width="11.19921875" style="8" bestFit="1" customWidth="1"/>
    <col min="12585" max="12585" width="11" style="8"/>
    <col min="12586" max="12586" width="12.19921875" style="8" bestFit="1" customWidth="1"/>
    <col min="12587" max="12590" width="11" style="8"/>
    <col min="12591" max="12592" width="11.19921875" style="8" bestFit="1" customWidth="1"/>
    <col min="12593" max="12593" width="11" style="8"/>
    <col min="12594" max="12594" width="12.19921875" style="8" bestFit="1" customWidth="1"/>
    <col min="12595" max="12598" width="11" style="8"/>
    <col min="12599" max="12599" width="11.19921875" style="8" bestFit="1" customWidth="1"/>
    <col min="12600" max="12600" width="12.19921875" style="8" bestFit="1" customWidth="1"/>
    <col min="12601" max="12601" width="11" style="8"/>
    <col min="12602" max="12602" width="12.19921875" style="8" bestFit="1" customWidth="1"/>
    <col min="12603" max="12606" width="11" style="8"/>
    <col min="12607" max="12608" width="12.19921875" style="8" bestFit="1" customWidth="1"/>
    <col min="12609" max="12609" width="11" style="8"/>
    <col min="12610" max="12610" width="12.19921875" style="8" bestFit="1" customWidth="1"/>
    <col min="12611" max="12614" width="11" style="8"/>
    <col min="12615" max="12615" width="12.19921875" style="8" bestFit="1" customWidth="1"/>
    <col min="12616" max="12616" width="13.19921875" style="8" bestFit="1" customWidth="1"/>
    <col min="12617" max="12617" width="11" style="8"/>
    <col min="12618" max="12618" width="11.19921875" style="8" bestFit="1" customWidth="1"/>
    <col min="12619" max="12622" width="11" style="8"/>
    <col min="12623" max="12624" width="13.19921875" style="8" bestFit="1" customWidth="1"/>
    <col min="12625" max="12625" width="11" style="8"/>
    <col min="12626" max="12626" width="11.19921875" style="8" bestFit="1" customWidth="1"/>
    <col min="12627" max="12630" width="11" style="8"/>
    <col min="12631" max="12631" width="13.19921875" style="8" bestFit="1" customWidth="1"/>
    <col min="12632" max="12632" width="11.19921875" style="8" bestFit="1" customWidth="1"/>
    <col min="12633" max="12633" width="11" style="8"/>
    <col min="12634" max="12634" width="11.19921875" style="8" bestFit="1" customWidth="1"/>
    <col min="12635" max="12638" width="11" style="8"/>
    <col min="12639" max="12640" width="11.19921875" style="8" bestFit="1" customWidth="1"/>
    <col min="12641" max="12641" width="11" style="8"/>
    <col min="12642" max="12642" width="12.19921875" style="8" bestFit="1" customWidth="1"/>
    <col min="12643" max="12646" width="11" style="8"/>
    <col min="12647" max="12648" width="11.19921875" style="8" bestFit="1" customWidth="1"/>
    <col min="12649" max="12649" width="11" style="8"/>
    <col min="12650" max="12650" width="12.19921875" style="8" bestFit="1" customWidth="1"/>
    <col min="12651" max="12654" width="11" style="8"/>
    <col min="12655" max="12655" width="11.19921875" style="8" bestFit="1" customWidth="1"/>
    <col min="12656" max="12656" width="12.19921875" style="8" bestFit="1" customWidth="1"/>
    <col min="12657" max="12657" width="11" style="8"/>
    <col min="12658" max="12658" width="12.19921875" style="8" bestFit="1" customWidth="1"/>
    <col min="12659" max="12662" width="11" style="8"/>
    <col min="12663" max="12664" width="12.19921875" style="8" bestFit="1" customWidth="1"/>
    <col min="12665" max="12665" width="11" style="8"/>
    <col min="12666" max="12666" width="12.19921875" style="8" bestFit="1" customWidth="1"/>
    <col min="12667" max="12670" width="11" style="8"/>
    <col min="12671" max="12671" width="12.19921875" style="8" bestFit="1" customWidth="1"/>
    <col min="12672" max="12672" width="13.19921875" style="8" bestFit="1" customWidth="1"/>
    <col min="12673" max="12673" width="11" style="8"/>
    <col min="12674" max="12674" width="11.19921875" style="8" bestFit="1" customWidth="1"/>
    <col min="12675" max="12678" width="11" style="8"/>
    <col min="12679" max="12680" width="13.19921875" style="8" bestFit="1" customWidth="1"/>
    <col min="12681" max="12681" width="11" style="8"/>
    <col min="12682" max="12682" width="11.19921875" style="8" bestFit="1" customWidth="1"/>
    <col min="12683" max="12686" width="11" style="8"/>
    <col min="12687" max="12687" width="13.19921875" style="8" bestFit="1" customWidth="1"/>
    <col min="12688" max="12688" width="11.19921875" style="8" bestFit="1" customWidth="1"/>
    <col min="12689" max="12689" width="11" style="8"/>
    <col min="12690" max="12690" width="11.19921875" style="8" bestFit="1" customWidth="1"/>
    <col min="12691" max="12694" width="11" style="8"/>
    <col min="12695" max="12696" width="11.19921875" style="8" bestFit="1" customWidth="1"/>
    <col min="12697" max="12697" width="11" style="8"/>
    <col min="12698" max="12698" width="12.19921875" style="8" bestFit="1" customWidth="1"/>
    <col min="12699" max="12702" width="11" style="8"/>
    <col min="12703" max="12704" width="11.19921875" style="8" bestFit="1" customWidth="1"/>
    <col min="12705" max="12705" width="11" style="8"/>
    <col min="12706" max="12706" width="12.19921875" style="8" bestFit="1" customWidth="1"/>
    <col min="12707" max="12710" width="11" style="8"/>
    <col min="12711" max="12711" width="11.19921875" style="8" bestFit="1" customWidth="1"/>
    <col min="12712" max="12712" width="12.19921875" style="8" bestFit="1" customWidth="1"/>
    <col min="12713" max="12713" width="11" style="8"/>
    <col min="12714" max="12714" width="12.19921875" style="8" bestFit="1" customWidth="1"/>
    <col min="12715" max="12718" width="11" style="8"/>
    <col min="12719" max="12720" width="12.19921875" style="8" bestFit="1" customWidth="1"/>
    <col min="12721" max="12721" width="11" style="8"/>
    <col min="12722" max="12722" width="12.19921875" style="8" bestFit="1" customWidth="1"/>
    <col min="12723" max="12726" width="11" style="8"/>
    <col min="12727" max="12727" width="12.19921875" style="8" bestFit="1" customWidth="1"/>
    <col min="12728" max="12728" width="13.19921875" style="8" bestFit="1" customWidth="1"/>
    <col min="12729" max="12729" width="11" style="8"/>
    <col min="12730" max="12730" width="11.19921875" style="8" bestFit="1" customWidth="1"/>
    <col min="12731" max="12734" width="11" style="8"/>
    <col min="12735" max="12736" width="13.19921875" style="8" bestFit="1" customWidth="1"/>
    <col min="12737" max="12737" width="11" style="8"/>
    <col min="12738" max="12738" width="11.19921875" style="8" bestFit="1" customWidth="1"/>
    <col min="12739" max="12742" width="11" style="8"/>
    <col min="12743" max="12743" width="13.19921875" style="8" bestFit="1" customWidth="1"/>
    <col min="12744" max="12744" width="11.19921875" style="8" bestFit="1" customWidth="1"/>
    <col min="12745" max="12745" width="11" style="8"/>
    <col min="12746" max="12746" width="11.19921875" style="8" bestFit="1" customWidth="1"/>
    <col min="12747" max="12750" width="11" style="8"/>
    <col min="12751" max="12752" width="11.19921875" style="8" bestFit="1" customWidth="1"/>
    <col min="12753" max="12753" width="11" style="8"/>
    <col min="12754" max="12754" width="12.19921875" style="8" bestFit="1" customWidth="1"/>
    <col min="12755" max="12758" width="11" style="8"/>
    <col min="12759" max="12760" width="11.19921875" style="8" bestFit="1" customWidth="1"/>
    <col min="12761" max="12761" width="11" style="8"/>
    <col min="12762" max="12762" width="12.19921875" style="8" bestFit="1" customWidth="1"/>
    <col min="12763" max="12766" width="11" style="8"/>
    <col min="12767" max="12767" width="11.19921875" style="8" bestFit="1" customWidth="1"/>
    <col min="12768" max="12768" width="12.19921875" style="8" bestFit="1" customWidth="1"/>
    <col min="12769" max="12769" width="11" style="8"/>
    <col min="12770" max="12770" width="12.19921875" style="8" bestFit="1" customWidth="1"/>
    <col min="12771" max="12774" width="11" style="8"/>
    <col min="12775" max="12776" width="12.19921875" style="8" bestFit="1" customWidth="1"/>
    <col min="12777" max="12777" width="11" style="8"/>
    <col min="12778" max="12778" width="12.19921875" style="8" bestFit="1" customWidth="1"/>
    <col min="12779" max="12782" width="11" style="8"/>
    <col min="12783" max="12783" width="12.19921875" style="8" bestFit="1" customWidth="1"/>
    <col min="12784" max="12784" width="13.19921875" style="8" bestFit="1" customWidth="1"/>
    <col min="12785" max="12785" width="11" style="8"/>
    <col min="12786" max="12786" width="11.19921875" style="8" bestFit="1" customWidth="1"/>
    <col min="12787" max="12790" width="11" style="8"/>
    <col min="12791" max="12792" width="13.19921875" style="8" bestFit="1" customWidth="1"/>
    <col min="12793" max="12793" width="11" style="8"/>
    <col min="12794" max="12794" width="11.19921875" style="8" bestFit="1" customWidth="1"/>
    <col min="12795" max="12798" width="11" style="8"/>
    <col min="12799" max="12799" width="13.19921875" style="8" bestFit="1" customWidth="1"/>
    <col min="12800" max="12800" width="11.19921875" style="8" bestFit="1" customWidth="1"/>
    <col min="12801" max="12801" width="11" style="8"/>
    <col min="12802" max="12802" width="11.19921875" style="8" bestFit="1" customWidth="1"/>
    <col min="12803" max="12806" width="11" style="8"/>
    <col min="12807" max="12808" width="11.19921875" style="8" bestFit="1" customWidth="1"/>
    <col min="12809" max="12809" width="11" style="8"/>
    <col min="12810" max="12810" width="12.19921875" style="8" bestFit="1" customWidth="1"/>
    <col min="12811" max="12814" width="11" style="8"/>
    <col min="12815" max="12816" width="11.19921875" style="8" bestFit="1" customWidth="1"/>
    <col min="12817" max="12817" width="11" style="8"/>
    <col min="12818" max="12818" width="12.19921875" style="8" bestFit="1" customWidth="1"/>
    <col min="12819" max="12822" width="11" style="8"/>
    <col min="12823" max="12823" width="11.19921875" style="8" bestFit="1" customWidth="1"/>
    <col min="12824" max="12824" width="12.19921875" style="8" bestFit="1" customWidth="1"/>
    <col min="12825" max="12825" width="11" style="8"/>
    <col min="12826" max="12826" width="12.19921875" style="8" bestFit="1" customWidth="1"/>
    <col min="12827" max="12830" width="11" style="8"/>
    <col min="12831" max="12832" width="12.19921875" style="8" bestFit="1" customWidth="1"/>
    <col min="12833" max="12833" width="11" style="8"/>
    <col min="12834" max="12834" width="12.19921875" style="8" bestFit="1" customWidth="1"/>
    <col min="12835" max="12838" width="11" style="8"/>
    <col min="12839" max="12839" width="12.19921875" style="8" bestFit="1" customWidth="1"/>
    <col min="12840" max="12840" width="13.19921875" style="8" bestFit="1" customWidth="1"/>
    <col min="12841" max="12841" width="11" style="8"/>
    <col min="12842" max="12842" width="11.19921875" style="8" bestFit="1" customWidth="1"/>
    <col min="12843" max="12846" width="11" style="8"/>
    <col min="12847" max="12848" width="13.19921875" style="8" bestFit="1" customWidth="1"/>
    <col min="12849" max="12849" width="11" style="8"/>
    <col min="12850" max="12850" width="11.19921875" style="8" bestFit="1" customWidth="1"/>
    <col min="12851" max="12854" width="11" style="8"/>
    <col min="12855" max="12855" width="13.19921875" style="8" bestFit="1" customWidth="1"/>
    <col min="12856" max="12856" width="11.19921875" style="8" bestFit="1" customWidth="1"/>
    <col min="12857" max="12857" width="11" style="8"/>
    <col min="12858" max="12858" width="11.19921875" style="8" bestFit="1" customWidth="1"/>
    <col min="12859" max="12862" width="11" style="8"/>
    <col min="12863" max="12864" width="11.19921875" style="8" bestFit="1" customWidth="1"/>
    <col min="12865" max="12865" width="11" style="8"/>
    <col min="12866" max="12866" width="12.19921875" style="8" bestFit="1" customWidth="1"/>
    <col min="12867" max="12870" width="11" style="8"/>
    <col min="12871" max="12872" width="11.19921875" style="8" bestFit="1" customWidth="1"/>
    <col min="12873" max="12873" width="11" style="8"/>
    <col min="12874" max="12874" width="12.19921875" style="8" bestFit="1" customWidth="1"/>
    <col min="12875" max="12878" width="11" style="8"/>
    <col min="12879" max="12879" width="11.19921875" style="8" bestFit="1" customWidth="1"/>
    <col min="12880" max="12880" width="12.19921875" style="8" bestFit="1" customWidth="1"/>
    <col min="12881" max="12881" width="11" style="8"/>
    <col min="12882" max="12882" width="12.19921875" style="8" bestFit="1" customWidth="1"/>
    <col min="12883" max="12886" width="11" style="8"/>
    <col min="12887" max="12888" width="12.19921875" style="8" bestFit="1" customWidth="1"/>
    <col min="12889" max="12889" width="11" style="8"/>
    <col min="12890" max="12890" width="12.19921875" style="8" bestFit="1" customWidth="1"/>
    <col min="12891" max="12894" width="11" style="8"/>
    <col min="12895" max="12895" width="12.19921875" style="8" bestFit="1" customWidth="1"/>
    <col min="12896" max="12896" width="13.19921875" style="8" bestFit="1" customWidth="1"/>
    <col min="12897" max="12897" width="11" style="8"/>
    <col min="12898" max="12898" width="11.19921875" style="8" bestFit="1" customWidth="1"/>
    <col min="12899" max="12902" width="11" style="8"/>
    <col min="12903" max="12904" width="13.19921875" style="8" bestFit="1" customWidth="1"/>
    <col min="12905" max="12905" width="11" style="8"/>
    <col min="12906" max="12906" width="11.19921875" style="8" bestFit="1" customWidth="1"/>
    <col min="12907" max="12910" width="11" style="8"/>
    <col min="12911" max="12911" width="13.19921875" style="8" bestFit="1" customWidth="1"/>
    <col min="12912" max="12912" width="11.19921875" style="8" bestFit="1" customWidth="1"/>
    <col min="12913" max="12913" width="11" style="8"/>
    <col min="12914" max="12914" width="11.19921875" style="8" bestFit="1" customWidth="1"/>
    <col min="12915" max="12918" width="11" style="8"/>
    <col min="12919" max="12920" width="11.19921875" style="8" bestFit="1" customWidth="1"/>
    <col min="12921" max="12921" width="11" style="8"/>
    <col min="12922" max="12922" width="12.19921875" style="8" bestFit="1" customWidth="1"/>
    <col min="12923" max="12926" width="11" style="8"/>
    <col min="12927" max="12928" width="11.19921875" style="8" bestFit="1" customWidth="1"/>
    <col min="12929" max="12929" width="11" style="8"/>
    <col min="12930" max="12930" width="12.19921875" style="8" bestFit="1" customWidth="1"/>
    <col min="12931" max="12934" width="11" style="8"/>
    <col min="12935" max="12935" width="11.19921875" style="8" bestFit="1" customWidth="1"/>
    <col min="12936" max="12936" width="12.19921875" style="8" bestFit="1" customWidth="1"/>
    <col min="12937" max="12937" width="11" style="8"/>
    <col min="12938" max="12938" width="12.19921875" style="8" bestFit="1" customWidth="1"/>
    <col min="12939" max="12942" width="11" style="8"/>
    <col min="12943" max="12944" width="12.19921875" style="8" bestFit="1" customWidth="1"/>
    <col min="12945" max="12945" width="11" style="8"/>
    <col min="12946" max="12946" width="12.19921875" style="8" bestFit="1" customWidth="1"/>
    <col min="12947" max="12950" width="11" style="8"/>
    <col min="12951" max="12951" width="12.19921875" style="8" bestFit="1" customWidth="1"/>
    <col min="12952" max="12952" width="13.19921875" style="8" bestFit="1" customWidth="1"/>
    <col min="12953" max="12953" width="11" style="8"/>
    <col min="12954" max="12954" width="11.19921875" style="8" bestFit="1" customWidth="1"/>
    <col min="12955" max="12958" width="11" style="8"/>
    <col min="12959" max="12960" width="13.19921875" style="8" bestFit="1" customWidth="1"/>
    <col min="12961" max="12961" width="11" style="8"/>
    <col min="12962" max="12962" width="11.19921875" style="8" bestFit="1" customWidth="1"/>
    <col min="12963" max="12966" width="11" style="8"/>
    <col min="12967" max="12967" width="13.19921875" style="8" bestFit="1" customWidth="1"/>
    <col min="12968" max="12968" width="11.19921875" style="8" bestFit="1" customWidth="1"/>
    <col min="12969" max="12969" width="11" style="8"/>
    <col min="12970" max="12970" width="11.19921875" style="8" bestFit="1" customWidth="1"/>
    <col min="12971" max="12974" width="11" style="8"/>
    <col min="12975" max="12976" width="11.19921875" style="8" bestFit="1" customWidth="1"/>
    <col min="12977" max="12977" width="11" style="8"/>
    <col min="12978" max="12978" width="12.19921875" style="8" bestFit="1" customWidth="1"/>
    <col min="12979" max="12982" width="11" style="8"/>
    <col min="12983" max="12984" width="11.19921875" style="8" bestFit="1" customWidth="1"/>
    <col min="12985" max="12985" width="11" style="8"/>
    <col min="12986" max="12986" width="12.19921875" style="8" bestFit="1" customWidth="1"/>
    <col min="12987" max="12990" width="11" style="8"/>
    <col min="12991" max="12991" width="11.19921875" style="8" bestFit="1" customWidth="1"/>
    <col min="12992" max="12992" width="12.19921875" style="8" bestFit="1" customWidth="1"/>
    <col min="12993" max="12993" width="11" style="8"/>
    <col min="12994" max="12994" width="12.19921875" style="8" bestFit="1" customWidth="1"/>
    <col min="12995" max="12998" width="11" style="8"/>
    <col min="12999" max="13000" width="12.19921875" style="8" bestFit="1" customWidth="1"/>
    <col min="13001" max="13001" width="11" style="8"/>
    <col min="13002" max="13002" width="12.19921875" style="8" bestFit="1" customWidth="1"/>
    <col min="13003" max="13006" width="11" style="8"/>
    <col min="13007" max="13007" width="12.19921875" style="8" bestFit="1" customWidth="1"/>
    <col min="13008" max="13008" width="13.19921875" style="8" bestFit="1" customWidth="1"/>
    <col min="13009" max="13009" width="11" style="8"/>
    <col min="13010" max="13010" width="11.19921875" style="8" bestFit="1" customWidth="1"/>
    <col min="13011" max="13014" width="11" style="8"/>
    <col min="13015" max="13016" width="13.19921875" style="8" bestFit="1" customWidth="1"/>
    <col min="13017" max="13017" width="11" style="8"/>
    <col min="13018" max="13018" width="11.19921875" style="8" bestFit="1" customWidth="1"/>
    <col min="13019" max="13022" width="11" style="8"/>
    <col min="13023" max="13023" width="13.19921875" style="8" bestFit="1" customWidth="1"/>
    <col min="13024" max="13024" width="11.19921875" style="8" bestFit="1" customWidth="1"/>
    <col min="13025" max="13025" width="11" style="8"/>
    <col min="13026" max="13026" width="11.19921875" style="8" bestFit="1" customWidth="1"/>
    <col min="13027" max="13030" width="11" style="8"/>
    <col min="13031" max="13032" width="11.19921875" style="8" bestFit="1" customWidth="1"/>
    <col min="13033" max="13033" width="11" style="8"/>
    <col min="13034" max="13034" width="12.19921875" style="8" bestFit="1" customWidth="1"/>
    <col min="13035" max="13038" width="11" style="8"/>
    <col min="13039" max="13040" width="11.19921875" style="8" bestFit="1" customWidth="1"/>
    <col min="13041" max="13041" width="11" style="8"/>
    <col min="13042" max="13042" width="12.19921875" style="8" bestFit="1" customWidth="1"/>
    <col min="13043" max="13046" width="11" style="8"/>
    <col min="13047" max="13047" width="11.19921875" style="8" bestFit="1" customWidth="1"/>
    <col min="13048" max="13048" width="12.19921875" style="8" bestFit="1" customWidth="1"/>
    <col min="13049" max="13049" width="11" style="8"/>
    <col min="13050" max="13050" width="12.19921875" style="8" bestFit="1" customWidth="1"/>
    <col min="13051" max="13054" width="11" style="8"/>
    <col min="13055" max="13056" width="12.19921875" style="8" bestFit="1" customWidth="1"/>
    <col min="13057" max="13057" width="11" style="8"/>
    <col min="13058" max="13058" width="12.19921875" style="8" bestFit="1" customWidth="1"/>
    <col min="13059" max="13062" width="11" style="8"/>
    <col min="13063" max="13063" width="12.19921875" style="8" bestFit="1" customWidth="1"/>
    <col min="13064" max="13064" width="13.19921875" style="8" bestFit="1" customWidth="1"/>
    <col min="13065" max="13065" width="11" style="8"/>
    <col min="13066" max="13066" width="11.19921875" style="8" bestFit="1" customWidth="1"/>
    <col min="13067" max="13070" width="11" style="8"/>
    <col min="13071" max="13072" width="13.19921875" style="8" bestFit="1" customWidth="1"/>
    <col min="13073" max="13073" width="11" style="8"/>
    <col min="13074" max="13074" width="11.19921875" style="8" bestFit="1" customWidth="1"/>
    <col min="13075" max="13078" width="11" style="8"/>
    <col min="13079" max="13079" width="13.19921875" style="8" bestFit="1" customWidth="1"/>
    <col min="13080" max="13080" width="11.19921875" style="8" bestFit="1" customWidth="1"/>
    <col min="13081" max="13081" width="11" style="8"/>
    <col min="13082" max="13082" width="11.19921875" style="8" bestFit="1" customWidth="1"/>
    <col min="13083" max="13086" width="11" style="8"/>
    <col min="13087" max="13088" width="11.19921875" style="8" bestFit="1" customWidth="1"/>
    <col min="13089" max="13089" width="11" style="8"/>
    <col min="13090" max="13090" width="12.19921875" style="8" bestFit="1" customWidth="1"/>
    <col min="13091" max="13094" width="11" style="8"/>
    <col min="13095" max="13096" width="11.19921875" style="8" bestFit="1" customWidth="1"/>
    <col min="13097" max="13097" width="11" style="8"/>
    <col min="13098" max="13098" width="12.19921875" style="8" bestFit="1" customWidth="1"/>
    <col min="13099" max="13102" width="11" style="8"/>
    <col min="13103" max="13103" width="11.19921875" style="8" bestFit="1" customWidth="1"/>
    <col min="13104" max="13104" width="12.19921875" style="8" bestFit="1" customWidth="1"/>
    <col min="13105" max="13105" width="11" style="8"/>
    <col min="13106" max="13106" width="12.19921875" style="8" bestFit="1" customWidth="1"/>
    <col min="13107" max="13110" width="11" style="8"/>
    <col min="13111" max="13112" width="12.19921875" style="8" bestFit="1" customWidth="1"/>
    <col min="13113" max="13113" width="11" style="8"/>
    <col min="13114" max="13114" width="12.19921875" style="8" bestFit="1" customWidth="1"/>
    <col min="13115" max="13118" width="11" style="8"/>
    <col min="13119" max="13119" width="12.19921875" style="8" bestFit="1" customWidth="1"/>
    <col min="13120" max="13120" width="13.19921875" style="8" bestFit="1" customWidth="1"/>
    <col min="13121" max="13121" width="11" style="8"/>
    <col min="13122" max="13122" width="11.19921875" style="8" bestFit="1" customWidth="1"/>
    <col min="13123" max="13126" width="11" style="8"/>
    <col min="13127" max="13128" width="13.19921875" style="8" bestFit="1" customWidth="1"/>
    <col min="13129" max="13129" width="11" style="8"/>
    <col min="13130" max="13130" width="11.19921875" style="8" bestFit="1" customWidth="1"/>
    <col min="13131" max="13134" width="11" style="8"/>
    <col min="13135" max="13135" width="13.19921875" style="8" bestFit="1" customWidth="1"/>
    <col min="13136" max="13136" width="11.19921875" style="8" bestFit="1" customWidth="1"/>
    <col min="13137" max="13137" width="11" style="8"/>
    <col min="13138" max="13138" width="11.19921875" style="8" bestFit="1" customWidth="1"/>
    <col min="13139" max="13142" width="11" style="8"/>
    <col min="13143" max="13144" width="11.19921875" style="8" bestFit="1" customWidth="1"/>
    <col min="13145" max="13145" width="11" style="8"/>
    <col min="13146" max="13146" width="12.19921875" style="8" bestFit="1" customWidth="1"/>
    <col min="13147" max="13150" width="11" style="8"/>
    <col min="13151" max="13152" width="11.19921875" style="8" bestFit="1" customWidth="1"/>
    <col min="13153" max="13153" width="11" style="8"/>
    <col min="13154" max="13154" width="12.19921875" style="8" bestFit="1" customWidth="1"/>
    <col min="13155" max="13158" width="11" style="8"/>
    <col min="13159" max="13159" width="11.19921875" style="8" bestFit="1" customWidth="1"/>
    <col min="13160" max="13160" width="12.19921875" style="8" bestFit="1" customWidth="1"/>
    <col min="13161" max="13161" width="11" style="8"/>
    <col min="13162" max="13162" width="12.19921875" style="8" bestFit="1" customWidth="1"/>
    <col min="13163" max="13166" width="11" style="8"/>
    <col min="13167" max="13168" width="12.19921875" style="8" bestFit="1" customWidth="1"/>
    <col min="13169" max="13169" width="11" style="8"/>
    <col min="13170" max="13170" width="12.19921875" style="8" bestFit="1" customWidth="1"/>
    <col min="13171" max="13174" width="11" style="8"/>
    <col min="13175" max="13175" width="12.19921875" style="8" bestFit="1" customWidth="1"/>
    <col min="13176" max="13176" width="13.19921875" style="8" bestFit="1" customWidth="1"/>
    <col min="13177" max="13177" width="11" style="8"/>
    <col min="13178" max="13178" width="11.19921875" style="8" bestFit="1" customWidth="1"/>
    <col min="13179" max="13182" width="11" style="8"/>
    <col min="13183" max="13184" width="13.19921875" style="8" bestFit="1" customWidth="1"/>
    <col min="13185" max="13185" width="11" style="8"/>
    <col min="13186" max="13186" width="11.19921875" style="8" bestFit="1" customWidth="1"/>
    <col min="13187" max="13190" width="11" style="8"/>
    <col min="13191" max="13191" width="13.19921875" style="8" bestFit="1" customWidth="1"/>
    <col min="13192" max="13192" width="11.19921875" style="8" bestFit="1" customWidth="1"/>
    <col min="13193" max="13193" width="11" style="8"/>
    <col min="13194" max="13194" width="11.19921875" style="8" bestFit="1" customWidth="1"/>
    <col min="13195" max="13198" width="11" style="8"/>
    <col min="13199" max="13200" width="11.19921875" style="8" bestFit="1" customWidth="1"/>
    <col min="13201" max="13201" width="11" style="8"/>
    <col min="13202" max="13202" width="12.19921875" style="8" bestFit="1" customWidth="1"/>
    <col min="13203" max="13206" width="11" style="8"/>
    <col min="13207" max="13208" width="11.19921875" style="8" bestFit="1" customWidth="1"/>
    <col min="13209" max="13209" width="11" style="8"/>
    <col min="13210" max="13210" width="12.19921875" style="8" bestFit="1" customWidth="1"/>
    <col min="13211" max="13214" width="11" style="8"/>
    <col min="13215" max="13215" width="11.19921875" style="8" bestFit="1" customWidth="1"/>
    <col min="13216" max="13216" width="12.19921875" style="8" bestFit="1" customWidth="1"/>
    <col min="13217" max="13217" width="11" style="8"/>
    <col min="13218" max="13218" width="12.19921875" style="8" bestFit="1" customWidth="1"/>
    <col min="13219" max="13222" width="11" style="8"/>
    <col min="13223" max="13224" width="12.19921875" style="8" bestFit="1" customWidth="1"/>
    <col min="13225" max="13225" width="11" style="8"/>
    <col min="13226" max="13226" width="12.19921875" style="8" bestFit="1" customWidth="1"/>
    <col min="13227" max="13230" width="11" style="8"/>
    <col min="13231" max="13231" width="12.19921875" style="8" bestFit="1" customWidth="1"/>
    <col min="13232" max="13232" width="13.19921875" style="8" bestFit="1" customWidth="1"/>
    <col min="13233" max="13233" width="11" style="8"/>
    <col min="13234" max="13234" width="11.19921875" style="8" bestFit="1" customWidth="1"/>
    <col min="13235" max="13238" width="11" style="8"/>
    <col min="13239" max="13240" width="13.19921875" style="8" bestFit="1" customWidth="1"/>
    <col min="13241" max="13241" width="11" style="8"/>
    <col min="13242" max="13242" width="11.19921875" style="8" bestFit="1" customWidth="1"/>
    <col min="13243" max="13246" width="11" style="8"/>
    <col min="13247" max="13247" width="13.19921875" style="8" bestFit="1" customWidth="1"/>
    <col min="13248" max="13248" width="11.19921875" style="8" bestFit="1" customWidth="1"/>
    <col min="13249" max="13249" width="11" style="8"/>
    <col min="13250" max="13250" width="11.19921875" style="8" bestFit="1" customWidth="1"/>
    <col min="13251" max="13254" width="11" style="8"/>
    <col min="13255" max="13256" width="11.19921875" style="8" bestFit="1" customWidth="1"/>
    <col min="13257" max="13257" width="11" style="8"/>
    <col min="13258" max="13258" width="12.19921875" style="8" bestFit="1" customWidth="1"/>
    <col min="13259" max="13262" width="11" style="8"/>
    <col min="13263" max="13264" width="11.19921875" style="8" bestFit="1" customWidth="1"/>
    <col min="13265" max="13265" width="11" style="8"/>
    <col min="13266" max="13266" width="12.19921875" style="8" bestFit="1" customWidth="1"/>
    <col min="13267" max="13270" width="11" style="8"/>
    <col min="13271" max="13271" width="11.19921875" style="8" bestFit="1" customWidth="1"/>
    <col min="13272" max="13272" width="12.19921875" style="8" bestFit="1" customWidth="1"/>
    <col min="13273" max="13273" width="11" style="8"/>
    <col min="13274" max="13274" width="12.19921875" style="8" bestFit="1" customWidth="1"/>
    <col min="13275" max="13278" width="11" style="8"/>
    <col min="13279" max="13280" width="12.19921875" style="8" bestFit="1" customWidth="1"/>
    <col min="13281" max="13281" width="11" style="8"/>
    <col min="13282" max="13282" width="12.19921875" style="8" bestFit="1" customWidth="1"/>
    <col min="13283" max="13286" width="11" style="8"/>
    <col min="13287" max="13287" width="12.19921875" style="8" bestFit="1" customWidth="1"/>
    <col min="13288" max="13288" width="13.19921875" style="8" bestFit="1" customWidth="1"/>
    <col min="13289" max="13289" width="11" style="8"/>
    <col min="13290" max="13290" width="11.19921875" style="8" bestFit="1" customWidth="1"/>
    <col min="13291" max="13294" width="11" style="8"/>
    <col min="13295" max="13296" width="13.19921875" style="8" bestFit="1" customWidth="1"/>
    <col min="13297" max="13297" width="11" style="8"/>
    <col min="13298" max="13298" width="11.19921875" style="8" bestFit="1" customWidth="1"/>
    <col min="13299" max="13302" width="11" style="8"/>
    <col min="13303" max="13303" width="13.19921875" style="8" bestFit="1" customWidth="1"/>
    <col min="13304" max="13304" width="11.19921875" style="8" bestFit="1" customWidth="1"/>
    <col min="13305" max="13305" width="11" style="8"/>
    <col min="13306" max="13306" width="11.19921875" style="8" bestFit="1" customWidth="1"/>
    <col min="13307" max="13310" width="11" style="8"/>
    <col min="13311" max="13312" width="11.19921875" style="8" bestFit="1" customWidth="1"/>
    <col min="13313" max="13313" width="11" style="8"/>
    <col min="13314" max="13314" width="12.19921875" style="8" bestFit="1" customWidth="1"/>
    <col min="13315" max="13318" width="11" style="8"/>
    <col min="13319" max="13320" width="11.19921875" style="8" bestFit="1" customWidth="1"/>
    <col min="13321" max="13321" width="11" style="8"/>
    <col min="13322" max="13322" width="12.19921875" style="8" bestFit="1" customWidth="1"/>
    <col min="13323" max="13326" width="11" style="8"/>
    <col min="13327" max="13327" width="11.19921875" style="8" bestFit="1" customWidth="1"/>
    <col min="13328" max="13328" width="12.19921875" style="8" bestFit="1" customWidth="1"/>
    <col min="13329" max="13329" width="11" style="8"/>
    <col min="13330" max="13330" width="12.19921875" style="8" bestFit="1" customWidth="1"/>
    <col min="13331" max="13334" width="11" style="8"/>
    <col min="13335" max="13336" width="12.19921875" style="8" bestFit="1" customWidth="1"/>
    <col min="13337" max="13337" width="11" style="8"/>
    <col min="13338" max="13338" width="12.19921875" style="8" bestFit="1" customWidth="1"/>
    <col min="13339" max="13342" width="11" style="8"/>
    <col min="13343" max="13343" width="12.19921875" style="8" bestFit="1" customWidth="1"/>
    <col min="13344" max="13344" width="13.19921875" style="8" bestFit="1" customWidth="1"/>
    <col min="13345" max="13345" width="11" style="8"/>
    <col min="13346" max="13346" width="11.19921875" style="8" bestFit="1" customWidth="1"/>
    <col min="13347" max="13350" width="11" style="8"/>
    <col min="13351" max="13352" width="13.19921875" style="8" bestFit="1" customWidth="1"/>
    <col min="13353" max="13353" width="11" style="8"/>
    <col min="13354" max="13354" width="11.19921875" style="8" bestFit="1" customWidth="1"/>
    <col min="13355" max="13358" width="11" style="8"/>
    <col min="13359" max="13359" width="13.19921875" style="8" bestFit="1" customWidth="1"/>
    <col min="13360" max="13360" width="11.19921875" style="8" bestFit="1" customWidth="1"/>
    <col min="13361" max="13361" width="11" style="8"/>
    <col min="13362" max="13362" width="11.19921875" style="8" bestFit="1" customWidth="1"/>
    <col min="13363" max="13366" width="11" style="8"/>
    <col min="13367" max="13368" width="11.19921875" style="8" bestFit="1" customWidth="1"/>
    <col min="13369" max="13369" width="11" style="8"/>
    <col min="13370" max="13370" width="12.19921875" style="8" bestFit="1" customWidth="1"/>
    <col min="13371" max="13374" width="11" style="8"/>
    <col min="13375" max="13376" width="11.19921875" style="8" bestFit="1" customWidth="1"/>
    <col min="13377" max="13377" width="11" style="8"/>
    <col min="13378" max="13378" width="12.19921875" style="8" bestFit="1" customWidth="1"/>
    <col min="13379" max="13382" width="11" style="8"/>
    <col min="13383" max="13383" width="11.19921875" style="8" bestFit="1" customWidth="1"/>
    <col min="13384" max="13384" width="12.19921875" style="8" bestFit="1" customWidth="1"/>
    <col min="13385" max="13385" width="11" style="8"/>
    <col min="13386" max="13386" width="12.19921875" style="8" bestFit="1" customWidth="1"/>
    <col min="13387" max="13390" width="11" style="8"/>
    <col min="13391" max="13392" width="12.19921875" style="8" bestFit="1" customWidth="1"/>
    <col min="13393" max="13393" width="11" style="8"/>
    <col min="13394" max="13394" width="12.19921875" style="8" bestFit="1" customWidth="1"/>
    <col min="13395" max="13398" width="11" style="8"/>
    <col min="13399" max="13399" width="12.19921875" style="8" bestFit="1" customWidth="1"/>
    <col min="13400" max="13400" width="13.19921875" style="8" bestFit="1" customWidth="1"/>
    <col min="13401" max="13401" width="11" style="8"/>
    <col min="13402" max="13402" width="11.19921875" style="8" bestFit="1" customWidth="1"/>
    <col min="13403" max="13406" width="11" style="8"/>
    <col min="13407" max="13408" width="13.19921875" style="8" bestFit="1" customWidth="1"/>
    <col min="13409" max="13409" width="11" style="8"/>
    <col min="13410" max="13410" width="11.19921875" style="8" bestFit="1" customWidth="1"/>
    <col min="13411" max="13414" width="11" style="8"/>
    <col min="13415" max="13415" width="13.19921875" style="8" bestFit="1" customWidth="1"/>
    <col min="13416" max="13416" width="11.19921875" style="8" bestFit="1" customWidth="1"/>
    <col min="13417" max="13417" width="11" style="8"/>
    <col min="13418" max="13418" width="11.19921875" style="8" bestFit="1" customWidth="1"/>
    <col min="13419" max="13422" width="11" style="8"/>
    <col min="13423" max="13424" width="11.19921875" style="8" bestFit="1" customWidth="1"/>
    <col min="13425" max="13425" width="11" style="8"/>
    <col min="13426" max="13426" width="12.19921875" style="8" bestFit="1" customWidth="1"/>
    <col min="13427" max="13430" width="11" style="8"/>
    <col min="13431" max="13432" width="11.19921875" style="8" bestFit="1" customWidth="1"/>
    <col min="13433" max="13433" width="11" style="8"/>
    <col min="13434" max="13434" width="12.19921875" style="8" bestFit="1" customWidth="1"/>
    <col min="13435" max="13438" width="11" style="8"/>
    <col min="13439" max="13439" width="11.19921875" style="8" bestFit="1" customWidth="1"/>
    <col min="13440" max="13440" width="12.19921875" style="8" bestFit="1" customWidth="1"/>
    <col min="13441" max="13441" width="11" style="8"/>
    <col min="13442" max="13442" width="12.19921875" style="8" bestFit="1" customWidth="1"/>
    <col min="13443" max="13446" width="11" style="8"/>
    <col min="13447" max="13448" width="12.19921875" style="8" bestFit="1" customWidth="1"/>
    <col min="13449" max="13449" width="11" style="8"/>
    <col min="13450" max="13450" width="12.19921875" style="8" bestFit="1" customWidth="1"/>
    <col min="13451" max="13454" width="11" style="8"/>
    <col min="13455" max="13455" width="12.19921875" style="8" bestFit="1" customWidth="1"/>
    <col min="13456" max="13456" width="13.19921875" style="8" bestFit="1" customWidth="1"/>
    <col min="13457" max="13457" width="11" style="8"/>
    <col min="13458" max="13458" width="11.19921875" style="8" bestFit="1" customWidth="1"/>
    <col min="13459" max="13462" width="11" style="8"/>
    <col min="13463" max="13464" width="13.19921875" style="8" bestFit="1" customWidth="1"/>
    <col min="13465" max="13465" width="11" style="8"/>
    <col min="13466" max="13466" width="11.19921875" style="8" bestFit="1" customWidth="1"/>
    <col min="13467" max="13470" width="11" style="8"/>
    <col min="13471" max="13471" width="13.19921875" style="8" bestFit="1" customWidth="1"/>
    <col min="13472" max="13472" width="11.19921875" style="8" bestFit="1" customWidth="1"/>
    <col min="13473" max="13473" width="11" style="8"/>
    <col min="13474" max="13474" width="11.19921875" style="8" bestFit="1" customWidth="1"/>
    <col min="13475" max="13478" width="11" style="8"/>
    <col min="13479" max="13480" width="11.19921875" style="8" bestFit="1" customWidth="1"/>
    <col min="13481" max="13481" width="11" style="8"/>
    <col min="13482" max="13482" width="12.19921875" style="8" bestFit="1" customWidth="1"/>
    <col min="13483" max="13486" width="11" style="8"/>
    <col min="13487" max="13488" width="11.19921875" style="8" bestFit="1" customWidth="1"/>
    <col min="13489" max="13489" width="11" style="8"/>
    <col min="13490" max="13490" width="12.19921875" style="8" bestFit="1" customWidth="1"/>
    <col min="13491" max="13494" width="11" style="8"/>
    <col min="13495" max="13495" width="11.19921875" style="8" bestFit="1" customWidth="1"/>
    <col min="13496" max="13496" width="12.19921875" style="8" bestFit="1" customWidth="1"/>
    <col min="13497" max="13497" width="11" style="8"/>
    <col min="13498" max="13498" width="12.19921875" style="8" bestFit="1" customWidth="1"/>
    <col min="13499" max="13502" width="11" style="8"/>
    <col min="13503" max="13504" width="12.19921875" style="8" bestFit="1" customWidth="1"/>
    <col min="13505" max="13505" width="11" style="8"/>
    <col min="13506" max="13506" width="12.19921875" style="8" bestFit="1" customWidth="1"/>
    <col min="13507" max="13510" width="11" style="8"/>
    <col min="13511" max="13511" width="12.19921875" style="8" bestFit="1" customWidth="1"/>
    <col min="13512" max="13512" width="13.19921875" style="8" bestFit="1" customWidth="1"/>
    <col min="13513" max="13513" width="11" style="8"/>
    <col min="13514" max="13514" width="11.19921875" style="8" bestFit="1" customWidth="1"/>
    <col min="13515" max="13518" width="11" style="8"/>
    <col min="13519" max="13520" width="13.19921875" style="8" bestFit="1" customWidth="1"/>
    <col min="13521" max="13521" width="11" style="8"/>
    <col min="13522" max="13522" width="11.19921875" style="8" bestFit="1" customWidth="1"/>
    <col min="13523" max="13526" width="11" style="8"/>
    <col min="13527" max="13527" width="13.19921875" style="8" bestFit="1" customWidth="1"/>
    <col min="13528" max="13528" width="11.19921875" style="8" bestFit="1" customWidth="1"/>
    <col min="13529" max="13529" width="11" style="8"/>
    <col min="13530" max="13530" width="11.19921875" style="8" bestFit="1" customWidth="1"/>
    <col min="13531" max="13534" width="11" style="8"/>
    <col min="13535" max="13536" width="11.19921875" style="8" bestFit="1" customWidth="1"/>
    <col min="13537" max="13537" width="11" style="8"/>
    <col min="13538" max="13538" width="12.19921875" style="8" bestFit="1" customWidth="1"/>
    <col min="13539" max="13542" width="11" style="8"/>
    <col min="13543" max="13544" width="11.19921875" style="8" bestFit="1" customWidth="1"/>
    <col min="13545" max="13545" width="11" style="8"/>
    <col min="13546" max="13546" width="12.19921875" style="8" bestFit="1" customWidth="1"/>
    <col min="13547" max="13550" width="11" style="8"/>
    <col min="13551" max="13551" width="11.19921875" style="8" bestFit="1" customWidth="1"/>
    <col min="13552" max="13552" width="12.19921875" style="8" bestFit="1" customWidth="1"/>
    <col min="13553" max="13553" width="11" style="8"/>
    <col min="13554" max="13554" width="12.19921875" style="8" bestFit="1" customWidth="1"/>
    <col min="13555" max="13558" width="11" style="8"/>
    <col min="13559" max="13560" width="12.19921875" style="8" bestFit="1" customWidth="1"/>
    <col min="13561" max="13561" width="11" style="8"/>
    <col min="13562" max="13562" width="12.19921875" style="8" bestFit="1" customWidth="1"/>
    <col min="13563" max="13566" width="11" style="8"/>
    <col min="13567" max="13567" width="12.19921875" style="8" bestFit="1" customWidth="1"/>
    <col min="13568" max="13568" width="13.19921875" style="8" bestFit="1" customWidth="1"/>
    <col min="13569" max="13569" width="11" style="8"/>
    <col min="13570" max="13570" width="11.19921875" style="8" bestFit="1" customWidth="1"/>
    <col min="13571" max="13574" width="11" style="8"/>
    <col min="13575" max="13576" width="13.19921875" style="8" bestFit="1" customWidth="1"/>
    <col min="13577" max="13577" width="11" style="8"/>
    <col min="13578" max="13578" width="11.19921875" style="8" bestFit="1" customWidth="1"/>
    <col min="13579" max="13582" width="11" style="8"/>
    <col min="13583" max="13583" width="13.19921875" style="8" bestFit="1" customWidth="1"/>
    <col min="13584" max="13584" width="11.19921875" style="8" bestFit="1" customWidth="1"/>
    <col min="13585" max="13585" width="11" style="8"/>
    <col min="13586" max="13586" width="11.19921875" style="8" bestFit="1" customWidth="1"/>
    <col min="13587" max="13590" width="11" style="8"/>
    <col min="13591" max="13592" width="11.19921875" style="8" bestFit="1" customWidth="1"/>
    <col min="13593" max="13593" width="11" style="8"/>
    <col min="13594" max="13594" width="12.19921875" style="8" bestFit="1" customWidth="1"/>
    <col min="13595" max="13598" width="11" style="8"/>
    <col min="13599" max="13600" width="11.19921875" style="8" bestFit="1" customWidth="1"/>
    <col min="13601" max="13601" width="11" style="8"/>
    <col min="13602" max="13602" width="12.19921875" style="8" bestFit="1" customWidth="1"/>
    <col min="13603" max="13606" width="11" style="8"/>
    <col min="13607" max="13607" width="11.19921875" style="8" bestFit="1" customWidth="1"/>
    <col min="13608" max="13608" width="12.19921875" style="8" bestFit="1" customWidth="1"/>
    <col min="13609" max="13609" width="11" style="8"/>
    <col min="13610" max="13610" width="12.19921875" style="8" bestFit="1" customWidth="1"/>
    <col min="13611" max="13614" width="11" style="8"/>
    <col min="13615" max="13616" width="12.19921875" style="8" bestFit="1" customWidth="1"/>
    <col min="13617" max="13617" width="11" style="8"/>
    <col min="13618" max="13618" width="12.19921875" style="8" bestFit="1" customWidth="1"/>
    <col min="13619" max="13622" width="11" style="8"/>
    <col min="13623" max="13623" width="12.19921875" style="8" bestFit="1" customWidth="1"/>
    <col min="13624" max="13624" width="13.19921875" style="8" bestFit="1" customWidth="1"/>
    <col min="13625" max="13625" width="11" style="8"/>
    <col min="13626" max="13626" width="11.19921875" style="8" bestFit="1" customWidth="1"/>
    <col min="13627" max="13630" width="11" style="8"/>
    <col min="13631" max="13632" width="13.19921875" style="8" bestFit="1" customWidth="1"/>
    <col min="13633" max="13633" width="11" style="8"/>
    <col min="13634" max="13634" width="11.19921875" style="8" bestFit="1" customWidth="1"/>
    <col min="13635" max="13638" width="11" style="8"/>
    <col min="13639" max="13639" width="13.19921875" style="8" bestFit="1" customWidth="1"/>
    <col min="13640" max="13640" width="11.19921875" style="8" bestFit="1" customWidth="1"/>
    <col min="13641" max="13641" width="11" style="8"/>
    <col min="13642" max="13642" width="11.19921875" style="8" bestFit="1" customWidth="1"/>
    <col min="13643" max="13646" width="11" style="8"/>
    <col min="13647" max="13648" width="11.19921875" style="8" bestFit="1" customWidth="1"/>
    <col min="13649" max="13649" width="11" style="8"/>
    <col min="13650" max="13650" width="12.19921875" style="8" bestFit="1" customWidth="1"/>
    <col min="13651" max="13654" width="11" style="8"/>
    <col min="13655" max="13656" width="11.19921875" style="8" bestFit="1" customWidth="1"/>
    <col min="13657" max="13657" width="11" style="8"/>
    <col min="13658" max="13658" width="12.19921875" style="8" bestFit="1" customWidth="1"/>
    <col min="13659" max="13662" width="11" style="8"/>
    <col min="13663" max="13663" width="11.19921875" style="8" bestFit="1" customWidth="1"/>
    <col min="13664" max="13664" width="12.19921875" style="8" bestFit="1" customWidth="1"/>
    <col min="13665" max="13665" width="11" style="8"/>
    <col min="13666" max="13666" width="12.19921875" style="8" bestFit="1" customWidth="1"/>
    <col min="13667" max="13670" width="11" style="8"/>
    <col min="13671" max="13672" width="12.19921875" style="8" bestFit="1" customWidth="1"/>
    <col min="13673" max="13673" width="11" style="8"/>
    <col min="13674" max="13674" width="12.19921875" style="8" bestFit="1" customWidth="1"/>
    <col min="13675" max="13678" width="11" style="8"/>
    <col min="13679" max="13679" width="12.19921875" style="8" bestFit="1" customWidth="1"/>
    <col min="13680" max="13680" width="13.19921875" style="8" bestFit="1" customWidth="1"/>
    <col min="13681" max="13681" width="11" style="8"/>
    <col min="13682" max="13682" width="11.19921875" style="8" bestFit="1" customWidth="1"/>
    <col min="13683" max="13686" width="11" style="8"/>
    <col min="13687" max="13688" width="13.19921875" style="8" bestFit="1" customWidth="1"/>
    <col min="13689" max="13689" width="11" style="8"/>
    <col min="13690" max="13690" width="11.19921875" style="8" bestFit="1" customWidth="1"/>
    <col min="13691" max="13694" width="11" style="8"/>
    <col min="13695" max="13695" width="13.19921875" style="8" bestFit="1" customWidth="1"/>
    <col min="13696" max="13696" width="11.19921875" style="8" bestFit="1" customWidth="1"/>
    <col min="13697" max="13697" width="11" style="8"/>
    <col min="13698" max="13698" width="11.19921875" style="8" bestFit="1" customWidth="1"/>
    <col min="13699" max="13702" width="11" style="8"/>
    <col min="13703" max="13704" width="11.19921875" style="8" bestFit="1" customWidth="1"/>
    <col min="13705" max="13705" width="11" style="8"/>
    <col min="13706" max="13706" width="12.19921875" style="8" bestFit="1" customWidth="1"/>
    <col min="13707" max="13710" width="11" style="8"/>
    <col min="13711" max="13712" width="11.19921875" style="8" bestFit="1" customWidth="1"/>
    <col min="13713" max="13713" width="11" style="8"/>
    <col min="13714" max="13714" width="12.19921875" style="8" bestFit="1" customWidth="1"/>
    <col min="13715" max="13718" width="11" style="8"/>
    <col min="13719" max="13719" width="11.19921875" style="8" bestFit="1" customWidth="1"/>
    <col min="13720" max="13720" width="12.19921875" style="8" bestFit="1" customWidth="1"/>
    <col min="13721" max="13721" width="11" style="8"/>
    <col min="13722" max="13722" width="12.19921875" style="8" bestFit="1" customWidth="1"/>
    <col min="13723" max="13726" width="11" style="8"/>
    <col min="13727" max="13728" width="12.19921875" style="8" bestFit="1" customWidth="1"/>
    <col min="13729" max="13729" width="11" style="8"/>
    <col min="13730" max="13730" width="12.19921875" style="8" bestFit="1" customWidth="1"/>
    <col min="13731" max="13734" width="11" style="8"/>
    <col min="13735" max="13735" width="12.19921875" style="8" bestFit="1" customWidth="1"/>
    <col min="13736" max="13736" width="13.19921875" style="8" bestFit="1" customWidth="1"/>
    <col min="13737" max="13737" width="11" style="8"/>
    <col min="13738" max="13738" width="11.19921875" style="8" bestFit="1" customWidth="1"/>
    <col min="13739" max="13742" width="11" style="8"/>
    <col min="13743" max="13744" width="13.19921875" style="8" bestFit="1" customWidth="1"/>
    <col min="13745" max="13745" width="11" style="8"/>
    <col min="13746" max="13746" width="11.19921875" style="8" bestFit="1" customWidth="1"/>
    <col min="13747" max="13750" width="11" style="8"/>
    <col min="13751" max="13751" width="13.19921875" style="8" bestFit="1" customWidth="1"/>
    <col min="13752" max="13752" width="11.19921875" style="8" bestFit="1" customWidth="1"/>
    <col min="13753" max="13753" width="11" style="8"/>
    <col min="13754" max="13754" width="11.19921875" style="8" bestFit="1" customWidth="1"/>
    <col min="13755" max="13758" width="11" style="8"/>
    <col min="13759" max="13760" width="11.19921875" style="8" bestFit="1" customWidth="1"/>
    <col min="13761" max="13761" width="11" style="8"/>
    <col min="13762" max="13762" width="12.19921875" style="8" bestFit="1" customWidth="1"/>
    <col min="13763" max="13766" width="11" style="8"/>
    <col min="13767" max="13768" width="11.19921875" style="8" bestFit="1" customWidth="1"/>
    <col min="13769" max="13769" width="11" style="8"/>
    <col min="13770" max="13770" width="12.19921875" style="8" bestFit="1" customWidth="1"/>
    <col min="13771" max="13774" width="11" style="8"/>
    <col min="13775" max="13775" width="11.19921875" style="8" bestFit="1" customWidth="1"/>
    <col min="13776" max="13776" width="12.19921875" style="8" bestFit="1" customWidth="1"/>
    <col min="13777" max="13777" width="11" style="8"/>
    <col min="13778" max="13778" width="12.19921875" style="8" bestFit="1" customWidth="1"/>
    <col min="13779" max="13782" width="11" style="8"/>
    <col min="13783" max="13784" width="12.19921875" style="8" bestFit="1" customWidth="1"/>
    <col min="13785" max="13785" width="11" style="8"/>
    <col min="13786" max="13786" width="12.19921875" style="8" bestFit="1" customWidth="1"/>
    <col min="13787" max="13790" width="11" style="8"/>
    <col min="13791" max="13791" width="12.19921875" style="8" bestFit="1" customWidth="1"/>
    <col min="13792" max="13792" width="13.19921875" style="8" bestFit="1" customWidth="1"/>
    <col min="13793" max="13793" width="11" style="8"/>
    <col min="13794" max="13794" width="11.19921875" style="8" bestFit="1" customWidth="1"/>
    <col min="13795" max="13798" width="11" style="8"/>
    <col min="13799" max="13800" width="13.19921875" style="8" bestFit="1" customWidth="1"/>
    <col min="13801" max="13801" width="11" style="8"/>
    <col min="13802" max="13802" width="11.19921875" style="8" bestFit="1" customWidth="1"/>
    <col min="13803" max="13806" width="11" style="8"/>
    <col min="13807" max="13807" width="13.19921875" style="8" bestFit="1" customWidth="1"/>
    <col min="13808" max="13808" width="11.19921875" style="8" bestFit="1" customWidth="1"/>
    <col min="13809" max="13809" width="11" style="8"/>
    <col min="13810" max="13810" width="11.19921875" style="8" bestFit="1" customWidth="1"/>
    <col min="13811" max="13814" width="11" style="8"/>
    <col min="13815" max="13816" width="11.19921875" style="8" bestFit="1" customWidth="1"/>
    <col min="13817" max="13817" width="11" style="8"/>
    <col min="13818" max="13818" width="12.19921875" style="8" bestFit="1" customWidth="1"/>
    <col min="13819" max="13822" width="11" style="8"/>
    <col min="13823" max="13824" width="11.19921875" style="8" bestFit="1" customWidth="1"/>
    <col min="13825" max="13825" width="11" style="8"/>
    <col min="13826" max="13826" width="12.19921875" style="8" bestFit="1" customWidth="1"/>
    <col min="13827" max="13830" width="11" style="8"/>
    <col min="13831" max="13831" width="11.19921875" style="8" bestFit="1" customWidth="1"/>
    <col min="13832" max="13832" width="12.19921875" style="8" bestFit="1" customWidth="1"/>
    <col min="13833" max="13833" width="11" style="8"/>
    <col min="13834" max="13834" width="12.19921875" style="8" bestFit="1" customWidth="1"/>
    <col min="13835" max="13838" width="11" style="8"/>
    <col min="13839" max="13840" width="12.19921875" style="8" bestFit="1" customWidth="1"/>
    <col min="13841" max="13841" width="11" style="8"/>
    <col min="13842" max="13842" width="12.19921875" style="8" bestFit="1" customWidth="1"/>
    <col min="13843" max="13846" width="11" style="8"/>
    <col min="13847" max="13847" width="12.19921875" style="8" bestFit="1" customWidth="1"/>
    <col min="13848" max="13848" width="13.19921875" style="8" bestFit="1" customWidth="1"/>
    <col min="13849" max="13849" width="11" style="8"/>
    <col min="13850" max="13850" width="11.19921875" style="8" bestFit="1" customWidth="1"/>
    <col min="13851" max="13854" width="11" style="8"/>
    <col min="13855" max="13856" width="13.19921875" style="8" bestFit="1" customWidth="1"/>
    <col min="13857" max="13857" width="11" style="8"/>
    <col min="13858" max="13858" width="11.19921875" style="8" bestFit="1" customWidth="1"/>
    <col min="13859" max="13862" width="11" style="8"/>
    <col min="13863" max="13863" width="13.19921875" style="8" bestFit="1" customWidth="1"/>
    <col min="13864" max="13864" width="11.19921875" style="8" bestFit="1" customWidth="1"/>
    <col min="13865" max="13865" width="11" style="8"/>
    <col min="13866" max="13866" width="11.19921875" style="8" bestFit="1" customWidth="1"/>
    <col min="13867" max="13870" width="11" style="8"/>
    <col min="13871" max="13872" width="11.19921875" style="8" bestFit="1" customWidth="1"/>
    <col min="13873" max="13873" width="11" style="8"/>
    <col min="13874" max="13874" width="12.19921875" style="8" bestFit="1" customWidth="1"/>
    <col min="13875" max="13878" width="11" style="8"/>
    <col min="13879" max="13880" width="11.19921875" style="8" bestFit="1" customWidth="1"/>
    <col min="13881" max="13881" width="11" style="8"/>
    <col min="13882" max="13882" width="12.19921875" style="8" bestFit="1" customWidth="1"/>
    <col min="13883" max="13886" width="11" style="8"/>
    <col min="13887" max="13887" width="11.19921875" style="8" bestFit="1" customWidth="1"/>
    <col min="13888" max="13888" width="12.19921875" style="8" bestFit="1" customWidth="1"/>
    <col min="13889" max="13889" width="11" style="8"/>
    <col min="13890" max="13890" width="12.19921875" style="8" bestFit="1" customWidth="1"/>
    <col min="13891" max="13894" width="11" style="8"/>
    <col min="13895" max="13896" width="12.19921875" style="8" bestFit="1" customWidth="1"/>
    <col min="13897" max="13897" width="11" style="8"/>
    <col min="13898" max="13898" width="12.19921875" style="8" bestFit="1" customWidth="1"/>
    <col min="13899" max="13902" width="11" style="8"/>
    <col min="13903" max="13903" width="12.19921875" style="8" bestFit="1" customWidth="1"/>
    <col min="13904" max="13904" width="13.19921875" style="8" bestFit="1" customWidth="1"/>
    <col min="13905" max="13905" width="11" style="8"/>
    <col min="13906" max="13906" width="11.19921875" style="8" bestFit="1" customWidth="1"/>
    <col min="13907" max="13910" width="11" style="8"/>
    <col min="13911" max="13912" width="13.19921875" style="8" bestFit="1" customWidth="1"/>
    <col min="13913" max="13913" width="11" style="8"/>
    <col min="13914" max="13914" width="11.19921875" style="8" bestFit="1" customWidth="1"/>
    <col min="13915" max="13918" width="11" style="8"/>
    <col min="13919" max="13919" width="13.19921875" style="8" bestFit="1" customWidth="1"/>
    <col min="13920" max="13920" width="11.19921875" style="8" bestFit="1" customWidth="1"/>
    <col min="13921" max="13921" width="11" style="8"/>
    <col min="13922" max="13922" width="11.19921875" style="8" bestFit="1" customWidth="1"/>
    <col min="13923" max="13926" width="11" style="8"/>
    <col min="13927" max="13928" width="11.19921875" style="8" bestFit="1" customWidth="1"/>
    <col min="13929" max="13929" width="11" style="8"/>
    <col min="13930" max="13930" width="12.19921875" style="8" bestFit="1" customWidth="1"/>
    <col min="13931" max="13934" width="11" style="8"/>
    <col min="13935" max="13936" width="11.19921875" style="8" bestFit="1" customWidth="1"/>
    <col min="13937" max="13937" width="11" style="8"/>
    <col min="13938" max="13938" width="12.19921875" style="8" bestFit="1" customWidth="1"/>
    <col min="13939" max="13942" width="11" style="8"/>
    <col min="13943" max="13943" width="11.19921875" style="8" bestFit="1" customWidth="1"/>
    <col min="13944" max="13944" width="12.19921875" style="8" bestFit="1" customWidth="1"/>
    <col min="13945" max="13945" width="11" style="8"/>
    <col min="13946" max="13946" width="12.19921875" style="8" bestFit="1" customWidth="1"/>
    <col min="13947" max="13950" width="11" style="8"/>
    <col min="13951" max="13952" width="12.19921875" style="8" bestFit="1" customWidth="1"/>
    <col min="13953" max="13953" width="11" style="8"/>
    <col min="13954" max="13954" width="12.19921875" style="8" bestFit="1" customWidth="1"/>
    <col min="13955" max="13958" width="11" style="8"/>
    <col min="13959" max="13959" width="12.19921875" style="8" bestFit="1" customWidth="1"/>
    <col min="13960" max="13960" width="13.19921875" style="8" bestFit="1" customWidth="1"/>
    <col min="13961" max="13961" width="11" style="8"/>
    <col min="13962" max="13962" width="11.19921875" style="8" bestFit="1" customWidth="1"/>
    <col min="13963" max="13966" width="11" style="8"/>
    <col min="13967" max="13968" width="13.19921875" style="8" bestFit="1" customWidth="1"/>
    <col min="13969" max="13969" width="11" style="8"/>
    <col min="13970" max="13970" width="11.19921875" style="8" bestFit="1" customWidth="1"/>
    <col min="13971" max="13974" width="11" style="8"/>
    <col min="13975" max="13975" width="13.19921875" style="8" bestFit="1" customWidth="1"/>
    <col min="13976" max="13976" width="11.19921875" style="8" bestFit="1" customWidth="1"/>
    <col min="13977" max="13977" width="11" style="8"/>
    <col min="13978" max="13978" width="11.19921875" style="8" bestFit="1" customWidth="1"/>
    <col min="13979" max="13982" width="11" style="8"/>
    <col min="13983" max="13984" width="11.19921875" style="8" bestFit="1" customWidth="1"/>
    <col min="13985" max="13985" width="11" style="8"/>
    <col min="13986" max="13986" width="12.19921875" style="8" bestFit="1" customWidth="1"/>
    <col min="13987" max="13990" width="11" style="8"/>
    <col min="13991" max="13992" width="11.19921875" style="8" bestFit="1" customWidth="1"/>
    <col min="13993" max="13993" width="11" style="8"/>
    <col min="13994" max="13994" width="12.19921875" style="8" bestFit="1" customWidth="1"/>
    <col min="13995" max="13998" width="11" style="8"/>
    <col min="13999" max="13999" width="11.19921875" style="8" bestFit="1" customWidth="1"/>
    <col min="14000" max="14000" width="12.19921875" style="8" bestFit="1" customWidth="1"/>
    <col min="14001" max="14001" width="11" style="8"/>
    <col min="14002" max="14002" width="12.19921875" style="8" bestFit="1" customWidth="1"/>
    <col min="14003" max="14006" width="11" style="8"/>
    <col min="14007" max="14008" width="12.19921875" style="8" bestFit="1" customWidth="1"/>
    <col min="14009" max="14009" width="11" style="8"/>
    <col min="14010" max="14010" width="12.19921875" style="8" bestFit="1" customWidth="1"/>
    <col min="14011" max="14014" width="11" style="8"/>
    <col min="14015" max="14015" width="12.19921875" style="8" bestFit="1" customWidth="1"/>
    <col min="14016" max="14016" width="13.19921875" style="8" bestFit="1" customWidth="1"/>
    <col min="14017" max="14017" width="11" style="8"/>
    <col min="14018" max="14018" width="11.19921875" style="8" bestFit="1" customWidth="1"/>
    <col min="14019" max="14022" width="11" style="8"/>
    <col min="14023" max="14024" width="13.19921875" style="8" bestFit="1" customWidth="1"/>
    <col min="14025" max="14025" width="11" style="8"/>
    <col min="14026" max="14026" width="11.19921875" style="8" bestFit="1" customWidth="1"/>
    <col min="14027" max="14030" width="11" style="8"/>
    <col min="14031" max="14031" width="13.19921875" style="8" bestFit="1" customWidth="1"/>
    <col min="14032" max="14032" width="11.19921875" style="8" bestFit="1" customWidth="1"/>
    <col min="14033" max="14033" width="11" style="8"/>
    <col min="14034" max="14034" width="11.19921875" style="8" bestFit="1" customWidth="1"/>
    <col min="14035" max="14038" width="11" style="8"/>
    <col min="14039" max="14040" width="11.19921875" style="8" bestFit="1" customWidth="1"/>
    <col min="14041" max="14041" width="11" style="8"/>
    <col min="14042" max="14042" width="12.19921875" style="8" bestFit="1" customWidth="1"/>
    <col min="14043" max="14046" width="11" style="8"/>
    <col min="14047" max="14048" width="11.19921875" style="8" bestFit="1" customWidth="1"/>
    <col min="14049" max="14049" width="11" style="8"/>
    <col min="14050" max="14050" width="12.19921875" style="8" bestFit="1" customWidth="1"/>
    <col min="14051" max="14054" width="11" style="8"/>
    <col min="14055" max="14055" width="11.19921875" style="8" bestFit="1" customWidth="1"/>
    <col min="14056" max="14056" width="12.19921875" style="8" bestFit="1" customWidth="1"/>
    <col min="14057" max="14057" width="11" style="8"/>
    <col min="14058" max="14058" width="12.19921875" style="8" bestFit="1" customWidth="1"/>
    <col min="14059" max="14062" width="11" style="8"/>
    <col min="14063" max="14064" width="12.19921875" style="8" bestFit="1" customWidth="1"/>
    <col min="14065" max="14065" width="11" style="8"/>
    <col min="14066" max="14066" width="12.19921875" style="8" bestFit="1" customWidth="1"/>
    <col min="14067" max="14070" width="11" style="8"/>
    <col min="14071" max="14071" width="12.19921875" style="8" bestFit="1" customWidth="1"/>
    <col min="14072" max="14072" width="13.19921875" style="8" bestFit="1" customWidth="1"/>
    <col min="14073" max="14073" width="11" style="8"/>
    <col min="14074" max="14074" width="11.19921875" style="8" bestFit="1" customWidth="1"/>
    <col min="14075" max="14078" width="11" style="8"/>
    <col min="14079" max="14080" width="13.19921875" style="8" bestFit="1" customWidth="1"/>
    <col min="14081" max="14081" width="11" style="8"/>
    <col min="14082" max="14082" width="11.19921875" style="8" bestFit="1" customWidth="1"/>
    <col min="14083" max="14086" width="11" style="8"/>
    <col min="14087" max="14087" width="13.19921875" style="8" bestFit="1" customWidth="1"/>
    <col min="14088" max="14088" width="11.19921875" style="8" bestFit="1" customWidth="1"/>
    <col min="14089" max="14089" width="11" style="8"/>
    <col min="14090" max="14090" width="11.19921875" style="8" bestFit="1" customWidth="1"/>
    <col min="14091" max="14094" width="11" style="8"/>
    <col min="14095" max="14096" width="11.19921875" style="8" bestFit="1" customWidth="1"/>
    <col min="14097" max="14097" width="11" style="8"/>
    <col min="14098" max="14098" width="12.19921875" style="8" bestFit="1" customWidth="1"/>
    <col min="14099" max="14102" width="11" style="8"/>
    <col min="14103" max="14104" width="11.19921875" style="8" bestFit="1" customWidth="1"/>
    <col min="14105" max="14105" width="11" style="8"/>
    <col min="14106" max="14106" width="12.19921875" style="8" bestFit="1" customWidth="1"/>
    <col min="14107" max="14110" width="11" style="8"/>
    <col min="14111" max="14111" width="11.19921875" style="8" bestFit="1" customWidth="1"/>
    <col min="14112" max="14112" width="12.19921875" style="8" bestFit="1" customWidth="1"/>
    <col min="14113" max="14113" width="11" style="8"/>
    <col min="14114" max="14114" width="12.19921875" style="8" bestFit="1" customWidth="1"/>
    <col min="14115" max="14118" width="11" style="8"/>
    <col min="14119" max="14120" width="12.19921875" style="8" bestFit="1" customWidth="1"/>
    <col min="14121" max="14121" width="11" style="8"/>
    <col min="14122" max="14122" width="12.19921875" style="8" bestFit="1" customWidth="1"/>
    <col min="14123" max="14126" width="11" style="8"/>
    <col min="14127" max="14127" width="12.19921875" style="8" bestFit="1" customWidth="1"/>
    <col min="14128" max="14128" width="13.19921875" style="8" bestFit="1" customWidth="1"/>
    <col min="14129" max="14129" width="11" style="8"/>
    <col min="14130" max="14130" width="11.19921875" style="8" bestFit="1" customWidth="1"/>
    <col min="14131" max="14134" width="11" style="8"/>
    <col min="14135" max="14136" width="13.19921875" style="8" bestFit="1" customWidth="1"/>
    <col min="14137" max="14137" width="11" style="8"/>
    <col min="14138" max="14138" width="11.19921875" style="8" bestFit="1" customWidth="1"/>
    <col min="14139" max="14142" width="11" style="8"/>
    <col min="14143" max="14143" width="13.19921875" style="8" bestFit="1" customWidth="1"/>
    <col min="14144" max="14144" width="11.19921875" style="8" bestFit="1" customWidth="1"/>
    <col min="14145" max="14145" width="11" style="8"/>
    <col min="14146" max="14146" width="11.19921875" style="8" bestFit="1" customWidth="1"/>
    <col min="14147" max="14150" width="11" style="8"/>
    <col min="14151" max="14152" width="11.19921875" style="8" bestFit="1" customWidth="1"/>
    <col min="14153" max="14153" width="11" style="8"/>
    <col min="14154" max="14154" width="12.19921875" style="8" bestFit="1" customWidth="1"/>
    <col min="14155" max="14158" width="11" style="8"/>
    <col min="14159" max="14160" width="11.19921875" style="8" bestFit="1" customWidth="1"/>
    <col min="14161" max="14161" width="11" style="8"/>
    <col min="14162" max="14162" width="12.19921875" style="8" bestFit="1" customWidth="1"/>
    <col min="14163" max="14166" width="11" style="8"/>
    <col min="14167" max="14167" width="11.19921875" style="8" bestFit="1" customWidth="1"/>
    <col min="14168" max="14168" width="12.19921875" style="8" bestFit="1" customWidth="1"/>
    <col min="14169" max="14169" width="11" style="8"/>
    <col min="14170" max="14170" width="12.19921875" style="8" bestFit="1" customWidth="1"/>
    <col min="14171" max="14174" width="11" style="8"/>
    <col min="14175" max="14176" width="12.19921875" style="8" bestFit="1" customWidth="1"/>
    <col min="14177" max="14177" width="11" style="8"/>
    <col min="14178" max="14178" width="12.19921875" style="8" bestFit="1" customWidth="1"/>
    <col min="14179" max="14182" width="11" style="8"/>
    <col min="14183" max="14183" width="12.19921875" style="8" bestFit="1" customWidth="1"/>
    <col min="14184" max="14184" width="13.19921875" style="8" bestFit="1" customWidth="1"/>
    <col min="14185" max="14185" width="11" style="8"/>
    <col min="14186" max="14186" width="11.19921875" style="8" bestFit="1" customWidth="1"/>
    <col min="14187" max="14190" width="11" style="8"/>
    <col min="14191" max="14192" width="13.19921875" style="8" bestFit="1" customWidth="1"/>
    <col min="14193" max="14193" width="11" style="8"/>
    <col min="14194" max="14194" width="11.19921875" style="8" bestFit="1" customWidth="1"/>
    <col min="14195" max="14198" width="11" style="8"/>
    <col min="14199" max="14199" width="13.19921875" style="8" bestFit="1" customWidth="1"/>
    <col min="14200" max="14200" width="11.19921875" style="8" bestFit="1" customWidth="1"/>
    <col min="14201" max="14201" width="11" style="8"/>
    <col min="14202" max="14202" width="11.19921875" style="8" bestFit="1" customWidth="1"/>
    <col min="14203" max="14206" width="11" style="8"/>
    <col min="14207" max="14208" width="11.19921875" style="8" bestFit="1" customWidth="1"/>
    <col min="14209" max="14209" width="11" style="8"/>
    <col min="14210" max="14210" width="12.19921875" style="8" bestFit="1" customWidth="1"/>
    <col min="14211" max="14214" width="11" style="8"/>
    <col min="14215" max="14216" width="11.19921875" style="8" bestFit="1" customWidth="1"/>
    <col min="14217" max="14217" width="11" style="8"/>
    <col min="14218" max="14218" width="12.19921875" style="8" bestFit="1" customWidth="1"/>
    <col min="14219" max="14222" width="11" style="8"/>
    <col min="14223" max="14223" width="11.19921875" style="8" bestFit="1" customWidth="1"/>
    <col min="14224" max="14224" width="12.19921875" style="8" bestFit="1" customWidth="1"/>
    <col min="14225" max="14225" width="11" style="8"/>
    <col min="14226" max="14226" width="12.19921875" style="8" bestFit="1" customWidth="1"/>
    <col min="14227" max="14230" width="11" style="8"/>
    <col min="14231" max="14232" width="12.19921875" style="8" bestFit="1" customWidth="1"/>
    <col min="14233" max="14233" width="11" style="8"/>
    <col min="14234" max="14234" width="12.19921875" style="8" bestFit="1" customWidth="1"/>
    <col min="14235" max="14238" width="11" style="8"/>
    <col min="14239" max="14239" width="12.19921875" style="8" bestFit="1" customWidth="1"/>
    <col min="14240" max="14240" width="13.19921875" style="8" bestFit="1" customWidth="1"/>
    <col min="14241" max="14241" width="11" style="8"/>
    <col min="14242" max="14242" width="11.19921875" style="8" bestFit="1" customWidth="1"/>
    <col min="14243" max="14246" width="11" style="8"/>
    <col min="14247" max="14248" width="13.19921875" style="8" bestFit="1" customWidth="1"/>
    <col min="14249" max="14249" width="11" style="8"/>
    <col min="14250" max="14250" width="11.19921875" style="8" bestFit="1" customWidth="1"/>
    <col min="14251" max="14254" width="11" style="8"/>
    <col min="14255" max="14255" width="13.19921875" style="8" bestFit="1" customWidth="1"/>
    <col min="14256" max="14256" width="11.19921875" style="8" bestFit="1" customWidth="1"/>
    <col min="14257" max="14257" width="11" style="8"/>
    <col min="14258" max="14258" width="11.19921875" style="8" bestFit="1" customWidth="1"/>
    <col min="14259" max="14262" width="11" style="8"/>
    <col min="14263" max="14264" width="11.19921875" style="8" bestFit="1" customWidth="1"/>
    <col min="14265" max="14265" width="11" style="8"/>
    <col min="14266" max="14266" width="12.19921875" style="8" bestFit="1" customWidth="1"/>
    <col min="14267" max="14270" width="11" style="8"/>
    <col min="14271" max="14272" width="11.19921875" style="8" bestFit="1" customWidth="1"/>
    <col min="14273" max="14273" width="11" style="8"/>
    <col min="14274" max="14274" width="12.19921875" style="8" bestFit="1" customWidth="1"/>
    <col min="14275" max="14278" width="11" style="8"/>
    <col min="14279" max="14279" width="11.19921875" style="8" bestFit="1" customWidth="1"/>
    <col min="14280" max="14280" width="12.19921875" style="8" bestFit="1" customWidth="1"/>
    <col min="14281" max="14281" width="11" style="8"/>
    <col min="14282" max="14282" width="12.19921875" style="8" bestFit="1" customWidth="1"/>
    <col min="14283" max="14286" width="11" style="8"/>
    <col min="14287" max="14288" width="12.19921875" style="8" bestFit="1" customWidth="1"/>
    <col min="14289" max="14289" width="11" style="8"/>
    <col min="14290" max="14290" width="12.19921875" style="8" bestFit="1" customWidth="1"/>
    <col min="14291" max="14294" width="11" style="8"/>
    <col min="14295" max="14295" width="12.19921875" style="8" bestFit="1" customWidth="1"/>
    <col min="14296" max="14296" width="13.19921875" style="8" bestFit="1" customWidth="1"/>
    <col min="14297" max="14297" width="11" style="8"/>
    <col min="14298" max="14298" width="11.19921875" style="8" bestFit="1" customWidth="1"/>
    <col min="14299" max="14302" width="11" style="8"/>
    <col min="14303" max="14304" width="13.19921875" style="8" bestFit="1" customWidth="1"/>
    <col min="14305" max="14305" width="11" style="8"/>
    <col min="14306" max="14306" width="11.19921875" style="8" bestFit="1" customWidth="1"/>
    <col min="14307" max="14310" width="11" style="8"/>
    <col min="14311" max="14311" width="13.19921875" style="8" bestFit="1" customWidth="1"/>
    <col min="14312" max="14312" width="11.19921875" style="8" bestFit="1" customWidth="1"/>
    <col min="14313" max="14313" width="11" style="8"/>
    <col min="14314" max="14314" width="11.19921875" style="8" bestFit="1" customWidth="1"/>
    <col min="14315" max="14318" width="11" style="8"/>
    <col min="14319" max="14320" width="11.19921875" style="8" bestFit="1" customWidth="1"/>
    <col min="14321" max="14321" width="11" style="8"/>
    <col min="14322" max="14322" width="12.19921875" style="8" bestFit="1" customWidth="1"/>
    <col min="14323" max="14326" width="11" style="8"/>
    <col min="14327" max="14328" width="11.19921875" style="8" bestFit="1" customWidth="1"/>
    <col min="14329" max="14329" width="11" style="8"/>
    <col min="14330" max="14330" width="12.19921875" style="8" bestFit="1" customWidth="1"/>
    <col min="14331" max="14334" width="11" style="8"/>
    <col min="14335" max="14335" width="11.19921875" style="8" bestFit="1" customWidth="1"/>
    <col min="14336" max="14336" width="12.19921875" style="8" bestFit="1" customWidth="1"/>
    <col min="14337" max="14337" width="11" style="8"/>
    <col min="14338" max="14338" width="12.19921875" style="8" bestFit="1" customWidth="1"/>
    <col min="14339" max="14342" width="11" style="8"/>
    <col min="14343" max="14344" width="12.19921875" style="8" bestFit="1" customWidth="1"/>
    <col min="14345" max="14345" width="11" style="8"/>
    <col min="14346" max="14346" width="12.19921875" style="8" bestFit="1" customWidth="1"/>
    <col min="14347" max="14350" width="11" style="8"/>
    <col min="14351" max="14351" width="12.19921875" style="8" bestFit="1" customWidth="1"/>
    <col min="14352" max="14352" width="13.19921875" style="8" bestFit="1" customWidth="1"/>
    <col min="14353" max="14353" width="11" style="8"/>
    <col min="14354" max="14354" width="11.19921875" style="8" bestFit="1" customWidth="1"/>
    <col min="14355" max="14358" width="11" style="8"/>
    <col min="14359" max="14360" width="13.19921875" style="8" bestFit="1" customWidth="1"/>
    <col min="14361" max="14361" width="11" style="8"/>
    <col min="14362" max="14362" width="11.19921875" style="8" bestFit="1" customWidth="1"/>
    <col min="14363" max="14366" width="11" style="8"/>
    <col min="14367" max="14367" width="13.19921875" style="8" bestFit="1" customWidth="1"/>
    <col min="14368" max="14368" width="11.19921875" style="8" bestFit="1" customWidth="1"/>
    <col min="14369" max="14369" width="11" style="8"/>
    <col min="14370" max="14370" width="11.19921875" style="8" bestFit="1" customWidth="1"/>
    <col min="14371" max="14374" width="11" style="8"/>
    <col min="14375" max="14376" width="11.19921875" style="8" bestFit="1" customWidth="1"/>
    <col min="14377" max="14377" width="11" style="8"/>
    <col min="14378" max="14378" width="12.19921875" style="8" bestFit="1" customWidth="1"/>
    <col min="14379" max="14382" width="11" style="8"/>
    <col min="14383" max="14384" width="11.19921875" style="8" bestFit="1" customWidth="1"/>
    <col min="14385" max="14385" width="11" style="8"/>
    <col min="14386" max="14386" width="12.19921875" style="8" bestFit="1" customWidth="1"/>
    <col min="14387" max="14390" width="11" style="8"/>
    <col min="14391" max="14391" width="11.19921875" style="8" bestFit="1" customWidth="1"/>
    <col min="14392" max="14392" width="12.19921875" style="8" bestFit="1" customWidth="1"/>
    <col min="14393" max="14393" width="11" style="8"/>
    <col min="14394" max="14394" width="12.19921875" style="8" bestFit="1" customWidth="1"/>
    <col min="14395" max="14398" width="11" style="8"/>
    <col min="14399" max="14400" width="12.19921875" style="8" bestFit="1" customWidth="1"/>
    <col min="14401" max="14401" width="11" style="8"/>
    <col min="14402" max="14402" width="12.19921875" style="8" bestFit="1" customWidth="1"/>
    <col min="14403" max="14406" width="11" style="8"/>
    <col min="14407" max="14407" width="12.19921875" style="8" bestFit="1" customWidth="1"/>
    <col min="14408" max="14408" width="13.19921875" style="8" bestFit="1" customWidth="1"/>
    <col min="14409" max="14409" width="11" style="8"/>
    <col min="14410" max="14410" width="11.19921875" style="8" bestFit="1" customWidth="1"/>
    <col min="14411" max="14414" width="11" style="8"/>
    <col min="14415" max="14416" width="13.19921875" style="8" bestFit="1" customWidth="1"/>
    <col min="14417" max="14417" width="11" style="8"/>
    <col min="14418" max="14418" width="11.19921875" style="8" bestFit="1" customWidth="1"/>
    <col min="14419" max="14422" width="11" style="8"/>
    <col min="14423" max="14423" width="13.19921875" style="8" bestFit="1" customWidth="1"/>
    <col min="14424" max="14424" width="11.19921875" style="8" bestFit="1" customWidth="1"/>
    <col min="14425" max="14425" width="11" style="8"/>
    <col min="14426" max="14426" width="11.19921875" style="8" bestFit="1" customWidth="1"/>
    <col min="14427" max="14430" width="11" style="8"/>
    <col min="14431" max="14432" width="11.19921875" style="8" bestFit="1" customWidth="1"/>
    <col min="14433" max="14433" width="11" style="8"/>
    <col min="14434" max="14434" width="12.19921875" style="8" bestFit="1" customWidth="1"/>
    <col min="14435" max="14438" width="11" style="8"/>
    <col min="14439" max="14440" width="11.19921875" style="8" bestFit="1" customWidth="1"/>
    <col min="14441" max="14441" width="11" style="8"/>
    <col min="14442" max="14442" width="12.19921875" style="8" bestFit="1" customWidth="1"/>
    <col min="14443" max="14446" width="11" style="8"/>
    <col min="14447" max="14447" width="11.19921875" style="8" bestFit="1" customWidth="1"/>
    <col min="14448" max="14448" width="12.19921875" style="8" bestFit="1" customWidth="1"/>
    <col min="14449" max="14449" width="11" style="8"/>
    <col min="14450" max="14450" width="12.19921875" style="8" bestFit="1" customWidth="1"/>
    <col min="14451" max="14454" width="11" style="8"/>
    <col min="14455" max="14456" width="12.19921875" style="8" bestFit="1" customWidth="1"/>
    <col min="14457" max="14457" width="11" style="8"/>
    <col min="14458" max="14458" width="12.19921875" style="8" bestFit="1" customWidth="1"/>
    <col min="14459" max="14462" width="11" style="8"/>
    <col min="14463" max="14463" width="12.19921875" style="8" bestFit="1" customWidth="1"/>
    <col min="14464" max="14464" width="13.19921875" style="8" bestFit="1" customWidth="1"/>
    <col min="14465" max="14465" width="11" style="8"/>
    <col min="14466" max="14466" width="11.19921875" style="8" bestFit="1" customWidth="1"/>
    <col min="14467" max="14470" width="11" style="8"/>
    <col min="14471" max="14472" width="13.19921875" style="8" bestFit="1" customWidth="1"/>
    <col min="14473" max="14473" width="11" style="8"/>
    <col min="14474" max="14474" width="11.19921875" style="8" bestFit="1" customWidth="1"/>
    <col min="14475" max="14478" width="11" style="8"/>
    <col min="14479" max="14479" width="13.19921875" style="8" bestFit="1" customWidth="1"/>
    <col min="14480" max="14480" width="11.19921875" style="8" bestFit="1" customWidth="1"/>
    <col min="14481" max="14481" width="11" style="8"/>
    <col min="14482" max="14482" width="11.19921875" style="8" bestFit="1" customWidth="1"/>
    <col min="14483" max="14486" width="11" style="8"/>
    <col min="14487" max="14488" width="11.19921875" style="8" bestFit="1" customWidth="1"/>
    <col min="14489" max="14489" width="11" style="8"/>
    <col min="14490" max="14490" width="12.19921875" style="8" bestFit="1" customWidth="1"/>
    <col min="14491" max="14494" width="11" style="8"/>
    <col min="14495" max="14496" width="11.19921875" style="8" bestFit="1" customWidth="1"/>
    <col min="14497" max="14497" width="11" style="8"/>
    <col min="14498" max="14498" width="12.19921875" style="8" bestFit="1" customWidth="1"/>
    <col min="14499" max="14502" width="11" style="8"/>
    <col min="14503" max="14503" width="11.19921875" style="8" bestFit="1" customWidth="1"/>
    <col min="14504" max="14504" width="12.19921875" style="8" bestFit="1" customWidth="1"/>
    <col min="14505" max="14505" width="11" style="8"/>
    <col min="14506" max="14506" width="12.19921875" style="8" bestFit="1" customWidth="1"/>
    <col min="14507" max="14510" width="11" style="8"/>
    <col min="14511" max="14512" width="12.19921875" style="8" bestFit="1" customWidth="1"/>
    <col min="14513" max="14513" width="11" style="8"/>
    <col min="14514" max="14514" width="12.19921875" style="8" bestFit="1" customWidth="1"/>
    <col min="14515" max="14518" width="11" style="8"/>
    <col min="14519" max="14519" width="12.19921875" style="8" bestFit="1" customWidth="1"/>
    <col min="14520" max="14520" width="13.19921875" style="8" bestFit="1" customWidth="1"/>
    <col min="14521" max="14521" width="11" style="8"/>
    <col min="14522" max="14522" width="11.19921875" style="8" bestFit="1" customWidth="1"/>
    <col min="14523" max="14526" width="11" style="8"/>
    <col min="14527" max="14528" width="13.19921875" style="8" bestFit="1" customWidth="1"/>
    <col min="14529" max="14529" width="11" style="8"/>
    <col min="14530" max="14530" width="11.19921875" style="8" bestFit="1" customWidth="1"/>
    <col min="14531" max="14534" width="11" style="8"/>
    <col min="14535" max="14535" width="13.19921875" style="8" bestFit="1" customWidth="1"/>
    <col min="14536" max="14536" width="11.19921875" style="8" bestFit="1" customWidth="1"/>
    <col min="14537" max="14537" width="11" style="8"/>
    <col min="14538" max="14538" width="11.19921875" style="8" bestFit="1" customWidth="1"/>
    <col min="14539" max="14542" width="11" style="8"/>
    <col min="14543" max="14544" width="11.19921875" style="8" bestFit="1" customWidth="1"/>
    <col min="14545" max="14545" width="11" style="8"/>
    <col min="14546" max="14546" width="12.19921875" style="8" bestFit="1" customWidth="1"/>
    <col min="14547" max="14550" width="11" style="8"/>
    <col min="14551" max="14552" width="11.19921875" style="8" bestFit="1" customWidth="1"/>
    <col min="14553" max="14553" width="11" style="8"/>
    <col min="14554" max="14554" width="12.19921875" style="8" bestFit="1" customWidth="1"/>
    <col min="14555" max="14558" width="11" style="8"/>
    <col min="14559" max="14559" width="11.19921875" style="8" bestFit="1" customWidth="1"/>
    <col min="14560" max="14560" width="12.19921875" style="8" bestFit="1" customWidth="1"/>
    <col min="14561" max="14561" width="11" style="8"/>
    <col min="14562" max="14562" width="12.19921875" style="8" bestFit="1" customWidth="1"/>
    <col min="14563" max="14566" width="11" style="8"/>
    <col min="14567" max="14568" width="12.19921875" style="8" bestFit="1" customWidth="1"/>
    <col min="14569" max="14569" width="11" style="8"/>
    <col min="14570" max="14570" width="12.19921875" style="8" bestFit="1" customWidth="1"/>
    <col min="14571" max="14574" width="11" style="8"/>
    <col min="14575" max="14575" width="12.19921875" style="8" bestFit="1" customWidth="1"/>
    <col min="14576" max="14576" width="13.19921875" style="8" bestFit="1" customWidth="1"/>
    <col min="14577" max="14577" width="11" style="8"/>
    <col min="14578" max="14578" width="11.19921875" style="8" bestFit="1" customWidth="1"/>
    <col min="14579" max="14582" width="11" style="8"/>
    <col min="14583" max="14584" width="13.19921875" style="8" bestFit="1" customWidth="1"/>
    <col min="14585" max="14585" width="11" style="8"/>
    <col min="14586" max="14586" width="11.19921875" style="8" bestFit="1" customWidth="1"/>
    <col min="14587" max="14590" width="11" style="8"/>
    <col min="14591" max="14591" width="13.19921875" style="8" bestFit="1" customWidth="1"/>
    <col min="14592" max="14592" width="11.19921875" style="8" bestFit="1" customWidth="1"/>
    <col min="14593" max="14593" width="11" style="8"/>
    <col min="14594" max="14594" width="11.19921875" style="8" bestFit="1" customWidth="1"/>
    <col min="14595" max="14598" width="11" style="8"/>
    <col min="14599" max="14600" width="11.19921875" style="8" bestFit="1" customWidth="1"/>
    <col min="14601" max="14601" width="11" style="8"/>
    <col min="14602" max="14602" width="12.19921875" style="8" bestFit="1" customWidth="1"/>
    <col min="14603" max="14606" width="11" style="8"/>
    <col min="14607" max="14608" width="11.19921875" style="8" bestFit="1" customWidth="1"/>
    <col min="14609" max="14609" width="11" style="8"/>
    <col min="14610" max="14610" width="12.19921875" style="8" bestFit="1" customWidth="1"/>
    <col min="14611" max="14614" width="11" style="8"/>
    <col min="14615" max="14615" width="11.19921875" style="8" bestFit="1" customWidth="1"/>
    <col min="14616" max="14616" width="12.19921875" style="8" bestFit="1" customWidth="1"/>
    <col min="14617" max="14617" width="11" style="8"/>
    <col min="14618" max="14618" width="12.19921875" style="8" bestFit="1" customWidth="1"/>
    <col min="14619" max="14622" width="11" style="8"/>
    <col min="14623" max="14624" width="12.19921875" style="8" bestFit="1" customWidth="1"/>
    <col min="14625" max="14625" width="11" style="8"/>
    <col min="14626" max="14626" width="12.19921875" style="8" bestFit="1" customWidth="1"/>
    <col min="14627" max="14630" width="11" style="8"/>
    <col min="14631" max="14631" width="12.19921875" style="8" bestFit="1" customWidth="1"/>
    <col min="14632" max="14632" width="13.19921875" style="8" bestFit="1" customWidth="1"/>
    <col min="14633" max="14633" width="11" style="8"/>
    <col min="14634" max="14634" width="11.19921875" style="8" bestFit="1" customWidth="1"/>
    <col min="14635" max="14638" width="11" style="8"/>
    <col min="14639" max="14640" width="13.19921875" style="8" bestFit="1" customWidth="1"/>
    <col min="14641" max="14641" width="11" style="8"/>
    <col min="14642" max="14642" width="11.19921875" style="8" bestFit="1" customWidth="1"/>
    <col min="14643" max="14646" width="11" style="8"/>
    <col min="14647" max="14647" width="13.19921875" style="8" bestFit="1" customWidth="1"/>
    <col min="14648" max="14648" width="11.19921875" style="8" bestFit="1" customWidth="1"/>
    <col min="14649" max="14649" width="11" style="8"/>
    <col min="14650" max="14650" width="11.19921875" style="8" bestFit="1" customWidth="1"/>
    <col min="14651" max="14654" width="11" style="8"/>
    <col min="14655" max="14656" width="11.19921875" style="8" bestFit="1" customWidth="1"/>
    <col min="14657" max="14657" width="11" style="8"/>
    <col min="14658" max="14658" width="12.19921875" style="8" bestFit="1" customWidth="1"/>
    <col min="14659" max="14662" width="11" style="8"/>
    <col min="14663" max="14664" width="11.19921875" style="8" bestFit="1" customWidth="1"/>
    <col min="14665" max="14665" width="11" style="8"/>
    <col min="14666" max="14666" width="12.19921875" style="8" bestFit="1" customWidth="1"/>
    <col min="14667" max="14670" width="11" style="8"/>
    <col min="14671" max="14671" width="11.19921875" style="8" bestFit="1" customWidth="1"/>
    <col min="14672" max="14672" width="12.19921875" style="8" bestFit="1" customWidth="1"/>
    <col min="14673" max="14673" width="11" style="8"/>
    <col min="14674" max="14674" width="12.19921875" style="8" bestFit="1" customWidth="1"/>
    <col min="14675" max="14678" width="11" style="8"/>
    <col min="14679" max="14680" width="12.19921875" style="8" bestFit="1" customWidth="1"/>
    <col min="14681" max="14681" width="11" style="8"/>
    <col min="14682" max="14682" width="12.19921875" style="8" bestFit="1" customWidth="1"/>
    <col min="14683" max="14686" width="11" style="8"/>
    <col min="14687" max="14687" width="12.19921875" style="8" bestFit="1" customWidth="1"/>
    <col min="14688" max="14688" width="13.19921875" style="8" bestFit="1" customWidth="1"/>
    <col min="14689" max="14689" width="11" style="8"/>
    <col min="14690" max="14690" width="11.19921875" style="8" bestFit="1" customWidth="1"/>
    <col min="14691" max="14694" width="11" style="8"/>
    <col min="14695" max="14696" width="13.19921875" style="8" bestFit="1" customWidth="1"/>
    <col min="14697" max="14697" width="11" style="8"/>
    <col min="14698" max="14698" width="11.19921875" style="8" bestFit="1" customWidth="1"/>
    <col min="14699" max="14702" width="11" style="8"/>
    <col min="14703" max="14703" width="13.19921875" style="8" bestFit="1" customWidth="1"/>
    <col min="14704" max="14704" width="11.19921875" style="8" bestFit="1" customWidth="1"/>
    <col min="14705" max="14705" width="11" style="8"/>
    <col min="14706" max="14706" width="11.19921875" style="8" bestFit="1" customWidth="1"/>
    <col min="14707" max="14710" width="11" style="8"/>
    <col min="14711" max="14712" width="11.19921875" style="8" bestFit="1" customWidth="1"/>
    <col min="14713" max="14713" width="11" style="8"/>
    <col min="14714" max="14714" width="12.19921875" style="8" bestFit="1" customWidth="1"/>
    <col min="14715" max="14718" width="11" style="8"/>
    <col min="14719" max="14720" width="11.19921875" style="8" bestFit="1" customWidth="1"/>
    <col min="14721" max="14721" width="11" style="8"/>
    <col min="14722" max="14722" width="12.19921875" style="8" bestFit="1" customWidth="1"/>
    <col min="14723" max="14726" width="11" style="8"/>
    <col min="14727" max="14727" width="11.19921875" style="8" bestFit="1" customWidth="1"/>
    <col min="14728" max="14728" width="12.19921875" style="8" bestFit="1" customWidth="1"/>
    <col min="14729" max="14729" width="11" style="8"/>
    <col min="14730" max="14730" width="12.19921875" style="8" bestFit="1" customWidth="1"/>
    <col min="14731" max="14734" width="11" style="8"/>
    <col min="14735" max="14736" width="12.19921875" style="8" bestFit="1" customWidth="1"/>
    <col min="14737" max="14737" width="11" style="8"/>
    <col min="14738" max="14738" width="12.19921875" style="8" bestFit="1" customWidth="1"/>
    <col min="14739" max="14742" width="11" style="8"/>
    <col min="14743" max="14743" width="12.19921875" style="8" bestFit="1" customWidth="1"/>
    <col min="14744" max="14744" width="13.19921875" style="8" bestFit="1" customWidth="1"/>
    <col min="14745" max="14745" width="11" style="8"/>
    <col min="14746" max="14746" width="11.19921875" style="8" bestFit="1" customWidth="1"/>
    <col min="14747" max="14750" width="11" style="8"/>
    <col min="14751" max="14752" width="13.19921875" style="8" bestFit="1" customWidth="1"/>
    <col min="14753" max="14753" width="11" style="8"/>
    <col min="14754" max="14754" width="11.19921875" style="8" bestFit="1" customWidth="1"/>
    <col min="14755" max="14758" width="11" style="8"/>
    <col min="14759" max="14759" width="13.19921875" style="8" bestFit="1" customWidth="1"/>
    <col min="14760" max="14760" width="11.19921875" style="8" bestFit="1" customWidth="1"/>
    <col min="14761" max="14761" width="11" style="8"/>
    <col min="14762" max="14762" width="11.19921875" style="8" bestFit="1" customWidth="1"/>
    <col min="14763" max="14766" width="11" style="8"/>
    <col min="14767" max="14768" width="11.19921875" style="8" bestFit="1" customWidth="1"/>
    <col min="14769" max="14769" width="11" style="8"/>
    <col min="14770" max="14770" width="12.19921875" style="8" bestFit="1" customWidth="1"/>
    <col min="14771" max="14774" width="11" style="8"/>
    <col min="14775" max="14776" width="11.19921875" style="8" bestFit="1" customWidth="1"/>
    <col min="14777" max="14777" width="11" style="8"/>
    <col min="14778" max="14778" width="12.19921875" style="8" bestFit="1" customWidth="1"/>
    <col min="14779" max="14782" width="11" style="8"/>
    <col min="14783" max="14783" width="11.19921875" style="8" bestFit="1" customWidth="1"/>
    <col min="14784" max="14784" width="12.19921875" style="8" bestFit="1" customWidth="1"/>
    <col min="14785" max="14785" width="11" style="8"/>
    <col min="14786" max="14786" width="12.19921875" style="8" bestFit="1" customWidth="1"/>
    <col min="14787" max="14790" width="11" style="8"/>
    <col min="14791" max="14792" width="12.19921875" style="8" bestFit="1" customWidth="1"/>
    <col min="14793" max="14793" width="11" style="8"/>
    <col min="14794" max="14794" width="12.19921875" style="8" bestFit="1" customWidth="1"/>
    <col min="14795" max="14798" width="11" style="8"/>
    <col min="14799" max="14799" width="12.19921875" style="8" bestFit="1" customWidth="1"/>
    <col min="14800" max="14800" width="13.19921875" style="8" bestFit="1" customWidth="1"/>
    <col min="14801" max="14801" width="11" style="8"/>
    <col min="14802" max="14802" width="11.19921875" style="8" bestFit="1" customWidth="1"/>
    <col min="14803" max="14806" width="11" style="8"/>
    <col min="14807" max="14808" width="13.19921875" style="8" bestFit="1" customWidth="1"/>
    <col min="14809" max="14809" width="11" style="8"/>
    <col min="14810" max="14810" width="11.19921875" style="8" bestFit="1" customWidth="1"/>
    <col min="14811" max="14814" width="11" style="8"/>
    <col min="14815" max="14815" width="13.19921875" style="8" bestFit="1" customWidth="1"/>
    <col min="14816" max="14816" width="11.19921875" style="8" bestFit="1" customWidth="1"/>
    <col min="14817" max="14817" width="11" style="8"/>
    <col min="14818" max="14818" width="11.19921875" style="8" bestFit="1" customWidth="1"/>
    <col min="14819" max="14822" width="11" style="8"/>
    <col min="14823" max="14824" width="11.19921875" style="8" bestFit="1" customWidth="1"/>
    <col min="14825" max="14825" width="11" style="8"/>
    <col min="14826" max="14826" width="12.19921875" style="8" bestFit="1" customWidth="1"/>
    <col min="14827" max="14830" width="11" style="8"/>
    <col min="14831" max="14832" width="11.19921875" style="8" bestFit="1" customWidth="1"/>
    <col min="14833" max="14833" width="11" style="8"/>
    <col min="14834" max="14834" width="12.19921875" style="8" bestFit="1" customWidth="1"/>
    <col min="14835" max="14838" width="11" style="8"/>
    <col min="14839" max="14839" width="11.19921875" style="8" bestFit="1" customWidth="1"/>
    <col min="14840" max="14840" width="12.19921875" style="8" bestFit="1" customWidth="1"/>
    <col min="14841" max="14841" width="11" style="8"/>
    <col min="14842" max="14842" width="12.19921875" style="8" bestFit="1" customWidth="1"/>
    <col min="14843" max="14846" width="11" style="8"/>
    <col min="14847" max="14848" width="12.19921875" style="8" bestFit="1" customWidth="1"/>
    <col min="14849" max="14849" width="11" style="8"/>
    <col min="14850" max="14850" width="12.19921875" style="8" bestFit="1" customWidth="1"/>
    <col min="14851" max="14854" width="11" style="8"/>
    <col min="14855" max="14855" width="12.19921875" style="8" bestFit="1" customWidth="1"/>
    <col min="14856" max="14856" width="13.19921875" style="8" bestFit="1" customWidth="1"/>
    <col min="14857" max="14857" width="11" style="8"/>
    <col min="14858" max="14858" width="11.19921875" style="8" bestFit="1" customWidth="1"/>
    <col min="14859" max="14862" width="11" style="8"/>
    <col min="14863" max="14864" width="13.19921875" style="8" bestFit="1" customWidth="1"/>
    <col min="14865" max="14865" width="11" style="8"/>
    <col min="14866" max="14866" width="11.19921875" style="8" bestFit="1" customWidth="1"/>
    <col min="14867" max="14870" width="11" style="8"/>
    <col min="14871" max="14871" width="13.19921875" style="8" bestFit="1" customWidth="1"/>
    <col min="14872" max="14872" width="11.19921875" style="8" bestFit="1" customWidth="1"/>
    <col min="14873" max="14873" width="11" style="8"/>
    <col min="14874" max="14874" width="11.19921875" style="8" bestFit="1" customWidth="1"/>
    <col min="14875" max="14878" width="11" style="8"/>
    <col min="14879" max="14880" width="11.19921875" style="8" bestFit="1" customWidth="1"/>
    <col min="14881" max="14881" width="11" style="8"/>
    <col min="14882" max="14882" width="12.19921875" style="8" bestFit="1" customWidth="1"/>
    <col min="14883" max="14886" width="11" style="8"/>
    <col min="14887" max="14888" width="11.19921875" style="8" bestFit="1" customWidth="1"/>
    <col min="14889" max="14889" width="11" style="8"/>
    <col min="14890" max="14890" width="12.19921875" style="8" bestFit="1" customWidth="1"/>
    <col min="14891" max="14894" width="11" style="8"/>
    <col min="14895" max="14895" width="11.19921875" style="8" bestFit="1" customWidth="1"/>
    <col min="14896" max="14896" width="12.19921875" style="8" bestFit="1" customWidth="1"/>
    <col min="14897" max="14897" width="11" style="8"/>
    <col min="14898" max="14898" width="12.19921875" style="8" bestFit="1" customWidth="1"/>
    <col min="14899" max="14902" width="11" style="8"/>
    <col min="14903" max="14904" width="12.19921875" style="8" bestFit="1" customWidth="1"/>
    <col min="14905" max="14905" width="11" style="8"/>
    <col min="14906" max="14906" width="12.19921875" style="8" bestFit="1" customWidth="1"/>
    <col min="14907" max="14910" width="11" style="8"/>
    <col min="14911" max="14911" width="12.19921875" style="8" bestFit="1" customWidth="1"/>
    <col min="14912" max="14912" width="13.19921875" style="8" bestFit="1" customWidth="1"/>
    <col min="14913" max="14913" width="11" style="8"/>
    <col min="14914" max="14914" width="11.19921875" style="8" bestFit="1" customWidth="1"/>
    <col min="14915" max="14918" width="11" style="8"/>
    <col min="14919" max="14920" width="13.19921875" style="8" bestFit="1" customWidth="1"/>
    <col min="14921" max="14921" width="11" style="8"/>
    <col min="14922" max="14922" width="11.19921875" style="8" bestFit="1" customWidth="1"/>
    <col min="14923" max="14926" width="11" style="8"/>
    <col min="14927" max="14927" width="13.19921875" style="8" bestFit="1" customWidth="1"/>
    <col min="14928" max="14928" width="11.19921875" style="8" bestFit="1" customWidth="1"/>
    <col min="14929" max="14929" width="11" style="8"/>
    <col min="14930" max="14930" width="11.19921875" style="8" bestFit="1" customWidth="1"/>
    <col min="14931" max="14934" width="11" style="8"/>
    <col min="14935" max="14936" width="11.19921875" style="8" bestFit="1" customWidth="1"/>
    <col min="14937" max="14937" width="11" style="8"/>
    <col min="14938" max="14938" width="12.19921875" style="8" bestFit="1" customWidth="1"/>
    <col min="14939" max="14942" width="11" style="8"/>
    <col min="14943" max="14944" width="11.19921875" style="8" bestFit="1" customWidth="1"/>
    <col min="14945" max="14945" width="11" style="8"/>
    <col min="14946" max="14946" width="12.19921875" style="8" bestFit="1" customWidth="1"/>
    <col min="14947" max="14950" width="11" style="8"/>
    <col min="14951" max="14951" width="11.19921875" style="8" bestFit="1" customWidth="1"/>
    <col min="14952" max="14952" width="12.19921875" style="8" bestFit="1" customWidth="1"/>
    <col min="14953" max="14953" width="11" style="8"/>
    <col min="14954" max="14954" width="12.19921875" style="8" bestFit="1" customWidth="1"/>
    <col min="14955" max="14958" width="11" style="8"/>
    <col min="14959" max="14960" width="12.19921875" style="8" bestFit="1" customWidth="1"/>
    <col min="14961" max="14961" width="11" style="8"/>
    <col min="14962" max="14962" width="12.19921875" style="8" bestFit="1" customWidth="1"/>
    <col min="14963" max="14966" width="11" style="8"/>
    <col min="14967" max="14967" width="12.19921875" style="8" bestFit="1" customWidth="1"/>
    <col min="14968" max="14968" width="13.19921875" style="8" bestFit="1" customWidth="1"/>
    <col min="14969" max="14969" width="11" style="8"/>
    <col min="14970" max="14970" width="11.19921875" style="8" bestFit="1" customWidth="1"/>
    <col min="14971" max="14974" width="11" style="8"/>
    <col min="14975" max="14976" width="13.19921875" style="8" bestFit="1" customWidth="1"/>
    <col min="14977" max="14977" width="11" style="8"/>
    <col min="14978" max="14978" width="11.19921875" style="8" bestFit="1" customWidth="1"/>
    <col min="14979" max="14982" width="11" style="8"/>
    <col min="14983" max="14983" width="13.19921875" style="8" bestFit="1" customWidth="1"/>
    <col min="14984" max="14984" width="11.19921875" style="8" bestFit="1" customWidth="1"/>
    <col min="14985" max="14985" width="11" style="8"/>
    <col min="14986" max="14986" width="11.19921875" style="8" bestFit="1" customWidth="1"/>
    <col min="14987" max="14990" width="11" style="8"/>
    <col min="14991" max="14992" width="11.19921875" style="8" bestFit="1" customWidth="1"/>
    <col min="14993" max="14993" width="11" style="8"/>
    <col min="14994" max="14994" width="12.19921875" style="8" bestFit="1" customWidth="1"/>
    <col min="14995" max="14998" width="11" style="8"/>
    <col min="14999" max="15000" width="11.19921875" style="8" bestFit="1" customWidth="1"/>
    <col min="15001" max="15001" width="11" style="8"/>
    <col min="15002" max="15002" width="12.19921875" style="8" bestFit="1" customWidth="1"/>
    <col min="15003" max="15006" width="11" style="8"/>
    <col min="15007" max="15007" width="11.19921875" style="8" bestFit="1" customWidth="1"/>
    <col min="15008" max="15008" width="12.19921875" style="8" bestFit="1" customWidth="1"/>
    <col min="15009" max="15009" width="11" style="8"/>
    <col min="15010" max="15010" width="12.19921875" style="8" bestFit="1" customWidth="1"/>
    <col min="15011" max="15014" width="11" style="8"/>
    <col min="15015" max="15016" width="12.19921875" style="8" bestFit="1" customWidth="1"/>
    <col min="15017" max="15017" width="11" style="8"/>
    <col min="15018" max="15018" width="12.19921875" style="8" bestFit="1" customWidth="1"/>
    <col min="15019" max="15022" width="11" style="8"/>
    <col min="15023" max="15023" width="12.19921875" style="8" bestFit="1" customWidth="1"/>
    <col min="15024" max="15024" width="13.19921875" style="8" bestFit="1" customWidth="1"/>
    <col min="15025" max="15025" width="11" style="8"/>
    <col min="15026" max="15026" width="11.19921875" style="8" bestFit="1" customWidth="1"/>
    <col min="15027" max="15030" width="11" style="8"/>
    <col min="15031" max="15032" width="13.19921875" style="8" bestFit="1" customWidth="1"/>
    <col min="15033" max="15033" width="11" style="8"/>
    <col min="15034" max="15034" width="11.19921875" style="8" bestFit="1" customWidth="1"/>
    <col min="15035" max="15038" width="11" style="8"/>
    <col min="15039" max="15039" width="13.19921875" style="8" bestFit="1" customWidth="1"/>
    <col min="15040" max="15040" width="11.19921875" style="8" bestFit="1" customWidth="1"/>
    <col min="15041" max="15041" width="11" style="8"/>
    <col min="15042" max="15042" width="11.19921875" style="8" bestFit="1" customWidth="1"/>
    <col min="15043" max="15046" width="11" style="8"/>
    <col min="15047" max="15048" width="11.19921875" style="8" bestFit="1" customWidth="1"/>
    <col min="15049" max="15049" width="11" style="8"/>
    <col min="15050" max="15050" width="12.19921875" style="8" bestFit="1" customWidth="1"/>
    <col min="15051" max="15054" width="11" style="8"/>
    <col min="15055" max="15056" width="11.19921875" style="8" bestFit="1" customWidth="1"/>
    <col min="15057" max="15057" width="11" style="8"/>
    <col min="15058" max="15058" width="12.19921875" style="8" bestFit="1" customWidth="1"/>
    <col min="15059" max="15062" width="11" style="8"/>
    <col min="15063" max="15063" width="11.19921875" style="8" bestFit="1" customWidth="1"/>
    <col min="15064" max="15064" width="12.19921875" style="8" bestFit="1" customWidth="1"/>
    <col min="15065" max="15065" width="11" style="8"/>
    <col min="15066" max="15066" width="12.19921875" style="8" bestFit="1" customWidth="1"/>
    <col min="15067" max="15070" width="11" style="8"/>
    <col min="15071" max="15072" width="12.19921875" style="8" bestFit="1" customWidth="1"/>
    <col min="15073" max="15073" width="11" style="8"/>
    <col min="15074" max="15074" width="12.19921875" style="8" bestFit="1" customWidth="1"/>
    <col min="15075" max="15078" width="11" style="8"/>
    <col min="15079" max="15079" width="12.19921875" style="8" bestFit="1" customWidth="1"/>
    <col min="15080" max="15080" width="13.19921875" style="8" bestFit="1" customWidth="1"/>
    <col min="15081" max="15081" width="11" style="8"/>
    <col min="15082" max="15082" width="11.19921875" style="8" bestFit="1" customWidth="1"/>
    <col min="15083" max="15086" width="11" style="8"/>
    <col min="15087" max="15088" width="13.19921875" style="8" bestFit="1" customWidth="1"/>
    <col min="15089" max="15089" width="11" style="8"/>
    <col min="15090" max="15090" width="11.19921875" style="8" bestFit="1" customWidth="1"/>
    <col min="15091" max="15094" width="11" style="8"/>
    <col min="15095" max="15095" width="13.19921875" style="8" bestFit="1" customWidth="1"/>
    <col min="15096" max="15096" width="11.19921875" style="8" bestFit="1" customWidth="1"/>
    <col min="15097" max="15097" width="11" style="8"/>
    <col min="15098" max="15098" width="11.19921875" style="8" bestFit="1" customWidth="1"/>
    <col min="15099" max="15102" width="11" style="8"/>
    <col min="15103" max="15104" width="11.19921875" style="8" bestFit="1" customWidth="1"/>
    <col min="15105" max="15105" width="11" style="8"/>
    <col min="15106" max="15106" width="12.19921875" style="8" bestFit="1" customWidth="1"/>
    <col min="15107" max="15110" width="11" style="8"/>
    <col min="15111" max="15112" width="11.19921875" style="8" bestFit="1" customWidth="1"/>
    <col min="15113" max="15113" width="11" style="8"/>
    <col min="15114" max="15114" width="12.19921875" style="8" bestFit="1" customWidth="1"/>
    <col min="15115" max="15118" width="11" style="8"/>
    <col min="15119" max="15119" width="11.19921875" style="8" bestFit="1" customWidth="1"/>
    <col min="15120" max="15120" width="12.19921875" style="8" bestFit="1" customWidth="1"/>
    <col min="15121" max="15121" width="11" style="8"/>
    <col min="15122" max="15122" width="12.19921875" style="8" bestFit="1" customWidth="1"/>
    <col min="15123" max="15126" width="11" style="8"/>
    <col min="15127" max="15128" width="12.19921875" style="8" bestFit="1" customWidth="1"/>
    <col min="15129" max="15129" width="11" style="8"/>
    <col min="15130" max="15130" width="12.19921875" style="8" bestFit="1" customWidth="1"/>
    <col min="15131" max="15134" width="11" style="8"/>
    <col min="15135" max="15135" width="12.19921875" style="8" bestFit="1" customWidth="1"/>
    <col min="15136" max="15136" width="13.19921875" style="8" bestFit="1" customWidth="1"/>
    <col min="15137" max="15137" width="11" style="8"/>
    <col min="15138" max="15138" width="11.19921875" style="8" bestFit="1" customWidth="1"/>
    <col min="15139" max="15142" width="11" style="8"/>
    <col min="15143" max="15144" width="13.19921875" style="8" bestFit="1" customWidth="1"/>
    <col min="15145" max="15145" width="11" style="8"/>
    <col min="15146" max="15146" width="11.19921875" style="8" bestFit="1" customWidth="1"/>
    <col min="15147" max="15150" width="11" style="8"/>
    <col min="15151" max="15151" width="13.19921875" style="8" bestFit="1" customWidth="1"/>
    <col min="15152" max="15152" width="11.19921875" style="8" bestFit="1" customWidth="1"/>
    <col min="15153" max="15153" width="11" style="8"/>
    <col min="15154" max="15154" width="11.19921875" style="8" bestFit="1" customWidth="1"/>
    <col min="15155" max="15158" width="11" style="8"/>
    <col min="15159" max="15160" width="11.19921875" style="8" bestFit="1" customWidth="1"/>
    <col min="15161" max="15161" width="11" style="8"/>
    <col min="15162" max="15162" width="12.19921875" style="8" bestFit="1" customWidth="1"/>
    <col min="15163" max="15166" width="11" style="8"/>
    <col min="15167" max="15168" width="11.19921875" style="8" bestFit="1" customWidth="1"/>
    <col min="15169" max="15169" width="11" style="8"/>
    <col min="15170" max="15170" width="12.19921875" style="8" bestFit="1" customWidth="1"/>
    <col min="15171" max="15174" width="11" style="8"/>
    <col min="15175" max="15175" width="11.19921875" style="8" bestFit="1" customWidth="1"/>
    <col min="15176" max="15176" width="12.19921875" style="8" bestFit="1" customWidth="1"/>
    <col min="15177" max="15177" width="11" style="8"/>
    <col min="15178" max="15178" width="12.19921875" style="8" bestFit="1" customWidth="1"/>
    <col min="15179" max="15182" width="11" style="8"/>
    <col min="15183" max="15184" width="12.19921875" style="8" bestFit="1" customWidth="1"/>
    <col min="15185" max="15185" width="11" style="8"/>
    <col min="15186" max="15186" width="12.19921875" style="8" bestFit="1" customWidth="1"/>
    <col min="15187" max="15190" width="11" style="8"/>
    <col min="15191" max="15191" width="12.19921875" style="8" bestFit="1" customWidth="1"/>
    <col min="15192" max="15192" width="13.19921875" style="8" bestFit="1" customWidth="1"/>
    <col min="15193" max="15193" width="11" style="8"/>
    <col min="15194" max="15194" width="11.19921875" style="8" bestFit="1" customWidth="1"/>
    <col min="15195" max="15198" width="11" style="8"/>
    <col min="15199" max="15200" width="13.19921875" style="8" bestFit="1" customWidth="1"/>
    <col min="15201" max="15201" width="11" style="8"/>
    <col min="15202" max="15202" width="11.19921875" style="8" bestFit="1" customWidth="1"/>
    <col min="15203" max="15206" width="11" style="8"/>
    <col min="15207" max="15207" width="13.19921875" style="8" bestFit="1" customWidth="1"/>
    <col min="15208" max="15208" width="11.19921875" style="8" bestFit="1" customWidth="1"/>
    <col min="15209" max="15209" width="11" style="8"/>
    <col min="15210" max="15210" width="11.19921875" style="8" bestFit="1" customWidth="1"/>
    <col min="15211" max="15214" width="11" style="8"/>
    <col min="15215" max="15216" width="11.19921875" style="8" bestFit="1" customWidth="1"/>
    <col min="15217" max="15217" width="11" style="8"/>
    <col min="15218" max="15218" width="12.19921875" style="8" bestFit="1" customWidth="1"/>
    <col min="15219" max="15222" width="11" style="8"/>
    <col min="15223" max="15224" width="11.19921875" style="8" bestFit="1" customWidth="1"/>
    <col min="15225" max="15225" width="11" style="8"/>
    <col min="15226" max="15226" width="12.19921875" style="8" bestFit="1" customWidth="1"/>
    <col min="15227" max="15230" width="11" style="8"/>
    <col min="15231" max="15231" width="11.19921875" style="8" bestFit="1" customWidth="1"/>
    <col min="15232" max="15232" width="12.19921875" style="8" bestFit="1" customWidth="1"/>
    <col min="15233" max="15233" width="11" style="8"/>
    <col min="15234" max="15234" width="12.19921875" style="8" bestFit="1" customWidth="1"/>
    <col min="15235" max="15238" width="11" style="8"/>
    <col min="15239" max="15240" width="12.19921875" style="8" bestFit="1" customWidth="1"/>
    <col min="15241" max="15241" width="11" style="8"/>
    <col min="15242" max="15242" width="12.19921875" style="8" bestFit="1" customWidth="1"/>
    <col min="15243" max="15246" width="11" style="8"/>
    <col min="15247" max="15247" width="12.19921875" style="8" bestFit="1" customWidth="1"/>
    <col min="15248" max="15248" width="13.19921875" style="8" bestFit="1" customWidth="1"/>
    <col min="15249" max="15249" width="11" style="8"/>
    <col min="15250" max="15250" width="11.19921875" style="8" bestFit="1" customWidth="1"/>
    <col min="15251" max="15254" width="11" style="8"/>
    <col min="15255" max="15256" width="13.19921875" style="8" bestFit="1" customWidth="1"/>
    <col min="15257" max="15257" width="11" style="8"/>
    <col min="15258" max="15258" width="11.19921875" style="8" bestFit="1" customWidth="1"/>
    <col min="15259" max="15262" width="11" style="8"/>
    <col min="15263" max="15263" width="13.19921875" style="8" bestFit="1" customWidth="1"/>
    <col min="15264" max="15264" width="11.19921875" style="8" bestFit="1" customWidth="1"/>
    <col min="15265" max="15265" width="11" style="8"/>
    <col min="15266" max="15266" width="11.19921875" style="8" bestFit="1" customWidth="1"/>
    <col min="15267" max="15270" width="11" style="8"/>
    <col min="15271" max="15272" width="11.19921875" style="8" bestFit="1" customWidth="1"/>
    <col min="15273" max="15273" width="11" style="8"/>
    <col min="15274" max="15274" width="12.19921875" style="8" bestFit="1" customWidth="1"/>
    <col min="15275" max="15278" width="11" style="8"/>
    <col min="15279" max="15280" width="11.19921875" style="8" bestFit="1" customWidth="1"/>
    <col min="15281" max="15281" width="11" style="8"/>
    <col min="15282" max="15282" width="12.19921875" style="8" bestFit="1" customWidth="1"/>
    <col min="15283" max="15286" width="11" style="8"/>
    <col min="15287" max="15287" width="11.19921875" style="8" bestFit="1" customWidth="1"/>
    <col min="15288" max="15288" width="12.19921875" style="8" bestFit="1" customWidth="1"/>
    <col min="15289" max="15289" width="11" style="8"/>
    <col min="15290" max="15290" width="12.19921875" style="8" bestFit="1" customWidth="1"/>
    <col min="15291" max="15294" width="11" style="8"/>
    <col min="15295" max="15296" width="12.19921875" style="8" bestFit="1" customWidth="1"/>
    <col min="15297" max="15297" width="11" style="8"/>
    <col min="15298" max="15298" width="12.19921875" style="8" bestFit="1" customWidth="1"/>
    <col min="15299" max="15302" width="11" style="8"/>
    <col min="15303" max="15303" width="12.19921875" style="8" bestFit="1" customWidth="1"/>
    <col min="15304" max="15304" width="13.19921875" style="8" bestFit="1" customWidth="1"/>
    <col min="15305" max="15305" width="11" style="8"/>
    <col min="15306" max="15306" width="11.19921875" style="8" bestFit="1" customWidth="1"/>
    <col min="15307" max="15310" width="11" style="8"/>
    <col min="15311" max="15312" width="13.19921875" style="8" bestFit="1" customWidth="1"/>
    <col min="15313" max="15313" width="11" style="8"/>
    <col min="15314" max="15314" width="11.19921875" style="8" bestFit="1" customWidth="1"/>
    <col min="15315" max="15318" width="11" style="8"/>
    <col min="15319" max="15319" width="13.19921875" style="8" bestFit="1" customWidth="1"/>
    <col min="15320" max="15320" width="11.19921875" style="8" bestFit="1" customWidth="1"/>
    <col min="15321" max="15321" width="11" style="8"/>
    <col min="15322" max="15322" width="11.19921875" style="8" bestFit="1" customWidth="1"/>
    <col min="15323" max="15326" width="11" style="8"/>
    <col min="15327" max="15328" width="11.19921875" style="8" bestFit="1" customWidth="1"/>
    <col min="15329" max="15329" width="11" style="8"/>
    <col min="15330" max="15330" width="12.19921875" style="8" bestFit="1" customWidth="1"/>
    <col min="15331" max="15334" width="11" style="8"/>
    <col min="15335" max="15336" width="11.19921875" style="8" bestFit="1" customWidth="1"/>
    <col min="15337" max="15337" width="11" style="8"/>
    <col min="15338" max="15338" width="12.19921875" style="8" bestFit="1" customWidth="1"/>
    <col min="15339" max="15342" width="11" style="8"/>
    <col min="15343" max="15343" width="11.19921875" style="8" bestFit="1" customWidth="1"/>
    <col min="15344" max="15344" width="12.19921875" style="8" bestFit="1" customWidth="1"/>
    <col min="15345" max="15345" width="11" style="8"/>
    <col min="15346" max="15346" width="12.19921875" style="8" bestFit="1" customWidth="1"/>
    <col min="15347" max="15350" width="11" style="8"/>
    <col min="15351" max="15352" width="12.19921875" style="8" bestFit="1" customWidth="1"/>
    <col min="15353" max="15353" width="11" style="8"/>
    <col min="15354" max="15354" width="12.19921875" style="8" bestFit="1" customWidth="1"/>
    <col min="15355" max="15358" width="11" style="8"/>
    <col min="15359" max="15359" width="12.19921875" style="8" bestFit="1" customWidth="1"/>
    <col min="15360" max="15360" width="13.19921875" style="8" bestFit="1" customWidth="1"/>
    <col min="15361" max="15361" width="11" style="8"/>
    <col min="15362" max="15362" width="11.19921875" style="8" bestFit="1" customWidth="1"/>
    <col min="15363" max="15366" width="11" style="8"/>
    <col min="15367" max="15368" width="13.19921875" style="8" bestFit="1" customWidth="1"/>
    <col min="15369" max="15369" width="11" style="8"/>
    <col min="15370" max="15370" width="11.19921875" style="8" bestFit="1" customWidth="1"/>
    <col min="15371" max="15374" width="11" style="8"/>
    <col min="15375" max="15375" width="13.19921875" style="8" bestFit="1" customWidth="1"/>
    <col min="15376" max="15376" width="11.19921875" style="8" bestFit="1" customWidth="1"/>
    <col min="15377" max="15377" width="11" style="8"/>
    <col min="15378" max="15378" width="11.19921875" style="8" bestFit="1" customWidth="1"/>
    <col min="15379" max="15382" width="11" style="8"/>
    <col min="15383" max="15384" width="11.19921875" style="8" bestFit="1" customWidth="1"/>
    <col min="15385" max="15385" width="11" style="8"/>
    <col min="15386" max="15386" width="12.19921875" style="8" bestFit="1" customWidth="1"/>
    <col min="15387" max="15390" width="11" style="8"/>
    <col min="15391" max="15392" width="11.19921875" style="8" bestFit="1" customWidth="1"/>
    <col min="15393" max="15393" width="11" style="8"/>
    <col min="15394" max="15394" width="12.19921875" style="8" bestFit="1" customWidth="1"/>
    <col min="15395" max="15398" width="11" style="8"/>
    <col min="15399" max="15399" width="11.19921875" style="8" bestFit="1" customWidth="1"/>
    <col min="15400" max="15400" width="12.19921875" style="8" bestFit="1" customWidth="1"/>
    <col min="15401" max="15401" width="11" style="8"/>
    <col min="15402" max="15402" width="12.19921875" style="8" bestFit="1" customWidth="1"/>
    <col min="15403" max="15406" width="11" style="8"/>
    <col min="15407" max="15408" width="12.19921875" style="8" bestFit="1" customWidth="1"/>
    <col min="15409" max="15409" width="11" style="8"/>
    <col min="15410" max="15410" width="12.19921875" style="8" bestFit="1" customWidth="1"/>
    <col min="15411" max="15414" width="11" style="8"/>
    <col min="15415" max="15415" width="12.19921875" style="8" bestFit="1" customWidth="1"/>
    <col min="15416" max="15416" width="13.19921875" style="8" bestFit="1" customWidth="1"/>
    <col min="15417" max="15417" width="11" style="8"/>
    <col min="15418" max="15418" width="11.19921875" style="8" bestFit="1" customWidth="1"/>
    <col min="15419" max="15422" width="11" style="8"/>
    <col min="15423" max="15424" width="13.19921875" style="8" bestFit="1" customWidth="1"/>
    <col min="15425" max="15425" width="11" style="8"/>
    <col min="15426" max="15426" width="11.19921875" style="8" bestFit="1" customWidth="1"/>
    <col min="15427" max="15430" width="11" style="8"/>
    <col min="15431" max="15431" width="13.19921875" style="8" bestFit="1" customWidth="1"/>
    <col min="15432" max="15432" width="11.19921875" style="8" bestFit="1" customWidth="1"/>
    <col min="15433" max="15433" width="11" style="8"/>
    <col min="15434" max="15434" width="11.19921875" style="8" bestFit="1" customWidth="1"/>
    <col min="15435" max="15438" width="11" style="8"/>
    <col min="15439" max="15440" width="11.19921875" style="8" bestFit="1" customWidth="1"/>
    <col min="15441" max="15441" width="11" style="8"/>
    <col min="15442" max="15442" width="12.19921875" style="8" bestFit="1" customWidth="1"/>
    <col min="15443" max="15446" width="11" style="8"/>
    <col min="15447" max="15448" width="11.19921875" style="8" bestFit="1" customWidth="1"/>
    <col min="15449" max="15449" width="11" style="8"/>
    <col min="15450" max="15450" width="12.19921875" style="8" bestFit="1" customWidth="1"/>
    <col min="15451" max="15454" width="11" style="8"/>
    <col min="15455" max="15455" width="11.19921875" style="8" bestFit="1" customWidth="1"/>
    <col min="15456" max="15456" width="12.19921875" style="8" bestFit="1" customWidth="1"/>
    <col min="15457" max="15457" width="11" style="8"/>
    <col min="15458" max="15458" width="12.19921875" style="8" bestFit="1" customWidth="1"/>
    <col min="15459" max="15462" width="11" style="8"/>
    <col min="15463" max="15464" width="12.19921875" style="8" bestFit="1" customWidth="1"/>
    <col min="15465" max="15465" width="11" style="8"/>
    <col min="15466" max="15466" width="12.19921875" style="8" bestFit="1" customWidth="1"/>
    <col min="15467" max="15470" width="11" style="8"/>
    <col min="15471" max="15471" width="12.19921875" style="8" bestFit="1" customWidth="1"/>
    <col min="15472" max="15472" width="13.19921875" style="8" bestFit="1" customWidth="1"/>
    <col min="15473" max="15473" width="11" style="8"/>
    <col min="15474" max="15474" width="11.19921875" style="8" bestFit="1" customWidth="1"/>
    <col min="15475" max="15478" width="11" style="8"/>
    <col min="15479" max="15480" width="13.19921875" style="8" bestFit="1" customWidth="1"/>
    <col min="15481" max="15481" width="11" style="8"/>
    <col min="15482" max="15482" width="11.19921875" style="8" bestFit="1" customWidth="1"/>
    <col min="15483" max="15486" width="11" style="8"/>
    <col min="15487" max="15487" width="13.19921875" style="8" bestFit="1" customWidth="1"/>
    <col min="15488" max="15488" width="11.19921875" style="8" bestFit="1" customWidth="1"/>
    <col min="15489" max="15489" width="11" style="8"/>
    <col min="15490" max="15490" width="11.19921875" style="8" bestFit="1" customWidth="1"/>
    <col min="15491" max="15494" width="11" style="8"/>
    <col min="15495" max="15496" width="11.19921875" style="8" bestFit="1" customWidth="1"/>
    <col min="15497" max="15497" width="11" style="8"/>
    <col min="15498" max="15498" width="12.19921875" style="8" bestFit="1" customWidth="1"/>
    <col min="15499" max="15502" width="11" style="8"/>
    <col min="15503" max="15504" width="11.19921875" style="8" bestFit="1" customWidth="1"/>
    <col min="15505" max="15505" width="11" style="8"/>
    <col min="15506" max="15506" width="12.19921875" style="8" bestFit="1" customWidth="1"/>
    <col min="15507" max="15510" width="11" style="8"/>
    <col min="15511" max="15511" width="11.19921875" style="8" bestFit="1" customWidth="1"/>
    <col min="15512" max="15512" width="12.19921875" style="8" bestFit="1" customWidth="1"/>
    <col min="15513" max="15513" width="11" style="8"/>
    <col min="15514" max="15514" width="12.19921875" style="8" bestFit="1" customWidth="1"/>
    <col min="15515" max="15518" width="11" style="8"/>
    <col min="15519" max="15520" width="12.19921875" style="8" bestFit="1" customWidth="1"/>
    <col min="15521" max="15521" width="11" style="8"/>
    <col min="15522" max="15522" width="12.19921875" style="8" bestFit="1" customWidth="1"/>
    <col min="15523" max="15526" width="11" style="8"/>
    <col min="15527" max="15527" width="12.19921875" style="8" bestFit="1" customWidth="1"/>
    <col min="15528" max="15528" width="13.19921875" style="8" bestFit="1" customWidth="1"/>
    <col min="15529" max="15529" width="11" style="8"/>
    <col min="15530" max="15530" width="11.19921875" style="8" bestFit="1" customWidth="1"/>
    <col min="15531" max="15534" width="11" style="8"/>
    <col min="15535" max="15536" width="13.19921875" style="8" bestFit="1" customWidth="1"/>
    <col min="15537" max="15537" width="11" style="8"/>
    <col min="15538" max="15538" width="11.19921875" style="8" bestFit="1" customWidth="1"/>
    <col min="15539" max="15542" width="11" style="8"/>
    <col min="15543" max="15543" width="13.19921875" style="8" bestFit="1" customWidth="1"/>
    <col min="15544" max="15544" width="11.19921875" style="8" bestFit="1" customWidth="1"/>
    <col min="15545" max="15545" width="11" style="8"/>
    <col min="15546" max="15546" width="11.19921875" style="8" bestFit="1" customWidth="1"/>
    <col min="15547" max="15550" width="11" style="8"/>
    <col min="15551" max="15552" width="11.19921875" style="8" bestFit="1" customWidth="1"/>
    <col min="15553" max="15553" width="11" style="8"/>
    <col min="15554" max="15554" width="12.19921875" style="8" bestFit="1" customWidth="1"/>
    <col min="15555" max="15558" width="11" style="8"/>
    <col min="15559" max="15560" width="11.19921875" style="8" bestFit="1" customWidth="1"/>
    <col min="15561" max="15561" width="11" style="8"/>
    <col min="15562" max="15562" width="12.19921875" style="8" bestFit="1" customWidth="1"/>
    <col min="15563" max="15566" width="11" style="8"/>
    <col min="15567" max="15567" width="11.19921875" style="8" bestFit="1" customWidth="1"/>
    <col min="15568" max="15568" width="12.19921875" style="8" bestFit="1" customWidth="1"/>
    <col min="15569" max="15569" width="11" style="8"/>
    <col min="15570" max="15570" width="12.19921875" style="8" bestFit="1" customWidth="1"/>
    <col min="15571" max="15574" width="11" style="8"/>
    <col min="15575" max="15576" width="12.19921875" style="8" bestFit="1" customWidth="1"/>
    <col min="15577" max="15577" width="11" style="8"/>
    <col min="15578" max="15578" width="12.19921875" style="8" bestFit="1" customWidth="1"/>
    <col min="15579" max="15582" width="11" style="8"/>
    <col min="15583" max="15583" width="12.19921875" style="8" bestFit="1" customWidth="1"/>
    <col min="15584" max="15584" width="13.19921875" style="8" bestFit="1" customWidth="1"/>
    <col min="15585" max="15585" width="11" style="8"/>
    <col min="15586" max="15586" width="11.19921875" style="8" bestFit="1" customWidth="1"/>
    <col min="15587" max="15590" width="11" style="8"/>
    <col min="15591" max="15592" width="13.19921875" style="8" bestFit="1" customWidth="1"/>
    <col min="15593" max="15593" width="11" style="8"/>
    <col min="15594" max="15594" width="11.19921875" style="8" bestFit="1" customWidth="1"/>
    <col min="15595" max="15598" width="11" style="8"/>
    <col min="15599" max="15599" width="13.19921875" style="8" bestFit="1" customWidth="1"/>
    <col min="15600" max="15600" width="11.19921875" style="8" bestFit="1" customWidth="1"/>
    <col min="15601" max="15601" width="11" style="8"/>
    <col min="15602" max="15602" width="11.19921875" style="8" bestFit="1" customWidth="1"/>
    <col min="15603" max="15606" width="11" style="8"/>
    <col min="15607" max="15608" width="11.19921875" style="8" bestFit="1" customWidth="1"/>
    <col min="15609" max="15609" width="11" style="8"/>
    <col min="15610" max="15610" width="12.19921875" style="8" bestFit="1" customWidth="1"/>
    <col min="15611" max="15614" width="11" style="8"/>
    <col min="15615" max="15616" width="11.19921875" style="8" bestFit="1" customWidth="1"/>
    <col min="15617" max="15617" width="11" style="8"/>
    <col min="15618" max="15618" width="12.19921875" style="8" bestFit="1" customWidth="1"/>
    <col min="15619" max="15622" width="11" style="8"/>
    <col min="15623" max="15623" width="11.19921875" style="8" bestFit="1" customWidth="1"/>
    <col min="15624" max="15624" width="12.19921875" style="8" bestFit="1" customWidth="1"/>
    <col min="15625" max="15625" width="11" style="8"/>
    <col min="15626" max="15626" width="12.19921875" style="8" bestFit="1" customWidth="1"/>
    <col min="15627" max="15630" width="11" style="8"/>
    <col min="15631" max="15632" width="12.19921875" style="8" bestFit="1" customWidth="1"/>
    <col min="15633" max="15633" width="11" style="8"/>
    <col min="15634" max="15634" width="12.19921875" style="8" bestFit="1" customWidth="1"/>
    <col min="15635" max="15638" width="11" style="8"/>
    <col min="15639" max="15639" width="12.19921875" style="8" bestFit="1" customWidth="1"/>
    <col min="15640" max="15640" width="13.19921875" style="8" bestFit="1" customWidth="1"/>
    <col min="15641" max="15641" width="11" style="8"/>
    <col min="15642" max="15642" width="11.19921875" style="8" bestFit="1" customWidth="1"/>
    <col min="15643" max="15646" width="11" style="8"/>
    <col min="15647" max="15648" width="13.19921875" style="8" bestFit="1" customWidth="1"/>
    <col min="15649" max="15649" width="11" style="8"/>
    <col min="15650" max="15650" width="11.19921875" style="8" bestFit="1" customWidth="1"/>
    <col min="15651" max="15654" width="11" style="8"/>
    <col min="15655" max="15655" width="13.19921875" style="8" bestFit="1" customWidth="1"/>
    <col min="15656" max="15656" width="11.19921875" style="8" bestFit="1" customWidth="1"/>
    <col min="15657" max="15657" width="11" style="8"/>
    <col min="15658" max="15658" width="11.19921875" style="8" bestFit="1" customWidth="1"/>
    <col min="15659" max="15662" width="11" style="8"/>
    <col min="15663" max="15664" width="11.19921875" style="8" bestFit="1" customWidth="1"/>
    <col min="15665" max="15665" width="11" style="8"/>
    <col min="15666" max="15666" width="12.19921875" style="8" bestFit="1" customWidth="1"/>
    <col min="15667" max="15670" width="11" style="8"/>
    <col min="15671" max="15672" width="11.19921875" style="8" bestFit="1" customWidth="1"/>
    <col min="15673" max="15673" width="11" style="8"/>
    <col min="15674" max="15674" width="12.19921875" style="8" bestFit="1" customWidth="1"/>
    <col min="15675" max="15678" width="11" style="8"/>
    <col min="15679" max="15679" width="11.19921875" style="8" bestFit="1" customWidth="1"/>
    <col min="15680" max="15680" width="12.19921875" style="8" bestFit="1" customWidth="1"/>
    <col min="15681" max="15681" width="11" style="8"/>
    <col min="15682" max="15682" width="12.19921875" style="8" bestFit="1" customWidth="1"/>
    <col min="15683" max="15686" width="11" style="8"/>
    <col min="15687" max="15688" width="12.19921875" style="8" bestFit="1" customWidth="1"/>
    <col min="15689" max="15689" width="11" style="8"/>
    <col min="15690" max="15690" width="12.19921875" style="8" bestFit="1" customWidth="1"/>
    <col min="15691" max="15694" width="11" style="8"/>
    <col min="15695" max="15695" width="12.19921875" style="8" bestFit="1" customWidth="1"/>
    <col min="15696" max="15696" width="13.19921875" style="8" bestFit="1" customWidth="1"/>
    <col min="15697" max="15697" width="11" style="8"/>
    <col min="15698" max="15698" width="11.19921875" style="8" bestFit="1" customWidth="1"/>
    <col min="15699" max="15702" width="11" style="8"/>
    <col min="15703" max="15704" width="13.19921875" style="8" bestFit="1" customWidth="1"/>
    <col min="15705" max="15705" width="11" style="8"/>
    <col min="15706" max="15706" width="11.19921875" style="8" bestFit="1" customWidth="1"/>
    <col min="15707" max="15710" width="11" style="8"/>
    <col min="15711" max="15711" width="13.19921875" style="8" bestFit="1" customWidth="1"/>
    <col min="15712" max="15712" width="11.19921875" style="8" bestFit="1" customWidth="1"/>
    <col min="15713" max="15713" width="11" style="8"/>
    <col min="15714" max="15714" width="11.19921875" style="8" bestFit="1" customWidth="1"/>
    <col min="15715" max="15718" width="11" style="8"/>
    <col min="15719" max="15720" width="11.19921875" style="8" bestFit="1" customWidth="1"/>
    <col min="15721" max="15721" width="11" style="8"/>
    <col min="15722" max="15722" width="12.19921875" style="8" bestFit="1" customWidth="1"/>
    <col min="15723" max="15726" width="11" style="8"/>
    <col min="15727" max="15728" width="11.19921875" style="8" bestFit="1" customWidth="1"/>
    <col min="15729" max="15729" width="11" style="8"/>
    <col min="15730" max="15730" width="12.19921875" style="8" bestFit="1" customWidth="1"/>
    <col min="15731" max="15734" width="11" style="8"/>
    <col min="15735" max="15735" width="11.19921875" style="8" bestFit="1" customWidth="1"/>
    <col min="15736" max="15736" width="12.19921875" style="8" bestFit="1" customWidth="1"/>
    <col min="15737" max="15737" width="11" style="8"/>
    <col min="15738" max="15738" width="12.19921875" style="8" bestFit="1" customWidth="1"/>
    <col min="15739" max="15742" width="11" style="8"/>
    <col min="15743" max="15744" width="12.19921875" style="8" bestFit="1" customWidth="1"/>
    <col min="15745" max="15745" width="11" style="8"/>
    <col min="15746" max="15746" width="12.19921875" style="8" bestFit="1" customWidth="1"/>
    <col min="15747" max="15750" width="11" style="8"/>
    <col min="15751" max="15751" width="12.19921875" style="8" bestFit="1" customWidth="1"/>
    <col min="15752" max="15752" width="13.19921875" style="8" bestFit="1" customWidth="1"/>
    <col min="15753" max="15753" width="11" style="8"/>
    <col min="15754" max="15754" width="11.19921875" style="8" bestFit="1" customWidth="1"/>
    <col min="15755" max="15758" width="11" style="8"/>
    <col min="15759" max="15760" width="13.19921875" style="8" bestFit="1" customWidth="1"/>
    <col min="15761" max="15761" width="11" style="8"/>
    <col min="15762" max="15762" width="11.19921875" style="8" bestFit="1" customWidth="1"/>
    <col min="15763" max="15766" width="11" style="8"/>
    <col min="15767" max="15767" width="13.19921875" style="8" bestFit="1" customWidth="1"/>
    <col min="15768" max="15768" width="11.19921875" style="8" bestFit="1" customWidth="1"/>
    <col min="15769" max="15769" width="11" style="8"/>
    <col min="15770" max="15770" width="11.19921875" style="8" bestFit="1" customWidth="1"/>
    <col min="15771" max="15774" width="11" style="8"/>
    <col min="15775" max="15776" width="11.19921875" style="8" bestFit="1" customWidth="1"/>
    <col min="15777" max="15777" width="11" style="8"/>
    <col min="15778" max="15778" width="12.19921875" style="8" bestFit="1" customWidth="1"/>
    <col min="15779" max="15782" width="11" style="8"/>
    <col min="15783" max="15784" width="11.19921875" style="8" bestFit="1" customWidth="1"/>
    <col min="15785" max="15785" width="11" style="8"/>
    <col min="15786" max="15786" width="12.19921875" style="8" bestFit="1" customWidth="1"/>
    <col min="15787" max="15790" width="11" style="8"/>
    <col min="15791" max="15791" width="11.19921875" style="8" bestFit="1" customWidth="1"/>
    <col min="15792" max="15792" width="12.19921875" style="8" bestFit="1" customWidth="1"/>
    <col min="15793" max="15793" width="11" style="8"/>
    <col min="15794" max="15794" width="12.19921875" style="8" bestFit="1" customWidth="1"/>
    <col min="15795" max="15798" width="11" style="8"/>
    <col min="15799" max="15800" width="12.19921875" style="8" bestFit="1" customWidth="1"/>
    <col min="15801" max="15801" width="11" style="8"/>
    <col min="15802" max="15802" width="12.19921875" style="8" bestFit="1" customWidth="1"/>
    <col min="15803" max="15806" width="11" style="8"/>
    <col min="15807" max="15807" width="12.19921875" style="8" bestFit="1" customWidth="1"/>
    <col min="15808" max="15808" width="13.19921875" style="8" bestFit="1" customWidth="1"/>
    <col min="15809" max="15809" width="11" style="8"/>
    <col min="15810" max="15810" width="11.19921875" style="8" bestFit="1" customWidth="1"/>
    <col min="15811" max="15814" width="11" style="8"/>
    <col min="15815" max="15816" width="13.19921875" style="8" bestFit="1" customWidth="1"/>
    <col min="15817" max="15817" width="11" style="8"/>
    <col min="15818" max="15818" width="11.19921875" style="8" bestFit="1" customWidth="1"/>
    <col min="15819" max="15822" width="11" style="8"/>
    <col min="15823" max="15823" width="13.19921875" style="8" bestFit="1" customWidth="1"/>
    <col min="15824" max="15824" width="11.19921875" style="8" bestFit="1" customWidth="1"/>
    <col min="15825" max="15825" width="11" style="8"/>
    <col min="15826" max="15826" width="11.19921875" style="8" bestFit="1" customWidth="1"/>
    <col min="15827" max="15830" width="11" style="8"/>
    <col min="15831" max="15832" width="11.19921875" style="8" bestFit="1" customWidth="1"/>
    <col min="15833" max="15833" width="11" style="8"/>
    <col min="15834" max="15834" width="12.19921875" style="8" bestFit="1" customWidth="1"/>
    <col min="15835" max="15838" width="11" style="8"/>
    <col min="15839" max="15840" width="11.19921875" style="8" bestFit="1" customWidth="1"/>
    <col min="15841" max="15841" width="11" style="8"/>
    <col min="15842" max="15842" width="12.19921875" style="8" bestFit="1" customWidth="1"/>
    <col min="15843" max="15846" width="11" style="8"/>
    <col min="15847" max="15847" width="11.19921875" style="8" bestFit="1" customWidth="1"/>
    <col min="15848" max="15848" width="12.19921875" style="8" bestFit="1" customWidth="1"/>
    <col min="15849" max="15849" width="11" style="8"/>
    <col min="15850" max="15850" width="12.19921875" style="8" bestFit="1" customWidth="1"/>
    <col min="15851" max="15854" width="11" style="8"/>
    <col min="15855" max="15856" width="12.19921875" style="8" bestFit="1" customWidth="1"/>
    <col min="15857" max="15857" width="11" style="8"/>
    <col min="15858" max="15858" width="12.19921875" style="8" bestFit="1" customWidth="1"/>
    <col min="15859" max="15862" width="11" style="8"/>
    <col min="15863" max="15863" width="12.19921875" style="8" bestFit="1" customWidth="1"/>
    <col min="15864" max="15864" width="13.19921875" style="8" bestFit="1" customWidth="1"/>
    <col min="15865" max="15865" width="11" style="8"/>
    <col min="15866" max="15866" width="11.19921875" style="8" bestFit="1" customWidth="1"/>
    <col min="15867" max="15870" width="11" style="8"/>
    <col min="15871" max="15872" width="13.19921875" style="8" bestFit="1" customWidth="1"/>
    <col min="15873" max="15873" width="11" style="8"/>
    <col min="15874" max="15874" width="11.19921875" style="8" bestFit="1" customWidth="1"/>
    <col min="15875" max="15878" width="11" style="8"/>
    <col min="15879" max="15879" width="13.19921875" style="8" bestFit="1" customWidth="1"/>
    <col min="15880" max="15880" width="11.19921875" style="8" bestFit="1" customWidth="1"/>
    <col min="15881" max="15881" width="11" style="8"/>
    <col min="15882" max="15882" width="11.19921875" style="8" bestFit="1" customWidth="1"/>
    <col min="15883" max="15886" width="11" style="8"/>
    <col min="15887" max="15888" width="11.19921875" style="8" bestFit="1" customWidth="1"/>
    <col min="15889" max="15889" width="11" style="8"/>
    <col min="15890" max="15890" width="12.19921875" style="8" bestFit="1" customWidth="1"/>
    <col min="15891" max="15894" width="11" style="8"/>
    <col min="15895" max="15896" width="11.19921875" style="8" bestFit="1" customWidth="1"/>
    <col min="15897" max="15897" width="11" style="8"/>
    <col min="15898" max="15898" width="12.19921875" style="8" bestFit="1" customWidth="1"/>
    <col min="15899" max="15902" width="11" style="8"/>
    <col min="15903" max="15903" width="11.19921875" style="8" bestFit="1" customWidth="1"/>
    <col min="15904" max="15904" width="12.19921875" style="8" bestFit="1" customWidth="1"/>
    <col min="15905" max="15905" width="11" style="8"/>
    <col min="15906" max="15906" width="12.19921875" style="8" bestFit="1" customWidth="1"/>
    <col min="15907" max="15910" width="11" style="8"/>
    <col min="15911" max="15912" width="12.19921875" style="8" bestFit="1" customWidth="1"/>
    <col min="15913" max="15913" width="11" style="8"/>
    <col min="15914" max="15914" width="12.19921875" style="8" bestFit="1" customWidth="1"/>
    <col min="15915" max="15918" width="11" style="8"/>
    <col min="15919" max="15919" width="12.19921875" style="8" bestFit="1" customWidth="1"/>
    <col min="15920" max="15920" width="13.19921875" style="8" bestFit="1" customWidth="1"/>
    <col min="15921" max="15921" width="11" style="8"/>
    <col min="15922" max="15922" width="11.19921875" style="8" bestFit="1" customWidth="1"/>
    <col min="15923" max="15926" width="11" style="8"/>
    <col min="15927" max="15928" width="13.19921875" style="8" bestFit="1" customWidth="1"/>
    <col min="15929" max="15929" width="11" style="8"/>
    <col min="15930" max="15930" width="11.19921875" style="8" bestFit="1" customWidth="1"/>
    <col min="15931" max="15934" width="11" style="8"/>
    <col min="15935" max="15935" width="13.19921875" style="8" bestFit="1" customWidth="1"/>
    <col min="15936" max="15936" width="11.19921875" style="8" bestFit="1" customWidth="1"/>
    <col min="15937" max="15937" width="11" style="8"/>
    <col min="15938" max="15938" width="11.19921875" style="8" bestFit="1" customWidth="1"/>
    <col min="15939" max="15942" width="11" style="8"/>
    <col min="15943" max="15944" width="11.19921875" style="8" bestFit="1" customWidth="1"/>
    <col min="15945" max="15945" width="11" style="8"/>
    <col min="15946" max="15946" width="12.19921875" style="8" bestFit="1" customWidth="1"/>
    <col min="15947" max="15950" width="11" style="8"/>
    <col min="15951" max="15952" width="11.19921875" style="8" bestFit="1" customWidth="1"/>
    <col min="15953" max="15953" width="11" style="8"/>
    <col min="15954" max="15954" width="12.19921875" style="8" bestFit="1" customWidth="1"/>
    <col min="15955" max="15958" width="11" style="8"/>
    <col min="15959" max="15959" width="11.19921875" style="8" bestFit="1" customWidth="1"/>
    <col min="15960" max="15960" width="12.19921875" style="8" bestFit="1" customWidth="1"/>
    <col min="15961" max="15961" width="11" style="8"/>
    <col min="15962" max="15962" width="12.19921875" style="8" bestFit="1" customWidth="1"/>
    <col min="15963" max="15966" width="11" style="8"/>
    <col min="15967" max="15968" width="12.19921875" style="8" bestFit="1" customWidth="1"/>
    <col min="15969" max="15969" width="11" style="8"/>
    <col min="15970" max="15970" width="12.19921875" style="8" bestFit="1" customWidth="1"/>
    <col min="15971" max="15974" width="11" style="8"/>
    <col min="15975" max="15975" width="12.19921875" style="8" bestFit="1" customWidth="1"/>
    <col min="15976" max="15976" width="13.19921875" style="8" bestFit="1" customWidth="1"/>
    <col min="15977" max="15977" width="11" style="8"/>
    <col min="15978" max="15978" width="11.19921875" style="8" bestFit="1" customWidth="1"/>
    <col min="15979" max="15982" width="11" style="8"/>
    <col min="15983" max="15984" width="13.19921875" style="8" bestFit="1" customWidth="1"/>
    <col min="15985" max="15985" width="11" style="8"/>
    <col min="15986" max="15986" width="11.19921875" style="8" bestFit="1" customWidth="1"/>
    <col min="15987" max="15990" width="11" style="8"/>
    <col min="15991" max="15991" width="13.19921875" style="8" bestFit="1" customWidth="1"/>
    <col min="15992" max="15992" width="11.19921875" style="8" bestFit="1" customWidth="1"/>
    <col min="15993" max="15993" width="11" style="8"/>
    <col min="15994" max="15994" width="11.19921875" style="8" bestFit="1" customWidth="1"/>
    <col min="15995" max="15998" width="11" style="8"/>
    <col min="15999" max="16000" width="11.19921875" style="8" bestFit="1" customWidth="1"/>
    <col min="16001" max="16001" width="11" style="8"/>
    <col min="16002" max="16002" width="12.19921875" style="8" bestFit="1" customWidth="1"/>
    <col min="16003" max="16006" width="11" style="8"/>
    <col min="16007" max="16008" width="11.19921875" style="8" bestFit="1" customWidth="1"/>
    <col min="16009" max="16009" width="11" style="8"/>
    <col min="16010" max="16010" width="12.19921875" style="8" bestFit="1" customWidth="1"/>
    <col min="16011" max="16014" width="11" style="8"/>
    <col min="16015" max="16015" width="11.19921875" style="8" bestFit="1" customWidth="1"/>
    <col min="16016" max="16016" width="12.19921875" style="8" bestFit="1" customWidth="1"/>
    <col min="16017" max="16017" width="11" style="8"/>
    <col min="16018" max="16018" width="12.19921875" style="8" bestFit="1" customWidth="1"/>
    <col min="16019" max="16022" width="11" style="8"/>
    <col min="16023" max="16024" width="12.19921875" style="8" bestFit="1" customWidth="1"/>
    <col min="16025" max="16025" width="11" style="8"/>
    <col min="16026" max="16026" width="12.19921875" style="8" bestFit="1" customWidth="1"/>
    <col min="16027" max="16030" width="11" style="8"/>
    <col min="16031" max="16031" width="12.19921875" style="8" bestFit="1" customWidth="1"/>
    <col min="16032" max="16032" width="13.19921875" style="8" bestFit="1" customWidth="1"/>
    <col min="16033" max="16033" width="11" style="8"/>
    <col min="16034" max="16034" width="11.19921875" style="8" bestFit="1" customWidth="1"/>
    <col min="16035" max="16038" width="11" style="8"/>
    <col min="16039" max="16040" width="13.19921875" style="8" bestFit="1" customWidth="1"/>
    <col min="16041" max="16041" width="11" style="8"/>
    <col min="16042" max="16042" width="11.19921875" style="8" bestFit="1" customWidth="1"/>
    <col min="16043" max="16046" width="11" style="8"/>
    <col min="16047" max="16047" width="13.19921875" style="8" bestFit="1" customWidth="1"/>
    <col min="16048" max="16048" width="11.19921875" style="8" bestFit="1" customWidth="1"/>
    <col min="16049" max="16049" width="11" style="8"/>
    <col min="16050" max="16050" width="11.19921875" style="8" bestFit="1" customWidth="1"/>
    <col min="16051" max="16054" width="11" style="8"/>
    <col min="16055" max="16056" width="11.19921875" style="8" bestFit="1" customWidth="1"/>
    <col min="16057" max="16057" width="11" style="8"/>
    <col min="16058" max="16058" width="12.19921875" style="8" bestFit="1" customWidth="1"/>
    <col min="16059" max="16062" width="11" style="8"/>
    <col min="16063" max="16064" width="11.19921875" style="8" bestFit="1" customWidth="1"/>
    <col min="16065" max="16065" width="11" style="8"/>
    <col min="16066" max="16066" width="12.19921875" style="8" bestFit="1" customWidth="1"/>
    <col min="16067" max="16070" width="11" style="8"/>
    <col min="16071" max="16071" width="11.19921875" style="8" bestFit="1" customWidth="1"/>
    <col min="16072" max="16072" width="12.19921875" style="8" bestFit="1" customWidth="1"/>
    <col min="16073" max="16073" width="11" style="8"/>
    <col min="16074" max="16074" width="12.19921875" style="8" bestFit="1" customWidth="1"/>
    <col min="16075" max="16078" width="11" style="8"/>
    <col min="16079" max="16080" width="12.19921875" style="8" bestFit="1" customWidth="1"/>
    <col min="16081" max="16081" width="11" style="8"/>
    <col min="16082" max="16082" width="12.19921875" style="8" bestFit="1" customWidth="1"/>
    <col min="16083" max="16086" width="11" style="8"/>
    <col min="16087" max="16087" width="12.19921875" style="8" bestFit="1" customWidth="1"/>
    <col min="16088" max="16088" width="13.19921875" style="8" bestFit="1" customWidth="1"/>
    <col min="16089" max="16089" width="11" style="8"/>
    <col min="16090" max="16090" width="11.19921875" style="8" bestFit="1" customWidth="1"/>
    <col min="16091" max="16094" width="11" style="8"/>
    <col min="16095" max="16096" width="13.19921875" style="8" bestFit="1" customWidth="1"/>
    <col min="16097" max="16097" width="11" style="8"/>
    <col min="16098" max="16098" width="11.19921875" style="8" bestFit="1" customWidth="1"/>
    <col min="16099" max="16102" width="11" style="8"/>
    <col min="16103" max="16103" width="13.19921875" style="8" bestFit="1" customWidth="1"/>
    <col min="16104" max="16104" width="11.19921875" style="8" bestFit="1" customWidth="1"/>
    <col min="16105" max="16105" width="11" style="8"/>
    <col min="16106" max="16106" width="11.19921875" style="8" bestFit="1" customWidth="1"/>
    <col min="16107" max="16110" width="11" style="8"/>
    <col min="16111" max="16112" width="11.19921875" style="8" bestFit="1" customWidth="1"/>
    <col min="16113" max="16113" width="11" style="8"/>
    <col min="16114" max="16114" width="12.19921875" style="8" bestFit="1" customWidth="1"/>
    <col min="16115" max="16118" width="11" style="8"/>
    <col min="16119" max="16120" width="11.19921875" style="8" bestFit="1" customWidth="1"/>
    <col min="16121" max="16121" width="11" style="8"/>
    <col min="16122" max="16122" width="12.19921875" style="8" bestFit="1" customWidth="1"/>
    <col min="16123" max="16126" width="11" style="8"/>
    <col min="16127" max="16127" width="11.19921875" style="8" bestFit="1" customWidth="1"/>
    <col min="16128" max="16128" width="12.19921875" style="8" bestFit="1" customWidth="1"/>
    <col min="16129" max="16129" width="11" style="8"/>
    <col min="16130" max="16130" width="12.19921875" style="8" bestFit="1" customWidth="1"/>
    <col min="16131" max="16134" width="11" style="8"/>
    <col min="16135" max="16136" width="12.19921875" style="8" bestFit="1" customWidth="1"/>
    <col min="16137" max="16137" width="11" style="8"/>
    <col min="16138" max="16138" width="12.19921875" style="8" bestFit="1" customWidth="1"/>
    <col min="16139" max="16142" width="11" style="8"/>
    <col min="16143" max="16143" width="12.19921875" style="8" bestFit="1" customWidth="1"/>
    <col min="16144" max="16144" width="13.19921875" style="8" bestFit="1" customWidth="1"/>
    <col min="16145" max="16145" width="11" style="8"/>
    <col min="16146" max="16146" width="11.19921875" style="8" bestFit="1" customWidth="1"/>
    <col min="16147" max="16150" width="11" style="8"/>
    <col min="16151" max="16152" width="13.19921875" style="8" bestFit="1" customWidth="1"/>
    <col min="16153" max="16153" width="11" style="8"/>
    <col min="16154" max="16154" width="11.19921875" style="8" bestFit="1" customWidth="1"/>
    <col min="16155" max="16158" width="11" style="8"/>
    <col min="16159" max="16159" width="13.19921875" style="8" bestFit="1" customWidth="1"/>
    <col min="16160" max="16160" width="11.19921875" style="8" bestFit="1" customWidth="1"/>
    <col min="16161" max="16161" width="11" style="8"/>
    <col min="16162" max="16162" width="11.19921875" style="8" bestFit="1" customWidth="1"/>
    <col min="16163" max="16166" width="11" style="8"/>
    <col min="16167" max="16168" width="11.19921875" style="8" bestFit="1" customWidth="1"/>
    <col min="16169" max="16169" width="11" style="8"/>
    <col min="16170" max="16170" width="12.19921875" style="8" bestFit="1" customWidth="1"/>
    <col min="16171" max="16174" width="11" style="8"/>
    <col min="16175" max="16176" width="11.19921875" style="8" bestFit="1" customWidth="1"/>
    <col min="16177" max="16177" width="11" style="8"/>
    <col min="16178" max="16178" width="12.19921875" style="8" bestFit="1" customWidth="1"/>
    <col min="16179" max="16182" width="11" style="8"/>
    <col min="16183" max="16183" width="11.19921875" style="8" bestFit="1" customWidth="1"/>
    <col min="16184" max="16184" width="12.19921875" style="8" bestFit="1" customWidth="1"/>
    <col min="16185" max="16185" width="11" style="8"/>
    <col min="16186" max="16186" width="12.19921875" style="8" bestFit="1" customWidth="1"/>
    <col min="16187" max="16190" width="11" style="8"/>
    <col min="16191" max="16192" width="12.19921875" style="8" bestFit="1" customWidth="1"/>
    <col min="16193" max="16193" width="11" style="8"/>
    <col min="16194" max="16194" width="12.19921875" style="8" bestFit="1" customWidth="1"/>
    <col min="16195" max="16198" width="11" style="8"/>
    <col min="16199" max="16199" width="12.19921875" style="8" bestFit="1" customWidth="1"/>
    <col min="16200" max="16200" width="13.19921875" style="8" bestFit="1" customWidth="1"/>
    <col min="16201" max="16201" width="11" style="8"/>
    <col min="16202" max="16202" width="11.19921875" style="8" bestFit="1" customWidth="1"/>
    <col min="16203" max="16206" width="11" style="8"/>
    <col min="16207" max="16208" width="13.19921875" style="8" bestFit="1" customWidth="1"/>
    <col min="16209" max="16209" width="11" style="8"/>
    <col min="16210" max="16210" width="11.19921875" style="8" bestFit="1" customWidth="1"/>
    <col min="16211" max="16214" width="11" style="8"/>
    <col min="16215" max="16215" width="13.19921875" style="8" bestFit="1" customWidth="1"/>
    <col min="16216" max="16216" width="11.19921875" style="8" bestFit="1" customWidth="1"/>
    <col min="16217" max="16217" width="11" style="8"/>
    <col min="16218" max="16218" width="11.19921875" style="8" bestFit="1" customWidth="1"/>
    <col min="16219" max="16222" width="11" style="8"/>
    <col min="16223" max="16224" width="11.19921875" style="8" bestFit="1" customWidth="1"/>
    <col min="16225" max="16225" width="11" style="8"/>
    <col min="16226" max="16226" width="12.19921875" style="8" bestFit="1" customWidth="1"/>
    <col min="16227" max="16230" width="11" style="8"/>
    <col min="16231" max="16232" width="11.19921875" style="8" bestFit="1" customWidth="1"/>
    <col min="16233" max="16233" width="11" style="8"/>
    <col min="16234" max="16234" width="12.19921875" style="8" bestFit="1" customWidth="1"/>
    <col min="16235" max="16238" width="11" style="8"/>
    <col min="16239" max="16239" width="11.19921875" style="8" bestFit="1" customWidth="1"/>
    <col min="16240" max="16240" width="12.19921875" style="8" bestFit="1" customWidth="1"/>
    <col min="16241" max="16241" width="11" style="8"/>
    <col min="16242" max="16242" width="12.19921875" style="8" bestFit="1" customWidth="1"/>
    <col min="16243" max="16246" width="11" style="8"/>
    <col min="16247" max="16248" width="12.19921875" style="8" bestFit="1" customWidth="1"/>
    <col min="16249" max="16249" width="11" style="8"/>
    <col min="16250" max="16250" width="12.19921875" style="8" bestFit="1" customWidth="1"/>
    <col min="16251" max="16254" width="11" style="8"/>
    <col min="16255" max="16255" width="12.19921875" style="8" bestFit="1" customWidth="1"/>
    <col min="16256" max="16256" width="13.19921875" style="8" bestFit="1" customWidth="1"/>
    <col min="16257" max="16257" width="11" style="8"/>
    <col min="16258" max="16258" width="11.19921875" style="8" bestFit="1" customWidth="1"/>
    <col min="16259" max="16262" width="11" style="8"/>
    <col min="16263" max="16264" width="13.19921875" style="8" bestFit="1" customWidth="1"/>
    <col min="16265" max="16265" width="11" style="8"/>
    <col min="16266" max="16266" width="11.19921875" style="8" bestFit="1" customWidth="1"/>
    <col min="16267" max="16270" width="11" style="8"/>
    <col min="16271" max="16271" width="13.19921875" style="8" bestFit="1" customWidth="1"/>
    <col min="16272" max="16272" width="11.19921875" style="8" bestFit="1" customWidth="1"/>
    <col min="16273" max="16273" width="11" style="8"/>
    <col min="16274" max="16274" width="11.19921875" style="8" bestFit="1" customWidth="1"/>
    <col min="16275" max="16278" width="11" style="8"/>
    <col min="16279" max="16280" width="11.19921875" style="8" bestFit="1" customWidth="1"/>
    <col min="16281" max="16281" width="11" style="8"/>
    <col min="16282" max="16282" width="12.19921875" style="8" bestFit="1" customWidth="1"/>
    <col min="16283" max="16286" width="11" style="8"/>
    <col min="16287" max="16288" width="11.19921875" style="8" bestFit="1" customWidth="1"/>
    <col min="16289" max="16289" width="11" style="8"/>
    <col min="16290" max="16290" width="12.19921875" style="8" bestFit="1" customWidth="1"/>
    <col min="16291" max="16294" width="11" style="8"/>
    <col min="16295" max="16295" width="11.19921875" style="8" bestFit="1" customWidth="1"/>
    <col min="16296" max="16296" width="12.19921875" style="8" bestFit="1" customWidth="1"/>
    <col min="16297" max="16297" width="11" style="8"/>
    <col min="16298" max="16298" width="12.19921875" style="8" bestFit="1" customWidth="1"/>
    <col min="16299" max="16302" width="11" style="8"/>
    <col min="16303" max="16304" width="12.19921875" style="8" bestFit="1" customWidth="1"/>
    <col min="16305" max="16305" width="11" style="8"/>
    <col min="16306" max="16306" width="12.19921875" style="8" bestFit="1" customWidth="1"/>
    <col min="16307" max="16310" width="11" style="8"/>
    <col min="16311" max="16311" width="12.19921875" style="8" bestFit="1" customWidth="1"/>
    <col min="16312" max="16312" width="13.19921875" style="8" bestFit="1" customWidth="1"/>
    <col min="16313" max="16313" width="11" style="8"/>
    <col min="16314" max="16314" width="11.19921875" style="8" bestFit="1" customWidth="1"/>
    <col min="16315" max="16318" width="11" style="8"/>
    <col min="16319" max="16320" width="13.19921875" style="8" bestFit="1" customWidth="1"/>
    <col min="16321" max="16321" width="11" style="8"/>
    <col min="16322" max="16322" width="11.19921875" style="8" bestFit="1" customWidth="1"/>
    <col min="16323" max="16326" width="11" style="8"/>
    <col min="16327" max="16327" width="13.19921875" style="8" bestFit="1" customWidth="1"/>
    <col min="16328" max="16328" width="11.19921875" style="8" bestFit="1" customWidth="1"/>
    <col min="16329" max="16329" width="11" style="8"/>
    <col min="16330" max="16330" width="11.19921875" style="8" bestFit="1" customWidth="1"/>
    <col min="16331" max="16334" width="11" style="8"/>
    <col min="16335" max="16336" width="11.19921875" style="8" bestFit="1" customWidth="1"/>
    <col min="16337" max="16337" width="11" style="8"/>
    <col min="16338" max="16338" width="12.19921875" style="8" bestFit="1" customWidth="1"/>
    <col min="16339" max="16342" width="11" style="8"/>
    <col min="16343" max="16344" width="11.19921875" style="8" bestFit="1" customWidth="1"/>
    <col min="16345" max="16345" width="11" style="8"/>
    <col min="16346" max="16346" width="12.19921875" style="8" bestFit="1" customWidth="1"/>
    <col min="16347" max="16350" width="11" style="8"/>
    <col min="16351" max="16351" width="11.19921875" style="8" bestFit="1" customWidth="1"/>
    <col min="16352" max="16352" width="12.19921875" style="8" bestFit="1" customWidth="1"/>
    <col min="16353" max="16353" width="11" style="8"/>
    <col min="16354" max="16354" width="12.19921875" style="8" bestFit="1" customWidth="1"/>
    <col min="16355" max="16358" width="11" style="8"/>
    <col min="16359" max="16360" width="12.19921875" style="8" bestFit="1" customWidth="1"/>
    <col min="16361" max="16361" width="11" style="8"/>
    <col min="16362" max="16362" width="12.19921875" style="8" bestFit="1" customWidth="1"/>
    <col min="16363" max="16366" width="11" style="8"/>
    <col min="16367" max="16367" width="12.19921875" style="8" bestFit="1" customWidth="1"/>
    <col min="16368" max="16368" width="13.19921875" style="8" bestFit="1" customWidth="1"/>
    <col min="16369" max="16369" width="11" style="8"/>
    <col min="16370" max="16370" width="11.19921875" style="8" bestFit="1" customWidth="1"/>
    <col min="16371" max="16374" width="11" style="8"/>
    <col min="16375" max="16376" width="13.19921875" style="8" bestFit="1" customWidth="1"/>
    <col min="16377" max="16377" width="11" style="8"/>
    <col min="16378" max="16378" width="11.19921875" style="8" bestFit="1" customWidth="1"/>
    <col min="16379" max="16382" width="11" style="8"/>
    <col min="16383" max="16384" width="11" style="8" customWidth="1"/>
  </cols>
  <sheetData>
    <row r="1" spans="1:10" s="42" customFormat="1" x14ac:dyDescent="0.2">
      <c r="A1" s="420" t="s">
        <v>18</v>
      </c>
      <c r="B1" s="420" t="s">
        <v>21</v>
      </c>
      <c r="C1" s="420" t="s">
        <v>14</v>
      </c>
      <c r="D1" s="420" t="s">
        <v>25</v>
      </c>
      <c r="E1" s="420" t="s">
        <v>26</v>
      </c>
      <c r="F1" s="420" t="s">
        <v>22</v>
      </c>
      <c r="G1" s="420" t="s">
        <v>24</v>
      </c>
      <c r="H1" s="420" t="s">
        <v>36</v>
      </c>
      <c r="I1" s="420" t="s">
        <v>369</v>
      </c>
      <c r="J1" s="420" t="s">
        <v>370</v>
      </c>
    </row>
    <row r="2" spans="1:10" x14ac:dyDescent="0.2">
      <c r="A2" s="50">
        <f t="shared" ref="A2:A3" si="0">MONTH(C2)</f>
        <v>6</v>
      </c>
      <c r="B2" s="51">
        <v>46211</v>
      </c>
      <c r="C2" s="51">
        <v>46203</v>
      </c>
      <c r="D2" s="66"/>
      <c r="E2" s="66">
        <v>125.2</v>
      </c>
      <c r="F2" s="8" t="s">
        <v>793</v>
      </c>
      <c r="G2" s="8" t="s">
        <v>794</v>
      </c>
      <c r="H2" s="8" t="s">
        <v>144</v>
      </c>
      <c r="I2" s="318"/>
      <c r="J2" s="318"/>
    </row>
    <row r="3" spans="1:10" x14ac:dyDescent="0.2">
      <c r="A3" s="50">
        <f t="shared" si="0"/>
        <v>6</v>
      </c>
      <c r="B3" s="51">
        <v>46211</v>
      </c>
      <c r="C3" s="51">
        <v>46203</v>
      </c>
      <c r="D3" s="66"/>
      <c r="E3" s="66">
        <v>407.5</v>
      </c>
      <c r="F3" s="8" t="s">
        <v>793</v>
      </c>
      <c r="G3" s="8" t="s">
        <v>795</v>
      </c>
      <c r="H3" s="8" t="s">
        <v>144</v>
      </c>
      <c r="I3" s="318"/>
      <c r="J3" s="318"/>
    </row>
    <row r="4" spans="1:10" x14ac:dyDescent="0.2">
      <c r="A4" s="50">
        <f t="shared" ref="A4:A9" si="1">MONTH(C4)</f>
        <v>6</v>
      </c>
      <c r="B4" s="51">
        <v>46209</v>
      </c>
      <c r="C4" s="51">
        <v>46203</v>
      </c>
      <c r="D4" s="66">
        <v>3.95</v>
      </c>
      <c r="E4" s="66"/>
      <c r="F4" s="8" t="s">
        <v>619</v>
      </c>
      <c r="G4" s="8" t="s">
        <v>1039</v>
      </c>
      <c r="H4" s="8" t="s">
        <v>152</v>
      </c>
      <c r="I4" s="318"/>
      <c r="J4" s="318"/>
    </row>
    <row r="5" spans="1:10" x14ac:dyDescent="0.2">
      <c r="A5" s="50">
        <f t="shared" si="1"/>
        <v>6</v>
      </c>
      <c r="B5" s="51">
        <v>46209</v>
      </c>
      <c r="C5" s="51">
        <v>46203</v>
      </c>
      <c r="D5" s="66"/>
      <c r="E5" s="66">
        <v>3.95</v>
      </c>
      <c r="F5" s="8" t="s">
        <v>608</v>
      </c>
      <c r="G5" s="8" t="s">
        <v>1040</v>
      </c>
      <c r="H5" s="8" t="s">
        <v>152</v>
      </c>
      <c r="I5" s="318"/>
      <c r="J5" s="318"/>
    </row>
    <row r="6" spans="1:10" x14ac:dyDescent="0.2">
      <c r="A6" s="50">
        <f t="shared" si="1"/>
        <v>6</v>
      </c>
      <c r="B6" s="51">
        <v>46206</v>
      </c>
      <c r="C6" s="51">
        <v>46203</v>
      </c>
      <c r="D6" s="66">
        <v>197.83</v>
      </c>
      <c r="E6" s="66"/>
      <c r="F6" s="8" t="s">
        <v>621</v>
      </c>
      <c r="G6" s="8" t="s">
        <v>1041</v>
      </c>
      <c r="H6" s="8" t="s">
        <v>151</v>
      </c>
      <c r="I6" s="318"/>
      <c r="J6" s="318"/>
    </row>
    <row r="7" spans="1:10" x14ac:dyDescent="0.2">
      <c r="A7" s="50">
        <f t="shared" si="1"/>
        <v>6</v>
      </c>
      <c r="B7" s="51">
        <v>46206</v>
      </c>
      <c r="C7" s="51">
        <v>46203</v>
      </c>
      <c r="D7" s="66"/>
      <c r="E7" s="66">
        <v>309.08999999999997</v>
      </c>
      <c r="F7" s="8" t="s">
        <v>624</v>
      </c>
      <c r="G7" s="8" t="s">
        <v>1042</v>
      </c>
      <c r="H7" s="8" t="s">
        <v>151</v>
      </c>
      <c r="I7" s="318"/>
      <c r="J7" s="318"/>
    </row>
    <row r="8" spans="1:10" x14ac:dyDescent="0.2">
      <c r="A8" s="50">
        <f t="shared" si="1"/>
        <v>6</v>
      </c>
      <c r="B8" s="51">
        <v>46204.999490740738</v>
      </c>
      <c r="C8" s="51">
        <v>46203</v>
      </c>
      <c r="D8" s="66"/>
      <c r="E8" s="66">
        <v>364.22</v>
      </c>
      <c r="F8" s="8" t="s">
        <v>626</v>
      </c>
      <c r="G8" s="8" t="s">
        <v>1043</v>
      </c>
      <c r="H8" s="8" t="s">
        <v>151</v>
      </c>
      <c r="I8" s="318"/>
      <c r="J8" s="318"/>
    </row>
    <row r="9" spans="1:10" x14ac:dyDescent="0.2">
      <c r="A9" s="50">
        <f t="shared" si="1"/>
        <v>6</v>
      </c>
      <c r="B9" s="51">
        <v>46203</v>
      </c>
      <c r="C9" s="51">
        <v>46203</v>
      </c>
      <c r="D9" s="66"/>
      <c r="E9" s="66">
        <v>8.5299999999999994</v>
      </c>
      <c r="F9" s="8" t="s">
        <v>774</v>
      </c>
      <c r="G9" s="8" t="s">
        <v>1044</v>
      </c>
      <c r="H9" s="8" t="s">
        <v>144</v>
      </c>
      <c r="I9" s="318"/>
      <c r="J9" s="318"/>
    </row>
    <row r="10" spans="1:10" x14ac:dyDescent="0.2">
      <c r="A10" s="50">
        <f t="shared" ref="A10:A20" si="2">MONTH(C10)</f>
        <v>6</v>
      </c>
      <c r="B10" s="51">
        <v>46203</v>
      </c>
      <c r="C10" s="51">
        <v>46203</v>
      </c>
      <c r="D10" s="66"/>
      <c r="E10" s="66">
        <v>53897.38</v>
      </c>
      <c r="F10" s="8" t="s">
        <v>598</v>
      </c>
      <c r="G10" s="8" t="s">
        <v>1005</v>
      </c>
      <c r="H10" s="8" t="s">
        <v>236</v>
      </c>
      <c r="I10" s="318"/>
      <c r="J10" s="318"/>
    </row>
    <row r="11" spans="1:10" x14ac:dyDescent="0.2">
      <c r="A11" s="50">
        <f t="shared" si="2"/>
        <v>6</v>
      </c>
      <c r="B11" s="51">
        <v>46203</v>
      </c>
      <c r="C11" s="51">
        <v>46203</v>
      </c>
      <c r="D11" s="66">
        <v>53897.38</v>
      </c>
      <c r="E11" s="66"/>
      <c r="F11" s="8" t="s">
        <v>807</v>
      </c>
      <c r="G11" s="8" t="s">
        <v>1004</v>
      </c>
      <c r="H11" s="8" t="s">
        <v>106</v>
      </c>
      <c r="I11" s="318"/>
      <c r="J11" s="318"/>
    </row>
    <row r="12" spans="1:10" x14ac:dyDescent="0.2">
      <c r="A12" s="50">
        <f t="shared" si="2"/>
        <v>6</v>
      </c>
      <c r="B12" s="51">
        <v>46203</v>
      </c>
      <c r="C12" s="51">
        <v>46202</v>
      </c>
      <c r="D12" s="66">
        <v>222.1</v>
      </c>
      <c r="E12" s="66"/>
      <c r="F12" s="8" t="s">
        <v>1049</v>
      </c>
      <c r="G12" s="8" t="s">
        <v>1050</v>
      </c>
      <c r="H12" s="8" t="s">
        <v>106</v>
      </c>
      <c r="I12" s="318"/>
      <c r="J12" s="318"/>
    </row>
    <row r="13" spans="1:10" x14ac:dyDescent="0.2">
      <c r="A13" s="50">
        <f t="shared" si="2"/>
        <v>6</v>
      </c>
      <c r="B13" s="51">
        <v>46197</v>
      </c>
      <c r="C13" s="51">
        <v>46197</v>
      </c>
      <c r="D13" s="66"/>
      <c r="E13" s="66">
        <v>2188.6799999999998</v>
      </c>
      <c r="F13" s="8" t="s">
        <v>575</v>
      </c>
      <c r="G13" s="8" t="s">
        <v>988</v>
      </c>
      <c r="H13" s="8" t="s">
        <v>926</v>
      </c>
      <c r="I13" s="318"/>
      <c r="J13" s="318"/>
    </row>
    <row r="14" spans="1:10" x14ac:dyDescent="0.2">
      <c r="A14" s="50">
        <f t="shared" si="2"/>
        <v>6</v>
      </c>
      <c r="B14" s="51">
        <v>46195</v>
      </c>
      <c r="C14" s="51">
        <v>46195</v>
      </c>
      <c r="D14" s="66"/>
      <c r="E14" s="66">
        <v>100.6</v>
      </c>
      <c r="F14" s="8" t="s">
        <v>598</v>
      </c>
      <c r="G14" s="8" t="s">
        <v>989</v>
      </c>
      <c r="H14" s="8" t="s">
        <v>236</v>
      </c>
      <c r="I14" s="318"/>
      <c r="J14" s="318"/>
    </row>
    <row r="15" spans="1:10" x14ac:dyDescent="0.2">
      <c r="A15" s="50">
        <f t="shared" si="2"/>
        <v>5</v>
      </c>
      <c r="B15" s="51">
        <v>46178</v>
      </c>
      <c r="C15" s="51">
        <v>46173</v>
      </c>
      <c r="D15" s="66">
        <v>3.95</v>
      </c>
      <c r="E15" s="66"/>
      <c r="F15" s="8" t="s">
        <v>619</v>
      </c>
      <c r="G15" s="8" t="s">
        <v>943</v>
      </c>
      <c r="H15" s="8" t="s">
        <v>152</v>
      </c>
      <c r="I15" s="318"/>
      <c r="J15" s="318"/>
    </row>
    <row r="16" spans="1:10" x14ac:dyDescent="0.2">
      <c r="A16" s="50">
        <f t="shared" si="2"/>
        <v>5</v>
      </c>
      <c r="B16" s="51">
        <v>46178</v>
      </c>
      <c r="C16" s="51">
        <v>46173</v>
      </c>
      <c r="D16" s="66"/>
      <c r="E16" s="66">
        <v>3.95</v>
      </c>
      <c r="F16" s="8" t="s">
        <v>608</v>
      </c>
      <c r="G16" s="8" t="s">
        <v>944</v>
      </c>
      <c r="H16" s="8" t="s">
        <v>152</v>
      </c>
      <c r="I16" s="318"/>
      <c r="J16" s="318"/>
    </row>
    <row r="17" spans="1:10" x14ac:dyDescent="0.2">
      <c r="A17" s="50">
        <f t="shared" si="2"/>
        <v>5</v>
      </c>
      <c r="B17" s="51">
        <v>46177</v>
      </c>
      <c r="C17" s="51">
        <v>46173</v>
      </c>
      <c r="D17" s="66">
        <v>194.95</v>
      </c>
      <c r="E17" s="66"/>
      <c r="F17" s="8" t="s">
        <v>621</v>
      </c>
      <c r="G17" s="8" t="s">
        <v>945</v>
      </c>
      <c r="H17" s="8" t="s">
        <v>151</v>
      </c>
      <c r="I17" s="318"/>
      <c r="J17" s="318"/>
    </row>
    <row r="18" spans="1:10" x14ac:dyDescent="0.2">
      <c r="A18" s="50">
        <f t="shared" si="2"/>
        <v>5</v>
      </c>
      <c r="B18" s="51">
        <v>46177</v>
      </c>
      <c r="C18" s="51">
        <v>46173</v>
      </c>
      <c r="D18" s="66"/>
      <c r="E18" s="66">
        <v>299.67</v>
      </c>
      <c r="F18" s="8" t="s">
        <v>624</v>
      </c>
      <c r="G18" s="8" t="s">
        <v>946</v>
      </c>
      <c r="H18" s="8" t="s">
        <v>151</v>
      </c>
      <c r="I18" s="318"/>
      <c r="J18" s="318"/>
    </row>
    <row r="19" spans="1:10" x14ac:dyDescent="0.2">
      <c r="A19" s="50">
        <f t="shared" si="2"/>
        <v>5</v>
      </c>
      <c r="B19" s="51">
        <v>46176</v>
      </c>
      <c r="C19" s="51">
        <v>46173</v>
      </c>
      <c r="D19" s="66"/>
      <c r="E19" s="66">
        <v>354.02</v>
      </c>
      <c r="F19" s="8" t="s">
        <v>626</v>
      </c>
      <c r="G19" s="8" t="s">
        <v>947</v>
      </c>
      <c r="H19" s="8" t="s">
        <v>151</v>
      </c>
      <c r="I19" s="318"/>
      <c r="J19" s="318"/>
    </row>
    <row r="20" spans="1:10" x14ac:dyDescent="0.2">
      <c r="A20" s="50">
        <f t="shared" si="2"/>
        <v>5</v>
      </c>
      <c r="B20" s="51">
        <v>46162</v>
      </c>
      <c r="C20" s="51">
        <v>46162</v>
      </c>
      <c r="D20" s="66"/>
      <c r="E20" s="66">
        <v>100.6</v>
      </c>
      <c r="F20" s="8" t="s">
        <v>598</v>
      </c>
      <c r="G20" s="8" t="s">
        <v>948</v>
      </c>
      <c r="H20" s="8" t="s">
        <v>236</v>
      </c>
      <c r="I20" s="318"/>
      <c r="J20" s="318"/>
    </row>
    <row r="21" spans="1:10" x14ac:dyDescent="0.2">
      <c r="A21" s="50">
        <f t="shared" ref="A21:A27" si="3">MONTH(C21)</f>
        <v>4</v>
      </c>
      <c r="B21" s="51">
        <v>46155</v>
      </c>
      <c r="C21" s="51">
        <v>46142</v>
      </c>
      <c r="D21" s="66"/>
      <c r="E21" s="66">
        <v>150</v>
      </c>
      <c r="F21" s="8" t="s">
        <v>692</v>
      </c>
      <c r="G21" s="8" t="s">
        <v>908</v>
      </c>
      <c r="H21" s="8" t="s">
        <v>152</v>
      </c>
      <c r="I21" s="318"/>
      <c r="J21" s="318"/>
    </row>
    <row r="22" spans="1:10" x14ac:dyDescent="0.2">
      <c r="A22" s="50">
        <f t="shared" si="3"/>
        <v>4</v>
      </c>
      <c r="B22" s="51">
        <v>46148</v>
      </c>
      <c r="C22" s="51">
        <v>46142</v>
      </c>
      <c r="D22" s="66"/>
      <c r="E22" s="66">
        <v>328.77</v>
      </c>
      <c r="F22" s="8" t="s">
        <v>626</v>
      </c>
      <c r="G22" s="8" t="s">
        <v>866</v>
      </c>
      <c r="H22" s="8" t="s">
        <v>151</v>
      </c>
      <c r="I22" s="318"/>
      <c r="J22" s="318"/>
    </row>
    <row r="23" spans="1:10" x14ac:dyDescent="0.2">
      <c r="A23" s="50">
        <f t="shared" si="3"/>
        <v>4</v>
      </c>
      <c r="B23" s="51">
        <v>46148</v>
      </c>
      <c r="C23" s="51">
        <v>46142</v>
      </c>
      <c r="D23" s="66">
        <v>233.34</v>
      </c>
      <c r="E23" s="66"/>
      <c r="F23" s="8" t="s">
        <v>621</v>
      </c>
      <c r="G23" s="8" t="s">
        <v>867</v>
      </c>
      <c r="H23" s="8" t="s">
        <v>151</v>
      </c>
      <c r="I23" s="318"/>
      <c r="J23" s="318"/>
    </row>
    <row r="24" spans="1:10" x14ac:dyDescent="0.2">
      <c r="A24" s="50">
        <f t="shared" si="3"/>
        <v>4</v>
      </c>
      <c r="B24" s="51">
        <v>46148</v>
      </c>
      <c r="C24" s="51">
        <v>46142</v>
      </c>
      <c r="D24" s="66">
        <v>3.36</v>
      </c>
      <c r="E24" s="66"/>
      <c r="F24" s="8" t="s">
        <v>621</v>
      </c>
      <c r="G24" s="8" t="s">
        <v>868</v>
      </c>
      <c r="H24" s="8" t="s">
        <v>151</v>
      </c>
      <c r="I24" s="318"/>
      <c r="J24" s="318"/>
    </row>
    <row r="25" spans="1:10" x14ac:dyDescent="0.2">
      <c r="A25" s="50">
        <f t="shared" si="3"/>
        <v>4</v>
      </c>
      <c r="B25" s="51">
        <v>46148</v>
      </c>
      <c r="C25" s="51">
        <v>46142</v>
      </c>
      <c r="D25" s="66"/>
      <c r="E25" s="66">
        <v>366.68</v>
      </c>
      <c r="F25" s="8" t="s">
        <v>624</v>
      </c>
      <c r="G25" s="8" t="s">
        <v>869</v>
      </c>
      <c r="H25" s="8" t="s">
        <v>151</v>
      </c>
      <c r="I25" s="318"/>
      <c r="J25" s="318"/>
    </row>
    <row r="26" spans="1:10" x14ac:dyDescent="0.2">
      <c r="A26" s="50">
        <f t="shared" si="3"/>
        <v>4</v>
      </c>
      <c r="B26" s="51">
        <v>46147</v>
      </c>
      <c r="C26" s="51">
        <v>46142</v>
      </c>
      <c r="D26" s="66">
        <v>3.95</v>
      </c>
      <c r="E26" s="66"/>
      <c r="F26" s="8" t="s">
        <v>619</v>
      </c>
      <c r="G26" s="8" t="s">
        <v>870</v>
      </c>
      <c r="H26" s="8" t="s">
        <v>152</v>
      </c>
      <c r="I26" s="318"/>
      <c r="J26" s="318"/>
    </row>
    <row r="27" spans="1:10" x14ac:dyDescent="0.2">
      <c r="A27" s="50">
        <f t="shared" si="3"/>
        <v>4</v>
      </c>
      <c r="B27" s="51">
        <v>46147</v>
      </c>
      <c r="C27" s="51">
        <v>46142</v>
      </c>
      <c r="D27" s="66"/>
      <c r="E27" s="66">
        <v>3.95</v>
      </c>
      <c r="F27" s="8" t="s">
        <v>608</v>
      </c>
      <c r="G27" s="8" t="s">
        <v>871</v>
      </c>
      <c r="H27" s="8" t="s">
        <v>152</v>
      </c>
      <c r="I27" s="318"/>
      <c r="J27" s="318"/>
    </row>
    <row r="28" spans="1:10" x14ac:dyDescent="0.2">
      <c r="A28" s="50">
        <f t="shared" ref="A28:A45" si="4">MONTH(C28)</f>
        <v>4</v>
      </c>
      <c r="B28" s="51">
        <v>46139</v>
      </c>
      <c r="C28" s="51">
        <v>46140</v>
      </c>
      <c r="D28" s="66"/>
      <c r="E28" s="66">
        <v>250000</v>
      </c>
      <c r="F28" s="8" t="s">
        <v>550</v>
      </c>
      <c r="G28" s="8" t="s">
        <v>833</v>
      </c>
      <c r="H28" s="8" t="s">
        <v>45</v>
      </c>
      <c r="I28" s="318"/>
      <c r="J28" s="318"/>
    </row>
    <row r="29" spans="1:10" x14ac:dyDescent="0.2">
      <c r="A29" s="50">
        <f t="shared" si="4"/>
        <v>4</v>
      </c>
      <c r="B29" s="51">
        <v>46139</v>
      </c>
      <c r="C29" s="51">
        <v>46139</v>
      </c>
      <c r="D29" s="66"/>
      <c r="E29" s="66">
        <v>9.9499999999999993</v>
      </c>
      <c r="F29" s="8" t="s">
        <v>552</v>
      </c>
      <c r="G29" s="8" t="s">
        <v>552</v>
      </c>
      <c r="H29" s="8" t="s">
        <v>45</v>
      </c>
      <c r="I29" s="318"/>
      <c r="J29" s="318"/>
    </row>
    <row r="30" spans="1:10" x14ac:dyDescent="0.2">
      <c r="A30" s="50">
        <f t="shared" si="4"/>
        <v>4</v>
      </c>
      <c r="B30" s="51">
        <v>46135</v>
      </c>
      <c r="C30" s="51">
        <v>46135</v>
      </c>
      <c r="D30" s="66">
        <v>6000.36</v>
      </c>
      <c r="E30" s="66"/>
      <c r="F30" s="8" t="s">
        <v>807</v>
      </c>
      <c r="G30" s="8" t="s">
        <v>808</v>
      </c>
      <c r="H30" s="8" t="s">
        <v>106</v>
      </c>
      <c r="I30" s="318"/>
      <c r="J30" s="318"/>
    </row>
    <row r="31" spans="1:10" x14ac:dyDescent="0.2">
      <c r="A31" s="50">
        <f t="shared" si="4"/>
        <v>4</v>
      </c>
      <c r="B31" s="51">
        <v>46135</v>
      </c>
      <c r="C31" s="51">
        <v>46135</v>
      </c>
      <c r="D31" s="66">
        <v>9316.9500000000007</v>
      </c>
      <c r="E31" s="66"/>
      <c r="F31" s="8" t="s">
        <v>807</v>
      </c>
      <c r="G31" s="8" t="s">
        <v>809</v>
      </c>
      <c r="H31" s="8" t="s">
        <v>106</v>
      </c>
      <c r="I31" s="318"/>
      <c r="J31" s="318"/>
    </row>
    <row r="32" spans="1:10" x14ac:dyDescent="0.2">
      <c r="A32" s="50">
        <f t="shared" si="4"/>
        <v>4</v>
      </c>
      <c r="B32" s="51">
        <v>46135</v>
      </c>
      <c r="C32" s="51">
        <v>46135</v>
      </c>
      <c r="D32" s="66">
        <v>9821.52</v>
      </c>
      <c r="E32" s="66"/>
      <c r="F32" s="8" t="s">
        <v>807</v>
      </c>
      <c r="G32" s="8" t="s">
        <v>810</v>
      </c>
      <c r="H32" s="8" t="s">
        <v>106</v>
      </c>
      <c r="I32" s="318"/>
      <c r="J32" s="318"/>
    </row>
    <row r="33" spans="1:10" x14ac:dyDescent="0.2">
      <c r="A33" s="50">
        <f t="shared" si="4"/>
        <v>4</v>
      </c>
      <c r="B33" s="51">
        <v>46135</v>
      </c>
      <c r="C33" s="51">
        <v>46135</v>
      </c>
      <c r="D33" s="66">
        <v>60424.07</v>
      </c>
      <c r="E33" s="66"/>
      <c r="F33" s="8" t="s">
        <v>807</v>
      </c>
      <c r="G33" s="8" t="s">
        <v>811</v>
      </c>
      <c r="H33" s="8" t="s">
        <v>106</v>
      </c>
      <c r="I33" s="318"/>
      <c r="J33" s="318"/>
    </row>
    <row r="34" spans="1:10" x14ac:dyDescent="0.2">
      <c r="A34" s="50">
        <f t="shared" si="4"/>
        <v>4</v>
      </c>
      <c r="B34" s="51">
        <v>46135</v>
      </c>
      <c r="C34" s="51">
        <v>46135</v>
      </c>
      <c r="D34" s="66">
        <v>19937.400000000001</v>
      </c>
      <c r="E34" s="66"/>
      <c r="F34" s="8" t="s">
        <v>807</v>
      </c>
      <c r="G34" s="8" t="s">
        <v>812</v>
      </c>
      <c r="H34" s="8" t="s">
        <v>106</v>
      </c>
      <c r="I34" s="318"/>
      <c r="J34" s="318"/>
    </row>
    <row r="35" spans="1:10" x14ac:dyDescent="0.2">
      <c r="A35" s="50">
        <f t="shared" si="4"/>
        <v>4</v>
      </c>
      <c r="B35" s="51">
        <v>46135</v>
      </c>
      <c r="C35" s="51">
        <v>46135</v>
      </c>
      <c r="D35" s="66">
        <v>12885.74</v>
      </c>
      <c r="E35" s="66"/>
      <c r="F35" s="8" t="s">
        <v>807</v>
      </c>
      <c r="G35" s="8" t="s">
        <v>813</v>
      </c>
      <c r="H35" s="8" t="s">
        <v>106</v>
      </c>
      <c r="I35" s="318"/>
      <c r="J35" s="318"/>
    </row>
    <row r="36" spans="1:10" x14ac:dyDescent="0.2">
      <c r="A36" s="50">
        <f t="shared" si="4"/>
        <v>4</v>
      </c>
      <c r="B36" s="51">
        <v>46135</v>
      </c>
      <c r="C36" s="51">
        <v>46135</v>
      </c>
      <c r="D36" s="66">
        <v>15000</v>
      </c>
      <c r="E36" s="66"/>
      <c r="F36" s="8" t="s">
        <v>601</v>
      </c>
      <c r="G36" s="8" t="s">
        <v>827</v>
      </c>
      <c r="H36" s="8" t="s">
        <v>45</v>
      </c>
      <c r="I36" s="318"/>
      <c r="J36" s="318"/>
    </row>
    <row r="37" spans="1:10" x14ac:dyDescent="0.2">
      <c r="A37" s="50">
        <f t="shared" si="4"/>
        <v>4</v>
      </c>
      <c r="B37" s="51">
        <v>46134</v>
      </c>
      <c r="C37" s="51">
        <v>46134</v>
      </c>
      <c r="D37" s="66">
        <v>7154.86</v>
      </c>
      <c r="E37" s="66"/>
      <c r="F37" s="8" t="s">
        <v>807</v>
      </c>
      <c r="G37" s="8" t="s">
        <v>814</v>
      </c>
      <c r="H37" s="8" t="s">
        <v>106</v>
      </c>
      <c r="I37" s="318"/>
      <c r="J37" s="318"/>
    </row>
    <row r="38" spans="1:10" x14ac:dyDescent="0.2">
      <c r="A38" s="50">
        <f t="shared" si="4"/>
        <v>4</v>
      </c>
      <c r="B38" s="51">
        <v>46134</v>
      </c>
      <c r="C38" s="51">
        <v>46134</v>
      </c>
      <c r="D38" s="66">
        <v>8057.37</v>
      </c>
      <c r="E38" s="66"/>
      <c r="F38" s="8" t="s">
        <v>807</v>
      </c>
      <c r="G38" s="8" t="s">
        <v>815</v>
      </c>
      <c r="H38" s="8" t="s">
        <v>106</v>
      </c>
      <c r="I38" s="318"/>
      <c r="J38" s="318"/>
    </row>
    <row r="39" spans="1:10" x14ac:dyDescent="0.2">
      <c r="A39" s="50">
        <f t="shared" si="4"/>
        <v>4</v>
      </c>
      <c r="B39" s="51">
        <v>46134</v>
      </c>
      <c r="C39" s="51">
        <v>46134</v>
      </c>
      <c r="D39" s="66">
        <v>8243.75</v>
      </c>
      <c r="E39" s="66"/>
      <c r="F39" s="8" t="s">
        <v>807</v>
      </c>
      <c r="G39" s="8" t="s">
        <v>816</v>
      </c>
      <c r="H39" s="8" t="s">
        <v>106</v>
      </c>
      <c r="I39" s="318"/>
      <c r="J39" s="318"/>
    </row>
    <row r="40" spans="1:10" x14ac:dyDescent="0.2">
      <c r="A40" s="50">
        <f t="shared" si="4"/>
        <v>4</v>
      </c>
      <c r="B40" s="51">
        <v>46134</v>
      </c>
      <c r="C40" s="51">
        <v>46134</v>
      </c>
      <c r="D40" s="66">
        <v>13394.92</v>
      </c>
      <c r="E40" s="66"/>
      <c r="F40" s="8" t="s">
        <v>807</v>
      </c>
      <c r="G40" s="8" t="s">
        <v>817</v>
      </c>
      <c r="H40" s="8" t="s">
        <v>106</v>
      </c>
      <c r="I40" s="318"/>
      <c r="J40" s="318"/>
    </row>
    <row r="41" spans="1:10" x14ac:dyDescent="0.2">
      <c r="A41" s="50">
        <f t="shared" si="4"/>
        <v>4</v>
      </c>
      <c r="B41" s="51">
        <v>46134</v>
      </c>
      <c r="C41" s="51">
        <v>46134</v>
      </c>
      <c r="D41" s="66">
        <v>11565.82</v>
      </c>
      <c r="E41" s="66"/>
      <c r="F41" s="8" t="s">
        <v>807</v>
      </c>
      <c r="G41" s="8" t="s">
        <v>818</v>
      </c>
      <c r="H41" s="8" t="s">
        <v>106</v>
      </c>
      <c r="I41" s="318"/>
      <c r="J41" s="318"/>
    </row>
    <row r="42" spans="1:10" x14ac:dyDescent="0.2">
      <c r="A42" s="50">
        <f t="shared" si="4"/>
        <v>4</v>
      </c>
      <c r="B42" s="51">
        <v>46134</v>
      </c>
      <c r="C42" s="51">
        <v>46134</v>
      </c>
      <c r="D42" s="66">
        <v>10714.83</v>
      </c>
      <c r="E42" s="66"/>
      <c r="F42" s="8" t="s">
        <v>807</v>
      </c>
      <c r="G42" s="8" t="s">
        <v>819</v>
      </c>
      <c r="H42" s="8" t="s">
        <v>106</v>
      </c>
      <c r="I42" s="318"/>
      <c r="J42" s="318"/>
    </row>
    <row r="43" spans="1:10" x14ac:dyDescent="0.2">
      <c r="A43" s="50">
        <f t="shared" si="4"/>
        <v>4</v>
      </c>
      <c r="B43" s="51">
        <v>46134</v>
      </c>
      <c r="C43" s="51">
        <v>46134</v>
      </c>
      <c r="D43" s="66">
        <v>13232.19</v>
      </c>
      <c r="E43" s="66"/>
      <c r="F43" s="8" t="s">
        <v>807</v>
      </c>
      <c r="G43" s="8" t="s">
        <v>820</v>
      </c>
      <c r="H43" s="8" t="s">
        <v>106</v>
      </c>
      <c r="I43" s="318"/>
      <c r="J43" s="318"/>
    </row>
    <row r="44" spans="1:10" x14ac:dyDescent="0.2">
      <c r="A44" s="50">
        <f t="shared" si="4"/>
        <v>4</v>
      </c>
      <c r="B44" s="51">
        <v>46133</v>
      </c>
      <c r="C44" s="51">
        <v>46133</v>
      </c>
      <c r="D44" s="66">
        <v>7812.39</v>
      </c>
      <c r="E44" s="66"/>
      <c r="F44" s="8" t="s">
        <v>807</v>
      </c>
      <c r="G44" s="8" t="s">
        <v>821</v>
      </c>
      <c r="H44" s="8" t="s">
        <v>106</v>
      </c>
      <c r="I44" s="318"/>
      <c r="J44" s="318"/>
    </row>
    <row r="45" spans="1:10" x14ac:dyDescent="0.2">
      <c r="A45" s="50">
        <f t="shared" si="4"/>
        <v>4</v>
      </c>
      <c r="B45" s="51">
        <v>46133</v>
      </c>
      <c r="C45" s="51">
        <v>46133</v>
      </c>
      <c r="D45" s="66">
        <v>32713.45</v>
      </c>
      <c r="E45" s="66"/>
      <c r="F45" s="8" t="s">
        <v>807</v>
      </c>
      <c r="G45" s="8" t="s">
        <v>822</v>
      </c>
      <c r="H45" s="8" t="s">
        <v>106</v>
      </c>
      <c r="I45" s="318"/>
      <c r="J45" s="318"/>
    </row>
    <row r="46" spans="1:10" x14ac:dyDescent="0.2">
      <c r="A46" s="50">
        <f t="shared" ref="A46" si="5">MONTH(C46)</f>
        <v>4</v>
      </c>
      <c r="B46" s="51">
        <v>46132</v>
      </c>
      <c r="C46" s="51">
        <v>46132</v>
      </c>
      <c r="D46" s="66"/>
      <c r="E46" s="66">
        <v>100.6</v>
      </c>
      <c r="F46" s="8" t="s">
        <v>598</v>
      </c>
      <c r="G46" s="8" t="s">
        <v>823</v>
      </c>
      <c r="H46" s="8" t="s">
        <v>236</v>
      </c>
      <c r="I46" s="318"/>
      <c r="J46" s="318"/>
    </row>
    <row r="47" spans="1:10" x14ac:dyDescent="0.2">
      <c r="A47" s="50">
        <f t="shared" ref="A47:A55" si="6">MONTH(C47)</f>
        <v>3</v>
      </c>
      <c r="B47" s="51">
        <v>46121</v>
      </c>
      <c r="C47" s="51">
        <v>46112</v>
      </c>
      <c r="D47" s="66"/>
      <c r="E47" s="66">
        <v>161.69999999999999</v>
      </c>
      <c r="F47" s="8" t="s">
        <v>793</v>
      </c>
      <c r="G47" s="8" t="s">
        <v>794</v>
      </c>
      <c r="H47" s="8" t="s">
        <v>144</v>
      </c>
      <c r="I47" s="318"/>
      <c r="J47" s="318"/>
    </row>
    <row r="48" spans="1:10" x14ac:dyDescent="0.2">
      <c r="A48" s="50">
        <f t="shared" si="6"/>
        <v>3</v>
      </c>
      <c r="B48" s="51">
        <v>46121</v>
      </c>
      <c r="C48" s="51">
        <v>46112</v>
      </c>
      <c r="D48" s="66"/>
      <c r="E48" s="66">
        <v>409.7</v>
      </c>
      <c r="F48" s="8" t="s">
        <v>793</v>
      </c>
      <c r="G48" s="8" t="s">
        <v>795</v>
      </c>
      <c r="H48" s="8" t="s">
        <v>144</v>
      </c>
      <c r="I48" s="318"/>
      <c r="J48" s="318"/>
    </row>
    <row r="49" spans="1:10" x14ac:dyDescent="0.2">
      <c r="A49" s="50">
        <f t="shared" si="6"/>
        <v>3</v>
      </c>
      <c r="B49" s="51">
        <v>46119</v>
      </c>
      <c r="C49" s="51">
        <v>46112</v>
      </c>
      <c r="D49" s="66">
        <v>3.95</v>
      </c>
      <c r="E49" s="66"/>
      <c r="F49" s="8" t="s">
        <v>619</v>
      </c>
      <c r="G49" s="8" t="s">
        <v>796</v>
      </c>
      <c r="H49" s="8" t="s">
        <v>152</v>
      </c>
      <c r="I49" s="318"/>
      <c r="J49" s="318"/>
    </row>
    <row r="50" spans="1:10" x14ac:dyDescent="0.2">
      <c r="A50" s="50">
        <f t="shared" si="6"/>
        <v>3</v>
      </c>
      <c r="B50" s="51">
        <v>46119</v>
      </c>
      <c r="C50" s="51">
        <v>46112</v>
      </c>
      <c r="D50" s="66"/>
      <c r="E50" s="66">
        <v>3.95</v>
      </c>
      <c r="F50" s="8" t="s">
        <v>608</v>
      </c>
      <c r="G50" s="8" t="s">
        <v>789</v>
      </c>
      <c r="H50" s="8" t="s">
        <v>152</v>
      </c>
      <c r="I50" s="318"/>
      <c r="J50" s="318"/>
    </row>
    <row r="51" spans="1:10" x14ac:dyDescent="0.2">
      <c r="A51" s="50">
        <f t="shared" si="6"/>
        <v>3</v>
      </c>
      <c r="B51" s="51">
        <v>46115</v>
      </c>
      <c r="C51" s="51">
        <v>46112</v>
      </c>
      <c r="D51" s="66"/>
      <c r="E51" s="66">
        <v>317.91000000000003</v>
      </c>
      <c r="F51" s="8" t="s">
        <v>626</v>
      </c>
      <c r="G51" s="8" t="s">
        <v>770</v>
      </c>
      <c r="H51" s="8" t="s">
        <v>151</v>
      </c>
      <c r="I51" s="318"/>
      <c r="J51" s="318"/>
    </row>
    <row r="52" spans="1:10" x14ac:dyDescent="0.2">
      <c r="A52" s="50">
        <f t="shared" si="6"/>
        <v>3</v>
      </c>
      <c r="B52" s="51">
        <v>46115</v>
      </c>
      <c r="C52" s="51">
        <v>46112</v>
      </c>
      <c r="D52" s="66">
        <v>260.10000000000002</v>
      </c>
      <c r="E52" s="66"/>
      <c r="F52" s="8" t="s">
        <v>621</v>
      </c>
      <c r="G52" s="8" t="s">
        <v>771</v>
      </c>
      <c r="H52" s="8" t="s">
        <v>151</v>
      </c>
      <c r="I52" s="318"/>
      <c r="J52" s="318"/>
    </row>
    <row r="53" spans="1:10" x14ac:dyDescent="0.2">
      <c r="A53" s="50">
        <f t="shared" si="6"/>
        <v>3</v>
      </c>
      <c r="B53" s="51">
        <v>46115</v>
      </c>
      <c r="C53" s="51">
        <v>46112</v>
      </c>
      <c r="D53" s="66">
        <v>6.34</v>
      </c>
      <c r="E53" s="66"/>
      <c r="F53" s="8" t="s">
        <v>621</v>
      </c>
      <c r="G53" s="8" t="s">
        <v>772</v>
      </c>
      <c r="H53" s="8" t="s">
        <v>151</v>
      </c>
      <c r="I53" s="318"/>
      <c r="J53" s="318"/>
    </row>
    <row r="54" spans="1:10" x14ac:dyDescent="0.2">
      <c r="A54" s="50">
        <f t="shared" si="6"/>
        <v>3</v>
      </c>
      <c r="B54" s="51">
        <v>46115</v>
      </c>
      <c r="C54" s="51">
        <v>46112</v>
      </c>
      <c r="D54" s="66"/>
      <c r="E54" s="66">
        <v>420.22</v>
      </c>
      <c r="F54" s="8" t="s">
        <v>624</v>
      </c>
      <c r="G54" s="8" t="s">
        <v>773</v>
      </c>
      <c r="H54" s="8" t="s">
        <v>151</v>
      </c>
      <c r="I54" s="318"/>
      <c r="J54" s="318"/>
    </row>
    <row r="55" spans="1:10" x14ac:dyDescent="0.2">
      <c r="A55" s="50">
        <f t="shared" si="6"/>
        <v>3</v>
      </c>
      <c r="B55" s="51">
        <v>46113</v>
      </c>
      <c r="C55" s="51">
        <v>46112</v>
      </c>
      <c r="D55" s="66"/>
      <c r="E55" s="66">
        <v>8.43</v>
      </c>
      <c r="F55" s="8" t="s">
        <v>774</v>
      </c>
      <c r="G55" s="8" t="s">
        <v>775</v>
      </c>
      <c r="H55" s="8" t="s">
        <v>144</v>
      </c>
      <c r="I55" s="318"/>
      <c r="J55" s="318"/>
    </row>
    <row r="56" spans="1:10" x14ac:dyDescent="0.2">
      <c r="A56" s="50">
        <f t="shared" ref="A56:A57" si="7">MONTH(C56)</f>
        <v>3</v>
      </c>
      <c r="B56" s="51">
        <v>46101</v>
      </c>
      <c r="C56" s="51">
        <v>46101</v>
      </c>
      <c r="D56" s="66"/>
      <c r="E56" s="66">
        <v>100.6</v>
      </c>
      <c r="F56" s="8" t="s">
        <v>598</v>
      </c>
      <c r="G56" s="8" t="s">
        <v>754</v>
      </c>
      <c r="H56" s="8" t="s">
        <v>236</v>
      </c>
      <c r="I56" s="318"/>
      <c r="J56" s="318"/>
    </row>
    <row r="57" spans="1:10" x14ac:dyDescent="0.2">
      <c r="A57" s="50">
        <f t="shared" si="7"/>
        <v>2</v>
      </c>
      <c r="B57" s="51">
        <v>46098</v>
      </c>
      <c r="C57" s="51">
        <v>46080</v>
      </c>
      <c r="D57" s="66"/>
      <c r="E57" s="66">
        <v>21.16</v>
      </c>
      <c r="F57" s="8" t="s">
        <v>692</v>
      </c>
      <c r="G57" s="8" t="s">
        <v>755</v>
      </c>
      <c r="H57" s="8" t="s">
        <v>393</v>
      </c>
    </row>
    <row r="58" spans="1:10" x14ac:dyDescent="0.2">
      <c r="A58" s="50">
        <f t="shared" ref="A58:A63" si="8">MONTH(C58)</f>
        <v>2</v>
      </c>
      <c r="B58" s="51">
        <v>46086</v>
      </c>
      <c r="C58" s="51">
        <v>46081</v>
      </c>
      <c r="D58" s="66">
        <v>3.95</v>
      </c>
      <c r="E58" s="66"/>
      <c r="F58" s="8" t="s">
        <v>619</v>
      </c>
      <c r="G58" s="8" t="s">
        <v>720</v>
      </c>
      <c r="H58" s="8" t="s">
        <v>152</v>
      </c>
    </row>
    <row r="59" spans="1:10" x14ac:dyDescent="0.2">
      <c r="A59" s="50">
        <f t="shared" si="8"/>
        <v>2</v>
      </c>
      <c r="B59" s="51">
        <v>46086</v>
      </c>
      <c r="C59" s="51">
        <v>46081</v>
      </c>
      <c r="D59" s="66"/>
      <c r="E59" s="66">
        <v>3.95</v>
      </c>
      <c r="F59" s="8" t="s">
        <v>608</v>
      </c>
      <c r="G59" s="8" t="s">
        <v>721</v>
      </c>
      <c r="H59" s="8" t="s">
        <v>152</v>
      </c>
    </row>
    <row r="60" spans="1:10" x14ac:dyDescent="0.2">
      <c r="A60" s="50">
        <f t="shared" si="8"/>
        <v>2</v>
      </c>
      <c r="B60" s="51">
        <v>46085</v>
      </c>
      <c r="C60" s="51">
        <v>46081</v>
      </c>
      <c r="D60" s="66">
        <v>267</v>
      </c>
      <c r="E60" s="66"/>
      <c r="F60" s="8" t="s">
        <v>621</v>
      </c>
      <c r="G60" s="8" t="s">
        <v>722</v>
      </c>
      <c r="H60" s="8" t="s">
        <v>151</v>
      </c>
    </row>
    <row r="61" spans="1:10" x14ac:dyDescent="0.2">
      <c r="A61" s="50">
        <f t="shared" si="8"/>
        <v>2</v>
      </c>
      <c r="B61" s="51">
        <v>46085</v>
      </c>
      <c r="C61" s="51">
        <v>46081</v>
      </c>
      <c r="D61" s="66">
        <v>6.35</v>
      </c>
      <c r="E61" s="66"/>
      <c r="F61" s="8" t="s">
        <v>621</v>
      </c>
      <c r="G61" s="8" t="s">
        <v>723</v>
      </c>
      <c r="H61" s="8" t="s">
        <v>151</v>
      </c>
    </row>
    <row r="62" spans="1:10" x14ac:dyDescent="0.2">
      <c r="A62" s="50">
        <f t="shared" si="8"/>
        <v>2</v>
      </c>
      <c r="B62" s="51">
        <v>46085</v>
      </c>
      <c r="C62" s="51">
        <v>46081</v>
      </c>
      <c r="D62" s="66"/>
      <c r="E62" s="66">
        <v>431</v>
      </c>
      <c r="F62" s="8" t="s">
        <v>624</v>
      </c>
      <c r="G62" s="8" t="s">
        <v>724</v>
      </c>
      <c r="H62" s="8" t="s">
        <v>151</v>
      </c>
    </row>
    <row r="63" spans="1:10" x14ac:dyDescent="0.2">
      <c r="A63" s="50">
        <f t="shared" si="8"/>
        <v>2</v>
      </c>
      <c r="B63" s="51">
        <v>46084</v>
      </c>
      <c r="C63" s="51">
        <v>46081</v>
      </c>
      <c r="D63" s="66"/>
      <c r="E63" s="66">
        <v>328.76</v>
      </c>
      <c r="F63" s="8" t="s">
        <v>626</v>
      </c>
      <c r="G63" s="8" t="s">
        <v>725</v>
      </c>
      <c r="H63" s="8" t="s">
        <v>151</v>
      </c>
    </row>
    <row r="64" spans="1:10" x14ac:dyDescent="0.2">
      <c r="A64" s="50">
        <f t="shared" ref="A64:A74" si="9">MONTH(C64)</f>
        <v>2</v>
      </c>
      <c r="B64" s="51">
        <v>46073</v>
      </c>
      <c r="C64" s="51">
        <v>46073</v>
      </c>
      <c r="D64" s="66"/>
      <c r="E64" s="66">
        <v>100.6</v>
      </c>
      <c r="F64" s="8" t="s">
        <v>598</v>
      </c>
      <c r="G64" s="8" t="s">
        <v>704</v>
      </c>
      <c r="H64" s="8" t="s">
        <v>236</v>
      </c>
    </row>
    <row r="65" spans="1:8" x14ac:dyDescent="0.2">
      <c r="A65" s="50">
        <f t="shared" si="9"/>
        <v>2</v>
      </c>
      <c r="B65" s="51">
        <v>46066</v>
      </c>
      <c r="C65" s="51">
        <v>46070</v>
      </c>
      <c r="D65" s="66"/>
      <c r="E65" s="66">
        <v>23000.13</v>
      </c>
      <c r="F65" s="8" t="s">
        <v>550</v>
      </c>
      <c r="G65" s="8" t="s">
        <v>633</v>
      </c>
      <c r="H65" s="8" t="s">
        <v>393</v>
      </c>
    </row>
    <row r="66" spans="1:8" x14ac:dyDescent="0.2">
      <c r="A66" s="50">
        <f t="shared" si="9"/>
        <v>2</v>
      </c>
      <c r="B66" s="51">
        <v>46066</v>
      </c>
      <c r="C66" s="51">
        <v>46066</v>
      </c>
      <c r="D66" s="66"/>
      <c r="E66" s="66">
        <v>9.9499999999999993</v>
      </c>
      <c r="F66" s="8" t="s">
        <v>552</v>
      </c>
      <c r="G66" s="8" t="s">
        <v>552</v>
      </c>
      <c r="H66" s="8" t="s">
        <v>393</v>
      </c>
    </row>
    <row r="67" spans="1:8" x14ac:dyDescent="0.2">
      <c r="A67" s="50">
        <f t="shared" si="9"/>
        <v>2</v>
      </c>
      <c r="B67" s="51">
        <v>46063</v>
      </c>
      <c r="C67" s="51">
        <v>46062.999490740738</v>
      </c>
      <c r="D67" s="66">
        <v>31048.09</v>
      </c>
      <c r="E67" s="66"/>
      <c r="F67" s="8" t="s">
        <v>617</v>
      </c>
      <c r="G67" s="8" t="s">
        <v>618</v>
      </c>
      <c r="H67" s="8" t="s">
        <v>106</v>
      </c>
    </row>
    <row r="68" spans="1:8" x14ac:dyDescent="0.2">
      <c r="A68" s="50">
        <f t="shared" si="9"/>
        <v>1</v>
      </c>
      <c r="B68" s="51">
        <v>46058</v>
      </c>
      <c r="C68" s="51">
        <v>46053</v>
      </c>
      <c r="D68" s="66">
        <v>3.95</v>
      </c>
      <c r="E68" s="66"/>
      <c r="F68" s="8" t="s">
        <v>619</v>
      </c>
      <c r="G68" s="8" t="s">
        <v>620</v>
      </c>
      <c r="H68" s="8" t="s">
        <v>152</v>
      </c>
    </row>
    <row r="69" spans="1:8" x14ac:dyDescent="0.2">
      <c r="A69" s="50">
        <f t="shared" si="9"/>
        <v>1</v>
      </c>
      <c r="B69" s="51">
        <v>46058</v>
      </c>
      <c r="C69" s="51">
        <v>46053</v>
      </c>
      <c r="D69" s="66"/>
      <c r="E69" s="66">
        <v>3.95</v>
      </c>
      <c r="F69" s="8" t="s">
        <v>608</v>
      </c>
      <c r="G69" s="8" t="s">
        <v>609</v>
      </c>
      <c r="H69" s="8" t="s">
        <v>152</v>
      </c>
    </row>
    <row r="70" spans="1:8" x14ac:dyDescent="0.2">
      <c r="A70" s="50">
        <f t="shared" si="9"/>
        <v>1</v>
      </c>
      <c r="B70" s="51">
        <v>46057</v>
      </c>
      <c r="C70" s="51">
        <v>46053</v>
      </c>
      <c r="D70" s="66">
        <v>267.43</v>
      </c>
      <c r="E70" s="66"/>
      <c r="F70" s="8" t="s">
        <v>621</v>
      </c>
      <c r="G70" s="8" t="s">
        <v>622</v>
      </c>
      <c r="H70" s="8" t="s">
        <v>151</v>
      </c>
    </row>
    <row r="71" spans="1:8" x14ac:dyDescent="0.2">
      <c r="A71" s="50">
        <f t="shared" si="9"/>
        <v>1</v>
      </c>
      <c r="B71" s="51">
        <v>46057</v>
      </c>
      <c r="C71" s="51">
        <v>46053</v>
      </c>
      <c r="D71" s="66">
        <v>6.28</v>
      </c>
      <c r="E71" s="66"/>
      <c r="F71" s="8" t="s">
        <v>621</v>
      </c>
      <c r="G71" s="8" t="s">
        <v>623</v>
      </c>
      <c r="H71" s="8" t="s">
        <v>151</v>
      </c>
    </row>
    <row r="72" spans="1:8" x14ac:dyDescent="0.2">
      <c r="A72" s="50">
        <f t="shared" si="9"/>
        <v>1</v>
      </c>
      <c r="B72" s="51">
        <v>46057</v>
      </c>
      <c r="C72" s="51">
        <v>46053</v>
      </c>
      <c r="D72" s="66"/>
      <c r="E72" s="66">
        <v>430.95</v>
      </c>
      <c r="F72" s="8" t="s">
        <v>624</v>
      </c>
      <c r="G72" s="8" t="s">
        <v>625</v>
      </c>
      <c r="H72" s="8" t="s">
        <v>151</v>
      </c>
    </row>
    <row r="73" spans="1:8" x14ac:dyDescent="0.2">
      <c r="A73" s="50">
        <f t="shared" si="9"/>
        <v>1</v>
      </c>
      <c r="B73" s="51">
        <v>46057</v>
      </c>
      <c r="C73" s="51">
        <v>46053</v>
      </c>
      <c r="D73" s="66"/>
      <c r="E73" s="66">
        <v>349.42</v>
      </c>
      <c r="F73" s="8" t="s">
        <v>626</v>
      </c>
      <c r="G73" s="8" t="s">
        <v>627</v>
      </c>
      <c r="H73" s="8" t="s">
        <v>151</v>
      </c>
    </row>
    <row r="74" spans="1:8" x14ac:dyDescent="0.2">
      <c r="A74" s="50">
        <f t="shared" si="9"/>
        <v>1</v>
      </c>
      <c r="B74" s="51">
        <v>46042</v>
      </c>
      <c r="C74" s="51">
        <v>46042</v>
      </c>
      <c r="D74" s="66"/>
      <c r="E74" s="66">
        <v>100.6</v>
      </c>
      <c r="F74" s="8" t="s">
        <v>598</v>
      </c>
      <c r="G74" s="8" t="s">
        <v>599</v>
      </c>
      <c r="H74" s="8" t="s">
        <v>236</v>
      </c>
    </row>
    <row r="75" spans="1:8" x14ac:dyDescent="0.2">
      <c r="D75" s="9">
        <f>SUBTOTAL(9,D17:D74)</f>
        <v>278584.66000000009</v>
      </c>
      <c r="E75" s="9">
        <f>SUBTOTAL(9,E17:E74)</f>
        <v>277917.22000000009</v>
      </c>
      <c r="F75" s="475">
        <f>E75-D75</f>
        <v>-667.44000000000233</v>
      </c>
    </row>
    <row r="77" spans="1:8" x14ac:dyDescent="0.2">
      <c r="B77" s="8"/>
      <c r="C77" s="8"/>
      <c r="D77" s="8"/>
      <c r="E77" s="8"/>
      <c r="F77" s="8"/>
    </row>
    <row r="78" spans="1:8" x14ac:dyDescent="0.2">
      <c r="B78" s="8"/>
      <c r="C78" s="8"/>
      <c r="D78" s="8"/>
      <c r="E78" s="8"/>
      <c r="F78" s="8"/>
    </row>
    <row r="79" spans="1:8" x14ac:dyDescent="0.2">
      <c r="B79" s="8"/>
      <c r="C79" s="8"/>
      <c r="D79" s="8"/>
      <c r="E79" s="8"/>
      <c r="F79" s="8"/>
    </row>
    <row r="80" spans="1:8" x14ac:dyDescent="0.2">
      <c r="B80" s="8"/>
      <c r="C80" s="8"/>
      <c r="D80" s="8"/>
      <c r="E80" s="8"/>
      <c r="F80" s="8"/>
    </row>
    <row r="81" s="8" customFormat="1" x14ac:dyDescent="0.2"/>
    <row r="82" s="8" customFormat="1" x14ac:dyDescent="0.2"/>
  </sheetData>
  <autoFilter ref="A1:H74" xr:uid="{277784EA-692A-674C-8475-BFF6DDE76557}">
    <sortState xmlns:xlrd2="http://schemas.microsoft.com/office/spreadsheetml/2017/richdata2" ref="A2:H56">
      <sortCondition descending="1" ref="B1:B56"/>
    </sortState>
  </autoFilter>
  <dataConsolidate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Messaggio" error="Valore non presente in elenco_x000a_" xr:uid="{7417CAF6-FCB5-BD4E-B5E0-1C5871145AEE}">
          <x14:formula1>
            <xm:f>Dati!$B$3:$B$105</xm:f>
          </x14:formula1>
          <xm:sqref>H2:H74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AC262-3BD0-0549-BF85-2AA4E4D8B20E}">
  <sheetPr codeName="Foglio3">
    <tabColor rgb="FFFF0000"/>
  </sheetPr>
  <dimension ref="A1:J62"/>
  <sheetViews>
    <sheetView zoomScale="140" zoomScaleNormal="140" workbookViewId="0">
      <selection activeCell="E3" sqref="E3"/>
    </sheetView>
  </sheetViews>
  <sheetFormatPr baseColWidth="10" defaultColWidth="11" defaultRowHeight="14" x14ac:dyDescent="0.2"/>
  <cols>
    <col min="1" max="1" width="12" style="8" bestFit="1" customWidth="1"/>
    <col min="2" max="3" width="12.59765625" style="10" bestFit="1" customWidth="1"/>
    <col min="4" max="5" width="14.19921875" style="9" bestFit="1" customWidth="1"/>
    <col min="6" max="6" width="32.3984375" style="43" customWidth="1"/>
    <col min="7" max="7" width="66" style="8" customWidth="1"/>
    <col min="8" max="8" width="28" style="8" bestFit="1" customWidth="1"/>
    <col min="9" max="9" width="15.19921875" style="50" customWidth="1"/>
    <col min="10" max="16384" width="11" style="8"/>
  </cols>
  <sheetData>
    <row r="1" spans="1:10" s="42" customFormat="1" ht="15" x14ac:dyDescent="0.2">
      <c r="A1" s="419" t="s">
        <v>18</v>
      </c>
      <c r="B1" s="419" t="s">
        <v>21</v>
      </c>
      <c r="C1" s="419" t="s">
        <v>14</v>
      </c>
      <c r="D1" s="419" t="s">
        <v>25</v>
      </c>
      <c r="E1" s="419" t="s">
        <v>26</v>
      </c>
      <c r="F1" s="419" t="s">
        <v>22</v>
      </c>
      <c r="G1" s="419" t="s">
        <v>24</v>
      </c>
      <c r="H1" s="419" t="s">
        <v>36</v>
      </c>
      <c r="I1" s="419" t="s">
        <v>114</v>
      </c>
      <c r="J1" s="419" t="s">
        <v>163</v>
      </c>
    </row>
    <row r="2" spans="1:10" x14ac:dyDescent="0.2">
      <c r="A2" s="50">
        <f t="shared" ref="A2:A20" si="0">MONTH(C2)</f>
        <v>7</v>
      </c>
      <c r="B2" s="51">
        <v>46211</v>
      </c>
      <c r="C2" s="51">
        <v>46211</v>
      </c>
      <c r="D2" s="66"/>
      <c r="E2" s="66">
        <v>3715.31</v>
      </c>
      <c r="F2" s="124" t="s">
        <v>601</v>
      </c>
      <c r="G2" s="124" t="s">
        <v>1075</v>
      </c>
      <c r="H2" s="8" t="s">
        <v>926</v>
      </c>
      <c r="I2" s="8"/>
    </row>
    <row r="3" spans="1:10" x14ac:dyDescent="0.2">
      <c r="A3" s="50">
        <f t="shared" si="0"/>
        <v>7</v>
      </c>
      <c r="B3" s="51">
        <v>46210</v>
      </c>
      <c r="C3" s="51">
        <v>46210</v>
      </c>
      <c r="D3" s="66"/>
      <c r="E3" s="66">
        <v>6717.93</v>
      </c>
      <c r="F3" s="124" t="s">
        <v>546</v>
      </c>
      <c r="G3" s="124" t="s">
        <v>1045</v>
      </c>
      <c r="H3" s="8" t="s">
        <v>23</v>
      </c>
      <c r="I3" s="8"/>
    </row>
    <row r="4" spans="1:10" x14ac:dyDescent="0.2">
      <c r="A4" s="50">
        <f t="shared" si="0"/>
        <v>7</v>
      </c>
      <c r="B4" s="51">
        <v>46209</v>
      </c>
      <c r="C4" s="51">
        <v>46209</v>
      </c>
      <c r="D4" s="66">
        <v>30000</v>
      </c>
      <c r="E4" s="66"/>
      <c r="F4" s="124" t="s">
        <v>790</v>
      </c>
      <c r="G4" s="124" t="s">
        <v>1046</v>
      </c>
      <c r="H4" s="8" t="s">
        <v>45</v>
      </c>
      <c r="I4" s="8"/>
    </row>
    <row r="5" spans="1:10" x14ac:dyDescent="0.2">
      <c r="A5" s="50">
        <f t="shared" si="0"/>
        <v>7</v>
      </c>
      <c r="B5" s="51">
        <v>46209</v>
      </c>
      <c r="C5" s="51">
        <v>46209</v>
      </c>
      <c r="D5" s="66"/>
      <c r="E5" s="66">
        <v>3000</v>
      </c>
      <c r="F5" s="124" t="s">
        <v>575</v>
      </c>
      <c r="G5" s="124" t="s">
        <v>1047</v>
      </c>
      <c r="H5" s="8" t="s">
        <v>45</v>
      </c>
      <c r="I5" s="8"/>
    </row>
    <row r="6" spans="1:10" x14ac:dyDescent="0.2">
      <c r="A6" s="50">
        <f t="shared" si="0"/>
        <v>6</v>
      </c>
      <c r="B6" s="51">
        <v>46209</v>
      </c>
      <c r="C6" s="51">
        <v>46203</v>
      </c>
      <c r="D6" s="66"/>
      <c r="E6" s="66">
        <v>3.95</v>
      </c>
      <c r="F6" s="124" t="s">
        <v>608</v>
      </c>
      <c r="G6" s="124" t="s">
        <v>1040</v>
      </c>
      <c r="H6" s="8" t="s">
        <v>152</v>
      </c>
      <c r="I6" s="8"/>
    </row>
    <row r="7" spans="1:10" x14ac:dyDescent="0.2">
      <c r="A7" s="50">
        <f>MONTH(C7)</f>
        <v>7</v>
      </c>
      <c r="B7" s="51">
        <v>46204</v>
      </c>
      <c r="C7" s="51">
        <v>46204</v>
      </c>
      <c r="D7" s="66"/>
      <c r="E7" s="66">
        <v>328.19</v>
      </c>
      <c r="F7" s="124" t="s">
        <v>546</v>
      </c>
      <c r="G7" s="124" t="s">
        <v>1048</v>
      </c>
      <c r="H7" s="8" t="s">
        <v>40</v>
      </c>
      <c r="I7" s="8"/>
    </row>
    <row r="8" spans="1:10" x14ac:dyDescent="0.2">
      <c r="A8" s="50">
        <f t="shared" si="0"/>
        <v>6</v>
      </c>
      <c r="B8" s="51">
        <v>46203</v>
      </c>
      <c r="C8" s="51">
        <v>46203</v>
      </c>
      <c r="D8" s="66"/>
      <c r="E8" s="66">
        <v>8.5299999999999994</v>
      </c>
      <c r="F8" s="124" t="s">
        <v>774</v>
      </c>
      <c r="G8" s="124" t="s">
        <v>1044</v>
      </c>
      <c r="H8" s="8" t="s">
        <v>144</v>
      </c>
      <c r="I8" s="8"/>
    </row>
    <row r="9" spans="1:10" x14ac:dyDescent="0.2">
      <c r="A9" s="50">
        <f t="shared" si="0"/>
        <v>6</v>
      </c>
      <c r="B9" s="51">
        <v>46198</v>
      </c>
      <c r="C9" s="51">
        <v>46197</v>
      </c>
      <c r="D9" s="66"/>
      <c r="E9" s="66">
        <v>580.07000000000005</v>
      </c>
      <c r="F9" s="124" t="s">
        <v>985</v>
      </c>
      <c r="G9" s="124" t="s">
        <v>986</v>
      </c>
      <c r="H9" s="8" t="s">
        <v>926</v>
      </c>
      <c r="I9" s="8"/>
    </row>
    <row r="10" spans="1:10" x14ac:dyDescent="0.2">
      <c r="A10" s="50">
        <f t="shared" si="0"/>
        <v>6</v>
      </c>
      <c r="B10" s="51">
        <v>46197</v>
      </c>
      <c r="C10" s="51">
        <v>46197</v>
      </c>
      <c r="D10" s="66"/>
      <c r="E10" s="66">
        <v>222.5</v>
      </c>
      <c r="F10" s="124" t="s">
        <v>601</v>
      </c>
      <c r="G10" s="124" t="s">
        <v>987</v>
      </c>
      <c r="H10" s="8" t="s">
        <v>926</v>
      </c>
      <c r="I10" s="8"/>
    </row>
    <row r="11" spans="1:10" x14ac:dyDescent="0.2">
      <c r="A11" s="50">
        <f t="shared" si="0"/>
        <v>6</v>
      </c>
      <c r="B11" s="51">
        <v>46180.999490740738</v>
      </c>
      <c r="C11" s="51">
        <v>46180.999490740738</v>
      </c>
      <c r="D11" s="66"/>
      <c r="E11" s="66">
        <v>2879.62</v>
      </c>
      <c r="F11" s="124" t="s">
        <v>546</v>
      </c>
      <c r="G11" s="124" t="s">
        <v>949</v>
      </c>
      <c r="H11" s="8" t="s">
        <v>23</v>
      </c>
      <c r="I11" s="8"/>
    </row>
    <row r="12" spans="1:10" x14ac:dyDescent="0.2">
      <c r="A12" s="50">
        <f t="shared" si="0"/>
        <v>5</v>
      </c>
      <c r="B12" s="51">
        <v>46177.999490740738</v>
      </c>
      <c r="C12" s="51">
        <v>46172.999490740738</v>
      </c>
      <c r="D12" s="66"/>
      <c r="E12" s="66">
        <v>3.95</v>
      </c>
      <c r="F12" s="124" t="s">
        <v>608</v>
      </c>
      <c r="G12" s="124" t="s">
        <v>944</v>
      </c>
      <c r="H12" s="8" t="s">
        <v>152</v>
      </c>
      <c r="I12" s="8"/>
    </row>
    <row r="13" spans="1:10" x14ac:dyDescent="0.2">
      <c r="A13" s="50">
        <f t="shared" si="0"/>
        <v>6</v>
      </c>
      <c r="B13" s="51">
        <v>46174</v>
      </c>
      <c r="C13" s="51">
        <v>46174</v>
      </c>
      <c r="D13" s="66"/>
      <c r="E13" s="66">
        <v>333.29</v>
      </c>
      <c r="F13" s="124" t="s">
        <v>546</v>
      </c>
      <c r="G13" s="124" t="s">
        <v>950</v>
      </c>
      <c r="H13" s="8" t="s">
        <v>40</v>
      </c>
      <c r="I13" s="8"/>
    </row>
    <row r="14" spans="1:10" x14ac:dyDescent="0.2">
      <c r="A14" s="50">
        <f t="shared" si="0"/>
        <v>5</v>
      </c>
      <c r="B14" s="51">
        <v>46172</v>
      </c>
      <c r="C14" s="51">
        <v>46172</v>
      </c>
      <c r="D14" s="66"/>
      <c r="E14" s="66">
        <v>3000</v>
      </c>
      <c r="F14" s="124" t="s">
        <v>575</v>
      </c>
      <c r="G14" s="124" t="s">
        <v>938</v>
      </c>
      <c r="H14" s="8" t="s">
        <v>45</v>
      </c>
      <c r="I14" s="8"/>
    </row>
    <row r="15" spans="1:10" x14ac:dyDescent="0.2">
      <c r="A15" s="50">
        <f t="shared" si="0"/>
        <v>5</v>
      </c>
      <c r="B15" s="51">
        <v>46167</v>
      </c>
      <c r="C15" s="51">
        <v>46167</v>
      </c>
      <c r="D15" s="66"/>
      <c r="E15" s="66">
        <v>36.6</v>
      </c>
      <c r="F15" s="124" t="s">
        <v>575</v>
      </c>
      <c r="G15" s="124" t="s">
        <v>924</v>
      </c>
      <c r="H15" s="8" t="s">
        <v>926</v>
      </c>
      <c r="I15" s="8"/>
    </row>
    <row r="16" spans="1:10" x14ac:dyDescent="0.2">
      <c r="A16" s="50">
        <f t="shared" si="0"/>
        <v>4</v>
      </c>
      <c r="B16" s="51">
        <v>46162</v>
      </c>
      <c r="C16" s="51">
        <v>46142</v>
      </c>
      <c r="D16" s="66"/>
      <c r="E16" s="66">
        <v>21.36</v>
      </c>
      <c r="F16" s="124" t="s">
        <v>692</v>
      </c>
      <c r="G16" s="124" t="s">
        <v>925</v>
      </c>
      <c r="H16" s="8" t="s">
        <v>540</v>
      </c>
      <c r="I16" s="8"/>
    </row>
    <row r="17" spans="1:9" x14ac:dyDescent="0.2">
      <c r="A17" s="50">
        <f t="shared" si="0"/>
        <v>4</v>
      </c>
      <c r="B17" s="51">
        <v>46160</v>
      </c>
      <c r="C17" s="51">
        <v>46142</v>
      </c>
      <c r="D17" s="66"/>
      <c r="E17" s="66">
        <v>105</v>
      </c>
      <c r="F17" s="124" t="s">
        <v>692</v>
      </c>
      <c r="G17" s="124" t="s">
        <v>909</v>
      </c>
      <c r="H17" s="8" t="s">
        <v>152</v>
      </c>
      <c r="I17" s="8"/>
    </row>
    <row r="18" spans="1:9" x14ac:dyDescent="0.2">
      <c r="A18" s="50">
        <f t="shared" si="0"/>
        <v>5</v>
      </c>
      <c r="B18" s="51">
        <v>46149</v>
      </c>
      <c r="C18" s="51">
        <v>46149</v>
      </c>
      <c r="D18" s="66"/>
      <c r="E18" s="66">
        <v>2660.75</v>
      </c>
      <c r="F18" s="124" t="s">
        <v>546</v>
      </c>
      <c r="G18" s="124" t="s">
        <v>872</v>
      </c>
      <c r="H18" s="8" t="s">
        <v>23</v>
      </c>
      <c r="I18" s="8"/>
    </row>
    <row r="19" spans="1:9" x14ac:dyDescent="0.2">
      <c r="A19" s="50">
        <f t="shared" si="0"/>
        <v>4</v>
      </c>
      <c r="B19" s="51">
        <v>46147</v>
      </c>
      <c r="C19" s="51">
        <v>46142</v>
      </c>
      <c r="D19" s="66"/>
      <c r="E19" s="66">
        <v>3.95</v>
      </c>
      <c r="F19" s="124" t="s">
        <v>608</v>
      </c>
      <c r="G19" s="124" t="s">
        <v>871</v>
      </c>
      <c r="H19" s="8" t="s">
        <v>152</v>
      </c>
      <c r="I19" s="8"/>
    </row>
    <row r="20" spans="1:9" x14ac:dyDescent="0.2">
      <c r="A20" s="50">
        <f t="shared" si="0"/>
        <v>5</v>
      </c>
      <c r="B20" s="51">
        <v>46146</v>
      </c>
      <c r="C20" s="51">
        <v>46146</v>
      </c>
      <c r="D20" s="66"/>
      <c r="E20" s="66">
        <v>326.55</v>
      </c>
      <c r="F20" s="124" t="s">
        <v>546</v>
      </c>
      <c r="G20" s="124" t="s">
        <v>873</v>
      </c>
      <c r="H20" s="8" t="s">
        <v>40</v>
      </c>
      <c r="I20" s="8"/>
    </row>
    <row r="21" spans="1:9" x14ac:dyDescent="0.2">
      <c r="A21" s="50">
        <f t="shared" ref="A21:A39" si="1">MONTH(C21)</f>
        <v>3</v>
      </c>
      <c r="B21" s="51">
        <v>46140</v>
      </c>
      <c r="C21" s="51">
        <v>46112</v>
      </c>
      <c r="D21" s="66"/>
      <c r="E21" s="66">
        <v>21.63</v>
      </c>
      <c r="F21" s="124" t="s">
        <v>692</v>
      </c>
      <c r="G21" s="124" t="s">
        <v>834</v>
      </c>
      <c r="H21" s="8" t="s">
        <v>540</v>
      </c>
      <c r="I21" s="8"/>
    </row>
    <row r="22" spans="1:9" x14ac:dyDescent="0.2">
      <c r="A22" s="50">
        <f t="shared" si="1"/>
        <v>4</v>
      </c>
      <c r="B22" s="51">
        <v>46135</v>
      </c>
      <c r="C22" s="51">
        <v>46135</v>
      </c>
      <c r="D22" s="66"/>
      <c r="E22" s="66">
        <v>15000</v>
      </c>
      <c r="F22" s="124" t="s">
        <v>575</v>
      </c>
      <c r="G22" s="124" t="s">
        <v>828</v>
      </c>
      <c r="H22" s="8" t="s">
        <v>45</v>
      </c>
      <c r="I22" s="8"/>
    </row>
    <row r="23" spans="1:9" x14ac:dyDescent="0.2">
      <c r="A23" s="50">
        <f t="shared" si="1"/>
        <v>4</v>
      </c>
      <c r="B23" s="51">
        <v>46124.999490740738</v>
      </c>
      <c r="C23" s="51">
        <v>46124.999490740738</v>
      </c>
      <c r="D23" s="66">
        <v>22498.2</v>
      </c>
      <c r="E23" s="66"/>
      <c r="F23" s="124" t="s">
        <v>790</v>
      </c>
      <c r="G23" s="124" t="s">
        <v>791</v>
      </c>
      <c r="H23" s="8" t="s">
        <v>393</v>
      </c>
      <c r="I23" s="8"/>
    </row>
    <row r="24" spans="1:9" x14ac:dyDescent="0.2">
      <c r="A24" s="50">
        <f t="shared" si="1"/>
        <v>4</v>
      </c>
      <c r="B24" s="51">
        <v>46121</v>
      </c>
      <c r="C24" s="51">
        <v>46125</v>
      </c>
      <c r="D24" s="66"/>
      <c r="E24" s="66">
        <v>9517.2800000000007</v>
      </c>
      <c r="F24" s="124" t="s">
        <v>550</v>
      </c>
      <c r="G24" s="124" t="s">
        <v>787</v>
      </c>
      <c r="H24" s="8" t="s">
        <v>540</v>
      </c>
      <c r="I24" s="8"/>
    </row>
    <row r="25" spans="1:9" x14ac:dyDescent="0.2">
      <c r="A25" s="50">
        <f t="shared" si="1"/>
        <v>4</v>
      </c>
      <c r="B25" s="51">
        <v>46121</v>
      </c>
      <c r="C25" s="51">
        <v>46121</v>
      </c>
      <c r="D25" s="66"/>
      <c r="E25" s="66">
        <v>9.9499999999999993</v>
      </c>
      <c r="F25" s="124" t="s">
        <v>552</v>
      </c>
      <c r="G25" s="124" t="s">
        <v>552</v>
      </c>
      <c r="H25" s="8" t="s">
        <v>540</v>
      </c>
      <c r="I25" s="8"/>
    </row>
    <row r="26" spans="1:9" x14ac:dyDescent="0.2">
      <c r="A26" s="50">
        <f t="shared" si="1"/>
        <v>4</v>
      </c>
      <c r="B26" s="51">
        <v>46120</v>
      </c>
      <c r="C26" s="51">
        <v>46120</v>
      </c>
      <c r="D26" s="66"/>
      <c r="E26" s="66">
        <v>2029.59</v>
      </c>
      <c r="F26" s="124" t="s">
        <v>546</v>
      </c>
      <c r="G26" s="124" t="s">
        <v>788</v>
      </c>
      <c r="H26" s="8" t="s">
        <v>23</v>
      </c>
      <c r="I26" s="8"/>
    </row>
    <row r="27" spans="1:9" x14ac:dyDescent="0.2">
      <c r="A27" s="50">
        <f t="shared" si="1"/>
        <v>3</v>
      </c>
      <c r="B27" s="51">
        <v>46119</v>
      </c>
      <c r="C27" s="51">
        <v>46112</v>
      </c>
      <c r="D27" s="66"/>
      <c r="E27" s="66">
        <v>3.95</v>
      </c>
      <c r="F27" s="124" t="s">
        <v>608</v>
      </c>
      <c r="G27" s="124" t="s">
        <v>789</v>
      </c>
      <c r="H27" s="8" t="s">
        <v>152</v>
      </c>
      <c r="I27" s="8"/>
    </row>
    <row r="28" spans="1:9" x14ac:dyDescent="0.2">
      <c r="A28" s="50">
        <f t="shared" si="1"/>
        <v>4</v>
      </c>
      <c r="B28" s="51">
        <v>46113</v>
      </c>
      <c r="C28" s="51">
        <v>46113</v>
      </c>
      <c r="D28" s="66"/>
      <c r="E28" s="66">
        <v>333.38</v>
      </c>
      <c r="F28" s="124" t="s">
        <v>546</v>
      </c>
      <c r="G28" s="124" t="s">
        <v>776</v>
      </c>
      <c r="H28" s="8" t="s">
        <v>40</v>
      </c>
      <c r="I28" s="8"/>
    </row>
    <row r="29" spans="1:9" x14ac:dyDescent="0.2">
      <c r="A29" s="50">
        <f t="shared" si="1"/>
        <v>3</v>
      </c>
      <c r="B29" s="51">
        <v>46112</v>
      </c>
      <c r="C29" s="51">
        <v>46111</v>
      </c>
      <c r="D29" s="66"/>
      <c r="E29" s="66">
        <v>8.43</v>
      </c>
      <c r="F29" s="124" t="s">
        <v>774</v>
      </c>
      <c r="G29" s="124" t="s">
        <v>775</v>
      </c>
      <c r="H29" s="8" t="s">
        <v>144</v>
      </c>
      <c r="I29" s="8"/>
    </row>
    <row r="30" spans="1:9" x14ac:dyDescent="0.2">
      <c r="A30" s="50">
        <f t="shared" si="1"/>
        <v>3</v>
      </c>
      <c r="B30" s="51">
        <v>46111</v>
      </c>
      <c r="C30" s="51">
        <v>46112</v>
      </c>
      <c r="D30" s="66"/>
      <c r="E30" s="66">
        <v>70000</v>
      </c>
      <c r="F30" s="124" t="s">
        <v>550</v>
      </c>
      <c r="G30" s="124" t="s">
        <v>777</v>
      </c>
      <c r="H30" s="8" t="s">
        <v>45</v>
      </c>
      <c r="I30" s="8"/>
    </row>
    <row r="31" spans="1:9" x14ac:dyDescent="0.2">
      <c r="A31" s="50">
        <f t="shared" si="1"/>
        <v>3</v>
      </c>
      <c r="B31" s="51">
        <v>46111</v>
      </c>
      <c r="C31" s="51">
        <v>46111</v>
      </c>
      <c r="D31" s="66"/>
      <c r="E31" s="66">
        <v>9.9499999999999993</v>
      </c>
      <c r="F31" s="124" t="s">
        <v>552</v>
      </c>
      <c r="G31" s="124" t="s">
        <v>552</v>
      </c>
      <c r="H31" s="8" t="s">
        <v>152</v>
      </c>
      <c r="I31" s="8"/>
    </row>
    <row r="32" spans="1:9" x14ac:dyDescent="0.2">
      <c r="A32" s="50">
        <f t="shared" si="1"/>
        <v>3</v>
      </c>
      <c r="B32" s="51">
        <v>46104</v>
      </c>
      <c r="C32" s="51">
        <v>46104</v>
      </c>
      <c r="D32" s="66"/>
      <c r="E32" s="66">
        <v>65</v>
      </c>
      <c r="F32" s="124" t="s">
        <v>575</v>
      </c>
      <c r="G32" s="124" t="s">
        <v>756</v>
      </c>
      <c r="H32" s="8" t="s">
        <v>419</v>
      </c>
      <c r="I32" s="8"/>
    </row>
    <row r="33" spans="1:9" x14ac:dyDescent="0.2">
      <c r="A33" s="50">
        <f t="shared" si="1"/>
        <v>3</v>
      </c>
      <c r="B33" s="51">
        <v>46100</v>
      </c>
      <c r="C33" s="51">
        <v>46100</v>
      </c>
      <c r="D33" s="66"/>
      <c r="E33" s="66">
        <v>22.55</v>
      </c>
      <c r="F33" s="124" t="s">
        <v>546</v>
      </c>
      <c r="G33" s="124" t="s">
        <v>681</v>
      </c>
      <c r="H33" s="8" t="s">
        <v>23</v>
      </c>
      <c r="I33" s="8"/>
    </row>
    <row r="34" spans="1:9" x14ac:dyDescent="0.2">
      <c r="A34" s="50">
        <f t="shared" si="1"/>
        <v>2</v>
      </c>
      <c r="B34" s="51">
        <v>46098</v>
      </c>
      <c r="C34" s="51">
        <v>46080</v>
      </c>
      <c r="D34" s="66"/>
      <c r="E34" s="66">
        <v>21.16</v>
      </c>
      <c r="F34" s="124" t="s">
        <v>692</v>
      </c>
      <c r="G34" s="124" t="s">
        <v>748</v>
      </c>
      <c r="H34" s="8" t="s">
        <v>540</v>
      </c>
      <c r="I34" s="8"/>
    </row>
    <row r="35" spans="1:9" x14ac:dyDescent="0.2">
      <c r="A35" s="50">
        <f t="shared" si="1"/>
        <v>3</v>
      </c>
      <c r="B35" s="51">
        <v>46091</v>
      </c>
      <c r="C35" s="51">
        <v>46091</v>
      </c>
      <c r="D35" s="66"/>
      <c r="E35" s="66">
        <v>3880.1</v>
      </c>
      <c r="F35" s="124" t="s">
        <v>546</v>
      </c>
      <c r="G35" s="124" t="s">
        <v>558</v>
      </c>
      <c r="H35" s="8" t="s">
        <v>23</v>
      </c>
      <c r="I35" s="8"/>
    </row>
    <row r="36" spans="1:9" x14ac:dyDescent="0.2">
      <c r="A36" s="50">
        <f t="shared" si="1"/>
        <v>2</v>
      </c>
      <c r="B36" s="51">
        <v>46086</v>
      </c>
      <c r="C36" s="51">
        <v>46081</v>
      </c>
      <c r="D36" s="66"/>
      <c r="E36" s="66">
        <v>3.95</v>
      </c>
      <c r="F36" s="124" t="s">
        <v>608</v>
      </c>
      <c r="G36" s="124" t="s">
        <v>721</v>
      </c>
      <c r="H36" s="8" t="s">
        <v>152</v>
      </c>
      <c r="I36" s="8"/>
    </row>
    <row r="37" spans="1:9" x14ac:dyDescent="0.2">
      <c r="A37" s="50">
        <f t="shared" si="1"/>
        <v>3</v>
      </c>
      <c r="B37" s="51">
        <v>46085</v>
      </c>
      <c r="C37" s="51">
        <v>46085</v>
      </c>
      <c r="D37" s="66"/>
      <c r="E37" s="66">
        <v>9558.25</v>
      </c>
      <c r="F37" s="124" t="s">
        <v>550</v>
      </c>
      <c r="G37" s="124" t="s">
        <v>726</v>
      </c>
      <c r="H37" s="8" t="s">
        <v>540</v>
      </c>
      <c r="I37" s="8"/>
    </row>
    <row r="38" spans="1:9" x14ac:dyDescent="0.2">
      <c r="A38" s="50">
        <f t="shared" si="1"/>
        <v>3</v>
      </c>
      <c r="B38" s="51">
        <v>46085</v>
      </c>
      <c r="C38" s="51">
        <v>46085</v>
      </c>
      <c r="D38" s="66"/>
      <c r="E38" s="66">
        <v>9.9499999999999993</v>
      </c>
      <c r="F38" s="124" t="s">
        <v>552</v>
      </c>
      <c r="G38" s="124" t="s">
        <v>552</v>
      </c>
      <c r="H38" s="8" t="s">
        <v>540</v>
      </c>
      <c r="I38" s="8"/>
    </row>
    <row r="39" spans="1:9" x14ac:dyDescent="0.2">
      <c r="A39" s="50">
        <f t="shared" si="1"/>
        <v>3</v>
      </c>
      <c r="B39" s="51">
        <v>46083</v>
      </c>
      <c r="C39" s="51">
        <v>46083</v>
      </c>
      <c r="D39" s="66"/>
      <c r="E39" s="66">
        <v>322.61</v>
      </c>
      <c r="F39" s="124" t="s">
        <v>546</v>
      </c>
      <c r="G39" s="124" t="s">
        <v>727</v>
      </c>
      <c r="H39" s="8" t="s">
        <v>40</v>
      </c>
      <c r="I39" s="8"/>
    </row>
    <row r="40" spans="1:9" x14ac:dyDescent="0.2">
      <c r="A40" s="50">
        <f t="shared" ref="A40:A58" si="2">MONTH(C40)</f>
        <v>2</v>
      </c>
      <c r="B40" s="51">
        <v>46078.000138888892</v>
      </c>
      <c r="C40" s="51">
        <v>46078.000138888892</v>
      </c>
      <c r="D40" s="66">
        <v>95681.81</v>
      </c>
      <c r="E40" s="66"/>
      <c r="F40" s="124" t="s">
        <v>690</v>
      </c>
      <c r="G40" s="124" t="s">
        <v>691</v>
      </c>
      <c r="H40" s="8" t="s">
        <v>106</v>
      </c>
      <c r="I40" s="8"/>
    </row>
    <row r="41" spans="1:9" x14ac:dyDescent="0.2">
      <c r="A41" s="50">
        <f t="shared" si="2"/>
        <v>1</v>
      </c>
      <c r="B41" s="51">
        <v>46078.000138888892</v>
      </c>
      <c r="C41" s="51">
        <v>46052.000138888892</v>
      </c>
      <c r="D41" s="66"/>
      <c r="E41" s="66">
        <v>21.09</v>
      </c>
      <c r="F41" s="124" t="s">
        <v>692</v>
      </c>
      <c r="G41" s="124" t="s">
        <v>693</v>
      </c>
      <c r="H41" s="8" t="s">
        <v>540</v>
      </c>
      <c r="I41" s="8"/>
    </row>
    <row r="42" spans="1:9" x14ac:dyDescent="0.2">
      <c r="A42" s="50">
        <f t="shared" si="2"/>
        <v>2</v>
      </c>
      <c r="B42" s="51">
        <v>46074.000138888892</v>
      </c>
      <c r="C42" s="51">
        <v>46074.000138888892</v>
      </c>
      <c r="D42" s="66">
        <v>685.34</v>
      </c>
      <c r="E42" s="66"/>
      <c r="F42" s="124" t="s">
        <v>575</v>
      </c>
      <c r="G42" s="124" t="s">
        <v>694</v>
      </c>
      <c r="H42" s="8" t="s">
        <v>42</v>
      </c>
      <c r="I42" s="8"/>
    </row>
    <row r="43" spans="1:9" x14ac:dyDescent="0.2">
      <c r="A43" s="50">
        <f t="shared" si="2"/>
        <v>2</v>
      </c>
      <c r="B43" s="51">
        <v>46074.000138888892</v>
      </c>
      <c r="C43" s="51">
        <v>46074.000138888892</v>
      </c>
      <c r="D43" s="66">
        <v>124.99</v>
      </c>
      <c r="E43" s="66"/>
      <c r="F43" s="124" t="s">
        <v>575</v>
      </c>
      <c r="G43" s="124" t="s">
        <v>695</v>
      </c>
      <c r="H43" s="8" t="s">
        <v>42</v>
      </c>
      <c r="I43" s="8"/>
    </row>
    <row r="44" spans="1:9" x14ac:dyDescent="0.2">
      <c r="A44" s="50">
        <f t="shared" si="2"/>
        <v>2</v>
      </c>
      <c r="B44" s="51">
        <v>46073.000138888892</v>
      </c>
      <c r="C44" s="51">
        <v>46073.000138888892</v>
      </c>
      <c r="D44" s="66"/>
      <c r="E44" s="66">
        <v>1370.67</v>
      </c>
      <c r="F44" s="124" t="s">
        <v>601</v>
      </c>
      <c r="G44" s="124" t="s">
        <v>696</v>
      </c>
      <c r="H44" s="8" t="s">
        <v>42</v>
      </c>
      <c r="I44" s="8"/>
    </row>
    <row r="45" spans="1:9" x14ac:dyDescent="0.2">
      <c r="A45" s="50">
        <f t="shared" si="2"/>
        <v>2</v>
      </c>
      <c r="B45" s="51">
        <v>46073.000138888892</v>
      </c>
      <c r="C45" s="51">
        <v>46073.000138888892</v>
      </c>
      <c r="D45" s="66"/>
      <c r="E45" s="66">
        <v>249.96</v>
      </c>
      <c r="F45" s="124" t="s">
        <v>601</v>
      </c>
      <c r="G45" s="124" t="s">
        <v>697</v>
      </c>
      <c r="H45" s="8" t="s">
        <v>42</v>
      </c>
      <c r="I45" s="8"/>
    </row>
    <row r="46" spans="1:9" x14ac:dyDescent="0.2">
      <c r="A46" s="50">
        <f t="shared" si="2"/>
        <v>2</v>
      </c>
      <c r="B46" s="51">
        <v>46072.000138888892</v>
      </c>
      <c r="C46" s="51">
        <v>46072.000138888892</v>
      </c>
      <c r="D46" s="66"/>
      <c r="E46" s="66">
        <v>44.43</v>
      </c>
      <c r="F46" s="124" t="s">
        <v>546</v>
      </c>
      <c r="G46" s="124" t="s">
        <v>681</v>
      </c>
      <c r="H46" s="8" t="s">
        <v>23</v>
      </c>
      <c r="I46" s="8"/>
    </row>
    <row r="47" spans="1:9" x14ac:dyDescent="0.2">
      <c r="A47" s="50">
        <f t="shared" si="2"/>
        <v>2</v>
      </c>
      <c r="B47" s="51">
        <v>46061.999490740738</v>
      </c>
      <c r="C47" s="51">
        <v>46061.999490740738</v>
      </c>
      <c r="D47" s="66"/>
      <c r="E47" s="66">
        <v>4000</v>
      </c>
      <c r="F47" s="124" t="s">
        <v>601</v>
      </c>
      <c r="G47" s="124" t="s">
        <v>628</v>
      </c>
      <c r="H47" s="8" t="s">
        <v>45</v>
      </c>
      <c r="I47" s="8"/>
    </row>
    <row r="48" spans="1:9" x14ac:dyDescent="0.2">
      <c r="A48" s="50">
        <f t="shared" si="2"/>
        <v>2</v>
      </c>
      <c r="B48" s="51">
        <v>46058</v>
      </c>
      <c r="C48" s="51">
        <v>46058</v>
      </c>
      <c r="D48" s="66"/>
      <c r="E48" s="66">
        <v>1561.69</v>
      </c>
      <c r="F48" s="124" t="s">
        <v>546</v>
      </c>
      <c r="G48" s="124" t="s">
        <v>558</v>
      </c>
      <c r="H48" s="8" t="s">
        <v>23</v>
      </c>
      <c r="I48" s="8"/>
    </row>
    <row r="49" spans="1:9" x14ac:dyDescent="0.2">
      <c r="A49" s="50">
        <f t="shared" si="2"/>
        <v>1</v>
      </c>
      <c r="B49" s="51">
        <v>46058</v>
      </c>
      <c r="C49" s="51">
        <v>46053</v>
      </c>
      <c r="D49" s="66"/>
      <c r="E49" s="66">
        <v>3.95</v>
      </c>
      <c r="F49" s="124" t="s">
        <v>608</v>
      </c>
      <c r="G49" s="124" t="s">
        <v>609</v>
      </c>
      <c r="H49" s="8" t="s">
        <v>152</v>
      </c>
      <c r="I49" s="8"/>
    </row>
    <row r="50" spans="1:9" x14ac:dyDescent="0.2">
      <c r="A50" s="50">
        <f t="shared" si="2"/>
        <v>2</v>
      </c>
      <c r="B50" s="51">
        <v>46057</v>
      </c>
      <c r="C50" s="51">
        <v>46059</v>
      </c>
      <c r="D50" s="66"/>
      <c r="E50" s="66">
        <v>9390.4699999999993</v>
      </c>
      <c r="F50" s="124" t="s">
        <v>550</v>
      </c>
      <c r="G50" s="124" t="s">
        <v>610</v>
      </c>
      <c r="H50" s="8" t="s">
        <v>540</v>
      </c>
      <c r="I50" s="8"/>
    </row>
    <row r="51" spans="1:9" x14ac:dyDescent="0.2">
      <c r="A51" s="50">
        <f t="shared" si="2"/>
        <v>2</v>
      </c>
      <c r="B51" s="51">
        <v>46057</v>
      </c>
      <c r="C51" s="51">
        <v>46057</v>
      </c>
      <c r="D51" s="66"/>
      <c r="E51" s="66">
        <v>9.9499999999999993</v>
      </c>
      <c r="F51" s="124" t="s">
        <v>552</v>
      </c>
      <c r="G51" s="124" t="s">
        <v>552</v>
      </c>
      <c r="H51" s="8" t="s">
        <v>540</v>
      </c>
      <c r="I51" s="8"/>
    </row>
    <row r="52" spans="1:9" x14ac:dyDescent="0.2">
      <c r="A52" s="50">
        <f t="shared" si="2"/>
        <v>2</v>
      </c>
      <c r="B52" s="51">
        <v>46055</v>
      </c>
      <c r="C52" s="51">
        <v>46055</v>
      </c>
      <c r="D52" s="66"/>
      <c r="E52" s="66">
        <v>332.45</v>
      </c>
      <c r="F52" s="124" t="s">
        <v>546</v>
      </c>
      <c r="G52" s="124" t="s">
        <v>600</v>
      </c>
      <c r="H52" s="8" t="s">
        <v>40</v>
      </c>
      <c r="I52" s="8"/>
    </row>
    <row r="53" spans="1:9" x14ac:dyDescent="0.2">
      <c r="A53" s="50">
        <f t="shared" si="2"/>
        <v>1</v>
      </c>
      <c r="B53" s="51">
        <v>46042</v>
      </c>
      <c r="C53" s="51">
        <v>46042</v>
      </c>
      <c r="D53" s="66"/>
      <c r="E53" s="66">
        <v>19857.150000000001</v>
      </c>
      <c r="F53" s="124" t="s">
        <v>601</v>
      </c>
      <c r="G53" s="124" t="s">
        <v>739</v>
      </c>
      <c r="H53" s="8" t="s">
        <v>577</v>
      </c>
      <c r="I53" s="8"/>
    </row>
    <row r="54" spans="1:9" x14ac:dyDescent="0.2">
      <c r="A54" s="50">
        <f t="shared" si="2"/>
        <v>1</v>
      </c>
      <c r="B54" s="51">
        <v>46038</v>
      </c>
      <c r="C54" s="51">
        <v>46038</v>
      </c>
      <c r="D54" s="66"/>
      <c r="E54" s="66">
        <v>4000</v>
      </c>
      <c r="F54" s="124" t="s">
        <v>575</v>
      </c>
      <c r="G54" s="124" t="s">
        <v>576</v>
      </c>
      <c r="H54" s="8" t="s">
        <v>45</v>
      </c>
      <c r="I54" s="8"/>
    </row>
    <row r="55" spans="1:9" x14ac:dyDescent="0.2">
      <c r="A55" s="50">
        <f t="shared" si="2"/>
        <v>1</v>
      </c>
      <c r="B55" s="51">
        <v>46030</v>
      </c>
      <c r="C55" s="51">
        <v>46030</v>
      </c>
      <c r="D55" s="66"/>
      <c r="E55" s="66">
        <v>1935.5</v>
      </c>
      <c r="F55" s="124" t="s">
        <v>546</v>
      </c>
      <c r="G55" s="124" t="s">
        <v>558</v>
      </c>
      <c r="H55" s="8" t="s">
        <v>23</v>
      </c>
      <c r="I55" s="8"/>
    </row>
    <row r="56" spans="1:9" x14ac:dyDescent="0.2">
      <c r="A56" s="50">
        <f t="shared" si="2"/>
        <v>1</v>
      </c>
      <c r="B56" s="51">
        <v>46027</v>
      </c>
      <c r="C56" s="51">
        <v>46029</v>
      </c>
      <c r="D56" s="66"/>
      <c r="E56" s="66">
        <v>14163.82</v>
      </c>
      <c r="F56" s="124" t="s">
        <v>550</v>
      </c>
      <c r="G56" s="124" t="s">
        <v>551</v>
      </c>
      <c r="H56" s="8" t="s">
        <v>540</v>
      </c>
      <c r="I56" s="8"/>
    </row>
    <row r="57" spans="1:9" x14ac:dyDescent="0.2">
      <c r="A57" s="50">
        <f t="shared" si="2"/>
        <v>1</v>
      </c>
      <c r="B57" s="51">
        <v>46027</v>
      </c>
      <c r="C57" s="51">
        <v>46027</v>
      </c>
      <c r="D57" s="66"/>
      <c r="E57" s="66">
        <v>9.9499999999999993</v>
      </c>
      <c r="F57" s="124" t="s">
        <v>552</v>
      </c>
      <c r="G57" s="124" t="s">
        <v>552</v>
      </c>
      <c r="H57" s="8" t="s">
        <v>540</v>
      </c>
      <c r="I57" s="8"/>
    </row>
    <row r="58" spans="1:9" x14ac:dyDescent="0.2">
      <c r="A58" s="50">
        <f t="shared" si="2"/>
        <v>1</v>
      </c>
      <c r="B58" s="51">
        <v>46024</v>
      </c>
      <c r="C58" s="51">
        <v>46024</v>
      </c>
      <c r="D58" s="66"/>
      <c r="E58" s="66">
        <v>334.13</v>
      </c>
      <c r="F58" s="124" t="s">
        <v>546</v>
      </c>
      <c r="G58" s="124" t="s">
        <v>547</v>
      </c>
      <c r="H58" s="8" t="s">
        <v>40</v>
      </c>
      <c r="I58" s="8"/>
    </row>
    <row r="59" spans="1:9" x14ac:dyDescent="0.2">
      <c r="B59" s="8"/>
      <c r="C59" s="8"/>
      <c r="D59" s="8"/>
      <c r="E59" s="8"/>
      <c r="F59" s="8"/>
    </row>
    <row r="60" spans="1:9" x14ac:dyDescent="0.2">
      <c r="B60" s="8"/>
      <c r="C60" s="8"/>
      <c r="D60" s="8"/>
      <c r="E60" s="8"/>
      <c r="F60" s="8"/>
    </row>
    <row r="61" spans="1:9" x14ac:dyDescent="0.2">
      <c r="B61" s="8"/>
      <c r="C61" s="8"/>
      <c r="D61" s="8"/>
      <c r="E61" s="8"/>
      <c r="F61" s="8"/>
    </row>
    <row r="62" spans="1:9" x14ac:dyDescent="0.2">
      <c r="B62" s="8"/>
      <c r="C62" s="8"/>
      <c r="D62" s="8"/>
      <c r="E62" s="8"/>
      <c r="F62" s="8"/>
    </row>
  </sheetData>
  <autoFilter ref="A1:I58" xr:uid="{E86AC262-3BD0-0549-BF85-2AA4E4D8B20E}"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Messaggio" error="Valore non presente in elenco_x000a_" xr:uid="{AD64E3C3-B4F7-E545-929D-322CD97C796A}">
          <x14:formula1>
            <xm:f>Dati!$B$12:$B$105</xm:f>
          </x14:formula1>
          <xm:sqref>H2:H58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66A4E-60AE-1F4C-822F-072C49DDFBC2}">
  <sheetPr codeName="Foglio29">
    <tabColor rgb="FF7030A0"/>
  </sheetPr>
  <dimension ref="A3:CO42"/>
  <sheetViews>
    <sheetView workbookViewId="0">
      <selection activeCell="E8" sqref="E8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19.59765625" style="60" bestFit="1" customWidth="1"/>
    <col min="4" max="4" width="15.796875" style="60" bestFit="1" customWidth="1"/>
    <col min="5" max="5" width="19.59765625" style="60" bestFit="1" customWidth="1"/>
    <col min="6" max="6" width="20.59765625" style="60" bestFit="1" customWidth="1"/>
    <col min="7" max="7" width="21.3984375" style="60" bestFit="1" customWidth="1"/>
    <col min="8" max="8" width="12" style="60" bestFit="1" customWidth="1"/>
    <col min="9" max="9" width="25.3984375" style="60" bestFit="1" customWidth="1"/>
    <col min="10" max="10" width="33.19921875" style="60" bestFit="1" customWidth="1"/>
    <col min="11" max="11" width="18.59765625" style="60" bestFit="1" customWidth="1"/>
    <col min="12" max="12" width="15.3984375" style="60" bestFit="1" customWidth="1"/>
    <col min="13" max="13" width="13" style="60" bestFit="1" customWidth="1"/>
    <col min="14" max="14" width="25" style="60" bestFit="1" customWidth="1"/>
    <col min="15" max="15" width="33" style="60" bestFit="1" customWidth="1"/>
    <col min="16" max="16" width="29.796875" style="60" bestFit="1" customWidth="1"/>
    <col min="17" max="17" width="26.3984375" style="60" bestFit="1" customWidth="1"/>
    <col min="18" max="18" width="26.19921875" style="60" bestFit="1" customWidth="1"/>
    <col min="19" max="19" width="16.59765625" style="60" bestFit="1" customWidth="1"/>
    <col min="20" max="20" width="15.19921875" style="60" bestFit="1" customWidth="1"/>
    <col min="21" max="21" width="18" style="60" bestFit="1" customWidth="1"/>
    <col min="22" max="22" width="23.796875" style="60" bestFit="1" customWidth="1"/>
    <col min="23" max="23" width="21.3984375" style="60" bestFit="1" customWidth="1"/>
    <col min="24" max="24" width="32.796875" style="60" bestFit="1" customWidth="1"/>
    <col min="25" max="25" width="16.59765625" style="60" bestFit="1" customWidth="1"/>
    <col min="26" max="26" width="25.19921875" style="60" bestFit="1" customWidth="1"/>
    <col min="27" max="27" width="17.19921875" style="60" bestFit="1" customWidth="1"/>
    <col min="28" max="28" width="23.59765625" style="60" bestFit="1" customWidth="1"/>
    <col min="29" max="29" width="14.19921875" style="60" bestFit="1" customWidth="1"/>
    <col min="30" max="30" width="17.59765625" style="60" bestFit="1" customWidth="1"/>
    <col min="31" max="31" width="6.3984375" style="60" bestFit="1" customWidth="1"/>
    <col min="32" max="32" width="9.796875" style="60" bestFit="1" customWidth="1"/>
    <col min="33" max="33" width="11.59765625" style="60" bestFit="1" customWidth="1"/>
    <col min="34" max="34" width="15.796875" style="60" bestFit="1" customWidth="1"/>
    <col min="35" max="35" width="24.796875" style="60" bestFit="1" customWidth="1"/>
    <col min="36" max="36" width="26" style="60" bestFit="1" customWidth="1"/>
    <col min="37" max="37" width="31.19921875" style="60" bestFit="1" customWidth="1"/>
    <col min="38" max="38" width="37.796875" style="60" bestFit="1" customWidth="1"/>
    <col min="39" max="39" width="17" style="60" bestFit="1" customWidth="1"/>
    <col min="40" max="40" width="12" style="60" bestFit="1" customWidth="1"/>
    <col min="41" max="41" width="25.3984375" style="60" bestFit="1" customWidth="1"/>
    <col min="42" max="42" width="33.19921875" style="60" bestFit="1" customWidth="1"/>
    <col min="43" max="43" width="18.59765625" style="60" bestFit="1" customWidth="1"/>
    <col min="44" max="44" width="15.3984375" style="60" bestFit="1" customWidth="1"/>
    <col min="45" max="45" width="13" style="60" bestFit="1" customWidth="1"/>
    <col min="46" max="46" width="25" style="60" bestFit="1" customWidth="1"/>
    <col min="47" max="47" width="33" style="60" bestFit="1" customWidth="1"/>
    <col min="48" max="48" width="29.796875" style="60" bestFit="1" customWidth="1"/>
    <col min="49" max="49" width="26.3984375" style="60" bestFit="1" customWidth="1"/>
    <col min="50" max="50" width="26.19921875" style="60" bestFit="1" customWidth="1"/>
    <col min="51" max="51" width="16.59765625" style="60" bestFit="1" customWidth="1"/>
    <col min="52" max="52" width="15.19921875" style="60" bestFit="1" customWidth="1"/>
    <col min="53" max="53" width="18" style="60" bestFit="1" customWidth="1"/>
    <col min="54" max="54" width="23.796875" style="60" bestFit="1" customWidth="1"/>
    <col min="55" max="55" width="21.3984375" style="60" bestFit="1" customWidth="1"/>
    <col min="56" max="56" width="32.796875" style="60" bestFit="1" customWidth="1"/>
    <col min="57" max="57" width="16.59765625" style="60" bestFit="1" customWidth="1"/>
    <col min="58" max="58" width="25.19921875" style="60" bestFit="1" customWidth="1"/>
    <col min="59" max="59" width="17.19921875" style="60" bestFit="1" customWidth="1"/>
    <col min="60" max="60" width="23.59765625" style="60" bestFit="1" customWidth="1"/>
    <col min="61" max="61" width="14.19921875" style="60" bestFit="1" customWidth="1"/>
    <col min="62" max="62" width="17.59765625" style="60" bestFit="1" customWidth="1"/>
    <col min="63" max="63" width="7.3984375" style="60" bestFit="1" customWidth="1"/>
    <col min="64" max="64" width="8.19921875" style="60" bestFit="1" customWidth="1"/>
    <col min="65" max="65" width="11.59765625" style="60" bestFit="1" customWidth="1"/>
    <col min="66" max="66" width="20.59765625" style="60" bestFit="1" customWidth="1"/>
    <col min="67" max="67" width="21.3984375" style="60" bestFit="1" customWidth="1"/>
    <col min="68" max="68" width="26.19921875" style="60" bestFit="1" customWidth="1"/>
    <col min="69" max="69" width="33.3984375" style="60" bestFit="1" customWidth="1"/>
    <col min="70" max="70" width="22.59765625" style="60" bestFit="1" customWidth="1"/>
    <col min="71" max="71" width="16.59765625" style="60" bestFit="1" customWidth="1"/>
    <col min="72" max="72" width="15.19921875" style="60" bestFit="1" customWidth="1"/>
    <col min="73" max="73" width="18" style="60" bestFit="1" customWidth="1"/>
    <col min="74" max="74" width="21" style="60" bestFit="1" customWidth="1"/>
    <col min="75" max="75" width="28.3984375" style="60" bestFit="1" customWidth="1"/>
    <col min="76" max="76" width="23.796875" style="60" bestFit="1" customWidth="1"/>
    <col min="77" max="77" width="18.3984375" style="60" bestFit="1" customWidth="1"/>
    <col min="78" max="78" width="21.3984375" style="60" bestFit="1" customWidth="1"/>
    <col min="79" max="79" width="29.3984375" style="60" bestFit="1" customWidth="1"/>
    <col min="80" max="80" width="19.19921875" style="60" bestFit="1" customWidth="1"/>
    <col min="81" max="81" width="32.796875" style="60" bestFit="1" customWidth="1"/>
    <col min="82" max="82" width="16.59765625" style="60" bestFit="1" customWidth="1"/>
    <col min="83" max="83" width="25.19921875" style="60" bestFit="1" customWidth="1"/>
    <col min="84" max="84" width="8" style="60" bestFit="1" customWidth="1"/>
    <col min="85" max="85" width="17.19921875" style="60" bestFit="1" customWidth="1"/>
    <col min="86" max="86" width="23.59765625" style="60" bestFit="1" customWidth="1"/>
    <col min="87" max="87" width="14.199218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 t="s">
        <v>27</v>
      </c>
      <c r="E4"/>
      <c r="F4" t="s">
        <v>29</v>
      </c>
      <c r="G4" t="s">
        <v>30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45</v>
      </c>
      <c r="C5" t="s">
        <v>236</v>
      </c>
      <c r="D5" t="s">
        <v>45</v>
      </c>
      <c r="E5" t="s">
        <v>236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4</v>
      </c>
      <c r="B6"/>
      <c r="C6"/>
      <c r="D6">
        <v>100</v>
      </c>
      <c r="E6"/>
      <c r="F6"/>
      <c r="G6">
        <v>100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/>
      <c r="C7"/>
      <c r="D7">
        <v>100</v>
      </c>
      <c r="E7"/>
      <c r="F7"/>
      <c r="G7">
        <v>100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5</v>
      </c>
      <c r="B8"/>
      <c r="C8">
        <v>58241.43</v>
      </c>
      <c r="D8">
        <v>60096.67</v>
      </c>
      <c r="E8"/>
      <c r="F8">
        <v>58241.43</v>
      </c>
      <c r="G8">
        <v>60096.67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/>
      <c r="C9">
        <v>58241.43</v>
      </c>
      <c r="D9">
        <v>60096.67</v>
      </c>
      <c r="E9"/>
      <c r="F9">
        <v>58241.43</v>
      </c>
      <c r="G9">
        <v>60096.67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2" t="s">
        <v>16</v>
      </c>
      <c r="B10"/>
      <c r="C10">
        <v>58241.43</v>
      </c>
      <c r="D10">
        <v>60196.67</v>
      </c>
      <c r="E10"/>
      <c r="F10">
        <v>58241.43</v>
      </c>
      <c r="G10">
        <v>60196.67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3C139-7076-6641-B65E-E835E2BE3D23}">
  <sheetPr codeName="Foglio20">
    <tabColor rgb="FF7030A0"/>
  </sheetPr>
  <dimension ref="A3:CO42"/>
  <sheetViews>
    <sheetView workbookViewId="0">
      <selection activeCell="E7" sqref="E7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25.3984375" style="60" bestFit="1" customWidth="1"/>
    <col min="4" max="4" width="15.796875" style="60" bestFit="1" customWidth="1"/>
    <col min="5" max="5" width="25.3984375" style="60" bestFit="1" customWidth="1"/>
    <col min="6" max="6" width="20.59765625" style="60" bestFit="1" customWidth="1"/>
    <col min="7" max="7" width="21.3984375" style="60" bestFit="1" customWidth="1"/>
    <col min="8" max="8" width="12" style="60" bestFit="1" customWidth="1"/>
    <col min="9" max="9" width="25.3984375" style="60" bestFit="1" customWidth="1"/>
    <col min="10" max="10" width="33.19921875" style="60" bestFit="1" customWidth="1"/>
    <col min="11" max="11" width="18.59765625" style="60" bestFit="1" customWidth="1"/>
    <col min="12" max="12" width="15.3984375" style="60" bestFit="1" customWidth="1"/>
    <col min="13" max="13" width="13" style="60" bestFit="1" customWidth="1"/>
    <col min="14" max="14" width="25" style="60" bestFit="1" customWidth="1"/>
    <col min="15" max="15" width="33" style="60" bestFit="1" customWidth="1"/>
    <col min="16" max="16" width="29.796875" style="60" bestFit="1" customWidth="1"/>
    <col min="17" max="17" width="26.3984375" style="60" bestFit="1" customWidth="1"/>
    <col min="18" max="18" width="26.19921875" style="60" bestFit="1" customWidth="1"/>
    <col min="19" max="19" width="16.59765625" style="60" bestFit="1" customWidth="1"/>
    <col min="20" max="20" width="15.19921875" style="60" bestFit="1" customWidth="1"/>
    <col min="21" max="21" width="18" style="60" bestFit="1" customWidth="1"/>
    <col min="22" max="22" width="23.796875" style="60" bestFit="1" customWidth="1"/>
    <col min="23" max="23" width="21.3984375" style="60" bestFit="1" customWidth="1"/>
    <col min="24" max="24" width="32.796875" style="60" bestFit="1" customWidth="1"/>
    <col min="25" max="25" width="16.59765625" style="60" bestFit="1" customWidth="1"/>
    <col min="26" max="26" width="25.19921875" style="60" bestFit="1" customWidth="1"/>
    <col min="27" max="27" width="17.19921875" style="60" bestFit="1" customWidth="1"/>
    <col min="28" max="28" width="23.59765625" style="60" bestFit="1" customWidth="1"/>
    <col min="29" max="29" width="14.19921875" style="60" bestFit="1" customWidth="1"/>
    <col min="30" max="30" width="17.59765625" style="60" bestFit="1" customWidth="1"/>
    <col min="31" max="31" width="6.3984375" style="60" bestFit="1" customWidth="1"/>
    <col min="32" max="32" width="9.796875" style="60" bestFit="1" customWidth="1"/>
    <col min="33" max="33" width="11.59765625" style="60" bestFit="1" customWidth="1"/>
    <col min="34" max="34" width="15.796875" style="60" bestFit="1" customWidth="1"/>
    <col min="35" max="35" width="24.796875" style="60" bestFit="1" customWidth="1"/>
    <col min="36" max="36" width="26" style="60" bestFit="1" customWidth="1"/>
    <col min="37" max="37" width="31.19921875" style="60" bestFit="1" customWidth="1"/>
    <col min="38" max="38" width="37.796875" style="60" bestFit="1" customWidth="1"/>
    <col min="39" max="39" width="17" style="60" bestFit="1" customWidth="1"/>
    <col min="40" max="40" width="12" style="60" bestFit="1" customWidth="1"/>
    <col min="41" max="41" width="25.3984375" style="60" bestFit="1" customWidth="1"/>
    <col min="42" max="42" width="33.19921875" style="60" bestFit="1" customWidth="1"/>
    <col min="43" max="43" width="18.59765625" style="60" bestFit="1" customWidth="1"/>
    <col min="44" max="44" width="15.3984375" style="60" bestFit="1" customWidth="1"/>
    <col min="45" max="45" width="13" style="60" bestFit="1" customWidth="1"/>
    <col min="46" max="46" width="25" style="60" bestFit="1" customWidth="1"/>
    <col min="47" max="47" width="33" style="60" bestFit="1" customWidth="1"/>
    <col min="48" max="48" width="29.796875" style="60" bestFit="1" customWidth="1"/>
    <col min="49" max="49" width="26.3984375" style="60" bestFit="1" customWidth="1"/>
    <col min="50" max="50" width="26.19921875" style="60" bestFit="1" customWidth="1"/>
    <col min="51" max="51" width="16.59765625" style="60" bestFit="1" customWidth="1"/>
    <col min="52" max="52" width="15.19921875" style="60" bestFit="1" customWidth="1"/>
    <col min="53" max="53" width="18" style="60" bestFit="1" customWidth="1"/>
    <col min="54" max="54" width="23.796875" style="60" bestFit="1" customWidth="1"/>
    <col min="55" max="55" width="21.3984375" style="60" bestFit="1" customWidth="1"/>
    <col min="56" max="56" width="32.796875" style="60" bestFit="1" customWidth="1"/>
    <col min="57" max="57" width="16.59765625" style="60" bestFit="1" customWidth="1"/>
    <col min="58" max="58" width="25.19921875" style="60" bestFit="1" customWidth="1"/>
    <col min="59" max="59" width="17.19921875" style="60" bestFit="1" customWidth="1"/>
    <col min="60" max="60" width="23.59765625" style="60" bestFit="1" customWidth="1"/>
    <col min="61" max="61" width="14.19921875" style="60" bestFit="1" customWidth="1"/>
    <col min="62" max="62" width="17.59765625" style="60" bestFit="1" customWidth="1"/>
    <col min="63" max="63" width="7.3984375" style="60" bestFit="1" customWidth="1"/>
    <col min="64" max="64" width="8.19921875" style="60" bestFit="1" customWidth="1"/>
    <col min="65" max="65" width="11.59765625" style="60" bestFit="1" customWidth="1"/>
    <col min="66" max="66" width="20.59765625" style="60" bestFit="1" customWidth="1"/>
    <col min="67" max="67" width="21.3984375" style="60" bestFit="1" customWidth="1"/>
    <col min="68" max="68" width="26.19921875" style="60" bestFit="1" customWidth="1"/>
    <col min="69" max="69" width="33.3984375" style="60" bestFit="1" customWidth="1"/>
    <col min="70" max="70" width="22.59765625" style="60" bestFit="1" customWidth="1"/>
    <col min="71" max="71" width="16.59765625" style="60" bestFit="1" customWidth="1"/>
    <col min="72" max="72" width="15.19921875" style="60" bestFit="1" customWidth="1"/>
    <col min="73" max="73" width="18" style="60" bestFit="1" customWidth="1"/>
    <col min="74" max="74" width="21" style="60" bestFit="1" customWidth="1"/>
    <col min="75" max="75" width="28.3984375" style="60" bestFit="1" customWidth="1"/>
    <col min="76" max="76" width="23.796875" style="60" bestFit="1" customWidth="1"/>
    <col min="77" max="77" width="18.3984375" style="60" bestFit="1" customWidth="1"/>
    <col min="78" max="78" width="21.3984375" style="60" bestFit="1" customWidth="1"/>
    <col min="79" max="79" width="29.3984375" style="60" bestFit="1" customWidth="1"/>
    <col min="80" max="80" width="19.19921875" style="60" bestFit="1" customWidth="1"/>
    <col min="81" max="81" width="32.796875" style="60" bestFit="1" customWidth="1"/>
    <col min="82" max="82" width="16.59765625" style="60" bestFit="1" customWidth="1"/>
    <col min="83" max="83" width="25.19921875" style="60" bestFit="1" customWidth="1"/>
    <col min="84" max="84" width="8" style="60" bestFit="1" customWidth="1"/>
    <col min="85" max="85" width="17.19921875" style="60" bestFit="1" customWidth="1"/>
    <col min="86" max="86" width="23.59765625" style="60" bestFit="1" customWidth="1"/>
    <col min="87" max="87" width="14.199218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 t="s">
        <v>27</v>
      </c>
      <c r="E4"/>
      <c r="F4" t="s">
        <v>29</v>
      </c>
      <c r="G4" t="s">
        <v>30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45</v>
      </c>
      <c r="C5" t="s">
        <v>152</v>
      </c>
      <c r="D5" t="s">
        <v>45</v>
      </c>
      <c r="E5" t="s">
        <v>152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4</v>
      </c>
      <c r="B6">
        <v>69900</v>
      </c>
      <c r="C6">
        <v>74.38</v>
      </c>
      <c r="D6">
        <v>320000</v>
      </c>
      <c r="E6"/>
      <c r="F6">
        <v>69974.38</v>
      </c>
      <c r="G6">
        <v>320000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>
        <v>69900</v>
      </c>
      <c r="C7">
        <v>74.38</v>
      </c>
      <c r="D7">
        <v>320000</v>
      </c>
      <c r="E7"/>
      <c r="F7">
        <v>69974.38</v>
      </c>
      <c r="G7">
        <v>320000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5</v>
      </c>
      <c r="B8">
        <v>60042</v>
      </c>
      <c r="C8"/>
      <c r="D8"/>
      <c r="E8"/>
      <c r="F8">
        <v>60042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>
        <v>60042</v>
      </c>
      <c r="C9"/>
      <c r="D9"/>
      <c r="E9"/>
      <c r="F9">
        <v>60042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2">
        <v>7</v>
      </c>
      <c r="B10">
        <v>30021</v>
      </c>
      <c r="C10"/>
      <c r="D10"/>
      <c r="E10"/>
      <c r="F10">
        <v>30021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 s="139" t="s">
        <v>115</v>
      </c>
      <c r="B11">
        <v>30021</v>
      </c>
      <c r="C11"/>
      <c r="D11"/>
      <c r="E11"/>
      <c r="F11">
        <v>30021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 s="2" t="s">
        <v>16</v>
      </c>
      <c r="B12">
        <v>159963</v>
      </c>
      <c r="C12">
        <v>74.38</v>
      </c>
      <c r="D12">
        <v>320000</v>
      </c>
      <c r="E12"/>
      <c r="F12">
        <v>160037.38</v>
      </c>
      <c r="G12">
        <v>320000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D49C-F224-764A-9A28-86E43CE00389}">
  <sheetPr codeName="Foglio31">
    <tabColor rgb="FF7030A0"/>
  </sheetPr>
  <dimension ref="A3:CO42"/>
  <sheetViews>
    <sheetView workbookViewId="0">
      <selection activeCell="C14" sqref="C14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20.19921875" style="60" bestFit="1" customWidth="1"/>
    <col min="4" max="5" width="19.3984375" style="60" bestFit="1" customWidth="1"/>
    <col min="6" max="7" width="20.19921875" style="60" bestFit="1" customWidth="1"/>
    <col min="8" max="9" width="19.3984375" style="60" bestFit="1" customWidth="1"/>
    <col min="10" max="10" width="27" style="60" bestFit="1" customWidth="1"/>
    <col min="11" max="11" width="20.19921875" style="60" bestFit="1" customWidth="1"/>
    <col min="12" max="13" width="19.3984375" style="60" bestFit="1" customWidth="1"/>
    <col min="14" max="15" width="20.19921875" style="60" bestFit="1" customWidth="1"/>
    <col min="16" max="17" width="19.3984375" style="60" bestFit="1" customWidth="1"/>
    <col min="18" max="19" width="20.19921875" style="60" bestFit="1" customWidth="1"/>
    <col min="20" max="21" width="19.3984375" style="60" bestFit="1" customWidth="1"/>
    <col min="22" max="23" width="25.796875" style="60" bestFit="1" customWidth="1"/>
    <col min="24" max="25" width="25" style="60" bestFit="1" customWidth="1"/>
    <col min="26" max="26" width="25.19921875" style="60" bestFit="1" customWidth="1"/>
    <col min="27" max="27" width="17.19921875" style="60" bestFit="1" customWidth="1"/>
    <col min="28" max="28" width="23.59765625" style="60" bestFit="1" customWidth="1"/>
    <col min="29" max="29" width="14.19921875" style="60" bestFit="1" customWidth="1"/>
    <col min="30" max="30" width="17.59765625" style="60" bestFit="1" customWidth="1"/>
    <col min="31" max="31" width="6.3984375" style="60" bestFit="1" customWidth="1"/>
    <col min="32" max="32" width="9.796875" style="60" bestFit="1" customWidth="1"/>
    <col min="33" max="33" width="11.59765625" style="60" bestFit="1" customWidth="1"/>
    <col min="34" max="34" width="15.796875" style="60" bestFit="1" customWidth="1"/>
    <col min="35" max="35" width="24.796875" style="60" bestFit="1" customWidth="1"/>
    <col min="36" max="36" width="26" style="60" bestFit="1" customWidth="1"/>
    <col min="37" max="37" width="31.19921875" style="60" bestFit="1" customWidth="1"/>
    <col min="38" max="38" width="37.796875" style="60" bestFit="1" customWidth="1"/>
    <col min="39" max="39" width="17" style="60" bestFit="1" customWidth="1"/>
    <col min="40" max="40" width="12" style="60" bestFit="1" customWidth="1"/>
    <col min="41" max="41" width="25.3984375" style="60" bestFit="1" customWidth="1"/>
    <col min="42" max="42" width="33.19921875" style="60" bestFit="1" customWidth="1"/>
    <col min="43" max="43" width="18.59765625" style="60" bestFit="1" customWidth="1"/>
    <col min="44" max="44" width="15.3984375" style="60" bestFit="1" customWidth="1"/>
    <col min="45" max="45" width="13" style="60" bestFit="1" customWidth="1"/>
    <col min="46" max="46" width="25" style="60" bestFit="1" customWidth="1"/>
    <col min="47" max="47" width="33" style="60" bestFit="1" customWidth="1"/>
    <col min="48" max="48" width="29.796875" style="60" bestFit="1" customWidth="1"/>
    <col min="49" max="49" width="26.3984375" style="60" bestFit="1" customWidth="1"/>
    <col min="50" max="50" width="26.19921875" style="60" bestFit="1" customWidth="1"/>
    <col min="51" max="51" width="16.59765625" style="60" bestFit="1" customWidth="1"/>
    <col min="52" max="52" width="15.19921875" style="60" bestFit="1" customWidth="1"/>
    <col min="53" max="53" width="18" style="60" bestFit="1" customWidth="1"/>
    <col min="54" max="54" width="23.796875" style="60" bestFit="1" customWidth="1"/>
    <col min="55" max="55" width="21.3984375" style="60" bestFit="1" customWidth="1"/>
    <col min="56" max="56" width="32.796875" style="60" bestFit="1" customWidth="1"/>
    <col min="57" max="57" width="16.59765625" style="60" bestFit="1" customWidth="1"/>
    <col min="58" max="58" width="25.19921875" style="60" bestFit="1" customWidth="1"/>
    <col min="59" max="59" width="17.19921875" style="60" bestFit="1" customWidth="1"/>
    <col min="60" max="60" width="23.59765625" style="60" bestFit="1" customWidth="1"/>
    <col min="61" max="61" width="14.19921875" style="60" bestFit="1" customWidth="1"/>
    <col min="62" max="62" width="17.59765625" style="60" bestFit="1" customWidth="1"/>
    <col min="63" max="63" width="7.3984375" style="60" bestFit="1" customWidth="1"/>
    <col min="64" max="64" width="8.19921875" style="60" bestFit="1" customWidth="1"/>
    <col min="65" max="65" width="11.59765625" style="60" bestFit="1" customWidth="1"/>
    <col min="66" max="66" width="20.59765625" style="60" bestFit="1" customWidth="1"/>
    <col min="67" max="67" width="21.3984375" style="60" bestFit="1" customWidth="1"/>
    <col min="68" max="68" width="26.19921875" style="60" bestFit="1" customWidth="1"/>
    <col min="69" max="69" width="33.3984375" style="60" bestFit="1" customWidth="1"/>
    <col min="70" max="70" width="22.59765625" style="60" bestFit="1" customWidth="1"/>
    <col min="71" max="71" width="16.59765625" style="60" bestFit="1" customWidth="1"/>
    <col min="72" max="72" width="15.19921875" style="60" bestFit="1" customWidth="1"/>
    <col min="73" max="73" width="18" style="60" bestFit="1" customWidth="1"/>
    <col min="74" max="74" width="21" style="60" bestFit="1" customWidth="1"/>
    <col min="75" max="75" width="28.3984375" style="60" bestFit="1" customWidth="1"/>
    <col min="76" max="76" width="23.796875" style="60" bestFit="1" customWidth="1"/>
    <col min="77" max="77" width="18.3984375" style="60" bestFit="1" customWidth="1"/>
    <col min="78" max="78" width="21.3984375" style="60" bestFit="1" customWidth="1"/>
    <col min="79" max="79" width="29.3984375" style="60" bestFit="1" customWidth="1"/>
    <col min="80" max="80" width="19.19921875" style="60" bestFit="1" customWidth="1"/>
    <col min="81" max="81" width="32.796875" style="60" bestFit="1" customWidth="1"/>
    <col min="82" max="82" width="16.59765625" style="60" bestFit="1" customWidth="1"/>
    <col min="83" max="83" width="25.19921875" style="60" bestFit="1" customWidth="1"/>
    <col min="84" max="84" width="8" style="60" bestFit="1" customWidth="1"/>
    <col min="85" max="85" width="17.19921875" style="60" bestFit="1" customWidth="1"/>
    <col min="86" max="86" width="23.59765625" style="60" bestFit="1" customWidth="1"/>
    <col min="87" max="87" width="14.199218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45</v>
      </c>
      <c r="C4"/>
      <c r="D4"/>
      <c r="E4"/>
      <c r="F4" t="s">
        <v>540</v>
      </c>
      <c r="G4"/>
      <c r="H4"/>
      <c r="I4"/>
      <c r="J4" t="s">
        <v>419</v>
      </c>
      <c r="K4"/>
      <c r="L4"/>
      <c r="M4"/>
      <c r="N4" t="s">
        <v>34</v>
      </c>
      <c r="O4"/>
      <c r="P4"/>
      <c r="Q4"/>
      <c r="R4" t="s">
        <v>345</v>
      </c>
      <c r="S4"/>
      <c r="T4"/>
      <c r="U4"/>
      <c r="V4" t="s">
        <v>852</v>
      </c>
      <c r="W4" t="s">
        <v>853</v>
      </c>
      <c r="X4" t="s">
        <v>857</v>
      </c>
      <c r="Y4" t="s">
        <v>855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854</v>
      </c>
      <c r="C5" t="s">
        <v>851</v>
      </c>
      <c r="D5" t="s">
        <v>858</v>
      </c>
      <c r="E5" t="s">
        <v>856</v>
      </c>
      <c r="F5" t="s">
        <v>854</v>
      </c>
      <c r="G5" t="s">
        <v>851</v>
      </c>
      <c r="H5" t="s">
        <v>858</v>
      </c>
      <c r="I5" t="s">
        <v>856</v>
      </c>
      <c r="J5" t="s">
        <v>854</v>
      </c>
      <c r="K5" t="s">
        <v>851</v>
      </c>
      <c r="L5" t="s">
        <v>858</v>
      </c>
      <c r="M5" t="s">
        <v>856</v>
      </c>
      <c r="N5" t="s">
        <v>854</v>
      </c>
      <c r="O5" t="s">
        <v>851</v>
      </c>
      <c r="P5" t="s">
        <v>858</v>
      </c>
      <c r="Q5" t="s">
        <v>856</v>
      </c>
      <c r="R5" t="s">
        <v>854</v>
      </c>
      <c r="S5" t="s">
        <v>851</v>
      </c>
      <c r="T5" t="s">
        <v>858</v>
      </c>
      <c r="U5" t="s">
        <v>856</v>
      </c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4</v>
      </c>
      <c r="B6" s="415">
        <v>67582.645143000002</v>
      </c>
      <c r="C6" s="415">
        <v>292692.27</v>
      </c>
      <c r="D6"/>
      <c r="E6">
        <v>0</v>
      </c>
      <c r="F6" s="415"/>
      <c r="G6" s="415"/>
      <c r="H6"/>
      <c r="I6"/>
      <c r="J6" s="415"/>
      <c r="K6" s="415"/>
      <c r="L6"/>
      <c r="M6"/>
      <c r="N6" s="415"/>
      <c r="O6" s="415"/>
      <c r="P6"/>
      <c r="Q6"/>
      <c r="R6" s="415"/>
      <c r="S6" s="415"/>
      <c r="T6"/>
      <c r="U6"/>
      <c r="V6" s="415">
        <v>67582.645143000002</v>
      </c>
      <c r="W6" s="415">
        <v>292692.27</v>
      </c>
      <c r="X6"/>
      <c r="Y6">
        <v>0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 s="415">
        <v>67582.645143000002</v>
      </c>
      <c r="C7" s="415">
        <v>292692.27</v>
      </c>
      <c r="D7"/>
      <c r="E7">
        <v>0</v>
      </c>
      <c r="F7" s="415"/>
      <c r="G7" s="415"/>
      <c r="H7"/>
      <c r="I7"/>
      <c r="J7" s="415"/>
      <c r="K7" s="415"/>
      <c r="L7"/>
      <c r="M7"/>
      <c r="N7" s="415"/>
      <c r="O7" s="415"/>
      <c r="P7"/>
      <c r="Q7"/>
      <c r="R7" s="415"/>
      <c r="S7" s="415"/>
      <c r="T7"/>
      <c r="U7"/>
      <c r="V7" s="415">
        <v>67582.645143000002</v>
      </c>
      <c r="W7" s="415">
        <v>292692.27</v>
      </c>
      <c r="X7"/>
      <c r="Y7">
        <v>0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5</v>
      </c>
      <c r="B8" s="415"/>
      <c r="C8" s="415"/>
      <c r="D8"/>
      <c r="E8"/>
      <c r="F8" s="415">
        <v>0</v>
      </c>
      <c r="G8" s="415"/>
      <c r="H8">
        <v>40481.050000000003</v>
      </c>
      <c r="I8">
        <v>9435.3231340000002</v>
      </c>
      <c r="J8" s="415">
        <v>0</v>
      </c>
      <c r="K8" s="415"/>
      <c r="L8">
        <v>16954.689999999999</v>
      </c>
      <c r="M8">
        <v>3933.4880800000005</v>
      </c>
      <c r="N8" s="415">
        <v>513.97216500000002</v>
      </c>
      <c r="O8" s="415">
        <v>2188.8900000000003</v>
      </c>
      <c r="P8"/>
      <c r="Q8">
        <v>0</v>
      </c>
      <c r="R8" s="415">
        <v>0</v>
      </c>
      <c r="S8" s="415"/>
      <c r="T8">
        <v>60</v>
      </c>
      <c r="U8">
        <v>14.0136</v>
      </c>
      <c r="V8" s="415">
        <v>513.97216500000002</v>
      </c>
      <c r="W8" s="415">
        <v>2188.8900000000003</v>
      </c>
      <c r="X8">
        <v>57495.740000000005</v>
      </c>
      <c r="Y8">
        <v>13382.824814000001</v>
      </c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 s="415"/>
      <c r="C9" s="415"/>
      <c r="D9"/>
      <c r="E9"/>
      <c r="F9" s="415">
        <v>0</v>
      </c>
      <c r="G9" s="415"/>
      <c r="H9">
        <v>40481.050000000003</v>
      </c>
      <c r="I9">
        <v>9435.3231340000002</v>
      </c>
      <c r="J9" s="415">
        <v>0</v>
      </c>
      <c r="K9" s="415"/>
      <c r="L9">
        <v>16954.689999999999</v>
      </c>
      <c r="M9">
        <v>3933.4880800000005</v>
      </c>
      <c r="N9" s="415">
        <v>513.97216500000002</v>
      </c>
      <c r="O9" s="415">
        <v>2188.8900000000003</v>
      </c>
      <c r="P9"/>
      <c r="Q9">
        <v>0</v>
      </c>
      <c r="R9" s="415">
        <v>0</v>
      </c>
      <c r="S9" s="415"/>
      <c r="T9">
        <v>60</v>
      </c>
      <c r="U9">
        <v>14.0136</v>
      </c>
      <c r="V9" s="415">
        <v>513.97216500000002</v>
      </c>
      <c r="W9" s="415">
        <v>2188.8900000000003</v>
      </c>
      <c r="X9">
        <v>57495.740000000005</v>
      </c>
      <c r="Y9">
        <v>13382.824814000001</v>
      </c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2">
        <v>6</v>
      </c>
      <c r="B10" s="415"/>
      <c r="C10" s="415"/>
      <c r="D10"/>
      <c r="E10"/>
      <c r="F10" s="415">
        <v>0</v>
      </c>
      <c r="G10" s="415"/>
      <c r="H10">
        <v>40481.030000000006</v>
      </c>
      <c r="I10">
        <v>9435.3184724000002</v>
      </c>
      <c r="J10" s="415">
        <v>0</v>
      </c>
      <c r="K10" s="415"/>
      <c r="L10">
        <v>3000.05</v>
      </c>
      <c r="M10">
        <v>699.25165400000003</v>
      </c>
      <c r="N10" s="415"/>
      <c r="O10" s="415"/>
      <c r="P10"/>
      <c r="Q10"/>
      <c r="R10" s="415"/>
      <c r="S10" s="415"/>
      <c r="T10"/>
      <c r="U10"/>
      <c r="V10" s="415">
        <v>0</v>
      </c>
      <c r="W10" s="415"/>
      <c r="X10">
        <v>43481.080000000009</v>
      </c>
      <c r="Y10">
        <v>10134.5701264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 s="139" t="s">
        <v>115</v>
      </c>
      <c r="B11" s="415"/>
      <c r="C11" s="415"/>
      <c r="D11"/>
      <c r="E11"/>
      <c r="F11" s="415">
        <v>0</v>
      </c>
      <c r="G11" s="415"/>
      <c r="H11">
        <v>40481.030000000006</v>
      </c>
      <c r="I11">
        <v>9435.3184724000002</v>
      </c>
      <c r="J11" s="415">
        <v>0</v>
      </c>
      <c r="K11" s="415"/>
      <c r="L11">
        <v>3000.05</v>
      </c>
      <c r="M11">
        <v>699.25165400000003</v>
      </c>
      <c r="N11" s="415"/>
      <c r="O11" s="415"/>
      <c r="P11"/>
      <c r="Q11"/>
      <c r="R11" s="415"/>
      <c r="S11" s="415"/>
      <c r="T11"/>
      <c r="U11"/>
      <c r="V11" s="415">
        <v>0</v>
      </c>
      <c r="W11" s="415"/>
      <c r="X11">
        <v>43481.080000000009</v>
      </c>
      <c r="Y11">
        <v>10134.5701264</v>
      </c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 s="2">
        <v>7</v>
      </c>
      <c r="B12" s="415"/>
      <c r="C12" s="415"/>
      <c r="D12"/>
      <c r="E12"/>
      <c r="F12" s="415">
        <v>0</v>
      </c>
      <c r="G12" s="415"/>
      <c r="H12">
        <v>40481.030000000006</v>
      </c>
      <c r="I12">
        <v>9435.3184724000002</v>
      </c>
      <c r="J12" s="415">
        <v>0</v>
      </c>
      <c r="K12" s="415"/>
      <c r="L12">
        <v>23985.19</v>
      </c>
      <c r="M12">
        <v>5590.4680852000001</v>
      </c>
      <c r="N12" s="415"/>
      <c r="O12" s="415"/>
      <c r="P12"/>
      <c r="Q12"/>
      <c r="R12" s="415"/>
      <c r="S12" s="415"/>
      <c r="T12"/>
      <c r="U12"/>
      <c r="V12" s="415">
        <v>0</v>
      </c>
      <c r="W12" s="415"/>
      <c r="X12">
        <v>64466.22</v>
      </c>
      <c r="Y12">
        <v>15025.7865576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 s="139" t="s">
        <v>115</v>
      </c>
      <c r="B13" s="415"/>
      <c r="C13" s="415"/>
      <c r="D13"/>
      <c r="E13"/>
      <c r="F13" s="415">
        <v>0</v>
      </c>
      <c r="G13" s="415"/>
      <c r="H13">
        <v>40481.030000000006</v>
      </c>
      <c r="I13">
        <v>9435.3184724000002</v>
      </c>
      <c r="J13" s="415">
        <v>0</v>
      </c>
      <c r="K13" s="415"/>
      <c r="L13">
        <v>23985.19</v>
      </c>
      <c r="M13">
        <v>5590.4680852000001</v>
      </c>
      <c r="N13" s="415"/>
      <c r="O13" s="415"/>
      <c r="P13"/>
      <c r="Q13"/>
      <c r="R13" s="415"/>
      <c r="S13" s="415"/>
      <c r="T13"/>
      <c r="U13"/>
      <c r="V13" s="415">
        <v>0</v>
      </c>
      <c r="W13" s="415"/>
      <c r="X13">
        <v>64466.22</v>
      </c>
      <c r="Y13">
        <v>15025.7865576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 s="2" t="s">
        <v>16</v>
      </c>
      <c r="B14" s="415">
        <v>67582.645143000002</v>
      </c>
      <c r="C14" s="415">
        <v>292692.27</v>
      </c>
      <c r="D14"/>
      <c r="E14">
        <v>0</v>
      </c>
      <c r="F14" s="415">
        <v>0</v>
      </c>
      <c r="G14" s="415"/>
      <c r="H14">
        <v>121443.11000000002</v>
      </c>
      <c r="I14">
        <v>28305.960078800003</v>
      </c>
      <c r="J14" s="415">
        <v>0</v>
      </c>
      <c r="K14" s="415"/>
      <c r="L14">
        <v>43939.929999999993</v>
      </c>
      <c r="M14">
        <v>10223.207819200001</v>
      </c>
      <c r="N14" s="415">
        <v>513.97216500000002</v>
      </c>
      <c r="O14" s="415">
        <v>2188.8900000000003</v>
      </c>
      <c r="P14"/>
      <c r="Q14">
        <v>0</v>
      </c>
      <c r="R14" s="415">
        <v>0</v>
      </c>
      <c r="S14" s="415"/>
      <c r="T14">
        <v>60</v>
      </c>
      <c r="U14">
        <v>14.0136</v>
      </c>
      <c r="V14" s="415">
        <v>68096.617308000001</v>
      </c>
      <c r="W14" s="415">
        <v>294881.16000000003</v>
      </c>
      <c r="X14">
        <v>165443.04</v>
      </c>
      <c r="Y14">
        <v>38543.181498000005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E16C4-6A89-8448-A78D-A876F8BF805F}">
  <sheetPr codeName="Foglio17">
    <tabColor rgb="FF7030A0"/>
  </sheetPr>
  <dimension ref="A3:CO42"/>
  <sheetViews>
    <sheetView workbookViewId="0">
      <selection activeCell="A23" sqref="A23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24.796875" style="60" bestFit="1" customWidth="1"/>
    <col min="4" max="4" width="26" style="60" bestFit="1" customWidth="1"/>
    <col min="5" max="5" width="31.19921875" style="60" bestFit="1" customWidth="1"/>
    <col min="6" max="6" width="37.796875" style="60" bestFit="1" customWidth="1"/>
    <col min="7" max="7" width="17" style="60" bestFit="1" customWidth="1"/>
    <col min="8" max="8" width="12" style="60" bestFit="1" customWidth="1"/>
    <col min="9" max="9" width="25.3984375" style="60" bestFit="1" customWidth="1"/>
    <col min="10" max="10" width="33.19921875" style="60" bestFit="1" customWidth="1"/>
    <col min="11" max="11" width="18.59765625" style="60" bestFit="1" customWidth="1"/>
    <col min="12" max="12" width="15.3984375" style="60" bestFit="1" customWidth="1"/>
    <col min="13" max="13" width="13" style="60" bestFit="1" customWidth="1"/>
    <col min="14" max="14" width="11.796875" style="60" bestFit="1" customWidth="1"/>
    <col min="15" max="15" width="25" style="60" bestFit="1" customWidth="1"/>
    <col min="16" max="16" width="33" style="60" bestFit="1" customWidth="1"/>
    <col min="17" max="17" width="29.796875" style="60" bestFit="1" customWidth="1"/>
    <col min="18" max="18" width="25.796875" style="60" bestFit="1" customWidth="1"/>
    <col min="19" max="19" width="26.3984375" style="60" bestFit="1" customWidth="1"/>
    <col min="20" max="20" width="26.19921875" style="60" bestFit="1" customWidth="1"/>
    <col min="21" max="21" width="22.59765625" style="60" bestFit="1" customWidth="1"/>
    <col min="22" max="22" width="16.59765625" style="60" bestFit="1" customWidth="1"/>
    <col min="23" max="23" width="15.19921875" style="60" bestFit="1" customWidth="1"/>
    <col min="24" max="24" width="18" style="60" bestFit="1" customWidth="1"/>
    <col min="25" max="25" width="23.796875" style="60" bestFit="1" customWidth="1"/>
    <col min="26" max="26" width="32.796875" style="60" bestFit="1" customWidth="1"/>
    <col min="27" max="27" width="16.59765625" style="60" bestFit="1" customWidth="1"/>
    <col min="28" max="28" width="25.19921875" style="60" bestFit="1" customWidth="1"/>
    <col min="29" max="29" width="17.19921875" style="60" bestFit="1" customWidth="1"/>
    <col min="30" max="30" width="23.59765625" style="60" bestFit="1" customWidth="1"/>
    <col min="31" max="31" width="14.19921875" style="60" bestFit="1" customWidth="1"/>
    <col min="32" max="32" width="33" style="60" bestFit="1" customWidth="1"/>
    <col min="33" max="33" width="17.59765625" style="60" bestFit="1" customWidth="1"/>
    <col min="34" max="34" width="6.3984375" style="60" bestFit="1" customWidth="1"/>
    <col min="35" max="35" width="9.796875" style="60" bestFit="1" customWidth="1"/>
    <col min="36" max="36" width="11.59765625" style="60" bestFit="1" customWidth="1"/>
    <col min="37" max="37" width="7.19921875" style="60" bestFit="1" customWidth="1"/>
    <col min="38" max="38" width="37.796875" style="60" bestFit="1" customWidth="1"/>
    <col min="39" max="39" width="13.19921875" style="60" bestFit="1" customWidth="1"/>
    <col min="40" max="40" width="27" style="60" bestFit="1" customWidth="1"/>
    <col min="41" max="41" width="12.3984375" style="60" bestFit="1" customWidth="1"/>
    <col min="42" max="42" width="19.19921875" style="60" bestFit="1" customWidth="1"/>
    <col min="43" max="43" width="29" style="60" bestFit="1" customWidth="1"/>
    <col min="44" max="44" width="15.796875" style="60" bestFit="1" customWidth="1"/>
    <col min="45" max="45" width="24.796875" style="60" bestFit="1" customWidth="1"/>
    <col min="46" max="46" width="26" style="60" bestFit="1" customWidth="1"/>
    <col min="47" max="47" width="31.19921875" style="60" bestFit="1" customWidth="1"/>
    <col min="48" max="48" width="37.796875" style="60" bestFit="1" customWidth="1"/>
    <col min="49" max="49" width="17" style="60" bestFit="1" customWidth="1"/>
    <col min="50" max="50" width="12" style="60" bestFit="1" customWidth="1"/>
    <col min="51" max="51" width="25.3984375" style="60" bestFit="1" customWidth="1"/>
    <col min="52" max="52" width="33.19921875" style="60" bestFit="1" customWidth="1"/>
    <col min="53" max="53" width="18.59765625" style="60" bestFit="1" customWidth="1"/>
    <col min="54" max="54" width="15.3984375" style="60" bestFit="1" customWidth="1"/>
    <col min="55" max="55" width="13" style="60" bestFit="1" customWidth="1"/>
    <col min="56" max="56" width="11.796875" style="60" bestFit="1" customWidth="1"/>
    <col min="57" max="57" width="25" style="60" bestFit="1" customWidth="1"/>
    <col min="58" max="58" width="33" style="60" bestFit="1" customWidth="1"/>
    <col min="59" max="59" width="29.796875" style="60" bestFit="1" customWidth="1"/>
    <col min="60" max="60" width="25.796875" style="60" bestFit="1" customWidth="1"/>
    <col min="61" max="61" width="26.3984375" style="60" bestFit="1" customWidth="1"/>
    <col min="62" max="62" width="26.19921875" style="60" bestFit="1" customWidth="1"/>
    <col min="63" max="63" width="22.59765625" style="60" bestFit="1" customWidth="1"/>
    <col min="64" max="64" width="16.59765625" style="60" bestFit="1" customWidth="1"/>
    <col min="65" max="65" width="15.19921875" style="60" bestFit="1" customWidth="1"/>
    <col min="66" max="66" width="18" style="60" bestFit="1" customWidth="1"/>
    <col min="67" max="67" width="23.796875" style="60" bestFit="1" customWidth="1"/>
    <col min="68" max="68" width="32.796875" style="60" bestFit="1" customWidth="1"/>
    <col min="69" max="69" width="16.59765625" style="60" bestFit="1" customWidth="1"/>
    <col min="70" max="70" width="25.19921875" style="60" bestFit="1" customWidth="1"/>
    <col min="71" max="71" width="17.19921875" style="60" bestFit="1" customWidth="1"/>
    <col min="72" max="72" width="23.59765625" style="60" bestFit="1" customWidth="1"/>
    <col min="73" max="73" width="14.19921875" style="60" bestFit="1" customWidth="1"/>
    <col min="74" max="74" width="33" style="60" bestFit="1" customWidth="1"/>
    <col min="75" max="75" width="17.59765625" style="60" bestFit="1" customWidth="1"/>
    <col min="76" max="76" width="7.3984375" style="60" bestFit="1" customWidth="1"/>
    <col min="77" max="77" width="8.19921875" style="60" bestFit="1" customWidth="1"/>
    <col min="78" max="78" width="11.59765625" style="60" bestFit="1" customWidth="1"/>
    <col min="79" max="79" width="7.19921875" style="60" bestFit="1" customWidth="1"/>
    <col min="80" max="80" width="37.796875" style="60" bestFit="1" customWidth="1"/>
    <col min="81" max="81" width="13.19921875" style="60" bestFit="1" customWidth="1"/>
    <col min="82" max="82" width="27" style="60" bestFit="1" customWidth="1"/>
    <col min="83" max="83" width="12.3984375" style="60" bestFit="1" customWidth="1"/>
    <col min="84" max="84" width="19.19921875" style="60" bestFit="1" customWidth="1"/>
    <col min="85" max="85" width="29" style="60" bestFit="1" customWidth="1"/>
    <col min="86" max="86" width="20.59765625" style="60" bestFit="1" customWidth="1"/>
    <col min="87" max="87" width="21.3984375" style="60" bestFit="1" customWidth="1"/>
    <col min="88" max="88" width="15.19921875" style="60" bestFit="1" customWidth="1"/>
    <col min="89" max="89" width="33" style="60" bestFit="1" customWidth="1"/>
    <col min="90" max="90" width="20.59765625" style="60" bestFit="1" customWidth="1"/>
    <col min="91" max="91" width="21.398437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 t="s">
        <v>27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 t="s">
        <v>29</v>
      </c>
      <c r="CI4" t="s">
        <v>30</v>
      </c>
      <c r="CJ4"/>
      <c r="CK4"/>
      <c r="CL4"/>
      <c r="CM4"/>
      <c r="CN4"/>
      <c r="CO4"/>
    </row>
    <row r="5" spans="1:93" x14ac:dyDescent="0.2">
      <c r="A5" s="1" t="s">
        <v>15</v>
      </c>
      <c r="B5" t="s">
        <v>32</v>
      </c>
      <c r="C5" t="s">
        <v>35</v>
      </c>
      <c r="D5" t="s">
        <v>136</v>
      </c>
      <c r="E5" t="s">
        <v>88</v>
      </c>
      <c r="F5" t="s">
        <v>127</v>
      </c>
      <c r="G5" t="s">
        <v>33</v>
      </c>
      <c r="H5" t="s">
        <v>47</v>
      </c>
      <c r="I5" t="s">
        <v>144</v>
      </c>
      <c r="J5" t="s">
        <v>46</v>
      </c>
      <c r="K5" t="s">
        <v>100</v>
      </c>
      <c r="L5" t="s">
        <v>288</v>
      </c>
      <c r="M5" t="s">
        <v>119</v>
      </c>
      <c r="N5" t="s">
        <v>99</v>
      </c>
      <c r="O5" t="s">
        <v>243</v>
      </c>
      <c r="P5" t="s">
        <v>270</v>
      </c>
      <c r="Q5" t="s">
        <v>401</v>
      </c>
      <c r="R5" t="s">
        <v>289</v>
      </c>
      <c r="S5" t="s">
        <v>104</v>
      </c>
      <c r="T5" t="s">
        <v>129</v>
      </c>
      <c r="U5" t="s">
        <v>94</v>
      </c>
      <c r="V5" t="s">
        <v>85</v>
      </c>
      <c r="W5" t="s">
        <v>42</v>
      </c>
      <c r="X5" t="s">
        <v>187</v>
      </c>
      <c r="Y5" t="s">
        <v>102</v>
      </c>
      <c r="Z5" t="s">
        <v>170</v>
      </c>
      <c r="AA5" t="s">
        <v>347</v>
      </c>
      <c r="AB5" t="s">
        <v>111</v>
      </c>
      <c r="AC5" t="s">
        <v>345</v>
      </c>
      <c r="AD5" t="s">
        <v>350</v>
      </c>
      <c r="AE5" t="s">
        <v>112</v>
      </c>
      <c r="AF5" t="s">
        <v>346</v>
      </c>
      <c r="AG5" t="s">
        <v>303</v>
      </c>
      <c r="AH5" t="s">
        <v>23</v>
      </c>
      <c r="AI5" t="s">
        <v>83</v>
      </c>
      <c r="AJ5" t="s">
        <v>145</v>
      </c>
      <c r="AK5" t="s">
        <v>123</v>
      </c>
      <c r="AL5" t="s">
        <v>398</v>
      </c>
      <c r="AM5" t="s">
        <v>141</v>
      </c>
      <c r="AN5" t="s">
        <v>419</v>
      </c>
      <c r="AO5" t="s">
        <v>397</v>
      </c>
      <c r="AP5" t="s">
        <v>926</v>
      </c>
      <c r="AQ5" t="s">
        <v>1013</v>
      </c>
      <c r="AR5" t="s">
        <v>32</v>
      </c>
      <c r="AS5" t="s">
        <v>35</v>
      </c>
      <c r="AT5" t="s">
        <v>136</v>
      </c>
      <c r="AU5" t="s">
        <v>88</v>
      </c>
      <c r="AV5" t="s">
        <v>127</v>
      </c>
      <c r="AW5" t="s">
        <v>33</v>
      </c>
      <c r="AX5" t="s">
        <v>47</v>
      </c>
      <c r="AY5" t="s">
        <v>144</v>
      </c>
      <c r="AZ5" t="s">
        <v>46</v>
      </c>
      <c r="BA5" t="s">
        <v>100</v>
      </c>
      <c r="BB5" t="s">
        <v>288</v>
      </c>
      <c r="BC5" t="s">
        <v>119</v>
      </c>
      <c r="BD5" t="s">
        <v>99</v>
      </c>
      <c r="BE5" t="s">
        <v>243</v>
      </c>
      <c r="BF5" t="s">
        <v>270</v>
      </c>
      <c r="BG5" t="s">
        <v>401</v>
      </c>
      <c r="BH5" t="s">
        <v>289</v>
      </c>
      <c r="BI5" t="s">
        <v>104</v>
      </c>
      <c r="BJ5" t="s">
        <v>129</v>
      </c>
      <c r="BK5" t="s">
        <v>94</v>
      </c>
      <c r="BL5" t="s">
        <v>85</v>
      </c>
      <c r="BM5" t="s">
        <v>42</v>
      </c>
      <c r="BN5" t="s">
        <v>187</v>
      </c>
      <c r="BO5" t="s">
        <v>102</v>
      </c>
      <c r="BP5" t="s">
        <v>170</v>
      </c>
      <c r="BQ5" t="s">
        <v>347</v>
      </c>
      <c r="BR5" t="s">
        <v>111</v>
      </c>
      <c r="BS5" t="s">
        <v>345</v>
      </c>
      <c r="BT5" t="s">
        <v>350</v>
      </c>
      <c r="BU5" t="s">
        <v>112</v>
      </c>
      <c r="BV5" t="s">
        <v>346</v>
      </c>
      <c r="BW5" t="s">
        <v>303</v>
      </c>
      <c r="BX5" t="s">
        <v>23</v>
      </c>
      <c r="BY5" t="s">
        <v>83</v>
      </c>
      <c r="BZ5" t="s">
        <v>145</v>
      </c>
      <c r="CA5" t="s">
        <v>123</v>
      </c>
      <c r="CB5" t="s">
        <v>398</v>
      </c>
      <c r="CC5" t="s">
        <v>141</v>
      </c>
      <c r="CD5" t="s">
        <v>419</v>
      </c>
      <c r="CE5" t="s">
        <v>397</v>
      </c>
      <c r="CF5" t="s">
        <v>926</v>
      </c>
      <c r="CG5" t="s">
        <v>1013</v>
      </c>
      <c r="CH5"/>
      <c r="CI5"/>
      <c r="CJ5"/>
      <c r="CK5"/>
      <c r="CL5"/>
      <c r="CM5"/>
      <c r="CN5"/>
      <c r="CO5"/>
    </row>
    <row r="6" spans="1:93" x14ac:dyDescent="0.2">
      <c r="A6" s="2">
        <v>1</v>
      </c>
      <c r="B6">
        <v>613.72000000000014</v>
      </c>
      <c r="C6">
        <v>65.930000000000007</v>
      </c>
      <c r="D6"/>
      <c r="E6">
        <v>66</v>
      </c>
      <c r="F6">
        <v>2.99</v>
      </c>
      <c r="G6">
        <v>321.56</v>
      </c>
      <c r="H6">
        <v>233.1</v>
      </c>
      <c r="I6">
        <v>2</v>
      </c>
      <c r="J6">
        <v>15.4</v>
      </c>
      <c r="K6"/>
      <c r="L6">
        <v>7.9</v>
      </c>
      <c r="M6">
        <v>32.85</v>
      </c>
      <c r="N6"/>
      <c r="O6"/>
      <c r="P6">
        <v>41.86</v>
      </c>
      <c r="Q6"/>
      <c r="R6"/>
      <c r="S6"/>
      <c r="T6">
        <v>349.85</v>
      </c>
      <c r="U6"/>
      <c r="V6">
        <v>2.2999999999999998</v>
      </c>
      <c r="W6"/>
      <c r="X6"/>
      <c r="Y6"/>
      <c r="Z6"/>
      <c r="AA6"/>
      <c r="AB6"/>
      <c r="AC6">
        <v>11.49</v>
      </c>
      <c r="AD6"/>
      <c r="AE6"/>
      <c r="AF6"/>
      <c r="AG6">
        <v>97</v>
      </c>
      <c r="AH6"/>
      <c r="AI6"/>
      <c r="AJ6"/>
      <c r="AK6"/>
      <c r="AL6"/>
      <c r="AM6"/>
      <c r="AN6"/>
      <c r="AO6"/>
      <c r="AP6"/>
      <c r="AQ6">
        <v>23.98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>
        <v>37.42</v>
      </c>
      <c r="BY6"/>
      <c r="BZ6"/>
      <c r="CA6"/>
      <c r="CB6"/>
      <c r="CC6"/>
      <c r="CD6"/>
      <c r="CE6"/>
      <c r="CF6"/>
      <c r="CG6"/>
      <c r="CH6">
        <v>1887.9299999999998</v>
      </c>
      <c r="CI6">
        <v>37.42</v>
      </c>
      <c r="CJ6"/>
      <c r="CK6"/>
      <c r="CL6"/>
      <c r="CM6"/>
      <c r="CN6"/>
      <c r="CO6"/>
    </row>
    <row r="7" spans="1:93" x14ac:dyDescent="0.2">
      <c r="A7" s="139" t="s">
        <v>115</v>
      </c>
      <c r="B7">
        <v>613.72000000000014</v>
      </c>
      <c r="C7">
        <v>65.930000000000007</v>
      </c>
      <c r="D7"/>
      <c r="E7">
        <v>66</v>
      </c>
      <c r="F7">
        <v>2.99</v>
      </c>
      <c r="G7">
        <v>321.56</v>
      </c>
      <c r="H7">
        <v>233.1</v>
      </c>
      <c r="I7">
        <v>2</v>
      </c>
      <c r="J7">
        <v>15.4</v>
      </c>
      <c r="K7"/>
      <c r="L7">
        <v>7.9</v>
      </c>
      <c r="M7">
        <v>32.85</v>
      </c>
      <c r="N7"/>
      <c r="O7"/>
      <c r="P7">
        <v>41.86</v>
      </c>
      <c r="Q7"/>
      <c r="R7"/>
      <c r="S7"/>
      <c r="T7">
        <v>349.85</v>
      </c>
      <c r="U7"/>
      <c r="V7">
        <v>2.2999999999999998</v>
      </c>
      <c r="W7"/>
      <c r="X7"/>
      <c r="Y7"/>
      <c r="Z7"/>
      <c r="AA7"/>
      <c r="AB7"/>
      <c r="AC7">
        <v>11.49</v>
      </c>
      <c r="AD7"/>
      <c r="AE7"/>
      <c r="AF7"/>
      <c r="AG7">
        <v>97</v>
      </c>
      <c r="AH7"/>
      <c r="AI7"/>
      <c r="AJ7"/>
      <c r="AK7"/>
      <c r="AL7"/>
      <c r="AM7"/>
      <c r="AN7"/>
      <c r="AO7"/>
      <c r="AP7"/>
      <c r="AQ7">
        <v>23.98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>
        <v>37.42</v>
      </c>
      <c r="BY7"/>
      <c r="BZ7"/>
      <c r="CA7"/>
      <c r="CB7"/>
      <c r="CC7"/>
      <c r="CD7"/>
      <c r="CE7"/>
      <c r="CF7"/>
      <c r="CG7"/>
      <c r="CH7">
        <v>1887.9299999999998</v>
      </c>
      <c r="CI7">
        <v>37.42</v>
      </c>
      <c r="CJ7"/>
      <c r="CK7"/>
      <c r="CL7"/>
      <c r="CM7"/>
      <c r="CN7"/>
      <c r="CO7"/>
    </row>
    <row r="8" spans="1:93" x14ac:dyDescent="0.2">
      <c r="A8" s="2">
        <v>2</v>
      </c>
      <c r="B8">
        <v>353.65999999999997</v>
      </c>
      <c r="C8"/>
      <c r="D8"/>
      <c r="E8">
        <v>17.36</v>
      </c>
      <c r="F8">
        <v>2.99</v>
      </c>
      <c r="G8">
        <v>26.61</v>
      </c>
      <c r="H8">
        <v>70.849999999999994</v>
      </c>
      <c r="I8">
        <v>2</v>
      </c>
      <c r="J8"/>
      <c r="K8"/>
      <c r="L8">
        <v>7.9</v>
      </c>
      <c r="M8">
        <v>25.86</v>
      </c>
      <c r="N8"/>
      <c r="O8">
        <v>252.34000000000003</v>
      </c>
      <c r="P8">
        <v>90.69</v>
      </c>
      <c r="Q8">
        <v>8.2799999999999994</v>
      </c>
      <c r="R8"/>
      <c r="S8">
        <v>18.72</v>
      </c>
      <c r="T8"/>
      <c r="U8"/>
      <c r="V8"/>
      <c r="W8">
        <v>44.43</v>
      </c>
      <c r="X8">
        <v>38.35</v>
      </c>
      <c r="Y8">
        <v>23.299999999999997</v>
      </c>
      <c r="Z8">
        <v>182.2</v>
      </c>
      <c r="AA8">
        <v>506.49</v>
      </c>
      <c r="AB8">
        <v>48.34</v>
      </c>
      <c r="AC8">
        <v>39.119999999999997</v>
      </c>
      <c r="AD8">
        <v>11.49</v>
      </c>
      <c r="AE8">
        <v>30.09</v>
      </c>
      <c r="AF8"/>
      <c r="AG8"/>
      <c r="AH8">
        <v>25</v>
      </c>
      <c r="AI8">
        <v>1875.99</v>
      </c>
      <c r="AJ8"/>
      <c r="AK8"/>
      <c r="AL8"/>
      <c r="AM8"/>
      <c r="AN8"/>
      <c r="AO8"/>
      <c r="AP8"/>
      <c r="AQ8"/>
      <c r="AR8"/>
      <c r="AS8">
        <v>34.99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>
        <v>3702.06</v>
      </c>
      <c r="CI8">
        <v>34.99</v>
      </c>
      <c r="CJ8"/>
      <c r="CK8"/>
      <c r="CL8"/>
      <c r="CM8"/>
      <c r="CN8"/>
      <c r="CO8"/>
    </row>
    <row r="9" spans="1:93" x14ac:dyDescent="0.2">
      <c r="A9" s="139" t="s">
        <v>115</v>
      </c>
      <c r="B9">
        <v>353.65999999999997</v>
      </c>
      <c r="C9"/>
      <c r="D9"/>
      <c r="E9">
        <v>17.36</v>
      </c>
      <c r="F9">
        <v>2.99</v>
      </c>
      <c r="G9">
        <v>26.61</v>
      </c>
      <c r="H9">
        <v>70.849999999999994</v>
      </c>
      <c r="I9">
        <v>2</v>
      </c>
      <c r="J9"/>
      <c r="K9"/>
      <c r="L9">
        <v>7.9</v>
      </c>
      <c r="M9">
        <v>25.86</v>
      </c>
      <c r="N9"/>
      <c r="O9"/>
      <c r="P9">
        <v>90.69</v>
      </c>
      <c r="Q9">
        <v>8.2799999999999994</v>
      </c>
      <c r="R9"/>
      <c r="S9">
        <v>18.72</v>
      </c>
      <c r="T9"/>
      <c r="U9"/>
      <c r="V9"/>
      <c r="W9">
        <v>44.43</v>
      </c>
      <c r="X9">
        <v>38.35</v>
      </c>
      <c r="Y9"/>
      <c r="Z9"/>
      <c r="AA9">
        <v>506.49</v>
      </c>
      <c r="AB9"/>
      <c r="AC9">
        <v>39.119999999999997</v>
      </c>
      <c r="AD9">
        <v>11.49</v>
      </c>
      <c r="AE9"/>
      <c r="AF9"/>
      <c r="AG9"/>
      <c r="AH9">
        <v>25</v>
      </c>
      <c r="AI9">
        <v>1875.99</v>
      </c>
      <c r="AJ9"/>
      <c r="AK9"/>
      <c r="AL9"/>
      <c r="AM9"/>
      <c r="AN9"/>
      <c r="AO9"/>
      <c r="AP9"/>
      <c r="AQ9"/>
      <c r="AR9"/>
      <c r="AS9">
        <v>34.99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>
        <v>3165.79</v>
      </c>
      <c r="CI9">
        <v>34.99</v>
      </c>
      <c r="CJ9"/>
      <c r="CK9"/>
      <c r="CL9"/>
      <c r="CM9"/>
      <c r="CN9"/>
      <c r="CO9"/>
    </row>
    <row r="10" spans="1:93" x14ac:dyDescent="0.2">
      <c r="A10" s="139" t="s">
        <v>431</v>
      </c>
      <c r="B10"/>
      <c r="C10"/>
      <c r="D10"/>
      <c r="E10"/>
      <c r="F10"/>
      <c r="G10"/>
      <c r="H10"/>
      <c r="I10"/>
      <c r="J10"/>
      <c r="K10"/>
      <c r="L10"/>
      <c r="M10"/>
      <c r="N10"/>
      <c r="O10">
        <v>252.34000000000003</v>
      </c>
      <c r="P10"/>
      <c r="Q10"/>
      <c r="R10"/>
      <c r="S10"/>
      <c r="T10"/>
      <c r="U10"/>
      <c r="V10"/>
      <c r="W10"/>
      <c r="X10"/>
      <c r="Y10">
        <v>23.299999999999997</v>
      </c>
      <c r="Z10">
        <v>182.2</v>
      </c>
      <c r="AA10"/>
      <c r="AB10">
        <v>48.34</v>
      </c>
      <c r="AC10"/>
      <c r="AD10"/>
      <c r="AE10">
        <v>30.09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>
        <v>536.2700000000001</v>
      </c>
      <c r="CI10"/>
      <c r="CJ10"/>
      <c r="CK10"/>
      <c r="CL10"/>
      <c r="CM10"/>
      <c r="CN10"/>
      <c r="CO10"/>
    </row>
    <row r="11" spans="1:93" x14ac:dyDescent="0.2">
      <c r="A11" s="2">
        <v>3</v>
      </c>
      <c r="B11">
        <v>680.8</v>
      </c>
      <c r="C11">
        <v>432.53</v>
      </c>
      <c r="D11"/>
      <c r="E11">
        <v>63.190000000000005</v>
      </c>
      <c r="F11">
        <v>12.98</v>
      </c>
      <c r="G11">
        <v>330</v>
      </c>
      <c r="H11">
        <v>146.85</v>
      </c>
      <c r="I11">
        <v>2</v>
      </c>
      <c r="J11">
        <v>2.2000000000000002</v>
      </c>
      <c r="K11"/>
      <c r="L11">
        <v>7.9</v>
      </c>
      <c r="M11">
        <v>15.870000000000001</v>
      </c>
      <c r="N11"/>
      <c r="O11"/>
      <c r="P11">
        <v>83.919999999999987</v>
      </c>
      <c r="Q11">
        <v>34.489999999999995</v>
      </c>
      <c r="R11"/>
      <c r="S11"/>
      <c r="T11">
        <v>70.97999999999999</v>
      </c>
      <c r="U11"/>
      <c r="V11"/>
      <c r="W11"/>
      <c r="X11"/>
      <c r="Y11"/>
      <c r="Z11"/>
      <c r="AA11"/>
      <c r="AB11">
        <v>43.84</v>
      </c>
      <c r="AC11">
        <v>4</v>
      </c>
      <c r="AD11"/>
      <c r="AE11"/>
      <c r="AF11"/>
      <c r="AG11"/>
      <c r="AH11"/>
      <c r="AI11">
        <v>240</v>
      </c>
      <c r="AJ11">
        <v>76.98</v>
      </c>
      <c r="AK11"/>
      <c r="AL11"/>
      <c r="AM11"/>
      <c r="AN11"/>
      <c r="AO11"/>
      <c r="AP11"/>
      <c r="AQ11"/>
      <c r="AR11"/>
      <c r="AS11">
        <v>15.99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>
        <v>14.12</v>
      </c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>
        <v>2248.5300000000002</v>
      </c>
      <c r="CI11">
        <v>30.11</v>
      </c>
      <c r="CJ11"/>
      <c r="CK11"/>
      <c r="CL11"/>
      <c r="CM11"/>
      <c r="CN11"/>
      <c r="CO11"/>
    </row>
    <row r="12" spans="1:93" x14ac:dyDescent="0.2">
      <c r="A12" s="139" t="s">
        <v>115</v>
      </c>
      <c r="B12">
        <v>680.8</v>
      </c>
      <c r="C12">
        <v>432.53</v>
      </c>
      <c r="D12"/>
      <c r="E12">
        <v>63.190000000000005</v>
      </c>
      <c r="F12">
        <v>12.98</v>
      </c>
      <c r="G12">
        <v>330</v>
      </c>
      <c r="H12">
        <v>146.85</v>
      </c>
      <c r="I12">
        <v>2</v>
      </c>
      <c r="J12">
        <v>2.2000000000000002</v>
      </c>
      <c r="K12"/>
      <c r="L12">
        <v>7.9</v>
      </c>
      <c r="M12">
        <v>15.870000000000001</v>
      </c>
      <c r="N12"/>
      <c r="O12"/>
      <c r="P12">
        <v>83.919999999999987</v>
      </c>
      <c r="Q12">
        <v>34.489999999999995</v>
      </c>
      <c r="R12"/>
      <c r="S12"/>
      <c r="T12">
        <v>70.97999999999999</v>
      </c>
      <c r="U12"/>
      <c r="V12"/>
      <c r="W12"/>
      <c r="X12"/>
      <c r="Y12"/>
      <c r="Z12"/>
      <c r="AA12"/>
      <c r="AB12"/>
      <c r="AC12">
        <v>4</v>
      </c>
      <c r="AD12"/>
      <c r="AE12"/>
      <c r="AF12"/>
      <c r="AG12"/>
      <c r="AH12"/>
      <c r="AI12">
        <v>240</v>
      </c>
      <c r="AJ12">
        <v>76.98</v>
      </c>
      <c r="AK12"/>
      <c r="AL12"/>
      <c r="AM12"/>
      <c r="AN12"/>
      <c r="AO12"/>
      <c r="AP12"/>
      <c r="AQ12"/>
      <c r="AR12"/>
      <c r="AS12">
        <v>15.99</v>
      </c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>
        <v>14.12</v>
      </c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>
        <v>2204.69</v>
      </c>
      <c r="CI12">
        <v>30.11</v>
      </c>
      <c r="CJ12"/>
      <c r="CK12"/>
      <c r="CL12"/>
      <c r="CM12"/>
      <c r="CN12"/>
      <c r="CO12"/>
    </row>
    <row r="13" spans="1:93" x14ac:dyDescent="0.2">
      <c r="A13" s="139" t="s">
        <v>431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>
        <v>43.84</v>
      </c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>
        <v>43.84</v>
      </c>
      <c r="CI13"/>
      <c r="CJ13"/>
      <c r="CK13"/>
      <c r="CL13"/>
      <c r="CM13"/>
      <c r="CN13"/>
      <c r="CO13"/>
    </row>
    <row r="14" spans="1:93" x14ac:dyDescent="0.2">
      <c r="A14" s="2">
        <v>4</v>
      </c>
      <c r="B14">
        <v>557.27</v>
      </c>
      <c r="C14">
        <v>384.9</v>
      </c>
      <c r="D14">
        <v>38.99</v>
      </c>
      <c r="E14">
        <v>130.57999999999998</v>
      </c>
      <c r="F14">
        <v>12.98</v>
      </c>
      <c r="G14">
        <v>229.38</v>
      </c>
      <c r="H14">
        <v>374.6</v>
      </c>
      <c r="I14">
        <v>2</v>
      </c>
      <c r="J14">
        <v>8.16</v>
      </c>
      <c r="K14">
        <v>25.36</v>
      </c>
      <c r="L14">
        <v>7.9</v>
      </c>
      <c r="M14">
        <v>16.87</v>
      </c>
      <c r="N14"/>
      <c r="O14"/>
      <c r="P14">
        <v>95.759999999999991</v>
      </c>
      <c r="Q14">
        <v>11.17</v>
      </c>
      <c r="R14">
        <v>3.99</v>
      </c>
      <c r="S14"/>
      <c r="T14"/>
      <c r="U14">
        <v>18.95</v>
      </c>
      <c r="V14"/>
      <c r="W14"/>
      <c r="X14"/>
      <c r="Y14"/>
      <c r="Z14"/>
      <c r="AA14">
        <v>7.99</v>
      </c>
      <c r="AB14">
        <v>9.77</v>
      </c>
      <c r="AC14"/>
      <c r="AD14"/>
      <c r="AE14"/>
      <c r="AF14"/>
      <c r="AG14"/>
      <c r="AH14"/>
      <c r="AI14"/>
      <c r="AJ14"/>
      <c r="AK14">
        <v>110</v>
      </c>
      <c r="AL14">
        <v>12.19</v>
      </c>
      <c r="AM14"/>
      <c r="AN14"/>
      <c r="AO14"/>
      <c r="AP14"/>
      <c r="AQ14">
        <v>9.99</v>
      </c>
      <c r="AR14"/>
      <c r="AS14"/>
      <c r="AT14"/>
      <c r="AU14"/>
      <c r="AV14"/>
      <c r="AW14"/>
      <c r="AX14"/>
      <c r="AY14"/>
      <c r="AZ14"/>
      <c r="BA14">
        <v>1.52</v>
      </c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>
        <v>2068.8000000000002</v>
      </c>
      <c r="CI14">
        <v>1.52</v>
      </c>
      <c r="CJ14"/>
      <c r="CK14"/>
      <c r="CL14"/>
      <c r="CM14"/>
      <c r="CN14"/>
      <c r="CO14"/>
    </row>
    <row r="15" spans="1:93" x14ac:dyDescent="0.2">
      <c r="A15" s="139" t="s">
        <v>115</v>
      </c>
      <c r="B15">
        <v>557.27</v>
      </c>
      <c r="C15">
        <v>384.9</v>
      </c>
      <c r="D15">
        <v>38.99</v>
      </c>
      <c r="E15">
        <v>130.57999999999998</v>
      </c>
      <c r="F15">
        <v>12.98</v>
      </c>
      <c r="G15">
        <v>229.38</v>
      </c>
      <c r="H15">
        <v>374.6</v>
      </c>
      <c r="I15">
        <v>2</v>
      </c>
      <c r="J15">
        <v>8.16</v>
      </c>
      <c r="K15"/>
      <c r="L15">
        <v>7.9</v>
      </c>
      <c r="M15">
        <v>16.87</v>
      </c>
      <c r="N15"/>
      <c r="O15"/>
      <c r="P15">
        <v>95.759999999999991</v>
      </c>
      <c r="Q15">
        <v>11.17</v>
      </c>
      <c r="R15">
        <v>3.99</v>
      </c>
      <c r="S15"/>
      <c r="T15"/>
      <c r="U15">
        <v>18.95</v>
      </c>
      <c r="V15"/>
      <c r="W15"/>
      <c r="X15"/>
      <c r="Y15"/>
      <c r="Z15"/>
      <c r="AA15">
        <v>7.99</v>
      </c>
      <c r="AB15"/>
      <c r="AC15"/>
      <c r="AD15"/>
      <c r="AE15"/>
      <c r="AF15"/>
      <c r="AG15"/>
      <c r="AH15"/>
      <c r="AI15"/>
      <c r="AJ15"/>
      <c r="AK15">
        <v>110</v>
      </c>
      <c r="AL15">
        <v>12.19</v>
      </c>
      <c r="AM15"/>
      <c r="AN15"/>
      <c r="AO15"/>
      <c r="AP15"/>
      <c r="AQ15">
        <v>9.99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>
        <v>2033.67</v>
      </c>
      <c r="CI15"/>
      <c r="CJ15"/>
      <c r="CK15"/>
      <c r="CL15"/>
      <c r="CM15"/>
      <c r="CN15"/>
      <c r="CO15"/>
    </row>
    <row r="16" spans="1:93" x14ac:dyDescent="0.2">
      <c r="A16" s="139" t="s">
        <v>431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>
        <v>9.77</v>
      </c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>
        <v>9.77</v>
      </c>
      <c r="CI16"/>
      <c r="CJ16"/>
      <c r="CK16"/>
      <c r="CL16"/>
      <c r="CM16"/>
      <c r="CN16"/>
      <c r="CO16"/>
    </row>
    <row r="17" spans="1:93" x14ac:dyDescent="0.2">
      <c r="A17" s="139" t="s">
        <v>759</v>
      </c>
      <c r="B17"/>
      <c r="C17"/>
      <c r="D17"/>
      <c r="E17"/>
      <c r="F17"/>
      <c r="G17"/>
      <c r="H17"/>
      <c r="I17"/>
      <c r="J17"/>
      <c r="K17">
        <v>25.36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>
        <v>1.52</v>
      </c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>
        <v>25.36</v>
      </c>
      <c r="CI17">
        <v>1.52</v>
      </c>
      <c r="CJ17"/>
      <c r="CK17"/>
      <c r="CL17"/>
      <c r="CM17"/>
      <c r="CN17"/>
      <c r="CO17"/>
    </row>
    <row r="18" spans="1:93" x14ac:dyDescent="0.2">
      <c r="A18" s="2">
        <v>5</v>
      </c>
      <c r="B18">
        <v>744.38</v>
      </c>
      <c r="C18">
        <v>347.93</v>
      </c>
      <c r="D18"/>
      <c r="E18">
        <v>46.220000000000006</v>
      </c>
      <c r="F18">
        <v>2.99</v>
      </c>
      <c r="G18">
        <v>2.39</v>
      </c>
      <c r="H18">
        <v>223.14999999999998</v>
      </c>
      <c r="I18">
        <v>2</v>
      </c>
      <c r="J18">
        <v>9.9</v>
      </c>
      <c r="K18"/>
      <c r="L18">
        <v>7.9</v>
      </c>
      <c r="M18">
        <v>26.86</v>
      </c>
      <c r="N18">
        <v>276.89999999999998</v>
      </c>
      <c r="O18"/>
      <c r="P18">
        <v>132.25</v>
      </c>
      <c r="Q18">
        <v>17.329999999999998</v>
      </c>
      <c r="R18">
        <v>14.9</v>
      </c>
      <c r="S18">
        <v>142.6</v>
      </c>
      <c r="T18"/>
      <c r="U18"/>
      <c r="V18">
        <v>2.2999999999999998</v>
      </c>
      <c r="W18"/>
      <c r="X18"/>
      <c r="Y18"/>
      <c r="Z18"/>
      <c r="AA18">
        <v>2.19</v>
      </c>
      <c r="AB18"/>
      <c r="AC18"/>
      <c r="AD18"/>
      <c r="AE18"/>
      <c r="AF18"/>
      <c r="AG18"/>
      <c r="AH18"/>
      <c r="AI18"/>
      <c r="AJ18"/>
      <c r="AK18"/>
      <c r="AL18"/>
      <c r="AM18">
        <v>880.74</v>
      </c>
      <c r="AN18"/>
      <c r="AO18"/>
      <c r="AP18"/>
      <c r="AQ18">
        <v>4.99</v>
      </c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>
        <v>2887.9199999999996</v>
      </c>
      <c r="CI18"/>
      <c r="CJ18"/>
      <c r="CK18"/>
      <c r="CL18"/>
      <c r="CM18"/>
      <c r="CN18"/>
      <c r="CO18"/>
    </row>
    <row r="19" spans="1:93" x14ac:dyDescent="0.2">
      <c r="A19" s="139" t="s">
        <v>115</v>
      </c>
      <c r="B19">
        <v>744.38</v>
      </c>
      <c r="C19">
        <v>347.93</v>
      </c>
      <c r="D19"/>
      <c r="E19">
        <v>46.220000000000006</v>
      </c>
      <c r="F19">
        <v>2.99</v>
      </c>
      <c r="G19">
        <v>2.39</v>
      </c>
      <c r="H19">
        <v>223.14999999999998</v>
      </c>
      <c r="I19">
        <v>2</v>
      </c>
      <c r="J19">
        <v>9.9</v>
      </c>
      <c r="K19"/>
      <c r="L19">
        <v>7.9</v>
      </c>
      <c r="M19">
        <v>26.86</v>
      </c>
      <c r="N19"/>
      <c r="O19"/>
      <c r="P19">
        <v>132.25</v>
      </c>
      <c r="Q19">
        <v>17.329999999999998</v>
      </c>
      <c r="R19">
        <v>14.9</v>
      </c>
      <c r="S19">
        <v>142.6</v>
      </c>
      <c r="T19"/>
      <c r="U19"/>
      <c r="V19">
        <v>2.2999999999999998</v>
      </c>
      <c r="W19"/>
      <c r="X19"/>
      <c r="Y19"/>
      <c r="Z19"/>
      <c r="AA19">
        <v>2.19</v>
      </c>
      <c r="AB19"/>
      <c r="AC19"/>
      <c r="AD19"/>
      <c r="AE19"/>
      <c r="AF19"/>
      <c r="AG19"/>
      <c r="AH19"/>
      <c r="AI19"/>
      <c r="AJ19"/>
      <c r="AK19"/>
      <c r="AL19"/>
      <c r="AM19">
        <v>880.74</v>
      </c>
      <c r="AN19"/>
      <c r="AO19"/>
      <c r="AP19"/>
      <c r="AQ19">
        <v>4.99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>
        <v>2611.0199999999995</v>
      </c>
      <c r="CI19"/>
      <c r="CJ19"/>
      <c r="CK19"/>
      <c r="CL19"/>
      <c r="CM19"/>
      <c r="CN19"/>
      <c r="CO19"/>
    </row>
    <row r="20" spans="1:93" x14ac:dyDescent="0.2">
      <c r="A20" s="139" t="s">
        <v>759</v>
      </c>
      <c r="B20"/>
      <c r="C20"/>
      <c r="D20"/>
      <c r="E20"/>
      <c r="F20"/>
      <c r="G20"/>
      <c r="H20"/>
      <c r="I20"/>
      <c r="J20"/>
      <c r="K20"/>
      <c r="L20"/>
      <c r="M20"/>
      <c r="N20">
        <v>276.89999999999998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>
        <v>276.89999999999998</v>
      </c>
      <c r="CI20"/>
      <c r="CJ20"/>
      <c r="CK20"/>
      <c r="CL20"/>
      <c r="CM20"/>
      <c r="CN20"/>
      <c r="CO20"/>
    </row>
    <row r="21" spans="1:93" x14ac:dyDescent="0.2">
      <c r="A21" s="2">
        <v>6</v>
      </c>
      <c r="B21">
        <v>606.54</v>
      </c>
      <c r="C21">
        <v>19.989999999999998</v>
      </c>
      <c r="D21"/>
      <c r="E21">
        <v>63.1</v>
      </c>
      <c r="F21">
        <v>95.48</v>
      </c>
      <c r="G21">
        <v>232.17</v>
      </c>
      <c r="H21">
        <v>442.12</v>
      </c>
      <c r="I21">
        <v>2</v>
      </c>
      <c r="J21">
        <v>22</v>
      </c>
      <c r="K21"/>
      <c r="L21">
        <v>7.9</v>
      </c>
      <c r="M21">
        <v>16.87</v>
      </c>
      <c r="N21"/>
      <c r="O21"/>
      <c r="P21"/>
      <c r="Q21"/>
      <c r="R21">
        <v>33.28</v>
      </c>
      <c r="S21"/>
      <c r="T21">
        <v>142.24</v>
      </c>
      <c r="U21">
        <v>8.0399999999999991</v>
      </c>
      <c r="V21"/>
      <c r="W21">
        <v>2.44</v>
      </c>
      <c r="X21"/>
      <c r="Y21"/>
      <c r="Z21"/>
      <c r="AA21"/>
      <c r="AB21"/>
      <c r="AC21"/>
      <c r="AD21">
        <v>39.869999999999997</v>
      </c>
      <c r="AE21"/>
      <c r="AF21">
        <v>65</v>
      </c>
      <c r="AG21"/>
      <c r="AH21"/>
      <c r="AI21"/>
      <c r="AJ21"/>
      <c r="AK21"/>
      <c r="AL21"/>
      <c r="AM21"/>
      <c r="AN21">
        <v>2039.13</v>
      </c>
      <c r="AO21">
        <v>3447.45</v>
      </c>
      <c r="AP21">
        <v>84.5</v>
      </c>
      <c r="AQ21">
        <v>35.97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>
        <v>7406.09</v>
      </c>
      <c r="CI21"/>
      <c r="CJ21"/>
      <c r="CK21"/>
      <c r="CL21"/>
      <c r="CM21"/>
      <c r="CN21"/>
      <c r="CO21"/>
    </row>
    <row r="22" spans="1:93" x14ac:dyDescent="0.2">
      <c r="A22" s="139" t="s">
        <v>115</v>
      </c>
      <c r="B22">
        <v>606.54</v>
      </c>
      <c r="C22">
        <v>19.989999999999998</v>
      </c>
      <c r="D22"/>
      <c r="E22">
        <v>63.1</v>
      </c>
      <c r="F22">
        <v>95.48</v>
      </c>
      <c r="G22">
        <v>232.17</v>
      </c>
      <c r="H22">
        <v>442.12</v>
      </c>
      <c r="I22">
        <v>2</v>
      </c>
      <c r="J22">
        <v>22</v>
      </c>
      <c r="K22"/>
      <c r="L22">
        <v>7.9</v>
      </c>
      <c r="M22">
        <v>16.87</v>
      </c>
      <c r="N22"/>
      <c r="O22"/>
      <c r="P22"/>
      <c r="Q22"/>
      <c r="R22">
        <v>33.28</v>
      </c>
      <c r="S22"/>
      <c r="T22">
        <v>142.24</v>
      </c>
      <c r="U22">
        <v>8.0399999999999991</v>
      </c>
      <c r="V22"/>
      <c r="W22">
        <v>2.44</v>
      </c>
      <c r="X22"/>
      <c r="Y22"/>
      <c r="Z22"/>
      <c r="AA22"/>
      <c r="AB22"/>
      <c r="AC22"/>
      <c r="AD22">
        <v>39.869999999999997</v>
      </c>
      <c r="AE22"/>
      <c r="AF22">
        <v>65</v>
      </c>
      <c r="AG22"/>
      <c r="AH22"/>
      <c r="AI22"/>
      <c r="AJ22"/>
      <c r="AK22"/>
      <c r="AL22"/>
      <c r="AM22"/>
      <c r="AN22">
        <v>2039.13</v>
      </c>
      <c r="AO22">
        <v>3447.45</v>
      </c>
      <c r="AP22">
        <v>84.5</v>
      </c>
      <c r="AQ22">
        <v>35.97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>
        <v>7406.09</v>
      </c>
      <c r="CI22"/>
      <c r="CJ22"/>
      <c r="CK22"/>
      <c r="CL22"/>
      <c r="CM22"/>
      <c r="CN22"/>
      <c r="CO22"/>
    </row>
    <row r="23" spans="1:93" x14ac:dyDescent="0.2">
      <c r="A23" s="2">
        <v>7</v>
      </c>
      <c r="B23">
        <v>108.91999999999999</v>
      </c>
      <c r="C23">
        <v>72.97</v>
      </c>
      <c r="D23"/>
      <c r="E23"/>
      <c r="F23"/>
      <c r="G23">
        <v>121.57</v>
      </c>
      <c r="H23">
        <v>88.4</v>
      </c>
      <c r="I23"/>
      <c r="J23">
        <v>7.4</v>
      </c>
      <c r="K23"/>
      <c r="L23"/>
      <c r="M23"/>
      <c r="N23"/>
      <c r="O23"/>
      <c r="P23"/>
      <c r="Q23">
        <v>16.720000000000002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>
        <v>129.96</v>
      </c>
      <c r="AO23"/>
      <c r="AP23"/>
      <c r="AQ23"/>
      <c r="AR23"/>
      <c r="AS23"/>
      <c r="AT23"/>
      <c r="AU23"/>
      <c r="AV23"/>
      <c r="AW23">
        <v>25.99</v>
      </c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>
        <v>545.94000000000005</v>
      </c>
      <c r="CI23">
        <v>25.99</v>
      </c>
      <c r="CJ23"/>
      <c r="CK23"/>
      <c r="CL23"/>
      <c r="CM23"/>
      <c r="CN23"/>
      <c r="CO23"/>
    </row>
    <row r="24" spans="1:93" x14ac:dyDescent="0.2">
      <c r="A24" s="139" t="s">
        <v>115</v>
      </c>
      <c r="B24">
        <v>108.91999999999999</v>
      </c>
      <c r="C24">
        <v>72.97</v>
      </c>
      <c r="D24"/>
      <c r="E24"/>
      <c r="F24"/>
      <c r="G24">
        <v>121.57</v>
      </c>
      <c r="H24">
        <v>88.4</v>
      </c>
      <c r="I24"/>
      <c r="J24">
        <v>7.4</v>
      </c>
      <c r="K24"/>
      <c r="L24"/>
      <c r="M24"/>
      <c r="N24"/>
      <c r="O24"/>
      <c r="P24"/>
      <c r="Q24">
        <v>16.720000000000002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>
        <v>129.96</v>
      </c>
      <c r="AO24"/>
      <c r="AP24"/>
      <c r="AQ24"/>
      <c r="AR24"/>
      <c r="AS24"/>
      <c r="AT24"/>
      <c r="AU24"/>
      <c r="AV24"/>
      <c r="AW24">
        <v>25.99</v>
      </c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>
        <v>545.94000000000005</v>
      </c>
      <c r="CI24">
        <v>25.99</v>
      </c>
      <c r="CJ24"/>
      <c r="CK24"/>
      <c r="CL24"/>
      <c r="CM24"/>
      <c r="CN24"/>
      <c r="CO24"/>
    </row>
    <row r="25" spans="1:93" x14ac:dyDescent="0.2">
      <c r="A25" s="2" t="s">
        <v>16</v>
      </c>
      <c r="B25">
        <v>3665.29</v>
      </c>
      <c r="C25">
        <v>1324.25</v>
      </c>
      <c r="D25">
        <v>38.99</v>
      </c>
      <c r="E25">
        <v>386.45000000000005</v>
      </c>
      <c r="F25">
        <v>130.41</v>
      </c>
      <c r="G25">
        <v>1263.68</v>
      </c>
      <c r="H25">
        <v>1579.0700000000002</v>
      </c>
      <c r="I25">
        <v>12</v>
      </c>
      <c r="J25">
        <v>65.06</v>
      </c>
      <c r="K25">
        <v>25.36</v>
      </c>
      <c r="L25">
        <v>47.4</v>
      </c>
      <c r="M25">
        <v>135.18</v>
      </c>
      <c r="N25">
        <v>276.89999999999998</v>
      </c>
      <c r="O25">
        <v>252.34000000000003</v>
      </c>
      <c r="P25">
        <v>444.48</v>
      </c>
      <c r="Q25">
        <v>87.99</v>
      </c>
      <c r="R25">
        <v>52.17</v>
      </c>
      <c r="S25">
        <v>161.32</v>
      </c>
      <c r="T25">
        <v>563.07000000000005</v>
      </c>
      <c r="U25">
        <v>26.99</v>
      </c>
      <c r="V25">
        <v>4.5999999999999996</v>
      </c>
      <c r="W25">
        <v>46.87</v>
      </c>
      <c r="X25">
        <v>38.35</v>
      </c>
      <c r="Y25">
        <v>23.299999999999997</v>
      </c>
      <c r="Z25">
        <v>182.2</v>
      </c>
      <c r="AA25">
        <v>516.67000000000007</v>
      </c>
      <c r="AB25">
        <v>101.95</v>
      </c>
      <c r="AC25">
        <v>54.61</v>
      </c>
      <c r="AD25">
        <v>51.36</v>
      </c>
      <c r="AE25">
        <v>30.09</v>
      </c>
      <c r="AF25">
        <v>65</v>
      </c>
      <c r="AG25">
        <v>97</v>
      </c>
      <c r="AH25">
        <v>25</v>
      </c>
      <c r="AI25">
        <v>2115.9899999999998</v>
      </c>
      <c r="AJ25">
        <v>76.98</v>
      </c>
      <c r="AK25">
        <v>110</v>
      </c>
      <c r="AL25">
        <v>12.19</v>
      </c>
      <c r="AM25">
        <v>880.74</v>
      </c>
      <c r="AN25">
        <v>2169.09</v>
      </c>
      <c r="AO25">
        <v>3447.45</v>
      </c>
      <c r="AP25">
        <v>84.5</v>
      </c>
      <c r="AQ25">
        <v>74.930000000000007</v>
      </c>
      <c r="AR25"/>
      <c r="AS25">
        <v>50.980000000000004</v>
      </c>
      <c r="AT25"/>
      <c r="AU25"/>
      <c r="AV25"/>
      <c r="AW25">
        <v>25.99</v>
      </c>
      <c r="AX25"/>
      <c r="AY25"/>
      <c r="AZ25"/>
      <c r="BA25">
        <v>1.52</v>
      </c>
      <c r="BB25"/>
      <c r="BC25"/>
      <c r="BD25"/>
      <c r="BE25"/>
      <c r="BF25"/>
      <c r="BG25"/>
      <c r="BH25"/>
      <c r="BI25"/>
      <c r="BJ25">
        <v>14.12</v>
      </c>
      <c r="BK25"/>
      <c r="BL25"/>
      <c r="BM25"/>
      <c r="BN25"/>
      <c r="BO25"/>
      <c r="BP25"/>
      <c r="BQ25"/>
      <c r="BR25"/>
      <c r="BS25"/>
      <c r="BT25"/>
      <c r="BU25"/>
      <c r="BV25"/>
      <c r="BW25"/>
      <c r="BX25">
        <v>37.42</v>
      </c>
      <c r="BY25"/>
      <c r="BZ25"/>
      <c r="CA25"/>
      <c r="CB25"/>
      <c r="CC25"/>
      <c r="CD25"/>
      <c r="CE25"/>
      <c r="CF25"/>
      <c r="CG25"/>
      <c r="CH25">
        <v>20747.27</v>
      </c>
      <c r="CI25">
        <v>130.03</v>
      </c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52A97-9EC1-0C41-8CE5-01AAE2BCD2C1}">
  <sheetPr codeName="Foglio25">
    <tabColor rgb="FF7030A0"/>
  </sheetPr>
  <dimension ref="A3:CO42"/>
  <sheetViews>
    <sheetView workbookViewId="0">
      <selection activeCell="H8" sqref="H8"/>
    </sheetView>
  </sheetViews>
  <sheetFormatPr baseColWidth="10" defaultRowHeight="14" x14ac:dyDescent="0.2"/>
  <cols>
    <col min="1" max="1" width="19.19921875" style="60" bestFit="1" customWidth="1"/>
    <col min="2" max="2" width="22" style="60" bestFit="1" customWidth="1"/>
    <col min="3" max="3" width="33.19921875" style="60" bestFit="1" customWidth="1"/>
    <col min="4" max="4" width="12" style="60" bestFit="1" customWidth="1"/>
    <col min="5" max="5" width="7.3984375" style="60" bestFit="1" customWidth="1"/>
    <col min="6" max="6" width="17" style="60" bestFit="1" customWidth="1"/>
    <col min="7" max="7" width="31.19921875" style="60" bestFit="1" customWidth="1"/>
    <col min="8" max="8" width="25" style="60" bestFit="1" customWidth="1"/>
    <col min="9" max="9" width="28.3984375" style="60" bestFit="1" customWidth="1"/>
    <col min="10" max="10" width="37.796875" style="60" bestFit="1" customWidth="1"/>
    <col min="11" max="11" width="17.19921875" style="60" bestFit="1" customWidth="1"/>
    <col min="12" max="12" width="24.796875" style="60" bestFit="1" customWidth="1"/>
    <col min="13" max="13" width="29.3984375" style="60" bestFit="1" customWidth="1"/>
    <col min="14" max="14" width="10.19921875" style="60" bestFit="1" customWidth="1"/>
    <col min="15" max="15" width="15.796875" style="60" bestFit="1" customWidth="1"/>
    <col min="16" max="16" width="33.19921875" style="60" bestFit="1" customWidth="1"/>
    <col min="17" max="17" width="12" style="60" bestFit="1" customWidth="1"/>
    <col min="18" max="18" width="7.19921875" style="60" bestFit="1" customWidth="1"/>
    <col min="19" max="19" width="17" style="60" bestFit="1" customWidth="1"/>
    <col min="20" max="20" width="31.19921875" style="60" bestFit="1" customWidth="1"/>
    <col min="21" max="21" width="25" style="60" bestFit="1" customWidth="1"/>
    <col min="22" max="22" width="28.3984375" style="60" bestFit="1" customWidth="1"/>
    <col min="23" max="23" width="37.796875" style="60" bestFit="1" customWidth="1"/>
    <col min="24" max="24" width="17.19921875" style="60" bestFit="1" customWidth="1"/>
    <col min="25" max="25" width="24.796875" style="60" bestFit="1" customWidth="1"/>
    <col min="26" max="26" width="29.3984375" style="60" bestFit="1" customWidth="1"/>
    <col min="27" max="27" width="10.19921875" style="60" bestFit="1" customWidth="1"/>
    <col min="28" max="28" width="20.59765625" style="60" bestFit="1" customWidth="1"/>
    <col min="29" max="29" width="21.3984375" style="60" bestFit="1" customWidth="1"/>
    <col min="30" max="30" width="12" style="60" bestFit="1" customWidth="1"/>
    <col min="31" max="31" width="26.3984375" style="60" bestFit="1" customWidth="1"/>
    <col min="32" max="32" width="18.59765625" style="60" bestFit="1" customWidth="1"/>
    <col min="33" max="33" width="11.796875" style="60" bestFit="1" customWidth="1"/>
    <col min="34" max="34" width="32.796875" style="60" bestFit="1" customWidth="1"/>
    <col min="35" max="35" width="24.3984375" style="60" bestFit="1" customWidth="1"/>
    <col min="36" max="36" width="20.59765625" style="60" bestFit="1" customWidth="1"/>
    <col min="37" max="37" width="21.3984375" style="60" bestFit="1" customWidth="1"/>
    <col min="38" max="38" width="20.59765625" style="60" bestFit="1" customWidth="1"/>
    <col min="39" max="39" width="21.3984375" style="60" bestFit="1" customWidth="1"/>
    <col min="40" max="40" width="14.19921875" style="60" bestFit="1" customWidth="1"/>
    <col min="41" max="41" width="15.796875" style="60" bestFit="1" customWidth="1"/>
    <col min="42" max="42" width="24.796875" style="60" bestFit="1" customWidth="1"/>
    <col min="43" max="43" width="26" style="60" bestFit="1" customWidth="1"/>
    <col min="44" max="44" width="24.796875" style="60" bestFit="1" customWidth="1"/>
    <col min="45" max="45" width="31.19921875" style="60" bestFit="1" customWidth="1"/>
    <col min="46" max="46" width="37.796875" style="60" bestFit="1" customWidth="1"/>
    <col min="47" max="47" width="17" style="60" bestFit="1" customWidth="1"/>
    <col min="48" max="48" width="12" style="60" bestFit="1" customWidth="1"/>
    <col min="49" max="49" width="25.3984375" style="60" bestFit="1" customWidth="1"/>
    <col min="50" max="50" width="33.19921875" style="60" bestFit="1" customWidth="1"/>
    <col min="51" max="51" width="26.19921875" style="60" bestFit="1" customWidth="1"/>
    <col min="52" max="52" width="18.59765625" style="60" bestFit="1" customWidth="1"/>
    <col min="53" max="53" width="15.3984375" style="60" bestFit="1" customWidth="1"/>
    <col min="54" max="54" width="13" style="60" bestFit="1" customWidth="1"/>
    <col min="55" max="55" width="29.59765625" style="60" bestFit="1" customWidth="1"/>
    <col min="56" max="56" width="11.796875" style="60" bestFit="1" customWidth="1"/>
    <col min="57" max="57" width="25" style="60" bestFit="1" customWidth="1"/>
    <col min="58" max="58" width="33" style="60" bestFit="1" customWidth="1"/>
    <col min="59" max="59" width="29.796875" style="60" bestFit="1" customWidth="1"/>
    <col min="60" max="60" width="25.796875" style="60" bestFit="1" customWidth="1"/>
    <col min="61" max="61" width="26.3984375" style="60" bestFit="1" customWidth="1"/>
    <col min="62" max="62" width="12.796875" style="60" bestFit="1" customWidth="1"/>
    <col min="63" max="63" width="26.19921875" style="60" bestFit="1" customWidth="1"/>
    <col min="64" max="64" width="33.3984375" style="60" bestFit="1" customWidth="1"/>
    <col min="65" max="65" width="22.59765625" style="60" bestFit="1" customWidth="1"/>
    <col min="66" max="66" width="18" style="60" bestFit="1" customWidth="1"/>
    <col min="67" max="67" width="21" style="60" bestFit="1" customWidth="1"/>
    <col min="68" max="68" width="28.3984375" style="60" bestFit="1" customWidth="1"/>
    <col min="69" max="69" width="23.796875" style="60" bestFit="1" customWidth="1"/>
    <col min="70" max="70" width="18.3984375" style="60" bestFit="1" customWidth="1"/>
    <col min="71" max="71" width="21.3984375" style="60" bestFit="1" customWidth="1"/>
    <col min="72" max="72" width="29.3984375" style="60" bestFit="1" customWidth="1"/>
    <col min="73" max="73" width="32.796875" style="60" bestFit="1" customWidth="1"/>
    <col min="74" max="74" width="16.59765625" style="60" bestFit="1" customWidth="1"/>
    <col min="75" max="75" width="25.19921875" style="60" bestFit="1" customWidth="1"/>
    <col min="76" max="76" width="8" style="60" bestFit="1" customWidth="1"/>
    <col min="77" max="77" width="17.19921875" style="60" bestFit="1" customWidth="1"/>
    <col min="78" max="78" width="23.59765625" style="60" bestFit="1" customWidth="1"/>
    <col min="79" max="79" width="14.19921875" style="60" bestFit="1" customWidth="1"/>
    <col min="80" max="80" width="20.59765625" style="60" bestFit="1" customWidth="1"/>
    <col min="81" max="81" width="21.3984375" style="60" bestFit="1" customWidth="1"/>
    <col min="82" max="82" width="23.796875" style="60" bestFit="1" customWidth="1"/>
    <col min="83" max="83" width="18.3984375" style="60" bestFit="1" customWidth="1"/>
    <col min="84" max="84" width="21.3984375" style="60" bestFit="1" customWidth="1"/>
    <col min="85" max="85" width="29.3984375" style="60" bestFit="1" customWidth="1"/>
    <col min="86" max="86" width="19.19921875" style="60" bestFit="1" customWidth="1"/>
    <col min="87" max="87" width="32.796875" style="60" bestFit="1" customWidth="1"/>
    <col min="88" max="88" width="17" style="60" bestFit="1" customWidth="1"/>
    <col min="89" max="89" width="15.19921875" style="60" bestFit="1" customWidth="1"/>
    <col min="90" max="90" width="33" style="60" bestFit="1" customWidth="1"/>
    <col min="91" max="91" width="16.59765625" style="60" bestFit="1" customWidth="1"/>
    <col min="92" max="92" width="20.59765625" style="60" bestFit="1" customWidth="1"/>
    <col min="93" max="93" width="21.3984375" style="60" bestFit="1" customWidth="1"/>
    <col min="94" max="16384" width="11" style="60"/>
  </cols>
  <sheetData>
    <row r="3" spans="1:93" x14ac:dyDescent="0.2">
      <c r="A3"/>
      <c r="B3" s="1" t="s">
        <v>17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</row>
    <row r="4" spans="1:93" x14ac:dyDescent="0.2">
      <c r="A4"/>
      <c r="B4" t="s">
        <v>28</v>
      </c>
      <c r="C4"/>
      <c r="D4"/>
      <c r="E4"/>
      <c r="F4"/>
      <c r="G4"/>
      <c r="H4"/>
      <c r="I4"/>
      <c r="J4"/>
      <c r="K4"/>
      <c r="L4"/>
      <c r="M4"/>
      <c r="N4"/>
      <c r="O4" t="s">
        <v>27</v>
      </c>
      <c r="P4"/>
      <c r="Q4"/>
      <c r="R4"/>
      <c r="S4"/>
      <c r="T4"/>
      <c r="U4"/>
      <c r="V4"/>
      <c r="W4"/>
      <c r="X4"/>
      <c r="Y4"/>
      <c r="Z4"/>
      <c r="AA4"/>
      <c r="AB4" t="s">
        <v>29</v>
      </c>
      <c r="AC4" t="s">
        <v>30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</row>
    <row r="5" spans="1:93" x14ac:dyDescent="0.2">
      <c r="A5" s="1" t="s">
        <v>15</v>
      </c>
      <c r="B5" t="s">
        <v>32</v>
      </c>
      <c r="C5" t="s">
        <v>46</v>
      </c>
      <c r="D5" t="s">
        <v>47</v>
      </c>
      <c r="E5" t="s">
        <v>123</v>
      </c>
      <c r="F5" t="s">
        <v>249</v>
      </c>
      <c r="G5" t="s">
        <v>88</v>
      </c>
      <c r="H5" t="s">
        <v>243</v>
      </c>
      <c r="I5" t="s">
        <v>113</v>
      </c>
      <c r="J5" t="s">
        <v>398</v>
      </c>
      <c r="K5" t="s">
        <v>345</v>
      </c>
      <c r="L5" t="s">
        <v>35</v>
      </c>
      <c r="M5" t="s">
        <v>79</v>
      </c>
      <c r="N5" t="s">
        <v>45</v>
      </c>
      <c r="O5" t="s">
        <v>32</v>
      </c>
      <c r="P5" t="s">
        <v>46</v>
      </c>
      <c r="Q5" t="s">
        <v>47</v>
      </c>
      <c r="R5" t="s">
        <v>123</v>
      </c>
      <c r="S5" t="s">
        <v>249</v>
      </c>
      <c r="T5" t="s">
        <v>88</v>
      </c>
      <c r="U5" t="s">
        <v>243</v>
      </c>
      <c r="V5" t="s">
        <v>113</v>
      </c>
      <c r="W5" t="s">
        <v>398</v>
      </c>
      <c r="X5" t="s">
        <v>345</v>
      </c>
      <c r="Y5" t="s">
        <v>35</v>
      </c>
      <c r="Z5" t="s">
        <v>79</v>
      </c>
      <c r="AA5" t="s">
        <v>45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</row>
    <row r="6" spans="1:93" x14ac:dyDescent="0.2">
      <c r="A6" s="2">
        <v>1</v>
      </c>
      <c r="B6">
        <v>45.33</v>
      </c>
      <c r="C6">
        <v>28.5</v>
      </c>
      <c r="D6"/>
      <c r="E6">
        <v>256.8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>
        <v>330.63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</row>
    <row r="7" spans="1:93" x14ac:dyDescent="0.2">
      <c r="A7" s="139" t="s">
        <v>115</v>
      </c>
      <c r="B7">
        <v>45.33</v>
      </c>
      <c r="C7">
        <v>28.5</v>
      </c>
      <c r="D7"/>
      <c r="E7">
        <v>256.8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>
        <v>330.63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</row>
    <row r="8" spans="1:93" x14ac:dyDescent="0.2">
      <c r="A8" s="2">
        <v>2</v>
      </c>
      <c r="B8"/>
      <c r="C8">
        <v>10.5</v>
      </c>
      <c r="D8">
        <v>31.29</v>
      </c>
      <c r="E8">
        <v>119</v>
      </c>
      <c r="F8">
        <v>120.83</v>
      </c>
      <c r="G8">
        <v>18.5</v>
      </c>
      <c r="H8">
        <v>25.740000000000002</v>
      </c>
      <c r="I8">
        <v>9.39</v>
      </c>
      <c r="J8">
        <v>201.01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>
        <v>536.26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</row>
    <row r="9" spans="1:93" x14ac:dyDescent="0.2">
      <c r="A9" s="139" t="s">
        <v>115</v>
      </c>
      <c r="B9"/>
      <c r="C9">
        <v>10.5</v>
      </c>
      <c r="D9">
        <v>31.29</v>
      </c>
      <c r="E9">
        <v>119</v>
      </c>
      <c r="F9">
        <v>120.83</v>
      </c>
      <c r="G9">
        <v>18.5</v>
      </c>
      <c r="H9"/>
      <c r="I9"/>
      <c r="J9">
        <v>201.01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>
        <v>501.13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</row>
    <row r="10" spans="1:93" x14ac:dyDescent="0.2">
      <c r="A10" s="139" t="s">
        <v>431</v>
      </c>
      <c r="B10"/>
      <c r="C10"/>
      <c r="D10"/>
      <c r="E10"/>
      <c r="F10"/>
      <c r="G10"/>
      <c r="H10">
        <v>25.740000000000002</v>
      </c>
      <c r="I10">
        <v>9.39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>
        <v>35.130000000000003</v>
      </c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</row>
    <row r="11" spans="1:93" x14ac:dyDescent="0.2">
      <c r="A11" s="2">
        <v>3</v>
      </c>
      <c r="B11"/>
      <c r="C11"/>
      <c r="D11"/>
      <c r="E11"/>
      <c r="F11"/>
      <c r="G11"/>
      <c r="H11"/>
      <c r="I11"/>
      <c r="J11"/>
      <c r="K11">
        <v>2.42</v>
      </c>
      <c r="L11"/>
      <c r="M11">
        <v>89.1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>
        <v>91.52</v>
      </c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</row>
    <row r="12" spans="1:93" x14ac:dyDescent="0.2">
      <c r="A12" s="139" t="s">
        <v>115</v>
      </c>
      <c r="B12"/>
      <c r="C12"/>
      <c r="D12"/>
      <c r="E12"/>
      <c r="F12"/>
      <c r="G12"/>
      <c r="H12"/>
      <c r="I12"/>
      <c r="J12"/>
      <c r="K12">
        <v>2.42</v>
      </c>
      <c r="L12"/>
      <c r="M12">
        <v>89.1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>
        <v>91.52</v>
      </c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</row>
    <row r="13" spans="1:93" x14ac:dyDescent="0.2">
      <c r="A13" s="2">
        <v>4</v>
      </c>
      <c r="B13"/>
      <c r="C13"/>
      <c r="D13"/>
      <c r="E13"/>
      <c r="F13"/>
      <c r="G13"/>
      <c r="H13"/>
      <c r="I13"/>
      <c r="J13"/>
      <c r="K13"/>
      <c r="L13">
        <v>66.95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>
        <v>100</v>
      </c>
      <c r="AB13">
        <v>66.95</v>
      </c>
      <c r="AC13">
        <v>100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</row>
    <row r="14" spans="1:93" x14ac:dyDescent="0.2">
      <c r="A14" s="139" t="s">
        <v>115</v>
      </c>
      <c r="B14"/>
      <c r="C14"/>
      <c r="D14"/>
      <c r="E14"/>
      <c r="F14"/>
      <c r="G14"/>
      <c r="H14"/>
      <c r="I14"/>
      <c r="J14"/>
      <c r="K14"/>
      <c r="L14">
        <v>66.95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>
        <v>100</v>
      </c>
      <c r="AB14">
        <v>66.95</v>
      </c>
      <c r="AC14">
        <v>100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</row>
    <row r="15" spans="1:93" x14ac:dyDescent="0.2">
      <c r="A15" s="2" t="s">
        <v>16</v>
      </c>
      <c r="B15">
        <v>45.33</v>
      </c>
      <c r="C15">
        <v>39</v>
      </c>
      <c r="D15">
        <v>31.29</v>
      </c>
      <c r="E15">
        <v>375.8</v>
      </c>
      <c r="F15">
        <v>120.83</v>
      </c>
      <c r="G15">
        <v>18.5</v>
      </c>
      <c r="H15">
        <v>25.740000000000002</v>
      </c>
      <c r="I15">
        <v>9.39</v>
      </c>
      <c r="J15">
        <v>201.01</v>
      </c>
      <c r="K15">
        <v>2.42</v>
      </c>
      <c r="L15">
        <v>66.95</v>
      </c>
      <c r="M15">
        <v>89.1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>
        <v>100</v>
      </c>
      <c r="AB15">
        <v>1025.3599999999999</v>
      </c>
      <c r="AC15">
        <v>100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</row>
    <row r="16" spans="1:9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</row>
    <row r="17" spans="1:9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</row>
    <row r="18" spans="1:9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</row>
    <row r="19" spans="1:93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</row>
    <row r="20" spans="1:93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</row>
    <row r="21" spans="1:93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</row>
    <row r="22" spans="1:93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</row>
    <row r="23" spans="1:93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</row>
    <row r="24" spans="1:93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</row>
    <row r="25" spans="1:93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</row>
    <row r="26" spans="1:93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</row>
    <row r="27" spans="1:93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</row>
    <row r="28" spans="1:93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</row>
    <row r="29" spans="1:93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</row>
    <row r="30" spans="1:93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</row>
    <row r="31" spans="1:93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</row>
    <row r="32" spans="1:93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</row>
    <row r="33" spans="1:93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</row>
    <row r="34" spans="1:93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</row>
    <row r="35" spans="1:93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</row>
    <row r="36" spans="1:93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</row>
    <row r="37" spans="1:93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</row>
    <row r="38" spans="1:93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</row>
    <row r="39" spans="1:9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</row>
    <row r="40" spans="1:9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</row>
    <row r="41" spans="1:9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</row>
    <row r="42" spans="1:9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</row>
  </sheetData>
  <pageMargins left="0.7" right="0.7" top="0.75" bottom="0.75" header="0.3" footer="0.3"/>
  <pageSetup paperSize="9" orientation="portrait" horizontalDpi="0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5722-0267-9541-99FE-8EFBBB159F86}">
  <sheetPr codeName="Foglio26">
    <tabColor rgb="FF7030A0"/>
  </sheetPr>
  <dimension ref="A3:CW596"/>
  <sheetViews>
    <sheetView workbookViewId="0">
      <selection activeCell="F31" sqref="F31"/>
    </sheetView>
  </sheetViews>
  <sheetFormatPr baseColWidth="10" defaultColWidth="11.3984375" defaultRowHeight="14" x14ac:dyDescent="0.2"/>
  <cols>
    <col min="1" max="1" width="16.796875" style="4" bestFit="1" customWidth="1"/>
    <col min="2" max="2" width="20" style="4" bestFit="1" customWidth="1"/>
    <col min="3" max="3" width="12.3984375" style="4" bestFit="1" customWidth="1"/>
    <col min="4" max="4" width="6.3984375" style="4" bestFit="1" customWidth="1"/>
    <col min="5" max="5" width="14.59765625" style="4" bestFit="1" customWidth="1"/>
    <col min="6" max="6" width="12.3984375" style="4" bestFit="1" customWidth="1"/>
    <col min="7" max="7" width="6" style="4" bestFit="1" customWidth="1"/>
    <col min="8" max="8" width="18.796875" style="4" bestFit="1" customWidth="1"/>
    <col min="9" max="9" width="19.796875" style="4" bestFit="1" customWidth="1"/>
    <col min="10" max="10" width="18.796875" style="4" bestFit="1" customWidth="1"/>
    <col min="11" max="11" width="19.796875" style="4" bestFit="1" customWidth="1"/>
    <col min="12" max="12" width="22.3984375" style="4" bestFit="1" customWidth="1"/>
    <col min="13" max="13" width="7" style="4" bestFit="1" customWidth="1"/>
    <col min="14" max="14" width="23.19921875" style="4" bestFit="1" customWidth="1"/>
    <col min="15" max="15" width="11" style="4" bestFit="1" customWidth="1"/>
    <col min="16" max="16" width="25.19921875" style="4" bestFit="1" customWidth="1"/>
    <col min="17" max="17" width="28" style="4" bestFit="1" customWidth="1"/>
    <col min="18" max="18" width="6.3984375" style="4" bestFit="1" customWidth="1"/>
    <col min="19" max="19" width="17.3984375" style="4" bestFit="1" customWidth="1"/>
    <col min="20" max="20" width="11" style="4" bestFit="1" customWidth="1"/>
    <col min="21" max="21" width="13.19921875" style="4" bestFit="1" customWidth="1"/>
    <col min="22" max="22" width="26.59765625" style="4" bestFit="1" customWidth="1"/>
    <col min="23" max="23" width="10.3984375" style="4" bestFit="1" customWidth="1"/>
    <col min="24" max="24" width="23.3984375" style="4" bestFit="1" customWidth="1"/>
    <col min="25" max="25" width="15.3984375" style="4" bestFit="1" customWidth="1"/>
    <col min="26" max="26" width="29.59765625" style="4" bestFit="1" customWidth="1"/>
    <col min="27" max="27" width="16.796875" style="4" bestFit="1" customWidth="1"/>
    <col min="28" max="28" width="22.59765625" style="4" bestFit="1" customWidth="1"/>
    <col min="29" max="29" width="15.3984375" style="4" bestFit="1" customWidth="1"/>
    <col min="30" max="30" width="12.19921875" style="4" bestFit="1" customWidth="1"/>
    <col min="31" max="31" width="26.3984375" style="4" bestFit="1" customWidth="1"/>
    <col min="32" max="32" width="29.796875" style="4" bestFit="1" customWidth="1"/>
    <col min="33" max="33" width="10.59765625" style="4" bestFit="1" customWidth="1"/>
    <col min="34" max="34" width="12.59765625" style="4" bestFit="1" customWidth="1"/>
    <col min="35" max="35" width="9.3984375" style="4" bestFit="1" customWidth="1"/>
    <col min="36" max="36" width="28" style="4" bestFit="1" customWidth="1"/>
    <col min="37" max="37" width="15.19921875" style="4" bestFit="1" customWidth="1"/>
    <col min="38" max="38" width="11.796875" style="4" bestFit="1" customWidth="1"/>
    <col min="39" max="39" width="8" style="4" bestFit="1" customWidth="1"/>
    <col min="40" max="40" width="6.796875" style="4" bestFit="1" customWidth="1"/>
    <col min="41" max="41" width="23" style="4" bestFit="1" customWidth="1"/>
    <col min="42" max="42" width="21.3984375" style="4" bestFit="1" customWidth="1"/>
    <col min="43" max="43" width="17" style="4" bestFit="1" customWidth="1"/>
    <col min="44" max="44" width="6.3984375" style="4" bestFit="1" customWidth="1"/>
    <col min="45" max="45" width="20" style="4" bestFit="1" customWidth="1"/>
    <col min="46" max="46" width="26.59765625" style="4" bestFit="1" customWidth="1"/>
    <col min="47" max="47" width="20.3984375" style="4" bestFit="1" customWidth="1"/>
    <col min="48" max="48" width="9" style="4" bestFit="1" customWidth="1"/>
    <col min="49" max="49" width="22.19921875" style="4" bestFit="1" customWidth="1"/>
    <col min="50" max="50" width="10.59765625" style="4" bestFit="1" customWidth="1"/>
    <col min="51" max="51" width="9.59765625" style="4" bestFit="1" customWidth="1"/>
    <col min="52" max="52" width="23.3984375" style="4" bestFit="1" customWidth="1"/>
    <col min="53" max="53" width="29.59765625" style="4" bestFit="1" customWidth="1"/>
    <col min="54" max="54" width="10.19921875" style="4" bestFit="1" customWidth="1"/>
    <col min="55" max="55" width="13" style="4" bestFit="1" customWidth="1"/>
    <col min="56" max="56" width="22.3984375" style="4" bestFit="1" customWidth="1"/>
    <col min="57" max="57" width="7" style="4" bestFit="1" customWidth="1"/>
    <col min="58" max="58" width="23.19921875" style="4" bestFit="1" customWidth="1"/>
    <col min="59" max="59" width="11" style="4" bestFit="1" customWidth="1"/>
    <col min="60" max="60" width="25.19921875" style="4" bestFit="1" customWidth="1"/>
    <col min="61" max="61" width="28" style="4" bestFit="1" customWidth="1"/>
    <col min="62" max="62" width="4.19921875" style="4" bestFit="1" customWidth="1"/>
    <col min="63" max="63" width="17.3984375" style="4" bestFit="1" customWidth="1"/>
    <col min="64" max="64" width="11" style="4" bestFit="1" customWidth="1"/>
    <col min="65" max="65" width="13.19921875" style="4" bestFit="1" customWidth="1"/>
    <col min="66" max="66" width="26.59765625" style="4" bestFit="1" customWidth="1"/>
    <col min="67" max="67" width="10.3984375" style="4" bestFit="1" customWidth="1"/>
    <col min="68" max="68" width="23.3984375" style="4" bestFit="1" customWidth="1"/>
    <col min="69" max="69" width="15.3984375" style="4" bestFit="1" customWidth="1"/>
    <col min="70" max="70" width="29.59765625" style="4" bestFit="1" customWidth="1"/>
    <col min="71" max="71" width="16.796875" style="4" bestFit="1" customWidth="1"/>
    <col min="72" max="72" width="22.59765625" style="4" bestFit="1" customWidth="1"/>
    <col min="73" max="73" width="15.3984375" style="4" bestFit="1" customWidth="1"/>
    <col min="74" max="74" width="12.19921875" style="4" bestFit="1" customWidth="1"/>
    <col min="75" max="75" width="26.3984375" style="4" bestFit="1" customWidth="1"/>
    <col min="76" max="76" width="29.796875" style="4" bestFit="1" customWidth="1"/>
    <col min="77" max="77" width="10.59765625" style="4" bestFit="1" customWidth="1"/>
    <col min="78" max="78" width="12.59765625" style="4" bestFit="1" customWidth="1"/>
    <col min="79" max="79" width="9.3984375" style="4" bestFit="1" customWidth="1"/>
    <col min="80" max="80" width="28" style="4" bestFit="1" customWidth="1"/>
    <col min="81" max="81" width="15.19921875" style="4" bestFit="1" customWidth="1"/>
    <col min="82" max="82" width="11.796875" style="4" bestFit="1" customWidth="1"/>
    <col min="83" max="83" width="8" style="4" bestFit="1" customWidth="1"/>
    <col min="84" max="84" width="6.796875" style="4" bestFit="1" customWidth="1"/>
    <col min="85" max="85" width="23" style="4" bestFit="1" customWidth="1"/>
    <col min="86" max="86" width="21.3984375" style="4" bestFit="1" customWidth="1"/>
    <col min="87" max="87" width="17" style="4" bestFit="1" customWidth="1"/>
    <col min="88" max="88" width="5" style="4" bestFit="1" customWidth="1"/>
    <col min="89" max="89" width="20" style="4" bestFit="1" customWidth="1"/>
    <col min="90" max="90" width="18.796875" style="4" bestFit="1" customWidth="1"/>
    <col min="91" max="91" width="19.796875" style="4" bestFit="1" customWidth="1"/>
    <col min="92" max="92" width="17.3984375" style="4" bestFit="1" customWidth="1"/>
    <col min="93" max="93" width="23" style="4" bestFit="1" customWidth="1"/>
    <col min="94" max="94" width="10.59765625" style="4" bestFit="1" customWidth="1"/>
    <col min="95" max="95" width="7.3984375" style="4" bestFit="1" customWidth="1"/>
    <col min="96" max="96" width="18.3984375" style="4" bestFit="1" customWidth="1"/>
    <col min="97" max="97" width="17.59765625" style="4" bestFit="1" customWidth="1"/>
    <col min="98" max="98" width="12" style="4" bestFit="1" customWidth="1"/>
    <col min="99" max="99" width="29.59765625" style="4" bestFit="1" customWidth="1"/>
    <col min="100" max="100" width="18.796875" style="4" bestFit="1" customWidth="1"/>
    <col min="101" max="101" width="19.796875" style="4" bestFit="1" customWidth="1"/>
    <col min="102" max="102" width="9.19921875" style="4" bestFit="1" customWidth="1"/>
    <col min="103" max="103" width="18.19921875" style="4" bestFit="1" customWidth="1"/>
    <col min="104" max="104" width="178.59765625" style="4" bestFit="1" customWidth="1"/>
    <col min="105" max="105" width="176.59765625" style="4" bestFit="1" customWidth="1"/>
    <col min="106" max="106" width="170.59765625" style="4" bestFit="1" customWidth="1"/>
    <col min="107" max="109" width="175.19921875" style="4" bestFit="1" customWidth="1"/>
    <col min="110" max="110" width="176.3984375" style="4" bestFit="1" customWidth="1"/>
    <col min="111" max="111" width="169.19921875" style="4" bestFit="1" customWidth="1"/>
    <col min="112" max="112" width="168.796875" style="4" bestFit="1" customWidth="1"/>
    <col min="113" max="113" width="176.59765625" style="4" bestFit="1" customWidth="1"/>
    <col min="114" max="114" width="175.59765625" style="4" bestFit="1" customWidth="1"/>
    <col min="115" max="115" width="175.19921875" style="4" bestFit="1" customWidth="1"/>
    <col min="116" max="117" width="169.796875" style="4" bestFit="1" customWidth="1"/>
    <col min="118" max="118" width="175.19921875" style="4" bestFit="1" customWidth="1"/>
    <col min="119" max="119" width="164.19921875" style="4" bestFit="1" customWidth="1"/>
    <col min="120" max="120" width="164.796875" style="4" bestFit="1" customWidth="1"/>
    <col min="121" max="121" width="166.796875" style="4" bestFit="1" customWidth="1"/>
    <col min="122" max="122" width="165.3984375" style="4" bestFit="1" customWidth="1"/>
    <col min="123" max="123" width="164.796875" style="4" bestFit="1" customWidth="1"/>
    <col min="124" max="124" width="167" style="4" bestFit="1" customWidth="1"/>
    <col min="125" max="125" width="166.3984375" style="4" bestFit="1" customWidth="1"/>
    <col min="126" max="126" width="164.796875" style="4" bestFit="1" customWidth="1"/>
    <col min="127" max="127" width="167" style="4" bestFit="1" customWidth="1"/>
    <col min="128" max="128" width="163.19921875" style="4" bestFit="1" customWidth="1"/>
    <col min="129" max="129" width="164.796875" style="4" bestFit="1" customWidth="1"/>
    <col min="130" max="130" width="159.796875" style="4" bestFit="1" customWidth="1"/>
    <col min="131" max="131" width="163.19921875" style="4" bestFit="1" customWidth="1"/>
    <col min="132" max="132" width="167" style="4" bestFit="1" customWidth="1"/>
    <col min="133" max="133" width="164.796875" style="4" bestFit="1" customWidth="1"/>
    <col min="134" max="134" width="170.19921875" style="4" bestFit="1" customWidth="1"/>
    <col min="135" max="135" width="166.3984375" style="4" bestFit="1" customWidth="1"/>
    <col min="136" max="136" width="165.3984375" style="4" bestFit="1" customWidth="1"/>
    <col min="137" max="137" width="173.19921875" style="4" bestFit="1" customWidth="1"/>
    <col min="138" max="138" width="176" style="4" bestFit="1" customWidth="1"/>
    <col min="139" max="139" width="173.19921875" style="4" bestFit="1" customWidth="1"/>
    <col min="140" max="140" width="175.3984375" style="4" bestFit="1" customWidth="1"/>
    <col min="141" max="142" width="173.19921875" style="4" bestFit="1" customWidth="1"/>
    <col min="143" max="143" width="176.59765625" style="4" bestFit="1" customWidth="1"/>
    <col min="144" max="144" width="174" style="4" bestFit="1" customWidth="1"/>
    <col min="145" max="145" width="168.796875" style="4" bestFit="1" customWidth="1"/>
    <col min="146" max="146" width="170.796875" style="4" bestFit="1" customWidth="1"/>
    <col min="147" max="147" width="175.19921875" style="4" bestFit="1" customWidth="1"/>
    <col min="148" max="148" width="168.19921875" style="4" bestFit="1" customWidth="1"/>
    <col min="149" max="149" width="169.59765625" style="4" bestFit="1" customWidth="1"/>
    <col min="150" max="150" width="178" style="4" bestFit="1" customWidth="1"/>
    <col min="151" max="151" width="178.59765625" style="4" bestFit="1" customWidth="1"/>
    <col min="152" max="152" width="176.59765625" style="4" bestFit="1" customWidth="1"/>
    <col min="153" max="153" width="170.59765625" style="4" bestFit="1" customWidth="1"/>
    <col min="154" max="156" width="175.19921875" style="4" bestFit="1" customWidth="1"/>
    <col min="157" max="157" width="176.3984375" style="4" bestFit="1" customWidth="1"/>
    <col min="158" max="158" width="169.19921875" style="4" bestFit="1" customWidth="1"/>
    <col min="159" max="159" width="168.796875" style="4" bestFit="1" customWidth="1"/>
    <col min="160" max="160" width="176.59765625" style="4" bestFit="1" customWidth="1"/>
    <col min="161" max="161" width="175.59765625" style="4" bestFit="1" customWidth="1"/>
    <col min="162" max="162" width="175.19921875" style="4" bestFit="1" customWidth="1"/>
    <col min="163" max="164" width="169.796875" style="4" bestFit="1" customWidth="1"/>
    <col min="165" max="165" width="175.19921875" style="4" bestFit="1" customWidth="1"/>
    <col min="166" max="166" width="164.19921875" style="4" bestFit="1" customWidth="1"/>
    <col min="167" max="167" width="164.796875" style="4" bestFit="1" customWidth="1"/>
    <col min="168" max="168" width="166.796875" style="4" bestFit="1" customWidth="1"/>
    <col min="169" max="169" width="165.3984375" style="4" bestFit="1" customWidth="1"/>
    <col min="170" max="170" width="164.796875" style="4" bestFit="1" customWidth="1"/>
    <col min="171" max="171" width="167" style="4" bestFit="1" customWidth="1"/>
    <col min="172" max="172" width="166.3984375" style="4" bestFit="1" customWidth="1"/>
    <col min="173" max="173" width="164.796875" style="4" bestFit="1" customWidth="1"/>
    <col min="174" max="174" width="167" style="4" bestFit="1" customWidth="1"/>
    <col min="175" max="175" width="163.19921875" style="4" bestFit="1" customWidth="1"/>
    <col min="176" max="176" width="164.796875" style="4" bestFit="1" customWidth="1"/>
    <col min="177" max="177" width="159.796875" style="4" bestFit="1" customWidth="1"/>
    <col min="178" max="178" width="163.19921875" style="4" bestFit="1" customWidth="1"/>
    <col min="179" max="179" width="167" style="4" bestFit="1" customWidth="1"/>
    <col min="180" max="180" width="164.796875" style="4" bestFit="1" customWidth="1"/>
    <col min="181" max="181" width="170.19921875" style="4" bestFit="1" customWidth="1"/>
    <col min="182" max="182" width="166.3984375" style="4" bestFit="1" customWidth="1"/>
    <col min="183" max="183" width="165.3984375" style="4" bestFit="1" customWidth="1"/>
    <col min="184" max="184" width="18.59765625" style="4" bestFit="1" customWidth="1"/>
    <col min="185" max="185" width="41.796875" style="4" bestFit="1" customWidth="1"/>
    <col min="186" max="186" width="165" style="4" bestFit="1" customWidth="1"/>
    <col min="187" max="188" width="153" style="4" bestFit="1" customWidth="1"/>
    <col min="189" max="189" width="150.796875" style="4" bestFit="1" customWidth="1"/>
    <col min="190" max="190" width="165" style="4" bestFit="1" customWidth="1"/>
    <col min="191" max="192" width="153" style="4" bestFit="1" customWidth="1"/>
    <col min="193" max="193" width="150.796875" style="4" bestFit="1" customWidth="1"/>
    <col min="194" max="194" width="18.59765625" style="4" bestFit="1" customWidth="1"/>
    <col min="195" max="195" width="41.796875" style="4" bestFit="1" customWidth="1"/>
    <col min="196" max="197" width="144.3984375" style="4" bestFit="1" customWidth="1"/>
    <col min="198" max="198" width="18.59765625" style="4" bestFit="1" customWidth="1"/>
    <col min="199" max="199" width="41.796875" style="4" bestFit="1" customWidth="1"/>
    <col min="200" max="201" width="218.19921875" style="4" bestFit="1" customWidth="1"/>
    <col min="202" max="202" width="18.59765625" style="4" bestFit="1" customWidth="1"/>
    <col min="203" max="203" width="41.796875" style="4" bestFit="1" customWidth="1"/>
    <col min="204" max="204" width="21.3984375" style="4" bestFit="1" customWidth="1"/>
    <col min="205" max="205" width="44.796875" style="4" bestFit="1" customWidth="1"/>
    <col min="206" max="16384" width="11.3984375" style="4"/>
  </cols>
  <sheetData>
    <row r="3" spans="1:101" x14ac:dyDescent="0.2">
      <c r="A3" s="3"/>
      <c r="B3" s="44" t="s">
        <v>17</v>
      </c>
      <c r="C3" s="3"/>
      <c r="D3" s="3"/>
      <c r="E3" s="3"/>
      <c r="F3" s="3"/>
      <c r="G3" s="3"/>
      <c r="H3" s="3"/>
      <c r="I3" s="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</row>
    <row r="4" spans="1:101" x14ac:dyDescent="0.2">
      <c r="A4" s="3"/>
      <c r="B4" s="3" t="s">
        <v>28</v>
      </c>
      <c r="C4" s="3"/>
      <c r="D4" s="3"/>
      <c r="E4" s="3" t="s">
        <v>27</v>
      </c>
      <c r="F4" s="3"/>
      <c r="G4" s="3"/>
      <c r="H4" s="3" t="s">
        <v>29</v>
      </c>
      <c r="I4" s="3" t="s">
        <v>30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</row>
    <row r="5" spans="1:101" x14ac:dyDescent="0.2">
      <c r="A5" s="44" t="s">
        <v>15</v>
      </c>
      <c r="B5" s="3" t="s">
        <v>115</v>
      </c>
      <c r="C5" s="3" t="s">
        <v>314</v>
      </c>
      <c r="D5" s="3" t="s">
        <v>431</v>
      </c>
      <c r="E5" s="3" t="s">
        <v>115</v>
      </c>
      <c r="F5" s="3" t="s">
        <v>314</v>
      </c>
      <c r="G5" s="3" t="s">
        <v>431</v>
      </c>
      <c r="H5" s="3"/>
      <c r="I5" s="3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</row>
    <row r="6" spans="1:101" x14ac:dyDescent="0.2">
      <c r="A6" s="53">
        <v>1</v>
      </c>
      <c r="B6" s="3">
        <v>3829.37</v>
      </c>
      <c r="C6" s="3"/>
      <c r="D6" s="3"/>
      <c r="E6" s="3">
        <v>4000</v>
      </c>
      <c r="F6" s="3"/>
      <c r="G6" s="3"/>
      <c r="H6" s="3">
        <v>3829.37</v>
      </c>
      <c r="I6" s="3">
        <v>4000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</row>
    <row r="7" spans="1:101" x14ac:dyDescent="0.2">
      <c r="A7" s="61" t="s">
        <v>115</v>
      </c>
      <c r="B7" s="3">
        <v>3829.37</v>
      </c>
      <c r="C7" s="3"/>
      <c r="D7" s="3"/>
      <c r="E7" s="3">
        <v>4000</v>
      </c>
      <c r="F7" s="3"/>
      <c r="G7" s="3"/>
      <c r="H7" s="3">
        <v>3829.37</v>
      </c>
      <c r="I7" s="3">
        <v>4000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</row>
    <row r="8" spans="1:101" x14ac:dyDescent="0.2">
      <c r="A8" s="53">
        <v>2</v>
      </c>
      <c r="B8" s="3">
        <v>3314.829999999999</v>
      </c>
      <c r="C8" s="3"/>
      <c r="D8" s="3">
        <v>46.650000000000006</v>
      </c>
      <c r="E8" s="3">
        <v>6709.99</v>
      </c>
      <c r="F8" s="3"/>
      <c r="G8" s="3"/>
      <c r="H8" s="3">
        <v>3361.4799999999991</v>
      </c>
      <c r="I8" s="3">
        <v>6709.99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</row>
    <row r="9" spans="1:101" x14ac:dyDescent="0.2">
      <c r="A9" s="61" t="s">
        <v>115</v>
      </c>
      <c r="B9" s="3">
        <v>3314.829999999999</v>
      </c>
      <c r="C9" s="3"/>
      <c r="D9" s="3">
        <v>46.650000000000006</v>
      </c>
      <c r="E9" s="3">
        <v>6709.99</v>
      </c>
      <c r="F9" s="3"/>
      <c r="G9" s="3"/>
      <c r="H9" s="3">
        <v>3361.4799999999991</v>
      </c>
      <c r="I9" s="3">
        <v>6709.99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</row>
    <row r="10" spans="1:101" x14ac:dyDescent="0.2">
      <c r="A10" s="53">
        <v>3</v>
      </c>
      <c r="B10" s="3">
        <v>1792.08</v>
      </c>
      <c r="C10" s="3">
        <v>3.54</v>
      </c>
      <c r="D10" s="3"/>
      <c r="E10" s="3">
        <v>56.54</v>
      </c>
      <c r="F10" s="3"/>
      <c r="G10" s="3"/>
      <c r="H10" s="3">
        <v>1795.62</v>
      </c>
      <c r="I10" s="3">
        <v>56.54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</row>
    <row r="11" spans="1:101" x14ac:dyDescent="0.2">
      <c r="A11" s="61" t="s">
        <v>115</v>
      </c>
      <c r="B11" s="3">
        <v>1792.08</v>
      </c>
      <c r="C11" s="3">
        <v>3.54</v>
      </c>
      <c r="D11" s="3"/>
      <c r="E11" s="3">
        <v>56.54</v>
      </c>
      <c r="F11" s="3"/>
      <c r="G11" s="3"/>
      <c r="H11" s="3">
        <v>1795.62</v>
      </c>
      <c r="I11" s="3">
        <v>56.54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</row>
    <row r="12" spans="1:101" x14ac:dyDescent="0.2">
      <c r="A12" s="53">
        <v>4</v>
      </c>
      <c r="B12" s="3">
        <v>17048.539999999997</v>
      </c>
      <c r="C12" s="3"/>
      <c r="D12" s="3"/>
      <c r="E12" s="3">
        <v>15000</v>
      </c>
      <c r="F12" s="3"/>
      <c r="G12" s="3"/>
      <c r="H12" s="3">
        <v>17048.539999999997</v>
      </c>
      <c r="I12" s="3">
        <v>15000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</row>
    <row r="13" spans="1:101" x14ac:dyDescent="0.2">
      <c r="A13" s="61" t="s">
        <v>115</v>
      </c>
      <c r="B13" s="3">
        <v>17048.539999999997</v>
      </c>
      <c r="C13" s="3"/>
      <c r="D13" s="3"/>
      <c r="E13" s="3">
        <v>15000</v>
      </c>
      <c r="F13" s="3"/>
      <c r="G13" s="3"/>
      <c r="H13" s="3">
        <v>17048.539999999997</v>
      </c>
      <c r="I13" s="3">
        <v>15000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</row>
    <row r="14" spans="1:101" x14ac:dyDescent="0.2">
      <c r="A14" s="53">
        <v>5</v>
      </c>
      <c r="B14" s="3">
        <v>2198.14</v>
      </c>
      <c r="C14" s="3"/>
      <c r="D14" s="3"/>
      <c r="E14" s="3"/>
      <c r="F14" s="3"/>
      <c r="G14" s="3"/>
      <c r="H14" s="3">
        <v>2198.14</v>
      </c>
      <c r="I14" s="3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</row>
    <row r="15" spans="1:101" x14ac:dyDescent="0.2">
      <c r="A15" s="61" t="s">
        <v>115</v>
      </c>
      <c r="B15" s="3">
        <v>2188.65</v>
      </c>
      <c r="C15" s="3"/>
      <c r="D15" s="3"/>
      <c r="E15" s="3"/>
      <c r="F15" s="3"/>
      <c r="G15" s="3"/>
      <c r="H15" s="3">
        <v>2188.65</v>
      </c>
      <c r="I15" s="3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</row>
    <row r="16" spans="1:101" x14ac:dyDescent="0.2">
      <c r="A16" s="61" t="s">
        <v>759</v>
      </c>
      <c r="B16" s="3">
        <v>9.49</v>
      </c>
      <c r="C16" s="3"/>
      <c r="D16" s="3"/>
      <c r="E16" s="3"/>
      <c r="F16" s="3"/>
      <c r="G16" s="3"/>
      <c r="H16" s="3">
        <v>9.49</v>
      </c>
      <c r="I16" s="3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</row>
    <row r="17" spans="1:101" x14ac:dyDescent="0.2">
      <c r="A17" s="53">
        <v>6</v>
      </c>
      <c r="B17" s="3">
        <v>2570.2200000000007</v>
      </c>
      <c r="C17" s="3"/>
      <c r="D17" s="3"/>
      <c r="E17" s="3">
        <v>3001.05</v>
      </c>
      <c r="F17" s="3"/>
      <c r="G17" s="3"/>
      <c r="H17" s="3">
        <v>2570.2200000000007</v>
      </c>
      <c r="I17" s="3">
        <v>3001.05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</row>
    <row r="18" spans="1:101" x14ac:dyDescent="0.2">
      <c r="A18" s="61" t="s">
        <v>115</v>
      </c>
      <c r="B18" s="3">
        <v>2570.2200000000007</v>
      </c>
      <c r="C18" s="3"/>
      <c r="D18" s="3"/>
      <c r="E18" s="3">
        <v>3001.05</v>
      </c>
      <c r="F18" s="3"/>
      <c r="G18" s="3"/>
      <c r="H18" s="3">
        <v>2570.2200000000007</v>
      </c>
      <c r="I18" s="3">
        <v>3001.05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</row>
    <row r="19" spans="1:101" x14ac:dyDescent="0.2">
      <c r="A19" s="53">
        <v>7</v>
      </c>
      <c r="B19" s="3">
        <v>2185.8099999999995</v>
      </c>
      <c r="C19" s="3"/>
      <c r="D19" s="3"/>
      <c r="E19" s="3">
        <v>3000</v>
      </c>
      <c r="F19" s="3"/>
      <c r="G19" s="3"/>
      <c r="H19" s="3">
        <v>2185.8099999999995</v>
      </c>
      <c r="I19" s="3">
        <v>3000</v>
      </c>
    </row>
    <row r="20" spans="1:101" x14ac:dyDescent="0.2">
      <c r="A20" s="61" t="s">
        <v>115</v>
      </c>
      <c r="B20" s="3">
        <v>2185.8099999999995</v>
      </c>
      <c r="C20" s="3"/>
      <c r="D20" s="3"/>
      <c r="E20" s="3">
        <v>3000</v>
      </c>
      <c r="F20" s="3"/>
      <c r="G20" s="3"/>
      <c r="H20" s="3">
        <v>2185.8099999999995</v>
      </c>
      <c r="I20" s="3">
        <v>3000</v>
      </c>
    </row>
    <row r="21" spans="1:101" x14ac:dyDescent="0.2">
      <c r="A21" s="53" t="s">
        <v>16</v>
      </c>
      <c r="B21" s="3">
        <v>32938.99</v>
      </c>
      <c r="C21" s="3">
        <v>3.54</v>
      </c>
      <c r="D21" s="3">
        <v>46.650000000000006</v>
      </c>
      <c r="E21" s="3">
        <v>31767.579999999998</v>
      </c>
      <c r="F21" s="3"/>
      <c r="G21" s="3"/>
      <c r="H21" s="3">
        <v>32989.18</v>
      </c>
      <c r="I21" s="3">
        <v>31767.579999999998</v>
      </c>
    </row>
    <row r="22" spans="1:101" x14ac:dyDescent="0.2">
      <c r="A22"/>
      <c r="B22"/>
      <c r="C22"/>
      <c r="D22"/>
      <c r="E22"/>
      <c r="F22"/>
      <c r="G22"/>
      <c r="H22"/>
      <c r="I22"/>
    </row>
    <row r="23" spans="1:101" x14ac:dyDescent="0.2">
      <c r="A23"/>
      <c r="B23"/>
      <c r="C23"/>
      <c r="D23"/>
      <c r="E23"/>
      <c r="F23"/>
      <c r="G23"/>
      <c r="H23"/>
      <c r="I23"/>
    </row>
    <row r="24" spans="1:101" x14ac:dyDescent="0.2">
      <c r="A24"/>
      <c r="B24"/>
      <c r="C24"/>
      <c r="D24"/>
      <c r="E24"/>
      <c r="F24"/>
      <c r="G24"/>
      <c r="H24"/>
      <c r="I24"/>
    </row>
    <row r="25" spans="1:101" s="144" customFormat="1" ht="21" x14ac:dyDescent="0.2">
      <c r="A25"/>
      <c r="B25"/>
      <c r="C25"/>
      <c r="D25"/>
      <c r="E25"/>
      <c r="F25"/>
      <c r="G25"/>
      <c r="H25"/>
      <c r="I25"/>
    </row>
    <row r="26" spans="1:101" s="145" customFormat="1" x14ac:dyDescent="0.2">
      <c r="A26"/>
      <c r="B26"/>
      <c r="C26"/>
      <c r="D26"/>
      <c r="E26"/>
      <c r="F26"/>
      <c r="G26"/>
      <c r="H26"/>
      <c r="I26"/>
    </row>
    <row r="27" spans="1:101" x14ac:dyDescent="0.2">
      <c r="A27"/>
      <c r="B27"/>
      <c r="C27"/>
      <c r="D27"/>
      <c r="E27"/>
      <c r="F27"/>
      <c r="G27"/>
      <c r="H27"/>
      <c r="I27"/>
    </row>
    <row r="28" spans="1:101" x14ac:dyDescent="0.2">
      <c r="A28"/>
      <c r="B28"/>
      <c r="C28"/>
      <c r="D28"/>
      <c r="E28"/>
      <c r="F28"/>
      <c r="G28"/>
      <c r="H28"/>
      <c r="I28"/>
    </row>
    <row r="29" spans="1:101" x14ac:dyDescent="0.2">
      <c r="A29"/>
      <c r="B29"/>
      <c r="C29"/>
      <c r="D29"/>
      <c r="E29"/>
      <c r="F29"/>
      <c r="G29"/>
      <c r="H29"/>
      <c r="I29"/>
    </row>
    <row r="30" spans="1:101" x14ac:dyDescent="0.2">
      <c r="A30"/>
      <c r="B30"/>
      <c r="C30"/>
      <c r="D30"/>
      <c r="E30"/>
      <c r="F30"/>
      <c r="G30"/>
      <c r="H30"/>
      <c r="I30"/>
    </row>
    <row r="31" spans="1:101" x14ac:dyDescent="0.2">
      <c r="A31"/>
      <c r="B31"/>
      <c r="C31"/>
      <c r="D31"/>
      <c r="E31"/>
      <c r="F31"/>
      <c r="G31"/>
      <c r="H31"/>
      <c r="I31"/>
    </row>
    <row r="32" spans="1:101" x14ac:dyDescent="0.2">
      <c r="A32"/>
      <c r="B32"/>
      <c r="C32"/>
      <c r="D32"/>
      <c r="E32"/>
      <c r="F32"/>
      <c r="G32"/>
      <c r="H32"/>
      <c r="I32"/>
    </row>
    <row r="33" spans="1:9" x14ac:dyDescent="0.2">
      <c r="A33"/>
      <c r="B33"/>
      <c r="C33"/>
      <c r="D33"/>
      <c r="E33"/>
      <c r="F33"/>
      <c r="G33"/>
      <c r="H33"/>
      <c r="I33"/>
    </row>
    <row r="34" spans="1:9" x14ac:dyDescent="0.2">
      <c r="A34"/>
      <c r="B34"/>
      <c r="C34"/>
      <c r="D34"/>
      <c r="E34"/>
      <c r="F34"/>
      <c r="G34"/>
      <c r="H34"/>
      <c r="I34"/>
    </row>
    <row r="35" spans="1:9" x14ac:dyDescent="0.2">
      <c r="A35"/>
      <c r="B35"/>
      <c r="C35"/>
      <c r="D35"/>
      <c r="E35"/>
      <c r="F35"/>
      <c r="G35"/>
      <c r="H35"/>
      <c r="I35"/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/>
      <c r="B38"/>
      <c r="C38"/>
      <c r="D38"/>
      <c r="E38"/>
      <c r="F38"/>
      <c r="G38"/>
      <c r="H38"/>
      <c r="I38"/>
    </row>
    <row r="39" spans="1:9" x14ac:dyDescent="0.2">
      <c r="A39"/>
      <c r="B39"/>
      <c r="C39"/>
      <c r="D39"/>
      <c r="E39"/>
      <c r="F39"/>
      <c r="G39"/>
      <c r="H39"/>
      <c r="I39"/>
    </row>
    <row r="40" spans="1:9" x14ac:dyDescent="0.2">
      <c r="A40"/>
      <c r="B40"/>
      <c r="C40"/>
      <c r="D40"/>
      <c r="E40"/>
      <c r="F40"/>
      <c r="G40"/>
      <c r="H40"/>
      <c r="I40"/>
    </row>
    <row r="41" spans="1:9" x14ac:dyDescent="0.2">
      <c r="A41"/>
      <c r="B41"/>
      <c r="C41"/>
      <c r="D41"/>
      <c r="E41"/>
      <c r="F41"/>
      <c r="G41"/>
      <c r="H41"/>
      <c r="I41"/>
    </row>
    <row r="42" spans="1:9" x14ac:dyDescent="0.2">
      <c r="A42"/>
      <c r="B42"/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  <row r="46" spans="1:9" x14ac:dyDescent="0.2">
      <c r="A46"/>
      <c r="B46"/>
      <c r="C46"/>
      <c r="D46"/>
      <c r="E46"/>
      <c r="F46"/>
      <c r="G46"/>
      <c r="H46"/>
      <c r="I46"/>
    </row>
    <row r="47" spans="1:9" x14ac:dyDescent="0.2">
      <c r="A47"/>
      <c r="B47"/>
      <c r="C47"/>
      <c r="D47"/>
      <c r="E47"/>
      <c r="F47"/>
      <c r="G47"/>
      <c r="H47"/>
      <c r="I47"/>
    </row>
    <row r="48" spans="1:9" x14ac:dyDescent="0.2">
      <c r="A48"/>
      <c r="B48"/>
      <c r="C48"/>
      <c r="D48"/>
      <c r="E48"/>
      <c r="F48"/>
      <c r="G48"/>
      <c r="H48"/>
      <c r="I48"/>
    </row>
    <row r="49" spans="1:9" x14ac:dyDescent="0.2">
      <c r="A49"/>
      <c r="B49"/>
      <c r="C49"/>
      <c r="D49"/>
      <c r="E49"/>
      <c r="F49"/>
      <c r="G49"/>
      <c r="H49"/>
      <c r="I49"/>
    </row>
    <row r="50" spans="1:9" x14ac:dyDescent="0.2">
      <c r="A50"/>
      <c r="B50"/>
      <c r="C50"/>
      <c r="D50"/>
      <c r="E50"/>
      <c r="F50"/>
      <c r="G50"/>
      <c r="H50"/>
      <c r="I50"/>
    </row>
    <row r="51" spans="1:9" x14ac:dyDescent="0.2">
      <c r="A51"/>
      <c r="B51"/>
      <c r="C51"/>
      <c r="D51"/>
      <c r="E51"/>
      <c r="F51"/>
      <c r="G51"/>
      <c r="H51"/>
      <c r="I51"/>
    </row>
    <row r="52" spans="1:9" x14ac:dyDescent="0.2">
      <c r="A52"/>
      <c r="B52"/>
      <c r="C52"/>
      <c r="D52"/>
      <c r="E52"/>
      <c r="F52"/>
      <c r="G52"/>
      <c r="H52"/>
      <c r="I52"/>
    </row>
    <row r="53" spans="1:9" x14ac:dyDescent="0.2">
      <c r="A53"/>
      <c r="B53"/>
      <c r="C53"/>
      <c r="D53"/>
      <c r="E53"/>
      <c r="F53"/>
      <c r="G53"/>
      <c r="H53"/>
      <c r="I53"/>
    </row>
    <row r="54" spans="1:9" x14ac:dyDescent="0.2">
      <c r="A54"/>
      <c r="B54"/>
      <c r="C54"/>
      <c r="D54"/>
      <c r="E54"/>
      <c r="F54"/>
      <c r="G54"/>
      <c r="H54"/>
      <c r="I54"/>
    </row>
    <row r="55" spans="1:9" x14ac:dyDescent="0.2">
      <c r="A55"/>
      <c r="B55"/>
      <c r="C55"/>
      <c r="D55"/>
      <c r="E55"/>
      <c r="F55"/>
      <c r="G55"/>
      <c r="H55"/>
      <c r="I55"/>
    </row>
    <row r="56" spans="1:9" x14ac:dyDescent="0.2">
      <c r="A56"/>
      <c r="B56"/>
      <c r="C56"/>
      <c r="D56"/>
      <c r="E56"/>
      <c r="F56"/>
      <c r="G56"/>
      <c r="H56"/>
      <c r="I56"/>
    </row>
    <row r="57" spans="1:9" x14ac:dyDescent="0.2">
      <c r="A57"/>
      <c r="B57"/>
      <c r="C57"/>
      <c r="D57"/>
      <c r="E57"/>
      <c r="F57"/>
      <c r="G57"/>
      <c r="H57"/>
      <c r="I57"/>
    </row>
    <row r="58" spans="1:9" x14ac:dyDescent="0.2">
      <c r="A58"/>
      <c r="B58"/>
      <c r="C58"/>
      <c r="D58"/>
      <c r="E58"/>
      <c r="F58"/>
      <c r="G58"/>
      <c r="H58"/>
      <c r="I58"/>
    </row>
    <row r="59" spans="1:9" x14ac:dyDescent="0.2">
      <c r="A59"/>
      <c r="B59"/>
      <c r="C59"/>
      <c r="D59"/>
      <c r="E59"/>
      <c r="F59"/>
      <c r="G59"/>
      <c r="H59"/>
      <c r="I59"/>
    </row>
    <row r="60" spans="1:9" x14ac:dyDescent="0.2">
      <c r="A60"/>
      <c r="B60"/>
      <c r="C60"/>
      <c r="D60"/>
      <c r="E60"/>
      <c r="F60"/>
      <c r="G60"/>
      <c r="H60"/>
      <c r="I60"/>
    </row>
    <row r="61" spans="1:9" x14ac:dyDescent="0.2">
      <c r="A61"/>
      <c r="B61"/>
      <c r="C61"/>
      <c r="D61"/>
      <c r="E61"/>
      <c r="F61"/>
      <c r="G61"/>
      <c r="H61"/>
      <c r="I61"/>
    </row>
    <row r="62" spans="1:9" x14ac:dyDescent="0.2">
      <c r="A62"/>
      <c r="B62"/>
      <c r="C62"/>
      <c r="D62"/>
      <c r="E62"/>
      <c r="F62"/>
      <c r="G62"/>
      <c r="H62"/>
      <c r="I62"/>
    </row>
    <row r="63" spans="1:9" x14ac:dyDescent="0.2">
      <c r="A63"/>
      <c r="B63"/>
      <c r="C63"/>
      <c r="D63"/>
      <c r="E63"/>
      <c r="F63"/>
      <c r="G63"/>
      <c r="H63"/>
      <c r="I63"/>
    </row>
    <row r="64" spans="1:9" x14ac:dyDescent="0.2">
      <c r="A64"/>
      <c r="B64"/>
      <c r="C64"/>
      <c r="D64"/>
      <c r="E64"/>
      <c r="F64"/>
      <c r="G64"/>
      <c r="H64"/>
      <c r="I64"/>
    </row>
    <row r="65" spans="1:9" x14ac:dyDescent="0.2">
      <c r="A65"/>
      <c r="B65"/>
      <c r="C65"/>
      <c r="D65"/>
      <c r="E65"/>
      <c r="F65"/>
      <c r="G65"/>
      <c r="H65"/>
      <c r="I65"/>
    </row>
    <row r="66" spans="1:9" x14ac:dyDescent="0.2">
      <c r="A66"/>
      <c r="B66"/>
      <c r="C66"/>
      <c r="D66"/>
      <c r="E66"/>
      <c r="F66"/>
      <c r="G66"/>
      <c r="H66"/>
      <c r="I66"/>
    </row>
    <row r="67" spans="1:9" x14ac:dyDescent="0.2">
      <c r="A67"/>
      <c r="B67"/>
      <c r="C67"/>
      <c r="D67"/>
      <c r="E67"/>
      <c r="F67"/>
      <c r="G67"/>
      <c r="H67"/>
      <c r="I67"/>
    </row>
    <row r="68" spans="1:9" x14ac:dyDescent="0.2">
      <c r="A68"/>
      <c r="B68"/>
      <c r="C68"/>
      <c r="D68"/>
      <c r="E68"/>
      <c r="F68"/>
      <c r="G68"/>
      <c r="H68"/>
      <c r="I68"/>
    </row>
    <row r="69" spans="1:9" x14ac:dyDescent="0.2">
      <c r="A69"/>
      <c r="B69"/>
      <c r="C69"/>
      <c r="D69"/>
      <c r="E69"/>
      <c r="F69"/>
      <c r="G69"/>
      <c r="H69"/>
      <c r="I69"/>
    </row>
    <row r="70" spans="1:9" x14ac:dyDescent="0.2">
      <c r="A70"/>
      <c r="B70"/>
      <c r="C70"/>
      <c r="D70"/>
      <c r="E70"/>
      <c r="F70"/>
      <c r="G70"/>
      <c r="H70"/>
      <c r="I70"/>
    </row>
    <row r="71" spans="1:9" x14ac:dyDescent="0.2">
      <c r="A71"/>
      <c r="B71"/>
      <c r="C71"/>
      <c r="D71"/>
      <c r="E71"/>
      <c r="F71"/>
      <c r="G71"/>
      <c r="H71"/>
      <c r="I71"/>
    </row>
    <row r="72" spans="1:9" x14ac:dyDescent="0.2">
      <c r="A72"/>
      <c r="B72"/>
      <c r="C72"/>
      <c r="D72"/>
      <c r="E72"/>
      <c r="F72"/>
      <c r="G72"/>
      <c r="H72"/>
      <c r="I72"/>
    </row>
    <row r="73" spans="1:9" x14ac:dyDescent="0.2">
      <c r="A73"/>
      <c r="B73"/>
      <c r="C73"/>
      <c r="D73"/>
      <c r="E73"/>
      <c r="F73"/>
      <c r="G73"/>
      <c r="H73"/>
      <c r="I73"/>
    </row>
    <row r="74" spans="1:9" x14ac:dyDescent="0.2">
      <c r="A74"/>
      <c r="B74"/>
      <c r="C74"/>
      <c r="D74"/>
      <c r="E74"/>
      <c r="F74"/>
      <c r="G74"/>
      <c r="H74"/>
      <c r="I74"/>
    </row>
    <row r="75" spans="1:9" x14ac:dyDescent="0.2">
      <c r="A75"/>
      <c r="B75"/>
      <c r="C75"/>
      <c r="D75"/>
      <c r="E75"/>
      <c r="F75"/>
      <c r="G75"/>
      <c r="H75"/>
      <c r="I75"/>
    </row>
    <row r="76" spans="1:9" x14ac:dyDescent="0.2">
      <c r="A76"/>
      <c r="B76"/>
      <c r="C76"/>
      <c r="D76"/>
      <c r="E76"/>
      <c r="F76"/>
      <c r="G76"/>
      <c r="H76"/>
      <c r="I76"/>
    </row>
    <row r="77" spans="1:9" x14ac:dyDescent="0.2">
      <c r="A77"/>
      <c r="B77"/>
      <c r="C77"/>
      <c r="D77"/>
      <c r="E77"/>
      <c r="F77"/>
      <c r="G77"/>
      <c r="H77"/>
      <c r="I77"/>
    </row>
    <row r="78" spans="1:9" x14ac:dyDescent="0.2">
      <c r="A78"/>
      <c r="B78"/>
      <c r="C78"/>
      <c r="D78"/>
      <c r="E78"/>
      <c r="F78"/>
      <c r="G78"/>
      <c r="H78"/>
      <c r="I78"/>
    </row>
    <row r="79" spans="1:9" x14ac:dyDescent="0.2">
      <c r="A79"/>
      <c r="B79"/>
      <c r="C79"/>
      <c r="D79"/>
      <c r="E79"/>
      <c r="F79"/>
      <c r="G79"/>
      <c r="H79"/>
      <c r="I79"/>
    </row>
    <row r="80" spans="1:9" x14ac:dyDescent="0.2">
      <c r="A80"/>
      <c r="B80"/>
      <c r="C80"/>
      <c r="D80"/>
      <c r="E80"/>
      <c r="F80"/>
      <c r="G80"/>
      <c r="H80"/>
      <c r="I80"/>
    </row>
    <row r="81" spans="1:9" x14ac:dyDescent="0.2">
      <c r="A81"/>
      <c r="B81"/>
      <c r="C81"/>
      <c r="D81"/>
      <c r="E81"/>
      <c r="F81"/>
      <c r="G81"/>
      <c r="H81"/>
      <c r="I81"/>
    </row>
    <row r="82" spans="1:9" x14ac:dyDescent="0.2">
      <c r="A82"/>
      <c r="B82"/>
      <c r="C82"/>
      <c r="D82"/>
      <c r="E82"/>
      <c r="F82"/>
      <c r="G82"/>
      <c r="H82"/>
      <c r="I82"/>
    </row>
    <row r="83" spans="1:9" x14ac:dyDescent="0.2">
      <c r="A83"/>
      <c r="B83"/>
      <c r="C83"/>
      <c r="D83"/>
      <c r="E83"/>
      <c r="F83"/>
      <c r="G83"/>
      <c r="H83"/>
      <c r="I83"/>
    </row>
    <row r="84" spans="1:9" x14ac:dyDescent="0.2">
      <c r="A84"/>
      <c r="B84"/>
      <c r="C84"/>
      <c r="D84"/>
      <c r="E84"/>
      <c r="F84"/>
      <c r="G84"/>
      <c r="H84"/>
      <c r="I84"/>
    </row>
    <row r="85" spans="1:9" x14ac:dyDescent="0.2">
      <c r="A85"/>
      <c r="B85"/>
      <c r="C85"/>
      <c r="D85"/>
      <c r="E85"/>
      <c r="F85"/>
      <c r="G85"/>
      <c r="H85"/>
      <c r="I85"/>
    </row>
    <row r="86" spans="1:9" x14ac:dyDescent="0.2">
      <c r="A86"/>
      <c r="B86"/>
      <c r="C86"/>
      <c r="D86"/>
      <c r="E86"/>
      <c r="F86"/>
      <c r="G86"/>
      <c r="H86"/>
      <c r="I86"/>
    </row>
    <row r="87" spans="1:9" x14ac:dyDescent="0.2">
      <c r="A87"/>
      <c r="B87"/>
      <c r="C87"/>
      <c r="D87"/>
      <c r="E87"/>
      <c r="F87"/>
      <c r="G87"/>
      <c r="H87"/>
      <c r="I87"/>
    </row>
    <row r="88" spans="1:9" x14ac:dyDescent="0.2">
      <c r="A88"/>
      <c r="B88"/>
      <c r="C88"/>
      <c r="D88"/>
      <c r="E88"/>
      <c r="F88"/>
      <c r="G88"/>
      <c r="H88"/>
      <c r="I88"/>
    </row>
    <row r="89" spans="1:9" x14ac:dyDescent="0.2">
      <c r="A89"/>
      <c r="B89"/>
      <c r="C89"/>
      <c r="D89"/>
      <c r="E89"/>
      <c r="F89"/>
      <c r="G89"/>
      <c r="H89"/>
      <c r="I89"/>
    </row>
    <row r="90" spans="1:9" x14ac:dyDescent="0.2">
      <c r="A90"/>
      <c r="B90"/>
      <c r="C90"/>
      <c r="D90"/>
      <c r="E90"/>
      <c r="F90"/>
      <c r="G90"/>
      <c r="H90"/>
      <c r="I90"/>
    </row>
    <row r="91" spans="1:9" x14ac:dyDescent="0.2">
      <c r="A91"/>
      <c r="B91"/>
      <c r="C91"/>
      <c r="D91"/>
      <c r="E91"/>
      <c r="F91"/>
      <c r="G91"/>
      <c r="H91"/>
      <c r="I91"/>
    </row>
    <row r="92" spans="1:9" x14ac:dyDescent="0.2">
      <c r="A92"/>
      <c r="B92"/>
      <c r="C92"/>
      <c r="D92"/>
      <c r="E92"/>
      <c r="F92"/>
      <c r="G92"/>
      <c r="H92"/>
      <c r="I92"/>
    </row>
    <row r="93" spans="1:9" x14ac:dyDescent="0.2">
      <c r="A93"/>
      <c r="B93"/>
      <c r="C93"/>
      <c r="D93"/>
      <c r="E93"/>
      <c r="F93"/>
      <c r="G93"/>
      <c r="H93"/>
      <c r="I93"/>
    </row>
    <row r="94" spans="1:9" x14ac:dyDescent="0.2">
      <c r="A94"/>
      <c r="B94"/>
      <c r="C94"/>
      <c r="D94"/>
      <c r="E94"/>
      <c r="F94"/>
      <c r="G94"/>
      <c r="H94"/>
      <c r="I94"/>
    </row>
    <row r="95" spans="1:9" x14ac:dyDescent="0.2">
      <c r="A95"/>
      <c r="B95"/>
      <c r="C95"/>
      <c r="D95"/>
      <c r="E95"/>
      <c r="F95"/>
      <c r="G95"/>
      <c r="H95"/>
      <c r="I95"/>
    </row>
    <row r="96" spans="1:9" x14ac:dyDescent="0.2">
      <c r="A96"/>
      <c r="B96"/>
      <c r="C96"/>
      <c r="D96"/>
      <c r="E96"/>
      <c r="F96"/>
      <c r="G96"/>
      <c r="H96"/>
      <c r="I96"/>
    </row>
    <row r="97" spans="1:9" x14ac:dyDescent="0.2">
      <c r="A97"/>
      <c r="B97"/>
      <c r="C97"/>
      <c r="D97"/>
      <c r="E97"/>
      <c r="F97"/>
      <c r="G97"/>
      <c r="H97"/>
      <c r="I97"/>
    </row>
    <row r="98" spans="1:9" x14ac:dyDescent="0.2">
      <c r="A98"/>
      <c r="B98"/>
      <c r="C98"/>
      <c r="D98"/>
      <c r="E98"/>
      <c r="F98"/>
      <c r="G98"/>
      <c r="H98"/>
      <c r="I98"/>
    </row>
    <row r="99" spans="1:9" x14ac:dyDescent="0.2">
      <c r="A99"/>
      <c r="B99"/>
      <c r="C99"/>
      <c r="D99"/>
      <c r="E99"/>
      <c r="F99"/>
      <c r="G99"/>
      <c r="H99"/>
      <c r="I99"/>
    </row>
    <row r="100" spans="1:9" x14ac:dyDescent="0.2">
      <c r="A100"/>
      <c r="B100"/>
      <c r="C100"/>
      <c r="D100"/>
      <c r="E100"/>
      <c r="F100"/>
      <c r="G100"/>
      <c r="H100"/>
      <c r="I100"/>
    </row>
    <row r="101" spans="1:9" x14ac:dyDescent="0.2">
      <c r="A101"/>
      <c r="B101"/>
      <c r="C101"/>
      <c r="D101"/>
      <c r="E101"/>
      <c r="F101"/>
      <c r="G101"/>
      <c r="H101"/>
      <c r="I101"/>
    </row>
    <row r="102" spans="1:9" x14ac:dyDescent="0.2">
      <c r="A102"/>
      <c r="B102"/>
      <c r="C102"/>
      <c r="D102"/>
      <c r="E102"/>
      <c r="F102"/>
      <c r="G102"/>
      <c r="H102"/>
      <c r="I102"/>
    </row>
    <row r="103" spans="1:9" x14ac:dyDescent="0.2">
      <c r="A103"/>
      <c r="B103"/>
      <c r="C103"/>
      <c r="D103"/>
      <c r="E103"/>
      <c r="F103"/>
      <c r="G103"/>
      <c r="H103"/>
      <c r="I103"/>
    </row>
    <row r="104" spans="1:9" x14ac:dyDescent="0.2">
      <c r="A104"/>
      <c r="B104"/>
      <c r="C104"/>
      <c r="D104"/>
      <c r="E104"/>
      <c r="F104"/>
      <c r="G104"/>
      <c r="H104"/>
      <c r="I104"/>
    </row>
    <row r="105" spans="1:9" x14ac:dyDescent="0.2">
      <c r="A105"/>
      <c r="B105"/>
      <c r="C105"/>
      <c r="D105"/>
      <c r="E105"/>
      <c r="F105"/>
      <c r="G105"/>
      <c r="H105"/>
      <c r="I105"/>
    </row>
    <row r="106" spans="1:9" x14ac:dyDescent="0.2">
      <c r="A106"/>
      <c r="B106"/>
      <c r="C106"/>
      <c r="D106"/>
      <c r="E106"/>
      <c r="F106"/>
      <c r="G106"/>
      <c r="H106"/>
      <c r="I106"/>
    </row>
    <row r="107" spans="1:9" x14ac:dyDescent="0.2">
      <c r="A107"/>
      <c r="B107"/>
      <c r="C107"/>
      <c r="D107"/>
      <c r="E107"/>
      <c r="F107"/>
      <c r="G107"/>
      <c r="H107"/>
      <c r="I107"/>
    </row>
    <row r="108" spans="1:9" x14ac:dyDescent="0.2">
      <c r="A108"/>
      <c r="B108"/>
      <c r="C108"/>
      <c r="D108"/>
      <c r="E108"/>
      <c r="F108"/>
      <c r="G108"/>
      <c r="H108"/>
      <c r="I108"/>
    </row>
    <row r="109" spans="1:9" x14ac:dyDescent="0.2">
      <c r="A109"/>
      <c r="B109"/>
      <c r="C109"/>
      <c r="D109"/>
      <c r="E109"/>
      <c r="F109"/>
      <c r="G109"/>
      <c r="H109"/>
      <c r="I109"/>
    </row>
    <row r="110" spans="1:9" x14ac:dyDescent="0.2">
      <c r="A110"/>
      <c r="B110"/>
      <c r="C110"/>
      <c r="D110"/>
      <c r="E110"/>
      <c r="F110"/>
      <c r="G110"/>
      <c r="H110"/>
      <c r="I110"/>
    </row>
    <row r="111" spans="1:9" x14ac:dyDescent="0.2">
      <c r="A111"/>
      <c r="B111"/>
      <c r="C111"/>
      <c r="D111"/>
      <c r="E111"/>
      <c r="F111"/>
      <c r="G111"/>
      <c r="H111"/>
      <c r="I111"/>
    </row>
    <row r="112" spans="1:9" x14ac:dyDescent="0.2">
      <c r="A112"/>
      <c r="B112"/>
      <c r="C112"/>
      <c r="D112"/>
      <c r="E112"/>
      <c r="F112"/>
      <c r="G112"/>
      <c r="H112"/>
      <c r="I112"/>
    </row>
    <row r="113" spans="1:9" x14ac:dyDescent="0.2">
      <c r="A113"/>
      <c r="B113"/>
      <c r="C113"/>
      <c r="D113"/>
      <c r="E113"/>
      <c r="F113"/>
      <c r="G113"/>
      <c r="H113"/>
      <c r="I113"/>
    </row>
    <row r="114" spans="1:9" x14ac:dyDescent="0.2">
      <c r="A114"/>
      <c r="B114"/>
      <c r="C114"/>
      <c r="D114"/>
      <c r="E114"/>
      <c r="F114"/>
      <c r="G114"/>
      <c r="H114"/>
      <c r="I114"/>
    </row>
    <row r="115" spans="1:9" x14ac:dyDescent="0.2">
      <c r="A115"/>
      <c r="B115"/>
      <c r="C115"/>
      <c r="D115"/>
      <c r="E115"/>
      <c r="F115"/>
      <c r="G115"/>
      <c r="H115"/>
      <c r="I115"/>
    </row>
    <row r="116" spans="1:9" x14ac:dyDescent="0.2">
      <c r="A116"/>
      <c r="B116"/>
      <c r="C116"/>
      <c r="D116"/>
      <c r="E116"/>
      <c r="F116"/>
      <c r="G116"/>
      <c r="H116"/>
      <c r="I116"/>
    </row>
    <row r="117" spans="1:9" x14ac:dyDescent="0.2">
      <c r="A117"/>
      <c r="B117"/>
      <c r="C117"/>
      <c r="D117"/>
      <c r="E117"/>
      <c r="F117"/>
      <c r="G117"/>
      <c r="H117"/>
      <c r="I117"/>
    </row>
    <row r="118" spans="1:9" x14ac:dyDescent="0.2">
      <c r="A118"/>
      <c r="B118"/>
      <c r="C118"/>
      <c r="D118"/>
      <c r="E118"/>
      <c r="F118"/>
      <c r="G118"/>
      <c r="H118"/>
      <c r="I118"/>
    </row>
    <row r="119" spans="1:9" x14ac:dyDescent="0.2">
      <c r="A119"/>
      <c r="B119"/>
      <c r="C119"/>
      <c r="D119"/>
      <c r="E119"/>
      <c r="F119"/>
      <c r="G119"/>
      <c r="H119"/>
      <c r="I119"/>
    </row>
    <row r="120" spans="1:9" x14ac:dyDescent="0.2">
      <c r="A120"/>
      <c r="B120"/>
      <c r="C120"/>
      <c r="D120"/>
      <c r="E120"/>
      <c r="F120"/>
      <c r="G120"/>
      <c r="H120"/>
      <c r="I120"/>
    </row>
    <row r="121" spans="1:9" x14ac:dyDescent="0.2">
      <c r="A121"/>
      <c r="B121"/>
      <c r="C121"/>
      <c r="D121"/>
      <c r="E121"/>
      <c r="F121"/>
      <c r="G121"/>
      <c r="H121"/>
      <c r="I121"/>
    </row>
    <row r="122" spans="1:9" x14ac:dyDescent="0.2">
      <c r="A122"/>
      <c r="B122"/>
      <c r="C122"/>
      <c r="D122"/>
      <c r="E122"/>
      <c r="F122"/>
      <c r="G122"/>
      <c r="H122"/>
      <c r="I122"/>
    </row>
    <row r="123" spans="1:9" x14ac:dyDescent="0.2">
      <c r="A123"/>
      <c r="B123"/>
      <c r="C123"/>
      <c r="D123"/>
      <c r="E123"/>
      <c r="F123"/>
      <c r="G123"/>
      <c r="H123"/>
      <c r="I123"/>
    </row>
    <row r="124" spans="1:9" x14ac:dyDescent="0.2">
      <c r="A124"/>
      <c r="B124"/>
      <c r="C124"/>
      <c r="D124"/>
      <c r="E124"/>
      <c r="F124"/>
      <c r="G124"/>
      <c r="H124"/>
      <c r="I124"/>
    </row>
    <row r="125" spans="1:9" x14ac:dyDescent="0.2">
      <c r="A125"/>
      <c r="B125"/>
      <c r="C125"/>
      <c r="D125"/>
      <c r="E125"/>
      <c r="F125"/>
      <c r="G125"/>
      <c r="H125"/>
      <c r="I125"/>
    </row>
    <row r="126" spans="1:9" x14ac:dyDescent="0.2">
      <c r="A126"/>
      <c r="B126"/>
      <c r="C126"/>
      <c r="D126"/>
      <c r="E126"/>
      <c r="F126"/>
      <c r="G126"/>
      <c r="H126"/>
      <c r="I126"/>
    </row>
    <row r="127" spans="1:9" x14ac:dyDescent="0.2">
      <c r="A127"/>
      <c r="B127"/>
      <c r="C127"/>
      <c r="D127"/>
      <c r="E127"/>
      <c r="F127"/>
      <c r="G127"/>
      <c r="H127"/>
      <c r="I127"/>
    </row>
    <row r="128" spans="1:9" x14ac:dyDescent="0.2">
      <c r="A128"/>
      <c r="B128"/>
      <c r="C128"/>
      <c r="D128"/>
      <c r="E128"/>
      <c r="F128"/>
      <c r="G128"/>
      <c r="H128"/>
      <c r="I128"/>
    </row>
    <row r="129" spans="1:9" x14ac:dyDescent="0.2">
      <c r="A129"/>
      <c r="B129"/>
      <c r="C129"/>
      <c r="D129"/>
      <c r="E129"/>
      <c r="F129"/>
      <c r="G129"/>
      <c r="H129"/>
      <c r="I129"/>
    </row>
    <row r="130" spans="1:9" x14ac:dyDescent="0.2">
      <c r="A130"/>
      <c r="B130"/>
      <c r="C130"/>
      <c r="D130"/>
      <c r="E130"/>
      <c r="F130"/>
      <c r="G130"/>
      <c r="H130"/>
      <c r="I130"/>
    </row>
    <row r="131" spans="1:9" x14ac:dyDescent="0.2">
      <c r="A131"/>
      <c r="B131"/>
      <c r="C131"/>
      <c r="D131"/>
      <c r="E131"/>
      <c r="F131"/>
      <c r="G131"/>
      <c r="H131"/>
      <c r="I131"/>
    </row>
    <row r="132" spans="1:9" x14ac:dyDescent="0.2">
      <c r="A132"/>
      <c r="B132"/>
      <c r="C132"/>
      <c r="D132"/>
      <c r="E132"/>
      <c r="F132"/>
      <c r="G132"/>
      <c r="H132"/>
      <c r="I132"/>
    </row>
    <row r="133" spans="1:9" x14ac:dyDescent="0.2">
      <c r="A133"/>
      <c r="B133"/>
      <c r="C133"/>
      <c r="D133"/>
      <c r="E133"/>
      <c r="F133"/>
      <c r="G133"/>
      <c r="H133"/>
      <c r="I133"/>
    </row>
    <row r="134" spans="1:9" x14ac:dyDescent="0.2">
      <c r="A134"/>
      <c r="B134"/>
      <c r="C134"/>
      <c r="D134"/>
      <c r="E134"/>
      <c r="F134"/>
      <c r="G134"/>
      <c r="H134"/>
      <c r="I134"/>
    </row>
    <row r="135" spans="1:9" x14ac:dyDescent="0.2">
      <c r="A135"/>
      <c r="B135"/>
      <c r="C135"/>
      <c r="D135"/>
      <c r="E135"/>
      <c r="F135"/>
      <c r="G135"/>
      <c r="H135"/>
      <c r="I135"/>
    </row>
    <row r="136" spans="1:9" x14ac:dyDescent="0.2">
      <c r="A136"/>
      <c r="B136"/>
      <c r="C136"/>
      <c r="D136"/>
      <c r="E136"/>
      <c r="F136"/>
      <c r="G136"/>
      <c r="H136"/>
      <c r="I136"/>
    </row>
    <row r="137" spans="1:9" x14ac:dyDescent="0.2">
      <c r="A137"/>
      <c r="B137"/>
      <c r="C137"/>
      <c r="D137"/>
      <c r="E137"/>
      <c r="F137"/>
      <c r="G137"/>
      <c r="H137"/>
      <c r="I137"/>
    </row>
    <row r="138" spans="1:9" x14ac:dyDescent="0.2">
      <c r="A138"/>
      <c r="B138"/>
      <c r="C138"/>
      <c r="D138"/>
      <c r="E138"/>
      <c r="F138"/>
      <c r="G138"/>
      <c r="H138"/>
      <c r="I138"/>
    </row>
    <row r="139" spans="1:9" x14ac:dyDescent="0.2">
      <c r="A139"/>
      <c r="B139"/>
      <c r="C139"/>
      <c r="D139"/>
      <c r="E139"/>
      <c r="F139"/>
      <c r="G139"/>
      <c r="H139"/>
      <c r="I139"/>
    </row>
    <row r="140" spans="1:9" x14ac:dyDescent="0.2">
      <c r="A140"/>
      <c r="B140"/>
      <c r="C140"/>
      <c r="D140"/>
      <c r="E140"/>
      <c r="F140"/>
      <c r="G140"/>
      <c r="H140"/>
      <c r="I140"/>
    </row>
    <row r="141" spans="1:9" x14ac:dyDescent="0.2">
      <c r="A141"/>
      <c r="B141"/>
      <c r="C141"/>
      <c r="D141"/>
      <c r="E141"/>
      <c r="F141"/>
      <c r="G141"/>
      <c r="H141"/>
      <c r="I141"/>
    </row>
    <row r="142" spans="1:9" x14ac:dyDescent="0.2">
      <c r="A142"/>
      <c r="B142"/>
      <c r="C142"/>
      <c r="D142"/>
      <c r="E142"/>
      <c r="F142"/>
      <c r="G142"/>
      <c r="H142"/>
      <c r="I142"/>
    </row>
    <row r="143" spans="1:9" x14ac:dyDescent="0.2">
      <c r="A143"/>
      <c r="B143"/>
      <c r="C143"/>
      <c r="D143"/>
      <c r="E143"/>
      <c r="F143"/>
      <c r="G143"/>
      <c r="H143"/>
      <c r="I143"/>
    </row>
    <row r="144" spans="1:9" x14ac:dyDescent="0.2">
      <c r="A144"/>
      <c r="B144"/>
      <c r="C144"/>
      <c r="D144"/>
      <c r="E144"/>
      <c r="F144"/>
      <c r="G144"/>
      <c r="H144"/>
      <c r="I144"/>
    </row>
    <row r="145" spans="1:9" x14ac:dyDescent="0.2">
      <c r="A145"/>
      <c r="B145"/>
      <c r="C145"/>
      <c r="D145"/>
      <c r="E145"/>
      <c r="F145"/>
      <c r="G145"/>
      <c r="H145"/>
      <c r="I145"/>
    </row>
    <row r="146" spans="1:9" x14ac:dyDescent="0.2">
      <c r="A146"/>
      <c r="B146"/>
      <c r="C146"/>
      <c r="D146"/>
      <c r="E146"/>
      <c r="F146"/>
      <c r="G146"/>
      <c r="H146"/>
      <c r="I146"/>
    </row>
    <row r="147" spans="1:9" x14ac:dyDescent="0.2">
      <c r="A147"/>
      <c r="B147"/>
      <c r="C147"/>
      <c r="D147"/>
      <c r="E147"/>
      <c r="F147"/>
      <c r="G147"/>
      <c r="H147"/>
      <c r="I147"/>
    </row>
    <row r="148" spans="1:9" x14ac:dyDescent="0.2">
      <c r="A148"/>
      <c r="B148"/>
      <c r="C148"/>
      <c r="D148"/>
      <c r="E148"/>
      <c r="F148"/>
      <c r="G148"/>
      <c r="H148"/>
      <c r="I148"/>
    </row>
    <row r="149" spans="1:9" x14ac:dyDescent="0.2">
      <c r="A149"/>
      <c r="B149"/>
      <c r="C149"/>
      <c r="D149"/>
      <c r="E149"/>
      <c r="F149"/>
      <c r="G149"/>
      <c r="H149"/>
      <c r="I149"/>
    </row>
    <row r="150" spans="1:9" x14ac:dyDescent="0.2">
      <c r="A150"/>
      <c r="B150"/>
      <c r="C150"/>
      <c r="D150"/>
      <c r="E150"/>
      <c r="F150"/>
      <c r="G150"/>
      <c r="H150"/>
      <c r="I150"/>
    </row>
    <row r="151" spans="1:9" x14ac:dyDescent="0.2">
      <c r="A151"/>
      <c r="B151"/>
      <c r="C151"/>
      <c r="D151"/>
      <c r="E151"/>
      <c r="F151"/>
      <c r="G151"/>
      <c r="H151"/>
      <c r="I151"/>
    </row>
    <row r="152" spans="1:9" x14ac:dyDescent="0.2">
      <c r="A152"/>
      <c r="B152"/>
      <c r="C152"/>
      <c r="D152"/>
      <c r="E152"/>
      <c r="F152"/>
      <c r="G152"/>
      <c r="H152"/>
      <c r="I152"/>
    </row>
    <row r="153" spans="1:9" x14ac:dyDescent="0.2">
      <c r="A153"/>
      <c r="B153"/>
      <c r="C153"/>
      <c r="D153"/>
      <c r="E153"/>
      <c r="F153"/>
      <c r="G153"/>
      <c r="H153"/>
      <c r="I153"/>
    </row>
    <row r="154" spans="1:9" x14ac:dyDescent="0.2">
      <c r="A154"/>
      <c r="B154"/>
      <c r="C154"/>
      <c r="D154"/>
      <c r="E154"/>
      <c r="F154"/>
      <c r="G154"/>
      <c r="H154"/>
      <c r="I154"/>
    </row>
    <row r="155" spans="1:9" x14ac:dyDescent="0.2">
      <c r="A155"/>
      <c r="B155"/>
      <c r="C155"/>
      <c r="D155"/>
      <c r="E155"/>
      <c r="F155"/>
      <c r="G155"/>
      <c r="H155"/>
      <c r="I155"/>
    </row>
    <row r="156" spans="1:9" x14ac:dyDescent="0.2">
      <c r="A156"/>
      <c r="B156"/>
      <c r="C156"/>
      <c r="D156"/>
      <c r="E156"/>
      <c r="F156"/>
      <c r="G156"/>
      <c r="H156"/>
      <c r="I156"/>
    </row>
    <row r="157" spans="1:9" x14ac:dyDescent="0.2">
      <c r="A157"/>
      <c r="B157"/>
      <c r="C157"/>
      <c r="D157"/>
      <c r="E157"/>
      <c r="F157"/>
      <c r="G157"/>
      <c r="H157"/>
      <c r="I157"/>
    </row>
    <row r="158" spans="1:9" x14ac:dyDescent="0.2">
      <c r="A158"/>
      <c r="B158"/>
      <c r="C158"/>
      <c r="D158"/>
      <c r="E158"/>
      <c r="F158"/>
      <c r="G158"/>
      <c r="H158"/>
      <c r="I158"/>
    </row>
    <row r="159" spans="1:9" x14ac:dyDescent="0.2">
      <c r="A159"/>
      <c r="B159"/>
      <c r="C159"/>
      <c r="D159"/>
      <c r="E159"/>
      <c r="F159"/>
      <c r="G159"/>
      <c r="H159"/>
      <c r="I159"/>
    </row>
    <row r="160" spans="1:9" x14ac:dyDescent="0.2">
      <c r="A160"/>
      <c r="B160"/>
      <c r="C160"/>
      <c r="D160"/>
      <c r="E160"/>
      <c r="F160"/>
      <c r="G160"/>
      <c r="H160"/>
      <c r="I160"/>
    </row>
    <row r="161" spans="1:9" x14ac:dyDescent="0.2">
      <c r="A161"/>
      <c r="B161"/>
      <c r="C161"/>
      <c r="D161"/>
      <c r="E161"/>
      <c r="F161"/>
      <c r="G161"/>
      <c r="H161"/>
      <c r="I161"/>
    </row>
    <row r="162" spans="1:9" x14ac:dyDescent="0.2">
      <c r="A162"/>
      <c r="B162"/>
      <c r="C162"/>
      <c r="D162"/>
      <c r="E162"/>
      <c r="F162"/>
      <c r="G162"/>
      <c r="H162"/>
      <c r="I162"/>
    </row>
    <row r="163" spans="1:9" x14ac:dyDescent="0.2">
      <c r="A163"/>
      <c r="B163"/>
      <c r="C163"/>
      <c r="D163"/>
      <c r="E163"/>
      <c r="F163"/>
      <c r="G163"/>
      <c r="H163"/>
      <c r="I163"/>
    </row>
    <row r="164" spans="1:9" x14ac:dyDescent="0.2">
      <c r="A164"/>
      <c r="B164"/>
      <c r="C164"/>
      <c r="D164"/>
      <c r="E164"/>
      <c r="F164"/>
      <c r="G164"/>
      <c r="H164"/>
      <c r="I164"/>
    </row>
    <row r="165" spans="1:9" x14ac:dyDescent="0.2">
      <c r="A165"/>
      <c r="B165"/>
      <c r="C165"/>
      <c r="D165"/>
      <c r="E165"/>
      <c r="F165"/>
      <c r="G165"/>
      <c r="H165"/>
      <c r="I165"/>
    </row>
    <row r="166" spans="1:9" x14ac:dyDescent="0.2">
      <c r="A166"/>
      <c r="B166"/>
      <c r="C166"/>
      <c r="D166"/>
      <c r="E166"/>
      <c r="F166"/>
      <c r="G166"/>
      <c r="H166"/>
      <c r="I166"/>
    </row>
    <row r="167" spans="1:9" x14ac:dyDescent="0.2">
      <c r="A167"/>
      <c r="B167"/>
      <c r="C167"/>
      <c r="D167"/>
      <c r="E167"/>
      <c r="F167"/>
      <c r="G167"/>
      <c r="H167"/>
      <c r="I167"/>
    </row>
    <row r="168" spans="1:9" x14ac:dyDescent="0.2">
      <c r="A168"/>
      <c r="B168"/>
      <c r="C168"/>
      <c r="D168"/>
      <c r="E168"/>
      <c r="F168"/>
      <c r="G168"/>
      <c r="H168"/>
      <c r="I168"/>
    </row>
    <row r="169" spans="1:9" x14ac:dyDescent="0.2">
      <c r="A169"/>
      <c r="B169"/>
      <c r="C169"/>
      <c r="D169"/>
      <c r="E169"/>
      <c r="F169"/>
      <c r="G169"/>
      <c r="H169"/>
      <c r="I169"/>
    </row>
    <row r="170" spans="1:9" x14ac:dyDescent="0.2">
      <c r="A170"/>
      <c r="B170"/>
      <c r="C170"/>
      <c r="D170"/>
      <c r="E170"/>
      <c r="F170"/>
      <c r="G170"/>
      <c r="H170"/>
      <c r="I170"/>
    </row>
    <row r="171" spans="1:9" x14ac:dyDescent="0.2">
      <c r="A171"/>
      <c r="B171"/>
      <c r="C171"/>
      <c r="D171"/>
      <c r="E171"/>
      <c r="F171"/>
      <c r="G171"/>
      <c r="H171"/>
      <c r="I171"/>
    </row>
    <row r="172" spans="1:9" x14ac:dyDescent="0.2">
      <c r="A172"/>
      <c r="B172"/>
      <c r="C172"/>
      <c r="D172"/>
      <c r="E172"/>
      <c r="F172"/>
      <c r="G172"/>
      <c r="H172"/>
      <c r="I172"/>
    </row>
    <row r="173" spans="1:9" x14ac:dyDescent="0.2">
      <c r="A173"/>
      <c r="B173"/>
      <c r="C173"/>
      <c r="D173"/>
      <c r="E173"/>
      <c r="F173"/>
      <c r="G173"/>
      <c r="H173"/>
      <c r="I173"/>
    </row>
    <row r="174" spans="1:9" x14ac:dyDescent="0.2">
      <c r="A174"/>
      <c r="B174"/>
      <c r="C174"/>
      <c r="D174"/>
      <c r="E174"/>
      <c r="F174"/>
      <c r="G174"/>
      <c r="H174"/>
      <c r="I174"/>
    </row>
    <row r="175" spans="1:9" x14ac:dyDescent="0.2">
      <c r="A175"/>
      <c r="B175"/>
      <c r="C175"/>
      <c r="D175"/>
      <c r="E175"/>
      <c r="F175"/>
      <c r="G175"/>
      <c r="H175"/>
      <c r="I175"/>
    </row>
    <row r="176" spans="1:9" x14ac:dyDescent="0.2">
      <c r="A176"/>
      <c r="B176"/>
      <c r="C176"/>
      <c r="D176"/>
      <c r="E176"/>
      <c r="F176"/>
      <c r="G176"/>
      <c r="H176"/>
      <c r="I176"/>
    </row>
    <row r="177" spans="1:9" x14ac:dyDescent="0.2">
      <c r="A177"/>
      <c r="B177"/>
      <c r="C177"/>
      <c r="D177"/>
      <c r="E177"/>
      <c r="F177"/>
      <c r="G177"/>
      <c r="H177"/>
      <c r="I177"/>
    </row>
    <row r="178" spans="1:9" x14ac:dyDescent="0.2">
      <c r="A178"/>
      <c r="B178"/>
      <c r="C178"/>
      <c r="D178"/>
      <c r="E178"/>
      <c r="F178"/>
      <c r="G178"/>
      <c r="H178"/>
      <c r="I178"/>
    </row>
    <row r="179" spans="1:9" x14ac:dyDescent="0.2">
      <c r="A179"/>
      <c r="B179"/>
      <c r="C179"/>
      <c r="D179"/>
      <c r="E179"/>
      <c r="F179"/>
      <c r="G179"/>
      <c r="H179"/>
      <c r="I179"/>
    </row>
    <row r="180" spans="1:9" x14ac:dyDescent="0.2">
      <c r="A180"/>
      <c r="B180"/>
      <c r="C180"/>
      <c r="D180"/>
      <c r="E180"/>
      <c r="F180"/>
      <c r="G180"/>
      <c r="H180"/>
      <c r="I180"/>
    </row>
    <row r="181" spans="1:9" x14ac:dyDescent="0.2">
      <c r="A181"/>
      <c r="B181"/>
      <c r="C181"/>
      <c r="D181"/>
      <c r="E181"/>
      <c r="F181"/>
      <c r="G181"/>
      <c r="H181"/>
      <c r="I181"/>
    </row>
    <row r="182" spans="1:9" x14ac:dyDescent="0.2">
      <c r="A182"/>
      <c r="B182"/>
      <c r="C182"/>
      <c r="D182"/>
      <c r="E182"/>
      <c r="F182"/>
      <c r="G182"/>
      <c r="H182"/>
      <c r="I182"/>
    </row>
    <row r="183" spans="1:9" x14ac:dyDescent="0.2">
      <c r="A183"/>
      <c r="B183"/>
      <c r="C183"/>
      <c r="D183"/>
      <c r="E183"/>
      <c r="F183"/>
      <c r="G183"/>
      <c r="H183"/>
      <c r="I183"/>
    </row>
    <row r="184" spans="1:9" x14ac:dyDescent="0.2">
      <c r="A184"/>
      <c r="B184"/>
      <c r="C184"/>
      <c r="D184"/>
      <c r="E184"/>
      <c r="F184"/>
      <c r="G184"/>
      <c r="H184"/>
      <c r="I184"/>
    </row>
    <row r="185" spans="1:9" x14ac:dyDescent="0.2">
      <c r="A185"/>
      <c r="B185"/>
      <c r="C185"/>
      <c r="D185"/>
      <c r="E185"/>
      <c r="F185"/>
      <c r="G185"/>
      <c r="H185"/>
      <c r="I185"/>
    </row>
    <row r="186" spans="1:9" x14ac:dyDescent="0.2">
      <c r="A186"/>
      <c r="B186"/>
      <c r="C186"/>
      <c r="D186"/>
      <c r="E186"/>
      <c r="F186"/>
      <c r="G186"/>
      <c r="H186"/>
      <c r="I186"/>
    </row>
    <row r="187" spans="1:9" x14ac:dyDescent="0.2">
      <c r="A187"/>
      <c r="B187"/>
      <c r="C187"/>
      <c r="D187"/>
      <c r="E187"/>
      <c r="F187"/>
      <c r="G187"/>
      <c r="H187"/>
      <c r="I187"/>
    </row>
    <row r="188" spans="1:9" x14ac:dyDescent="0.2">
      <c r="A188"/>
      <c r="B188"/>
      <c r="C188"/>
      <c r="D188"/>
      <c r="E188"/>
      <c r="F188"/>
      <c r="G188"/>
      <c r="H188"/>
      <c r="I188"/>
    </row>
    <row r="189" spans="1:9" x14ac:dyDescent="0.2">
      <c r="A189"/>
      <c r="B189"/>
      <c r="C189"/>
      <c r="D189"/>
      <c r="E189"/>
      <c r="F189"/>
      <c r="G189"/>
      <c r="H189"/>
      <c r="I189"/>
    </row>
    <row r="190" spans="1:9" x14ac:dyDescent="0.2">
      <c r="A190"/>
      <c r="B190"/>
      <c r="C190"/>
      <c r="D190"/>
      <c r="E190"/>
      <c r="F190"/>
      <c r="G190"/>
      <c r="H190"/>
      <c r="I190"/>
    </row>
    <row r="191" spans="1:9" x14ac:dyDescent="0.2">
      <c r="A191"/>
      <c r="B191"/>
      <c r="C191"/>
      <c r="D191"/>
      <c r="E191"/>
      <c r="F191"/>
      <c r="G191"/>
      <c r="H191"/>
      <c r="I191"/>
    </row>
    <row r="192" spans="1:9" x14ac:dyDescent="0.2">
      <c r="A192"/>
      <c r="B192"/>
      <c r="C192"/>
      <c r="D192"/>
      <c r="E192"/>
      <c r="F192"/>
      <c r="G192"/>
      <c r="H192"/>
      <c r="I192"/>
    </row>
    <row r="193" spans="1:9" x14ac:dyDescent="0.2">
      <c r="A193"/>
      <c r="B193"/>
      <c r="C193"/>
      <c r="D193"/>
      <c r="E193"/>
      <c r="F193"/>
      <c r="G193"/>
      <c r="H193"/>
      <c r="I193"/>
    </row>
    <row r="194" spans="1:9" x14ac:dyDescent="0.2">
      <c r="A194"/>
      <c r="B194"/>
      <c r="C194"/>
      <c r="D194"/>
      <c r="E194"/>
      <c r="F194"/>
      <c r="G194"/>
      <c r="H194"/>
      <c r="I194"/>
    </row>
    <row r="195" spans="1:9" x14ac:dyDescent="0.2">
      <c r="A195"/>
      <c r="B195"/>
      <c r="C195"/>
      <c r="D195"/>
      <c r="E195"/>
      <c r="F195"/>
      <c r="G195"/>
      <c r="H195"/>
      <c r="I195"/>
    </row>
    <row r="196" spans="1:9" x14ac:dyDescent="0.2">
      <c r="A196"/>
      <c r="B196"/>
      <c r="C196"/>
      <c r="D196"/>
      <c r="E196"/>
      <c r="F196"/>
      <c r="G196"/>
      <c r="H196"/>
      <c r="I196"/>
    </row>
    <row r="197" spans="1:9" x14ac:dyDescent="0.2">
      <c r="A197"/>
      <c r="B197"/>
      <c r="C197"/>
      <c r="D197"/>
      <c r="E197"/>
      <c r="F197"/>
      <c r="G197"/>
      <c r="H197"/>
      <c r="I197"/>
    </row>
    <row r="198" spans="1:9" x14ac:dyDescent="0.2">
      <c r="A198"/>
      <c r="B198"/>
      <c r="C198"/>
      <c r="D198"/>
      <c r="E198"/>
      <c r="F198"/>
      <c r="G198"/>
      <c r="H198"/>
      <c r="I198"/>
    </row>
    <row r="199" spans="1:9" x14ac:dyDescent="0.2">
      <c r="A199"/>
      <c r="B199"/>
      <c r="C199"/>
      <c r="D199"/>
      <c r="E199"/>
      <c r="F199"/>
      <c r="G199"/>
      <c r="H199"/>
      <c r="I199"/>
    </row>
    <row r="200" spans="1:9" x14ac:dyDescent="0.2">
      <c r="A200"/>
      <c r="B200"/>
      <c r="C200"/>
      <c r="D200"/>
      <c r="E200"/>
      <c r="F200"/>
      <c r="G200"/>
      <c r="H200"/>
      <c r="I200"/>
    </row>
    <row r="201" spans="1:9" x14ac:dyDescent="0.2">
      <c r="A201"/>
      <c r="B201"/>
      <c r="C201"/>
      <c r="D201"/>
      <c r="E201"/>
      <c r="F201"/>
      <c r="G201"/>
      <c r="H201"/>
      <c r="I201"/>
    </row>
    <row r="202" spans="1:9" x14ac:dyDescent="0.2">
      <c r="A202"/>
      <c r="B202"/>
      <c r="C202"/>
      <c r="D202"/>
      <c r="E202"/>
      <c r="F202"/>
      <c r="G202"/>
      <c r="H202"/>
      <c r="I202"/>
    </row>
    <row r="203" spans="1:9" x14ac:dyDescent="0.2">
      <c r="A203"/>
      <c r="B203"/>
      <c r="C203"/>
      <c r="D203"/>
      <c r="E203"/>
      <c r="F203"/>
      <c r="G203"/>
      <c r="H203"/>
      <c r="I203"/>
    </row>
    <row r="204" spans="1:9" x14ac:dyDescent="0.2">
      <c r="A204"/>
      <c r="B204"/>
      <c r="C204"/>
      <c r="D204"/>
      <c r="E204"/>
      <c r="F204"/>
      <c r="G204"/>
      <c r="H204"/>
      <c r="I204"/>
    </row>
    <row r="205" spans="1:9" x14ac:dyDescent="0.2">
      <c r="A205"/>
      <c r="B205"/>
      <c r="C205"/>
      <c r="D205"/>
      <c r="E205"/>
      <c r="F205"/>
      <c r="G205"/>
      <c r="H205"/>
      <c r="I205"/>
    </row>
    <row r="206" spans="1:9" x14ac:dyDescent="0.2">
      <c r="A206"/>
      <c r="B206"/>
      <c r="C206"/>
      <c r="D206"/>
      <c r="E206"/>
      <c r="F206"/>
      <c r="G206"/>
      <c r="H206"/>
      <c r="I206"/>
    </row>
    <row r="207" spans="1:9" x14ac:dyDescent="0.2">
      <c r="A207"/>
      <c r="B207"/>
      <c r="C207"/>
      <c r="D207"/>
      <c r="E207"/>
      <c r="F207"/>
      <c r="G207"/>
      <c r="H207"/>
      <c r="I207"/>
    </row>
    <row r="208" spans="1:9" x14ac:dyDescent="0.2">
      <c r="A208"/>
      <c r="B208"/>
      <c r="C208"/>
      <c r="D208"/>
      <c r="E208"/>
      <c r="F208"/>
      <c r="G208"/>
      <c r="H208"/>
      <c r="I208"/>
    </row>
    <row r="209" spans="1:9" x14ac:dyDescent="0.2">
      <c r="A209"/>
      <c r="B209"/>
      <c r="C209"/>
      <c r="D209"/>
      <c r="E209"/>
      <c r="F209"/>
      <c r="G209"/>
      <c r="H209"/>
      <c r="I209"/>
    </row>
    <row r="210" spans="1:9" x14ac:dyDescent="0.2">
      <c r="A210"/>
      <c r="B210"/>
      <c r="C210"/>
      <c r="D210"/>
      <c r="E210"/>
      <c r="F210"/>
      <c r="G210"/>
      <c r="H210"/>
      <c r="I210"/>
    </row>
    <row r="211" spans="1:9" x14ac:dyDescent="0.2">
      <c r="A211"/>
      <c r="B211"/>
      <c r="C211"/>
      <c r="D211"/>
      <c r="E211"/>
      <c r="F211"/>
      <c r="G211"/>
      <c r="H211"/>
      <c r="I211"/>
    </row>
    <row r="212" spans="1:9" x14ac:dyDescent="0.2">
      <c r="A212"/>
      <c r="B212"/>
      <c r="C212"/>
      <c r="D212"/>
      <c r="E212"/>
      <c r="F212"/>
      <c r="G212"/>
      <c r="H212"/>
      <c r="I212"/>
    </row>
    <row r="213" spans="1:9" x14ac:dyDescent="0.2">
      <c r="A213"/>
      <c r="B213"/>
      <c r="C213"/>
      <c r="D213"/>
      <c r="E213"/>
      <c r="F213"/>
      <c r="G213"/>
      <c r="H213"/>
      <c r="I213"/>
    </row>
    <row r="214" spans="1:9" x14ac:dyDescent="0.2">
      <c r="A214"/>
      <c r="B214"/>
      <c r="C214"/>
      <c r="D214"/>
      <c r="E214"/>
      <c r="F214"/>
      <c r="G214"/>
      <c r="H214"/>
      <c r="I214"/>
    </row>
    <row r="215" spans="1:9" x14ac:dyDescent="0.2">
      <c r="A215"/>
      <c r="B215"/>
      <c r="C215"/>
      <c r="D215"/>
      <c r="E215"/>
      <c r="F215"/>
      <c r="G215"/>
      <c r="H215"/>
      <c r="I215"/>
    </row>
    <row r="216" spans="1:9" x14ac:dyDescent="0.2">
      <c r="A216"/>
      <c r="B216"/>
      <c r="C216"/>
      <c r="D216"/>
      <c r="E216"/>
      <c r="F216"/>
      <c r="G216"/>
      <c r="H216"/>
      <c r="I216"/>
    </row>
    <row r="217" spans="1:9" x14ac:dyDescent="0.2">
      <c r="A217"/>
      <c r="B217"/>
      <c r="C217"/>
      <c r="D217"/>
      <c r="E217"/>
      <c r="F217"/>
      <c r="G217"/>
      <c r="H217"/>
      <c r="I217"/>
    </row>
    <row r="218" spans="1:9" x14ac:dyDescent="0.2">
      <c r="A218"/>
      <c r="B218"/>
      <c r="C218"/>
      <c r="D218"/>
      <c r="E218"/>
      <c r="F218"/>
      <c r="G218"/>
      <c r="H218"/>
      <c r="I218"/>
    </row>
    <row r="219" spans="1:9" x14ac:dyDescent="0.2">
      <c r="A219"/>
      <c r="B219"/>
      <c r="C219"/>
      <c r="D219"/>
      <c r="E219"/>
      <c r="F219"/>
      <c r="G219"/>
      <c r="H219"/>
      <c r="I219"/>
    </row>
    <row r="220" spans="1:9" x14ac:dyDescent="0.2">
      <c r="A220"/>
      <c r="B220"/>
      <c r="C220"/>
      <c r="D220"/>
      <c r="E220"/>
      <c r="F220"/>
      <c r="G220"/>
      <c r="H220"/>
      <c r="I220"/>
    </row>
    <row r="221" spans="1:9" x14ac:dyDescent="0.2">
      <c r="A221"/>
      <c r="B221"/>
      <c r="C221"/>
      <c r="D221"/>
      <c r="E221"/>
      <c r="F221"/>
      <c r="G221"/>
      <c r="H221"/>
      <c r="I221"/>
    </row>
    <row r="222" spans="1:9" x14ac:dyDescent="0.2">
      <c r="A222"/>
      <c r="B222"/>
      <c r="C222"/>
      <c r="D222"/>
      <c r="E222"/>
      <c r="F222"/>
      <c r="G222"/>
      <c r="H222"/>
      <c r="I222"/>
    </row>
    <row r="223" spans="1:9" x14ac:dyDescent="0.2">
      <c r="A223"/>
      <c r="B223"/>
      <c r="C223"/>
      <c r="D223"/>
      <c r="E223"/>
      <c r="F223"/>
      <c r="G223"/>
      <c r="H223"/>
      <c r="I223"/>
    </row>
    <row r="224" spans="1:9" x14ac:dyDescent="0.2">
      <c r="A224"/>
      <c r="B224"/>
      <c r="C224"/>
      <c r="D224"/>
      <c r="E224"/>
      <c r="F224"/>
      <c r="G224"/>
      <c r="H224"/>
      <c r="I224"/>
    </row>
    <row r="225" spans="1:9" x14ac:dyDescent="0.2">
      <c r="A225"/>
      <c r="B225"/>
      <c r="C225"/>
      <c r="D225"/>
      <c r="E225"/>
      <c r="F225"/>
      <c r="G225"/>
      <c r="H225"/>
      <c r="I225"/>
    </row>
    <row r="226" spans="1:9" x14ac:dyDescent="0.2">
      <c r="A226"/>
      <c r="B226"/>
      <c r="C226"/>
      <c r="D226"/>
      <c r="E226"/>
      <c r="F226"/>
      <c r="G226"/>
      <c r="H226"/>
      <c r="I226"/>
    </row>
    <row r="227" spans="1:9" x14ac:dyDescent="0.2">
      <c r="A227"/>
      <c r="B227"/>
      <c r="C227"/>
      <c r="D227"/>
      <c r="E227"/>
      <c r="F227"/>
      <c r="G227"/>
      <c r="H227"/>
      <c r="I227"/>
    </row>
    <row r="228" spans="1:9" x14ac:dyDescent="0.2">
      <c r="A228"/>
      <c r="B228"/>
      <c r="C228"/>
      <c r="D228"/>
      <c r="E228"/>
      <c r="F228"/>
      <c r="G228"/>
      <c r="H228"/>
      <c r="I228"/>
    </row>
    <row r="229" spans="1:9" x14ac:dyDescent="0.2">
      <c r="A229"/>
      <c r="B229"/>
      <c r="C229"/>
      <c r="D229"/>
      <c r="E229"/>
      <c r="F229"/>
      <c r="G229"/>
      <c r="H229"/>
      <c r="I229"/>
    </row>
    <row r="230" spans="1:9" x14ac:dyDescent="0.2">
      <c r="A230"/>
      <c r="B230"/>
      <c r="C230"/>
      <c r="D230"/>
      <c r="E230"/>
      <c r="F230"/>
      <c r="G230"/>
      <c r="H230"/>
      <c r="I230"/>
    </row>
    <row r="231" spans="1:9" x14ac:dyDescent="0.2">
      <c r="A231"/>
      <c r="B231"/>
      <c r="C231"/>
      <c r="D231"/>
      <c r="E231"/>
      <c r="F231"/>
      <c r="G231"/>
      <c r="H231"/>
      <c r="I231"/>
    </row>
    <row r="232" spans="1:9" x14ac:dyDescent="0.2">
      <c r="A232"/>
      <c r="B232"/>
      <c r="C232"/>
      <c r="D232"/>
      <c r="E232"/>
      <c r="F232"/>
      <c r="G232"/>
      <c r="H232"/>
      <c r="I232"/>
    </row>
    <row r="233" spans="1:9" x14ac:dyDescent="0.2">
      <c r="A233"/>
      <c r="B233"/>
      <c r="C233"/>
      <c r="D233"/>
      <c r="E233"/>
      <c r="F233"/>
      <c r="G233"/>
      <c r="H233"/>
      <c r="I233"/>
    </row>
    <row r="234" spans="1:9" x14ac:dyDescent="0.2">
      <c r="A234"/>
      <c r="B234"/>
      <c r="C234"/>
      <c r="D234"/>
      <c r="E234"/>
      <c r="F234"/>
      <c r="G234"/>
      <c r="H234"/>
      <c r="I234"/>
    </row>
    <row r="235" spans="1:9" x14ac:dyDescent="0.2">
      <c r="A235"/>
      <c r="B235"/>
      <c r="C235"/>
      <c r="D235"/>
      <c r="E235"/>
      <c r="F235"/>
      <c r="G235"/>
      <c r="H235"/>
      <c r="I235"/>
    </row>
    <row r="236" spans="1:9" x14ac:dyDescent="0.2">
      <c r="A236"/>
      <c r="B236"/>
      <c r="C236"/>
      <c r="D236"/>
      <c r="E236"/>
      <c r="F236"/>
      <c r="G236"/>
      <c r="H236"/>
      <c r="I236"/>
    </row>
    <row r="237" spans="1:9" x14ac:dyDescent="0.2">
      <c r="A237"/>
      <c r="B237"/>
      <c r="C237"/>
      <c r="D237"/>
      <c r="E237"/>
      <c r="F237"/>
      <c r="G237"/>
      <c r="H237"/>
      <c r="I237"/>
    </row>
    <row r="238" spans="1:9" x14ac:dyDescent="0.2">
      <c r="A238"/>
      <c r="B238"/>
      <c r="C238"/>
      <c r="D238"/>
      <c r="E238"/>
      <c r="F238"/>
      <c r="G238"/>
      <c r="H238"/>
      <c r="I238"/>
    </row>
    <row r="239" spans="1:9" x14ac:dyDescent="0.2">
      <c r="A239"/>
      <c r="B239"/>
      <c r="C239"/>
      <c r="D239"/>
      <c r="E239"/>
      <c r="F239"/>
      <c r="G239"/>
      <c r="H239"/>
      <c r="I239"/>
    </row>
    <row r="240" spans="1:9" x14ac:dyDescent="0.2">
      <c r="A240"/>
      <c r="B240"/>
      <c r="C240"/>
      <c r="D240"/>
      <c r="E240"/>
      <c r="F240"/>
      <c r="G240"/>
      <c r="H240"/>
      <c r="I240"/>
    </row>
    <row r="241" spans="1:9" x14ac:dyDescent="0.2">
      <c r="A241"/>
      <c r="B241"/>
      <c r="C241"/>
      <c r="D241"/>
      <c r="E241"/>
      <c r="F241"/>
      <c r="G241"/>
      <c r="H241"/>
      <c r="I241"/>
    </row>
    <row r="242" spans="1:9" x14ac:dyDescent="0.2">
      <c r="A242"/>
      <c r="B242"/>
      <c r="C242"/>
      <c r="D242"/>
      <c r="E242"/>
      <c r="F242"/>
      <c r="G242"/>
      <c r="H242"/>
      <c r="I242"/>
    </row>
    <row r="243" spans="1:9" x14ac:dyDescent="0.2">
      <c r="A243"/>
      <c r="B243"/>
      <c r="C243"/>
      <c r="D243"/>
      <c r="E243"/>
      <c r="F243"/>
      <c r="G243"/>
      <c r="H243"/>
      <c r="I243"/>
    </row>
    <row r="244" spans="1:9" x14ac:dyDescent="0.2">
      <c r="A244"/>
      <c r="B244"/>
      <c r="C244"/>
      <c r="D244"/>
      <c r="E244"/>
      <c r="F244"/>
      <c r="G244"/>
      <c r="H244"/>
      <c r="I244"/>
    </row>
    <row r="245" spans="1:9" x14ac:dyDescent="0.2">
      <c r="A245"/>
      <c r="B245"/>
      <c r="C245"/>
      <c r="D245"/>
      <c r="E245"/>
      <c r="F245"/>
      <c r="G245"/>
      <c r="H245"/>
      <c r="I245"/>
    </row>
    <row r="246" spans="1:9" x14ac:dyDescent="0.2">
      <c r="A246"/>
      <c r="B246"/>
      <c r="C246"/>
      <c r="D246"/>
      <c r="E246"/>
      <c r="F246"/>
      <c r="G246"/>
      <c r="H246"/>
      <c r="I246"/>
    </row>
    <row r="247" spans="1:9" x14ac:dyDescent="0.2">
      <c r="A247"/>
      <c r="B247"/>
      <c r="C247"/>
      <c r="D247"/>
      <c r="E247"/>
      <c r="F247"/>
      <c r="G247"/>
      <c r="H247"/>
      <c r="I247"/>
    </row>
    <row r="248" spans="1:9" x14ac:dyDescent="0.2">
      <c r="A248"/>
      <c r="B248"/>
      <c r="C248"/>
      <c r="D248"/>
      <c r="E248"/>
      <c r="F248"/>
      <c r="G248"/>
      <c r="H248"/>
      <c r="I248"/>
    </row>
    <row r="249" spans="1:9" x14ac:dyDescent="0.2">
      <c r="A249"/>
      <c r="B249"/>
      <c r="C249"/>
      <c r="D249"/>
      <c r="E249"/>
      <c r="F249"/>
      <c r="G249"/>
      <c r="H249"/>
      <c r="I249"/>
    </row>
    <row r="250" spans="1:9" x14ac:dyDescent="0.2">
      <c r="A250"/>
      <c r="B250"/>
      <c r="C250"/>
      <c r="D250"/>
      <c r="E250"/>
      <c r="F250"/>
      <c r="G250"/>
      <c r="H250"/>
      <c r="I250"/>
    </row>
    <row r="251" spans="1:9" x14ac:dyDescent="0.2">
      <c r="A251"/>
      <c r="B251"/>
      <c r="C251"/>
      <c r="D251"/>
      <c r="E251"/>
      <c r="F251"/>
      <c r="G251"/>
      <c r="H251"/>
      <c r="I251"/>
    </row>
    <row r="252" spans="1:9" x14ac:dyDescent="0.2">
      <c r="A252"/>
      <c r="B252"/>
      <c r="C252"/>
      <c r="D252"/>
      <c r="E252"/>
      <c r="F252"/>
      <c r="G252"/>
      <c r="H252"/>
      <c r="I252"/>
    </row>
    <row r="253" spans="1:9" x14ac:dyDescent="0.2">
      <c r="A253"/>
      <c r="B253"/>
      <c r="C253"/>
      <c r="D253"/>
      <c r="E253"/>
      <c r="F253"/>
      <c r="G253"/>
      <c r="H253"/>
      <c r="I253"/>
    </row>
    <row r="254" spans="1:9" x14ac:dyDescent="0.2">
      <c r="A254"/>
      <c r="B254"/>
      <c r="C254"/>
      <c r="D254"/>
      <c r="E254"/>
      <c r="F254"/>
      <c r="G254"/>
      <c r="H254"/>
      <c r="I254"/>
    </row>
    <row r="255" spans="1:9" x14ac:dyDescent="0.2">
      <c r="A255"/>
      <c r="B255"/>
      <c r="C255"/>
      <c r="D255"/>
      <c r="E255"/>
      <c r="F255"/>
      <c r="G255"/>
      <c r="H255"/>
      <c r="I255"/>
    </row>
    <row r="256" spans="1:9" x14ac:dyDescent="0.2">
      <c r="A256"/>
      <c r="B256"/>
      <c r="C256"/>
      <c r="D256"/>
      <c r="E256"/>
      <c r="F256"/>
      <c r="G256"/>
      <c r="H256"/>
      <c r="I256"/>
    </row>
    <row r="257" spans="1:9" x14ac:dyDescent="0.2">
      <c r="A257"/>
      <c r="B257"/>
      <c r="C257"/>
      <c r="D257"/>
      <c r="E257"/>
      <c r="F257"/>
      <c r="G257"/>
      <c r="H257"/>
      <c r="I257"/>
    </row>
    <row r="258" spans="1:9" x14ac:dyDescent="0.2">
      <c r="A258"/>
      <c r="B258"/>
      <c r="C258"/>
      <c r="D258"/>
      <c r="E258"/>
      <c r="F258"/>
      <c r="G258"/>
      <c r="H258"/>
      <c r="I258"/>
    </row>
    <row r="259" spans="1:9" x14ac:dyDescent="0.2">
      <c r="A259"/>
      <c r="B259"/>
      <c r="C259"/>
      <c r="D259"/>
      <c r="E259"/>
      <c r="F259"/>
      <c r="G259"/>
      <c r="H259"/>
      <c r="I259"/>
    </row>
    <row r="260" spans="1:9" x14ac:dyDescent="0.2">
      <c r="A260"/>
      <c r="B260"/>
      <c r="C260"/>
      <c r="D260"/>
      <c r="E260"/>
      <c r="F260"/>
      <c r="G260"/>
      <c r="H260"/>
      <c r="I260"/>
    </row>
    <row r="261" spans="1:9" x14ac:dyDescent="0.2">
      <c r="A261"/>
      <c r="B261"/>
      <c r="C261"/>
      <c r="D261"/>
      <c r="E261"/>
      <c r="F261"/>
      <c r="G261"/>
      <c r="H261"/>
      <c r="I261"/>
    </row>
    <row r="262" spans="1:9" x14ac:dyDescent="0.2">
      <c r="A262"/>
      <c r="B262"/>
      <c r="C262"/>
      <c r="D262"/>
      <c r="E262"/>
      <c r="F262"/>
      <c r="G262"/>
      <c r="H262"/>
      <c r="I262"/>
    </row>
    <row r="263" spans="1:9" x14ac:dyDescent="0.2">
      <c r="A263"/>
      <c r="B263"/>
      <c r="C263"/>
      <c r="D263"/>
      <c r="E263"/>
      <c r="F263"/>
      <c r="G263"/>
      <c r="H263"/>
      <c r="I263"/>
    </row>
    <row r="264" spans="1:9" x14ac:dyDescent="0.2">
      <c r="A264"/>
      <c r="B264"/>
      <c r="C264"/>
      <c r="D264"/>
      <c r="E264"/>
      <c r="F264"/>
      <c r="G264"/>
      <c r="H264"/>
      <c r="I264"/>
    </row>
    <row r="265" spans="1:9" x14ac:dyDescent="0.2">
      <c r="A265"/>
      <c r="B265"/>
      <c r="C265"/>
      <c r="D265"/>
      <c r="E265"/>
      <c r="F265"/>
      <c r="G265"/>
      <c r="H265"/>
      <c r="I265"/>
    </row>
    <row r="266" spans="1:9" x14ac:dyDescent="0.2">
      <c r="A266"/>
      <c r="B266"/>
      <c r="C266"/>
      <c r="D266"/>
      <c r="E266"/>
      <c r="F266"/>
      <c r="G266"/>
      <c r="H266"/>
      <c r="I266"/>
    </row>
    <row r="267" spans="1:9" x14ac:dyDescent="0.2">
      <c r="A267"/>
      <c r="B267"/>
      <c r="C267"/>
      <c r="D267"/>
      <c r="E267"/>
      <c r="F267"/>
      <c r="G267"/>
      <c r="H267"/>
      <c r="I267"/>
    </row>
    <row r="268" spans="1:9" x14ac:dyDescent="0.2">
      <c r="A268"/>
      <c r="B268"/>
      <c r="C268"/>
      <c r="D268"/>
      <c r="E268"/>
      <c r="F268"/>
      <c r="G268"/>
      <c r="H268"/>
      <c r="I268"/>
    </row>
    <row r="269" spans="1:9" x14ac:dyDescent="0.2">
      <c r="A269"/>
      <c r="B269"/>
      <c r="C269"/>
      <c r="D269"/>
      <c r="E269"/>
      <c r="F269"/>
      <c r="G269"/>
      <c r="H269"/>
      <c r="I269"/>
    </row>
    <row r="270" spans="1:9" x14ac:dyDescent="0.2">
      <c r="A270"/>
      <c r="B270"/>
      <c r="C270"/>
      <c r="D270"/>
      <c r="E270"/>
      <c r="F270"/>
      <c r="G270"/>
      <c r="H270"/>
      <c r="I270"/>
    </row>
    <row r="271" spans="1:9" x14ac:dyDescent="0.2">
      <c r="A271"/>
      <c r="B271"/>
      <c r="C271"/>
      <c r="D271"/>
      <c r="E271"/>
      <c r="F271"/>
      <c r="G271"/>
      <c r="H271"/>
      <c r="I271"/>
    </row>
    <row r="272" spans="1:9" x14ac:dyDescent="0.2">
      <c r="A272"/>
      <c r="B272"/>
      <c r="C272"/>
      <c r="D272"/>
      <c r="E272"/>
      <c r="F272"/>
      <c r="G272"/>
      <c r="H272"/>
      <c r="I272"/>
    </row>
    <row r="273" spans="1:9" x14ac:dyDescent="0.2">
      <c r="A273"/>
      <c r="B273"/>
      <c r="C273"/>
      <c r="D273"/>
      <c r="E273"/>
      <c r="F273"/>
      <c r="G273"/>
      <c r="H273"/>
      <c r="I273"/>
    </row>
    <row r="274" spans="1:9" x14ac:dyDescent="0.2">
      <c r="A274"/>
      <c r="B274"/>
      <c r="C274"/>
      <c r="D274"/>
      <c r="E274"/>
      <c r="F274"/>
      <c r="G274"/>
      <c r="H274"/>
      <c r="I274"/>
    </row>
    <row r="275" spans="1:9" x14ac:dyDescent="0.2">
      <c r="A275"/>
      <c r="B275"/>
      <c r="C275"/>
      <c r="D275"/>
      <c r="E275"/>
      <c r="F275"/>
      <c r="G275"/>
      <c r="H275"/>
      <c r="I275"/>
    </row>
    <row r="276" spans="1:9" x14ac:dyDescent="0.2">
      <c r="A276"/>
      <c r="B276"/>
      <c r="C276"/>
      <c r="D276"/>
      <c r="E276"/>
      <c r="F276"/>
      <c r="G276"/>
      <c r="H276"/>
      <c r="I276"/>
    </row>
    <row r="277" spans="1:9" x14ac:dyDescent="0.2">
      <c r="A277"/>
      <c r="B277"/>
      <c r="C277"/>
      <c r="D277"/>
      <c r="E277"/>
      <c r="F277"/>
      <c r="G277"/>
      <c r="H277"/>
      <c r="I277"/>
    </row>
    <row r="278" spans="1:9" x14ac:dyDescent="0.2">
      <c r="A278"/>
      <c r="B278"/>
      <c r="C278"/>
      <c r="D278"/>
      <c r="E278"/>
      <c r="F278"/>
      <c r="G278"/>
      <c r="H278"/>
      <c r="I278"/>
    </row>
    <row r="279" spans="1:9" x14ac:dyDescent="0.2">
      <c r="A279"/>
      <c r="B279"/>
      <c r="C279"/>
      <c r="D279"/>
      <c r="E279"/>
      <c r="F279"/>
      <c r="G279"/>
      <c r="H279"/>
      <c r="I279"/>
    </row>
    <row r="280" spans="1:9" x14ac:dyDescent="0.2">
      <c r="A280"/>
      <c r="B280"/>
      <c r="C280"/>
      <c r="D280"/>
      <c r="E280"/>
      <c r="F280"/>
      <c r="G280"/>
      <c r="H280"/>
      <c r="I280"/>
    </row>
    <row r="281" spans="1:9" x14ac:dyDescent="0.2">
      <c r="A281"/>
      <c r="B281"/>
      <c r="C281"/>
      <c r="D281"/>
      <c r="E281"/>
      <c r="F281"/>
      <c r="G281"/>
      <c r="H281"/>
      <c r="I281"/>
    </row>
    <row r="282" spans="1:9" x14ac:dyDescent="0.2">
      <c r="A282"/>
      <c r="B282"/>
      <c r="C282"/>
      <c r="D282"/>
      <c r="E282"/>
      <c r="F282"/>
      <c r="G282"/>
      <c r="H282"/>
      <c r="I282"/>
    </row>
    <row r="283" spans="1:9" x14ac:dyDescent="0.2">
      <c r="A283"/>
      <c r="B283"/>
      <c r="C283"/>
      <c r="D283"/>
      <c r="E283"/>
      <c r="F283"/>
      <c r="G283"/>
      <c r="H283"/>
      <c r="I283"/>
    </row>
    <row r="284" spans="1:9" x14ac:dyDescent="0.2">
      <c r="A284"/>
      <c r="B284"/>
      <c r="C284"/>
      <c r="D284"/>
      <c r="E284"/>
      <c r="F284"/>
      <c r="G284"/>
      <c r="H284"/>
      <c r="I284"/>
    </row>
    <row r="285" spans="1:9" x14ac:dyDescent="0.2">
      <c r="A285"/>
      <c r="B285"/>
      <c r="C285"/>
      <c r="D285"/>
      <c r="E285"/>
      <c r="F285"/>
      <c r="G285"/>
      <c r="H285"/>
      <c r="I285"/>
    </row>
    <row r="286" spans="1:9" x14ac:dyDescent="0.2">
      <c r="A286"/>
      <c r="B286"/>
      <c r="C286"/>
      <c r="D286"/>
      <c r="E286"/>
      <c r="F286"/>
      <c r="G286"/>
      <c r="H286"/>
      <c r="I286"/>
    </row>
    <row r="287" spans="1:9" x14ac:dyDescent="0.2">
      <c r="A287"/>
      <c r="B287"/>
      <c r="C287"/>
      <c r="D287"/>
      <c r="E287"/>
      <c r="F287"/>
      <c r="G287"/>
      <c r="H287"/>
      <c r="I287"/>
    </row>
    <row r="288" spans="1:9" x14ac:dyDescent="0.2">
      <c r="A288"/>
      <c r="B288"/>
      <c r="C288"/>
      <c r="D288"/>
      <c r="E288"/>
      <c r="F288"/>
      <c r="G288"/>
      <c r="H288"/>
      <c r="I288"/>
    </row>
    <row r="289" spans="1:9" x14ac:dyDescent="0.2">
      <c r="A289"/>
      <c r="B289"/>
      <c r="C289"/>
      <c r="D289"/>
      <c r="E289"/>
      <c r="F289"/>
      <c r="G289"/>
      <c r="H289"/>
      <c r="I289"/>
    </row>
    <row r="290" spans="1:9" x14ac:dyDescent="0.2">
      <c r="A290"/>
      <c r="B290"/>
      <c r="C290"/>
      <c r="D290"/>
      <c r="E290"/>
      <c r="F290"/>
      <c r="G290"/>
      <c r="H290"/>
      <c r="I290"/>
    </row>
    <row r="291" spans="1:9" x14ac:dyDescent="0.2">
      <c r="A291"/>
      <c r="B291"/>
      <c r="C291"/>
      <c r="D291"/>
      <c r="E291"/>
      <c r="F291"/>
      <c r="G291"/>
      <c r="H291"/>
      <c r="I291"/>
    </row>
    <row r="292" spans="1:9" x14ac:dyDescent="0.2">
      <c r="A292"/>
      <c r="B292"/>
      <c r="C292"/>
      <c r="D292"/>
      <c r="E292"/>
      <c r="F292"/>
      <c r="G292"/>
      <c r="H292"/>
      <c r="I292"/>
    </row>
    <row r="293" spans="1:9" x14ac:dyDescent="0.2">
      <c r="A293"/>
      <c r="B293"/>
      <c r="C293"/>
      <c r="D293"/>
      <c r="E293"/>
      <c r="F293"/>
      <c r="G293"/>
      <c r="H293"/>
      <c r="I293"/>
    </row>
    <row r="294" spans="1:9" x14ac:dyDescent="0.2">
      <c r="A294"/>
      <c r="B294"/>
      <c r="C294"/>
      <c r="D294"/>
      <c r="E294"/>
      <c r="F294"/>
      <c r="G294"/>
      <c r="H294"/>
      <c r="I294"/>
    </row>
    <row r="295" spans="1:9" x14ac:dyDescent="0.2">
      <c r="A295"/>
      <c r="B295"/>
      <c r="C295"/>
      <c r="D295"/>
      <c r="E295"/>
      <c r="F295"/>
      <c r="G295"/>
      <c r="H295"/>
      <c r="I295"/>
    </row>
    <row r="296" spans="1:9" x14ac:dyDescent="0.2">
      <c r="A296"/>
      <c r="B296"/>
      <c r="C296"/>
      <c r="D296"/>
      <c r="E296"/>
      <c r="F296"/>
      <c r="G296"/>
      <c r="H296"/>
      <c r="I296"/>
    </row>
    <row r="297" spans="1:9" x14ac:dyDescent="0.2">
      <c r="A297"/>
      <c r="B297"/>
      <c r="C297"/>
      <c r="D297"/>
      <c r="E297"/>
      <c r="F297"/>
      <c r="G297"/>
      <c r="H297"/>
      <c r="I297"/>
    </row>
    <row r="298" spans="1:9" x14ac:dyDescent="0.2">
      <c r="A298"/>
      <c r="B298"/>
      <c r="C298"/>
      <c r="D298"/>
      <c r="E298"/>
      <c r="F298"/>
      <c r="G298"/>
      <c r="H298"/>
      <c r="I298"/>
    </row>
    <row r="299" spans="1:9" x14ac:dyDescent="0.2">
      <c r="A299"/>
      <c r="B299"/>
      <c r="C299"/>
      <c r="D299"/>
      <c r="E299"/>
      <c r="F299"/>
      <c r="G299"/>
      <c r="H299"/>
      <c r="I299"/>
    </row>
    <row r="300" spans="1:9" x14ac:dyDescent="0.2">
      <c r="A300"/>
      <c r="B300"/>
      <c r="C300"/>
      <c r="D300"/>
      <c r="E300"/>
      <c r="F300"/>
      <c r="G300"/>
      <c r="H300"/>
      <c r="I300"/>
    </row>
    <row r="301" spans="1:9" x14ac:dyDescent="0.2">
      <c r="A301"/>
      <c r="B301"/>
      <c r="C301"/>
      <c r="D301"/>
      <c r="E301"/>
      <c r="F301"/>
      <c r="G301"/>
      <c r="H301"/>
      <c r="I301"/>
    </row>
    <row r="302" spans="1:9" x14ac:dyDescent="0.2">
      <c r="A302"/>
      <c r="B302"/>
      <c r="C302"/>
      <c r="D302"/>
      <c r="E302"/>
      <c r="F302"/>
      <c r="G302"/>
      <c r="H302"/>
      <c r="I302"/>
    </row>
    <row r="303" spans="1:9" x14ac:dyDescent="0.2">
      <c r="A303"/>
      <c r="B303"/>
      <c r="C303"/>
      <c r="D303"/>
      <c r="E303"/>
      <c r="F303"/>
      <c r="G303"/>
      <c r="H303"/>
      <c r="I303"/>
    </row>
    <row r="304" spans="1:9" x14ac:dyDescent="0.2">
      <c r="A304"/>
      <c r="B304"/>
      <c r="C304"/>
      <c r="D304"/>
      <c r="E304"/>
      <c r="F304"/>
      <c r="G304"/>
      <c r="H304"/>
      <c r="I304"/>
    </row>
    <row r="305" spans="1:9" x14ac:dyDescent="0.2">
      <c r="A305"/>
      <c r="B305"/>
      <c r="C305"/>
      <c r="D305"/>
      <c r="E305"/>
      <c r="F305"/>
      <c r="G305"/>
      <c r="H305"/>
      <c r="I305"/>
    </row>
    <row r="306" spans="1:9" x14ac:dyDescent="0.2">
      <c r="A306"/>
      <c r="B306"/>
      <c r="C306"/>
      <c r="D306"/>
      <c r="E306"/>
      <c r="F306"/>
      <c r="G306"/>
      <c r="H306"/>
      <c r="I306"/>
    </row>
    <row r="307" spans="1:9" x14ac:dyDescent="0.2">
      <c r="A307"/>
      <c r="B307"/>
      <c r="C307"/>
      <c r="D307"/>
      <c r="E307"/>
      <c r="F307"/>
      <c r="G307"/>
      <c r="H307"/>
      <c r="I307"/>
    </row>
    <row r="308" spans="1:9" x14ac:dyDescent="0.2">
      <c r="A308"/>
      <c r="B308"/>
      <c r="C308"/>
      <c r="D308"/>
      <c r="E308"/>
      <c r="F308"/>
      <c r="G308"/>
      <c r="H308"/>
      <c r="I308"/>
    </row>
    <row r="309" spans="1:9" x14ac:dyDescent="0.2">
      <c r="A309"/>
      <c r="B309"/>
      <c r="C309"/>
      <c r="D309"/>
      <c r="E309"/>
      <c r="F309"/>
      <c r="G309"/>
      <c r="H309"/>
      <c r="I309"/>
    </row>
    <row r="310" spans="1:9" x14ac:dyDescent="0.2">
      <c r="A310"/>
      <c r="B310"/>
      <c r="C310"/>
      <c r="D310"/>
      <c r="E310"/>
      <c r="F310"/>
      <c r="G310"/>
      <c r="H310"/>
      <c r="I310"/>
    </row>
    <row r="311" spans="1:9" x14ac:dyDescent="0.2">
      <c r="A311"/>
      <c r="B311"/>
      <c r="C311"/>
      <c r="D311"/>
      <c r="E311"/>
      <c r="F311"/>
      <c r="G311"/>
      <c r="H311"/>
      <c r="I311"/>
    </row>
    <row r="312" spans="1:9" x14ac:dyDescent="0.2">
      <c r="A312"/>
      <c r="B312"/>
      <c r="C312"/>
      <c r="D312"/>
      <c r="E312"/>
      <c r="F312"/>
      <c r="G312"/>
      <c r="H312"/>
      <c r="I312"/>
    </row>
    <row r="313" spans="1:9" x14ac:dyDescent="0.2">
      <c r="A313"/>
      <c r="B313"/>
      <c r="C313"/>
      <c r="D313"/>
      <c r="E313"/>
      <c r="F313"/>
      <c r="G313"/>
      <c r="H313"/>
      <c r="I313"/>
    </row>
    <row r="314" spans="1:9" x14ac:dyDescent="0.2">
      <c r="A314"/>
      <c r="B314"/>
      <c r="C314"/>
      <c r="D314"/>
      <c r="E314"/>
      <c r="F314"/>
      <c r="G314"/>
      <c r="H314"/>
      <c r="I314"/>
    </row>
    <row r="315" spans="1:9" x14ac:dyDescent="0.2">
      <c r="A315"/>
      <c r="B315"/>
      <c r="C315"/>
      <c r="D315"/>
      <c r="E315"/>
      <c r="F315"/>
      <c r="G315"/>
      <c r="H315"/>
      <c r="I315"/>
    </row>
    <row r="316" spans="1:9" x14ac:dyDescent="0.2">
      <c r="A316"/>
      <c r="B316"/>
      <c r="C316"/>
      <c r="D316"/>
      <c r="E316"/>
      <c r="F316"/>
      <c r="G316"/>
      <c r="H316"/>
      <c r="I316"/>
    </row>
    <row r="317" spans="1:9" x14ac:dyDescent="0.2">
      <c r="A317"/>
      <c r="B317"/>
      <c r="C317"/>
      <c r="D317"/>
      <c r="E317"/>
      <c r="F317"/>
      <c r="G317"/>
      <c r="H317"/>
      <c r="I317"/>
    </row>
    <row r="318" spans="1:9" x14ac:dyDescent="0.2">
      <c r="A318"/>
      <c r="B318"/>
      <c r="C318"/>
      <c r="D318"/>
      <c r="E318"/>
      <c r="F318"/>
      <c r="G318"/>
      <c r="H318"/>
      <c r="I318"/>
    </row>
    <row r="319" spans="1:9" x14ac:dyDescent="0.2">
      <c r="A319"/>
      <c r="B319"/>
      <c r="C319"/>
      <c r="D319"/>
      <c r="E319"/>
      <c r="F319"/>
      <c r="G319"/>
      <c r="H319"/>
      <c r="I319"/>
    </row>
    <row r="320" spans="1:9" x14ac:dyDescent="0.2">
      <c r="A320"/>
      <c r="B320"/>
      <c r="C320"/>
      <c r="D320"/>
      <c r="E320"/>
      <c r="F320"/>
      <c r="G320"/>
      <c r="H320"/>
      <c r="I320"/>
    </row>
    <row r="321" spans="1:9" x14ac:dyDescent="0.2">
      <c r="A321"/>
      <c r="B321"/>
      <c r="C321"/>
      <c r="D321"/>
      <c r="E321"/>
      <c r="F321"/>
      <c r="G321"/>
      <c r="H321"/>
      <c r="I321"/>
    </row>
    <row r="322" spans="1:9" x14ac:dyDescent="0.2">
      <c r="A322"/>
      <c r="B322"/>
      <c r="C322"/>
      <c r="D322"/>
      <c r="E322"/>
      <c r="F322"/>
      <c r="G322"/>
      <c r="H322"/>
      <c r="I322"/>
    </row>
    <row r="323" spans="1:9" x14ac:dyDescent="0.2">
      <c r="A323"/>
      <c r="B323"/>
      <c r="C323"/>
      <c r="D323"/>
      <c r="E323"/>
      <c r="F323"/>
      <c r="G323"/>
      <c r="H323"/>
      <c r="I323"/>
    </row>
    <row r="324" spans="1:9" x14ac:dyDescent="0.2">
      <c r="A324"/>
      <c r="B324"/>
      <c r="C324"/>
      <c r="D324"/>
      <c r="E324"/>
      <c r="F324"/>
      <c r="G324"/>
      <c r="H324"/>
      <c r="I324"/>
    </row>
    <row r="325" spans="1:9" x14ac:dyDescent="0.2">
      <c r="A325"/>
      <c r="B325"/>
      <c r="C325"/>
      <c r="D325"/>
      <c r="E325"/>
      <c r="F325"/>
      <c r="G325"/>
      <c r="H325"/>
      <c r="I325"/>
    </row>
    <row r="326" spans="1:9" x14ac:dyDescent="0.2">
      <c r="A326"/>
      <c r="B326"/>
      <c r="C326"/>
      <c r="D326"/>
      <c r="E326"/>
      <c r="F326"/>
      <c r="G326"/>
      <c r="H326"/>
      <c r="I326"/>
    </row>
    <row r="327" spans="1:9" x14ac:dyDescent="0.2">
      <c r="A327"/>
      <c r="B327"/>
      <c r="C327"/>
      <c r="D327"/>
      <c r="E327"/>
      <c r="F327"/>
      <c r="G327"/>
      <c r="H327"/>
      <c r="I327"/>
    </row>
    <row r="328" spans="1:9" x14ac:dyDescent="0.2">
      <c r="A328"/>
      <c r="B328"/>
      <c r="C328"/>
      <c r="D328"/>
      <c r="E328"/>
      <c r="F328"/>
      <c r="G328"/>
      <c r="H328"/>
      <c r="I328"/>
    </row>
    <row r="329" spans="1:9" x14ac:dyDescent="0.2">
      <c r="A329"/>
      <c r="B329"/>
      <c r="C329"/>
      <c r="D329"/>
      <c r="E329"/>
      <c r="F329"/>
      <c r="G329"/>
      <c r="H329"/>
      <c r="I329"/>
    </row>
    <row r="330" spans="1:9" x14ac:dyDescent="0.2">
      <c r="A330"/>
      <c r="B330"/>
      <c r="C330"/>
      <c r="D330"/>
      <c r="E330"/>
      <c r="F330"/>
      <c r="G330"/>
      <c r="H330"/>
      <c r="I330"/>
    </row>
    <row r="331" spans="1:9" x14ac:dyDescent="0.2">
      <c r="A331"/>
      <c r="B331"/>
      <c r="C331"/>
      <c r="D331"/>
      <c r="E331"/>
      <c r="F331"/>
      <c r="G331"/>
      <c r="H331"/>
      <c r="I331"/>
    </row>
    <row r="332" spans="1:9" x14ac:dyDescent="0.2">
      <c r="A332"/>
      <c r="B332"/>
      <c r="C332"/>
      <c r="D332"/>
      <c r="E332"/>
      <c r="F332"/>
      <c r="G332"/>
      <c r="H332"/>
      <c r="I332"/>
    </row>
    <row r="333" spans="1:9" x14ac:dyDescent="0.2">
      <c r="A333"/>
      <c r="B333"/>
      <c r="C333"/>
      <c r="D333"/>
      <c r="E333"/>
      <c r="F333"/>
      <c r="G333"/>
      <c r="H333"/>
      <c r="I333"/>
    </row>
    <row r="334" spans="1:9" x14ac:dyDescent="0.2">
      <c r="A334"/>
      <c r="B334"/>
      <c r="C334"/>
      <c r="D334"/>
      <c r="E334"/>
      <c r="F334"/>
      <c r="G334"/>
      <c r="H334"/>
      <c r="I334"/>
    </row>
    <row r="335" spans="1:9" x14ac:dyDescent="0.2">
      <c r="A335"/>
      <c r="B335"/>
      <c r="C335"/>
      <c r="D335"/>
      <c r="E335"/>
      <c r="F335"/>
      <c r="G335"/>
      <c r="H335"/>
      <c r="I335"/>
    </row>
    <row r="336" spans="1:9" x14ac:dyDescent="0.2">
      <c r="A336"/>
      <c r="B336"/>
      <c r="C336"/>
      <c r="D336"/>
      <c r="E336"/>
      <c r="F336"/>
      <c r="G336"/>
      <c r="H336"/>
      <c r="I336"/>
    </row>
    <row r="337" spans="1:9" x14ac:dyDescent="0.2">
      <c r="A337"/>
      <c r="B337"/>
      <c r="C337"/>
      <c r="D337"/>
      <c r="E337"/>
      <c r="F337"/>
      <c r="G337"/>
      <c r="H337"/>
      <c r="I337"/>
    </row>
    <row r="338" spans="1:9" x14ac:dyDescent="0.2">
      <c r="A338"/>
      <c r="B338"/>
      <c r="C338"/>
      <c r="D338"/>
      <c r="E338"/>
      <c r="F338"/>
      <c r="G338"/>
      <c r="H338"/>
      <c r="I338"/>
    </row>
    <row r="339" spans="1:9" x14ac:dyDescent="0.2">
      <c r="A339"/>
      <c r="B339"/>
      <c r="C339"/>
      <c r="D339"/>
      <c r="E339"/>
      <c r="F339"/>
      <c r="G339"/>
      <c r="H339"/>
      <c r="I339"/>
    </row>
    <row r="340" spans="1:9" x14ac:dyDescent="0.2">
      <c r="A340"/>
      <c r="B340"/>
      <c r="C340"/>
      <c r="D340"/>
      <c r="E340"/>
      <c r="F340"/>
      <c r="G340"/>
      <c r="H340"/>
      <c r="I340"/>
    </row>
    <row r="341" spans="1:9" x14ac:dyDescent="0.2">
      <c r="A341"/>
      <c r="B341"/>
      <c r="C341"/>
      <c r="D341"/>
      <c r="E341"/>
      <c r="F341"/>
      <c r="G341"/>
      <c r="H341"/>
      <c r="I341"/>
    </row>
    <row r="342" spans="1:9" x14ac:dyDescent="0.2">
      <c r="A342"/>
      <c r="B342"/>
      <c r="C342"/>
      <c r="D342"/>
      <c r="E342"/>
      <c r="F342"/>
      <c r="G342"/>
      <c r="H342"/>
      <c r="I342"/>
    </row>
    <row r="343" spans="1:9" x14ac:dyDescent="0.2">
      <c r="A343"/>
      <c r="B343"/>
      <c r="C343"/>
      <c r="D343"/>
      <c r="E343"/>
      <c r="F343"/>
      <c r="G343"/>
      <c r="H343"/>
      <c r="I343"/>
    </row>
    <row r="344" spans="1:9" x14ac:dyDescent="0.2">
      <c r="A344"/>
      <c r="B344"/>
      <c r="C344"/>
      <c r="D344"/>
      <c r="E344"/>
      <c r="F344"/>
      <c r="G344"/>
      <c r="H344"/>
      <c r="I344"/>
    </row>
    <row r="345" spans="1:9" x14ac:dyDescent="0.2">
      <c r="A345"/>
      <c r="B345"/>
      <c r="C345"/>
      <c r="D345"/>
      <c r="E345"/>
      <c r="F345"/>
      <c r="G345"/>
      <c r="H345"/>
      <c r="I345"/>
    </row>
    <row r="346" spans="1:9" x14ac:dyDescent="0.2">
      <c r="A346"/>
      <c r="B346"/>
      <c r="C346"/>
      <c r="D346"/>
      <c r="E346"/>
      <c r="F346"/>
      <c r="G346"/>
      <c r="H346"/>
      <c r="I346"/>
    </row>
    <row r="347" spans="1:9" x14ac:dyDescent="0.2">
      <c r="A347"/>
      <c r="B347"/>
      <c r="C347"/>
      <c r="D347"/>
      <c r="E347"/>
      <c r="F347"/>
      <c r="G347"/>
      <c r="H347"/>
      <c r="I347"/>
    </row>
    <row r="348" spans="1:9" x14ac:dyDescent="0.2">
      <c r="A348"/>
      <c r="B348"/>
      <c r="C348"/>
      <c r="D348"/>
      <c r="E348"/>
      <c r="F348"/>
      <c r="G348"/>
      <c r="H348"/>
      <c r="I348"/>
    </row>
    <row r="349" spans="1:9" x14ac:dyDescent="0.2">
      <c r="A349"/>
      <c r="B349"/>
      <c r="C349"/>
      <c r="D349"/>
      <c r="E349"/>
      <c r="F349"/>
      <c r="G349"/>
      <c r="H349"/>
      <c r="I349"/>
    </row>
    <row r="350" spans="1:9" x14ac:dyDescent="0.2">
      <c r="A350"/>
      <c r="B350"/>
      <c r="C350"/>
      <c r="D350"/>
      <c r="E350"/>
      <c r="F350"/>
      <c r="G350"/>
      <c r="H350"/>
      <c r="I350"/>
    </row>
    <row r="351" spans="1:9" x14ac:dyDescent="0.2">
      <c r="A351"/>
      <c r="B351"/>
      <c r="C351"/>
      <c r="D351"/>
      <c r="E351"/>
      <c r="F351"/>
      <c r="G351"/>
      <c r="H351"/>
      <c r="I351"/>
    </row>
    <row r="352" spans="1:9" x14ac:dyDescent="0.2">
      <c r="A352"/>
      <c r="B352"/>
      <c r="C352"/>
      <c r="D352"/>
      <c r="E352"/>
      <c r="F352"/>
      <c r="G352"/>
      <c r="H352"/>
      <c r="I352"/>
    </row>
    <row r="353" spans="1:9" x14ac:dyDescent="0.2">
      <c r="A353"/>
      <c r="B353"/>
      <c r="C353"/>
      <c r="D353"/>
      <c r="E353"/>
      <c r="F353"/>
      <c r="G353"/>
      <c r="H353"/>
      <c r="I353"/>
    </row>
    <row r="354" spans="1:9" x14ac:dyDescent="0.2">
      <c r="A354"/>
      <c r="B354"/>
      <c r="C354"/>
      <c r="D354"/>
      <c r="E354"/>
      <c r="F354"/>
      <c r="G354"/>
      <c r="H354"/>
      <c r="I354"/>
    </row>
    <row r="355" spans="1:9" x14ac:dyDescent="0.2">
      <c r="A355"/>
      <c r="B355"/>
      <c r="C355"/>
      <c r="D355"/>
      <c r="E355"/>
      <c r="F355"/>
      <c r="G355"/>
      <c r="H355"/>
      <c r="I355"/>
    </row>
    <row r="356" spans="1:9" x14ac:dyDescent="0.2">
      <c r="A356"/>
      <c r="B356"/>
      <c r="C356"/>
      <c r="D356"/>
      <c r="E356"/>
      <c r="F356"/>
      <c r="G356"/>
      <c r="H356"/>
      <c r="I356"/>
    </row>
    <row r="357" spans="1:9" x14ac:dyDescent="0.2">
      <c r="A357"/>
      <c r="B357"/>
      <c r="C357"/>
      <c r="D357"/>
      <c r="E357"/>
      <c r="F357"/>
      <c r="G357"/>
      <c r="H357"/>
      <c r="I357"/>
    </row>
    <row r="358" spans="1:9" x14ac:dyDescent="0.2">
      <c r="A358"/>
      <c r="B358"/>
      <c r="C358"/>
      <c r="D358"/>
      <c r="E358"/>
      <c r="F358"/>
      <c r="G358"/>
      <c r="H358"/>
      <c r="I358"/>
    </row>
    <row r="359" spans="1:9" x14ac:dyDescent="0.2">
      <c r="A359"/>
      <c r="B359"/>
      <c r="C359"/>
      <c r="D359"/>
      <c r="E359"/>
      <c r="F359"/>
      <c r="G359"/>
      <c r="H359"/>
      <c r="I359"/>
    </row>
    <row r="360" spans="1:9" x14ac:dyDescent="0.2">
      <c r="A360"/>
      <c r="B360"/>
      <c r="C360"/>
      <c r="D360"/>
      <c r="E360"/>
      <c r="F360"/>
      <c r="G360"/>
      <c r="H360"/>
      <c r="I360"/>
    </row>
    <row r="361" spans="1:9" x14ac:dyDescent="0.2">
      <c r="A361"/>
      <c r="B361"/>
      <c r="C361"/>
      <c r="D361"/>
      <c r="E361"/>
      <c r="F361"/>
      <c r="G361"/>
      <c r="H361"/>
      <c r="I361"/>
    </row>
    <row r="362" spans="1:9" x14ac:dyDescent="0.2">
      <c r="A362"/>
      <c r="B362"/>
      <c r="C362"/>
      <c r="D362"/>
      <c r="E362"/>
      <c r="F362"/>
      <c r="G362"/>
      <c r="H362"/>
      <c r="I362"/>
    </row>
    <row r="363" spans="1:9" x14ac:dyDescent="0.2">
      <c r="A363"/>
      <c r="B363"/>
      <c r="C363"/>
      <c r="D363"/>
      <c r="E363"/>
      <c r="F363"/>
      <c r="G363"/>
      <c r="H363"/>
      <c r="I363"/>
    </row>
    <row r="364" spans="1:9" x14ac:dyDescent="0.2">
      <c r="A364"/>
      <c r="B364"/>
      <c r="C364"/>
      <c r="D364"/>
      <c r="E364"/>
      <c r="F364"/>
      <c r="G364"/>
      <c r="H364"/>
      <c r="I364"/>
    </row>
    <row r="365" spans="1:9" x14ac:dyDescent="0.2">
      <c r="A365"/>
      <c r="B365"/>
      <c r="C365"/>
      <c r="D365"/>
      <c r="E365"/>
      <c r="F365"/>
      <c r="G365"/>
      <c r="H365"/>
      <c r="I365"/>
    </row>
    <row r="366" spans="1:9" x14ac:dyDescent="0.2">
      <c r="A366"/>
      <c r="B366"/>
      <c r="C366"/>
      <c r="D366"/>
      <c r="E366"/>
      <c r="F366"/>
      <c r="G366"/>
      <c r="H366"/>
      <c r="I366"/>
    </row>
    <row r="367" spans="1:9" x14ac:dyDescent="0.2">
      <c r="A367"/>
      <c r="B367"/>
      <c r="C367"/>
      <c r="D367"/>
      <c r="E367"/>
      <c r="F367"/>
      <c r="G367"/>
      <c r="H367"/>
      <c r="I367"/>
    </row>
    <row r="368" spans="1:9" x14ac:dyDescent="0.2">
      <c r="A368"/>
      <c r="B368"/>
      <c r="C368"/>
      <c r="D368"/>
      <c r="E368"/>
      <c r="F368"/>
      <c r="G368"/>
      <c r="H368"/>
      <c r="I368"/>
    </row>
    <row r="369" spans="1:9" x14ac:dyDescent="0.2">
      <c r="A369"/>
      <c r="B369"/>
      <c r="C369"/>
      <c r="D369"/>
      <c r="E369"/>
      <c r="F369"/>
      <c r="G369"/>
      <c r="H369"/>
      <c r="I369"/>
    </row>
    <row r="370" spans="1:9" x14ac:dyDescent="0.2">
      <c r="A370"/>
      <c r="B370"/>
      <c r="C370"/>
      <c r="D370"/>
      <c r="E370"/>
      <c r="F370"/>
      <c r="G370"/>
      <c r="H370"/>
      <c r="I370"/>
    </row>
    <row r="371" spans="1:9" x14ac:dyDescent="0.2">
      <c r="A371"/>
      <c r="B371"/>
      <c r="C371"/>
      <c r="D371"/>
      <c r="E371"/>
      <c r="F371"/>
      <c r="G371"/>
      <c r="H371"/>
      <c r="I371"/>
    </row>
    <row r="372" spans="1:9" x14ac:dyDescent="0.2">
      <c r="A372"/>
      <c r="B372"/>
      <c r="C372"/>
      <c r="D372"/>
      <c r="E372"/>
      <c r="F372"/>
      <c r="G372"/>
      <c r="H372"/>
      <c r="I372"/>
    </row>
    <row r="373" spans="1:9" x14ac:dyDescent="0.2">
      <c r="A373"/>
      <c r="B373"/>
      <c r="C373"/>
      <c r="D373"/>
      <c r="E373"/>
      <c r="F373"/>
      <c r="G373"/>
      <c r="H373"/>
      <c r="I373"/>
    </row>
    <row r="374" spans="1:9" x14ac:dyDescent="0.2">
      <c r="A374"/>
      <c r="B374"/>
      <c r="C374"/>
      <c r="D374"/>
      <c r="E374"/>
      <c r="F374"/>
      <c r="G374"/>
      <c r="H374"/>
      <c r="I374"/>
    </row>
    <row r="375" spans="1:9" x14ac:dyDescent="0.2">
      <c r="A375"/>
      <c r="B375"/>
      <c r="C375"/>
      <c r="D375"/>
      <c r="E375"/>
      <c r="F375"/>
      <c r="G375"/>
      <c r="H375"/>
      <c r="I375"/>
    </row>
    <row r="376" spans="1:9" x14ac:dyDescent="0.2">
      <c r="A376"/>
      <c r="B376"/>
      <c r="C376"/>
      <c r="D376"/>
      <c r="E376"/>
      <c r="F376"/>
      <c r="G376"/>
      <c r="H376"/>
      <c r="I376"/>
    </row>
    <row r="377" spans="1:9" x14ac:dyDescent="0.2">
      <c r="A377"/>
      <c r="B377"/>
      <c r="C377"/>
      <c r="D377"/>
      <c r="E377"/>
      <c r="F377"/>
      <c r="G377"/>
      <c r="H377"/>
      <c r="I377"/>
    </row>
    <row r="378" spans="1:9" x14ac:dyDescent="0.2">
      <c r="A378"/>
      <c r="B378"/>
      <c r="C378"/>
      <c r="D378"/>
      <c r="E378"/>
      <c r="F378"/>
      <c r="G378"/>
      <c r="H378"/>
      <c r="I378"/>
    </row>
    <row r="379" spans="1:9" x14ac:dyDescent="0.2">
      <c r="A379"/>
      <c r="B379"/>
      <c r="C379"/>
      <c r="D379"/>
      <c r="E379"/>
      <c r="F379"/>
      <c r="G379"/>
      <c r="H379"/>
      <c r="I379"/>
    </row>
    <row r="380" spans="1:9" x14ac:dyDescent="0.2">
      <c r="A380"/>
      <c r="B380"/>
      <c r="C380"/>
      <c r="D380"/>
      <c r="E380"/>
      <c r="F380"/>
      <c r="G380"/>
      <c r="H380"/>
      <c r="I380"/>
    </row>
    <row r="381" spans="1:9" x14ac:dyDescent="0.2">
      <c r="A381"/>
      <c r="B381"/>
      <c r="C381"/>
      <c r="D381"/>
      <c r="E381"/>
      <c r="F381"/>
      <c r="G381"/>
      <c r="H381"/>
      <c r="I381"/>
    </row>
    <row r="382" spans="1:9" x14ac:dyDescent="0.2">
      <c r="A382"/>
      <c r="B382"/>
      <c r="C382"/>
      <c r="D382"/>
      <c r="E382"/>
      <c r="F382"/>
      <c r="G382"/>
      <c r="H382"/>
      <c r="I382"/>
    </row>
    <row r="383" spans="1:9" x14ac:dyDescent="0.2">
      <c r="A383"/>
      <c r="B383"/>
      <c r="C383"/>
      <c r="D383"/>
      <c r="E383"/>
      <c r="F383"/>
      <c r="G383"/>
      <c r="H383"/>
      <c r="I383"/>
    </row>
    <row r="384" spans="1:9" x14ac:dyDescent="0.2">
      <c r="A384"/>
      <c r="B384"/>
      <c r="C384"/>
      <c r="D384"/>
      <c r="E384"/>
      <c r="F384"/>
      <c r="G384"/>
      <c r="H384"/>
      <c r="I384"/>
    </row>
    <row r="385" spans="1:9" x14ac:dyDescent="0.2">
      <c r="A385"/>
      <c r="B385"/>
      <c r="C385"/>
      <c r="D385"/>
      <c r="E385"/>
      <c r="F385"/>
      <c r="G385"/>
      <c r="H385"/>
      <c r="I385"/>
    </row>
    <row r="386" spans="1:9" x14ac:dyDescent="0.2">
      <c r="A386"/>
      <c r="B386"/>
      <c r="C386"/>
      <c r="D386"/>
      <c r="E386"/>
      <c r="F386"/>
      <c r="G386"/>
      <c r="H386"/>
      <c r="I386"/>
    </row>
    <row r="387" spans="1:9" x14ac:dyDescent="0.2">
      <c r="A387"/>
      <c r="B387"/>
      <c r="C387"/>
      <c r="D387"/>
      <c r="E387"/>
      <c r="F387"/>
      <c r="G387"/>
      <c r="H387"/>
      <c r="I387"/>
    </row>
    <row r="388" spans="1:9" x14ac:dyDescent="0.2">
      <c r="A388"/>
      <c r="B388"/>
      <c r="C388"/>
      <c r="D388"/>
      <c r="E388"/>
      <c r="F388"/>
      <c r="G388"/>
      <c r="H388"/>
      <c r="I388"/>
    </row>
    <row r="389" spans="1:9" x14ac:dyDescent="0.2">
      <c r="A389"/>
      <c r="B389"/>
      <c r="C389"/>
      <c r="D389"/>
      <c r="E389"/>
      <c r="F389"/>
      <c r="G389"/>
      <c r="H389"/>
      <c r="I389"/>
    </row>
    <row r="390" spans="1:9" x14ac:dyDescent="0.2">
      <c r="A390"/>
      <c r="B390"/>
      <c r="C390"/>
      <c r="D390"/>
      <c r="E390"/>
      <c r="F390"/>
      <c r="G390"/>
      <c r="H390"/>
      <c r="I390"/>
    </row>
    <row r="391" spans="1:9" x14ac:dyDescent="0.2">
      <c r="A391"/>
      <c r="B391"/>
      <c r="C391"/>
      <c r="D391"/>
      <c r="E391"/>
      <c r="F391"/>
      <c r="G391"/>
      <c r="H391"/>
      <c r="I391"/>
    </row>
    <row r="392" spans="1:9" x14ac:dyDescent="0.2">
      <c r="A392"/>
      <c r="B392"/>
      <c r="C392"/>
      <c r="D392"/>
      <c r="E392"/>
      <c r="F392"/>
      <c r="G392"/>
      <c r="H392"/>
      <c r="I392"/>
    </row>
    <row r="393" spans="1:9" x14ac:dyDescent="0.2">
      <c r="A393"/>
      <c r="B393"/>
      <c r="C393"/>
      <c r="D393"/>
      <c r="E393"/>
      <c r="F393"/>
      <c r="G393"/>
      <c r="H393"/>
      <c r="I393"/>
    </row>
    <row r="394" spans="1:9" x14ac:dyDescent="0.2">
      <c r="A394"/>
      <c r="B394"/>
      <c r="C394"/>
      <c r="D394"/>
      <c r="E394"/>
      <c r="F394"/>
      <c r="G394"/>
      <c r="H394"/>
      <c r="I394"/>
    </row>
    <row r="395" spans="1:9" x14ac:dyDescent="0.2">
      <c r="A395"/>
      <c r="B395"/>
      <c r="C395"/>
      <c r="D395"/>
      <c r="E395"/>
      <c r="F395"/>
      <c r="G395"/>
      <c r="H395"/>
      <c r="I395"/>
    </row>
    <row r="396" spans="1:9" x14ac:dyDescent="0.2">
      <c r="A396"/>
      <c r="B396"/>
      <c r="C396"/>
      <c r="D396"/>
      <c r="E396"/>
      <c r="F396"/>
      <c r="G396"/>
      <c r="H396"/>
      <c r="I396"/>
    </row>
    <row r="397" spans="1:9" x14ac:dyDescent="0.2">
      <c r="A397"/>
      <c r="B397"/>
      <c r="C397"/>
      <c r="D397"/>
      <c r="E397"/>
      <c r="F397"/>
      <c r="G397"/>
      <c r="H397"/>
      <c r="I397"/>
    </row>
    <row r="398" spans="1:9" x14ac:dyDescent="0.2">
      <c r="A398"/>
      <c r="B398"/>
      <c r="C398"/>
      <c r="D398"/>
      <c r="E398"/>
      <c r="F398"/>
      <c r="G398"/>
      <c r="H398"/>
      <c r="I398"/>
    </row>
    <row r="399" spans="1:9" x14ac:dyDescent="0.2">
      <c r="A399"/>
      <c r="B399"/>
      <c r="C399"/>
      <c r="D399"/>
      <c r="E399"/>
      <c r="F399"/>
      <c r="G399"/>
      <c r="H399"/>
      <c r="I399"/>
    </row>
    <row r="400" spans="1:9" x14ac:dyDescent="0.2">
      <c r="A400"/>
      <c r="B400"/>
      <c r="C400"/>
      <c r="D400"/>
      <c r="E400"/>
      <c r="F400"/>
      <c r="G400"/>
      <c r="H400"/>
      <c r="I400"/>
    </row>
    <row r="401" spans="1:9" x14ac:dyDescent="0.2">
      <c r="A401"/>
      <c r="B401"/>
      <c r="C401"/>
      <c r="D401"/>
      <c r="E401"/>
      <c r="F401"/>
      <c r="G401"/>
      <c r="H401"/>
      <c r="I401"/>
    </row>
    <row r="402" spans="1:9" x14ac:dyDescent="0.2">
      <c r="A402"/>
      <c r="B402"/>
      <c r="C402"/>
      <c r="D402"/>
      <c r="E402"/>
      <c r="F402"/>
      <c r="G402"/>
      <c r="H402"/>
      <c r="I402"/>
    </row>
    <row r="403" spans="1:9" x14ac:dyDescent="0.2">
      <c r="A403"/>
      <c r="B403"/>
      <c r="C403"/>
      <c r="D403"/>
      <c r="E403"/>
      <c r="F403"/>
      <c r="G403"/>
      <c r="H403"/>
      <c r="I403"/>
    </row>
    <row r="404" spans="1:9" x14ac:dyDescent="0.2">
      <c r="A404"/>
      <c r="B404"/>
      <c r="C404"/>
      <c r="D404"/>
      <c r="E404"/>
      <c r="F404"/>
      <c r="G404"/>
      <c r="H404"/>
      <c r="I404"/>
    </row>
    <row r="405" spans="1:9" x14ac:dyDescent="0.2">
      <c r="A405"/>
      <c r="B405"/>
      <c r="C405"/>
      <c r="D405"/>
      <c r="E405"/>
      <c r="F405"/>
      <c r="G405"/>
      <c r="H405"/>
      <c r="I405"/>
    </row>
    <row r="406" spans="1:9" x14ac:dyDescent="0.2">
      <c r="A406"/>
      <c r="B406"/>
      <c r="C406"/>
      <c r="D406"/>
      <c r="E406"/>
      <c r="F406"/>
      <c r="G406"/>
      <c r="H406"/>
      <c r="I406"/>
    </row>
    <row r="407" spans="1:9" x14ac:dyDescent="0.2">
      <c r="A407"/>
      <c r="B407"/>
      <c r="C407"/>
      <c r="D407"/>
      <c r="E407"/>
      <c r="F407"/>
      <c r="G407"/>
      <c r="H407"/>
      <c r="I407"/>
    </row>
    <row r="408" spans="1:9" x14ac:dyDescent="0.2">
      <c r="A408"/>
      <c r="B408"/>
      <c r="C408"/>
      <c r="D408"/>
      <c r="E408"/>
      <c r="F408"/>
      <c r="G408"/>
      <c r="H408"/>
      <c r="I408"/>
    </row>
    <row r="409" spans="1:9" x14ac:dyDescent="0.2">
      <c r="A409"/>
      <c r="B409"/>
      <c r="C409"/>
      <c r="D409"/>
      <c r="E409"/>
      <c r="F409"/>
      <c r="G409"/>
      <c r="H409"/>
      <c r="I409"/>
    </row>
    <row r="410" spans="1:9" x14ac:dyDescent="0.2">
      <c r="A410"/>
      <c r="B410"/>
      <c r="C410"/>
      <c r="D410"/>
      <c r="E410"/>
      <c r="F410"/>
      <c r="G410"/>
      <c r="H410"/>
      <c r="I410"/>
    </row>
    <row r="411" spans="1:9" x14ac:dyDescent="0.2">
      <c r="A411"/>
      <c r="B411"/>
      <c r="C411"/>
      <c r="D411"/>
      <c r="E411"/>
      <c r="F411"/>
      <c r="G411"/>
      <c r="H411"/>
      <c r="I411"/>
    </row>
    <row r="412" spans="1:9" x14ac:dyDescent="0.2">
      <c r="A412"/>
      <c r="B412"/>
      <c r="C412"/>
      <c r="D412"/>
      <c r="E412"/>
      <c r="F412"/>
      <c r="G412"/>
      <c r="H412"/>
      <c r="I412"/>
    </row>
    <row r="413" spans="1:9" x14ac:dyDescent="0.2">
      <c r="A413"/>
      <c r="B413"/>
      <c r="C413"/>
      <c r="D413"/>
      <c r="E413"/>
      <c r="F413"/>
      <c r="G413"/>
      <c r="H413"/>
      <c r="I413"/>
    </row>
    <row r="414" spans="1:9" x14ac:dyDescent="0.2">
      <c r="A414"/>
      <c r="B414"/>
      <c r="C414"/>
      <c r="D414"/>
      <c r="E414"/>
      <c r="F414"/>
      <c r="G414"/>
      <c r="H414"/>
      <c r="I414"/>
    </row>
    <row r="415" spans="1:9" x14ac:dyDescent="0.2">
      <c r="A415"/>
      <c r="B415"/>
      <c r="C415"/>
      <c r="D415"/>
      <c r="E415"/>
      <c r="F415"/>
      <c r="G415"/>
      <c r="H415"/>
      <c r="I415"/>
    </row>
    <row r="416" spans="1:9" x14ac:dyDescent="0.2">
      <c r="A416"/>
      <c r="B416"/>
      <c r="C416"/>
      <c r="D416"/>
      <c r="E416"/>
      <c r="F416"/>
      <c r="G416"/>
      <c r="H416"/>
      <c r="I416"/>
    </row>
    <row r="417" spans="1:9" x14ac:dyDescent="0.2">
      <c r="A417"/>
      <c r="B417"/>
      <c r="C417"/>
      <c r="D417"/>
      <c r="E417"/>
      <c r="F417"/>
      <c r="G417"/>
      <c r="H417"/>
      <c r="I417"/>
    </row>
    <row r="418" spans="1:9" x14ac:dyDescent="0.2">
      <c r="A418"/>
      <c r="B418"/>
      <c r="C418"/>
      <c r="D418"/>
      <c r="E418"/>
      <c r="F418"/>
      <c r="G418"/>
      <c r="H418"/>
      <c r="I418"/>
    </row>
    <row r="419" spans="1:9" x14ac:dyDescent="0.2">
      <c r="A419"/>
      <c r="B419"/>
      <c r="C419"/>
      <c r="D419"/>
      <c r="E419"/>
      <c r="F419"/>
      <c r="G419"/>
      <c r="H419"/>
      <c r="I419"/>
    </row>
    <row r="420" spans="1:9" x14ac:dyDescent="0.2">
      <c r="A420"/>
      <c r="B420"/>
      <c r="C420"/>
      <c r="D420"/>
      <c r="E420"/>
      <c r="F420"/>
      <c r="G420"/>
      <c r="H420"/>
      <c r="I420"/>
    </row>
    <row r="421" spans="1:9" x14ac:dyDescent="0.2">
      <c r="A421"/>
      <c r="B421"/>
      <c r="C421"/>
      <c r="D421"/>
      <c r="E421"/>
      <c r="F421"/>
      <c r="G421"/>
      <c r="H421"/>
      <c r="I421"/>
    </row>
    <row r="422" spans="1:9" x14ac:dyDescent="0.2">
      <c r="A422"/>
      <c r="B422"/>
      <c r="C422"/>
      <c r="D422"/>
      <c r="E422"/>
      <c r="F422"/>
      <c r="G422"/>
      <c r="H422"/>
      <c r="I422"/>
    </row>
    <row r="423" spans="1:9" x14ac:dyDescent="0.2">
      <c r="A423"/>
      <c r="B423"/>
      <c r="C423"/>
      <c r="D423"/>
      <c r="E423"/>
      <c r="F423"/>
      <c r="G423"/>
      <c r="H423"/>
      <c r="I423"/>
    </row>
    <row r="424" spans="1:9" x14ac:dyDescent="0.2">
      <c r="A424"/>
      <c r="B424"/>
      <c r="C424"/>
      <c r="D424"/>
      <c r="E424"/>
      <c r="F424"/>
      <c r="G424"/>
      <c r="H424"/>
      <c r="I424"/>
    </row>
    <row r="425" spans="1:9" x14ac:dyDescent="0.2">
      <c r="A425"/>
      <c r="B425"/>
      <c r="C425"/>
      <c r="D425"/>
      <c r="E425"/>
      <c r="F425"/>
      <c r="G425"/>
      <c r="H425"/>
      <c r="I425"/>
    </row>
    <row r="426" spans="1:9" x14ac:dyDescent="0.2">
      <c r="A426"/>
      <c r="B426"/>
      <c r="C426"/>
      <c r="D426"/>
      <c r="E426"/>
      <c r="F426"/>
      <c r="G426"/>
      <c r="H426"/>
      <c r="I426"/>
    </row>
    <row r="427" spans="1:9" x14ac:dyDescent="0.2">
      <c r="A427"/>
      <c r="B427"/>
      <c r="C427"/>
      <c r="D427"/>
      <c r="E427"/>
      <c r="F427"/>
      <c r="G427"/>
      <c r="H427"/>
      <c r="I427"/>
    </row>
    <row r="428" spans="1:9" x14ac:dyDescent="0.2">
      <c r="A428"/>
      <c r="B428"/>
      <c r="C428"/>
      <c r="D428"/>
      <c r="E428"/>
      <c r="F428"/>
      <c r="G428"/>
      <c r="H428"/>
      <c r="I428"/>
    </row>
    <row r="429" spans="1:9" x14ac:dyDescent="0.2">
      <c r="A429"/>
      <c r="B429"/>
      <c r="C429"/>
      <c r="D429"/>
      <c r="E429"/>
      <c r="F429"/>
      <c r="G429"/>
      <c r="H429"/>
      <c r="I429"/>
    </row>
    <row r="430" spans="1:9" x14ac:dyDescent="0.2">
      <c r="A430"/>
      <c r="B430"/>
      <c r="C430"/>
      <c r="D430"/>
      <c r="E430"/>
      <c r="F430"/>
      <c r="G430"/>
      <c r="H430"/>
      <c r="I430"/>
    </row>
    <row r="431" spans="1:9" x14ac:dyDescent="0.2">
      <c r="A431"/>
      <c r="B431"/>
      <c r="C431"/>
      <c r="D431"/>
      <c r="E431"/>
      <c r="F431"/>
      <c r="G431"/>
      <c r="H431"/>
      <c r="I431"/>
    </row>
    <row r="432" spans="1:9" x14ac:dyDescent="0.2">
      <c r="A432"/>
      <c r="B432"/>
      <c r="C432"/>
      <c r="D432"/>
      <c r="E432"/>
      <c r="F432"/>
      <c r="G432"/>
      <c r="H432"/>
      <c r="I432"/>
    </row>
    <row r="433" spans="1:9" x14ac:dyDescent="0.2">
      <c r="A433"/>
      <c r="B433"/>
      <c r="C433"/>
      <c r="D433"/>
      <c r="E433"/>
      <c r="F433"/>
      <c r="G433"/>
      <c r="H433"/>
      <c r="I433"/>
    </row>
    <row r="434" spans="1:9" x14ac:dyDescent="0.2">
      <c r="A434"/>
      <c r="B434"/>
      <c r="C434"/>
      <c r="D434"/>
      <c r="E434"/>
      <c r="F434"/>
      <c r="G434"/>
      <c r="H434"/>
      <c r="I434"/>
    </row>
    <row r="435" spans="1:9" x14ac:dyDescent="0.2">
      <c r="A435"/>
      <c r="B435"/>
      <c r="C435"/>
      <c r="D435"/>
      <c r="E435"/>
      <c r="F435"/>
      <c r="G435"/>
      <c r="H435"/>
      <c r="I435"/>
    </row>
    <row r="436" spans="1:9" x14ac:dyDescent="0.2">
      <c r="A436"/>
      <c r="B436"/>
      <c r="C436"/>
      <c r="D436"/>
      <c r="E436"/>
      <c r="F436"/>
      <c r="G436"/>
      <c r="H436"/>
      <c r="I436"/>
    </row>
    <row r="437" spans="1:9" x14ac:dyDescent="0.2">
      <c r="A437"/>
      <c r="B437"/>
      <c r="C437"/>
      <c r="D437"/>
      <c r="E437"/>
      <c r="F437"/>
      <c r="G437"/>
      <c r="H437"/>
      <c r="I437"/>
    </row>
    <row r="438" spans="1:9" x14ac:dyDescent="0.2">
      <c r="A438"/>
      <c r="B438"/>
      <c r="C438"/>
      <c r="D438"/>
      <c r="E438"/>
      <c r="F438"/>
      <c r="G438"/>
      <c r="H438"/>
      <c r="I438"/>
    </row>
    <row r="439" spans="1:9" x14ac:dyDescent="0.2">
      <c r="A439"/>
      <c r="B439"/>
      <c r="C439"/>
      <c r="D439"/>
      <c r="E439"/>
      <c r="F439"/>
      <c r="G439"/>
      <c r="H439"/>
      <c r="I439"/>
    </row>
    <row r="440" spans="1:9" x14ac:dyDescent="0.2">
      <c r="A440"/>
      <c r="B440"/>
      <c r="C440"/>
      <c r="D440"/>
      <c r="E440"/>
      <c r="F440"/>
      <c r="G440"/>
      <c r="H440"/>
      <c r="I440"/>
    </row>
    <row r="441" spans="1:9" x14ac:dyDescent="0.2">
      <c r="A441"/>
      <c r="B441"/>
      <c r="C441"/>
      <c r="D441"/>
      <c r="E441"/>
      <c r="F441"/>
      <c r="G441"/>
      <c r="H441"/>
      <c r="I441"/>
    </row>
    <row r="442" spans="1:9" x14ac:dyDescent="0.2">
      <c r="A442"/>
      <c r="B442"/>
      <c r="C442"/>
      <c r="D442"/>
      <c r="E442"/>
      <c r="F442"/>
      <c r="G442"/>
      <c r="H442"/>
      <c r="I442"/>
    </row>
    <row r="443" spans="1:9" x14ac:dyDescent="0.2">
      <c r="A443"/>
      <c r="B443"/>
      <c r="C443"/>
      <c r="D443"/>
      <c r="E443"/>
      <c r="F443"/>
      <c r="G443"/>
      <c r="H443"/>
      <c r="I443"/>
    </row>
    <row r="444" spans="1:9" x14ac:dyDescent="0.2">
      <c r="A444"/>
      <c r="B444"/>
      <c r="C444"/>
      <c r="D444"/>
      <c r="E444"/>
      <c r="F444"/>
      <c r="G444"/>
      <c r="H444"/>
      <c r="I444"/>
    </row>
    <row r="445" spans="1:9" x14ac:dyDescent="0.2">
      <c r="A445"/>
      <c r="B445"/>
      <c r="C445"/>
      <c r="D445"/>
      <c r="E445"/>
      <c r="F445"/>
      <c r="G445"/>
      <c r="H445"/>
      <c r="I445"/>
    </row>
    <row r="446" spans="1:9" x14ac:dyDescent="0.2">
      <c r="A446"/>
      <c r="B446"/>
      <c r="C446"/>
      <c r="D446"/>
      <c r="E446"/>
      <c r="F446"/>
      <c r="G446"/>
      <c r="H446"/>
      <c r="I446"/>
    </row>
    <row r="447" spans="1:9" x14ac:dyDescent="0.2">
      <c r="A447"/>
      <c r="B447"/>
      <c r="C447"/>
      <c r="D447"/>
      <c r="E447"/>
      <c r="F447"/>
      <c r="G447"/>
      <c r="H447"/>
      <c r="I447"/>
    </row>
    <row r="448" spans="1:9" x14ac:dyDescent="0.2">
      <c r="A448"/>
      <c r="B448"/>
      <c r="C448"/>
      <c r="D448"/>
      <c r="E448"/>
      <c r="F448"/>
      <c r="G448"/>
      <c r="H448"/>
      <c r="I448"/>
    </row>
    <row r="449" spans="1:9" x14ac:dyDescent="0.2">
      <c r="A449"/>
      <c r="B449"/>
      <c r="C449"/>
      <c r="D449"/>
      <c r="E449"/>
      <c r="F449"/>
      <c r="G449"/>
      <c r="H449"/>
      <c r="I449"/>
    </row>
    <row r="450" spans="1:9" x14ac:dyDescent="0.2">
      <c r="A450"/>
      <c r="B450"/>
      <c r="C450"/>
      <c r="D450"/>
      <c r="E450"/>
      <c r="F450"/>
      <c r="G450"/>
      <c r="H450"/>
      <c r="I450"/>
    </row>
    <row r="451" spans="1:9" x14ac:dyDescent="0.2">
      <c r="A451"/>
      <c r="B451"/>
      <c r="C451"/>
      <c r="D451"/>
      <c r="E451"/>
      <c r="F451"/>
      <c r="G451"/>
      <c r="H451"/>
      <c r="I451"/>
    </row>
    <row r="452" spans="1:9" x14ac:dyDescent="0.2">
      <c r="A452"/>
      <c r="B452"/>
      <c r="C452"/>
      <c r="D452"/>
      <c r="E452"/>
      <c r="F452"/>
      <c r="G452"/>
      <c r="H452"/>
      <c r="I452"/>
    </row>
    <row r="453" spans="1:9" x14ac:dyDescent="0.2">
      <c r="A453"/>
      <c r="B453"/>
      <c r="C453"/>
      <c r="D453"/>
      <c r="E453"/>
      <c r="F453"/>
      <c r="G453"/>
      <c r="H453"/>
      <c r="I453"/>
    </row>
    <row r="454" spans="1:9" x14ac:dyDescent="0.2">
      <c r="A454"/>
      <c r="B454"/>
      <c r="C454"/>
      <c r="D454"/>
      <c r="E454"/>
      <c r="F454"/>
      <c r="G454"/>
      <c r="H454"/>
      <c r="I454"/>
    </row>
    <row r="455" spans="1:9" x14ac:dyDescent="0.2">
      <c r="A455"/>
      <c r="B455"/>
      <c r="C455"/>
      <c r="D455"/>
      <c r="E455"/>
      <c r="F455"/>
      <c r="G455"/>
      <c r="H455"/>
      <c r="I455"/>
    </row>
    <row r="456" spans="1:9" x14ac:dyDescent="0.2">
      <c r="A456"/>
      <c r="B456"/>
      <c r="C456"/>
      <c r="D456"/>
      <c r="E456"/>
      <c r="F456"/>
      <c r="G456"/>
      <c r="H456"/>
      <c r="I456"/>
    </row>
    <row r="457" spans="1:9" x14ac:dyDescent="0.2">
      <c r="A457"/>
      <c r="B457"/>
      <c r="C457"/>
      <c r="D457"/>
      <c r="E457"/>
      <c r="F457"/>
      <c r="G457"/>
      <c r="H457"/>
      <c r="I457"/>
    </row>
    <row r="458" spans="1:9" x14ac:dyDescent="0.2">
      <c r="A458"/>
      <c r="B458"/>
      <c r="C458"/>
      <c r="D458"/>
      <c r="E458"/>
      <c r="F458"/>
      <c r="G458"/>
      <c r="H458"/>
      <c r="I458"/>
    </row>
    <row r="459" spans="1:9" x14ac:dyDescent="0.2">
      <c r="A459"/>
      <c r="B459"/>
      <c r="C459"/>
      <c r="D459"/>
      <c r="E459"/>
      <c r="F459"/>
      <c r="G459"/>
      <c r="H459"/>
      <c r="I459"/>
    </row>
    <row r="460" spans="1:9" x14ac:dyDescent="0.2">
      <c r="A460"/>
      <c r="B460"/>
      <c r="C460"/>
      <c r="D460"/>
      <c r="E460"/>
      <c r="F460"/>
      <c r="G460"/>
      <c r="H460"/>
      <c r="I460"/>
    </row>
    <row r="461" spans="1:9" x14ac:dyDescent="0.2">
      <c r="A461"/>
      <c r="B461"/>
      <c r="C461"/>
      <c r="D461"/>
      <c r="E461"/>
      <c r="F461"/>
      <c r="G461"/>
      <c r="H461"/>
      <c r="I461"/>
    </row>
    <row r="462" spans="1:9" x14ac:dyDescent="0.2">
      <c r="A462"/>
      <c r="B462"/>
      <c r="C462"/>
      <c r="D462"/>
      <c r="E462"/>
      <c r="F462"/>
      <c r="G462"/>
      <c r="H462"/>
      <c r="I462"/>
    </row>
    <row r="463" spans="1:9" x14ac:dyDescent="0.2">
      <c r="A463"/>
      <c r="B463"/>
      <c r="C463"/>
      <c r="D463"/>
      <c r="E463"/>
      <c r="F463"/>
      <c r="G463"/>
      <c r="H463"/>
      <c r="I463"/>
    </row>
    <row r="464" spans="1:9" x14ac:dyDescent="0.2">
      <c r="A464"/>
      <c r="B464"/>
      <c r="C464"/>
      <c r="D464"/>
      <c r="E464"/>
      <c r="F464"/>
      <c r="G464"/>
      <c r="H464"/>
      <c r="I464"/>
    </row>
    <row r="465" spans="1:9" x14ac:dyDescent="0.2">
      <c r="A465"/>
      <c r="B465"/>
      <c r="C465"/>
      <c r="D465"/>
      <c r="E465"/>
      <c r="F465"/>
      <c r="G465"/>
      <c r="H465"/>
      <c r="I465"/>
    </row>
    <row r="466" spans="1:9" x14ac:dyDescent="0.2">
      <c r="A466"/>
      <c r="B466"/>
      <c r="C466"/>
      <c r="D466"/>
      <c r="E466"/>
      <c r="F466"/>
      <c r="G466"/>
      <c r="H466"/>
      <c r="I466"/>
    </row>
    <row r="467" spans="1:9" x14ac:dyDescent="0.2">
      <c r="A467"/>
      <c r="B467"/>
      <c r="C467"/>
      <c r="D467"/>
      <c r="E467"/>
      <c r="F467"/>
      <c r="G467"/>
      <c r="H467"/>
      <c r="I467"/>
    </row>
    <row r="468" spans="1:9" x14ac:dyDescent="0.2">
      <c r="A468"/>
      <c r="B468"/>
      <c r="C468"/>
      <c r="D468"/>
      <c r="E468"/>
      <c r="F468"/>
      <c r="G468"/>
      <c r="H468"/>
      <c r="I468"/>
    </row>
    <row r="469" spans="1:9" x14ac:dyDescent="0.2">
      <c r="A469"/>
      <c r="B469"/>
      <c r="C469"/>
      <c r="D469"/>
      <c r="E469"/>
      <c r="F469"/>
      <c r="G469"/>
      <c r="H469"/>
      <c r="I469"/>
    </row>
    <row r="470" spans="1:9" x14ac:dyDescent="0.2">
      <c r="A470"/>
      <c r="B470"/>
      <c r="C470"/>
      <c r="D470"/>
      <c r="E470"/>
      <c r="F470"/>
      <c r="G470"/>
      <c r="H470"/>
      <c r="I470"/>
    </row>
    <row r="471" spans="1:9" x14ac:dyDescent="0.2">
      <c r="A471"/>
      <c r="B471"/>
      <c r="C471"/>
      <c r="D471"/>
      <c r="E471"/>
      <c r="F471"/>
      <c r="G471"/>
      <c r="H471"/>
      <c r="I471"/>
    </row>
    <row r="472" spans="1:9" x14ac:dyDescent="0.2">
      <c r="A472"/>
      <c r="B472"/>
      <c r="C472"/>
      <c r="D472"/>
      <c r="E472"/>
      <c r="F472"/>
      <c r="G472"/>
      <c r="H472"/>
      <c r="I472"/>
    </row>
    <row r="473" spans="1:9" x14ac:dyDescent="0.2">
      <c r="A473"/>
      <c r="B473"/>
      <c r="C473"/>
      <c r="D473"/>
      <c r="E473"/>
      <c r="F473"/>
      <c r="G473"/>
      <c r="H473"/>
      <c r="I473"/>
    </row>
    <row r="474" spans="1:9" x14ac:dyDescent="0.2">
      <c r="A474"/>
      <c r="B474"/>
      <c r="C474"/>
      <c r="D474"/>
      <c r="E474"/>
      <c r="F474"/>
      <c r="G474"/>
      <c r="H474"/>
      <c r="I474"/>
    </row>
    <row r="475" spans="1:9" x14ac:dyDescent="0.2">
      <c r="A475"/>
      <c r="B475"/>
      <c r="C475"/>
      <c r="D475"/>
      <c r="E475"/>
      <c r="F475"/>
      <c r="G475"/>
      <c r="H475"/>
      <c r="I475"/>
    </row>
    <row r="476" spans="1:9" x14ac:dyDescent="0.2">
      <c r="A476"/>
      <c r="B476"/>
      <c r="C476"/>
      <c r="D476"/>
      <c r="E476"/>
      <c r="F476"/>
      <c r="G476"/>
      <c r="H476"/>
      <c r="I476"/>
    </row>
    <row r="477" spans="1:9" x14ac:dyDescent="0.2">
      <c r="A477"/>
      <c r="B477"/>
      <c r="C477"/>
      <c r="D477"/>
      <c r="E477"/>
      <c r="F477"/>
      <c r="G477"/>
      <c r="H477"/>
      <c r="I477"/>
    </row>
    <row r="478" spans="1:9" x14ac:dyDescent="0.2">
      <c r="A478"/>
      <c r="B478"/>
      <c r="C478"/>
      <c r="D478"/>
      <c r="E478"/>
      <c r="F478"/>
      <c r="G478"/>
      <c r="H478"/>
      <c r="I478"/>
    </row>
    <row r="479" spans="1:9" x14ac:dyDescent="0.2">
      <c r="A479"/>
      <c r="B479"/>
      <c r="C479"/>
      <c r="D479"/>
      <c r="E479"/>
      <c r="F479"/>
      <c r="G479"/>
      <c r="H479"/>
      <c r="I479"/>
    </row>
    <row r="480" spans="1:9" x14ac:dyDescent="0.2">
      <c r="A480"/>
      <c r="B480"/>
      <c r="C480"/>
      <c r="D480"/>
      <c r="E480"/>
      <c r="F480"/>
      <c r="G480"/>
      <c r="H480"/>
      <c r="I480"/>
    </row>
    <row r="481" spans="1:9" x14ac:dyDescent="0.2">
      <c r="A481"/>
      <c r="B481"/>
      <c r="C481"/>
      <c r="D481"/>
      <c r="E481"/>
      <c r="F481"/>
      <c r="G481"/>
      <c r="H481"/>
      <c r="I481"/>
    </row>
    <row r="482" spans="1:9" x14ac:dyDescent="0.2">
      <c r="A482"/>
      <c r="B482"/>
      <c r="C482"/>
      <c r="D482"/>
      <c r="E482"/>
      <c r="F482"/>
      <c r="G482"/>
      <c r="H482"/>
      <c r="I482"/>
    </row>
    <row r="483" spans="1:9" x14ac:dyDescent="0.2">
      <c r="A483"/>
      <c r="B483"/>
      <c r="C483"/>
      <c r="D483"/>
      <c r="E483"/>
      <c r="F483"/>
      <c r="G483"/>
      <c r="H483"/>
      <c r="I483"/>
    </row>
    <row r="484" spans="1:9" x14ac:dyDescent="0.2">
      <c r="A484"/>
      <c r="B484"/>
      <c r="C484"/>
      <c r="D484"/>
      <c r="E484"/>
      <c r="F484"/>
      <c r="G484"/>
      <c r="H484"/>
      <c r="I484"/>
    </row>
    <row r="485" spans="1:9" x14ac:dyDescent="0.2">
      <c r="A485"/>
      <c r="B485"/>
      <c r="C485"/>
      <c r="D485"/>
      <c r="E485"/>
      <c r="F485"/>
      <c r="G485"/>
      <c r="H485"/>
      <c r="I485"/>
    </row>
    <row r="486" spans="1:9" x14ac:dyDescent="0.2">
      <c r="A486"/>
      <c r="B486"/>
      <c r="C486"/>
      <c r="D486"/>
      <c r="E486"/>
      <c r="F486"/>
      <c r="G486"/>
      <c r="H486"/>
      <c r="I486"/>
    </row>
    <row r="487" spans="1:9" x14ac:dyDescent="0.2">
      <c r="A487"/>
      <c r="B487"/>
      <c r="C487"/>
      <c r="D487"/>
      <c r="E487"/>
      <c r="F487"/>
      <c r="G487"/>
      <c r="H487"/>
      <c r="I487"/>
    </row>
    <row r="488" spans="1:9" x14ac:dyDescent="0.2">
      <c r="A488"/>
      <c r="B488"/>
      <c r="C488"/>
      <c r="D488"/>
      <c r="E488"/>
      <c r="F488"/>
      <c r="G488"/>
      <c r="H488"/>
      <c r="I488"/>
    </row>
    <row r="489" spans="1:9" x14ac:dyDescent="0.2">
      <c r="A489"/>
      <c r="B489"/>
      <c r="C489"/>
      <c r="D489"/>
      <c r="E489"/>
      <c r="F489"/>
      <c r="G489"/>
      <c r="H489"/>
      <c r="I489"/>
    </row>
    <row r="490" spans="1:9" x14ac:dyDescent="0.2">
      <c r="A490"/>
      <c r="B490"/>
      <c r="C490"/>
      <c r="D490"/>
      <c r="E490"/>
      <c r="F490"/>
      <c r="G490"/>
      <c r="H490"/>
      <c r="I490"/>
    </row>
    <row r="491" spans="1:9" x14ac:dyDescent="0.2">
      <c r="A491"/>
      <c r="B491"/>
      <c r="C491"/>
      <c r="D491"/>
      <c r="E491"/>
      <c r="F491"/>
      <c r="G491"/>
      <c r="H491"/>
      <c r="I491"/>
    </row>
    <row r="492" spans="1:9" x14ac:dyDescent="0.2">
      <c r="A492"/>
      <c r="B492"/>
      <c r="C492"/>
      <c r="D492"/>
      <c r="E492"/>
      <c r="F492"/>
      <c r="G492"/>
      <c r="H492"/>
      <c r="I492"/>
    </row>
    <row r="493" spans="1:9" x14ac:dyDescent="0.2">
      <c r="A493"/>
      <c r="B493"/>
      <c r="C493"/>
      <c r="D493"/>
      <c r="E493"/>
      <c r="F493"/>
      <c r="G493"/>
      <c r="H493"/>
      <c r="I493"/>
    </row>
    <row r="494" spans="1:9" x14ac:dyDescent="0.2">
      <c r="A494"/>
      <c r="B494"/>
      <c r="C494"/>
      <c r="D494"/>
      <c r="E494"/>
      <c r="F494"/>
      <c r="G494"/>
      <c r="H494"/>
      <c r="I494"/>
    </row>
    <row r="495" spans="1:9" x14ac:dyDescent="0.2">
      <c r="A495"/>
      <c r="B495"/>
      <c r="C495"/>
      <c r="D495"/>
      <c r="E495"/>
      <c r="F495"/>
      <c r="G495"/>
      <c r="H495"/>
      <c r="I495"/>
    </row>
    <row r="496" spans="1:9" x14ac:dyDescent="0.2">
      <c r="A496"/>
      <c r="B496"/>
      <c r="C496"/>
      <c r="D496"/>
      <c r="E496"/>
      <c r="F496"/>
      <c r="G496"/>
      <c r="H496"/>
      <c r="I496"/>
    </row>
    <row r="497" spans="1:9" x14ac:dyDescent="0.2">
      <c r="A497"/>
      <c r="B497"/>
      <c r="C497"/>
      <c r="D497"/>
      <c r="E497"/>
      <c r="F497"/>
      <c r="G497"/>
      <c r="H497"/>
      <c r="I497"/>
    </row>
    <row r="498" spans="1:9" x14ac:dyDescent="0.2">
      <c r="A498"/>
      <c r="B498"/>
      <c r="C498"/>
      <c r="D498"/>
      <c r="E498"/>
      <c r="F498"/>
      <c r="G498"/>
      <c r="H498"/>
      <c r="I498"/>
    </row>
    <row r="499" spans="1:9" x14ac:dyDescent="0.2">
      <c r="A499"/>
      <c r="B499"/>
      <c r="C499"/>
      <c r="D499"/>
      <c r="E499"/>
      <c r="F499"/>
      <c r="G499"/>
      <c r="H499"/>
      <c r="I499"/>
    </row>
    <row r="500" spans="1:9" x14ac:dyDescent="0.2">
      <c r="A500"/>
      <c r="B500"/>
      <c r="C500"/>
      <c r="D500"/>
      <c r="E500"/>
      <c r="F500"/>
      <c r="G500"/>
      <c r="H500"/>
      <c r="I500"/>
    </row>
    <row r="501" spans="1:9" x14ac:dyDescent="0.2">
      <c r="A501"/>
      <c r="B501"/>
      <c r="C501"/>
      <c r="D501"/>
      <c r="E501"/>
      <c r="F501"/>
      <c r="G501"/>
      <c r="H501"/>
      <c r="I501"/>
    </row>
    <row r="502" spans="1:9" x14ac:dyDescent="0.2">
      <c r="A502"/>
      <c r="B502"/>
      <c r="C502"/>
      <c r="D502"/>
      <c r="E502"/>
      <c r="F502"/>
      <c r="G502"/>
      <c r="H502"/>
      <c r="I502"/>
    </row>
    <row r="503" spans="1:9" x14ac:dyDescent="0.2">
      <c r="A503"/>
      <c r="B503"/>
      <c r="C503"/>
      <c r="D503"/>
      <c r="E503"/>
      <c r="F503"/>
      <c r="G503"/>
      <c r="H503"/>
      <c r="I503"/>
    </row>
    <row r="504" spans="1:9" x14ac:dyDescent="0.2">
      <c r="A504"/>
      <c r="B504"/>
      <c r="C504"/>
      <c r="D504"/>
      <c r="E504"/>
      <c r="F504"/>
      <c r="G504"/>
      <c r="H504"/>
      <c r="I504"/>
    </row>
    <row r="505" spans="1:9" x14ac:dyDescent="0.2">
      <c r="A505"/>
      <c r="B505"/>
      <c r="C505"/>
      <c r="D505"/>
      <c r="E505"/>
      <c r="F505"/>
      <c r="G505"/>
      <c r="H505"/>
      <c r="I505"/>
    </row>
    <row r="506" spans="1:9" x14ac:dyDescent="0.2">
      <c r="A506"/>
      <c r="B506"/>
      <c r="C506"/>
      <c r="D506"/>
      <c r="E506"/>
      <c r="F506"/>
      <c r="G506"/>
      <c r="H506"/>
      <c r="I506"/>
    </row>
    <row r="507" spans="1:9" x14ac:dyDescent="0.2">
      <c r="A507"/>
      <c r="B507"/>
      <c r="C507"/>
      <c r="D507"/>
      <c r="E507"/>
      <c r="F507"/>
      <c r="G507"/>
      <c r="H507"/>
      <c r="I507"/>
    </row>
    <row r="508" spans="1:9" x14ac:dyDescent="0.2">
      <c r="A508"/>
      <c r="B508"/>
      <c r="C508"/>
      <c r="D508"/>
      <c r="E508"/>
      <c r="F508"/>
      <c r="G508"/>
      <c r="H508"/>
      <c r="I508"/>
    </row>
    <row r="509" spans="1:9" x14ac:dyDescent="0.2">
      <c r="A509"/>
      <c r="B509"/>
      <c r="C509"/>
      <c r="D509"/>
      <c r="E509"/>
      <c r="F509"/>
      <c r="G509"/>
      <c r="H509"/>
      <c r="I509"/>
    </row>
    <row r="510" spans="1:9" x14ac:dyDescent="0.2">
      <c r="A510"/>
      <c r="B510"/>
      <c r="C510"/>
      <c r="D510"/>
      <c r="E510"/>
      <c r="F510"/>
      <c r="G510"/>
      <c r="H510"/>
      <c r="I510"/>
    </row>
    <row r="511" spans="1:9" x14ac:dyDescent="0.2">
      <c r="A511"/>
      <c r="B511"/>
      <c r="C511"/>
      <c r="D511"/>
      <c r="E511"/>
      <c r="F511"/>
      <c r="G511"/>
      <c r="H511"/>
      <c r="I511"/>
    </row>
    <row r="512" spans="1:9" x14ac:dyDescent="0.2">
      <c r="A512"/>
      <c r="B512"/>
      <c r="C512"/>
      <c r="D512"/>
      <c r="E512"/>
      <c r="F512"/>
      <c r="G512"/>
      <c r="H512"/>
      <c r="I512"/>
    </row>
    <row r="513" spans="1:9" x14ac:dyDescent="0.2">
      <c r="A513"/>
      <c r="B513"/>
      <c r="C513"/>
      <c r="D513"/>
      <c r="E513"/>
      <c r="F513"/>
      <c r="G513"/>
      <c r="H513"/>
      <c r="I513"/>
    </row>
    <row r="514" spans="1:9" x14ac:dyDescent="0.2">
      <c r="A514"/>
      <c r="B514"/>
      <c r="C514"/>
      <c r="D514"/>
      <c r="E514"/>
      <c r="F514"/>
      <c r="G514"/>
      <c r="H514"/>
      <c r="I514"/>
    </row>
    <row r="515" spans="1:9" x14ac:dyDescent="0.2">
      <c r="A515"/>
      <c r="B515"/>
      <c r="C515"/>
      <c r="D515"/>
      <c r="E515"/>
      <c r="F515"/>
      <c r="G515"/>
      <c r="H515"/>
      <c r="I515"/>
    </row>
    <row r="516" spans="1:9" x14ac:dyDescent="0.2">
      <c r="A516"/>
      <c r="B516"/>
      <c r="C516"/>
      <c r="D516"/>
      <c r="E516"/>
      <c r="F516"/>
      <c r="G516"/>
      <c r="H516"/>
      <c r="I516"/>
    </row>
    <row r="517" spans="1:9" x14ac:dyDescent="0.2">
      <c r="A517"/>
      <c r="B517"/>
      <c r="C517"/>
      <c r="D517"/>
      <c r="E517"/>
      <c r="F517"/>
      <c r="G517"/>
      <c r="H517"/>
      <c r="I517"/>
    </row>
    <row r="518" spans="1:9" x14ac:dyDescent="0.2">
      <c r="A518"/>
      <c r="B518"/>
      <c r="C518"/>
      <c r="D518"/>
      <c r="E518"/>
      <c r="F518"/>
      <c r="G518"/>
      <c r="H518"/>
      <c r="I518"/>
    </row>
    <row r="519" spans="1:9" x14ac:dyDescent="0.2">
      <c r="A519"/>
      <c r="B519"/>
      <c r="C519"/>
      <c r="D519"/>
      <c r="E519"/>
      <c r="F519"/>
      <c r="G519"/>
      <c r="H519"/>
      <c r="I519"/>
    </row>
    <row r="520" spans="1:9" x14ac:dyDescent="0.2">
      <c r="A520"/>
      <c r="B520"/>
      <c r="C520"/>
      <c r="D520"/>
      <c r="E520"/>
      <c r="F520"/>
      <c r="G520"/>
      <c r="H520"/>
      <c r="I520"/>
    </row>
    <row r="521" spans="1:9" x14ac:dyDescent="0.2">
      <c r="A521"/>
      <c r="B521"/>
      <c r="C521"/>
      <c r="D521"/>
      <c r="E521"/>
      <c r="F521"/>
      <c r="G521"/>
      <c r="H521"/>
      <c r="I521"/>
    </row>
    <row r="522" spans="1:9" x14ac:dyDescent="0.2">
      <c r="A522"/>
      <c r="B522"/>
      <c r="C522"/>
      <c r="D522"/>
      <c r="E522"/>
      <c r="F522"/>
      <c r="G522"/>
      <c r="H522"/>
      <c r="I522"/>
    </row>
    <row r="523" spans="1:9" x14ac:dyDescent="0.2">
      <c r="A523"/>
      <c r="B523"/>
      <c r="C523"/>
      <c r="D523"/>
      <c r="E523"/>
      <c r="F523"/>
      <c r="G523"/>
      <c r="H523"/>
      <c r="I523"/>
    </row>
    <row r="524" spans="1:9" x14ac:dyDescent="0.2">
      <c r="A524"/>
      <c r="B524"/>
      <c r="C524"/>
      <c r="D524"/>
      <c r="E524"/>
      <c r="F524"/>
      <c r="G524"/>
      <c r="H524"/>
      <c r="I524"/>
    </row>
    <row r="525" spans="1:9" x14ac:dyDescent="0.2">
      <c r="A525"/>
      <c r="B525"/>
      <c r="C525"/>
      <c r="D525"/>
      <c r="E525"/>
      <c r="F525"/>
      <c r="G525"/>
      <c r="H525"/>
      <c r="I525"/>
    </row>
    <row r="526" spans="1:9" x14ac:dyDescent="0.2">
      <c r="A526"/>
      <c r="B526"/>
      <c r="C526"/>
      <c r="D526"/>
      <c r="E526"/>
      <c r="F526"/>
      <c r="G526"/>
      <c r="H526"/>
      <c r="I526"/>
    </row>
    <row r="527" spans="1:9" x14ac:dyDescent="0.2">
      <c r="A527"/>
      <c r="B527"/>
      <c r="C527"/>
      <c r="D527"/>
      <c r="E527"/>
      <c r="F527"/>
      <c r="G527"/>
      <c r="H527"/>
      <c r="I527"/>
    </row>
    <row r="528" spans="1:9" x14ac:dyDescent="0.2">
      <c r="A528"/>
      <c r="B528"/>
      <c r="C528"/>
      <c r="D528"/>
      <c r="E528"/>
      <c r="F528"/>
      <c r="G528"/>
      <c r="H528"/>
      <c r="I528"/>
    </row>
    <row r="529" spans="1:9" x14ac:dyDescent="0.2">
      <c r="A529"/>
      <c r="B529"/>
      <c r="C529"/>
      <c r="D529"/>
      <c r="E529"/>
      <c r="F529"/>
      <c r="G529"/>
      <c r="H529"/>
      <c r="I529"/>
    </row>
    <row r="530" spans="1:9" x14ac:dyDescent="0.2">
      <c r="A530"/>
      <c r="B530"/>
      <c r="C530"/>
      <c r="D530"/>
      <c r="E530"/>
      <c r="F530"/>
      <c r="G530"/>
      <c r="H530"/>
      <c r="I530"/>
    </row>
    <row r="531" spans="1:9" x14ac:dyDescent="0.2">
      <c r="A531"/>
      <c r="B531"/>
      <c r="C531"/>
      <c r="D531"/>
      <c r="E531"/>
      <c r="F531"/>
      <c r="G531"/>
      <c r="H531"/>
      <c r="I531"/>
    </row>
    <row r="532" spans="1:9" x14ac:dyDescent="0.2">
      <c r="A532"/>
      <c r="B532"/>
      <c r="C532"/>
      <c r="D532"/>
      <c r="E532"/>
      <c r="F532"/>
      <c r="G532"/>
      <c r="H532"/>
      <c r="I532"/>
    </row>
    <row r="533" spans="1:9" x14ac:dyDescent="0.2">
      <c r="A533"/>
      <c r="B533"/>
      <c r="C533"/>
      <c r="D533"/>
      <c r="E533"/>
      <c r="F533"/>
      <c r="G533"/>
      <c r="H533"/>
      <c r="I533"/>
    </row>
    <row r="534" spans="1:9" x14ac:dyDescent="0.2">
      <c r="A534"/>
      <c r="B534"/>
      <c r="C534"/>
      <c r="D534"/>
      <c r="E534"/>
      <c r="F534"/>
      <c r="G534"/>
      <c r="H534"/>
      <c r="I534"/>
    </row>
    <row r="535" spans="1:9" x14ac:dyDescent="0.2">
      <c r="A535"/>
      <c r="B535"/>
      <c r="C535"/>
      <c r="D535"/>
      <c r="E535"/>
      <c r="F535"/>
      <c r="G535"/>
      <c r="H535"/>
      <c r="I535"/>
    </row>
    <row r="536" spans="1:9" x14ac:dyDescent="0.2">
      <c r="A536"/>
      <c r="B536"/>
      <c r="C536"/>
      <c r="D536"/>
      <c r="E536"/>
      <c r="F536"/>
      <c r="G536"/>
      <c r="H536"/>
      <c r="I536"/>
    </row>
    <row r="537" spans="1:9" x14ac:dyDescent="0.2">
      <c r="A537"/>
      <c r="B537"/>
      <c r="C537"/>
      <c r="D537"/>
      <c r="E537"/>
      <c r="F537"/>
      <c r="G537"/>
      <c r="H537"/>
      <c r="I537"/>
    </row>
    <row r="538" spans="1:9" x14ac:dyDescent="0.2">
      <c r="A538"/>
      <c r="B538"/>
      <c r="C538"/>
      <c r="D538"/>
      <c r="E538"/>
      <c r="F538"/>
      <c r="G538"/>
      <c r="H538"/>
      <c r="I538"/>
    </row>
    <row r="539" spans="1:9" x14ac:dyDescent="0.2">
      <c r="A539"/>
      <c r="B539"/>
      <c r="C539"/>
      <c r="D539"/>
      <c r="E539"/>
      <c r="F539"/>
      <c r="G539"/>
      <c r="H539"/>
      <c r="I539"/>
    </row>
    <row r="540" spans="1:9" x14ac:dyDescent="0.2">
      <c r="A540"/>
      <c r="B540"/>
      <c r="C540"/>
      <c r="D540"/>
      <c r="E540"/>
      <c r="F540"/>
      <c r="G540"/>
      <c r="H540"/>
      <c r="I540"/>
    </row>
    <row r="541" spans="1:9" x14ac:dyDescent="0.2">
      <c r="A541"/>
      <c r="B541"/>
      <c r="C541"/>
      <c r="D541"/>
      <c r="E541"/>
      <c r="F541"/>
      <c r="G541"/>
      <c r="H541"/>
      <c r="I541"/>
    </row>
    <row r="542" spans="1:9" x14ac:dyDescent="0.2">
      <c r="A542"/>
      <c r="B542"/>
      <c r="C542"/>
      <c r="D542"/>
      <c r="E542"/>
      <c r="F542"/>
      <c r="G542"/>
      <c r="H542"/>
      <c r="I542"/>
    </row>
    <row r="543" spans="1:9" x14ac:dyDescent="0.2">
      <c r="A543"/>
      <c r="B543"/>
      <c r="C543"/>
      <c r="D543"/>
      <c r="E543"/>
      <c r="F543"/>
      <c r="G543"/>
      <c r="H543"/>
      <c r="I543"/>
    </row>
    <row r="544" spans="1:9" x14ac:dyDescent="0.2">
      <c r="A544"/>
      <c r="B544"/>
      <c r="C544"/>
      <c r="D544"/>
      <c r="E544"/>
      <c r="F544"/>
      <c r="G544"/>
      <c r="H544"/>
      <c r="I544"/>
    </row>
    <row r="545" spans="1:9" x14ac:dyDescent="0.2">
      <c r="A545"/>
      <c r="B545"/>
      <c r="C545"/>
      <c r="D545"/>
      <c r="E545"/>
      <c r="F545"/>
      <c r="G545"/>
      <c r="H545"/>
      <c r="I545"/>
    </row>
    <row r="546" spans="1:9" x14ac:dyDescent="0.2">
      <c r="A546"/>
      <c r="B546"/>
      <c r="C546"/>
      <c r="D546"/>
      <c r="E546"/>
      <c r="F546"/>
      <c r="G546"/>
      <c r="H546"/>
      <c r="I546"/>
    </row>
    <row r="547" spans="1:9" x14ac:dyDescent="0.2">
      <c r="A547"/>
      <c r="B547"/>
      <c r="C547"/>
      <c r="D547"/>
      <c r="E547"/>
      <c r="F547"/>
      <c r="G547"/>
      <c r="H547"/>
      <c r="I547"/>
    </row>
    <row r="548" spans="1:9" x14ac:dyDescent="0.2">
      <c r="A548"/>
      <c r="B548"/>
      <c r="C548"/>
      <c r="D548"/>
      <c r="E548"/>
      <c r="F548"/>
      <c r="G548"/>
      <c r="H548"/>
      <c r="I548"/>
    </row>
    <row r="549" spans="1:9" x14ac:dyDescent="0.2">
      <c r="A549"/>
      <c r="B549"/>
      <c r="C549"/>
      <c r="D549"/>
      <c r="E549"/>
      <c r="F549"/>
      <c r="G549"/>
      <c r="H549"/>
      <c r="I549"/>
    </row>
    <row r="550" spans="1:9" x14ac:dyDescent="0.2">
      <c r="A550"/>
      <c r="B550"/>
      <c r="C550"/>
      <c r="D550"/>
      <c r="E550"/>
      <c r="F550"/>
      <c r="G550"/>
      <c r="H550"/>
      <c r="I550"/>
    </row>
    <row r="551" spans="1:9" x14ac:dyDescent="0.2">
      <c r="A551"/>
      <c r="B551"/>
      <c r="C551"/>
      <c r="D551"/>
      <c r="E551"/>
      <c r="F551"/>
      <c r="G551"/>
      <c r="H551"/>
      <c r="I551"/>
    </row>
    <row r="552" spans="1:9" x14ac:dyDescent="0.2">
      <c r="A552"/>
      <c r="B552"/>
      <c r="C552"/>
      <c r="D552"/>
      <c r="E552"/>
      <c r="F552"/>
      <c r="G552"/>
      <c r="H552"/>
      <c r="I552"/>
    </row>
    <row r="553" spans="1:9" x14ac:dyDescent="0.2">
      <c r="A553"/>
      <c r="B553"/>
      <c r="C553"/>
      <c r="D553"/>
      <c r="E553"/>
      <c r="F553"/>
      <c r="G553"/>
      <c r="H553"/>
      <c r="I553"/>
    </row>
    <row r="554" spans="1:9" x14ac:dyDescent="0.2">
      <c r="A554"/>
      <c r="B554"/>
      <c r="C554"/>
      <c r="D554"/>
      <c r="E554"/>
      <c r="F554"/>
      <c r="G554"/>
      <c r="H554"/>
      <c r="I554"/>
    </row>
    <row r="555" spans="1:9" x14ac:dyDescent="0.2">
      <c r="A555"/>
      <c r="B555"/>
      <c r="C555"/>
      <c r="D555"/>
      <c r="E555"/>
      <c r="F555"/>
      <c r="G555"/>
      <c r="H555"/>
      <c r="I555"/>
    </row>
    <row r="556" spans="1:9" x14ac:dyDescent="0.2">
      <c r="A556"/>
      <c r="B556"/>
      <c r="C556"/>
      <c r="D556"/>
      <c r="E556"/>
      <c r="F556"/>
      <c r="G556"/>
      <c r="H556"/>
      <c r="I556"/>
    </row>
    <row r="557" spans="1:9" x14ac:dyDescent="0.2">
      <c r="A557"/>
      <c r="B557"/>
      <c r="C557"/>
      <c r="D557"/>
      <c r="E557"/>
      <c r="F557"/>
      <c r="G557"/>
      <c r="H557"/>
      <c r="I557"/>
    </row>
    <row r="558" spans="1:9" x14ac:dyDescent="0.2">
      <c r="A558"/>
      <c r="B558"/>
      <c r="C558"/>
      <c r="D558"/>
      <c r="E558"/>
      <c r="F558"/>
      <c r="G558"/>
      <c r="H558"/>
      <c r="I558"/>
    </row>
    <row r="559" spans="1:9" x14ac:dyDescent="0.2">
      <c r="A559"/>
      <c r="B559"/>
      <c r="C559"/>
      <c r="D559"/>
      <c r="E559"/>
      <c r="F559"/>
      <c r="G559"/>
      <c r="H559"/>
      <c r="I559"/>
    </row>
    <row r="560" spans="1:9" x14ac:dyDescent="0.2">
      <c r="A560"/>
      <c r="B560"/>
      <c r="C560"/>
      <c r="D560"/>
      <c r="E560"/>
      <c r="F560"/>
      <c r="G560"/>
      <c r="H560"/>
      <c r="I560"/>
    </row>
    <row r="561" spans="1:9" x14ac:dyDescent="0.2">
      <c r="A561"/>
      <c r="B561"/>
      <c r="C561"/>
      <c r="D561"/>
      <c r="E561"/>
      <c r="F561"/>
      <c r="G561"/>
      <c r="H561"/>
      <c r="I561"/>
    </row>
    <row r="562" spans="1:9" x14ac:dyDescent="0.2">
      <c r="A562"/>
      <c r="B562"/>
      <c r="C562"/>
      <c r="D562"/>
      <c r="E562"/>
      <c r="F562"/>
      <c r="G562"/>
      <c r="H562"/>
      <c r="I562"/>
    </row>
    <row r="563" spans="1:9" x14ac:dyDescent="0.2">
      <c r="A563"/>
      <c r="B563"/>
      <c r="C563"/>
      <c r="D563"/>
      <c r="E563"/>
      <c r="F563"/>
      <c r="G563"/>
      <c r="H563"/>
      <c r="I563"/>
    </row>
    <row r="564" spans="1:9" x14ac:dyDescent="0.2">
      <c r="A564"/>
      <c r="B564"/>
      <c r="C564"/>
      <c r="D564"/>
      <c r="E564"/>
      <c r="F564"/>
      <c r="G564"/>
      <c r="H564"/>
      <c r="I564"/>
    </row>
    <row r="565" spans="1:9" x14ac:dyDescent="0.2">
      <c r="A565"/>
      <c r="B565"/>
      <c r="C565"/>
      <c r="D565"/>
      <c r="E565"/>
      <c r="F565"/>
      <c r="G565"/>
      <c r="H565"/>
      <c r="I565"/>
    </row>
    <row r="566" spans="1:9" x14ac:dyDescent="0.2">
      <c r="A566"/>
      <c r="B566"/>
      <c r="C566"/>
      <c r="D566"/>
      <c r="E566"/>
      <c r="F566"/>
      <c r="G566"/>
      <c r="H566"/>
      <c r="I566"/>
    </row>
    <row r="567" spans="1:9" x14ac:dyDescent="0.2">
      <c r="A567"/>
      <c r="B567"/>
      <c r="C567"/>
      <c r="D567"/>
      <c r="E567"/>
      <c r="F567"/>
      <c r="G567"/>
      <c r="H567"/>
      <c r="I567"/>
    </row>
    <row r="568" spans="1:9" x14ac:dyDescent="0.2">
      <c r="A568"/>
      <c r="B568"/>
      <c r="C568"/>
      <c r="D568"/>
      <c r="E568"/>
      <c r="F568"/>
      <c r="G568"/>
      <c r="H568"/>
      <c r="I568"/>
    </row>
    <row r="569" spans="1:9" x14ac:dyDescent="0.2">
      <c r="A569"/>
      <c r="B569"/>
      <c r="C569"/>
      <c r="D569"/>
      <c r="E569"/>
      <c r="F569"/>
      <c r="G569"/>
      <c r="H569"/>
      <c r="I569"/>
    </row>
    <row r="570" spans="1:9" x14ac:dyDescent="0.2">
      <c r="A570"/>
      <c r="B570"/>
      <c r="C570"/>
      <c r="D570"/>
      <c r="E570"/>
      <c r="F570"/>
      <c r="G570"/>
      <c r="H570"/>
      <c r="I570"/>
    </row>
    <row r="571" spans="1:9" x14ac:dyDescent="0.2">
      <c r="A571"/>
      <c r="B571"/>
      <c r="C571"/>
      <c r="D571"/>
      <c r="E571"/>
      <c r="F571"/>
      <c r="G571"/>
      <c r="H571"/>
      <c r="I571"/>
    </row>
    <row r="572" spans="1:9" x14ac:dyDescent="0.2">
      <c r="A572"/>
      <c r="B572"/>
      <c r="C572"/>
      <c r="D572"/>
      <c r="E572"/>
      <c r="F572"/>
      <c r="G572"/>
      <c r="H572"/>
      <c r="I572"/>
    </row>
    <row r="573" spans="1:9" x14ac:dyDescent="0.2">
      <c r="A573"/>
      <c r="B573"/>
      <c r="C573"/>
      <c r="D573"/>
      <c r="E573"/>
      <c r="F573"/>
      <c r="G573"/>
      <c r="H573"/>
      <c r="I573"/>
    </row>
    <row r="574" spans="1:9" x14ac:dyDescent="0.2">
      <c r="A574"/>
      <c r="B574"/>
      <c r="C574"/>
      <c r="D574"/>
      <c r="E574"/>
      <c r="F574"/>
      <c r="G574"/>
      <c r="H574"/>
      <c r="I574"/>
    </row>
    <row r="575" spans="1:9" x14ac:dyDescent="0.2">
      <c r="A575"/>
      <c r="B575"/>
      <c r="C575"/>
      <c r="D575"/>
      <c r="E575"/>
      <c r="F575"/>
      <c r="G575"/>
      <c r="H575"/>
      <c r="I575"/>
    </row>
    <row r="576" spans="1:9" x14ac:dyDescent="0.2">
      <c r="A576"/>
      <c r="B576"/>
      <c r="C576"/>
      <c r="D576"/>
      <c r="E576"/>
      <c r="F576"/>
      <c r="G576"/>
      <c r="H576"/>
      <c r="I576"/>
    </row>
    <row r="577" spans="1:9" x14ac:dyDescent="0.2">
      <c r="A577"/>
      <c r="B577"/>
      <c r="C577"/>
      <c r="D577"/>
      <c r="E577"/>
      <c r="F577"/>
      <c r="G577"/>
      <c r="H577"/>
      <c r="I577"/>
    </row>
    <row r="578" spans="1:9" x14ac:dyDescent="0.2">
      <c r="A578"/>
      <c r="B578"/>
      <c r="C578"/>
      <c r="D578"/>
      <c r="E578"/>
      <c r="F578"/>
      <c r="G578"/>
      <c r="H578"/>
      <c r="I578"/>
    </row>
    <row r="579" spans="1:9" x14ac:dyDescent="0.2">
      <c r="A579"/>
      <c r="B579"/>
      <c r="C579"/>
      <c r="D579"/>
      <c r="E579"/>
      <c r="F579"/>
      <c r="G579"/>
      <c r="H579"/>
      <c r="I579"/>
    </row>
    <row r="580" spans="1:9" x14ac:dyDescent="0.2">
      <c r="A580"/>
      <c r="B580"/>
      <c r="C580"/>
      <c r="D580"/>
      <c r="E580"/>
      <c r="F580"/>
      <c r="G580"/>
      <c r="H580"/>
      <c r="I580"/>
    </row>
    <row r="581" spans="1:9" x14ac:dyDescent="0.2">
      <c r="A581"/>
      <c r="B581"/>
      <c r="C581"/>
      <c r="D581"/>
      <c r="E581"/>
      <c r="F581"/>
      <c r="G581"/>
      <c r="H581"/>
      <c r="I581"/>
    </row>
    <row r="582" spans="1:9" x14ac:dyDescent="0.2">
      <c r="A582"/>
      <c r="B582"/>
      <c r="C582"/>
      <c r="D582"/>
      <c r="E582"/>
      <c r="F582"/>
      <c r="G582"/>
      <c r="H582"/>
      <c r="I582"/>
    </row>
    <row r="583" spans="1:9" x14ac:dyDescent="0.2">
      <c r="A583"/>
      <c r="B583"/>
      <c r="C583"/>
      <c r="D583"/>
      <c r="E583"/>
      <c r="F583"/>
      <c r="G583"/>
      <c r="H583"/>
      <c r="I583"/>
    </row>
    <row r="584" spans="1:9" x14ac:dyDescent="0.2">
      <c r="A584"/>
      <c r="B584"/>
      <c r="C584"/>
      <c r="D584"/>
      <c r="E584"/>
      <c r="F584"/>
      <c r="G584"/>
      <c r="H584"/>
      <c r="I584"/>
    </row>
    <row r="585" spans="1:9" x14ac:dyDescent="0.2">
      <c r="A585"/>
      <c r="B585"/>
      <c r="C585"/>
      <c r="D585"/>
      <c r="E585"/>
      <c r="F585"/>
      <c r="G585"/>
      <c r="H585"/>
      <c r="I585"/>
    </row>
    <row r="586" spans="1:9" x14ac:dyDescent="0.2">
      <c r="A586"/>
      <c r="B586"/>
      <c r="C586"/>
      <c r="D586"/>
      <c r="E586"/>
      <c r="F586"/>
      <c r="G586"/>
      <c r="H586"/>
      <c r="I586"/>
    </row>
    <row r="587" spans="1:9" x14ac:dyDescent="0.2">
      <c r="A587"/>
      <c r="B587"/>
      <c r="C587"/>
      <c r="D587"/>
      <c r="E587"/>
      <c r="F587"/>
      <c r="G587"/>
      <c r="H587"/>
      <c r="I587"/>
    </row>
    <row r="588" spans="1:9" x14ac:dyDescent="0.2">
      <c r="A588"/>
      <c r="B588"/>
      <c r="C588"/>
      <c r="D588"/>
      <c r="E588"/>
      <c r="F588"/>
      <c r="G588"/>
      <c r="H588"/>
      <c r="I588"/>
    </row>
    <row r="589" spans="1:9" x14ac:dyDescent="0.2">
      <c r="A589"/>
      <c r="B589"/>
      <c r="C589"/>
      <c r="D589"/>
      <c r="E589"/>
      <c r="F589"/>
      <c r="G589"/>
      <c r="H589"/>
      <c r="I589"/>
    </row>
    <row r="590" spans="1:9" x14ac:dyDescent="0.2">
      <c r="A590"/>
      <c r="B590"/>
      <c r="C590"/>
      <c r="D590"/>
      <c r="E590"/>
      <c r="F590"/>
      <c r="G590"/>
      <c r="H590"/>
      <c r="I590"/>
    </row>
    <row r="591" spans="1:9" x14ac:dyDescent="0.2">
      <c r="A591"/>
      <c r="B591"/>
      <c r="C591"/>
      <c r="D591"/>
      <c r="E591"/>
      <c r="F591"/>
      <c r="G591"/>
      <c r="H591"/>
      <c r="I591"/>
    </row>
    <row r="592" spans="1:9" x14ac:dyDescent="0.2">
      <c r="A592"/>
      <c r="B592"/>
      <c r="C592"/>
      <c r="D592"/>
      <c r="E592"/>
      <c r="F592"/>
      <c r="G592"/>
      <c r="H592"/>
      <c r="I592"/>
    </row>
    <row r="593" spans="1:9" x14ac:dyDescent="0.2">
      <c r="A593"/>
      <c r="B593"/>
      <c r="C593"/>
      <c r="D593"/>
      <c r="E593"/>
      <c r="F593"/>
      <c r="G593"/>
      <c r="H593"/>
      <c r="I593"/>
    </row>
    <row r="594" spans="1:9" x14ac:dyDescent="0.2">
      <c r="A594"/>
      <c r="B594"/>
      <c r="C594"/>
      <c r="D594"/>
      <c r="E594"/>
      <c r="F594"/>
      <c r="G594"/>
      <c r="H594"/>
      <c r="I594"/>
    </row>
    <row r="595" spans="1:9" x14ac:dyDescent="0.2">
      <c r="A595"/>
      <c r="B595"/>
      <c r="C595"/>
      <c r="D595"/>
      <c r="E595"/>
      <c r="F595"/>
      <c r="G595"/>
      <c r="H595"/>
      <c r="I595"/>
    </row>
    <row r="596" spans="1:9" x14ac:dyDescent="0.2">
      <c r="A596"/>
      <c r="B596"/>
      <c r="C596"/>
      <c r="D596"/>
      <c r="E596"/>
      <c r="F596"/>
      <c r="G596"/>
      <c r="H596"/>
      <c r="I596"/>
    </row>
  </sheetData>
  <pageMargins left="0.7" right="0.7" top="0.75" bottom="0.75" header="0.3" footer="0.3"/>
  <pageSetup paperSize="9"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9B77-23A2-8E47-9661-593A310116B1}">
  <sheetPr codeName="Foglio13">
    <tabColor rgb="FF7030A0"/>
  </sheetPr>
  <dimension ref="A3:DO39"/>
  <sheetViews>
    <sheetView topLeftCell="A23" zoomScale="120" zoomScaleNormal="120" workbookViewId="0">
      <selection activeCell="B53" sqref="B53"/>
    </sheetView>
  </sheetViews>
  <sheetFormatPr baseColWidth="10" defaultColWidth="11.3984375" defaultRowHeight="14" x14ac:dyDescent="0.2"/>
  <cols>
    <col min="1" max="1" width="17.19921875" style="4" bestFit="1" customWidth="1"/>
    <col min="2" max="2" width="16.59765625" style="4" bestFit="1" customWidth="1"/>
    <col min="3" max="3" width="16" style="4" bestFit="1" customWidth="1"/>
    <col min="4" max="4" width="11.3984375" style="4" bestFit="1" customWidth="1"/>
    <col min="5" max="5" width="9.796875" style="4" bestFit="1" customWidth="1"/>
    <col min="6" max="6" width="31.3984375" style="4" bestFit="1" customWidth="1"/>
    <col min="7" max="7" width="17" style="4" bestFit="1" customWidth="1"/>
    <col min="8" max="8" width="10.19921875" style="4" bestFit="1" customWidth="1"/>
    <col min="9" max="9" width="23.19921875" style="4" bestFit="1" customWidth="1"/>
    <col min="10" max="10" width="7.3984375" style="4" bestFit="1" customWidth="1"/>
    <col min="11" max="11" width="12.59765625" style="4" bestFit="1" customWidth="1"/>
    <col min="12" max="12" width="15.59765625" style="4" bestFit="1" customWidth="1"/>
    <col min="13" max="13" width="13.19921875" style="4" bestFit="1" customWidth="1"/>
    <col min="14" max="14" width="8.3984375" style="4" bestFit="1" customWidth="1"/>
    <col min="15" max="15" width="21" style="4" bestFit="1" customWidth="1"/>
    <col min="16" max="16" width="26.3984375" style="4" bestFit="1" customWidth="1"/>
    <col min="17" max="17" width="16.796875" style="4" bestFit="1" customWidth="1"/>
    <col min="18" max="18" width="7" style="4" bestFit="1" customWidth="1"/>
    <col min="19" max="19" width="7.3984375" style="4" bestFit="1" customWidth="1"/>
    <col min="20" max="20" width="24" style="4" bestFit="1" customWidth="1"/>
    <col min="21" max="22" width="24.19921875" style="4" bestFit="1" customWidth="1"/>
    <col min="23" max="23" width="12.796875" style="4" bestFit="1" customWidth="1"/>
    <col min="24" max="24" width="11.19921875" style="4" bestFit="1" customWidth="1"/>
    <col min="25" max="25" width="13.3984375" style="4" bestFit="1" customWidth="1"/>
    <col min="26" max="26" width="17.3984375" style="4" bestFit="1" customWidth="1"/>
    <col min="27" max="27" width="24" style="4" bestFit="1" customWidth="1"/>
    <col min="28" max="28" width="10.796875" style="4" bestFit="1" customWidth="1"/>
    <col min="29" max="29" width="18.19921875" style="4" bestFit="1" customWidth="1"/>
    <col min="30" max="30" width="30.59765625" style="4" bestFit="1" customWidth="1"/>
    <col min="31" max="31" width="19.19921875" style="4" bestFit="1" customWidth="1"/>
    <col min="32" max="32" width="14.3984375" style="4" bestFit="1" customWidth="1"/>
    <col min="33" max="33" width="21.59765625" style="4" bestFit="1" customWidth="1"/>
    <col min="34" max="34" width="15.19921875" style="4" bestFit="1" customWidth="1"/>
    <col min="35" max="35" width="7.3984375" style="4" bestFit="1" customWidth="1"/>
    <col min="36" max="36" width="22.59765625" style="4" bestFit="1" customWidth="1"/>
    <col min="37" max="37" width="25.3984375" style="4" bestFit="1" customWidth="1"/>
    <col min="38" max="38" width="14.3984375" style="4" bestFit="1" customWidth="1"/>
    <col min="39" max="39" width="25.796875" style="4" bestFit="1" customWidth="1"/>
    <col min="40" max="40" width="14.796875" style="4" bestFit="1" customWidth="1"/>
    <col min="41" max="41" width="16" style="4" bestFit="1" customWidth="1"/>
    <col min="42" max="42" width="11.3984375" style="4" bestFit="1" customWidth="1"/>
    <col min="43" max="43" width="9.796875" style="4" bestFit="1" customWidth="1"/>
    <col min="44" max="44" width="31.3984375" style="4" bestFit="1" customWidth="1"/>
    <col min="45" max="45" width="17" style="4" bestFit="1" customWidth="1"/>
    <col min="46" max="46" width="10.19921875" style="4" bestFit="1" customWidth="1"/>
    <col min="47" max="47" width="23.19921875" style="4" bestFit="1" customWidth="1"/>
    <col min="48" max="48" width="5" style="4" bestFit="1" customWidth="1"/>
    <col min="49" max="49" width="12.59765625" style="4" bestFit="1" customWidth="1"/>
    <col min="50" max="50" width="15.59765625" style="4" bestFit="1" customWidth="1"/>
    <col min="51" max="51" width="13.19921875" style="4" bestFit="1" customWidth="1"/>
    <col min="52" max="52" width="8.3984375" style="4" bestFit="1" customWidth="1"/>
    <col min="53" max="53" width="21" style="4" bestFit="1" customWidth="1"/>
    <col min="54" max="54" width="26.3984375" style="4" bestFit="1" customWidth="1"/>
    <col min="55" max="55" width="16.796875" style="4" bestFit="1" customWidth="1"/>
    <col min="56" max="56" width="7" style="4" bestFit="1" customWidth="1"/>
    <col min="57" max="57" width="3.59765625" style="4" bestFit="1" customWidth="1"/>
    <col min="58" max="58" width="24" style="4" bestFit="1" customWidth="1"/>
    <col min="59" max="60" width="24.19921875" style="4" bestFit="1" customWidth="1"/>
    <col min="61" max="61" width="12.796875" style="4" bestFit="1" customWidth="1"/>
    <col min="62" max="62" width="11.19921875" style="4" bestFit="1" customWidth="1"/>
    <col min="63" max="63" width="13.3984375" style="4" bestFit="1" customWidth="1"/>
    <col min="64" max="64" width="17.3984375" style="4" bestFit="1" customWidth="1"/>
    <col min="65" max="65" width="24" style="4" bestFit="1" customWidth="1"/>
    <col min="66" max="66" width="10.796875" style="4" bestFit="1" customWidth="1"/>
    <col min="67" max="67" width="18.19921875" style="4" bestFit="1" customWidth="1"/>
    <col min="68" max="68" width="30.59765625" style="4" bestFit="1" customWidth="1"/>
    <col min="69" max="69" width="19.19921875" style="4" bestFit="1" customWidth="1"/>
    <col min="70" max="70" width="14.3984375" style="4" bestFit="1" customWidth="1"/>
    <col min="71" max="71" width="21.59765625" style="4" bestFit="1" customWidth="1"/>
    <col min="72" max="72" width="15.19921875" style="4" bestFit="1" customWidth="1"/>
    <col min="73" max="73" width="6.19921875" style="4" bestFit="1" customWidth="1"/>
    <col min="74" max="74" width="22.59765625" style="4" bestFit="1" customWidth="1"/>
    <col min="75" max="75" width="25.3984375" style="4" bestFit="1" customWidth="1"/>
    <col min="76" max="76" width="14.3984375" style="4" bestFit="1" customWidth="1"/>
    <col min="77" max="77" width="25.796875" style="4" bestFit="1" customWidth="1"/>
    <col min="78" max="78" width="19.3984375" style="4" bestFit="1" customWidth="1"/>
    <col min="79" max="79" width="20.19921875" style="4" bestFit="1" customWidth="1"/>
    <col min="80" max="80" width="26.3984375" style="4" bestFit="1" customWidth="1"/>
    <col min="81" max="81" width="16.796875" style="4" bestFit="1" customWidth="1"/>
    <col min="82" max="82" width="7" style="4" bestFit="1" customWidth="1"/>
    <col min="83" max="83" width="3.59765625" style="4" bestFit="1" customWidth="1"/>
    <col min="84" max="84" width="15.3984375" style="4" bestFit="1" customWidth="1"/>
    <col min="85" max="85" width="24" style="4" bestFit="1" customWidth="1"/>
    <col min="86" max="86" width="23.59765625" style="4" bestFit="1" customWidth="1"/>
    <col min="87" max="87" width="24.19921875" style="4" bestFit="1" customWidth="1"/>
    <col min="88" max="88" width="12.796875" style="4" bestFit="1" customWidth="1"/>
    <col min="89" max="89" width="4.19921875" style="4" bestFit="1" customWidth="1"/>
    <col min="90" max="90" width="11.19921875" style="4" bestFit="1" customWidth="1"/>
    <col min="91" max="91" width="13.3984375" style="4" bestFit="1" customWidth="1"/>
    <col min="92" max="92" width="17.3984375" style="4" bestFit="1" customWidth="1"/>
    <col min="93" max="93" width="24" style="4" bestFit="1" customWidth="1"/>
    <col min="94" max="94" width="10.796875" style="4" bestFit="1" customWidth="1"/>
    <col min="95" max="95" width="7.59765625" style="4" bestFit="1" customWidth="1"/>
    <col min="96" max="96" width="19.59765625" style="4" bestFit="1" customWidth="1"/>
    <col min="97" max="97" width="18.19921875" style="4" bestFit="1" customWidth="1"/>
    <col min="98" max="98" width="30.59765625" style="4" bestFit="1" customWidth="1"/>
    <col min="99" max="99" width="23.796875" style="4" bestFit="1" customWidth="1"/>
    <col min="100" max="100" width="28" style="4" bestFit="1" customWidth="1"/>
    <col min="101" max="101" width="30.3984375" style="4" bestFit="1" customWidth="1"/>
    <col min="102" max="102" width="20.796875" style="4" bestFit="1" customWidth="1"/>
    <col min="103" max="103" width="19.19921875" style="4" bestFit="1" customWidth="1"/>
    <col min="104" max="104" width="14.3984375" style="4" bestFit="1" customWidth="1"/>
    <col min="105" max="106" width="21.59765625" style="4" bestFit="1" customWidth="1"/>
    <col min="107" max="107" width="15.19921875" style="4" bestFit="1" customWidth="1"/>
    <col min="108" max="109" width="30.59765625" style="4" bestFit="1" customWidth="1"/>
    <col min="110" max="110" width="24.796875" style="4" bestFit="1" customWidth="1"/>
    <col min="111" max="111" width="24.19921875" style="4" bestFit="1" customWidth="1"/>
    <col min="112" max="112" width="35.3984375" style="4" bestFit="1" customWidth="1"/>
    <col min="113" max="113" width="13.796875" style="4" bestFit="1" customWidth="1"/>
    <col min="114" max="114" width="6.19921875" style="4" bestFit="1" customWidth="1"/>
    <col min="115" max="115" width="13.796875" style="4" bestFit="1" customWidth="1"/>
    <col min="116" max="116" width="19.3984375" style="4" bestFit="1" customWidth="1"/>
    <col min="117" max="117" width="20.19921875" style="4" bestFit="1" customWidth="1"/>
    <col min="118" max="118" width="19.3984375" style="4" bestFit="1" customWidth="1"/>
    <col min="119" max="119" width="20.19921875" style="4" bestFit="1" customWidth="1"/>
    <col min="120" max="120" width="164.796875" style="4" bestFit="1" customWidth="1"/>
    <col min="121" max="121" width="166.796875" style="4" bestFit="1" customWidth="1"/>
    <col min="122" max="122" width="165.3984375" style="4" bestFit="1" customWidth="1"/>
    <col min="123" max="123" width="164.796875" style="4" bestFit="1" customWidth="1"/>
    <col min="124" max="124" width="167" style="4" bestFit="1" customWidth="1"/>
    <col min="125" max="125" width="166.3984375" style="4" bestFit="1" customWidth="1"/>
    <col min="126" max="126" width="164.796875" style="4" bestFit="1" customWidth="1"/>
    <col min="127" max="127" width="167" style="4" bestFit="1" customWidth="1"/>
    <col min="128" max="128" width="163.19921875" style="4" bestFit="1" customWidth="1"/>
    <col min="129" max="129" width="164.796875" style="4" bestFit="1" customWidth="1"/>
    <col min="130" max="130" width="159.796875" style="4" bestFit="1" customWidth="1"/>
    <col min="131" max="131" width="163.19921875" style="4" bestFit="1" customWidth="1"/>
    <col min="132" max="132" width="167" style="4" bestFit="1" customWidth="1"/>
    <col min="133" max="133" width="164.796875" style="4" bestFit="1" customWidth="1"/>
    <col min="134" max="134" width="170.19921875" style="4" bestFit="1" customWidth="1"/>
    <col min="135" max="135" width="166.3984375" style="4" bestFit="1" customWidth="1"/>
    <col min="136" max="136" width="165.3984375" style="4" bestFit="1" customWidth="1"/>
    <col min="137" max="137" width="173.19921875" style="4" bestFit="1" customWidth="1"/>
    <col min="138" max="138" width="176" style="4" bestFit="1" customWidth="1"/>
    <col min="139" max="139" width="173.19921875" style="4" bestFit="1" customWidth="1"/>
    <col min="140" max="140" width="175.3984375" style="4" bestFit="1" customWidth="1"/>
    <col min="141" max="142" width="173.19921875" style="4" bestFit="1" customWidth="1"/>
    <col min="143" max="143" width="176.59765625" style="4" bestFit="1" customWidth="1"/>
    <col min="144" max="144" width="174" style="4" bestFit="1" customWidth="1"/>
    <col min="145" max="145" width="168.796875" style="4" bestFit="1" customWidth="1"/>
    <col min="146" max="146" width="170.796875" style="4" bestFit="1" customWidth="1"/>
    <col min="147" max="147" width="175.19921875" style="4" bestFit="1" customWidth="1"/>
    <col min="148" max="148" width="168.19921875" style="4" bestFit="1" customWidth="1"/>
    <col min="149" max="149" width="169.59765625" style="4" bestFit="1" customWidth="1"/>
    <col min="150" max="150" width="178" style="4" bestFit="1" customWidth="1"/>
    <col min="151" max="151" width="178.59765625" style="4" bestFit="1" customWidth="1"/>
    <col min="152" max="152" width="176.59765625" style="4" bestFit="1" customWidth="1"/>
    <col min="153" max="153" width="170.59765625" style="4" bestFit="1" customWidth="1"/>
    <col min="154" max="156" width="175.19921875" style="4" bestFit="1" customWidth="1"/>
    <col min="157" max="157" width="176.3984375" style="4" bestFit="1" customWidth="1"/>
    <col min="158" max="158" width="169.19921875" style="4" bestFit="1" customWidth="1"/>
    <col min="159" max="159" width="168.796875" style="4" bestFit="1" customWidth="1"/>
    <col min="160" max="160" width="176.59765625" style="4" bestFit="1" customWidth="1"/>
    <col min="161" max="161" width="175.59765625" style="4" bestFit="1" customWidth="1"/>
    <col min="162" max="162" width="175.19921875" style="4" bestFit="1" customWidth="1"/>
    <col min="163" max="164" width="169.796875" style="4" bestFit="1" customWidth="1"/>
    <col min="165" max="165" width="175.19921875" style="4" bestFit="1" customWidth="1"/>
    <col min="166" max="166" width="164.19921875" style="4" bestFit="1" customWidth="1"/>
    <col min="167" max="167" width="164.796875" style="4" bestFit="1" customWidth="1"/>
    <col min="168" max="168" width="166.796875" style="4" bestFit="1" customWidth="1"/>
    <col min="169" max="169" width="165.3984375" style="4" bestFit="1" customWidth="1"/>
    <col min="170" max="170" width="164.796875" style="4" bestFit="1" customWidth="1"/>
    <col min="171" max="171" width="167" style="4" bestFit="1" customWidth="1"/>
    <col min="172" max="172" width="166.3984375" style="4" bestFit="1" customWidth="1"/>
    <col min="173" max="173" width="164.796875" style="4" bestFit="1" customWidth="1"/>
    <col min="174" max="174" width="167" style="4" bestFit="1" customWidth="1"/>
    <col min="175" max="175" width="163.19921875" style="4" bestFit="1" customWidth="1"/>
    <col min="176" max="176" width="164.796875" style="4" bestFit="1" customWidth="1"/>
    <col min="177" max="177" width="159.796875" style="4" bestFit="1" customWidth="1"/>
    <col min="178" max="178" width="163.19921875" style="4" bestFit="1" customWidth="1"/>
    <col min="179" max="179" width="167" style="4" bestFit="1" customWidth="1"/>
    <col min="180" max="180" width="164.796875" style="4" bestFit="1" customWidth="1"/>
    <col min="181" max="181" width="170.19921875" style="4" bestFit="1" customWidth="1"/>
    <col min="182" max="182" width="166.3984375" style="4" bestFit="1" customWidth="1"/>
    <col min="183" max="183" width="165.3984375" style="4" bestFit="1" customWidth="1"/>
    <col min="184" max="184" width="18.59765625" style="4" bestFit="1" customWidth="1"/>
    <col min="185" max="185" width="41.796875" style="4" bestFit="1" customWidth="1"/>
    <col min="186" max="186" width="165" style="4" bestFit="1" customWidth="1"/>
    <col min="187" max="188" width="153" style="4" bestFit="1" customWidth="1"/>
    <col min="189" max="189" width="150.796875" style="4" bestFit="1" customWidth="1"/>
    <col min="190" max="190" width="165" style="4" bestFit="1" customWidth="1"/>
    <col min="191" max="192" width="153" style="4" bestFit="1" customWidth="1"/>
    <col min="193" max="193" width="150.796875" style="4" bestFit="1" customWidth="1"/>
    <col min="194" max="194" width="18.59765625" style="4" bestFit="1" customWidth="1"/>
    <col min="195" max="195" width="41.796875" style="4" bestFit="1" customWidth="1"/>
    <col min="196" max="197" width="144.3984375" style="4" bestFit="1" customWidth="1"/>
    <col min="198" max="198" width="18.59765625" style="4" bestFit="1" customWidth="1"/>
    <col min="199" max="199" width="41.796875" style="4" bestFit="1" customWidth="1"/>
    <col min="200" max="201" width="218.19921875" style="4" bestFit="1" customWidth="1"/>
    <col min="202" max="202" width="18.59765625" style="4" bestFit="1" customWidth="1"/>
    <col min="203" max="203" width="41.796875" style="4" bestFit="1" customWidth="1"/>
    <col min="204" max="204" width="21.3984375" style="4" bestFit="1" customWidth="1"/>
    <col min="205" max="205" width="44.796875" style="4" bestFit="1" customWidth="1"/>
    <col min="206" max="16384" width="11.3984375" style="4"/>
  </cols>
  <sheetData>
    <row r="3" spans="1:119" x14ac:dyDescent="0.2">
      <c r="A3" s="3"/>
      <c r="B3" s="3" t="s">
        <v>28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 t="s">
        <v>27</v>
      </c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 t="s">
        <v>29</v>
      </c>
      <c r="CA3" s="3" t="s">
        <v>30</v>
      </c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</row>
    <row r="4" spans="1:119" x14ac:dyDescent="0.2">
      <c r="A4" s="3"/>
      <c r="B4" s="3" t="s">
        <v>45</v>
      </c>
      <c r="C4" s="3" t="s">
        <v>33</v>
      </c>
      <c r="D4" s="3" t="s">
        <v>47</v>
      </c>
      <c r="E4" s="3" t="s">
        <v>32</v>
      </c>
      <c r="F4" s="3" t="s">
        <v>46</v>
      </c>
      <c r="G4" s="3" t="s">
        <v>187</v>
      </c>
      <c r="H4" s="3" t="s">
        <v>74</v>
      </c>
      <c r="I4" s="3" t="s">
        <v>35</v>
      </c>
      <c r="J4" s="3" t="s">
        <v>38</v>
      </c>
      <c r="K4" s="3" t="s">
        <v>82</v>
      </c>
      <c r="L4" s="3" t="s">
        <v>249</v>
      </c>
      <c r="M4" s="3" t="s">
        <v>84</v>
      </c>
      <c r="N4" s="3" t="s">
        <v>83</v>
      </c>
      <c r="O4" s="3" t="s">
        <v>94</v>
      </c>
      <c r="P4" s="3" t="s">
        <v>113</v>
      </c>
      <c r="Q4" s="3" t="s">
        <v>345</v>
      </c>
      <c r="R4" s="3" t="s">
        <v>123</v>
      </c>
      <c r="S4" s="3" t="s">
        <v>124</v>
      </c>
      <c r="T4" s="3" t="s">
        <v>136</v>
      </c>
      <c r="U4" s="3" t="s">
        <v>104</v>
      </c>
      <c r="V4" s="3" t="s">
        <v>152</v>
      </c>
      <c r="W4" s="3" t="s">
        <v>146</v>
      </c>
      <c r="X4" s="3" t="s">
        <v>189</v>
      </c>
      <c r="Y4" s="3" t="s">
        <v>231</v>
      </c>
      <c r="Z4" s="3" t="s">
        <v>232</v>
      </c>
      <c r="AA4" s="3" t="s">
        <v>243</v>
      </c>
      <c r="AB4" s="3" t="s">
        <v>145</v>
      </c>
      <c r="AC4" s="3" t="s">
        <v>147</v>
      </c>
      <c r="AD4" s="3" t="s">
        <v>270</v>
      </c>
      <c r="AE4" s="3" t="s">
        <v>239</v>
      </c>
      <c r="AF4" s="3" t="s">
        <v>344</v>
      </c>
      <c r="AG4" s="3" t="s">
        <v>350</v>
      </c>
      <c r="AH4" s="3" t="s">
        <v>347</v>
      </c>
      <c r="AI4" s="3" t="s">
        <v>41</v>
      </c>
      <c r="AJ4" s="3" t="s">
        <v>577</v>
      </c>
      <c r="AK4" s="3" t="s">
        <v>105</v>
      </c>
      <c r="AL4" s="3" t="s">
        <v>140</v>
      </c>
      <c r="AM4" s="3" t="s">
        <v>419</v>
      </c>
      <c r="AN4" s="3" t="s">
        <v>45</v>
      </c>
      <c r="AO4" s="3" t="s">
        <v>33</v>
      </c>
      <c r="AP4" s="3" t="s">
        <v>47</v>
      </c>
      <c r="AQ4" s="3" t="s">
        <v>32</v>
      </c>
      <c r="AR4" s="3" t="s">
        <v>46</v>
      </c>
      <c r="AS4" s="3" t="s">
        <v>187</v>
      </c>
      <c r="AT4" s="3" t="s">
        <v>74</v>
      </c>
      <c r="AU4" s="3" t="s">
        <v>35</v>
      </c>
      <c r="AV4" s="3" t="s">
        <v>38</v>
      </c>
      <c r="AW4" s="3" t="s">
        <v>82</v>
      </c>
      <c r="AX4" s="3" t="s">
        <v>249</v>
      </c>
      <c r="AY4" s="3" t="s">
        <v>84</v>
      </c>
      <c r="AZ4" s="3" t="s">
        <v>83</v>
      </c>
      <c r="BA4" s="3" t="s">
        <v>94</v>
      </c>
      <c r="BB4" s="3" t="s">
        <v>113</v>
      </c>
      <c r="BC4" s="3" t="s">
        <v>345</v>
      </c>
      <c r="BD4" s="3" t="s">
        <v>123</v>
      </c>
      <c r="BE4" s="3" t="s">
        <v>124</v>
      </c>
      <c r="BF4" s="3" t="s">
        <v>136</v>
      </c>
      <c r="BG4" s="3" t="s">
        <v>104</v>
      </c>
      <c r="BH4" s="3" t="s">
        <v>152</v>
      </c>
      <c r="BI4" s="3" t="s">
        <v>146</v>
      </c>
      <c r="BJ4" s="3" t="s">
        <v>189</v>
      </c>
      <c r="BK4" s="3" t="s">
        <v>231</v>
      </c>
      <c r="BL4" s="3" t="s">
        <v>232</v>
      </c>
      <c r="BM4" s="3" t="s">
        <v>243</v>
      </c>
      <c r="BN4" s="3" t="s">
        <v>145</v>
      </c>
      <c r="BO4" s="3" t="s">
        <v>147</v>
      </c>
      <c r="BP4" s="3" t="s">
        <v>270</v>
      </c>
      <c r="BQ4" s="3" t="s">
        <v>239</v>
      </c>
      <c r="BR4" s="3" t="s">
        <v>344</v>
      </c>
      <c r="BS4" s="3" t="s">
        <v>350</v>
      </c>
      <c r="BT4" s="3" t="s">
        <v>347</v>
      </c>
      <c r="BU4" s="3" t="s">
        <v>41</v>
      </c>
      <c r="BV4" s="3" t="s">
        <v>577</v>
      </c>
      <c r="BW4" s="3" t="s">
        <v>105</v>
      </c>
      <c r="BX4" s="3" t="s">
        <v>140</v>
      </c>
      <c r="BY4" s="3" t="s">
        <v>419</v>
      </c>
      <c r="BZ4" s="3"/>
      <c r="CA4" s="3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</row>
    <row r="5" spans="1:119" x14ac:dyDescent="0.2">
      <c r="A5" s="53">
        <v>1</v>
      </c>
      <c r="B5" s="3"/>
      <c r="C5" s="3"/>
      <c r="D5" s="3"/>
      <c r="E5" s="3">
        <v>65.95</v>
      </c>
      <c r="F5" s="3">
        <v>58.749999999999993</v>
      </c>
      <c r="G5" s="3">
        <v>7.98</v>
      </c>
      <c r="H5" s="3">
        <v>15.399999999999999</v>
      </c>
      <c r="I5" s="3">
        <v>10.3</v>
      </c>
      <c r="J5" s="3"/>
      <c r="K5" s="3">
        <v>663.75</v>
      </c>
      <c r="L5" s="3"/>
      <c r="M5" s="3">
        <v>210</v>
      </c>
      <c r="N5" s="3">
        <v>99</v>
      </c>
      <c r="O5" s="3"/>
      <c r="P5" s="3"/>
      <c r="Q5" s="3">
        <v>15</v>
      </c>
      <c r="R5" s="3">
        <v>54</v>
      </c>
      <c r="S5" s="3"/>
      <c r="T5" s="3"/>
      <c r="U5" s="3"/>
      <c r="V5" s="3"/>
      <c r="W5" s="3"/>
      <c r="X5" s="3"/>
      <c r="Y5" s="3">
        <v>52.15</v>
      </c>
      <c r="Z5" s="3"/>
      <c r="AA5" s="3"/>
      <c r="AB5" s="3">
        <v>151.10000000000002</v>
      </c>
      <c r="AC5" s="3"/>
      <c r="AD5" s="3"/>
      <c r="AE5" s="3"/>
      <c r="AF5" s="3">
        <v>30.189999999999998</v>
      </c>
      <c r="AG5" s="3"/>
      <c r="AH5" s="3"/>
      <c r="AI5" s="3"/>
      <c r="AJ5" s="3">
        <v>2395.8000000000002</v>
      </c>
      <c r="AK5" s="3"/>
      <c r="AL5" s="3"/>
      <c r="AM5" s="3"/>
      <c r="AN5" s="3">
        <v>4000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>
        <v>3829.3700000000003</v>
      </c>
      <c r="CA5" s="3">
        <v>4000</v>
      </c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</row>
    <row r="6" spans="1:119" x14ac:dyDescent="0.2">
      <c r="A6" s="61" t="s">
        <v>115</v>
      </c>
      <c r="B6" s="3"/>
      <c r="C6" s="3"/>
      <c r="D6" s="3"/>
      <c r="E6" s="3">
        <v>65.95</v>
      </c>
      <c r="F6" s="3">
        <v>58.749999999999993</v>
      </c>
      <c r="G6" s="3">
        <v>7.98</v>
      </c>
      <c r="H6" s="3">
        <v>15.399999999999999</v>
      </c>
      <c r="I6" s="3">
        <v>10.3</v>
      </c>
      <c r="J6" s="3"/>
      <c r="K6" s="3">
        <v>663.75</v>
      </c>
      <c r="L6" s="3"/>
      <c r="M6" s="3">
        <v>210</v>
      </c>
      <c r="N6" s="3">
        <v>99</v>
      </c>
      <c r="O6" s="3"/>
      <c r="P6" s="3"/>
      <c r="Q6" s="3">
        <v>15</v>
      </c>
      <c r="R6" s="3">
        <v>54</v>
      </c>
      <c r="S6" s="3"/>
      <c r="T6" s="3"/>
      <c r="U6" s="3"/>
      <c r="V6" s="3"/>
      <c r="W6" s="3"/>
      <c r="X6" s="3"/>
      <c r="Y6" s="3">
        <v>52.15</v>
      </c>
      <c r="Z6" s="3"/>
      <c r="AA6" s="3"/>
      <c r="AB6" s="3">
        <v>151.10000000000002</v>
      </c>
      <c r="AC6" s="3"/>
      <c r="AD6" s="3"/>
      <c r="AE6" s="3"/>
      <c r="AF6" s="3">
        <v>30.189999999999998</v>
      </c>
      <c r="AG6" s="3"/>
      <c r="AH6" s="3"/>
      <c r="AI6" s="3"/>
      <c r="AJ6" s="3">
        <v>2395.8000000000002</v>
      </c>
      <c r="AK6" s="3"/>
      <c r="AL6" s="3"/>
      <c r="AM6" s="3"/>
      <c r="AN6" s="3">
        <v>4000</v>
      </c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>
        <v>3829.3700000000003</v>
      </c>
      <c r="CA6" s="3">
        <v>4000</v>
      </c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</row>
    <row r="7" spans="1:119" x14ac:dyDescent="0.2">
      <c r="A7" s="53">
        <v>2</v>
      </c>
      <c r="B7" s="3"/>
      <c r="C7" s="3">
        <v>212.57</v>
      </c>
      <c r="D7" s="3"/>
      <c r="E7" s="3">
        <v>24.6</v>
      </c>
      <c r="F7" s="3">
        <v>11.5</v>
      </c>
      <c r="G7" s="3"/>
      <c r="H7" s="3">
        <v>12.85</v>
      </c>
      <c r="I7" s="3"/>
      <c r="J7" s="3">
        <v>162.01</v>
      </c>
      <c r="K7" s="3"/>
      <c r="L7" s="3">
        <v>600</v>
      </c>
      <c r="M7" s="3">
        <v>95</v>
      </c>
      <c r="N7" s="3"/>
      <c r="O7" s="3"/>
      <c r="P7" s="3"/>
      <c r="Q7" s="3">
        <v>15.01</v>
      </c>
      <c r="R7" s="3"/>
      <c r="S7" s="3"/>
      <c r="T7" s="3"/>
      <c r="U7" s="3"/>
      <c r="V7" s="3"/>
      <c r="W7" s="3"/>
      <c r="X7" s="3"/>
      <c r="Y7" s="3"/>
      <c r="Z7" s="3"/>
      <c r="AA7" s="3">
        <v>46.650000000000006</v>
      </c>
      <c r="AB7" s="3">
        <v>141.04</v>
      </c>
      <c r="AC7" s="3"/>
      <c r="AD7" s="3">
        <v>9.57</v>
      </c>
      <c r="AE7" s="3"/>
      <c r="AF7" s="3">
        <v>30</v>
      </c>
      <c r="AG7" s="3">
        <v>998.90000000000009</v>
      </c>
      <c r="AH7" s="3">
        <v>1001.78</v>
      </c>
      <c r="AI7" s="3"/>
      <c r="AJ7" s="3"/>
      <c r="AK7" s="3"/>
      <c r="AL7" s="3"/>
      <c r="AM7" s="3"/>
      <c r="AN7" s="3">
        <v>4000</v>
      </c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>
        <v>2709.99</v>
      </c>
      <c r="BW7" s="3"/>
      <c r="BX7" s="3"/>
      <c r="BY7" s="3"/>
      <c r="BZ7" s="3">
        <v>3361.4799999999996</v>
      </c>
      <c r="CA7" s="3">
        <v>6709.99</v>
      </c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</row>
    <row r="8" spans="1:119" x14ac:dyDescent="0.2">
      <c r="A8" s="61" t="s">
        <v>115</v>
      </c>
      <c r="B8" s="3"/>
      <c r="C8" s="3">
        <v>212.57</v>
      </c>
      <c r="D8" s="3"/>
      <c r="E8" s="3">
        <v>24.6</v>
      </c>
      <c r="F8" s="3">
        <v>11.5</v>
      </c>
      <c r="G8" s="3"/>
      <c r="H8" s="3">
        <v>12.85</v>
      </c>
      <c r="I8" s="3"/>
      <c r="J8" s="3">
        <v>162.01</v>
      </c>
      <c r="K8" s="3"/>
      <c r="L8" s="3">
        <v>600</v>
      </c>
      <c r="M8" s="3">
        <v>95</v>
      </c>
      <c r="N8" s="3"/>
      <c r="O8" s="3"/>
      <c r="P8" s="3"/>
      <c r="Q8" s="3">
        <v>15.01</v>
      </c>
      <c r="R8" s="3"/>
      <c r="S8" s="3"/>
      <c r="T8" s="3"/>
      <c r="U8" s="3"/>
      <c r="V8" s="3"/>
      <c r="W8" s="3"/>
      <c r="X8" s="3"/>
      <c r="Y8" s="3"/>
      <c r="Z8" s="3"/>
      <c r="AA8" s="3">
        <v>46.650000000000006</v>
      </c>
      <c r="AB8" s="3">
        <v>141.04</v>
      </c>
      <c r="AC8" s="3"/>
      <c r="AD8" s="3">
        <v>9.57</v>
      </c>
      <c r="AE8" s="3"/>
      <c r="AF8" s="3">
        <v>30</v>
      </c>
      <c r="AG8" s="3">
        <v>998.90000000000009</v>
      </c>
      <c r="AH8" s="3">
        <v>1001.78</v>
      </c>
      <c r="AI8" s="3"/>
      <c r="AJ8" s="3"/>
      <c r="AK8" s="3"/>
      <c r="AL8" s="3"/>
      <c r="AM8" s="3"/>
      <c r="AN8" s="3">
        <v>4000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>
        <v>2709.99</v>
      </c>
      <c r="BW8" s="3"/>
      <c r="BX8" s="3"/>
      <c r="BY8" s="3"/>
      <c r="BZ8" s="3">
        <v>3361.4799999999996</v>
      </c>
      <c r="CA8" s="3">
        <v>6709.99</v>
      </c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</row>
    <row r="9" spans="1:119" x14ac:dyDescent="0.2">
      <c r="A9" s="53">
        <v>3</v>
      </c>
      <c r="B9" s="3"/>
      <c r="C9" s="3">
        <v>45.35</v>
      </c>
      <c r="D9" s="3"/>
      <c r="E9" s="3">
        <v>177.79</v>
      </c>
      <c r="F9" s="3">
        <v>102.70000000000002</v>
      </c>
      <c r="G9" s="3"/>
      <c r="H9" s="3">
        <v>6.2</v>
      </c>
      <c r="I9" s="3"/>
      <c r="J9" s="3">
        <v>103.66</v>
      </c>
      <c r="K9" s="3"/>
      <c r="L9" s="3">
        <v>360</v>
      </c>
      <c r="M9" s="3">
        <v>115</v>
      </c>
      <c r="N9" s="3"/>
      <c r="O9" s="3">
        <v>4.99</v>
      </c>
      <c r="P9" s="3"/>
      <c r="Q9" s="3">
        <v>15</v>
      </c>
      <c r="R9" s="3">
        <v>149.30000000000001</v>
      </c>
      <c r="S9" s="3"/>
      <c r="T9" s="3"/>
      <c r="U9" s="3">
        <v>3.54</v>
      </c>
      <c r="V9" s="3">
        <v>2</v>
      </c>
      <c r="W9" s="3">
        <v>517.78</v>
      </c>
      <c r="X9" s="3"/>
      <c r="Y9" s="3">
        <v>40.31</v>
      </c>
      <c r="Z9" s="3"/>
      <c r="AA9" s="3"/>
      <c r="AB9" s="3">
        <v>100</v>
      </c>
      <c r="AC9" s="3"/>
      <c r="AD9" s="3">
        <v>4.78</v>
      </c>
      <c r="AE9" s="3">
        <v>16.920000000000002</v>
      </c>
      <c r="AF9" s="3">
        <v>30.299999999999997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>
        <v>53</v>
      </c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>
        <v>3.54</v>
      </c>
      <c r="BX9" s="3"/>
      <c r="BY9" s="3"/>
      <c r="BZ9" s="3">
        <v>1795.62</v>
      </c>
      <c r="CA9" s="3">
        <v>56.54</v>
      </c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</row>
    <row r="10" spans="1:119" x14ac:dyDescent="0.2">
      <c r="A10" s="61" t="s">
        <v>115</v>
      </c>
      <c r="B10" s="3"/>
      <c r="C10" s="3">
        <v>45.35</v>
      </c>
      <c r="D10" s="3"/>
      <c r="E10" s="3">
        <v>177.79</v>
      </c>
      <c r="F10" s="3">
        <v>102.70000000000002</v>
      </c>
      <c r="G10" s="3"/>
      <c r="H10" s="3">
        <v>6.2</v>
      </c>
      <c r="I10" s="3"/>
      <c r="J10" s="3">
        <v>103.66</v>
      </c>
      <c r="K10" s="3"/>
      <c r="L10" s="3">
        <v>360</v>
      </c>
      <c r="M10" s="3">
        <v>115</v>
      </c>
      <c r="N10" s="3"/>
      <c r="O10" s="3">
        <v>4.99</v>
      </c>
      <c r="P10" s="3"/>
      <c r="Q10" s="3">
        <v>15</v>
      </c>
      <c r="R10" s="3">
        <v>149.30000000000001</v>
      </c>
      <c r="S10" s="3"/>
      <c r="T10" s="3"/>
      <c r="U10" s="3">
        <v>3.54</v>
      </c>
      <c r="V10" s="3">
        <v>2</v>
      </c>
      <c r="W10" s="3">
        <v>517.78</v>
      </c>
      <c r="X10" s="3"/>
      <c r="Y10" s="3">
        <v>40.31</v>
      </c>
      <c r="Z10" s="3"/>
      <c r="AA10" s="3"/>
      <c r="AB10" s="3">
        <v>100</v>
      </c>
      <c r="AC10" s="3"/>
      <c r="AD10" s="3">
        <v>4.78</v>
      </c>
      <c r="AE10" s="3">
        <v>16.920000000000002</v>
      </c>
      <c r="AF10" s="3">
        <v>30.299999999999997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>
        <v>53</v>
      </c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>
        <v>3.54</v>
      </c>
      <c r="BX10" s="3"/>
      <c r="BY10" s="3"/>
      <c r="BZ10" s="3">
        <v>1795.62</v>
      </c>
      <c r="CA10" s="3">
        <v>56.54</v>
      </c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</row>
    <row r="11" spans="1:119" x14ac:dyDescent="0.2">
      <c r="A11" s="53">
        <v>4</v>
      </c>
      <c r="B11" s="3">
        <v>15200</v>
      </c>
      <c r="C11" s="3">
        <v>90.35</v>
      </c>
      <c r="D11" s="3">
        <v>62.5</v>
      </c>
      <c r="E11" s="3">
        <v>48.95</v>
      </c>
      <c r="F11" s="3">
        <v>104.3</v>
      </c>
      <c r="G11" s="3"/>
      <c r="H11" s="3">
        <v>5.75</v>
      </c>
      <c r="I11" s="3">
        <v>47.85</v>
      </c>
      <c r="J11" s="3">
        <v>73.5</v>
      </c>
      <c r="K11" s="3">
        <v>663.75</v>
      </c>
      <c r="L11" s="3"/>
      <c r="M11" s="3">
        <v>135</v>
      </c>
      <c r="N11" s="3">
        <v>99</v>
      </c>
      <c r="O11" s="3"/>
      <c r="P11" s="3"/>
      <c r="Q11" s="3">
        <v>15</v>
      </c>
      <c r="R11" s="3">
        <v>298.60000000000002</v>
      </c>
      <c r="S11" s="3"/>
      <c r="T11" s="3">
        <v>1</v>
      </c>
      <c r="U11" s="3"/>
      <c r="V11" s="3"/>
      <c r="W11" s="3"/>
      <c r="X11" s="3"/>
      <c r="Y11" s="3"/>
      <c r="Z11" s="3"/>
      <c r="AA11" s="3"/>
      <c r="AB11" s="3">
        <v>160</v>
      </c>
      <c r="AC11" s="3"/>
      <c r="AD11" s="3">
        <v>12.99</v>
      </c>
      <c r="AE11" s="3"/>
      <c r="AF11" s="3">
        <v>30</v>
      </c>
      <c r="AG11" s="3"/>
      <c r="AH11" s="3"/>
      <c r="AI11" s="3"/>
      <c r="AJ11" s="3"/>
      <c r="AK11" s="3"/>
      <c r="AL11" s="3"/>
      <c r="AM11" s="3"/>
      <c r="AN11" s="3">
        <v>15000</v>
      </c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>
        <v>17048.54</v>
      </c>
      <c r="CA11" s="3">
        <v>15000</v>
      </c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</row>
    <row r="12" spans="1:119" x14ac:dyDescent="0.2">
      <c r="A12" s="61" t="s">
        <v>115</v>
      </c>
      <c r="B12" s="3">
        <v>15200</v>
      </c>
      <c r="C12" s="3">
        <v>90.35</v>
      </c>
      <c r="D12" s="3">
        <v>62.5</v>
      </c>
      <c r="E12" s="3">
        <v>48.95</v>
      </c>
      <c r="F12" s="3">
        <v>104.3</v>
      </c>
      <c r="G12" s="3"/>
      <c r="H12" s="3">
        <v>5.75</v>
      </c>
      <c r="I12" s="3">
        <v>47.85</v>
      </c>
      <c r="J12" s="3">
        <v>73.5</v>
      </c>
      <c r="K12" s="3">
        <v>663.75</v>
      </c>
      <c r="L12" s="3"/>
      <c r="M12" s="3">
        <v>135</v>
      </c>
      <c r="N12" s="3">
        <v>99</v>
      </c>
      <c r="O12" s="3"/>
      <c r="P12" s="3"/>
      <c r="Q12" s="3">
        <v>15</v>
      </c>
      <c r="R12" s="3">
        <v>298.60000000000002</v>
      </c>
      <c r="S12" s="3"/>
      <c r="T12" s="3">
        <v>1</v>
      </c>
      <c r="U12" s="3"/>
      <c r="V12" s="3"/>
      <c r="W12" s="3"/>
      <c r="X12" s="3"/>
      <c r="Y12" s="3"/>
      <c r="Z12" s="3"/>
      <c r="AA12" s="3"/>
      <c r="AB12" s="3">
        <v>160</v>
      </c>
      <c r="AC12" s="3"/>
      <c r="AD12" s="3">
        <v>12.99</v>
      </c>
      <c r="AE12" s="3"/>
      <c r="AF12" s="3">
        <v>30</v>
      </c>
      <c r="AG12" s="3"/>
      <c r="AH12" s="3"/>
      <c r="AI12" s="3"/>
      <c r="AJ12" s="3"/>
      <c r="AK12" s="3"/>
      <c r="AL12" s="3"/>
      <c r="AM12" s="3"/>
      <c r="AN12" s="3">
        <v>15000</v>
      </c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>
        <v>17048.54</v>
      </c>
      <c r="CA12" s="3">
        <v>15000</v>
      </c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</row>
    <row r="13" spans="1:119" x14ac:dyDescent="0.2">
      <c r="A13" s="53">
        <v>5</v>
      </c>
      <c r="B13" s="3">
        <v>100</v>
      </c>
      <c r="C13" s="3">
        <v>45.35</v>
      </c>
      <c r="D13" s="3">
        <v>20.8</v>
      </c>
      <c r="E13" s="3">
        <v>123.81</v>
      </c>
      <c r="F13" s="3">
        <v>113</v>
      </c>
      <c r="G13" s="3"/>
      <c r="H13" s="3"/>
      <c r="I13" s="3">
        <v>10</v>
      </c>
      <c r="J13" s="3">
        <v>95.330000000000013</v>
      </c>
      <c r="K13" s="3"/>
      <c r="L13" s="3">
        <v>430</v>
      </c>
      <c r="M13" s="3">
        <v>100</v>
      </c>
      <c r="N13" s="3"/>
      <c r="O13" s="3"/>
      <c r="P13" s="3">
        <v>0.49</v>
      </c>
      <c r="Q13" s="3">
        <v>15</v>
      </c>
      <c r="R13" s="3"/>
      <c r="S13" s="3"/>
      <c r="T13" s="3">
        <v>12.8</v>
      </c>
      <c r="U13" s="3"/>
      <c r="V13" s="3"/>
      <c r="W13" s="3"/>
      <c r="X13" s="3">
        <v>834.99</v>
      </c>
      <c r="Y13" s="3">
        <v>66.87</v>
      </c>
      <c r="Z13" s="3"/>
      <c r="AA13" s="3">
        <v>9</v>
      </c>
      <c r="AB13" s="3">
        <v>190.7</v>
      </c>
      <c r="AC13" s="3"/>
      <c r="AD13" s="3"/>
      <c r="AE13" s="3"/>
      <c r="AF13" s="3">
        <v>30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>
        <v>2198.1399999999994</v>
      </c>
      <c r="CA13" s="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</row>
    <row r="14" spans="1:119" x14ac:dyDescent="0.2">
      <c r="A14" s="61" t="s">
        <v>115</v>
      </c>
      <c r="B14" s="3">
        <v>100</v>
      </c>
      <c r="C14" s="3">
        <v>45.35</v>
      </c>
      <c r="D14" s="3">
        <v>20.8</v>
      </c>
      <c r="E14" s="3">
        <v>123.81</v>
      </c>
      <c r="F14" s="3">
        <v>113</v>
      </c>
      <c r="G14" s="3"/>
      <c r="H14" s="3"/>
      <c r="I14" s="3">
        <v>10</v>
      </c>
      <c r="J14" s="3">
        <v>95.330000000000013</v>
      </c>
      <c r="K14" s="3"/>
      <c r="L14" s="3">
        <v>430</v>
      </c>
      <c r="M14" s="3">
        <v>100</v>
      </c>
      <c r="N14" s="3"/>
      <c r="O14" s="3"/>
      <c r="P14" s="3"/>
      <c r="Q14" s="3">
        <v>15</v>
      </c>
      <c r="R14" s="3"/>
      <c r="S14" s="3"/>
      <c r="T14" s="3">
        <v>12.8</v>
      </c>
      <c r="U14" s="3"/>
      <c r="V14" s="3"/>
      <c r="W14" s="3"/>
      <c r="X14" s="3">
        <v>834.99</v>
      </c>
      <c r="Y14" s="3">
        <v>66.87</v>
      </c>
      <c r="Z14" s="3"/>
      <c r="AA14" s="3"/>
      <c r="AB14" s="3">
        <v>190.7</v>
      </c>
      <c r="AC14" s="3"/>
      <c r="AD14" s="3"/>
      <c r="AE14" s="3"/>
      <c r="AF14" s="3">
        <v>30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>
        <v>2188.6499999999996</v>
      </c>
      <c r="CA14" s="3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</row>
    <row r="15" spans="1:119" x14ac:dyDescent="0.2">
      <c r="A15" s="61" t="s">
        <v>759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>
        <v>0.49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>
        <v>9</v>
      </c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>
        <v>9.49</v>
      </c>
      <c r="CA15" s="3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</row>
    <row r="16" spans="1:119" x14ac:dyDescent="0.2">
      <c r="A16" s="53">
        <v>6</v>
      </c>
      <c r="B16" s="3"/>
      <c r="C16" s="3">
        <v>146.34</v>
      </c>
      <c r="D16" s="3">
        <v>57.5</v>
      </c>
      <c r="E16" s="3">
        <v>119.43</v>
      </c>
      <c r="F16" s="3">
        <v>92.550000000000011</v>
      </c>
      <c r="G16" s="3">
        <v>2.99</v>
      </c>
      <c r="H16" s="3">
        <v>3.8</v>
      </c>
      <c r="I16" s="3">
        <v>68.34</v>
      </c>
      <c r="J16" s="3">
        <v>87.85</v>
      </c>
      <c r="K16" s="3"/>
      <c r="L16" s="3">
        <v>600</v>
      </c>
      <c r="M16" s="3">
        <v>100</v>
      </c>
      <c r="N16" s="3"/>
      <c r="O16" s="3"/>
      <c r="P16" s="3"/>
      <c r="Q16" s="3">
        <v>15</v>
      </c>
      <c r="R16" s="3">
        <v>149.30000000000001</v>
      </c>
      <c r="S16" s="3"/>
      <c r="T16" s="3"/>
      <c r="U16" s="3"/>
      <c r="V16" s="3">
        <v>5</v>
      </c>
      <c r="W16" s="3"/>
      <c r="X16" s="3"/>
      <c r="Y16" s="3"/>
      <c r="Z16" s="3">
        <v>51.56</v>
      </c>
      <c r="AA16" s="3"/>
      <c r="AB16" s="3">
        <v>230.28</v>
      </c>
      <c r="AC16" s="3"/>
      <c r="AD16" s="3">
        <v>13.52</v>
      </c>
      <c r="AE16" s="3"/>
      <c r="AF16" s="3">
        <v>30.96</v>
      </c>
      <c r="AG16" s="3">
        <v>795.8</v>
      </c>
      <c r="AH16" s="3"/>
      <c r="AI16" s="3"/>
      <c r="AJ16" s="3"/>
      <c r="AK16" s="3"/>
      <c r="AL16" s="3"/>
      <c r="AM16" s="3"/>
      <c r="AN16" s="3">
        <v>3000</v>
      </c>
      <c r="AO16" s="3"/>
      <c r="AP16" s="3"/>
      <c r="AQ16" s="3"/>
      <c r="AR16" s="3"/>
      <c r="AS16" s="3"/>
      <c r="AT16" s="3"/>
      <c r="AU16" s="3">
        <v>1.05</v>
      </c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>
        <v>2570.2200000000003</v>
      </c>
      <c r="CA16" s="3">
        <v>3001.05</v>
      </c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</row>
    <row r="17" spans="1:119" x14ac:dyDescent="0.2">
      <c r="A17" s="61" t="s">
        <v>115</v>
      </c>
      <c r="B17" s="3"/>
      <c r="C17" s="3">
        <v>146.34</v>
      </c>
      <c r="D17" s="3">
        <v>57.5</v>
      </c>
      <c r="E17" s="3">
        <v>119.43</v>
      </c>
      <c r="F17" s="3">
        <v>92.550000000000011</v>
      </c>
      <c r="G17" s="3">
        <v>2.99</v>
      </c>
      <c r="H17" s="3">
        <v>3.8</v>
      </c>
      <c r="I17" s="3">
        <v>68.34</v>
      </c>
      <c r="J17" s="3">
        <v>87.85</v>
      </c>
      <c r="K17" s="3"/>
      <c r="L17" s="3">
        <v>600</v>
      </c>
      <c r="M17" s="3">
        <v>100</v>
      </c>
      <c r="N17" s="3"/>
      <c r="O17" s="3"/>
      <c r="P17" s="3"/>
      <c r="Q17" s="3">
        <v>15</v>
      </c>
      <c r="R17" s="3">
        <v>149.30000000000001</v>
      </c>
      <c r="S17" s="3"/>
      <c r="T17" s="3"/>
      <c r="U17" s="3"/>
      <c r="V17" s="3">
        <v>5</v>
      </c>
      <c r="W17" s="3"/>
      <c r="X17" s="3"/>
      <c r="Y17" s="3"/>
      <c r="Z17" s="3">
        <v>51.56</v>
      </c>
      <c r="AA17" s="3"/>
      <c r="AB17" s="3">
        <v>230.28</v>
      </c>
      <c r="AC17" s="3"/>
      <c r="AD17" s="3">
        <v>13.52</v>
      </c>
      <c r="AE17" s="3"/>
      <c r="AF17" s="3">
        <v>30.96</v>
      </c>
      <c r="AG17" s="3">
        <v>795.8</v>
      </c>
      <c r="AH17" s="3"/>
      <c r="AI17" s="3"/>
      <c r="AJ17" s="3"/>
      <c r="AK17" s="3"/>
      <c r="AL17" s="3"/>
      <c r="AM17" s="3"/>
      <c r="AN17" s="3">
        <v>3000</v>
      </c>
      <c r="AO17" s="3"/>
      <c r="AP17" s="3"/>
      <c r="AQ17" s="3"/>
      <c r="AR17" s="3"/>
      <c r="AS17" s="3"/>
      <c r="AT17" s="3"/>
      <c r="AU17" s="3">
        <v>1.05</v>
      </c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>
        <v>2570.2200000000003</v>
      </c>
      <c r="CA17" s="3">
        <v>3001.05</v>
      </c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</row>
    <row r="18" spans="1:119" x14ac:dyDescent="0.2">
      <c r="A18" s="53">
        <v>7</v>
      </c>
      <c r="B18" s="3"/>
      <c r="C18" s="3"/>
      <c r="D18" s="3"/>
      <c r="E18" s="3">
        <v>32.840000000000003</v>
      </c>
      <c r="F18" s="3"/>
      <c r="G18" s="3"/>
      <c r="H18" s="3">
        <v>0.35</v>
      </c>
      <c r="I18" s="3"/>
      <c r="J18" s="3"/>
      <c r="K18" s="3">
        <v>663.75</v>
      </c>
      <c r="L18" s="3"/>
      <c r="M18" s="3">
        <v>105</v>
      </c>
      <c r="N18" s="3"/>
      <c r="O18" s="3"/>
      <c r="P18" s="3"/>
      <c r="Q18" s="3"/>
      <c r="R18" s="3">
        <v>108</v>
      </c>
      <c r="S18" s="3">
        <v>535.41</v>
      </c>
      <c r="T18" s="3"/>
      <c r="U18" s="3"/>
      <c r="V18" s="3"/>
      <c r="W18" s="3"/>
      <c r="X18" s="3"/>
      <c r="Y18" s="3">
        <v>96.99</v>
      </c>
      <c r="Z18" s="3"/>
      <c r="AA18" s="3"/>
      <c r="AB18" s="3">
        <v>100</v>
      </c>
      <c r="AC18" s="3">
        <v>165.1</v>
      </c>
      <c r="AD18" s="3"/>
      <c r="AE18" s="3"/>
      <c r="AF18" s="3"/>
      <c r="AG18" s="3">
        <v>14.12</v>
      </c>
      <c r="AH18" s="3"/>
      <c r="AI18" s="3">
        <v>316.64999999999998</v>
      </c>
      <c r="AJ18" s="3"/>
      <c r="AK18" s="3"/>
      <c r="AL18" s="3">
        <v>12.6</v>
      </c>
      <c r="AM18" s="3">
        <v>35</v>
      </c>
      <c r="AN18" s="3">
        <v>3000</v>
      </c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>
        <v>2185.8099999999995</v>
      </c>
      <c r="CA18" s="3">
        <v>3000</v>
      </c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</row>
    <row r="19" spans="1:119" x14ac:dyDescent="0.2">
      <c r="A19" s="61" t="s">
        <v>115</v>
      </c>
      <c r="B19" s="3"/>
      <c r="C19" s="3"/>
      <c r="D19" s="3"/>
      <c r="E19" s="3">
        <v>32.840000000000003</v>
      </c>
      <c r="F19" s="3"/>
      <c r="G19" s="3"/>
      <c r="H19" s="3">
        <v>0.35</v>
      </c>
      <c r="I19" s="3"/>
      <c r="J19" s="3"/>
      <c r="K19" s="3">
        <v>663.75</v>
      </c>
      <c r="L19" s="3"/>
      <c r="M19" s="3">
        <v>105</v>
      </c>
      <c r="N19" s="3"/>
      <c r="O19" s="3"/>
      <c r="P19" s="3"/>
      <c r="Q19" s="3"/>
      <c r="R19" s="3">
        <v>108</v>
      </c>
      <c r="S19" s="3">
        <v>535.41</v>
      </c>
      <c r="T19" s="3"/>
      <c r="U19" s="3"/>
      <c r="V19" s="3"/>
      <c r="W19" s="3"/>
      <c r="X19" s="3"/>
      <c r="Y19" s="3">
        <v>96.99</v>
      </c>
      <c r="Z19" s="3"/>
      <c r="AA19" s="3"/>
      <c r="AB19" s="3">
        <v>100</v>
      </c>
      <c r="AC19" s="3">
        <v>165.1</v>
      </c>
      <c r="AD19" s="3"/>
      <c r="AE19" s="3"/>
      <c r="AF19" s="3"/>
      <c r="AG19" s="3">
        <v>14.12</v>
      </c>
      <c r="AH19" s="3"/>
      <c r="AI19" s="3">
        <v>316.64999999999998</v>
      </c>
      <c r="AJ19" s="3"/>
      <c r="AK19" s="3"/>
      <c r="AL19" s="3">
        <v>12.6</v>
      </c>
      <c r="AM19" s="3">
        <v>35</v>
      </c>
      <c r="AN19" s="3">
        <v>3000</v>
      </c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>
        <v>2185.8099999999995</v>
      </c>
      <c r="CA19" s="3">
        <v>3000</v>
      </c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</row>
    <row r="20" spans="1:119" x14ac:dyDescent="0.2">
      <c r="A20" s="53" t="s">
        <v>16</v>
      </c>
      <c r="B20" s="3">
        <v>15300</v>
      </c>
      <c r="C20" s="3">
        <v>539.96</v>
      </c>
      <c r="D20" s="3">
        <v>140.80000000000001</v>
      </c>
      <c r="E20" s="3">
        <v>593.37</v>
      </c>
      <c r="F20" s="3">
        <v>482.8</v>
      </c>
      <c r="G20" s="3">
        <v>10.97</v>
      </c>
      <c r="H20" s="3">
        <v>44.35</v>
      </c>
      <c r="I20" s="3">
        <v>136.49</v>
      </c>
      <c r="J20" s="3">
        <v>522.35</v>
      </c>
      <c r="K20" s="3">
        <v>1991.25</v>
      </c>
      <c r="L20" s="3">
        <v>1990</v>
      </c>
      <c r="M20" s="3">
        <v>860</v>
      </c>
      <c r="N20" s="3">
        <v>198</v>
      </c>
      <c r="O20" s="3">
        <v>4.99</v>
      </c>
      <c r="P20" s="3">
        <v>0.49</v>
      </c>
      <c r="Q20" s="3">
        <v>90.009999999999991</v>
      </c>
      <c r="R20" s="3">
        <v>759.2</v>
      </c>
      <c r="S20" s="3">
        <v>535.41</v>
      </c>
      <c r="T20" s="3">
        <v>13.8</v>
      </c>
      <c r="U20" s="3">
        <v>3.54</v>
      </c>
      <c r="V20" s="3">
        <v>7</v>
      </c>
      <c r="W20" s="3">
        <v>517.78</v>
      </c>
      <c r="X20" s="3">
        <v>834.99</v>
      </c>
      <c r="Y20" s="3">
        <v>256.32</v>
      </c>
      <c r="Z20" s="3">
        <v>51.56</v>
      </c>
      <c r="AA20" s="3">
        <v>55.650000000000006</v>
      </c>
      <c r="AB20" s="3">
        <v>1073.1199999999999</v>
      </c>
      <c r="AC20" s="3">
        <v>165.1</v>
      </c>
      <c r="AD20" s="3">
        <v>40.86</v>
      </c>
      <c r="AE20" s="3">
        <v>16.920000000000002</v>
      </c>
      <c r="AF20" s="3">
        <v>181.45000000000002</v>
      </c>
      <c r="AG20" s="3">
        <v>1808.82</v>
      </c>
      <c r="AH20" s="3">
        <v>1001.78</v>
      </c>
      <c r="AI20" s="3">
        <v>316.64999999999998</v>
      </c>
      <c r="AJ20" s="3">
        <v>2395.8000000000002</v>
      </c>
      <c r="AK20" s="3"/>
      <c r="AL20" s="3">
        <v>12.6</v>
      </c>
      <c r="AM20" s="3">
        <v>35</v>
      </c>
      <c r="AN20" s="3">
        <v>29000</v>
      </c>
      <c r="AO20" s="3"/>
      <c r="AP20" s="3"/>
      <c r="AQ20" s="3"/>
      <c r="AR20" s="3"/>
      <c r="AS20" s="3"/>
      <c r="AT20" s="3"/>
      <c r="AU20" s="3">
        <v>54.05</v>
      </c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>
        <v>2709.99</v>
      </c>
      <c r="BW20" s="3">
        <v>3.54</v>
      </c>
      <c r="BX20" s="3"/>
      <c r="BY20" s="3"/>
      <c r="BZ20" s="3">
        <v>32989.180000000008</v>
      </c>
      <c r="CA20" s="3">
        <v>31767.579999999998</v>
      </c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</row>
    <row r="21" spans="1:119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</row>
    <row r="22" spans="1:119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</row>
    <row r="23" spans="1:119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</row>
    <row r="24" spans="1:11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</row>
    <row r="25" spans="1:119" s="72" customFormat="1" ht="2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</row>
    <row r="26" spans="1:119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</row>
    <row r="27" spans="1:119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</row>
    <row r="28" spans="1:119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</row>
    <row r="29" spans="1:119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</row>
    <row r="30" spans="1:119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</row>
    <row r="31" spans="1:119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</row>
    <row r="32" spans="1:119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</row>
    <row r="33" spans="1:119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</row>
    <row r="34" spans="1:119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</row>
    <row r="35" spans="1:119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</row>
    <row r="36" spans="1:119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</row>
    <row r="37" spans="1:119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</row>
    <row r="38" spans="1:119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</row>
    <row r="39" spans="1:119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</row>
  </sheetData>
  <pageMargins left="0.7" right="0.7" top="0.75" bottom="0.75" header="0.3" footer="0.3"/>
  <pageSetup paperSize="9"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F5C2-2479-3E45-A53D-81509507B305}">
  <sheetPr codeName="Foglio8">
    <tabColor rgb="FF7030A0"/>
  </sheetPr>
  <dimension ref="A3:Y25"/>
  <sheetViews>
    <sheetView workbookViewId="0">
      <selection activeCell="D6" sqref="D6"/>
    </sheetView>
  </sheetViews>
  <sheetFormatPr baseColWidth="10" defaultColWidth="11.3984375" defaultRowHeight="14" x14ac:dyDescent="0.2"/>
  <cols>
    <col min="1" max="1" width="16.796875" style="4" bestFit="1" customWidth="1"/>
    <col min="2" max="2" width="20" style="4" bestFit="1" customWidth="1"/>
    <col min="3" max="3" width="23.19921875" style="4" bestFit="1" customWidth="1"/>
    <col min="4" max="4" width="31.796875" style="4" bestFit="1" customWidth="1"/>
    <col min="5" max="5" width="22.3984375" style="4" bestFit="1" customWidth="1"/>
    <col min="6" max="6" width="19.19921875" style="4" bestFit="1" customWidth="1"/>
    <col min="7" max="7" width="17.3984375" style="4" bestFit="1" customWidth="1"/>
    <col min="8" max="8" width="10.3984375" style="4" bestFit="1" customWidth="1"/>
    <col min="9" max="9" width="17.3984375" style="4" bestFit="1" customWidth="1"/>
    <col min="10" max="10" width="17.796875" style="4" bestFit="1" customWidth="1"/>
    <col min="11" max="11" width="23.19921875" style="4" bestFit="1" customWidth="1"/>
    <col min="12" max="12" width="31.796875" style="4" bestFit="1" customWidth="1"/>
    <col min="13" max="13" width="22.3984375" style="4" bestFit="1" customWidth="1"/>
    <col min="14" max="14" width="19.19921875" style="4" bestFit="1" customWidth="1"/>
    <col min="15" max="15" width="17.3984375" style="4" bestFit="1" customWidth="1"/>
    <col min="16" max="16" width="9" style="4" bestFit="1" customWidth="1"/>
    <col min="17" max="17" width="17.3984375" style="4" bestFit="1" customWidth="1"/>
    <col min="18" max="18" width="18.796875" style="4" bestFit="1" customWidth="1"/>
    <col min="19" max="19" width="19.796875" style="4" bestFit="1" customWidth="1"/>
    <col min="20" max="20" width="18.796875" style="4" bestFit="1" customWidth="1"/>
    <col min="21" max="21" width="19.796875" style="4" bestFit="1" customWidth="1"/>
    <col min="22" max="22" width="18.796875" style="4" bestFit="1" customWidth="1"/>
    <col min="23" max="23" width="19.796875" style="4" bestFit="1" customWidth="1"/>
    <col min="24" max="24" width="18.796875" style="4" bestFit="1" customWidth="1"/>
    <col min="25" max="25" width="19.796875" style="4" bestFit="1" customWidth="1"/>
    <col min="26" max="16384" width="11.3984375" style="4"/>
  </cols>
  <sheetData>
    <row r="3" spans="1:25" x14ac:dyDescent="0.2">
      <c r="A3" s="3"/>
      <c r="B3" s="44" t="s">
        <v>17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/>
      <c r="U3"/>
      <c r="V3"/>
      <c r="W3"/>
      <c r="X3"/>
      <c r="Y3"/>
    </row>
    <row r="4" spans="1:25" x14ac:dyDescent="0.2">
      <c r="A4" s="3"/>
      <c r="B4" s="3" t="s">
        <v>28</v>
      </c>
      <c r="C4" s="3"/>
      <c r="D4" s="3"/>
      <c r="E4" s="3"/>
      <c r="F4" s="3"/>
      <c r="G4" s="3"/>
      <c r="H4" s="3"/>
      <c r="I4" s="3"/>
      <c r="J4" s="3" t="s">
        <v>27</v>
      </c>
      <c r="K4" s="3"/>
      <c r="L4" s="3"/>
      <c r="M4" s="3"/>
      <c r="N4" s="3"/>
      <c r="O4" s="3"/>
      <c r="P4" s="3"/>
      <c r="Q4" s="3"/>
      <c r="R4" s="3" t="s">
        <v>29</v>
      </c>
      <c r="S4" s="3" t="s">
        <v>30</v>
      </c>
      <c r="T4"/>
      <c r="U4"/>
      <c r="V4"/>
      <c r="W4"/>
      <c r="X4"/>
      <c r="Y4"/>
    </row>
    <row r="5" spans="1:25" x14ac:dyDescent="0.2">
      <c r="A5" s="44" t="s">
        <v>15</v>
      </c>
      <c r="B5" s="3" t="s">
        <v>236</v>
      </c>
      <c r="C5" s="3" t="s">
        <v>152</v>
      </c>
      <c r="D5" s="3" t="s">
        <v>151</v>
      </c>
      <c r="E5" s="3" t="s">
        <v>144</v>
      </c>
      <c r="F5" s="3" t="s">
        <v>106</v>
      </c>
      <c r="G5" s="3" t="s">
        <v>393</v>
      </c>
      <c r="H5" s="3" t="s">
        <v>45</v>
      </c>
      <c r="I5" s="3" t="s">
        <v>926</v>
      </c>
      <c r="J5" s="3" t="s">
        <v>236</v>
      </c>
      <c r="K5" s="3" t="s">
        <v>152</v>
      </c>
      <c r="L5" s="3" t="s">
        <v>151</v>
      </c>
      <c r="M5" s="3" t="s">
        <v>144</v>
      </c>
      <c r="N5" s="3" t="s">
        <v>106</v>
      </c>
      <c r="O5" s="3" t="s">
        <v>393</v>
      </c>
      <c r="P5" s="3" t="s">
        <v>45</v>
      </c>
      <c r="Q5" s="3" t="s">
        <v>926</v>
      </c>
      <c r="R5" s="3"/>
      <c r="S5" s="3"/>
      <c r="T5"/>
      <c r="U5"/>
      <c r="V5"/>
      <c r="W5"/>
      <c r="X5"/>
      <c r="Y5"/>
    </row>
    <row r="6" spans="1:25" x14ac:dyDescent="0.2">
      <c r="A6" s="53">
        <v>1</v>
      </c>
      <c r="B6" s="3">
        <v>100.6</v>
      </c>
      <c r="C6" s="3">
        <v>3.95</v>
      </c>
      <c r="D6" s="3">
        <v>780.37</v>
      </c>
      <c r="E6" s="3"/>
      <c r="F6" s="3"/>
      <c r="G6" s="3"/>
      <c r="H6" s="3"/>
      <c r="I6" s="3"/>
      <c r="J6" s="3"/>
      <c r="K6" s="3">
        <v>3.95</v>
      </c>
      <c r="L6" s="3">
        <v>273.70999999999998</v>
      </c>
      <c r="M6" s="3"/>
      <c r="N6" s="3"/>
      <c r="O6" s="3"/>
      <c r="P6" s="3"/>
      <c r="Q6" s="3"/>
      <c r="R6" s="3">
        <v>884.92</v>
      </c>
      <c r="S6" s="3">
        <v>277.65999999999997</v>
      </c>
      <c r="T6"/>
      <c r="U6"/>
      <c r="V6"/>
      <c r="W6"/>
      <c r="X6"/>
      <c r="Y6"/>
    </row>
    <row r="7" spans="1:25" x14ac:dyDescent="0.2">
      <c r="A7" s="53">
        <v>2</v>
      </c>
      <c r="B7" s="3">
        <v>100.6</v>
      </c>
      <c r="C7" s="3">
        <v>3.95</v>
      </c>
      <c r="D7" s="3">
        <v>759.76</v>
      </c>
      <c r="E7" s="3"/>
      <c r="F7" s="3"/>
      <c r="G7" s="3">
        <v>23031.24</v>
      </c>
      <c r="H7" s="3"/>
      <c r="I7" s="3"/>
      <c r="J7" s="3"/>
      <c r="K7" s="3">
        <v>3.95</v>
      </c>
      <c r="L7" s="3">
        <v>273.35000000000002</v>
      </c>
      <c r="M7" s="3"/>
      <c r="N7" s="3">
        <v>31048.09</v>
      </c>
      <c r="O7" s="3"/>
      <c r="P7" s="3"/>
      <c r="Q7" s="3"/>
      <c r="R7" s="3">
        <v>23895.550000000003</v>
      </c>
      <c r="S7" s="3">
        <v>31325.39</v>
      </c>
      <c r="T7"/>
      <c r="U7"/>
      <c r="V7"/>
      <c r="W7"/>
      <c r="X7"/>
      <c r="Y7"/>
    </row>
    <row r="8" spans="1:25" x14ac:dyDescent="0.2">
      <c r="A8" s="53">
        <v>3</v>
      </c>
      <c r="B8" s="3">
        <v>100.6</v>
      </c>
      <c r="C8" s="3">
        <v>3.95</v>
      </c>
      <c r="D8" s="3">
        <v>738.13000000000011</v>
      </c>
      <c r="E8" s="3">
        <v>579.82999999999993</v>
      </c>
      <c r="F8" s="3"/>
      <c r="G8" s="3"/>
      <c r="H8" s="3"/>
      <c r="I8" s="3"/>
      <c r="J8" s="3"/>
      <c r="K8" s="3">
        <v>3.95</v>
      </c>
      <c r="L8" s="3">
        <v>266.44</v>
      </c>
      <c r="M8" s="3"/>
      <c r="N8" s="3"/>
      <c r="O8" s="3"/>
      <c r="P8" s="3"/>
      <c r="Q8" s="3"/>
      <c r="R8" s="3">
        <v>1422.51</v>
      </c>
      <c r="S8" s="3">
        <v>270.39</v>
      </c>
      <c r="T8"/>
      <c r="U8"/>
      <c r="V8"/>
      <c r="W8"/>
      <c r="X8"/>
      <c r="Y8"/>
    </row>
    <row r="9" spans="1:25" x14ac:dyDescent="0.2">
      <c r="A9" s="53">
        <v>4</v>
      </c>
      <c r="B9" s="3">
        <v>100.6</v>
      </c>
      <c r="C9" s="3">
        <v>153.94999999999999</v>
      </c>
      <c r="D9" s="3">
        <v>695.45</v>
      </c>
      <c r="E9" s="3"/>
      <c r="F9" s="3"/>
      <c r="G9" s="3"/>
      <c r="H9" s="3">
        <v>250009.95</v>
      </c>
      <c r="I9" s="3"/>
      <c r="J9" s="3"/>
      <c r="K9" s="3">
        <v>3.95</v>
      </c>
      <c r="L9" s="3">
        <v>236.70000000000002</v>
      </c>
      <c r="M9" s="3"/>
      <c r="N9" s="3">
        <v>231275.62000000002</v>
      </c>
      <c r="O9" s="3"/>
      <c r="P9" s="3">
        <v>15000</v>
      </c>
      <c r="Q9" s="3"/>
      <c r="R9" s="3">
        <v>250959.95</v>
      </c>
      <c r="S9" s="3">
        <v>246516.27000000002</v>
      </c>
      <c r="T9"/>
      <c r="U9"/>
      <c r="V9"/>
      <c r="W9"/>
      <c r="X9"/>
      <c r="Y9"/>
    </row>
    <row r="10" spans="1:25" x14ac:dyDescent="0.2">
      <c r="A10" s="53">
        <v>5</v>
      </c>
      <c r="B10" s="3">
        <v>100.6</v>
      </c>
      <c r="C10" s="3">
        <v>3.95</v>
      </c>
      <c r="D10" s="3">
        <v>653.69000000000005</v>
      </c>
      <c r="E10" s="3"/>
      <c r="F10" s="3"/>
      <c r="G10" s="3"/>
      <c r="H10" s="3"/>
      <c r="I10" s="3"/>
      <c r="J10" s="3"/>
      <c r="K10" s="3">
        <v>3.95</v>
      </c>
      <c r="L10" s="3">
        <v>194.95</v>
      </c>
      <c r="M10" s="3"/>
      <c r="N10" s="3"/>
      <c r="O10" s="3"/>
      <c r="P10" s="3"/>
      <c r="Q10" s="3"/>
      <c r="R10" s="3">
        <v>758.24</v>
      </c>
      <c r="S10" s="3">
        <v>198.89999999999998</v>
      </c>
      <c r="T10"/>
      <c r="U10"/>
      <c r="V10"/>
      <c r="W10"/>
      <c r="X10"/>
      <c r="Y10"/>
    </row>
    <row r="11" spans="1:25" x14ac:dyDescent="0.2">
      <c r="A11" s="53">
        <v>6</v>
      </c>
      <c r="B11" s="3">
        <v>53997.979999999996</v>
      </c>
      <c r="C11" s="3">
        <v>3.95</v>
      </c>
      <c r="D11" s="3">
        <v>673.31</v>
      </c>
      <c r="E11" s="3">
        <v>541.23</v>
      </c>
      <c r="F11" s="3"/>
      <c r="G11" s="3"/>
      <c r="H11" s="3"/>
      <c r="I11" s="3">
        <v>2188.6799999999998</v>
      </c>
      <c r="J11" s="3"/>
      <c r="K11" s="3">
        <v>3.95</v>
      </c>
      <c r="L11" s="3">
        <v>197.83</v>
      </c>
      <c r="M11" s="3"/>
      <c r="N11" s="3">
        <v>54119.479999999996</v>
      </c>
      <c r="O11" s="3"/>
      <c r="P11" s="3"/>
      <c r="Q11" s="3"/>
      <c r="R11" s="3">
        <v>57405.149999999994</v>
      </c>
      <c r="S11" s="3">
        <v>54321.259999999995</v>
      </c>
      <c r="T11"/>
      <c r="U11"/>
      <c r="V11"/>
      <c r="W11"/>
      <c r="X11"/>
      <c r="Y11"/>
    </row>
    <row r="12" spans="1:25" x14ac:dyDescent="0.2">
      <c r="A12" s="53" t="s">
        <v>16</v>
      </c>
      <c r="B12" s="3">
        <v>54500.979999999996</v>
      </c>
      <c r="C12" s="3">
        <v>173.69999999999996</v>
      </c>
      <c r="D12" s="3">
        <v>4300.71</v>
      </c>
      <c r="E12" s="3">
        <v>1121.06</v>
      </c>
      <c r="F12" s="3"/>
      <c r="G12" s="3">
        <v>23031.24</v>
      </c>
      <c r="H12" s="3">
        <v>250009.95</v>
      </c>
      <c r="I12" s="3">
        <v>2188.6799999999998</v>
      </c>
      <c r="J12" s="3"/>
      <c r="K12" s="3">
        <v>23.7</v>
      </c>
      <c r="L12" s="3">
        <v>1442.98</v>
      </c>
      <c r="M12" s="3"/>
      <c r="N12" s="3">
        <v>316443.19</v>
      </c>
      <c r="O12" s="3"/>
      <c r="P12" s="3">
        <v>15000</v>
      </c>
      <c r="Q12" s="3"/>
      <c r="R12" s="3">
        <v>335326.31999999995</v>
      </c>
      <c r="S12" s="3">
        <v>332909.87000000005</v>
      </c>
      <c r="T12"/>
      <c r="U12"/>
      <c r="V12"/>
      <c r="W12"/>
      <c r="X12"/>
      <c r="Y12"/>
    </row>
    <row r="13" spans="1:25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25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5" x14ac:dyDescent="0.2">
      <c r="A19"/>
      <c r="B19"/>
      <c r="C19"/>
    </row>
    <row r="20" spans="1:25" x14ac:dyDescent="0.2">
      <c r="A20"/>
      <c r="B20"/>
      <c r="C20"/>
    </row>
    <row r="21" spans="1:25" x14ac:dyDescent="0.2">
      <c r="A21"/>
      <c r="B21"/>
      <c r="C21"/>
    </row>
    <row r="22" spans="1:25" x14ac:dyDescent="0.2">
      <c r="A22"/>
      <c r="B22"/>
      <c r="C22"/>
    </row>
    <row r="23" spans="1:25" x14ac:dyDescent="0.2">
      <c r="A23"/>
      <c r="B23"/>
      <c r="C23"/>
    </row>
    <row r="24" spans="1:25" x14ac:dyDescent="0.2">
      <c r="A24"/>
      <c r="B24"/>
      <c r="C24"/>
    </row>
    <row r="25" spans="1:25" x14ac:dyDescent="0.2">
      <c r="A25"/>
      <c r="B25"/>
      <c r="C25"/>
    </row>
  </sheetData>
  <pageMargins left="0.7" right="0.7" top="0.75" bottom="0.75" header="0.3" footer="0.3"/>
  <pageSetup paperSize="9"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2E27B-32C5-3742-AD2F-85A2CDEDC619}">
  <sheetPr codeName="Foglio7">
    <tabColor rgb="FF7030A0"/>
  </sheetPr>
  <dimension ref="A3:CU18"/>
  <sheetViews>
    <sheetView workbookViewId="0">
      <selection activeCell="H7" sqref="H7"/>
    </sheetView>
  </sheetViews>
  <sheetFormatPr baseColWidth="10" defaultColWidth="11.3984375" defaultRowHeight="14" x14ac:dyDescent="0.2"/>
  <cols>
    <col min="1" max="1" width="16.796875" style="4" bestFit="1" customWidth="1"/>
    <col min="2" max="2" width="20" style="4" bestFit="1" customWidth="1"/>
    <col min="3" max="3" width="9.3984375" style="4" bestFit="1" customWidth="1"/>
    <col min="4" max="4" width="9" style="4" bestFit="1" customWidth="1"/>
    <col min="5" max="5" width="23.19921875" style="4" bestFit="1" customWidth="1"/>
    <col min="6" max="6" width="22.3984375" style="4" bestFit="1" customWidth="1"/>
    <col min="7" max="7" width="19.19921875" style="4" bestFit="1" customWidth="1"/>
    <col min="8" max="8" width="25" style="4" bestFit="1" customWidth="1"/>
    <col min="9" max="9" width="16.796875" style="4" bestFit="1" customWidth="1"/>
    <col min="10" max="10" width="22" style="4" bestFit="1" customWidth="1"/>
    <col min="11" max="11" width="14.59765625" style="4" bestFit="1" customWidth="1"/>
    <col min="12" max="13" width="17.3984375" style="4" bestFit="1" customWidth="1"/>
    <col min="14" max="14" width="14.59765625" style="4" bestFit="1" customWidth="1"/>
    <col min="15" max="15" width="6" style="4" bestFit="1" customWidth="1"/>
    <col min="16" max="16" width="9" style="4" bestFit="1" customWidth="1"/>
    <col min="17" max="17" width="23.19921875" style="4" bestFit="1" customWidth="1"/>
    <col min="18" max="18" width="22.3984375" style="4" bestFit="1" customWidth="1"/>
    <col min="19" max="19" width="19.19921875" style="4" bestFit="1" customWidth="1"/>
    <col min="20" max="20" width="25" style="4" bestFit="1" customWidth="1"/>
    <col min="21" max="21" width="16.796875" style="4" bestFit="1" customWidth="1"/>
    <col min="22" max="22" width="22" style="4" bestFit="1" customWidth="1"/>
    <col min="23" max="23" width="14.59765625" style="4" bestFit="1" customWidth="1"/>
    <col min="24" max="25" width="17.3984375" style="4" bestFit="1" customWidth="1"/>
    <col min="26" max="26" width="18.796875" style="4" bestFit="1" customWidth="1"/>
    <col min="27" max="27" width="19.796875" style="4" bestFit="1" customWidth="1"/>
    <col min="28" max="28" width="18.796875" style="4" bestFit="1" customWidth="1"/>
    <col min="29" max="29" width="19.796875" style="4" bestFit="1" customWidth="1"/>
    <col min="30" max="30" width="21.3984375" style="4" bestFit="1" customWidth="1"/>
    <col min="31" max="31" width="12" style="4" bestFit="1" customWidth="1"/>
    <col min="32" max="32" width="14.59765625" style="4" bestFit="1" customWidth="1"/>
    <col min="33" max="33" width="6" style="4" bestFit="1" customWidth="1"/>
    <col min="34" max="34" width="9" style="4" bestFit="1" customWidth="1"/>
    <col min="35" max="35" width="23.19921875" style="4" bestFit="1" customWidth="1"/>
    <col min="36" max="36" width="23.59765625" style="4" bestFit="1" customWidth="1"/>
    <col min="37" max="37" width="19.19921875" style="4" bestFit="1" customWidth="1"/>
    <col min="38" max="38" width="10.3984375" style="4" bestFit="1" customWidth="1"/>
    <col min="39" max="39" width="22.3984375" style="4" bestFit="1" customWidth="1"/>
    <col min="40" max="40" width="28" style="4" bestFit="1" customWidth="1"/>
    <col min="41" max="41" width="22.3984375" style="4" bestFit="1" customWidth="1"/>
    <col min="42" max="42" width="19" style="4" bestFit="1" customWidth="1"/>
    <col min="43" max="43" width="15.19921875" style="4" bestFit="1" customWidth="1"/>
    <col min="44" max="44" width="24.59765625" style="4" bestFit="1" customWidth="1"/>
    <col min="45" max="45" width="15.3984375" style="4" bestFit="1" customWidth="1"/>
    <col min="46" max="46" width="21.3984375" style="4" bestFit="1" customWidth="1"/>
    <col min="47" max="47" width="12" style="4" bestFit="1" customWidth="1"/>
    <col min="48" max="48" width="18.796875" style="4" bestFit="1" customWidth="1"/>
    <col min="49" max="49" width="19.796875" style="4" bestFit="1" customWidth="1"/>
    <col min="50" max="50" width="8.19921875" style="4" bestFit="1" customWidth="1"/>
    <col min="51" max="51" width="5" style="4" bestFit="1" customWidth="1"/>
    <col min="52" max="52" width="20.3984375" style="4" bestFit="1" customWidth="1"/>
    <col min="53" max="53" width="7.796875" style="4" bestFit="1" customWidth="1"/>
    <col min="54" max="54" width="28" style="4" bestFit="1" customWidth="1"/>
    <col min="55" max="55" width="14.59765625" style="4" bestFit="1" customWidth="1"/>
    <col min="56" max="56" width="29.3984375" style="4" bestFit="1" customWidth="1"/>
    <col min="57" max="57" width="22.59765625" style="4" bestFit="1" customWidth="1"/>
    <col min="58" max="58" width="9.59765625" style="4" bestFit="1" customWidth="1"/>
    <col min="59" max="59" width="6" style="4" bestFit="1" customWidth="1"/>
    <col min="60" max="60" width="15.3984375" style="4" bestFit="1" customWidth="1"/>
    <col min="61" max="61" width="8.3984375" style="4" bestFit="1" customWidth="1"/>
    <col min="62" max="62" width="12.3984375" style="4" bestFit="1" customWidth="1"/>
    <col min="63" max="63" width="10.3984375" style="4" bestFit="1" customWidth="1"/>
    <col min="64" max="64" width="33.3984375" style="4" bestFit="1" customWidth="1"/>
    <col min="65" max="65" width="18.796875" style="4" bestFit="1" customWidth="1"/>
    <col min="66" max="66" width="15.19921875" style="4" bestFit="1" customWidth="1"/>
    <col min="67" max="67" width="5" style="4" bestFit="1" customWidth="1"/>
    <col min="68" max="68" width="4.3984375" style="4" bestFit="1" customWidth="1"/>
    <col min="69" max="69" width="13.59765625" style="4" bestFit="1" customWidth="1"/>
    <col min="70" max="70" width="21.796875" style="4" bestFit="1" customWidth="1"/>
    <col min="71" max="71" width="19.796875" style="4" bestFit="1" customWidth="1"/>
    <col min="72" max="72" width="9" style="4" bestFit="1" customWidth="1"/>
    <col min="73" max="73" width="6" style="4" bestFit="1" customWidth="1"/>
    <col min="74" max="74" width="19.3984375" style="4" bestFit="1" customWidth="1"/>
    <col min="75" max="75" width="11" style="4" bestFit="1" customWidth="1"/>
    <col min="76" max="76" width="29.59765625" style="4" bestFit="1" customWidth="1"/>
    <col min="77" max="77" width="12.59765625" style="4" bestFit="1" customWidth="1"/>
    <col min="78" max="78" width="8" style="4" bestFit="1" customWidth="1"/>
    <col min="79" max="79" width="14.59765625" style="4" bestFit="1" customWidth="1"/>
    <col min="80" max="80" width="13.19921875" style="4" bestFit="1" customWidth="1"/>
    <col min="81" max="81" width="6.3984375" style="4" bestFit="1" customWidth="1"/>
    <col min="82" max="82" width="19.59765625" style="4" bestFit="1" customWidth="1"/>
    <col min="83" max="83" width="10.59765625" style="4" bestFit="1" customWidth="1"/>
    <col min="84" max="84" width="10.19921875" style="4" bestFit="1" customWidth="1"/>
    <col min="85" max="85" width="21" style="4" bestFit="1" customWidth="1"/>
    <col min="86" max="86" width="23.59765625" style="4" bestFit="1" customWidth="1"/>
    <col min="87" max="87" width="16.59765625" style="4" bestFit="1" customWidth="1"/>
    <col min="88" max="88" width="25.796875" style="4" bestFit="1" customWidth="1"/>
    <col min="89" max="89" width="29.59765625" style="4" bestFit="1" customWidth="1"/>
    <col min="90" max="90" width="13" style="4" bestFit="1" customWidth="1"/>
    <col min="91" max="91" width="8.19921875" style="4" bestFit="1" customWidth="1"/>
    <col min="92" max="92" width="5" style="4" bestFit="1" customWidth="1"/>
    <col min="93" max="93" width="20.3984375" style="4" bestFit="1" customWidth="1"/>
    <col min="94" max="94" width="7.796875" style="4" bestFit="1" customWidth="1"/>
    <col min="95" max="95" width="28" style="4" bestFit="1" customWidth="1"/>
    <col min="96" max="96" width="14.59765625" style="4" bestFit="1" customWidth="1"/>
    <col min="97" max="97" width="29.3984375" style="4" bestFit="1" customWidth="1"/>
    <col min="98" max="98" width="18.796875" style="4" bestFit="1" customWidth="1"/>
    <col min="99" max="99" width="19.796875" style="4" bestFit="1" customWidth="1"/>
    <col min="100" max="100" width="27.19921875" style="4" bestFit="1" customWidth="1"/>
    <col min="101" max="101" width="30.796875" style="4" bestFit="1" customWidth="1"/>
    <col min="102" max="102" width="21" style="4" bestFit="1" customWidth="1"/>
    <col min="103" max="103" width="19.59765625" style="4" bestFit="1" customWidth="1"/>
    <col min="104" max="104" width="15.796875" style="4" bestFit="1" customWidth="1"/>
    <col min="105" max="105" width="16.796875" style="4" bestFit="1" customWidth="1"/>
    <col min="106" max="106" width="12.19921875" style="4" bestFit="1" customWidth="1"/>
    <col min="107" max="107" width="21" style="4" bestFit="1" customWidth="1"/>
    <col min="108" max="108" width="19.59765625" style="4" bestFit="1" customWidth="1"/>
    <col min="109" max="109" width="23" style="4" bestFit="1" customWidth="1"/>
    <col min="110" max="110" width="19.3984375" style="4" bestFit="1" customWidth="1"/>
    <col min="111" max="111" width="26.59765625" style="4" bestFit="1" customWidth="1"/>
    <col min="112" max="112" width="23" style="4" bestFit="1" customWidth="1"/>
    <col min="113" max="113" width="18.3984375" style="4" bestFit="1" customWidth="1"/>
    <col min="114" max="114" width="22.59765625" style="4" bestFit="1" customWidth="1"/>
    <col min="115" max="115" width="14.796875" style="4" bestFit="1" customWidth="1"/>
    <col min="116" max="116" width="18.3984375" style="4" bestFit="1" customWidth="1"/>
    <col min="117" max="117" width="21" style="4" bestFit="1" customWidth="1"/>
    <col min="118" max="118" width="19.59765625" style="4" bestFit="1" customWidth="1"/>
    <col min="119" max="119" width="26.59765625" style="4" bestFit="1" customWidth="1"/>
    <col min="120" max="120" width="22" style="4" bestFit="1" customWidth="1"/>
    <col min="121" max="121" width="21" style="4" bestFit="1" customWidth="1"/>
    <col min="122" max="122" width="19.59765625" style="4" bestFit="1" customWidth="1"/>
    <col min="123" max="123" width="22" style="4" bestFit="1" customWidth="1"/>
    <col min="124" max="124" width="19.19921875" style="4" bestFit="1" customWidth="1"/>
    <col min="125" max="125" width="19.59765625" style="4" bestFit="1" customWidth="1"/>
    <col min="126" max="126" width="14.59765625" style="4" bestFit="1" customWidth="1"/>
    <col min="127" max="127" width="21.796875" style="4" bestFit="1" customWidth="1"/>
    <col min="128" max="128" width="17.19921875" style="4" bestFit="1" customWidth="1"/>
    <col min="129" max="129" width="38.796875" style="4" bestFit="1" customWidth="1"/>
    <col min="130" max="130" width="42.59765625" style="4" bestFit="1" customWidth="1"/>
    <col min="131" max="131" width="23.3984375" style="4" bestFit="1" customWidth="1"/>
    <col min="132" max="132" width="27.19921875" style="4" bestFit="1" customWidth="1"/>
    <col min="133" max="133" width="23.19921875" style="4" bestFit="1" customWidth="1"/>
    <col min="134" max="134" width="14.59765625" style="4" bestFit="1" customWidth="1"/>
    <col min="135" max="135" width="27" style="4" bestFit="1" customWidth="1"/>
    <col min="136" max="136" width="19.59765625" style="4" bestFit="1" customWidth="1"/>
    <col min="137" max="137" width="18.3984375" style="4" bestFit="1" customWidth="1"/>
    <col min="138" max="138" width="22.59765625" style="4" bestFit="1" customWidth="1"/>
    <col min="139" max="139" width="19.59765625" style="4" bestFit="1" customWidth="1"/>
    <col min="140" max="140" width="17" style="4" bestFit="1" customWidth="1"/>
    <col min="141" max="141" width="16.796875" style="4" bestFit="1" customWidth="1"/>
    <col min="142" max="142" width="11.3984375" style="4" bestFit="1" customWidth="1"/>
    <col min="143" max="143" width="16.796875" style="4" bestFit="1" customWidth="1"/>
    <col min="144" max="144" width="10.3984375" style="4" bestFit="1" customWidth="1"/>
    <col min="145" max="145" width="17.796875" style="4" bestFit="1" customWidth="1"/>
    <col min="146" max="146" width="21.3984375" style="4" bestFit="1" customWidth="1"/>
    <col min="147" max="147" width="31.19921875" style="4" bestFit="1" customWidth="1"/>
    <col min="148" max="148" width="34.796875" style="4" bestFit="1" customWidth="1"/>
    <col min="149" max="149" width="27.19921875" style="4" bestFit="1" customWidth="1"/>
    <col min="150" max="150" width="30.796875" style="4" bestFit="1" customWidth="1"/>
    <col min="151" max="151" width="23.3984375" style="4" bestFit="1" customWidth="1"/>
    <col min="152" max="152" width="17.59765625" style="4" bestFit="1" customWidth="1"/>
    <col min="153" max="153" width="18.3984375" style="4" bestFit="1" customWidth="1"/>
    <col min="154" max="154" width="11" style="4" bestFit="1" customWidth="1"/>
    <col min="155" max="155" width="27.19921875" style="4" bestFit="1" customWidth="1"/>
    <col min="156" max="156" width="12.59765625" style="4" bestFit="1" customWidth="1"/>
    <col min="157" max="157" width="16" style="4" bestFit="1" customWidth="1"/>
    <col min="158" max="158" width="29.19921875" style="4" bestFit="1" customWidth="1"/>
    <col min="159" max="159" width="11.796875" style="4" bestFit="1" customWidth="1"/>
    <col min="160" max="160" width="23.3984375" style="4" bestFit="1" customWidth="1"/>
    <col min="161" max="161" width="27.19921875" style="4" bestFit="1" customWidth="1"/>
    <col min="162" max="162" width="20.3984375" style="4" bestFit="1" customWidth="1"/>
    <col min="163" max="163" width="24" style="4" bestFit="1" customWidth="1"/>
    <col min="164" max="164" width="21" style="4" bestFit="1" customWidth="1"/>
    <col min="165" max="165" width="19.59765625" style="4" bestFit="1" customWidth="1"/>
    <col min="166" max="166" width="18" style="4" bestFit="1" customWidth="1"/>
    <col min="167" max="167" width="35.59765625" style="4" bestFit="1" customWidth="1"/>
    <col min="168" max="168" width="19.59765625" style="4" bestFit="1" customWidth="1"/>
    <col min="169" max="169" width="39.19921875" style="4" bestFit="1" customWidth="1"/>
    <col min="170" max="170" width="35.59765625" style="4" bestFit="1" customWidth="1"/>
    <col min="171" max="171" width="39.19921875" style="4" bestFit="1" customWidth="1"/>
    <col min="172" max="172" width="19.59765625" style="4" bestFit="1" customWidth="1"/>
    <col min="173" max="173" width="20" style="4" bestFit="1" customWidth="1"/>
    <col min="174" max="174" width="18.3984375" style="4" bestFit="1" customWidth="1"/>
    <col min="175" max="175" width="18" style="4" bestFit="1" customWidth="1"/>
    <col min="176" max="176" width="14.3984375" style="4" bestFit="1" customWidth="1"/>
    <col min="177" max="177" width="18.3984375" style="4" bestFit="1" customWidth="1"/>
    <col min="178" max="178" width="19.59765625" style="4" bestFit="1" customWidth="1"/>
    <col min="179" max="179" width="21.19921875" style="4" bestFit="1" customWidth="1"/>
    <col min="180" max="180" width="18.3984375" style="4" bestFit="1" customWidth="1"/>
    <col min="181" max="181" width="21" style="4" bestFit="1" customWidth="1"/>
    <col min="182" max="182" width="16.796875" style="4" bestFit="1" customWidth="1"/>
    <col min="183" max="183" width="12.796875" style="4" bestFit="1" customWidth="1"/>
    <col min="184" max="184" width="20.59765625" style="4" bestFit="1" customWidth="1"/>
    <col min="185" max="185" width="21.3984375" style="4" bestFit="1" customWidth="1"/>
    <col min="186" max="186" width="21" style="4" bestFit="1" customWidth="1"/>
    <col min="187" max="187" width="19.59765625" style="4" bestFit="1" customWidth="1"/>
    <col min="188" max="188" width="15.796875" style="4" bestFit="1" customWidth="1"/>
    <col min="189" max="189" width="16.796875" style="4" bestFit="1" customWidth="1"/>
    <col min="190" max="190" width="12.19921875" style="4" bestFit="1" customWidth="1"/>
    <col min="191" max="191" width="21" style="4" bestFit="1" customWidth="1"/>
    <col min="192" max="192" width="19.59765625" style="4" bestFit="1" customWidth="1"/>
    <col min="193" max="193" width="23" style="4" bestFit="1" customWidth="1"/>
    <col min="194" max="194" width="19.3984375" style="4" bestFit="1" customWidth="1"/>
    <col min="195" max="195" width="26.59765625" style="4" bestFit="1" customWidth="1"/>
    <col min="196" max="196" width="23" style="4" bestFit="1" customWidth="1"/>
    <col min="197" max="197" width="18.3984375" style="4" bestFit="1" customWidth="1"/>
    <col min="198" max="198" width="22.59765625" style="4" bestFit="1" customWidth="1"/>
    <col min="199" max="199" width="14.796875" style="4" bestFit="1" customWidth="1"/>
    <col min="200" max="200" width="18.3984375" style="4" bestFit="1" customWidth="1"/>
    <col min="201" max="201" width="21" style="4" bestFit="1" customWidth="1"/>
    <col min="202" max="202" width="19.59765625" style="4" bestFit="1" customWidth="1"/>
    <col min="203" max="203" width="26.59765625" style="4" bestFit="1" customWidth="1"/>
    <col min="204" max="204" width="22" style="4" bestFit="1" customWidth="1"/>
    <col min="205" max="205" width="21" style="4" bestFit="1" customWidth="1"/>
    <col min="206" max="206" width="19.59765625" style="4" bestFit="1" customWidth="1"/>
    <col min="207" max="207" width="22" style="4" bestFit="1" customWidth="1"/>
    <col min="208" max="208" width="19.19921875" style="4" bestFit="1" customWidth="1"/>
    <col min="209" max="209" width="19.59765625" style="4" bestFit="1" customWidth="1"/>
    <col min="210" max="210" width="14.59765625" style="4" bestFit="1" customWidth="1"/>
    <col min="211" max="211" width="21.796875" style="4" bestFit="1" customWidth="1"/>
    <col min="212" max="212" width="17.19921875" style="4" bestFit="1" customWidth="1"/>
    <col min="213" max="213" width="38.796875" style="4" bestFit="1" customWidth="1"/>
    <col min="214" max="214" width="42.59765625" style="4" bestFit="1" customWidth="1"/>
    <col min="215" max="215" width="23.3984375" style="4" bestFit="1" customWidth="1"/>
    <col min="216" max="216" width="27.19921875" style="4" bestFit="1" customWidth="1"/>
    <col min="217" max="217" width="23.19921875" style="4" bestFit="1" customWidth="1"/>
    <col min="218" max="218" width="14.59765625" style="4" bestFit="1" customWidth="1"/>
    <col min="219" max="219" width="27" style="4" bestFit="1" customWidth="1"/>
    <col min="220" max="220" width="19.59765625" style="4" bestFit="1" customWidth="1"/>
    <col min="221" max="221" width="18.3984375" style="4" bestFit="1" customWidth="1"/>
    <col min="222" max="222" width="22.59765625" style="4" bestFit="1" customWidth="1"/>
    <col min="223" max="223" width="19.59765625" style="4" bestFit="1" customWidth="1"/>
    <col min="224" max="224" width="17" style="4" bestFit="1" customWidth="1"/>
    <col min="225" max="225" width="16.796875" style="4" bestFit="1" customWidth="1"/>
    <col min="226" max="226" width="11.3984375" style="4" bestFit="1" customWidth="1"/>
    <col min="227" max="227" width="16.796875" style="4" bestFit="1" customWidth="1"/>
    <col min="228" max="228" width="10.3984375" style="4" bestFit="1" customWidth="1"/>
    <col min="229" max="229" width="17.796875" style="4" bestFit="1" customWidth="1"/>
    <col min="230" max="230" width="21.3984375" style="4" bestFit="1" customWidth="1"/>
    <col min="231" max="231" width="31.19921875" style="4" bestFit="1" customWidth="1"/>
    <col min="232" max="232" width="34.796875" style="4" bestFit="1" customWidth="1"/>
    <col min="233" max="233" width="27.19921875" style="4" bestFit="1" customWidth="1"/>
    <col min="234" max="234" width="30.796875" style="4" bestFit="1" customWidth="1"/>
    <col min="235" max="235" width="23.3984375" style="4" bestFit="1" customWidth="1"/>
    <col min="236" max="236" width="17.59765625" style="4" bestFit="1" customWidth="1"/>
    <col min="237" max="237" width="18.3984375" style="4" bestFit="1" customWidth="1"/>
    <col min="238" max="238" width="9.59765625" style="4" bestFit="1" customWidth="1"/>
    <col min="239" max="239" width="27.19921875" style="4" bestFit="1" customWidth="1"/>
    <col min="240" max="240" width="12.59765625" style="4" bestFit="1" customWidth="1"/>
    <col min="241" max="241" width="16" style="4" bestFit="1" customWidth="1"/>
    <col min="242" max="242" width="29.19921875" style="4" bestFit="1" customWidth="1"/>
    <col min="243" max="243" width="11.796875" style="4" bestFit="1" customWidth="1"/>
    <col min="244" max="244" width="23.3984375" style="4" bestFit="1" customWidth="1"/>
    <col min="245" max="245" width="27.19921875" style="4" bestFit="1" customWidth="1"/>
    <col min="246" max="246" width="20.3984375" style="4" bestFit="1" customWidth="1"/>
    <col min="247" max="247" width="24" style="4" bestFit="1" customWidth="1"/>
    <col min="248" max="248" width="21" style="4" bestFit="1" customWidth="1"/>
    <col min="249" max="249" width="19.59765625" style="4" bestFit="1" customWidth="1"/>
    <col min="250" max="250" width="18" style="4" bestFit="1" customWidth="1"/>
    <col min="251" max="251" width="35.59765625" style="4" bestFit="1" customWidth="1"/>
    <col min="252" max="252" width="19.59765625" style="4" bestFit="1" customWidth="1"/>
    <col min="253" max="253" width="39.19921875" style="4" bestFit="1" customWidth="1"/>
    <col min="254" max="254" width="35.59765625" style="4" bestFit="1" customWidth="1"/>
    <col min="255" max="255" width="39.19921875" style="4" bestFit="1" customWidth="1"/>
    <col min="256" max="256" width="19.59765625" style="4" bestFit="1" customWidth="1"/>
    <col min="257" max="257" width="20" style="4" bestFit="1" customWidth="1"/>
    <col min="258" max="258" width="18.3984375" style="4" bestFit="1" customWidth="1"/>
    <col min="259" max="259" width="18" style="4" bestFit="1" customWidth="1"/>
    <col min="260" max="260" width="14.3984375" style="4" bestFit="1" customWidth="1"/>
    <col min="261" max="261" width="18.3984375" style="4" bestFit="1" customWidth="1"/>
    <col min="262" max="262" width="19.59765625" style="4" bestFit="1" customWidth="1"/>
    <col min="263" max="263" width="21.19921875" style="4" bestFit="1" customWidth="1"/>
    <col min="264" max="264" width="18.3984375" style="4" bestFit="1" customWidth="1"/>
    <col min="265" max="265" width="21" style="4" bestFit="1" customWidth="1"/>
    <col min="266" max="266" width="16.796875" style="4" bestFit="1" customWidth="1"/>
    <col min="267" max="267" width="12.796875" style="4" bestFit="1" customWidth="1"/>
    <col min="268" max="268" width="20.59765625" style="4" bestFit="1" customWidth="1"/>
    <col min="269" max="269" width="21.3984375" style="4" bestFit="1" customWidth="1"/>
    <col min="270" max="270" width="27" style="4" bestFit="1" customWidth="1"/>
    <col min="271" max="16384" width="11.3984375" style="4"/>
  </cols>
  <sheetData>
    <row r="3" spans="1:99" x14ac:dyDescent="0.2">
      <c r="A3" s="3"/>
      <c r="B3" s="44" t="s">
        <v>17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/>
      <c r="AC3"/>
      <c r="AD3"/>
      <c r="AE3"/>
      <c r="AF3"/>
      <c r="AG3"/>
      <c r="AH3"/>
      <c r="AI3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</row>
    <row r="4" spans="1:99" x14ac:dyDescent="0.2">
      <c r="A4" s="3"/>
      <c r="B4" s="3" t="s">
        <v>28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 t="s">
        <v>27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 t="s">
        <v>29</v>
      </c>
      <c r="AA4" s="3" t="s">
        <v>30</v>
      </c>
      <c r="AB4"/>
      <c r="AC4"/>
      <c r="AD4"/>
      <c r="AE4"/>
      <c r="AF4"/>
      <c r="AG4"/>
      <c r="AH4"/>
      <c r="AI4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</row>
    <row r="5" spans="1:99" x14ac:dyDescent="0.2">
      <c r="A5" s="44" t="s">
        <v>15</v>
      </c>
      <c r="B5" s="3" t="s">
        <v>40</v>
      </c>
      <c r="C5" s="3" t="s">
        <v>23</v>
      </c>
      <c r="D5" s="3" t="s">
        <v>45</v>
      </c>
      <c r="E5" s="3" t="s">
        <v>152</v>
      </c>
      <c r="F5" s="3" t="s">
        <v>144</v>
      </c>
      <c r="G5" s="3" t="s">
        <v>106</v>
      </c>
      <c r="H5" s="3" t="s">
        <v>419</v>
      </c>
      <c r="I5" s="3" t="s">
        <v>540</v>
      </c>
      <c r="J5" s="3" t="s">
        <v>577</v>
      </c>
      <c r="K5" s="3" t="s">
        <v>42</v>
      </c>
      <c r="L5" s="3" t="s">
        <v>393</v>
      </c>
      <c r="M5" s="3" t="s">
        <v>926</v>
      </c>
      <c r="N5" s="3" t="s">
        <v>40</v>
      </c>
      <c r="O5" s="3" t="s">
        <v>23</v>
      </c>
      <c r="P5" s="3" t="s">
        <v>45</v>
      </c>
      <c r="Q5" s="3" t="s">
        <v>152</v>
      </c>
      <c r="R5" s="3" t="s">
        <v>144</v>
      </c>
      <c r="S5" s="3" t="s">
        <v>106</v>
      </c>
      <c r="T5" s="3" t="s">
        <v>419</v>
      </c>
      <c r="U5" s="3" t="s">
        <v>540</v>
      </c>
      <c r="V5" s="3" t="s">
        <v>577</v>
      </c>
      <c r="W5" s="3" t="s">
        <v>42</v>
      </c>
      <c r="X5" s="3" t="s">
        <v>393</v>
      </c>
      <c r="Y5" s="3" t="s">
        <v>926</v>
      </c>
      <c r="Z5" s="3"/>
      <c r="AA5" s="3"/>
      <c r="AB5"/>
      <c r="AC5"/>
      <c r="AD5"/>
      <c r="AE5"/>
      <c r="AF5"/>
      <c r="AG5"/>
      <c r="AH5"/>
      <c r="AI5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</row>
    <row r="6" spans="1:99" x14ac:dyDescent="0.2">
      <c r="A6" s="53">
        <v>1</v>
      </c>
      <c r="B6" s="3">
        <v>334.13</v>
      </c>
      <c r="C6" s="3">
        <v>1935.5</v>
      </c>
      <c r="D6" s="3">
        <v>4000</v>
      </c>
      <c r="E6" s="3">
        <v>3.95</v>
      </c>
      <c r="F6" s="3"/>
      <c r="G6" s="3"/>
      <c r="H6" s="3"/>
      <c r="I6" s="3">
        <v>14194.86</v>
      </c>
      <c r="J6" s="3">
        <v>19857.150000000001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>
        <v>40325.590000000004</v>
      </c>
      <c r="AA6" s="3"/>
      <c r="AB6"/>
      <c r="AC6"/>
      <c r="AD6"/>
      <c r="AE6"/>
      <c r="AF6"/>
      <c r="AG6"/>
      <c r="AH6"/>
      <c r="AI6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</row>
    <row r="7" spans="1:99" x14ac:dyDescent="0.2">
      <c r="A7" s="53">
        <v>2</v>
      </c>
      <c r="B7" s="3">
        <v>332.45</v>
      </c>
      <c r="C7" s="3">
        <v>1606.1200000000001</v>
      </c>
      <c r="D7" s="3">
        <v>4000</v>
      </c>
      <c r="E7" s="3">
        <v>3.95</v>
      </c>
      <c r="F7" s="3"/>
      <c r="G7" s="3"/>
      <c r="H7" s="3"/>
      <c r="I7" s="3">
        <v>9421.58</v>
      </c>
      <c r="J7" s="3"/>
      <c r="K7" s="3">
        <v>1620.63</v>
      </c>
      <c r="L7" s="3"/>
      <c r="M7" s="3"/>
      <c r="N7" s="3"/>
      <c r="O7" s="3"/>
      <c r="P7" s="3"/>
      <c r="Q7" s="3"/>
      <c r="R7" s="3"/>
      <c r="S7" s="3">
        <v>95681.81</v>
      </c>
      <c r="T7" s="3"/>
      <c r="U7" s="3"/>
      <c r="V7" s="3"/>
      <c r="W7" s="3">
        <v>810.33</v>
      </c>
      <c r="X7" s="3"/>
      <c r="Y7" s="3"/>
      <c r="Z7" s="3">
        <v>16984.73</v>
      </c>
      <c r="AA7" s="3">
        <v>96492.14</v>
      </c>
      <c r="AB7"/>
      <c r="AC7"/>
      <c r="AD7"/>
      <c r="AE7"/>
      <c r="AF7"/>
      <c r="AG7"/>
      <c r="AH7"/>
      <c r="AI7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</row>
    <row r="8" spans="1:99" x14ac:dyDescent="0.2">
      <c r="A8" s="53">
        <v>3</v>
      </c>
      <c r="B8" s="3">
        <v>322.61</v>
      </c>
      <c r="C8" s="3">
        <v>3902.65</v>
      </c>
      <c r="D8" s="3">
        <v>70000</v>
      </c>
      <c r="E8" s="3">
        <v>13.899999999999999</v>
      </c>
      <c r="F8" s="3">
        <v>8.43</v>
      </c>
      <c r="G8" s="3"/>
      <c r="H8" s="3">
        <v>65</v>
      </c>
      <c r="I8" s="3">
        <v>9589.83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>
        <v>83902.419999999984</v>
      </c>
      <c r="AA8" s="3"/>
      <c r="AB8"/>
      <c r="AC8"/>
      <c r="AD8"/>
      <c r="AE8"/>
      <c r="AF8"/>
      <c r="AG8"/>
      <c r="AH8"/>
      <c r="AI8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</row>
    <row r="9" spans="1:99" x14ac:dyDescent="0.2">
      <c r="A9" s="53">
        <v>4</v>
      </c>
      <c r="B9" s="3">
        <v>333.38</v>
      </c>
      <c r="C9" s="3">
        <v>2029.59</v>
      </c>
      <c r="D9" s="3">
        <v>15000</v>
      </c>
      <c r="E9" s="3">
        <v>108.95</v>
      </c>
      <c r="F9" s="3"/>
      <c r="G9" s="3"/>
      <c r="H9" s="3"/>
      <c r="I9" s="3">
        <v>9548.590000000002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>
        <v>22498.2</v>
      </c>
      <c r="Y9" s="3"/>
      <c r="Z9" s="3">
        <v>27020.510000000002</v>
      </c>
      <c r="AA9" s="3">
        <v>22498.2</v>
      </c>
      <c r="AB9"/>
      <c r="AC9"/>
      <c r="AD9"/>
      <c r="AE9"/>
      <c r="AF9"/>
      <c r="AG9"/>
      <c r="AH9"/>
      <c r="AI9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</row>
    <row r="10" spans="1:99" x14ac:dyDescent="0.2">
      <c r="A10" s="53">
        <v>5</v>
      </c>
      <c r="B10" s="3">
        <v>326.55</v>
      </c>
      <c r="C10" s="3">
        <v>2660.75</v>
      </c>
      <c r="D10" s="3">
        <v>3000</v>
      </c>
      <c r="E10" s="3">
        <v>3.95</v>
      </c>
      <c r="F10" s="3"/>
      <c r="G10" s="3"/>
      <c r="H10" s="3"/>
      <c r="I10" s="3"/>
      <c r="J10" s="3"/>
      <c r="K10" s="3"/>
      <c r="L10" s="3"/>
      <c r="M10" s="3">
        <v>36.6</v>
      </c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>
        <v>6027.85</v>
      </c>
      <c r="AA10" s="3"/>
      <c r="AB10"/>
      <c r="AC10"/>
      <c r="AD10"/>
      <c r="AE10"/>
      <c r="AF10"/>
      <c r="AG10"/>
      <c r="AH10"/>
      <c r="AI1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</row>
    <row r="11" spans="1:99" x14ac:dyDescent="0.2">
      <c r="A11" s="53">
        <v>6</v>
      </c>
      <c r="B11" s="3">
        <v>333.29</v>
      </c>
      <c r="C11" s="3">
        <v>2879.62</v>
      </c>
      <c r="D11" s="3"/>
      <c r="E11" s="3">
        <v>3.95</v>
      </c>
      <c r="F11" s="3">
        <v>8.5299999999999994</v>
      </c>
      <c r="G11" s="3"/>
      <c r="H11" s="3"/>
      <c r="I11" s="3"/>
      <c r="J11" s="3"/>
      <c r="K11" s="3"/>
      <c r="L11" s="3"/>
      <c r="M11" s="3">
        <v>802.57</v>
      </c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>
        <v>4027.96</v>
      </c>
      <c r="AA11" s="3"/>
      <c r="AB11"/>
      <c r="AC11"/>
      <c r="AD11"/>
      <c r="AE11"/>
      <c r="AF11"/>
      <c r="AG11"/>
      <c r="AH11"/>
      <c r="AI11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</row>
    <row r="12" spans="1:99" x14ac:dyDescent="0.2">
      <c r="A12" s="53">
        <v>7</v>
      </c>
      <c r="B12" s="3">
        <v>328.19</v>
      </c>
      <c r="C12" s="3">
        <v>6717.93</v>
      </c>
      <c r="D12" s="3">
        <v>3000</v>
      </c>
      <c r="E12" s="3"/>
      <c r="F12" s="3"/>
      <c r="G12" s="3"/>
      <c r="H12" s="3"/>
      <c r="I12" s="3"/>
      <c r="J12" s="3"/>
      <c r="K12" s="3"/>
      <c r="L12" s="3"/>
      <c r="M12" s="3">
        <v>3715.31</v>
      </c>
      <c r="N12" s="3"/>
      <c r="O12" s="3"/>
      <c r="P12" s="3">
        <v>30000</v>
      </c>
      <c r="Q12" s="3"/>
      <c r="R12" s="3"/>
      <c r="S12" s="3"/>
      <c r="T12" s="3"/>
      <c r="U12" s="3"/>
      <c r="V12" s="3"/>
      <c r="W12" s="3"/>
      <c r="X12" s="3"/>
      <c r="Y12" s="3"/>
      <c r="Z12" s="3">
        <v>13761.429999999998</v>
      </c>
      <c r="AA12" s="3">
        <v>30000</v>
      </c>
      <c r="AB12"/>
      <c r="AC12"/>
      <c r="AD12"/>
      <c r="AE12"/>
      <c r="AF12"/>
      <c r="AG12"/>
      <c r="AH12"/>
      <c r="AI12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</row>
    <row r="13" spans="1:99" x14ac:dyDescent="0.2">
      <c r="A13" s="53" t="s">
        <v>16</v>
      </c>
      <c r="B13" s="3">
        <v>2310.6</v>
      </c>
      <c r="C13" s="3">
        <v>21732.16</v>
      </c>
      <c r="D13" s="3">
        <v>99000</v>
      </c>
      <c r="E13" s="3">
        <v>138.64999999999998</v>
      </c>
      <c r="F13" s="3">
        <v>16.96</v>
      </c>
      <c r="G13" s="3"/>
      <c r="H13" s="3">
        <v>65</v>
      </c>
      <c r="I13" s="3">
        <v>42754.860000000008</v>
      </c>
      <c r="J13" s="3">
        <v>19857.150000000001</v>
      </c>
      <c r="K13" s="3">
        <v>1620.63</v>
      </c>
      <c r="L13" s="3"/>
      <c r="M13" s="3">
        <v>4554.4799999999996</v>
      </c>
      <c r="N13" s="3"/>
      <c r="O13" s="3"/>
      <c r="P13" s="3">
        <v>30000</v>
      </c>
      <c r="Q13" s="3"/>
      <c r="R13" s="3"/>
      <c r="S13" s="3">
        <v>95681.81</v>
      </c>
      <c r="T13" s="3"/>
      <c r="U13" s="3"/>
      <c r="V13" s="3"/>
      <c r="W13" s="3">
        <v>810.33</v>
      </c>
      <c r="X13" s="3">
        <v>22498.2</v>
      </c>
      <c r="Y13" s="3"/>
      <c r="Z13" s="3">
        <v>192050.49</v>
      </c>
      <c r="AA13" s="3">
        <v>148990.34</v>
      </c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</row>
    <row r="14" spans="1:99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</row>
    <row r="15" spans="1:99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</row>
    <row r="16" spans="1:99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</row>
    <row r="17" spans="1:23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</sheetData>
  <pageMargins left="0.7" right="0.7" top="0.75" bottom="0.75" header="0.3" footer="0.3"/>
  <pageSetup paperSize="9"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B924E-5E89-1746-94D0-48981DE44EA4}">
  <sheetPr codeName="Foglio14">
    <tabColor rgb="FFFFFF00"/>
  </sheetPr>
  <dimension ref="B2:G105"/>
  <sheetViews>
    <sheetView zoomScale="130" zoomScaleNormal="130" workbookViewId="0">
      <selection activeCell="D28" sqref="D28"/>
    </sheetView>
  </sheetViews>
  <sheetFormatPr baseColWidth="10" defaultRowHeight="14" x14ac:dyDescent="0.2"/>
  <cols>
    <col min="1" max="1" width="11" style="54"/>
    <col min="2" max="2" width="42.3984375" style="54" bestFit="1" customWidth="1"/>
    <col min="3" max="3" width="26.3984375" style="54" bestFit="1" customWidth="1"/>
    <col min="4" max="4" width="28.19921875" style="54" bestFit="1" customWidth="1"/>
    <col min="5" max="5" width="13.796875" style="54" bestFit="1" customWidth="1"/>
    <col min="6" max="16384" width="11" style="54"/>
  </cols>
  <sheetData>
    <row r="2" spans="2:7" x14ac:dyDescent="0.2">
      <c r="B2" s="64" t="s">
        <v>76</v>
      </c>
      <c r="C2" s="64" t="s">
        <v>80</v>
      </c>
      <c r="D2" s="64" t="s">
        <v>237</v>
      </c>
      <c r="G2" s="64" t="s">
        <v>313</v>
      </c>
    </row>
    <row r="3" spans="2:7" x14ac:dyDescent="0.2">
      <c r="B3" s="54" t="str">
        <f>'Conto Economico'!A63</f>
        <v>Ricavi Affitto Dubai I</v>
      </c>
      <c r="C3" s="54" t="s">
        <v>78</v>
      </c>
      <c r="D3" s="54" t="str">
        <f>Riepilogo!B14</f>
        <v>Spese Ricorrenti</v>
      </c>
      <c r="E3" s="63">
        <f ca="1">Riepilogo!C14</f>
        <v>3442.4271999999996</v>
      </c>
      <c r="G3" s="54" t="s">
        <v>314</v>
      </c>
    </row>
    <row r="4" spans="2:7" x14ac:dyDescent="0.2">
      <c r="B4" s="54" t="str">
        <f>'Conto Economico'!A64</f>
        <v>Ricavi Affitto Dubai II</v>
      </c>
      <c r="C4" s="54" t="s">
        <v>78</v>
      </c>
      <c r="D4" s="54" t="str">
        <f>Riepilogo!B26</f>
        <v>Spese Alimentari</v>
      </c>
      <c r="E4" s="63">
        <f ca="1">Riepilogo!C26</f>
        <v>12657.619523809522</v>
      </c>
      <c r="G4" s="54" t="s">
        <v>371</v>
      </c>
    </row>
    <row r="5" spans="2:7" x14ac:dyDescent="0.2">
      <c r="B5" s="54" t="str">
        <f>'Conto Economico'!A65</f>
        <v>Ricavi Affitto Dubai III</v>
      </c>
      <c r="C5" s="54" t="s">
        <v>78</v>
      </c>
      <c r="D5" s="54" t="str">
        <f>Forecast!B37</f>
        <v>Manutenzioni</v>
      </c>
      <c r="E5" s="63">
        <f ca="1">Riepilogo!C31</f>
        <v>2329.27</v>
      </c>
    </row>
    <row r="6" spans="2:7" x14ac:dyDescent="0.2">
      <c r="B6" s="54" t="str">
        <f>'Conto Economico'!A66</f>
        <v>Vendita Immobile El Toro</v>
      </c>
      <c r="C6" s="54" t="s">
        <v>78</v>
      </c>
      <c r="D6" s="54" t="str">
        <f>Riepilogo!B36</f>
        <v>Educazione Emma</v>
      </c>
      <c r="E6" s="63">
        <f ca="1">Riepilogo!C36</f>
        <v>21650.026400000002</v>
      </c>
    </row>
    <row r="7" spans="2:7" x14ac:dyDescent="0.2">
      <c r="B7" s="54" t="str">
        <f>'Conto Economico'!A67</f>
        <v>Vendita Immobile Riccione</v>
      </c>
      <c r="C7" s="54" t="s">
        <v>78</v>
      </c>
      <c r="D7" s="54" t="str">
        <f>Riepilogo!B39</f>
        <v>Viaggi</v>
      </c>
      <c r="E7" s="63">
        <f ca="1">Riepilogo!C39</f>
        <v>1486.9555351681954</v>
      </c>
      <c r="G7" s="64" t="s">
        <v>839</v>
      </c>
    </row>
    <row r="8" spans="2:7" x14ac:dyDescent="0.2">
      <c r="B8" s="54" t="str">
        <f>'Conto Economico'!A68</f>
        <v>Pensione di Vecchiaia Stefano</v>
      </c>
      <c r="C8" s="54" t="s">
        <v>78</v>
      </c>
      <c r="D8" s="54" t="str">
        <f>Riepilogo!B42</f>
        <v>Auto e Trasporti</v>
      </c>
      <c r="E8" s="63">
        <f ca="1">Riepilogo!C42</f>
        <v>6659.03</v>
      </c>
      <c r="G8" s="54" t="s">
        <v>634</v>
      </c>
    </row>
    <row r="9" spans="2:7" x14ac:dyDescent="0.2">
      <c r="B9" s="54" t="str">
        <f>'Conto Economico'!A69</f>
        <v>Pensione di Vecchiaia Sandra</v>
      </c>
      <c r="C9" s="54" t="s">
        <v>78</v>
      </c>
      <c r="D9" s="54" t="str">
        <f>Riepilogo!B51</f>
        <v>Assicurazioni</v>
      </c>
      <c r="E9" s="63">
        <f ca="1">Riepilogo!C51</f>
        <v>8217.9066666666658</v>
      </c>
      <c r="G9" s="54" t="s">
        <v>384</v>
      </c>
    </row>
    <row r="10" spans="2:7" x14ac:dyDescent="0.2">
      <c r="B10" s="54" t="str">
        <f>'Conto Economico'!A71</f>
        <v>Rimborsi</v>
      </c>
      <c r="C10" s="54" t="s">
        <v>78</v>
      </c>
      <c r="D10" s="54" t="str">
        <f>Riepilogo!B56</f>
        <v>Attività sportive</v>
      </c>
      <c r="E10" s="63">
        <f ca="1">Riepilogo!C56</f>
        <v>2493.9</v>
      </c>
      <c r="G10" s="54" t="s">
        <v>840</v>
      </c>
    </row>
    <row r="11" spans="2:7" x14ac:dyDescent="0.2">
      <c r="B11" s="54" t="str">
        <f>'Conto Economico'!A72</f>
        <v>Quote da investimenti</v>
      </c>
      <c r="C11" s="54" t="s">
        <v>78</v>
      </c>
      <c r="D11" s="54" t="str">
        <f>Riepilogo!B63</f>
        <v>Spese Personali</v>
      </c>
      <c r="E11" s="63">
        <f ca="1">Riepilogo!C63</f>
        <v>8460.7666666666664</v>
      </c>
    </row>
    <row r="12" spans="2:7" x14ac:dyDescent="0.2">
      <c r="B12" s="54" t="str">
        <f>'Conto Economico'!A84</f>
        <v>Arredamento</v>
      </c>
      <c r="C12" s="54" t="s">
        <v>78</v>
      </c>
      <c r="D12" s="54" t="str">
        <f>Riepilogo!B70</f>
        <v>Cure mediche</v>
      </c>
      <c r="E12" s="63">
        <f ca="1">Riepilogo!C70</f>
        <v>1585.6799999999998</v>
      </c>
    </row>
    <row r="13" spans="2:7" x14ac:dyDescent="0.2">
      <c r="B13" s="54" t="str">
        <f>'Conto Economico'!A85</f>
        <v>Cinema - Giochi - Libri - Regali</v>
      </c>
      <c r="C13" s="54" t="s">
        <v>78</v>
      </c>
      <c r="D13" s="54" t="str">
        <f>Riepilogo!B76</f>
        <v>Imposte Spagna</v>
      </c>
      <c r="E13" s="63">
        <f ca="1">Riepilogo!C76</f>
        <v>3287.0599999999995</v>
      </c>
    </row>
    <row r="14" spans="2:7" x14ac:dyDescent="0.2">
      <c r="B14" s="54" t="str">
        <f>'Conto Economico'!A86</f>
        <v>Elettronica e Tecnologia</v>
      </c>
      <c r="C14" s="54" t="s">
        <v>78</v>
      </c>
      <c r="D14" s="54" t="str">
        <f>Riepilogo!B81</f>
        <v>Imposte Italia</v>
      </c>
      <c r="E14" s="63">
        <f ca="1">Riepilogo!C81</f>
        <v>3180.7800000000007</v>
      </c>
    </row>
    <row r="15" spans="2:7" x14ac:dyDescent="0.2">
      <c r="B15" s="54" t="str">
        <f>'Conto Economico'!A87</f>
        <v>Elettrodomestici</v>
      </c>
      <c r="C15" s="54" t="s">
        <v>78</v>
      </c>
      <c r="D15" s="54" t="str">
        <f>Riepilogo!B86</f>
        <v>Commissioni Bancarie</v>
      </c>
      <c r="E15" s="63">
        <f ca="1">Riepilogo!C86</f>
        <v>6097.9899999999989</v>
      </c>
    </row>
    <row r="16" spans="2:7" x14ac:dyDescent="0.2">
      <c r="B16" s="54" t="str">
        <f>'Conto Economico'!A88</f>
        <v>Prodotti per la Pulizia - Detersivi</v>
      </c>
      <c r="C16" s="54" t="s">
        <v>78</v>
      </c>
      <c r="D16" s="54" t="str">
        <f>Riepilogo!B91</f>
        <v>Altre Spese</v>
      </c>
      <c r="E16" s="63">
        <f ca="1">Riepilogo!C91</f>
        <v>10181.606666666665</v>
      </c>
    </row>
    <row r="17" spans="2:5" x14ac:dyDescent="0.2">
      <c r="B17" s="54" t="str">
        <f>'Conto Economico'!A89</f>
        <v>Accessori per Casa e Cucina</v>
      </c>
      <c r="C17" s="54" t="s">
        <v>78</v>
      </c>
    </row>
    <row r="18" spans="2:5" x14ac:dyDescent="0.2">
      <c r="B18" s="54" t="str">
        <f>'Conto Economico'!A90</f>
        <v>Accessori per Piscina e Giardino</v>
      </c>
      <c r="C18" s="54" t="s">
        <v>78</v>
      </c>
      <c r="D18" s="73" t="s">
        <v>139</v>
      </c>
      <c r="E18" s="74">
        <f ca="1">SUM(E3:E16)</f>
        <v>91731.0186589777</v>
      </c>
    </row>
    <row r="19" spans="2:5" x14ac:dyDescent="0.2">
      <c r="B19" s="54" t="str">
        <f>'Conto Economico'!A93</f>
        <v>Luce</v>
      </c>
      <c r="C19" s="54" t="s">
        <v>78</v>
      </c>
    </row>
    <row r="20" spans="2:5" x14ac:dyDescent="0.2">
      <c r="B20" s="54" t="str">
        <f>'Conto Economico'!A94</f>
        <v>Acqua Potabile</v>
      </c>
      <c r="C20" s="54" t="s">
        <v>78</v>
      </c>
    </row>
    <row r="21" spans="2:5" x14ac:dyDescent="0.2">
      <c r="B21" s="54" t="str">
        <f>'Conto Economico'!A95</f>
        <v>Gas</v>
      </c>
      <c r="C21" s="54" t="s">
        <v>78</v>
      </c>
      <c r="D21" s="54" t="str">
        <f>Riepilogo!B5</f>
        <v>Spese Generali</v>
      </c>
      <c r="E21" s="63">
        <f ca="1">Riepilogo!C5</f>
        <v>1301.8566666666666</v>
      </c>
    </row>
    <row r="22" spans="2:5" x14ac:dyDescent="0.2">
      <c r="B22" s="54" t="str">
        <f>'Conto Economico'!A96</f>
        <v>Rifiuti</v>
      </c>
      <c r="C22" s="54" t="s">
        <v>78</v>
      </c>
    </row>
    <row r="23" spans="2:5" x14ac:dyDescent="0.2">
      <c r="B23" s="54" t="str">
        <f>'Conto Economico'!A97</f>
        <v>Servizi Internet - Amazon Prime - iCloud</v>
      </c>
      <c r="C23" s="54" t="s">
        <v>78</v>
      </c>
    </row>
    <row r="24" spans="2:5" x14ac:dyDescent="0.2">
      <c r="B24" s="54" t="str">
        <f>'Conto Economico'!A98</f>
        <v>Editoria Digitale</v>
      </c>
      <c r="C24" s="54" t="s">
        <v>78</v>
      </c>
    </row>
    <row r="25" spans="2:5" x14ac:dyDescent="0.2">
      <c r="B25" s="54" t="str">
        <f>'Conto Economico'!A99</f>
        <v>Fibra Telefonica</v>
      </c>
      <c r="C25" s="54" t="s">
        <v>78</v>
      </c>
    </row>
    <row r="26" spans="2:5" x14ac:dyDescent="0.2">
      <c r="B26" s="54" t="str">
        <f>'Conto Economico'!A100</f>
        <v>Telefonia Cellulare</v>
      </c>
      <c r="C26" s="54" t="s">
        <v>78</v>
      </c>
    </row>
    <row r="27" spans="2:5" x14ac:dyDescent="0.2">
      <c r="B27" s="54" t="str">
        <f>'Conto Economico'!A101</f>
        <v>Streaming TV</v>
      </c>
      <c r="C27" s="54" t="s">
        <v>78</v>
      </c>
      <c r="D27" s="64" t="s">
        <v>990</v>
      </c>
    </row>
    <row r="28" spans="2:5" ht="17" x14ac:dyDescent="0.2">
      <c r="B28" s="54" t="str">
        <f>'Conto Economico'!A102</f>
        <v>Streaming Audio</v>
      </c>
      <c r="C28" s="54" t="s">
        <v>78</v>
      </c>
      <c r="D28" s="473" t="str" cm="1">
        <f t="array" aca="1" ref="D28:E63" ca="1">_xlfn.STOCKHISTORY("AED/EUR", TODAY()-'Conto Economico'!M8, TODAY())</f>
        <v>Data</v>
      </c>
      <c r="E28" s="54" t="str">
        <f ca="1"/>
        <v>Chiusura</v>
      </c>
    </row>
    <row r="29" spans="2:5" x14ac:dyDescent="0.2">
      <c r="B29" s="54" t="str">
        <f>'Conto Economico'!A105</f>
        <v>Alimentari</v>
      </c>
      <c r="C29" s="54" t="s">
        <v>78</v>
      </c>
      <c r="D29" s="54" vm="3">
        <f ca="1"/>
        <v>46167</v>
      </c>
      <c r="E29" s="54" vm="4">
        <f ca="1"/>
        <v>0.23380000000000001</v>
      </c>
    </row>
    <row r="30" spans="2:5" x14ac:dyDescent="0.2">
      <c r="B30" s="54" t="str">
        <f>'Conto Economico'!A106</f>
        <v>Colazioni - Bar - Aperitivi - Gelateria</v>
      </c>
      <c r="C30" s="54" t="s">
        <v>78</v>
      </c>
      <c r="D30" s="54" vm="5">
        <f ca="1"/>
        <v>46168</v>
      </c>
      <c r="E30" s="54" vm="6">
        <f ca="1"/>
        <v>0.23400000000000001</v>
      </c>
    </row>
    <row r="31" spans="2:5" x14ac:dyDescent="0.2">
      <c r="B31" s="54" t="str">
        <f>'Conto Economico'!A107</f>
        <v>Ristorazione</v>
      </c>
      <c r="C31" s="54" t="s">
        <v>78</v>
      </c>
      <c r="D31" s="54" vm="7">
        <f ca="1"/>
        <v>46169</v>
      </c>
      <c r="E31" s="54" vm="8">
        <f ca="1"/>
        <v>0.2341</v>
      </c>
    </row>
    <row r="32" spans="2:5" x14ac:dyDescent="0.2">
      <c r="B32" s="54" t="str">
        <f>'Conto Economico'!A110</f>
        <v>Manutenzione Immobile</v>
      </c>
      <c r="C32" s="54" t="s">
        <v>78</v>
      </c>
      <c r="D32" s="54" vm="9">
        <f ca="1"/>
        <v>46170</v>
      </c>
      <c r="E32" s="54" vm="10">
        <f ca="1"/>
        <v>0.2336</v>
      </c>
    </row>
    <row r="33" spans="2:5" x14ac:dyDescent="0.2">
      <c r="B33" s="54" t="str">
        <f>'Conto Economico'!A111</f>
        <v>Manutenzione del Giardino</v>
      </c>
      <c r="C33" s="54" t="s">
        <v>78</v>
      </c>
      <c r="D33" s="54" vm="11">
        <f ca="1"/>
        <v>46171</v>
      </c>
      <c r="E33" s="54" vm="12">
        <f ca="1"/>
        <v>0.23350000000000001</v>
      </c>
    </row>
    <row r="34" spans="2:5" x14ac:dyDescent="0.2">
      <c r="B34" s="54" t="str">
        <f>'Conto Economico'!A112</f>
        <v>Manutenzione Piscina</v>
      </c>
      <c r="C34" s="54" t="s">
        <v>78</v>
      </c>
      <c r="D34" s="54" vm="13">
        <f ca="1"/>
        <v>46174</v>
      </c>
      <c r="E34" s="54" vm="6">
        <f ca="1"/>
        <v>0.23400000000000001</v>
      </c>
    </row>
    <row r="35" spans="2:5" x14ac:dyDescent="0.2">
      <c r="B35" s="54" t="str">
        <f>'Conto Economico'!A115</f>
        <v>Istruzione e Corsi</v>
      </c>
      <c r="C35" s="54" t="s">
        <v>78</v>
      </c>
      <c r="D35" s="54" vm="14">
        <f ca="1"/>
        <v>46175</v>
      </c>
      <c r="E35" s="54" vm="8">
        <f ca="1"/>
        <v>0.2341</v>
      </c>
    </row>
    <row r="36" spans="2:5" x14ac:dyDescent="0.2">
      <c r="B36" s="54" t="str">
        <f>'Conto Economico'!A118</f>
        <v>V - Trasporto Aereo</v>
      </c>
      <c r="C36" s="54" t="s">
        <v>78</v>
      </c>
      <c r="D36" s="54" vm="15">
        <f ca="1"/>
        <v>46176</v>
      </c>
      <c r="E36" s="54" vm="16">
        <f ca="1"/>
        <v>0.23469999999999999</v>
      </c>
    </row>
    <row r="37" spans="2:5" x14ac:dyDescent="0.2">
      <c r="B37" s="54" t="str">
        <f>'Conto Economico'!A119</f>
        <v>V - Automobile a noleggio</v>
      </c>
      <c r="C37" s="54" t="s">
        <v>78</v>
      </c>
      <c r="D37" s="54" vm="17">
        <f ca="1"/>
        <v>46177</v>
      </c>
      <c r="E37" s="54" vm="18">
        <f ca="1"/>
        <v>0.23449999999999999</v>
      </c>
    </row>
    <row r="38" spans="2:5" x14ac:dyDescent="0.2">
      <c r="B38" s="54" t="str">
        <f>'Conto Economico'!A120</f>
        <v>V - Carburante</v>
      </c>
      <c r="C38" s="54" t="s">
        <v>78</v>
      </c>
      <c r="D38" s="54" vm="19">
        <f ca="1"/>
        <v>46178</v>
      </c>
      <c r="E38" s="54" vm="20">
        <f ca="1"/>
        <v>0.23630000000000001</v>
      </c>
    </row>
    <row r="39" spans="2:5" x14ac:dyDescent="0.2">
      <c r="B39" s="54" t="str">
        <f>'Conto Economico'!A121</f>
        <v>V - Altri Trasporti - Parcheggio</v>
      </c>
      <c r="C39" s="54" t="s">
        <v>78</v>
      </c>
      <c r="D39" s="54" vm="21">
        <f ca="1"/>
        <v>46181</v>
      </c>
      <c r="E39" s="54" vm="22">
        <f ca="1"/>
        <v>0.23599999999999999</v>
      </c>
    </row>
    <row r="40" spans="2:5" x14ac:dyDescent="0.2">
      <c r="B40" s="54" t="str">
        <f>'Conto Economico'!A122</f>
        <v>V - Assicurazione di Viaggio</v>
      </c>
      <c r="C40" s="54" t="s">
        <v>78</v>
      </c>
      <c r="D40" s="54" vm="23">
        <f ca="1"/>
        <v>46182</v>
      </c>
      <c r="E40" s="54" vm="24">
        <f ca="1"/>
        <v>0.23580000000000001</v>
      </c>
    </row>
    <row r="41" spans="2:5" x14ac:dyDescent="0.2">
      <c r="B41" s="54" t="str">
        <f>'Conto Economico'!A123</f>
        <v>V - Alloggio</v>
      </c>
      <c r="C41" s="54" t="s">
        <v>78</v>
      </c>
      <c r="D41" s="54" vm="25">
        <f ca="1"/>
        <v>46183</v>
      </c>
      <c r="E41" s="54" vm="22">
        <f ca="1"/>
        <v>0.23599999999999999</v>
      </c>
    </row>
    <row r="42" spans="2:5" x14ac:dyDescent="0.2">
      <c r="B42" s="54" t="str">
        <f>'Conto Economico'!A124</f>
        <v>V - Alimentari/Ristorazione</v>
      </c>
      <c r="C42" s="54" t="s">
        <v>78</v>
      </c>
      <c r="D42" s="54" vm="26">
        <f ca="1"/>
        <v>46184</v>
      </c>
      <c r="E42" s="54" vm="27">
        <f ca="1"/>
        <v>0.2351</v>
      </c>
    </row>
    <row r="43" spans="2:5" x14ac:dyDescent="0.2">
      <c r="B43" s="54" t="str">
        <f>'Conto Economico'!A125</f>
        <v>V - Musei - Parchi - Siti di Interesse</v>
      </c>
      <c r="C43" s="54" t="s">
        <v>78</v>
      </c>
      <c r="D43" s="54" vm="28">
        <f ca="1"/>
        <v>46185</v>
      </c>
      <c r="E43" s="54" vm="29">
        <f ca="1"/>
        <v>0.23530000000000001</v>
      </c>
    </row>
    <row r="44" spans="2:5" x14ac:dyDescent="0.2">
      <c r="B44" s="54" t="str">
        <f>'Conto Economico'!A126</f>
        <v>V - Spese di Alloggio per Animali</v>
      </c>
      <c r="C44" s="54" t="s">
        <v>78</v>
      </c>
      <c r="D44" s="54" vm="30">
        <f ca="1"/>
        <v>46188</v>
      </c>
      <c r="E44" s="54" vm="31">
        <f ca="1"/>
        <v>0.2349</v>
      </c>
    </row>
    <row r="45" spans="2:5" x14ac:dyDescent="0.2">
      <c r="B45" s="54" t="str">
        <f>'Conto Economico'!A127</f>
        <v>V - Parcheggio Aeroporto</v>
      </c>
      <c r="C45" s="54" t="s">
        <v>78</v>
      </c>
      <c r="D45" s="54" vm="32">
        <f ca="1"/>
        <v>46189</v>
      </c>
      <c r="E45" s="54" vm="18">
        <f ca="1"/>
        <v>0.23449999999999999</v>
      </c>
    </row>
    <row r="46" spans="2:5" x14ac:dyDescent="0.2">
      <c r="B46" s="54" t="str">
        <f>'Conto Economico'!A128</f>
        <v>V - Altre Spese di Viaggio</v>
      </c>
      <c r="C46" s="54" t="s">
        <v>78</v>
      </c>
      <c r="D46" s="54" vm="33">
        <f ca="1"/>
        <v>46190</v>
      </c>
      <c r="E46" s="54" vm="34">
        <f ca="1"/>
        <v>0.23669999999999999</v>
      </c>
    </row>
    <row r="47" spans="2:5" x14ac:dyDescent="0.2">
      <c r="B47" s="54" t="str">
        <f>'Conto Economico'!A197</f>
        <v xml:space="preserve">Assicurazione </v>
      </c>
      <c r="C47" s="54" t="s">
        <v>78</v>
      </c>
      <c r="D47" s="54" vm="35">
        <f ca="1"/>
        <v>46191</v>
      </c>
      <c r="E47" s="54" vm="36">
        <f ca="1"/>
        <v>0.23760000000000001</v>
      </c>
    </row>
    <row r="48" spans="2:5" x14ac:dyDescent="0.2">
      <c r="B48" s="54" t="str">
        <f>'Conto Economico'!A198</f>
        <v xml:space="preserve">Carburante </v>
      </c>
      <c r="C48" s="54" t="s">
        <v>78</v>
      </c>
      <c r="D48" s="54" vm="37">
        <f ca="1"/>
        <v>46192</v>
      </c>
      <c r="E48" s="54" vm="38">
        <f ca="1"/>
        <v>0.2374</v>
      </c>
    </row>
    <row r="49" spans="2:5" x14ac:dyDescent="0.2">
      <c r="B49" s="54" t="str">
        <f>'Conto Economico'!A199</f>
        <v>Tassa di circolazione</v>
      </c>
      <c r="C49" s="54" t="s">
        <v>78</v>
      </c>
      <c r="D49" s="54" vm="39">
        <f ca="1"/>
        <v>46195</v>
      </c>
      <c r="E49" s="54" vm="40">
        <f ca="1"/>
        <v>0.2382</v>
      </c>
    </row>
    <row r="50" spans="2:5" x14ac:dyDescent="0.2">
      <c r="B50" s="54" t="str">
        <f>'Conto Economico'!A200</f>
        <v>ITV</v>
      </c>
      <c r="C50" s="54" t="s">
        <v>78</v>
      </c>
      <c r="D50" s="54" vm="41">
        <f ca="1"/>
        <v>46196</v>
      </c>
      <c r="E50" s="54" vm="42">
        <f ca="1"/>
        <v>0.2392</v>
      </c>
    </row>
    <row r="51" spans="2:5" x14ac:dyDescent="0.2">
      <c r="B51" s="54" t="str">
        <f>'Conto Economico'!A201</f>
        <v>Silik</v>
      </c>
      <c r="C51" s="54" t="s">
        <v>78</v>
      </c>
      <c r="D51" s="54" vm="43">
        <f ca="1"/>
        <v>46197</v>
      </c>
      <c r="E51" s="54" vm="44">
        <f ca="1"/>
        <v>0.2397</v>
      </c>
    </row>
    <row r="52" spans="2:5" x14ac:dyDescent="0.2">
      <c r="B52" s="54" t="str">
        <f>'Conto Economico'!A202</f>
        <v>Manutenzione Auto</v>
      </c>
      <c r="C52" s="54" t="s">
        <v>78</v>
      </c>
      <c r="D52" s="54" vm="45">
        <f ca="1"/>
        <v>46198</v>
      </c>
      <c r="E52" s="54" vm="46">
        <f ca="1"/>
        <v>0.2394</v>
      </c>
    </row>
    <row r="53" spans="2:5" x14ac:dyDescent="0.2">
      <c r="B53" s="54" t="str">
        <f>'Conto Economico'!A203</f>
        <v>Trasporti pubblici</v>
      </c>
      <c r="C53" s="54" t="s">
        <v>78</v>
      </c>
      <c r="D53" s="54" vm="47">
        <f ca="1"/>
        <v>46199</v>
      </c>
      <c r="E53" s="54" vm="48">
        <f ca="1"/>
        <v>0.23910000000000001</v>
      </c>
    </row>
    <row r="54" spans="2:5" x14ac:dyDescent="0.2">
      <c r="B54" s="54" t="str">
        <f>'Conto Economico'!A204</f>
        <v>Parcheggio</v>
      </c>
      <c r="C54" s="54" t="s">
        <v>78</v>
      </c>
      <c r="D54" s="54" vm="49">
        <f ca="1"/>
        <v>46202</v>
      </c>
      <c r="E54" s="54" vm="50">
        <f ca="1"/>
        <v>0.23830000000000001</v>
      </c>
    </row>
    <row r="55" spans="2:5" x14ac:dyDescent="0.2">
      <c r="B55" s="54" t="str">
        <f>'Conto Economico'!A207</f>
        <v>Polizza Vita</v>
      </c>
      <c r="C55" s="54" t="s">
        <v>78</v>
      </c>
      <c r="D55" s="54" vm="51">
        <f ca="1"/>
        <v>46203</v>
      </c>
      <c r="E55" s="54" vm="52">
        <f ca="1"/>
        <v>0.2384</v>
      </c>
    </row>
    <row r="56" spans="2:5" x14ac:dyDescent="0.2">
      <c r="B56" s="54" t="str">
        <f>'Conto Economico'!A208</f>
        <v>Polizza Salute</v>
      </c>
      <c r="C56" s="54" t="s">
        <v>78</v>
      </c>
      <c r="D56" s="54" vm="53">
        <f ca="1"/>
        <v>46204</v>
      </c>
      <c r="E56" s="54" vm="54">
        <f ca="1"/>
        <v>0.23930000000000001</v>
      </c>
    </row>
    <row r="57" spans="2:5" x14ac:dyDescent="0.2">
      <c r="B57" s="54" t="str">
        <f>'Conto Economico'!A209</f>
        <v>Polizza Casa</v>
      </c>
      <c r="C57" s="54" t="s">
        <v>78</v>
      </c>
      <c r="D57" s="54" vm="55">
        <f ca="1"/>
        <v>46205</v>
      </c>
      <c r="E57" s="54" vm="56">
        <f ca="1"/>
        <v>0.23810000000000001</v>
      </c>
    </row>
    <row r="58" spans="2:5" x14ac:dyDescent="0.2">
      <c r="B58" s="54" t="str">
        <f>'Conto Economico'!A212</f>
        <v>Nautica</v>
      </c>
      <c r="C58" s="54" t="s">
        <v>78</v>
      </c>
      <c r="D58" s="54" vm="57">
        <f ca="1"/>
        <v>46206</v>
      </c>
      <c r="E58" s="54" vm="58">
        <f ca="1"/>
        <v>0.23799999999999999</v>
      </c>
    </row>
    <row r="59" spans="2:5" x14ac:dyDescent="0.2">
      <c r="B59" s="54" t="str">
        <f>'Conto Economico'!A213</f>
        <v>Fitness</v>
      </c>
      <c r="C59" s="54" t="s">
        <v>78</v>
      </c>
      <c r="D59" s="54" vm="59">
        <f ca="1"/>
        <v>46209</v>
      </c>
      <c r="E59" s="54" vm="60">
        <f ca="1"/>
        <v>0.2379</v>
      </c>
    </row>
    <row r="60" spans="2:5" x14ac:dyDescent="0.2">
      <c r="B60" s="54" t="str">
        <f>'Conto Economico'!A214</f>
        <v>Lingue Straniere</v>
      </c>
      <c r="C60" s="54" t="s">
        <v>78</v>
      </c>
      <c r="D60" s="54" vm="61">
        <f ca="1"/>
        <v>46210</v>
      </c>
      <c r="E60" s="54" vm="62">
        <f ca="1"/>
        <v>0.23849999999999999</v>
      </c>
    </row>
    <row r="61" spans="2:5" x14ac:dyDescent="0.2">
      <c r="B61" s="54" t="str">
        <f>'Conto Economico'!A215</f>
        <v>Altri Corsi</v>
      </c>
      <c r="C61" s="54" t="s">
        <v>78</v>
      </c>
      <c r="D61" s="54" vm="63">
        <f ca="1"/>
        <v>46211</v>
      </c>
      <c r="E61" s="54" vm="62">
        <f ca="1"/>
        <v>0.23849999999999999</v>
      </c>
    </row>
    <row r="62" spans="2:5" x14ac:dyDescent="0.2">
      <c r="B62" s="54" t="str">
        <f>'Conto Economico'!A216</f>
        <v>Attività Spot</v>
      </c>
      <c r="C62" s="54" t="s">
        <v>78</v>
      </c>
      <c r="D62" s="54" vm="64">
        <f ca="1"/>
        <v>46212</v>
      </c>
      <c r="E62" s="54" vm="40">
        <f ca="1"/>
        <v>0.2382</v>
      </c>
    </row>
    <row r="63" spans="2:5" x14ac:dyDescent="0.2">
      <c r="B63" s="54" t="str">
        <f>'Conto Economico'!A219</f>
        <v>Abbigliamento e Accessori</v>
      </c>
      <c r="C63" s="54" t="s">
        <v>78</v>
      </c>
      <c r="D63" s="54" vm="65">
        <f ca="1"/>
        <v>46213</v>
      </c>
      <c r="E63" s="54" vm="62">
        <f ca="1"/>
        <v>0.23849999999999999</v>
      </c>
    </row>
    <row r="64" spans="2:5" x14ac:dyDescent="0.2">
      <c r="B64" s="54" t="str">
        <f>'Conto Economico'!A220</f>
        <v>Abbigliamento Sportivo e Accessori</v>
      </c>
      <c r="C64" s="54" t="s">
        <v>78</v>
      </c>
    </row>
    <row r="65" spans="2:3" x14ac:dyDescent="0.2">
      <c r="B65" s="54" t="str">
        <f>'Conto Economico'!A221</f>
        <v>Prodotti per la Cura della Persona</v>
      </c>
      <c r="C65" s="54" t="s">
        <v>78</v>
      </c>
    </row>
    <row r="66" spans="2:3" x14ac:dyDescent="0.2">
      <c r="B66" s="54" t="str">
        <f>'Conto Economico'!A222</f>
        <v>Parrucchiera/e</v>
      </c>
      <c r="C66" s="54" t="s">
        <v>78</v>
      </c>
    </row>
    <row r="67" spans="2:3" x14ac:dyDescent="0.2">
      <c r="B67" s="54" t="str">
        <f>'Conto Economico'!A223</f>
        <v>Estetista</v>
      </c>
      <c r="C67" s="54" t="s">
        <v>78</v>
      </c>
    </row>
    <row r="68" spans="2:3" x14ac:dyDescent="0.2">
      <c r="B68" s="54" t="str">
        <f>'Conto Economico'!A226</f>
        <v>Cure mediche extra ass.</v>
      </c>
      <c r="C68" s="54" t="s">
        <v>78</v>
      </c>
    </row>
    <row r="69" spans="2:3" x14ac:dyDescent="0.2">
      <c r="B69" s="54" t="str">
        <f>'Conto Economico'!A227</f>
        <v>Medicinali - Test Covid - Integratori</v>
      </c>
      <c r="C69" s="54" t="s">
        <v>78</v>
      </c>
    </row>
    <row r="70" spans="2:3" x14ac:dyDescent="0.2">
      <c r="B70" s="54" t="str">
        <f>'Conto Economico'!A228</f>
        <v>Dentista</v>
      </c>
      <c r="C70" s="54" t="s">
        <v>78</v>
      </c>
    </row>
    <row r="71" spans="2:3" x14ac:dyDescent="0.2">
      <c r="B71" s="54" t="str">
        <f>'Conto Economico'!A229</f>
        <v>Oculista - Occhiali</v>
      </c>
      <c r="C71" s="54" t="s">
        <v>78</v>
      </c>
    </row>
    <row r="72" spans="2:3" x14ac:dyDescent="0.2">
      <c r="B72" s="54" t="str">
        <f>'Conto Economico'!A232</f>
        <v>IBI</v>
      </c>
      <c r="C72" s="54" t="s">
        <v>78</v>
      </c>
    </row>
    <row r="73" spans="2:3" x14ac:dyDescent="0.2">
      <c r="B73" s="54" t="str">
        <f>'Conto Economico'!A233</f>
        <v>Imposte Spagna</v>
      </c>
      <c r="C73" s="54" t="s">
        <v>78</v>
      </c>
    </row>
    <row r="74" spans="2:3" x14ac:dyDescent="0.2">
      <c r="B74" s="54" t="str">
        <f>'Conto Economico'!A234</f>
        <v>Commercialista Spagna</v>
      </c>
      <c r="C74" s="54" t="s">
        <v>78</v>
      </c>
    </row>
    <row r="75" spans="2:3" x14ac:dyDescent="0.2">
      <c r="B75" s="54" t="str">
        <f>'Conto Economico'!A237</f>
        <v>Imposte Italia</v>
      </c>
      <c r="C75" s="54" t="s">
        <v>78</v>
      </c>
    </row>
    <row r="76" spans="2:3" x14ac:dyDescent="0.2">
      <c r="B76" s="54" t="str">
        <f>'Conto Economico'!A238</f>
        <v>Imposta di Bollo Titoli e CC</v>
      </c>
      <c r="C76" s="54" t="s">
        <v>78</v>
      </c>
    </row>
    <row r="77" spans="2:3" x14ac:dyDescent="0.2">
      <c r="B77" s="54" t="str">
        <f>'Conto Economico'!A239</f>
        <v>Commercialista Italia</v>
      </c>
      <c r="C77" s="54" t="s">
        <v>78</v>
      </c>
    </row>
    <row r="78" spans="2:3" x14ac:dyDescent="0.2">
      <c r="B78" s="54" t="str">
        <f>'Conto Economico'!A242</f>
        <v>Commissioni Amex</v>
      </c>
      <c r="C78" s="54" t="s">
        <v>78</v>
      </c>
    </row>
    <row r="79" spans="2:3" x14ac:dyDescent="0.2">
      <c r="B79" s="54" t="str">
        <f>'Conto Economico'!A243</f>
        <v>Commissioni Bancarie su Investimenti</v>
      </c>
      <c r="C79" s="54" t="s">
        <v>78</v>
      </c>
    </row>
    <row r="80" spans="2:3" x14ac:dyDescent="0.2">
      <c r="B80" s="54" t="str">
        <f>'Conto Economico'!A244</f>
        <v>Altre Commissioni Bancarie</v>
      </c>
      <c r="C80" s="54" t="s">
        <v>78</v>
      </c>
    </row>
    <row r="81" spans="2:3" x14ac:dyDescent="0.2">
      <c r="B81" s="54" t="str">
        <f>'Conto Economico'!A247</f>
        <v>Animali domestici</v>
      </c>
      <c r="C81" s="54" t="s">
        <v>78</v>
      </c>
    </row>
    <row r="82" spans="2:3" x14ac:dyDescent="0.2">
      <c r="B82" s="54" t="str">
        <f>'Conto Economico'!A248</f>
        <v>Eventi musicali - Teatro - Musei</v>
      </c>
      <c r="C82" s="54" t="s">
        <v>78</v>
      </c>
    </row>
    <row r="83" spans="2:3" x14ac:dyDescent="0.2">
      <c r="B83" s="54" t="str">
        <f>'Conto Economico'!A249</f>
        <v>Rientri a Bologna - Trasporti</v>
      </c>
      <c r="C83" s="54" t="s">
        <v>78</v>
      </c>
    </row>
    <row r="84" spans="2:3" x14ac:dyDescent="0.2">
      <c r="B84" s="54" t="str">
        <f>'Conto Economico'!A250</f>
        <v>Mutuo Riccione</v>
      </c>
      <c r="C84" s="54" t="s">
        <v>78</v>
      </c>
    </row>
    <row r="85" spans="2:3" x14ac:dyDescent="0.2">
      <c r="B85" s="54" t="str">
        <f>'Conto Economico'!A251</f>
        <v>Spese Amministrative - Passaporti - SPID</v>
      </c>
      <c r="C85" s="54" t="s">
        <v>78</v>
      </c>
    </row>
    <row r="86" spans="2:3" x14ac:dyDescent="0.2">
      <c r="B86" s="54" t="str">
        <f>'Conto Economico'!A252</f>
        <v>Altre spese Italia</v>
      </c>
      <c r="C86" s="54" t="s">
        <v>78</v>
      </c>
    </row>
    <row r="87" spans="2:3" x14ac:dyDescent="0.2">
      <c r="B87" s="54" t="str">
        <f>'Conto Economico'!A253</f>
        <v>Altre spese Spagna</v>
      </c>
      <c r="C87" s="54" t="s">
        <v>78</v>
      </c>
    </row>
    <row r="88" spans="2:3" x14ac:dyDescent="0.2">
      <c r="B88" s="54" t="str">
        <f>'Conto Economico'!A256</f>
        <v>Spese Per Vendita El Toro</v>
      </c>
      <c r="C88" s="54" t="s">
        <v>78</v>
      </c>
    </row>
    <row r="89" spans="2:3" x14ac:dyDescent="0.2">
      <c r="B89" s="54" t="str">
        <f>'Conto Economico'!A257</f>
        <v>Spese per Trasferimento EAU</v>
      </c>
      <c r="C89" s="54" t="s">
        <v>78</v>
      </c>
    </row>
    <row r="90" spans="2:3" x14ac:dyDescent="0.2">
      <c r="B90" s="54" t="str">
        <f>'Conto Economico'!A258</f>
        <v>Affitto Dubai</v>
      </c>
      <c r="C90" s="54" t="s">
        <v>78</v>
      </c>
    </row>
    <row r="91" spans="2:3" x14ac:dyDescent="0.2">
      <c r="B91" s="54" t="str">
        <f>'Conto Economico'!A259</f>
        <v>Acquisto Autovettura</v>
      </c>
      <c r="C91" s="54" t="s">
        <v>78</v>
      </c>
    </row>
    <row r="92" spans="2:3" x14ac:dyDescent="0.2">
      <c r="B92" s="54" t="str">
        <f>'Conto Economico'!A260</f>
        <v>Voli Aerei su Dubai</v>
      </c>
      <c r="C92" s="54" t="s">
        <v>78</v>
      </c>
    </row>
    <row r="93" spans="2:3" x14ac:dyDescent="0.2">
      <c r="B93" s="54" t="str">
        <f>'Conto Economico'!A261</f>
        <v>Voli Aerei su Amsterdam</v>
      </c>
      <c r="C93" s="54" t="s">
        <v>78</v>
      </c>
    </row>
    <row r="94" spans="2:3" x14ac:dyDescent="0.2">
      <c r="B94" s="54" t="str">
        <f>'Conto Economico'!A262</f>
        <v>Successione Vanzini</v>
      </c>
      <c r="C94" s="54" t="s">
        <v>78</v>
      </c>
    </row>
    <row r="95" spans="2:3" x14ac:dyDescent="0.2">
      <c r="B95" s="54" t="str">
        <f>'Conto Economico'!A263</f>
        <v>Imprevisti</v>
      </c>
      <c r="C95" s="54" t="s">
        <v>78</v>
      </c>
    </row>
    <row r="96" spans="2:3" x14ac:dyDescent="0.2">
      <c r="B96" s="54" t="str">
        <f>'Conto Economico'!A266</f>
        <v>Project Plan Dubai I</v>
      </c>
      <c r="C96" s="54" t="s">
        <v>78</v>
      </c>
    </row>
    <row r="97" spans="2:3" x14ac:dyDescent="0.2">
      <c r="B97" s="54" t="str">
        <f>'Conto Economico'!A267</f>
        <v>Project Plan Dubai II</v>
      </c>
      <c r="C97" s="54" t="s">
        <v>78</v>
      </c>
    </row>
    <row r="98" spans="2:3" x14ac:dyDescent="0.2">
      <c r="B98" s="54" t="str">
        <f>'Conto Economico'!A268</f>
        <v>Project Plan Dubai III</v>
      </c>
      <c r="C98" s="54" t="s">
        <v>78</v>
      </c>
    </row>
    <row r="99" spans="2:3" x14ac:dyDescent="0.2">
      <c r="B99" s="54" t="str">
        <f>'Conto Economico'!A79</f>
        <v>Amex</v>
      </c>
      <c r="C99" s="54" t="s">
        <v>78</v>
      </c>
    </row>
    <row r="100" spans="2:3" x14ac:dyDescent="0.2">
      <c r="B100" s="54" t="str">
        <f>'Conto Economico'!A57</f>
        <v>Ricarica Visa Prepagata</v>
      </c>
      <c r="C100" s="54" t="s">
        <v>78</v>
      </c>
    </row>
    <row r="101" spans="2:3" x14ac:dyDescent="0.2">
      <c r="B101" s="54" t="str">
        <f>'Conto Economico'!A58</f>
        <v>Spese Visa Prepagata</v>
      </c>
      <c r="C101" s="54" t="s">
        <v>78</v>
      </c>
    </row>
    <row r="102" spans="2:3" x14ac:dyDescent="0.2">
      <c r="B102" s="54" t="str">
        <f>'Conto Economico'!A59</f>
        <v>Commissioni Visa Prepagata</v>
      </c>
      <c r="C102" s="54" t="s">
        <v>78</v>
      </c>
    </row>
    <row r="103" spans="2:3" x14ac:dyDescent="0.2">
      <c r="B103" s="54" t="s">
        <v>45</v>
      </c>
      <c r="C103" s="54" t="s">
        <v>77</v>
      </c>
    </row>
    <row r="104" spans="2:3" x14ac:dyDescent="0.2">
      <c r="B104" s="54" t="s">
        <v>249</v>
      </c>
      <c r="C104" s="54" t="s">
        <v>77</v>
      </c>
    </row>
    <row r="105" spans="2:3" x14ac:dyDescent="0.2">
      <c r="B105" s="54" t="s">
        <v>105</v>
      </c>
      <c r="C105" s="54" t="s">
        <v>78</v>
      </c>
    </row>
  </sheetData>
  <autoFilter ref="B2:E89" xr:uid="{A4BB924E-5E89-1746-94D0-48981DE44EA4}"/>
  <sortState xmlns:xlrd2="http://schemas.microsoft.com/office/spreadsheetml/2017/richdata2" ref="B12:C46">
    <sortCondition ref="B12:B46"/>
  </sortState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Fogli di lavoro</vt:lpstr>
      </vt:variant>
      <vt:variant>
        <vt:i4>31</vt:i4>
      </vt:variant>
      <vt:variant>
        <vt:lpstr>Intervalli denominati</vt:lpstr>
      </vt:variant>
      <vt:variant>
        <vt:i4>14</vt:i4>
      </vt:variant>
    </vt:vector>
  </HeadingPairs>
  <TitlesOfParts>
    <vt:vector size="45" baseType="lpstr">
      <vt:lpstr>Conto Economico</vt:lpstr>
      <vt:lpstr>Forecast</vt:lpstr>
      <vt:lpstr>Budget 27</vt:lpstr>
      <vt:lpstr>Budget 27-66</vt:lpstr>
      <vt:lpstr>Riepilogo</vt:lpstr>
      <vt:lpstr>Investimenti</vt:lpstr>
      <vt:lpstr>El Toro</vt:lpstr>
      <vt:lpstr>Portafoglio</vt:lpstr>
      <vt:lpstr>Dubai</vt:lpstr>
      <vt:lpstr>Immobili</vt:lpstr>
      <vt:lpstr>Parametri</vt:lpstr>
      <vt:lpstr>Mutuo Riccione</vt:lpstr>
      <vt:lpstr>Contanti</vt:lpstr>
      <vt:lpstr>Amex</vt:lpstr>
      <vt:lpstr>IBKR</vt:lpstr>
      <vt:lpstr>RakBank EUR</vt:lpstr>
      <vt:lpstr>RakBank AED</vt:lpstr>
      <vt:lpstr>Revolut</vt:lpstr>
      <vt:lpstr>BBVA</vt:lpstr>
      <vt:lpstr>Fineco Sa</vt:lpstr>
      <vt:lpstr>Fineco St</vt:lpstr>
      <vt:lpstr>Pivot IBKR</vt:lpstr>
      <vt:lpstr>Pivot RakBank EUR</vt:lpstr>
      <vt:lpstr>Pivot RakBank AED</vt:lpstr>
      <vt:lpstr>Pivot Amex</vt:lpstr>
      <vt:lpstr>Pivot Revolut</vt:lpstr>
      <vt:lpstr>Pivot PP Visa</vt:lpstr>
      <vt:lpstr>Pivot BBVA</vt:lpstr>
      <vt:lpstr>Pivot Fineco Sa</vt:lpstr>
      <vt:lpstr>Pivot Fineco St</vt:lpstr>
      <vt:lpstr>Dati</vt:lpstr>
      <vt:lpstr>Amex!activity</vt:lpstr>
      <vt:lpstr>Amex!activity_2</vt:lpstr>
      <vt:lpstr>Amex!activity_3</vt:lpstr>
      <vt:lpstr>Amex!activity_5</vt:lpstr>
      <vt:lpstr>Advice</vt:lpstr>
      <vt:lpstr>CCActual</vt:lpstr>
      <vt:lpstr>Chiusura2024</vt:lpstr>
      <vt:lpstr>IBKR</vt:lpstr>
      <vt:lpstr>Plus</vt:lpstr>
      <vt:lpstr>PoPlus</vt:lpstr>
      <vt:lpstr>Revolut!Revolut</vt:lpstr>
      <vt:lpstr>Revolut!Revolut_1</vt:lpstr>
      <vt:lpstr>TotInv</vt:lpstr>
      <vt:lpstr>TP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Stefano Gresleri</cp:lastModifiedBy>
  <cp:lastPrinted>2023-05-29T06:16:48Z</cp:lastPrinted>
  <dcterms:created xsi:type="dcterms:W3CDTF">2013-11-29T19:17:45Z</dcterms:created>
  <dcterms:modified xsi:type="dcterms:W3CDTF">2026-07-13T16:40:50Z</dcterms:modified>
  <cp:category/>
</cp:coreProperties>
</file>